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DC747B9D-DBBB-FA85-71B4-595EBAB97821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INSTRUCTOR\Downloads\"/>
    </mc:Choice>
  </mc:AlternateContent>
  <xr:revisionPtr revIDLastSave="0" documentId="13_ncr:1_{F7C0B1B4-2CAD-4040-A52B-DAD471D7800B}" xr6:coauthVersionLast="47" xr6:coauthVersionMax="47" xr10:uidLastSave="{00000000-0000-0000-0000-000000000000}"/>
  <bookViews>
    <workbookView xWindow="-120" yWindow="-120" windowWidth="29040" windowHeight="15720" tabRatio="791" xr2:uid="{00000000-000D-0000-FFFF-FFFF00000000}"/>
  </bookViews>
  <sheets>
    <sheet name="Registro" sheetId="6" r:id="rId1"/>
    <sheet name="Parametros" sheetId="22" state="hidden" r:id="rId2"/>
    <sheet name="Accion" sheetId="14" state="hidden" r:id="rId3"/>
    <sheet name="AccionEspecifica" sheetId="15" state="hidden" r:id="rId4"/>
    <sheet name="SubAccion" sheetId="16" state="hidden" r:id="rId5"/>
    <sheet name="ActividadAgente" sheetId="17" state="hidden" r:id="rId6"/>
    <sheet name="POA" sheetId="20" state="hidden" r:id="rId7"/>
    <sheet name="Lista de Empresas Supervisoras" sheetId="21" state="hidden" r:id="rId8"/>
    <sheet name="Base" sheetId="1" state="hidden" r:id="rId9"/>
  </sheets>
  <definedNames>
    <definedName name="_xlnm._FilterDatabase" localSheetId="3" hidden="1">AccionEspecifica!$A$2:$A$41</definedName>
    <definedName name="_xlnm._FilterDatabase" localSheetId="5" hidden="1">ActividadAgente!$D$2:$D$83</definedName>
    <definedName name="_xlnm._FilterDatabase" localSheetId="8" hidden="1">Base!$H$7:$H$241</definedName>
    <definedName name="_xlnm._FilterDatabase" localSheetId="7" hidden="1">'Lista de Empresas Supervisoras'!$A$6:$F$234</definedName>
    <definedName name="_xlnm._FilterDatabase" localSheetId="0" hidden="1">Registro!$O$21:$O$957</definedName>
    <definedName name="AAA">Base!$E$41:$E$44</definedName>
    <definedName name="Amazonas" localSheetId="7">'Lista de Empresas Supervisoras'!$F$7:$F$14</definedName>
    <definedName name="Áncash" localSheetId="7">'Lista de Empresas Supervisoras'!$F$15:$F$23</definedName>
    <definedName name="ant">Tabla6[Antecedentes]</definedName>
    <definedName name="Antecedentes">Tabla6[Antecedentes]</definedName>
    <definedName name="Apurímac" localSheetId="7">'Lista de Empresas Supervisoras'!$F$24:$F$32</definedName>
    <definedName name="_xlnm.Extract" localSheetId="3">AccionEspecifica!#REF!</definedName>
    <definedName name="_xlnm.Extract" localSheetId="5">ActividadAgente!#REF!</definedName>
    <definedName name="_xlnm.Extract" localSheetId="8">Base!$AV$5</definedName>
    <definedName name="_xlnm.Print_Area" localSheetId="6">POA!$A$1:$T$1621</definedName>
    <definedName name="_xlnm.Print_Area" localSheetId="0">Registro!$A$1:$N$775</definedName>
    <definedName name="Arequipa" localSheetId="7">'Lista de Empresas Supervisoras'!$F$33:$F$43</definedName>
    <definedName name="Ayacucho" localSheetId="7">'Lista de Empresas Supervisoras'!$F$44:$F$52</definedName>
    <definedName name="BBB">Base!$E$238:$E$239</definedName>
    <definedName name="Cajamarca" localSheetId="7">'Lista de Empresas Supervisoras'!$F$53:$F$61</definedName>
    <definedName name="CALIDAD">Base!$BE$4:$BE$6</definedName>
    <definedName name="Cusco" localSheetId="7">'Lista de Empresas Supervisoras'!$F$62:$F$72</definedName>
    <definedName name="DEP_1">Base!$AG$7:$AG$13</definedName>
    <definedName name="DEP_10">Base!$AG$986:$AG$990</definedName>
    <definedName name="DEP_11">Base!$AG$1029:$AG$1037</definedName>
    <definedName name="DEP_12">Base!$AG$1153:$AG$1164</definedName>
    <definedName name="DEP_13">Base!$AG$1236:$AG$1243</definedName>
    <definedName name="DEP_14">Base!$AG$1292:$AG$1299</definedName>
    <definedName name="DEP_15">Base!$AG$1345:$AG$1347</definedName>
    <definedName name="DEP_16">Base!$AG$1356:$AG$1358</definedName>
    <definedName name="DEP_17">Base!$AG$1376:$AG$1378</definedName>
    <definedName name="DEP_18">Base!$AG$1405:$AG$1412</definedName>
    <definedName name="DEP_19">Base!$AG$1470:$AG$1482</definedName>
    <definedName name="DEP_2">Base!$AG$90:$AG$109</definedName>
    <definedName name="DEP_20">Base!$AG$1579:$AG$1588</definedName>
    <definedName name="DEP_21">Base!$AG$1656:$AG$1659</definedName>
    <definedName name="DEP_22">Base!$AG$1684:$AG$1686</definedName>
    <definedName name="DEP_23">Base!$AG$1697:$AG$1700</definedName>
    <definedName name="DEP_24">Base!$AG$1714:$AG$1724</definedName>
    <definedName name="DEP_25">Base!$AG$1814:$AG$1817</definedName>
    <definedName name="DEP_3">Base!$AG$256:$AG$262</definedName>
    <definedName name="DEP_4">Base!$AG$339:$AG$346</definedName>
    <definedName name="DEP_5">Base!$AG$448:$AG$460</definedName>
    <definedName name="DEP_6">Base!$AG$569:$AG$581</definedName>
    <definedName name="DEP_7">Base!$AG$696:$AG$708</definedName>
    <definedName name="DEP_8">Base!$AG$805:$AG$811</definedName>
    <definedName name="DEP_9">Base!$AG$904:$AG$914</definedName>
    <definedName name="EMP">Registro!$C$3:$C$19</definedName>
    <definedName name="Huancavelica" localSheetId="7">'Lista de Empresas Supervisoras'!$F$73:$F$80</definedName>
    <definedName name="Huánuco" localSheetId="7">'Lista de Empresas Supervisoras'!$F$81:$F$88</definedName>
    <definedName name="Ica" localSheetId="7">'Lista de Empresas Supervisoras'!$F$89:$F$97</definedName>
    <definedName name="Junín" localSheetId="7">'Lista de Empresas Supervisoras'!$F$98:$F$106</definedName>
    <definedName name="K31.1">AccionEspecifica!$A$2:$A$6</definedName>
    <definedName name="K31.1.1">SubAccion!$A$2:$A$7</definedName>
    <definedName name="K31.1.1.1">POA!$N$2:$N$4</definedName>
    <definedName name="K31.1.1.1_TA6">POA!$T$2:$T$10</definedName>
    <definedName name="K31.1.1.1_TA8">POA!$T$11:$T$12</definedName>
    <definedName name="K31.1.1.1_TA9">POA!$T$13:$T$14</definedName>
    <definedName name="K31.1.10.1">POA!$N$124:$N$126</definedName>
    <definedName name="K31.1.10.1_TA3">POA!$T$124:$T$129</definedName>
    <definedName name="K31.1.10.1_TA8">POA!$T$130:$T$131</definedName>
    <definedName name="K31.1.10.1_TA9">POA!$T$132:$T$146</definedName>
    <definedName name="K31.1.11.1">POA!$N$147:$N$157</definedName>
    <definedName name="K31.1.11.1_TA1">POA!$T$147:$T$156</definedName>
    <definedName name="K31.1.11.1_TA10">POA!$T$206:$T$210</definedName>
    <definedName name="K31.1.11.1_TA11">POA!$T$215:$T$221</definedName>
    <definedName name="K31.1.11.1_TA2">POA!$T$157:$T$160</definedName>
    <definedName name="K31.1.11.1_TA3">POA!$T$161:$T$166</definedName>
    <definedName name="K31.1.11.1_TA4">POA!$T$167:$T$177</definedName>
    <definedName name="K31.1.11.1_TA5">POA!$T$178:$T$179</definedName>
    <definedName name="K31.1.11.1_TA6">POA!$T$180:$T$188</definedName>
    <definedName name="K31.1.11.1_TA7">POA!$T$211:$T$214</definedName>
    <definedName name="K31.1.11.1_TA8">POA!$T$189:$T$190</definedName>
    <definedName name="K31.1.11.1_TA9">POA!$T$191:$T$205</definedName>
    <definedName name="K31.1.2">SubAccion!$A$8:$A$9</definedName>
    <definedName name="K31.1.2.1">POA!$N$15</definedName>
    <definedName name="K31.1.2.1_TA6">POA!$T$15:$T$22</definedName>
    <definedName name="K31.1.3">SubAccion!$A$10:$A$14</definedName>
    <definedName name="K31.1.3.1">POA!$N$23</definedName>
    <definedName name="K31.1.3.1_TA6">POA!$T$23:$T$30</definedName>
    <definedName name="K31.1.4">SubAccion!$A$15:$A$16</definedName>
    <definedName name="K31.1.4.1">POA!$N$31</definedName>
    <definedName name="K31.1.4.1_TA9">POA!$T$31:$T$45</definedName>
    <definedName name="K31.1.5">SubAccion!$A$17:$A$19</definedName>
    <definedName name="K31.1.5.1">POA!$N$46:$N$54</definedName>
    <definedName name="K31.1.5.1_TA1">POA!$T$46:$T$55</definedName>
    <definedName name="K31.1.5.1_TA10">POA!$T$105:$T$109</definedName>
    <definedName name="K31.1.5.1_TA2">POA!$T$56:$T$59</definedName>
    <definedName name="K31.1.5.1_TA3">POA!$T$60:$T$65</definedName>
    <definedName name="K31.1.5.1_TA4">POA!$T$66:$T$76</definedName>
    <definedName name="K31.1.5.1_TA5">POA!$T$77:$T$78</definedName>
    <definedName name="K31.1.5.1_TA6">POA!$T$79:$T$87</definedName>
    <definedName name="K31.1.5.1_TA8">POA!$T$88:$T$89</definedName>
    <definedName name="K31.1.5.1_TA9">POA!$T$90:$T$104</definedName>
    <definedName name="K31.1.6">SubAccion!$A$26</definedName>
    <definedName name="K31.1.6.1">POA!$N$110</definedName>
    <definedName name="K31.1.6.1_TA4">POA!$T$110:$T$111</definedName>
    <definedName name="K31.1.7">SubAccion!$A$27:$A$30</definedName>
    <definedName name="K31.1.7.1">POA!$N$112</definedName>
    <definedName name="K31.1.7.1_TA5">POA!$T$112:$T$113</definedName>
    <definedName name="K31.1.7.2">POA!$N$114</definedName>
    <definedName name="K31.1.7.2_TA5">POA!$T$114:$T$115</definedName>
    <definedName name="K31.1.7.3">POA!$N$116</definedName>
    <definedName name="K31.1.7.3_TA5">POA!$T$116:$T$117</definedName>
    <definedName name="K31.1.7.4">POA!$N$118</definedName>
    <definedName name="K31.1.7.4_TA5">POA!$T$118:$T$119</definedName>
    <definedName name="K31.1.8">SubAccion!$A$31</definedName>
    <definedName name="K31.1.8.1">POA!$N$120</definedName>
    <definedName name="K31.1.8.1_TA12">POA!$T$120:$T$123</definedName>
    <definedName name="K31.1.9">SubAccion!$A$32</definedName>
    <definedName name="K31.1.9.1">POA!$N$122</definedName>
    <definedName name="K31.2">AccionEspecifica!$A$7:$A$19</definedName>
    <definedName name="K31.2.1">SubAccion!$A$20</definedName>
    <definedName name="K31.2.1.1">POA!$N$222:$N$223</definedName>
    <definedName name="K31.2.1.1_TA1">POA!$T$222:$T$235</definedName>
    <definedName name="K31.2.1.1_TA6">POA!$T$236:$T$244</definedName>
    <definedName name="K31.2.1.2">POA!$N$245:$N$247</definedName>
    <definedName name="K31.2.1.2_TA1">POA!$T$245:$T$254</definedName>
    <definedName name="K31.2.1.2_TA3">POA!$T$255:$T$258</definedName>
    <definedName name="K31.2.1.2_TA6">POA!$T$259:$T$267</definedName>
    <definedName name="K31.2.10">SubAccion!$A$33:$A$34</definedName>
    <definedName name="K31.2.10.1">POA!$N$431:$N$433</definedName>
    <definedName name="K31.2.10.1_TA1">POA!$T$432:$T$433</definedName>
    <definedName name="K31.2.10.1_TA6">POA!$T$431</definedName>
    <definedName name="K31.2.10.1_TA9">POA!$T$434</definedName>
    <definedName name="K31.2.10.2">POA!$N$435</definedName>
    <definedName name="K31.2.10.2_TA9">POA!$T$435:$T$449</definedName>
    <definedName name="K31.2.11">SubAccion!$A$35</definedName>
    <definedName name="K31.2.11.1">POA!$N$450</definedName>
    <definedName name="K31.2.11.1_TA6">POA!$T$450:$T$458</definedName>
    <definedName name="K31.2.11.2">POA!$N$459</definedName>
    <definedName name="K31.2.11.2_TA6">POA!$T$459:$T$467</definedName>
    <definedName name="K31.2.12">SubAccion!$A$36</definedName>
    <definedName name="K31.2.12.1">POA!$N$468:$N$469</definedName>
    <definedName name="K31.2.12.1_TA1">POA!$T$468:$T$477</definedName>
    <definedName name="K31.2.12.1_TA2">POA!$T$478:$T$481</definedName>
    <definedName name="K31.2.12.2">POA!$N$482</definedName>
    <definedName name="K31.2.12.2_TA6">POA!$T$482:$T$490</definedName>
    <definedName name="K31.2.12.3">POA!$N$491:$N$493</definedName>
    <definedName name="K31.2.12.3_TA1">POA!$T$491:$T$500</definedName>
    <definedName name="K31.2.12.3_TA2">POA!$T$501:$T$513</definedName>
    <definedName name="K31.2.13">SubAccion!$A$24</definedName>
    <definedName name="K31.2.13.1">POA!$N$514</definedName>
    <definedName name="K31.2.13.1_TA9">POA!$T$514:$T$528</definedName>
    <definedName name="K31.2.13.2">POA!$N$529</definedName>
    <definedName name="K31.2.13.2_TA9">POA!$T$529:$T$534</definedName>
    <definedName name="K31.2.14.1">POA!$N$535</definedName>
    <definedName name="K31.2.14.1_TA9">POA!$T$535:$T$536</definedName>
    <definedName name="K31.2.14.2">POA!$N$537</definedName>
    <definedName name="K31.2.14.2_TA9">POA!$T$537:$T$538</definedName>
    <definedName name="K31.2.15.1">POA!$N$539</definedName>
    <definedName name="K31.2.15.1_TA9">POA!$T$539:$T$540</definedName>
    <definedName name="K31.2.15.2">POA!$N$541</definedName>
    <definedName name="K31.2.15.2_TA9">POA!$T$541:$T$542</definedName>
    <definedName name="K31.2.16.1">POA!$N$543</definedName>
    <definedName name="K31.2.16.1_TA9">POA!$T$543:$T$548</definedName>
    <definedName name="K31.2.16.2">POA!$N$549</definedName>
    <definedName name="K31.2.16.2_TA9">POA!$T$549:$T$554</definedName>
    <definedName name="K31.2.17.1">POA!$N$555</definedName>
    <definedName name="K31.2.17.1_TA2">POA!$T$555:$T$558</definedName>
    <definedName name="K31.2.17.1_TA6">POA!$T$559:$T$567</definedName>
    <definedName name="K31.2.17.2">POA!$N$568</definedName>
    <definedName name="K31.2.17.2_TA2">POA!$T$568:$T$571</definedName>
    <definedName name="K31.2.17.2_TA6">POA!$T$572:$T$580</definedName>
    <definedName name="K31.2.18.1">POA!$N$581:$N$591</definedName>
    <definedName name="K31.2.18.1_TA1">POA!$T$581:$T$590</definedName>
    <definedName name="K31.2.18.1_TA10">POA!$T$640:$T$643</definedName>
    <definedName name="K31.2.18.1_TA11">POA!$T$648:$T$654</definedName>
    <definedName name="K31.2.18.1_TA2">POA!$T$591:$T$594</definedName>
    <definedName name="K31.2.18.1_TA3">POA!$T$595:$T$600</definedName>
    <definedName name="K31.2.18.1_TA4">POA!$T$601:$T$611</definedName>
    <definedName name="K31.2.18.1_TA5">POA!$T$612:$T$613</definedName>
    <definedName name="K31.2.18.1_TA6">POA!$T$614:$T$622</definedName>
    <definedName name="K31.2.18.1_TA7">POA!$T$644:$T$647</definedName>
    <definedName name="K31.2.18.1_TA8">POA!$T$623:$T$624</definedName>
    <definedName name="K31.2.18.1_TA9">POA!$T$625:$T$639</definedName>
    <definedName name="K31.2.18.2">POA!$N$655:$N$665</definedName>
    <definedName name="K31.2.18.2_TA1">POA!$T$655:$T$664</definedName>
    <definedName name="K31.2.18.2_TA10">POA!$T$714:$T$718</definedName>
    <definedName name="K31.2.18.2_TA11">POA!$T$723:$T$729</definedName>
    <definedName name="K31.2.18.2_TA2">POA!$T$665:$T$668</definedName>
    <definedName name="K31.2.18.2_TA3">POA!$T$669:$T$674</definedName>
    <definedName name="K31.2.18.2_TA4">POA!$T$675:$T$685</definedName>
    <definedName name="K31.2.18.2_TA5">POA!$T$686:$T$687</definedName>
    <definedName name="K31.2.18.2_TA6">POA!$T$688:$T$696</definedName>
    <definedName name="K31.2.18.2_TA7">POA!$T$719:$T$722</definedName>
    <definedName name="K31.2.18.2_TA8">POA!$T$697:$T$698</definedName>
    <definedName name="K31.2.18.2_TA9">POA!$T$699:$T$713</definedName>
    <definedName name="K31.2.18.3">POA!$N$730:$N$731</definedName>
    <definedName name="K31.2.18.3_TA12">POA!$T$730:$T$731</definedName>
    <definedName name="K31.2.18.3_TA13">POA!$T$732</definedName>
    <definedName name="K31.2.19.1">POA!$N$733:$N$743</definedName>
    <definedName name="K31.2.19.1_TA1">POA!$T$733:$T$742</definedName>
    <definedName name="K31.2.19.1_TA10">POA!$T$792:$T$796</definedName>
    <definedName name="K31.2.19.1_TA11">POA!$T$801:$T$807</definedName>
    <definedName name="K31.2.19.1_TA2">POA!$T$743:$T$746</definedName>
    <definedName name="K31.2.19.1_TA3">POA!$T$747:$T$752</definedName>
    <definedName name="K31.2.19.1_TA4">POA!$T$753:$T$763</definedName>
    <definedName name="K31.2.19.1_TA5">POA!$T$764:$T$765</definedName>
    <definedName name="K31.2.19.1_TA6">POA!$T$766:$T$774</definedName>
    <definedName name="K31.2.19.1_TA7">POA!$T$797:$T$800</definedName>
    <definedName name="K31.2.19.1_TA8">POA!$T$775:$T$776</definedName>
    <definedName name="K31.2.19.1_TA9">POA!$T$777:$T$791</definedName>
    <definedName name="K31.2.19.2">POA!$N$808:$N$818</definedName>
    <definedName name="K31.2.19.2_TA1">POA!$T$808:$T$817</definedName>
    <definedName name="K31.2.19.2_TA10">POA!$T$867:$T$871</definedName>
    <definedName name="K31.2.19.2_TA11">POA!$T$876:$T$882</definedName>
    <definedName name="K31.2.19.2_TA2">POA!$T$818:$T$821</definedName>
    <definedName name="K31.2.19.2_TA3">POA!$T$822:$T$827</definedName>
    <definedName name="K31.2.19.2_TA4">POA!$T$828:$T$838</definedName>
    <definedName name="K31.2.19.2_TA5">POA!$T$839:$T$840</definedName>
    <definedName name="K31.2.19.2_TA6">POA!$T$841:$T$849</definedName>
    <definedName name="K31.2.19.2_TA7">POA!$T$872:$T$875</definedName>
    <definedName name="K31.2.19.2_TA8">POA!$T$850:$T$851</definedName>
    <definedName name="K31.2.19.2_TA9">POA!$T$852:$T$866</definedName>
    <definedName name="K31.2.19.3">POA!$N$883:$N$884</definedName>
    <definedName name="K31.2.19.3_TA12">POA!$T$883:$T$884</definedName>
    <definedName name="K31.2.19.3_TA13">POA!$T$885</definedName>
    <definedName name="K31.2.2">SubAccion!$A$21</definedName>
    <definedName name="K31.2.2.1">POA!$N$268:$N$270</definedName>
    <definedName name="K31.2.2.1_TA2">POA!$T$268:$T$271</definedName>
    <definedName name="K31.2.2.1_TA6">POA!$T$272:$T$276</definedName>
    <definedName name="K31.2.2.1_TA7">POA!$T$277:$T$280</definedName>
    <definedName name="K31.2.2.2">POA!$N$281:$N$283</definedName>
    <definedName name="K31.2.2.2_TA2">POA!$T$281:$T$289</definedName>
    <definedName name="K31.2.2.2_TA7">POA!$T$290:$T$293</definedName>
    <definedName name="K31.2.2.3">POA!$N$294:$N$296</definedName>
    <definedName name="K31.2.2.3_TA2">POA!$T$294:$T$297</definedName>
    <definedName name="K31.2.2.3_TA6">POA!$T$298:$T$302</definedName>
    <definedName name="K31.2.2.3_TA7">POA!$T$303:$T$306</definedName>
    <definedName name="K31.2.2.4">POA!$N$307:$N$309</definedName>
    <definedName name="K31.2.2.4_TA2">POA!$T$307:$T$310</definedName>
    <definedName name="K31.2.2.4_TA6">POA!$T$311:$T$315</definedName>
    <definedName name="K31.2.2.4_TA7">POA!$T$316:$T$319</definedName>
    <definedName name="K31.2.2.5">POA!$N$320:$N$322</definedName>
    <definedName name="K31.2.2.5_TA2">POA!$T$320:$T$323</definedName>
    <definedName name="K31.2.2.5_TA6">POA!$T$324:$T$328</definedName>
    <definedName name="K31.2.2.5_TA7">POA!$T$329:$T$332</definedName>
    <definedName name="K31.2.20.1">POA!$N$886</definedName>
    <definedName name="K31.2.20.1_TA9">POA!$T$886:$T$900</definedName>
    <definedName name="K31.2.20.2">POA!$N$901</definedName>
    <definedName name="K31.2.20.2_TA9">POA!$T$901:$T$915</definedName>
    <definedName name="K31.2.3">SubAccion!$A$22</definedName>
    <definedName name="K31.2.3.1">POA!$N$333:$N$335</definedName>
    <definedName name="K31.2.3.1_TA1">POA!$T$333:$T$342</definedName>
    <definedName name="K31.2.3.1_TA3">POA!$T$343:$T$346</definedName>
    <definedName name="K31.2.3.1_TA6">POA!$T$347:$T$354</definedName>
    <definedName name="K31.2.3.2">POA!$N$355:$N$356</definedName>
    <definedName name="K31.2.3.2_TA1">POA!$T$355:$T$364</definedName>
    <definedName name="K31.2.3.2_TA6">POA!$T$365:$T$372</definedName>
    <definedName name="K31.2.4">SubAccion!$A$23</definedName>
    <definedName name="K31.2.4.1">POA!$N$373</definedName>
    <definedName name="K31.2.4.1_TA6">POA!$T$373:$T$380</definedName>
    <definedName name="K31.2.4.2">POA!$N$381</definedName>
    <definedName name="K31.2.4.2_TA6">POA!$T$381:$T$389</definedName>
    <definedName name="K31.2.5">SubAccion!$A$25</definedName>
    <definedName name="K31.2.5.1">POA!$N$390</definedName>
    <definedName name="K31.2.5.1_TA8">POA!$T$390:$T$391</definedName>
    <definedName name="K31.2.5.2">POA!$N$392</definedName>
    <definedName name="K31.2.5.2_TA8">POA!$T$392:$T$393</definedName>
    <definedName name="K31.2.6">SubAccion!$A$26</definedName>
    <definedName name="K31.2.6.1">POA!$N$394</definedName>
    <definedName name="K31.2.6.1_TA3">POA!$T$394:$T$399</definedName>
    <definedName name="K31.2.6.2">POA!$N$400</definedName>
    <definedName name="K31.2.6.2_TA3">POA!$T$400:$T$405</definedName>
    <definedName name="K31.2.7">SubAccion!$A$27:$A$30</definedName>
    <definedName name="K31.2.7.1">POA!$N$406</definedName>
    <definedName name="K31.2.7.1_TA5">POA!$T$406:$T$407</definedName>
    <definedName name="K31.2.7.1_TA9">POA!$T$408</definedName>
    <definedName name="K31.2.8">SubAccion!$A$31</definedName>
    <definedName name="K31.2.8.1">POA!$N$409</definedName>
    <definedName name="K31.2.8.1_TA5">POA!$T$409:$T$410</definedName>
    <definedName name="K31.2.8.2">POA!$N$411</definedName>
    <definedName name="K31.2.8.2_TA5">POA!$T$411:$T$412</definedName>
    <definedName name="K31.2.9">SubAccion!$A$32</definedName>
    <definedName name="K31.2.9.1">POA!$N$413:$N$414</definedName>
    <definedName name="K31.2.9.1_TA1">POA!$T$413:$T$422</definedName>
    <definedName name="K31.2.9.1_TA6">POA!$T$423:$T$430</definedName>
    <definedName name="K31.3">AccionEspecifica!$A$20:$A$33</definedName>
    <definedName name="K31.3.1">SubAccion!$A$37:$A$38</definedName>
    <definedName name="K31.3.1.1">POA!$N$916</definedName>
    <definedName name="K31.3.1.1_TA6">POA!$T$916:$T$924</definedName>
    <definedName name="K31.3.10">SubAccion!$A$54:$A$55</definedName>
    <definedName name="K31.3.11">SubAccion!$A$56:$A$57</definedName>
    <definedName name="K31.3.12">SubAccion!$A$58:$A$59</definedName>
    <definedName name="K31.3.13">SubAccion!$A$60:$A$61</definedName>
    <definedName name="K31.3.14">SubAccion!$A$62:$A$64</definedName>
    <definedName name="K31.3.2">SubAccion!$A$39:$A$40</definedName>
    <definedName name="K31.3.2.1">POA!$N$925:$N$926</definedName>
    <definedName name="K31.3.2.1_TA10">POA!$T$925:$T$929</definedName>
    <definedName name="K31.3.2.1_TA11">POA!$T$930:$T$936</definedName>
    <definedName name="K31.3.3">SubAccion!$A$41:$A$42</definedName>
    <definedName name="K31.3.3.1">POA!$N$937</definedName>
    <definedName name="K31.3.3.1_TA6">POA!$T$937:$T$944</definedName>
    <definedName name="K31.3.4">SubAccion!$A$43</definedName>
    <definedName name="K31.3.4.1">POA!$N$945:$N$948</definedName>
    <definedName name="K31.3.4.1_TA5">POA!$T$945:$T$946</definedName>
    <definedName name="K31.3.4.1_TA6">POA!$T$947:$T$953</definedName>
    <definedName name="K31.3.4.1_TA8">POA!$T$954</definedName>
    <definedName name="K31.3.4.1_TA9">POA!$T$955</definedName>
    <definedName name="K31.3.5">SubAccion!$A$44:$A$45</definedName>
    <definedName name="K31.3.5.1">POA!$N$956:$N$958</definedName>
    <definedName name="K31.3.5.1_TA5">POA!$T$956:$T$957</definedName>
    <definedName name="K31.3.5.1_TA6">POA!$T$958:$T$964</definedName>
    <definedName name="K31.3.5.1_TA8">POA!$T$965:$T$966</definedName>
    <definedName name="K31.3.6">SubAccion!$A$46</definedName>
    <definedName name="K31.3.6.1">POA!$N$967:$N$969</definedName>
    <definedName name="K31.3.6.1_TA10">POA!$T$976:$T$980</definedName>
    <definedName name="K31.3.6.1_TA11">POA!$T$981:$T$987</definedName>
    <definedName name="K31.3.6.1_TA6">POA!$T$967:$T$975</definedName>
    <definedName name="K31.3.7">SubAccion!$A$47:$A$48</definedName>
    <definedName name="K31.3.7.1">POA!$N$988:$N$989</definedName>
    <definedName name="K31.3.7.1_TA10">POA!$T$997:$T$1001</definedName>
    <definedName name="K31.3.7.1_TA6">POA!$T$988:$T$996</definedName>
    <definedName name="K31.3.7.2">POA!$N$1002:$N$1004</definedName>
    <definedName name="K31.3.7.2_TA10">POA!$T$1013:$T$1017</definedName>
    <definedName name="K31.3.7.2_TA5">POA!$T$1002:$T$1003</definedName>
    <definedName name="K31.3.7.2_TA6">POA!$T$1004:$T$1012</definedName>
    <definedName name="K31.3.7.3">POA!$N$1621</definedName>
    <definedName name="K31.3.7.3_TA14">POA!$T$1620</definedName>
    <definedName name="K31.3.7.3_TA15">POA!$T$1621</definedName>
    <definedName name="K31.3.8">SubAccion!$A$49:$A$51</definedName>
    <definedName name="K31.3.9">SubAccion!$A$52:$A$53</definedName>
    <definedName name="K31.4">AccionEspecifica!$A$34:$A$41</definedName>
    <definedName name="K31.4.1">SubAccion!$A$65</definedName>
    <definedName name="K31.4.1.1">POA!$N$1018:$N$1028</definedName>
    <definedName name="K31.4.1.1_TA1">POA!$T$1018:$T$1027</definedName>
    <definedName name="K31.4.1.1_TA10">POA!$T$1077:$T$1081</definedName>
    <definedName name="K31.4.1.1_TA11">POA!$T$1086:$T$1092</definedName>
    <definedName name="K31.4.1.1_TA2">POA!$T$1028:$T$1031</definedName>
    <definedName name="K31.4.1.1_TA3">POA!$T$1032:$T$1037</definedName>
    <definedName name="K31.4.1.1_TA4">POA!$T$1038:$T$1048</definedName>
    <definedName name="K31.4.1.1_TA5">POA!$T$1049:$T$1050</definedName>
    <definedName name="K31.4.1.1_TA6">POA!$T$1051:$T$1059</definedName>
    <definedName name="K31.4.1.1_TA7">POA!$T$1082:$T$1085</definedName>
    <definedName name="K31.4.1.1_TA8">POA!$T$1060:$T$1061</definedName>
    <definedName name="K31.4.1.1_TA9">POA!$T$1062:$T$1076</definedName>
    <definedName name="K31.4.1.2">POA!$N$1093:$N$1103</definedName>
    <definedName name="K31.4.1.2_TA1">POA!$T$1093:$T$1102</definedName>
    <definedName name="K31.4.1.2_TA10">POA!$T$1152:$T$1156</definedName>
    <definedName name="K31.4.1.2_TA11">POA!$T$1161:$T$1167</definedName>
    <definedName name="K31.4.1.2_TA2">POA!$T$1103:$T$1106</definedName>
    <definedName name="K31.4.1.2_TA3">POA!$T$1107:$T$1112</definedName>
    <definedName name="K31.4.1.2_TA4">POA!$T$1113:$T$1123</definedName>
    <definedName name="K31.4.1.2_TA5">POA!$T$1124:$T$1125</definedName>
    <definedName name="K31.4.1.2_TA6">POA!$T$1126:$T$1134</definedName>
    <definedName name="K31.4.1.2_TA7">POA!$T$1157:$T$1160</definedName>
    <definedName name="K31.4.1.2_TA8">POA!$T$1135:$T$1136</definedName>
    <definedName name="K31.4.1.2_TA9">POA!$T$1137:$T$1151</definedName>
    <definedName name="K31.4.1.3">POA!$N$1168:$N$1178</definedName>
    <definedName name="K31.4.1.3_TA1">POA!$T$1168:$T$1177</definedName>
    <definedName name="K31.4.1.3_TA10">POA!$T$1227:$T$1231</definedName>
    <definedName name="K31.4.1.3_TA11">POA!$T$1236:$T$1242</definedName>
    <definedName name="K31.4.1.3_TA2">POA!$T$1178:$T$1181</definedName>
    <definedName name="K31.4.1.3_TA3">POA!$T$1182:$T$1187</definedName>
    <definedName name="K31.4.1.3_TA4">POA!$T$1188:$T$1198</definedName>
    <definedName name="K31.4.1.3_TA5">POA!$T$1199:$T$1200</definedName>
    <definedName name="K31.4.1.3_TA6">POA!$T$1201:$T$1209</definedName>
    <definedName name="K31.4.1.3_TA7">POA!$T$1232:$T$1235</definedName>
    <definedName name="K31.4.1.3_TA8">POA!$T$1210:$T$1211</definedName>
    <definedName name="K31.4.1.3_TA9">POA!$T$1212:$T$1226</definedName>
    <definedName name="K31.4.1.4">POA!$N$1243:$N$1253</definedName>
    <definedName name="K31.4.1.4_TA1">POA!$T$1243:$T$1252</definedName>
    <definedName name="K31.4.1.4_TA10">POA!$T$1302:$T$1306</definedName>
    <definedName name="K31.4.1.4_TA11">POA!$T$1311:$T$1317</definedName>
    <definedName name="K31.4.1.4_TA2">POA!$T$1253:$T$1256</definedName>
    <definedName name="K31.4.1.4_TA3">POA!$T$1257:$T$1262</definedName>
    <definedName name="K31.4.1.4_TA4">POA!$T$1263:$T$1273</definedName>
    <definedName name="K31.4.1.4_TA5">POA!$T$1274:$T$1275</definedName>
    <definedName name="K31.4.1.4_TA6">POA!$T$1276:$T$1284</definedName>
    <definedName name="K31.4.1.4_TA7">POA!$T$1307:$T$1310</definedName>
    <definedName name="K31.4.1.4_TA8">POA!$T$1285:$T$1286</definedName>
    <definedName name="K31.4.1.4_TA9">POA!$T$1287:$T$1301</definedName>
    <definedName name="K31.4.1.5">POA!$N$1318:$N$1328</definedName>
    <definedName name="K31.4.1.5_TA1">POA!$T$1318:$T$1327</definedName>
    <definedName name="K31.4.1.5_TA10">POA!$T$1377:$T$1381</definedName>
    <definedName name="K31.4.1.5_TA11">POA!$T$1386:$T$1392</definedName>
    <definedName name="K31.4.1.5_TA2">POA!$T$1328:$T$1331</definedName>
    <definedName name="K31.4.1.5_TA3">POA!$T$1332:$T$1337</definedName>
    <definedName name="K31.4.1.5_TA4">POA!$T$1338:$T$1348</definedName>
    <definedName name="K31.4.1.5_TA5">POA!$T$1349:$T$1350</definedName>
    <definedName name="K31.4.1.5_TA6">POA!$T$1351:$T$1359</definedName>
    <definedName name="K31.4.1.5_TA7">POA!$T$1382:$T$1385</definedName>
    <definedName name="K31.4.1.5_TA8">POA!$T$1360:$T$1361</definedName>
    <definedName name="K31.4.1.5_TA9">POA!$T$1362:$T$1376</definedName>
    <definedName name="K31.4.1.6">POA!$N$1393:$N$1395</definedName>
    <definedName name="K31.4.1.6_TA1">POA!$T$1393:$T$1402</definedName>
    <definedName name="K31.4.1.6_TA2">POA!$T$1403:$T$1415</definedName>
    <definedName name="K31.4.2">SubAccion!$A$66</definedName>
    <definedName name="K31.4.2.1">POA!$N$1416</definedName>
    <definedName name="K31.4.2.1_TA9">POA!$T$1416:$T$1417</definedName>
    <definedName name="K31.4.3">SubAccion!$A$67</definedName>
    <definedName name="K31.4.3.1">POA!$N$1418</definedName>
    <definedName name="K31.4.3.1_TA8">POA!$T$1418:$T$1419</definedName>
    <definedName name="K31.4.3.2">POA!$N$1420</definedName>
    <definedName name="K31.4.3.2_TA8">POA!$T$1420:$T$1421</definedName>
    <definedName name="K31.4.4">SubAccion!$A$68</definedName>
    <definedName name="K31.4.4.1">POA!$N$1422:$N$1426</definedName>
    <definedName name="K31.4.4.1_TA3">POA!$T$1422:$T$1427</definedName>
    <definedName name="K31.4.4.1_TA4">POA!$T$1428:$T$1438</definedName>
    <definedName name="K31.4.4.1_TA6">POA!$T$1439:$T$1445</definedName>
    <definedName name="K31.4.4.1_TA8">POA!$T$1446:$T$1447</definedName>
    <definedName name="K31.4.4.1_TA9">POA!$T$1448:$T$1462</definedName>
    <definedName name="K31.4.4.2">POA!$N$1463:$N$1467</definedName>
    <definedName name="K31.4.4.2_TA3">POA!$T$1463:$T$1468</definedName>
    <definedName name="K31.4.4.2_TA4">POA!$T$1469:$T$1479</definedName>
    <definedName name="K31.4.4.2_TA6">POA!$T$1480:$T$1486</definedName>
    <definedName name="K31.4.4.2_TA8">POA!$T$1487:$T$1488</definedName>
    <definedName name="K31.4.4.2_TA9">POA!$T$1489:$T$1503</definedName>
    <definedName name="K31.4.4.3">POA!$N$1504:$N$1505</definedName>
    <definedName name="K31.4.4.3_TA3">POA!$T$1504:$T$1509</definedName>
    <definedName name="K31.4.4.3_TA4">POA!$T$1510:$T$1520</definedName>
    <definedName name="K31.4.4.4">POA!$N$1521:$N$1522</definedName>
    <definedName name="K31.4.4.4_TA8">POA!$T$1521:$T$1522</definedName>
    <definedName name="K31.4.4.4_TA9">POA!$T$1523:$T$1537</definedName>
    <definedName name="K31.4.4.5">POA!$N$1538:$N$1542</definedName>
    <definedName name="K31.4.4.5_TA3">POA!$T$1538:$T$1543</definedName>
    <definedName name="K31.4.4.5_TA4">POA!$T$1544:$T$1554</definedName>
    <definedName name="K31.4.4.5_TA6">POA!$T$1555:$T$1561</definedName>
    <definedName name="K31.4.4.5_TA8">POA!$T$1562:$T$1563</definedName>
    <definedName name="K31.4.4.5_TA9">POA!$T$1564:$T$1578</definedName>
    <definedName name="K31.4.4.6">POA!$N$1579:$N$1583</definedName>
    <definedName name="K31.4.4.6_TA3">POA!$T$1579:$T$1584</definedName>
    <definedName name="K31.4.4.6_TA4">POA!$T$1585:$T$1595</definedName>
    <definedName name="K31.4.4.6_TA6">POA!$T$1596:$T$1602</definedName>
    <definedName name="K31.4.4.6_TA8">POA!$T$1603:$T$1604</definedName>
    <definedName name="K31.4.4.6_TA9">POA!$T$1605:$T$1619</definedName>
    <definedName name="K31.4.5">SubAccion!$A$69</definedName>
    <definedName name="K31.4.6">SubAccion!$A$70</definedName>
    <definedName name="K31.4.7">SubAccion!$A$71:$A$72</definedName>
    <definedName name="K31.4.8">SubAccion!$A$73</definedName>
    <definedName name="K31.4.8_TA14">ActividadAgente!$G$16</definedName>
    <definedName name="KIN_1">Base!$I$7:$I$16</definedName>
    <definedName name="KIN_2">Base!$I$42:$I$48</definedName>
    <definedName name="KIN_3">Base!$I$58:$I$78</definedName>
    <definedName name="KIN_4">Base!$I$134:$I$137</definedName>
    <definedName name="KIN_5">Base!$I$224:$I$225</definedName>
    <definedName name="KIN_6">Base!$I$239</definedName>
    <definedName name="KKIN_1">Base!$M$7</definedName>
    <definedName name="KKIN_10">Base!$M$40</definedName>
    <definedName name="KKIN_12">Base!$M$42:$M$43</definedName>
    <definedName name="KKIN_13">Base!$M$47</definedName>
    <definedName name="KKIN_14">Base!$M$51</definedName>
    <definedName name="KKIN_16">Base!$M$54</definedName>
    <definedName name="KKIN_17">Base!$M$55</definedName>
    <definedName name="KKIN_18">Base!$M$57</definedName>
    <definedName name="KKIN_19">Base!$M$58</definedName>
    <definedName name="KKIN_2">Base!$M$10</definedName>
    <definedName name="KKIN_20">Base!$M$65:$M$66</definedName>
    <definedName name="KKIN_21">Base!$M$71:$M$75</definedName>
    <definedName name="KKIN_22">Base!$M$77:$M$78</definedName>
    <definedName name="KKIN_23">Base!$M$83</definedName>
    <definedName name="KKIN_24">Base!$M$86</definedName>
    <definedName name="KKIN_25">Base!$M$94</definedName>
    <definedName name="KKIN_26">Base!$M$97</definedName>
    <definedName name="KKIN_27">Base!$M$101</definedName>
    <definedName name="KKIN_28">Base!$M$108</definedName>
    <definedName name="KKIN_29">Base!$M$116</definedName>
    <definedName name="KKIN_3">Base!$M$18</definedName>
    <definedName name="KKIN_30">Base!$M$117</definedName>
    <definedName name="KKIN_31">Base!$M$118:$M$119</definedName>
    <definedName name="KKIN_32">Base!$M$120</definedName>
    <definedName name="KKIN_33">Base!$M$121</definedName>
    <definedName name="KKIN_34">Base!$M$128</definedName>
    <definedName name="KKIN_35">Base!$M$129</definedName>
    <definedName name="KKIN_36">Base!$M$130</definedName>
    <definedName name="KKIN_37">Base!$M$131</definedName>
    <definedName name="KKIN_38">Base!$M$132</definedName>
    <definedName name="KKIN_39">Base!$M$133</definedName>
    <definedName name="KKIN_4">Base!$M$21</definedName>
    <definedName name="KKIN_40">Base!$M$134:$M$139</definedName>
    <definedName name="KKIN_41">Base!$M$176:$M$181</definedName>
    <definedName name="KKIN_42">Base!$M$218:$M$220</definedName>
    <definedName name="KKIN_45">Base!$M$224</definedName>
    <definedName name="KKIN_46">Base!$M$232</definedName>
    <definedName name="KKIN_47">Base!$M$239</definedName>
    <definedName name="KKIN_5">Base!$M$29</definedName>
    <definedName name="KKIN_6">Base!$M$30:$M$32</definedName>
    <definedName name="KKIN_7">Base!$M$33</definedName>
    <definedName name="KKIN_8">Base!$M$35</definedName>
    <definedName name="KKIN_9">Base!$M$36</definedName>
    <definedName name="KKKIN_1">Base!$P$7:$P$9</definedName>
    <definedName name="KKKIN_10">Base!$P$33:$P$34</definedName>
    <definedName name="KKKIN_11">Base!$P$35</definedName>
    <definedName name="KKKIN_12">Base!$P$36:$P$39</definedName>
    <definedName name="KKKIN_13">Base!$P$40:$P$41</definedName>
    <definedName name="KKKIN_14">Base!$P$42:$P$43</definedName>
    <definedName name="KKKIN_15">Base!$P$45</definedName>
    <definedName name="KKKIN_16">Base!$P$47:$P$50</definedName>
    <definedName name="KKKIN_17">Base!$P$51:$P$53</definedName>
    <definedName name="KKKIN_18">Base!$P$54</definedName>
    <definedName name="KKKIN_19">Base!$P$55:$P$56</definedName>
    <definedName name="KKKIN_2">Base!$P$10:$P$17</definedName>
    <definedName name="KKKIN_20">Base!$P$57</definedName>
    <definedName name="KKKIN_21">Base!$P$58:$P$64</definedName>
    <definedName name="KKKIN_22">Base!$P$65:$P$67</definedName>
    <definedName name="KKKIN_23">Base!$P$68:$P$70</definedName>
    <definedName name="KKKIN_24">Base!$P$71</definedName>
    <definedName name="KKKIN_25">Base!$P$72</definedName>
    <definedName name="KKKIN_26">Base!$P$73</definedName>
    <definedName name="KKKIN_27">Base!$P$74:$P$75</definedName>
    <definedName name="KKKIN_28">Base!$P$76</definedName>
    <definedName name="KKKIN_29">Base!$P$77:$P$80</definedName>
    <definedName name="KKKIN_3">Base!$P$18:$P$20</definedName>
    <definedName name="KKKIN_30">Base!$P$81:$P$82</definedName>
    <definedName name="KKKIN_31">Base!$P$83:$P$85</definedName>
    <definedName name="KKKIN_32">Base!$P$86:$P$93</definedName>
    <definedName name="KKKIN_33">Base!$P$94:$P$96</definedName>
    <definedName name="KKKIN_34">Base!$P$97:$P$100</definedName>
    <definedName name="KKKIN_35">Base!$P$101:$P$107</definedName>
    <definedName name="KKKIN_36">Base!$P$108:$P$115</definedName>
    <definedName name="KKKIN_37">Base!$P$116</definedName>
    <definedName name="KKKIN_38">Base!$P$117</definedName>
    <definedName name="KKKIN_39">Base!$P$118</definedName>
    <definedName name="KKKIN_4">Base!$P$21:$P$28</definedName>
    <definedName name="KKKIN_40">Base!$P$119</definedName>
    <definedName name="KKKIN_41">Base!$P$120</definedName>
    <definedName name="KKKIN_42">Base!$P$121:$P$127</definedName>
    <definedName name="KKKIN_43">Base!$P$128</definedName>
    <definedName name="KKKIN_44">Base!$P$129</definedName>
    <definedName name="KKKIN_45">Base!$P$130</definedName>
    <definedName name="KKKIN_46">Base!$P$131</definedName>
    <definedName name="KKKIN_47">Base!$P$132</definedName>
    <definedName name="KKKIN_48">Base!$P$133</definedName>
    <definedName name="KKKIN_49">Base!$P$134:$P$140</definedName>
    <definedName name="KKKIN_5">Base!$P$29</definedName>
    <definedName name="KKKIN_50">Base!$P$141:$P$147</definedName>
    <definedName name="KKKIN_51">Base!$P$148:$P$154</definedName>
    <definedName name="KKKIN_52">Base!$P$155:$P$161</definedName>
    <definedName name="KKKIN_53">Base!$P$162:$P$168</definedName>
    <definedName name="KKKIN_54">Base!$P$169:$P$175</definedName>
    <definedName name="KKKIN_55">Base!$P$176:$P$182</definedName>
    <definedName name="KKKIN_56">Base!$P$183:$P$189</definedName>
    <definedName name="KKKIN_57">Base!$P$190:$P$196</definedName>
    <definedName name="KKKIN_58">Base!$P$197:$P$203</definedName>
    <definedName name="KKKIN_59">Base!$P$204:$P$210</definedName>
    <definedName name="KKKIN_60">Base!$P$211:$P$217</definedName>
    <definedName name="KKKIN_61">Base!$P$218:$P$221</definedName>
    <definedName name="KKKIN_62">Base!$P$222</definedName>
    <definedName name="KKKIN_63">Base!$P$223</definedName>
    <definedName name="KKKIN_64">Base!$P$224:$P$231</definedName>
    <definedName name="KKKIN_65">Base!$P$232:$P$238</definedName>
    <definedName name="KKKIN_66">Base!$P$239:$P$241</definedName>
    <definedName name="KKKIN_7">Base!$P$30</definedName>
    <definedName name="KKKIN_8">Base!$P$31</definedName>
    <definedName name="KKKIN_9">Base!$P$32</definedName>
    <definedName name="La_Libertad" localSheetId="7">'Lista de Empresas Supervisoras'!$F$107:$F$114</definedName>
    <definedName name="Lambayeque" localSheetId="7">'Lista de Empresas Supervisoras'!$F$115:$F$123</definedName>
    <definedName name="Lima_Norte" localSheetId="7">'Lista de Empresas Supervisoras'!$F$124:$F$134</definedName>
    <definedName name="Lima_Sur" localSheetId="7">'Lista de Empresas Supervisoras'!$F$135:$F$146</definedName>
    <definedName name="LIST_EMP">Parametros!$S$3:$S$19</definedName>
    <definedName name="LOC_1">Base!$AJ$7:$AJ$27</definedName>
    <definedName name="LOC_10">Base!$AJ$107:$AJ$112</definedName>
    <definedName name="LOC_100">Base!$AJ$1021:$AJ$1028</definedName>
    <definedName name="LOC_101">Base!$AJ$1029:$AJ$1056</definedName>
    <definedName name="LOC_102">Base!$AJ$1057:$AJ$1071</definedName>
    <definedName name="LOC_103">Base!$AJ$1072:$AJ$1077</definedName>
    <definedName name="LOC_104">Base!$AJ$1078:$AJ$1111</definedName>
    <definedName name="LOC_105">Base!$AJ$1112:$AJ$1115</definedName>
    <definedName name="LOC_106">Base!$AJ$1116:$AJ$1124</definedName>
    <definedName name="LOC_107">Base!$AJ$1125:$AJ$1133</definedName>
    <definedName name="LOC_108">Base!$AJ$1134:$AJ$1143</definedName>
    <definedName name="LOC_109">Base!$AJ$1144:$AJ$1152</definedName>
    <definedName name="LOC_11">Base!$AJ$113:$AJ$114</definedName>
    <definedName name="LOC_110">Base!$AJ$1153:$AJ$1163</definedName>
    <definedName name="LOC_111">Base!$AJ$1164:$AJ$1171</definedName>
    <definedName name="LOC_112">Base!$AJ$1172:$AJ$1177</definedName>
    <definedName name="LOC_113">Base!$AJ$1178:$AJ$1180</definedName>
    <definedName name="LOC_114">Base!$AJ$1181:$AJ$1184</definedName>
    <definedName name="LOC_115">Base!$AJ$1185:$AJ$1194</definedName>
    <definedName name="LOC_116">Base!$AJ$1195:$AJ$1199</definedName>
    <definedName name="LOC_117">Base!$AJ$1200:$AJ$1212</definedName>
    <definedName name="LOC_118">Base!$AJ$1213:$AJ$1220</definedName>
    <definedName name="LOC_119">Base!$AJ$1221:$AJ$1228</definedName>
    <definedName name="LOC_12">Base!$AJ$115:$AJ$129</definedName>
    <definedName name="LOC_120">Base!$AJ$1229:$AJ$1232</definedName>
    <definedName name="LOC_121">Base!$AJ$1233:$AJ$1235</definedName>
    <definedName name="LOC_122">Base!$AJ$1236:$AJ$1255</definedName>
    <definedName name="LOC_123">Base!$AJ$1256:$AJ$1261</definedName>
    <definedName name="LOC_124">Base!$AJ$1262:$AJ$1273</definedName>
    <definedName name="LOC_1241">Base!$AJ$1274:$AJ$1279</definedName>
    <definedName name="LOC_1242">Base!$AJ$1280:$AJ$1286</definedName>
    <definedName name="LOC_1243">Base!$AJ$1287:$AJ$1289</definedName>
    <definedName name="LOC_1244">Base!$AJ$1290:$AJ$1291</definedName>
    <definedName name="LOC_125">Base!$AJ$1292:$AJ$1302</definedName>
    <definedName name="LOC_126">Base!$AJ$1303:$AJ$1308</definedName>
    <definedName name="LOC_127">Base!$AJ$1309:$AJ$1313</definedName>
    <definedName name="LOC_128">Base!$AJ$1314:$AJ$1317</definedName>
    <definedName name="LOC_129">Base!$AJ$1318:$AJ$1328</definedName>
    <definedName name="LOC_13">Base!$AJ$130:$AJ$140</definedName>
    <definedName name="LOC_130">Base!$AJ$1329:$AJ$1334</definedName>
    <definedName name="LOC_131">Base!$AJ$1335:$AJ$1340</definedName>
    <definedName name="LOC_132">Base!$AJ$1341:$AJ$1344</definedName>
    <definedName name="LOC_133">Base!$AJ$1345:$AJ$1348</definedName>
    <definedName name="LOC_134">Base!$AJ$1349:$AJ$1352</definedName>
    <definedName name="LOC_135">Base!$AJ$1353:$AJ$1355</definedName>
    <definedName name="LOC_136">Base!$AJ$1356:$AJ$1361</definedName>
    <definedName name="LOC_137">Base!$AJ$1362:$AJ$1372</definedName>
    <definedName name="LOC_138">Base!$AJ$1373:$AJ$1375</definedName>
    <definedName name="LOC_139">Base!$AJ$1376:$AJ$1388</definedName>
    <definedName name="LOC_14">Base!$AJ$141:$AJ$143</definedName>
    <definedName name="LOC_140">Base!$AJ$1389:$AJ$1396</definedName>
    <definedName name="LOC_141">Base!$AJ$1397:$AJ$1404</definedName>
    <definedName name="LOC_142">Base!$AJ$1405:$AJ$1414</definedName>
    <definedName name="LOC_143">Base!$AJ$1415:$AJ$1424</definedName>
    <definedName name="LOC_144">Base!$AJ$1425:$AJ$1432</definedName>
    <definedName name="LOC_145">Base!$AJ$1433:$AJ$1442</definedName>
    <definedName name="LOC_146">Base!$AJ$1443:$AJ$1449</definedName>
    <definedName name="LOC_147">Base!$AJ$1450:$AJ$1457</definedName>
    <definedName name="LOC_148">Base!$AJ$1458:$AJ$1463</definedName>
    <definedName name="LOC_149">Base!$AJ$1464:$AJ$1469</definedName>
    <definedName name="LOC_15">Base!$AJ$144:$AJ$147</definedName>
    <definedName name="LOC_150">Base!$AJ$1470:$AJ$1484</definedName>
    <definedName name="LOC_151">Base!$AJ$1485:$AJ$1499</definedName>
    <definedName name="LOC_152">Base!$AJ$1500:$AJ$1509</definedName>
    <definedName name="LOC_153">Base!$AJ$1510:$AJ$1516</definedName>
    <definedName name="LOC_154">Base!$AJ$1517:$AJ$1521</definedName>
    <definedName name="LOC_155">Base!$AJ$1522:$AJ$1529</definedName>
    <definedName name="LOC_156">Base!$AJ$1530:$AJ$1539</definedName>
    <definedName name="LOC_157">Base!$AJ$1540:$AJ$1548</definedName>
    <definedName name="LOC_158">Base!$AJ$1549:$AJ$1552</definedName>
    <definedName name="LOC_159">Base!$AJ$1553:$AJ$1557</definedName>
    <definedName name="LOC_16">Base!$AJ$148:$AJ$154</definedName>
    <definedName name="LOC_160">Base!$AJ$1558:$AJ$1561</definedName>
    <definedName name="LOC_161">Base!$AJ$1562:$AJ$1571</definedName>
    <definedName name="LOC_162">Base!$AJ$1572:$AJ$1578</definedName>
    <definedName name="LOC_163">Base!$AJ$1579:$AJ$1584</definedName>
    <definedName name="LOC_164">Base!$AJ$1585:$AJ$1590</definedName>
    <definedName name="LOC_165">Base!$AJ$1591:$AJ$1595</definedName>
    <definedName name="LOC_166">Base!$AJ$1596:$AJ$1601</definedName>
    <definedName name="LOC_167">Base!$AJ$1602:$AJ$1612</definedName>
    <definedName name="LOC_168">Base!$AJ$1613:$AJ$1617</definedName>
    <definedName name="LOC_169">Base!$AJ$1618:$AJ$1627</definedName>
    <definedName name="LOC_17">Base!$AJ$155:$AJ$170</definedName>
    <definedName name="LOC_170">Base!$AJ$1628:$AJ$1636</definedName>
    <definedName name="LOC_171">Base!$AJ$1637:$AJ$1650</definedName>
    <definedName name="LOC_172">Base!$AJ$1651:$AJ$1655</definedName>
    <definedName name="LOC_173">Base!$AJ$1656:$AJ$1666</definedName>
    <definedName name="LOC_174">Base!$AJ$1667:$AJ$1672</definedName>
    <definedName name="LOC_175">Base!$AJ$1673:$AJ$1675</definedName>
    <definedName name="LOC_176">Base!$AJ$1676:$AJ$1683</definedName>
    <definedName name="LOC_177">Base!$AJ$1684:$AJ$1689</definedName>
    <definedName name="LOC_178">Base!$AJ$1690:$AJ$1692</definedName>
    <definedName name="LOC_179">Base!$AJ$1693:$AJ$1696</definedName>
    <definedName name="LOC_18">Base!$AJ$171:$AJ$175</definedName>
    <definedName name="LOC_180">Base!$AJ$1697:$AJ$1703</definedName>
    <definedName name="LOC_181">Base!$AJ$1704:$AJ$1707</definedName>
    <definedName name="LOC_182">Base!$AJ$1708:$AJ$1712</definedName>
    <definedName name="LOC_183">Base!$AJ$1713</definedName>
    <definedName name="LOC_184">Base!$AJ$1714:$AJ$1720</definedName>
    <definedName name="LOC_185">Base!$AJ$1721:$AJ$1725</definedName>
    <definedName name="LOC_186">Base!$AJ$1726:$AJ$1732</definedName>
    <definedName name="LOC_187">Base!$AJ$1733:$AJ$1744</definedName>
    <definedName name="LOC_188">Base!$AJ$1745:$AJ$1756</definedName>
    <definedName name="LOC_189">Base!$AJ$1757:$AJ$1762</definedName>
    <definedName name="LOC_19">Base!$AJ$176:$AJ$185</definedName>
    <definedName name="LOC_190">Base!$AJ$1763:$AJ$1805</definedName>
    <definedName name="LOC_191">Base!$AJ$1806:$AJ$1810</definedName>
    <definedName name="LOC_1911">Base!$AJ$1811</definedName>
    <definedName name="LOC_1912">Base!$AJ$1812</definedName>
    <definedName name="LOC_1913">Base!$AJ$1813</definedName>
    <definedName name="LOC_192">Base!$AJ$1814:$AJ$1829</definedName>
    <definedName name="LOC_193">Base!$AJ$1830:$AJ$1861</definedName>
    <definedName name="LOC_194">Base!$AJ$1862:$AJ$1894</definedName>
    <definedName name="LOC_195">Base!$AJ$1895:$AJ$1937</definedName>
    <definedName name="LOC_2">Base!$AJ$28:$AJ$32</definedName>
    <definedName name="LOC_20">Base!$AJ$186:$AJ$193</definedName>
    <definedName name="LOC_21">Base!$AJ$194:$AJ$203</definedName>
    <definedName name="LOC_22">Base!$AJ$204:$AJ$214</definedName>
    <definedName name="LOC_23">Base!$AJ$215:$AJ$218</definedName>
    <definedName name="LOC_24">Base!$AJ$219:$AJ$228</definedName>
    <definedName name="LOC_25">Base!$AJ$229:$AJ$237</definedName>
    <definedName name="LOC_26">Base!$AJ$238:$AJ$247</definedName>
    <definedName name="LOC_27">Base!$AJ$248:$AJ$255</definedName>
    <definedName name="LOC_28">Base!$AJ$256:$AJ$264</definedName>
    <definedName name="LOC_29">Base!$AJ$265:$AJ$284</definedName>
    <definedName name="LOC_3">Base!$AJ$33:$AJ$44</definedName>
    <definedName name="LOC_30">Base!$AJ$285:$AJ$291</definedName>
    <definedName name="LOC_31">Base!$AJ$292:$AJ$308</definedName>
    <definedName name="LOC_32">Base!$AJ$309:$AJ$314</definedName>
    <definedName name="LOC_33">Base!$AJ$315:$AJ$324</definedName>
    <definedName name="LOC_34">Base!$AJ$325:$AJ$338</definedName>
    <definedName name="LOC_35">Base!$AJ$339:$AJ$367</definedName>
    <definedName name="LOC_36">Base!$AJ$368:$AJ$375</definedName>
    <definedName name="LOC_37">Base!$AJ$376:$AJ$388</definedName>
    <definedName name="LOC_38">Base!$AJ$389:$AJ$402</definedName>
    <definedName name="LOC_39">Base!$AJ$403:$AJ$422</definedName>
    <definedName name="LOC_4">Base!$AJ$45:$AJ$47</definedName>
    <definedName name="LOC_40">Base!$AJ$423:$AJ$430</definedName>
    <definedName name="LOC_41">Base!$AJ$431:$AJ$436</definedName>
    <definedName name="LOC_42">Base!$AJ$437:$AJ$447</definedName>
    <definedName name="LOC_43">Base!$AJ$448:$AJ$463</definedName>
    <definedName name="LOC_44">Base!$AJ$464:$AJ$469</definedName>
    <definedName name="LOC_45">Base!$AJ$470:$AJ$473</definedName>
    <definedName name="LOC_46">Base!$AJ$474:$AJ$485</definedName>
    <definedName name="LOC_47">Base!$AJ$486:$AJ$495</definedName>
    <definedName name="LOC_48">Base!$AJ$496:$AJ$516</definedName>
    <definedName name="LOC_49">Base!$AJ$517:$AJ$524</definedName>
    <definedName name="LOC_5">Base!$AJ$48:$AJ$70</definedName>
    <definedName name="LOC_50">Base!$AJ$525:$AJ$534</definedName>
    <definedName name="LOC_51">Base!$AJ$535:$AJ$545</definedName>
    <definedName name="LOC_52">Base!$AJ$546:$AJ$557</definedName>
    <definedName name="LOC_53">Base!$AJ$558:$AJ$565</definedName>
    <definedName name="LOC_531">Base!$AJ$566:$AJ$567</definedName>
    <definedName name="LOC_5311">Base!$AJ$568</definedName>
    <definedName name="LOC_54">Base!$AJ$569:$AJ$584</definedName>
    <definedName name="LOC_55">Base!$AJ$585:$AJ$596</definedName>
    <definedName name="LOC_56">Base!$AJ$597:$AJ$615</definedName>
    <definedName name="LOC_57">Base!$AJ$616:$AJ$623</definedName>
    <definedName name="LOC_58">Base!$AJ$624:$AJ$638</definedName>
    <definedName name="LOC_59">Base!$AJ$639:$AJ$641</definedName>
    <definedName name="LOC_6">Base!$AJ$71:$AJ$82</definedName>
    <definedName name="LOC_60">Base!$AJ$642:$AJ$653</definedName>
    <definedName name="LOC_61">Base!$AJ$654:$AJ$667</definedName>
    <definedName name="LOC_62">Base!$AJ$668:$AJ$680</definedName>
    <definedName name="LOC_63">Base!$AJ$681:$AJ$684</definedName>
    <definedName name="LOC_64">Base!$AJ$685:$AJ$695</definedName>
    <definedName name="LOC_65">Base!$AJ$696:$AJ$703</definedName>
    <definedName name="LOC_66">Base!$AJ$704:$AJ$710</definedName>
    <definedName name="LOC_67">Base!$AJ$711:$AJ$719</definedName>
    <definedName name="LOC_68">Base!$AJ$720:$AJ$727</definedName>
    <definedName name="LOC_69">Base!$AJ$728:$AJ$735</definedName>
    <definedName name="LOC_7">Base!$AJ$83:$AJ$89</definedName>
    <definedName name="LOC_70">Base!$AJ$736:$AJ$743</definedName>
    <definedName name="LOC_71">Base!$AJ$744:$AJ$751</definedName>
    <definedName name="LOC_72">Base!$AJ$752:$AJ$759</definedName>
    <definedName name="LOC_73">Base!$AJ$760:$AJ$770</definedName>
    <definedName name="LOC_74">Base!$AJ$771:$AJ$779</definedName>
    <definedName name="LOC_75">Base!$AJ$780:$AJ$785</definedName>
    <definedName name="LOC_76">Base!$AJ$786:$AJ$797</definedName>
    <definedName name="LOC_77">Base!$AJ$798:$AJ$804</definedName>
    <definedName name="LOC_78">Base!$AJ$805:$AJ$823</definedName>
    <definedName name="LOC_79">Base!$AJ$824:$AJ$831</definedName>
    <definedName name="LOC_8">Base!$AJ$90:$AJ$101</definedName>
    <definedName name="LOC_80">Base!$AJ$832:$AJ$843</definedName>
    <definedName name="LOC_81">Base!$AJ$844:$AJ$856</definedName>
    <definedName name="LOC_82">Base!$AJ$857:$AJ$867</definedName>
    <definedName name="LOC_83">Base!$AJ$868:$AJ$883</definedName>
    <definedName name="LOC_84">Base!$AJ$884:$AJ$903</definedName>
    <definedName name="LOC_85">Base!$AJ$904:$AJ$916</definedName>
    <definedName name="LOC_86">Base!$AJ$917:$AJ$924</definedName>
    <definedName name="LOC_87">Base!$AJ$925:$AJ$933</definedName>
    <definedName name="LOC_88">Base!$AJ$934:$AJ$937</definedName>
    <definedName name="LOC_89">Base!$AJ$938:$AJ$948</definedName>
    <definedName name="LOC_9">Base!$AJ$102:$AJ$106</definedName>
    <definedName name="LOC_90">Base!$AJ$949:$AJ$956</definedName>
    <definedName name="LOC_91">Base!$AJ$957:$AJ$961</definedName>
    <definedName name="LOC_92">Base!$AJ$962:$AJ$965</definedName>
    <definedName name="LOC_93">Base!$AJ$966:$AJ$970</definedName>
    <definedName name="LOC_94">Base!$AJ$971:$AJ$977</definedName>
    <definedName name="LOC_95">Base!$AJ$978:$AJ$985</definedName>
    <definedName name="LOC_96">Base!$AJ$986:$AJ$999</definedName>
    <definedName name="LOC_97">Base!$AJ$1000:$AJ$1010</definedName>
    <definedName name="LOC_98">Base!$AJ$1011:$AJ$1015</definedName>
    <definedName name="LOC_99">Base!$AJ$1016:$AJ$1020</definedName>
    <definedName name="Loreto" localSheetId="7">'Lista de Empresas Supervisoras'!$F$147:$F$154</definedName>
    <definedName name="Madre_de_Dios" localSheetId="7">'Lista de Empresas Supervisoras'!$F$155:$F$164</definedName>
    <definedName name="meses">Base!$AZ$12:$AZ$34</definedName>
    <definedName name="Moquegua" localSheetId="7">'Lista de Empresas Supervisoras'!$F$165:$F$174</definedName>
    <definedName name="oficinaregional">Tabla4[OFICINAS REGIONALES]</definedName>
    <definedName name="OR">Tabla4[OFICINAS REGIONALES]</definedName>
    <definedName name="Pasco" localSheetId="7">'Lista de Empresas Supervisoras'!$F$175:$F$182</definedName>
    <definedName name="Piura" localSheetId="7">'Lista de Empresas Supervisoras'!$F$183:$F$191</definedName>
    <definedName name="PO">Base!$AV$5:$AV$6</definedName>
    <definedName name="Puno" localSheetId="7">'Lista de Empresas Supervisoras'!$F$192:$F$201</definedName>
    <definedName name="San_Martín" localSheetId="7">'Lista de Empresas Supervisoras'!$F$203:$F$211</definedName>
    <definedName name="Tacna" localSheetId="7">'Lista de Empresas Supervisoras'!$F$212:$F$220</definedName>
    <definedName name="TP">Base!$BB$4:$BB$9</definedName>
    <definedName name="Tumbes" localSheetId="7">'Lista de Empresas Supervisoras'!$F$221:$F$227</definedName>
    <definedName name="Ucayali" localSheetId="7">'Lista de Empresas Supervisoras'!$F$228:$F$234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Karla Portella</author>
    <author>Hermelinda Susana Rivera Meza</author>
  </authors>
  <commentList>
    <comment ref="AG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</t>
        </r>
      </text>
    </comment>
    <comment ref="M8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AAA</t>
        </r>
      </text>
    </comment>
    <comment ref="P17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 xml:space="preserve">NUEVO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LLL</t>
        </r>
      </text>
    </comment>
    <comment ref="AG90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DEP_2</t>
        </r>
      </text>
    </comment>
    <comment ref="M147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MMM</t>
        </r>
      </text>
    </comment>
    <comment ref="M191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NNN</t>
        </r>
      </text>
    </comment>
    <comment ref="AG256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DEP_3</t>
        </r>
      </text>
    </comment>
    <comment ref="AG339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DEP_4</t>
        </r>
      </text>
    </comment>
    <comment ref="AG448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DEP_5</t>
        </r>
      </text>
    </comment>
    <comment ref="AG569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DEP_6</t>
        </r>
      </text>
    </comment>
    <comment ref="AG696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DEP_7</t>
        </r>
      </text>
    </comment>
    <comment ref="AG805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DEP_8</t>
        </r>
      </text>
    </comment>
    <comment ref="AG904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DEP_9</t>
        </r>
      </text>
    </comment>
    <comment ref="AG986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DEP_10</t>
        </r>
      </text>
    </comment>
    <comment ref="AG1029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DEP_11</t>
        </r>
      </text>
    </comment>
    <comment ref="AG1153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DEP_12</t>
        </r>
      </text>
    </comment>
    <comment ref="AG1236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DEP_13</t>
        </r>
      </text>
    </comment>
    <comment ref="AG1292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DEP_14</t>
        </r>
      </text>
    </comment>
    <comment ref="AG1345" authorId="0" shapeId="0" xr:uid="{00000000-0006-0000-0300-000014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DEP_15</t>
        </r>
      </text>
    </comment>
    <comment ref="AG1356" authorId="0" shapeId="0" xr:uid="{00000000-0006-0000-0300-000015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DEP_16</t>
        </r>
      </text>
    </comment>
    <comment ref="AG1376" authorId="0" shapeId="0" xr:uid="{00000000-0006-0000-0300-000016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DEP_17</t>
        </r>
      </text>
    </comment>
    <comment ref="AG1405" authorId="0" shapeId="0" xr:uid="{00000000-0006-0000-0300-000017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DEP_18</t>
        </r>
      </text>
    </comment>
    <comment ref="AG1470" authorId="0" shapeId="0" xr:uid="{00000000-0006-0000-0300-000018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DEP_19</t>
        </r>
      </text>
    </comment>
    <comment ref="AG1579" authorId="0" shapeId="0" xr:uid="{00000000-0006-0000-0300-000019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DEP_20</t>
        </r>
      </text>
    </comment>
    <comment ref="AG1656" authorId="0" shapeId="0" xr:uid="{00000000-0006-0000-0300-00001A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DEP_21</t>
        </r>
      </text>
    </comment>
    <comment ref="AG1684" authorId="0" shapeId="0" xr:uid="{00000000-0006-0000-0300-00001B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DEP_22</t>
        </r>
      </text>
    </comment>
    <comment ref="AG1697" authorId="0" shapeId="0" xr:uid="{00000000-0006-0000-0300-00001C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DEP_23</t>
        </r>
      </text>
    </comment>
    <comment ref="AG1714" authorId="0" shapeId="0" xr:uid="{00000000-0006-0000-0300-00001D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DEP_24</t>
        </r>
      </text>
    </comment>
  </commentList>
</comments>
</file>

<file path=xl/sharedStrings.xml><?xml version="1.0" encoding="utf-8"?>
<sst xmlns="http://schemas.openxmlformats.org/spreadsheetml/2006/main" count="39890" uniqueCount="3482">
  <si>
    <t>PLAN DE ACCIÓN DEL PLAN OPERATIVO</t>
  </si>
  <si>
    <t>Simbología</t>
  </si>
  <si>
    <t>Simbología Esp.</t>
  </si>
  <si>
    <t>Unión</t>
  </si>
  <si>
    <t>AAA</t>
  </si>
  <si>
    <t>Instalación</t>
  </si>
  <si>
    <t>KIN_1</t>
  </si>
  <si>
    <t>Establecimientos de Venta al Público (Líquidos, GLP)</t>
  </si>
  <si>
    <t>Consumidores Directos de CL y/u OPDH</t>
  </si>
  <si>
    <t>Modificación de instalación</t>
  </si>
  <si>
    <t>KIN_2</t>
  </si>
  <si>
    <t>BBB</t>
  </si>
  <si>
    <t>KIN_3</t>
  </si>
  <si>
    <t>Establecimientos (GNV, GNC, GNL)</t>
  </si>
  <si>
    <t>KIN_4</t>
  </si>
  <si>
    <t>KIN_5</t>
  </si>
  <si>
    <t>KIN_6</t>
  </si>
  <si>
    <t>VPH Tuberías</t>
  </si>
  <si>
    <t>Consumidores Directos de CL y/u OPDHn (idem anterior)</t>
  </si>
  <si>
    <t>VPH Tanques</t>
  </si>
  <si>
    <t>Establecimientos de Venta al Público (Líquidos)</t>
  </si>
  <si>
    <t>RHO Inscripción</t>
  </si>
  <si>
    <t>Consumidores Directos GLP y Redes de Distribución</t>
  </si>
  <si>
    <t>Medios de Transporte y Distribuidores (Líquidos, GLP)</t>
  </si>
  <si>
    <t>Locales de Venta de GLP</t>
  </si>
  <si>
    <t>Unidades Mayores</t>
  </si>
  <si>
    <t>Establecimientos (GNV)</t>
  </si>
  <si>
    <t>Actos Inseguros</t>
  </si>
  <si>
    <t>Criticidad</t>
  </si>
  <si>
    <t>Supervisión PRICE</t>
  </si>
  <si>
    <t>PRICE</t>
  </si>
  <si>
    <t>Supervisión GPS</t>
  </si>
  <si>
    <t>GPS</t>
  </si>
  <si>
    <t>Supervisión FISE</t>
  </si>
  <si>
    <t>FISE</t>
  </si>
  <si>
    <t>Distribuidores de GLP en cilindros</t>
  </si>
  <si>
    <t>Supervisión SCOP</t>
  </si>
  <si>
    <t>SCOP</t>
  </si>
  <si>
    <t>Plantas de abastecimientos (Líquidos)</t>
  </si>
  <si>
    <t>Plantas Envasadoras (GLP)</t>
  </si>
  <si>
    <t>Otros</t>
  </si>
  <si>
    <t>Control Metrologico</t>
  </si>
  <si>
    <t>Establecimientos de Venta al Público (GLP)</t>
  </si>
  <si>
    <t>Control de Calidad</t>
  </si>
  <si>
    <t>Comiso de combustibles</t>
  </si>
  <si>
    <t>Medios de Transporte (GNC, GNL)</t>
  </si>
  <si>
    <t>Atención de Emergencias</t>
  </si>
  <si>
    <t>Simbología*</t>
  </si>
  <si>
    <t>T. Mínimo</t>
  </si>
  <si>
    <t>T. Máximo</t>
  </si>
  <si>
    <t>Promedio</t>
  </si>
  <si>
    <t>T. Mínimo*</t>
  </si>
  <si>
    <t>T. Máximo*</t>
  </si>
  <si>
    <t>Promedio*</t>
  </si>
  <si>
    <t>T. Mínimo**</t>
  </si>
  <si>
    <t>T. Máximo**</t>
  </si>
  <si>
    <t>Promedio**</t>
  </si>
  <si>
    <t>Tiempo de preparación para la supervisión ""(TPS)""</t>
  </si>
  <si>
    <t>Tiempo de Supervisión en Campo ""(TSC)""</t>
  </si>
  <si>
    <t>Tiempo de Cierre de la Supervisión ""(TCS)""</t>
  </si>
  <si>
    <t>Tiempo Total</t>
  </si>
  <si>
    <t>Tiempos convertidos a (Unidades o Pesos)</t>
  </si>
  <si>
    <t>Oficina Regional</t>
  </si>
  <si>
    <t>Provincia</t>
  </si>
  <si>
    <t>Concatenado</t>
  </si>
  <si>
    <t>Distrito</t>
  </si>
  <si>
    <t>01 Chachapoyas</t>
  </si>
  <si>
    <t>02 Bagua</t>
  </si>
  <si>
    <t>03 Bongará</t>
  </si>
  <si>
    <t>04 Condorcanqui</t>
  </si>
  <si>
    <t>05 Luya</t>
  </si>
  <si>
    <t>06 Rodríguez de Mendoza</t>
  </si>
  <si>
    <t>07 Utcubamba</t>
  </si>
  <si>
    <t>02 Asunción</t>
  </si>
  <si>
    <t>03 Balsas</t>
  </si>
  <si>
    <t>04 Cheto</t>
  </si>
  <si>
    <t>05 Chiliquin</t>
  </si>
  <si>
    <t>06 Chuquibamba</t>
  </si>
  <si>
    <t>07 Granada</t>
  </si>
  <si>
    <t>08 Huancas</t>
  </si>
  <si>
    <t>09 La Jalca</t>
  </si>
  <si>
    <t>10 Leimebamba</t>
  </si>
  <si>
    <t>11 Levanto</t>
  </si>
  <si>
    <t>12 Magdalena</t>
  </si>
  <si>
    <t>13 Mariscal Castilla</t>
  </si>
  <si>
    <t>14 Molinopampa</t>
  </si>
  <si>
    <t>15 Montevideo</t>
  </si>
  <si>
    <t>16 Olleros</t>
  </si>
  <si>
    <t>17 Quinjalca</t>
  </si>
  <si>
    <t>18 San Francisco de Daguas</t>
  </si>
  <si>
    <t>19 San Isidro de Maino</t>
  </si>
  <si>
    <t>20 Soloco</t>
  </si>
  <si>
    <t>21 Sonche</t>
  </si>
  <si>
    <t>01 Bagua</t>
  </si>
  <si>
    <t>02 Aramango</t>
  </si>
  <si>
    <t>04 El Parco</t>
  </si>
  <si>
    <t>05 Imaza</t>
  </si>
  <si>
    <t>06 La Peca</t>
  </si>
  <si>
    <t>01 Jumbilla</t>
  </si>
  <si>
    <t>02 Chisquilla</t>
  </si>
  <si>
    <t>03 Churuja</t>
  </si>
  <si>
    <t>04 Corosha</t>
  </si>
  <si>
    <t>05 Cuispes</t>
  </si>
  <si>
    <t>06 Florida</t>
  </si>
  <si>
    <t>07 Jazan</t>
  </si>
  <si>
    <t>08 Recta</t>
  </si>
  <si>
    <t>09 San Carlos</t>
  </si>
  <si>
    <t>10 Shipasbamba</t>
  </si>
  <si>
    <t>11 Valera</t>
  </si>
  <si>
    <t>12 Yambrasbamba</t>
  </si>
  <si>
    <t>01 Nieva</t>
  </si>
  <si>
    <t>02 El Cenepa</t>
  </si>
  <si>
    <t>03 Río Santiago</t>
  </si>
  <si>
    <t>01 Lamud</t>
  </si>
  <si>
    <t>02 Camporredondo</t>
  </si>
  <si>
    <t>03 Cocabamba</t>
  </si>
  <si>
    <t>04 Colcamar</t>
  </si>
  <si>
    <t>05 Conila</t>
  </si>
  <si>
    <t>06 Inguilpata</t>
  </si>
  <si>
    <t>07 Longuita</t>
  </si>
  <si>
    <t>08 Lonya Chico</t>
  </si>
  <si>
    <t>09 Luya</t>
  </si>
  <si>
    <t>10 Luya Viejo</t>
  </si>
  <si>
    <t>11 María</t>
  </si>
  <si>
    <t>12 Ocalli</t>
  </si>
  <si>
    <t>13 Ocumal</t>
  </si>
  <si>
    <t>14 Pisuquia</t>
  </si>
  <si>
    <t>15 Providencia</t>
  </si>
  <si>
    <t>16 San Cristóbal</t>
  </si>
  <si>
    <t>17 San Francisco de Yeso</t>
  </si>
  <si>
    <t>18 San Jerónimo</t>
  </si>
  <si>
    <t>19 San Juan de Lopecancha</t>
  </si>
  <si>
    <t>20 Santa Catalina</t>
  </si>
  <si>
    <t>21 Santo Tomas</t>
  </si>
  <si>
    <t>22 Tingo</t>
  </si>
  <si>
    <t>23 Trita</t>
  </si>
  <si>
    <t>01 San Nicolás</t>
  </si>
  <si>
    <t>02 Chirimoto</t>
  </si>
  <si>
    <t>03 Cochamal</t>
  </si>
  <si>
    <t>04 Huambo</t>
  </si>
  <si>
    <t>05 Limabamba</t>
  </si>
  <si>
    <t>06 Longar</t>
  </si>
  <si>
    <t>07 Mariscal Benavides</t>
  </si>
  <si>
    <t>08 Milpuc</t>
  </si>
  <si>
    <t>09 Omia</t>
  </si>
  <si>
    <t>10 Santa Rosa</t>
  </si>
  <si>
    <t>11 Totora</t>
  </si>
  <si>
    <t>12 Vista Alegre</t>
  </si>
  <si>
    <t>01 Bagua Grande</t>
  </si>
  <si>
    <t>02 Cajaruro</t>
  </si>
  <si>
    <t>03 Cumba</t>
  </si>
  <si>
    <t>04 El Milagro</t>
  </si>
  <si>
    <t>05 Jamalca</t>
  </si>
  <si>
    <t>06 Lonya Grande</t>
  </si>
  <si>
    <t>07 Yamon</t>
  </si>
  <si>
    <t>LOC_1</t>
  </si>
  <si>
    <t>DEP_1</t>
  </si>
  <si>
    <t>LOC_2</t>
  </si>
  <si>
    <t>LOC_3</t>
  </si>
  <si>
    <t>LOC_4</t>
  </si>
  <si>
    <t>LOC_5</t>
  </si>
  <si>
    <t>LOC_6</t>
  </si>
  <si>
    <t>LOC_7</t>
  </si>
  <si>
    <t>DEP_2</t>
  </si>
  <si>
    <t>01 Huaraz</t>
  </si>
  <si>
    <t>02 Aija</t>
  </si>
  <si>
    <t>03 Antonio Raymondi</t>
  </si>
  <si>
    <t>04 Asunción</t>
  </si>
  <si>
    <t>05 Bolognesi</t>
  </si>
  <si>
    <t>06 Carhuaz</t>
  </si>
  <si>
    <t>07 Carlos Fermín Fitzcarrald</t>
  </si>
  <si>
    <t>08 Casma</t>
  </si>
  <si>
    <t>09 Corongo</t>
  </si>
  <si>
    <t>10 Huari</t>
  </si>
  <si>
    <t>11 Huarmey</t>
  </si>
  <si>
    <t>12 Huaylas</t>
  </si>
  <si>
    <t>13 Mariscal Luzuriaga</t>
  </si>
  <si>
    <t>14 Ocros</t>
  </si>
  <si>
    <t>15 Pallasca</t>
  </si>
  <si>
    <t>16 Pomabamba</t>
  </si>
  <si>
    <t>17 Recuay</t>
  </si>
  <si>
    <t>18 Santa</t>
  </si>
  <si>
    <t>19 Sihuas</t>
  </si>
  <si>
    <t>20 Yungay</t>
  </si>
  <si>
    <t>02 Cochabamba</t>
  </si>
  <si>
    <t>03 Colcabamba</t>
  </si>
  <si>
    <t>04 Huanchay</t>
  </si>
  <si>
    <t>05 Independencia</t>
  </si>
  <si>
    <t>06 Jangas</t>
  </si>
  <si>
    <t>07 La Libertad</t>
  </si>
  <si>
    <t>08 Olleros</t>
  </si>
  <si>
    <t>09 Pampas Grande</t>
  </si>
  <si>
    <t>10 Pariacoto</t>
  </si>
  <si>
    <t>11 Pira</t>
  </si>
  <si>
    <t>12 Tarica</t>
  </si>
  <si>
    <t>01 Aija</t>
  </si>
  <si>
    <t>02 Coris</t>
  </si>
  <si>
    <t>03 Huacllan</t>
  </si>
  <si>
    <t>04 La Merced</t>
  </si>
  <si>
    <t>05 Succha</t>
  </si>
  <si>
    <t>01 Llamellin</t>
  </si>
  <si>
    <t>02 Aczo</t>
  </si>
  <si>
    <t>03 Chaccho</t>
  </si>
  <si>
    <t>04 Chingas</t>
  </si>
  <si>
    <t>05 Mirgas</t>
  </si>
  <si>
    <t>06 San Juan de Rontoy</t>
  </si>
  <si>
    <t>01 Chacas</t>
  </si>
  <si>
    <t>02 Acochaca</t>
  </si>
  <si>
    <t>01 Chiquian</t>
  </si>
  <si>
    <t>02 Abelardo Pardo Lezameta</t>
  </si>
  <si>
    <t>04 Aquia</t>
  </si>
  <si>
    <t>05 Cajacay</t>
  </si>
  <si>
    <t>06 Canis</t>
  </si>
  <si>
    <t>07 Colquioc</t>
  </si>
  <si>
    <t>08 Huallanca</t>
  </si>
  <si>
    <t>09 Huasta</t>
  </si>
  <si>
    <t>10 Huayllacayan</t>
  </si>
  <si>
    <t>11 La Primavera</t>
  </si>
  <si>
    <t>12 Mangas</t>
  </si>
  <si>
    <t>13 Pacllon</t>
  </si>
  <si>
    <t>14 San Miguel de Corpanqui</t>
  </si>
  <si>
    <t>15 Ticllos</t>
  </si>
  <si>
    <t>01 Carhuaz</t>
  </si>
  <si>
    <t>02 Acopampa</t>
  </si>
  <si>
    <t>03 Amashca</t>
  </si>
  <si>
    <t>04 Anta</t>
  </si>
  <si>
    <t>05 Ataquero</t>
  </si>
  <si>
    <t>06 Marcara</t>
  </si>
  <si>
    <t>07 Pariahuanca</t>
  </si>
  <si>
    <t>08 San Miguel de Aco</t>
  </si>
  <si>
    <t>09 Shilla</t>
  </si>
  <si>
    <t>10 Tinco</t>
  </si>
  <si>
    <t>11 Yungar</t>
  </si>
  <si>
    <t>01 San Luis</t>
  </si>
  <si>
    <t>02 San Nicolás</t>
  </si>
  <si>
    <t>03 Yauya</t>
  </si>
  <si>
    <t>01 Casma</t>
  </si>
  <si>
    <t>02 Buena Vista Alta</t>
  </si>
  <si>
    <t>03 Comandante Noel</t>
  </si>
  <si>
    <t>04 Yautan</t>
  </si>
  <si>
    <t>01 Corongo</t>
  </si>
  <si>
    <t>02 Aco</t>
  </si>
  <si>
    <t>03 Bambas</t>
  </si>
  <si>
    <t>04 Cusca</t>
  </si>
  <si>
    <t>05 La Pampa</t>
  </si>
  <si>
    <t>06 Yanac</t>
  </si>
  <si>
    <t>07 Yupan</t>
  </si>
  <si>
    <t>01 Huari</t>
  </si>
  <si>
    <t>02 Anra</t>
  </si>
  <si>
    <t>03 Cajay</t>
  </si>
  <si>
    <t>04 Chavin de Huantar</t>
  </si>
  <si>
    <t>05 Huacachi</t>
  </si>
  <si>
    <t>06 Huacchis</t>
  </si>
  <si>
    <t>07 Huachis</t>
  </si>
  <si>
    <t>08 Huantar</t>
  </si>
  <si>
    <t>09 Masin</t>
  </si>
  <si>
    <t>10 Paucas</t>
  </si>
  <si>
    <t>11 Ponto</t>
  </si>
  <si>
    <t>12 Rahuapampa</t>
  </si>
  <si>
    <t>13 Rapayan</t>
  </si>
  <si>
    <t>14 San Marcos</t>
  </si>
  <si>
    <t>15 San Pedro de Chana</t>
  </si>
  <si>
    <t>16 Uco</t>
  </si>
  <si>
    <t>01 Huarmey</t>
  </si>
  <si>
    <t>02 Cochapeti</t>
  </si>
  <si>
    <t>03 Culebras</t>
  </si>
  <si>
    <t>04 Huayan</t>
  </si>
  <si>
    <t>05 Malvas</t>
  </si>
  <si>
    <t>01 Caraz</t>
  </si>
  <si>
    <t>02 Huallanca</t>
  </si>
  <si>
    <t>03 Huata</t>
  </si>
  <si>
    <t>04 Huaylas</t>
  </si>
  <si>
    <t>05 Mato</t>
  </si>
  <si>
    <t>06 Pamparomas</t>
  </si>
  <si>
    <t>07 Pueblo Libre</t>
  </si>
  <si>
    <t>08 Santa Cruz</t>
  </si>
  <si>
    <t>09 Santo Toribio</t>
  </si>
  <si>
    <t>10 Yuracmarca</t>
  </si>
  <si>
    <t>01 Piscobamba</t>
  </si>
  <si>
    <t>02 Casca</t>
  </si>
  <si>
    <t>03 Eleazar Guzmán Barron</t>
  </si>
  <si>
    <t>04 Fidel Olivas Escudero</t>
  </si>
  <si>
    <t>05 Llama</t>
  </si>
  <si>
    <t>06 Llumpa</t>
  </si>
  <si>
    <t>07 Lucma</t>
  </si>
  <si>
    <t>08 Musga</t>
  </si>
  <si>
    <t>01 Ocros</t>
  </si>
  <si>
    <t>02 Acas</t>
  </si>
  <si>
    <t>03 Cajamarquilla</t>
  </si>
  <si>
    <t>04 Carhuapampa</t>
  </si>
  <si>
    <t>05 Cochas</t>
  </si>
  <si>
    <t>06 Congas</t>
  </si>
  <si>
    <t>07 Llipa</t>
  </si>
  <si>
    <t>08 San Cristóbal de Rajan</t>
  </si>
  <si>
    <t>09 San Pedro</t>
  </si>
  <si>
    <t>10 Santiago de Chilcas</t>
  </si>
  <si>
    <t>01 Cabana</t>
  </si>
  <si>
    <t>02 Bolognesi</t>
  </si>
  <si>
    <t>03 Conchucos</t>
  </si>
  <si>
    <t>04 Huacaschuque</t>
  </si>
  <si>
    <t>05 Huandoval</t>
  </si>
  <si>
    <t>06 Lacabamba</t>
  </si>
  <si>
    <t>07 Llapo</t>
  </si>
  <si>
    <t>08 Pallasca</t>
  </si>
  <si>
    <t>09 Pampas</t>
  </si>
  <si>
    <t>11 Tauca</t>
  </si>
  <si>
    <t>01 Pomabamba</t>
  </si>
  <si>
    <t>02 Huayllan</t>
  </si>
  <si>
    <t>03 Parobamba</t>
  </si>
  <si>
    <t>04 Quinuabamba</t>
  </si>
  <si>
    <t>01 Recuay</t>
  </si>
  <si>
    <t>02 Catac</t>
  </si>
  <si>
    <t>03 Cotaparaco</t>
  </si>
  <si>
    <t>04 Huayllapampa</t>
  </si>
  <si>
    <t>05 Llacllin</t>
  </si>
  <si>
    <t>06 Marca</t>
  </si>
  <si>
    <t>07 Pampas Chico</t>
  </si>
  <si>
    <t>08 Pararin</t>
  </si>
  <si>
    <t>09 Tapacocha</t>
  </si>
  <si>
    <t>10 Ticapampa</t>
  </si>
  <si>
    <t>01 Chimbote</t>
  </si>
  <si>
    <t>02 Cáceres del Perú</t>
  </si>
  <si>
    <t>03 Coishco</t>
  </si>
  <si>
    <t>04 Macate</t>
  </si>
  <si>
    <t>05 Moro</t>
  </si>
  <si>
    <t>06 Nepeña</t>
  </si>
  <si>
    <t>07 Samanco</t>
  </si>
  <si>
    <t>08 Santa</t>
  </si>
  <si>
    <t>09 Nuevo Chimbote</t>
  </si>
  <si>
    <t>01 Sihuas</t>
  </si>
  <si>
    <t>02 Acobamba</t>
  </si>
  <si>
    <t>03 Alfonso Ugarte</t>
  </si>
  <si>
    <t>04 Cashapampa</t>
  </si>
  <si>
    <t>05 Chingalpo</t>
  </si>
  <si>
    <t>06 Huayllabamba</t>
  </si>
  <si>
    <t>07 Quiches</t>
  </si>
  <si>
    <t>08 Ragash</t>
  </si>
  <si>
    <t>09 San Juan</t>
  </si>
  <si>
    <t>10 Sicsibamba</t>
  </si>
  <si>
    <t>01 Yungay</t>
  </si>
  <si>
    <t>02 Cascapara</t>
  </si>
  <si>
    <t>03 Mancos</t>
  </si>
  <si>
    <t>04 Matacoto</t>
  </si>
  <si>
    <t>05 Quillo</t>
  </si>
  <si>
    <t>06 Ranrahirca</t>
  </si>
  <si>
    <t>07 Shupluy</t>
  </si>
  <si>
    <t>08 Yanama</t>
  </si>
  <si>
    <t>LOC_8</t>
  </si>
  <si>
    <t>LOC_9</t>
  </si>
  <si>
    <t>LOC_10</t>
  </si>
  <si>
    <t>LOC_11</t>
  </si>
  <si>
    <t>LOC_12</t>
  </si>
  <si>
    <t>LOC_13</t>
  </si>
  <si>
    <t>LOC_14</t>
  </si>
  <si>
    <t>LOC_15</t>
  </si>
  <si>
    <t>LOC_16</t>
  </si>
  <si>
    <t>LOC_17</t>
  </si>
  <si>
    <t>LOC_18</t>
  </si>
  <si>
    <t>LOC_19</t>
  </si>
  <si>
    <t>LOC_20</t>
  </si>
  <si>
    <t>LOC_21</t>
  </si>
  <si>
    <t>LOC_22</t>
  </si>
  <si>
    <t>LOC_23</t>
  </si>
  <si>
    <t>LOC_24</t>
  </si>
  <si>
    <t>LOC_25</t>
  </si>
  <si>
    <t>LOC_26</t>
  </si>
  <si>
    <t>LOC_27</t>
  </si>
  <si>
    <t>LOC_28</t>
  </si>
  <si>
    <t>LOC_29</t>
  </si>
  <si>
    <t>LOC_30</t>
  </si>
  <si>
    <t>LOC_31</t>
  </si>
  <si>
    <t>LOC_32</t>
  </si>
  <si>
    <t>LOC_33</t>
  </si>
  <si>
    <t>LOC_34</t>
  </si>
  <si>
    <t>LOC_35</t>
  </si>
  <si>
    <t>DEP_3</t>
  </si>
  <si>
    <t>DEP_4</t>
  </si>
  <si>
    <t>DEP_5</t>
  </si>
  <si>
    <t>DEP_6</t>
  </si>
  <si>
    <t>DEP_7</t>
  </si>
  <si>
    <t>DEP_8</t>
  </si>
  <si>
    <t>DEP_9</t>
  </si>
  <si>
    <t>DEP_10</t>
  </si>
  <si>
    <t>DEP_11</t>
  </si>
  <si>
    <t>DEP_12</t>
  </si>
  <si>
    <t>DEP_13</t>
  </si>
  <si>
    <t>DEP_14</t>
  </si>
  <si>
    <t>DEP_15</t>
  </si>
  <si>
    <t>DEP_16</t>
  </si>
  <si>
    <t>DEP_17</t>
  </si>
  <si>
    <t>DEP_18</t>
  </si>
  <si>
    <t>DEP_19</t>
  </si>
  <si>
    <t>DEP_20</t>
  </si>
  <si>
    <t>DEP_21</t>
  </si>
  <si>
    <t>DEP_22</t>
  </si>
  <si>
    <t>DEP_23</t>
  </si>
  <si>
    <t>DEP_24</t>
  </si>
  <si>
    <t>DEP_25</t>
  </si>
  <si>
    <t>01 Abancay</t>
  </si>
  <si>
    <t>02 Andahuaylas</t>
  </si>
  <si>
    <t>03 Antabamba</t>
  </si>
  <si>
    <t>04 Aymaraes</t>
  </si>
  <si>
    <t>05 Cotabambas</t>
  </si>
  <si>
    <t>06 Chincheros</t>
  </si>
  <si>
    <t>07 Grau</t>
  </si>
  <si>
    <t>02 Chacoche</t>
  </si>
  <si>
    <t>03 Circa</t>
  </si>
  <si>
    <t>04 Curahuasi</t>
  </si>
  <si>
    <t>05 Huanipaca</t>
  </si>
  <si>
    <t>06 Lambrama</t>
  </si>
  <si>
    <t>07 Pichirhua</t>
  </si>
  <si>
    <t>08 San Pedro de Cachora</t>
  </si>
  <si>
    <t>09 Tamburco</t>
  </si>
  <si>
    <t>01 Andahuaylas</t>
  </si>
  <si>
    <t>02 Andarapa</t>
  </si>
  <si>
    <t>03 Chiara</t>
  </si>
  <si>
    <t>04 Huancarama</t>
  </si>
  <si>
    <t>05 Huancaray</t>
  </si>
  <si>
    <t>06 Huayana</t>
  </si>
  <si>
    <t>07 Kishuara</t>
  </si>
  <si>
    <t>08 Pacobamba</t>
  </si>
  <si>
    <t>09 Pacucha</t>
  </si>
  <si>
    <t>10 Pampachiri</t>
  </si>
  <si>
    <t>11 Pomacocha</t>
  </si>
  <si>
    <t>12 San Antonio de Cachi</t>
  </si>
  <si>
    <t>13 San Jerónimo</t>
  </si>
  <si>
    <t>14 San Miguel de Chaccrampa</t>
  </si>
  <si>
    <t>15 Santa María de Chicmo</t>
  </si>
  <si>
    <t>16 Talavera</t>
  </si>
  <si>
    <t>17 Tumay Huaraca</t>
  </si>
  <si>
    <t>18 Turpo</t>
  </si>
  <si>
    <t>19 Kaquiabamba</t>
  </si>
  <si>
    <t>20 José María Arguedas</t>
  </si>
  <si>
    <t>01 Antabamba</t>
  </si>
  <si>
    <t>02 El Oro</t>
  </si>
  <si>
    <t>03 Huaquirca</t>
  </si>
  <si>
    <t>04 Juan Espinoza Medrano</t>
  </si>
  <si>
    <t>05 Oropesa</t>
  </si>
  <si>
    <t>06 Pachaconas</t>
  </si>
  <si>
    <t>07 Sabaino</t>
  </si>
  <si>
    <t>01 Chalhuanca</t>
  </si>
  <si>
    <t>02 Capaya</t>
  </si>
  <si>
    <t>03 Caraybamba</t>
  </si>
  <si>
    <t>04 Chapimarca</t>
  </si>
  <si>
    <t>05 Colcabamba</t>
  </si>
  <si>
    <t>06 Cotaruse</t>
  </si>
  <si>
    <t>07 Ihuayllo</t>
  </si>
  <si>
    <t>08 Justo Apu Sahuaraura</t>
  </si>
  <si>
    <t>09 Lucre</t>
  </si>
  <si>
    <t>10 Pocohuanca</t>
  </si>
  <si>
    <t>11 San Juan de Chacña</t>
  </si>
  <si>
    <t>12 Sañayca</t>
  </si>
  <si>
    <t>13 Soraya</t>
  </si>
  <si>
    <t>14 Tapairihua</t>
  </si>
  <si>
    <t>15 Tintay</t>
  </si>
  <si>
    <t>16 Toraya</t>
  </si>
  <si>
    <t>17 Yanaca</t>
  </si>
  <si>
    <t>01 Tambobamba</t>
  </si>
  <si>
    <t>02 Cotabambas</t>
  </si>
  <si>
    <t>03 Coyllurqui</t>
  </si>
  <si>
    <t>04 Haquira</t>
  </si>
  <si>
    <t>05 Mara</t>
  </si>
  <si>
    <t>06 Challhuahuacho</t>
  </si>
  <si>
    <t>01 Chincheros</t>
  </si>
  <si>
    <t>02 Anco_Huallo</t>
  </si>
  <si>
    <t>03 Cocharcas</t>
  </si>
  <si>
    <t>04 Huaccana</t>
  </si>
  <si>
    <t>05 Ocobamba</t>
  </si>
  <si>
    <t>06 Ongoy</t>
  </si>
  <si>
    <t>07 Uranmarca</t>
  </si>
  <si>
    <t>08 Ranracancha</t>
  </si>
  <si>
    <t>09 Rocchacc</t>
  </si>
  <si>
    <t>10 El Porvenir</t>
  </si>
  <si>
    <t>01 Chuquibambilla</t>
  </si>
  <si>
    <t>02 Curpahuasi</t>
  </si>
  <si>
    <t>03 Gamarra</t>
  </si>
  <si>
    <t>04 Huayllati</t>
  </si>
  <si>
    <t>05 Mamara</t>
  </si>
  <si>
    <t>06 Micaela Bastidas</t>
  </si>
  <si>
    <t>07 Pataypampa</t>
  </si>
  <si>
    <t>08 Progreso</t>
  </si>
  <si>
    <t>09 San Antonio</t>
  </si>
  <si>
    <t>11 Turpay</t>
  </si>
  <si>
    <t>12 Vilcabamba</t>
  </si>
  <si>
    <t>13 Virundo</t>
  </si>
  <si>
    <t>14 Curasco</t>
  </si>
  <si>
    <t>01 Arequipa</t>
  </si>
  <si>
    <t>02 Camaná</t>
  </si>
  <si>
    <t>03 Caravelí</t>
  </si>
  <si>
    <t>04 Castilla</t>
  </si>
  <si>
    <t>05 Caylloma</t>
  </si>
  <si>
    <t>06 Condesuyos</t>
  </si>
  <si>
    <t>07 Islay</t>
  </si>
  <si>
    <t>08 La Uniòn</t>
  </si>
  <si>
    <t>02 Alto Selva Alegre</t>
  </si>
  <si>
    <t>03 Cayma</t>
  </si>
  <si>
    <t>04 Cerro Colorado</t>
  </si>
  <si>
    <t>05 Characato</t>
  </si>
  <si>
    <t>06 Chiguata</t>
  </si>
  <si>
    <t>07 Jacobo Hunter</t>
  </si>
  <si>
    <t>08 La Joya</t>
  </si>
  <si>
    <t>09 Mariano Melgar</t>
  </si>
  <si>
    <t>10 Miraflores</t>
  </si>
  <si>
    <t>11 Mollebaya</t>
  </si>
  <si>
    <t>12 Paucarpata</t>
  </si>
  <si>
    <t>13 Pocsi</t>
  </si>
  <si>
    <t>14 Polobaya</t>
  </si>
  <si>
    <t>15 Quequeña</t>
  </si>
  <si>
    <t>16 Sabandia</t>
  </si>
  <si>
    <t>17 Sachaca</t>
  </si>
  <si>
    <t>18 San Juan de Siguas</t>
  </si>
  <si>
    <t>19 San Juan de Tarucani</t>
  </si>
  <si>
    <t>20 Santa Isabel de Siguas</t>
  </si>
  <si>
    <t>21 Santa Rita de Siguas</t>
  </si>
  <si>
    <t>22 Socabaya</t>
  </si>
  <si>
    <t>23 Tiabaya</t>
  </si>
  <si>
    <t>24 Uchumayo</t>
  </si>
  <si>
    <t>25 Vitor</t>
  </si>
  <si>
    <t>26 Yanahuara</t>
  </si>
  <si>
    <t>27 Yarabamba</t>
  </si>
  <si>
    <t>28 Yura</t>
  </si>
  <si>
    <t>29 José Luis Bustamante Y Rivero</t>
  </si>
  <si>
    <t>01 Camaná</t>
  </si>
  <si>
    <t>02 José María Quimper</t>
  </si>
  <si>
    <t>03 Mariano Nicolás Valcárcel</t>
  </si>
  <si>
    <t>04 Mariscal Cáceres</t>
  </si>
  <si>
    <t>05 Nicolás de Pierola</t>
  </si>
  <si>
    <t>06 Ocoña</t>
  </si>
  <si>
    <t>07 Quilca</t>
  </si>
  <si>
    <t>08 Samuel Pastor</t>
  </si>
  <si>
    <t>01 Caravelí</t>
  </si>
  <si>
    <t>02 Acarí</t>
  </si>
  <si>
    <t>03 Atico</t>
  </si>
  <si>
    <t>04 Atiquipa</t>
  </si>
  <si>
    <t>05 Bella Unión</t>
  </si>
  <si>
    <t>06 Cahuacho</t>
  </si>
  <si>
    <t>07 Chala</t>
  </si>
  <si>
    <t>08 Chaparra</t>
  </si>
  <si>
    <t>09 Huanuhuanu</t>
  </si>
  <si>
    <t>10 Jaqui</t>
  </si>
  <si>
    <t>11 Lomas</t>
  </si>
  <si>
    <t>12 Quicacha</t>
  </si>
  <si>
    <t>13 Yauca</t>
  </si>
  <si>
    <t>01 Aplao</t>
  </si>
  <si>
    <t>02 Andagua</t>
  </si>
  <si>
    <t>03 Ayo</t>
  </si>
  <si>
    <t>04 Chachas</t>
  </si>
  <si>
    <t>05 Chilcaymarca</t>
  </si>
  <si>
    <t>06 Choco</t>
  </si>
  <si>
    <t>07 Huancarqui</t>
  </si>
  <si>
    <t>08 Machaguay</t>
  </si>
  <si>
    <t>09 Orcopampa</t>
  </si>
  <si>
    <t>10 Pampacolca</t>
  </si>
  <si>
    <t>11 Tipan</t>
  </si>
  <si>
    <t>12 Uñon</t>
  </si>
  <si>
    <t>13 Uraca</t>
  </si>
  <si>
    <t>14 Viraco</t>
  </si>
  <si>
    <t>01 Chivay</t>
  </si>
  <si>
    <t>02 Achoma</t>
  </si>
  <si>
    <t>03 Cabanaconde</t>
  </si>
  <si>
    <t>04 Callalli</t>
  </si>
  <si>
    <t>06 Coporaque</t>
  </si>
  <si>
    <t>07 Huambo</t>
  </si>
  <si>
    <t>08 Huanca</t>
  </si>
  <si>
    <t>09 Ichupampa</t>
  </si>
  <si>
    <t>10 Lari</t>
  </si>
  <si>
    <t>11 Lluta</t>
  </si>
  <si>
    <t>12 Maca</t>
  </si>
  <si>
    <t>13 Madrigal</t>
  </si>
  <si>
    <t>14 San Antonio de Chuca</t>
  </si>
  <si>
    <t>15 Sibayo</t>
  </si>
  <si>
    <t>16 Tapay</t>
  </si>
  <si>
    <t>17 Tisco</t>
  </si>
  <si>
    <t>18 Tuti</t>
  </si>
  <si>
    <t>19 Yanque</t>
  </si>
  <si>
    <t>20 Majes</t>
  </si>
  <si>
    <t>01 Chuquibamba</t>
  </si>
  <si>
    <t>02 Andaray</t>
  </si>
  <si>
    <t>03 Cayarani</t>
  </si>
  <si>
    <t>04 Chichas</t>
  </si>
  <si>
    <t>05 Iray</t>
  </si>
  <si>
    <t>06 Río Grande</t>
  </si>
  <si>
    <t>07 Salamanca</t>
  </si>
  <si>
    <t>08 Yanaquihua</t>
  </si>
  <si>
    <t>01 Mollendo</t>
  </si>
  <si>
    <t>02 Cocachacra</t>
  </si>
  <si>
    <t>03 Dean Valdivia</t>
  </si>
  <si>
    <t>04 Islay</t>
  </si>
  <si>
    <t>05 Mejia</t>
  </si>
  <si>
    <t>06 Punta de Bombón</t>
  </si>
  <si>
    <t>01 Cotahuasi</t>
  </si>
  <si>
    <t>02 Alca</t>
  </si>
  <si>
    <t>03 Charcana</t>
  </si>
  <si>
    <t>04 Huaynacotas</t>
  </si>
  <si>
    <t>05 Pampamarca</t>
  </si>
  <si>
    <t>06 Puyca</t>
  </si>
  <si>
    <t>07 Quechualla</t>
  </si>
  <si>
    <t>08 Sayla</t>
  </si>
  <si>
    <t>09 Tauria</t>
  </si>
  <si>
    <t>10 Tomepampa</t>
  </si>
  <si>
    <t>11 Toro</t>
  </si>
  <si>
    <t>LOC_36</t>
  </si>
  <si>
    <t>LOC_37</t>
  </si>
  <si>
    <t>LOC_38</t>
  </si>
  <si>
    <t>LOC_39</t>
  </si>
  <si>
    <t>LOC_40</t>
  </si>
  <si>
    <t>LOC_41</t>
  </si>
  <si>
    <t>LOC_42</t>
  </si>
  <si>
    <t>01 Huamanga</t>
  </si>
  <si>
    <t>02 Cangallo</t>
  </si>
  <si>
    <t>03 Huanca Sancos</t>
  </si>
  <si>
    <t>04 Huanta</t>
  </si>
  <si>
    <t>05 La Mar</t>
  </si>
  <si>
    <t>06 Lucanas</t>
  </si>
  <si>
    <t>07 Parinacochas</t>
  </si>
  <si>
    <t>08 Pàucar del Sara Sara</t>
  </si>
  <si>
    <t>09 Sucre</t>
  </si>
  <si>
    <t>10 Víctor Fajardo</t>
  </si>
  <si>
    <t>11 Vilcas Huamán</t>
  </si>
  <si>
    <t>01 Ayacucho</t>
  </si>
  <si>
    <t>02 Acocro</t>
  </si>
  <si>
    <t>03 Acos Vinchos</t>
  </si>
  <si>
    <t>04 Carmen Alto</t>
  </si>
  <si>
    <t>05 Chiara</t>
  </si>
  <si>
    <t>06 Ocros</t>
  </si>
  <si>
    <t>07 Pacaycasa</t>
  </si>
  <si>
    <t>08 Quinua</t>
  </si>
  <si>
    <t>09 San José de Ticllas</t>
  </si>
  <si>
    <t>10 San Juan Bautista</t>
  </si>
  <si>
    <t>11 Santiago de Pischa</t>
  </si>
  <si>
    <t>12 Socos</t>
  </si>
  <si>
    <t>13 Tambillo</t>
  </si>
  <si>
    <t>14 Vinchos</t>
  </si>
  <si>
    <t>15 Jesús Nazareno</t>
  </si>
  <si>
    <t>16 Andrés Avelino Cáceres Dorregaray</t>
  </si>
  <si>
    <t>01 Cangallo</t>
  </si>
  <si>
    <t>02 Chuschi</t>
  </si>
  <si>
    <t>03 Los Morochucos</t>
  </si>
  <si>
    <t>04 María Parado de Bellido</t>
  </si>
  <si>
    <t>05 Paras</t>
  </si>
  <si>
    <t>06 Totos</t>
  </si>
  <si>
    <t>01 Sancos</t>
  </si>
  <si>
    <t>02 Carapo</t>
  </si>
  <si>
    <t>03 Sacsamarca</t>
  </si>
  <si>
    <t>04 Santiago de Lucanamarca</t>
  </si>
  <si>
    <t>01 Huanta</t>
  </si>
  <si>
    <t>02 Ayahuanco</t>
  </si>
  <si>
    <t>03 Huamanguilla</t>
  </si>
  <si>
    <t>04 Iguain</t>
  </si>
  <si>
    <t>05 Luricocha</t>
  </si>
  <si>
    <t>06 Santillana</t>
  </si>
  <si>
    <t>07 Sivia</t>
  </si>
  <si>
    <t>08 Llochegua</t>
  </si>
  <si>
    <t>09 Canayre</t>
  </si>
  <si>
    <t>10 Uchuraccay</t>
  </si>
  <si>
    <t>11 Pucacolpa</t>
  </si>
  <si>
    <t>12 Chaca</t>
  </si>
  <si>
    <t>01 San Miguel</t>
  </si>
  <si>
    <t>02 Anco</t>
  </si>
  <si>
    <t>03 Ayna</t>
  </si>
  <si>
    <t>04 Chilcas</t>
  </si>
  <si>
    <t>05 Chungui</t>
  </si>
  <si>
    <t>06 Luis Carranza</t>
  </si>
  <si>
    <t>07 Santa Rosa</t>
  </si>
  <si>
    <t>08 Tambo</t>
  </si>
  <si>
    <t>09 Samugari</t>
  </si>
  <si>
    <t>10 Anchihuay</t>
  </si>
  <si>
    <t>01 Puquio</t>
  </si>
  <si>
    <t>02 Aucara</t>
  </si>
  <si>
    <t>03 Cabana</t>
  </si>
  <si>
    <t>04 Carmen Salcedo</t>
  </si>
  <si>
    <t>05 Chaviña</t>
  </si>
  <si>
    <t>06 Chipao</t>
  </si>
  <si>
    <t>07 Huac-Huas</t>
  </si>
  <si>
    <t>08 Laramate</t>
  </si>
  <si>
    <t>09 Leoncio Prado</t>
  </si>
  <si>
    <t>10 Llauta</t>
  </si>
  <si>
    <t>11 Lucanas</t>
  </si>
  <si>
    <t>12 Ocaña</t>
  </si>
  <si>
    <t>13 Otoca</t>
  </si>
  <si>
    <t>14 Saisa</t>
  </si>
  <si>
    <t>15 San Cristóbal</t>
  </si>
  <si>
    <t>16 San Juan</t>
  </si>
  <si>
    <t>17 San Pedro</t>
  </si>
  <si>
    <t>18 San Pedro de Palco</t>
  </si>
  <si>
    <t>19 Sancos</t>
  </si>
  <si>
    <t>20 Santa Ana de Huaycahuacho</t>
  </si>
  <si>
    <t>21 Santa Lucia</t>
  </si>
  <si>
    <t>01 Coracora</t>
  </si>
  <si>
    <t>02 Chumpi</t>
  </si>
  <si>
    <t>03 Coronel Castañeda</t>
  </si>
  <si>
    <t>04 Pacapausa</t>
  </si>
  <si>
    <t>05 Pullo</t>
  </si>
  <si>
    <t>06 Puyusca</t>
  </si>
  <si>
    <t>07 San Francisco de Ravacayco</t>
  </si>
  <si>
    <t>08 Upahuacho</t>
  </si>
  <si>
    <t>01 Pausa</t>
  </si>
  <si>
    <t>02 Colta</t>
  </si>
  <si>
    <t>03 Corculla</t>
  </si>
  <si>
    <t>04 Lampa</t>
  </si>
  <si>
    <t>05 Marcabamba</t>
  </si>
  <si>
    <t>06 Oyolo</t>
  </si>
  <si>
    <t>07 Pararca</t>
  </si>
  <si>
    <t>08 San Javier de Alpabamba</t>
  </si>
  <si>
    <t>09 San José de Ushua</t>
  </si>
  <si>
    <t>10 Sara Sara</t>
  </si>
  <si>
    <t>01 Querobamba</t>
  </si>
  <si>
    <t>02 Belén</t>
  </si>
  <si>
    <t>03 Chalcos</t>
  </si>
  <si>
    <t>04 Chilcayoc</t>
  </si>
  <si>
    <t>05 Huacaña</t>
  </si>
  <si>
    <t>06 Morcolla</t>
  </si>
  <si>
    <t>07 Paico</t>
  </si>
  <si>
    <t>08 San Pedro de Larcay</t>
  </si>
  <si>
    <t>09 San Salvador de Quije</t>
  </si>
  <si>
    <t>10 Santiago de Paucaray</t>
  </si>
  <si>
    <t>11 Soras</t>
  </si>
  <si>
    <t>01 Huancapi</t>
  </si>
  <si>
    <t>02 Alcamenca</t>
  </si>
  <si>
    <t>03 Apongo</t>
  </si>
  <si>
    <t>04 Asquipata</t>
  </si>
  <si>
    <t>05 Canaria</t>
  </si>
  <si>
    <t>06 Cayara</t>
  </si>
  <si>
    <t>07 Colca</t>
  </si>
  <si>
    <t>08 Huamanquiquia</t>
  </si>
  <si>
    <t>09 Huancaraylla</t>
  </si>
  <si>
    <t>10 Huaya</t>
  </si>
  <si>
    <t>11 Sarhua</t>
  </si>
  <si>
    <t>12 Vilcanchos</t>
  </si>
  <si>
    <t>01 Vilcas Huaman</t>
  </si>
  <si>
    <t>02 Accomarca</t>
  </si>
  <si>
    <t>03 Carhuanca</t>
  </si>
  <si>
    <t>04 Concepción</t>
  </si>
  <si>
    <t>05 Huambalpa</t>
  </si>
  <si>
    <t>06 Independencia</t>
  </si>
  <si>
    <t>07 Saurama</t>
  </si>
  <si>
    <t>08 Vischongo</t>
  </si>
  <si>
    <t>LOC_43</t>
  </si>
  <si>
    <t>LOC_44</t>
  </si>
  <si>
    <t>LOC_45</t>
  </si>
  <si>
    <t>LOC_46</t>
  </si>
  <si>
    <t>LOC_47</t>
  </si>
  <si>
    <t>LOC_48</t>
  </si>
  <si>
    <t>LOC_49</t>
  </si>
  <si>
    <t>LOC_50</t>
  </si>
  <si>
    <t>LOC_51</t>
  </si>
  <si>
    <t>LOC_52</t>
  </si>
  <si>
    <t>LOC_53</t>
  </si>
  <si>
    <t>01 Cajamarca</t>
  </si>
  <si>
    <t>02 Cajabamba</t>
  </si>
  <si>
    <t>03 Celendín</t>
  </si>
  <si>
    <t>04 Chota</t>
  </si>
  <si>
    <t>05 Contumazá</t>
  </si>
  <si>
    <t>06 Cutervo</t>
  </si>
  <si>
    <t>07 Hualgayoc</t>
  </si>
  <si>
    <t>08 Jaén</t>
  </si>
  <si>
    <t>09 San Ignacio</t>
  </si>
  <si>
    <t>10 San Marcos</t>
  </si>
  <si>
    <t>11 San Miguel</t>
  </si>
  <si>
    <t>12 San Pablo</t>
  </si>
  <si>
    <t>13 Santa Cruz</t>
  </si>
  <si>
    <t>03 Chetilla</t>
  </si>
  <si>
    <t>04 Cospan</t>
  </si>
  <si>
    <t>05 Encañada</t>
  </si>
  <si>
    <t>06 Jesús</t>
  </si>
  <si>
    <t>07 Llacanora</t>
  </si>
  <si>
    <t>08 Los Baños del Inca</t>
  </si>
  <si>
    <t>09 Magdalena</t>
  </si>
  <si>
    <t>10 Matara</t>
  </si>
  <si>
    <t>11 Namora</t>
  </si>
  <si>
    <t>12 San Juan</t>
  </si>
  <si>
    <t>01 Cajabamba</t>
  </si>
  <si>
    <t>02 Cachachi</t>
  </si>
  <si>
    <t>03 Condebamba</t>
  </si>
  <si>
    <t>04 Sitacocha</t>
  </si>
  <si>
    <t>01 Celendín</t>
  </si>
  <si>
    <t>02 Chumuch</t>
  </si>
  <si>
    <t>03 Cortegana</t>
  </si>
  <si>
    <t>04 Huasmin</t>
  </si>
  <si>
    <t>05 Jorge Chávez</t>
  </si>
  <si>
    <t>06 José Gálvez</t>
  </si>
  <si>
    <t>07 Miguel Iglesias</t>
  </si>
  <si>
    <t>08 Oxamarca</t>
  </si>
  <si>
    <t>09 Sorochuco</t>
  </si>
  <si>
    <t>10 Sucre</t>
  </si>
  <si>
    <t>11 Utco</t>
  </si>
  <si>
    <t>12 La Libertad de Pallan</t>
  </si>
  <si>
    <t>01 Chota</t>
  </si>
  <si>
    <t>02 Anguia</t>
  </si>
  <si>
    <t>03 Chadin</t>
  </si>
  <si>
    <t>04 Chiguirip</t>
  </si>
  <si>
    <t>05 Chimban</t>
  </si>
  <si>
    <t>06 Choropampa</t>
  </si>
  <si>
    <t>07 Cochabamba</t>
  </si>
  <si>
    <t>08 Conchan</t>
  </si>
  <si>
    <t>09 Huambos</t>
  </si>
  <si>
    <t>10 Lajas</t>
  </si>
  <si>
    <t>11 Llama</t>
  </si>
  <si>
    <t>12 Miracosta</t>
  </si>
  <si>
    <t>13 Paccha</t>
  </si>
  <si>
    <t>14 Pion</t>
  </si>
  <si>
    <t>15 Querocoto</t>
  </si>
  <si>
    <t>16 San Juan de Licupis</t>
  </si>
  <si>
    <t>17 Tacabamba</t>
  </si>
  <si>
    <t>18 Tocmoche</t>
  </si>
  <si>
    <t>19 Chalamarca</t>
  </si>
  <si>
    <t>01 Contumaza</t>
  </si>
  <si>
    <t>02 Chilete</t>
  </si>
  <si>
    <t>03 Cupisnique</t>
  </si>
  <si>
    <t>04 Guzmango</t>
  </si>
  <si>
    <t>05 San Benito</t>
  </si>
  <si>
    <t>06 Santa Cruz de Toledo</t>
  </si>
  <si>
    <t>07 Tantarica</t>
  </si>
  <si>
    <t>08 Yonan</t>
  </si>
  <si>
    <t>01 Cutervo</t>
  </si>
  <si>
    <t>02 Callayuc</t>
  </si>
  <si>
    <t>03 Choros</t>
  </si>
  <si>
    <t>04 Cujillo</t>
  </si>
  <si>
    <t>05 La Ramada</t>
  </si>
  <si>
    <t>06 Pimpingos</t>
  </si>
  <si>
    <t>07 Querocotillo</t>
  </si>
  <si>
    <t>08 San Andrés de Cutervo</t>
  </si>
  <si>
    <t>09 San Juan de Cutervo</t>
  </si>
  <si>
    <t>10 San Luis de Lucma</t>
  </si>
  <si>
    <t>11 Santa Cruz</t>
  </si>
  <si>
    <t>12 Santo Domingo de la Capilla</t>
  </si>
  <si>
    <t>13 Santo Tomas</t>
  </si>
  <si>
    <t>14 Socota</t>
  </si>
  <si>
    <t>15 Toribio Casanova</t>
  </si>
  <si>
    <t>01 Bambamarca</t>
  </si>
  <si>
    <t>02 Chugur</t>
  </si>
  <si>
    <t>03 Hualgayoc</t>
  </si>
  <si>
    <t>01 Jaén</t>
  </si>
  <si>
    <t>02 Bellavista</t>
  </si>
  <si>
    <t>03 Chontali</t>
  </si>
  <si>
    <t>04 Colasay</t>
  </si>
  <si>
    <t>05 Huabal</t>
  </si>
  <si>
    <t>06 Las Pirias</t>
  </si>
  <si>
    <t>07 Pomahuaca</t>
  </si>
  <si>
    <t>08 Pucara</t>
  </si>
  <si>
    <t>09 Sallique</t>
  </si>
  <si>
    <t>10 San Felipe</t>
  </si>
  <si>
    <t>11 San José del Alto</t>
  </si>
  <si>
    <t>12 Santa Rosa</t>
  </si>
  <si>
    <t>01 San Ignacio</t>
  </si>
  <si>
    <t>02 Chirinos</t>
  </si>
  <si>
    <t>03 Huarango</t>
  </si>
  <si>
    <t>04 La Coipa</t>
  </si>
  <si>
    <t>05 Namballe</t>
  </si>
  <si>
    <t>06 San José de Lourdes</t>
  </si>
  <si>
    <t>07 Tabaconas</t>
  </si>
  <si>
    <t>01 Pedro Gálvez</t>
  </si>
  <si>
    <t>02 Chancay</t>
  </si>
  <si>
    <t>03 Eduardo Villanueva</t>
  </si>
  <si>
    <t>04 Gregorio Pita</t>
  </si>
  <si>
    <t>05 Ichocan</t>
  </si>
  <si>
    <t>06 José Manuel Quiroz</t>
  </si>
  <si>
    <t>07 José Sabogal</t>
  </si>
  <si>
    <t>02 Bolívar</t>
  </si>
  <si>
    <t>03 Calquis</t>
  </si>
  <si>
    <t>04 Catilluc</t>
  </si>
  <si>
    <t>05 El Prado</t>
  </si>
  <si>
    <t>06 La Florida</t>
  </si>
  <si>
    <t>07 Llapa</t>
  </si>
  <si>
    <t>08 Nanchoc</t>
  </si>
  <si>
    <t>09 Niepos</t>
  </si>
  <si>
    <t>10 San Gregorio</t>
  </si>
  <si>
    <t>11 San Silvestre de Cochan</t>
  </si>
  <si>
    <t>12 Tongod</t>
  </si>
  <si>
    <t>13 Unión Agua Blanca</t>
  </si>
  <si>
    <t>01 San Pablo</t>
  </si>
  <si>
    <t>02 San Bernardino</t>
  </si>
  <si>
    <t>03 San Luis</t>
  </si>
  <si>
    <t>04 Tumbaden</t>
  </si>
  <si>
    <t>01 Santa Cruz</t>
  </si>
  <si>
    <t>02 Andabamba</t>
  </si>
  <si>
    <t>03 Catache</t>
  </si>
  <si>
    <t>04 Chancaybaños</t>
  </si>
  <si>
    <t>05 La Esperanza</t>
  </si>
  <si>
    <t>06 Ninabamba</t>
  </si>
  <si>
    <t>07 Pulan</t>
  </si>
  <si>
    <t>08 Saucepampa</t>
  </si>
  <si>
    <t>09 Sexi</t>
  </si>
  <si>
    <t>10 Uticyacu</t>
  </si>
  <si>
    <t>11 Yauyucan</t>
  </si>
  <si>
    <t>LOC_54</t>
  </si>
  <si>
    <t>LOC_55</t>
  </si>
  <si>
    <t>LOC_56</t>
  </si>
  <si>
    <t>LOC_57</t>
  </si>
  <si>
    <t>LOC_58</t>
  </si>
  <si>
    <t>LOC_59</t>
  </si>
  <si>
    <t>LOC_60</t>
  </si>
  <si>
    <t>LOC_61</t>
  </si>
  <si>
    <t>LOC_62</t>
  </si>
  <si>
    <t>LOC_63</t>
  </si>
  <si>
    <t>LOC_64</t>
  </si>
  <si>
    <t>LOC_65</t>
  </si>
  <si>
    <t>LOC_66</t>
  </si>
  <si>
    <t>01 Cusco</t>
  </si>
  <si>
    <t>02 Acomayo</t>
  </si>
  <si>
    <t>03 Anta</t>
  </si>
  <si>
    <t>04 Calca</t>
  </si>
  <si>
    <t>05 Canas</t>
  </si>
  <si>
    <t>06 Canchis</t>
  </si>
  <si>
    <t>07 Chumbivilcas</t>
  </si>
  <si>
    <t>08 Espinar</t>
  </si>
  <si>
    <t>09 La Convención</t>
  </si>
  <si>
    <t>10 Paruro</t>
  </si>
  <si>
    <t>11 Paucartambo</t>
  </si>
  <si>
    <t>12 Quispicanchi</t>
  </si>
  <si>
    <t>13 Urubamba</t>
  </si>
  <si>
    <t>02 Ccorca</t>
  </si>
  <si>
    <t>03 Poroy</t>
  </si>
  <si>
    <t>04 San Jerónimo</t>
  </si>
  <si>
    <t>05 San Sebastian</t>
  </si>
  <si>
    <t>06 Santiago</t>
  </si>
  <si>
    <t>07 Saylla</t>
  </si>
  <si>
    <t>08 Wanchaq</t>
  </si>
  <si>
    <t>01 Acomayo</t>
  </si>
  <si>
    <t>02 Acopia</t>
  </si>
  <si>
    <t>03 Acos</t>
  </si>
  <si>
    <t>04 Mosoc Llacta</t>
  </si>
  <si>
    <t>05 Pomacanchi</t>
  </si>
  <si>
    <t>06 Rondocan</t>
  </si>
  <si>
    <t>07 Sangarara</t>
  </si>
  <si>
    <t>01 Anta</t>
  </si>
  <si>
    <t>02 Ancahuasi</t>
  </si>
  <si>
    <t>03 Cachimayo</t>
  </si>
  <si>
    <t>04 Chinchaypujio</t>
  </si>
  <si>
    <t>05 Huarocondo</t>
  </si>
  <si>
    <t>06 Limatambo</t>
  </si>
  <si>
    <t>07 Mollepata</t>
  </si>
  <si>
    <t>08 Pucyura</t>
  </si>
  <si>
    <t>09 Zurite</t>
  </si>
  <si>
    <t>01 Calca</t>
  </si>
  <si>
    <t>02 Coya</t>
  </si>
  <si>
    <t>03 Lamay</t>
  </si>
  <si>
    <t>04 Lares</t>
  </si>
  <si>
    <t>05 Pisac</t>
  </si>
  <si>
    <t>06 San Salvador</t>
  </si>
  <si>
    <t>07 Taray</t>
  </si>
  <si>
    <t>08 Yanatile</t>
  </si>
  <si>
    <t>01 Yanaoca</t>
  </si>
  <si>
    <t>02 Checca</t>
  </si>
  <si>
    <t>03 Kunturkanki</t>
  </si>
  <si>
    <t>04 Langui</t>
  </si>
  <si>
    <t>05 Layo</t>
  </si>
  <si>
    <t>06 Pampamarca</t>
  </si>
  <si>
    <t>07 Quehue</t>
  </si>
  <si>
    <t>08 Tupac Amaru</t>
  </si>
  <si>
    <t>01 Sicuani</t>
  </si>
  <si>
    <t>02 Checacupe</t>
  </si>
  <si>
    <t>03 Combapata</t>
  </si>
  <si>
    <t>04 Marangani</t>
  </si>
  <si>
    <t>05 Pitumarca</t>
  </si>
  <si>
    <t>06 San Pablo</t>
  </si>
  <si>
    <t>07 San Pedro</t>
  </si>
  <si>
    <t>08 Tinta</t>
  </si>
  <si>
    <t>01 Santo Tomas</t>
  </si>
  <si>
    <t>02 Capacmarca</t>
  </si>
  <si>
    <t>03 Chamaca</t>
  </si>
  <si>
    <t>04 Colquemarca</t>
  </si>
  <si>
    <t>05 Livitaca</t>
  </si>
  <si>
    <t>06 Llusco</t>
  </si>
  <si>
    <t>07 Quiñota</t>
  </si>
  <si>
    <t>08 Velille</t>
  </si>
  <si>
    <t>01 Espinar</t>
  </si>
  <si>
    <t>02 Condoroma</t>
  </si>
  <si>
    <t>03 Coporaque</t>
  </si>
  <si>
    <t>04 Ocoruro</t>
  </si>
  <si>
    <t>05 Pallpata</t>
  </si>
  <si>
    <t>06 Pichigua</t>
  </si>
  <si>
    <t>07 Suyckutambo</t>
  </si>
  <si>
    <t>08 Alto Pichigua</t>
  </si>
  <si>
    <t>01 Santa Ana</t>
  </si>
  <si>
    <t>02 Echarate</t>
  </si>
  <si>
    <t>03 Huayopata</t>
  </si>
  <si>
    <t>04 Maranura</t>
  </si>
  <si>
    <t>06 Quellouno</t>
  </si>
  <si>
    <t>10 Pichari</t>
  </si>
  <si>
    <t>01 Paruro</t>
  </si>
  <si>
    <t>02 Accha</t>
  </si>
  <si>
    <t>03 Ccapi</t>
  </si>
  <si>
    <t>04 Colcha</t>
  </si>
  <si>
    <t>05 Huanoquite</t>
  </si>
  <si>
    <t>06 Omacha</t>
  </si>
  <si>
    <t>07 Paccaritambo</t>
  </si>
  <si>
    <t>08 Pillpinto</t>
  </si>
  <si>
    <t>09 Yaurisque</t>
  </si>
  <si>
    <t>01 Paucartambo</t>
  </si>
  <si>
    <t>02 Caicay</t>
  </si>
  <si>
    <t>03 Challabamba</t>
  </si>
  <si>
    <t>04 Colquepata</t>
  </si>
  <si>
    <t>05 Huancarani</t>
  </si>
  <si>
    <t>06 Kosñipata</t>
  </si>
  <si>
    <t>01 Urcos</t>
  </si>
  <si>
    <t>02 Andahuaylillas</t>
  </si>
  <si>
    <t>03 Camanti</t>
  </si>
  <si>
    <t>04 Ccarhuayo</t>
  </si>
  <si>
    <t>05 Ccatca</t>
  </si>
  <si>
    <t>06 Cusipata</t>
  </si>
  <si>
    <t>07 Huaro</t>
  </si>
  <si>
    <t>08 Lucre</t>
  </si>
  <si>
    <t>09 Marcapata</t>
  </si>
  <si>
    <t>10 Ocongate</t>
  </si>
  <si>
    <t>11 Oropesa</t>
  </si>
  <si>
    <t>12 Quiquijana</t>
  </si>
  <si>
    <t>01 Urubamba</t>
  </si>
  <si>
    <t>02 Chinchero</t>
  </si>
  <si>
    <t>03 Huayllabamba</t>
  </si>
  <si>
    <t>04 Machupicchu</t>
  </si>
  <si>
    <t>05 Maras</t>
  </si>
  <si>
    <t>06 Ollantaytambo</t>
  </si>
  <si>
    <t>07 Yucay</t>
  </si>
  <si>
    <t>LOC_67</t>
  </si>
  <si>
    <t>LOC_68</t>
  </si>
  <si>
    <t>LOC_69</t>
  </si>
  <si>
    <t>LOC_70</t>
  </si>
  <si>
    <t>LOC_71</t>
  </si>
  <si>
    <t>LOC_72</t>
  </si>
  <si>
    <t>LOC_73</t>
  </si>
  <si>
    <t>LOC_74</t>
  </si>
  <si>
    <t>LOC_75</t>
  </si>
  <si>
    <t>LOC_76</t>
  </si>
  <si>
    <t>LOC_77</t>
  </si>
  <si>
    <t>01 Huancavelica</t>
  </si>
  <si>
    <t>03 Angaraes</t>
  </si>
  <si>
    <t>04 Castrovirreyna</t>
  </si>
  <si>
    <t>05 Churcampa</t>
  </si>
  <si>
    <t>06 Huaytará</t>
  </si>
  <si>
    <t>07 Tayacaja</t>
  </si>
  <si>
    <t>02 Acobambilla</t>
  </si>
  <si>
    <t>03 Acoria</t>
  </si>
  <si>
    <t>04 Conayca</t>
  </si>
  <si>
    <t>05 Cuenca</t>
  </si>
  <si>
    <t>06 Huachocolpa</t>
  </si>
  <si>
    <t>07 Huayllahuara</t>
  </si>
  <si>
    <t>08 Izcuchaca</t>
  </si>
  <si>
    <t>09 Laria</t>
  </si>
  <si>
    <t>10 Manta</t>
  </si>
  <si>
    <t>11 Mariscal Cáceres</t>
  </si>
  <si>
    <t>12 Moya</t>
  </si>
  <si>
    <t>13 Nuevo Occoro</t>
  </si>
  <si>
    <t>14 Palca</t>
  </si>
  <si>
    <t>15 Pilchaca</t>
  </si>
  <si>
    <t>16 Vilca</t>
  </si>
  <si>
    <t>17 Yauli</t>
  </si>
  <si>
    <t>18 Ascensión</t>
  </si>
  <si>
    <t>19 Huando</t>
  </si>
  <si>
    <t>01 Acobamba</t>
  </si>
  <si>
    <t>04 Caja</t>
  </si>
  <si>
    <t>05 Marcas</t>
  </si>
  <si>
    <t>06 Paucara</t>
  </si>
  <si>
    <t>07 Pomacocha</t>
  </si>
  <si>
    <t>08 Rosario</t>
  </si>
  <si>
    <t>01 Lircay</t>
  </si>
  <si>
    <t>02 Anchonga</t>
  </si>
  <si>
    <t>03 Callanmarca</t>
  </si>
  <si>
    <t>04 Ccochaccasa</t>
  </si>
  <si>
    <t>05 Chincho</t>
  </si>
  <si>
    <t>06 Congalla</t>
  </si>
  <si>
    <t>07 Huanca-Huanca</t>
  </si>
  <si>
    <t>08 Huayllay Grande</t>
  </si>
  <si>
    <t>09 Julcamarca</t>
  </si>
  <si>
    <t>10 San Antonio de Antaparco</t>
  </si>
  <si>
    <t>11 Santo Tomas de Pata</t>
  </si>
  <si>
    <t>12 Secclla</t>
  </si>
  <si>
    <t>01 Castrovirreyna</t>
  </si>
  <si>
    <t>02 Arma</t>
  </si>
  <si>
    <t>03 Aurahua</t>
  </si>
  <si>
    <t>04 Capillas</t>
  </si>
  <si>
    <t>05 Chupamarca</t>
  </si>
  <si>
    <t>06 Cocas</t>
  </si>
  <si>
    <t>07 Huachos</t>
  </si>
  <si>
    <t>08 Huamatambo</t>
  </si>
  <si>
    <t>09 Mollepampa</t>
  </si>
  <si>
    <t>10 San Juan</t>
  </si>
  <si>
    <t>11 Santa Ana</t>
  </si>
  <si>
    <t>12 Tantara</t>
  </si>
  <si>
    <t>13 Ticrapo</t>
  </si>
  <si>
    <t>01 Churcampa</t>
  </si>
  <si>
    <t>03 Chinchihuasi</t>
  </si>
  <si>
    <t>04 El Carmen</t>
  </si>
  <si>
    <t>05 La Merced</t>
  </si>
  <si>
    <t>06 Locroja</t>
  </si>
  <si>
    <t>07 Paucarbamba</t>
  </si>
  <si>
    <t>08 San Miguel de Mayocc</t>
  </si>
  <si>
    <t>09 San Pedro de Coris</t>
  </si>
  <si>
    <t>10 Pachamarca</t>
  </si>
  <si>
    <t>11 Cosme</t>
  </si>
  <si>
    <t>01 Huaytara</t>
  </si>
  <si>
    <t>02 Ayavi</t>
  </si>
  <si>
    <t>03 Córdova</t>
  </si>
  <si>
    <t>04 Huayacundo Arma</t>
  </si>
  <si>
    <t>05 Laramarca</t>
  </si>
  <si>
    <t>06 Ocoyo</t>
  </si>
  <si>
    <t>07 Pilpichaca</t>
  </si>
  <si>
    <t>08 Querco</t>
  </si>
  <si>
    <t>09 Quito-Arma</t>
  </si>
  <si>
    <t>10 San Antonio de Cusicancha</t>
  </si>
  <si>
    <t>11 San Francisco de Sangayaico</t>
  </si>
  <si>
    <t>12 San Isidro</t>
  </si>
  <si>
    <t>13 Santiago de Chocorvos</t>
  </si>
  <si>
    <t>14 Santiago de Quirahuara</t>
  </si>
  <si>
    <t>15 Santo Domingo de Capillas</t>
  </si>
  <si>
    <t>16 Tambo</t>
  </si>
  <si>
    <t>01 Pampas</t>
  </si>
  <si>
    <t>02 Acostambo</t>
  </si>
  <si>
    <t>03 Acraquia</t>
  </si>
  <si>
    <t>04 Ahuaycha</t>
  </si>
  <si>
    <t>06 Daniel Hernández</t>
  </si>
  <si>
    <t>07 Huachocolpa</t>
  </si>
  <si>
    <t>09 Huaribamba</t>
  </si>
  <si>
    <t>10 Ñahuimpuquio</t>
  </si>
  <si>
    <t>11 Pazos</t>
  </si>
  <si>
    <t>13 Quishuar</t>
  </si>
  <si>
    <t>14 Salcabamba</t>
  </si>
  <si>
    <t>15 Salcahuasi</t>
  </si>
  <si>
    <t>16 San Marcos de Rocchac</t>
  </si>
  <si>
    <t>17 Surcubamba</t>
  </si>
  <si>
    <t>18 Tintay Puncu</t>
  </si>
  <si>
    <t>19 Quichuas</t>
  </si>
  <si>
    <t>20 Andaymarca</t>
  </si>
  <si>
    <t>21 Roble</t>
  </si>
  <si>
    <t>22 Pichos</t>
  </si>
  <si>
    <t>LOC_78</t>
  </si>
  <si>
    <t>LOC_79</t>
  </si>
  <si>
    <t>LOC_80</t>
  </si>
  <si>
    <t>LOC_81</t>
  </si>
  <si>
    <t>LOC_82</t>
  </si>
  <si>
    <t>LOC_83</t>
  </si>
  <si>
    <t>LOC_84</t>
  </si>
  <si>
    <t>01 Huánuco</t>
  </si>
  <si>
    <t>02 Ambo</t>
  </si>
  <si>
    <t>03 Dos de Mayo</t>
  </si>
  <si>
    <t>04 Huacaybamba</t>
  </si>
  <si>
    <t>05 Huamalíes</t>
  </si>
  <si>
    <t>06 Leoncio Prado</t>
  </si>
  <si>
    <t>07 Marañón</t>
  </si>
  <si>
    <t>08 Pachitea</t>
  </si>
  <si>
    <t>09 Puerto Inca</t>
  </si>
  <si>
    <t xml:space="preserve">10 Lauricocha </t>
  </si>
  <si>
    <t xml:space="preserve">11 Yarowilca </t>
  </si>
  <si>
    <t>02 Amarilis</t>
  </si>
  <si>
    <t>03 Chinchao</t>
  </si>
  <si>
    <t>04 Churubamba</t>
  </si>
  <si>
    <t>05 Margos</t>
  </si>
  <si>
    <t>06 Quisqui (Kichki)</t>
  </si>
  <si>
    <t>07 San Francisco de Cayran</t>
  </si>
  <si>
    <t>08 San Pedro de Chaulan</t>
  </si>
  <si>
    <t>09 Santa María del Valle</t>
  </si>
  <si>
    <t>10 Yarumayo</t>
  </si>
  <si>
    <t>11 Pillco Marca</t>
  </si>
  <si>
    <t>12 Yacus</t>
  </si>
  <si>
    <t>13 San Pablo de Pillao</t>
  </si>
  <si>
    <t>01 Ambo</t>
  </si>
  <si>
    <t>02 Cayna</t>
  </si>
  <si>
    <t>03 Colpas</t>
  </si>
  <si>
    <t>04 Conchamarca</t>
  </si>
  <si>
    <t>05 Huacar</t>
  </si>
  <si>
    <t>06 San Francisco</t>
  </si>
  <si>
    <t>07 San Rafael</t>
  </si>
  <si>
    <t>08 Tomay Kichwa</t>
  </si>
  <si>
    <t>01 La Unión</t>
  </si>
  <si>
    <t>07 Chuquis</t>
  </si>
  <si>
    <t>11 Marías</t>
  </si>
  <si>
    <t>13 Pachas</t>
  </si>
  <si>
    <t>16 Quivilla</t>
  </si>
  <si>
    <t>17 Ripan</t>
  </si>
  <si>
    <t>21 Shunqui</t>
  </si>
  <si>
    <t>22 Sillapata</t>
  </si>
  <si>
    <t>23 Yanas</t>
  </si>
  <si>
    <t>01 Huacaybamba</t>
  </si>
  <si>
    <t>02 Canchabamba</t>
  </si>
  <si>
    <t>03 Cochabamba</t>
  </si>
  <si>
    <t>04 Pinra</t>
  </si>
  <si>
    <t>01 Llata</t>
  </si>
  <si>
    <t>02 Arancay</t>
  </si>
  <si>
    <t>03 Chavín de Pariarca</t>
  </si>
  <si>
    <t>04 Jacas Grande</t>
  </si>
  <si>
    <t>05 Jircan</t>
  </si>
  <si>
    <t>06 Miraflores</t>
  </si>
  <si>
    <t>07 Monzón</t>
  </si>
  <si>
    <t>08 Punchao</t>
  </si>
  <si>
    <t>09 Puños</t>
  </si>
  <si>
    <t>10 Singa</t>
  </si>
  <si>
    <t>11 Tantamayo</t>
  </si>
  <si>
    <t>01 Rupa-Rupa</t>
  </si>
  <si>
    <t>02 Daniel Alomía Robles</t>
  </si>
  <si>
    <t>03 Hermílio Valdizan</t>
  </si>
  <si>
    <t>04 José Crespo y Castillo</t>
  </si>
  <si>
    <t>05 Luyando</t>
  </si>
  <si>
    <t>06 Mariano Damaso Beraun</t>
  </si>
  <si>
    <t>07 Pucayacu</t>
  </si>
  <si>
    <t>08 Castillo Grande</t>
  </si>
  <si>
    <t>01 Huacrachuco</t>
  </si>
  <si>
    <t>02 Cholon</t>
  </si>
  <si>
    <t>03 San Buenaventura</t>
  </si>
  <si>
    <t>04 La Morada</t>
  </si>
  <si>
    <t>05 Santa Rosa de Alto Yanajanca</t>
  </si>
  <si>
    <t>01 Panao</t>
  </si>
  <si>
    <t>02 Chaglla</t>
  </si>
  <si>
    <t>03 Molino</t>
  </si>
  <si>
    <t>04 Umari</t>
  </si>
  <si>
    <t>01 Puerto Inca</t>
  </si>
  <si>
    <t>02 Codo del Pozuzo</t>
  </si>
  <si>
    <t>03 Honoria</t>
  </si>
  <si>
    <t>04 Tournavista</t>
  </si>
  <si>
    <t>05 Yuyapichis</t>
  </si>
  <si>
    <t>01 Jesús</t>
  </si>
  <si>
    <t>02 Baños</t>
  </si>
  <si>
    <t>03 Jivia</t>
  </si>
  <si>
    <t>04 Queropalca</t>
  </si>
  <si>
    <t>05 Rondos</t>
  </si>
  <si>
    <t>06 San Francisco de Asís</t>
  </si>
  <si>
    <t>07 San Miguel de Cauri</t>
  </si>
  <si>
    <t>01 Chavinillo</t>
  </si>
  <si>
    <t>02 Cahuac</t>
  </si>
  <si>
    <t>03 Chacabamba</t>
  </si>
  <si>
    <t>04 Aparicio Pomares</t>
  </si>
  <si>
    <t>05 Jacas Chico</t>
  </si>
  <si>
    <t>06 Obas</t>
  </si>
  <si>
    <t>07 Pampamarca</t>
  </si>
  <si>
    <t>08 Choras</t>
  </si>
  <si>
    <t>LOC_85</t>
  </si>
  <si>
    <t>LOC_86</t>
  </si>
  <si>
    <t>LOC_87</t>
  </si>
  <si>
    <t>LOC_88</t>
  </si>
  <si>
    <t>LOC_89</t>
  </si>
  <si>
    <t>LOC_90</t>
  </si>
  <si>
    <t>LOC_91</t>
  </si>
  <si>
    <t>LOC_92</t>
  </si>
  <si>
    <t>LOC_93</t>
  </si>
  <si>
    <t>LOC_94</t>
  </si>
  <si>
    <t>LOC_95</t>
  </si>
  <si>
    <t xml:space="preserve">01 Ica </t>
  </si>
  <si>
    <t xml:space="preserve">02 Chincha </t>
  </si>
  <si>
    <t xml:space="preserve">03 Nasca </t>
  </si>
  <si>
    <t xml:space="preserve">04 Palpa </t>
  </si>
  <si>
    <t xml:space="preserve">05 Pisco </t>
  </si>
  <si>
    <t>01 Ica</t>
  </si>
  <si>
    <t>02 La Tinguiña</t>
  </si>
  <si>
    <t>03 Los Aquijes</t>
  </si>
  <si>
    <t>04 Ocucaje</t>
  </si>
  <si>
    <t>05 Pachacutec</t>
  </si>
  <si>
    <t>06 Parcona</t>
  </si>
  <si>
    <t>07 Pueblo Nuevo</t>
  </si>
  <si>
    <t>08 Salas</t>
  </si>
  <si>
    <t>09 San José de Los Molinos</t>
  </si>
  <si>
    <t>11 Santiago</t>
  </si>
  <si>
    <t>12 Subtanjalla</t>
  </si>
  <si>
    <t>13 Tate</t>
  </si>
  <si>
    <t>14 Yauca del Rosario</t>
  </si>
  <si>
    <t>01 Chincha Alta</t>
  </si>
  <si>
    <t>02 Alto Laran</t>
  </si>
  <si>
    <t>03 Chavin</t>
  </si>
  <si>
    <t>04 Chincha Baja</t>
  </si>
  <si>
    <t>05 El Carmen</t>
  </si>
  <si>
    <t>06 Grocio Prado</t>
  </si>
  <si>
    <t>08 San Juan de Yanac</t>
  </si>
  <si>
    <t>09 San Pedro de Huacarpana</t>
  </si>
  <si>
    <t>10 Sunampe</t>
  </si>
  <si>
    <t>11 Tambo de Mora</t>
  </si>
  <si>
    <t>01 Nasca</t>
  </si>
  <si>
    <t>02 Changuillo</t>
  </si>
  <si>
    <t>03 El Ingenio</t>
  </si>
  <si>
    <t>04 Marcona</t>
  </si>
  <si>
    <t>05 Vista Alegre</t>
  </si>
  <si>
    <t>01 Palpa</t>
  </si>
  <si>
    <t>02 Llipata</t>
  </si>
  <si>
    <t>03 Río Grande</t>
  </si>
  <si>
    <t>04 Santa Cruz</t>
  </si>
  <si>
    <t>05 Tibillo</t>
  </si>
  <si>
    <t>01 Pisco</t>
  </si>
  <si>
    <t>02 Huancano</t>
  </si>
  <si>
    <t>03 Humay</t>
  </si>
  <si>
    <t>04 Independencia</t>
  </si>
  <si>
    <t>05 Paracas</t>
  </si>
  <si>
    <t>06 San Andrés</t>
  </si>
  <si>
    <t>07 San Clemente</t>
  </si>
  <si>
    <t>08 Tupac Amaru Inca</t>
  </si>
  <si>
    <t>LOC_96</t>
  </si>
  <si>
    <t>LOC_97</t>
  </si>
  <si>
    <t>LOC_98</t>
  </si>
  <si>
    <t>LOC_99</t>
  </si>
  <si>
    <t>LOC_100</t>
  </si>
  <si>
    <t>LOC_101</t>
  </si>
  <si>
    <t>LOC_102</t>
  </si>
  <si>
    <t>LOC_103</t>
  </si>
  <si>
    <t>LOC_104</t>
  </si>
  <si>
    <t>LOC_105</t>
  </si>
  <si>
    <t>LOC_106</t>
  </si>
  <si>
    <t>LOC_107</t>
  </si>
  <si>
    <t>LOC_108</t>
  </si>
  <si>
    <t>LOC_109</t>
  </si>
  <si>
    <t xml:space="preserve">01 Huancayo </t>
  </si>
  <si>
    <t xml:space="preserve">02 Concepción </t>
  </si>
  <si>
    <t xml:space="preserve">03 Chanchamayo </t>
  </si>
  <si>
    <t xml:space="preserve">04 Jauja </t>
  </si>
  <si>
    <t xml:space="preserve">05 Junín </t>
  </si>
  <si>
    <t xml:space="preserve">06 Satipo </t>
  </si>
  <si>
    <t xml:space="preserve">07 Tarma </t>
  </si>
  <si>
    <t xml:space="preserve">08 Yauli </t>
  </si>
  <si>
    <t xml:space="preserve">09 Chupaca </t>
  </si>
  <si>
    <t>01 Huancayo</t>
  </si>
  <si>
    <t>04 Carhuacallanga</t>
  </si>
  <si>
    <t>05 Chacapampa</t>
  </si>
  <si>
    <t>06 Chicche</t>
  </si>
  <si>
    <t>07 Chilca</t>
  </si>
  <si>
    <t>08 Chongos Alto</t>
  </si>
  <si>
    <t>11 Chupuro</t>
  </si>
  <si>
    <t>12 Colca</t>
  </si>
  <si>
    <t>13 Cullhuas</t>
  </si>
  <si>
    <t>14 El Tambo</t>
  </si>
  <si>
    <t>16 Huacrapuquio</t>
  </si>
  <si>
    <t>17 Hualhuas</t>
  </si>
  <si>
    <t>19 Huancan</t>
  </si>
  <si>
    <t>20 Huasicancha</t>
  </si>
  <si>
    <t>21 Huayucachi</t>
  </si>
  <si>
    <t>22 Ingenio</t>
  </si>
  <si>
    <t>24 Pariahuanca</t>
  </si>
  <si>
    <t>25 Pilcomayo</t>
  </si>
  <si>
    <t>26 Pucara</t>
  </si>
  <si>
    <t>27 Quichuay</t>
  </si>
  <si>
    <t>28 Quilcas</t>
  </si>
  <si>
    <t>29 San Agustín</t>
  </si>
  <si>
    <t>30 San Jerónimo de Tunan</t>
  </si>
  <si>
    <t>32 Saño</t>
  </si>
  <si>
    <t>33 Sapallanga</t>
  </si>
  <si>
    <t>34 Sicaya</t>
  </si>
  <si>
    <t>35 Santo Domingo de Acobamba</t>
  </si>
  <si>
    <t>36 Viques</t>
  </si>
  <si>
    <t>01 Concepción</t>
  </si>
  <si>
    <t>03 Andamarca</t>
  </si>
  <si>
    <t>04 Chambara</t>
  </si>
  <si>
    <t>06 Comas</t>
  </si>
  <si>
    <t>07 Heroínas Toledo</t>
  </si>
  <si>
    <t>08 Manzanares</t>
  </si>
  <si>
    <t>09 Mariscal Castilla</t>
  </si>
  <si>
    <t>10 Matahuasi</t>
  </si>
  <si>
    <t>11 Mito</t>
  </si>
  <si>
    <t>12 Nueve de Julio</t>
  </si>
  <si>
    <t>13 Orcotuna</t>
  </si>
  <si>
    <t>14 San José de Quero</t>
  </si>
  <si>
    <t>15 Santa Rosa de Ocopa</t>
  </si>
  <si>
    <t>01 Chanchamayo</t>
  </si>
  <si>
    <t>02 Perene</t>
  </si>
  <si>
    <t>03 Pichanaqui</t>
  </si>
  <si>
    <t>04 San Luis de Shuaro</t>
  </si>
  <si>
    <t>05 San Ramón</t>
  </si>
  <si>
    <t>06 Vitoc</t>
  </si>
  <si>
    <t>01 Jauja</t>
  </si>
  <si>
    <t>02 Acolla</t>
  </si>
  <si>
    <t>03 Apata</t>
  </si>
  <si>
    <t>04 Ataura</t>
  </si>
  <si>
    <t>05 Canchayllo</t>
  </si>
  <si>
    <t>06 Curicaca</t>
  </si>
  <si>
    <t>07 El Mantaro</t>
  </si>
  <si>
    <t>08 Huamali</t>
  </si>
  <si>
    <t>09 Huaripampa</t>
  </si>
  <si>
    <t>10 Huertas</t>
  </si>
  <si>
    <t>11 Janjaillo</t>
  </si>
  <si>
    <t>12 Julcán</t>
  </si>
  <si>
    <t>13 Leonor Ordóñez</t>
  </si>
  <si>
    <t>14 Llocllapampa</t>
  </si>
  <si>
    <t>15 Marco</t>
  </si>
  <si>
    <t>16 Masma</t>
  </si>
  <si>
    <t>17 Masma Chicche</t>
  </si>
  <si>
    <t>18 Molinos</t>
  </si>
  <si>
    <t>19 Monobamba</t>
  </si>
  <si>
    <t>20 Muqui</t>
  </si>
  <si>
    <t>21 Muquiyauyo</t>
  </si>
  <si>
    <t>22 Paca</t>
  </si>
  <si>
    <t>23 Paccha</t>
  </si>
  <si>
    <t>24 Pancan</t>
  </si>
  <si>
    <t>25 Parco</t>
  </si>
  <si>
    <t>26 Pomacancha</t>
  </si>
  <si>
    <t>27 Ricran</t>
  </si>
  <si>
    <t>28 San Lorenzo</t>
  </si>
  <si>
    <t>29 San Pedro de Chunan</t>
  </si>
  <si>
    <t>30 Sausa</t>
  </si>
  <si>
    <t>31 Sincos</t>
  </si>
  <si>
    <t>32 Tunan Marca</t>
  </si>
  <si>
    <t>33 Yauli</t>
  </si>
  <si>
    <t>34 Yauyos</t>
  </si>
  <si>
    <t>01 Junin</t>
  </si>
  <si>
    <t>02 Carhuamayo</t>
  </si>
  <si>
    <t>03 Ondores</t>
  </si>
  <si>
    <t>04 Ulcumayo</t>
  </si>
  <si>
    <t>01 Satipo</t>
  </si>
  <si>
    <t>02 Coviriali</t>
  </si>
  <si>
    <t>03 Llaylla</t>
  </si>
  <si>
    <t>04 Mazamari</t>
  </si>
  <si>
    <t>05 Pampa Hermosa</t>
  </si>
  <si>
    <t>06 Pangoa</t>
  </si>
  <si>
    <t>07 Río Negro</t>
  </si>
  <si>
    <t>08 Río Tambo</t>
  </si>
  <si>
    <t>09 Vizcatan del Ene</t>
  </si>
  <si>
    <t>01 Tarma</t>
  </si>
  <si>
    <t>03 Huaricolca</t>
  </si>
  <si>
    <t>04 Huasahuasi</t>
  </si>
  <si>
    <t>05 La Unión</t>
  </si>
  <si>
    <t>06 Palca</t>
  </si>
  <si>
    <t>07 Palcamayo</t>
  </si>
  <si>
    <t>08 San Pedro de Cajas</t>
  </si>
  <si>
    <t>09 Tapo</t>
  </si>
  <si>
    <t>01 La Oroya</t>
  </si>
  <si>
    <t>02 Chacapalpa</t>
  </si>
  <si>
    <t>03 Huay-Huay</t>
  </si>
  <si>
    <t>04 Marcapomacocha</t>
  </si>
  <si>
    <t>05 Morococha</t>
  </si>
  <si>
    <t>06 Paccha</t>
  </si>
  <si>
    <t>07 Santa Bárbara de Carhuacayan</t>
  </si>
  <si>
    <t>08 Santa Rosa de Sacco</t>
  </si>
  <si>
    <t>09 Suitucancha</t>
  </si>
  <si>
    <t>10 Yauli</t>
  </si>
  <si>
    <t>01 Chupaca</t>
  </si>
  <si>
    <t>02 Ahuac</t>
  </si>
  <si>
    <t>03 Chongos Bajo</t>
  </si>
  <si>
    <t>04 Huachac</t>
  </si>
  <si>
    <t>05 Huamancaca Chico</t>
  </si>
  <si>
    <t>06 San Juan de Iscos</t>
  </si>
  <si>
    <t>07 San Juan de Jarpa</t>
  </si>
  <si>
    <t>08 Tres de Diciembre</t>
  </si>
  <si>
    <t>09 Yanacancha</t>
  </si>
  <si>
    <t xml:space="preserve">01 Trujillo </t>
  </si>
  <si>
    <t xml:space="preserve">02 Ascope </t>
  </si>
  <si>
    <t xml:space="preserve">03 Bolívar </t>
  </si>
  <si>
    <t xml:space="preserve">04 Chepén </t>
  </si>
  <si>
    <t xml:space="preserve">05 Julcán </t>
  </si>
  <si>
    <t xml:space="preserve">06 Otuzco </t>
  </si>
  <si>
    <t xml:space="preserve">07 Pacasmayo </t>
  </si>
  <si>
    <t xml:space="preserve">08 Pataz </t>
  </si>
  <si>
    <t xml:space="preserve">09 Sánchez Carrión </t>
  </si>
  <si>
    <t xml:space="preserve">10 Santiago de Chuco </t>
  </si>
  <si>
    <t xml:space="preserve">11 Gran Chimú </t>
  </si>
  <si>
    <t xml:space="preserve">12 Virú </t>
  </si>
  <si>
    <t>01 Trujillo</t>
  </si>
  <si>
    <t>02 El Porvenir</t>
  </si>
  <si>
    <t>03 Florencia de Mora</t>
  </si>
  <si>
    <t>04 Huanchaco</t>
  </si>
  <si>
    <t>06 Laredo</t>
  </si>
  <si>
    <t>07 Moche</t>
  </si>
  <si>
    <t>08 Poroto</t>
  </si>
  <si>
    <t>09 Salaverry</t>
  </si>
  <si>
    <t>10 Simbal</t>
  </si>
  <si>
    <t>11 Victor Larco Herrera</t>
  </si>
  <si>
    <t>01 Ascope</t>
  </si>
  <si>
    <t>02 Chicama</t>
  </si>
  <si>
    <t>03 Chocope</t>
  </si>
  <si>
    <t>04 Magdalena de Cao</t>
  </si>
  <si>
    <t>05 Paijan</t>
  </si>
  <si>
    <t>06 Rázuri</t>
  </si>
  <si>
    <t>07 Santiago de Cao</t>
  </si>
  <si>
    <t>08 Casa Grande</t>
  </si>
  <si>
    <t>01 Bolívar</t>
  </si>
  <si>
    <t>02 Bambamarca</t>
  </si>
  <si>
    <t>03 Condormarca</t>
  </si>
  <si>
    <t>04 Longotea</t>
  </si>
  <si>
    <t>05 Uchumarca</t>
  </si>
  <si>
    <t>06 Ucuncha</t>
  </si>
  <si>
    <t>01 Chepen</t>
  </si>
  <si>
    <t>02 Pacanga</t>
  </si>
  <si>
    <t>03 Pueblo Nuevo</t>
  </si>
  <si>
    <t>01 Julcan</t>
  </si>
  <si>
    <t>02 Calamarca</t>
  </si>
  <si>
    <t>03 Carabamba</t>
  </si>
  <si>
    <t>04 Huaso</t>
  </si>
  <si>
    <t>01 Otuzco</t>
  </si>
  <si>
    <t>02 Agallpampa</t>
  </si>
  <si>
    <t>04 Charat</t>
  </si>
  <si>
    <t>05 Huaranchal</t>
  </si>
  <si>
    <t>06 La Cuesta</t>
  </si>
  <si>
    <t>08 Mache</t>
  </si>
  <si>
    <t>10 Paranday</t>
  </si>
  <si>
    <t>11 Salpo</t>
  </si>
  <si>
    <t>13 Sinsicap</t>
  </si>
  <si>
    <t>14 Usquil</t>
  </si>
  <si>
    <t>01 San Pedro de Lloc</t>
  </si>
  <si>
    <t>02 Guadalupe</t>
  </si>
  <si>
    <t>03 Jequetepeque</t>
  </si>
  <si>
    <t>04 Pacasmayo</t>
  </si>
  <si>
    <t>05 San José</t>
  </si>
  <si>
    <t>01 Tayabamba</t>
  </si>
  <si>
    <t>02 Buldibuyo</t>
  </si>
  <si>
    <t>03 Chillia</t>
  </si>
  <si>
    <t>04 Huancaspata</t>
  </si>
  <si>
    <t>05 Huaylillas</t>
  </si>
  <si>
    <t>06 Huayo</t>
  </si>
  <si>
    <t>07 Ongon</t>
  </si>
  <si>
    <t>08 Parcoy</t>
  </si>
  <si>
    <t>09 Pataz</t>
  </si>
  <si>
    <t>10 Pias</t>
  </si>
  <si>
    <t>11 Santiago de Challas</t>
  </si>
  <si>
    <t>12 Taurija</t>
  </si>
  <si>
    <t>13 Urpay</t>
  </si>
  <si>
    <t>01 Huamachuco</t>
  </si>
  <si>
    <t>02 Chugay</t>
  </si>
  <si>
    <t>03 Cochorco</t>
  </si>
  <si>
    <t>04 Curgos</t>
  </si>
  <si>
    <t>05 Marcabal</t>
  </si>
  <si>
    <t>06 Sanagoran</t>
  </si>
  <si>
    <t>07 Sarin</t>
  </si>
  <si>
    <t>08 Sartimbamba</t>
  </si>
  <si>
    <t>01 Santiago de Chuco</t>
  </si>
  <si>
    <t>02 Angasmarca</t>
  </si>
  <si>
    <t>03 Cachicadan</t>
  </si>
  <si>
    <t>04 Mollebamba</t>
  </si>
  <si>
    <t>05 Mollepata</t>
  </si>
  <si>
    <t>06 Quiruvilca</t>
  </si>
  <si>
    <t>07 Santa Cruz de Chuca</t>
  </si>
  <si>
    <t>08 Sitabamba</t>
  </si>
  <si>
    <t>01 Cascas</t>
  </si>
  <si>
    <t>02 Lucma</t>
  </si>
  <si>
    <t>03 Marmot</t>
  </si>
  <si>
    <t>04 Sayapullo</t>
  </si>
  <si>
    <t>01 Viru</t>
  </si>
  <si>
    <t>02 Chao</t>
  </si>
  <si>
    <t>03 Guadalupito</t>
  </si>
  <si>
    <t>LOC_110</t>
  </si>
  <si>
    <t>LOC_111</t>
  </si>
  <si>
    <t>LOC_112</t>
  </si>
  <si>
    <t>LOC_113</t>
  </si>
  <si>
    <t>LOC_114</t>
  </si>
  <si>
    <t>LOC_115</t>
  </si>
  <si>
    <t>LOC_116</t>
  </si>
  <si>
    <t>LOC_117</t>
  </si>
  <si>
    <t>LOC_118</t>
  </si>
  <si>
    <t>LOC_119</t>
  </si>
  <si>
    <t>LOC_120</t>
  </si>
  <si>
    <t>LOC_121</t>
  </si>
  <si>
    <t xml:space="preserve">01 Chiclayo </t>
  </si>
  <si>
    <t xml:space="preserve">02 Ferreñafe </t>
  </si>
  <si>
    <t xml:space="preserve">03 Lambayeque </t>
  </si>
  <si>
    <t>01 Chiclayo</t>
  </si>
  <si>
    <t>02 Chongoyape</t>
  </si>
  <si>
    <t>03 Eten</t>
  </si>
  <si>
    <t>04 Eten Puerto</t>
  </si>
  <si>
    <t>05 José Leonardo Ortiz</t>
  </si>
  <si>
    <t>06 La Victoria</t>
  </si>
  <si>
    <t>07 Lagunas</t>
  </si>
  <si>
    <t>08 Monsefu</t>
  </si>
  <si>
    <t>09 Nueva Arica</t>
  </si>
  <si>
    <t>10 Oyotun</t>
  </si>
  <si>
    <t>11 Picsi</t>
  </si>
  <si>
    <t>12 Pimentel</t>
  </si>
  <si>
    <t>13 Reque</t>
  </si>
  <si>
    <t>14 Santa Rosa</t>
  </si>
  <si>
    <t>15 Saña</t>
  </si>
  <si>
    <t>16 Cayalti</t>
  </si>
  <si>
    <t>17 Patapo</t>
  </si>
  <si>
    <t>18 Pomalca</t>
  </si>
  <si>
    <t>19 Pucala</t>
  </si>
  <si>
    <t>20 Tuman</t>
  </si>
  <si>
    <t>01 Ferreñafe</t>
  </si>
  <si>
    <t>02 Cañaris</t>
  </si>
  <si>
    <t>03 Incahuasi</t>
  </si>
  <si>
    <t>04 Manuel Antonio Mesones Muro</t>
  </si>
  <si>
    <t>05 Pitipo</t>
  </si>
  <si>
    <t>06 Pueblo Nuevo</t>
  </si>
  <si>
    <t>01 Lambayeque</t>
  </si>
  <si>
    <t>02 Chochope</t>
  </si>
  <si>
    <t>03 Illimo</t>
  </si>
  <si>
    <t>04 Jayanca</t>
  </si>
  <si>
    <t>05 Mochumi</t>
  </si>
  <si>
    <t>06 Morrope</t>
  </si>
  <si>
    <t>07 Motupe</t>
  </si>
  <si>
    <t>08 Olmos</t>
  </si>
  <si>
    <t>09 Pacora</t>
  </si>
  <si>
    <t>10 Salas</t>
  </si>
  <si>
    <t>11 San José</t>
  </si>
  <si>
    <t>12 Tucume</t>
  </si>
  <si>
    <t>LOC_122</t>
  </si>
  <si>
    <t>LOC_123</t>
  </si>
  <si>
    <t>LOC_124</t>
  </si>
  <si>
    <t xml:space="preserve">01 Maynas </t>
  </si>
  <si>
    <t xml:space="preserve">02 Alto Amazonas </t>
  </si>
  <si>
    <t xml:space="preserve">03 Loreto </t>
  </si>
  <si>
    <t xml:space="preserve">04 Mariscal Ramón Castilla </t>
  </si>
  <si>
    <t xml:space="preserve">05 Requena </t>
  </si>
  <si>
    <t xml:space="preserve">06 Ucayali </t>
  </si>
  <si>
    <t xml:space="preserve">07 Datem del Marañón </t>
  </si>
  <si>
    <t>08 Putumayo</t>
  </si>
  <si>
    <t>02 Alto Nanay</t>
  </si>
  <si>
    <t>03 Fernando Lores</t>
  </si>
  <si>
    <t>04 Indiana</t>
  </si>
  <si>
    <t>05 Las Amazonas</t>
  </si>
  <si>
    <t>06 Mazan</t>
  </si>
  <si>
    <t>07 Napo</t>
  </si>
  <si>
    <t>08 Punchana</t>
  </si>
  <si>
    <t>10 Torres Causana</t>
  </si>
  <si>
    <t>12 Belén</t>
  </si>
  <si>
    <t>13 San Juan Bautista</t>
  </si>
  <si>
    <t>01 Yurimaguas</t>
  </si>
  <si>
    <t>02 Balsapuerto</t>
  </si>
  <si>
    <t>05 Jeberos</t>
  </si>
  <si>
    <t>06 Lagunas</t>
  </si>
  <si>
    <t>10 Santa Cruz</t>
  </si>
  <si>
    <t>11 Teniente Cesar López Rojas</t>
  </si>
  <si>
    <t>01 Nauta</t>
  </si>
  <si>
    <t>02 Parinari</t>
  </si>
  <si>
    <t>03 Tigre</t>
  </si>
  <si>
    <t>04 Trompeteros</t>
  </si>
  <si>
    <t>05 Urarinas</t>
  </si>
  <si>
    <t>01 Ramón Castilla</t>
  </si>
  <si>
    <t>02 Pebas</t>
  </si>
  <si>
    <t>03 Yavari</t>
  </si>
  <si>
    <t>04 San Pablo</t>
  </si>
  <si>
    <t>01 Requena</t>
  </si>
  <si>
    <t>02 Alto Tapiche</t>
  </si>
  <si>
    <t>03 Capelo</t>
  </si>
  <si>
    <t>04 Emilio San Martín</t>
  </si>
  <si>
    <t>05 Maquia</t>
  </si>
  <si>
    <t>06 Puinahua</t>
  </si>
  <si>
    <t>07 Saquena</t>
  </si>
  <si>
    <t>08 Soplin</t>
  </si>
  <si>
    <t>09 Tapiche</t>
  </si>
  <si>
    <t>10 Jenaro Herrera</t>
  </si>
  <si>
    <t>11 Yaquerana</t>
  </si>
  <si>
    <t>01 Contamana</t>
  </si>
  <si>
    <t>02 Inahuaya</t>
  </si>
  <si>
    <t>03 Padre Márquez</t>
  </si>
  <si>
    <t>04 Pampa Hermosa</t>
  </si>
  <si>
    <t>05 Sarayacu</t>
  </si>
  <si>
    <t>06 Vargas Guerra</t>
  </si>
  <si>
    <t>01 Barranca</t>
  </si>
  <si>
    <t>02 Cahuapanas</t>
  </si>
  <si>
    <t>03 Manseriche</t>
  </si>
  <si>
    <t>04 Morona</t>
  </si>
  <si>
    <t>05 Pastaza</t>
  </si>
  <si>
    <t>06 Andoas</t>
  </si>
  <si>
    <t>01 Putumayo</t>
  </si>
  <si>
    <t>02 Rosa Panduro</t>
  </si>
  <si>
    <t>03 Teniente Manuel Clavero</t>
  </si>
  <si>
    <t>04 Yaguas</t>
  </si>
  <si>
    <t>LOC_125</t>
  </si>
  <si>
    <t>LOC_126</t>
  </si>
  <si>
    <t>LOC_127</t>
  </si>
  <si>
    <t>LOC_128</t>
  </si>
  <si>
    <t>LOC_129</t>
  </si>
  <si>
    <t>LOC_130</t>
  </si>
  <si>
    <t>LOC_131</t>
  </si>
  <si>
    <t>LOC_132</t>
  </si>
  <si>
    <t xml:space="preserve">01 Tambopata </t>
  </si>
  <si>
    <t xml:space="preserve">02 Manu </t>
  </si>
  <si>
    <t xml:space="preserve">03 Tahuamanu </t>
  </si>
  <si>
    <t>01 Tambopata</t>
  </si>
  <si>
    <t>02 Inambari</t>
  </si>
  <si>
    <t>03 Las Piedras</t>
  </si>
  <si>
    <t>04 Laberinto</t>
  </si>
  <si>
    <t>01 Manu</t>
  </si>
  <si>
    <t>02 Fitzcarrald</t>
  </si>
  <si>
    <t>03 Madre de Dios</t>
  </si>
  <si>
    <t>04 Huepetuhe</t>
  </si>
  <si>
    <t>01 Iñapari</t>
  </si>
  <si>
    <t>02 Iberia</t>
  </si>
  <si>
    <t>03 Tahuamanu</t>
  </si>
  <si>
    <t>LOC_133</t>
  </si>
  <si>
    <t>LOC_134</t>
  </si>
  <si>
    <t>LOC_135</t>
  </si>
  <si>
    <t xml:space="preserve">01 Mariscal Nieto </t>
  </si>
  <si>
    <t xml:space="preserve">02 General Sánchez Cerro </t>
  </si>
  <si>
    <t xml:space="preserve">03 Ilo </t>
  </si>
  <si>
    <t>01 Moquegua</t>
  </si>
  <si>
    <t>02 Carumas</t>
  </si>
  <si>
    <t>03 Cuchumbaya</t>
  </si>
  <si>
    <t>04 Samegua</t>
  </si>
  <si>
    <t>05 San Cristóbal</t>
  </si>
  <si>
    <t>06 Torata</t>
  </si>
  <si>
    <t>01 Omate</t>
  </si>
  <si>
    <t>02 Chojata</t>
  </si>
  <si>
    <t>03 Coalaque</t>
  </si>
  <si>
    <t>04 Ichuña</t>
  </si>
  <si>
    <t>05 La Capilla</t>
  </si>
  <si>
    <t>06 Lloque</t>
  </si>
  <si>
    <t>07 Matalaque</t>
  </si>
  <si>
    <t>08 Puquina</t>
  </si>
  <si>
    <t>09 Quinistaquillas</t>
  </si>
  <si>
    <t>10 Ubinas</t>
  </si>
  <si>
    <t>11 Yunga</t>
  </si>
  <si>
    <t>01 Ilo</t>
  </si>
  <si>
    <t>02 El Algarrobal</t>
  </si>
  <si>
    <t>03 Pacocha</t>
  </si>
  <si>
    <t>LOC_136</t>
  </si>
  <si>
    <t>LOC_137</t>
  </si>
  <si>
    <t>LOC_138</t>
  </si>
  <si>
    <t xml:space="preserve">01 Pasco </t>
  </si>
  <si>
    <t xml:space="preserve">02 Daniel Alcides Carrión </t>
  </si>
  <si>
    <t xml:space="preserve">03 Oxapampa </t>
  </si>
  <si>
    <t>01 Chaupimarca</t>
  </si>
  <si>
    <t>02 Huachon</t>
  </si>
  <si>
    <t>03 Huariaca</t>
  </si>
  <si>
    <t>04 Huayllay</t>
  </si>
  <si>
    <t>05 Ninacaca</t>
  </si>
  <si>
    <t>06 Pallanchacra</t>
  </si>
  <si>
    <t>07 Paucartambo</t>
  </si>
  <si>
    <t>08 San Francisco de Asís de Yarusyacan</t>
  </si>
  <si>
    <t>09 Simon Bolívar</t>
  </si>
  <si>
    <t>10 Ticlacayan</t>
  </si>
  <si>
    <t>11 Tinyahuarco</t>
  </si>
  <si>
    <t>12 Vicco</t>
  </si>
  <si>
    <t>13 Yanacancha</t>
  </si>
  <si>
    <t>01 Yanahuanca</t>
  </si>
  <si>
    <t>02 Chacayan</t>
  </si>
  <si>
    <t>03 Goyllarisquizga</t>
  </si>
  <si>
    <t>04 Paucar</t>
  </si>
  <si>
    <t>05 San Pedro de Pillao</t>
  </si>
  <si>
    <t>06 Santa Ana de Tusi</t>
  </si>
  <si>
    <t>07 Tapuc</t>
  </si>
  <si>
    <t>08 Vilcabamba</t>
  </si>
  <si>
    <t>01 Oxapampa</t>
  </si>
  <si>
    <t>02 Chontabamba</t>
  </si>
  <si>
    <t>03 Huancabamba</t>
  </si>
  <si>
    <t>04 Palcazu</t>
  </si>
  <si>
    <t>05 Pozuzo</t>
  </si>
  <si>
    <t>06 Puerto Bermúdez</t>
  </si>
  <si>
    <t>07 Villa Rica</t>
  </si>
  <si>
    <t>08 Constitución</t>
  </si>
  <si>
    <t>LOC_139</t>
  </si>
  <si>
    <t>LOC_140</t>
  </si>
  <si>
    <t>LOC_141</t>
  </si>
  <si>
    <t>LOC_142</t>
  </si>
  <si>
    <t>LOC_143</t>
  </si>
  <si>
    <t>LOC_144</t>
  </si>
  <si>
    <t>LOC_145</t>
  </si>
  <si>
    <t>LOC_146</t>
  </si>
  <si>
    <t>LOC_147</t>
  </si>
  <si>
    <t>LOC_148</t>
  </si>
  <si>
    <t>LOC_149</t>
  </si>
  <si>
    <t>LOC_150</t>
  </si>
  <si>
    <t>LOC_151</t>
  </si>
  <si>
    <t xml:space="preserve">01 Piura </t>
  </si>
  <si>
    <t xml:space="preserve">02 Ayabaca </t>
  </si>
  <si>
    <t xml:space="preserve">03 Huancabamba </t>
  </si>
  <si>
    <t xml:space="preserve">04 Morropón </t>
  </si>
  <si>
    <t xml:space="preserve">05 Paita </t>
  </si>
  <si>
    <t xml:space="preserve">06 Sullana </t>
  </si>
  <si>
    <t xml:space="preserve">07 Talara </t>
  </si>
  <si>
    <t xml:space="preserve">08 Sechura </t>
  </si>
  <si>
    <t>01 Piura</t>
  </si>
  <si>
    <t>05 Catacaos</t>
  </si>
  <si>
    <t>07 Cura Mori</t>
  </si>
  <si>
    <t>08 El Tallan</t>
  </si>
  <si>
    <t>09 La Arena</t>
  </si>
  <si>
    <t>10 La Unión</t>
  </si>
  <si>
    <t>11 Las Lomas</t>
  </si>
  <si>
    <t>14 Tambo Grande</t>
  </si>
  <si>
    <t>15 Veintiseis de Octubre</t>
  </si>
  <si>
    <t>01 Ayabaca</t>
  </si>
  <si>
    <t>02 Frias</t>
  </si>
  <si>
    <t>03 Jilili</t>
  </si>
  <si>
    <t>04 Lagunas</t>
  </si>
  <si>
    <t>05 Montero</t>
  </si>
  <si>
    <t>06 Pacaipampa</t>
  </si>
  <si>
    <t>07 Paimas</t>
  </si>
  <si>
    <t>08 Sapillica</t>
  </si>
  <si>
    <t>09 Sicchez</t>
  </si>
  <si>
    <t>10 Suyo</t>
  </si>
  <si>
    <t>01 Huancabamba</t>
  </si>
  <si>
    <t>02 Canchaque</t>
  </si>
  <si>
    <t>03 El Carmen de la Frontera</t>
  </si>
  <si>
    <t>04 Huarmaca</t>
  </si>
  <si>
    <t>05 Lalaquiz</t>
  </si>
  <si>
    <t>06 San Miguel de El Faique</t>
  </si>
  <si>
    <t>07 Sondor</t>
  </si>
  <si>
    <t>08 Sondorillo</t>
  </si>
  <si>
    <t>01 Chulucanas</t>
  </si>
  <si>
    <t>02 Buenos Aires</t>
  </si>
  <si>
    <t>03 Chalaco</t>
  </si>
  <si>
    <t>04 La Matanza</t>
  </si>
  <si>
    <t>05 Morropon</t>
  </si>
  <si>
    <t>06 Salitral</t>
  </si>
  <si>
    <t>07 San Juan de Bigote</t>
  </si>
  <si>
    <t>08 Santa Catalina de Mossa</t>
  </si>
  <si>
    <t>09 Santo Domingo</t>
  </si>
  <si>
    <t>10 Yamango</t>
  </si>
  <si>
    <t>01 Paita</t>
  </si>
  <si>
    <t>02 Amotape</t>
  </si>
  <si>
    <t>03 Arenal</t>
  </si>
  <si>
    <t>04 Colan</t>
  </si>
  <si>
    <t>05 La Huaca</t>
  </si>
  <si>
    <t>06 Tamarindo</t>
  </si>
  <si>
    <t>07 Vichayal</t>
  </si>
  <si>
    <t>01 Sullana</t>
  </si>
  <si>
    <t>03 Ignacio Escudero</t>
  </si>
  <si>
    <t>04 Lancones</t>
  </si>
  <si>
    <t>05 Marcavelica</t>
  </si>
  <si>
    <t>06 Miguel Checa</t>
  </si>
  <si>
    <t>07 Querecotillo</t>
  </si>
  <si>
    <t>08 Salitral</t>
  </si>
  <si>
    <t>01 Pariñas</t>
  </si>
  <si>
    <t>02 El Alto</t>
  </si>
  <si>
    <t>03 La Brea</t>
  </si>
  <si>
    <t>04 Lobitos</t>
  </si>
  <si>
    <t>05 Los Organos</t>
  </si>
  <si>
    <t>06 Mancora</t>
  </si>
  <si>
    <t>01 Sechura</t>
  </si>
  <si>
    <t>02 Bellavista de la Unión</t>
  </si>
  <si>
    <t>03 Bernal</t>
  </si>
  <si>
    <t>04 Cristo Nos Valga</t>
  </si>
  <si>
    <t>05 Vice</t>
  </si>
  <si>
    <t>06 Rinconada Llicuar</t>
  </si>
  <si>
    <t xml:space="preserve">01 Puno </t>
  </si>
  <si>
    <t xml:space="preserve">02 Azángaro </t>
  </si>
  <si>
    <t xml:space="preserve">03 Carabaya </t>
  </si>
  <si>
    <t xml:space="preserve">04 Chucuito </t>
  </si>
  <si>
    <t xml:space="preserve">05 El Collao </t>
  </si>
  <si>
    <t xml:space="preserve">06 Huancané </t>
  </si>
  <si>
    <t xml:space="preserve">07 Lampa </t>
  </si>
  <si>
    <t xml:space="preserve">08 Melgar </t>
  </si>
  <si>
    <t xml:space="preserve">09 Moho </t>
  </si>
  <si>
    <t xml:space="preserve">10 San Antonio de Putina </t>
  </si>
  <si>
    <t xml:space="preserve">11 San Román </t>
  </si>
  <si>
    <t xml:space="preserve">12 Sandia </t>
  </si>
  <si>
    <t xml:space="preserve">13 Yunguyo </t>
  </si>
  <si>
    <t>01 Puno</t>
  </si>
  <si>
    <t>02 Acora</t>
  </si>
  <si>
    <t>03 Amantani</t>
  </si>
  <si>
    <t>04 Atuncolla</t>
  </si>
  <si>
    <t>05 Capachica</t>
  </si>
  <si>
    <t>06 Chucuito</t>
  </si>
  <si>
    <t>07 Coata</t>
  </si>
  <si>
    <t>08 Huata</t>
  </si>
  <si>
    <t>09 Mañazo</t>
  </si>
  <si>
    <t>10 Paucarcolla</t>
  </si>
  <si>
    <t>11 Pichacani</t>
  </si>
  <si>
    <t>12 Plateria</t>
  </si>
  <si>
    <t>13 San Antonio</t>
  </si>
  <si>
    <t>14 Tiquillaca</t>
  </si>
  <si>
    <t>15 Vilque</t>
  </si>
  <si>
    <t>01 Azángaro</t>
  </si>
  <si>
    <t>02 Achaya</t>
  </si>
  <si>
    <t>03 Arapa</t>
  </si>
  <si>
    <t>04 Asillo</t>
  </si>
  <si>
    <t>05 Caminaca</t>
  </si>
  <si>
    <t>06 Chupa</t>
  </si>
  <si>
    <t>07 José Domingo Choquehuanca</t>
  </si>
  <si>
    <t>08 Muñani</t>
  </si>
  <si>
    <t>09 Potoni</t>
  </si>
  <si>
    <t>10 Saman</t>
  </si>
  <si>
    <t>11 San Anton</t>
  </si>
  <si>
    <t>12 San José</t>
  </si>
  <si>
    <t>13 San Juan de Salinas</t>
  </si>
  <si>
    <t>14 Santiago de Pupuja</t>
  </si>
  <si>
    <t>15 Tirapata</t>
  </si>
  <si>
    <t>01 Macusani</t>
  </si>
  <si>
    <t>02 Ajoyani</t>
  </si>
  <si>
    <t>03 Ayapata</t>
  </si>
  <si>
    <t>04 Coasa</t>
  </si>
  <si>
    <t>05 Corani</t>
  </si>
  <si>
    <t>06 Crucero</t>
  </si>
  <si>
    <t>07 Ituata</t>
  </si>
  <si>
    <t>08 Ollachea</t>
  </si>
  <si>
    <t>09 San Gaban</t>
  </si>
  <si>
    <t>10 Usicayos</t>
  </si>
  <si>
    <t>01 Juli</t>
  </si>
  <si>
    <t>02 Desaguadero</t>
  </si>
  <si>
    <t>03 Huacullani</t>
  </si>
  <si>
    <t>04 Kelluyo</t>
  </si>
  <si>
    <t>05 Pisacoma</t>
  </si>
  <si>
    <t>06 Pomata</t>
  </si>
  <si>
    <t>07 Zepita</t>
  </si>
  <si>
    <t>01 Ilave</t>
  </si>
  <si>
    <t>02 Capazo</t>
  </si>
  <si>
    <t>03 Pilcuyo</t>
  </si>
  <si>
    <t>04 Santa Rosa</t>
  </si>
  <si>
    <t>05 Conduriri</t>
  </si>
  <si>
    <t>01 Huancane</t>
  </si>
  <si>
    <t>02 Cojata</t>
  </si>
  <si>
    <t>03 Huatasani</t>
  </si>
  <si>
    <t>04 Inchupalla</t>
  </si>
  <si>
    <t>05 Pusi</t>
  </si>
  <si>
    <t>06 Rosaspata</t>
  </si>
  <si>
    <t>07 Taraco</t>
  </si>
  <si>
    <t>08 Vilque Chico</t>
  </si>
  <si>
    <t>01 Lampa</t>
  </si>
  <si>
    <t>02 Cabanilla</t>
  </si>
  <si>
    <t>03 Calapuja</t>
  </si>
  <si>
    <t>04 Nicasio</t>
  </si>
  <si>
    <t>05 Ocuviri</t>
  </si>
  <si>
    <t>07 Paratia</t>
  </si>
  <si>
    <t>09 Santa Lucia</t>
  </si>
  <si>
    <t>10 Vilavila</t>
  </si>
  <si>
    <t>01 Ayaviri</t>
  </si>
  <si>
    <t>02 Antauta</t>
  </si>
  <si>
    <t>03 Cupi</t>
  </si>
  <si>
    <t>04 Llalli</t>
  </si>
  <si>
    <t>05 Macari</t>
  </si>
  <si>
    <t>06 Nuñoa</t>
  </si>
  <si>
    <t>07 Orurillo</t>
  </si>
  <si>
    <t>08 Santa Rosa</t>
  </si>
  <si>
    <t>09 Umachiri</t>
  </si>
  <si>
    <t>01 Moho</t>
  </si>
  <si>
    <t>02 Conima</t>
  </si>
  <si>
    <t>03 Huayrapata</t>
  </si>
  <si>
    <t>04 Tilali</t>
  </si>
  <si>
    <t>01 Putina</t>
  </si>
  <si>
    <t>02 Ananea</t>
  </si>
  <si>
    <t>03 Pedro Vilca Apaza</t>
  </si>
  <si>
    <t>04 Quilcapuncu</t>
  </si>
  <si>
    <t>05 Sina</t>
  </si>
  <si>
    <t>01 Juliaca</t>
  </si>
  <si>
    <t>02 Cabana</t>
  </si>
  <si>
    <t>03 Cabanillas</t>
  </si>
  <si>
    <t>04 Caracoto</t>
  </si>
  <si>
    <t>01 Sandia</t>
  </si>
  <si>
    <t>02 Cuyocuyo</t>
  </si>
  <si>
    <t>03 Limbani</t>
  </si>
  <si>
    <t>04 Patambuco</t>
  </si>
  <si>
    <t>05 Phara</t>
  </si>
  <si>
    <t>06 Quiaca</t>
  </si>
  <si>
    <t>07 San Juan del Oro</t>
  </si>
  <si>
    <t>08 Yanahuaya</t>
  </si>
  <si>
    <t>09 Alto Inambari</t>
  </si>
  <si>
    <t>10 San Pedro de Putina Punco</t>
  </si>
  <si>
    <t>01 Yunguyo</t>
  </si>
  <si>
    <t>02 Anapia</t>
  </si>
  <si>
    <t>03 Copani</t>
  </si>
  <si>
    <t>04 Cuturapi</t>
  </si>
  <si>
    <t>05 Ollaraya</t>
  </si>
  <si>
    <t>06 Tinicachi</t>
  </si>
  <si>
    <t>07 Unicachi</t>
  </si>
  <si>
    <t>LOC_152</t>
  </si>
  <si>
    <t>LOC_153</t>
  </si>
  <si>
    <t>LOC_154</t>
  </si>
  <si>
    <t>LOC_155</t>
  </si>
  <si>
    <t>LOC_156</t>
  </si>
  <si>
    <t>LOC_157</t>
  </si>
  <si>
    <t>LOC_158</t>
  </si>
  <si>
    <t>LOC_159</t>
  </si>
  <si>
    <t>LOC_160</t>
  </si>
  <si>
    <t>LOC_161</t>
  </si>
  <si>
    <t>LOC_162</t>
  </si>
  <si>
    <t xml:space="preserve">01 Moyobamba </t>
  </si>
  <si>
    <t xml:space="preserve">02 Bellavista </t>
  </si>
  <si>
    <t xml:space="preserve">03 El Dorado </t>
  </si>
  <si>
    <t xml:space="preserve">04 Huallaga </t>
  </si>
  <si>
    <t xml:space="preserve">05 Lamas </t>
  </si>
  <si>
    <t xml:space="preserve">06 Mariscal Cáceres </t>
  </si>
  <si>
    <t xml:space="preserve">07 Picota </t>
  </si>
  <si>
    <t xml:space="preserve">08 Rioja </t>
  </si>
  <si>
    <t xml:space="preserve">09 San Martín </t>
  </si>
  <si>
    <t xml:space="preserve">10 Tocache </t>
  </si>
  <si>
    <t>01 Moyobamba</t>
  </si>
  <si>
    <t>02 Calzada</t>
  </si>
  <si>
    <t>03 Habana</t>
  </si>
  <si>
    <t>04 Jepelacio</t>
  </si>
  <si>
    <t>05 Soritor</t>
  </si>
  <si>
    <t>06 Yantalo</t>
  </si>
  <si>
    <t>01 Bellavista</t>
  </si>
  <si>
    <t>02 Alto Biavo</t>
  </si>
  <si>
    <t>03 Bajo Biavo</t>
  </si>
  <si>
    <t>04 Huallaga</t>
  </si>
  <si>
    <t>05 San Pablo</t>
  </si>
  <si>
    <t>06 San Rafael</t>
  </si>
  <si>
    <t>01 San José de Sisa</t>
  </si>
  <si>
    <t>02 Agua Blanca</t>
  </si>
  <si>
    <t>03 San Martín</t>
  </si>
  <si>
    <t>05 Shatoja</t>
  </si>
  <si>
    <t>01 Saposoa</t>
  </si>
  <si>
    <t>02 Alto Saposoa</t>
  </si>
  <si>
    <t>03 El Eslabón</t>
  </si>
  <si>
    <t>04 Piscoyacu</t>
  </si>
  <si>
    <t>05 Sacanche</t>
  </si>
  <si>
    <t>06 Tingo de Saposoa</t>
  </si>
  <si>
    <t>01 Lamas</t>
  </si>
  <si>
    <t>02 Alonso de Alvarado</t>
  </si>
  <si>
    <t>03 Barranquita</t>
  </si>
  <si>
    <t>04 Caynarachi</t>
  </si>
  <si>
    <t>05 Cuñumbuqui</t>
  </si>
  <si>
    <t>06 Pinto Recodo</t>
  </si>
  <si>
    <t>07 Rumisapa</t>
  </si>
  <si>
    <t>08 San Roque de Cumbaza</t>
  </si>
  <si>
    <t>09 Shanao</t>
  </si>
  <si>
    <t>10 Tabalosos</t>
  </si>
  <si>
    <t>11 Zapatero</t>
  </si>
  <si>
    <t>01 Juanjuí</t>
  </si>
  <si>
    <t>02 Campanilla</t>
  </si>
  <si>
    <t>03 Huicungo</t>
  </si>
  <si>
    <t>04 Pachiza</t>
  </si>
  <si>
    <t>05 Pajarillo</t>
  </si>
  <si>
    <t>01 Picota</t>
  </si>
  <si>
    <t>03 Caspisapa</t>
  </si>
  <si>
    <t>04 Pilluana</t>
  </si>
  <si>
    <t>05 Pucacaca</t>
  </si>
  <si>
    <t>06 San Cristóbal</t>
  </si>
  <si>
    <t>07 San Hilarión</t>
  </si>
  <si>
    <t>08 Shamboyacu</t>
  </si>
  <si>
    <t>09 Tingo de Ponasa</t>
  </si>
  <si>
    <t>10 Tres Unidos</t>
  </si>
  <si>
    <t>01 Rioja</t>
  </si>
  <si>
    <t>02 Awajun</t>
  </si>
  <si>
    <t>03 Elías Soplin Vargas</t>
  </si>
  <si>
    <t>04 Nueva Cajamarca</t>
  </si>
  <si>
    <t>05 Pardo Miguel</t>
  </si>
  <si>
    <t>06 Posic</t>
  </si>
  <si>
    <t>07 San Fernando</t>
  </si>
  <si>
    <t>08 Yorongos</t>
  </si>
  <si>
    <t>09 Yuracyacu</t>
  </si>
  <si>
    <t>01 Tarapoto</t>
  </si>
  <si>
    <t>02 Alberto Leveau</t>
  </si>
  <si>
    <t>03 Cacatachi</t>
  </si>
  <si>
    <t>04 Chazuta</t>
  </si>
  <si>
    <t>05 Chipurana</t>
  </si>
  <si>
    <t>06 El Porvenir</t>
  </si>
  <si>
    <t>07 Huimbayoc</t>
  </si>
  <si>
    <t>08 Juan Guerra</t>
  </si>
  <si>
    <t>09 La Banda de Shilcayo</t>
  </si>
  <si>
    <t>10 Morales</t>
  </si>
  <si>
    <t>11 Papaplaya</t>
  </si>
  <si>
    <t>12 San Antonio</t>
  </si>
  <si>
    <t>13 Sauce</t>
  </si>
  <si>
    <t>14 Shapaja</t>
  </si>
  <si>
    <t>01 Tocache</t>
  </si>
  <si>
    <t>02 Nuevo Progreso</t>
  </si>
  <si>
    <t>03 Polvora</t>
  </si>
  <si>
    <t>04 Shunte</t>
  </si>
  <si>
    <t>05 Uchiza</t>
  </si>
  <si>
    <t>LOC_163</t>
  </si>
  <si>
    <t>LOC_164</t>
  </si>
  <si>
    <t>LOC_165</t>
  </si>
  <si>
    <t>LOC_166</t>
  </si>
  <si>
    <t>LOC_167</t>
  </si>
  <si>
    <t>LOC_168</t>
  </si>
  <si>
    <t>LOC_169</t>
  </si>
  <si>
    <t>LOC_170</t>
  </si>
  <si>
    <t>LOC_171</t>
  </si>
  <si>
    <t>LOC_172</t>
  </si>
  <si>
    <t xml:space="preserve">01 Tacna </t>
  </si>
  <si>
    <t xml:space="preserve">02 Candarave </t>
  </si>
  <si>
    <t xml:space="preserve">03 Jorge Basadre </t>
  </si>
  <si>
    <t xml:space="preserve">04 Tarata </t>
  </si>
  <si>
    <t>01 Tacna</t>
  </si>
  <si>
    <t>02 Alto de la Alianza</t>
  </si>
  <si>
    <t>03 Calana</t>
  </si>
  <si>
    <t>04 Ciudad Nueva</t>
  </si>
  <si>
    <t>05 Inclan</t>
  </si>
  <si>
    <t>06 Pachia</t>
  </si>
  <si>
    <t>07 Palca</t>
  </si>
  <si>
    <t>08 Pocollay</t>
  </si>
  <si>
    <t>09 Sama</t>
  </si>
  <si>
    <t>10 Coronel Gregorio Albarracín Lanchipa</t>
  </si>
  <si>
    <t>11 La Yarada los Palos</t>
  </si>
  <si>
    <t>01 Candarave</t>
  </si>
  <si>
    <t>02 Cairani</t>
  </si>
  <si>
    <t>03 Camilaca</t>
  </si>
  <si>
    <t>04 Curibaya</t>
  </si>
  <si>
    <t>05 Huanuara</t>
  </si>
  <si>
    <t>06 Quilahuani</t>
  </si>
  <si>
    <t>01 Locumba</t>
  </si>
  <si>
    <t>02 Ilabaya</t>
  </si>
  <si>
    <t>03 Ite</t>
  </si>
  <si>
    <t>01 Tarata</t>
  </si>
  <si>
    <t>02 Héroes Albarracín</t>
  </si>
  <si>
    <t>03 Estique</t>
  </si>
  <si>
    <t>04 Estique-Pampa</t>
  </si>
  <si>
    <t>05 Sitajara</t>
  </si>
  <si>
    <t>06 Susapaya</t>
  </si>
  <si>
    <t>07 Tarucachi</t>
  </si>
  <si>
    <t>08 Ticaco</t>
  </si>
  <si>
    <t>LOC_173</t>
  </si>
  <si>
    <t>LOC_174</t>
  </si>
  <si>
    <t>LOC_175</t>
  </si>
  <si>
    <t>LOC_176</t>
  </si>
  <si>
    <t xml:space="preserve">01 Tumbes </t>
  </si>
  <si>
    <t xml:space="preserve">02 Contralmirante Villar </t>
  </si>
  <si>
    <t xml:space="preserve">03 Zarumilla </t>
  </si>
  <si>
    <t>01 Tumbes</t>
  </si>
  <si>
    <t>02 Corrales</t>
  </si>
  <si>
    <t>03 La Cruz</t>
  </si>
  <si>
    <t>04 Pampas de Hospital</t>
  </si>
  <si>
    <t>05 San Jacinto</t>
  </si>
  <si>
    <t>06 San Juan de la Virgen</t>
  </si>
  <si>
    <t>01 Zorritos</t>
  </si>
  <si>
    <t>02 Casitas</t>
  </si>
  <si>
    <t>03 Canoas de Punta Sal</t>
  </si>
  <si>
    <t>01 Zarumilla</t>
  </si>
  <si>
    <t>02 Aguas Verdes</t>
  </si>
  <si>
    <t>03 Matapalo</t>
  </si>
  <si>
    <t>04 Papayal</t>
  </si>
  <si>
    <t>LOC_177</t>
  </si>
  <si>
    <t>LOC_178</t>
  </si>
  <si>
    <t>LOC_179</t>
  </si>
  <si>
    <t xml:space="preserve">01 Coronel Portillo </t>
  </si>
  <si>
    <t xml:space="preserve">02 Atalaya </t>
  </si>
  <si>
    <t xml:space="preserve">03 Padre Abad </t>
  </si>
  <si>
    <t>04 Purús</t>
  </si>
  <si>
    <t>01 Calleria</t>
  </si>
  <si>
    <t>02 Campoverde</t>
  </si>
  <si>
    <t>03 Iparia</t>
  </si>
  <si>
    <t>04 Masisea</t>
  </si>
  <si>
    <t>05 Yarinacocha</t>
  </si>
  <si>
    <t>06 Nueva Requena</t>
  </si>
  <si>
    <t>07 Manantay</t>
  </si>
  <si>
    <t>01 Raymondi</t>
  </si>
  <si>
    <t>02 Sepahua</t>
  </si>
  <si>
    <t>03 Tahuania</t>
  </si>
  <si>
    <t>04 Yurua</t>
  </si>
  <si>
    <t>01 Padre Abad</t>
  </si>
  <si>
    <t>02 Irazola</t>
  </si>
  <si>
    <t>03 Curimana</t>
  </si>
  <si>
    <t>04 Neshuya</t>
  </si>
  <si>
    <t>05 Alexander Von Humboldt</t>
  </si>
  <si>
    <t>01 Purus</t>
  </si>
  <si>
    <t>LOC_180</t>
  </si>
  <si>
    <t>LOC_181</t>
  </si>
  <si>
    <t>LOC_182</t>
  </si>
  <si>
    <t>LOC_183</t>
  </si>
  <si>
    <t>01 Prov. Const. del Callao</t>
  </si>
  <si>
    <t xml:space="preserve">02 Barranca </t>
  </si>
  <si>
    <t xml:space="preserve">04 Canta </t>
  </si>
  <si>
    <t xml:space="preserve">06 Huaral </t>
  </si>
  <si>
    <t xml:space="preserve">08 Huaura </t>
  </si>
  <si>
    <t xml:space="preserve">09 Oyón </t>
  </si>
  <si>
    <t xml:space="preserve">01 Lima </t>
  </si>
  <si>
    <t>01 Callao</t>
  </si>
  <si>
    <t>03 Carmen de la Legua Reynoso</t>
  </si>
  <si>
    <t>04 La Perla</t>
  </si>
  <si>
    <t>05 La Punta</t>
  </si>
  <si>
    <t>06 Ventanilla</t>
  </si>
  <si>
    <t>07 Mi Perú</t>
  </si>
  <si>
    <t>02 Paramonga</t>
  </si>
  <si>
    <t>03 Pativilca</t>
  </si>
  <si>
    <t>04 Supe</t>
  </si>
  <si>
    <t>05 Supe Puerto</t>
  </si>
  <si>
    <t>01 Canta</t>
  </si>
  <si>
    <t>02 Arahuay</t>
  </si>
  <si>
    <t>03 Huamantanga</t>
  </si>
  <si>
    <t>04 Huaros</t>
  </si>
  <si>
    <t>05 Lachaqui</t>
  </si>
  <si>
    <t>06 San Buenaventura</t>
  </si>
  <si>
    <t>07 Santa Rosa de Quives</t>
  </si>
  <si>
    <t>01 Huaral</t>
  </si>
  <si>
    <t>02 Atavillos Alto</t>
  </si>
  <si>
    <t>03 Atavillos Bajo</t>
  </si>
  <si>
    <t>04 Aucallama</t>
  </si>
  <si>
    <t>05 Chancay</t>
  </si>
  <si>
    <t>06 Ihuari</t>
  </si>
  <si>
    <t>07 Lampian</t>
  </si>
  <si>
    <t>08 Pacaraos</t>
  </si>
  <si>
    <t>09 San Miguel de Acos</t>
  </si>
  <si>
    <t>10 Santa Cruz de Andamarca</t>
  </si>
  <si>
    <t>11 Sumbilca</t>
  </si>
  <si>
    <t>12 Veintisiete de Noviembre</t>
  </si>
  <si>
    <t>01 Huacho</t>
  </si>
  <si>
    <t>02 Ambar</t>
  </si>
  <si>
    <t>03 Caleta de Carquin</t>
  </si>
  <si>
    <t>04 Checras</t>
  </si>
  <si>
    <t>05 Hualmay</t>
  </si>
  <si>
    <t>06 Huaura</t>
  </si>
  <si>
    <t>07 Leoncio Prado</t>
  </si>
  <si>
    <t>08 Paccho</t>
  </si>
  <si>
    <t>09 Santa Leonor</t>
  </si>
  <si>
    <t>10 Santa María</t>
  </si>
  <si>
    <t>11 Sayan</t>
  </si>
  <si>
    <t>12 Vegueta</t>
  </si>
  <si>
    <t>01 Oyon</t>
  </si>
  <si>
    <t>02 Andajes</t>
  </si>
  <si>
    <t>03 Caujul</t>
  </si>
  <si>
    <t>04 Cochamarca</t>
  </si>
  <si>
    <t>05 Navan</t>
  </si>
  <si>
    <t>06 Pachangara</t>
  </si>
  <si>
    <t>01 Lima</t>
  </si>
  <si>
    <t>02 Ancón</t>
  </si>
  <si>
    <t>03 Ate</t>
  </si>
  <si>
    <t>04 Barranco</t>
  </si>
  <si>
    <t>05 Breña</t>
  </si>
  <si>
    <t>06 Carabayllo</t>
  </si>
  <si>
    <t>07 Chaclacayo</t>
  </si>
  <si>
    <t>08 Chorrillos</t>
  </si>
  <si>
    <t>09 Cieneguilla</t>
  </si>
  <si>
    <t>10 Comas</t>
  </si>
  <si>
    <t>11 El Agustino</t>
  </si>
  <si>
    <t>12 Independencia</t>
  </si>
  <si>
    <t>13 Jesús María</t>
  </si>
  <si>
    <t>14 La Molina</t>
  </si>
  <si>
    <t>15 La Victoria</t>
  </si>
  <si>
    <t>16 Lince</t>
  </si>
  <si>
    <t>17 Los Olivos</t>
  </si>
  <si>
    <t>18 Lurigancho</t>
  </si>
  <si>
    <t>19 Lurin</t>
  </si>
  <si>
    <t>20 Magdalena del Mar</t>
  </si>
  <si>
    <t>21 Pueblo Libre</t>
  </si>
  <si>
    <t>22 Miraflores</t>
  </si>
  <si>
    <t>23 Pachacamac</t>
  </si>
  <si>
    <t>24 Pucusana</t>
  </si>
  <si>
    <t>25 Puente Piedra</t>
  </si>
  <si>
    <t>26 Punta Hermosa</t>
  </si>
  <si>
    <t>27 Punta Negra</t>
  </si>
  <si>
    <t>28 Rímac</t>
  </si>
  <si>
    <t>29 San Bartolo</t>
  </si>
  <si>
    <t>30 San Borja</t>
  </si>
  <si>
    <t>31 San Isidro</t>
  </si>
  <si>
    <t>32 San Juan de Lurigancho</t>
  </si>
  <si>
    <t>33 San Juan de Miraflores</t>
  </si>
  <si>
    <t>34 San Luis</t>
  </si>
  <si>
    <t>35 San Martín de Porres</t>
  </si>
  <si>
    <t>36 San Miguel</t>
  </si>
  <si>
    <t>37 Santa Anita</t>
  </si>
  <si>
    <t>38 Santa María del Mar</t>
  </si>
  <si>
    <t>39 Santa Rosa</t>
  </si>
  <si>
    <t>40 Santiago de Surco</t>
  </si>
  <si>
    <t>41 Surquillo</t>
  </si>
  <si>
    <t>42 Villa El Salvador</t>
  </si>
  <si>
    <t>43 Villa María del Triunfo</t>
  </si>
  <si>
    <t>LOC_184</t>
  </si>
  <si>
    <t>LOC_185</t>
  </si>
  <si>
    <t>LOC_186</t>
  </si>
  <si>
    <t>LOC_187</t>
  </si>
  <si>
    <t>LOC_188</t>
  </si>
  <si>
    <t>LOC_189</t>
  </si>
  <si>
    <t>LOC_190</t>
  </si>
  <si>
    <t xml:space="preserve">03 Cajatambo </t>
  </si>
  <si>
    <t xml:space="preserve">07 Huarochirí </t>
  </si>
  <si>
    <t xml:space="preserve">10 Yauyos </t>
  </si>
  <si>
    <t>01 Cajatambo</t>
  </si>
  <si>
    <t>02 Copa</t>
  </si>
  <si>
    <t>03 Gorgor</t>
  </si>
  <si>
    <t>04 Huancapon</t>
  </si>
  <si>
    <t>05 Manas</t>
  </si>
  <si>
    <t>01 San Vicente de Cañete</t>
  </si>
  <si>
    <t>02 Asia</t>
  </si>
  <si>
    <t>03 Calango</t>
  </si>
  <si>
    <t>04 Cerro Azul</t>
  </si>
  <si>
    <t>05 Chilca</t>
  </si>
  <si>
    <t>06 Coayllo</t>
  </si>
  <si>
    <t>07 Imperial</t>
  </si>
  <si>
    <t>08 Lunahuana</t>
  </si>
  <si>
    <t>09 Mala</t>
  </si>
  <si>
    <t>10 Nuevo Imperial</t>
  </si>
  <si>
    <t>11 Pacaran</t>
  </si>
  <si>
    <t>12 Quilmana</t>
  </si>
  <si>
    <t>14 San Luis</t>
  </si>
  <si>
    <t>15 Santa Cruz de Flores</t>
  </si>
  <si>
    <t>16 Zúñiga</t>
  </si>
  <si>
    <t>01 Matucana</t>
  </si>
  <si>
    <t>02 Antioquia</t>
  </si>
  <si>
    <t>03 Callahuanca</t>
  </si>
  <si>
    <t>04 Carampoma</t>
  </si>
  <si>
    <t>05 Chicla</t>
  </si>
  <si>
    <t>06 Cuenca</t>
  </si>
  <si>
    <t>07 Huachupampa</t>
  </si>
  <si>
    <t>08 Huanza</t>
  </si>
  <si>
    <t>09 Huarochiri</t>
  </si>
  <si>
    <t>10 Lahuaytambo</t>
  </si>
  <si>
    <t>11 Langa</t>
  </si>
  <si>
    <t>12 Laraos</t>
  </si>
  <si>
    <t>13 Mariatana</t>
  </si>
  <si>
    <t>14 Ricardo Palma</t>
  </si>
  <si>
    <t>15 San Andrés de Tupicocha</t>
  </si>
  <si>
    <t>16 San Antonio</t>
  </si>
  <si>
    <t>17 San Bartolomé</t>
  </si>
  <si>
    <t>18 San Damian</t>
  </si>
  <si>
    <t>19 San Juan de Iris</t>
  </si>
  <si>
    <t>20 San Juan de Tantaranche</t>
  </si>
  <si>
    <t>21 San Lorenzo de Quinti</t>
  </si>
  <si>
    <t>22 San Mateo</t>
  </si>
  <si>
    <t>23 San Mateo de Otao</t>
  </si>
  <si>
    <t>24 San Pedro de Casta</t>
  </si>
  <si>
    <t>25 San Pedro de Huancayre</t>
  </si>
  <si>
    <t>26 Sangallaya</t>
  </si>
  <si>
    <t>27 Santa Cruz de Cocachacra</t>
  </si>
  <si>
    <t>28 Santa Eulalia</t>
  </si>
  <si>
    <t>29 Santiago de Anchucaya</t>
  </si>
  <si>
    <t>30 Santiago de Tuna</t>
  </si>
  <si>
    <t>31 Santo Domingo de Los Olleros</t>
  </si>
  <si>
    <t>32 Surco</t>
  </si>
  <si>
    <t>01 Yauyos</t>
  </si>
  <si>
    <t>02 Alis</t>
  </si>
  <si>
    <t>03 Allauca</t>
  </si>
  <si>
    <t>04 Ayaviri</t>
  </si>
  <si>
    <t>05 Azángaro</t>
  </si>
  <si>
    <t>06 Cacra</t>
  </si>
  <si>
    <t>07 Carania</t>
  </si>
  <si>
    <t>08 Catahuasi</t>
  </si>
  <si>
    <t>09 Chocos</t>
  </si>
  <si>
    <t>10 Cochas</t>
  </si>
  <si>
    <t>11 Colonia</t>
  </si>
  <si>
    <t>12 Hongos</t>
  </si>
  <si>
    <t>13 Huampara</t>
  </si>
  <si>
    <t>14 Huancaya</t>
  </si>
  <si>
    <t>15 Huangascar</t>
  </si>
  <si>
    <t>16 Huantan</t>
  </si>
  <si>
    <t>17 Huañec</t>
  </si>
  <si>
    <t>18 Laraos</t>
  </si>
  <si>
    <t>19 Lincha</t>
  </si>
  <si>
    <t>20 Madean</t>
  </si>
  <si>
    <t>21 Miraflores</t>
  </si>
  <si>
    <t>22 Omas</t>
  </si>
  <si>
    <t>23 Putinza</t>
  </si>
  <si>
    <t>24 Quinches</t>
  </si>
  <si>
    <t>25 Quinocay</t>
  </si>
  <si>
    <t>26 San Joaquín</t>
  </si>
  <si>
    <t>27 San Pedro de Pilas</t>
  </si>
  <si>
    <t>28 Tanta</t>
  </si>
  <si>
    <t>29 Tauripampa</t>
  </si>
  <si>
    <t>30 Tomas</t>
  </si>
  <si>
    <t>31 Tupe</t>
  </si>
  <si>
    <t>32 Viñac</t>
  </si>
  <si>
    <t>33 Vitis</t>
  </si>
  <si>
    <t>LOC_191</t>
  </si>
  <si>
    <t>LOC_192</t>
  </si>
  <si>
    <t>LOC_193</t>
  </si>
  <si>
    <t>LOC_194</t>
  </si>
  <si>
    <t>LOC_195</t>
  </si>
  <si>
    <t>Horas</t>
  </si>
  <si>
    <t>Minutos</t>
  </si>
  <si>
    <t>Minutos a Horas</t>
  </si>
  <si>
    <t>Horas*</t>
  </si>
  <si>
    <t>Minutos*</t>
  </si>
  <si>
    <t>Minutos a Horas*</t>
  </si>
  <si>
    <t>Nivel Provincial</t>
  </si>
  <si>
    <t>Nivel Distrital</t>
  </si>
  <si>
    <t>Recorridos en tiempos a pesos/unidades</t>
  </si>
  <si>
    <t>Plan Operativo</t>
  </si>
  <si>
    <t>Oficinas Regionales</t>
  </si>
  <si>
    <t>OFICINAS REGIONALES</t>
  </si>
  <si>
    <t>Concatenado*</t>
  </si>
  <si>
    <t>Concatenado***</t>
  </si>
  <si>
    <t>Simbología**</t>
  </si>
  <si>
    <t>Concatenado****</t>
  </si>
  <si>
    <t>Antecedentes</t>
  </si>
  <si>
    <t>Sí</t>
  </si>
  <si>
    <t>No</t>
  </si>
  <si>
    <t>Terrestre fluvial</t>
  </si>
  <si>
    <t>Terrestre-Rural</t>
  </si>
  <si>
    <t>Tipo de Transporte</t>
  </si>
  <si>
    <t>Tipos de Transporte</t>
  </si>
  <si>
    <t>Estado del Informe</t>
  </si>
  <si>
    <t>Acciones que involucran el estado</t>
  </si>
  <si>
    <t>Puntaje</t>
  </si>
  <si>
    <t>Buena</t>
  </si>
  <si>
    <t xml:space="preserve">Regular </t>
  </si>
  <si>
    <t>Mala</t>
  </si>
  <si>
    <t>Mes que presenta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</si>
  <si>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</si>
  <si>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</si>
  <si>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</si>
  <si>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</si>
  <si>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</si>
  <si>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</si>
  <si>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</si>
  <si>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</si>
  <si>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</si>
  <si>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</si>
  <si>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</si>
  <si>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</si>
  <si>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</si>
  <si>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S1</t>
  </si>
  <si>
    <t>S2</t>
  </si>
  <si>
    <t>S3A</t>
  </si>
  <si>
    <t>S3B</t>
  </si>
  <si>
    <t>Categoría</t>
  </si>
  <si>
    <t>Sueldo</t>
  </si>
  <si>
    <t>Minutos que toma la consulta del Antecedente (Minutos)</t>
  </si>
  <si>
    <t>Horas a Minutos</t>
  </si>
  <si>
    <t>Observaciones (Para futuras Mejoras)</t>
  </si>
  <si>
    <t xml:space="preserve">Datos de la Oficina Regional </t>
  </si>
  <si>
    <r>
      <t xml:space="preserve">1.- Aspectos de Forma
2.- Aspectos de Fondo 
3.- Entregado a Tiempo o en Plazo
            </t>
    </r>
    <r>
      <rPr>
        <b/>
        <sz val="11"/>
        <color theme="1"/>
        <rFont val="Calibri"/>
        <family val="2"/>
        <scheme val="minor"/>
      </rPr>
      <t>(Cumplimiento de 3 de 3)</t>
    </r>
  </si>
  <si>
    <r>
      <t xml:space="preserve">1.- Aspectos de Forma
2.- Aspectos de Fondo
3.- Entregado a Tiempo o en Plazo
           </t>
    </r>
    <r>
      <rPr>
        <b/>
        <sz val="11"/>
        <color theme="1"/>
        <rFont val="Calibri"/>
        <family val="2"/>
        <scheme val="minor"/>
      </rPr>
      <t>(Cumplimiento de 2 de 3)</t>
    </r>
  </si>
  <si>
    <r>
      <t xml:space="preserve">1.- Aspectos de Forma
2.- Aspectos de Fondo
3.- Entregado a Tiempo o en Plazo
          </t>
    </r>
    <r>
      <rPr>
        <b/>
        <sz val="11"/>
        <color theme="1"/>
        <rFont val="Calibri"/>
        <family val="2"/>
        <scheme val="minor"/>
      </rPr>
      <t>(Cumplimiento de 1 de 3)</t>
    </r>
  </si>
  <si>
    <t>Establecimientos de Venta al Público (GLP y GNV)</t>
  </si>
  <si>
    <t>Distribuidores de GLP en Cilindros</t>
  </si>
  <si>
    <t>Establecimientos de Venta al Público (Líquidos y/o GLP)</t>
  </si>
  <si>
    <t>Establecimientos de Venta al Público (Líquidos o GLP)</t>
  </si>
  <si>
    <t>Establecimientos de Venta al Público (Líquidos y GLP)</t>
  </si>
  <si>
    <t>Establecimientos (GNV o GNC o GNL)</t>
  </si>
  <si>
    <t>Establecimientos de Venta al Público con convenio (Líquidos y/o GLP)</t>
  </si>
  <si>
    <t>Medios de Transporte (GNC o GNL)</t>
  </si>
  <si>
    <t>Suspensión del RHO</t>
  </si>
  <si>
    <t>Habilitación del RHO</t>
  </si>
  <si>
    <t>Cancelación del RHO</t>
  </si>
  <si>
    <t>RHO Modificación de Datos  (*)</t>
  </si>
  <si>
    <t>RAZON SOCIAL</t>
  </si>
  <si>
    <t>SUB SECTOR</t>
  </si>
  <si>
    <t>S4</t>
  </si>
  <si>
    <t>EMPRESAS SUPERVISORAS</t>
  </si>
  <si>
    <t>TERRAMAR INSPECTION &amp; TRADING S.A.C.</t>
  </si>
  <si>
    <t>Amazonas</t>
  </si>
  <si>
    <t>Arequipa</t>
  </si>
  <si>
    <t>Ayacucho</t>
  </si>
  <si>
    <t>Cajamarca</t>
  </si>
  <si>
    <t>Cusco</t>
  </si>
  <si>
    <t>Huancavelica</t>
  </si>
  <si>
    <t>Ica</t>
  </si>
  <si>
    <t>Loreto</t>
  </si>
  <si>
    <t>Moquegua</t>
  </si>
  <si>
    <t>Pasco</t>
  </si>
  <si>
    <t>Piura</t>
  </si>
  <si>
    <t>Puno</t>
  </si>
  <si>
    <t>Tacna</t>
  </si>
  <si>
    <t>Tumbes</t>
  </si>
  <si>
    <t>Ucayali</t>
  </si>
  <si>
    <t>Lambayeque</t>
  </si>
  <si>
    <t>Junín</t>
  </si>
  <si>
    <t>Áncash</t>
  </si>
  <si>
    <t>La_Libertad</t>
  </si>
  <si>
    <t>Madre_de_Dios</t>
  </si>
  <si>
    <t>Apurímac</t>
  </si>
  <si>
    <t>Huánuco</t>
  </si>
  <si>
    <t>San_Martín</t>
  </si>
  <si>
    <t>Lima_Norte</t>
  </si>
  <si>
    <t>Lima_Sur</t>
  </si>
  <si>
    <t>OFICINA REGIONAL</t>
  </si>
  <si>
    <t>► Guía referencial de Empresas Supervisoras por Oficina Regional.</t>
  </si>
  <si>
    <t>Madre de Dios</t>
  </si>
  <si>
    <t>Gabinete</t>
  </si>
  <si>
    <t>Establecimientos de Venta al Público (GNV)</t>
  </si>
  <si>
    <t>12 La Convención</t>
  </si>
  <si>
    <t>09 Kimbiri</t>
  </si>
  <si>
    <t>07 Santa Teresa</t>
  </si>
  <si>
    <t>09 Inkawasi</t>
  </si>
  <si>
    <t>10 Villa Virgen</t>
  </si>
  <si>
    <t>11 Villa Kintiarina</t>
  </si>
  <si>
    <t>Calidad del Expediente/Informe</t>
  </si>
  <si>
    <t>HIDROCARBUROS</t>
  </si>
  <si>
    <t>Grifo Rural con almacenamiento en cilindros</t>
  </si>
  <si>
    <t>Grifo Rural con almacenamiento en cilindros con máquinas de despacho</t>
  </si>
  <si>
    <t>Consumidores Directos de GNC</t>
  </si>
  <si>
    <t>04 Ancash</t>
  </si>
  <si>
    <t>LOC_1911</t>
  </si>
  <si>
    <t>01 Santa</t>
  </si>
  <si>
    <t>05 Chiclayo</t>
  </si>
  <si>
    <t xml:space="preserve">01 Cañete </t>
  </si>
  <si>
    <t xml:space="preserve">02 Huarochirí </t>
  </si>
  <si>
    <t xml:space="preserve">03 Yauyos </t>
  </si>
  <si>
    <t>LOC_1912</t>
  </si>
  <si>
    <t>06 Santa</t>
  </si>
  <si>
    <t>LOC_1913</t>
  </si>
  <si>
    <t>Tiempo Total a Nivel Provincial + Distrital (Horas)</t>
  </si>
  <si>
    <t>Tiempo Total a Nivel Proncincial (Horas)</t>
  </si>
  <si>
    <t xml:space="preserve">Terrestre </t>
  </si>
  <si>
    <t>Solo via aérea (recorrido directo)</t>
  </si>
  <si>
    <t>Total de Horas por Empresa Supervisora  (Referencia: Sunat → 30 días x 8 hrs)</t>
  </si>
  <si>
    <t>LOC_531</t>
  </si>
  <si>
    <t>N°  de Expediente SIGED Involucrado</t>
  </si>
  <si>
    <t>COMPAÑÍA DE INGENIERIA Y CONSTRUCCIÓN ESPECIALIZADA S.R.L.</t>
  </si>
  <si>
    <t xml:space="preserve">Refinería </t>
  </si>
  <si>
    <t>Planta de Abastecimiento</t>
  </si>
  <si>
    <t>Tiempo de Recorrido (Hrs)
(Provincial + Distrital)</t>
  </si>
  <si>
    <t>Tiempo por Tipo de Transporte empleado</t>
  </si>
  <si>
    <t>Tiempo Real total (Horas)</t>
  </si>
  <si>
    <t>01 Pangoa</t>
  </si>
  <si>
    <t>LOC_5311</t>
  </si>
  <si>
    <t>01 La Florida</t>
  </si>
  <si>
    <t>02 Niepos</t>
  </si>
  <si>
    <t>03 Bolivar</t>
  </si>
  <si>
    <t>04 Nanchoc</t>
  </si>
  <si>
    <t>02 Catache</t>
  </si>
  <si>
    <t>01 Llama</t>
  </si>
  <si>
    <t>02 Miracosta</t>
  </si>
  <si>
    <t>03 San Juan de Licupiz</t>
  </si>
  <si>
    <t>04 Tocmoche</t>
  </si>
  <si>
    <t>05 Chota</t>
  </si>
  <si>
    <t>08 Huambos</t>
  </si>
  <si>
    <t>02 Socota</t>
  </si>
  <si>
    <t>03 San Luis de Lucma</t>
  </si>
  <si>
    <t>10 Hualgayoc</t>
  </si>
  <si>
    <t>11 Bambamarca</t>
  </si>
  <si>
    <t>04 San Miguel (Cajamarca)</t>
  </si>
  <si>
    <t>05 Santa Cruz (Cajamarca)</t>
  </si>
  <si>
    <t>06 Chota (Cajamarca)</t>
  </si>
  <si>
    <t>07 Cutervo (Cajamarca)</t>
  </si>
  <si>
    <t>08 Hualgayoc (Cajamarca)</t>
  </si>
  <si>
    <t>LOC_1241</t>
  </si>
  <si>
    <t>LOC_1242</t>
  </si>
  <si>
    <t>LOC_1243</t>
  </si>
  <si>
    <t>LOC_1244</t>
  </si>
  <si>
    <t>01 Iquitos</t>
  </si>
  <si>
    <t>Supervisión de Control Volumétrico</t>
  </si>
  <si>
    <t>Supervisión del SPIC</t>
  </si>
  <si>
    <t>Supervisión Expost de Informes de Indice de Riesgo</t>
  </si>
  <si>
    <t>Fiscalización Orientativa SCOP - RGG 24-2021-OS/GGRGG (Acción de Supervisión: Informe de Fiscalización Orientativa)</t>
  </si>
  <si>
    <t>Supervisión Operativa de Seguridad de Locales de Venta (LV) de GLP</t>
  </si>
  <si>
    <t>Supervisión Operativa de Seguridad de Consumidores Directos (CD) ó Redes de Distribución (RD) de GLP</t>
  </si>
  <si>
    <t>Supervisión Operativa de Certificación  de Planta Envasadora (PE) ó Distribuidora a Granel (DG) de GLP</t>
  </si>
  <si>
    <t>Supervisión Operativa de Agentes Autorizados bajo el régimen de aprobación automática</t>
  </si>
  <si>
    <t>Supervisión operativa a los agentes con instalaciones fijas de GNV, GNC y GNL</t>
  </si>
  <si>
    <t>Visitas de supervisión para el control de calidad de los combustibles / GLP despachados / producidos en establecimientos de venta al público (muestrales)</t>
  </si>
  <si>
    <t>Visitas de supervisión para el control de calidad de los combustibles / GLP despachados / producidos en plantas de abastecimiento o refinerías (censales)</t>
  </si>
  <si>
    <t>Visitas de supervisión metrológica de combustibles despachados en establecimientos de venta al público (muestrales / censales)</t>
  </si>
  <si>
    <t>Reinscripción de Registro de Hidrocarburos</t>
  </si>
  <si>
    <t>Solicitudes de Inscripción y Modificación en el Registro de Hidrocarburos de Osinergmin - Trámite Virtual para Locales de Venta de GLP</t>
  </si>
  <si>
    <t>Supervisión de comercialización de hidrocarburos (CL, GLP, GNV, GNC y GNL)</t>
  </si>
  <si>
    <t>Acción</t>
  </si>
  <si>
    <t>Naturaleza de la Supervisión</t>
  </si>
  <si>
    <t>Informe de Supervisión</t>
  </si>
  <si>
    <t>Visita de Supervisión</t>
  </si>
  <si>
    <t>Supervisión de la calidad y cantidad de combustibles</t>
  </si>
  <si>
    <r>
      <t xml:space="preserve">Atención de Solicitudes de Informe Técnico </t>
    </r>
    <r>
      <rPr>
        <sz val="10"/>
        <color rgb="FFFF0000"/>
        <rFont val="Calibri"/>
        <family val="2"/>
        <scheme val="minor"/>
      </rPr>
      <t>Favorable</t>
    </r>
  </si>
  <si>
    <t>Supervisión de instalaciones y medios de transporte (CL, GLP, GNV, GNC,GNL y OPDH)</t>
  </si>
  <si>
    <t>Solicitud atendida</t>
  </si>
  <si>
    <r>
      <t>Certificado de Supervisión de Diseñ</t>
    </r>
    <r>
      <rPr>
        <sz val="10"/>
        <color rgb="FFFF0000"/>
        <rFont val="Calibri"/>
        <family val="2"/>
        <scheme val="minor"/>
      </rPr>
      <t>o</t>
    </r>
  </si>
  <si>
    <r>
      <t>Certi</t>
    </r>
    <r>
      <rPr>
        <sz val="10"/>
        <color rgb="FFFF0000"/>
        <rFont val="Calibri"/>
        <family val="2"/>
        <scheme val="minor"/>
      </rPr>
      <t>fi</t>
    </r>
    <r>
      <rPr>
        <sz val="10"/>
        <color theme="1"/>
        <rFont val="Calibri"/>
        <family val="2"/>
        <scheme val="minor"/>
      </rPr>
      <t>cado de Fin de Construcción</t>
    </r>
  </si>
  <si>
    <r>
      <t>Certificado de Supervisión de Funcionamient</t>
    </r>
    <r>
      <rPr>
        <sz val="10"/>
        <color rgb="FFFF0000"/>
        <rFont val="Calibri"/>
        <family val="2"/>
        <scheme val="minor"/>
      </rPr>
      <t>o</t>
    </r>
  </si>
  <si>
    <r>
      <t>Certicado de Supervisión de Modificación de Funcionamient</t>
    </r>
    <r>
      <rPr>
        <sz val="10"/>
        <color rgb="FFFF0000"/>
        <rFont val="Calibri"/>
        <family val="2"/>
        <scheme val="minor"/>
      </rPr>
      <t>o</t>
    </r>
  </si>
  <si>
    <r>
      <t xml:space="preserve">Certificado de Supervisión de </t>
    </r>
    <r>
      <rPr>
        <sz val="10"/>
        <color rgb="FFFF0000"/>
        <rFont val="Calibri"/>
        <family val="2"/>
        <scheme val="minor"/>
      </rPr>
      <t>D</t>
    </r>
    <r>
      <rPr>
        <sz val="10"/>
        <color theme="1"/>
        <rFont val="Calibri"/>
        <family val="2"/>
        <scheme val="minor"/>
      </rPr>
      <t>iseño de  Modificación</t>
    </r>
  </si>
  <si>
    <t>Administración y otorgamiento del Registro de Hidrocarburos en toda la cadena</t>
  </si>
  <si>
    <r>
      <t xml:space="preserve">Control de Peso Neto </t>
    </r>
    <r>
      <rPr>
        <sz val="10"/>
        <color rgb="FFFF0000"/>
        <rFont val="Calibri"/>
        <family val="2"/>
        <scheme val="minor"/>
      </rPr>
      <t>de cilindros</t>
    </r>
  </si>
  <si>
    <t>Supervisión de Denuncias (Supervisión Especial de las Instalaciones y Medios de Transporte)</t>
  </si>
  <si>
    <t>Informales</t>
  </si>
  <si>
    <t>Consumidores Directos GLP y Redes de Distribución de GLP</t>
  </si>
  <si>
    <t>Orientativa SCOP</t>
  </si>
  <si>
    <t>Consumidores Directos GLP</t>
  </si>
  <si>
    <t>Seguridad de Locales de Venta de GLP</t>
  </si>
  <si>
    <t>Seguridad de Consumidores Directos (CD) ó Redes de Distribución (RD) de GLP</t>
  </si>
  <si>
    <t>Distribuidora a Granel (DG) de GLP</t>
  </si>
  <si>
    <t>Certificación de Distribuidora a Granel (DG) de GLP</t>
  </si>
  <si>
    <t>Certificación de Planta Envasadora (PE)</t>
  </si>
  <si>
    <t>Supervisión de seguridad por criticidad de cilindros de GLP</t>
  </si>
  <si>
    <t>Criticidad de cilindros de GLP</t>
  </si>
  <si>
    <t>Medios de Transporte y Distribuidores (Líquidos)</t>
  </si>
  <si>
    <t xml:space="preserve">Supervisión Operativa a Medios de Transporte Líquidos </t>
  </si>
  <si>
    <t>Supervisión Operativa a Medios de Transporte GLP cilindros</t>
  </si>
  <si>
    <t>Medios de Transporte de GLP en cilindros</t>
  </si>
  <si>
    <t>Medios de Transporte y Distribuidor a Granel de GLP</t>
  </si>
  <si>
    <t>Supervisión Operativa Transporte-Distribución a Granel de GLP</t>
  </si>
  <si>
    <t>Supervisión Operativa a Medios de Transporte GNC y GNL</t>
  </si>
  <si>
    <t>Establecimientos (GNV, GNC y GNL)</t>
  </si>
  <si>
    <t>Operativos a agentes autorizados bajo el régimen de aprobación automática</t>
  </si>
  <si>
    <t>Operativos a Medios de Transporte y Distribuidor a Granel de GLP</t>
  </si>
  <si>
    <t xml:space="preserve">Operativos a Medios de Transporte Líquidos </t>
  </si>
  <si>
    <t>Operativos a Medios de Transporte GLP en cilindros</t>
  </si>
  <si>
    <t>Operativos a Medios de Transporte (GNC, GNL)</t>
  </si>
  <si>
    <t>Operativos a Agentes instalaciones fijas (GNV, GNC y GNL)</t>
  </si>
  <si>
    <t>Operativos de apoyo en la lucha contra la minería ilegal</t>
  </si>
  <si>
    <t>Supervisión Especial - Apoyo en la Lucha Contra la Minería Ilegal</t>
  </si>
  <si>
    <t>Control de calidad de los combustibles / GLP despachados</t>
  </si>
  <si>
    <t>Plantas de Abastecimiento</t>
  </si>
  <si>
    <t>Refinerias</t>
  </si>
  <si>
    <t>Control metrológico de combustibles despachados</t>
  </si>
  <si>
    <t>Modificación en el Registro de Hidrocarburos de Osinergmin</t>
  </si>
  <si>
    <t>Inscripción en el Registro de Hidrocarburos de Osinergmin</t>
  </si>
  <si>
    <t>Supervisión por informalidad de comiso de equipos y facilidades de despacho de combustibles</t>
  </si>
  <si>
    <t>Supervisión por informalidad de oficio</t>
  </si>
  <si>
    <t>Visitas de supervisión metrológica o de peso en establecimientos de venta al público o plantas u otros centros de comercialización de combustibles líquidos o GLP (especiales o de parte)</t>
  </si>
  <si>
    <t>Visitas de control de peso del GLP envasado en plantas u otros centros de distribución o comercialización</t>
  </si>
  <si>
    <t>Visitas de supervisión para el control de calidad de los combustibles / GLP despachados en establecimientos de venta al público, plantas de abastecimiento o refinerías (especiales o de parte)</t>
  </si>
  <si>
    <t>Supervisión de obligaciones respecto al envasado, pintado y canje de cilindros de GLP</t>
  </si>
  <si>
    <r>
      <rPr>
        <sz val="10"/>
        <color rgb="FFFF0000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ilindros de GLP </t>
    </r>
    <r>
      <rPr>
        <sz val="10"/>
        <color rgb="FFFF0000"/>
        <rFont val="Calibri"/>
        <family val="2"/>
        <scheme val="minor"/>
      </rPr>
      <t>(Pintado)</t>
    </r>
  </si>
  <si>
    <r>
      <rPr>
        <sz val="10"/>
        <color rgb="FFFF0000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ilindros de GLP </t>
    </r>
    <r>
      <rPr>
        <sz val="10"/>
        <color rgb="FFFF0000"/>
        <rFont val="Calibri"/>
        <family val="2"/>
        <scheme val="minor"/>
      </rPr>
      <t>(Canje de cilindros)</t>
    </r>
  </si>
  <si>
    <t>Etiquetado o cartilla de seguridad en cilindros de GLP</t>
  </si>
  <si>
    <t>Verificación del etiquetado de balones</t>
  </si>
  <si>
    <r>
      <t xml:space="preserve">Integridad, </t>
    </r>
    <r>
      <rPr>
        <sz val="10"/>
        <color rgb="FFFF0000"/>
        <rFont val="Calibri"/>
        <family val="2"/>
        <scheme val="minor"/>
      </rPr>
      <t>Envasado de GLP,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rgb="FFFF0000"/>
        <rFont val="Calibri"/>
        <family val="2"/>
        <scheme val="minor"/>
      </rPr>
      <t>P</t>
    </r>
    <r>
      <rPr>
        <sz val="10"/>
        <color theme="1"/>
        <rFont val="Calibri"/>
        <family val="2"/>
        <scheme val="minor"/>
      </rPr>
      <t xml:space="preserve">intado de cililndros de GLP y </t>
    </r>
    <r>
      <rPr>
        <sz val="10"/>
        <color rgb="FFFF0000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anje  de cilindros de GLP</t>
    </r>
  </si>
  <si>
    <t>Establecimientos de Venta al Público</t>
  </si>
  <si>
    <t>Atención solicitudes de certificado de supervisión de diseño, fin de construcción y funcionamiento (GNV, GNC. GNL)</t>
  </si>
  <si>
    <t>Actas de verificación de pruebas y de conformidad</t>
  </si>
  <si>
    <t>Supervisión de seguridad por criticidad  de instalaciones</t>
  </si>
  <si>
    <t>Solicitudes de Registro de Hidrocarburos (combustibles líquidos, GLP, GNV, GNC, GNL): Inscripción, Modificación, Suspensión, Habilitación, Cancelación - Trámite Físico o en Ventanilla Virtual</t>
  </si>
  <si>
    <t>RHO Modificación de registro</t>
  </si>
  <si>
    <t>RHO Modificación de Datos</t>
  </si>
  <si>
    <t>Supervisión Ex Post del Registro de Hidrocarburos con aprobación automática</t>
  </si>
  <si>
    <t>RHO Modificación de Registro</t>
  </si>
  <si>
    <t>Supervisión Operativa PDJ</t>
  </si>
  <si>
    <t>Operativo Convencional (Por Operaciones, Condiciones de Seguridad)</t>
  </si>
  <si>
    <t>Supervisión operativa de actos inseguros</t>
  </si>
  <si>
    <t>Medidas de Seguridad</t>
  </si>
  <si>
    <t>Ejecución y Levantamiento</t>
  </si>
  <si>
    <t>Agentes Formales</t>
  </si>
  <si>
    <t>Supervisión de Emergencias (Supervisión Especial de las Instalaciones y Medios de Transporte)</t>
  </si>
  <si>
    <t>Supervisión RIC</t>
  </si>
  <si>
    <t>RIC</t>
  </si>
  <si>
    <t>Opinión Técnica de la DIA</t>
  </si>
  <si>
    <t>Control Volumétrico</t>
  </si>
  <si>
    <t>SPIC</t>
  </si>
  <si>
    <t>Distribuidor minorista de líquidos</t>
  </si>
  <si>
    <t>Acción Especifica</t>
  </si>
  <si>
    <t>Sub Acción Especifica</t>
  </si>
  <si>
    <t>Tipo de instalación relacionado</t>
  </si>
  <si>
    <t>Resultado de la Supervisión</t>
  </si>
  <si>
    <t>Simbología Espe</t>
  </si>
  <si>
    <t>Simbología Espe*</t>
  </si>
  <si>
    <t>Concatenado1</t>
  </si>
  <si>
    <t>Concatenado2</t>
  </si>
  <si>
    <t>Simbología1</t>
  </si>
  <si>
    <t>KKIN_1</t>
  </si>
  <si>
    <t>KKIN_2</t>
  </si>
  <si>
    <t>KKIN_3</t>
  </si>
  <si>
    <t>KKIN_4</t>
  </si>
  <si>
    <t>KKIN_5</t>
  </si>
  <si>
    <t>KKIN_6</t>
  </si>
  <si>
    <t>KKIN_7</t>
  </si>
  <si>
    <t>KKIN_8</t>
  </si>
  <si>
    <t>KKIN_9</t>
  </si>
  <si>
    <t>KKIN_10</t>
  </si>
  <si>
    <t>KKIN_20</t>
  </si>
  <si>
    <t>KKIN_12</t>
  </si>
  <si>
    <t>KKIN_13</t>
  </si>
  <si>
    <t>KKIN_14</t>
  </si>
  <si>
    <t>KKIN_16</t>
  </si>
  <si>
    <t>KKIN_17</t>
  </si>
  <si>
    <t>KKIN_18</t>
  </si>
  <si>
    <t>KKIN_19</t>
  </si>
  <si>
    <t>KKIN_21</t>
  </si>
  <si>
    <t>KKIN_22</t>
  </si>
  <si>
    <t>KKIN_23</t>
  </si>
  <si>
    <t>KKIN_24</t>
  </si>
  <si>
    <t>KKIN_25</t>
  </si>
  <si>
    <t>KKIN_26</t>
  </si>
  <si>
    <t>KKIN_27</t>
  </si>
  <si>
    <t>KKIN_28</t>
  </si>
  <si>
    <t>KKIN_29</t>
  </si>
  <si>
    <t>KKIN_30</t>
  </si>
  <si>
    <t>KKIN_31</t>
  </si>
  <si>
    <t>KKIN_32</t>
  </si>
  <si>
    <t>KKIN_33</t>
  </si>
  <si>
    <t>KKIN_34</t>
  </si>
  <si>
    <t>KKIN_35</t>
  </si>
  <si>
    <t>KKIN_36</t>
  </si>
  <si>
    <t>KKIN_37</t>
  </si>
  <si>
    <t>KKIN_38</t>
  </si>
  <si>
    <t>KKIN_39</t>
  </si>
  <si>
    <t>KKIN_40</t>
  </si>
  <si>
    <t>KKIN_41</t>
  </si>
  <si>
    <t>KKIN_42</t>
  </si>
  <si>
    <t>KKIN_43</t>
  </si>
  <si>
    <t>KKIN_44</t>
  </si>
  <si>
    <t>KKIN_45</t>
  </si>
  <si>
    <t>KKIN_46</t>
  </si>
  <si>
    <t>KKIN_47</t>
  </si>
  <si>
    <t>Simbología Espe***</t>
  </si>
  <si>
    <t>KKKIN_1</t>
  </si>
  <si>
    <t>KKKIN_2</t>
  </si>
  <si>
    <t>KKKIN_3</t>
  </si>
  <si>
    <t>KKKIN_4</t>
  </si>
  <si>
    <t>KKKIN_5</t>
  </si>
  <si>
    <t>KKKIN_7</t>
  </si>
  <si>
    <t>KKKIN_8</t>
  </si>
  <si>
    <t>KKKIN_9</t>
  </si>
  <si>
    <t>KKKIN_10</t>
  </si>
  <si>
    <t>KKKIN_11</t>
  </si>
  <si>
    <t>KKKIN_12</t>
  </si>
  <si>
    <t>KKKIN_13</t>
  </si>
  <si>
    <t>KKKIN_14</t>
  </si>
  <si>
    <t>KKKIN_15</t>
  </si>
  <si>
    <t>KKKIN_16</t>
  </si>
  <si>
    <t>KKKIN_17</t>
  </si>
  <si>
    <t>KKKIN_18</t>
  </si>
  <si>
    <t>KKKIN_19</t>
  </si>
  <si>
    <t>KKKIN_29</t>
  </si>
  <si>
    <t>KKKIN_20</t>
  </si>
  <si>
    <t>KKKIN_21</t>
  </si>
  <si>
    <t>KKKIN_22</t>
  </si>
  <si>
    <t>KKKIN_23</t>
  </si>
  <si>
    <t>KKKIN_24</t>
  </si>
  <si>
    <t>KKKIN_25</t>
  </si>
  <si>
    <t>KKKIN_26</t>
  </si>
  <si>
    <t>KKKIN_27</t>
  </si>
  <si>
    <t>KKKIN_28</t>
  </si>
  <si>
    <t>KKKIN_30</t>
  </si>
  <si>
    <t>KKKIN_31</t>
  </si>
  <si>
    <t>KKKIN_32</t>
  </si>
  <si>
    <t>KKKIN_33</t>
  </si>
  <si>
    <t>KKKIN_34</t>
  </si>
  <si>
    <t>KKKIN_35</t>
  </si>
  <si>
    <t>KKKIN_36</t>
  </si>
  <si>
    <t>KKKIN_37</t>
  </si>
  <si>
    <t>KKKIN_38</t>
  </si>
  <si>
    <t>KKKIN_39</t>
  </si>
  <si>
    <t>KKKIN_40</t>
  </si>
  <si>
    <t>KKKIN_41</t>
  </si>
  <si>
    <t>KKKIN_42</t>
  </si>
  <si>
    <t>KKKIN_43</t>
  </si>
  <si>
    <t>KKKIN_44</t>
  </si>
  <si>
    <t>KKKIN_45</t>
  </si>
  <si>
    <t>KKKIN_46</t>
  </si>
  <si>
    <t>KKKIN_47</t>
  </si>
  <si>
    <t>KKKIN_48</t>
  </si>
  <si>
    <t>KKKIN_49</t>
  </si>
  <si>
    <t>KKKIN_50</t>
  </si>
  <si>
    <t>KKKIN_51</t>
  </si>
  <si>
    <t>KKKIN_52</t>
  </si>
  <si>
    <t>KKKIN_53</t>
  </si>
  <si>
    <t>KKKIN_54</t>
  </si>
  <si>
    <t>KKKIN_55</t>
  </si>
  <si>
    <t>KKKIN_56</t>
  </si>
  <si>
    <t>KKKIN_57</t>
  </si>
  <si>
    <t>KKKIN_58</t>
  </si>
  <si>
    <t>KKKIN_59</t>
  </si>
  <si>
    <t>KKKIN_60</t>
  </si>
  <si>
    <t>KKKIN_61</t>
  </si>
  <si>
    <t>KKKIN_62</t>
  </si>
  <si>
    <t>KKKIN_63</t>
  </si>
  <si>
    <t>KKKIN_64</t>
  </si>
  <si>
    <t>KKKIN_65</t>
  </si>
  <si>
    <t>KKKIN_66</t>
  </si>
  <si>
    <t>N° de Supervisores participantes de la Sup.</t>
  </si>
  <si>
    <t>Carta Linea</t>
  </si>
  <si>
    <t>Codigo_Plan_Acción</t>
  </si>
  <si>
    <t>Nombre_Abreviado
Plan de acción</t>
  </si>
  <si>
    <t>Plan de acción</t>
  </si>
  <si>
    <t>Hidrocarburos</t>
  </si>
  <si>
    <t>Codigo_Acción</t>
  </si>
  <si>
    <t>Nombre_Abreviado
Acción</t>
  </si>
  <si>
    <t>Comercialización</t>
  </si>
  <si>
    <t>Seguridad</t>
  </si>
  <si>
    <t>Calidad y Cantidad</t>
  </si>
  <si>
    <t>RHO</t>
  </si>
  <si>
    <t>Codigo_Acción_Especifica</t>
  </si>
  <si>
    <t>Nombre_Abreviado
Acción especifica</t>
  </si>
  <si>
    <t>Acción especifica</t>
  </si>
  <si>
    <t>Price</t>
  </si>
  <si>
    <t>Control volumétrico</t>
  </si>
  <si>
    <t>Supervisión de control volumétrico</t>
  </si>
  <si>
    <t>Envasado, pintado y canje de cilindros de GLP</t>
  </si>
  <si>
    <t>Informalidad de oficio</t>
  </si>
  <si>
    <t>Informalidad de comiso de equipos</t>
  </si>
  <si>
    <t>Fiscalización Orientativa SCOP - RGG 24-2021-OS/GG-RGG</t>
  </si>
  <si>
    <t>ITF</t>
  </si>
  <si>
    <t>Atención de solicitudes de informe técnico favorable</t>
  </si>
  <si>
    <t>Certificado para GNV, GNC, GNL</t>
  </si>
  <si>
    <t>Atención solicitudes de certificado de supervisión de diseño, fin de construcción y funcionamiento (GNV, GNC, GNL)</t>
  </si>
  <si>
    <t>Actas pruebas y conformidad</t>
  </si>
  <si>
    <t>Criticidad de instalaciones</t>
  </si>
  <si>
    <t>Seguridad de LV GLP</t>
  </si>
  <si>
    <t>Supervisión operativa de seguridad de Locales de Venta (LV) de GLP</t>
  </si>
  <si>
    <t>Seguridad de CD ó RD de GLP</t>
  </si>
  <si>
    <t>Supervisión operativa de seguridad de Consumidores Directos (CD) ó Redes de Distribución (RD) de GLP</t>
  </si>
  <si>
    <t>Ex post informes indice de riesgos</t>
  </si>
  <si>
    <t>Agentes autorizados bajo aprobación automática</t>
  </si>
  <si>
    <t>Supervisión operativa de agentes autorizados bajo el régimen de aprobación automática</t>
  </si>
  <si>
    <t>Actos inseguros</t>
  </si>
  <si>
    <t>PDJ</t>
  </si>
  <si>
    <t>Supervisión operativa PDJ</t>
  </si>
  <si>
    <t>MT líquidos</t>
  </si>
  <si>
    <t>MT - GLP en cilindros</t>
  </si>
  <si>
    <t>Supervisión operativa a medios de transporte - GLP en cilindros</t>
  </si>
  <si>
    <t>MT - GLP a granel</t>
  </si>
  <si>
    <t>Supervisión operativa a medios de transporte - GLP a granel</t>
  </si>
  <si>
    <t>MT - GNC y GNL</t>
  </si>
  <si>
    <t>Supervisión operativa a medios de transporte - GNC y GNL</t>
  </si>
  <si>
    <t>Agentes con instalaciones fijas de GNV, GNC y GNL</t>
  </si>
  <si>
    <t>Denuncias</t>
  </si>
  <si>
    <t>Supervisión de denuncias - Supervisión especial de las instalaciones y medios de transporte</t>
  </si>
  <si>
    <t>Emergencias</t>
  </si>
  <si>
    <t>Supervisión de emergencias - Supervisión especial de las instalaciones y medios de transporte</t>
  </si>
  <si>
    <t>Minería ilegal</t>
  </si>
  <si>
    <t>Supervisión especial - Apoyo en la lucha contra la minería ilegal</t>
  </si>
  <si>
    <t>Calidad EVP (muestrales)</t>
  </si>
  <si>
    <t>Calidad plantas de abast. o refinerías (censales)</t>
  </si>
  <si>
    <t>Metrología EVP (muestrales / censales)</t>
  </si>
  <si>
    <t>Ctrol Peso GLP envasado plantas u otros centros distrib. o comerc.</t>
  </si>
  <si>
    <t>Etiquetado cilindros de GLP</t>
  </si>
  <si>
    <t>Verificación del etiquetado en cilindros de GLP</t>
  </si>
  <si>
    <t>Calidad en EVP, plantas de abast. o refinerías (espec. o de parte)</t>
  </si>
  <si>
    <t>Metrología o peso en EVP, plantas u otros centros de comerc. (espec. o de parte)</t>
  </si>
  <si>
    <t>RHO (CL, GLP, GNV, GNC, GNL)</t>
  </si>
  <si>
    <t>Reinscripción RHO</t>
  </si>
  <si>
    <t>RHO - Trámite virtual LV de GLP</t>
  </si>
  <si>
    <t>Solicitudes de inscripción y modificación en el registro de hidrocarburos de Osinergmin - Trámite virtual para Locales de Venta (LV) de GLP</t>
  </si>
  <si>
    <t>Ex post RHO con aprobación automática</t>
  </si>
  <si>
    <t>Supervisión ex post del registro de hidrocarburos con aprobación automática</t>
  </si>
  <si>
    <t>Cod_Sub_acción_especifica</t>
  </si>
  <si>
    <t>Sub Acción especifica</t>
  </si>
  <si>
    <t>Cod_Acción_especifica</t>
  </si>
  <si>
    <t>Envasado de cilindros de GLP</t>
  </si>
  <si>
    <t>Pintado de cilindros de GLP</t>
  </si>
  <si>
    <t>Canje de cilindros de GLP</t>
  </si>
  <si>
    <t>Integridad de cilindro de GLP</t>
  </si>
  <si>
    <t>Comiso</t>
  </si>
  <si>
    <t>Diseño</t>
  </si>
  <si>
    <t>Fin de construcción</t>
  </si>
  <si>
    <t>Modificación de diseño</t>
  </si>
  <si>
    <t>Funcionamiento</t>
  </si>
  <si>
    <t>Modificación de funcionamiento</t>
  </si>
  <si>
    <t>VPH tuberías</t>
  </si>
  <si>
    <t>VPH tanques</t>
  </si>
  <si>
    <t>Medidas de seguridad</t>
  </si>
  <si>
    <t>Medidas de seguridad por criticidad</t>
  </si>
  <si>
    <t>Medidas de seguridad para LV GLP</t>
  </si>
  <si>
    <t>Medidas de seguridad para CD o RD de GLP</t>
  </si>
  <si>
    <t>Certific.PE ó Distribuidor a granel de GLP</t>
  </si>
  <si>
    <t>Medidas de seguridad por criticidad de cilindros de GLP</t>
  </si>
  <si>
    <t>Expost Informes IR</t>
  </si>
  <si>
    <t>Agentes con aprobación automática</t>
  </si>
  <si>
    <t>Medidas de seguridad para agentes autorizados con aprobación automática</t>
  </si>
  <si>
    <t>Medidas de seguridad por actos inseguros</t>
  </si>
  <si>
    <t>Condiciones de seguridad con observaciones</t>
  </si>
  <si>
    <t>Medidas de seguridad por PDJ</t>
  </si>
  <si>
    <t>Medidas de seguridad a MT líquidos</t>
  </si>
  <si>
    <t>Medidas de seguridad a MT de GLP en cilindros</t>
  </si>
  <si>
    <t>Medidas de seguridad a MT de GLP a granel</t>
  </si>
  <si>
    <t>Medidas de seguridad a MT de GNC y GNL</t>
  </si>
  <si>
    <t>Instalaciones fijas de GNV, GNC y GNL</t>
  </si>
  <si>
    <t>Medidas de seguridad a instalaciones fijas de GNV, GNC y GNL</t>
  </si>
  <si>
    <t>Agentes formales</t>
  </si>
  <si>
    <t>Medidas de seguridad por denuncias</t>
  </si>
  <si>
    <t>Informalidad</t>
  </si>
  <si>
    <t>Medidas de seguridad por emergencias</t>
  </si>
  <si>
    <t>Medidas de seguridad por operativo en mineria ilegal</t>
  </si>
  <si>
    <t>Metrología en EVP o plantas u otros centros de comerc.(espec. o de parte)</t>
  </si>
  <si>
    <t>Control metrológico en EVP o plantas u otros centros de comercialización de combustibles líquidos (especiales o de parte)</t>
  </si>
  <si>
    <t>Control peso en EVP o plantas u otros centros de comerc. (espec. o de parte)</t>
  </si>
  <si>
    <t>Control de peso en EVP o plantas u otros centros de comercialización de GLP (especiales o de parte)</t>
  </si>
  <si>
    <t>Inscripción</t>
  </si>
  <si>
    <t>Inscripción del RHO</t>
  </si>
  <si>
    <t>Modificación</t>
  </si>
  <si>
    <t>Modificación del RHO</t>
  </si>
  <si>
    <t>Suspensión</t>
  </si>
  <si>
    <t>Habilitación</t>
  </si>
  <si>
    <t>Cancelación</t>
  </si>
  <si>
    <t>Reinscripción RHO MT GLP a granel</t>
  </si>
  <si>
    <t>Modificación de Datos</t>
  </si>
  <si>
    <t>Modificación de Datos del RHO</t>
  </si>
  <si>
    <t>Cod_Tipo_agente</t>
  </si>
  <si>
    <t>Tipo de agente</t>
  </si>
  <si>
    <t>Cod_Actividad</t>
  </si>
  <si>
    <t>Actividad</t>
  </si>
  <si>
    <t>TA1</t>
  </si>
  <si>
    <t>Consumidores directos de combustibles líquidos y OPDH</t>
  </si>
  <si>
    <t>051</t>
  </si>
  <si>
    <t>Consumidor directo de combustible líquido con capacidad hasta 5 MB</t>
  </si>
  <si>
    <t>052</t>
  </si>
  <si>
    <t>Consumidor directo de combustible líquido con capacidad de 5  a 50 MB</t>
  </si>
  <si>
    <t>053</t>
  </si>
  <si>
    <t>Consumidor directo de combustible líquido con capacidad mayor a 50 MB</t>
  </si>
  <si>
    <t>112</t>
  </si>
  <si>
    <t>Consumidor directo de OPDH y combustible líquido con capacidad hasta 5 MB</t>
  </si>
  <si>
    <t>114</t>
  </si>
  <si>
    <t>Consumidor directo de OPDH y combustible líquido con capacidad de 5 a 50 MB</t>
  </si>
  <si>
    <t>115</t>
  </si>
  <si>
    <t>Consumidores directos de otros productos derivados de los hidrocarburos</t>
  </si>
  <si>
    <t>116</t>
  </si>
  <si>
    <t>Consumidores menores</t>
  </si>
  <si>
    <t>704</t>
  </si>
  <si>
    <t>Consumidor directo móvil</t>
  </si>
  <si>
    <t>975</t>
  </si>
  <si>
    <t>Consumidores directos con instalaciones estratégicas</t>
  </si>
  <si>
    <t>983</t>
  </si>
  <si>
    <t>Consumidor directo con instalaciones estratégicas temporales</t>
  </si>
  <si>
    <t>TA2</t>
  </si>
  <si>
    <t>Consumidores directos de gas natural</t>
  </si>
  <si>
    <t>Consumidor directo de GNV</t>
  </si>
  <si>
    <t>190</t>
  </si>
  <si>
    <t>Establecimiento destinado al suministro de GNV en sistemas integrados de transporte</t>
  </si>
  <si>
    <t>627</t>
  </si>
  <si>
    <t>Consumidor directo de GNC</t>
  </si>
  <si>
    <t>651</t>
  </si>
  <si>
    <t>Consumidor directo de GNL</t>
  </si>
  <si>
    <t>TA3</t>
  </si>
  <si>
    <t>Consumidores directos de GLP y redes de distribución</t>
  </si>
  <si>
    <t>Consumidores directos de GLP con capacidad menor o igual a 1000 gln</t>
  </si>
  <si>
    <t>401</t>
  </si>
  <si>
    <t>Consumidores directos de GLP con capacidad mayor a 1000 gln</t>
  </si>
  <si>
    <t>600</t>
  </si>
  <si>
    <t>Redes de distribución de GLP con capacidad menor o igual a 1000 gln</t>
  </si>
  <si>
    <t>601</t>
  </si>
  <si>
    <t>Redes de distribución de GLP con capacidad mayor a 1000 gln</t>
  </si>
  <si>
    <t>982</t>
  </si>
  <si>
    <t>Consumidor directo con instalaciones estratégicas de GLP con capacidad mayor a 1000 gln</t>
  </si>
  <si>
    <t>984</t>
  </si>
  <si>
    <t>Consumidor directo con instalaciones estratégicas de GLP con capacidad menor o igual a 1000 gln</t>
  </si>
  <si>
    <t>TA4</t>
  </si>
  <si>
    <t>Distribuidores mayoristas, Importadores y Comercializadores</t>
  </si>
  <si>
    <t>046</t>
  </si>
  <si>
    <t>Distribuidores minoristas de combustible líquidos</t>
  </si>
  <si>
    <t>048</t>
  </si>
  <si>
    <t>Distribuidor mayorista de combustibles líquidos</t>
  </si>
  <si>
    <t>049</t>
  </si>
  <si>
    <t>Importador en tránsito de combustibles líquidos y OPDH</t>
  </si>
  <si>
    <t>118</t>
  </si>
  <si>
    <t>Mayorista de otros productos derivados de hidrocarburos</t>
  </si>
  <si>
    <t>155</t>
  </si>
  <si>
    <t>Comercializador de GLP (RCD 155-2015)</t>
  </si>
  <si>
    <t>360</t>
  </si>
  <si>
    <t>Comercializador de combustible para embarcaciones</t>
  </si>
  <si>
    <t>602</t>
  </si>
  <si>
    <t>Comercializador en estación de carga GNL</t>
  </si>
  <si>
    <t>605</t>
  </si>
  <si>
    <t>Comercializadores de combustibles de aviación</t>
  </si>
  <si>
    <t>654</t>
  </si>
  <si>
    <t>Operador de estación de carga GNL</t>
  </si>
  <si>
    <t>705</t>
  </si>
  <si>
    <t>Importador de GLP</t>
  </si>
  <si>
    <t>706</t>
  </si>
  <si>
    <t>Exportador de GLP</t>
  </si>
  <si>
    <t>TA5</t>
  </si>
  <si>
    <t>Envasadoras de GLP</t>
  </si>
  <si>
    <t>028</t>
  </si>
  <si>
    <t>Empresa envasadora sin instalaciones</t>
  </si>
  <si>
    <t>070</t>
  </si>
  <si>
    <t>Plantas envasadoras GLP</t>
  </si>
  <si>
    <t>TA6</t>
  </si>
  <si>
    <t>EVP combustibles de uso automotor</t>
  </si>
  <si>
    <t>050</t>
  </si>
  <si>
    <t>Estación de servicios / Grifos</t>
  </si>
  <si>
    <t>056</t>
  </si>
  <si>
    <t>Estación de servicio con gasocentro de GLP</t>
  </si>
  <si>
    <t>057</t>
  </si>
  <si>
    <t>Grifos rurales con almacenamiento en cilindros</t>
  </si>
  <si>
    <t>058</t>
  </si>
  <si>
    <t>Grifos flotantes</t>
  </si>
  <si>
    <t>071</t>
  </si>
  <si>
    <t>Gasocentros de GLP</t>
  </si>
  <si>
    <t>102</t>
  </si>
  <si>
    <t>Establecimiento de venta al público de GNV</t>
  </si>
  <si>
    <t>106</t>
  </si>
  <si>
    <t>Estación de servicios con GNV</t>
  </si>
  <si>
    <t>107</t>
  </si>
  <si>
    <t>Estación de servicios con GLP y GNV</t>
  </si>
  <si>
    <t>320</t>
  </si>
  <si>
    <t>Gasocentro de GLP con establecimiento de venta al público de GNV</t>
  </si>
  <si>
    <t>TA7</t>
  </si>
  <si>
    <t>Instalaciones de compresión, transferencia y descompresión de gas natural</t>
  </si>
  <si>
    <t>607</t>
  </si>
  <si>
    <t>Estacion de compresión de gas natural</t>
  </si>
  <si>
    <t>608</t>
  </si>
  <si>
    <t>Estación de licuefacción de GNL</t>
  </si>
  <si>
    <t>611</t>
  </si>
  <si>
    <t>Centro de descompresión de gas natural</t>
  </si>
  <si>
    <t>620</t>
  </si>
  <si>
    <t>Unidad de trasvase de GNC</t>
  </si>
  <si>
    <t>TA8</t>
  </si>
  <si>
    <t>Locales de venta de GLP</t>
  </si>
  <si>
    <t>074</t>
  </si>
  <si>
    <t>Locales de venta de GLP en cilindros con capacidad menor o igual a 5,000 Kg</t>
  </si>
  <si>
    <t>078</t>
  </si>
  <si>
    <t>Locales de venta de GLP en cilindros con capacidad mayor a 5,000 Kg</t>
  </si>
  <si>
    <t>TA9</t>
  </si>
  <si>
    <t>Medios de transporte</t>
  </si>
  <si>
    <t>038</t>
  </si>
  <si>
    <t>Distribuidor de GLP a granel</t>
  </si>
  <si>
    <t>060</t>
  </si>
  <si>
    <t>Transporte de combustibles líquidos y OPDH (Camión tanque / Camión cisterna)</t>
  </si>
  <si>
    <t>063</t>
  </si>
  <si>
    <t>Barcazas / Chata / Buques tanque</t>
  </si>
  <si>
    <t>067</t>
  </si>
  <si>
    <t>Transporte de combustibles líquidos y OPDH (Vagones cisternas)</t>
  </si>
  <si>
    <t>072</t>
  </si>
  <si>
    <t>Transporte de GLP a granel (Camión tanque / Camión cisterna)</t>
  </si>
  <si>
    <t>073</t>
  </si>
  <si>
    <t>Transporte de GLP en cilindros (Camión pick up, camioneta baranda y camiones)</t>
  </si>
  <si>
    <t>202</t>
  </si>
  <si>
    <t>Distribuidor de GLP en cilindros (Camión pick up, camioneta baranda y camiones)</t>
  </si>
  <si>
    <t>609</t>
  </si>
  <si>
    <t>Vehículo transportador de GNC</t>
  </si>
  <si>
    <t>610</t>
  </si>
  <si>
    <t>Vehículo transportador de GNL</t>
  </si>
  <si>
    <t>625</t>
  </si>
  <si>
    <t>Unidad móvil de GNL-GN</t>
  </si>
  <si>
    <t>640</t>
  </si>
  <si>
    <t>Transporte de combustibles líquidos y/u otros productos derivados de los hidrocarburos en cilindros</t>
  </si>
  <si>
    <t>643</t>
  </si>
  <si>
    <t>Transporte de combustibles líquidos en contenedores intermedios</t>
  </si>
  <si>
    <t>652</t>
  </si>
  <si>
    <t>Unidad móvil de GNC</t>
  </si>
  <si>
    <t>653</t>
  </si>
  <si>
    <t>Unidad móvil de GNL</t>
  </si>
  <si>
    <t>703</t>
  </si>
  <si>
    <t>Transporte terrestre de petróleo crudo</t>
  </si>
  <si>
    <t>TA10</t>
  </si>
  <si>
    <t>Plantas de abastecimiento y despacho</t>
  </si>
  <si>
    <t>035</t>
  </si>
  <si>
    <t>Planta de abastecimiento de GLP</t>
  </si>
  <si>
    <t>040</t>
  </si>
  <si>
    <t>Planta de abastecimiento de combustibles líquidos</t>
  </si>
  <si>
    <t>042</t>
  </si>
  <si>
    <t>Planta de abastecimiento en aeropuerto</t>
  </si>
  <si>
    <t>613</t>
  </si>
  <si>
    <t>Estación de carga de GNL</t>
  </si>
  <si>
    <t>618</t>
  </si>
  <si>
    <t>Estación de carga de GNC</t>
  </si>
  <si>
    <t>TA11</t>
  </si>
  <si>
    <t>Productores y Plantas de procesamiento</t>
  </si>
  <si>
    <t>030</t>
  </si>
  <si>
    <t>Refinerías topping</t>
  </si>
  <si>
    <t>031</t>
  </si>
  <si>
    <t>Refinerías complejas</t>
  </si>
  <si>
    <t>033</t>
  </si>
  <si>
    <t>Procesamiento de gas natural y LGN</t>
  </si>
  <si>
    <t>034</t>
  </si>
  <si>
    <t>Planta de lubricantes y grasas</t>
  </si>
  <si>
    <t>037</t>
  </si>
  <si>
    <t>Planta de procesamiento de gas natural</t>
  </si>
  <si>
    <t>068</t>
  </si>
  <si>
    <t>Productores</t>
  </si>
  <si>
    <t>300</t>
  </si>
  <si>
    <t>Procesamiento de GNL</t>
  </si>
  <si>
    <t>TA12</t>
  </si>
  <si>
    <t>Informal</t>
  </si>
  <si>
    <t>Venta de combustibles líquidos</t>
  </si>
  <si>
    <t xml:space="preserve">Informal </t>
  </si>
  <si>
    <t>Venta de cilindros de GLP</t>
  </si>
  <si>
    <t>Comiso de combustibles líquidos</t>
  </si>
  <si>
    <t>Comiso de cilindros de GLP</t>
  </si>
  <si>
    <t>TA13</t>
  </si>
  <si>
    <t>Usuario final</t>
  </si>
  <si>
    <t>Usuario final afectado</t>
  </si>
  <si>
    <t>Supervisión y fiscalización de comercialización de hidrocarburos líquidos</t>
  </si>
  <si>
    <t>Cod_plan_acción</t>
  </si>
  <si>
    <t>Cod_Acción</t>
  </si>
  <si>
    <t>Nombre_Abreviado
Sub acción especifica</t>
  </si>
  <si>
    <t>Sub acción especifica</t>
  </si>
  <si>
    <t>Cod_actividad</t>
  </si>
  <si>
    <t>Informalidad de comiso</t>
  </si>
  <si>
    <t>Atención de solicitudes de Informe técnico favorable - Instalación</t>
  </si>
  <si>
    <t>Atención de solicitudes de informe técnico favorable - Modificación de instalación</t>
  </si>
  <si>
    <t>Certificado de supervisión de diseño</t>
  </si>
  <si>
    <t>Certificado de fin de construcción</t>
  </si>
  <si>
    <t>Certificado de supervisión de modificación de diseño</t>
  </si>
  <si>
    <t>Certificado de supervisión de funcionamiento</t>
  </si>
  <si>
    <t>Certificado de supervisión de modificación de funcionamiento</t>
  </si>
  <si>
    <t>Seguridad por criticidad de instalaciones</t>
  </si>
  <si>
    <t>Seguridad de Locales de Venta (LV) de GLP</t>
  </si>
  <si>
    <t>Supervisión operativa de certificación  de Planta Envasadora (PE) ó Distribuidora a Granel</t>
  </si>
  <si>
    <t>Operativo de certificación</t>
  </si>
  <si>
    <t>Seguridad por criticidad de cilindros de GLP</t>
  </si>
  <si>
    <t>Supervisión expost de informes de índice de riesgos</t>
  </si>
  <si>
    <t>Supervisión expost de Informes de indice de riesgos</t>
  </si>
  <si>
    <t>Operativo a agentes autorizados bajo el régimen de aprobación automática</t>
  </si>
  <si>
    <t>Operativo de actos inseguros</t>
  </si>
  <si>
    <t xml:space="preserve">Supervisión operativa a medios de transporte líquidos </t>
  </si>
  <si>
    <t xml:space="preserve">Operativo a medios de transporte líquidos </t>
  </si>
  <si>
    <t>Medidas de seguridad a medios de transporte líquidos</t>
  </si>
  <si>
    <t>Operativo a medios de transporte - GLP en cilindros</t>
  </si>
  <si>
    <t>Medidas de seguridad a medios de transporte de GLP en cilindros</t>
  </si>
  <si>
    <t>Operativo  a medios de transporte - GLP a granel</t>
  </si>
  <si>
    <t>Medidas de seguridad a medios de transporte de GLP a granel</t>
  </si>
  <si>
    <t>Operativo a medios de transporte -  GNC y GNL</t>
  </si>
  <si>
    <t>Medidas de seguridad a medios de transporte de GNC y GNL</t>
  </si>
  <si>
    <t>Operativo a los agentes con instalaciones fijas de GNV, GNC y GNL</t>
  </si>
  <si>
    <t>Actividad (agentes formales)</t>
  </si>
  <si>
    <t>Supervisión de emergencias - Supervisión Especial de las instalaciones y medios de transporte</t>
  </si>
  <si>
    <t>Control de calidad de los combustibles / GLP despachados en EVP (muestrales)</t>
  </si>
  <si>
    <t>Control de calidad de los combustibles / GLP despachados / producidos en plantas de abastecimiento o refinerías (censales)</t>
  </si>
  <si>
    <t>Control metrológico de combustibles despachados en EVP (muestrales / censales)</t>
  </si>
  <si>
    <t>Control de peso del GLP envasado en plantas u otros centros de distribución o comercialización</t>
  </si>
  <si>
    <t>Control de calidad de los combustibles / GLP despachados en EVP, plantas de abastecimiento o refinerías (especiales o de parte)</t>
  </si>
  <si>
    <t>Solicitudes de registro de hidrocarburos (combustibles líquidos, GLP, GNV, GNC, GNL): inscripción, modificación, suspensión, habilitación, cancelación - Trámite físico o en ventanilla virtual</t>
  </si>
  <si>
    <t>Reinscripción de registro de hidrocarburos</t>
  </si>
  <si>
    <t>Reinscripción de registro de hidrocarburos de medios de transporte de GLP a granel</t>
  </si>
  <si>
    <t>Nombre_Abreviado</t>
  </si>
  <si>
    <t>K31.1</t>
  </si>
  <si>
    <t>K31.2</t>
  </si>
  <si>
    <t>K31.3</t>
  </si>
  <si>
    <t>K31.4</t>
  </si>
  <si>
    <t>K31.1.1</t>
  </si>
  <si>
    <t>K31.1.2</t>
  </si>
  <si>
    <t>K31.1.3</t>
  </si>
  <si>
    <t>K31.1.4</t>
  </si>
  <si>
    <t>K31.1.5</t>
  </si>
  <si>
    <t>K31.2.1</t>
  </si>
  <si>
    <t>K31.2.2</t>
  </si>
  <si>
    <t>K31.2.3</t>
  </si>
  <si>
    <t>K31.2.4</t>
  </si>
  <si>
    <t>K31.2.5</t>
  </si>
  <si>
    <t>K31.2.6</t>
  </si>
  <si>
    <t>K31.2.7</t>
  </si>
  <si>
    <t>K31.2.8</t>
  </si>
  <si>
    <t>K31.2.9</t>
  </si>
  <si>
    <t>K31.2.10</t>
  </si>
  <si>
    <t>K31.2.11</t>
  </si>
  <si>
    <t>K31.2.12</t>
  </si>
  <si>
    <t>K31.3.1</t>
  </si>
  <si>
    <t>K31.3.2</t>
  </si>
  <si>
    <t>K31.3.3</t>
  </si>
  <si>
    <t>K31.3.4</t>
  </si>
  <si>
    <t>K31.3.5</t>
  </si>
  <si>
    <t>K31.3.6</t>
  </si>
  <si>
    <t>K31.3.7</t>
  </si>
  <si>
    <t>K31.4.1</t>
  </si>
  <si>
    <t>K31.4.2</t>
  </si>
  <si>
    <t>K31.4.3</t>
  </si>
  <si>
    <t>K31.4.4</t>
  </si>
  <si>
    <t>K31.1.1.1</t>
  </si>
  <si>
    <t>K31.1.2.1</t>
  </si>
  <si>
    <t>K31.1.3.1</t>
  </si>
  <si>
    <t>K31.1.4.1</t>
  </si>
  <si>
    <t>K31.1.5.1</t>
  </si>
  <si>
    <t>K31.1.6.1</t>
  </si>
  <si>
    <t>K31.1.7.1</t>
  </si>
  <si>
    <t>K31.1.7.2</t>
  </si>
  <si>
    <t>K31.1.7.3</t>
  </si>
  <si>
    <t>K31.1.7.4</t>
  </si>
  <si>
    <t>K31.1.8.1</t>
  </si>
  <si>
    <t>K31.1.9.1</t>
  </si>
  <si>
    <t>K31.1.10.1</t>
  </si>
  <si>
    <t>K31.2.1.1</t>
  </si>
  <si>
    <t>K31.2.1.2</t>
  </si>
  <si>
    <t>K31.2.2.1</t>
  </si>
  <si>
    <t>K31.2.2.2</t>
  </si>
  <si>
    <t>K31.2.2.3</t>
  </si>
  <si>
    <t>K31.2.2.4</t>
  </si>
  <si>
    <t>K31.2.2.5</t>
  </si>
  <si>
    <t>K31.2.3.1</t>
  </si>
  <si>
    <t>K31.2.3.2</t>
  </si>
  <si>
    <t>K31.2.4.1</t>
  </si>
  <si>
    <t>K31.2.4.2</t>
  </si>
  <si>
    <t>K31.2.5.1</t>
  </si>
  <si>
    <t>K31.2.5.2</t>
  </si>
  <si>
    <t>K31.2.6.1</t>
  </si>
  <si>
    <t>K31.2.6.2</t>
  </si>
  <si>
    <t>K31.2.7.1</t>
  </si>
  <si>
    <t>K31.2.8.1</t>
  </si>
  <si>
    <t>K31.2.8.2</t>
  </si>
  <si>
    <t>K31.2.9.1</t>
  </si>
  <si>
    <t>K31.2.10.1</t>
  </si>
  <si>
    <t>K31.2.10.2</t>
  </si>
  <si>
    <t>K31.2.11.1</t>
  </si>
  <si>
    <t>K31.2.11.2</t>
  </si>
  <si>
    <t>K31.2.12.1</t>
  </si>
  <si>
    <t>K31.2.12.2</t>
  </si>
  <si>
    <t>K31.2.12.3</t>
  </si>
  <si>
    <t>K31.2.13.1</t>
  </si>
  <si>
    <t>K31.2.13.2</t>
  </si>
  <si>
    <t>K31.2.14.1</t>
  </si>
  <si>
    <t>K31.2.14.2</t>
  </si>
  <si>
    <t>K31.2.15.1</t>
  </si>
  <si>
    <t>K31.2.15.2</t>
  </si>
  <si>
    <t>K31.2.16.1</t>
  </si>
  <si>
    <t>K31.2.16.2</t>
  </si>
  <si>
    <t>K31.2.17.1</t>
  </si>
  <si>
    <t>K31.2.17.2</t>
  </si>
  <si>
    <t>K31.2.18.1</t>
  </si>
  <si>
    <t>K31.2.18.2</t>
  </si>
  <si>
    <t>K31.2.18.3</t>
  </si>
  <si>
    <t>K31.2.19.1</t>
  </si>
  <si>
    <t>K31.2.19.2</t>
  </si>
  <si>
    <t>K31.2.19.3</t>
  </si>
  <si>
    <t>K31.2.20.1</t>
  </si>
  <si>
    <t>K31.2.20.2</t>
  </si>
  <si>
    <t>K31.3.1.1</t>
  </si>
  <si>
    <t>K31.3.2.1</t>
  </si>
  <si>
    <t>K31.3.3.1</t>
  </si>
  <si>
    <t>K31.3.4.1</t>
  </si>
  <si>
    <t>K31.3.5.1</t>
  </si>
  <si>
    <t>K31.3.6.1</t>
  </si>
  <si>
    <t>K31.3.7.1</t>
  </si>
  <si>
    <t>K31.3.7.2</t>
  </si>
  <si>
    <t>K31.4.1.1</t>
  </si>
  <si>
    <t>K31.4.1.2</t>
  </si>
  <si>
    <t>K31.4.1.3</t>
  </si>
  <si>
    <t>K31.4.1.4</t>
  </si>
  <si>
    <t>K31.4.1.5</t>
  </si>
  <si>
    <t>K31.4.1.6</t>
  </si>
  <si>
    <t>K31.4.2.1</t>
  </si>
  <si>
    <t>K31.4.3.1</t>
  </si>
  <si>
    <t>K31.4.3.2</t>
  </si>
  <si>
    <t>K31.4.4.1</t>
  </si>
  <si>
    <t>K31.4.4.2</t>
  </si>
  <si>
    <t>K31.4.4.3</t>
  </si>
  <si>
    <t>K31.4.4.4</t>
  </si>
  <si>
    <t>K31.4.4.5</t>
  </si>
  <si>
    <t>K31.4.4.6</t>
  </si>
  <si>
    <t>Bus_01</t>
  </si>
  <si>
    <t>Bus_02</t>
  </si>
  <si>
    <t>Concat</t>
  </si>
  <si>
    <t>Aux_01</t>
  </si>
  <si>
    <t>Bus_03</t>
  </si>
  <si>
    <t>KK31.1</t>
  </si>
  <si>
    <t>KK31.1.1</t>
  </si>
  <si>
    <t>KK31.1.2</t>
  </si>
  <si>
    <t>KK31.1.3</t>
  </si>
  <si>
    <t>KK31.1.4</t>
  </si>
  <si>
    <t>KK31.1.5</t>
  </si>
  <si>
    <t>KK31.1.6</t>
  </si>
  <si>
    <t>KK31.1.7</t>
  </si>
  <si>
    <t>KK31.1.8</t>
  </si>
  <si>
    <t>KK31.1.9</t>
  </si>
  <si>
    <t>KK31.1.10</t>
  </si>
  <si>
    <t>KK31.2</t>
  </si>
  <si>
    <t>KK31.2.1</t>
  </si>
  <si>
    <t>KK31.2.2</t>
  </si>
  <si>
    <t>KK31.2.3</t>
  </si>
  <si>
    <t>KK31.2.4</t>
  </si>
  <si>
    <t>KK31.2.5</t>
  </si>
  <si>
    <t>KK31.2.6</t>
  </si>
  <si>
    <t>KK31.2.7</t>
  </si>
  <si>
    <t>KK31.2.8</t>
  </si>
  <si>
    <t>KK31.2.9</t>
  </si>
  <si>
    <t>KK31.2.10</t>
  </si>
  <si>
    <t>KK31.2.11</t>
  </si>
  <si>
    <t>KK31.2.12</t>
  </si>
  <si>
    <t>KK31.2.13</t>
  </si>
  <si>
    <t>KK31.2.14</t>
  </si>
  <si>
    <t>KK31.2.15</t>
  </si>
  <si>
    <t>KK31.2.16</t>
  </si>
  <si>
    <t>KK31.2.17</t>
  </si>
  <si>
    <t>KK31.2.18</t>
  </si>
  <si>
    <t>KK31.2.19</t>
  </si>
  <si>
    <t>KK31.2.20</t>
  </si>
  <si>
    <t>KK31.3</t>
  </si>
  <si>
    <t>KK31.3.1</t>
  </si>
  <si>
    <t>KK31.3.2</t>
  </si>
  <si>
    <t>KK31.3.3</t>
  </si>
  <si>
    <t>KK31.3.4</t>
  </si>
  <si>
    <t>KK31.3.5</t>
  </si>
  <si>
    <t>KK31.3.6</t>
  </si>
  <si>
    <t>KK31.3.7</t>
  </si>
  <si>
    <t>KK31.4</t>
  </si>
  <si>
    <t>KK31.4.1</t>
  </si>
  <si>
    <t>KK31.4.2</t>
  </si>
  <si>
    <t>KK31.4.3</t>
  </si>
  <si>
    <t>KK31.4.4</t>
  </si>
  <si>
    <t>Aux</t>
  </si>
  <si>
    <t>Bus_04</t>
  </si>
  <si>
    <t>ConcatEspecial</t>
  </si>
  <si>
    <t>Concat2</t>
  </si>
  <si>
    <t>Huanuco</t>
  </si>
  <si>
    <t>La Libertad</t>
  </si>
  <si>
    <t>Lima Norte</t>
  </si>
  <si>
    <t>Lima Sur</t>
  </si>
  <si>
    <t>San Martin</t>
  </si>
  <si>
    <t>N_orden</t>
  </si>
  <si>
    <t>Copia Cod</t>
  </si>
  <si>
    <t>Reordenar</t>
  </si>
  <si>
    <t>Listado</t>
  </si>
  <si>
    <t>Verificación de pólizas en el módulo de Pólizas</t>
  </si>
  <si>
    <t>K31.1.11.1</t>
  </si>
  <si>
    <t>KK31.1.11</t>
  </si>
  <si>
    <t>Fiscalización de verificación de pólizas en el Módulo de Pólizas</t>
  </si>
  <si>
    <t>CONTRATO</t>
  </si>
  <si>
    <t>LISTA DE EMPRESAS</t>
  </si>
  <si>
    <t>Empresas Supervisoras (Usar de referencia la Lista de Empresas Supervisoras con sus contratos)</t>
  </si>
  <si>
    <t>ERH</t>
  </si>
  <si>
    <t>ESPECIALISTA REGIONAL DE HIDROCARBUROS</t>
  </si>
  <si>
    <t>EVALUACION Y SUPERVISION EN ENERGIA E.I.R.L.</t>
  </si>
  <si>
    <t>31.1 Preoperativa y denuncias</t>
  </si>
  <si>
    <t>31.2 Comercialización</t>
  </si>
  <si>
    <t>31.3 Instalaciones y MT</t>
  </si>
  <si>
    <t>31.4 Calidad y cantidad</t>
  </si>
  <si>
    <t>Fiscalización Preoperativa y Denuncias</t>
  </si>
  <si>
    <t>Fiscalización de comercialización de Hidrocarburos (CL, GLP, GNV, GNC y GNL)</t>
  </si>
  <si>
    <t>Fiscalización de Instalaciones y medios de transporte (CL, GLP, GNV, GNC, GNL y OPDH)</t>
  </si>
  <si>
    <t>Fiscalización de la calidad y cantidad de los combustibles</t>
  </si>
  <si>
    <t>31.1.1 Administración y otorgamiento del Registro de Hidrocarburos en toda la cadena. (Acción de Fiscalización: Solicitud atendida) - PD</t>
  </si>
  <si>
    <t>31.1.2 Atención de solicitudes de informe técnico favorable (Acción de Fiscalización: Solicitud atendida) - PD</t>
  </si>
  <si>
    <t>31.1.3 Atención solicitudes de certificado de fiscalización de diseño, fin de construcción y funcionamiento (GNV, GNC. GNL) (Acción de Fiscalización: Solicitud atendida) - PD</t>
  </si>
  <si>
    <t>31.1.4 Actas de verificación de pruebas y de conformidad (Acción de Fiscalización: Solicitud atendida) - PD</t>
  </si>
  <si>
    <t>31.1.5 Fiscalización de denuncias (Fiscalización especial de las instalaciones y medios de transporte) (Acción de Fiscalización: Solicitud atendida) - PD</t>
  </si>
  <si>
    <t>2.1 PRICE</t>
  </si>
  <si>
    <t>2.2 RIC</t>
  </si>
  <si>
    <t>2.3 Control Volumétrico</t>
  </si>
  <si>
    <t>2.4 GPS</t>
  </si>
  <si>
    <t>2.5 SCOP</t>
  </si>
  <si>
    <t>2.6 SPIC</t>
  </si>
  <si>
    <t>2.8 Informalidad de oficio</t>
  </si>
  <si>
    <t>2.11 Fiscalización Orientativa</t>
  </si>
  <si>
    <t>2.12 Fiscalización de Pólizas</t>
  </si>
  <si>
    <t>K31.3.8</t>
  </si>
  <si>
    <t>K31.3.9</t>
  </si>
  <si>
    <t>K31.3.10</t>
  </si>
  <si>
    <t>K31.3.11</t>
  </si>
  <si>
    <t>K31.3.12</t>
  </si>
  <si>
    <t>K31.3.13</t>
  </si>
  <si>
    <t>K31.3.14</t>
  </si>
  <si>
    <t>3.2 Seguridad de LV GLP - Revalidación</t>
  </si>
  <si>
    <t>3.3 Seguridad de CD y RD - Revalidación</t>
  </si>
  <si>
    <t>3.4 Certificación y seguridad de CD, RD y LV de GLP</t>
  </si>
  <si>
    <t>3.6 Demás agentes (CDMV, Transp Acuático, CM y otros)</t>
  </si>
  <si>
    <t>3.7 Actos inseguros</t>
  </si>
  <si>
    <t>3.8 PDJ</t>
  </si>
  <si>
    <t>3.11 Transporte-Distribución a Granel de GLP</t>
  </si>
  <si>
    <t>3.13 Agentes con instalaciones fijas de GNV, GNC y GNL</t>
  </si>
  <si>
    <t>3.14 Emergencias</t>
  </si>
  <si>
    <t>31.2.1 Fiscalización PRICE (Acción de Fiscalización: Informe de Fiscalización) - PP</t>
  </si>
  <si>
    <t>31.2.2 Fiscalización RIC  (GNV, GNC. GNL) (Acción de Fiscalización: Informe de Fiscalización) - PP</t>
  </si>
  <si>
    <t>31.2.3 Fiscalización de Control Volumétrico (Acción de Fiscalización: Informe de Fiscalización) - PP</t>
  </si>
  <si>
    <t>31.2.4 Fiscalización GPS (Acción de Fiscalización: Informe de Fiscalización) - PP</t>
  </si>
  <si>
    <t>31.2.5 Fiscalización SCOP (Acción de Fiscalización: Informe de Fiscalización) - PP</t>
  </si>
  <si>
    <t>31.2.6 Fiscalización SPIC (Acción de Fiscalización: Informe de Fiscalización) - PP</t>
  </si>
  <si>
    <t>31.2.7 Fiscalización de obligaciones respecto al envasado, pintado y canje de cilindros de GLP (Acción de Fiscalización: Informe de Fiscalización) - PP</t>
  </si>
  <si>
    <t>31.2.8 Fiscalización por informalidad de oficio (Acción de Fiscalización: Informe de Fiscalización) - PP</t>
  </si>
  <si>
    <t>31.2.9 Fiscalización por informalidad de comiso de Equipos y Facilidades de despacho de combustibles (Acción de Fiscalización: Informe de Fiscalización) - PP</t>
  </si>
  <si>
    <t>31.2.10 Fiscalización especial - Apoyo en la lucha contra la minería ilegal (Acciones de Fiscalización: Informe de Fiscalización**) - PP</t>
  </si>
  <si>
    <t>31.2.11 Fiscalización Orientativa (Acción de Fiscalización: Informe de Fiscalización) - PD</t>
  </si>
  <si>
    <t>31.2.12 Fiscalización de Pólizas (Acción de Fiscalización: Informe de Fiscalización) - PP</t>
  </si>
  <si>
    <t>31.3.1 Fiscalización de seguridad por criticidad de instalaciones (Acción de Fiscalización: Informe de Fiscalización) - PP</t>
  </si>
  <si>
    <t>31.3.2 Fiscalización Operativa de Seguridad de LV GLP (Revalidación) (Acción de Fiscalización: Informe de Fiscalización) - PP</t>
  </si>
  <si>
    <t>31.3.3 Fiscalización Operativa de Seguridad de CD y RD (Revalidación) (Acción de Fiscalización: Informe de Fiscalización) - PP</t>
  </si>
  <si>
    <t>31.3.4 Fiscalización operativa de certificación y seguridad de CD, RD y LV de GLP (Acción de Fiscalización: Informe de Fiscalización) - PP</t>
  </si>
  <si>
    <t>31.3.5 Fiscalización de seguridad por criticidad de cilindros de GLP (Acción de Fiscalización: Informe de Fiscalización) - PP</t>
  </si>
  <si>
    <t>31.3.6 Fiscalización operativa de los demás agentes (CDMV, Trans. Acuático, CM y otros*) (Acción de Fiscalización: Informe de Fiscalización) - PP</t>
  </si>
  <si>
    <t>31.3.7 Fiscalización operativa de actos inseguros (Acción de Fiscalización: Informe de Fiscalización) - PP</t>
  </si>
  <si>
    <t>31.3.8 Fiscalización operativa PDJ (Acción de Fiscalización: Informe de Fiscalización) - PP</t>
  </si>
  <si>
    <t>31.3.9 Fiscalización operativa a medios de transporte terrestre de CL (Acción de Fiscalización: Informe de Fiscalización) - PP</t>
  </si>
  <si>
    <t>31.3.10 Fiscalización operativa a medios de transporte GLP en cilindros (Acción de Fiscalización: Informe de Fiscalización) - PP</t>
  </si>
  <si>
    <t>31.3.11 Fiscalización operativa Transporte-Distribución a Granel de GLP (Acción de Fiscalización: Informe de Fiscalización) - PP</t>
  </si>
  <si>
    <t>31.3.12 Fiscalización Operativa a medios de transporte y unidades móviles de GNC y GNL (Acción de Fiscalización: Informe de Fiscalización) - PP</t>
  </si>
  <si>
    <t>31.3.13 Fiscalización operativa a los agentes con instalaciones fijas de GNV, GNC y GNL (Acción de Fiscalización: Informe de Fiscalización) - PP</t>
  </si>
  <si>
    <t>31.3.14 Fiscalización de emergencias (Fiscalización especial de las instalaciones y medios de transporte) (Acción de Fiscalización: Informe de Fiscalización) - PD</t>
  </si>
  <si>
    <t>31.4.1 Fiscalización para el control de calidad de los combustibles / GLP despachados / producidos en establecimientos de venta al público (muestrales) (Acción de Fiscalización: Informe de Fiscalización) - PP</t>
  </si>
  <si>
    <t>31.4.2 Fiscalización para el control de calidad de los combustibles / GLP despachados / producidos en plantas de abastecimiento o refinerías (censales) (Acción de Fiscalización: Informe de Fiscalización) - PP</t>
  </si>
  <si>
    <t>31.4.3 Fiscalización metrológica de combustibles despachados en establecimientos de venta al público (muestrales / censales) (Acción de Fiscalización: Informe de Fiscalización) - PP</t>
  </si>
  <si>
    <t>31.4.4 Fiscalización para el control de peso del GLP envasado en plantas u otros centros de distribución o comercialización (Acción de Fiscalización: Informe de Fiscalización) - PP</t>
  </si>
  <si>
    <t>31.4.5 Fiscalización del etiquetado de balones (Acción de Fiscalización: Informe de Fiscalización) - PP</t>
  </si>
  <si>
    <t>31.4.6 Fiscalización para el control de calidad de los combustibles / GLP despachados en establecimientos de venta al público, plantas de abastecimiento o refinerías (especiales o de parte) (Acción de Fiscalización: Informe de Fiscalización) - PP</t>
  </si>
  <si>
    <t>31.4.7 Fiscalización metrológica o de peso en establecimientos de venta al público o plantas u otros centros de comercialización de combustibles líquidos o GLP (especiales o de parte) (Acción de Fiscalización: Informe de Fiscalización) - PP</t>
  </si>
  <si>
    <t>K31.4.5</t>
  </si>
  <si>
    <t>K31.4.6</t>
  </si>
  <si>
    <t>K31.4.7</t>
  </si>
  <si>
    <t>Control Peso GLP envasado plantas u otros centros distrib. o comerc.</t>
  </si>
  <si>
    <r>
      <t xml:space="preserve">Acción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</si>
  <si>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Acción Especifica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</si>
  <si>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Sub Acción Específica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</si>
  <si>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Tipo de Agente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</si>
  <si>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Actividad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</si>
  <si>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Zona (Provincia)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</si>
  <si>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Zona (Distrito)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</si>
  <si>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Tipo de Transporte Empleado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</si>
  <si>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Empresa Supervisora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</si>
  <si>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Calidad del entregable (informe mensual) 
</t>
    </r>
    <r>
      <rPr>
        <sz val="12"/>
        <color theme="0" tint="-4.9989318521683403E-2"/>
        <rFont val="Segoe UI"/>
        <family val="2"/>
      </rPr>
      <t>&lt;&lt; Seleccionar&gt;&gt;</t>
    </r>
  </si>
  <si>
    <t>Fiscalización operativa de los demás agentes</t>
  </si>
  <si>
    <t>Modificación de Registro</t>
  </si>
  <si>
    <t>1.1 RHO en toda la cadena</t>
  </si>
  <si>
    <t>1.2 ITF</t>
  </si>
  <si>
    <t>1.3 Certificado para GNV, GNC, GNL</t>
  </si>
  <si>
    <t>1.4 Actas pruebas y conformidad</t>
  </si>
  <si>
    <t>1.5 Denuncias</t>
  </si>
  <si>
    <t>4.1 Calidad EVP (muestrales)</t>
  </si>
  <si>
    <t>4.2 Calidad plantas de abast. o refinerías (censales)</t>
  </si>
  <si>
    <t>4.3 Metrología EVP (muestrales / censales)</t>
  </si>
  <si>
    <t>4.4 Ctrol Peso GLP envasado plantas u otros centros distrib. o comerc.</t>
  </si>
  <si>
    <t>4.5 Etiquetado cilindros de GLP</t>
  </si>
  <si>
    <t>4.6 Calidad en EVP, plantas de abast. o refinerías (espec. o de parte)</t>
  </si>
  <si>
    <t>4.7 Metrología o peso en EVP, plantas u otros centros de comerc. (espec. o de parte)</t>
  </si>
  <si>
    <t>2.7 Envasado, pintado y canje de cilindros de GLP</t>
  </si>
  <si>
    <t>2.9 Informalidad de comiso de equipos</t>
  </si>
  <si>
    <t>2.10 Minería ilegal</t>
  </si>
  <si>
    <t>3.1 Criticidad de instalaciones</t>
  </si>
  <si>
    <t>3.5 Criticidad de cilindros GLP</t>
  </si>
  <si>
    <t>3.9 MT - Terrestre de CL</t>
  </si>
  <si>
    <t>3.10 MT - GLP en cilindros</t>
  </si>
  <si>
    <t>3.12 MT y unidades móviles de GNC y GNL</t>
  </si>
  <si>
    <t>2.13 Fiscalización por empadronamiento de transporte con GPS-PD</t>
  </si>
  <si>
    <t>31.2.13 Fiscalización por empadronamiento de transporte con GPS-PD</t>
  </si>
  <si>
    <t>K31.2.13</t>
  </si>
  <si>
    <t>GPS-PD</t>
  </si>
  <si>
    <t>Transporte de combustible líquidos y OPDH(Camión tanque/Camión cisterna)</t>
  </si>
  <si>
    <t>Transporte de combustibles líquidos y OPDH(Vagones cisternas)</t>
  </si>
  <si>
    <t>Transporte de GLP a granel(Camión tanque / Camión cisterna)</t>
  </si>
  <si>
    <t>Vehículo transporte de GNC</t>
  </si>
  <si>
    <t>Vehículo transporte de GNL</t>
  </si>
  <si>
    <t>Fiscalización por empadronamiento de transporte con GPS-PD</t>
  </si>
  <si>
    <t>COMPAÑIA DE INGENIERIA Y CONSTRUCCION ESPECIALIZADA S.R.L.</t>
  </si>
  <si>
    <t xml:space="preserve">TERRAMAR INSPECTION &amp; TRADING S.A.C. </t>
  </si>
  <si>
    <t>EVALUACION Y SUPERVISION EN ENERGIA</t>
  </si>
  <si>
    <t>SUP2300215</t>
  </si>
  <si>
    <t>CONSORCIO GRUPO SERMINCO S.A.C. &amp; GAS OIL</t>
  </si>
  <si>
    <t>SUP2300216</t>
  </si>
  <si>
    <t>SUP2300219</t>
  </si>
  <si>
    <t>K31.4.8</t>
  </si>
  <si>
    <t>31.4.8  Fiscalización de la calidad de los combustibles a los vehículos de Transporte Terrestre Internacional que ingresan al territorio nacional cumpliendo la normatividad peruana en materia de calidad de combustibles - PP</t>
  </si>
  <si>
    <t xml:space="preserve">4.8 Calidad fuera del registro de hidrocarburos </t>
  </si>
  <si>
    <t>Calidad fuera del registro de hidrocarburos</t>
  </si>
  <si>
    <t>K31.3.7.3</t>
  </si>
  <si>
    <t>TA14</t>
  </si>
  <si>
    <t>Vehículos de transporte terrestre internacional ingresan al territorio nacional</t>
  </si>
  <si>
    <t>Medición de combustibles líquidos</t>
  </si>
  <si>
    <t>KK31.4.8</t>
  </si>
  <si>
    <t>TA15</t>
  </si>
  <si>
    <t>Vehículos de transporte terrestre internacional habilitados por la MTC</t>
  </si>
  <si>
    <t>Control de Calidad de los combustibles de los vehículos que ingresan al territorio nacional</t>
  </si>
  <si>
    <t>10100</t>
  </si>
  <si>
    <t>SUP2400014</t>
  </si>
  <si>
    <t>ALTEISA ENERGY SAC Y ALFREDO SERGIO TELLO IPARRAGUIRRE</t>
  </si>
  <si>
    <t>SUP2400019</t>
  </si>
  <si>
    <t>SUP2400011</t>
  </si>
  <si>
    <t>SUP2400004</t>
  </si>
  <si>
    <t>CONSORCIO SUPERVISION CONSULTORIA Y SERVICIOS EN ENERGIA S.A.C.S. - MORENO &amp;PEREZ ABOGADOS Y CONTADORES S. CIVIL DE R.L.</t>
  </si>
  <si>
    <t>SUP2400003</t>
  </si>
  <si>
    <t>CONSORCIO GAS OIL INSPECTION S.A.C. - ENERGY AA PROYECTOS S.A.C.</t>
  </si>
  <si>
    <t>SUP2300222</t>
  </si>
  <si>
    <t>SUP2400009</t>
  </si>
  <si>
    <t>CONSORCIO GRUPO SERMINCO S.A.C., GAS OIL INSPECTION S.A.C. Y MRS ENERGIA Y MINERIA E.I.R.L.</t>
  </si>
  <si>
    <t xml:space="preserve">SANTISTEBAN TUÑOQUE CESAR DEIVI </t>
  </si>
  <si>
    <t>SUP2300220</t>
  </si>
  <si>
    <t>SUP2400013</t>
  </si>
  <si>
    <t>SUP2400033</t>
  </si>
  <si>
    <t>ELECTRO NOR PERU S.A.C.</t>
  </si>
  <si>
    <t>SUP2400034</t>
  </si>
  <si>
    <t>SUP2400037</t>
  </si>
  <si>
    <t>SUP2400035</t>
  </si>
  <si>
    <t>CONSORCIO ENERGY AA PROYECTOS S.A.C. - CONSULTORIA Y SERVICIOS INGENIEROS Y ABOGADOS S.A.C.</t>
  </si>
  <si>
    <t>SUP2400032</t>
  </si>
  <si>
    <t>SUP2400040</t>
  </si>
  <si>
    <t>CONSORCIO EVZO ASOCIADOS S.A.C. - GIZED CONSULTORES S.A.C.</t>
  </si>
  <si>
    <t>SUP2400030</t>
  </si>
  <si>
    <t>SUP2400039</t>
  </si>
  <si>
    <t>SUPERVISION CONSULTORIA Y SERVICIOS EN ENERGIA S.A.C.</t>
  </si>
  <si>
    <t>SUP2400044</t>
  </si>
  <si>
    <t>CONSORCIO GRUPO SERMINCO S.A.C. - MORENO Y PEREZ ABOGADOS Y CONTADORES S. CIVIL DE R.L.</t>
  </si>
  <si>
    <t>SUP2400065</t>
  </si>
  <si>
    <t>CONSORCIO EVALUACION Y SUPERVISION EN ENERGIA E.I.R.L. - LUIS ENRIQUE SANCEHZ CARRION</t>
  </si>
  <si>
    <t>SUP2400129</t>
  </si>
  <si>
    <t>SUP2400130</t>
  </si>
  <si>
    <t>GRUPO SERMINCO S.A.C.</t>
  </si>
  <si>
    <t>SUP2400043</t>
  </si>
  <si>
    <t xml:space="preserve">EVALUACION Y SUPERVISION EN ENERGIA E.I.R.L. </t>
  </si>
  <si>
    <t>SUP2400057</t>
  </si>
  <si>
    <t>SUP2300218</t>
  </si>
  <si>
    <t>CONSORCIO ENERGY AA PROYECTOS´ S.A.C. &amp; KALEV C7 PROYECTOS S.A.C.</t>
  </si>
  <si>
    <t>SUP2400067</t>
  </si>
  <si>
    <t>SUP2400135</t>
  </si>
  <si>
    <t>SUP2400051</t>
  </si>
  <si>
    <t>CONSORCIO EVZO ASOCIADOS S.A.C. - GIZED CONSULTORES S.A.C. &amp; PEREZ ABOGADOS Y CONTADORES S. CIVIL. DE R.L.</t>
  </si>
  <si>
    <t>SUP2400102</t>
  </si>
  <si>
    <t>SUP2400131</t>
  </si>
  <si>
    <t>SUP2400113</t>
  </si>
  <si>
    <t>SUP2400157</t>
  </si>
  <si>
    <t>SUP2400159</t>
  </si>
  <si>
    <t>CONSORCIO ELECTRO NOR PERÚ S.A.C. - ABEL FRANKLIN TAVARA CIEZA</t>
  </si>
  <si>
    <t>SUP2400160</t>
  </si>
  <si>
    <t>CONSORCIO EVALUACIÓN Y SUPERVISIÓN EN ENERGÍA Y MINERÍA E.I.R.L. - LUIS ENRIQUE SÁNCHEZ CARRIÓN</t>
  </si>
  <si>
    <t>SUP2400168</t>
  </si>
  <si>
    <t>FULL OIL GAS SERVICE S.A.C.</t>
  </si>
  <si>
    <t>SUP2400146</t>
  </si>
  <si>
    <t>CONSORCIO GRUPO SERMINCO S.A.C. - LUIS ENRIQUE SÁNCHEZ CARRIÓN</t>
  </si>
  <si>
    <t>SUP2400138</t>
  </si>
  <si>
    <t>SUP2400145</t>
  </si>
  <si>
    <t>ERH-ESPECIALISTA REGIONAL DE HIDROCARBUROS</t>
  </si>
  <si>
    <t>-</t>
  </si>
  <si>
    <t>SUP2400193</t>
  </si>
  <si>
    <t>SUP2300205</t>
  </si>
  <si>
    <t>LAZARTE PANOCCA ALFREDO JHUNIOR</t>
  </si>
  <si>
    <t>SUP2400203</t>
  </si>
  <si>
    <t>EVZO ASOCIADOS S.A.C.</t>
  </si>
  <si>
    <t>SUP2400153</t>
  </si>
  <si>
    <t>SUP2400207</t>
  </si>
  <si>
    <t>JESUS HUMBERTO CACERES LIVORA</t>
  </si>
  <si>
    <t>GEORGES JUD´AMEITH PRECIADO ARROYO</t>
  </si>
  <si>
    <t>SUP2400199</t>
  </si>
  <si>
    <t>SUP2400204</t>
  </si>
  <si>
    <t>CONSORCIO KALEV C7 PROYECTOS S.A.C. - CONSULTORIAS Y SERVICIOS INGENIEROS Y ABOGADOS S.A.C.</t>
  </si>
  <si>
    <t>SUP2400088</t>
  </si>
  <si>
    <t>ANDERS DICKSON LOPEZ FLORES</t>
  </si>
  <si>
    <t>SUP2400099</t>
  </si>
  <si>
    <t>LESLIE MILAGROS BRAVO GUERRERO</t>
  </si>
  <si>
    <t>SUP2400201</t>
  </si>
  <si>
    <t>SERVICIOS DE GESTION EMPRESARIAL SERGEM E.I.R.L.</t>
  </si>
  <si>
    <t>SUP2400121</t>
  </si>
  <si>
    <t>CESAR AUGUSTO VELARDE CARITA</t>
  </si>
  <si>
    <t>SUP2400208</t>
  </si>
  <si>
    <t>SUP2400176</t>
  </si>
  <si>
    <t>SUP2400158</t>
  </si>
  <si>
    <t>SUP2400198</t>
  </si>
  <si>
    <t>KALEV C7 PROYECTOS S.A.C.</t>
  </si>
  <si>
    <t>SUP2400149</t>
  </si>
  <si>
    <t xml:space="preserve">COLLANTE CHUMPITAZ FRANCO EDUARDO </t>
  </si>
  <si>
    <t>SUP2400197</t>
  </si>
  <si>
    <t>SUP2400192</t>
  </si>
  <si>
    <t>SUP2400109</t>
  </si>
  <si>
    <t>WILMER ALONSO HERRERA HURTADO</t>
  </si>
  <si>
    <t>SUP2400083</t>
  </si>
  <si>
    <t>CESAR AUGUSTO FARFAN MENDOZA</t>
  </si>
  <si>
    <t>SUP2400165</t>
  </si>
  <si>
    <t>SUP2400211</t>
  </si>
  <si>
    <t>SUP2400152</t>
  </si>
  <si>
    <t>LESLY MARGARITA RIVEROS TICONA</t>
  </si>
  <si>
    <t>SUP2400164</t>
  </si>
  <si>
    <t>SUP2400195</t>
  </si>
  <si>
    <t>CONSORCIO MRS ENERGÍA Y MINERÍA E.I.R.L. - EVALUACIÓN Y SUPERVISIÓN EN ENERGÍA E.I.R.L.</t>
  </si>
  <si>
    <t>SUP2400096</t>
  </si>
  <si>
    <t>JACKELINE NICOLL AMAO</t>
  </si>
  <si>
    <t>SUP2400161</t>
  </si>
  <si>
    <t>SUP2400191</t>
  </si>
  <si>
    <t>MRS ENERGÍA Y MINERÍA E.I.R.L.</t>
  </si>
  <si>
    <t>SUP2400071</t>
  </si>
  <si>
    <t>JOSE MANUEL GONZALES RAMIREZ</t>
  </si>
  <si>
    <t>SUP2400175</t>
  </si>
  <si>
    <t>SUP2400184</t>
  </si>
  <si>
    <t>SUP2400162</t>
  </si>
  <si>
    <t>SUP2400114</t>
  </si>
  <si>
    <t>SERGIO ALDAZABAL ORTIZ</t>
  </si>
  <si>
    <t>SUP2300207</t>
  </si>
  <si>
    <t>MULLISACA MAMANI FLOR DE MARIA</t>
  </si>
  <si>
    <t>SUP2400137</t>
  </si>
  <si>
    <t>SUP2400136</t>
  </si>
  <si>
    <t>FABRICIO ALEXANDER PEÑA ZARATE</t>
  </si>
  <si>
    <t>JESUS RAFAEL TURPO CARRILLO</t>
  </si>
  <si>
    <t>SUP2400106</t>
  </si>
  <si>
    <t>KEVIN GIAMPOL SANCHEZ CRISANTO</t>
  </si>
  <si>
    <t>SUP2400163</t>
  </si>
  <si>
    <t>SUP2400200</t>
  </si>
  <si>
    <t>SUP2400092</t>
  </si>
  <si>
    <t>BRAYAN YAIR LEON QUISPE</t>
  </si>
  <si>
    <t>SUP2400127</t>
  </si>
  <si>
    <t>JORGE MAXIMILIANO CHAVARRIA DELGADO</t>
  </si>
  <si>
    <t>SUP2400176-EVALUACION Y SUPERVISION EN ENERGIA E.I.R.L.</t>
  </si>
  <si>
    <t>SUP2400158-EVALUACION Y SUPERVISION EN ENERGIA E.I.R.L.</t>
  </si>
  <si>
    <t>SUP2400198-KALEV C7 PROYECTOS S.A.C.</t>
  </si>
  <si>
    <t>1064353-1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</si>
</sst>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S/.&quot;#,##0.00"/>
    <numFmt numFmtId="165" formatCode="#.0\ &quot;Hr&quot;\ "/>
    <numFmt numFmtId="166" formatCode="0.0\ &quot;Hr&quot;\ "/>
    <numFmt numFmtId="167" formatCode="0.00\ &quot;Hr&quot;\ "/>
    <numFmt numFmtId="168" formatCode="0.000"/>
  </numFmts>
  <fonts count="7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rgb="FFFFFF0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4"/>
      <color theme="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trike/>
      <sz val="10"/>
      <color theme="1"/>
      <name val="Calibri"/>
      <family val="2"/>
      <scheme val="minor"/>
    </font>
    <font>
      <strike/>
      <sz val="11"/>
      <name val="Calibri"/>
      <family val="2"/>
      <scheme val="minor"/>
    </font>
    <font>
      <b/>
      <strike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indexed="64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6"/>
      <color theme="1"/>
      <name val="Agency FB"/>
      <family val="2"/>
    </font>
    <font>
      <b/>
      <sz val="18"/>
      <color theme="1"/>
      <name val="Agency FB"/>
      <family val="2"/>
    </font>
    <font>
      <b/>
      <i/>
      <sz val="14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4"/>
      <name val="Calibri"/>
      <family val="2"/>
      <scheme val="minor"/>
    </font>
    <font>
      <b/>
      <i/>
      <sz val="14"/>
      <color rgb="FFFFFF0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6"/>
      <color theme="1"/>
      <name val="Segoe UI"/>
      <family val="2"/>
    </font>
    <font>
      <b/>
      <sz val="12"/>
      <color theme="1"/>
      <name val="Segoe UI"/>
      <family val="2"/>
    </font>
    <font>
      <sz val="12"/>
      <color rgb="FFFFFF00"/>
      <name val="Segoe UI"/>
      <family val="2"/>
    </font>
    <font>
      <sz val="12"/>
      <color theme="0" tint="-4.9989318521683403E-2"/>
      <name val="Segoe UI"/>
      <family val="2"/>
    </font>
    <font>
      <sz val="12"/>
      <name val="Segoe UI"/>
      <family val="2"/>
    </font>
    <font>
      <b/>
      <sz val="12"/>
      <name val="Segoe UI"/>
      <family val="2"/>
    </font>
    <font>
      <b/>
      <sz val="11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i/>
      <sz val="18"/>
      <color theme="1"/>
      <name val="Segoe UI"/>
      <family val="2"/>
    </font>
    <font>
      <sz val="12"/>
      <color rgb="FF0061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</borders>
  <cellStyleXfs count="5">
    <xf numFmtId="0" fontId="0" fillId="0" borderId="0"/>
    <xf numFmtId="0" fontId="70" fillId="8" borderId="0" applyNumberFormat="0" applyBorder="0" applyAlignment="0" applyProtection="0"/>
    <xf numFmtId="0" fontId="29" fillId="12" borderId="0" applyNumberFormat="0" applyBorder="0" applyAlignment="0" applyProtection="0"/>
    <xf numFmtId="0" fontId="28" fillId="0" borderId="0"/>
    <xf numFmtId="0" fontId="49" fillId="0" borderId="0"/>
  </cellStyleXfs>
  <cellXfs count="517">
    <xf numFmtId="0" fontId="0" fillId="0" borderId="0" xfId="0"/>
    <xf numFmtId="0" fontId="1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2" fillId="4" borderId="1" xfId="0" applyFont="1" applyFill="1" applyBorder="1" applyAlignment="1">
      <alignment horizontal="center" vertical="center"/>
    </xf>
    <xf numFmtId="2" fontId="2" fillId="5" borderId="1" xfId="0" applyNumberFormat="1" applyFont="1" applyFill="1" applyBorder="1" applyAlignment="1">
      <alignment horizontal="center" vertical="center"/>
    </xf>
    <xf numFmtId="2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21" fillId="5" borderId="3" xfId="0" applyFont="1" applyFill="1" applyBorder="1" applyAlignment="1">
      <alignment horizontal="center" vertical="center"/>
    </xf>
    <xf numFmtId="0" fontId="21" fillId="5" borderId="13" xfId="0" applyFont="1" applyFill="1" applyBorder="1" applyAlignment="1">
      <alignment horizontal="center" vertical="center"/>
    </xf>
    <xf numFmtId="164" fontId="15" fillId="5" borderId="1" xfId="0" applyNumberFormat="1" applyFont="1" applyFill="1" applyBorder="1" applyAlignment="1">
      <alignment horizontal="center" vertical="center"/>
    </xf>
    <xf numFmtId="0" fontId="20" fillId="4" borderId="12" xfId="0" applyFont="1" applyFill="1" applyBorder="1" applyAlignment="1">
      <alignment horizontal="left" vertical="center" wrapText="1"/>
    </xf>
    <xf numFmtId="0" fontId="20" fillId="4" borderId="9" xfId="0" applyFont="1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0" fillId="4" borderId="1" xfId="0" applyFill="1" applyBorder="1" applyAlignment="1" applyProtection="1">
      <alignment horizontal="left" vertical="center" wrapText="1"/>
      <protection hidden="1"/>
    </xf>
    <xf numFmtId="0" fontId="3" fillId="4" borderId="7" xfId="0" applyFont="1" applyFill="1" applyBorder="1" applyAlignment="1">
      <alignment vertical="center" wrapText="1"/>
    </xf>
    <xf numFmtId="0" fontId="9" fillId="5" borderId="11" xfId="0" applyFon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 wrapText="1"/>
    </xf>
    <xf numFmtId="2" fontId="2" fillId="4" borderId="1" xfId="0" applyNumberFormat="1" applyFont="1" applyFill="1" applyBorder="1" applyAlignment="1" applyProtection="1">
      <alignment horizontal="center" vertical="center" wrapText="1"/>
      <protection hidden="1"/>
    </xf>
    <xf numFmtId="2" fontId="0" fillId="4" borderId="1" xfId="0" applyNumberFormat="1" applyFill="1" applyBorder="1" applyAlignment="1" applyProtection="1">
      <alignment horizontal="center" vertical="center" wrapText="1"/>
      <protection hidden="1"/>
    </xf>
    <xf numFmtId="0" fontId="25" fillId="0" borderId="0" xfId="0" applyFont="1" applyProtection="1">
      <protection locked="0"/>
    </xf>
    <xf numFmtId="0" fontId="25" fillId="0" borderId="0" xfId="0" applyFont="1" applyAlignment="1">
      <alignment horizontal="left" vertic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10" borderId="1" xfId="0" applyFill="1" applyBorder="1" applyAlignment="1">
      <alignment horizontal="left" vertical="center" wrapText="1"/>
    </xf>
    <xf numFmtId="0" fontId="0" fillId="13" borderId="1" xfId="0" applyFill="1" applyBorder="1" applyAlignment="1">
      <alignment horizontal="left" vertical="center" wrapText="1"/>
    </xf>
    <xf numFmtId="0" fontId="0" fillId="11" borderId="1" xfId="0" applyFill="1" applyBorder="1" applyAlignment="1">
      <alignment horizontal="left" vertical="center" wrapText="1"/>
    </xf>
    <xf numFmtId="0" fontId="32" fillId="0" borderId="0" xfId="0" applyFont="1" applyProtection="1">
      <protection locked="0"/>
    </xf>
    <xf numFmtId="0" fontId="16" fillId="3" borderId="0" xfId="0" applyFont="1" applyFill="1" applyProtection="1">
      <protection locked="0"/>
    </xf>
    <xf numFmtId="0" fontId="25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wrapText="1"/>
      <protection locked="0"/>
    </xf>
    <xf numFmtId="0" fontId="3" fillId="0" borderId="1" xfId="0" applyFont="1" applyBorder="1" applyAlignment="1">
      <alignment horizontal="center" vertical="center"/>
    </xf>
    <xf numFmtId="0" fontId="1" fillId="3" borderId="0" xfId="0" applyFont="1" applyFill="1" applyAlignment="1" applyProtection="1">
      <alignment vertical="center"/>
      <protection hidden="1"/>
    </xf>
    <xf numFmtId="0" fontId="70" fillId="8" borderId="1" xfId="1" applyBorder="1" applyAlignment="1">
      <alignment horizontal="left" vertical="center" wrapText="1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10" xfId="0" applyFont="1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/>
    </xf>
    <xf numFmtId="0" fontId="0" fillId="3" borderId="0" xfId="0" applyFill="1" applyAlignment="1" applyProtection="1">
      <alignment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2" fontId="24" fillId="5" borderId="1" xfId="0" applyNumberFormat="1" applyFont="1" applyFill="1" applyBorder="1" applyAlignment="1">
      <alignment horizontal="center" vertical="center" wrapText="1"/>
    </xf>
    <xf numFmtId="2" fontId="24" fillId="9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left" vertical="center" wrapText="1"/>
    </xf>
    <xf numFmtId="0" fontId="12" fillId="4" borderId="8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0" fontId="35" fillId="2" borderId="0" xfId="0" applyFont="1" applyFill="1" applyAlignment="1">
      <alignment horizontal="center" vertical="center"/>
    </xf>
    <xf numFmtId="0" fontId="35" fillId="2" borderId="4" xfId="0" applyFont="1" applyFill="1" applyBorder="1" applyAlignment="1">
      <alignment horizontal="center" vertical="center"/>
    </xf>
    <xf numFmtId="0" fontId="35" fillId="2" borderId="5" xfId="0" applyFont="1" applyFill="1" applyBorder="1" applyAlignment="1">
      <alignment horizontal="center" vertical="center"/>
    </xf>
    <xf numFmtId="0" fontId="35" fillId="2" borderId="6" xfId="0" applyFont="1" applyFill="1" applyBorder="1" applyAlignment="1">
      <alignment horizontal="center" vertical="center"/>
    </xf>
    <xf numFmtId="0" fontId="35" fillId="2" borderId="1" xfId="0" applyFont="1" applyFill="1" applyBorder="1" applyAlignment="1">
      <alignment horizontal="center" vertical="center"/>
    </xf>
    <xf numFmtId="0" fontId="33" fillId="3" borderId="0" xfId="0" applyFont="1" applyFill="1" applyProtection="1">
      <protection locked="0"/>
    </xf>
    <xf numFmtId="0" fontId="33" fillId="3" borderId="1" xfId="0" applyFont="1" applyFill="1" applyBorder="1" applyAlignment="1" applyProtection="1">
      <alignment horizontal="center" vertical="center"/>
      <protection hidden="1"/>
    </xf>
    <xf numFmtId="0" fontId="33" fillId="0" borderId="0" xfId="0" applyFont="1" applyProtection="1">
      <protection locked="0"/>
    </xf>
    <xf numFmtId="0" fontId="0" fillId="0" borderId="0" xfId="0" applyAlignment="1">
      <alignment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33" fillId="3" borderId="1" xfId="0" applyFont="1" applyFill="1" applyBorder="1" applyAlignment="1" applyProtection="1">
      <alignment horizontal="left" vertical="center"/>
      <protection hidden="1"/>
    </xf>
    <xf numFmtId="1" fontId="0" fillId="3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0" fontId="0" fillId="3" borderId="0" xfId="0" applyFill="1" applyAlignment="1">
      <alignment wrapText="1"/>
    </xf>
    <xf numFmtId="0" fontId="14" fillId="2" borderId="0" xfId="0" applyFont="1" applyFill="1" applyAlignment="1">
      <alignment vertical="center"/>
    </xf>
    <xf numFmtId="2" fontId="36" fillId="3" borderId="1" xfId="0" applyNumberFormat="1" applyFont="1" applyFill="1" applyBorder="1" applyAlignment="1" applyProtection="1">
      <alignment horizontal="center" vertical="center"/>
      <protection hidden="1"/>
    </xf>
    <xf numFmtId="2" fontId="36" fillId="5" borderId="1" xfId="0" applyNumberFormat="1" applyFont="1" applyFill="1" applyBorder="1" applyAlignment="1" applyProtection="1">
      <alignment horizontal="center" vertical="center"/>
      <protection hidden="1"/>
    </xf>
    <xf numFmtId="0" fontId="36" fillId="5" borderId="1" xfId="0" applyFont="1" applyFill="1" applyBorder="1" applyAlignment="1" applyProtection="1">
      <alignment horizontal="center" vertical="center"/>
      <protection hidden="1"/>
    </xf>
    <xf numFmtId="2" fontId="0" fillId="7" borderId="1" xfId="0" applyNumberForma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 applyProtection="1">
      <alignment wrapText="1"/>
      <protection locked="0"/>
    </xf>
    <xf numFmtId="0" fontId="17" fillId="3" borderId="0" xfId="0" applyFont="1" applyFill="1" applyProtection="1">
      <protection locked="0"/>
    </xf>
    <xf numFmtId="0" fontId="1" fillId="2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0" fontId="39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4" borderId="8" xfId="0" applyFill="1" applyBorder="1" applyAlignment="1">
      <alignment horizontal="left" vertical="center" wrapText="1"/>
    </xf>
    <xf numFmtId="0" fontId="0" fillId="14" borderId="1" xfId="0" applyFill="1" applyBorder="1" applyAlignment="1">
      <alignment vertical="center"/>
    </xf>
    <xf numFmtId="2" fontId="24" fillId="5" borderId="1" xfId="0" applyNumberFormat="1" applyFont="1" applyFill="1" applyBorder="1" applyAlignment="1">
      <alignment horizontal="center" vertical="center"/>
    </xf>
    <xf numFmtId="2" fontId="24" fillId="5" borderId="1" xfId="1" applyNumberFormat="1" applyFont="1" applyFill="1" applyBorder="1" applyAlignment="1">
      <alignment horizontal="center" vertical="center"/>
    </xf>
    <xf numFmtId="2" fontId="24" fillId="5" borderId="8" xfId="0" applyNumberFormat="1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3" borderId="0" xfId="0" applyFill="1" applyAlignment="1">
      <alignment vertical="center" wrapText="1"/>
    </xf>
    <xf numFmtId="0" fontId="40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40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66" fontId="24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167" fontId="5" fillId="0" borderId="1" xfId="0" applyNumberFormat="1" applyFont="1" applyBorder="1" applyAlignment="1" applyProtection="1">
      <alignment horizontal="center" vertical="center" wrapText="1"/>
      <protection hidden="1"/>
    </xf>
    <xf numFmtId="0" fontId="41" fillId="0" borderId="1" xfId="0" applyFont="1" applyBorder="1" applyAlignment="1">
      <alignment vertical="center" wrapText="1"/>
    </xf>
    <xf numFmtId="0" fontId="44" fillId="0" borderId="1" xfId="0" applyFont="1" applyBorder="1" applyAlignment="1">
      <alignment horizontal="center" vertical="center" wrapText="1"/>
    </xf>
    <xf numFmtId="0" fontId="26" fillId="0" borderId="1" xfId="0" applyFont="1" applyBorder="1" applyAlignment="1" applyProtection="1">
      <alignment vertical="center" wrapText="1"/>
      <protection hidden="1"/>
    </xf>
    <xf numFmtId="165" fontId="24" fillId="0" borderId="1" xfId="0" applyNumberFormat="1" applyFont="1" applyBorder="1" applyAlignment="1">
      <alignment horizontal="center" vertical="center" wrapText="1"/>
    </xf>
    <xf numFmtId="0" fontId="26" fillId="0" borderId="1" xfId="0" applyFont="1" applyBorder="1" applyAlignment="1">
      <alignment vertical="center" wrapText="1"/>
    </xf>
    <xf numFmtId="0" fontId="40" fillId="11" borderId="1" xfId="0" applyFont="1" applyFill="1" applyBorder="1" applyAlignment="1">
      <alignment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vertical="center" wrapText="1"/>
    </xf>
    <xf numFmtId="0" fontId="3" fillId="11" borderId="1" xfId="0" applyFont="1" applyFill="1" applyBorder="1" applyAlignment="1" applyProtection="1">
      <alignment vertical="center" wrapText="1"/>
      <protection hidden="1"/>
    </xf>
    <xf numFmtId="165" fontId="24" fillId="11" borderId="1" xfId="0" applyNumberFormat="1" applyFont="1" applyFill="1" applyBorder="1" applyAlignment="1">
      <alignment horizontal="center" vertical="center" wrapText="1"/>
    </xf>
    <xf numFmtId="0" fontId="3" fillId="11" borderId="1" xfId="0" applyFont="1" applyFill="1" applyBorder="1" applyAlignment="1" applyProtection="1">
      <alignment horizontal="center" vertical="center" wrapText="1"/>
      <protection hidden="1"/>
    </xf>
    <xf numFmtId="167" fontId="5" fillId="11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1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vertical="center" wrapText="1"/>
    </xf>
    <xf numFmtId="166" fontId="24" fillId="11" borderId="1" xfId="0" applyNumberFormat="1" applyFont="1" applyFill="1" applyBorder="1" applyAlignment="1">
      <alignment horizontal="center" vertical="center" wrapText="1"/>
    </xf>
    <xf numFmtId="0" fontId="31" fillId="11" borderId="1" xfId="0" applyFont="1" applyFill="1" applyBorder="1" applyAlignment="1">
      <alignment vertical="center" wrapText="1"/>
    </xf>
    <xf numFmtId="0" fontId="44" fillId="11" borderId="1" xfId="0" applyFont="1" applyFill="1" applyBorder="1" applyAlignment="1">
      <alignment horizontal="center" vertical="center" wrapText="1"/>
    </xf>
    <xf numFmtId="166" fontId="45" fillId="11" borderId="1" xfId="0" applyNumberFormat="1" applyFont="1" applyFill="1" applyBorder="1" applyAlignment="1">
      <alignment horizontal="center" vertical="center" wrapText="1"/>
    </xf>
    <xf numFmtId="0" fontId="41" fillId="11" borderId="1" xfId="0" applyFont="1" applyFill="1" applyBorder="1" applyAlignment="1" applyProtection="1">
      <alignment horizontal="center" vertical="center" wrapText="1"/>
      <protection hidden="1"/>
    </xf>
    <xf numFmtId="165" fontId="45" fillId="11" borderId="1" xfId="0" applyNumberFormat="1" applyFont="1" applyFill="1" applyBorder="1" applyAlignment="1">
      <alignment horizontal="center" vertical="center" wrapText="1"/>
    </xf>
    <xf numFmtId="167" fontId="46" fillId="11" borderId="1" xfId="0" applyNumberFormat="1" applyFont="1" applyFill="1" applyBorder="1" applyAlignment="1" applyProtection="1">
      <alignment horizontal="center" vertical="center" wrapText="1"/>
      <protection hidden="1"/>
    </xf>
    <xf numFmtId="0" fontId="26" fillId="11" borderId="1" xfId="0" applyFont="1" applyFill="1" applyBorder="1" applyAlignment="1">
      <alignment vertical="center" wrapText="1"/>
    </xf>
    <xf numFmtId="0" fontId="27" fillId="11" borderId="1" xfId="0" applyFont="1" applyFill="1" applyBorder="1" applyAlignment="1" applyProtection="1">
      <alignment horizontal="center" vertical="center" wrapText="1"/>
      <protection hidden="1"/>
    </xf>
    <xf numFmtId="0" fontId="42" fillId="11" borderId="1" xfId="0" applyFont="1" applyFill="1" applyBorder="1" applyAlignment="1">
      <alignment horizontal="center" vertical="center" wrapText="1"/>
    </xf>
    <xf numFmtId="166" fontId="25" fillId="11" borderId="1" xfId="0" applyNumberFormat="1" applyFont="1" applyFill="1" applyBorder="1" applyAlignment="1">
      <alignment horizontal="center" vertical="center" wrapText="1"/>
    </xf>
    <xf numFmtId="0" fontId="40" fillId="11" borderId="1" xfId="0" applyFont="1" applyFill="1" applyBorder="1" applyAlignment="1" applyProtection="1">
      <alignment horizontal="center" vertical="center" wrapText="1"/>
      <protection hidden="1"/>
    </xf>
    <xf numFmtId="165" fontId="40" fillId="11" borderId="1" xfId="0" applyNumberFormat="1" applyFont="1" applyFill="1" applyBorder="1" applyAlignment="1">
      <alignment horizontal="center" vertical="center" wrapText="1"/>
    </xf>
    <xf numFmtId="167" fontId="43" fillId="11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5" borderId="1" xfId="0" applyFont="1" applyFill="1" applyBorder="1" applyAlignment="1">
      <alignment vertical="center" wrapText="1"/>
    </xf>
    <xf numFmtId="0" fontId="3" fillId="15" borderId="1" xfId="0" applyFont="1" applyFill="1" applyBorder="1" applyAlignment="1">
      <alignment vertical="center" wrapText="1"/>
    </xf>
    <xf numFmtId="0" fontId="4" fillId="15" borderId="1" xfId="0" applyFont="1" applyFill="1" applyBorder="1" applyAlignment="1">
      <alignment horizontal="center" vertical="center" wrapText="1"/>
    </xf>
    <xf numFmtId="0" fontId="4" fillId="15" borderId="1" xfId="0" applyFont="1" applyFill="1" applyBorder="1" applyAlignment="1">
      <alignment vertical="center" wrapText="1"/>
    </xf>
    <xf numFmtId="0" fontId="3" fillId="15" borderId="1" xfId="0" applyFont="1" applyFill="1" applyBorder="1" applyAlignment="1" applyProtection="1">
      <alignment vertical="center" wrapText="1"/>
      <protection hidden="1"/>
    </xf>
    <xf numFmtId="166" fontId="24" fillId="15" borderId="1" xfId="0" applyNumberFormat="1" applyFont="1" applyFill="1" applyBorder="1" applyAlignment="1">
      <alignment horizontal="center" vertical="center" wrapText="1"/>
    </xf>
    <xf numFmtId="165" fontId="24" fillId="15" borderId="1" xfId="0" applyNumberFormat="1" applyFont="1" applyFill="1" applyBorder="1" applyAlignment="1">
      <alignment horizontal="center" vertical="center" wrapText="1"/>
    </xf>
    <xf numFmtId="0" fontId="3" fillId="15" borderId="1" xfId="0" applyFont="1" applyFill="1" applyBorder="1" applyAlignment="1" applyProtection="1">
      <alignment horizontal="center" vertical="center" wrapText="1"/>
      <protection hidden="1"/>
    </xf>
    <xf numFmtId="167" fontId="5" fillId="15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5" borderId="1" xfId="0" applyFont="1" applyFill="1" applyBorder="1" applyAlignment="1">
      <alignment horizontal="center" vertical="center" wrapText="1"/>
    </xf>
    <xf numFmtId="0" fontId="26" fillId="15" borderId="1" xfId="0" applyFont="1" applyFill="1" applyBorder="1" applyAlignment="1">
      <alignment vertical="center" wrapText="1"/>
    </xf>
    <xf numFmtId="0" fontId="42" fillId="15" borderId="1" xfId="0" applyFont="1" applyFill="1" applyBorder="1" applyAlignment="1">
      <alignment horizontal="center" vertical="center" wrapText="1"/>
    </xf>
    <xf numFmtId="166" fontId="25" fillId="15" borderId="1" xfId="0" applyNumberFormat="1" applyFont="1" applyFill="1" applyBorder="1" applyAlignment="1">
      <alignment horizontal="center" vertical="center" wrapText="1"/>
    </xf>
    <xf numFmtId="0" fontId="40" fillId="15" borderId="1" xfId="0" applyFont="1" applyFill="1" applyBorder="1" applyAlignment="1" applyProtection="1">
      <alignment horizontal="center" vertical="center" wrapText="1"/>
      <protection hidden="1"/>
    </xf>
    <xf numFmtId="165" fontId="40" fillId="15" borderId="1" xfId="0" applyNumberFormat="1" applyFont="1" applyFill="1" applyBorder="1" applyAlignment="1">
      <alignment horizontal="center" vertical="center" wrapText="1"/>
    </xf>
    <xf numFmtId="167" fontId="43" fillId="15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9" borderId="1" xfId="0" applyFont="1" applyFill="1" applyBorder="1" applyAlignment="1">
      <alignment vertical="center" wrapText="1"/>
    </xf>
    <xf numFmtId="0" fontId="3" fillId="9" borderId="1" xfId="0" applyFont="1" applyFill="1" applyBorder="1" applyAlignment="1">
      <alignment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31" fillId="9" borderId="1" xfId="0" applyFont="1" applyFill="1" applyBorder="1" applyAlignment="1">
      <alignment vertical="center" wrapText="1"/>
    </xf>
    <xf numFmtId="0" fontId="26" fillId="9" borderId="1" xfId="0" applyFont="1" applyFill="1" applyBorder="1" applyAlignment="1" applyProtection="1">
      <alignment vertical="center" wrapText="1"/>
      <protection hidden="1"/>
    </xf>
    <xf numFmtId="0" fontId="26" fillId="9" borderId="1" xfId="0" applyFont="1" applyFill="1" applyBorder="1" applyAlignment="1">
      <alignment vertical="center" wrapText="1"/>
    </xf>
    <xf numFmtId="166" fontId="24" fillId="9" borderId="1" xfId="0" applyNumberFormat="1" applyFont="1" applyFill="1" applyBorder="1" applyAlignment="1">
      <alignment horizontal="center" vertical="center" wrapText="1"/>
    </xf>
    <xf numFmtId="0" fontId="3" fillId="9" borderId="1" xfId="0" applyFont="1" applyFill="1" applyBorder="1" applyAlignment="1" applyProtection="1">
      <alignment horizontal="center" vertical="center" wrapText="1"/>
      <protection hidden="1"/>
    </xf>
    <xf numFmtId="165" fontId="24" fillId="9" borderId="1" xfId="0" applyNumberFormat="1" applyFont="1" applyFill="1" applyBorder="1" applyAlignment="1">
      <alignment horizontal="center" vertical="center" wrapText="1"/>
    </xf>
    <xf numFmtId="167" fontId="5" fillId="9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9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vertical="center" wrapText="1"/>
    </xf>
    <xf numFmtId="0" fontId="5" fillId="9" borderId="1" xfId="0" applyFont="1" applyFill="1" applyBorder="1" applyAlignment="1">
      <alignment vertical="center" wrapText="1"/>
    </xf>
    <xf numFmtId="165" fontId="19" fillId="9" borderId="1" xfId="0" applyNumberFormat="1" applyFont="1" applyFill="1" applyBorder="1" applyAlignment="1">
      <alignment horizontal="center" vertical="center" wrapText="1"/>
    </xf>
    <xf numFmtId="0" fontId="42" fillId="9" borderId="1" xfId="0" applyFont="1" applyFill="1" applyBorder="1" applyAlignment="1">
      <alignment horizontal="center" vertical="center" wrapText="1"/>
    </xf>
    <xf numFmtId="166" fontId="25" fillId="9" borderId="1" xfId="0" applyNumberFormat="1" applyFont="1" applyFill="1" applyBorder="1" applyAlignment="1">
      <alignment horizontal="center" vertical="center" wrapText="1"/>
    </xf>
    <xf numFmtId="0" fontId="40" fillId="9" borderId="1" xfId="0" applyFont="1" applyFill="1" applyBorder="1" applyAlignment="1" applyProtection="1">
      <alignment horizontal="center" vertical="center" wrapText="1"/>
      <protection hidden="1"/>
    </xf>
    <xf numFmtId="165" fontId="40" fillId="9" borderId="1" xfId="0" applyNumberFormat="1" applyFont="1" applyFill="1" applyBorder="1" applyAlignment="1">
      <alignment horizontal="center" vertical="center" wrapText="1"/>
    </xf>
    <xf numFmtId="167" fontId="43" fillId="9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6" borderId="1" xfId="0" applyFont="1" applyFill="1" applyBorder="1" applyAlignment="1">
      <alignment vertical="center" wrapText="1"/>
    </xf>
    <xf numFmtId="0" fontId="3" fillId="16" borderId="1" xfId="0" applyFont="1" applyFill="1" applyBorder="1" applyAlignment="1">
      <alignment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3" fillId="16" borderId="1" xfId="0" applyFont="1" applyFill="1" applyBorder="1" applyAlignment="1" applyProtection="1">
      <alignment vertical="center" wrapText="1"/>
      <protection hidden="1"/>
    </xf>
    <xf numFmtId="166" fontId="24" fillId="16" borderId="1" xfId="0" applyNumberFormat="1" applyFont="1" applyFill="1" applyBorder="1" applyAlignment="1">
      <alignment horizontal="center" vertical="center" wrapText="1"/>
    </xf>
    <xf numFmtId="0" fontId="3" fillId="16" borderId="1" xfId="0" applyFont="1" applyFill="1" applyBorder="1" applyAlignment="1" applyProtection="1">
      <alignment horizontal="center" vertical="center" wrapText="1"/>
      <protection hidden="1"/>
    </xf>
    <xf numFmtId="165" fontId="24" fillId="16" borderId="1" xfId="0" applyNumberFormat="1" applyFont="1" applyFill="1" applyBorder="1" applyAlignment="1">
      <alignment horizontal="center" vertical="center" wrapText="1"/>
    </xf>
    <xf numFmtId="167" fontId="5" fillId="16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6" borderId="1" xfId="0" applyFont="1" applyFill="1" applyBorder="1" applyAlignment="1">
      <alignment horizontal="center" vertical="center" wrapText="1"/>
    </xf>
    <xf numFmtId="0" fontId="4" fillId="16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vertical="center"/>
    </xf>
    <xf numFmtId="0" fontId="26" fillId="16" borderId="1" xfId="0" applyFont="1" applyFill="1" applyBorder="1" applyAlignment="1">
      <alignment vertical="center" wrapText="1"/>
    </xf>
    <xf numFmtId="0" fontId="42" fillId="16" borderId="1" xfId="0" applyFont="1" applyFill="1" applyBorder="1" applyAlignment="1">
      <alignment horizontal="center" vertical="center" wrapText="1"/>
    </xf>
    <xf numFmtId="166" fontId="25" fillId="16" borderId="1" xfId="0" applyNumberFormat="1" applyFont="1" applyFill="1" applyBorder="1" applyAlignment="1">
      <alignment horizontal="center" vertical="center" wrapText="1"/>
    </xf>
    <xf numFmtId="0" fontId="40" fillId="16" borderId="1" xfId="0" applyFont="1" applyFill="1" applyBorder="1" applyAlignment="1" applyProtection="1">
      <alignment horizontal="center" vertical="center" wrapText="1"/>
      <protection hidden="1"/>
    </xf>
    <xf numFmtId="165" fontId="40" fillId="16" borderId="1" xfId="0" applyNumberFormat="1" applyFont="1" applyFill="1" applyBorder="1" applyAlignment="1">
      <alignment horizontal="center" vertical="center" wrapText="1"/>
    </xf>
    <xf numFmtId="167" fontId="43" fillId="16" borderId="1" xfId="0" applyNumberFormat="1" applyFont="1" applyFill="1" applyBorder="1" applyAlignment="1" applyProtection="1">
      <alignment horizontal="center" vertical="center" wrapText="1"/>
      <protection hidden="1"/>
    </xf>
    <xf numFmtId="0" fontId="47" fillId="3" borderId="3" xfId="0" applyFont="1" applyFill="1" applyBorder="1" applyAlignment="1">
      <alignment horizontal="center" vertical="center" wrapText="1"/>
    </xf>
    <xf numFmtId="0" fontId="40" fillId="17" borderId="1" xfId="0" applyFont="1" applyFill="1" applyBorder="1" applyAlignment="1">
      <alignment vertical="center" wrapText="1"/>
    </xf>
    <xf numFmtId="0" fontId="3" fillId="17" borderId="1" xfId="0" applyFont="1" applyFill="1" applyBorder="1" applyAlignment="1">
      <alignment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26" fillId="17" borderId="1" xfId="0" applyFont="1" applyFill="1" applyBorder="1" applyAlignment="1" applyProtection="1">
      <alignment vertical="center" wrapText="1"/>
      <protection hidden="1"/>
    </xf>
    <xf numFmtId="0" fontId="26" fillId="17" borderId="1" xfId="0" applyFont="1" applyFill="1" applyBorder="1" applyAlignment="1">
      <alignment vertical="center" wrapText="1"/>
    </xf>
    <xf numFmtId="166" fontId="24" fillId="17" borderId="1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 applyProtection="1">
      <alignment horizontal="center" vertical="center" wrapText="1"/>
      <protection hidden="1"/>
    </xf>
    <xf numFmtId="165" fontId="24" fillId="17" borderId="1" xfId="0" applyNumberFormat="1" applyFont="1" applyFill="1" applyBorder="1" applyAlignment="1">
      <alignment horizontal="center" vertical="center" wrapText="1"/>
    </xf>
    <xf numFmtId="167" fontId="5" fillId="17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7" borderId="1" xfId="0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vertical="center" wrapText="1"/>
    </xf>
    <xf numFmtId="0" fontId="4" fillId="18" borderId="1" xfId="0" applyFont="1" applyFill="1" applyBorder="1" applyAlignment="1">
      <alignment horizontal="center" vertical="center" wrapText="1"/>
    </xf>
    <xf numFmtId="0" fontId="3" fillId="18" borderId="1" xfId="0" applyFont="1" applyFill="1" applyBorder="1" applyAlignment="1" applyProtection="1">
      <alignment vertical="center" wrapText="1"/>
      <protection hidden="1"/>
    </xf>
    <xf numFmtId="166" fontId="24" fillId="18" borderId="1" xfId="0" applyNumberFormat="1" applyFont="1" applyFill="1" applyBorder="1" applyAlignment="1">
      <alignment horizontal="center" vertical="center" wrapText="1"/>
    </xf>
    <xf numFmtId="165" fontId="24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 applyProtection="1">
      <alignment horizontal="center" vertical="center" wrapText="1"/>
      <protection hidden="1"/>
    </xf>
    <xf numFmtId="167" fontId="5" fillId="18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8" borderId="1" xfId="0" applyFont="1" applyFill="1" applyBorder="1" applyAlignment="1">
      <alignment horizontal="center" vertical="center" wrapText="1"/>
    </xf>
    <xf numFmtId="0" fontId="31" fillId="18" borderId="1" xfId="0" applyFont="1" applyFill="1" applyBorder="1" applyAlignment="1">
      <alignment vertical="center" wrapText="1"/>
    </xf>
    <xf numFmtId="0" fontId="3" fillId="19" borderId="1" xfId="0" applyFont="1" applyFill="1" applyBorder="1" applyAlignment="1">
      <alignment vertical="center" wrapText="1"/>
    </xf>
    <xf numFmtId="0" fontId="13" fillId="11" borderId="1" xfId="0" applyFont="1" applyFill="1" applyBorder="1" applyAlignment="1">
      <alignment horizontal="center" vertical="center" wrapText="1"/>
    </xf>
    <xf numFmtId="0" fontId="13" fillId="17" borderId="1" xfId="0" applyFont="1" applyFill="1" applyBorder="1" applyAlignment="1">
      <alignment horizontal="center" vertical="center" wrapText="1"/>
    </xf>
    <xf numFmtId="0" fontId="40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41" fillId="11" borderId="1" xfId="0" applyFont="1" applyFill="1" applyBorder="1" applyAlignment="1">
      <alignment horizontal="left" vertical="center" wrapText="1"/>
    </xf>
    <xf numFmtId="0" fontId="40" fillId="1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left" vertical="center" wrapText="1"/>
    </xf>
    <xf numFmtId="0" fontId="40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40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40" fillId="17" borderId="1" xfId="0" applyFont="1" applyFill="1" applyBorder="1" applyAlignment="1">
      <alignment horizontal="left" vertical="center" wrapText="1"/>
    </xf>
    <xf numFmtId="0" fontId="3" fillId="17" borderId="1" xfId="0" applyFont="1" applyFill="1" applyBorder="1" applyAlignment="1">
      <alignment horizontal="left" vertical="center" wrapText="1"/>
    </xf>
    <xf numFmtId="0" fontId="3" fillId="18" borderId="1" xfId="0" applyFont="1" applyFill="1" applyBorder="1" applyAlignment="1">
      <alignment horizontal="left" vertical="center" wrapText="1"/>
    </xf>
    <xf numFmtId="0" fontId="50" fillId="0" borderId="0" xfId="4" applyFont="1" applyAlignment="1">
      <alignment horizontal="center" vertical="center"/>
    </xf>
    <xf numFmtId="0" fontId="19" fillId="0" borderId="0" xfId="4" applyFont="1" applyAlignment="1">
      <alignment horizontal="center"/>
    </xf>
    <xf numFmtId="0" fontId="19" fillId="0" borderId="0" xfId="4" applyFont="1"/>
    <xf numFmtId="0" fontId="51" fillId="2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left" vertical="center" wrapText="1"/>
    </xf>
    <xf numFmtId="0" fontId="19" fillId="3" borderId="2" xfId="0" applyFont="1" applyFill="1" applyBorder="1" applyAlignment="1">
      <alignment horizontal="center" vertical="center" wrapText="1"/>
    </xf>
    <xf numFmtId="0" fontId="40" fillId="3" borderId="2" xfId="0" applyFont="1" applyFill="1" applyBorder="1" applyAlignment="1">
      <alignment horizontal="center" vertical="center"/>
    </xf>
    <xf numFmtId="0" fontId="40" fillId="3" borderId="1" xfId="0" applyFont="1" applyFill="1" applyBorder="1" applyAlignment="1">
      <alignment horizontal="left" vertical="center" wrapText="1"/>
    </xf>
    <xf numFmtId="0" fontId="3" fillId="3" borderId="2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 wrapText="1"/>
    </xf>
    <xf numFmtId="0" fontId="19" fillId="3" borderId="2" xfId="0" applyFont="1" applyFill="1" applyBorder="1" applyAlignment="1">
      <alignment horizontal="left" vertical="center" wrapText="1"/>
    </xf>
    <xf numFmtId="0" fontId="3" fillId="3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 wrapText="1"/>
    </xf>
    <xf numFmtId="0" fontId="19" fillId="3" borderId="1" xfId="0" applyFont="1" applyFill="1" applyBorder="1" applyAlignment="1">
      <alignment horizontal="center" vertical="center" wrapText="1"/>
    </xf>
    <xf numFmtId="0" fontId="3" fillId="21" borderId="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vertical="center"/>
    </xf>
    <xf numFmtId="0" fontId="3" fillId="21" borderId="1" xfId="0" quotePrefix="1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/>
    </xf>
    <xf numFmtId="0" fontId="40" fillId="3" borderId="1" xfId="0" applyFont="1" applyFill="1" applyBorder="1" applyAlignment="1">
      <alignment horizontal="center" vertical="center"/>
    </xf>
    <xf numFmtId="0" fontId="40" fillId="3" borderId="1" xfId="0" applyFont="1" applyFill="1" applyBorder="1" applyAlignment="1">
      <alignment vertical="center"/>
    </xf>
    <xf numFmtId="0" fontId="3" fillId="21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0" fillId="21" borderId="3" xfId="0" applyFont="1" applyFill="1" applyBorder="1" applyAlignment="1">
      <alignment vertical="center"/>
    </xf>
    <xf numFmtId="0" fontId="30" fillId="0" borderId="3" xfId="0" applyFont="1" applyBorder="1" applyAlignment="1">
      <alignment vertical="center"/>
    </xf>
    <xf numFmtId="0" fontId="40" fillId="21" borderId="3" xfId="0" applyFont="1" applyFill="1" applyBorder="1" applyAlignment="1">
      <alignment vertical="center"/>
    </xf>
    <xf numFmtId="0" fontId="40" fillId="3" borderId="3" xfId="0" applyFont="1" applyFill="1" applyBorder="1" applyAlignment="1">
      <alignment vertical="center"/>
    </xf>
    <xf numFmtId="49" fontId="52" fillId="14" borderId="4" xfId="4" applyNumberFormat="1" applyFont="1" applyFill="1" applyBorder="1" applyAlignment="1">
      <alignment horizontal="center" vertical="center" wrapText="1"/>
    </xf>
    <xf numFmtId="49" fontId="52" fillId="14" borderId="5" xfId="4" applyNumberFormat="1" applyFont="1" applyFill="1" applyBorder="1" applyAlignment="1">
      <alignment horizontal="center" vertical="center" wrapText="1"/>
    </xf>
    <xf numFmtId="49" fontId="52" fillId="14" borderId="6" xfId="4" applyNumberFormat="1" applyFont="1" applyFill="1" applyBorder="1" applyAlignment="1">
      <alignment horizontal="center" vertical="center" wrapText="1"/>
    </xf>
    <xf numFmtId="0" fontId="25" fillId="21" borderId="7" xfId="0" applyFont="1" applyFill="1" applyBorder="1" applyAlignment="1">
      <alignment horizontal="center"/>
    </xf>
    <xf numFmtId="0" fontId="40" fillId="21" borderId="8" xfId="0" applyFont="1" applyFill="1" applyBorder="1" applyAlignment="1">
      <alignment vertical="center"/>
    </xf>
    <xf numFmtId="0" fontId="40" fillId="21" borderId="8" xfId="0" applyFont="1" applyFill="1" applyBorder="1" applyAlignment="1">
      <alignment horizontal="center" vertical="center"/>
    </xf>
    <xf numFmtId="0" fontId="40" fillId="21" borderId="13" xfId="0" applyFont="1" applyFill="1" applyBorder="1" applyAlignment="1">
      <alignment vertical="center"/>
    </xf>
    <xf numFmtId="0" fontId="19" fillId="21" borderId="1" xfId="0" applyFont="1" applyFill="1" applyBorder="1" applyAlignment="1">
      <alignment horizontal="center" vertical="center" wrapText="1"/>
    </xf>
    <xf numFmtId="0" fontId="3" fillId="21" borderId="2" xfId="0" applyFont="1" applyFill="1" applyBorder="1" applyAlignment="1">
      <alignment horizontal="center" vertical="center" wrapText="1"/>
    </xf>
    <xf numFmtId="0" fontId="18" fillId="21" borderId="24" xfId="0" applyFont="1" applyFill="1" applyBorder="1" applyAlignment="1">
      <alignment horizontal="center" vertical="center" wrapText="1"/>
    </xf>
    <xf numFmtId="0" fontId="18" fillId="21" borderId="24" xfId="0" quotePrefix="1" applyFont="1" applyFill="1" applyBorder="1" applyAlignment="1">
      <alignment horizontal="center" vertical="center" wrapText="1"/>
    </xf>
    <xf numFmtId="0" fontId="18" fillId="21" borderId="1" xfId="0" quotePrefix="1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18" fillId="3" borderId="24" xfId="0" applyFont="1" applyFill="1" applyBorder="1" applyAlignment="1">
      <alignment horizontal="center" vertical="center" wrapText="1"/>
    </xf>
    <xf numFmtId="0" fontId="18" fillId="3" borderId="24" xfId="0" quotePrefix="1" applyFont="1" applyFill="1" applyBorder="1" applyAlignment="1">
      <alignment horizontal="center" vertical="center" wrapText="1"/>
    </xf>
    <xf numFmtId="0" fontId="43" fillId="3" borderId="1" xfId="0" applyFont="1" applyFill="1" applyBorder="1" applyAlignment="1">
      <alignment horizontal="center" vertical="center" wrapText="1"/>
    </xf>
    <xf numFmtId="0" fontId="43" fillId="21" borderId="1" xfId="0" applyFont="1" applyFill="1" applyBorder="1" applyAlignment="1">
      <alignment horizontal="center" vertical="center" wrapText="1"/>
    </xf>
    <xf numFmtId="0" fontId="40" fillId="21" borderId="1" xfId="0" applyFont="1" applyFill="1" applyBorder="1" applyAlignment="1">
      <alignment horizontal="center" vertical="center" wrapText="1"/>
    </xf>
    <xf numFmtId="0" fontId="40" fillId="3" borderId="1" xfId="0" applyFont="1" applyFill="1" applyBorder="1" applyAlignment="1">
      <alignment horizontal="center" vertical="center" wrapText="1"/>
    </xf>
    <xf numFmtId="0" fontId="18" fillId="3" borderId="1" xfId="0" quotePrefix="1" applyFont="1" applyFill="1" applyBorder="1" applyAlignment="1">
      <alignment horizontal="center" vertical="center" wrapText="1"/>
    </xf>
    <xf numFmtId="0" fontId="40" fillId="21" borderId="2" xfId="0" applyFont="1" applyFill="1" applyBorder="1" applyAlignment="1">
      <alignment horizontal="center" vertical="center" wrapText="1"/>
    </xf>
    <xf numFmtId="0" fontId="40" fillId="3" borderId="2" xfId="0" applyFont="1" applyFill="1" applyBorder="1" applyAlignment="1">
      <alignment horizontal="center" vertical="center" wrapText="1"/>
    </xf>
    <xf numFmtId="0" fontId="3" fillId="21" borderId="25" xfId="0" applyFont="1" applyFill="1" applyBorder="1" applyAlignment="1">
      <alignment horizontal="center" vertical="center" wrapText="1"/>
    </xf>
    <xf numFmtId="0" fontId="3" fillId="3" borderId="25" xfId="0" applyFont="1" applyFill="1" applyBorder="1" applyAlignment="1">
      <alignment horizontal="center" vertical="center" wrapText="1"/>
    </xf>
    <xf numFmtId="0" fontId="40" fillId="3" borderId="25" xfId="0" applyFont="1" applyFill="1" applyBorder="1" applyAlignment="1">
      <alignment horizontal="center" vertical="center" wrapText="1"/>
    </xf>
    <xf numFmtId="0" fontId="3" fillId="21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9" fillId="21" borderId="2" xfId="0" applyFont="1" applyFill="1" applyBorder="1" applyAlignment="1">
      <alignment horizontal="center" vertical="center" wrapText="1"/>
    </xf>
    <xf numFmtId="0" fontId="18" fillId="21" borderId="26" xfId="0" applyFont="1" applyFill="1" applyBorder="1" applyAlignment="1">
      <alignment horizontal="center" vertical="center" wrapText="1"/>
    </xf>
    <xf numFmtId="0" fontId="18" fillId="21" borderId="12" xfId="0" applyFont="1" applyFill="1" applyBorder="1" applyAlignment="1">
      <alignment horizontal="center" vertical="center" wrapText="1"/>
    </xf>
    <xf numFmtId="0" fontId="18" fillId="3" borderId="26" xfId="0" applyFont="1" applyFill="1" applyBorder="1" applyAlignment="1">
      <alignment horizontal="center" vertical="center" wrapText="1"/>
    </xf>
    <xf numFmtId="0" fontId="43" fillId="3" borderId="3" xfId="0" applyFont="1" applyFill="1" applyBorder="1" applyAlignment="1">
      <alignment horizontal="center" vertical="center" wrapText="1"/>
    </xf>
    <xf numFmtId="0" fontId="43" fillId="21" borderId="3" xfId="0" applyFont="1" applyFill="1" applyBorder="1" applyAlignment="1">
      <alignment horizontal="center" vertical="center" wrapText="1"/>
    </xf>
    <xf numFmtId="0" fontId="18" fillId="21" borderId="3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 wrapText="1"/>
    </xf>
    <xf numFmtId="0" fontId="18" fillId="3" borderId="12" xfId="0" applyFont="1" applyFill="1" applyBorder="1" applyAlignment="1">
      <alignment horizontal="center" vertical="center" wrapText="1"/>
    </xf>
    <xf numFmtId="0" fontId="51" fillId="20" borderId="4" xfId="0" applyFont="1" applyFill="1" applyBorder="1" applyAlignment="1">
      <alignment horizontal="center" vertical="center" wrapText="1"/>
    </xf>
    <xf numFmtId="0" fontId="53" fillId="20" borderId="27" xfId="4" applyFont="1" applyFill="1" applyBorder="1" applyAlignment="1">
      <alignment horizontal="center" vertical="center" wrapText="1"/>
    </xf>
    <xf numFmtId="0" fontId="51" fillId="20" borderId="6" xfId="0" applyFont="1" applyFill="1" applyBorder="1" applyAlignment="1">
      <alignment horizontal="center" vertical="center" wrapText="1"/>
    </xf>
    <xf numFmtId="0" fontId="19" fillId="21" borderId="7" xfId="0" applyFont="1" applyFill="1" applyBorder="1" applyAlignment="1">
      <alignment horizontal="center" vertical="center" wrapText="1"/>
    </xf>
    <xf numFmtId="0" fontId="19" fillId="21" borderId="8" xfId="0" applyFont="1" applyFill="1" applyBorder="1" applyAlignment="1">
      <alignment horizontal="center" vertical="center" wrapText="1"/>
    </xf>
    <xf numFmtId="0" fontId="3" fillId="21" borderId="8" xfId="0" applyFont="1" applyFill="1" applyBorder="1" applyAlignment="1">
      <alignment horizontal="center" vertical="center" wrapText="1"/>
    </xf>
    <xf numFmtId="0" fontId="3" fillId="21" borderId="7" xfId="0" applyFont="1" applyFill="1" applyBorder="1" applyAlignment="1">
      <alignment horizontal="center" vertical="center" wrapText="1"/>
    </xf>
    <xf numFmtId="0" fontId="18" fillId="21" borderId="28" xfId="0" applyFont="1" applyFill="1" applyBorder="1" applyAlignment="1">
      <alignment horizontal="center" vertical="center" wrapText="1"/>
    </xf>
    <xf numFmtId="0" fontId="18" fillId="21" borderId="28" xfId="0" quotePrefix="1" applyFont="1" applyFill="1" applyBorder="1" applyAlignment="1">
      <alignment horizontal="center" vertical="center" wrapText="1"/>
    </xf>
    <xf numFmtId="0" fontId="18" fillId="21" borderId="29" xfId="0" applyFont="1" applyFill="1" applyBorder="1" applyAlignment="1">
      <alignment horizontal="center" vertical="center" wrapText="1"/>
    </xf>
    <xf numFmtId="0" fontId="50" fillId="0" borderId="0" xfId="4" applyFont="1" applyAlignment="1">
      <alignment horizontal="center" vertical="center" wrapText="1"/>
    </xf>
    <xf numFmtId="0" fontId="15" fillId="0" borderId="0" xfId="0" applyFont="1" applyAlignment="1" applyProtection="1">
      <alignment horizontal="left" vertical="center" indent="1"/>
      <protection locked="0"/>
    </xf>
    <xf numFmtId="0" fontId="19" fillId="3" borderId="0" xfId="0" applyFont="1" applyFill="1" applyAlignment="1">
      <alignment vertical="center" wrapText="1"/>
    </xf>
    <xf numFmtId="0" fontId="3" fillId="21" borderId="3" xfId="0" applyFont="1" applyFill="1" applyBorder="1" applyAlignment="1">
      <alignment vertical="center"/>
    </xf>
    <xf numFmtId="0" fontId="3" fillId="0" borderId="3" xfId="0" applyFont="1" applyBorder="1" applyAlignment="1">
      <alignment vertical="center"/>
    </xf>
    <xf numFmtId="0" fontId="19" fillId="9" borderId="24" xfId="0" applyFont="1" applyFill="1" applyBorder="1" applyAlignment="1">
      <alignment horizontal="center" vertical="center" wrapText="1"/>
    </xf>
    <xf numFmtId="0" fontId="19" fillId="9" borderId="5" xfId="0" applyFont="1" applyFill="1" applyBorder="1" applyAlignment="1">
      <alignment horizontal="center" vertical="center" wrapText="1"/>
    </xf>
    <xf numFmtId="0" fontId="19" fillId="9" borderId="1" xfId="0" applyFont="1" applyFill="1" applyBorder="1" applyAlignment="1">
      <alignment horizontal="center" vertical="center" wrapText="1"/>
    </xf>
    <xf numFmtId="0" fontId="40" fillId="9" borderId="5" xfId="0" applyFont="1" applyFill="1" applyBorder="1" applyAlignment="1">
      <alignment horizontal="center" vertical="center" wrapText="1"/>
    </xf>
    <xf numFmtId="0" fontId="19" fillId="9" borderId="16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28" xfId="0" applyFont="1" applyFill="1" applyBorder="1" applyAlignment="1">
      <alignment horizontal="center" vertical="center" wrapText="1"/>
    </xf>
    <xf numFmtId="0" fontId="18" fillId="9" borderId="24" xfId="0" applyFont="1" applyFill="1" applyBorder="1" applyAlignment="1">
      <alignment horizontal="center" vertical="center" wrapText="1"/>
    </xf>
    <xf numFmtId="0" fontId="43" fillId="9" borderId="1" xfId="0" applyFont="1" applyFill="1" applyBorder="1" applyAlignment="1">
      <alignment horizontal="center" vertical="center" wrapText="1"/>
    </xf>
    <xf numFmtId="0" fontId="25" fillId="0" borderId="0" xfId="0" applyFont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left" wrapText="1"/>
    </xf>
    <xf numFmtId="0" fontId="21" fillId="3" borderId="0" xfId="0" applyFont="1" applyFill="1" applyAlignment="1">
      <alignment horizontal="left" vertical="center"/>
    </xf>
    <xf numFmtId="0" fontId="21" fillId="3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 indent="1"/>
    </xf>
    <xf numFmtId="0" fontId="56" fillId="0" borderId="0" xfId="0" applyFont="1" applyProtection="1">
      <protection locked="0"/>
    </xf>
    <xf numFmtId="0" fontId="56" fillId="0" borderId="0" xfId="0" applyFont="1" applyAlignment="1" applyProtection="1">
      <alignment horizontal="right"/>
      <protection locked="0"/>
    </xf>
    <xf numFmtId="0" fontId="36" fillId="0" borderId="0" xfId="0" applyFont="1" applyAlignment="1" applyProtection="1">
      <alignment horizontal="right" vertical="center" indent="1"/>
      <protection locked="0"/>
    </xf>
    <xf numFmtId="0" fontId="36" fillId="0" borderId="0" xfId="0" applyFont="1" applyAlignment="1" applyProtection="1">
      <alignment horizontal="left" vertical="center" indent="1"/>
      <protection locked="0"/>
    </xf>
    <xf numFmtId="0" fontId="38" fillId="22" borderId="0" xfId="0" applyFont="1" applyFill="1" applyAlignment="1" applyProtection="1">
      <alignment horizontal="center" vertical="center" wrapText="1"/>
      <protection locked="0"/>
    </xf>
    <xf numFmtId="0" fontId="37" fillId="22" borderId="0" xfId="0" applyFont="1" applyFill="1" applyAlignment="1" applyProtection="1">
      <alignment horizontal="centerContinuous" vertical="center"/>
      <protection locked="0"/>
    </xf>
    <xf numFmtId="0" fontId="18" fillId="3" borderId="28" xfId="0" applyFont="1" applyFill="1" applyBorder="1" applyAlignment="1">
      <alignment horizontal="center" vertical="center" wrapText="1"/>
    </xf>
    <xf numFmtId="0" fontId="18" fillId="3" borderId="28" xfId="0" quotePrefix="1" applyFont="1" applyFill="1" applyBorder="1" applyAlignment="1">
      <alignment horizontal="center" vertical="center" wrapText="1"/>
    </xf>
    <xf numFmtId="0" fontId="18" fillId="3" borderId="29" xfId="0" applyFont="1" applyFill="1" applyBorder="1" applyAlignment="1">
      <alignment horizontal="center" vertical="center" wrapText="1"/>
    </xf>
    <xf numFmtId="0" fontId="18" fillId="9" borderId="5" xfId="0" applyFont="1" applyFill="1" applyBorder="1" applyAlignment="1">
      <alignment horizontal="center" vertical="center" wrapText="1"/>
    </xf>
    <xf numFmtId="0" fontId="18" fillId="21" borderId="5" xfId="0" applyFont="1" applyFill="1" applyBorder="1" applyAlignment="1">
      <alignment horizontal="center" vertical="center" wrapText="1"/>
    </xf>
    <xf numFmtId="0" fontId="18" fillId="21" borderId="5" xfId="0" quotePrefix="1" applyFont="1" applyFill="1" applyBorder="1" applyAlignment="1">
      <alignment horizontal="center" vertical="center" wrapText="1"/>
    </xf>
    <xf numFmtId="0" fontId="18" fillId="21" borderId="6" xfId="0" applyFont="1" applyFill="1" applyBorder="1" applyAlignment="1">
      <alignment horizontal="center" vertical="center" wrapText="1"/>
    </xf>
    <xf numFmtId="0" fontId="19" fillId="9" borderId="30" xfId="0" applyFont="1" applyFill="1" applyBorder="1" applyAlignment="1">
      <alignment horizontal="center" vertical="center" wrapText="1"/>
    </xf>
    <xf numFmtId="0" fontId="18" fillId="3" borderId="30" xfId="0" quotePrefix="1" applyFont="1" applyFill="1" applyBorder="1" applyAlignment="1">
      <alignment horizontal="center" vertical="center" wrapText="1"/>
    </xf>
    <xf numFmtId="0" fontId="18" fillId="3" borderId="5" xfId="0" quotePrefix="1" applyFont="1" applyFill="1" applyBorder="1" applyAlignment="1">
      <alignment horizontal="center" vertical="center" wrapText="1"/>
    </xf>
    <xf numFmtId="0" fontId="57" fillId="21" borderId="0" xfId="0" applyFont="1" applyFill="1" applyAlignment="1">
      <alignment horizontal="center" vertical="center" wrapText="1"/>
    </xf>
    <xf numFmtId="0" fontId="58" fillId="9" borderId="6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9" fillId="6" borderId="1" xfId="0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left" vertical="center" wrapText="1"/>
    </xf>
    <xf numFmtId="0" fontId="22" fillId="3" borderId="8" xfId="0" applyFont="1" applyFill="1" applyBorder="1" applyAlignment="1">
      <alignment horizontal="left" vertical="center" wrapText="1"/>
    </xf>
    <xf numFmtId="0" fontId="60" fillId="23" borderId="31" xfId="0" applyFont="1" applyFill="1" applyBorder="1" applyAlignment="1">
      <alignment horizontal="center" vertical="center" wrapText="1"/>
    </xf>
    <xf numFmtId="0" fontId="55" fillId="10" borderId="8" xfId="0" applyFont="1" applyFill="1" applyBorder="1" applyAlignment="1">
      <alignment horizontal="center" vertical="center" wrapText="1"/>
    </xf>
    <xf numFmtId="0" fontId="61" fillId="12" borderId="0" xfId="2" applyFont="1" applyBorder="1" applyAlignment="1">
      <alignment horizontal="center" vertical="center" wrapText="1"/>
    </xf>
    <xf numFmtId="0" fontId="61" fillId="12" borderId="0" xfId="2" applyFont="1" applyBorder="1" applyAlignment="1">
      <alignment horizontal="left" vertical="center" wrapText="1"/>
    </xf>
    <xf numFmtId="0" fontId="61" fillId="12" borderId="33" xfId="2" applyFont="1" applyBorder="1" applyAlignment="1">
      <alignment horizontal="left" vertical="center" wrapText="1"/>
    </xf>
    <xf numFmtId="0" fontId="61" fillId="12" borderId="0" xfId="2" applyFont="1" applyBorder="1" applyAlignment="1">
      <alignment horizontal="center" vertical="center"/>
    </xf>
    <xf numFmtId="0" fontId="62" fillId="12" borderId="0" xfId="2" applyFont="1" applyBorder="1" applyAlignment="1">
      <alignment horizontal="center" vertical="center" wrapText="1"/>
    </xf>
    <xf numFmtId="0" fontId="62" fillId="12" borderId="0" xfId="2" applyFont="1" applyBorder="1" applyAlignment="1">
      <alignment horizontal="left" vertical="center" wrapText="1"/>
    </xf>
    <xf numFmtId="0" fontId="62" fillId="12" borderId="33" xfId="2" applyFont="1" applyBorder="1" applyAlignment="1">
      <alignment horizontal="left" vertical="center" wrapText="1"/>
    </xf>
    <xf numFmtId="0" fontId="19" fillId="0" borderId="0" xfId="4" applyFont="1" applyAlignment="1">
      <alignment horizontal="left"/>
    </xf>
    <xf numFmtId="0" fontId="19" fillId="0" borderId="34" xfId="4" applyFont="1" applyBorder="1" applyAlignment="1">
      <alignment horizontal="left" vertical="center"/>
    </xf>
    <xf numFmtId="0" fontId="19" fillId="0" borderId="35" xfId="4" applyFont="1" applyBorder="1" applyAlignment="1">
      <alignment horizontal="left" vertical="center"/>
    </xf>
    <xf numFmtId="0" fontId="19" fillId="0" borderId="35" xfId="4" applyFont="1" applyBorder="1" applyAlignment="1">
      <alignment vertical="center"/>
    </xf>
    <xf numFmtId="0" fontId="19" fillId="0" borderId="36" xfId="4" applyFont="1" applyBorder="1" applyAlignment="1">
      <alignment vertical="center"/>
    </xf>
    <xf numFmtId="0" fontId="19" fillId="0" borderId="34" xfId="4" applyFont="1" applyBorder="1" applyAlignment="1">
      <alignment vertical="center"/>
    </xf>
    <xf numFmtId="0" fontId="19" fillId="0" borderId="17" xfId="4" applyFont="1" applyBorder="1"/>
    <xf numFmtId="0" fontId="19" fillId="0" borderId="18" xfId="4" applyFont="1" applyBorder="1" applyAlignment="1">
      <alignment horizontal="center"/>
    </xf>
    <xf numFmtId="0" fontId="19" fillId="0" borderId="19" xfId="4" applyFont="1" applyBorder="1" applyAlignment="1">
      <alignment horizontal="center"/>
    </xf>
    <xf numFmtId="0" fontId="19" fillId="0" borderId="32" xfId="4" applyFont="1" applyBorder="1"/>
    <xf numFmtId="0" fontId="19" fillId="0" borderId="33" xfId="4" applyFont="1" applyBorder="1" applyAlignment="1">
      <alignment horizontal="center"/>
    </xf>
    <xf numFmtId="0" fontId="19" fillId="0" borderId="20" xfId="4" applyFont="1" applyBorder="1"/>
    <xf numFmtId="0" fontId="19" fillId="0" borderId="21" xfId="4" applyFont="1" applyBorder="1" applyAlignment="1">
      <alignment horizontal="center"/>
    </xf>
    <xf numFmtId="0" fontId="19" fillId="0" borderId="22" xfId="4" applyFont="1" applyBorder="1" applyAlignment="1">
      <alignment horizontal="center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vertical="center" wrapText="1"/>
    </xf>
    <xf numFmtId="0" fontId="19" fillId="3" borderId="8" xfId="0" applyFont="1" applyFill="1" applyBorder="1" applyAlignment="1">
      <alignment horizontal="left" vertical="center" wrapText="1"/>
    </xf>
    <xf numFmtId="0" fontId="19" fillId="3" borderId="38" xfId="0" applyFont="1" applyFill="1" applyBorder="1" applyAlignment="1">
      <alignment horizontal="left" vertical="center" wrapText="1"/>
    </xf>
    <xf numFmtId="0" fontId="19" fillId="3" borderId="40" xfId="0" applyFont="1" applyFill="1" applyBorder="1" applyAlignment="1">
      <alignment horizontal="left" vertical="center" wrapText="1"/>
    </xf>
    <xf numFmtId="0" fontId="19" fillId="15" borderId="37" xfId="0" applyFont="1" applyFill="1" applyBorder="1" applyAlignment="1">
      <alignment horizontal="left" vertical="center" wrapText="1"/>
    </xf>
    <xf numFmtId="0" fontId="19" fillId="15" borderId="39" xfId="0" applyFont="1" applyFill="1" applyBorder="1" applyAlignment="1">
      <alignment horizontal="left" vertical="center" wrapText="1"/>
    </xf>
    <xf numFmtId="0" fontId="19" fillId="15" borderId="1" xfId="0" applyFont="1" applyFill="1" applyBorder="1" applyAlignment="1">
      <alignment horizontal="left" vertical="center" wrapText="1"/>
    </xf>
    <xf numFmtId="0" fontId="19" fillId="0" borderId="2" xfId="0" applyFont="1" applyBorder="1" applyAlignment="1">
      <alignment horizontal="center" vertical="center" wrapText="1"/>
    </xf>
    <xf numFmtId="0" fontId="3" fillId="15" borderId="2" xfId="0" applyFont="1" applyFill="1" applyBorder="1" applyAlignment="1">
      <alignment horizontal="left" vertical="center" wrapText="1"/>
    </xf>
    <xf numFmtId="0" fontId="3" fillId="15" borderId="2" xfId="0" applyFont="1" applyFill="1" applyBorder="1" applyAlignment="1">
      <alignment horizontal="left" vertical="center"/>
    </xf>
    <xf numFmtId="0" fontId="19" fillId="15" borderId="2" xfId="0" applyFont="1" applyFill="1" applyBorder="1" applyAlignment="1">
      <alignment horizontal="left" vertical="center" wrapText="1"/>
    </xf>
    <xf numFmtId="0" fontId="3" fillId="15" borderId="7" xfId="0" applyFont="1" applyFill="1" applyBorder="1" applyAlignment="1">
      <alignment horizontal="left" vertical="center" wrapText="1"/>
    </xf>
    <xf numFmtId="0" fontId="63" fillId="3" borderId="0" xfId="0" applyFont="1" applyFill="1" applyProtection="1">
      <protection locked="0"/>
    </xf>
    <xf numFmtId="0" fontId="63" fillId="0" borderId="0" xfId="0" applyFont="1" applyProtection="1">
      <protection locked="0"/>
    </xf>
    <xf numFmtId="0" fontId="64" fillId="5" borderId="1" xfId="0" applyFont="1" applyFill="1" applyBorder="1" applyAlignment="1" applyProtection="1">
      <alignment horizontal="left" vertical="center" wrapText="1"/>
      <protection locked="0"/>
    </xf>
    <xf numFmtId="0" fontId="64" fillId="11" borderId="1" xfId="0" applyFont="1" applyFill="1" applyBorder="1" applyAlignment="1" applyProtection="1">
      <alignment horizontal="left" vertical="center"/>
      <protection locked="0"/>
    </xf>
    <xf numFmtId="0" fontId="65" fillId="23" borderId="0" xfId="0" applyFont="1" applyFill="1" applyAlignment="1" applyProtection="1">
      <alignment horizontal="center" vertical="center" wrapText="1"/>
      <protection locked="0"/>
    </xf>
    <xf numFmtId="1" fontId="65" fillId="23" borderId="0" xfId="0" applyNumberFormat="1" applyFont="1" applyFill="1" applyAlignment="1" applyProtection="1">
      <alignment horizontal="center" vertical="center" wrapText="1"/>
      <protection locked="0"/>
    </xf>
    <xf numFmtId="0" fontId="67" fillId="0" borderId="1" xfId="0" applyFont="1" applyBorder="1" applyAlignment="1" applyProtection="1">
      <alignment horizontal="left" vertical="center" wrapText="1"/>
      <protection locked="0"/>
    </xf>
    <xf numFmtId="0" fontId="67" fillId="0" borderId="1" xfId="0" applyFont="1" applyBorder="1" applyAlignment="1" applyProtection="1">
      <alignment horizontal="left" vertical="center"/>
      <protection locked="0"/>
    </xf>
    <xf numFmtId="0" fontId="67" fillId="0" borderId="8" xfId="0" applyFont="1" applyBorder="1" applyAlignment="1" applyProtection="1">
      <alignment horizontal="left" vertical="center"/>
      <protection locked="0"/>
    </xf>
    <xf numFmtId="0" fontId="67" fillId="0" borderId="1" xfId="0" applyFont="1" applyBorder="1" applyAlignment="1" applyProtection="1">
      <alignment horizontal="center" vertical="center" wrapText="1"/>
      <protection locked="0"/>
    </xf>
    <xf numFmtId="1" fontId="68" fillId="0" borderId="8" xfId="0" applyNumberFormat="1" applyFont="1" applyBorder="1" applyAlignment="1" applyProtection="1">
      <alignment horizontal="center" vertical="center"/>
      <protection locked="0"/>
    </xf>
    <xf numFmtId="0" fontId="67" fillId="0" borderId="1" xfId="0" applyFont="1" applyBorder="1" applyAlignment="1" applyProtection="1">
      <alignment horizontal="center" vertical="center"/>
      <protection locked="0"/>
    </xf>
    <xf numFmtId="1" fontId="67" fillId="0" borderId="23" xfId="0" applyNumberFormat="1" applyFont="1" applyBorder="1" applyAlignment="1" applyProtection="1">
      <alignment horizontal="center" vertical="center"/>
      <protection locked="0"/>
    </xf>
    <xf numFmtId="1" fontId="67" fillId="0" borderId="5" xfId="0" applyNumberFormat="1" applyFont="1" applyBorder="1" applyAlignment="1" applyProtection="1">
      <alignment horizontal="center" vertical="center"/>
      <protection locked="0"/>
    </xf>
    <xf numFmtId="49" fontId="67" fillId="0" borderId="1" xfId="0" applyNumberFormat="1" applyFont="1" applyBorder="1" applyAlignment="1" applyProtection="1">
      <alignment horizontal="center" vertical="center" wrapText="1"/>
      <protection locked="0"/>
    </xf>
    <xf numFmtId="1" fontId="68" fillId="0" borderId="2" xfId="0" applyNumberFormat="1" applyFont="1" applyBorder="1" applyAlignment="1" applyProtection="1">
      <alignment horizontal="center" vertical="center"/>
      <protection locked="0"/>
    </xf>
    <xf numFmtId="1" fontId="67" fillId="0" borderId="1" xfId="0" applyNumberFormat="1" applyFont="1" applyBorder="1" applyAlignment="1" applyProtection="1">
      <alignment horizontal="center" vertical="center"/>
      <protection locked="0"/>
    </xf>
    <xf numFmtId="49" fontId="67" fillId="0" borderId="1" xfId="0" applyNumberFormat="1" applyFont="1" applyBorder="1" applyAlignment="1" applyProtection="1">
      <alignment horizontal="center" vertical="center"/>
      <protection locked="0"/>
    </xf>
    <xf numFmtId="0" fontId="67" fillId="0" borderId="8" xfId="0" applyFont="1" applyBorder="1" applyAlignment="1" applyProtection="1">
      <alignment horizontal="left" vertical="center" wrapText="1"/>
      <protection locked="0"/>
    </xf>
    <xf numFmtId="0" fontId="67" fillId="0" borderId="8" xfId="0" applyFont="1" applyBorder="1" applyAlignment="1" applyProtection="1">
      <alignment horizontal="center" vertical="center" wrapText="1"/>
      <protection locked="0"/>
    </xf>
    <xf numFmtId="1" fontId="68" fillId="0" borderId="7" xfId="0" applyNumberFormat="1" applyFont="1" applyBorder="1" applyAlignment="1" applyProtection="1">
      <alignment horizontal="center" vertical="center"/>
      <protection locked="0"/>
    </xf>
    <xf numFmtId="0" fontId="67" fillId="0" borderId="8" xfId="0" applyFont="1" applyBorder="1" applyAlignment="1" applyProtection="1">
      <alignment horizontal="center" vertical="center"/>
      <protection locked="0"/>
    </xf>
    <xf numFmtId="1" fontId="67" fillId="0" borderId="8" xfId="0" applyNumberFormat="1" applyFont="1" applyBorder="1" applyAlignment="1" applyProtection="1">
      <alignment horizontal="center" vertical="center"/>
      <protection locked="0"/>
    </xf>
    <xf numFmtId="49" fontId="67" fillId="0" borderId="8" xfId="0" applyNumberFormat="1" applyFont="1" applyBorder="1" applyAlignment="1" applyProtection="1">
      <alignment horizontal="center" vertical="center"/>
      <protection locked="0"/>
    </xf>
    <xf numFmtId="0" fontId="62" fillId="12" borderId="18" xfId="2" applyFont="1" applyBorder="1" applyAlignment="1">
      <alignment horizontal="center" vertical="center" wrapText="1"/>
    </xf>
    <xf numFmtId="0" fontId="62" fillId="12" borderId="18" xfId="2" applyFont="1" applyBorder="1" applyAlignment="1">
      <alignment horizontal="left" vertical="center" wrapText="1"/>
    </xf>
    <xf numFmtId="0" fontId="61" fillId="12" borderId="21" xfId="2" applyFont="1" applyBorder="1" applyAlignment="1">
      <alignment horizontal="left" vertical="center" wrapText="1"/>
    </xf>
    <xf numFmtId="0" fontId="61" fillId="12" borderId="21" xfId="2" applyFont="1" applyBorder="1" applyAlignment="1">
      <alignment horizontal="center" vertical="center" wrapText="1"/>
    </xf>
    <xf numFmtId="0" fontId="62" fillId="12" borderId="19" xfId="2" applyFont="1" applyBorder="1" applyAlignment="1">
      <alignment horizontal="left" vertical="center" wrapText="1"/>
    </xf>
    <xf numFmtId="0" fontId="61" fillId="12" borderId="22" xfId="2" applyFont="1" applyBorder="1" applyAlignment="1">
      <alignment horizontal="left" vertical="center" wrapText="1"/>
    </xf>
    <xf numFmtId="0" fontId="29" fillId="12" borderId="0" xfId="2" applyBorder="1" applyAlignment="1">
      <alignment horizontal="center" vertical="center"/>
    </xf>
    <xf numFmtId="0" fontId="29" fillId="12" borderId="0" xfId="2" applyBorder="1" applyAlignment="1">
      <alignment horizontal="left" vertical="center" wrapText="1"/>
    </xf>
    <xf numFmtId="0" fontId="29" fillId="12" borderId="0" xfId="2" applyBorder="1" applyAlignment="1">
      <alignment horizontal="center" vertical="center" wrapText="1"/>
    </xf>
    <xf numFmtId="0" fontId="29" fillId="12" borderId="33" xfId="2" applyBorder="1" applyAlignment="1">
      <alignment horizontal="left" vertical="center" wrapText="1"/>
    </xf>
    <xf numFmtId="0" fontId="69" fillId="12" borderId="0" xfId="2" applyFont="1" applyBorder="1" applyAlignment="1">
      <alignment horizontal="center" vertical="center" wrapText="1"/>
    </xf>
    <xf numFmtId="0" fontId="69" fillId="12" borderId="33" xfId="2" applyFont="1" applyBorder="1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71" fillId="5" borderId="1" xfId="0" applyFont="1" applyFill="1" applyBorder="1" applyAlignment="1" applyProtection="1">
      <alignment vertical="center"/>
      <protection locked="0"/>
    </xf>
    <xf numFmtId="0" fontId="19" fillId="0" borderId="20" xfId="4" applyFont="1" applyBorder="1" applyAlignment="1">
      <alignment vertical="center"/>
    </xf>
    <xf numFmtId="0" fontId="19" fillId="0" borderId="17" xfId="4" applyFont="1" applyBorder="1" applyAlignment="1">
      <alignment vertical="center"/>
    </xf>
    <xf numFmtId="0" fontId="19" fillId="0" borderId="32" xfId="4" applyFont="1" applyBorder="1" applyAlignment="1">
      <alignment vertical="center"/>
    </xf>
    <xf numFmtId="0" fontId="19" fillId="3" borderId="1" xfId="0" applyFont="1" applyFill="1" applyBorder="1" applyAlignment="1">
      <alignment vertical="center" wrapText="1"/>
    </xf>
    <xf numFmtId="0" fontId="19" fillId="3" borderId="1" xfId="0" applyFont="1" applyFill="1" applyBorder="1" applyAlignment="1">
      <alignment horizontal="center" vertical="center"/>
    </xf>
    <xf numFmtId="0" fontId="19" fillId="9" borderId="6" xfId="0" applyFont="1" applyFill="1" applyBorder="1" applyAlignment="1">
      <alignment horizontal="center" vertical="center" wrapText="1"/>
    </xf>
    <xf numFmtId="49" fontId="18" fillId="21" borderId="24" xfId="0" quotePrefix="1" applyNumberFormat="1" applyFont="1" applyFill="1" applyBorder="1" applyAlignment="1">
      <alignment horizontal="center" vertical="center" wrapText="1"/>
    </xf>
    <xf numFmtId="0" fontId="29" fillId="12" borderId="0" xfId="2" applyBorder="1" applyAlignment="1">
      <alignment horizontal="justify" vertical="center" wrapText="1"/>
    </xf>
    <xf numFmtId="0" fontId="72" fillId="12" borderId="0" xfId="2" applyFont="1" applyBorder="1" applyAlignment="1">
      <alignment horizontal="center" vertical="center" wrapText="1"/>
    </xf>
    <xf numFmtId="0" fontId="72" fillId="12" borderId="33" xfId="2" applyFont="1" applyBorder="1" applyAlignment="1">
      <alignment horizontal="left" vertical="center" wrapText="1"/>
    </xf>
    <xf numFmtId="168" fontId="29" fillId="12" borderId="0" xfId="2" applyNumberFormat="1" applyBorder="1" applyAlignment="1">
      <alignment horizontal="justify" vertical="center" wrapText="1"/>
    </xf>
    <xf numFmtId="168" fontId="29" fillId="12" borderId="21" xfId="2" applyNumberFormat="1" applyBorder="1" applyAlignment="1">
      <alignment horizontal="justify" vertical="center" wrapText="1"/>
    </xf>
    <xf numFmtId="0" fontId="72" fillId="12" borderId="21" xfId="2" applyFont="1" applyBorder="1" applyAlignment="1">
      <alignment horizontal="center" vertical="center" wrapText="1"/>
    </xf>
    <xf numFmtId="0" fontId="72" fillId="12" borderId="22" xfId="2" applyFont="1" applyBorder="1" applyAlignment="1">
      <alignment horizontal="left" vertical="center" wrapText="1"/>
    </xf>
    <xf numFmtId="0" fontId="61" fillId="12" borderId="17" xfId="2" applyFont="1" applyBorder="1" applyAlignment="1">
      <alignment horizontal="center" vertical="center"/>
    </xf>
    <xf numFmtId="0" fontId="61" fillId="12" borderId="18" xfId="2" applyFont="1" applyBorder="1" applyAlignment="1">
      <alignment horizontal="left" vertical="center" wrapText="1"/>
    </xf>
    <xf numFmtId="0" fontId="61" fillId="12" borderId="18" xfId="2" applyFont="1" applyBorder="1" applyAlignment="1">
      <alignment horizontal="center" vertical="center" wrapText="1"/>
    </xf>
    <xf numFmtId="0" fontId="61" fillId="12" borderId="19" xfId="2" applyFont="1" applyBorder="1" applyAlignment="1">
      <alignment horizontal="left" vertical="center" wrapText="1"/>
    </xf>
    <xf numFmtId="0" fontId="61" fillId="12" borderId="32" xfId="2" applyFont="1" applyBorder="1" applyAlignment="1">
      <alignment horizontal="center" vertical="center"/>
    </xf>
    <xf numFmtId="0" fontId="61" fillId="12" borderId="20" xfId="2" applyFont="1" applyBorder="1" applyAlignment="1">
      <alignment horizontal="center" vertical="center"/>
    </xf>
    <xf numFmtId="0" fontId="29" fillId="12" borderId="0" xfId="2" applyBorder="1" applyAlignment="1">
      <alignment horizontal="left" vertical="center"/>
    </xf>
    <xf numFmtId="0" fontId="29" fillId="12" borderId="32" xfId="2" applyBorder="1" applyAlignment="1">
      <alignment horizontal="center" vertical="center"/>
    </xf>
    <xf numFmtId="0" fontId="29" fillId="12" borderId="20" xfId="2" applyBorder="1" applyAlignment="1">
      <alignment horizontal="center" vertical="center"/>
    </xf>
    <xf numFmtId="0" fontId="62" fillId="12" borderId="17" xfId="2" applyFont="1" applyBorder="1" applyAlignment="1">
      <alignment horizontal="center" vertical="center" wrapText="1"/>
    </xf>
    <xf numFmtId="168" fontId="29" fillId="12" borderId="0" xfId="2" applyNumberFormat="1" applyBorder="1" applyAlignment="1">
      <alignment horizontal="left" vertical="center" wrapText="1"/>
    </xf>
    <xf numFmtId="0" fontId="29" fillId="12" borderId="10" xfId="2" applyBorder="1" applyAlignment="1">
      <alignment horizontal="center" vertical="center"/>
    </xf>
    <xf numFmtId="168" fontId="29" fillId="12" borderId="10" xfId="2" applyNumberFormat="1" applyBorder="1" applyAlignment="1">
      <alignment horizontal="justify" vertical="center" wrapText="1"/>
    </xf>
    <xf numFmtId="0" fontId="19" fillId="0" borderId="0" xfId="4" applyFont="1" applyAlignment="1">
      <alignment vertical="center"/>
    </xf>
    <xf numFmtId="0" fontId="19" fillId="9" borderId="41" xfId="0" applyFont="1" applyFill="1" applyBorder="1" applyAlignment="1">
      <alignment horizontal="center" vertical="center" wrapText="1"/>
    </xf>
    <xf numFmtId="0" fontId="18" fillId="21" borderId="42" xfId="0" applyFont="1" applyFill="1" applyBorder="1" applyAlignment="1">
      <alignment horizontal="center" vertical="center" wrapText="1"/>
    </xf>
    <xf numFmtId="0" fontId="18" fillId="21" borderId="43" xfId="0" applyFont="1" applyFill="1" applyBorder="1" applyAlignment="1">
      <alignment horizontal="center" vertical="center" wrapText="1"/>
    </xf>
    <xf numFmtId="0" fontId="3" fillId="21" borderId="8" xfId="0" applyFont="1" applyFill="1" applyBorder="1" applyAlignment="1">
      <alignment horizontal="center" vertical="center"/>
    </xf>
    <xf numFmtId="0" fontId="3" fillId="21" borderId="13" xfId="0" applyFont="1" applyFill="1" applyBorder="1" applyAlignment="1">
      <alignment vertical="center"/>
    </xf>
    <xf numFmtId="0" fontId="61" fillId="12" borderId="18" xfId="2" applyFont="1" applyBorder="1" applyAlignment="1">
      <alignment horizontal="center" vertical="center"/>
    </xf>
    <xf numFmtId="0" fontId="19" fillId="3" borderId="35" xfId="4" applyFont="1" applyFill="1" applyBorder="1" applyAlignment="1">
      <alignment vertical="center"/>
    </xf>
    <xf numFmtId="0" fontId="19" fillId="5" borderId="34" xfId="4" applyFont="1" applyFill="1" applyBorder="1" applyAlignment="1">
      <alignment vertical="center"/>
    </xf>
    <xf numFmtId="0" fontId="19" fillId="5" borderId="17" xfId="4" applyFont="1" applyFill="1" applyBorder="1"/>
    <xf numFmtId="0" fontId="19" fillId="5" borderId="18" xfId="4" applyFont="1" applyFill="1" applyBorder="1" applyAlignment="1">
      <alignment horizontal="center"/>
    </xf>
    <xf numFmtId="0" fontId="19" fillId="5" borderId="19" xfId="4" applyFont="1" applyFill="1" applyBorder="1" applyAlignment="1">
      <alignment horizontal="center"/>
    </xf>
    <xf numFmtId="0" fontId="0" fillId="5" borderId="0" xfId="0" applyFill="1"/>
    <xf numFmtId="0" fontId="19" fillId="5" borderId="0" xfId="4" applyFont="1" applyFill="1" applyAlignment="1">
      <alignment horizontal="left"/>
    </xf>
    <xf numFmtId="0" fontId="19" fillId="5" borderId="0" xfId="4" applyFont="1" applyFill="1"/>
    <xf numFmtId="0" fontId="19" fillId="5" borderId="0" xfId="4" applyFont="1" applyFill="1" applyAlignment="1">
      <alignment horizontal="center"/>
    </xf>
    <xf numFmtId="0" fontId="3" fillId="5" borderId="2" xfId="0" applyFont="1" applyFill="1" applyBorder="1" applyAlignment="1">
      <alignment horizontal="left" vertical="center"/>
    </xf>
    <xf numFmtId="0" fontId="19" fillId="5" borderId="0" xfId="0" applyFont="1" applyFill="1" applyAlignment="1">
      <alignment vertical="center" wrapText="1"/>
    </xf>
    <xf numFmtId="0" fontId="3" fillId="5" borderId="2" xfId="0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18" fillId="5" borderId="24" xfId="0" applyFont="1" applyFill="1" applyBorder="1" applyAlignment="1">
      <alignment horizontal="center" vertical="center" wrapText="1"/>
    </xf>
    <xf numFmtId="0" fontId="19" fillId="21" borderId="0" xfId="0" applyFont="1" applyFill="1" applyAlignment="1">
      <alignment horizontal="center" vertical="center" wrapText="1"/>
    </xf>
    <xf numFmtId="0" fontId="3" fillId="21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18" fillId="21" borderId="0" xfId="0" applyFont="1" applyFill="1" applyAlignment="1">
      <alignment horizontal="center" vertical="center" wrapText="1"/>
    </xf>
    <xf numFmtId="0" fontId="19" fillId="24" borderId="36" xfId="4" applyFont="1" applyFill="1" applyBorder="1" applyAlignment="1">
      <alignment vertical="center"/>
    </xf>
    <xf numFmtId="0" fontId="19" fillId="24" borderId="20" xfId="4" applyFont="1" applyFill="1" applyBorder="1"/>
    <xf numFmtId="0" fontId="19" fillId="24" borderId="21" xfId="4" applyFont="1" applyFill="1" applyBorder="1" applyAlignment="1">
      <alignment horizontal="center"/>
    </xf>
    <xf numFmtId="0" fontId="19" fillId="24" borderId="22" xfId="4" applyFont="1" applyFill="1" applyBorder="1" applyAlignment="1">
      <alignment horizontal="center"/>
    </xf>
    <xf numFmtId="0" fontId="0" fillId="24" borderId="0" xfId="0" applyFill="1"/>
    <xf numFmtId="0" fontId="3" fillId="24" borderId="7" xfId="0" applyFont="1" applyFill="1" applyBorder="1" applyAlignment="1">
      <alignment horizontal="left" vertical="center" wrapText="1"/>
    </xf>
    <xf numFmtId="0" fontId="19" fillId="24" borderId="8" xfId="0" applyFont="1" applyFill="1" applyBorder="1" applyAlignment="1">
      <alignment horizontal="left" vertical="center" wrapText="1"/>
    </xf>
    <xf numFmtId="0" fontId="19" fillId="24" borderId="0" xfId="0" applyFont="1" applyFill="1" applyAlignment="1">
      <alignment vertical="center" wrapText="1"/>
    </xf>
    <xf numFmtId="0" fontId="3" fillId="24" borderId="2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/>
    </xf>
    <xf numFmtId="0" fontId="24" fillId="0" borderId="0" xfId="0" applyFont="1"/>
    <xf numFmtId="0" fontId="3" fillId="0" borderId="0" xfId="0" applyFont="1"/>
    <xf numFmtId="0" fontId="19" fillId="24" borderId="7" xfId="0" applyFont="1" applyFill="1" applyBorder="1" applyAlignment="1">
      <alignment horizontal="center" vertical="center"/>
    </xf>
    <xf numFmtId="0" fontId="19" fillId="24" borderId="8" xfId="0" applyFont="1" applyFill="1" applyBorder="1" applyAlignment="1">
      <alignment vertical="center"/>
    </xf>
    <xf numFmtId="0" fontId="19" fillId="24" borderId="8" xfId="0" applyFont="1" applyFill="1" applyBorder="1" applyAlignment="1">
      <alignment horizontal="center" vertical="center"/>
    </xf>
    <xf numFmtId="0" fontId="19" fillId="24" borderId="13" xfId="0" applyFont="1" applyFill="1" applyBorder="1" applyAlignment="1">
      <alignment vertical="center"/>
    </xf>
    <xf numFmtId="0" fontId="19" fillId="24" borderId="1" xfId="0" applyFont="1" applyFill="1" applyBorder="1" applyAlignment="1">
      <alignment horizontal="center" vertical="center" wrapText="1"/>
    </xf>
    <xf numFmtId="0" fontId="3" fillId="24" borderId="2" xfId="0" applyFont="1" applyFill="1" applyBorder="1" applyAlignment="1">
      <alignment horizontal="center" vertical="center" wrapText="1"/>
    </xf>
    <xf numFmtId="0" fontId="18" fillId="24" borderId="24" xfId="0" applyFont="1" applyFill="1" applyBorder="1" applyAlignment="1">
      <alignment horizontal="center" vertical="center" wrapText="1"/>
    </xf>
    <xf numFmtId="0" fontId="18" fillId="24" borderId="24" xfId="0" quotePrefix="1" applyFont="1" applyFill="1" applyBorder="1" applyAlignment="1">
      <alignment horizontal="center" vertical="center" wrapText="1"/>
    </xf>
    <xf numFmtId="0" fontId="18" fillId="24" borderId="26" xfId="0" applyFont="1" applyFill="1" applyBorder="1" applyAlignment="1">
      <alignment horizontal="center" vertical="center" wrapText="1"/>
    </xf>
    <xf numFmtId="0" fontId="19" fillId="24" borderId="8" xfId="0" applyFont="1" applyFill="1" applyBorder="1" applyAlignment="1">
      <alignment horizontal="center" vertical="center" wrapText="1"/>
    </xf>
    <xf numFmtId="0" fontId="19" fillId="24" borderId="28" xfId="0" applyFont="1" applyFill="1" applyBorder="1" applyAlignment="1">
      <alignment horizontal="center" vertical="center" wrapText="1"/>
    </xf>
    <xf numFmtId="0" fontId="19" fillId="24" borderId="16" xfId="0" applyFont="1" applyFill="1" applyBorder="1" applyAlignment="1">
      <alignment horizontal="center" vertical="center" wrapText="1"/>
    </xf>
    <xf numFmtId="0" fontId="18" fillId="24" borderId="1" xfId="0" applyFont="1" applyFill="1" applyBorder="1" applyAlignment="1">
      <alignment horizontal="center" vertical="center" wrapText="1"/>
    </xf>
    <xf numFmtId="1" fontId="67" fillId="3" borderId="5" xfId="0" applyNumberFormat="1" applyFont="1" applyFill="1" applyBorder="1" applyAlignment="1" applyProtection="1">
      <alignment horizontal="center" vertical="center"/>
      <protection locked="0"/>
    </xf>
    <xf numFmtId="0" fontId="29" fillId="12" borderId="21" xfId="2" applyBorder="1" applyAlignment="1">
      <alignment horizontal="center" vertical="center" wrapText="1"/>
    </xf>
    <xf numFmtId="0" fontId="29" fillId="12" borderId="21" xfId="2" applyBorder="1" applyAlignment="1">
      <alignment horizontal="left" vertical="center" wrapText="1"/>
    </xf>
    <xf numFmtId="0" fontId="67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center"/>
      <protection locked="0"/>
    </xf>
    <xf numFmtId="0" fontId="21" fillId="11" borderId="17" xfId="0" applyFont="1" applyFill="1" applyBorder="1" applyAlignment="1">
      <alignment horizontal="center" vertical="center"/>
    </xf>
    <xf numFmtId="0" fontId="21" fillId="11" borderId="32" xfId="0" applyFont="1" applyFill="1" applyBorder="1" applyAlignment="1">
      <alignment horizontal="center" vertical="center"/>
    </xf>
    <xf numFmtId="0" fontId="21" fillId="11" borderId="20" xfId="0" applyFont="1" applyFill="1" applyBorder="1" applyAlignment="1">
      <alignment horizontal="center" vertical="center"/>
    </xf>
    <xf numFmtId="0" fontId="21" fillId="9" borderId="17" xfId="0" applyFont="1" applyFill="1" applyBorder="1" applyAlignment="1">
      <alignment horizontal="center" vertical="center"/>
    </xf>
    <xf numFmtId="0" fontId="21" fillId="9" borderId="32" xfId="0" applyFont="1" applyFill="1" applyBorder="1" applyAlignment="1">
      <alignment horizontal="center" vertical="center"/>
    </xf>
    <xf numFmtId="0" fontId="21" fillId="9" borderId="20" xfId="0" applyFont="1" applyFill="1" applyBorder="1" applyAlignment="1">
      <alignment horizontal="center" vertical="center"/>
    </xf>
    <xf numFmtId="0" fontId="21" fillId="9" borderId="34" xfId="0" applyFont="1" applyFill="1" applyBorder="1" applyAlignment="1">
      <alignment horizontal="center" vertical="center"/>
    </xf>
    <xf numFmtId="0" fontId="21" fillId="9" borderId="35" xfId="0" applyFont="1" applyFill="1" applyBorder="1" applyAlignment="1">
      <alignment horizontal="center" vertical="center"/>
    </xf>
    <xf numFmtId="0" fontId="21" fillId="9" borderId="36" xfId="0" applyFont="1" applyFill="1" applyBorder="1" applyAlignment="1">
      <alignment horizontal="center" vertical="center"/>
    </xf>
    <xf numFmtId="0" fontId="54" fillId="10" borderId="3" xfId="0" applyFont="1" applyFill="1" applyBorder="1" applyAlignment="1">
      <alignment horizontal="center" vertical="center" wrapText="1"/>
    </xf>
    <xf numFmtId="0" fontId="54" fillId="10" borderId="12" xfId="0" applyFont="1" applyFill="1" applyBorder="1" applyAlignment="1">
      <alignment horizontal="center" vertical="center" wrapText="1"/>
    </xf>
    <xf numFmtId="0" fontId="54" fillId="10" borderId="2" xfId="0" applyFont="1" applyFill="1" applyBorder="1" applyAlignment="1">
      <alignment horizontal="center" vertical="center" wrapText="1"/>
    </xf>
    <xf numFmtId="0" fontId="21" fillId="11" borderId="34" xfId="0" applyFont="1" applyFill="1" applyBorder="1" applyAlignment="1">
      <alignment horizontal="center" vertical="center" wrapText="1"/>
    </xf>
    <xf numFmtId="0" fontId="21" fillId="11" borderId="35" xfId="0" applyFont="1" applyFill="1" applyBorder="1" applyAlignment="1">
      <alignment horizontal="center" vertical="center" wrapText="1"/>
    </xf>
    <xf numFmtId="0" fontId="21" fillId="11" borderId="36" xfId="0" applyFont="1" applyFill="1" applyBorder="1" applyAlignment="1">
      <alignment horizontal="center" vertical="center" wrapText="1"/>
    </xf>
    <xf numFmtId="0" fontId="21" fillId="9" borderId="34" xfId="0" applyFont="1" applyFill="1" applyBorder="1" applyAlignment="1">
      <alignment horizontal="center" vertical="center" wrapText="1"/>
    </xf>
    <xf numFmtId="0" fontId="21" fillId="9" borderId="35" xfId="0" applyFont="1" applyFill="1" applyBorder="1" applyAlignment="1">
      <alignment horizontal="center" vertical="center" wrapText="1"/>
    </xf>
    <xf numFmtId="0" fontId="21" fillId="9" borderId="36" xfId="0" applyFont="1" applyFill="1" applyBorder="1" applyAlignment="1">
      <alignment horizontal="center" vertical="center" wrapText="1"/>
    </xf>
    <xf numFmtId="0" fontId="21" fillId="11" borderId="34" xfId="0" applyFont="1" applyFill="1" applyBorder="1" applyAlignment="1">
      <alignment horizontal="center" vertical="center"/>
    </xf>
    <xf numFmtId="0" fontId="21" fillId="11" borderId="35" xfId="0" applyFont="1" applyFill="1" applyBorder="1" applyAlignment="1">
      <alignment horizontal="center" vertical="center"/>
    </xf>
    <xf numFmtId="0" fontId="21" fillId="11" borderId="36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4" fillId="7" borderId="14" xfId="0" applyFont="1" applyFill="1" applyBorder="1" applyAlignment="1">
      <alignment horizontal="center" vertical="center" wrapText="1"/>
    </xf>
    <xf numFmtId="0" fontId="34" fillId="7" borderId="1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/>
    </xf>
  </cellXfs>
  <cellStyles count="5">
    <cellStyle name="Bueno" xfId="2" builtinId="26"/>
    <cellStyle name="Incorrecto" xfId="1" builtinId="27" customBuiltin="1"/>
    <cellStyle name="Normal" xfId="0" builtinId="0"/>
    <cellStyle name="Normal 19 4" xfId="3" xr:uid="{00000000-0005-0000-0000-000003000000}"/>
    <cellStyle name="Normal 2" xfId="4" xr:uid="{00000000-0005-0000-0000-000004000000}"/>
  </cellStyles>
  <dxfs count="194"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0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0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</font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</font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0.00\ &quot;Hr&quot;\ 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#.0\ &quot;Hr&quot;\ 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#.0\ &quot;Hr&quot;\ 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</font>
      <alignment horizontal="left" vertical="center" textRotation="0" wrapText="1" indent="0" justifyLastLine="0" shrinkToFit="0" readingOrder="0"/>
      <border outline="0">
        <left style="thin">
          <color indexed="64"/>
        </left>
      </border>
    </dxf>
    <dxf>
      <font>
        <b val="0"/>
        <i val="0"/>
      </font>
      <numFmt numFmtId="0" formatCode="General"/>
      <alignment horizontal="left" vertical="center" textRotation="0" wrapText="1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64"/>
        <name val="Calibri"/>
        <scheme val="minor"/>
      </font>
      <numFmt numFmtId="30" formatCode="@"/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64"/>
        <name val="Calibri"/>
        <scheme val="minor"/>
      </font>
      <numFmt numFmtId="30" formatCode="@"/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scheme val="minor"/>
      </font>
      <fill>
        <patternFill patternType="solid">
          <fgColor indexed="64"/>
          <bgColor rgb="FF3F3F3F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Segoe UI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Segoe UI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174171</xdr:colOff>
      <xdr:row>16</xdr:row>
      <xdr:rowOff>54429</xdr:rowOff>
    </xdr:from>
    <xdr:to>
      <xdr:col>3</xdr:col>
      <xdr:colOff>326571</xdr:colOff>
      <xdr:row>19</xdr:row>
      <xdr:rowOff>0</xdr:rowOff>
    </xdr:to>
    <xdr:sp macro="" textlink="">
      <xdr:nvSpPr>
        <xdr:cNvPr id="2" name="Cerrar llav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899571" y="4572000"/>
          <a:ext cx="152400" cy="925286"/>
        </a:xfrm>
        <a:prstGeom prst="rightBrace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</xdr:col>
      <xdr:colOff>189727</xdr:colOff>
      <xdr:row>2</xdr:row>
      <xdr:rowOff>50909</xdr:rowOff>
    </xdr:from>
    <xdr:to>
      <xdr:col>3</xdr:col>
      <xdr:colOff>330200</xdr:colOff>
      <xdr:row>15</xdr:row>
      <xdr:rowOff>241300</xdr:rowOff>
    </xdr:to>
    <xdr:sp macro="" textlink="">
      <xdr:nvSpPr>
        <xdr:cNvPr id="4" name="Cerrar llav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346927" y="685909"/>
          <a:ext cx="140473" cy="4432191"/>
        </a:xfrm>
        <a:prstGeom prst="rightBrace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9</xdr:col>
      <xdr:colOff>987987</xdr:colOff>
      <xdr:row>18</xdr:row>
      <xdr:rowOff>74553</xdr:rowOff>
    </xdr:from>
    <xdr:to>
      <xdr:col>11</xdr:col>
      <xdr:colOff>572325</xdr:colOff>
      <xdr:row>18</xdr:row>
      <xdr:rowOff>115007</xdr:rowOff>
    </xdr:to>
    <xdr:sp macro="" textlink="">
      <xdr:nvSpPr>
        <xdr:cNvPr id="5" name="Cerrar llav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5400000">
          <a:off x="31184511" y="3031956"/>
          <a:ext cx="40454" cy="6012847"/>
        </a:xfrm>
        <a:prstGeom prst="rightBrace">
          <a:avLst/>
        </a:prstGeom>
        <a:ln w="28575">
          <a:solidFill>
            <a:srgbClr val="C0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</xdr:col>
      <xdr:colOff>529773</xdr:colOff>
      <xdr:row>7</xdr:row>
      <xdr:rowOff>217714</xdr:rowOff>
    </xdr:from>
    <xdr:to>
      <xdr:col>4</xdr:col>
      <xdr:colOff>1358900</xdr:colOff>
      <xdr:row>10</xdr:row>
      <xdr:rowOff>25400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3686973" y="2452914"/>
          <a:ext cx="2924627" cy="798286"/>
        </a:xfrm>
        <a:prstGeom prst="rect">
          <a:avLst/>
        </a:prstGeom>
        <a:solidFill>
          <a:schemeClr val="lt1"/>
        </a:solidFill>
        <a:ln w="9525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400" b="1">
              <a:latin typeface="Segoe UI" panose="020B0502040204020203" pitchFamily="34" charset="0"/>
              <a:cs typeface="Segoe UI" panose="020B0502040204020203" pitchFamily="34" charset="0"/>
            </a:rPr>
            <a:t>Empresas Supervisoras</a:t>
          </a:r>
          <a:r>
            <a:rPr lang="es-PE" sz="1400" b="1" baseline="0">
              <a:latin typeface="Segoe UI" panose="020B0502040204020203" pitchFamily="34" charset="0"/>
              <a:cs typeface="Segoe UI" panose="020B0502040204020203" pitchFamily="34" charset="0"/>
            </a:rPr>
            <a:t> asignados a la Oficina Regional</a:t>
          </a:r>
          <a:endParaRPr lang="es-PE" sz="14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515255</xdr:colOff>
      <xdr:row>16</xdr:row>
      <xdr:rowOff>221343</xdr:rowOff>
    </xdr:from>
    <xdr:to>
      <xdr:col>4</xdr:col>
      <xdr:colOff>1579417</xdr:colOff>
      <xdr:row>19</xdr:row>
      <xdr:rowOff>110836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5131800" y="5499925"/>
          <a:ext cx="3156199" cy="887020"/>
        </a:xfrm>
        <a:prstGeom prst="rect">
          <a:avLst/>
        </a:prstGeom>
        <a:solidFill>
          <a:schemeClr val="lt1"/>
        </a:solidFill>
        <a:ln w="9525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400" b="1">
              <a:latin typeface="Segoe UI" panose="020B0502040204020203" pitchFamily="34" charset="0"/>
              <a:cs typeface="Segoe UI" panose="020B0502040204020203" pitchFamily="34" charset="0"/>
            </a:rPr>
            <a:t>Ingresar</a:t>
          </a:r>
          <a:r>
            <a:rPr lang="es-PE" sz="1400" b="1" baseline="0">
              <a:latin typeface="Segoe UI" panose="020B0502040204020203" pitchFamily="34" charset="0"/>
              <a:cs typeface="Segoe UI" panose="020B0502040204020203" pitchFamily="34" charset="0"/>
            </a:rPr>
            <a:t> los nombres de las empresas que no estén en la lista desplegable</a:t>
          </a:r>
          <a:endParaRPr lang="es-PE" sz="14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9</xdr:col>
      <xdr:colOff>1057728</xdr:colOff>
      <xdr:row>8</xdr:row>
      <xdr:rowOff>154213</xdr:rowOff>
    </xdr:from>
    <xdr:ext cx="5965371" cy="3087265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6028" y="2719613"/>
          <a:ext cx="5965371" cy="3087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2128157</xdr:colOff>
      <xdr:row>5</xdr:row>
      <xdr:rowOff>317499</xdr:rowOff>
    </xdr:from>
    <xdr:to>
      <xdr:col>8</xdr:col>
      <xdr:colOff>1284514</xdr:colOff>
      <xdr:row>13</xdr:row>
      <xdr:rowOff>13853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8836739" y="1938481"/>
          <a:ext cx="7884720" cy="235642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80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NOTA</a:t>
          </a:r>
          <a:r>
            <a:rPr lang="es-PE" sz="1800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: </a:t>
          </a:r>
          <a:endParaRPr lang="es-PE" sz="1800">
            <a:solidFill>
              <a:srgbClr val="FF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s-PE" sz="180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*</a:t>
          </a:r>
          <a:r>
            <a:rPr lang="es-PE" sz="1800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s-PE" sz="1800" b="1" u="sng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Todos los campos</a:t>
          </a:r>
          <a:r>
            <a:rPr lang="es-PE" sz="1800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del registro </a:t>
          </a:r>
          <a:r>
            <a:rPr lang="es-PE" sz="1800" b="1" u="sng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deben estar completos</a:t>
          </a:r>
        </a:p>
        <a:p>
          <a:endParaRPr lang="es-PE" sz="1800" b="1" u="sng" baseline="0">
            <a:solidFill>
              <a:srgbClr val="FF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s-PE" sz="1800" b="0" u="none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* Al agregar a la lista una </a:t>
          </a:r>
          <a:r>
            <a:rPr lang="es-PE" sz="1800" b="1" u="sng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nueva empresa supervisora, colocarlo según el formato </a:t>
          </a:r>
        </a:p>
        <a:p>
          <a:r>
            <a:rPr lang="es-PE" sz="1600" b="0" u="none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'[Número de contrato]-[Nombre de empresa supervisora]' </a:t>
          </a:r>
        </a:p>
        <a:p>
          <a:r>
            <a:rPr lang="es-PE" sz="1600" b="0" u="none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(Por ejemplo: 'SUP2200035-CONSORCIO ENERGYSUR')</a:t>
          </a:r>
        </a:p>
        <a:p>
          <a:endParaRPr lang="es-PE" sz="1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263338</xdr:colOff>
      <xdr:row>0</xdr:row>
      <xdr:rowOff>33618</xdr:rowOff>
    </xdr:from>
    <xdr:to>
      <xdr:col>5</xdr:col>
      <xdr:colOff>251011</xdr:colOff>
      <xdr:row>3</xdr:row>
      <xdr:rowOff>72175</xdr:rowOff>
    </xdr:to>
    <xdr:pic>
      <xdr:nvPicPr>
        <xdr:cNvPr id="2" name="Imagen 1" descr="Resultado de imagen para osinergmi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21913" y="33618"/>
          <a:ext cx="1484779" cy="781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a5" displayName="Tabla5" ref="A21:N952" totalsRowShown="0" headerRowDxfId="183" dataDxfId="182">
  <autoFilter ref="A21:N952" xr:uid="{00000000-0009-0000-0100-000005000000}"/>
  <tableColumns count="14">
    <tableColumn id="1" xr3:uid="{00000000-0010-0000-0000-000001000000}" name="Acción_x000a_&lt;&lt; Seleccionar&gt;&gt;" dataDxfId="181"/>
    <tableColumn id="32" xr3:uid="{00000000-0010-0000-0000-000020000000}" name="Acción Especifica_x000a_&lt;&lt; Seleccionar&gt;&gt;" dataDxfId="180"/>
    <tableColumn id="6" xr3:uid="{00000000-0010-0000-0000-000006000000}" name="Sub Acción Específica_x000a_&lt;&lt; Seleccionar&gt;&gt;" dataDxfId="179"/>
    <tableColumn id="4" xr3:uid="{00000000-0010-0000-0000-000004000000}" name="Tipo de Agente_x000a_&lt;&lt; Seleccionar&gt;&gt;" dataDxfId="178"/>
    <tableColumn id="5" xr3:uid="{00000000-0010-0000-0000-000005000000}" name="Actividad_x000a_&lt;&lt; Seleccionar&gt;&gt;" dataDxfId="177"/>
    <tableColumn id="9" xr3:uid="{00000000-0010-0000-0000-000009000000}" name="Zona (Provincia)_x000a_&lt;&lt; Seleccionar&gt;&gt;" dataDxfId="176"/>
    <tableColumn id="12" xr3:uid="{00000000-0010-0000-0000-00000C000000}" name="Zona (Distrito)_x000a_&lt;&lt; Seleccionar&gt;&gt;" dataDxfId="175"/>
    <tableColumn id="17" xr3:uid="{00000000-0010-0000-0000-000011000000}" name="Tipo de Transporte Empleado_x000a_&lt;&lt; Seleccionar&gt;&gt;" dataDxfId="174"/>
    <tableColumn id="19" xr3:uid="{00000000-0010-0000-0000-000013000000}" name="N° de Supervisores participantes de la Sup." dataDxfId="173"/>
    <tableColumn id="21" xr3:uid="{00000000-0010-0000-0000-000015000000}" name="Empresa Supervisora_x000a_&lt;&lt; Seleccionar&gt;&gt;" dataDxfId="172"/>
    <tableColumn id="22" xr3:uid="{00000000-0010-0000-0000-000016000000}" name="Calidad del entregable (informe mensual) _x000a_&lt;&lt; Seleccionar&gt;&gt;" dataDxfId="171"/>
    <tableColumn id="24" xr3:uid="{00000000-0010-0000-0000-000018000000}" name="N°  de Expediente SIGED Involucrado" dataDxfId="170"/>
    <tableColumn id="29" xr3:uid="{00000000-0010-0000-0000-00001D000000}" name="Carta Linea" dataDxfId="169"/>
    <tableColumn id="23" xr3:uid="{00000000-0010-0000-0000-000017000000}" name="Observaciones (Para futuras Mejoras)" dataDxfId="168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1000000}" name="Tabla18" displayName="Tabla18" ref="A21:L1002" totalsRowShown="0" headerRowDxfId="167" dataDxfId="166" tableBorderDxfId="165">
  <autoFilter ref="A21:L1002" xr:uid="{00000000-0009-0000-0100-000012000000}"/>
  <tableColumns count="12">
    <tableColumn id="1" xr3:uid="{00000000-0010-0000-0100-000001000000}" name="Bus_01" dataDxfId="164">
      <calculatedColumnFormula>VLOOKUP(Tabla5[[#This Row],[Acción
&lt;&lt; Seleccionar&gt;&gt;]],TablaAccion[[#All],[Nombre_Abreviado]:[Codigo_Plan_Acción]],3,0)</calculatedColumnFormula>
    </tableColumn>
    <tableColumn id="2" xr3:uid="{00000000-0010-0000-0100-000002000000}" name="Bus_02" dataDxfId="163">
      <calculatedColumnFormula>VLOOKUP(Tabla5[[#This Row],[Acción Especifica
&lt;&lt; Seleccionar&gt;&gt;]],TablaAccionEspecifica[[#All],[Nombre_Abreviado]:[Codigo_Acción]],3,0)</calculatedColumnFormula>
    </tableColumn>
    <tableColumn id="12" xr3:uid="{00000000-0010-0000-0100-00000C000000}" name="Aux_01" dataDxfId="162">
      <calculatedColumnFormula>CONCATENATE(Tabla18[[#This Row],[Bus_02]],"_",Tabla5[[#This Row],[Sub Acción Específica
&lt;&lt; Seleccionar&gt;&gt;]])</calculatedColumnFormula>
    </tableColumn>
    <tableColumn id="11" xr3:uid="{00000000-0010-0000-0100-00000B000000}" name="Bus_03" dataDxfId="161">
      <calculatedColumnFormula>VLOOKUP(Tabla18[[#This Row],[Aux_01]],TablaSubAccionEspecifica[[#All],[Concat]:[Cod_Sub_acción_especifica]],2,0)</calculatedColumnFormula>
    </tableColumn>
    <tableColumn id="10" xr3:uid="{00000000-0010-0000-0100-00000A000000}" name="Concat2" dataDxfId="160">
      <calculatedColumnFormula>Tabla18[[#This Row],[Bus_03]]&amp;"_"&amp;Tabla5[[#This Row],[Tipo de Agente
&lt;&lt; Seleccionar&gt;&gt;]]</calculatedColumnFormula>
    </tableColumn>
    <tableColumn id="9" xr3:uid="{00000000-0010-0000-0100-000009000000}" name="Bus_04" dataDxfId="159">
      <calculatedColumnFormula>VLOOKUP(Tabla18[[#This Row],[Concat2]],TablaPOA[[#All],[Concat]:[ConcatEspecial]],3,0)</calculatedColumnFormula>
    </tableColumn>
    <tableColumn id="8" xr3:uid="{00000000-0010-0000-0100-000008000000}" name="Concatenado***" dataDxfId="158">
      <calculatedColumnFormula>CONCATENATE(Registro!$A$6,"_",Tabla5[[#This Row],[Zona (Provincia)
&lt;&lt; Seleccionar&gt;&gt;]])</calculatedColumnFormula>
    </tableColumn>
    <tableColumn id="7" xr3:uid="{00000000-0010-0000-0100-000007000000}" name="Simbología**" dataDxfId="157"/>
    <tableColumn id="6" xr3:uid="{00000000-0010-0000-0100-000006000000}" name="Concatenado****" dataDxfId="156"/>
    <tableColumn id="5" xr3:uid="{00000000-0010-0000-0100-000005000000}" name="Tiempo de Recorrido (Hrs)_x000a_(Provincial + Distrital)" dataDxfId="155"/>
    <tableColumn id="4" xr3:uid="{00000000-0010-0000-0100-000004000000}" name="Tiempo por Tipo de Transporte empleado" dataDxfId="154">
      <calculatedColumnFormula>VLOOKUP(Tabla5[[#This Row],[Tipo de Transporte Empleado
&lt;&lt; Seleccionar&gt;&gt;]],Tabla8[#All],2,0)</calculatedColumnFormula>
    </tableColumn>
    <tableColumn id="14" xr3:uid="{00000000-0010-0000-0100-00000E000000}" name="Tiempo Real total (Horas)" dataDxfId="153">
      <calculatedColumnFormula>#REF!+(#REF!*2)+#REF!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9000000}" name="TablaAccion" displayName="TablaAccion" ref="A1:D5" totalsRowShown="0" headerRowDxfId="152" dataDxfId="151" headerRowCellStyle="Normal 2" dataCellStyle="Normal 2">
  <autoFilter ref="A1:D5" xr:uid="{00000000-0009-0000-0100-00000E000000}"/>
  <tableColumns count="4">
    <tableColumn id="4" xr3:uid="{00000000-0010-0000-0900-000004000000}" name="Nombre_Abreviado" dataDxfId="150" dataCellStyle="Normal 2"/>
    <tableColumn id="2" xr3:uid="{00000000-0010-0000-0900-000002000000}" name="Acción" dataDxfId="149" dataCellStyle="Normal 2"/>
    <tableColumn id="1" xr3:uid="{00000000-0010-0000-0900-000001000000}" name="Codigo_Acción" dataDxfId="148" dataCellStyle="Normal 2"/>
    <tableColumn id="3" xr3:uid="{00000000-0010-0000-0900-000003000000}" name="Codigo_Plan_Acción" dataDxfId="147" dataCellStyle="Normal 2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A000000}" name="TablaAccionEspecifica" displayName="TablaAccionEspecifica" ref="A1:D41" totalsRowShown="0" headerRowDxfId="146" dataDxfId="145" headerRowCellStyle="Normal 2" dataCellStyle="Normal 2">
  <tableColumns count="4">
    <tableColumn id="4" xr3:uid="{00000000-0010-0000-0A00-000004000000}" name="Nombre_Abreviado" dataDxfId="144" dataCellStyle="Normal 2"/>
    <tableColumn id="2" xr3:uid="{00000000-0010-0000-0A00-000002000000}" name="Acción especifica" dataDxfId="143" dataCellStyle="Normal 2"/>
    <tableColumn id="1" xr3:uid="{00000000-0010-0000-0A00-000001000000}" name="Codigo_Acción_Especifica" dataDxfId="142" dataCellStyle="Normal 2"/>
    <tableColumn id="3" xr3:uid="{00000000-0010-0000-0A00-000003000000}" name="Codigo_Acción" dataDxfId="141" dataCellStyle="Normal 2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ablaSubAccionEspecifica" displayName="TablaSubAccionEspecifica" ref="A1:E73" totalsRowShown="0" headerRowDxfId="140" dataDxfId="138" headerRowBorderDxfId="139" tableBorderDxfId="137">
  <sortState xmlns:xlrd2="http://schemas.microsoft.com/office/spreadsheetml/2017/richdata2" ref="A2:W67">
    <sortCondition ref="E3:E68"/>
  </sortState>
  <tableColumns count="5">
    <tableColumn id="5" xr3:uid="{00000000-0010-0000-0B00-000005000000}" name="Nombre_Abreviado" dataDxfId="136"/>
    <tableColumn id="3" xr3:uid="{00000000-0010-0000-0B00-000003000000}" name="Sub Acción especifica" dataDxfId="135"/>
    <tableColumn id="1" xr3:uid="{00000000-0010-0000-0B00-000001000000}" name="Concat" dataDxfId="134">
      <calculatedColumnFormula>TablaSubAccionEspecifica[[#This Row],[Cod_Acción_especifica]]&amp;"_"&amp;TablaSubAccionEspecifica[[#This Row],[Nombre_Abreviado]]</calculatedColumnFormula>
    </tableColumn>
    <tableColumn id="9" xr3:uid="{00000000-0010-0000-0B00-000009000000}" name="Cod_Sub_acción_especifica" dataDxfId="133"/>
    <tableColumn id="2" xr3:uid="{00000000-0010-0000-0B00-000002000000}" name="Cod_Acción_especifica" dataDxfId="132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ablaActividadAgente" displayName="TablaActividadAgente" ref="A1:D83" totalsRowShown="0" headerRowDxfId="131" headerRowBorderDxfId="130" tableBorderDxfId="129" totalsRowBorderDxfId="128" headerRowCellStyle="Normal 2">
  <tableColumns count="4">
    <tableColumn id="1" xr3:uid="{00000000-0010-0000-0C00-000001000000}" name="Cod_Tipo_agente" dataDxfId="127"/>
    <tableColumn id="2" xr3:uid="{00000000-0010-0000-0C00-000002000000}" name="Tipo de agente" dataDxfId="126"/>
    <tableColumn id="3" xr3:uid="{00000000-0010-0000-0C00-000003000000}" name="Cod_Actividad" dataDxfId="125"/>
    <tableColumn id="4" xr3:uid="{00000000-0010-0000-0C00-000004000000}" name="Actividad" dataDxfId="124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TablaAgente" displayName="TablaAgente" ref="F1:G17" totalsRowShown="0" headerRowDxfId="123" headerRowBorderDxfId="122" tableBorderDxfId="121" totalsRowBorderDxfId="120" headerRowCellStyle="Normal 2">
  <autoFilter ref="F1:G17" xr:uid="{00000000-0009-0000-0100-00000C000000}"/>
  <tableColumns count="2">
    <tableColumn id="1" xr3:uid="{00000000-0010-0000-0D00-000001000000}" name="Cod_Tipo_agente"/>
    <tableColumn id="2" xr3:uid="{00000000-0010-0000-0D00-000002000000}" name="Tipo de agente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E000000}" name="TablaPOA" displayName="TablaPOA" ref="A1:T1621" totalsRowShown="0" headerRowDxfId="119" dataDxfId="118" tableBorderDxfId="117">
  <tableColumns count="20">
    <tableColumn id="1" xr3:uid="{00000000-0010-0000-0E00-000001000000}" name="Naturaleza de la Supervisión" dataDxfId="116"/>
    <tableColumn id="2" xr3:uid="{00000000-0010-0000-0E00-000002000000}" name="Cod_plan_acción" dataDxfId="115"/>
    <tableColumn id="3" xr3:uid="{00000000-0010-0000-0E00-000003000000}" name="Nombre_Abreviado_x000a_Plan de acción" dataDxfId="114"/>
    <tableColumn id="4" xr3:uid="{00000000-0010-0000-0E00-000004000000}" name="Plan de acción" dataDxfId="113"/>
    <tableColumn id="5" xr3:uid="{00000000-0010-0000-0E00-000005000000}" name="Cod_Acción" dataDxfId="112"/>
    <tableColumn id="6" xr3:uid="{00000000-0010-0000-0E00-000006000000}" name="Nombre_Abreviado_x000a_Acción" dataDxfId="111"/>
    <tableColumn id="7" xr3:uid="{00000000-0010-0000-0E00-000007000000}" name="Acción" dataDxfId="110"/>
    <tableColumn id="8" xr3:uid="{00000000-0010-0000-0E00-000008000000}" name="Cod_Acción_especifica" dataDxfId="109"/>
    <tableColumn id="9" xr3:uid="{00000000-0010-0000-0E00-000009000000}" name="Nombre_Abreviado_x000a_Acción especifica" dataDxfId="108"/>
    <tableColumn id="10" xr3:uid="{00000000-0010-0000-0E00-00000A000000}" name="Acción especifica" dataDxfId="107"/>
    <tableColumn id="11" xr3:uid="{00000000-0010-0000-0E00-00000B000000}" name="Cod_Sub_acción_especifica" dataDxfId="106"/>
    <tableColumn id="12" xr3:uid="{00000000-0010-0000-0E00-00000C000000}" name="Nombre_Abreviado_x000a_Sub acción especifica" dataDxfId="105"/>
    <tableColumn id="13" xr3:uid="{00000000-0010-0000-0E00-00000D000000}" name="Sub acción especifica" dataDxfId="104"/>
    <tableColumn id="18" xr3:uid="{00000000-0010-0000-0E00-000012000000}" name="Aux" dataDxfId="103"/>
    <tableColumn id="24" xr3:uid="{00000000-0010-0000-0E00-000018000000}" name="Concat" dataDxfId="102">
      <calculatedColumnFormula>TablaPOA[[#This Row],[Cod_Sub_acción_especifica]]&amp;"_"&amp;TablaPOA[[#This Row],[Tipo de agente]]</calculatedColumnFormula>
    </tableColumn>
    <tableColumn id="14" xr3:uid="{00000000-0010-0000-0E00-00000E000000}" name="Cod_Tipo_agente" dataDxfId="101"/>
    <tableColumn id="23" xr3:uid="{00000000-0010-0000-0E00-000017000000}" name="ConcatEspecial" dataDxfId="100">
      <calculatedColumnFormula>TablaPOA[[#This Row],[Cod_Sub_acción_especifica]]&amp;"_"&amp;TablaPOA[[#This Row],[Cod_Tipo_agente]]</calculatedColumnFormula>
    </tableColumn>
    <tableColumn id="15" xr3:uid="{00000000-0010-0000-0E00-00000F000000}" name="Tipo de agente" dataDxfId="99"/>
    <tableColumn id="16" xr3:uid="{00000000-0010-0000-0E00-000010000000}" name="Cod_actividad" dataDxfId="98"/>
    <tableColumn id="17" xr3:uid="{00000000-0010-0000-0E00-000011000000}" name="Actividad" dataDxfId="97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1" displayName="Tabla1" ref="B6:AB241" totalsRowShown="0" headerRowDxfId="80" dataDxfId="78" headerRowBorderDxfId="79" tableBorderDxfId="77">
  <tableColumns count="27">
    <tableColumn id="23" xr3:uid="{00000000-0010-0000-0200-000017000000}" name="Naturaleza de la Supervisión" dataDxfId="76"/>
    <tableColumn id="20" xr3:uid="{00000000-0010-0000-0200-000014000000}" name="Simbología" dataDxfId="75"/>
    <tableColumn id="21" xr3:uid="{00000000-0010-0000-0200-000015000000}" name="Acción" dataDxfId="74"/>
    <tableColumn id="22" xr3:uid="{00000000-0010-0000-0200-000016000000}" name="Simbología Espe" dataDxfId="73"/>
    <tableColumn id="24" xr3:uid="{00000000-0010-0000-0200-000018000000}" name="Concatenado1" dataDxfId="72">
      <calculatedColumnFormula>CONCATENATE(Tabla1[[#This Row],[Simbología]],"_",Tabla1[[#This Row],[Acción]])</calculatedColumnFormula>
    </tableColumn>
    <tableColumn id="25" xr3:uid="{00000000-0010-0000-0200-000019000000}" name="Simbología1" dataDxfId="71"/>
    <tableColumn id="1" xr3:uid="{00000000-0010-0000-0200-000001000000}" name="Acción Especifica" dataDxfId="70"/>
    <tableColumn id="2" xr3:uid="{00000000-0010-0000-0200-000002000000}" name="Simbología Espe*" dataDxfId="69"/>
    <tableColumn id="26" xr3:uid="{00000000-0010-0000-0200-00001A000000}" name="Concatenado2" dataDxfId="68">
      <calculatedColumnFormula>CONCATENATE(Tabla1[[#This Row],[Simbología1]],"_",Tabla1[[#This Row],[Acción Especifica]])</calculatedColumnFormula>
    </tableColumn>
    <tableColumn id="29" xr3:uid="{00000000-0010-0000-0200-00001D000000}" name="Simbología**" dataDxfId="67"/>
    <tableColumn id="3" xr3:uid="{00000000-0010-0000-0200-000003000000}" name="Sub Acción Especifica" dataDxfId="66"/>
    <tableColumn id="4" xr3:uid="{00000000-0010-0000-0200-000004000000}" name="Simbología Espe***" dataDxfId="65"/>
    <tableColumn id="5" xr3:uid="{00000000-0010-0000-0200-000005000000}" name="Concatenado*" dataDxfId="64">
      <calculatedColumnFormula>CONCATENATE(Tabla1[[#This Row],[Simbología**]],"_",Tabla1[[#This Row],[Sub Acción Especifica]])</calculatedColumnFormula>
    </tableColumn>
    <tableColumn id="6" xr3:uid="{00000000-0010-0000-0200-000006000000}" name="Simbología*" dataDxfId="63"/>
    <tableColumn id="7" xr3:uid="{00000000-0010-0000-0200-000007000000}" name="Tipo de instalación relacionado" dataDxfId="62"/>
    <tableColumn id="8" xr3:uid="{00000000-0010-0000-0200-000008000000}" name="Unión" dataDxfId="61">
      <calculatedColumnFormula>CONCATENATE(Tabla1[[#This Row],[Simbología*]],"_",Tabla1[[#This Row],[Tipo de instalación relacionado]])</calculatedColumnFormula>
    </tableColumn>
    <tableColumn id="9" xr3:uid="{00000000-0010-0000-0200-000009000000}" name="T. Mínimo" dataDxfId="60"/>
    <tableColumn id="10" xr3:uid="{00000000-0010-0000-0200-00000A000000}" name="T. Máximo" dataDxfId="59"/>
    <tableColumn id="11" xr3:uid="{00000000-0010-0000-0200-00000B000000}" name="Promedio" dataDxfId="58">
      <calculatedColumnFormula>IFERROR(AVERAGE(Tabla1[[#This Row],[T. Mínimo]],Tabla1[[#This Row],[T. Máximo]]),0)</calculatedColumnFormula>
    </tableColumn>
    <tableColumn id="12" xr3:uid="{00000000-0010-0000-0200-00000C000000}" name="T. Mínimo*" dataDxfId="57"/>
    <tableColumn id="13" xr3:uid="{00000000-0010-0000-0200-00000D000000}" name="T. Máximo*" dataDxfId="56"/>
    <tableColumn id="14" xr3:uid="{00000000-0010-0000-0200-00000E000000}" name="Promedio*" dataDxfId="55">
      <calculatedColumnFormula>IFERROR(AVERAGE(Tabla1[[#This Row],[T. Mínimo*]],Tabla1[[#This Row],[T. Máximo*]]),0)</calculatedColumnFormula>
    </tableColumn>
    <tableColumn id="15" xr3:uid="{00000000-0010-0000-0200-00000F000000}" name="T. Mínimo**" dataDxfId="54"/>
    <tableColumn id="16" xr3:uid="{00000000-0010-0000-0200-000010000000}" name="T. Máximo**" dataDxfId="53"/>
    <tableColumn id="17" xr3:uid="{00000000-0010-0000-0200-000011000000}" name="Promedio**" dataDxfId="52">
      <calculatedColumnFormula>IFERROR(AVERAGE(Tabla1[[#This Row],[T. Mínimo**]],Tabla1[[#This Row],[T. Máximo**]]),0)</calculatedColumnFormula>
    </tableColumn>
    <tableColumn id="18" xr3:uid="{00000000-0010-0000-0200-000012000000}" name="Tiempo Total" dataDxfId="51">
      <calculatedColumnFormula>SUM(Tabla1[[#This Row],[Promedio]],Tabla1[[#This Row],[Promedio*]],Tabla1[[#This Row],[Promedio**]])</calculatedColumnFormula>
    </tableColumn>
    <tableColumn id="19" xr3:uid="{00000000-0010-0000-0200-000013000000}" name="Resultado de la Supervisión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a2" displayName="Tabla2" ref="AD6:AS1937" totalsRowShown="0" headerRowDxfId="49" dataDxfId="47" headerRowBorderDxfId="48" tableBorderDxfId="46">
  <autoFilter ref="AD6:AS1937" xr:uid="{00000000-0009-0000-0100-000002000000}">
    <filterColumn colId="0">
      <filters>
        <filter val="Loreto"/>
      </filters>
    </filterColumn>
  </autoFilter>
  <tableColumns count="16">
    <tableColumn id="1" xr3:uid="{00000000-0010-0000-0300-000001000000}" name="Oficina Regional" dataDxfId="45"/>
    <tableColumn id="2" xr3:uid="{00000000-0010-0000-0300-000002000000}" name="Simbología" dataDxfId="44"/>
    <tableColumn id="3" xr3:uid="{00000000-0010-0000-0300-000003000000}" name="Provincia" dataDxfId="43"/>
    <tableColumn id="4" xr3:uid="{00000000-0010-0000-0300-000004000000}" name="Simbología Esp." dataDxfId="42"/>
    <tableColumn id="5" xr3:uid="{00000000-0010-0000-0300-000005000000}" name="Concatenado" dataDxfId="41">
      <calculatedColumnFormula>CONCATENATE(AD7,"_",AF7)</calculatedColumnFormula>
    </tableColumn>
    <tableColumn id="6" xr3:uid="{00000000-0010-0000-0300-000006000000}" name="Simbología*" dataDxfId="40"/>
    <tableColumn id="7" xr3:uid="{00000000-0010-0000-0300-000007000000}" name="Distrito" dataDxfId="39"/>
    <tableColumn id="8" xr3:uid="{00000000-0010-0000-0300-000008000000}" name="Unión" dataDxfId="38">
      <calculatedColumnFormula>CONCATENATE(AH7,"_",AJ7)</calculatedColumnFormula>
    </tableColumn>
    <tableColumn id="9" xr3:uid="{00000000-0010-0000-0300-000009000000}" name="Horas" dataDxfId="37"/>
    <tableColumn id="10" xr3:uid="{00000000-0010-0000-0300-00000A000000}" name="Minutos" dataDxfId="36"/>
    <tableColumn id="11" xr3:uid="{00000000-0010-0000-0300-00000B000000}" name="Minutos a Horas" dataDxfId="35">
      <calculatedColumnFormula>Tabla2[[#This Row],[Minutos]]/60</calculatedColumnFormula>
    </tableColumn>
    <tableColumn id="12" xr3:uid="{00000000-0010-0000-0300-00000C000000}" name="Tiempo Total a Nivel Proncincial (Horas)" dataDxfId="34">
      <calculatedColumnFormula>SUM(Tabla2[[#This Row],[Horas]],Tabla2[[#This Row],[Minutos a Horas]])</calculatedColumnFormula>
    </tableColumn>
    <tableColumn id="13" xr3:uid="{00000000-0010-0000-0300-00000D000000}" name="Horas*" dataDxfId="33"/>
    <tableColumn id="14" xr3:uid="{00000000-0010-0000-0300-00000E000000}" name="Minutos*" dataDxfId="32"/>
    <tableColumn id="15" xr3:uid="{00000000-0010-0000-0300-00000F000000}" name="Minutos a Horas*" dataDxfId="31">
      <calculatedColumnFormula>Tabla2[[#This Row],[Minutos*]]/60</calculatedColumnFormula>
    </tableColumn>
    <tableColumn id="16" xr3:uid="{00000000-0010-0000-0300-000010000000}" name="Tiempo Total a Nivel Provincial + Distrital (Horas)" dataDxfId="30">
      <calculatedColumnFormula>SUM(Tabla2[[#This Row],[Horas*]],Tabla2[[#This Row],[Minutos a Horas*]])+(Tabla2[[#This Row],[Tiempo Total a Nivel Proncincial (Horas)]])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a3" displayName="Tabla3" ref="AV4:AV6" totalsRowShown="0" headerRowDxfId="29" dataDxfId="27" headerRowBorderDxfId="28" tableBorderDxfId="26">
  <autoFilter ref="AV4:AV6" xr:uid="{00000000-0009-0000-0100-000003000000}"/>
  <tableColumns count="1">
    <tableColumn id="1" xr3:uid="{00000000-0010-0000-0400-000001000000}" name="PLAN DE ACCIÓN DEL PLAN OPERATIVO" dataDxfId="2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X4:AX29" totalsRowShown="0" headerRowDxfId="24" dataDxfId="22" headerRowBorderDxfId="23" tableBorderDxfId="21" totalsRowBorderDxfId="20">
  <autoFilter ref="AX4:AX29" xr:uid="{00000000-0009-0000-0100-000004000000}"/>
  <sortState xmlns:xlrd2="http://schemas.microsoft.com/office/spreadsheetml/2017/richdata2" ref="AX5:AX29">
    <sortCondition ref="AX4:AX29"/>
  </sortState>
  <tableColumns count="1">
    <tableColumn id="1" xr3:uid="{00000000-0010-0000-0500-000001000000}" name="OFICINAS REGIONALES" dataDxfId="1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la6" displayName="Tabla6" ref="AZ8:AZ10" totalsRowShown="0" headerRowDxfId="18" dataDxfId="16" headerRowBorderDxfId="17" tableBorderDxfId="15" totalsRowBorderDxfId="14">
  <autoFilter ref="AZ8:AZ10" xr:uid="{00000000-0009-0000-0100-000006000000}"/>
  <tableColumns count="1">
    <tableColumn id="1" xr3:uid="{00000000-0010-0000-0600-000001000000}" name="Antecedentes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a8" displayName="Tabla8" ref="BB3:BC9" totalsRowShown="0" headerRowDxfId="12" dataDxfId="11" tableBorderDxfId="10">
  <sortState xmlns:xlrd2="http://schemas.microsoft.com/office/spreadsheetml/2017/richdata2" ref="BB9:BC14">
    <sortCondition descending="1" ref="BC9:BC14"/>
  </sortState>
  <tableColumns count="2">
    <tableColumn id="1" xr3:uid="{00000000-0010-0000-0700-000001000000}" name="Tipo de Transporte" dataDxfId="9"/>
    <tableColumn id="2" xr3:uid="{00000000-0010-0000-0700-000002000000}" name="Horas" dataDxfId="8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710" displayName="Tabla710" ref="BE3:BG6" totalsRowShown="0" headerRowDxfId="7" dataDxfId="5" headerRowBorderDxfId="6" tableBorderDxfId="4" totalsRowBorderDxfId="3">
  <tableColumns count="3">
    <tableColumn id="1" xr3:uid="{00000000-0010-0000-0800-000001000000}" name="Estado del Informe" dataDxfId="2"/>
    <tableColumn id="2" xr3:uid="{00000000-0010-0000-0800-000002000000}" name="Acciones que involucran el estado" dataDxfId="1"/>
    <tableColumn id="3" xr3:uid="{00000000-0010-0000-0800-000003000000}" name="Puntaj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10" Type="http://schemas.openxmlformats.org/officeDocument/2006/relationships/comments" Target="../comments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/>
  </sheetPr>
  <dimension ref="A1:P957"/>
  <sheetViews>
    <sheetView showGridLines="0" tabSelected="1" topLeftCell="A2" zoomScale="50" zoomScaleNormal="50" workbookViewId="0">
      <selection activeCell="A23" sqref="A23"/>
    </sheetView>
  </sheetViews>
  <sheetFormatPr baseColWidth="10" defaultColWidth="11.42578125" defaultRowHeight="15" x14ac:dyDescent="0.25"/>
  <cols>
    <col min="1" max="1" width="25.7109375" style="5" customWidth="1"/>
    <col min="2" max="2" width="31.28515625" style="5" customWidth="1"/>
    <col min="3" max="3" width="149.140625" style="5" customWidth="1"/>
    <col min="4" max="4" width="30.5703125" style="5" customWidth="1"/>
    <col min="5" max="5" width="51.5703125" style="5" customWidth="1"/>
    <col min="6" max="6" width="24" style="6" customWidth="1"/>
    <col min="7" max="7" width="22.5703125" style="6" customWidth="1"/>
    <col min="8" max="8" width="31.7109375" style="6" customWidth="1"/>
    <col min="9" max="9" width="23.28515625" style="5" customWidth="1"/>
    <col min="10" max="10" width="61.42578125" style="48" customWidth="1"/>
    <col min="11" max="11" width="32.28515625" style="5" customWidth="1"/>
    <col min="12" max="12" width="27.42578125" style="67" customWidth="1"/>
    <col min="13" max="13" width="32.7109375" style="67" customWidth="1"/>
    <col min="14" max="14" width="62.28515625" style="5" customWidth="1"/>
    <col min="15" max="15" width="41.28515625" style="48" customWidth="1"/>
    <col min="16" max="19" width="28.5703125" style="38" customWidth="1"/>
    <col min="20" max="20" width="20" style="38" customWidth="1"/>
    <col min="21" max="16384" width="11.42578125" style="38"/>
  </cols>
  <sheetData>
    <row r="1" spans="1:15" ht="29.25" customHeight="1" x14ac:dyDescent="0.25">
      <c r="A1" s="313" t="s">
        <v>2357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3"/>
    </row>
    <row r="2" spans="1:15" ht="25.5" x14ac:dyDescent="0.5">
      <c r="A2" s="366" t="s">
        <v>2334</v>
      </c>
      <c r="B2" s="36"/>
      <c r="C2" s="367" t="s">
        <v>3213</v>
      </c>
      <c r="D2" s="35"/>
      <c r="F2" s="40"/>
      <c r="G2" s="38"/>
      <c r="H2" s="40"/>
      <c r="I2" s="38"/>
      <c r="J2" s="47"/>
      <c r="K2" s="38"/>
      <c r="L2" s="66"/>
      <c r="M2" s="66"/>
      <c r="N2" s="38"/>
      <c r="O2" s="47"/>
    </row>
    <row r="3" spans="1:15" ht="23.25" customHeight="1" x14ac:dyDescent="0.35">
      <c r="A3" s="403" t="inlineStr">
        <is>
          <t xml:space="preserve">Noviembre</t>
        </is>
      </c>
      <c r="B3" s="36"/>
      <c r="C3" s="368" t="s">
        <v>3410</v>
      </c>
      <c r="D3" s="288"/>
      <c r="F3" s="68"/>
      <c r="G3" s="38"/>
      <c r="H3" s="40"/>
      <c r="I3" s="38"/>
      <c r="J3" s="47"/>
      <c r="K3" s="38"/>
      <c r="L3" s="66"/>
      <c r="M3" s="66"/>
      <c r="N3" s="488"/>
      <c r="O3" s="47"/>
    </row>
    <row r="4" spans="1:15" ht="24.75" customHeight="1" x14ac:dyDescent="0.35">
      <c r="A4" s="38"/>
      <c r="B4" s="36"/>
      <c r="C4" s="368" t="s">
        <v>3478</v>
      </c>
      <c r="D4" s="288"/>
      <c r="F4" s="40"/>
      <c r="G4" s="38"/>
      <c r="H4" s="40"/>
      <c r="I4" s="38"/>
      <c r="J4" s="47"/>
      <c r="K4" s="38"/>
      <c r="L4" s="66"/>
      <c r="M4" s="66"/>
      <c r="N4" s="488"/>
      <c r="O4" s="47"/>
    </row>
    <row r="5" spans="1:15" ht="26.25" customHeight="1" x14ac:dyDescent="0.5">
      <c r="A5" s="366" t="s">
        <v>62</v>
      </c>
      <c r="B5" s="36"/>
      <c r="C5" s="368" t="s">
        <v>3479</v>
      </c>
      <c r="D5" s="288"/>
      <c r="F5" s="68"/>
      <c r="G5" s="38"/>
      <c r="H5" s="40"/>
      <c r="I5" s="38"/>
      <c r="J5" s="47"/>
      <c r="K5" s="38"/>
      <c r="L5" s="66"/>
      <c r="M5" s="66"/>
      <c r="N5" s="488"/>
      <c r="O5" s="47"/>
    </row>
    <row r="6" spans="1:15" ht="37.9" customHeight="1" x14ac:dyDescent="0.35">
      <c r="A6" s="403" t="inlineStr">
        <is>
          <t xml:space="preserve">Huánuco</t>
        </is>
      </c>
      <c r="B6" s="36"/>
      <c r="C6" s="368" t="s">
        <v>3480</v>
      </c>
      <c r="D6" s="288"/>
      <c r="F6" s="40"/>
      <c r="G6" s="38"/>
      <c r="H6" s="40"/>
      <c r="I6" s="38"/>
      <c r="J6" s="47"/>
      <c r="K6" s="38"/>
      <c r="L6" s="66"/>
      <c r="M6" s="66"/>
      <c r="N6" s="488"/>
      <c r="O6" s="47"/>
    </row>
    <row r="7" spans="1:15" ht="26.25" customHeight="1" x14ac:dyDescent="0.35">
      <c r="A7" s="36"/>
      <c r="B7" s="36"/>
      <c r="C7" s="368" t="s">
        <v>3411</v>
      </c>
      <c r="D7" s="288"/>
      <c r="F7" s="40"/>
      <c r="G7" s="38"/>
      <c r="H7" s="40"/>
      <c r="I7" s="38"/>
      <c r="J7" s="47"/>
      <c r="K7" s="38"/>
      <c r="L7" s="66"/>
      <c r="M7" s="66"/>
      <c r="N7" s="39"/>
      <c r="O7" s="47"/>
    </row>
    <row r="8" spans="1:15" ht="26.25" customHeight="1" x14ac:dyDescent="0.35">
      <c r="A8" s="36"/>
      <c r="B8" s="36"/>
      <c r="C8" s="368" t="s">
        <v>3411</v>
      </c>
      <c r="D8" s="288"/>
      <c r="F8" s="40"/>
      <c r="G8" s="38"/>
      <c r="H8" s="40"/>
      <c r="I8" s="38"/>
      <c r="J8" s="47"/>
      <c r="K8" s="38"/>
      <c r="L8" s="66"/>
      <c r="M8" s="66"/>
      <c r="N8" s="39"/>
      <c r="O8" s="47"/>
    </row>
    <row r="9" spans="1:15" ht="26.25" customHeight="1" x14ac:dyDescent="0.35">
      <c r="A9" s="36"/>
      <c r="B9" s="36"/>
      <c r="C9" s="368" t="s">
        <v>3411</v>
      </c>
      <c r="D9" s="288"/>
      <c r="F9" s="40"/>
      <c r="G9" s="38"/>
      <c r="H9" s="40"/>
      <c r="I9" s="38"/>
      <c r="J9" s="47"/>
      <c r="K9" s="38"/>
      <c r="L9" s="66"/>
      <c r="M9" s="66"/>
      <c r="N9" s="39"/>
      <c r="O9" s="47"/>
    </row>
    <row r="10" spans="1:15" ht="26.25" customHeight="1" x14ac:dyDescent="0.35">
      <c r="A10" s="36"/>
      <c r="B10" s="36"/>
      <c r="C10" s="368" t="s">
        <v>3411</v>
      </c>
      <c r="D10" s="288"/>
      <c r="F10" s="40"/>
      <c r="G10" s="38"/>
      <c r="H10" s="40"/>
      <c r="I10" s="38"/>
      <c r="J10" s="47"/>
      <c r="K10" s="38"/>
      <c r="L10" s="66"/>
      <c r="M10" s="66"/>
      <c r="N10" s="39"/>
      <c r="O10" s="47"/>
    </row>
    <row r="11" spans="1:15" ht="26.25" customHeight="1" x14ac:dyDescent="0.25">
      <c r="A11" s="42" t="e">
        <f>VLOOKUP(A6,tabla_emp,1,0)</f>
        <v>#NAME?</v>
      </c>
      <c r="B11" s="42"/>
      <c r="C11" s="368"/>
      <c r="D11" s="288"/>
      <c r="F11" s="68"/>
      <c r="G11" s="38"/>
      <c r="H11" s="75"/>
      <c r="I11" s="38"/>
      <c r="J11" s="47"/>
      <c r="K11" s="38"/>
      <c r="L11" s="66"/>
      <c r="M11" s="66"/>
      <c r="N11" s="39"/>
      <c r="O11" s="47"/>
    </row>
    <row r="12" spans="1:15" ht="26.25" customHeight="1" x14ac:dyDescent="0.25">
      <c r="A12" s="42" t="str">
        <f>VLOOKUP(A6,Tabla2[[#All],[Oficina Regional]:[Simbología]],2,0)</f>
        <v>DEP_9</v>
      </c>
      <c r="B12" s="42"/>
      <c r="C12" s="368"/>
      <c r="D12" s="288"/>
      <c r="F12" s="68"/>
      <c r="G12" s="38"/>
      <c r="H12" s="40"/>
      <c r="I12" s="38"/>
      <c r="J12" s="47"/>
      <c r="K12" s="38"/>
      <c r="L12" s="66"/>
      <c r="M12" s="66"/>
      <c r="N12" s="39"/>
      <c r="O12" s="47"/>
    </row>
    <row r="13" spans="1:15" ht="26.25" customHeight="1" x14ac:dyDescent="0.25">
      <c r="A13" s="42"/>
      <c r="B13" s="42"/>
      <c r="C13" s="368"/>
      <c r="D13" s="288"/>
      <c r="F13" s="68"/>
      <c r="G13" s="38"/>
      <c r="H13" s="40"/>
      <c r="I13" s="38"/>
      <c r="J13" s="47"/>
      <c r="K13" s="38"/>
      <c r="L13" s="66"/>
      <c r="M13" s="66"/>
      <c r="N13" s="39"/>
      <c r="O13" s="47"/>
    </row>
    <row r="14" spans="1:15" ht="26.25" customHeight="1" x14ac:dyDescent="0.25">
      <c r="A14" s="42"/>
      <c r="B14" s="42"/>
      <c r="C14" s="368"/>
      <c r="D14" s="288"/>
      <c r="F14" s="68"/>
      <c r="G14" s="38"/>
      <c r="H14" s="40"/>
      <c r="I14" s="38"/>
      <c r="J14" s="47"/>
      <c r="K14" s="38"/>
      <c r="L14" s="66"/>
      <c r="M14" s="66"/>
      <c r="N14" s="39"/>
      <c r="O14" s="47"/>
    </row>
    <row r="15" spans="1:15" ht="26.25" customHeight="1" x14ac:dyDescent="0.25">
      <c r="A15" s="42"/>
      <c r="B15" s="42"/>
      <c r="C15" s="368"/>
      <c r="D15" s="288"/>
      <c r="F15" s="68"/>
      <c r="G15" s="38"/>
      <c r="H15" s="40"/>
      <c r="I15" s="38"/>
      <c r="J15" s="47"/>
      <c r="K15" s="38"/>
      <c r="L15" s="66"/>
      <c r="M15" s="66"/>
      <c r="N15" s="39"/>
      <c r="O15" s="47"/>
    </row>
    <row r="16" spans="1:15" ht="26.25" customHeight="1" x14ac:dyDescent="0.25">
      <c r="A16" s="42"/>
      <c r="B16" s="42"/>
      <c r="C16" s="368"/>
      <c r="D16" s="288"/>
      <c r="F16" s="68"/>
      <c r="G16" s="38"/>
      <c r="H16" s="40"/>
      <c r="I16" s="38"/>
      <c r="J16" s="47"/>
      <c r="K16" s="38"/>
      <c r="L16" s="66"/>
      <c r="M16" s="66"/>
      <c r="N16" s="39"/>
      <c r="O16" s="47"/>
    </row>
    <row r="17" spans="1:15" ht="26.25" customHeight="1" x14ac:dyDescent="0.25">
      <c r="A17" s="42"/>
      <c r="B17" s="42"/>
      <c r="C17" s="369"/>
      <c r="D17" s="288"/>
      <c r="F17" s="68"/>
      <c r="G17" s="38"/>
      <c r="H17" s="40"/>
      <c r="I17" s="38"/>
      <c r="J17" s="47"/>
      <c r="K17" s="38"/>
      <c r="L17" s="66"/>
      <c r="M17" s="66"/>
      <c r="N17" s="39"/>
      <c r="O17" s="47"/>
    </row>
    <row r="18" spans="1:15" ht="26.25" customHeight="1" x14ac:dyDescent="0.25">
      <c r="A18" s="42"/>
      <c r="B18" s="42"/>
      <c r="C18" s="369"/>
      <c r="D18" s="288"/>
      <c r="F18" s="68"/>
      <c r="G18" s="38"/>
      <c r="H18" s="40"/>
      <c r="I18" s="38"/>
      <c r="J18" s="47"/>
      <c r="K18" s="38"/>
      <c r="L18" s="66"/>
      <c r="M18" s="66"/>
      <c r="N18" s="39"/>
      <c r="O18" s="47"/>
    </row>
    <row r="19" spans="1:15" ht="26.25" customHeight="1" x14ac:dyDescent="0.25">
      <c r="A19" s="42"/>
      <c r="B19" s="42"/>
      <c r="C19" s="369"/>
      <c r="D19" s="288"/>
      <c r="F19" s="68"/>
      <c r="G19" s="38"/>
      <c r="H19" s="40"/>
      <c r="I19" s="38"/>
      <c r="J19" s="47"/>
      <c r="K19" s="38"/>
      <c r="L19" s="66"/>
      <c r="M19" s="66"/>
      <c r="N19" s="39"/>
      <c r="O19" s="47"/>
    </row>
    <row r="20" spans="1:15" ht="32.450000000000003" customHeight="1" x14ac:dyDescent="0.25">
      <c r="A20" s="38"/>
      <c r="B20" s="38"/>
      <c r="C20" s="38"/>
      <c r="D20" s="38"/>
      <c r="E20" s="38"/>
      <c r="F20" s="40"/>
      <c r="G20" s="38"/>
      <c r="H20" s="40"/>
      <c r="I20" s="38"/>
      <c r="J20" s="47"/>
      <c r="K20" s="38"/>
      <c r="L20" s="66"/>
      <c r="M20" s="66"/>
      <c r="N20" s="38"/>
      <c r="O20" s="47"/>
    </row>
    <row r="21" spans="1:15" s="76" customFormat="1" ht="67.5" customHeight="1" x14ac:dyDescent="0.3">
      <c r="A21" s="370" t="s">
        <v>3292</v>
      </c>
      <c r="B21" s="370" t="s">
        <v>3293</v>
      </c>
      <c r="C21" s="370" t="s">
        <v>3294</v>
      </c>
      <c r="D21" s="370" t="s">
        <v>3295</v>
      </c>
      <c r="E21" s="370" t="s">
        <v>3296</v>
      </c>
      <c r="F21" s="370" t="s">
        <v>3297</v>
      </c>
      <c r="G21" s="370" t="s">
        <v>3298</v>
      </c>
      <c r="H21" s="370" t="s">
        <v>3299</v>
      </c>
      <c r="I21" s="370" t="s">
        <v>2686</v>
      </c>
      <c r="J21" s="370" t="s">
        <v>3300</v>
      </c>
      <c r="K21" s="370" t="s">
        <v>3301</v>
      </c>
      <c r="L21" s="371" t="s">
        <v>2435</v>
      </c>
      <c r="M21" s="371" t="s">
        <v>2687</v>
      </c>
      <c r="N21" s="370" t="s">
        <v>2356</v>
      </c>
      <c r="O21" s="330" t="s">
        <v>3211</v>
      </c>
    </row>
    <row r="22" spans="1:15" ht="70.900000000000006" customHeight="1" x14ac:dyDescent="0.25">
      <c r="A22" s="375" t="inlineStr">
        <is>
          <t xml:space="preserve">31.1 Preoperativa y denuncias</t>
        </is>
      </c>
      <c r="B22" s="375" t="inlineStr">
        <is>
          <t xml:space="preserve">1.1 RHO en toda la cadena</t>
        </is>
      </c>
      <c r="C22" s="375" t="inlineStr">
        <is>
          <t xml:space="preserve">Inscripción</t>
        </is>
      </c>
      <c r="D22" s="375" t="inlineStr">
        <is>
          <t xml:space="preserve">Consumidores directos de combustibles líquidos y OPDH</t>
        </is>
      </c>
      <c r="E22" s="375" t="inlineStr">
        <is>
          <t xml:space="preserve">Consumidor directo de combustible líquido con capacidad hasta 5 MB</t>
        </is>
      </c>
      <c r="F22" s="377" t="inlineStr">
        <is>
          <t xml:space="preserve">01 Huánuco</t>
        </is>
      </c>
      <c r="G22" s="387" t="inlineStr">
        <is>
          <t xml:space="preserve">01 Huánuco</t>
        </is>
      </c>
      <c r="H22" s="375" t="inlineStr">
        <is>
          <t xml:space="preserve">Terrestre fluvial</t>
        </is>
      </c>
      <c r="I22" s="376">
        <v>5</v>
      </c>
      <c r="J22" s="375" t="inlineStr">
        <is>
          <t xml:space="preserve">ERH-ESPECIALISTA REGIONAL DE HIDROCARBUROS</t>
        </is>
      </c>
      <c r="K22" s="377" t="inlineStr">
        <is>
          <t xml:space="preserve">Regular </t>
        </is>
      </c>
      <c r="L22" s="378" t="inlineStr">
        <is>
          <t xml:space="preserve">202400229000</t>
        </is>
      </c>
      <c r="M22" s="379" t="inlineStr">
        <is>
          <t xml:space="preserve">1064350-1</t>
        </is>
      </c>
      <c r="N22" s="380" t="inlineStr">
        <is>
          <t xml:space="preserve">Editado en prueba E-01</t>
        </is>
      </c>
      <c r="O22" s="327" t="str">
        <f>LEFT(J22,10)</f>
        <v>ERH-ESPECI</v>
      </c>
    </row>
    <row r="23" spans="1:15" ht="70.900000000000006" customHeight="1" x14ac:dyDescent="0.25">
      <c r="A23" s="375" t="inlineStr">
        <is>
          <t xml:space="preserve">31.2 Comercialización</t>
        </is>
      </c>
      <c r="B23" s="375" t="inlineStr">
        <is>
          <t xml:space="preserve">2.2 RIC</t>
        </is>
      </c>
      <c r="C23" s="375" t="inlineStr">
        <is>
          <t xml:space="preserve">RIC</t>
        </is>
      </c>
      <c r="D23" s="375" t="inlineStr">
        <is>
          <t xml:space="preserve">Consumidores directos de gas natural</t>
        </is>
      </c>
      <c r="E23" s="375" t="inlineStr">
        <is>
          <t xml:space="preserve">Consumidor directo de GNV</t>
        </is>
      </c>
      <c r="F23" s="377" t="inlineStr">
        <is>
          <t xml:space="preserve">02 Ambo</t>
        </is>
      </c>
      <c r="G23" s="387" t="inlineStr">
        <is>
          <t xml:space="preserve">02 Cayna</t>
        </is>
      </c>
      <c r="H23" s="375" t="inlineStr">
        <is>
          <t xml:space="preserve">Terrestre-Rural</t>
        </is>
      </c>
      <c r="I23" s="376">
        <v>6</v>
      </c>
      <c r="J23" s="375" t="inlineStr">
        <is>
          <t xml:space="preserve">SUP2400176-EVALUACION Y SUPERVISION EN ENERGIA E.I.R.L.</t>
        </is>
      </c>
      <c r="K23" s="377" t="inlineStr">
        <is>
          <t xml:space="preserve">Mala</t>
        </is>
      </c>
      <c r="L23" s="378" t="inlineStr">
        <is>
          <t xml:space="preserve">202400229001</t>
        </is>
      </c>
      <c r="M23" s="379" t="inlineStr">
        <is>
          <t xml:space="preserve">1064351-1</t>
        </is>
      </c>
      <c r="N23" s="380" t="inlineStr">
        <is>
          <t xml:space="preserve">Editado en prueba E-02</t>
        </is>
      </c>
      <c r="O23" s="327" t="str">
        <f>LEFT(J23,10)</f>
        <v>SUP2400176</v>
      </c>
    </row>
    <row r="24" spans="1:15" ht="70.900000000000006" customHeight="1" x14ac:dyDescent="0.25">
      <c r="A24" s="375" t="inlineStr">
        <is>
          <t xml:space="preserve">31.3 Instalaciones y MT</t>
        </is>
      </c>
      <c r="B24" s="375" t="inlineStr">
        <is>
          <t xml:space="preserve">3.2 Seguridad de LV GLP - Revalidación</t>
        </is>
      </c>
      <c r="C24" s="375" t="inlineStr">
        <is>
          <t xml:space="preserve">Seguridad de LV GLP</t>
        </is>
      </c>
      <c r="D24" s="375" t="inlineStr">
        <is>
          <t xml:space="preserve">Consumidores directos de GLP y redes de distribución</t>
        </is>
      </c>
      <c r="E24" s="375" t="inlineStr">
        <is>
          <t xml:space="preserve">Consumidores directos de GLP con capacidad menor o igual a 1000 gln</t>
        </is>
      </c>
      <c r="F24" s="377" t="inlineStr">
        <is>
          <t xml:space="preserve">03 Dos de Mayo</t>
        </is>
      </c>
      <c r="G24" s="387" t="inlineStr">
        <is>
          <t xml:space="preserve">11 Marías</t>
        </is>
      </c>
      <c r="H24" s="375" t="inlineStr">
        <is>
          <t xml:space="preserve">Solo via aérea (recorrido directo)</t>
        </is>
      </c>
      <c r="I24" s="376">
        <v>7</v>
      </c>
      <c r="J24" s="375" t="inlineStr">
        <is>
          <t xml:space="preserve">SUP2400158-EVALUACION Y SUPERVISION EN ENERGIA E.I.R.L.</t>
        </is>
      </c>
      <c r="K24" s="377" t="inlineStr">
        <is>
          <t xml:space="preserve">Buena</t>
        </is>
      </c>
      <c r="L24" s="378" t="inlineStr">
        <is>
          <t xml:space="preserve">202400229002</t>
        </is>
      </c>
      <c r="M24" s="379" t="inlineStr">
        <is>
          <t xml:space="preserve">1064352-1</t>
        </is>
      </c>
      <c r="N24" s="380" t="inlineStr">
        <is>
          <t xml:space="preserve">Editado en prueba E-03</t>
        </is>
      </c>
      <c r="O24" s="327" t="str">
        <f>LEFT(J24,10)</f>
        <v>SUP2400158</v>
      </c>
    </row>
    <row r="25" spans="1:15" ht="70.900000000000006" customHeight="1" x14ac:dyDescent="0.25">
      <c r="A25" s="375" t="inlineStr">
        <is>
          <t xml:space="preserve">31.4 Calidad y cantidad</t>
        </is>
      </c>
      <c r="B25" s="375" t="inlineStr">
        <is>
          <t xml:space="preserve">4.4 Ctrol Peso GLP envasado plantas u otros centros distrib. o comerc.</t>
        </is>
      </c>
      <c r="C25" s="375" t="inlineStr">
        <is>
          <t xml:space="preserve">Control Peso GLP envasado plantas u otros centros distrib. o comerc.</t>
        </is>
      </c>
      <c r="D25" s="375" t="inlineStr">
        <is>
          <t xml:space="preserve">Distribuidores mayoristas, Importadores y Comercializadores</t>
        </is>
      </c>
      <c r="E25" s="375" t="inlineStr">
        <is>
          <t xml:space="preserve">Distribuidores minoristas de combustible líquidos</t>
        </is>
      </c>
      <c r="F25" s="377" t="inlineStr">
        <is>
          <t xml:space="preserve">04 Huacaybamba</t>
        </is>
      </c>
      <c r="G25" s="387" t="inlineStr">
        <is>
          <t xml:space="preserve">04 Pinra</t>
        </is>
      </c>
      <c r="H25" s="375" t="inlineStr">
        <is>
          <t xml:space="preserve">Terrestre </t>
        </is>
      </c>
      <c r="I25" s="376">
        <v>1</v>
      </c>
      <c r="J25" s="375" t="inlineStr">
        <is>
          <t xml:space="preserve">SUP2400198-KALEV C7 PROYECTOS S.A.C.</t>
        </is>
      </c>
      <c r="K25" s="377" t="inlineStr">
        <is>
          <t xml:space="preserve">Buena</t>
        </is>
      </c>
      <c r="L25" s="378" t="inlineStr">
        <is>
          <t xml:space="preserve">202400229003</t>
        </is>
      </c>
      <c r="M25" s="379" t="inlineStr">
        <is>
          <t xml:space="preserve">1064353-1</t>
        </is>
      </c>
      <c r="N25" s="380"/>
      <c r="O25" s="327" t="str">
        <f>LEFT(J25,10)</f>
        <v>SUP2400198</v>
      </c>
    </row>
    <row r="26" spans="1:15" ht="70.900000000000006" customHeight="1" x14ac:dyDescent="0.25">
      <c r="A26" s="375" t="inlineStr">
        <is>
          <t xml:space="preserve">31.1 Preoperativa y denuncias</t>
        </is>
      </c>
      <c r="B26" s="375" t="inlineStr">
        <is>
          <t xml:space="preserve">1.5 Denuncias</t>
        </is>
      </c>
      <c r="C26" s="375" t="inlineStr">
        <is>
          <t xml:space="preserve">Agentes formales</t>
        </is>
      </c>
      <c r="D26" s="375" t="inlineStr">
        <is>
          <t xml:space="preserve">Envasadoras de GLP</t>
        </is>
      </c>
      <c r="E26" s="375" t="inlineStr">
        <is>
          <t xml:space="preserve">Empresa envasadora sin instalaciones</t>
        </is>
      </c>
      <c r="F26" s="377" t="inlineStr">
        <is>
          <t xml:space="preserve">05 Huamalíes</t>
        </is>
      </c>
      <c r="G26" s="387" t="inlineStr">
        <is>
          <t xml:space="preserve">05 Jircan</t>
        </is>
      </c>
      <c r="H26" s="375" t="inlineStr">
        <is>
          <t xml:space="preserve">Otros</t>
        </is>
      </c>
      <c r="I26" s="376">
        <v>2</v>
      </c>
      <c r="J26" s="375" t="inlineStr">
        <is>
          <t xml:space="preserve">ERH-ESPECIALISTA REGIONAL DE HIDROCARBUROS</t>
        </is>
      </c>
      <c r="K26" s="377" t="inlineStr">
        <is>
          <t xml:space="preserve">Regular </t>
        </is>
      </c>
      <c r="L26" s="378" t="inlineStr">
        <is>
          <t xml:space="preserve">202400229004</t>
        </is>
      </c>
      <c r="M26" s="379" t="inlineStr">
        <is>
          <t xml:space="preserve">1064354-1</t>
        </is>
      </c>
      <c r="N26" s="380"/>
      <c r="O26" s="327" t="str">
        <f>LEFT(J26,10)</f>
        <v>ERH-ESPECI</v>
      </c>
    </row>
    <row r="27" spans="1:15" ht="57.6" customHeight="1" x14ac:dyDescent="0.25">
      <c r="A27" s="375" t="inlineStr">
        <is>
          <t xml:space="preserve">31.2 Comercialización</t>
        </is>
      </c>
      <c r="B27" s="375" t="inlineStr">
        <is>
          <t xml:space="preserve">2.6 SPIC</t>
        </is>
      </c>
      <c r="C27" s="375" t="inlineStr">
        <is>
          <t xml:space="preserve">SPIC</t>
        </is>
      </c>
      <c r="D27" s="375" t="inlineStr">
        <is>
          <t xml:space="preserve">EVP combustibles de uso automotor</t>
        </is>
      </c>
      <c r="E27" s="375" t="inlineStr">
        <is>
          <t xml:space="preserve">Estación de servicios / Grifos</t>
        </is>
      </c>
      <c r="F27" s="377" t="inlineStr">
        <is>
          <t xml:space="preserve">06 Leoncio Prado</t>
        </is>
      </c>
      <c r="G27" s="387" t="inlineStr">
        <is>
          <t xml:space="preserve">06 Mariano Damaso Beraun</t>
        </is>
      </c>
      <c r="H27" s="375" t="inlineStr">
        <is>
          <t xml:space="preserve">Gabinete</t>
        </is>
      </c>
      <c r="I27" s="376">
        <v>3</v>
      </c>
      <c r="J27" s="375" t="inlineStr">
        <is>
          <t xml:space="preserve">SUP2400176-EVALUACION Y SUPERVISION EN ENERGIA E.I.R.L.</t>
        </is>
      </c>
      <c r="K27" s="377" t="inlineStr">
        <is>
          <t xml:space="preserve">Mala</t>
        </is>
      </c>
      <c r="L27" s="378" t="inlineStr">
        <is>
          <t xml:space="preserve">202400229005</t>
        </is>
      </c>
      <c r="M27" s="379" t="inlineStr">
        <is>
          <t xml:space="preserve">1064355-1</t>
        </is>
      </c>
      <c r="N27" s="380"/>
      <c r="O27" s="327" t="str">
        <f>LEFT(J27,10)</f>
        <v>SUP2400176</v>
      </c>
    </row>
    <row r="28" spans="1:15" ht="57.6" customHeight="1" x14ac:dyDescent="0.25">
      <c r="A28" s="375" t="inlineStr">
        <is>
          <t xml:space="preserve">31.3 Instalaciones y MT</t>
        </is>
      </c>
      <c r="B28" s="375" t="inlineStr">
        <is>
          <t xml:space="preserve">3.6 Demás agentes (CDMV, Transp Acuático, CM y otros)</t>
        </is>
      </c>
      <c r="C28" s="375" t="inlineStr">
        <is>
          <t xml:space="preserve">Fiscalización operativa de los demás agentes</t>
        </is>
      </c>
      <c r="D28" s="375" t="inlineStr">
        <is>
          <t xml:space="preserve">Instalaciones de compresión, transferencia y descompresión de gas natural</t>
        </is>
      </c>
      <c r="E28" s="375" t="inlineStr">
        <is>
          <t xml:space="preserve">Estacion de compresión de gas natural</t>
        </is>
      </c>
      <c r="F28" s="377" t="inlineStr">
        <is>
          <t xml:space="preserve">07 Marañón</t>
        </is>
      </c>
      <c r="G28" s="387" t="inlineStr">
        <is>
          <t xml:space="preserve">02 Cholon</t>
        </is>
      </c>
      <c r="H28" s="375" t="inlineStr">
        <is>
          <t xml:space="preserve">Terrestre fluvial</t>
        </is>
      </c>
      <c r="I28" s="376">
        <v>1</v>
      </c>
      <c r="J28" s="375" t="inlineStr">
        <is>
          <t xml:space="preserve">SUP2400158-EVALUACION Y SUPERVISION EN ENERGIA E.I.R.L.</t>
        </is>
      </c>
      <c r="K28" s="377" t="inlineStr">
        <is>
          <t xml:space="preserve">Buena</t>
        </is>
      </c>
      <c r="L28" s="378" t="inlineStr">
        <is>
          <t xml:space="preserve">202400229006</t>
        </is>
      </c>
      <c r="M28" s="379" t="inlineStr">
        <is>
          <t xml:space="preserve">1064356-1</t>
        </is>
      </c>
      <c r="N28" s="380"/>
      <c r="O28" s="327" t="str">
        <f>LEFT(J28,10)</f>
        <v>SUP2400158</v>
      </c>
    </row>
    <row r="29" spans="1:15" ht="57.6" customHeight="1" x14ac:dyDescent="0.25">
      <c r="A29" s="375" t="inlineStr">
        <is>
          <t xml:space="preserve">31.4 Calidad y cantidad</t>
        </is>
      </c>
      <c r="B29" s="375" t="inlineStr">
        <is>
          <t xml:space="preserve">4.8 Calidad fuera del registro de hidrocarburos </t>
        </is>
      </c>
      <c r="C29" s="375" t="inlineStr">
        <is>
          <t xml:space="preserve">Calidad fuera del registro de hidrocarburos</t>
        </is>
      </c>
      <c r="D29" s="375" t="inlineStr">
        <is>
          <t xml:space="preserve">Locales de venta de GLP</t>
        </is>
      </c>
      <c r="E29" s="375" t="inlineStr">
        <is>
          <t xml:space="preserve">Locales de venta de GLP en cilindros con capacidad menor o igual a 5,000 Kg</t>
        </is>
      </c>
      <c r="F29" s="377" t="inlineStr">
        <is>
          <t xml:space="preserve">08 Pachitea</t>
        </is>
      </c>
      <c r="G29" s="387" t="inlineStr">
        <is>
          <t xml:space="preserve">04 Umari</t>
        </is>
      </c>
      <c r="H29" s="375" t="inlineStr">
        <is>
          <t xml:space="preserve">Terrestre-Rural</t>
        </is>
      </c>
      <c r="I29" s="376">
        <v>2</v>
      </c>
      <c r="J29" s="375" t="inlineStr">
        <is>
          <t xml:space="preserve">SUP2400198-KALEV C7 PROYECTOS S.A.C.</t>
        </is>
      </c>
      <c r="K29" s="377" t="inlineStr">
        <is>
          <t xml:space="preserve">Regular </t>
        </is>
      </c>
      <c r="L29" s="378" t="inlineStr">
        <is>
          <t xml:space="preserve">202400229007</t>
        </is>
      </c>
      <c r="M29" s="379" t="inlineStr">
        <is>
          <t xml:space="preserve">1064357-1</t>
        </is>
      </c>
      <c r="N29" s="380"/>
      <c r="O29" s="327" t="str">
        <f>LEFT(J29,10)</f>
        <v>SUP2400198</v>
      </c>
    </row>
    <row r="30" spans="1:15" ht="57.6" customHeight="1" x14ac:dyDescent="0.25">
      <c r="A30" s="487" t="inlineStr">
        <is>
          <t xml:space="preserve">31.1 Preoperativa y denuncias</t>
        </is>
      </c>
      <c r="B30" s="375" t="inlineStr">
        <is>
          <t xml:space="preserve">1.4 Actas pruebas y conformidad</t>
        </is>
      </c>
      <c r="C30" s="375" t="inlineStr">
        <is>
          <t xml:space="preserve">VPH tuberías</t>
        </is>
      </c>
      <c r="D30" s="375" t="inlineStr">
        <is>
          <t xml:space="preserve">Medios de transporte</t>
        </is>
      </c>
      <c r="E30" s="375" t="inlineStr">
        <is>
          <t xml:space="preserve">Distribuidor de GLP a granel</t>
        </is>
      </c>
      <c r="F30" s="377" t="inlineStr">
        <is>
          <t xml:space="preserve">09 Puerto Inca</t>
        </is>
      </c>
      <c r="G30" s="387" t="inlineStr">
        <is>
          <t xml:space="preserve">04 Tournavista</t>
        </is>
      </c>
      <c r="H30" s="375" t="inlineStr">
        <is>
          <t xml:space="preserve">Solo via aérea (recorrido directo)</t>
        </is>
      </c>
      <c r="I30" s="376">
        <v>3</v>
      </c>
      <c r="J30" s="375" t="inlineStr">
        <is>
          <t xml:space="preserve">ERH-ESPECIALISTA REGIONAL DE HIDROCARBUROS</t>
        </is>
      </c>
      <c r="K30" s="377" t="inlineStr">
        <is>
          <t xml:space="preserve">Mala</t>
        </is>
      </c>
      <c r="L30" s="378" t="inlineStr">
        <is>
          <t xml:space="preserve">202400229008</t>
        </is>
      </c>
      <c r="M30" s="379" t="inlineStr">
        <is>
          <t xml:space="preserve">1064358-1</t>
        </is>
      </c>
      <c r="N30" s="380"/>
      <c r="O30" s="327" t="str">
        <f>LEFT(J30,10)</f>
        <v>ERH-ESPECI</v>
      </c>
    </row>
    <row r="31" spans="1:15" ht="57.6" customHeight="1" x14ac:dyDescent="0.25">
      <c r="A31" s="375" t="inlineStr">
        <is>
          <t xml:space="preserve">31.2 Comercialización</t>
        </is>
      </c>
      <c r="B31" s="375" t="inlineStr">
        <is>
          <t xml:space="preserve">2.10 Minería ilegal</t>
        </is>
      </c>
      <c r="C31" s="375" t="inlineStr">
        <is>
          <t xml:space="preserve">Minería ilegal</t>
        </is>
      </c>
      <c r="D31" s="375" t="inlineStr">
        <is>
          <t xml:space="preserve">Plantas de abastecimiento y despacho</t>
        </is>
      </c>
      <c r="E31" s="375" t="inlineStr">
        <is>
          <t xml:space="preserve">Planta de abastecimiento de GLP</t>
        </is>
      </c>
      <c r="F31" s="377" t="inlineStr">
        <is>
          <t xml:space="preserve">10 Lauricocha </t>
        </is>
      </c>
      <c r="G31" s="387" t="inlineStr">
        <is>
          <t xml:space="preserve">03 Jivia</t>
        </is>
      </c>
      <c r="H31" s="375" t="inlineStr">
        <is>
          <t xml:space="preserve">Terrestre </t>
        </is>
      </c>
      <c r="I31" s="376">
        <v>1</v>
      </c>
      <c r="J31" s="375" t="inlineStr">
        <is>
          <t xml:space="preserve">SUP2400176-EVALUACION Y SUPERVISION EN ENERGIA E.I.R.L.</t>
        </is>
      </c>
      <c r="K31" s="377" t="inlineStr">
        <is>
          <t xml:space="preserve">Buena</t>
        </is>
      </c>
      <c r="L31" s="378" t="inlineStr">
        <is>
          <t xml:space="preserve">202400229009</t>
        </is>
      </c>
      <c r="M31" s="379" t="inlineStr">
        <is>
          <t xml:space="preserve">1064359-1</t>
        </is>
      </c>
      <c r="N31" s="380"/>
      <c r="O31" s="327" t="str">
        <f>LEFT(J31,10)</f>
        <v>SUP2400176</v>
      </c>
    </row>
    <row r="32" spans="1:15" ht="57.6" customHeight="1" x14ac:dyDescent="0.25">
      <c r="A32" s="375" t="inlineStr">
        <is>
          <t xml:space="preserve">31.3 Instalaciones y MT</t>
        </is>
      </c>
      <c r="B32" s="375" t="inlineStr">
        <is>
          <t xml:space="preserve">3.10 MT - GLP en cilindros</t>
        </is>
      </c>
      <c r="C32" s="375" t="inlineStr">
        <is>
          <t xml:space="preserve">MT - GLP en cilindros</t>
        </is>
      </c>
      <c r="D32" s="375" t="inlineStr">
        <is>
          <t xml:space="preserve">Productores y Plantas de procesamiento</t>
        </is>
      </c>
      <c r="E32" s="375" t="inlineStr">
        <is>
          <t xml:space="preserve">Refinerías topping</t>
        </is>
      </c>
      <c r="F32" s="377" t="inlineStr">
        <is>
          <t xml:space="preserve">11 Yarowilca </t>
        </is>
      </c>
      <c r="G32" s="387" t="inlineStr">
        <is>
          <t xml:space="preserve">03 Chacabamba</t>
        </is>
      </c>
      <c r="H32" s="375" t="inlineStr">
        <is>
          <t xml:space="preserve">Otros</t>
        </is>
      </c>
      <c r="I32" s="376">
        <v>2</v>
      </c>
      <c r="J32" s="375" t="inlineStr">
        <is>
          <t xml:space="preserve">SUP2400158-EVALUACION Y SUPERVISION EN ENERGIA E.I.R.L.</t>
        </is>
      </c>
      <c r="K32" s="377" t="inlineStr">
        <is>
          <t xml:space="preserve">Regular </t>
        </is>
      </c>
      <c r="L32" s="378" t="inlineStr">
        <is>
          <t xml:space="preserve">202400229010</t>
        </is>
      </c>
      <c r="M32" s="379" t="inlineStr">
        <is>
          <t xml:space="preserve">1064360-1</t>
        </is>
      </c>
      <c r="N32" s="380"/>
      <c r="O32" s="327" t="str">
        <f>LEFT(J32,10)</f>
        <v>SUP2400158</v>
      </c>
    </row>
    <row r="33" spans="1:15" ht="57.6" customHeight="1" x14ac:dyDescent="0.25">
      <c r="A33" s="487" t="inlineStr">
        <is>
          <t xml:space="preserve">31.4 Calidad y cantidad</t>
        </is>
      </c>
      <c r="B33" s="375" t="inlineStr">
        <is>
          <t xml:space="preserve">4.4 Ctrol Peso GLP envasado plantas u otros centros distrib. o comerc.</t>
        </is>
      </c>
      <c r="C33" s="375" t="inlineStr">
        <is>
          <t xml:space="preserve">Control Peso GLP envasado plantas u otros centros distrib. o comerc.</t>
        </is>
      </c>
      <c r="D33" s="375" t="inlineStr">
        <is>
          <t xml:space="preserve">Informal</t>
        </is>
      </c>
      <c r="E33" s="375" t="inlineStr">
        <is>
          <t xml:space="preserve">Venta de combustibles líquidos</t>
        </is>
      </c>
      <c r="F33" s="377" t="inlineStr">
        <is>
          <t xml:space="preserve">01 Huánuco</t>
        </is>
      </c>
      <c r="G33" s="387" t="inlineStr">
        <is>
          <t xml:space="preserve">12 Yacus</t>
        </is>
      </c>
      <c r="H33" s="375" t="inlineStr">
        <is>
          <t xml:space="preserve">Gabinete</t>
        </is>
      </c>
      <c r="I33" s="376">
        <v>3</v>
      </c>
      <c r="J33" s="375" t="inlineStr">
        <is>
          <t xml:space="preserve">SUP2400198-KALEV C7 PROYECTOS S.A.C.</t>
        </is>
      </c>
      <c r="K33" s="377" t="inlineStr">
        <is>
          <t xml:space="preserve">Mala</t>
        </is>
      </c>
      <c r="L33" s="378" t="inlineStr">
        <is>
          <t xml:space="preserve">202400229011</t>
        </is>
      </c>
      <c r="M33" s="379" t="inlineStr">
        <is>
          <t xml:space="preserve">1064361-1</t>
        </is>
      </c>
      <c r="N33" s="380"/>
      <c r="O33" s="327" t="str">
        <f>LEFT(J33,10)</f>
        <v>SUP2400198</v>
      </c>
    </row>
    <row r="34" spans="1:15" ht="57.6" customHeight="1" x14ac:dyDescent="0.25">
      <c r="A34" s="375" t="inlineStr">
        <is>
          <t xml:space="preserve">31.1 Preoperativa y denuncias</t>
        </is>
      </c>
      <c r="B34" s="375" t="inlineStr">
        <is>
          <t xml:space="preserve">1.3 Certificado para GNV, GNC, GNL</t>
        </is>
      </c>
      <c r="C34" s="375" t="inlineStr">
        <is>
          <t xml:space="preserve">Diseño</t>
        </is>
      </c>
      <c r="D34" s="375" t="inlineStr">
        <is>
          <t xml:space="preserve">Usuario final</t>
        </is>
      </c>
      <c r="E34" s="375" t="inlineStr">
        <is>
          <t xml:space="preserve">Usuario final afectado</t>
        </is>
      </c>
      <c r="F34" s="377" t="inlineStr">
        <is>
          <t xml:space="preserve">02 Ambo</t>
        </is>
      </c>
      <c r="G34" s="387" t="inlineStr">
        <is>
          <t xml:space="preserve">05 Huacar</t>
        </is>
      </c>
      <c r="H34" s="375" t="inlineStr">
        <is>
          <t xml:space="preserve">Terrestre fluvial</t>
        </is>
      </c>
      <c r="I34" s="376">
        <v>1</v>
      </c>
      <c r="J34" s="375" t="inlineStr">
        <is>
          <t xml:space="preserve">ERH-ESPECIALISTA REGIONAL DE HIDROCARBUROS</t>
        </is>
      </c>
      <c r="K34" s="377" t="inlineStr">
        <is>
          <t xml:space="preserve">Buena</t>
        </is>
      </c>
      <c r="L34" s="378" t="inlineStr">
        <is>
          <t xml:space="preserve">202400229012</t>
        </is>
      </c>
      <c r="M34" s="379" t="inlineStr">
        <is>
          <t xml:space="preserve">1064362-1</t>
        </is>
      </c>
      <c r="N34" s="380"/>
      <c r="O34" s="327" t="str">
        <f>LEFT(J34,10)</f>
        <v>ERH-ESPECI</v>
      </c>
    </row>
    <row r="35" spans="1:15" ht="57.6" customHeight="1" x14ac:dyDescent="0.25">
      <c r="A35" s="375"/>
      <c r="B35" s="375"/>
      <c r="C35" s="375"/>
      <c r="D35" s="375"/>
      <c r="E35" s="375"/>
      <c r="F35" s="377"/>
      <c r="G35" s="387"/>
      <c r="H35" s="375"/>
      <c r="I35" s="376"/>
      <c r="J35" s="375"/>
      <c r="K35" s="377"/>
      <c r="L35" s="378"/>
      <c r="M35" s="379"/>
      <c r="N35" s="380"/>
      <c r="O35" s="327" t="str">
        <f>LEFT(J35,10)</f>
        <v/>
      </c>
    </row>
    <row r="36" spans="1:15" ht="57.6" customHeight="1" x14ac:dyDescent="0.25">
      <c r="A36" s="375"/>
      <c r="B36" s="375"/>
      <c r="C36" s="375"/>
      <c r="D36" s="375"/>
      <c r="E36" s="375"/>
      <c r="F36" s="377"/>
      <c r="G36" s="387"/>
      <c r="H36" s="375"/>
      <c r="I36" s="376"/>
      <c r="J36" s="375"/>
      <c r="K36" s="377"/>
      <c r="L36" s="378"/>
      <c r="M36" s="379"/>
      <c r="N36" s="380"/>
      <c r="O36" s="327" t="str">
        <f>LEFT(J36,10)</f>
        <v/>
      </c>
    </row>
    <row r="37" spans="1:15" ht="57.6" customHeight="1" x14ac:dyDescent="0.25">
      <c r="A37" s="375"/>
      <c r="B37" s="375"/>
      <c r="C37" s="375"/>
      <c r="D37" s="375"/>
      <c r="E37" s="375"/>
      <c r="F37" s="377"/>
      <c r="G37" s="387"/>
      <c r="H37" s="375"/>
      <c r="I37" s="376"/>
      <c r="J37" s="375"/>
      <c r="K37" s="377"/>
      <c r="L37" s="378"/>
      <c r="M37" s="379"/>
      <c r="N37" s="380"/>
      <c r="O37" s="327" t="str">
        <f>LEFT(J37,10)</f>
        <v/>
      </c>
    </row>
    <row r="38" spans="1:15" ht="57.6" customHeight="1" x14ac:dyDescent="0.25">
      <c r="A38" s="375"/>
      <c r="B38" s="375"/>
      <c r="C38" s="375"/>
      <c r="D38" s="375"/>
      <c r="E38" s="375"/>
      <c r="F38" s="377"/>
      <c r="G38" s="387"/>
      <c r="H38" s="375"/>
      <c r="I38" s="376"/>
      <c r="J38" s="375"/>
      <c r="K38" s="377"/>
      <c r="L38" s="378"/>
      <c r="M38" s="379"/>
      <c r="N38" s="380"/>
      <c r="O38" s="327" t="str">
        <f>LEFT(J38,10)</f>
        <v/>
      </c>
    </row>
    <row r="39" spans="1:15" ht="57.6" customHeight="1" x14ac:dyDescent="0.25">
      <c r="A39" s="375"/>
      <c r="B39" s="375"/>
      <c r="C39" s="375"/>
      <c r="D39" s="375"/>
      <c r="E39" s="375"/>
      <c r="F39" s="377"/>
      <c r="G39" s="387"/>
      <c r="H39" s="375"/>
      <c r="I39" s="376"/>
      <c r="J39" s="375"/>
      <c r="K39" s="377"/>
      <c r="L39" s="378"/>
      <c r="M39" s="379"/>
      <c r="N39" s="380"/>
      <c r="O39" s="327" t="str">
        <f>LEFT(J39,10)</f>
        <v/>
      </c>
    </row>
    <row r="40" spans="1:15" ht="57.6" customHeight="1" x14ac:dyDescent="0.25">
      <c r="A40" s="375"/>
      <c r="B40" s="375"/>
      <c r="C40" s="375"/>
      <c r="D40" s="375"/>
      <c r="E40" s="375"/>
      <c r="F40" s="377"/>
      <c r="G40" s="387"/>
      <c r="H40" s="375"/>
      <c r="I40" s="376"/>
      <c r="J40" s="375"/>
      <c r="K40" s="377"/>
      <c r="L40" s="378"/>
      <c r="M40" s="379"/>
      <c r="N40" s="380"/>
      <c r="O40" s="327" t="str">
        <f>LEFT(J40,10)</f>
        <v/>
      </c>
    </row>
    <row r="41" spans="1:15" ht="57.6" customHeight="1" x14ac:dyDescent="0.25">
      <c r="A41" s="375"/>
      <c r="B41" s="375"/>
      <c r="C41" s="375"/>
      <c r="D41" s="375"/>
      <c r="E41" s="375"/>
      <c r="F41" s="377"/>
      <c r="G41" s="387"/>
      <c r="H41" s="375"/>
      <c r="I41" s="376"/>
      <c r="J41" s="375"/>
      <c r="K41" s="377"/>
      <c r="L41" s="378"/>
      <c r="M41" s="379"/>
      <c r="N41" s="380"/>
      <c r="O41" s="327" t="str">
        <f>LEFT(J41,10)</f>
        <v/>
      </c>
    </row>
    <row r="42" spans="1:15" ht="57.6" customHeight="1" x14ac:dyDescent="0.25">
      <c r="A42" s="375"/>
      <c r="B42" s="375"/>
      <c r="C42" s="375"/>
      <c r="D42" s="375"/>
      <c r="E42" s="375"/>
      <c r="F42" s="377"/>
      <c r="G42" s="387"/>
      <c r="H42" s="375"/>
      <c r="I42" s="376"/>
      <c r="J42" s="375"/>
      <c r="K42" s="377"/>
      <c r="L42" s="378"/>
      <c r="M42" s="379"/>
      <c r="N42" s="380"/>
      <c r="O42" s="327" t="str">
        <f>LEFT(J42,10)</f>
        <v/>
      </c>
    </row>
    <row r="43" spans="1:15" ht="57.6" customHeight="1" x14ac:dyDescent="0.25">
      <c r="A43" s="375"/>
      <c r="B43" s="375"/>
      <c r="C43" s="375"/>
      <c r="D43" s="375"/>
      <c r="E43" s="375"/>
      <c r="F43" s="377"/>
      <c r="G43" s="387"/>
      <c r="H43" s="375"/>
      <c r="I43" s="376"/>
      <c r="J43" s="375"/>
      <c r="K43" s="377"/>
      <c r="L43" s="378"/>
      <c r="M43" s="379"/>
      <c r="N43" s="380"/>
      <c r="O43" s="327" t="str">
        <f>LEFT(J43,10)</f>
        <v/>
      </c>
    </row>
    <row r="44" spans="1:15" ht="57.6" customHeight="1" x14ac:dyDescent="0.25">
      <c r="A44" s="375"/>
      <c r="B44" s="375"/>
      <c r="C44" s="375"/>
      <c r="D44" s="375"/>
      <c r="E44" s="375"/>
      <c r="F44" s="377"/>
      <c r="G44" s="387"/>
      <c r="H44" s="375"/>
      <c r="I44" s="376"/>
      <c r="J44" s="375"/>
      <c r="K44" s="377"/>
      <c r="L44" s="378"/>
      <c r="M44" s="379"/>
      <c r="N44" s="380"/>
      <c r="O44" s="327" t="str">
        <f>LEFT(J44,10)</f>
        <v/>
      </c>
    </row>
    <row r="45" spans="1:15" ht="57.6" customHeight="1" x14ac:dyDescent="0.25">
      <c r="A45" s="375"/>
      <c r="B45" s="375"/>
      <c r="C45" s="375"/>
      <c r="D45" s="375"/>
      <c r="E45" s="375"/>
      <c r="F45" s="377"/>
      <c r="G45" s="387"/>
      <c r="H45" s="375"/>
      <c r="I45" s="376"/>
      <c r="J45" s="375"/>
      <c r="K45" s="377"/>
      <c r="L45" s="378"/>
      <c r="M45" s="379"/>
      <c r="N45" s="380"/>
      <c r="O45" s="327" t="str">
        <f>LEFT(J45,10)</f>
        <v/>
      </c>
    </row>
    <row r="46" spans="1:15" ht="57.6" customHeight="1" x14ac:dyDescent="0.25">
      <c r="A46" s="375"/>
      <c r="B46" s="375"/>
      <c r="C46" s="375"/>
      <c r="D46" s="375"/>
      <c r="E46" s="375"/>
      <c r="F46" s="377"/>
      <c r="G46" s="387"/>
      <c r="H46" s="375"/>
      <c r="I46" s="376"/>
      <c r="J46" s="375"/>
      <c r="K46" s="377"/>
      <c r="L46" s="378"/>
      <c r="M46" s="379"/>
      <c r="N46" s="380"/>
      <c r="O46" s="327" t="str">
        <f>LEFT(J46,10)</f>
        <v/>
      </c>
    </row>
    <row r="47" spans="1:15" ht="57.6" customHeight="1" x14ac:dyDescent="0.25">
      <c r="A47" s="375"/>
      <c r="B47" s="375"/>
      <c r="C47" s="375"/>
      <c r="D47" s="375"/>
      <c r="E47" s="375"/>
      <c r="F47" s="377"/>
      <c r="G47" s="387"/>
      <c r="H47" s="375"/>
      <c r="I47" s="376"/>
      <c r="J47" s="375"/>
      <c r="K47" s="377"/>
      <c r="L47" s="378"/>
      <c r="M47" s="379"/>
      <c r="N47" s="380"/>
      <c r="O47" s="327" t="str">
        <f>LEFT(J47,10)</f>
        <v/>
      </c>
    </row>
    <row r="48" spans="1:15" ht="57.6" customHeight="1" x14ac:dyDescent="0.25">
      <c r="A48" s="375"/>
      <c r="B48" s="375"/>
      <c r="C48" s="375"/>
      <c r="D48" s="375"/>
      <c r="E48" s="375"/>
      <c r="F48" s="377"/>
      <c r="G48" s="387"/>
      <c r="H48" s="375"/>
      <c r="I48" s="376"/>
      <c r="J48" s="375"/>
      <c r="K48" s="377"/>
      <c r="L48" s="378"/>
      <c r="M48" s="379"/>
      <c r="N48" s="380"/>
      <c r="O48" s="327" t="str">
        <f>LEFT(J48,10)</f>
        <v/>
      </c>
    </row>
    <row r="49" spans="1:15" ht="57.6" customHeight="1" x14ac:dyDescent="0.25">
      <c r="A49" s="375"/>
      <c r="B49" s="375"/>
      <c r="C49" s="375"/>
      <c r="D49" s="375"/>
      <c r="E49" s="375"/>
      <c r="F49" s="377"/>
      <c r="G49" s="387"/>
      <c r="H49" s="375"/>
      <c r="I49" s="376"/>
      <c r="J49" s="375"/>
      <c r="K49" s="377"/>
      <c r="L49" s="378"/>
      <c r="M49" s="379"/>
      <c r="N49" s="380"/>
      <c r="O49" s="327" t="str">
        <f>LEFT(J49,10)</f>
        <v/>
      </c>
    </row>
    <row r="50" spans="1:15" ht="57.6" customHeight="1" x14ac:dyDescent="0.25">
      <c r="A50" s="375"/>
      <c r="B50" s="375"/>
      <c r="C50" s="375"/>
      <c r="D50" s="375"/>
      <c r="E50" s="375"/>
      <c r="F50" s="377"/>
      <c r="G50" s="387"/>
      <c r="H50" s="375"/>
      <c r="I50" s="376"/>
      <c r="J50" s="375"/>
      <c r="K50" s="377"/>
      <c r="L50" s="378"/>
      <c r="M50" s="379"/>
      <c r="N50" s="380"/>
      <c r="O50" s="327" t="str">
        <f>LEFT(J50,10)</f>
        <v/>
      </c>
    </row>
    <row r="51" spans="1:15" ht="57.6" customHeight="1" x14ac:dyDescent="0.25">
      <c r="A51" s="375"/>
      <c r="B51" s="375"/>
      <c r="C51" s="375"/>
      <c r="D51" s="375"/>
      <c r="E51" s="375"/>
      <c r="F51" s="377"/>
      <c r="G51" s="387"/>
      <c r="H51" s="375"/>
      <c r="I51" s="376"/>
      <c r="J51" s="375"/>
      <c r="K51" s="377"/>
      <c r="L51" s="378"/>
      <c r="M51" s="379"/>
      <c r="N51" s="380"/>
      <c r="O51" s="327" t="str">
        <f>LEFT(J51,10)</f>
        <v/>
      </c>
    </row>
    <row r="52" spans="1:15" ht="57.6" customHeight="1" x14ac:dyDescent="0.25">
      <c r="A52" s="375"/>
      <c r="B52" s="375"/>
      <c r="C52" s="375"/>
      <c r="D52" s="375"/>
      <c r="E52" s="375"/>
      <c r="F52" s="377"/>
      <c r="G52" s="387"/>
      <c r="H52" s="375"/>
      <c r="I52" s="376"/>
      <c r="J52" s="375"/>
      <c r="K52" s="377"/>
      <c r="L52" s="378"/>
      <c r="M52" s="379"/>
      <c r="N52" s="380"/>
      <c r="O52" s="327" t="str">
        <f>LEFT(J52,10)</f>
        <v/>
      </c>
    </row>
    <row r="53" spans="1:15" ht="57.6" customHeight="1" x14ac:dyDescent="0.25">
      <c r="A53" s="375"/>
      <c r="B53" s="375"/>
      <c r="C53" s="375"/>
      <c r="D53" s="375"/>
      <c r="E53" s="375"/>
      <c r="F53" s="377"/>
      <c r="G53" s="387"/>
      <c r="H53" s="375"/>
      <c r="I53" s="376"/>
      <c r="J53" s="375"/>
      <c r="K53" s="377"/>
      <c r="L53" s="378"/>
      <c r="M53" s="379"/>
      <c r="N53" s="380"/>
      <c r="O53" s="327" t="str">
        <f>LEFT(J53,10)</f>
        <v/>
      </c>
    </row>
    <row r="54" spans="1:15" ht="57.6" customHeight="1" x14ac:dyDescent="0.25">
      <c r="A54" s="375"/>
      <c r="B54" s="375"/>
      <c r="C54" s="375"/>
      <c r="D54" s="375"/>
      <c r="E54" s="375"/>
      <c r="F54" s="377"/>
      <c r="G54" s="387"/>
      <c r="H54" s="375"/>
      <c r="I54" s="376"/>
      <c r="J54" s="375"/>
      <c r="K54" s="377"/>
      <c r="L54" s="378"/>
      <c r="M54" s="379"/>
      <c r="N54" s="380"/>
      <c r="O54" s="327" t="str">
        <f>LEFT(J54,10)</f>
        <v/>
      </c>
    </row>
    <row r="55" spans="1:15" ht="57.6" customHeight="1" x14ac:dyDescent="0.25">
      <c r="A55" s="375"/>
      <c r="B55" s="375"/>
      <c r="C55" s="375"/>
      <c r="D55" s="375"/>
      <c r="E55" s="375"/>
      <c r="F55" s="377"/>
      <c r="G55" s="387"/>
      <c r="H55" s="375"/>
      <c r="I55" s="376"/>
      <c r="J55" s="375"/>
      <c r="K55" s="377"/>
      <c r="L55" s="378"/>
      <c r="M55" s="379"/>
      <c r="N55" s="380"/>
      <c r="O55" s="327" t="str">
        <f>LEFT(J55,10)</f>
        <v/>
      </c>
    </row>
    <row r="56" spans="1:15" ht="57.6" customHeight="1" x14ac:dyDescent="0.25">
      <c r="A56" s="375"/>
      <c r="B56" s="375"/>
      <c r="C56" s="375"/>
      <c r="D56" s="375"/>
      <c r="E56" s="375"/>
      <c r="F56" s="377"/>
      <c r="G56" s="387"/>
      <c r="H56" s="375"/>
      <c r="I56" s="376"/>
      <c r="J56" s="375"/>
      <c r="K56" s="377"/>
      <c r="L56" s="378"/>
      <c r="M56" s="379"/>
      <c r="N56" s="380"/>
      <c r="O56" s="327" t="str">
        <f>LEFT(J56,10)</f>
        <v/>
      </c>
    </row>
    <row r="57" spans="1:15" ht="57.6" customHeight="1" x14ac:dyDescent="0.25">
      <c r="A57" s="375"/>
      <c r="B57" s="375"/>
      <c r="C57" s="375"/>
      <c r="D57" s="375"/>
      <c r="E57" s="375"/>
      <c r="F57" s="377"/>
      <c r="G57" s="387"/>
      <c r="H57" s="375"/>
      <c r="I57" s="376"/>
      <c r="J57" s="375"/>
      <c r="K57" s="377"/>
      <c r="L57" s="378"/>
      <c r="M57" s="379"/>
      <c r="N57" s="380"/>
      <c r="O57" s="327" t="str">
        <f>LEFT(J57,10)</f>
        <v/>
      </c>
    </row>
    <row r="58" spans="1:15" ht="57.6" customHeight="1" x14ac:dyDescent="0.25">
      <c r="A58" s="375"/>
      <c r="B58" s="375"/>
      <c r="C58" s="375"/>
      <c r="D58" s="375"/>
      <c r="E58" s="375"/>
      <c r="F58" s="377"/>
      <c r="G58" s="387"/>
      <c r="H58" s="375"/>
      <c r="I58" s="376"/>
      <c r="J58" s="375"/>
      <c r="K58" s="377"/>
      <c r="L58" s="378"/>
      <c r="M58" s="379"/>
      <c r="N58" s="380"/>
      <c r="O58" s="327" t="str">
        <f>LEFT(J58,10)</f>
        <v/>
      </c>
    </row>
    <row r="59" spans="1:15" ht="57.6" customHeight="1" x14ac:dyDescent="0.25">
      <c r="A59" s="375"/>
      <c r="B59" s="375"/>
      <c r="C59" s="375"/>
      <c r="D59" s="375"/>
      <c r="E59" s="375"/>
      <c r="F59" s="377"/>
      <c r="G59" s="387"/>
      <c r="H59" s="375"/>
      <c r="I59" s="376"/>
      <c r="J59" s="375"/>
      <c r="K59" s="377"/>
      <c r="L59" s="378"/>
      <c r="M59" s="379"/>
      <c r="N59" s="380"/>
      <c r="O59" s="327" t="str">
        <f>LEFT(J59,10)</f>
        <v/>
      </c>
    </row>
    <row r="60" spans="1:15" ht="57.6" customHeight="1" x14ac:dyDescent="0.25">
      <c r="A60" s="375"/>
      <c r="B60" s="375"/>
      <c r="C60" s="375"/>
      <c r="D60" s="375"/>
      <c r="E60" s="375"/>
      <c r="F60" s="377"/>
      <c r="G60" s="387"/>
      <c r="H60" s="375"/>
      <c r="I60" s="376"/>
      <c r="J60" s="375"/>
      <c r="K60" s="377"/>
      <c r="L60" s="378"/>
      <c r="M60" s="379"/>
      <c r="N60" s="380"/>
      <c r="O60" s="327" t="str">
        <f>LEFT(J60,10)</f>
        <v/>
      </c>
    </row>
    <row r="61" spans="1:15" ht="57.6" customHeight="1" x14ac:dyDescent="0.25">
      <c r="A61" s="375"/>
      <c r="B61" s="375"/>
      <c r="C61" s="375"/>
      <c r="D61" s="375"/>
      <c r="E61" s="375"/>
      <c r="F61" s="377"/>
      <c r="G61" s="387"/>
      <c r="H61" s="375"/>
      <c r="I61" s="376"/>
      <c r="J61" s="375"/>
      <c r="K61" s="377"/>
      <c r="L61" s="378"/>
      <c r="M61" s="379"/>
      <c r="N61" s="380"/>
      <c r="O61" s="327" t="str">
        <f>LEFT(J61,10)</f>
        <v/>
      </c>
    </row>
    <row r="62" spans="1:15" ht="57.6" customHeight="1" x14ac:dyDescent="0.25">
      <c r="A62" s="375"/>
      <c r="B62" s="375"/>
      <c r="C62" s="375"/>
      <c r="D62" s="375"/>
      <c r="E62" s="375"/>
      <c r="F62" s="377"/>
      <c r="G62" s="387"/>
      <c r="H62" s="375"/>
      <c r="I62" s="376"/>
      <c r="J62" s="375"/>
      <c r="K62" s="377"/>
      <c r="L62" s="378"/>
      <c r="M62" s="379"/>
      <c r="N62" s="380"/>
      <c r="O62" s="327" t="str">
        <f>LEFT(J62,10)</f>
        <v/>
      </c>
    </row>
    <row r="63" spans="1:15" ht="57.6" customHeight="1" x14ac:dyDescent="0.25">
      <c r="A63" s="375"/>
      <c r="B63" s="375"/>
      <c r="C63" s="375"/>
      <c r="D63" s="375"/>
      <c r="E63" s="375"/>
      <c r="F63" s="377"/>
      <c r="G63" s="387"/>
      <c r="H63" s="375"/>
      <c r="I63" s="376"/>
      <c r="J63" s="375"/>
      <c r="K63" s="377"/>
      <c r="L63" s="378"/>
      <c r="M63" s="379"/>
      <c r="N63" s="380"/>
      <c r="O63" s="327" t="str">
        <f>LEFT(J63,10)</f>
        <v/>
      </c>
    </row>
    <row r="64" spans="1:15" ht="57.6" customHeight="1" x14ac:dyDescent="0.25">
      <c r="A64" s="375"/>
      <c r="B64" s="375"/>
      <c r="C64" s="375"/>
      <c r="D64" s="375"/>
      <c r="E64" s="375"/>
      <c r="F64" s="377"/>
      <c r="G64" s="387"/>
      <c r="H64" s="375"/>
      <c r="I64" s="376"/>
      <c r="J64" s="375"/>
      <c r="K64" s="377"/>
      <c r="L64" s="378"/>
      <c r="M64" s="379"/>
      <c r="N64" s="380"/>
      <c r="O64" s="327" t="str">
        <f>LEFT(J64,10)</f>
        <v/>
      </c>
    </row>
    <row r="65" spans="1:15" ht="57.6" customHeight="1" x14ac:dyDescent="0.25">
      <c r="A65" s="375"/>
      <c r="B65" s="375"/>
      <c r="C65" s="375"/>
      <c r="D65" s="375"/>
      <c r="E65" s="375"/>
      <c r="F65" s="377"/>
      <c r="G65" s="387"/>
      <c r="H65" s="375"/>
      <c r="I65" s="376"/>
      <c r="J65" s="375"/>
      <c r="K65" s="377"/>
      <c r="L65" s="378"/>
      <c r="M65" s="379"/>
      <c r="N65" s="380"/>
      <c r="O65" s="327" t="str">
        <f>LEFT(J65,10)</f>
        <v/>
      </c>
    </row>
    <row r="66" spans="1:15" ht="57.6" customHeight="1" x14ac:dyDescent="0.25">
      <c r="A66" s="375"/>
      <c r="B66" s="375"/>
      <c r="C66" s="375"/>
      <c r="D66" s="375"/>
      <c r="E66" s="375"/>
      <c r="F66" s="377"/>
      <c r="G66" s="387"/>
      <c r="H66" s="375"/>
      <c r="I66" s="376"/>
      <c r="J66" s="375"/>
      <c r="K66" s="377"/>
      <c r="L66" s="378"/>
      <c r="M66" s="379"/>
      <c r="N66" s="380"/>
      <c r="O66" s="327" t="str">
        <f>LEFT(J66,10)</f>
        <v/>
      </c>
    </row>
    <row r="67" spans="1:15" ht="57.6" customHeight="1" x14ac:dyDescent="0.25">
      <c r="A67" s="375"/>
      <c r="B67" s="375"/>
      <c r="C67" s="375"/>
      <c r="D67" s="375"/>
      <c r="E67" s="375"/>
      <c r="F67" s="377"/>
      <c r="G67" s="387"/>
      <c r="H67" s="375"/>
      <c r="I67" s="376"/>
      <c r="J67" s="375"/>
      <c r="K67" s="377"/>
      <c r="L67" s="378"/>
      <c r="M67" s="379"/>
      <c r="N67" s="380"/>
      <c r="O67" s="327" t="str">
        <f>LEFT(J67,10)</f>
        <v/>
      </c>
    </row>
    <row r="68" spans="1:15" ht="57.6" customHeight="1" x14ac:dyDescent="0.25">
      <c r="A68" s="375"/>
      <c r="B68" s="375"/>
      <c r="C68" s="375"/>
      <c r="D68" s="375"/>
      <c r="E68" s="375"/>
      <c r="F68" s="377"/>
      <c r="G68" s="387"/>
      <c r="H68" s="375"/>
      <c r="I68" s="376"/>
      <c r="J68" s="375"/>
      <c r="K68" s="377"/>
      <c r="L68" s="378"/>
      <c r="M68" s="379"/>
      <c r="N68" s="380"/>
      <c r="O68" s="327" t="str">
        <f>LEFT(J68,10)</f>
        <v/>
      </c>
    </row>
    <row r="69" spans="1:15" ht="57.6" customHeight="1" x14ac:dyDescent="0.25">
      <c r="A69" s="375"/>
      <c r="B69" s="375"/>
      <c r="C69" s="375"/>
      <c r="D69" s="375"/>
      <c r="E69" s="375"/>
      <c r="F69" s="377"/>
      <c r="G69" s="387"/>
      <c r="H69" s="375"/>
      <c r="I69" s="376"/>
      <c r="J69" s="375"/>
      <c r="K69" s="377"/>
      <c r="L69" s="378"/>
      <c r="M69" s="379"/>
      <c r="N69" s="380"/>
      <c r="O69" s="327" t="str">
        <f>LEFT(J69,10)</f>
        <v/>
      </c>
    </row>
    <row r="70" spans="1:15" ht="57.6" customHeight="1" x14ac:dyDescent="0.25">
      <c r="A70" s="375"/>
      <c r="B70" s="375"/>
      <c r="C70" s="375"/>
      <c r="D70" s="375"/>
      <c r="E70" s="375"/>
      <c r="F70" s="377"/>
      <c r="G70" s="387"/>
      <c r="H70" s="375"/>
      <c r="I70" s="376"/>
      <c r="J70" s="375"/>
      <c r="K70" s="377"/>
      <c r="L70" s="378"/>
      <c r="M70" s="379"/>
      <c r="N70" s="380"/>
      <c r="O70" s="327" t="str">
        <f>LEFT(J70,10)</f>
        <v/>
      </c>
    </row>
    <row r="71" spans="1:15" ht="57.6" customHeight="1" x14ac:dyDescent="0.25">
      <c r="A71" s="375"/>
      <c r="B71" s="375"/>
      <c r="C71" s="375"/>
      <c r="D71" s="375"/>
      <c r="E71" s="375"/>
      <c r="F71" s="377"/>
      <c r="G71" s="387"/>
      <c r="H71" s="375"/>
      <c r="I71" s="376"/>
      <c r="J71" s="375"/>
      <c r="K71" s="377"/>
      <c r="L71" s="378"/>
      <c r="M71" s="379"/>
      <c r="N71" s="380"/>
      <c r="O71" s="327" t="str">
        <f>LEFT(J71,10)</f>
        <v/>
      </c>
    </row>
    <row r="72" spans="1:15" ht="57.6" customHeight="1" x14ac:dyDescent="0.25">
      <c r="A72" s="375"/>
      <c r="B72" s="375"/>
      <c r="C72" s="375"/>
      <c r="D72" s="375"/>
      <c r="E72" s="375"/>
      <c r="F72" s="377"/>
      <c r="G72" s="387"/>
      <c r="H72" s="375"/>
      <c r="I72" s="376"/>
      <c r="J72" s="375"/>
      <c r="K72" s="377"/>
      <c r="L72" s="378"/>
      <c r="M72" s="379"/>
      <c r="N72" s="380"/>
      <c r="O72" s="327" t="str">
        <f>LEFT(J72,10)</f>
        <v/>
      </c>
    </row>
    <row r="73" spans="1:15" ht="57.6" customHeight="1" x14ac:dyDescent="0.25">
      <c r="A73" s="375"/>
      <c r="B73" s="375"/>
      <c r="C73" s="375"/>
      <c r="D73" s="375"/>
      <c r="E73" s="375"/>
      <c r="F73" s="377"/>
      <c r="G73" s="387"/>
      <c r="H73" s="375"/>
      <c r="I73" s="376"/>
      <c r="J73" s="375"/>
      <c r="K73" s="377"/>
      <c r="L73" s="378"/>
      <c r="M73" s="379"/>
      <c r="N73" s="380"/>
      <c r="O73" s="327" t="str">
        <f>LEFT(J73,10)</f>
        <v/>
      </c>
    </row>
    <row r="74" spans="1:15" ht="57.6" customHeight="1" x14ac:dyDescent="0.25">
      <c r="A74" s="375"/>
      <c r="B74" s="375"/>
      <c r="C74" s="375"/>
      <c r="D74" s="375"/>
      <c r="E74" s="375"/>
      <c r="F74" s="377"/>
      <c r="G74" s="387"/>
      <c r="H74" s="375"/>
      <c r="I74" s="376"/>
      <c r="J74" s="375"/>
      <c r="K74" s="377"/>
      <c r="L74" s="378"/>
      <c r="M74" s="379"/>
      <c r="N74" s="380"/>
      <c r="O74" s="327" t="str">
        <f>LEFT(J74,10)</f>
        <v/>
      </c>
    </row>
    <row r="75" spans="1:15" ht="57.6" customHeight="1" x14ac:dyDescent="0.25">
      <c r="A75" s="375"/>
      <c r="B75" s="375"/>
      <c r="C75" s="375"/>
      <c r="D75" s="375"/>
      <c r="E75" s="375"/>
      <c r="F75" s="377"/>
      <c r="G75" s="387"/>
      <c r="H75" s="375"/>
      <c r="I75" s="376"/>
      <c r="J75" s="375"/>
      <c r="K75" s="377"/>
      <c r="L75" s="378"/>
      <c r="M75" s="379"/>
      <c r="N75" s="380"/>
      <c r="O75" s="327" t="str">
        <f>LEFT(J75,10)</f>
        <v/>
      </c>
    </row>
    <row r="76" spans="1:15" ht="57.6" customHeight="1" x14ac:dyDescent="0.25">
      <c r="A76" s="375"/>
      <c r="B76" s="375"/>
      <c r="C76" s="375"/>
      <c r="D76" s="375"/>
      <c r="E76" s="375"/>
      <c r="F76" s="377"/>
      <c r="G76" s="387"/>
      <c r="H76" s="375"/>
      <c r="I76" s="376"/>
      <c r="J76" s="375"/>
      <c r="K76" s="377"/>
      <c r="L76" s="378"/>
      <c r="M76" s="379"/>
      <c r="N76" s="380"/>
      <c r="O76" s="327" t="str">
        <f>LEFT(J76,10)</f>
        <v/>
      </c>
    </row>
    <row r="77" spans="1:15" ht="57.6" customHeight="1" x14ac:dyDescent="0.25">
      <c r="A77" s="375"/>
      <c r="B77" s="375"/>
      <c r="C77" s="375"/>
      <c r="D77" s="375"/>
      <c r="E77" s="375"/>
      <c r="F77" s="377"/>
      <c r="G77" s="387"/>
      <c r="H77" s="375"/>
      <c r="I77" s="376"/>
      <c r="J77" s="375"/>
      <c r="K77" s="377"/>
      <c r="L77" s="378"/>
      <c r="M77" s="379"/>
      <c r="N77" s="380"/>
      <c r="O77" s="327" t="str">
        <f>LEFT(J77,10)</f>
        <v/>
      </c>
    </row>
    <row r="78" spans="1:15" ht="57.6" customHeight="1" x14ac:dyDescent="0.25">
      <c r="A78" s="375"/>
      <c r="B78" s="375"/>
      <c r="C78" s="375"/>
      <c r="D78" s="375"/>
      <c r="E78" s="375"/>
      <c r="F78" s="377"/>
      <c r="G78" s="387"/>
      <c r="H78" s="375"/>
      <c r="I78" s="376"/>
      <c r="J78" s="375"/>
      <c r="K78" s="377"/>
      <c r="L78" s="378"/>
      <c r="M78" s="379"/>
      <c r="N78" s="380"/>
      <c r="O78" s="327" t="str">
        <f>LEFT(J78,10)</f>
        <v/>
      </c>
    </row>
    <row r="79" spans="1:15" ht="57.6" customHeight="1" x14ac:dyDescent="0.25">
      <c r="A79" s="375"/>
      <c r="B79" s="375"/>
      <c r="C79" s="375"/>
      <c r="D79" s="375"/>
      <c r="E79" s="375"/>
      <c r="F79" s="377"/>
      <c r="G79" s="387"/>
      <c r="H79" s="375"/>
      <c r="I79" s="376"/>
      <c r="J79" s="375"/>
      <c r="K79" s="377"/>
      <c r="L79" s="378"/>
      <c r="M79" s="379"/>
      <c r="N79" s="380"/>
      <c r="O79" s="327" t="str">
        <f>LEFT(J79,10)</f>
        <v/>
      </c>
    </row>
    <row r="80" spans="1:15" ht="57.6" customHeight="1" x14ac:dyDescent="0.25">
      <c r="A80" s="375"/>
      <c r="B80" s="375"/>
      <c r="C80" s="375"/>
      <c r="D80" s="375"/>
      <c r="E80" s="375"/>
      <c r="F80" s="377"/>
      <c r="G80" s="387"/>
      <c r="H80" s="375"/>
      <c r="I80" s="376"/>
      <c r="J80" s="375"/>
      <c r="K80" s="377"/>
      <c r="L80" s="378"/>
      <c r="M80" s="379"/>
      <c r="N80" s="380"/>
      <c r="O80" s="327" t="str">
        <f>LEFT(J80,10)</f>
        <v/>
      </c>
    </row>
    <row r="81" spans="1:15" ht="57.6" customHeight="1" x14ac:dyDescent="0.25">
      <c r="A81" s="375"/>
      <c r="B81" s="375"/>
      <c r="C81" s="375"/>
      <c r="D81" s="375"/>
      <c r="E81" s="375"/>
      <c r="F81" s="377"/>
      <c r="G81" s="387"/>
      <c r="H81" s="375"/>
      <c r="I81" s="376"/>
      <c r="J81" s="375"/>
      <c r="K81" s="377"/>
      <c r="L81" s="378"/>
      <c r="M81" s="379"/>
      <c r="N81" s="380"/>
      <c r="O81" s="327" t="str">
        <f>LEFT(J81,10)</f>
        <v/>
      </c>
    </row>
    <row r="82" spans="1:15" ht="57.6" customHeight="1" x14ac:dyDescent="0.25">
      <c r="A82" s="375"/>
      <c r="B82" s="375"/>
      <c r="C82" s="375"/>
      <c r="D82" s="375"/>
      <c r="E82" s="375"/>
      <c r="F82" s="377"/>
      <c r="G82" s="387"/>
      <c r="H82" s="375"/>
      <c r="I82" s="376"/>
      <c r="J82" s="375"/>
      <c r="K82" s="377"/>
      <c r="L82" s="378"/>
      <c r="M82" s="379"/>
      <c r="N82" s="380"/>
      <c r="O82" s="327" t="str">
        <f>LEFT(J82,10)</f>
        <v/>
      </c>
    </row>
    <row r="83" spans="1:15" ht="57.6" customHeight="1" x14ac:dyDescent="0.25">
      <c r="A83" s="375"/>
      <c r="B83" s="375"/>
      <c r="C83" s="375"/>
      <c r="D83" s="375"/>
      <c r="E83" s="375"/>
      <c r="F83" s="377"/>
      <c r="G83" s="387"/>
      <c r="H83" s="375"/>
      <c r="I83" s="376"/>
      <c r="J83" s="375"/>
      <c r="K83" s="377"/>
      <c r="L83" s="378"/>
      <c r="M83" s="379"/>
      <c r="N83" s="380"/>
      <c r="O83" s="327" t="str">
        <f>LEFT(J83,10)</f>
        <v/>
      </c>
    </row>
    <row r="84" spans="1:15" ht="57.6" customHeight="1" x14ac:dyDescent="0.25">
      <c r="A84" s="375"/>
      <c r="B84" s="375"/>
      <c r="C84" s="375"/>
      <c r="D84" s="375"/>
      <c r="E84" s="375"/>
      <c r="F84" s="377"/>
      <c r="G84" s="387"/>
      <c r="H84" s="375"/>
      <c r="I84" s="376"/>
      <c r="J84" s="375"/>
      <c r="K84" s="377"/>
      <c r="L84" s="378"/>
      <c r="M84" s="379"/>
      <c r="N84" s="380"/>
      <c r="O84" s="327" t="str">
        <f>LEFT(J84,10)</f>
        <v/>
      </c>
    </row>
    <row r="85" spans="1:15" ht="57.6" customHeight="1" x14ac:dyDescent="0.25">
      <c r="A85" s="375"/>
      <c r="B85" s="375"/>
      <c r="C85" s="375"/>
      <c r="D85" s="375"/>
      <c r="E85" s="375"/>
      <c r="F85" s="377"/>
      <c r="G85" s="387"/>
      <c r="H85" s="375"/>
      <c r="I85" s="376"/>
      <c r="J85" s="375"/>
      <c r="K85" s="377"/>
      <c r="L85" s="378"/>
      <c r="M85" s="379"/>
      <c r="N85" s="380"/>
      <c r="O85" s="327" t="str">
        <f>LEFT(J85,10)</f>
        <v/>
      </c>
    </row>
    <row r="86" spans="1:15" s="5" customFormat="1" ht="57.6" customHeight="1" x14ac:dyDescent="0.25">
      <c r="A86" s="375"/>
      <c r="B86" s="375"/>
      <c r="C86" s="375"/>
      <c r="D86" s="375"/>
      <c r="E86" s="375"/>
      <c r="F86" s="377"/>
      <c r="G86" s="387"/>
      <c r="H86" s="375"/>
      <c r="I86" s="376"/>
      <c r="J86" s="375"/>
      <c r="K86" s="377"/>
      <c r="L86" s="378"/>
      <c r="M86" s="379"/>
      <c r="N86" s="380"/>
      <c r="O86" s="327" t="str">
        <f>LEFT(J86,10)</f>
        <v/>
      </c>
    </row>
    <row r="87" spans="1:15" s="5" customFormat="1" ht="57.6" customHeight="1" x14ac:dyDescent="0.25">
      <c r="A87" s="375"/>
      <c r="B87" s="375"/>
      <c r="C87" s="375"/>
      <c r="D87" s="375"/>
      <c r="E87" s="375"/>
      <c r="F87" s="377"/>
      <c r="G87" s="387"/>
      <c r="H87" s="375"/>
      <c r="I87" s="376"/>
      <c r="J87" s="375"/>
      <c r="K87" s="377"/>
      <c r="L87" s="378"/>
      <c r="M87" s="379"/>
      <c r="N87" s="380"/>
      <c r="O87" s="327" t="str">
        <f>LEFT(J87,10)</f>
        <v/>
      </c>
    </row>
    <row r="88" spans="1:15" ht="57.6" customHeight="1" x14ac:dyDescent="0.25">
      <c r="A88" s="375"/>
      <c r="B88" s="375"/>
      <c r="C88" s="375"/>
      <c r="D88" s="375"/>
      <c r="E88" s="375"/>
      <c r="F88" s="377"/>
      <c r="G88" s="387"/>
      <c r="H88" s="375"/>
      <c r="I88" s="376"/>
      <c r="J88" s="375"/>
      <c r="K88" s="377"/>
      <c r="L88" s="378"/>
      <c r="M88" s="379"/>
      <c r="N88" s="380"/>
      <c r="O88" s="327" t="str">
        <f>LEFT(J88,10)</f>
        <v/>
      </c>
    </row>
    <row r="89" spans="1:15" ht="57.6" customHeight="1" x14ac:dyDescent="0.25">
      <c r="A89" s="375"/>
      <c r="B89" s="375"/>
      <c r="C89" s="375"/>
      <c r="D89" s="375"/>
      <c r="E89" s="375"/>
      <c r="F89" s="377"/>
      <c r="G89" s="387"/>
      <c r="H89" s="375"/>
      <c r="I89" s="376"/>
      <c r="J89" s="375"/>
      <c r="K89" s="377"/>
      <c r="L89" s="378"/>
      <c r="M89" s="379"/>
      <c r="N89" s="380"/>
      <c r="O89" s="327" t="str">
        <f>LEFT(J89,10)</f>
        <v/>
      </c>
    </row>
    <row r="90" spans="1:15" ht="57.6" customHeight="1" x14ac:dyDescent="0.25">
      <c r="A90" s="375"/>
      <c r="B90" s="375"/>
      <c r="C90" s="375"/>
      <c r="D90" s="375"/>
      <c r="E90" s="375"/>
      <c r="F90" s="377"/>
      <c r="G90" s="387"/>
      <c r="H90" s="375"/>
      <c r="I90" s="376"/>
      <c r="J90" s="375"/>
      <c r="K90" s="377"/>
      <c r="L90" s="378"/>
      <c r="M90" s="379"/>
      <c r="N90" s="380"/>
      <c r="O90" s="327" t="str">
        <f>LEFT(J90,10)</f>
        <v/>
      </c>
    </row>
    <row r="91" spans="1:15" ht="57.6" customHeight="1" x14ac:dyDescent="0.25">
      <c r="A91" s="375"/>
      <c r="B91" s="375"/>
      <c r="C91" s="375"/>
      <c r="D91" s="375"/>
      <c r="E91" s="375"/>
      <c r="F91" s="377"/>
      <c r="G91" s="387"/>
      <c r="H91" s="375"/>
      <c r="I91" s="376"/>
      <c r="J91" s="375"/>
      <c r="K91" s="377"/>
      <c r="L91" s="378"/>
      <c r="M91" s="379"/>
      <c r="N91" s="380"/>
      <c r="O91" s="327" t="str">
        <f>LEFT(J91,10)</f>
        <v/>
      </c>
    </row>
    <row r="92" spans="1:15" ht="57.6" customHeight="1" x14ac:dyDescent="0.25">
      <c r="A92" s="375"/>
      <c r="B92" s="375"/>
      <c r="C92" s="375"/>
      <c r="D92" s="375"/>
      <c r="E92" s="375"/>
      <c r="F92" s="377"/>
      <c r="G92" s="387"/>
      <c r="H92" s="375"/>
      <c r="I92" s="376"/>
      <c r="J92" s="375"/>
      <c r="K92" s="377"/>
      <c r="L92" s="378"/>
      <c r="M92" s="379"/>
      <c r="N92" s="380"/>
      <c r="O92" s="327" t="str">
        <f>LEFT(J92,10)</f>
        <v/>
      </c>
    </row>
    <row r="93" spans="1:15" s="5" customFormat="1" ht="57.6" customHeight="1" x14ac:dyDescent="0.25">
      <c r="A93" s="375"/>
      <c r="B93" s="375"/>
      <c r="C93" s="375"/>
      <c r="D93" s="375"/>
      <c r="E93" s="375"/>
      <c r="F93" s="377"/>
      <c r="G93" s="387"/>
      <c r="H93" s="375"/>
      <c r="I93" s="376"/>
      <c r="J93" s="375"/>
      <c r="K93" s="377"/>
      <c r="L93" s="378"/>
      <c r="M93" s="379"/>
      <c r="N93" s="380"/>
      <c r="O93" s="327" t="str">
        <f>LEFT(J93,10)</f>
        <v/>
      </c>
    </row>
    <row r="94" spans="1:15" ht="57.6" customHeight="1" x14ac:dyDescent="0.25">
      <c r="A94" s="375"/>
      <c r="B94" s="375"/>
      <c r="C94" s="375"/>
      <c r="D94" s="375"/>
      <c r="E94" s="375"/>
      <c r="F94" s="377"/>
      <c r="G94" s="387"/>
      <c r="H94" s="375"/>
      <c r="I94" s="376"/>
      <c r="J94" s="375"/>
      <c r="K94" s="377"/>
      <c r="L94" s="378"/>
      <c r="M94" s="379"/>
      <c r="N94" s="380"/>
      <c r="O94" s="327" t="str">
        <f>LEFT(J94,10)</f>
        <v/>
      </c>
    </row>
    <row r="95" spans="1:15" ht="57.6" customHeight="1" x14ac:dyDescent="0.25">
      <c r="A95" s="375"/>
      <c r="B95" s="375"/>
      <c r="C95" s="375"/>
      <c r="D95" s="375"/>
      <c r="E95" s="375"/>
      <c r="F95" s="377"/>
      <c r="G95" s="387"/>
      <c r="H95" s="375"/>
      <c r="I95" s="376"/>
      <c r="J95" s="375"/>
      <c r="K95" s="377"/>
      <c r="L95" s="378"/>
      <c r="M95" s="379"/>
      <c r="N95" s="380"/>
      <c r="O95" s="327" t="str">
        <f>LEFT(J95,10)</f>
        <v/>
      </c>
    </row>
    <row r="96" spans="1:15" ht="57.6" customHeight="1" x14ac:dyDescent="0.25">
      <c r="A96" s="375"/>
      <c r="B96" s="375"/>
      <c r="C96" s="375"/>
      <c r="D96" s="375"/>
      <c r="E96" s="375"/>
      <c r="F96" s="377"/>
      <c r="G96" s="387"/>
      <c r="H96" s="375"/>
      <c r="I96" s="376"/>
      <c r="J96" s="375"/>
      <c r="K96" s="377"/>
      <c r="L96" s="378"/>
      <c r="M96" s="379"/>
      <c r="N96" s="380"/>
      <c r="O96" s="327" t="str">
        <f>LEFT(J96,10)</f>
        <v/>
      </c>
    </row>
    <row r="97" spans="1:15" ht="57.6" customHeight="1" x14ac:dyDescent="0.25">
      <c r="A97" s="375"/>
      <c r="B97" s="375"/>
      <c r="C97" s="375"/>
      <c r="D97" s="375"/>
      <c r="E97" s="375"/>
      <c r="F97" s="377"/>
      <c r="G97" s="387"/>
      <c r="H97" s="375"/>
      <c r="I97" s="376"/>
      <c r="J97" s="375"/>
      <c r="K97" s="377"/>
      <c r="L97" s="378"/>
      <c r="M97" s="379"/>
      <c r="N97" s="380"/>
      <c r="O97" s="327" t="str">
        <f>LEFT(J97,10)</f>
        <v/>
      </c>
    </row>
    <row r="98" spans="1:15" ht="57.6" customHeight="1" x14ac:dyDescent="0.25">
      <c r="A98" s="375"/>
      <c r="B98" s="375"/>
      <c r="C98" s="375"/>
      <c r="D98" s="375"/>
      <c r="E98" s="375"/>
      <c r="F98" s="377"/>
      <c r="G98" s="387"/>
      <c r="H98" s="375"/>
      <c r="I98" s="376"/>
      <c r="J98" s="375"/>
      <c r="K98" s="377"/>
      <c r="L98" s="378"/>
      <c r="M98" s="379"/>
      <c r="N98" s="380"/>
      <c r="O98" s="327" t="str">
        <f>LEFT(J98,10)</f>
        <v/>
      </c>
    </row>
    <row r="99" spans="1:15" ht="57.6" customHeight="1" x14ac:dyDescent="0.25">
      <c r="A99" s="375"/>
      <c r="B99" s="375"/>
      <c r="C99" s="375"/>
      <c r="D99" s="375"/>
      <c r="E99" s="375"/>
      <c r="F99" s="377"/>
      <c r="G99" s="387"/>
      <c r="H99" s="375"/>
      <c r="I99" s="376"/>
      <c r="J99" s="375"/>
      <c r="K99" s="377"/>
      <c r="L99" s="378"/>
      <c r="M99" s="484"/>
      <c r="N99" s="380"/>
      <c r="O99" s="327" t="str">
        <f>LEFT(J99,10)</f>
        <v/>
      </c>
    </row>
    <row r="100" spans="1:15" ht="57.6" customHeight="1" x14ac:dyDescent="0.25">
      <c r="A100" s="375"/>
      <c r="B100" s="375"/>
      <c r="C100" s="375"/>
      <c r="D100" s="375"/>
      <c r="E100" s="375"/>
      <c r="F100" s="377"/>
      <c r="G100" s="387"/>
      <c r="H100" s="375"/>
      <c r="I100" s="376"/>
      <c r="J100" s="375"/>
      <c r="K100" s="377"/>
      <c r="L100" s="378"/>
      <c r="M100" s="484"/>
      <c r="N100" s="380"/>
      <c r="O100" s="327" t="str">
        <f>LEFT(J100,10)</f>
        <v/>
      </c>
    </row>
    <row r="101" spans="1:15" ht="57.6" customHeight="1" x14ac:dyDescent="0.25">
      <c r="A101" s="375"/>
      <c r="B101" s="375"/>
      <c r="C101" s="375"/>
      <c r="D101" s="375"/>
      <c r="E101" s="375"/>
      <c r="F101" s="377"/>
      <c r="G101" s="387"/>
      <c r="H101" s="375"/>
      <c r="I101" s="376"/>
      <c r="J101" s="375"/>
      <c r="K101" s="377"/>
      <c r="L101" s="378"/>
      <c r="M101" s="379"/>
      <c r="N101" s="380"/>
      <c r="O101" s="327" t="str">
        <f>LEFT(J101,10)</f>
        <v/>
      </c>
    </row>
    <row r="102" spans="1:15" ht="57.6" customHeight="1" x14ac:dyDescent="0.25">
      <c r="A102" s="375"/>
      <c r="B102" s="375"/>
      <c r="C102" s="375"/>
      <c r="D102" s="375"/>
      <c r="E102" s="375"/>
      <c r="F102" s="377"/>
      <c r="G102" s="387"/>
      <c r="H102" s="375"/>
      <c r="I102" s="376"/>
      <c r="J102" s="375"/>
      <c r="K102" s="377"/>
      <c r="L102" s="378"/>
      <c r="M102" s="379"/>
      <c r="N102" s="380"/>
      <c r="O102" s="327" t="str">
        <f>LEFT(J102,10)</f>
        <v/>
      </c>
    </row>
    <row r="103" spans="1:15" ht="57.6" customHeight="1" x14ac:dyDescent="0.25">
      <c r="A103" s="375"/>
      <c r="B103" s="375"/>
      <c r="C103" s="375"/>
      <c r="D103" s="375"/>
      <c r="E103" s="375"/>
      <c r="F103" s="377"/>
      <c r="G103" s="387"/>
      <c r="H103" s="375"/>
      <c r="I103" s="376"/>
      <c r="J103" s="375"/>
      <c r="K103" s="377"/>
      <c r="L103" s="378"/>
      <c r="M103" s="379"/>
      <c r="N103" s="380"/>
      <c r="O103" s="327" t="str">
        <f>LEFT(J103,10)</f>
        <v/>
      </c>
    </row>
    <row r="104" spans="1:15" ht="57.6" customHeight="1" x14ac:dyDescent="0.25">
      <c r="A104" s="375"/>
      <c r="B104" s="375"/>
      <c r="C104" s="375"/>
      <c r="D104" s="375"/>
      <c r="E104" s="375"/>
      <c r="F104" s="377"/>
      <c r="G104" s="387"/>
      <c r="H104" s="375"/>
      <c r="I104" s="376"/>
      <c r="J104" s="375"/>
      <c r="K104" s="377"/>
      <c r="L104" s="378"/>
      <c r="M104" s="379"/>
      <c r="N104" s="380"/>
      <c r="O104" s="327" t="str">
        <f>LEFT(J104,10)</f>
        <v/>
      </c>
    </row>
    <row r="105" spans="1:15" ht="57.6" customHeight="1" x14ac:dyDescent="0.25">
      <c r="A105" s="375"/>
      <c r="B105" s="375"/>
      <c r="C105" s="375"/>
      <c r="D105" s="375"/>
      <c r="E105" s="375"/>
      <c r="F105" s="377"/>
      <c r="G105" s="387"/>
      <c r="H105" s="375"/>
      <c r="I105" s="376"/>
      <c r="J105" s="375"/>
      <c r="K105" s="377"/>
      <c r="L105" s="378"/>
      <c r="M105" s="379"/>
      <c r="N105" s="380"/>
      <c r="O105" s="327" t="str">
        <f>LEFT(J105,10)</f>
        <v/>
      </c>
    </row>
    <row r="106" spans="1:15" ht="57.6" customHeight="1" x14ac:dyDescent="0.25">
      <c r="A106" s="375"/>
      <c r="B106" s="375"/>
      <c r="C106" s="375"/>
      <c r="D106" s="375"/>
      <c r="E106" s="375"/>
      <c r="F106" s="377"/>
      <c r="G106" s="387"/>
      <c r="H106" s="375"/>
      <c r="I106" s="376"/>
      <c r="J106" s="375"/>
      <c r="K106" s="377"/>
      <c r="L106" s="378"/>
      <c r="M106" s="379"/>
      <c r="N106" s="380"/>
      <c r="O106" s="327" t="str">
        <f>LEFT(J106,10)</f>
        <v/>
      </c>
    </row>
    <row r="107" spans="1:15" ht="57.6" customHeight="1" x14ac:dyDescent="0.25">
      <c r="A107" s="375"/>
      <c r="B107" s="375"/>
      <c r="C107" s="375"/>
      <c r="D107" s="375"/>
      <c r="E107" s="375"/>
      <c r="F107" s="377"/>
      <c r="G107" s="387"/>
      <c r="H107" s="375"/>
      <c r="I107" s="376"/>
      <c r="J107" s="375"/>
      <c r="K107" s="377"/>
      <c r="L107" s="378"/>
      <c r="M107" s="379"/>
      <c r="N107" s="380"/>
      <c r="O107" s="327" t="str">
        <f>LEFT(J107,10)</f>
        <v/>
      </c>
    </row>
    <row r="108" spans="1:15" ht="57.6" customHeight="1" x14ac:dyDescent="0.25">
      <c r="A108" s="375"/>
      <c r="B108" s="375"/>
      <c r="C108" s="375"/>
      <c r="D108" s="375"/>
      <c r="E108" s="375"/>
      <c r="F108" s="377"/>
      <c r="G108" s="387"/>
      <c r="H108" s="375"/>
      <c r="I108" s="376"/>
      <c r="J108" s="375"/>
      <c r="K108" s="377"/>
      <c r="L108" s="378"/>
      <c r="M108" s="379"/>
      <c r="N108" s="380"/>
      <c r="O108" s="327" t="str">
        <f>LEFT(J108,10)</f>
        <v/>
      </c>
    </row>
    <row r="109" spans="1:15" ht="57.6" customHeight="1" x14ac:dyDescent="0.25">
      <c r="A109" s="375"/>
      <c r="B109" s="375"/>
      <c r="C109" s="375"/>
      <c r="D109" s="375"/>
      <c r="E109" s="375"/>
      <c r="F109" s="377"/>
      <c r="G109" s="387"/>
      <c r="H109" s="375"/>
      <c r="I109" s="376"/>
      <c r="J109" s="375"/>
      <c r="K109" s="377"/>
      <c r="L109" s="378"/>
      <c r="M109" s="379"/>
      <c r="N109" s="380"/>
      <c r="O109" s="327" t="str">
        <f>LEFT(J109,10)</f>
        <v/>
      </c>
    </row>
    <row r="110" spans="1:15" ht="57.6" customHeight="1" x14ac:dyDescent="0.25">
      <c r="A110" s="375"/>
      <c r="B110" s="375"/>
      <c r="C110" s="375"/>
      <c r="D110" s="375"/>
      <c r="E110" s="375"/>
      <c r="F110" s="377"/>
      <c r="G110" s="387"/>
      <c r="H110" s="375"/>
      <c r="I110" s="376"/>
      <c r="J110" s="375"/>
      <c r="K110" s="377"/>
      <c r="L110" s="378"/>
      <c r="M110" s="379"/>
      <c r="N110" s="380"/>
      <c r="O110" s="327" t="str">
        <f>LEFT(J110,10)</f>
        <v/>
      </c>
    </row>
    <row r="111" spans="1:15" ht="57.6" customHeight="1" x14ac:dyDescent="0.25">
      <c r="A111" s="375"/>
      <c r="B111" s="375"/>
      <c r="C111" s="375"/>
      <c r="D111" s="375"/>
      <c r="E111" s="375"/>
      <c r="F111" s="377"/>
      <c r="G111" s="387"/>
      <c r="H111" s="375"/>
      <c r="I111" s="376"/>
      <c r="J111" s="375"/>
      <c r="K111" s="377"/>
      <c r="L111" s="378"/>
      <c r="M111" s="379"/>
      <c r="N111" s="380"/>
      <c r="O111" s="327" t="str">
        <f>LEFT(J111,10)</f>
        <v/>
      </c>
    </row>
    <row r="112" spans="1:15" ht="57.6" customHeight="1" x14ac:dyDescent="0.25">
      <c r="A112" s="375"/>
      <c r="B112" s="375"/>
      <c r="C112" s="375"/>
      <c r="D112" s="375"/>
      <c r="E112" s="375"/>
      <c r="F112" s="377"/>
      <c r="G112" s="387"/>
      <c r="H112" s="375"/>
      <c r="I112" s="376"/>
      <c r="J112" s="375"/>
      <c r="K112" s="377"/>
      <c r="L112" s="378"/>
      <c r="M112" s="379"/>
      <c r="N112" s="380"/>
      <c r="O112" s="327" t="str">
        <f>LEFT(J112,10)</f>
        <v/>
      </c>
    </row>
    <row r="113" spans="1:15" ht="57.6" customHeight="1" x14ac:dyDescent="0.25">
      <c r="A113" s="375"/>
      <c r="B113" s="375"/>
      <c r="C113" s="375"/>
      <c r="D113" s="375"/>
      <c r="E113" s="375"/>
      <c r="F113" s="377"/>
      <c r="G113" s="387"/>
      <c r="H113" s="375"/>
      <c r="I113" s="376"/>
      <c r="J113" s="375"/>
      <c r="K113" s="377"/>
      <c r="L113" s="378"/>
      <c r="M113" s="379"/>
      <c r="N113" s="380"/>
      <c r="O113" s="327" t="str">
        <f>LEFT(J113,10)</f>
        <v/>
      </c>
    </row>
    <row r="114" spans="1:15" ht="57.6" customHeight="1" x14ac:dyDescent="0.25">
      <c r="A114" s="375"/>
      <c r="B114" s="375"/>
      <c r="C114" s="375"/>
      <c r="D114" s="375"/>
      <c r="E114" s="375"/>
      <c r="F114" s="377"/>
      <c r="G114" s="387"/>
      <c r="H114" s="375"/>
      <c r="I114" s="376"/>
      <c r="J114" s="375"/>
      <c r="K114" s="377"/>
      <c r="L114" s="378"/>
      <c r="M114" s="379"/>
      <c r="N114" s="380"/>
      <c r="O114" s="327" t="str">
        <f>LEFT(J114,10)</f>
        <v/>
      </c>
    </row>
    <row r="115" spans="1:15" ht="57.6" customHeight="1" x14ac:dyDescent="0.25">
      <c r="A115" s="375"/>
      <c r="B115" s="375"/>
      <c r="C115" s="375"/>
      <c r="D115" s="375"/>
      <c r="E115" s="375"/>
      <c r="F115" s="377"/>
      <c r="G115" s="387"/>
      <c r="H115" s="375"/>
      <c r="I115" s="376"/>
      <c r="J115" s="375"/>
      <c r="K115" s="377"/>
      <c r="L115" s="378"/>
      <c r="M115" s="379"/>
      <c r="N115" s="380"/>
      <c r="O115" s="327" t="str">
        <f>LEFT(J115,10)</f>
        <v/>
      </c>
    </row>
    <row r="116" spans="1:15" ht="57.6" customHeight="1" x14ac:dyDescent="0.25">
      <c r="A116" s="375"/>
      <c r="B116" s="375"/>
      <c r="C116" s="375"/>
      <c r="D116" s="375"/>
      <c r="E116" s="375"/>
      <c r="F116" s="377"/>
      <c r="G116" s="387"/>
      <c r="H116" s="375"/>
      <c r="I116" s="376"/>
      <c r="J116" s="375"/>
      <c r="K116" s="377"/>
      <c r="L116" s="378"/>
      <c r="M116" s="379"/>
      <c r="N116" s="380"/>
      <c r="O116" s="327" t="str">
        <f>LEFT(J116,10)</f>
        <v/>
      </c>
    </row>
    <row r="117" spans="1:15" ht="57.6" customHeight="1" x14ac:dyDescent="0.25">
      <c r="A117" s="375"/>
      <c r="B117" s="375"/>
      <c r="C117" s="375"/>
      <c r="D117" s="375"/>
      <c r="E117" s="375"/>
      <c r="F117" s="377"/>
      <c r="G117" s="387"/>
      <c r="H117" s="375"/>
      <c r="I117" s="376"/>
      <c r="J117" s="375"/>
      <c r="K117" s="377"/>
      <c r="L117" s="378"/>
      <c r="M117" s="379"/>
      <c r="N117" s="380"/>
      <c r="O117" s="327" t="str">
        <f>LEFT(J117,10)</f>
        <v/>
      </c>
    </row>
    <row r="118" spans="1:15" ht="57.6" customHeight="1" x14ac:dyDescent="0.25">
      <c r="A118" s="375"/>
      <c r="B118" s="375"/>
      <c r="C118" s="375"/>
      <c r="D118" s="375"/>
      <c r="E118" s="375"/>
      <c r="F118" s="377"/>
      <c r="G118" s="387"/>
      <c r="H118" s="375"/>
      <c r="I118" s="376"/>
      <c r="J118" s="375"/>
      <c r="K118" s="377"/>
      <c r="L118" s="378"/>
      <c r="M118" s="379"/>
      <c r="N118" s="380"/>
      <c r="O118" s="327" t="str">
        <f>LEFT(J118,10)</f>
        <v/>
      </c>
    </row>
    <row r="119" spans="1:15" ht="57.6" customHeight="1" x14ac:dyDescent="0.25">
      <c r="A119" s="375"/>
      <c r="B119" s="375"/>
      <c r="C119" s="375"/>
      <c r="D119" s="375"/>
      <c r="E119" s="375"/>
      <c r="F119" s="377"/>
      <c r="G119" s="387"/>
      <c r="H119" s="375"/>
      <c r="I119" s="376"/>
      <c r="J119" s="375"/>
      <c r="K119" s="377"/>
      <c r="L119" s="378"/>
      <c r="M119" s="379"/>
      <c r="N119" s="380"/>
      <c r="O119" s="327" t="str">
        <f>LEFT(J119,10)</f>
        <v/>
      </c>
    </row>
    <row r="120" spans="1:15" ht="57.6" customHeight="1" x14ac:dyDescent="0.25">
      <c r="A120" s="375"/>
      <c r="B120" s="375"/>
      <c r="C120" s="375"/>
      <c r="D120" s="375"/>
      <c r="E120" s="375"/>
      <c r="F120" s="377"/>
      <c r="G120" s="387"/>
      <c r="H120" s="375"/>
      <c r="I120" s="376"/>
      <c r="J120" s="375"/>
      <c r="K120" s="377"/>
      <c r="L120" s="378"/>
      <c r="M120" s="379"/>
      <c r="N120" s="380"/>
      <c r="O120" s="327" t="str">
        <f>LEFT(J120,10)</f>
        <v/>
      </c>
    </row>
    <row r="121" spans="1:15" ht="57.6" customHeight="1" x14ac:dyDescent="0.25">
      <c r="A121" s="375"/>
      <c r="B121" s="375"/>
      <c r="C121" s="375"/>
      <c r="D121" s="375"/>
      <c r="E121" s="375"/>
      <c r="F121" s="377"/>
      <c r="G121" s="387"/>
      <c r="H121" s="375"/>
      <c r="I121" s="376"/>
      <c r="J121" s="375"/>
      <c r="K121" s="377"/>
      <c r="L121" s="378"/>
      <c r="M121" s="379"/>
      <c r="N121" s="380"/>
      <c r="O121" s="327" t="str">
        <f>LEFT(J121,10)</f>
        <v/>
      </c>
    </row>
    <row r="122" spans="1:15" ht="57.6" customHeight="1" x14ac:dyDescent="0.25">
      <c r="A122" s="375"/>
      <c r="B122" s="375"/>
      <c r="C122" s="375"/>
      <c r="D122" s="375"/>
      <c r="E122" s="375"/>
      <c r="F122" s="377"/>
      <c r="G122" s="387"/>
      <c r="H122" s="375"/>
      <c r="I122" s="376"/>
      <c r="J122" s="375"/>
      <c r="K122" s="377"/>
      <c r="L122" s="378"/>
      <c r="M122" s="379"/>
      <c r="N122" s="380"/>
      <c r="O122" s="327" t="str">
        <f>LEFT(J122,10)</f>
        <v/>
      </c>
    </row>
    <row r="123" spans="1:15" ht="57.6" customHeight="1" x14ac:dyDescent="0.25">
      <c r="A123" s="375"/>
      <c r="B123" s="375"/>
      <c r="C123" s="375"/>
      <c r="D123" s="375"/>
      <c r="E123" s="375"/>
      <c r="F123" s="377"/>
      <c r="G123" s="387"/>
      <c r="H123" s="375"/>
      <c r="I123" s="376"/>
      <c r="J123" s="375"/>
      <c r="K123" s="377"/>
      <c r="L123" s="378"/>
      <c r="M123" s="379"/>
      <c r="N123" s="380"/>
      <c r="O123" s="327" t="str">
        <f>LEFT(J123,10)</f>
        <v/>
      </c>
    </row>
    <row r="124" spans="1:15" ht="57.6" customHeight="1" x14ac:dyDescent="0.25">
      <c r="A124" s="375"/>
      <c r="B124" s="375"/>
      <c r="C124" s="375"/>
      <c r="D124" s="375"/>
      <c r="E124" s="375"/>
      <c r="F124" s="377"/>
      <c r="G124" s="387"/>
      <c r="H124" s="375"/>
      <c r="I124" s="376"/>
      <c r="J124" s="375"/>
      <c r="K124" s="377"/>
      <c r="L124" s="378"/>
      <c r="M124" s="379"/>
      <c r="N124" s="380"/>
      <c r="O124" s="327" t="str">
        <f>LEFT(J124,10)</f>
        <v/>
      </c>
    </row>
    <row r="125" spans="1:15" ht="57.6" customHeight="1" x14ac:dyDescent="0.25">
      <c r="A125" s="375"/>
      <c r="B125" s="375"/>
      <c r="C125" s="375"/>
      <c r="D125" s="375"/>
      <c r="E125" s="375"/>
      <c r="F125" s="377"/>
      <c r="G125" s="387"/>
      <c r="H125" s="375"/>
      <c r="I125" s="376"/>
      <c r="J125" s="375"/>
      <c r="K125" s="377"/>
      <c r="L125" s="378"/>
      <c r="M125" s="379"/>
      <c r="N125" s="380"/>
      <c r="O125" s="327" t="str">
        <f>LEFT(J125,10)</f>
        <v/>
      </c>
    </row>
    <row r="126" spans="1:15" ht="57.6" customHeight="1" x14ac:dyDescent="0.25">
      <c r="A126" s="375"/>
      <c r="B126" s="375"/>
      <c r="C126" s="375"/>
      <c r="D126" s="375"/>
      <c r="E126" s="375"/>
      <c r="F126" s="377"/>
      <c r="G126" s="387"/>
      <c r="H126" s="375"/>
      <c r="I126" s="376"/>
      <c r="J126" s="375"/>
      <c r="K126" s="377"/>
      <c r="L126" s="378"/>
      <c r="M126" s="379"/>
      <c r="N126" s="380"/>
      <c r="O126" s="327" t="str">
        <f>LEFT(J126,10)</f>
        <v/>
      </c>
    </row>
    <row r="127" spans="1:15" ht="57.6" customHeight="1" x14ac:dyDescent="0.25">
      <c r="A127" s="375"/>
      <c r="B127" s="375"/>
      <c r="C127" s="375"/>
      <c r="D127" s="375"/>
      <c r="E127" s="375"/>
      <c r="F127" s="377"/>
      <c r="G127" s="387"/>
      <c r="H127" s="375"/>
      <c r="I127" s="376"/>
      <c r="J127" s="375"/>
      <c r="K127" s="377"/>
      <c r="L127" s="378"/>
      <c r="M127" s="379"/>
      <c r="N127" s="380"/>
      <c r="O127" s="327" t="str">
        <f>LEFT(J127,10)</f>
        <v/>
      </c>
    </row>
    <row r="128" spans="1:15" ht="57.6" customHeight="1" x14ac:dyDescent="0.25">
      <c r="A128" s="375"/>
      <c r="B128" s="375"/>
      <c r="C128" s="375"/>
      <c r="D128" s="375"/>
      <c r="E128" s="375"/>
      <c r="F128" s="377"/>
      <c r="G128" s="387"/>
      <c r="H128" s="375"/>
      <c r="I128" s="376"/>
      <c r="J128" s="375"/>
      <c r="K128" s="377"/>
      <c r="L128" s="378"/>
      <c r="M128" s="379"/>
      <c r="N128" s="380"/>
      <c r="O128" s="327" t="str">
        <f>LEFT(J128,10)</f>
        <v/>
      </c>
    </row>
    <row r="129" spans="1:15" ht="57.6" customHeight="1" x14ac:dyDescent="0.25">
      <c r="A129" s="375"/>
      <c r="B129" s="375"/>
      <c r="C129" s="375"/>
      <c r="D129" s="375"/>
      <c r="E129" s="375"/>
      <c r="F129" s="377"/>
      <c r="G129" s="387"/>
      <c r="H129" s="375"/>
      <c r="I129" s="376"/>
      <c r="J129" s="375"/>
      <c r="K129" s="377"/>
      <c r="L129" s="378"/>
      <c r="M129" s="379"/>
      <c r="N129" s="380"/>
      <c r="O129" s="327" t="str">
        <f>LEFT(J129,10)</f>
        <v/>
      </c>
    </row>
    <row r="130" spans="1:15" ht="57.6" customHeight="1" x14ac:dyDescent="0.25">
      <c r="A130" s="375"/>
      <c r="B130" s="375"/>
      <c r="C130" s="375"/>
      <c r="D130" s="375"/>
      <c r="E130" s="375"/>
      <c r="F130" s="377"/>
      <c r="G130" s="387"/>
      <c r="H130" s="375"/>
      <c r="I130" s="376"/>
      <c r="J130" s="375"/>
      <c r="K130" s="377"/>
      <c r="L130" s="378"/>
      <c r="M130" s="379"/>
      <c r="N130" s="380"/>
      <c r="O130" s="327" t="str">
        <f>LEFT(J130,10)</f>
        <v/>
      </c>
    </row>
    <row r="131" spans="1:15" ht="57.6" customHeight="1" x14ac:dyDescent="0.25">
      <c r="A131" s="375"/>
      <c r="B131" s="375"/>
      <c r="C131" s="375"/>
      <c r="D131" s="375"/>
      <c r="E131" s="375"/>
      <c r="F131" s="377"/>
      <c r="G131" s="387"/>
      <c r="H131" s="375"/>
      <c r="I131" s="376"/>
      <c r="J131" s="375"/>
      <c r="K131" s="377"/>
      <c r="L131" s="378"/>
      <c r="M131" s="379"/>
      <c r="N131" s="380"/>
      <c r="O131" s="327" t="str">
        <f>LEFT(J131,10)</f>
        <v/>
      </c>
    </row>
    <row r="132" spans="1:15" ht="57.6" customHeight="1" x14ac:dyDescent="0.25">
      <c r="A132" s="372"/>
      <c r="B132" s="372"/>
      <c r="C132" s="372"/>
      <c r="D132" s="372"/>
      <c r="E132" s="372"/>
      <c r="F132" s="373"/>
      <c r="G132" s="374"/>
      <c r="H132" s="375"/>
      <c r="I132" s="376"/>
      <c r="J132" s="375"/>
      <c r="K132" s="377"/>
      <c r="L132" s="378"/>
      <c r="M132" s="379"/>
      <c r="N132" s="380"/>
      <c r="O132" s="327" t="str">
        <f>LEFT(J132,10)</f>
        <v/>
      </c>
    </row>
    <row r="133" spans="1:15" ht="57.6" customHeight="1" x14ac:dyDescent="0.25">
      <c r="A133" s="372"/>
      <c r="B133" s="372"/>
      <c r="C133" s="372"/>
      <c r="D133" s="372"/>
      <c r="E133" s="372"/>
      <c r="F133" s="373"/>
      <c r="G133" s="374"/>
      <c r="H133" s="375"/>
      <c r="I133" s="376"/>
      <c r="J133" s="375"/>
      <c r="K133" s="377"/>
      <c r="L133" s="378"/>
      <c r="M133" s="379"/>
      <c r="N133" s="380"/>
      <c r="O133" s="327" t="str">
        <f>LEFT(J133,10)</f>
        <v/>
      </c>
    </row>
    <row r="134" spans="1:15" ht="57.6" customHeight="1" x14ac:dyDescent="0.25">
      <c r="A134" s="372"/>
      <c r="B134" s="372"/>
      <c r="C134" s="372"/>
      <c r="D134" s="372"/>
      <c r="E134" s="372"/>
      <c r="F134" s="373"/>
      <c r="G134" s="374"/>
      <c r="H134" s="375"/>
      <c r="I134" s="376"/>
      <c r="J134" s="375"/>
      <c r="K134" s="377"/>
      <c r="L134" s="378"/>
      <c r="M134" s="379"/>
      <c r="N134" s="380"/>
      <c r="O134" s="327" t="str">
        <f>LEFT(J134,10)</f>
        <v/>
      </c>
    </row>
    <row r="135" spans="1:15" ht="57.6" customHeight="1" x14ac:dyDescent="0.25">
      <c r="A135" s="372"/>
      <c r="B135" s="372"/>
      <c r="C135" s="372"/>
      <c r="D135" s="372"/>
      <c r="E135" s="372"/>
      <c r="F135" s="373"/>
      <c r="G135" s="374"/>
      <c r="H135" s="375"/>
      <c r="I135" s="376"/>
      <c r="J135" s="375"/>
      <c r="K135" s="377"/>
      <c r="L135" s="378"/>
      <c r="M135" s="379"/>
      <c r="N135" s="380"/>
      <c r="O135" s="327" t="str">
        <f>LEFT(J135,10)</f>
        <v/>
      </c>
    </row>
    <row r="136" spans="1:15" ht="57.6" customHeight="1" x14ac:dyDescent="0.25">
      <c r="A136" s="372"/>
      <c r="B136" s="372"/>
      <c r="C136" s="372"/>
      <c r="D136" s="372"/>
      <c r="E136" s="372"/>
      <c r="F136" s="373"/>
      <c r="G136" s="374"/>
      <c r="H136" s="375"/>
      <c r="I136" s="376"/>
      <c r="J136" s="375"/>
      <c r="K136" s="377"/>
      <c r="L136" s="378"/>
      <c r="M136" s="379"/>
      <c r="N136" s="380"/>
      <c r="O136" s="327" t="str">
        <f>LEFT(J136,10)</f>
        <v/>
      </c>
    </row>
    <row r="137" spans="1:15" ht="57.6" customHeight="1" x14ac:dyDescent="0.25">
      <c r="A137" s="372"/>
      <c r="B137" s="372"/>
      <c r="C137" s="372"/>
      <c r="D137" s="372"/>
      <c r="E137" s="372"/>
      <c r="F137" s="373"/>
      <c r="G137" s="374"/>
      <c r="H137" s="375"/>
      <c r="I137" s="376"/>
      <c r="J137" s="375"/>
      <c r="K137" s="377"/>
      <c r="L137" s="378"/>
      <c r="M137" s="379"/>
      <c r="N137" s="380"/>
      <c r="O137" s="327" t="str">
        <f>LEFT(J137,10)</f>
        <v/>
      </c>
    </row>
    <row r="138" spans="1:15" ht="57.6" customHeight="1" x14ac:dyDescent="0.25">
      <c r="A138" s="372"/>
      <c r="B138" s="372"/>
      <c r="C138" s="372"/>
      <c r="D138" s="372"/>
      <c r="E138" s="372"/>
      <c r="F138" s="373"/>
      <c r="G138" s="374"/>
      <c r="H138" s="375"/>
      <c r="I138" s="376"/>
      <c r="J138" s="375"/>
      <c r="K138" s="377"/>
      <c r="L138" s="378"/>
      <c r="M138" s="379"/>
      <c r="N138" s="380"/>
      <c r="O138" s="327" t="str">
        <f>LEFT(J138,10)</f>
        <v/>
      </c>
    </row>
    <row r="139" spans="1:15" ht="57.6" customHeight="1" x14ac:dyDescent="0.25">
      <c r="A139" s="372"/>
      <c r="B139" s="372"/>
      <c r="C139" s="372"/>
      <c r="D139" s="372"/>
      <c r="E139" s="372"/>
      <c r="F139" s="373"/>
      <c r="G139" s="374"/>
      <c r="H139" s="375"/>
      <c r="I139" s="376"/>
      <c r="J139" s="375"/>
      <c r="K139" s="377"/>
      <c r="L139" s="378"/>
      <c r="M139" s="379"/>
      <c r="N139" s="380"/>
      <c r="O139" s="327" t="str">
        <f>LEFT(J139,10)</f>
        <v/>
      </c>
    </row>
    <row r="140" spans="1:15" ht="57.6" customHeight="1" x14ac:dyDescent="0.25">
      <c r="A140" s="372"/>
      <c r="B140" s="372"/>
      <c r="C140" s="372"/>
      <c r="D140" s="372"/>
      <c r="E140" s="372"/>
      <c r="F140" s="373"/>
      <c r="G140" s="374"/>
      <c r="H140" s="375"/>
      <c r="I140" s="376"/>
      <c r="J140" s="375"/>
      <c r="K140" s="377"/>
      <c r="L140" s="378"/>
      <c r="M140" s="379"/>
      <c r="N140" s="380"/>
      <c r="O140" s="327" t="str">
        <f>LEFT(J140,10)</f>
        <v/>
      </c>
    </row>
    <row r="141" spans="1:15" ht="57.6" customHeight="1" x14ac:dyDescent="0.25">
      <c r="A141" s="372"/>
      <c r="B141" s="372"/>
      <c r="C141" s="372"/>
      <c r="D141" s="372"/>
      <c r="E141" s="372"/>
      <c r="F141" s="373"/>
      <c r="G141" s="374"/>
      <c r="H141" s="375"/>
      <c r="I141" s="376"/>
      <c r="J141" s="375"/>
      <c r="K141" s="377"/>
      <c r="L141" s="378"/>
      <c r="M141" s="379"/>
      <c r="N141" s="380"/>
      <c r="O141" s="327" t="str">
        <f>LEFT(J141,10)</f>
        <v/>
      </c>
    </row>
    <row r="142" spans="1:15" ht="57.6" customHeight="1" x14ac:dyDescent="0.25">
      <c r="A142" s="372"/>
      <c r="B142" s="372"/>
      <c r="C142" s="372"/>
      <c r="D142" s="372"/>
      <c r="E142" s="372"/>
      <c r="F142" s="373"/>
      <c r="G142" s="374"/>
      <c r="H142" s="375"/>
      <c r="I142" s="376"/>
      <c r="J142" s="375"/>
      <c r="K142" s="377"/>
      <c r="L142" s="378"/>
      <c r="M142" s="379"/>
      <c r="N142" s="380"/>
      <c r="O142" s="327" t="str">
        <f>LEFT(J142,10)</f>
        <v/>
      </c>
    </row>
    <row r="143" spans="1:15" ht="57.6" customHeight="1" x14ac:dyDescent="0.25">
      <c r="A143" s="372"/>
      <c r="B143" s="372"/>
      <c r="C143" s="372"/>
      <c r="D143" s="372"/>
      <c r="E143" s="372"/>
      <c r="F143" s="373"/>
      <c r="G143" s="374"/>
      <c r="H143" s="375"/>
      <c r="I143" s="376"/>
      <c r="J143" s="375"/>
      <c r="K143" s="377"/>
      <c r="L143" s="378"/>
      <c r="M143" s="379"/>
      <c r="N143" s="380"/>
      <c r="O143" s="327" t="str">
        <f>LEFT(J143,10)</f>
        <v/>
      </c>
    </row>
    <row r="144" spans="1:15" ht="57.6" customHeight="1" x14ac:dyDescent="0.25">
      <c r="A144" s="372"/>
      <c r="B144" s="372"/>
      <c r="C144" s="372"/>
      <c r="D144" s="372"/>
      <c r="E144" s="372"/>
      <c r="F144" s="373"/>
      <c r="G144" s="374"/>
      <c r="H144" s="375"/>
      <c r="I144" s="376"/>
      <c r="J144" s="375"/>
      <c r="K144" s="377"/>
      <c r="L144" s="378"/>
      <c r="M144" s="379"/>
      <c r="N144" s="380"/>
      <c r="O144" s="327" t="str">
        <f>LEFT(J144,10)</f>
        <v/>
      </c>
    </row>
    <row r="145" spans="1:15" ht="57.6" customHeight="1" x14ac:dyDescent="0.25">
      <c r="A145" s="372"/>
      <c r="B145" s="372"/>
      <c r="C145" s="372"/>
      <c r="D145" s="372"/>
      <c r="E145" s="372"/>
      <c r="F145" s="373"/>
      <c r="G145" s="374"/>
      <c r="H145" s="375"/>
      <c r="I145" s="376"/>
      <c r="J145" s="375"/>
      <c r="K145" s="377"/>
      <c r="L145" s="378"/>
      <c r="M145" s="379"/>
      <c r="N145" s="380"/>
      <c r="O145" s="327" t="str">
        <f>LEFT(J145,10)</f>
        <v/>
      </c>
    </row>
    <row r="146" spans="1:15" ht="57.6" customHeight="1" x14ac:dyDescent="0.25">
      <c r="A146" s="372"/>
      <c r="B146" s="372"/>
      <c r="C146" s="372"/>
      <c r="D146" s="372"/>
      <c r="E146" s="372"/>
      <c r="F146" s="373"/>
      <c r="G146" s="374"/>
      <c r="H146" s="375"/>
      <c r="I146" s="376"/>
      <c r="J146" s="375"/>
      <c r="K146" s="377"/>
      <c r="L146" s="378"/>
      <c r="M146" s="379"/>
      <c r="N146" s="380"/>
      <c r="O146" s="327" t="str">
        <f>LEFT(J146,10)</f>
        <v/>
      </c>
    </row>
    <row r="147" spans="1:15" ht="57.6" customHeight="1" x14ac:dyDescent="0.25">
      <c r="A147" s="372"/>
      <c r="B147" s="372"/>
      <c r="C147" s="372"/>
      <c r="D147" s="372"/>
      <c r="E147" s="372"/>
      <c r="F147" s="373"/>
      <c r="G147" s="374"/>
      <c r="H147" s="375"/>
      <c r="I147" s="376"/>
      <c r="J147" s="375"/>
      <c r="K147" s="377"/>
      <c r="L147" s="378"/>
      <c r="M147" s="379"/>
      <c r="N147" s="380"/>
      <c r="O147" s="327" t="str">
        <f>LEFT(J147,10)</f>
        <v/>
      </c>
    </row>
    <row r="148" spans="1:15" ht="57.6" customHeight="1" x14ac:dyDescent="0.25">
      <c r="A148" s="372"/>
      <c r="B148" s="372"/>
      <c r="C148" s="372"/>
      <c r="D148" s="372"/>
      <c r="E148" s="372"/>
      <c r="F148" s="373"/>
      <c r="G148" s="374"/>
      <c r="H148" s="375"/>
      <c r="I148" s="376"/>
      <c r="J148" s="375"/>
      <c r="K148" s="377"/>
      <c r="L148" s="378"/>
      <c r="M148" s="379"/>
      <c r="N148" s="380"/>
      <c r="O148" s="327" t="str">
        <f>LEFT(J148,10)</f>
        <v/>
      </c>
    </row>
    <row r="149" spans="1:15" ht="57.6" customHeight="1" x14ac:dyDescent="0.25">
      <c r="A149" s="372"/>
      <c r="B149" s="372"/>
      <c r="C149" s="372"/>
      <c r="D149" s="372"/>
      <c r="E149" s="372"/>
      <c r="F149" s="373"/>
      <c r="G149" s="374"/>
      <c r="H149" s="375"/>
      <c r="I149" s="376"/>
      <c r="J149" s="375"/>
      <c r="K149" s="377"/>
      <c r="L149" s="378"/>
      <c r="M149" s="379"/>
      <c r="N149" s="380"/>
      <c r="O149" s="327" t="str">
        <f>LEFT(J149,10)</f>
        <v/>
      </c>
    </row>
    <row r="150" spans="1:15" ht="57.6" customHeight="1" x14ac:dyDescent="0.25">
      <c r="A150" s="372"/>
      <c r="B150" s="372"/>
      <c r="C150" s="372"/>
      <c r="D150" s="372"/>
      <c r="E150" s="372"/>
      <c r="F150" s="373"/>
      <c r="G150" s="374"/>
      <c r="H150" s="375"/>
      <c r="I150" s="376"/>
      <c r="J150" s="375"/>
      <c r="K150" s="377"/>
      <c r="L150" s="378"/>
      <c r="M150" s="379"/>
      <c r="N150" s="380"/>
      <c r="O150" s="327" t="str">
        <f>LEFT(J150,10)</f>
        <v/>
      </c>
    </row>
    <row r="151" spans="1:15" ht="57.6" customHeight="1" x14ac:dyDescent="0.25">
      <c r="A151" s="372"/>
      <c r="B151" s="372"/>
      <c r="C151" s="372"/>
      <c r="D151" s="372"/>
      <c r="E151" s="372"/>
      <c r="F151" s="373"/>
      <c r="G151" s="374"/>
      <c r="H151" s="375"/>
      <c r="I151" s="376"/>
      <c r="J151" s="375"/>
      <c r="K151" s="377"/>
      <c r="L151" s="378"/>
      <c r="M151" s="379"/>
      <c r="N151" s="380"/>
      <c r="O151" s="327" t="str">
        <f>LEFT(J151,10)</f>
        <v/>
      </c>
    </row>
    <row r="152" spans="1:15" ht="57.6" customHeight="1" x14ac:dyDescent="0.25">
      <c r="A152" s="372"/>
      <c r="B152" s="372"/>
      <c r="C152" s="372"/>
      <c r="D152" s="372"/>
      <c r="E152" s="372"/>
      <c r="F152" s="373"/>
      <c r="G152" s="374"/>
      <c r="H152" s="375"/>
      <c r="I152" s="376"/>
      <c r="J152" s="375"/>
      <c r="K152" s="377"/>
      <c r="L152" s="378"/>
      <c r="M152" s="379"/>
      <c r="N152" s="380"/>
      <c r="O152" s="327" t="str">
        <f>LEFT(J152,10)</f>
        <v/>
      </c>
    </row>
    <row r="153" spans="1:15" ht="57.6" customHeight="1" x14ac:dyDescent="0.25">
      <c r="A153" s="372"/>
      <c r="B153" s="372"/>
      <c r="C153" s="372"/>
      <c r="D153" s="372"/>
      <c r="E153" s="372"/>
      <c r="F153" s="373"/>
      <c r="G153" s="374"/>
      <c r="H153" s="375"/>
      <c r="I153" s="376"/>
      <c r="J153" s="375"/>
      <c r="K153" s="377"/>
      <c r="L153" s="378"/>
      <c r="M153" s="379"/>
      <c r="N153" s="380"/>
      <c r="O153" s="327" t="str">
        <f>LEFT(J153,10)</f>
        <v/>
      </c>
    </row>
    <row r="154" spans="1:15" ht="57.6" customHeight="1" x14ac:dyDescent="0.25">
      <c r="A154" s="372"/>
      <c r="B154" s="372"/>
      <c r="C154" s="372"/>
      <c r="D154" s="372"/>
      <c r="E154" s="372"/>
      <c r="F154" s="373"/>
      <c r="G154" s="374"/>
      <c r="H154" s="375"/>
      <c r="I154" s="376"/>
      <c r="J154" s="375"/>
      <c r="K154" s="377"/>
      <c r="L154" s="378"/>
      <c r="M154" s="379"/>
      <c r="N154" s="380"/>
      <c r="O154" s="327" t="str">
        <f>LEFT(J154,10)</f>
        <v/>
      </c>
    </row>
    <row r="155" spans="1:15" ht="57.6" customHeight="1" x14ac:dyDescent="0.25">
      <c r="A155" s="372"/>
      <c r="B155" s="372"/>
      <c r="C155" s="372"/>
      <c r="D155" s="372"/>
      <c r="E155" s="372"/>
      <c r="F155" s="373"/>
      <c r="G155" s="374"/>
      <c r="H155" s="375"/>
      <c r="I155" s="376"/>
      <c r="J155" s="375"/>
      <c r="K155" s="377"/>
      <c r="L155" s="378"/>
      <c r="M155" s="379"/>
      <c r="N155" s="380"/>
      <c r="O155" s="327" t="str">
        <f>LEFT(J155,10)</f>
        <v/>
      </c>
    </row>
    <row r="156" spans="1:15" ht="57.6" customHeight="1" x14ac:dyDescent="0.25">
      <c r="A156" s="372"/>
      <c r="B156" s="372"/>
      <c r="C156" s="372"/>
      <c r="D156" s="372"/>
      <c r="E156" s="372"/>
      <c r="F156" s="373"/>
      <c r="G156" s="374"/>
      <c r="H156" s="375"/>
      <c r="I156" s="376"/>
      <c r="J156" s="375"/>
      <c r="K156" s="377"/>
      <c r="L156" s="378"/>
      <c r="M156" s="379"/>
      <c r="N156" s="380"/>
      <c r="O156" s="327" t="str">
        <f>LEFT(J156,10)</f>
        <v/>
      </c>
    </row>
    <row r="157" spans="1:15" ht="57.6" customHeight="1" x14ac:dyDescent="0.25">
      <c r="A157" s="372"/>
      <c r="B157" s="372"/>
      <c r="C157" s="372"/>
      <c r="D157" s="372"/>
      <c r="E157" s="372"/>
      <c r="F157" s="373"/>
      <c r="G157" s="374"/>
      <c r="H157" s="375"/>
      <c r="I157" s="376"/>
      <c r="J157" s="375"/>
      <c r="K157" s="377"/>
      <c r="L157" s="378"/>
      <c r="M157" s="379"/>
      <c r="N157" s="380"/>
      <c r="O157" s="327" t="str">
        <f>LEFT(J157,10)</f>
        <v/>
      </c>
    </row>
    <row r="158" spans="1:15" ht="57.6" customHeight="1" x14ac:dyDescent="0.25">
      <c r="A158" s="372"/>
      <c r="B158" s="372"/>
      <c r="C158" s="372"/>
      <c r="D158" s="372"/>
      <c r="E158" s="372"/>
      <c r="F158" s="373"/>
      <c r="G158" s="374"/>
      <c r="H158" s="375"/>
      <c r="I158" s="376"/>
      <c r="J158" s="375"/>
      <c r="K158" s="377"/>
      <c r="L158" s="378"/>
      <c r="M158" s="379"/>
      <c r="N158" s="380"/>
      <c r="O158" s="327" t="str">
        <f>LEFT(J158,10)</f>
        <v/>
      </c>
    </row>
    <row r="159" spans="1:15" ht="57.6" customHeight="1" x14ac:dyDescent="0.25">
      <c r="A159" s="372"/>
      <c r="B159" s="372"/>
      <c r="C159" s="372"/>
      <c r="D159" s="372"/>
      <c r="E159" s="372"/>
      <c r="F159" s="373"/>
      <c r="G159" s="374"/>
      <c r="H159" s="375"/>
      <c r="I159" s="376"/>
      <c r="J159" s="375"/>
      <c r="K159" s="377"/>
      <c r="L159" s="378"/>
      <c r="M159" s="379"/>
      <c r="N159" s="380"/>
      <c r="O159" s="327" t="str">
        <f>LEFT(J159,10)</f>
        <v/>
      </c>
    </row>
    <row r="160" spans="1:15" ht="57.6" customHeight="1" x14ac:dyDescent="0.25">
      <c r="A160" s="372"/>
      <c r="B160" s="372"/>
      <c r="C160" s="372"/>
      <c r="D160" s="372"/>
      <c r="E160" s="372"/>
      <c r="F160" s="373"/>
      <c r="G160" s="374"/>
      <c r="H160" s="375"/>
      <c r="I160" s="376"/>
      <c r="J160" s="375"/>
      <c r="K160" s="377"/>
      <c r="L160" s="378"/>
      <c r="M160" s="379"/>
      <c r="N160" s="380"/>
      <c r="O160" s="327" t="str">
        <f>LEFT(J160,10)</f>
        <v/>
      </c>
    </row>
    <row r="161" spans="1:15" ht="57.6" customHeight="1" x14ac:dyDescent="0.25">
      <c r="A161" s="372"/>
      <c r="B161" s="372"/>
      <c r="C161" s="372"/>
      <c r="D161" s="372"/>
      <c r="E161" s="372"/>
      <c r="F161" s="373"/>
      <c r="G161" s="374"/>
      <c r="H161" s="375"/>
      <c r="I161" s="376"/>
      <c r="J161" s="375"/>
      <c r="K161" s="377"/>
      <c r="L161" s="378"/>
      <c r="M161" s="379"/>
      <c r="N161" s="380"/>
      <c r="O161" s="327" t="str">
        <f>LEFT(J161,10)</f>
        <v/>
      </c>
    </row>
    <row r="162" spans="1:15" ht="57.6" customHeight="1" x14ac:dyDescent="0.25">
      <c r="A162" s="372"/>
      <c r="B162" s="372"/>
      <c r="C162" s="372"/>
      <c r="D162" s="372"/>
      <c r="E162" s="372"/>
      <c r="F162" s="373"/>
      <c r="G162" s="374"/>
      <c r="H162" s="375"/>
      <c r="I162" s="376"/>
      <c r="J162" s="375"/>
      <c r="K162" s="377"/>
      <c r="L162" s="378"/>
      <c r="M162" s="379"/>
      <c r="N162" s="380"/>
      <c r="O162" s="327" t="str">
        <f>LEFT(J162,10)</f>
        <v/>
      </c>
    </row>
    <row r="163" spans="1:15" ht="57.6" customHeight="1" x14ac:dyDescent="0.25">
      <c r="A163" s="372"/>
      <c r="B163" s="372"/>
      <c r="C163" s="372"/>
      <c r="D163" s="372"/>
      <c r="E163" s="372"/>
      <c r="F163" s="373"/>
      <c r="G163" s="374"/>
      <c r="H163" s="375"/>
      <c r="I163" s="376"/>
      <c r="J163" s="375"/>
      <c r="K163" s="377"/>
      <c r="L163" s="378"/>
      <c r="M163" s="379"/>
      <c r="N163" s="380"/>
      <c r="O163" s="327" t="str">
        <f>LEFT(J163,10)</f>
        <v/>
      </c>
    </row>
    <row r="164" spans="1:15" ht="57.6" customHeight="1" x14ac:dyDescent="0.25">
      <c r="A164" s="372"/>
      <c r="B164" s="372"/>
      <c r="C164" s="372"/>
      <c r="D164" s="372"/>
      <c r="E164" s="372"/>
      <c r="F164" s="373"/>
      <c r="G164" s="374"/>
      <c r="H164" s="375"/>
      <c r="I164" s="376"/>
      <c r="J164" s="375"/>
      <c r="K164" s="377"/>
      <c r="L164" s="378"/>
      <c r="M164" s="379"/>
      <c r="N164" s="380"/>
      <c r="O164" s="327" t="str">
        <f>LEFT(J164,10)</f>
        <v/>
      </c>
    </row>
    <row r="165" spans="1:15" ht="57.6" customHeight="1" x14ac:dyDescent="0.25">
      <c r="A165" s="372"/>
      <c r="B165" s="372"/>
      <c r="C165" s="372"/>
      <c r="D165" s="372"/>
      <c r="E165" s="372"/>
      <c r="F165" s="373"/>
      <c r="G165" s="374"/>
      <c r="H165" s="375"/>
      <c r="I165" s="376"/>
      <c r="J165" s="375"/>
      <c r="K165" s="377"/>
      <c r="L165" s="378"/>
      <c r="M165" s="379"/>
      <c r="N165" s="380"/>
      <c r="O165" s="327" t="str">
        <f>LEFT(J165,10)</f>
        <v/>
      </c>
    </row>
    <row r="166" spans="1:15" ht="57.6" customHeight="1" x14ac:dyDescent="0.25">
      <c r="A166" s="372"/>
      <c r="B166" s="372"/>
      <c r="C166" s="372"/>
      <c r="D166" s="372"/>
      <c r="E166" s="372"/>
      <c r="F166" s="373"/>
      <c r="G166" s="374"/>
      <c r="H166" s="375"/>
      <c r="I166" s="376"/>
      <c r="J166" s="375"/>
      <c r="K166" s="377"/>
      <c r="L166" s="378"/>
      <c r="M166" s="379"/>
      <c r="N166" s="380"/>
      <c r="O166" s="327" t="str">
        <f>LEFT(J166,10)</f>
        <v/>
      </c>
    </row>
    <row r="167" spans="1:15" ht="57.6" customHeight="1" x14ac:dyDescent="0.25">
      <c r="A167" s="372"/>
      <c r="B167" s="372"/>
      <c r="C167" s="372"/>
      <c r="D167" s="372"/>
      <c r="E167" s="372"/>
      <c r="F167" s="373"/>
      <c r="G167" s="374"/>
      <c r="H167" s="375"/>
      <c r="I167" s="376"/>
      <c r="J167" s="375"/>
      <c r="K167" s="377"/>
      <c r="L167" s="378"/>
      <c r="M167" s="379"/>
      <c r="N167" s="380"/>
      <c r="O167" s="327" t="str">
        <f>LEFT(J167,10)</f>
        <v/>
      </c>
    </row>
    <row r="168" spans="1:15" ht="57.6" customHeight="1" x14ac:dyDescent="0.25">
      <c r="A168" s="372"/>
      <c r="B168" s="372"/>
      <c r="C168" s="372"/>
      <c r="D168" s="372"/>
      <c r="E168" s="372"/>
      <c r="F168" s="373"/>
      <c r="G168" s="374"/>
      <c r="H168" s="375"/>
      <c r="I168" s="376"/>
      <c r="J168" s="375"/>
      <c r="K168" s="377"/>
      <c r="L168" s="378"/>
      <c r="M168" s="379"/>
      <c r="N168" s="380"/>
      <c r="O168" s="327" t="str">
        <f>LEFT(J168,10)</f>
        <v/>
      </c>
    </row>
    <row r="169" spans="1:15" ht="57.6" customHeight="1" x14ac:dyDescent="0.25">
      <c r="A169" s="372"/>
      <c r="B169" s="372"/>
      <c r="C169" s="372"/>
      <c r="D169" s="372"/>
      <c r="E169" s="372"/>
      <c r="F169" s="373"/>
      <c r="G169" s="374"/>
      <c r="H169" s="375"/>
      <c r="I169" s="376"/>
      <c r="J169" s="375"/>
      <c r="K169" s="377"/>
      <c r="L169" s="378"/>
      <c r="M169" s="379"/>
      <c r="N169" s="380"/>
      <c r="O169" s="327" t="str">
        <f>LEFT(J169,10)</f>
        <v/>
      </c>
    </row>
    <row r="170" spans="1:15" ht="57.6" customHeight="1" x14ac:dyDescent="0.25">
      <c r="A170" s="372"/>
      <c r="B170" s="372"/>
      <c r="C170" s="372"/>
      <c r="D170" s="372"/>
      <c r="E170" s="372"/>
      <c r="F170" s="373"/>
      <c r="G170" s="374"/>
      <c r="H170" s="375"/>
      <c r="I170" s="376"/>
      <c r="J170" s="375"/>
      <c r="K170" s="377"/>
      <c r="L170" s="378"/>
      <c r="M170" s="379"/>
      <c r="N170" s="380"/>
      <c r="O170" s="327" t="str">
        <f>LEFT(J170,10)</f>
        <v/>
      </c>
    </row>
    <row r="171" spans="1:15" ht="57.6" customHeight="1" x14ac:dyDescent="0.25">
      <c r="A171" s="372"/>
      <c r="B171" s="372"/>
      <c r="C171" s="372"/>
      <c r="D171" s="372"/>
      <c r="E171" s="372"/>
      <c r="F171" s="373"/>
      <c r="G171" s="374"/>
      <c r="H171" s="375"/>
      <c r="I171" s="376"/>
      <c r="J171" s="375"/>
      <c r="K171" s="377"/>
      <c r="L171" s="378"/>
      <c r="M171" s="379"/>
      <c r="N171" s="380"/>
      <c r="O171" s="327" t="str">
        <f>LEFT(J171,10)</f>
        <v/>
      </c>
    </row>
    <row r="172" spans="1:15" ht="57.6" customHeight="1" x14ac:dyDescent="0.25">
      <c r="A172" s="372"/>
      <c r="B172" s="372"/>
      <c r="C172" s="372"/>
      <c r="D172" s="372"/>
      <c r="E172" s="372"/>
      <c r="F172" s="373"/>
      <c r="G172" s="374"/>
      <c r="H172" s="375"/>
      <c r="I172" s="376"/>
      <c r="J172" s="375"/>
      <c r="K172" s="377"/>
      <c r="L172" s="378"/>
      <c r="M172" s="379"/>
      <c r="N172" s="380"/>
      <c r="O172" s="327" t="str">
        <f>LEFT(J172,10)</f>
        <v/>
      </c>
    </row>
    <row r="173" spans="1:15" ht="57.6" customHeight="1" x14ac:dyDescent="0.25">
      <c r="A173" s="372"/>
      <c r="B173" s="372"/>
      <c r="C173" s="372"/>
      <c r="D173" s="372"/>
      <c r="E173" s="372"/>
      <c r="F173" s="373"/>
      <c r="G173" s="374"/>
      <c r="H173" s="375"/>
      <c r="I173" s="376"/>
      <c r="J173" s="375"/>
      <c r="K173" s="377"/>
      <c r="L173" s="378"/>
      <c r="M173" s="379"/>
      <c r="N173" s="380"/>
      <c r="O173" s="327" t="str">
        <f>LEFT(J173,10)</f>
        <v/>
      </c>
    </row>
    <row r="174" spans="1:15" ht="57.6" customHeight="1" x14ac:dyDescent="0.25">
      <c r="A174" s="372"/>
      <c r="B174" s="372"/>
      <c r="C174" s="372"/>
      <c r="D174" s="372"/>
      <c r="E174" s="372"/>
      <c r="F174" s="373"/>
      <c r="G174" s="374"/>
      <c r="H174" s="375"/>
      <c r="I174" s="376"/>
      <c r="J174" s="375"/>
      <c r="K174" s="377"/>
      <c r="L174" s="378"/>
      <c r="M174" s="379"/>
      <c r="N174" s="380"/>
      <c r="O174" s="327" t="str">
        <f>LEFT(J174,10)</f>
        <v/>
      </c>
    </row>
    <row r="175" spans="1:15" ht="57.6" customHeight="1" x14ac:dyDescent="0.25">
      <c r="A175" s="372"/>
      <c r="B175" s="372"/>
      <c r="C175" s="372"/>
      <c r="D175" s="372"/>
      <c r="E175" s="372"/>
      <c r="F175" s="373"/>
      <c r="G175" s="374"/>
      <c r="H175" s="375"/>
      <c r="I175" s="376"/>
      <c r="J175" s="375"/>
      <c r="K175" s="377"/>
      <c r="L175" s="378"/>
      <c r="M175" s="379"/>
      <c r="N175" s="380"/>
      <c r="O175" s="327" t="str">
        <f>LEFT(J175,10)</f>
        <v/>
      </c>
    </row>
    <row r="176" spans="1:15" ht="57.6" customHeight="1" x14ac:dyDescent="0.25">
      <c r="A176" s="372"/>
      <c r="B176" s="372"/>
      <c r="C176" s="372"/>
      <c r="D176" s="372"/>
      <c r="E176" s="372"/>
      <c r="F176" s="373"/>
      <c r="G176" s="374"/>
      <c r="H176" s="375"/>
      <c r="I176" s="376"/>
      <c r="J176" s="375"/>
      <c r="K176" s="377"/>
      <c r="L176" s="378"/>
      <c r="M176" s="379"/>
      <c r="N176" s="380"/>
      <c r="O176" s="327" t="str">
        <f>LEFT(J176,10)</f>
        <v/>
      </c>
    </row>
    <row r="177" spans="1:15" ht="57.6" customHeight="1" x14ac:dyDescent="0.25">
      <c r="A177" s="372"/>
      <c r="B177" s="372"/>
      <c r="C177" s="372"/>
      <c r="D177" s="372"/>
      <c r="E177" s="372"/>
      <c r="F177" s="373"/>
      <c r="G177" s="374"/>
      <c r="H177" s="375"/>
      <c r="I177" s="376"/>
      <c r="J177" s="375"/>
      <c r="K177" s="377"/>
      <c r="L177" s="378"/>
      <c r="M177" s="379"/>
      <c r="N177" s="380"/>
      <c r="O177" s="327" t="str">
        <f>LEFT(J177,10)</f>
        <v/>
      </c>
    </row>
    <row r="178" spans="1:15" ht="57.6" customHeight="1" x14ac:dyDescent="0.25">
      <c r="A178" s="372"/>
      <c r="B178" s="372"/>
      <c r="C178" s="372"/>
      <c r="D178" s="372"/>
      <c r="E178" s="372"/>
      <c r="F178" s="373"/>
      <c r="G178" s="374"/>
      <c r="H178" s="375"/>
      <c r="I178" s="376"/>
      <c r="J178" s="375"/>
      <c r="K178" s="377"/>
      <c r="L178" s="378"/>
      <c r="M178" s="379"/>
      <c r="N178" s="380"/>
      <c r="O178" s="327" t="str">
        <f>LEFT(J178,10)</f>
        <v/>
      </c>
    </row>
    <row r="179" spans="1:15" ht="57.6" customHeight="1" x14ac:dyDescent="0.25">
      <c r="A179" s="372"/>
      <c r="B179" s="372"/>
      <c r="C179" s="372"/>
      <c r="D179" s="372"/>
      <c r="E179" s="372"/>
      <c r="F179" s="373"/>
      <c r="G179" s="374"/>
      <c r="H179" s="375"/>
      <c r="I179" s="376"/>
      <c r="J179" s="375"/>
      <c r="K179" s="377"/>
      <c r="L179" s="378"/>
      <c r="M179" s="379"/>
      <c r="N179" s="380"/>
      <c r="O179" s="327" t="str">
        <f>LEFT(J179,10)</f>
        <v/>
      </c>
    </row>
    <row r="180" spans="1:15" ht="57.6" customHeight="1" x14ac:dyDescent="0.25">
      <c r="A180" s="372"/>
      <c r="B180" s="372"/>
      <c r="C180" s="372"/>
      <c r="D180" s="372"/>
      <c r="E180" s="372"/>
      <c r="F180" s="373"/>
      <c r="G180" s="374"/>
      <c r="H180" s="375"/>
      <c r="I180" s="376"/>
      <c r="J180" s="375"/>
      <c r="K180" s="377"/>
      <c r="L180" s="378"/>
      <c r="M180" s="379"/>
      <c r="N180" s="380"/>
      <c r="O180" s="327" t="str">
        <f>LEFT(J180,10)</f>
        <v/>
      </c>
    </row>
    <row r="181" spans="1:15" ht="57.6" customHeight="1" x14ac:dyDescent="0.25">
      <c r="A181" s="372"/>
      <c r="B181" s="372"/>
      <c r="C181" s="372"/>
      <c r="D181" s="372"/>
      <c r="E181" s="372"/>
      <c r="F181" s="373"/>
      <c r="G181" s="374"/>
      <c r="H181" s="375"/>
      <c r="I181" s="376"/>
      <c r="J181" s="375"/>
      <c r="K181" s="377"/>
      <c r="L181" s="378"/>
      <c r="M181" s="379"/>
      <c r="N181" s="380"/>
      <c r="O181" s="327" t="str">
        <f>LEFT(J181,10)</f>
        <v/>
      </c>
    </row>
    <row r="182" spans="1:15" ht="57.6" customHeight="1" x14ac:dyDescent="0.25">
      <c r="A182" s="372"/>
      <c r="B182" s="372"/>
      <c r="C182" s="372"/>
      <c r="D182" s="372"/>
      <c r="E182" s="372"/>
      <c r="F182" s="373"/>
      <c r="G182" s="374"/>
      <c r="H182" s="375"/>
      <c r="I182" s="376"/>
      <c r="J182" s="375"/>
      <c r="K182" s="377"/>
      <c r="L182" s="378"/>
      <c r="M182" s="379"/>
      <c r="N182" s="380"/>
      <c r="O182" s="327" t="str">
        <f>LEFT(J182,10)</f>
        <v/>
      </c>
    </row>
    <row r="183" spans="1:15" ht="57.6" customHeight="1" x14ac:dyDescent="0.25">
      <c r="A183" s="372"/>
      <c r="B183" s="372"/>
      <c r="C183" s="372"/>
      <c r="D183" s="372"/>
      <c r="E183" s="372"/>
      <c r="F183" s="373"/>
      <c r="G183" s="374"/>
      <c r="H183" s="375"/>
      <c r="I183" s="376"/>
      <c r="J183" s="375"/>
      <c r="K183" s="377"/>
      <c r="L183" s="378"/>
      <c r="M183" s="379"/>
      <c r="N183" s="380"/>
      <c r="O183" s="327" t="str">
        <f>LEFT(J183,10)</f>
        <v/>
      </c>
    </row>
    <row r="184" spans="1:15" ht="57.6" customHeight="1" x14ac:dyDescent="0.25">
      <c r="A184" s="372"/>
      <c r="B184" s="372"/>
      <c r="C184" s="372"/>
      <c r="D184" s="372"/>
      <c r="E184" s="372"/>
      <c r="F184" s="373"/>
      <c r="G184" s="374"/>
      <c r="H184" s="375"/>
      <c r="I184" s="376"/>
      <c r="J184" s="375"/>
      <c r="K184" s="377"/>
      <c r="L184" s="378"/>
      <c r="M184" s="379"/>
      <c r="N184" s="380"/>
      <c r="O184" s="327" t="str">
        <f>LEFT(J184,10)</f>
        <v/>
      </c>
    </row>
    <row r="185" spans="1:15" ht="57.6" customHeight="1" x14ac:dyDescent="0.25">
      <c r="A185" s="372"/>
      <c r="B185" s="372"/>
      <c r="C185" s="372"/>
      <c r="D185" s="372"/>
      <c r="E185" s="372"/>
      <c r="F185" s="373"/>
      <c r="G185" s="374"/>
      <c r="H185" s="375"/>
      <c r="I185" s="376"/>
      <c r="J185" s="375"/>
      <c r="K185" s="377"/>
      <c r="L185" s="378"/>
      <c r="M185" s="379"/>
      <c r="N185" s="380"/>
      <c r="O185" s="327" t="str">
        <f>LEFT(J185,10)</f>
        <v/>
      </c>
    </row>
    <row r="186" spans="1:15" ht="57.6" customHeight="1" x14ac:dyDescent="0.25">
      <c r="A186" s="372"/>
      <c r="B186" s="372"/>
      <c r="C186" s="372"/>
      <c r="D186" s="372"/>
      <c r="E186" s="372"/>
      <c r="F186" s="373"/>
      <c r="G186" s="374"/>
      <c r="H186" s="375"/>
      <c r="I186" s="376"/>
      <c r="J186" s="375"/>
      <c r="K186" s="377"/>
      <c r="L186" s="378"/>
      <c r="M186" s="379"/>
      <c r="N186" s="380"/>
      <c r="O186" s="327" t="str">
        <f>LEFT(J186,10)</f>
        <v/>
      </c>
    </row>
    <row r="187" spans="1:15" ht="57.6" customHeight="1" x14ac:dyDescent="0.25">
      <c r="A187" s="372"/>
      <c r="B187" s="372"/>
      <c r="C187" s="372"/>
      <c r="D187" s="372"/>
      <c r="E187" s="372"/>
      <c r="F187" s="373"/>
      <c r="G187" s="374"/>
      <c r="H187" s="375"/>
      <c r="I187" s="376"/>
      <c r="J187" s="375"/>
      <c r="K187" s="377"/>
      <c r="L187" s="378"/>
      <c r="M187" s="379"/>
      <c r="N187" s="380"/>
      <c r="O187" s="327" t="str">
        <f>LEFT(J187,10)</f>
        <v/>
      </c>
    </row>
    <row r="188" spans="1:15" ht="57.6" customHeight="1" x14ac:dyDescent="0.25">
      <c r="A188" s="372"/>
      <c r="B188" s="372"/>
      <c r="C188" s="372"/>
      <c r="D188" s="372"/>
      <c r="E188" s="372"/>
      <c r="F188" s="373"/>
      <c r="G188" s="374"/>
      <c r="H188" s="375"/>
      <c r="I188" s="376"/>
      <c r="J188" s="375"/>
      <c r="K188" s="377"/>
      <c r="L188" s="378"/>
      <c r="M188" s="379"/>
      <c r="N188" s="380"/>
      <c r="O188" s="327" t="str">
        <f>LEFT(J188,10)</f>
        <v/>
      </c>
    </row>
    <row r="189" spans="1:15" ht="57.6" customHeight="1" x14ac:dyDescent="0.25">
      <c r="A189" s="372"/>
      <c r="B189" s="372"/>
      <c r="C189" s="372"/>
      <c r="D189" s="372"/>
      <c r="E189" s="372"/>
      <c r="F189" s="373"/>
      <c r="G189" s="374"/>
      <c r="H189" s="375"/>
      <c r="I189" s="376"/>
      <c r="J189" s="375"/>
      <c r="K189" s="377"/>
      <c r="L189" s="378"/>
      <c r="M189" s="379"/>
      <c r="N189" s="380"/>
      <c r="O189" s="327" t="str">
        <f>LEFT(J189,10)</f>
        <v/>
      </c>
    </row>
    <row r="190" spans="1:15" ht="57.6" customHeight="1" x14ac:dyDescent="0.25">
      <c r="A190" s="372"/>
      <c r="B190" s="372"/>
      <c r="C190" s="372"/>
      <c r="D190" s="372"/>
      <c r="E190" s="372"/>
      <c r="F190" s="373"/>
      <c r="G190" s="374"/>
      <c r="H190" s="375"/>
      <c r="I190" s="376"/>
      <c r="J190" s="375"/>
      <c r="K190" s="377"/>
      <c r="L190" s="378"/>
      <c r="M190" s="379"/>
      <c r="N190" s="380"/>
      <c r="O190" s="327" t="str">
        <f>LEFT(J190,10)</f>
        <v/>
      </c>
    </row>
    <row r="191" spans="1:15" ht="57.6" customHeight="1" x14ac:dyDescent="0.25">
      <c r="A191" s="372"/>
      <c r="B191" s="372"/>
      <c r="C191" s="372"/>
      <c r="D191" s="372"/>
      <c r="E191" s="372"/>
      <c r="F191" s="373"/>
      <c r="G191" s="374"/>
      <c r="H191" s="375"/>
      <c r="I191" s="376"/>
      <c r="J191" s="375"/>
      <c r="K191" s="377"/>
      <c r="L191" s="378"/>
      <c r="M191" s="379"/>
      <c r="N191" s="380"/>
      <c r="O191" s="327" t="str">
        <f>LEFT(J191,10)</f>
        <v/>
      </c>
    </row>
    <row r="192" spans="1:15" ht="57.6" customHeight="1" x14ac:dyDescent="0.25">
      <c r="A192" s="372"/>
      <c r="B192" s="372"/>
      <c r="C192" s="372"/>
      <c r="D192" s="372"/>
      <c r="E192" s="372"/>
      <c r="F192" s="373"/>
      <c r="G192" s="374"/>
      <c r="H192" s="375"/>
      <c r="I192" s="376"/>
      <c r="J192" s="375"/>
      <c r="K192" s="377"/>
      <c r="L192" s="378"/>
      <c r="M192" s="379"/>
      <c r="N192" s="380"/>
      <c r="O192" s="327" t="str">
        <f>LEFT(J192,10)</f>
        <v/>
      </c>
    </row>
    <row r="193" spans="1:15" ht="57.6" customHeight="1" x14ac:dyDescent="0.25">
      <c r="A193" s="372"/>
      <c r="B193" s="372"/>
      <c r="C193" s="372"/>
      <c r="D193" s="372"/>
      <c r="E193" s="372"/>
      <c r="F193" s="373"/>
      <c r="G193" s="374"/>
      <c r="H193" s="375"/>
      <c r="I193" s="376"/>
      <c r="J193" s="375"/>
      <c r="K193" s="377"/>
      <c r="L193" s="378"/>
      <c r="M193" s="379"/>
      <c r="N193" s="380"/>
      <c r="O193" s="327" t="str">
        <f>LEFT(J193,10)</f>
        <v/>
      </c>
    </row>
    <row r="194" spans="1:15" ht="57.6" customHeight="1" x14ac:dyDescent="0.25">
      <c r="A194" s="372"/>
      <c r="B194" s="372"/>
      <c r="C194" s="372"/>
      <c r="D194" s="372"/>
      <c r="E194" s="372"/>
      <c r="F194" s="373"/>
      <c r="G194" s="374"/>
      <c r="H194" s="375"/>
      <c r="I194" s="376"/>
      <c r="J194" s="375"/>
      <c r="K194" s="377"/>
      <c r="L194" s="378"/>
      <c r="M194" s="379"/>
      <c r="N194" s="380"/>
      <c r="O194" s="327" t="str">
        <f>LEFT(J194,10)</f>
        <v/>
      </c>
    </row>
    <row r="195" spans="1:15" ht="57.6" customHeight="1" x14ac:dyDescent="0.25">
      <c r="A195" s="372"/>
      <c r="B195" s="372"/>
      <c r="C195" s="372"/>
      <c r="D195" s="372"/>
      <c r="E195" s="372"/>
      <c r="F195" s="373"/>
      <c r="G195" s="374"/>
      <c r="H195" s="375"/>
      <c r="I195" s="376"/>
      <c r="J195" s="375"/>
      <c r="K195" s="377"/>
      <c r="L195" s="378"/>
      <c r="M195" s="379"/>
      <c r="N195" s="380"/>
      <c r="O195" s="327" t="str">
        <f>LEFT(J195,10)</f>
        <v/>
      </c>
    </row>
    <row r="196" spans="1:15" ht="57.6" customHeight="1" x14ac:dyDescent="0.25">
      <c r="A196" s="372"/>
      <c r="B196" s="372"/>
      <c r="C196" s="372"/>
      <c r="D196" s="372"/>
      <c r="E196" s="372"/>
      <c r="F196" s="373"/>
      <c r="G196" s="374"/>
      <c r="H196" s="375"/>
      <c r="I196" s="376"/>
      <c r="J196" s="375"/>
      <c r="K196" s="377"/>
      <c r="L196" s="378"/>
      <c r="M196" s="379"/>
      <c r="N196" s="380"/>
      <c r="O196" s="327" t="str">
        <f>LEFT(J196,10)</f>
        <v/>
      </c>
    </row>
    <row r="197" spans="1:15" ht="57.6" customHeight="1" x14ac:dyDescent="0.25">
      <c r="A197" s="372"/>
      <c r="B197" s="372"/>
      <c r="C197" s="372"/>
      <c r="D197" s="372"/>
      <c r="E197" s="372"/>
      <c r="F197" s="373"/>
      <c r="G197" s="374"/>
      <c r="H197" s="375"/>
      <c r="I197" s="376"/>
      <c r="J197" s="375"/>
      <c r="K197" s="377"/>
      <c r="L197" s="378"/>
      <c r="M197" s="379"/>
      <c r="N197" s="380"/>
      <c r="O197" s="327" t="str">
        <f>LEFT(J197,10)</f>
        <v/>
      </c>
    </row>
    <row r="198" spans="1:15" ht="57.6" customHeight="1" x14ac:dyDescent="0.25">
      <c r="A198" s="372"/>
      <c r="B198" s="372"/>
      <c r="C198" s="372"/>
      <c r="D198" s="372"/>
      <c r="E198" s="372"/>
      <c r="F198" s="373"/>
      <c r="G198" s="374"/>
      <c r="H198" s="375"/>
      <c r="I198" s="376"/>
      <c r="J198" s="375"/>
      <c r="K198" s="377"/>
      <c r="L198" s="378"/>
      <c r="M198" s="379"/>
      <c r="N198" s="380"/>
      <c r="O198" s="327" t="str">
        <f>LEFT(J198,10)</f>
        <v/>
      </c>
    </row>
    <row r="199" spans="1:15" ht="57.6" customHeight="1" x14ac:dyDescent="0.25">
      <c r="A199" s="372"/>
      <c r="B199" s="372"/>
      <c r="C199" s="372"/>
      <c r="D199" s="372"/>
      <c r="E199" s="372"/>
      <c r="F199" s="373"/>
      <c r="G199" s="374"/>
      <c r="H199" s="375"/>
      <c r="I199" s="376"/>
      <c r="J199" s="375"/>
      <c r="K199" s="377"/>
      <c r="L199" s="378"/>
      <c r="M199" s="379"/>
      <c r="N199" s="380"/>
      <c r="O199" s="327" t="str">
        <f>LEFT(J199,10)</f>
        <v/>
      </c>
    </row>
    <row r="200" spans="1:15" ht="57.6" customHeight="1" x14ac:dyDescent="0.25">
      <c r="A200" s="372"/>
      <c r="B200" s="372"/>
      <c r="C200" s="372"/>
      <c r="D200" s="372"/>
      <c r="E200" s="372"/>
      <c r="F200" s="373"/>
      <c r="G200" s="374"/>
      <c r="H200" s="375"/>
      <c r="I200" s="376"/>
      <c r="J200" s="375"/>
      <c r="K200" s="377"/>
      <c r="L200" s="378"/>
      <c r="M200" s="379"/>
      <c r="N200" s="380"/>
      <c r="O200" s="327" t="str">
        <f>LEFT(J200,10)</f>
        <v/>
      </c>
    </row>
    <row r="201" spans="1:15" ht="57.6" customHeight="1" x14ac:dyDescent="0.25">
      <c r="A201" s="372"/>
      <c r="B201" s="372"/>
      <c r="C201" s="372"/>
      <c r="D201" s="372"/>
      <c r="E201" s="372"/>
      <c r="F201" s="373"/>
      <c r="G201" s="374"/>
      <c r="H201" s="375"/>
      <c r="I201" s="376"/>
      <c r="J201" s="375"/>
      <c r="K201" s="377"/>
      <c r="L201" s="378"/>
      <c r="M201" s="379"/>
      <c r="N201" s="380"/>
      <c r="O201" s="327" t="str">
        <f>LEFT(J201,10)</f>
        <v/>
      </c>
    </row>
    <row r="202" spans="1:15" ht="57.6" customHeight="1" x14ac:dyDescent="0.25">
      <c r="A202" s="372"/>
      <c r="B202" s="372"/>
      <c r="C202" s="372"/>
      <c r="D202" s="372"/>
      <c r="E202" s="372"/>
      <c r="F202" s="373"/>
      <c r="G202" s="374"/>
      <c r="H202" s="375"/>
      <c r="I202" s="376"/>
      <c r="J202" s="375"/>
      <c r="K202" s="377"/>
      <c r="L202" s="378"/>
      <c r="M202" s="379"/>
      <c r="N202" s="380"/>
      <c r="O202" s="327" t="str">
        <f>LEFT(J202,10)</f>
        <v/>
      </c>
    </row>
    <row r="203" spans="1:15" ht="57.6" customHeight="1" x14ac:dyDescent="0.25">
      <c r="A203" s="372"/>
      <c r="B203" s="372"/>
      <c r="C203" s="372"/>
      <c r="D203" s="372"/>
      <c r="E203" s="372"/>
      <c r="F203" s="373"/>
      <c r="G203" s="374"/>
      <c r="H203" s="375"/>
      <c r="I203" s="376"/>
      <c r="J203" s="375"/>
      <c r="K203" s="377"/>
      <c r="L203" s="378"/>
      <c r="M203" s="379"/>
      <c r="N203" s="380"/>
      <c r="O203" s="327" t="str">
        <f>LEFT(J203,10)</f>
        <v/>
      </c>
    </row>
    <row r="204" spans="1:15" ht="57.6" customHeight="1" x14ac:dyDescent="0.25">
      <c r="A204" s="372"/>
      <c r="B204" s="372"/>
      <c r="C204" s="372"/>
      <c r="D204" s="372"/>
      <c r="E204" s="372"/>
      <c r="F204" s="373"/>
      <c r="G204" s="374"/>
      <c r="H204" s="375"/>
      <c r="I204" s="376"/>
      <c r="J204" s="375"/>
      <c r="K204" s="377"/>
      <c r="L204" s="378"/>
      <c r="M204" s="379"/>
      <c r="N204" s="380"/>
      <c r="O204" s="327" t="str">
        <f>LEFT(J204,10)</f>
        <v/>
      </c>
    </row>
    <row r="205" spans="1:15" ht="57.6" customHeight="1" x14ac:dyDescent="0.25">
      <c r="A205" s="372"/>
      <c r="B205" s="372"/>
      <c r="C205" s="372"/>
      <c r="D205" s="372"/>
      <c r="E205" s="372"/>
      <c r="F205" s="373"/>
      <c r="G205" s="374"/>
      <c r="H205" s="375"/>
      <c r="I205" s="376"/>
      <c r="J205" s="375"/>
      <c r="K205" s="377"/>
      <c r="L205" s="378"/>
      <c r="M205" s="379"/>
      <c r="N205" s="380"/>
      <c r="O205" s="327" t="str">
        <f>LEFT(J205,10)</f>
        <v/>
      </c>
    </row>
    <row r="206" spans="1:15" ht="57.6" customHeight="1" x14ac:dyDescent="0.25">
      <c r="A206" s="372"/>
      <c r="B206" s="372"/>
      <c r="C206" s="372"/>
      <c r="D206" s="372"/>
      <c r="E206" s="372"/>
      <c r="F206" s="373"/>
      <c r="G206" s="374"/>
      <c r="H206" s="375"/>
      <c r="I206" s="376"/>
      <c r="J206" s="375"/>
      <c r="K206" s="377"/>
      <c r="L206" s="378"/>
      <c r="M206" s="379"/>
      <c r="N206" s="380"/>
      <c r="O206" s="327" t="str">
        <f>LEFT(J206,10)</f>
        <v/>
      </c>
    </row>
    <row r="207" spans="1:15" ht="57.6" customHeight="1" x14ac:dyDescent="0.25">
      <c r="A207" s="372"/>
      <c r="B207" s="372"/>
      <c r="C207" s="372"/>
      <c r="D207" s="372"/>
      <c r="E207" s="372"/>
      <c r="F207" s="373"/>
      <c r="G207" s="374"/>
      <c r="H207" s="375"/>
      <c r="I207" s="376"/>
      <c r="J207" s="375"/>
      <c r="K207" s="377"/>
      <c r="L207" s="378"/>
      <c r="M207" s="379"/>
      <c r="N207" s="380"/>
      <c r="O207" s="327" t="str">
        <f>LEFT(J207,10)</f>
        <v/>
      </c>
    </row>
    <row r="208" spans="1:15" ht="57.6" customHeight="1" x14ac:dyDescent="0.25">
      <c r="A208" s="372"/>
      <c r="B208" s="372"/>
      <c r="C208" s="372"/>
      <c r="D208" s="372"/>
      <c r="E208" s="372"/>
      <c r="F208" s="373"/>
      <c r="G208" s="374"/>
      <c r="H208" s="375"/>
      <c r="I208" s="376"/>
      <c r="J208" s="375"/>
      <c r="K208" s="377"/>
      <c r="L208" s="378"/>
      <c r="M208" s="379"/>
      <c r="N208" s="380"/>
      <c r="O208" s="327" t="str">
        <f>LEFT(J208,10)</f>
        <v/>
      </c>
    </row>
    <row r="209" spans="1:15" ht="57.6" customHeight="1" x14ac:dyDescent="0.25">
      <c r="A209" s="372"/>
      <c r="B209" s="372"/>
      <c r="C209" s="372"/>
      <c r="D209" s="372"/>
      <c r="E209" s="372"/>
      <c r="F209" s="373"/>
      <c r="G209" s="374"/>
      <c r="H209" s="375"/>
      <c r="I209" s="376"/>
      <c r="J209" s="375"/>
      <c r="K209" s="377"/>
      <c r="L209" s="378"/>
      <c r="M209" s="379"/>
      <c r="N209" s="380"/>
      <c r="O209" s="327" t="str">
        <f>LEFT(J209,10)</f>
        <v/>
      </c>
    </row>
    <row r="210" spans="1:15" ht="57.6" customHeight="1" x14ac:dyDescent="0.25">
      <c r="A210" s="372"/>
      <c r="B210" s="372"/>
      <c r="C210" s="372"/>
      <c r="D210" s="372"/>
      <c r="E210" s="372"/>
      <c r="F210" s="373"/>
      <c r="G210" s="374"/>
      <c r="H210" s="375"/>
      <c r="I210" s="376"/>
      <c r="J210" s="375"/>
      <c r="K210" s="377"/>
      <c r="L210" s="378"/>
      <c r="M210" s="379"/>
      <c r="N210" s="380"/>
      <c r="O210" s="327" t="str">
        <f>LEFT(J210,10)</f>
        <v/>
      </c>
    </row>
    <row r="211" spans="1:15" ht="57.6" customHeight="1" x14ac:dyDescent="0.25">
      <c r="A211" s="372"/>
      <c r="B211" s="372"/>
      <c r="C211" s="372"/>
      <c r="D211" s="372"/>
      <c r="E211" s="372"/>
      <c r="F211" s="373"/>
      <c r="G211" s="374"/>
      <c r="H211" s="375"/>
      <c r="I211" s="376"/>
      <c r="J211" s="375"/>
      <c r="K211" s="377"/>
      <c r="L211" s="378"/>
      <c r="M211" s="379"/>
      <c r="N211" s="380"/>
      <c r="O211" s="327" t="str">
        <f>LEFT(J211,10)</f>
        <v/>
      </c>
    </row>
    <row r="212" spans="1:15" ht="57.6" customHeight="1" x14ac:dyDescent="0.25">
      <c r="A212" s="372"/>
      <c r="B212" s="372"/>
      <c r="C212" s="372"/>
      <c r="D212" s="372"/>
      <c r="E212" s="372"/>
      <c r="F212" s="373"/>
      <c r="G212" s="374"/>
      <c r="H212" s="375"/>
      <c r="I212" s="376"/>
      <c r="J212" s="375"/>
      <c r="K212" s="377"/>
      <c r="L212" s="378"/>
      <c r="M212" s="379"/>
      <c r="N212" s="380"/>
      <c r="O212" s="327" t="str">
        <f>LEFT(J212,10)</f>
        <v/>
      </c>
    </row>
    <row r="213" spans="1:15" ht="57.6" customHeight="1" x14ac:dyDescent="0.25">
      <c r="A213" s="372"/>
      <c r="B213" s="372"/>
      <c r="C213" s="372"/>
      <c r="D213" s="372"/>
      <c r="E213" s="372"/>
      <c r="F213" s="373"/>
      <c r="G213" s="374"/>
      <c r="H213" s="375"/>
      <c r="I213" s="376"/>
      <c r="J213" s="375"/>
      <c r="K213" s="377"/>
      <c r="L213" s="378"/>
      <c r="M213" s="379"/>
      <c r="N213" s="380"/>
      <c r="O213" s="327" t="str">
        <f>LEFT(J213,10)</f>
        <v/>
      </c>
    </row>
    <row r="214" spans="1:15" ht="57.6" customHeight="1" x14ac:dyDescent="0.25">
      <c r="A214" s="372"/>
      <c r="B214" s="372"/>
      <c r="C214" s="372"/>
      <c r="D214" s="372"/>
      <c r="E214" s="372"/>
      <c r="F214" s="373"/>
      <c r="G214" s="374"/>
      <c r="H214" s="375"/>
      <c r="I214" s="376"/>
      <c r="J214" s="375"/>
      <c r="K214" s="377"/>
      <c r="L214" s="378"/>
      <c r="M214" s="379"/>
      <c r="N214" s="380"/>
      <c r="O214" s="327" t="str">
        <f>LEFT(J214,10)</f>
        <v/>
      </c>
    </row>
    <row r="215" spans="1:15" ht="57.6" customHeight="1" x14ac:dyDescent="0.25">
      <c r="A215" s="372"/>
      <c r="B215" s="372"/>
      <c r="C215" s="372"/>
      <c r="D215" s="372"/>
      <c r="E215" s="372"/>
      <c r="F215" s="373"/>
      <c r="G215" s="374"/>
      <c r="H215" s="375"/>
      <c r="I215" s="376"/>
      <c r="J215" s="375"/>
      <c r="K215" s="377"/>
      <c r="L215" s="378"/>
      <c r="M215" s="379"/>
      <c r="N215" s="380"/>
      <c r="O215" s="327" t="str">
        <f>LEFT(J215,10)</f>
        <v/>
      </c>
    </row>
    <row r="216" spans="1:15" ht="57.6" customHeight="1" x14ac:dyDescent="0.25">
      <c r="A216" s="372"/>
      <c r="B216" s="372"/>
      <c r="C216" s="372"/>
      <c r="D216" s="372"/>
      <c r="E216" s="372"/>
      <c r="F216" s="373"/>
      <c r="G216" s="374"/>
      <c r="H216" s="375"/>
      <c r="I216" s="376"/>
      <c r="J216" s="375"/>
      <c r="K216" s="377"/>
      <c r="L216" s="378"/>
      <c r="M216" s="379"/>
      <c r="N216" s="380"/>
      <c r="O216" s="327" t="str">
        <f>LEFT(J216,10)</f>
        <v/>
      </c>
    </row>
    <row r="217" spans="1:15" ht="57.6" customHeight="1" x14ac:dyDescent="0.25">
      <c r="A217" s="372"/>
      <c r="B217" s="372"/>
      <c r="C217" s="372"/>
      <c r="D217" s="372"/>
      <c r="E217" s="372"/>
      <c r="F217" s="373"/>
      <c r="G217" s="374"/>
      <c r="H217" s="375"/>
      <c r="I217" s="376"/>
      <c r="J217" s="375"/>
      <c r="K217" s="377"/>
      <c r="L217" s="378"/>
      <c r="M217" s="379"/>
      <c r="N217" s="380"/>
      <c r="O217" s="327" t="str">
        <f>LEFT(J217,10)</f>
        <v/>
      </c>
    </row>
    <row r="218" spans="1:15" ht="57.6" customHeight="1" x14ac:dyDescent="0.25">
      <c r="A218" s="372"/>
      <c r="B218" s="372"/>
      <c r="C218" s="372"/>
      <c r="D218" s="372"/>
      <c r="E218" s="372"/>
      <c r="F218" s="373"/>
      <c r="G218" s="374"/>
      <c r="H218" s="375"/>
      <c r="I218" s="376"/>
      <c r="J218" s="375"/>
      <c r="K218" s="377"/>
      <c r="L218" s="378"/>
      <c r="M218" s="379"/>
      <c r="N218" s="380"/>
      <c r="O218" s="327" t="str">
        <f>LEFT(J218,10)</f>
        <v/>
      </c>
    </row>
    <row r="219" spans="1:15" ht="57.6" customHeight="1" x14ac:dyDescent="0.25">
      <c r="A219" s="372"/>
      <c r="B219" s="372"/>
      <c r="C219" s="372"/>
      <c r="D219" s="372"/>
      <c r="E219" s="372"/>
      <c r="F219" s="373"/>
      <c r="G219" s="374"/>
      <c r="H219" s="375"/>
      <c r="I219" s="376"/>
      <c r="J219" s="375"/>
      <c r="K219" s="377"/>
      <c r="L219" s="378"/>
      <c r="M219" s="379"/>
      <c r="N219" s="380"/>
      <c r="O219" s="327" t="str">
        <f>LEFT(J219,10)</f>
        <v/>
      </c>
    </row>
    <row r="220" spans="1:15" ht="57.6" customHeight="1" x14ac:dyDescent="0.25">
      <c r="A220" s="372"/>
      <c r="B220" s="372"/>
      <c r="C220" s="372"/>
      <c r="D220" s="372"/>
      <c r="E220" s="372"/>
      <c r="F220" s="373"/>
      <c r="G220" s="374"/>
      <c r="H220" s="375"/>
      <c r="I220" s="376"/>
      <c r="J220" s="375"/>
      <c r="K220" s="377"/>
      <c r="L220" s="378"/>
      <c r="M220" s="379"/>
      <c r="N220" s="380"/>
      <c r="O220" s="327" t="str">
        <f>LEFT(J220,10)</f>
        <v/>
      </c>
    </row>
    <row r="221" spans="1:15" ht="57.6" customHeight="1" x14ac:dyDescent="0.25">
      <c r="A221" s="372"/>
      <c r="B221" s="372"/>
      <c r="C221" s="372"/>
      <c r="D221" s="372"/>
      <c r="E221" s="372"/>
      <c r="F221" s="373"/>
      <c r="G221" s="374"/>
      <c r="H221" s="375"/>
      <c r="I221" s="376"/>
      <c r="J221" s="375"/>
      <c r="K221" s="377"/>
      <c r="L221" s="378"/>
      <c r="M221" s="379"/>
      <c r="N221" s="380"/>
      <c r="O221" s="327" t="str">
        <f>LEFT(J221,10)</f>
        <v/>
      </c>
    </row>
    <row r="222" spans="1:15" ht="57.6" customHeight="1" x14ac:dyDescent="0.25">
      <c r="A222" s="372"/>
      <c r="B222" s="372"/>
      <c r="C222" s="372"/>
      <c r="D222" s="372"/>
      <c r="E222" s="372"/>
      <c r="F222" s="373"/>
      <c r="G222" s="374"/>
      <c r="H222" s="375"/>
      <c r="I222" s="376"/>
      <c r="J222" s="375"/>
      <c r="K222" s="377"/>
      <c r="L222" s="378"/>
      <c r="M222" s="379"/>
      <c r="N222" s="380"/>
      <c r="O222" s="327" t="str">
        <f>LEFT(J222,10)</f>
        <v/>
      </c>
    </row>
    <row r="223" spans="1:15" ht="57.6" customHeight="1" x14ac:dyDescent="0.25">
      <c r="A223" s="372"/>
      <c r="B223" s="372"/>
      <c r="C223" s="372"/>
      <c r="D223" s="372"/>
      <c r="E223" s="372"/>
      <c r="F223" s="373"/>
      <c r="G223" s="374"/>
      <c r="H223" s="375"/>
      <c r="I223" s="376"/>
      <c r="J223" s="375"/>
      <c r="K223" s="377"/>
      <c r="L223" s="378"/>
      <c r="M223" s="379"/>
      <c r="N223" s="380"/>
      <c r="O223" s="327" t="str">
        <f>LEFT(J223,10)</f>
        <v/>
      </c>
    </row>
    <row r="224" spans="1:15" ht="57.6" customHeight="1" x14ac:dyDescent="0.25">
      <c r="A224" s="372"/>
      <c r="B224" s="372"/>
      <c r="C224" s="372"/>
      <c r="D224" s="372"/>
      <c r="E224" s="372"/>
      <c r="F224" s="373"/>
      <c r="G224" s="374"/>
      <c r="H224" s="375"/>
      <c r="I224" s="376"/>
      <c r="J224" s="375"/>
      <c r="K224" s="377"/>
      <c r="L224" s="378"/>
      <c r="M224" s="379"/>
      <c r="N224" s="380"/>
      <c r="O224" s="327" t="str">
        <f>LEFT(J224,10)</f>
        <v/>
      </c>
    </row>
    <row r="225" spans="1:15" ht="57.6" customHeight="1" x14ac:dyDescent="0.25">
      <c r="A225" s="372"/>
      <c r="B225" s="372"/>
      <c r="C225" s="372"/>
      <c r="D225" s="372"/>
      <c r="E225" s="372"/>
      <c r="F225" s="373"/>
      <c r="G225" s="374"/>
      <c r="H225" s="375"/>
      <c r="I225" s="376"/>
      <c r="J225" s="375"/>
      <c r="K225" s="377"/>
      <c r="L225" s="378"/>
      <c r="M225" s="379"/>
      <c r="N225" s="380"/>
      <c r="O225" s="327" t="str">
        <f>LEFT(J225,10)</f>
        <v/>
      </c>
    </row>
    <row r="226" spans="1:15" ht="57.6" customHeight="1" x14ac:dyDescent="0.25">
      <c r="A226" s="372"/>
      <c r="B226" s="372"/>
      <c r="C226" s="372"/>
      <c r="D226" s="372"/>
      <c r="E226" s="372"/>
      <c r="F226" s="373"/>
      <c r="G226" s="374"/>
      <c r="H226" s="375"/>
      <c r="I226" s="376"/>
      <c r="J226" s="375"/>
      <c r="K226" s="377"/>
      <c r="L226" s="378"/>
      <c r="M226" s="379"/>
      <c r="N226" s="380"/>
      <c r="O226" s="327" t="str">
        <f>LEFT(J226,10)</f>
        <v/>
      </c>
    </row>
    <row r="227" spans="1:15" ht="57.6" customHeight="1" x14ac:dyDescent="0.25">
      <c r="A227" s="372"/>
      <c r="B227" s="372"/>
      <c r="C227" s="372"/>
      <c r="D227" s="372"/>
      <c r="E227" s="372"/>
      <c r="F227" s="373"/>
      <c r="G227" s="374"/>
      <c r="H227" s="375"/>
      <c r="I227" s="376"/>
      <c r="J227" s="375"/>
      <c r="K227" s="377"/>
      <c r="L227" s="378"/>
      <c r="M227" s="379"/>
      <c r="N227" s="380"/>
      <c r="O227" s="327" t="str">
        <f>LEFT(J227,10)</f>
        <v/>
      </c>
    </row>
    <row r="228" spans="1:15" ht="57.6" customHeight="1" x14ac:dyDescent="0.25">
      <c r="A228" s="372"/>
      <c r="B228" s="372"/>
      <c r="C228" s="372"/>
      <c r="D228" s="372"/>
      <c r="E228" s="372"/>
      <c r="F228" s="373"/>
      <c r="G228" s="374"/>
      <c r="H228" s="375"/>
      <c r="I228" s="376"/>
      <c r="J228" s="375"/>
      <c r="K228" s="377"/>
      <c r="L228" s="378"/>
      <c r="M228" s="379"/>
      <c r="N228" s="380"/>
      <c r="O228" s="327" t="str">
        <f>LEFT(J228,10)</f>
        <v/>
      </c>
    </row>
    <row r="229" spans="1:15" ht="57.6" customHeight="1" x14ac:dyDescent="0.25">
      <c r="A229" s="372"/>
      <c r="B229" s="372"/>
      <c r="C229" s="372"/>
      <c r="D229" s="372"/>
      <c r="E229" s="372"/>
      <c r="F229" s="373"/>
      <c r="G229" s="374"/>
      <c r="H229" s="375"/>
      <c r="I229" s="376"/>
      <c r="J229" s="375"/>
      <c r="K229" s="377"/>
      <c r="L229" s="378"/>
      <c r="M229" s="379"/>
      <c r="N229" s="380"/>
      <c r="O229" s="327" t="str">
        <f>LEFT(J229,10)</f>
        <v/>
      </c>
    </row>
    <row r="230" spans="1:15" ht="57.6" customHeight="1" x14ac:dyDescent="0.25">
      <c r="A230" s="372"/>
      <c r="B230" s="372"/>
      <c r="C230" s="372"/>
      <c r="D230" s="372"/>
      <c r="E230" s="372"/>
      <c r="F230" s="373"/>
      <c r="G230" s="374"/>
      <c r="H230" s="375"/>
      <c r="I230" s="376"/>
      <c r="J230" s="375"/>
      <c r="K230" s="377"/>
      <c r="L230" s="378"/>
      <c r="M230" s="379"/>
      <c r="N230" s="380"/>
      <c r="O230" s="327" t="str">
        <f>LEFT(J230,10)</f>
        <v/>
      </c>
    </row>
    <row r="231" spans="1:15" ht="57.6" customHeight="1" x14ac:dyDescent="0.25">
      <c r="A231" s="372"/>
      <c r="B231" s="372"/>
      <c r="C231" s="372"/>
      <c r="D231" s="372"/>
      <c r="E231" s="372"/>
      <c r="F231" s="373"/>
      <c r="G231" s="374"/>
      <c r="H231" s="375"/>
      <c r="I231" s="376"/>
      <c r="J231" s="375"/>
      <c r="K231" s="377"/>
      <c r="L231" s="378"/>
      <c r="M231" s="379"/>
      <c r="N231" s="380"/>
      <c r="O231" s="327" t="str">
        <f>LEFT(J231,10)</f>
        <v/>
      </c>
    </row>
    <row r="232" spans="1:15" ht="57.6" customHeight="1" x14ac:dyDescent="0.25">
      <c r="A232" s="372"/>
      <c r="B232" s="372"/>
      <c r="C232" s="372"/>
      <c r="D232" s="372"/>
      <c r="E232" s="372"/>
      <c r="F232" s="373"/>
      <c r="G232" s="374"/>
      <c r="H232" s="375"/>
      <c r="I232" s="376"/>
      <c r="J232" s="375"/>
      <c r="K232" s="377"/>
      <c r="L232" s="378"/>
      <c r="M232" s="379"/>
      <c r="N232" s="380"/>
      <c r="O232" s="327" t="str">
        <f>LEFT(J232,10)</f>
        <v/>
      </c>
    </row>
    <row r="233" spans="1:15" ht="57.6" customHeight="1" x14ac:dyDescent="0.25">
      <c r="A233" s="372"/>
      <c r="B233" s="372"/>
      <c r="C233" s="372"/>
      <c r="D233" s="372"/>
      <c r="E233" s="372"/>
      <c r="F233" s="373"/>
      <c r="G233" s="374"/>
      <c r="H233" s="375"/>
      <c r="I233" s="376"/>
      <c r="J233" s="375"/>
      <c r="K233" s="377"/>
      <c r="L233" s="378"/>
      <c r="M233" s="379"/>
      <c r="N233" s="380"/>
      <c r="O233" s="327" t="str">
        <f>LEFT(J233,10)</f>
        <v/>
      </c>
    </row>
    <row r="234" spans="1:15" ht="57.6" customHeight="1" x14ac:dyDescent="0.25">
      <c r="A234" s="372"/>
      <c r="B234" s="372"/>
      <c r="C234" s="372"/>
      <c r="D234" s="372"/>
      <c r="E234" s="372"/>
      <c r="F234" s="373"/>
      <c r="G234" s="374"/>
      <c r="H234" s="375"/>
      <c r="I234" s="376"/>
      <c r="J234" s="375"/>
      <c r="K234" s="377"/>
      <c r="L234" s="378"/>
      <c r="M234" s="379"/>
      <c r="N234" s="380"/>
      <c r="O234" s="327" t="str">
        <f>LEFT(J234,10)</f>
        <v/>
      </c>
    </row>
    <row r="235" spans="1:15" ht="57.6" customHeight="1" x14ac:dyDescent="0.25">
      <c r="A235" s="372"/>
      <c r="B235" s="372"/>
      <c r="C235" s="372"/>
      <c r="D235" s="372"/>
      <c r="E235" s="372"/>
      <c r="F235" s="373"/>
      <c r="G235" s="374"/>
      <c r="H235" s="375"/>
      <c r="I235" s="376"/>
      <c r="J235" s="375"/>
      <c r="K235" s="377"/>
      <c r="L235" s="378"/>
      <c r="M235" s="379"/>
      <c r="N235" s="380"/>
      <c r="O235" s="327" t="str">
        <f>LEFT(J235,10)</f>
        <v/>
      </c>
    </row>
    <row r="236" spans="1:15" ht="57.6" customHeight="1" x14ac:dyDescent="0.25">
      <c r="A236" s="372"/>
      <c r="B236" s="372"/>
      <c r="C236" s="372"/>
      <c r="D236" s="372"/>
      <c r="E236" s="372"/>
      <c r="F236" s="373"/>
      <c r="G236" s="374"/>
      <c r="H236" s="375"/>
      <c r="I236" s="376"/>
      <c r="J236" s="375"/>
      <c r="K236" s="377"/>
      <c r="L236" s="378"/>
      <c r="M236" s="379"/>
      <c r="N236" s="380"/>
      <c r="O236" s="327" t="str">
        <f>LEFT(J236,10)</f>
        <v/>
      </c>
    </row>
    <row r="237" spans="1:15" ht="57.6" customHeight="1" x14ac:dyDescent="0.25">
      <c r="A237" s="372"/>
      <c r="B237" s="372"/>
      <c r="C237" s="372"/>
      <c r="D237" s="372"/>
      <c r="E237" s="372"/>
      <c r="F237" s="373"/>
      <c r="G237" s="374"/>
      <c r="H237" s="375"/>
      <c r="I237" s="376"/>
      <c r="J237" s="375"/>
      <c r="K237" s="377"/>
      <c r="L237" s="378"/>
      <c r="M237" s="379"/>
      <c r="N237" s="380"/>
      <c r="O237" s="327" t="str">
        <f>LEFT(J237,10)</f>
        <v/>
      </c>
    </row>
    <row r="238" spans="1:15" ht="57.6" customHeight="1" x14ac:dyDescent="0.25">
      <c r="A238" s="372"/>
      <c r="B238" s="372"/>
      <c r="C238" s="372"/>
      <c r="D238" s="372"/>
      <c r="E238" s="372"/>
      <c r="F238" s="373"/>
      <c r="G238" s="374"/>
      <c r="H238" s="375"/>
      <c r="I238" s="376"/>
      <c r="J238" s="375"/>
      <c r="K238" s="377"/>
      <c r="L238" s="378"/>
      <c r="M238" s="379"/>
      <c r="N238" s="380"/>
      <c r="O238" s="327" t="str">
        <f>LEFT(J238,10)</f>
        <v/>
      </c>
    </row>
    <row r="239" spans="1:15" ht="57.6" customHeight="1" x14ac:dyDescent="0.25">
      <c r="A239" s="372"/>
      <c r="B239" s="372"/>
      <c r="C239" s="372"/>
      <c r="D239" s="372"/>
      <c r="E239" s="372"/>
      <c r="F239" s="373"/>
      <c r="G239" s="374"/>
      <c r="H239" s="375"/>
      <c r="I239" s="376"/>
      <c r="J239" s="375"/>
      <c r="K239" s="377"/>
      <c r="L239" s="378"/>
      <c r="M239" s="379"/>
      <c r="N239" s="380"/>
      <c r="O239" s="327" t="str">
        <f>LEFT(J239,10)</f>
        <v/>
      </c>
    </row>
    <row r="240" spans="1:15" ht="57.6" customHeight="1" x14ac:dyDescent="0.25">
      <c r="A240" s="372"/>
      <c r="B240" s="372"/>
      <c r="C240" s="372"/>
      <c r="D240" s="372"/>
      <c r="E240" s="372"/>
      <c r="F240" s="373"/>
      <c r="G240" s="374"/>
      <c r="H240" s="375"/>
      <c r="I240" s="376"/>
      <c r="J240" s="375"/>
      <c r="K240" s="377"/>
      <c r="L240" s="378"/>
      <c r="M240" s="379"/>
      <c r="N240" s="380"/>
      <c r="O240" s="327" t="str">
        <f>LEFT(J240,10)</f>
        <v/>
      </c>
    </row>
    <row r="241" spans="1:15" ht="57.6" customHeight="1" x14ac:dyDescent="0.25">
      <c r="A241" s="372"/>
      <c r="B241" s="372"/>
      <c r="C241" s="372"/>
      <c r="D241" s="372"/>
      <c r="E241" s="372"/>
      <c r="F241" s="373"/>
      <c r="G241" s="374"/>
      <c r="H241" s="375"/>
      <c r="I241" s="376"/>
      <c r="J241" s="375"/>
      <c r="K241" s="377"/>
      <c r="L241" s="378"/>
      <c r="M241" s="379"/>
      <c r="N241" s="380"/>
      <c r="O241" s="327" t="str">
        <f>LEFT(J241,10)</f>
        <v/>
      </c>
    </row>
    <row r="242" spans="1:15" ht="57.6" customHeight="1" x14ac:dyDescent="0.25">
      <c r="A242" s="372"/>
      <c r="B242" s="372"/>
      <c r="C242" s="372"/>
      <c r="D242" s="372"/>
      <c r="E242" s="372"/>
      <c r="F242" s="373"/>
      <c r="G242" s="374"/>
      <c r="H242" s="375"/>
      <c r="I242" s="376"/>
      <c r="J242" s="375"/>
      <c r="K242" s="377"/>
      <c r="L242" s="378"/>
      <c r="M242" s="379"/>
      <c r="N242" s="380"/>
      <c r="O242" s="327" t="str">
        <f>LEFT(J242,10)</f>
        <v/>
      </c>
    </row>
    <row r="243" spans="1:15" ht="57.6" customHeight="1" x14ac:dyDescent="0.25">
      <c r="A243" s="372"/>
      <c r="B243" s="372"/>
      <c r="C243" s="372"/>
      <c r="D243" s="372"/>
      <c r="E243" s="372"/>
      <c r="F243" s="373"/>
      <c r="G243" s="374"/>
      <c r="H243" s="375"/>
      <c r="I243" s="376"/>
      <c r="J243" s="375"/>
      <c r="K243" s="377"/>
      <c r="L243" s="378"/>
      <c r="M243" s="379"/>
      <c r="N243" s="380"/>
      <c r="O243" s="327" t="str">
        <f>LEFT(J243,10)</f>
        <v/>
      </c>
    </row>
    <row r="244" spans="1:15" ht="57.6" customHeight="1" x14ac:dyDescent="0.25">
      <c r="A244" s="372"/>
      <c r="B244" s="372"/>
      <c r="C244" s="372"/>
      <c r="D244" s="372"/>
      <c r="E244" s="372"/>
      <c r="F244" s="373"/>
      <c r="G244" s="374"/>
      <c r="H244" s="375"/>
      <c r="I244" s="376"/>
      <c r="J244" s="375"/>
      <c r="K244" s="377"/>
      <c r="L244" s="378"/>
      <c r="M244" s="379"/>
      <c r="N244" s="380"/>
      <c r="O244" s="327" t="str">
        <f>LEFT(J244,10)</f>
        <v/>
      </c>
    </row>
    <row r="245" spans="1:15" ht="57.6" customHeight="1" x14ac:dyDescent="0.25">
      <c r="A245" s="372"/>
      <c r="B245" s="372"/>
      <c r="C245" s="372"/>
      <c r="D245" s="372"/>
      <c r="E245" s="372"/>
      <c r="F245" s="373"/>
      <c r="G245" s="374"/>
      <c r="H245" s="375"/>
      <c r="I245" s="376"/>
      <c r="J245" s="375"/>
      <c r="K245" s="377"/>
      <c r="L245" s="378"/>
      <c r="M245" s="379"/>
      <c r="N245" s="380"/>
      <c r="O245" s="327" t="str">
        <f>LEFT(J245,10)</f>
        <v/>
      </c>
    </row>
    <row r="246" spans="1:15" ht="57.6" customHeight="1" x14ac:dyDescent="0.25">
      <c r="A246" s="372"/>
      <c r="B246" s="372"/>
      <c r="C246" s="372"/>
      <c r="D246" s="372"/>
      <c r="E246" s="372"/>
      <c r="F246" s="373"/>
      <c r="G246" s="374"/>
      <c r="H246" s="375"/>
      <c r="I246" s="376"/>
      <c r="J246" s="375"/>
      <c r="K246" s="377"/>
      <c r="L246" s="378"/>
      <c r="M246" s="379"/>
      <c r="N246" s="380"/>
      <c r="O246" s="327" t="str">
        <f>LEFT(J246,10)</f>
        <v/>
      </c>
    </row>
    <row r="247" spans="1:15" ht="57.6" customHeight="1" x14ac:dyDescent="0.25">
      <c r="A247" s="372"/>
      <c r="B247" s="372"/>
      <c r="C247" s="372"/>
      <c r="D247" s="372"/>
      <c r="E247" s="372"/>
      <c r="F247" s="373"/>
      <c r="G247" s="374"/>
      <c r="H247" s="375"/>
      <c r="I247" s="376"/>
      <c r="J247" s="375"/>
      <c r="K247" s="377"/>
      <c r="L247" s="378"/>
      <c r="M247" s="379"/>
      <c r="N247" s="380"/>
      <c r="O247" s="327" t="str">
        <f>LEFT(J247,10)</f>
        <v/>
      </c>
    </row>
    <row r="248" spans="1:15" ht="57.6" customHeight="1" x14ac:dyDescent="0.25">
      <c r="A248" s="372"/>
      <c r="B248" s="372"/>
      <c r="C248" s="372"/>
      <c r="D248" s="372"/>
      <c r="E248" s="372"/>
      <c r="F248" s="373"/>
      <c r="G248" s="374"/>
      <c r="H248" s="375"/>
      <c r="I248" s="376"/>
      <c r="J248" s="375"/>
      <c r="K248" s="377"/>
      <c r="L248" s="378"/>
      <c r="M248" s="379"/>
      <c r="N248" s="380"/>
      <c r="O248" s="327" t="str">
        <f>LEFT(J248,10)</f>
        <v/>
      </c>
    </row>
    <row r="249" spans="1:15" ht="57.6" customHeight="1" x14ac:dyDescent="0.25">
      <c r="A249" s="372"/>
      <c r="B249" s="372"/>
      <c r="C249" s="372"/>
      <c r="D249" s="372"/>
      <c r="E249" s="372"/>
      <c r="F249" s="373"/>
      <c r="G249" s="374"/>
      <c r="H249" s="375"/>
      <c r="I249" s="376"/>
      <c r="J249" s="375"/>
      <c r="K249" s="377"/>
      <c r="L249" s="378"/>
      <c r="M249" s="379"/>
      <c r="N249" s="380"/>
      <c r="O249" s="327" t="str">
        <f>LEFT(J249,10)</f>
        <v/>
      </c>
    </row>
    <row r="250" spans="1:15" ht="57.6" customHeight="1" x14ac:dyDescent="0.25">
      <c r="A250" s="372"/>
      <c r="B250" s="372"/>
      <c r="C250" s="372"/>
      <c r="D250" s="372"/>
      <c r="E250" s="372"/>
      <c r="F250" s="373"/>
      <c r="G250" s="374"/>
      <c r="H250" s="375"/>
      <c r="I250" s="376"/>
      <c r="J250" s="375"/>
      <c r="K250" s="377"/>
      <c r="L250" s="378"/>
      <c r="M250" s="379"/>
      <c r="N250" s="380"/>
      <c r="O250" s="327" t="str">
        <f>LEFT(J250,10)</f>
        <v/>
      </c>
    </row>
    <row r="251" spans="1:15" ht="57.6" customHeight="1" x14ac:dyDescent="0.25">
      <c r="A251" s="372"/>
      <c r="B251" s="372"/>
      <c r="C251" s="372"/>
      <c r="D251" s="372"/>
      <c r="E251" s="372"/>
      <c r="F251" s="373"/>
      <c r="G251" s="374"/>
      <c r="H251" s="375"/>
      <c r="I251" s="376"/>
      <c r="J251" s="375"/>
      <c r="K251" s="377"/>
      <c r="L251" s="378"/>
      <c r="M251" s="379"/>
      <c r="N251" s="380"/>
      <c r="O251" s="327" t="str">
        <f>LEFT(J251,10)</f>
        <v/>
      </c>
    </row>
    <row r="252" spans="1:15" ht="57.6" customHeight="1" x14ac:dyDescent="0.25">
      <c r="A252" s="372"/>
      <c r="B252" s="372"/>
      <c r="C252" s="372"/>
      <c r="D252" s="372"/>
      <c r="E252" s="372"/>
      <c r="F252" s="373"/>
      <c r="G252" s="374"/>
      <c r="H252" s="375"/>
      <c r="I252" s="376"/>
      <c r="J252" s="375"/>
      <c r="K252" s="377"/>
      <c r="L252" s="378"/>
      <c r="M252" s="379"/>
      <c r="N252" s="380"/>
      <c r="O252" s="327" t="str">
        <f>LEFT(J252,10)</f>
        <v/>
      </c>
    </row>
    <row r="253" spans="1:15" ht="57.6" customHeight="1" x14ac:dyDescent="0.25">
      <c r="A253" s="372"/>
      <c r="B253" s="372"/>
      <c r="C253" s="372"/>
      <c r="D253" s="372"/>
      <c r="E253" s="372"/>
      <c r="F253" s="373"/>
      <c r="G253" s="374"/>
      <c r="H253" s="375"/>
      <c r="I253" s="376"/>
      <c r="J253" s="375"/>
      <c r="K253" s="377"/>
      <c r="L253" s="378"/>
      <c r="M253" s="379"/>
      <c r="N253" s="380"/>
      <c r="O253" s="327" t="str">
        <f>LEFT(J253,10)</f>
        <v/>
      </c>
    </row>
    <row r="254" spans="1:15" ht="57.6" customHeight="1" x14ac:dyDescent="0.25">
      <c r="A254" s="372"/>
      <c r="B254" s="372"/>
      <c r="C254" s="372"/>
      <c r="D254" s="372"/>
      <c r="E254" s="372"/>
      <c r="F254" s="373"/>
      <c r="G254" s="374"/>
      <c r="H254" s="375"/>
      <c r="I254" s="376"/>
      <c r="J254" s="375"/>
      <c r="K254" s="377"/>
      <c r="L254" s="378"/>
      <c r="M254" s="379"/>
      <c r="N254" s="380"/>
      <c r="O254" s="327" t="str">
        <f>LEFT(J254,10)</f>
        <v/>
      </c>
    </row>
    <row r="255" spans="1:15" ht="57.6" customHeight="1" x14ac:dyDescent="0.25">
      <c r="A255" s="372"/>
      <c r="B255" s="372"/>
      <c r="C255" s="372"/>
      <c r="D255" s="372"/>
      <c r="E255" s="372"/>
      <c r="F255" s="373"/>
      <c r="G255" s="374"/>
      <c r="H255" s="375"/>
      <c r="I255" s="376"/>
      <c r="J255" s="375"/>
      <c r="K255" s="377"/>
      <c r="L255" s="378"/>
      <c r="M255" s="379"/>
      <c r="N255" s="380"/>
      <c r="O255" s="327" t="str">
        <f>LEFT(J255,10)</f>
        <v/>
      </c>
    </row>
    <row r="256" spans="1:15" ht="57.6" customHeight="1" x14ac:dyDescent="0.25">
      <c r="A256" s="372"/>
      <c r="B256" s="372"/>
      <c r="C256" s="372"/>
      <c r="D256" s="372"/>
      <c r="E256" s="372"/>
      <c r="F256" s="373"/>
      <c r="G256" s="374"/>
      <c r="H256" s="375"/>
      <c r="I256" s="376"/>
      <c r="J256" s="375"/>
      <c r="K256" s="377"/>
      <c r="L256" s="378"/>
      <c r="M256" s="379"/>
      <c r="N256" s="380"/>
      <c r="O256" s="327" t="str">
        <f>LEFT(J256,10)</f>
        <v/>
      </c>
    </row>
    <row r="257" spans="1:15" ht="57.6" customHeight="1" x14ac:dyDescent="0.25">
      <c r="A257" s="372"/>
      <c r="B257" s="372"/>
      <c r="C257" s="372"/>
      <c r="D257" s="372"/>
      <c r="E257" s="372"/>
      <c r="F257" s="373"/>
      <c r="G257" s="374"/>
      <c r="H257" s="375"/>
      <c r="I257" s="376"/>
      <c r="J257" s="375"/>
      <c r="K257" s="377"/>
      <c r="L257" s="378"/>
      <c r="M257" s="379"/>
      <c r="N257" s="380"/>
      <c r="O257" s="327" t="str">
        <f>LEFT(J257,10)</f>
        <v/>
      </c>
    </row>
    <row r="258" spans="1:15" ht="57.6" customHeight="1" x14ac:dyDescent="0.25">
      <c r="A258" s="372"/>
      <c r="B258" s="372"/>
      <c r="C258" s="372"/>
      <c r="D258" s="372"/>
      <c r="E258" s="372"/>
      <c r="F258" s="373"/>
      <c r="G258" s="374"/>
      <c r="H258" s="375"/>
      <c r="I258" s="376"/>
      <c r="J258" s="375"/>
      <c r="K258" s="377"/>
      <c r="L258" s="378"/>
      <c r="M258" s="379"/>
      <c r="N258" s="380"/>
      <c r="O258" s="327" t="str">
        <f>LEFT(J258,10)</f>
        <v/>
      </c>
    </row>
    <row r="259" spans="1:15" ht="57.6" customHeight="1" x14ac:dyDescent="0.25">
      <c r="A259" s="372"/>
      <c r="B259" s="372"/>
      <c r="C259" s="372"/>
      <c r="D259" s="372"/>
      <c r="E259" s="372"/>
      <c r="F259" s="373"/>
      <c r="G259" s="374"/>
      <c r="H259" s="375"/>
      <c r="I259" s="376"/>
      <c r="J259" s="375"/>
      <c r="K259" s="377"/>
      <c r="L259" s="378"/>
      <c r="M259" s="379"/>
      <c r="N259" s="380"/>
      <c r="O259" s="327" t="str">
        <f>LEFT(J259,10)</f>
        <v/>
      </c>
    </row>
    <row r="260" spans="1:15" ht="57.6" customHeight="1" x14ac:dyDescent="0.25">
      <c r="A260" s="372"/>
      <c r="B260" s="372"/>
      <c r="C260" s="372"/>
      <c r="D260" s="372"/>
      <c r="E260" s="372"/>
      <c r="F260" s="373"/>
      <c r="G260" s="374"/>
      <c r="H260" s="375"/>
      <c r="I260" s="376"/>
      <c r="J260" s="375"/>
      <c r="K260" s="377"/>
      <c r="L260" s="378"/>
      <c r="M260" s="379"/>
      <c r="N260" s="380"/>
      <c r="O260" s="327" t="str">
        <f>LEFT(J260,10)</f>
        <v/>
      </c>
    </row>
    <row r="261" spans="1:15" ht="57.6" customHeight="1" x14ac:dyDescent="0.25">
      <c r="A261" s="372"/>
      <c r="B261" s="372"/>
      <c r="C261" s="372"/>
      <c r="D261" s="372"/>
      <c r="E261" s="372"/>
      <c r="F261" s="373"/>
      <c r="G261" s="374"/>
      <c r="H261" s="375"/>
      <c r="I261" s="376"/>
      <c r="J261" s="375"/>
      <c r="K261" s="377"/>
      <c r="L261" s="378"/>
      <c r="M261" s="379"/>
      <c r="N261" s="380"/>
      <c r="O261" s="327" t="str">
        <f>LEFT(J261,10)</f>
        <v/>
      </c>
    </row>
    <row r="262" spans="1:15" ht="57.6" customHeight="1" x14ac:dyDescent="0.25">
      <c r="A262" s="372"/>
      <c r="B262" s="372"/>
      <c r="C262" s="372"/>
      <c r="D262" s="372"/>
      <c r="E262" s="372"/>
      <c r="F262" s="373"/>
      <c r="G262" s="374"/>
      <c r="H262" s="375"/>
      <c r="I262" s="376"/>
      <c r="J262" s="375"/>
      <c r="K262" s="377"/>
      <c r="L262" s="378"/>
      <c r="M262" s="379"/>
      <c r="N262" s="380"/>
      <c r="O262" s="327" t="str">
        <f>LEFT(J262,10)</f>
        <v/>
      </c>
    </row>
    <row r="263" spans="1:15" ht="57.6" customHeight="1" x14ac:dyDescent="0.25">
      <c r="A263" s="372"/>
      <c r="B263" s="372"/>
      <c r="C263" s="372"/>
      <c r="D263" s="372"/>
      <c r="E263" s="372"/>
      <c r="F263" s="373"/>
      <c r="G263" s="374"/>
      <c r="H263" s="375"/>
      <c r="I263" s="376"/>
      <c r="J263" s="375"/>
      <c r="K263" s="377"/>
      <c r="L263" s="378"/>
      <c r="M263" s="379"/>
      <c r="N263" s="380"/>
      <c r="O263" s="327" t="str">
        <f>LEFT(J263,10)</f>
        <v/>
      </c>
    </row>
    <row r="264" spans="1:15" ht="57.6" customHeight="1" x14ac:dyDescent="0.25">
      <c r="A264" s="372"/>
      <c r="B264" s="372"/>
      <c r="C264" s="372"/>
      <c r="D264" s="372"/>
      <c r="E264" s="372"/>
      <c r="F264" s="373"/>
      <c r="G264" s="374"/>
      <c r="H264" s="375"/>
      <c r="I264" s="376"/>
      <c r="J264" s="375"/>
      <c r="K264" s="377"/>
      <c r="L264" s="378"/>
      <c r="M264" s="379"/>
      <c r="N264" s="380"/>
      <c r="O264" s="327" t="str">
        <f>LEFT(J264,10)</f>
        <v/>
      </c>
    </row>
    <row r="265" spans="1:15" ht="57.6" customHeight="1" x14ac:dyDescent="0.25">
      <c r="A265" s="372"/>
      <c r="B265" s="372"/>
      <c r="C265" s="372"/>
      <c r="D265" s="372"/>
      <c r="E265" s="372"/>
      <c r="F265" s="373"/>
      <c r="G265" s="374"/>
      <c r="H265" s="375"/>
      <c r="I265" s="376"/>
      <c r="J265" s="375"/>
      <c r="K265" s="377"/>
      <c r="L265" s="378"/>
      <c r="M265" s="379"/>
      <c r="N265" s="380"/>
      <c r="O265" s="327" t="str">
        <f>LEFT(J265,10)</f>
        <v/>
      </c>
    </row>
    <row r="266" spans="1:15" ht="57.6" customHeight="1" x14ac:dyDescent="0.25">
      <c r="A266" s="372"/>
      <c r="B266" s="372"/>
      <c r="C266" s="372"/>
      <c r="D266" s="372"/>
      <c r="E266" s="372"/>
      <c r="F266" s="373"/>
      <c r="G266" s="374"/>
      <c r="H266" s="375"/>
      <c r="I266" s="376"/>
      <c r="J266" s="375"/>
      <c r="K266" s="377"/>
      <c r="L266" s="378"/>
      <c r="M266" s="379"/>
      <c r="N266" s="380"/>
      <c r="O266" s="327" t="str">
        <f>LEFT(J266,10)</f>
        <v/>
      </c>
    </row>
    <row r="267" spans="1:15" ht="57.6" customHeight="1" x14ac:dyDescent="0.25">
      <c r="A267" s="372"/>
      <c r="B267" s="372"/>
      <c r="C267" s="372"/>
      <c r="D267" s="372"/>
      <c r="E267" s="372"/>
      <c r="F267" s="373"/>
      <c r="G267" s="374"/>
      <c r="H267" s="375"/>
      <c r="I267" s="376"/>
      <c r="J267" s="375"/>
      <c r="K267" s="377"/>
      <c r="L267" s="378"/>
      <c r="M267" s="379"/>
      <c r="N267" s="380"/>
      <c r="O267" s="327" t="str">
        <f>LEFT(J267,10)</f>
        <v/>
      </c>
    </row>
    <row r="268" spans="1:15" ht="57.6" customHeight="1" x14ac:dyDescent="0.25">
      <c r="A268" s="372"/>
      <c r="B268" s="372"/>
      <c r="C268" s="372"/>
      <c r="D268" s="372"/>
      <c r="E268" s="372"/>
      <c r="F268" s="373"/>
      <c r="G268" s="374"/>
      <c r="H268" s="375"/>
      <c r="I268" s="376"/>
      <c r="J268" s="375"/>
      <c r="K268" s="377"/>
      <c r="L268" s="378"/>
      <c r="M268" s="379"/>
      <c r="N268" s="380"/>
      <c r="O268" s="327" t="str">
        <f>LEFT(J268,10)</f>
        <v/>
      </c>
    </row>
    <row r="269" spans="1:15" ht="57.6" customHeight="1" x14ac:dyDescent="0.25">
      <c r="A269" s="372"/>
      <c r="B269" s="372"/>
      <c r="C269" s="372"/>
      <c r="D269" s="372"/>
      <c r="E269" s="372"/>
      <c r="F269" s="373"/>
      <c r="G269" s="374"/>
      <c r="H269" s="375"/>
      <c r="I269" s="376"/>
      <c r="J269" s="375"/>
      <c r="K269" s="377"/>
      <c r="L269" s="378"/>
      <c r="M269" s="379"/>
      <c r="N269" s="380"/>
      <c r="O269" s="327" t="str">
        <f>LEFT(J269,10)</f>
        <v/>
      </c>
    </row>
    <row r="270" spans="1:15" ht="57.6" customHeight="1" x14ac:dyDescent="0.25">
      <c r="A270" s="372"/>
      <c r="B270" s="372"/>
      <c r="C270" s="372"/>
      <c r="D270" s="372"/>
      <c r="E270" s="372"/>
      <c r="F270" s="373"/>
      <c r="G270" s="374"/>
      <c r="H270" s="375"/>
      <c r="I270" s="376"/>
      <c r="J270" s="375"/>
      <c r="K270" s="377"/>
      <c r="L270" s="378"/>
      <c r="M270" s="379"/>
      <c r="N270" s="380"/>
      <c r="O270" s="327" t="str">
        <f>LEFT(J270,10)</f>
        <v/>
      </c>
    </row>
    <row r="271" spans="1:15" ht="57.6" customHeight="1" x14ac:dyDescent="0.25">
      <c r="A271" s="372"/>
      <c r="B271" s="372"/>
      <c r="C271" s="372"/>
      <c r="D271" s="372"/>
      <c r="E271" s="372"/>
      <c r="F271" s="373"/>
      <c r="G271" s="374"/>
      <c r="H271" s="375"/>
      <c r="I271" s="376"/>
      <c r="J271" s="375"/>
      <c r="K271" s="377"/>
      <c r="L271" s="378"/>
      <c r="M271" s="379"/>
      <c r="N271" s="380"/>
      <c r="O271" s="327" t="str">
        <f>LEFT(J271,10)</f>
        <v/>
      </c>
    </row>
    <row r="272" spans="1:15" ht="57.6" customHeight="1" x14ac:dyDescent="0.25">
      <c r="A272" s="372"/>
      <c r="B272" s="372"/>
      <c r="C272" s="372"/>
      <c r="D272" s="372"/>
      <c r="E272" s="372"/>
      <c r="F272" s="373"/>
      <c r="G272" s="374"/>
      <c r="H272" s="375"/>
      <c r="I272" s="376"/>
      <c r="J272" s="375"/>
      <c r="K272" s="377"/>
      <c r="L272" s="378"/>
      <c r="M272" s="379"/>
      <c r="N272" s="380"/>
      <c r="O272" s="327" t="str">
        <f>LEFT(J272,10)</f>
        <v/>
      </c>
    </row>
    <row r="273" spans="1:15" ht="57.6" customHeight="1" x14ac:dyDescent="0.25">
      <c r="A273" s="372"/>
      <c r="B273" s="372"/>
      <c r="C273" s="372"/>
      <c r="D273" s="372"/>
      <c r="E273" s="372"/>
      <c r="F273" s="373"/>
      <c r="G273" s="374"/>
      <c r="H273" s="375"/>
      <c r="I273" s="376"/>
      <c r="J273" s="375"/>
      <c r="K273" s="377"/>
      <c r="L273" s="378"/>
      <c r="M273" s="379"/>
      <c r="N273" s="380"/>
      <c r="O273" s="327" t="str">
        <f>LEFT(J273,10)</f>
        <v/>
      </c>
    </row>
    <row r="274" spans="1:15" ht="57.6" customHeight="1" x14ac:dyDescent="0.25">
      <c r="A274" s="372"/>
      <c r="B274" s="372"/>
      <c r="C274" s="372"/>
      <c r="D274" s="372"/>
      <c r="E274" s="372"/>
      <c r="F274" s="373"/>
      <c r="G274" s="374"/>
      <c r="H274" s="375"/>
      <c r="I274" s="376"/>
      <c r="J274" s="375"/>
      <c r="K274" s="377"/>
      <c r="L274" s="378"/>
      <c r="M274" s="379"/>
      <c r="N274" s="380"/>
      <c r="O274" s="327" t="str">
        <f>LEFT(J274,10)</f>
        <v/>
      </c>
    </row>
    <row r="275" spans="1:15" ht="57.6" customHeight="1" x14ac:dyDescent="0.25">
      <c r="A275" s="372"/>
      <c r="B275" s="372"/>
      <c r="C275" s="372"/>
      <c r="D275" s="372"/>
      <c r="E275" s="372"/>
      <c r="F275" s="373"/>
      <c r="G275" s="374"/>
      <c r="H275" s="375"/>
      <c r="I275" s="376"/>
      <c r="J275" s="375"/>
      <c r="K275" s="377"/>
      <c r="L275" s="378"/>
      <c r="M275" s="379"/>
      <c r="N275" s="380"/>
      <c r="O275" s="327" t="str">
        <f>LEFT(J275,10)</f>
        <v/>
      </c>
    </row>
    <row r="276" spans="1:15" ht="57.6" customHeight="1" x14ac:dyDescent="0.25">
      <c r="A276" s="372"/>
      <c r="B276" s="372"/>
      <c r="C276" s="372"/>
      <c r="D276" s="372"/>
      <c r="E276" s="372"/>
      <c r="F276" s="373"/>
      <c r="G276" s="374"/>
      <c r="H276" s="375"/>
      <c r="I276" s="376"/>
      <c r="J276" s="375"/>
      <c r="K276" s="377"/>
      <c r="L276" s="378"/>
      <c r="M276" s="379"/>
      <c r="N276" s="380"/>
      <c r="O276" s="327" t="str">
        <f>LEFT(J276,10)</f>
        <v/>
      </c>
    </row>
    <row r="277" spans="1:15" ht="57.6" customHeight="1" x14ac:dyDescent="0.25">
      <c r="A277" s="372"/>
      <c r="B277" s="372"/>
      <c r="C277" s="372"/>
      <c r="D277" s="372"/>
      <c r="E277" s="372"/>
      <c r="F277" s="373"/>
      <c r="G277" s="374"/>
      <c r="H277" s="375"/>
      <c r="I277" s="376"/>
      <c r="J277" s="375"/>
      <c r="K277" s="377"/>
      <c r="L277" s="378"/>
      <c r="M277" s="379"/>
      <c r="N277" s="380"/>
      <c r="O277" s="327" t="str">
        <f>LEFT(J277,10)</f>
        <v/>
      </c>
    </row>
    <row r="278" spans="1:15" ht="57.6" customHeight="1" x14ac:dyDescent="0.25">
      <c r="A278" s="372"/>
      <c r="B278" s="372"/>
      <c r="C278" s="372"/>
      <c r="D278" s="372"/>
      <c r="E278" s="372"/>
      <c r="F278" s="373"/>
      <c r="G278" s="374"/>
      <c r="H278" s="375"/>
      <c r="I278" s="376"/>
      <c r="J278" s="375"/>
      <c r="K278" s="377"/>
      <c r="L278" s="378"/>
      <c r="M278" s="379"/>
      <c r="N278" s="380"/>
      <c r="O278" s="327" t="str">
        <f>LEFT(J278,10)</f>
        <v/>
      </c>
    </row>
    <row r="279" spans="1:15" ht="57.6" customHeight="1" x14ac:dyDescent="0.25">
      <c r="A279" s="372"/>
      <c r="B279" s="372"/>
      <c r="C279" s="372"/>
      <c r="D279" s="372"/>
      <c r="E279" s="372"/>
      <c r="F279" s="373"/>
      <c r="G279" s="374"/>
      <c r="H279" s="375"/>
      <c r="I279" s="376"/>
      <c r="J279" s="375"/>
      <c r="K279" s="377"/>
      <c r="L279" s="378"/>
      <c r="M279" s="379"/>
      <c r="N279" s="380"/>
      <c r="O279" s="327" t="str">
        <f>LEFT(J279,10)</f>
        <v/>
      </c>
    </row>
    <row r="280" spans="1:15" ht="57.6" customHeight="1" x14ac:dyDescent="0.25">
      <c r="A280" s="372"/>
      <c r="B280" s="372"/>
      <c r="C280" s="372"/>
      <c r="D280" s="372"/>
      <c r="E280" s="372"/>
      <c r="F280" s="373"/>
      <c r="G280" s="374"/>
      <c r="H280" s="375"/>
      <c r="I280" s="376"/>
      <c r="J280" s="375"/>
      <c r="K280" s="377"/>
      <c r="L280" s="378"/>
      <c r="M280" s="379"/>
      <c r="N280" s="380"/>
      <c r="O280" s="327" t="str">
        <f>LEFT(J280,10)</f>
        <v/>
      </c>
    </row>
    <row r="281" spans="1:15" ht="57.6" customHeight="1" x14ac:dyDescent="0.25">
      <c r="A281" s="372"/>
      <c r="B281" s="372"/>
      <c r="C281" s="372"/>
      <c r="D281" s="372"/>
      <c r="E281" s="372"/>
      <c r="F281" s="373"/>
      <c r="G281" s="374"/>
      <c r="H281" s="375"/>
      <c r="I281" s="376"/>
      <c r="J281" s="375"/>
      <c r="K281" s="377"/>
      <c r="L281" s="378"/>
      <c r="M281" s="379"/>
      <c r="N281" s="380"/>
      <c r="O281" s="327" t="str">
        <f>LEFT(J281,10)</f>
        <v/>
      </c>
    </row>
    <row r="282" spans="1:15" ht="57.6" customHeight="1" x14ac:dyDescent="0.25">
      <c r="A282" s="372"/>
      <c r="B282" s="372"/>
      <c r="C282" s="372"/>
      <c r="D282" s="372"/>
      <c r="E282" s="372"/>
      <c r="F282" s="373"/>
      <c r="G282" s="374"/>
      <c r="H282" s="375"/>
      <c r="I282" s="376"/>
      <c r="J282" s="375"/>
      <c r="K282" s="377"/>
      <c r="L282" s="378"/>
      <c r="M282" s="379"/>
      <c r="N282" s="380"/>
      <c r="O282" s="327" t="str">
        <f>LEFT(J282,10)</f>
        <v/>
      </c>
    </row>
    <row r="283" spans="1:15" ht="57.6" customHeight="1" x14ac:dyDescent="0.25">
      <c r="A283" s="372"/>
      <c r="B283" s="372"/>
      <c r="C283" s="372"/>
      <c r="D283" s="372"/>
      <c r="E283" s="372"/>
      <c r="F283" s="373"/>
      <c r="G283" s="374"/>
      <c r="H283" s="375"/>
      <c r="I283" s="376"/>
      <c r="J283" s="375"/>
      <c r="K283" s="377"/>
      <c r="L283" s="378"/>
      <c r="M283" s="379"/>
      <c r="N283" s="380"/>
      <c r="O283" s="327" t="str">
        <f>LEFT(J283,10)</f>
        <v/>
      </c>
    </row>
    <row r="284" spans="1:15" ht="57.6" customHeight="1" x14ac:dyDescent="0.25">
      <c r="A284" s="372"/>
      <c r="B284" s="372"/>
      <c r="C284" s="372"/>
      <c r="D284" s="372"/>
      <c r="E284" s="372"/>
      <c r="F284" s="373"/>
      <c r="G284" s="374"/>
      <c r="H284" s="375"/>
      <c r="I284" s="376"/>
      <c r="J284" s="375"/>
      <c r="K284" s="377"/>
      <c r="L284" s="378"/>
      <c r="M284" s="379"/>
      <c r="N284" s="380"/>
      <c r="O284" s="327" t="str">
        <f>LEFT(J284,10)</f>
        <v/>
      </c>
    </row>
    <row r="285" spans="1:15" ht="57.6" customHeight="1" x14ac:dyDescent="0.25">
      <c r="A285" s="372"/>
      <c r="B285" s="372"/>
      <c r="C285" s="372"/>
      <c r="D285" s="372"/>
      <c r="E285" s="372"/>
      <c r="F285" s="373"/>
      <c r="G285" s="374"/>
      <c r="H285" s="375"/>
      <c r="I285" s="376"/>
      <c r="J285" s="375"/>
      <c r="K285" s="377"/>
      <c r="L285" s="378"/>
      <c r="M285" s="379"/>
      <c r="N285" s="380"/>
      <c r="O285" s="327" t="str">
        <f>LEFT(J285,10)</f>
        <v/>
      </c>
    </row>
    <row r="286" spans="1:15" ht="57.6" customHeight="1" x14ac:dyDescent="0.25">
      <c r="A286" s="372"/>
      <c r="B286" s="372"/>
      <c r="C286" s="372"/>
      <c r="D286" s="372"/>
      <c r="E286" s="372"/>
      <c r="F286" s="373"/>
      <c r="G286" s="374"/>
      <c r="H286" s="375"/>
      <c r="I286" s="376"/>
      <c r="J286" s="375"/>
      <c r="K286" s="377"/>
      <c r="L286" s="378"/>
      <c r="M286" s="379"/>
      <c r="N286" s="380"/>
      <c r="O286" s="327" t="str">
        <f>LEFT(J286,10)</f>
        <v/>
      </c>
    </row>
    <row r="287" spans="1:15" ht="57.6" customHeight="1" x14ac:dyDescent="0.25">
      <c r="A287" s="372"/>
      <c r="B287" s="372"/>
      <c r="C287" s="372"/>
      <c r="D287" s="372"/>
      <c r="E287" s="372"/>
      <c r="F287" s="373"/>
      <c r="G287" s="374"/>
      <c r="H287" s="375"/>
      <c r="I287" s="376"/>
      <c r="J287" s="375"/>
      <c r="K287" s="377"/>
      <c r="L287" s="378"/>
      <c r="M287" s="379"/>
      <c r="N287" s="380"/>
      <c r="O287" s="327" t="str">
        <f>LEFT(J287,10)</f>
        <v/>
      </c>
    </row>
    <row r="288" spans="1:15" ht="57.6" customHeight="1" x14ac:dyDescent="0.25">
      <c r="A288" s="372"/>
      <c r="B288" s="372"/>
      <c r="C288" s="372"/>
      <c r="D288" s="372"/>
      <c r="E288" s="372"/>
      <c r="F288" s="373"/>
      <c r="G288" s="374"/>
      <c r="H288" s="375"/>
      <c r="I288" s="376"/>
      <c r="J288" s="375"/>
      <c r="K288" s="377"/>
      <c r="L288" s="378"/>
      <c r="M288" s="379"/>
      <c r="N288" s="380"/>
      <c r="O288" s="327" t="str">
        <f>LEFT(J288,10)</f>
        <v/>
      </c>
    </row>
    <row r="289" spans="1:15" ht="57.6" customHeight="1" x14ac:dyDescent="0.25">
      <c r="A289" s="372"/>
      <c r="B289" s="372"/>
      <c r="C289" s="372"/>
      <c r="D289" s="372"/>
      <c r="E289" s="372"/>
      <c r="F289" s="373"/>
      <c r="G289" s="374"/>
      <c r="H289" s="375"/>
      <c r="I289" s="376"/>
      <c r="J289" s="375"/>
      <c r="K289" s="377"/>
      <c r="L289" s="378"/>
      <c r="M289" s="379"/>
      <c r="N289" s="380"/>
      <c r="O289" s="327" t="str">
        <f>LEFT(J289,10)</f>
        <v/>
      </c>
    </row>
    <row r="290" spans="1:15" ht="57.6" customHeight="1" x14ac:dyDescent="0.25">
      <c r="A290" s="372"/>
      <c r="B290" s="372"/>
      <c r="C290" s="372"/>
      <c r="D290" s="372"/>
      <c r="E290" s="372"/>
      <c r="F290" s="373"/>
      <c r="G290" s="374"/>
      <c r="H290" s="375"/>
      <c r="I290" s="376"/>
      <c r="J290" s="375"/>
      <c r="K290" s="377"/>
      <c r="L290" s="378"/>
      <c r="M290" s="379"/>
      <c r="N290" s="380"/>
      <c r="O290" s="327" t="str">
        <f>LEFT(J290,10)</f>
        <v/>
      </c>
    </row>
    <row r="291" spans="1:15" ht="57.6" customHeight="1" x14ac:dyDescent="0.25">
      <c r="A291" s="372"/>
      <c r="B291" s="372"/>
      <c r="C291" s="372"/>
      <c r="D291" s="372"/>
      <c r="E291" s="372"/>
      <c r="F291" s="373"/>
      <c r="G291" s="374"/>
      <c r="H291" s="375"/>
      <c r="I291" s="376"/>
      <c r="J291" s="375"/>
      <c r="K291" s="377"/>
      <c r="L291" s="378"/>
      <c r="M291" s="379"/>
      <c r="N291" s="380"/>
      <c r="O291" s="327" t="str">
        <f>LEFT(J291,10)</f>
        <v/>
      </c>
    </row>
    <row r="292" spans="1:15" ht="57.6" customHeight="1" x14ac:dyDescent="0.25">
      <c r="A292" s="372"/>
      <c r="B292" s="372"/>
      <c r="C292" s="372"/>
      <c r="D292" s="372"/>
      <c r="E292" s="372"/>
      <c r="F292" s="373"/>
      <c r="G292" s="374"/>
      <c r="H292" s="375"/>
      <c r="I292" s="376"/>
      <c r="J292" s="375"/>
      <c r="K292" s="377"/>
      <c r="L292" s="378"/>
      <c r="M292" s="379"/>
      <c r="N292" s="380"/>
      <c r="O292" s="327" t="str">
        <f>LEFT(J292,10)</f>
        <v/>
      </c>
    </row>
    <row r="293" spans="1:15" ht="57.6" customHeight="1" x14ac:dyDescent="0.25">
      <c r="A293" s="372"/>
      <c r="B293" s="372"/>
      <c r="C293" s="372"/>
      <c r="D293" s="372"/>
      <c r="E293" s="372"/>
      <c r="F293" s="373"/>
      <c r="G293" s="374"/>
      <c r="H293" s="375"/>
      <c r="I293" s="376"/>
      <c r="J293" s="375"/>
      <c r="K293" s="377"/>
      <c r="L293" s="378"/>
      <c r="M293" s="379"/>
      <c r="N293" s="380"/>
      <c r="O293" s="327" t="str">
        <f>LEFT(J293,10)</f>
        <v/>
      </c>
    </row>
    <row r="294" spans="1:15" ht="57.6" customHeight="1" x14ac:dyDescent="0.25">
      <c r="A294" s="372"/>
      <c r="B294" s="372"/>
      <c r="C294" s="372"/>
      <c r="D294" s="372"/>
      <c r="E294" s="372"/>
      <c r="F294" s="373"/>
      <c r="G294" s="374"/>
      <c r="H294" s="375"/>
      <c r="I294" s="376"/>
      <c r="J294" s="375"/>
      <c r="K294" s="377"/>
      <c r="L294" s="378"/>
      <c r="M294" s="379"/>
      <c r="N294" s="380"/>
      <c r="O294" s="327" t="str">
        <f>LEFT(J294,10)</f>
        <v/>
      </c>
    </row>
    <row r="295" spans="1:15" ht="57.6" customHeight="1" x14ac:dyDescent="0.25">
      <c r="A295" s="372"/>
      <c r="B295" s="372"/>
      <c r="C295" s="372"/>
      <c r="D295" s="372"/>
      <c r="E295" s="372"/>
      <c r="F295" s="373"/>
      <c r="G295" s="374"/>
      <c r="H295" s="375"/>
      <c r="I295" s="376"/>
      <c r="J295" s="375"/>
      <c r="K295" s="377"/>
      <c r="L295" s="378"/>
      <c r="M295" s="379"/>
      <c r="N295" s="380"/>
      <c r="O295" s="327" t="str">
        <f>LEFT(J295,10)</f>
        <v/>
      </c>
    </row>
    <row r="296" spans="1:15" ht="57.6" customHeight="1" x14ac:dyDescent="0.25">
      <c r="A296" s="372"/>
      <c r="B296" s="372"/>
      <c r="C296" s="372"/>
      <c r="D296" s="372"/>
      <c r="E296" s="372"/>
      <c r="F296" s="373"/>
      <c r="G296" s="374"/>
      <c r="H296" s="375"/>
      <c r="I296" s="376"/>
      <c r="J296" s="375"/>
      <c r="K296" s="377"/>
      <c r="L296" s="378"/>
      <c r="M296" s="379"/>
      <c r="N296" s="380"/>
      <c r="O296" s="327" t="str">
        <f>LEFT(J296,10)</f>
        <v/>
      </c>
    </row>
    <row r="297" spans="1:15" ht="57.6" customHeight="1" x14ac:dyDescent="0.25">
      <c r="A297" s="372"/>
      <c r="B297" s="372"/>
      <c r="C297" s="372"/>
      <c r="D297" s="372"/>
      <c r="E297" s="372"/>
      <c r="F297" s="373"/>
      <c r="G297" s="374"/>
      <c r="H297" s="375"/>
      <c r="I297" s="376"/>
      <c r="J297" s="375"/>
      <c r="K297" s="377"/>
      <c r="L297" s="378"/>
      <c r="M297" s="379"/>
      <c r="N297" s="380"/>
      <c r="O297" s="327" t="str">
        <f>LEFT(J297,10)</f>
        <v/>
      </c>
    </row>
    <row r="298" spans="1:15" ht="57.6" customHeight="1" x14ac:dyDescent="0.25">
      <c r="A298" s="372"/>
      <c r="B298" s="372"/>
      <c r="C298" s="372"/>
      <c r="D298" s="372"/>
      <c r="E298" s="372"/>
      <c r="F298" s="373"/>
      <c r="G298" s="374"/>
      <c r="H298" s="375"/>
      <c r="I298" s="376"/>
      <c r="J298" s="375"/>
      <c r="K298" s="377"/>
      <c r="L298" s="378"/>
      <c r="M298" s="379"/>
      <c r="N298" s="380"/>
      <c r="O298" s="327" t="str">
        <f>LEFT(J298,10)</f>
        <v/>
      </c>
    </row>
    <row r="299" spans="1:15" ht="57.6" customHeight="1" x14ac:dyDescent="0.25">
      <c r="A299" s="372"/>
      <c r="B299" s="372"/>
      <c r="C299" s="372"/>
      <c r="D299" s="372"/>
      <c r="E299" s="372"/>
      <c r="F299" s="373"/>
      <c r="G299" s="374"/>
      <c r="H299" s="375"/>
      <c r="I299" s="376"/>
      <c r="J299" s="375"/>
      <c r="K299" s="377"/>
      <c r="L299" s="378"/>
      <c r="M299" s="379"/>
      <c r="N299" s="380"/>
      <c r="O299" s="327" t="str">
        <f>LEFT(J299,10)</f>
        <v/>
      </c>
    </row>
    <row r="300" spans="1:15" ht="57.6" customHeight="1" x14ac:dyDescent="0.25">
      <c r="A300" s="372"/>
      <c r="B300" s="372"/>
      <c r="C300" s="372"/>
      <c r="D300" s="372"/>
      <c r="E300" s="372"/>
      <c r="F300" s="373"/>
      <c r="G300" s="374"/>
      <c r="H300" s="375"/>
      <c r="I300" s="376"/>
      <c r="J300" s="375"/>
      <c r="K300" s="377"/>
      <c r="L300" s="378"/>
      <c r="M300" s="379"/>
      <c r="N300" s="380"/>
      <c r="O300" s="327" t="str">
        <f>LEFT(J300,10)</f>
        <v/>
      </c>
    </row>
    <row r="301" spans="1:15" ht="57.6" customHeight="1" x14ac:dyDescent="0.25">
      <c r="A301" s="372"/>
      <c r="B301" s="372"/>
      <c r="C301" s="372"/>
      <c r="D301" s="372"/>
      <c r="E301" s="372"/>
      <c r="F301" s="373"/>
      <c r="G301" s="374"/>
      <c r="H301" s="375"/>
      <c r="I301" s="376"/>
      <c r="J301" s="375"/>
      <c r="K301" s="377"/>
      <c r="L301" s="378"/>
      <c r="M301" s="379"/>
      <c r="N301" s="380"/>
      <c r="O301" s="327" t="str">
        <f>LEFT(J301,10)</f>
        <v/>
      </c>
    </row>
    <row r="302" spans="1:15" ht="57.6" customHeight="1" x14ac:dyDescent="0.25">
      <c r="A302" s="372"/>
      <c r="B302" s="372"/>
      <c r="C302" s="372"/>
      <c r="D302" s="372"/>
      <c r="E302" s="372"/>
      <c r="F302" s="373"/>
      <c r="G302" s="374"/>
      <c r="H302" s="375"/>
      <c r="I302" s="376"/>
      <c r="J302" s="375"/>
      <c r="K302" s="377"/>
      <c r="L302" s="378"/>
      <c r="M302" s="379"/>
      <c r="N302" s="380"/>
      <c r="O302" s="327" t="str">
        <f>LEFT(J302,10)</f>
        <v/>
      </c>
    </row>
    <row r="303" spans="1:15" ht="57.6" customHeight="1" x14ac:dyDescent="0.25">
      <c r="A303" s="372"/>
      <c r="B303" s="372"/>
      <c r="C303" s="372"/>
      <c r="D303" s="372"/>
      <c r="E303" s="372"/>
      <c r="F303" s="373"/>
      <c r="G303" s="374"/>
      <c r="H303" s="375"/>
      <c r="I303" s="376"/>
      <c r="J303" s="375"/>
      <c r="K303" s="377"/>
      <c r="L303" s="378"/>
      <c r="M303" s="379"/>
      <c r="N303" s="380"/>
      <c r="O303" s="327" t="str">
        <f>LEFT(J303,10)</f>
        <v/>
      </c>
    </row>
    <row r="304" spans="1:15" ht="57.6" customHeight="1" x14ac:dyDescent="0.25">
      <c r="A304" s="372"/>
      <c r="B304" s="372"/>
      <c r="C304" s="372"/>
      <c r="D304" s="372"/>
      <c r="E304" s="372"/>
      <c r="F304" s="373"/>
      <c r="G304" s="374"/>
      <c r="H304" s="375"/>
      <c r="I304" s="376"/>
      <c r="J304" s="375"/>
      <c r="K304" s="377"/>
      <c r="L304" s="378"/>
      <c r="M304" s="379"/>
      <c r="N304" s="380"/>
      <c r="O304" s="327" t="str">
        <f>LEFT(J304,10)</f>
        <v/>
      </c>
    </row>
    <row r="305" spans="1:15" ht="57.6" customHeight="1" x14ac:dyDescent="0.25">
      <c r="A305" s="372"/>
      <c r="B305" s="372"/>
      <c r="C305" s="372"/>
      <c r="D305" s="372"/>
      <c r="E305" s="372"/>
      <c r="F305" s="373"/>
      <c r="G305" s="374"/>
      <c r="H305" s="375"/>
      <c r="I305" s="376"/>
      <c r="J305" s="375"/>
      <c r="K305" s="377"/>
      <c r="L305" s="378"/>
      <c r="M305" s="379"/>
      <c r="N305" s="380"/>
      <c r="O305" s="327" t="str">
        <f>LEFT(J305,10)</f>
        <v/>
      </c>
    </row>
    <row r="306" spans="1:15" ht="57.6" customHeight="1" x14ac:dyDescent="0.25">
      <c r="A306" s="372"/>
      <c r="B306" s="372"/>
      <c r="C306" s="372"/>
      <c r="D306" s="372"/>
      <c r="E306" s="372"/>
      <c r="F306" s="373"/>
      <c r="G306" s="374"/>
      <c r="H306" s="375"/>
      <c r="I306" s="376"/>
      <c r="J306" s="375"/>
      <c r="K306" s="377"/>
      <c r="L306" s="378"/>
      <c r="M306" s="379"/>
      <c r="N306" s="380"/>
      <c r="O306" s="327" t="str">
        <f>LEFT(J306,10)</f>
        <v/>
      </c>
    </row>
    <row r="307" spans="1:15" ht="57.6" customHeight="1" x14ac:dyDescent="0.25">
      <c r="A307" s="372"/>
      <c r="B307" s="372"/>
      <c r="C307" s="372"/>
      <c r="D307" s="372"/>
      <c r="E307" s="372"/>
      <c r="F307" s="373"/>
      <c r="G307" s="374"/>
      <c r="H307" s="375"/>
      <c r="I307" s="376"/>
      <c r="J307" s="375"/>
      <c r="K307" s="377"/>
      <c r="L307" s="378"/>
      <c r="M307" s="379"/>
      <c r="N307" s="380"/>
      <c r="O307" s="327" t="str">
        <f>LEFT(J307,10)</f>
        <v/>
      </c>
    </row>
    <row r="308" spans="1:15" ht="57.6" customHeight="1" x14ac:dyDescent="0.25">
      <c r="A308" s="372"/>
      <c r="B308" s="372"/>
      <c r="C308" s="372"/>
      <c r="D308" s="372"/>
      <c r="E308" s="372"/>
      <c r="F308" s="373"/>
      <c r="G308" s="374"/>
      <c r="H308" s="375"/>
      <c r="I308" s="376"/>
      <c r="J308" s="375"/>
      <c r="K308" s="377"/>
      <c r="L308" s="378"/>
      <c r="M308" s="379"/>
      <c r="N308" s="380"/>
      <c r="O308" s="327" t="str">
        <f>LEFT(J308,10)</f>
        <v/>
      </c>
    </row>
    <row r="309" spans="1:15" ht="57.6" customHeight="1" x14ac:dyDescent="0.25">
      <c r="A309" s="372"/>
      <c r="B309" s="372"/>
      <c r="C309" s="372"/>
      <c r="D309" s="372"/>
      <c r="E309" s="372"/>
      <c r="F309" s="373"/>
      <c r="G309" s="374"/>
      <c r="H309" s="375"/>
      <c r="I309" s="376"/>
      <c r="J309" s="375"/>
      <c r="K309" s="377"/>
      <c r="L309" s="378"/>
      <c r="M309" s="379"/>
      <c r="N309" s="380"/>
      <c r="O309" s="327" t="str">
        <f>LEFT(J309,10)</f>
        <v/>
      </c>
    </row>
    <row r="310" spans="1:15" ht="57.6" customHeight="1" x14ac:dyDescent="0.25">
      <c r="A310" s="372"/>
      <c r="B310" s="372"/>
      <c r="C310" s="372"/>
      <c r="D310" s="372"/>
      <c r="E310" s="372"/>
      <c r="F310" s="373"/>
      <c r="G310" s="374"/>
      <c r="H310" s="375"/>
      <c r="I310" s="376"/>
      <c r="J310" s="375"/>
      <c r="K310" s="377"/>
      <c r="L310" s="378"/>
      <c r="M310" s="379"/>
      <c r="N310" s="380"/>
      <c r="O310" s="327" t="str">
        <f>LEFT(J310,10)</f>
        <v/>
      </c>
    </row>
    <row r="311" spans="1:15" ht="57.6" customHeight="1" x14ac:dyDescent="0.25">
      <c r="A311" s="372"/>
      <c r="B311" s="372"/>
      <c r="C311" s="372"/>
      <c r="D311" s="372"/>
      <c r="E311" s="372"/>
      <c r="F311" s="373"/>
      <c r="G311" s="374"/>
      <c r="H311" s="375"/>
      <c r="I311" s="376"/>
      <c r="J311" s="375"/>
      <c r="K311" s="377"/>
      <c r="L311" s="378"/>
      <c r="M311" s="379"/>
      <c r="N311" s="380"/>
      <c r="O311" s="327" t="str">
        <f>LEFT(J311,10)</f>
        <v/>
      </c>
    </row>
    <row r="312" spans="1:15" ht="57.6" customHeight="1" x14ac:dyDescent="0.25">
      <c r="A312" s="372"/>
      <c r="B312" s="372"/>
      <c r="C312" s="372"/>
      <c r="D312" s="372"/>
      <c r="E312" s="372"/>
      <c r="F312" s="373"/>
      <c r="G312" s="374"/>
      <c r="H312" s="375"/>
      <c r="I312" s="376"/>
      <c r="J312" s="375"/>
      <c r="K312" s="377"/>
      <c r="L312" s="378"/>
      <c r="M312" s="379"/>
      <c r="N312" s="380"/>
      <c r="O312" s="327" t="str">
        <f>LEFT(J312,10)</f>
        <v/>
      </c>
    </row>
    <row r="313" spans="1:15" ht="57.6" customHeight="1" x14ac:dyDescent="0.25">
      <c r="A313" s="372"/>
      <c r="B313" s="372"/>
      <c r="C313" s="372"/>
      <c r="D313" s="372"/>
      <c r="E313" s="372"/>
      <c r="F313" s="373"/>
      <c r="G313" s="374"/>
      <c r="H313" s="375"/>
      <c r="I313" s="376"/>
      <c r="J313" s="375"/>
      <c r="K313" s="377"/>
      <c r="L313" s="378"/>
      <c r="M313" s="379"/>
      <c r="N313" s="380"/>
      <c r="O313" s="327" t="str">
        <f>LEFT(J313,10)</f>
        <v/>
      </c>
    </row>
    <row r="314" spans="1:15" ht="57.6" customHeight="1" x14ac:dyDescent="0.25">
      <c r="A314" s="372"/>
      <c r="B314" s="372"/>
      <c r="C314" s="372"/>
      <c r="D314" s="372"/>
      <c r="E314" s="372"/>
      <c r="F314" s="373"/>
      <c r="G314" s="374"/>
      <c r="H314" s="375"/>
      <c r="I314" s="376"/>
      <c r="J314" s="375"/>
      <c r="K314" s="377"/>
      <c r="L314" s="378"/>
      <c r="M314" s="379"/>
      <c r="N314" s="380"/>
      <c r="O314" s="327" t="str">
        <f>LEFT(J314,10)</f>
        <v/>
      </c>
    </row>
    <row r="315" spans="1:15" ht="57.6" customHeight="1" x14ac:dyDescent="0.25">
      <c r="A315" s="372"/>
      <c r="B315" s="372"/>
      <c r="C315" s="372"/>
      <c r="D315" s="372"/>
      <c r="E315" s="372"/>
      <c r="F315" s="373"/>
      <c r="G315" s="374"/>
      <c r="H315" s="375"/>
      <c r="I315" s="376"/>
      <c r="J315" s="375"/>
      <c r="K315" s="377"/>
      <c r="L315" s="378"/>
      <c r="M315" s="379"/>
      <c r="N315" s="380"/>
      <c r="O315" s="327" t="str">
        <f>LEFT(J315,10)</f>
        <v/>
      </c>
    </row>
    <row r="316" spans="1:15" ht="57.6" customHeight="1" x14ac:dyDescent="0.25">
      <c r="A316" s="372"/>
      <c r="B316" s="372"/>
      <c r="C316" s="372"/>
      <c r="D316" s="372"/>
      <c r="E316" s="372"/>
      <c r="F316" s="373"/>
      <c r="G316" s="374"/>
      <c r="H316" s="375"/>
      <c r="I316" s="376"/>
      <c r="J316" s="375"/>
      <c r="K316" s="377"/>
      <c r="L316" s="378"/>
      <c r="M316" s="379"/>
      <c r="N316" s="380"/>
      <c r="O316" s="327" t="str">
        <f>LEFT(J316,10)</f>
        <v/>
      </c>
    </row>
    <row r="317" spans="1:15" ht="57.6" customHeight="1" x14ac:dyDescent="0.25">
      <c r="A317" s="372"/>
      <c r="B317" s="372"/>
      <c r="C317" s="372"/>
      <c r="D317" s="372"/>
      <c r="E317" s="372"/>
      <c r="F317" s="373"/>
      <c r="G317" s="374"/>
      <c r="H317" s="375"/>
      <c r="I317" s="376"/>
      <c r="J317" s="375"/>
      <c r="K317" s="377"/>
      <c r="L317" s="378"/>
      <c r="M317" s="379"/>
      <c r="N317" s="380"/>
      <c r="O317" s="327" t="str">
        <f>LEFT(J317,10)</f>
        <v/>
      </c>
    </row>
    <row r="318" spans="1:15" ht="57.6" customHeight="1" x14ac:dyDescent="0.25">
      <c r="A318" s="372"/>
      <c r="B318" s="372"/>
      <c r="C318" s="372"/>
      <c r="D318" s="372"/>
      <c r="E318" s="372"/>
      <c r="F318" s="373"/>
      <c r="G318" s="374"/>
      <c r="H318" s="375"/>
      <c r="I318" s="376"/>
      <c r="J318" s="375"/>
      <c r="K318" s="377"/>
      <c r="L318" s="378"/>
      <c r="M318" s="379"/>
      <c r="N318" s="380"/>
      <c r="O318" s="327" t="str">
        <f>LEFT(J318,10)</f>
        <v/>
      </c>
    </row>
    <row r="319" spans="1:15" ht="57.6" customHeight="1" x14ac:dyDescent="0.25">
      <c r="A319" s="372"/>
      <c r="B319" s="372"/>
      <c r="C319" s="372"/>
      <c r="D319" s="372"/>
      <c r="E319" s="372"/>
      <c r="F319" s="373"/>
      <c r="G319" s="374"/>
      <c r="H319" s="375"/>
      <c r="I319" s="376"/>
      <c r="J319" s="375"/>
      <c r="K319" s="377"/>
      <c r="L319" s="378"/>
      <c r="M319" s="379"/>
      <c r="N319" s="380"/>
      <c r="O319" s="327" t="str">
        <f>LEFT(J319,10)</f>
        <v/>
      </c>
    </row>
    <row r="320" spans="1:15" ht="57.6" customHeight="1" x14ac:dyDescent="0.25">
      <c r="A320" s="372"/>
      <c r="B320" s="372"/>
      <c r="C320" s="372"/>
      <c r="D320" s="372"/>
      <c r="E320" s="372"/>
      <c r="F320" s="373"/>
      <c r="G320" s="374"/>
      <c r="H320" s="375"/>
      <c r="I320" s="376"/>
      <c r="J320" s="375"/>
      <c r="K320" s="377"/>
      <c r="L320" s="378"/>
      <c r="M320" s="379"/>
      <c r="N320" s="380"/>
      <c r="O320" s="327" t="str">
        <f>LEFT(J320,10)</f>
        <v/>
      </c>
    </row>
    <row r="321" spans="1:15" ht="57.6" customHeight="1" x14ac:dyDescent="0.25">
      <c r="A321" s="372"/>
      <c r="B321" s="372"/>
      <c r="C321" s="372"/>
      <c r="D321" s="372"/>
      <c r="E321" s="372"/>
      <c r="F321" s="373"/>
      <c r="G321" s="374"/>
      <c r="H321" s="375"/>
      <c r="I321" s="376"/>
      <c r="J321" s="375"/>
      <c r="K321" s="377"/>
      <c r="L321" s="378"/>
      <c r="M321" s="379"/>
      <c r="N321" s="380"/>
      <c r="O321" s="327" t="str">
        <f>LEFT(J321,10)</f>
        <v/>
      </c>
    </row>
    <row r="322" spans="1:15" ht="57.6" customHeight="1" x14ac:dyDescent="0.25">
      <c r="A322" s="372"/>
      <c r="B322" s="372"/>
      <c r="C322" s="372"/>
      <c r="D322" s="372"/>
      <c r="E322" s="372"/>
      <c r="F322" s="373"/>
      <c r="G322" s="374"/>
      <c r="H322" s="375"/>
      <c r="I322" s="376"/>
      <c r="J322" s="375"/>
      <c r="K322" s="377"/>
      <c r="L322" s="378"/>
      <c r="M322" s="379"/>
      <c r="N322" s="380"/>
      <c r="O322" s="327" t="str">
        <f>LEFT(J322,10)</f>
        <v/>
      </c>
    </row>
    <row r="323" spans="1:15" ht="57.6" customHeight="1" x14ac:dyDescent="0.25">
      <c r="A323" s="372"/>
      <c r="B323" s="372"/>
      <c r="C323" s="372"/>
      <c r="D323" s="372"/>
      <c r="E323" s="372"/>
      <c r="F323" s="373"/>
      <c r="G323" s="374"/>
      <c r="H323" s="375"/>
      <c r="I323" s="376"/>
      <c r="J323" s="375"/>
      <c r="K323" s="377"/>
      <c r="L323" s="378"/>
      <c r="M323" s="379"/>
      <c r="N323" s="380"/>
      <c r="O323" s="327" t="str">
        <f>LEFT(J323,10)</f>
        <v/>
      </c>
    </row>
    <row r="324" spans="1:15" ht="57.6" customHeight="1" x14ac:dyDescent="0.25">
      <c r="A324" s="372"/>
      <c r="B324" s="372"/>
      <c r="C324" s="372"/>
      <c r="D324" s="372"/>
      <c r="E324" s="372"/>
      <c r="F324" s="373"/>
      <c r="G324" s="374"/>
      <c r="H324" s="375"/>
      <c r="I324" s="376"/>
      <c r="J324" s="375"/>
      <c r="K324" s="377"/>
      <c r="L324" s="378"/>
      <c r="M324" s="379"/>
      <c r="N324" s="380"/>
      <c r="O324" s="327" t="str">
        <f>LEFT(J324,10)</f>
        <v/>
      </c>
    </row>
    <row r="325" spans="1:15" ht="57.6" customHeight="1" x14ac:dyDescent="0.25">
      <c r="A325" s="372"/>
      <c r="B325" s="372"/>
      <c r="C325" s="372"/>
      <c r="D325" s="372"/>
      <c r="E325" s="372"/>
      <c r="F325" s="373"/>
      <c r="G325" s="374"/>
      <c r="H325" s="375"/>
      <c r="I325" s="376"/>
      <c r="J325" s="375"/>
      <c r="K325" s="377"/>
      <c r="L325" s="378"/>
      <c r="M325" s="379"/>
      <c r="N325" s="380"/>
      <c r="O325" s="327" t="str">
        <f>LEFT(J325,10)</f>
        <v/>
      </c>
    </row>
    <row r="326" spans="1:15" ht="57.6" customHeight="1" x14ac:dyDescent="0.25">
      <c r="A326" s="372"/>
      <c r="B326" s="372"/>
      <c r="C326" s="372"/>
      <c r="D326" s="372"/>
      <c r="E326" s="372"/>
      <c r="F326" s="373"/>
      <c r="G326" s="374"/>
      <c r="H326" s="375"/>
      <c r="I326" s="376"/>
      <c r="J326" s="375"/>
      <c r="K326" s="377"/>
      <c r="L326" s="378"/>
      <c r="M326" s="379"/>
      <c r="N326" s="380"/>
      <c r="O326" s="327" t="str">
        <f>LEFT(J326,10)</f>
        <v/>
      </c>
    </row>
    <row r="327" spans="1:15" ht="57.6" customHeight="1" x14ac:dyDescent="0.25">
      <c r="A327" s="372"/>
      <c r="B327" s="372"/>
      <c r="C327" s="372"/>
      <c r="D327" s="372"/>
      <c r="E327" s="372"/>
      <c r="F327" s="373"/>
      <c r="G327" s="374"/>
      <c r="H327" s="375"/>
      <c r="I327" s="376"/>
      <c r="J327" s="375"/>
      <c r="K327" s="377"/>
      <c r="L327" s="378"/>
      <c r="M327" s="379"/>
      <c r="N327" s="380"/>
      <c r="O327" s="327" t="str">
        <f>LEFT(J327,10)</f>
        <v/>
      </c>
    </row>
    <row r="328" spans="1:15" ht="57.6" customHeight="1" x14ac:dyDescent="0.25">
      <c r="A328" s="372"/>
      <c r="B328" s="372"/>
      <c r="C328" s="372"/>
      <c r="D328" s="372"/>
      <c r="E328" s="372"/>
      <c r="F328" s="373"/>
      <c r="G328" s="374"/>
      <c r="H328" s="375"/>
      <c r="I328" s="376"/>
      <c r="J328" s="375"/>
      <c r="K328" s="377"/>
      <c r="L328" s="378"/>
      <c r="M328" s="379"/>
      <c r="N328" s="380"/>
      <c r="O328" s="327" t="str">
        <f>LEFT(J328,10)</f>
        <v/>
      </c>
    </row>
    <row r="329" spans="1:15" ht="57.6" customHeight="1" x14ac:dyDescent="0.25">
      <c r="A329" s="372"/>
      <c r="B329" s="372"/>
      <c r="C329" s="372"/>
      <c r="D329" s="372"/>
      <c r="E329" s="372"/>
      <c r="F329" s="373"/>
      <c r="G329" s="374"/>
      <c r="H329" s="375"/>
      <c r="I329" s="376"/>
      <c r="J329" s="375"/>
      <c r="K329" s="377"/>
      <c r="L329" s="378"/>
      <c r="M329" s="379"/>
      <c r="N329" s="380"/>
      <c r="O329" s="327" t="str">
        <f>LEFT(J329,10)</f>
        <v/>
      </c>
    </row>
    <row r="330" spans="1:15" ht="57.6" customHeight="1" x14ac:dyDescent="0.25">
      <c r="A330" s="372"/>
      <c r="B330" s="372"/>
      <c r="C330" s="372"/>
      <c r="D330" s="372"/>
      <c r="E330" s="372"/>
      <c r="F330" s="373"/>
      <c r="G330" s="374"/>
      <c r="H330" s="375"/>
      <c r="I330" s="376"/>
      <c r="J330" s="375"/>
      <c r="K330" s="377"/>
      <c r="L330" s="378"/>
      <c r="M330" s="379"/>
      <c r="N330" s="380"/>
      <c r="O330" s="327" t="str">
        <f>LEFT(J330,10)</f>
        <v/>
      </c>
    </row>
    <row r="331" spans="1:15" ht="57.6" customHeight="1" x14ac:dyDescent="0.25">
      <c r="A331" s="372"/>
      <c r="B331" s="372"/>
      <c r="C331" s="372"/>
      <c r="D331" s="372"/>
      <c r="E331" s="372"/>
      <c r="F331" s="373"/>
      <c r="G331" s="374"/>
      <c r="H331" s="375"/>
      <c r="I331" s="376"/>
      <c r="J331" s="375"/>
      <c r="K331" s="377"/>
      <c r="L331" s="378"/>
      <c r="M331" s="379"/>
      <c r="N331" s="380"/>
      <c r="O331" s="327" t="str">
        <f>LEFT(J331,10)</f>
        <v/>
      </c>
    </row>
    <row r="332" spans="1:15" ht="57.6" customHeight="1" x14ac:dyDescent="0.25">
      <c r="A332" s="372"/>
      <c r="B332" s="372"/>
      <c r="C332" s="372"/>
      <c r="D332" s="372"/>
      <c r="E332" s="372"/>
      <c r="F332" s="373"/>
      <c r="G332" s="374"/>
      <c r="H332" s="375"/>
      <c r="I332" s="376"/>
      <c r="J332" s="375"/>
      <c r="K332" s="377"/>
      <c r="L332" s="378"/>
      <c r="M332" s="379"/>
      <c r="N332" s="380"/>
      <c r="O332" s="327" t="str">
        <f>LEFT(J332,10)</f>
        <v/>
      </c>
    </row>
    <row r="333" spans="1:15" ht="57.6" customHeight="1" x14ac:dyDescent="0.25">
      <c r="A333" s="372"/>
      <c r="B333" s="372"/>
      <c r="C333" s="372"/>
      <c r="D333" s="372"/>
      <c r="E333" s="372"/>
      <c r="F333" s="373"/>
      <c r="G333" s="374"/>
      <c r="H333" s="375"/>
      <c r="I333" s="376"/>
      <c r="J333" s="375"/>
      <c r="K333" s="377"/>
      <c r="L333" s="378"/>
      <c r="M333" s="379"/>
      <c r="N333" s="380"/>
      <c r="O333" s="327" t="str">
        <f>LEFT(J333,10)</f>
        <v/>
      </c>
    </row>
    <row r="334" spans="1:15" ht="57.6" customHeight="1" x14ac:dyDescent="0.25">
      <c r="A334" s="372"/>
      <c r="B334" s="372"/>
      <c r="C334" s="372"/>
      <c r="D334" s="372"/>
      <c r="E334" s="372"/>
      <c r="F334" s="373"/>
      <c r="G334" s="374"/>
      <c r="H334" s="375"/>
      <c r="I334" s="376"/>
      <c r="J334" s="375"/>
      <c r="K334" s="377"/>
      <c r="L334" s="378"/>
      <c r="M334" s="379"/>
      <c r="N334" s="380"/>
      <c r="O334" s="327" t="str">
        <f>LEFT(J334,10)</f>
        <v/>
      </c>
    </row>
    <row r="335" spans="1:15" ht="57.6" customHeight="1" x14ac:dyDescent="0.25">
      <c r="A335" s="372"/>
      <c r="B335" s="372"/>
      <c r="C335" s="372"/>
      <c r="D335" s="372"/>
      <c r="E335" s="372"/>
      <c r="F335" s="373"/>
      <c r="G335" s="374"/>
      <c r="H335" s="375"/>
      <c r="I335" s="376"/>
      <c r="J335" s="375"/>
      <c r="K335" s="377"/>
      <c r="L335" s="378"/>
      <c r="M335" s="379"/>
      <c r="N335" s="380"/>
      <c r="O335" s="327" t="str">
        <f>LEFT(J335,10)</f>
        <v/>
      </c>
    </row>
    <row r="336" spans="1:15" ht="57.6" customHeight="1" x14ac:dyDescent="0.25">
      <c r="A336" s="372"/>
      <c r="B336" s="372"/>
      <c r="C336" s="372"/>
      <c r="D336" s="372"/>
      <c r="E336" s="372"/>
      <c r="F336" s="373"/>
      <c r="G336" s="374"/>
      <c r="H336" s="375"/>
      <c r="I336" s="376"/>
      <c r="J336" s="375"/>
      <c r="K336" s="377"/>
      <c r="L336" s="378"/>
      <c r="M336" s="379"/>
      <c r="N336" s="380"/>
      <c r="O336" s="327" t="str">
        <f>LEFT(J336,10)</f>
        <v/>
      </c>
    </row>
    <row r="337" spans="1:15" ht="57.6" customHeight="1" x14ac:dyDescent="0.25">
      <c r="A337" s="372"/>
      <c r="B337" s="372"/>
      <c r="C337" s="372"/>
      <c r="D337" s="372"/>
      <c r="E337" s="372"/>
      <c r="F337" s="373"/>
      <c r="G337" s="374"/>
      <c r="H337" s="375"/>
      <c r="I337" s="376"/>
      <c r="J337" s="375"/>
      <c r="K337" s="377"/>
      <c r="L337" s="378"/>
      <c r="M337" s="379"/>
      <c r="N337" s="380"/>
      <c r="O337" s="327" t="str">
        <f>LEFT(J337,10)</f>
        <v/>
      </c>
    </row>
    <row r="338" spans="1:15" ht="57.6" customHeight="1" x14ac:dyDescent="0.25">
      <c r="A338" s="372"/>
      <c r="B338" s="372"/>
      <c r="C338" s="372"/>
      <c r="D338" s="372"/>
      <c r="E338" s="372"/>
      <c r="F338" s="373"/>
      <c r="G338" s="374"/>
      <c r="H338" s="375"/>
      <c r="I338" s="376"/>
      <c r="J338" s="375"/>
      <c r="K338" s="377"/>
      <c r="L338" s="378"/>
      <c r="M338" s="379"/>
      <c r="N338" s="380"/>
      <c r="O338" s="327" t="str">
        <f>LEFT(J338,10)</f>
        <v/>
      </c>
    </row>
    <row r="339" spans="1:15" ht="57.6" customHeight="1" x14ac:dyDescent="0.25">
      <c r="A339" s="372"/>
      <c r="B339" s="372"/>
      <c r="C339" s="372"/>
      <c r="D339" s="372"/>
      <c r="E339" s="372"/>
      <c r="F339" s="373"/>
      <c r="G339" s="374"/>
      <c r="H339" s="375"/>
      <c r="I339" s="376"/>
      <c r="J339" s="375"/>
      <c r="K339" s="377"/>
      <c r="L339" s="378"/>
      <c r="M339" s="379"/>
      <c r="N339" s="380"/>
      <c r="O339" s="327" t="str">
        <f>LEFT(J339,10)</f>
        <v/>
      </c>
    </row>
    <row r="340" spans="1:15" ht="57.6" customHeight="1" x14ac:dyDescent="0.25">
      <c r="A340" s="372"/>
      <c r="B340" s="372"/>
      <c r="C340" s="372"/>
      <c r="D340" s="372"/>
      <c r="E340" s="372"/>
      <c r="F340" s="373"/>
      <c r="G340" s="374"/>
      <c r="H340" s="375"/>
      <c r="I340" s="376"/>
      <c r="J340" s="375"/>
      <c r="K340" s="377"/>
      <c r="L340" s="378"/>
      <c r="M340" s="379"/>
      <c r="N340" s="380"/>
      <c r="O340" s="327" t="str">
        <f>LEFT(J340,10)</f>
        <v/>
      </c>
    </row>
    <row r="341" spans="1:15" ht="57.6" customHeight="1" x14ac:dyDescent="0.25">
      <c r="A341" s="372"/>
      <c r="B341" s="372"/>
      <c r="C341" s="372"/>
      <c r="D341" s="372"/>
      <c r="E341" s="372"/>
      <c r="F341" s="373"/>
      <c r="G341" s="374"/>
      <c r="H341" s="375"/>
      <c r="I341" s="376"/>
      <c r="J341" s="375"/>
      <c r="K341" s="377"/>
      <c r="L341" s="378"/>
      <c r="M341" s="379"/>
      <c r="N341" s="380"/>
      <c r="O341" s="327" t="str">
        <f>LEFT(J341,10)</f>
        <v/>
      </c>
    </row>
    <row r="342" spans="1:15" ht="57.6" customHeight="1" x14ac:dyDescent="0.25">
      <c r="A342" s="372"/>
      <c r="B342" s="372"/>
      <c r="C342" s="372"/>
      <c r="D342" s="372"/>
      <c r="E342" s="372"/>
      <c r="F342" s="373"/>
      <c r="G342" s="374"/>
      <c r="H342" s="375"/>
      <c r="I342" s="376"/>
      <c r="J342" s="375"/>
      <c r="K342" s="377"/>
      <c r="L342" s="378"/>
      <c r="M342" s="379"/>
      <c r="N342" s="380"/>
      <c r="O342" s="327" t="str">
        <f>LEFT(J342,10)</f>
        <v/>
      </c>
    </row>
    <row r="343" spans="1:15" ht="57.6" customHeight="1" x14ac:dyDescent="0.25">
      <c r="A343" s="372"/>
      <c r="B343" s="372"/>
      <c r="C343" s="372"/>
      <c r="D343" s="372"/>
      <c r="E343" s="372"/>
      <c r="F343" s="373"/>
      <c r="G343" s="374"/>
      <c r="H343" s="375"/>
      <c r="I343" s="376"/>
      <c r="J343" s="375"/>
      <c r="K343" s="377"/>
      <c r="L343" s="378"/>
      <c r="M343" s="379"/>
      <c r="N343" s="380"/>
      <c r="O343" s="327" t="str">
        <f>LEFT(J343,10)</f>
        <v/>
      </c>
    </row>
    <row r="344" spans="1:15" ht="57.6" customHeight="1" x14ac:dyDescent="0.25">
      <c r="A344" s="372"/>
      <c r="B344" s="372"/>
      <c r="C344" s="372"/>
      <c r="D344" s="372"/>
      <c r="E344" s="372"/>
      <c r="F344" s="373"/>
      <c r="G344" s="374"/>
      <c r="H344" s="375"/>
      <c r="I344" s="376"/>
      <c r="J344" s="375"/>
      <c r="K344" s="377"/>
      <c r="L344" s="378"/>
      <c r="M344" s="379"/>
      <c r="N344" s="380"/>
      <c r="O344" s="327" t="str">
        <f>LEFT(J344,10)</f>
        <v/>
      </c>
    </row>
    <row r="345" spans="1:15" ht="57.6" customHeight="1" x14ac:dyDescent="0.25">
      <c r="A345" s="372"/>
      <c r="B345" s="372"/>
      <c r="C345" s="372"/>
      <c r="D345" s="372"/>
      <c r="E345" s="372"/>
      <c r="F345" s="373"/>
      <c r="G345" s="374"/>
      <c r="H345" s="375"/>
      <c r="I345" s="376"/>
      <c r="J345" s="375"/>
      <c r="K345" s="377"/>
      <c r="L345" s="378"/>
      <c r="M345" s="379"/>
      <c r="N345" s="380"/>
      <c r="O345" s="327" t="str">
        <f>LEFT(J345,10)</f>
        <v/>
      </c>
    </row>
    <row r="346" spans="1:15" ht="57.6" customHeight="1" x14ac:dyDescent="0.25">
      <c r="A346" s="372"/>
      <c r="B346" s="372"/>
      <c r="C346" s="372"/>
      <c r="D346" s="372"/>
      <c r="E346" s="372"/>
      <c r="F346" s="373"/>
      <c r="G346" s="374"/>
      <c r="H346" s="375"/>
      <c r="I346" s="376"/>
      <c r="J346" s="375"/>
      <c r="K346" s="377"/>
      <c r="L346" s="378"/>
      <c r="M346" s="379"/>
      <c r="N346" s="380"/>
      <c r="O346" s="327" t="str">
        <f>LEFT(J346,10)</f>
        <v/>
      </c>
    </row>
    <row r="347" spans="1:15" ht="57.6" customHeight="1" x14ac:dyDescent="0.25">
      <c r="A347" s="372"/>
      <c r="B347" s="372"/>
      <c r="C347" s="372"/>
      <c r="D347" s="372"/>
      <c r="E347" s="372"/>
      <c r="F347" s="373"/>
      <c r="G347" s="374"/>
      <c r="H347" s="375"/>
      <c r="I347" s="376"/>
      <c r="J347" s="375"/>
      <c r="K347" s="377"/>
      <c r="L347" s="378"/>
      <c r="M347" s="379"/>
      <c r="N347" s="380"/>
      <c r="O347" s="327" t="str">
        <f>LEFT(J347,10)</f>
        <v/>
      </c>
    </row>
    <row r="348" spans="1:15" ht="57.6" customHeight="1" x14ac:dyDescent="0.25">
      <c r="A348" s="372"/>
      <c r="B348" s="372"/>
      <c r="C348" s="372"/>
      <c r="D348" s="372"/>
      <c r="E348" s="372"/>
      <c r="F348" s="373"/>
      <c r="G348" s="374"/>
      <c r="H348" s="375"/>
      <c r="I348" s="376"/>
      <c r="J348" s="375"/>
      <c r="K348" s="377"/>
      <c r="L348" s="378"/>
      <c r="M348" s="379"/>
      <c r="N348" s="380"/>
      <c r="O348" s="327" t="str">
        <f>LEFT(J348,10)</f>
        <v/>
      </c>
    </row>
    <row r="349" spans="1:15" ht="57.6" customHeight="1" x14ac:dyDescent="0.25">
      <c r="A349" s="372"/>
      <c r="B349" s="372"/>
      <c r="C349" s="372"/>
      <c r="D349" s="372"/>
      <c r="E349" s="372"/>
      <c r="F349" s="373"/>
      <c r="G349" s="374"/>
      <c r="H349" s="375"/>
      <c r="I349" s="376"/>
      <c r="J349" s="375"/>
      <c r="K349" s="377"/>
      <c r="L349" s="378"/>
      <c r="M349" s="379"/>
      <c r="N349" s="380"/>
      <c r="O349" s="327" t="str">
        <f>LEFT(J349,10)</f>
        <v/>
      </c>
    </row>
    <row r="350" spans="1:15" ht="57.6" customHeight="1" x14ac:dyDescent="0.25">
      <c r="A350" s="372"/>
      <c r="B350" s="372"/>
      <c r="C350" s="372"/>
      <c r="D350" s="372"/>
      <c r="E350" s="372"/>
      <c r="F350" s="373"/>
      <c r="G350" s="374"/>
      <c r="H350" s="375"/>
      <c r="I350" s="376"/>
      <c r="J350" s="375"/>
      <c r="K350" s="377"/>
      <c r="L350" s="378"/>
      <c r="M350" s="379"/>
      <c r="N350" s="380"/>
      <c r="O350" s="327" t="str">
        <f>LEFT(J350,10)</f>
        <v/>
      </c>
    </row>
    <row r="351" spans="1:15" ht="57.6" customHeight="1" x14ac:dyDescent="0.25">
      <c r="A351" s="372"/>
      <c r="B351" s="372"/>
      <c r="C351" s="372"/>
      <c r="D351" s="372"/>
      <c r="E351" s="372"/>
      <c r="F351" s="373"/>
      <c r="G351" s="374"/>
      <c r="H351" s="375"/>
      <c r="I351" s="376"/>
      <c r="J351" s="375"/>
      <c r="K351" s="377"/>
      <c r="L351" s="378"/>
      <c r="M351" s="379"/>
      <c r="N351" s="380"/>
      <c r="O351" s="327" t="str">
        <f>LEFT(J351,10)</f>
        <v/>
      </c>
    </row>
    <row r="352" spans="1:15" ht="57.6" customHeight="1" x14ac:dyDescent="0.25">
      <c r="A352" s="372"/>
      <c r="B352" s="372"/>
      <c r="C352" s="372"/>
      <c r="D352" s="372"/>
      <c r="E352" s="372"/>
      <c r="F352" s="373"/>
      <c r="G352" s="374"/>
      <c r="H352" s="375"/>
      <c r="I352" s="376"/>
      <c r="J352" s="375"/>
      <c r="K352" s="377"/>
      <c r="L352" s="378"/>
      <c r="M352" s="379"/>
      <c r="N352" s="380"/>
      <c r="O352" s="327" t="str">
        <f>LEFT(J352,10)</f>
        <v/>
      </c>
    </row>
    <row r="353" spans="1:15" ht="57.6" customHeight="1" x14ac:dyDescent="0.25">
      <c r="A353" s="372"/>
      <c r="B353" s="372"/>
      <c r="C353" s="372"/>
      <c r="D353" s="372"/>
      <c r="E353" s="372"/>
      <c r="F353" s="373"/>
      <c r="G353" s="374"/>
      <c r="H353" s="375"/>
      <c r="I353" s="376"/>
      <c r="J353" s="375"/>
      <c r="K353" s="377"/>
      <c r="L353" s="378"/>
      <c r="M353" s="379"/>
      <c r="N353" s="380"/>
      <c r="O353" s="327" t="str">
        <f>LEFT(J353,10)</f>
        <v/>
      </c>
    </row>
    <row r="354" spans="1:15" ht="57.6" customHeight="1" x14ac:dyDescent="0.25">
      <c r="A354" s="372"/>
      <c r="B354" s="372"/>
      <c r="C354" s="372"/>
      <c r="D354" s="372"/>
      <c r="E354" s="372"/>
      <c r="F354" s="373"/>
      <c r="G354" s="374"/>
      <c r="H354" s="375"/>
      <c r="I354" s="376"/>
      <c r="J354" s="375"/>
      <c r="K354" s="377"/>
      <c r="L354" s="378"/>
      <c r="M354" s="379"/>
      <c r="N354" s="380"/>
      <c r="O354" s="327" t="str">
        <f>LEFT(J354,10)</f>
        <v/>
      </c>
    </row>
    <row r="355" spans="1:15" ht="57.6" customHeight="1" x14ac:dyDescent="0.25">
      <c r="A355" s="372"/>
      <c r="B355" s="372"/>
      <c r="C355" s="372"/>
      <c r="D355" s="372"/>
      <c r="E355" s="372"/>
      <c r="F355" s="373"/>
      <c r="G355" s="374"/>
      <c r="H355" s="375"/>
      <c r="I355" s="376"/>
      <c r="J355" s="375"/>
      <c r="K355" s="377"/>
      <c r="L355" s="378"/>
      <c r="M355" s="379"/>
      <c r="N355" s="380"/>
      <c r="O355" s="327" t="str">
        <f>LEFT(J355,10)</f>
        <v/>
      </c>
    </row>
    <row r="356" spans="1:15" ht="57.6" customHeight="1" x14ac:dyDescent="0.25">
      <c r="A356" s="372"/>
      <c r="B356" s="372"/>
      <c r="C356" s="372"/>
      <c r="D356" s="372"/>
      <c r="E356" s="372"/>
      <c r="F356" s="373"/>
      <c r="G356" s="374"/>
      <c r="H356" s="375"/>
      <c r="I356" s="376"/>
      <c r="J356" s="375"/>
      <c r="K356" s="377"/>
      <c r="L356" s="378"/>
      <c r="M356" s="379"/>
      <c r="N356" s="380"/>
      <c r="O356" s="327" t="str">
        <f>LEFT(J356,10)</f>
        <v/>
      </c>
    </row>
    <row r="357" spans="1:15" ht="57.6" customHeight="1" x14ac:dyDescent="0.25">
      <c r="A357" s="372"/>
      <c r="B357" s="372"/>
      <c r="C357" s="372"/>
      <c r="D357" s="372"/>
      <c r="E357" s="372"/>
      <c r="F357" s="373"/>
      <c r="G357" s="374"/>
      <c r="H357" s="375"/>
      <c r="I357" s="376"/>
      <c r="J357" s="375"/>
      <c r="K357" s="377"/>
      <c r="L357" s="378"/>
      <c r="M357" s="379"/>
      <c r="N357" s="380"/>
      <c r="O357" s="327" t="str">
        <f>LEFT(J357,10)</f>
        <v/>
      </c>
    </row>
    <row r="358" spans="1:15" ht="57.6" customHeight="1" x14ac:dyDescent="0.25">
      <c r="A358" s="372"/>
      <c r="B358" s="372"/>
      <c r="C358" s="372"/>
      <c r="D358" s="372"/>
      <c r="E358" s="372"/>
      <c r="F358" s="373"/>
      <c r="G358" s="374"/>
      <c r="H358" s="375"/>
      <c r="I358" s="376"/>
      <c r="J358" s="375"/>
      <c r="K358" s="377"/>
      <c r="L358" s="378"/>
      <c r="M358" s="379"/>
      <c r="N358" s="380"/>
      <c r="O358" s="327" t="str">
        <f>LEFT(J358,10)</f>
        <v/>
      </c>
    </row>
    <row r="359" spans="1:15" ht="57.6" customHeight="1" x14ac:dyDescent="0.25">
      <c r="A359" s="372"/>
      <c r="B359" s="372"/>
      <c r="C359" s="372"/>
      <c r="D359" s="372"/>
      <c r="E359" s="372"/>
      <c r="F359" s="373"/>
      <c r="G359" s="374"/>
      <c r="H359" s="375"/>
      <c r="I359" s="376"/>
      <c r="J359" s="375"/>
      <c r="K359" s="377"/>
      <c r="L359" s="378"/>
      <c r="M359" s="379"/>
      <c r="N359" s="380"/>
      <c r="O359" s="327" t="str">
        <f>LEFT(J359,10)</f>
        <v/>
      </c>
    </row>
    <row r="360" spans="1:15" ht="57.6" customHeight="1" x14ac:dyDescent="0.25">
      <c r="A360" s="372"/>
      <c r="B360" s="372"/>
      <c r="C360" s="372"/>
      <c r="D360" s="372"/>
      <c r="E360" s="372"/>
      <c r="F360" s="373"/>
      <c r="G360" s="374"/>
      <c r="H360" s="375"/>
      <c r="I360" s="376"/>
      <c r="J360" s="375"/>
      <c r="K360" s="377"/>
      <c r="L360" s="378"/>
      <c r="M360" s="379"/>
      <c r="N360" s="380"/>
      <c r="O360" s="327" t="str">
        <f>LEFT(J360,10)</f>
        <v/>
      </c>
    </row>
    <row r="361" spans="1:15" ht="57.6" customHeight="1" x14ac:dyDescent="0.25">
      <c r="A361" s="372"/>
      <c r="B361" s="372"/>
      <c r="C361" s="372"/>
      <c r="D361" s="372"/>
      <c r="E361" s="372"/>
      <c r="F361" s="373"/>
      <c r="G361" s="374"/>
      <c r="H361" s="375"/>
      <c r="I361" s="376"/>
      <c r="J361" s="375"/>
      <c r="K361" s="377"/>
      <c r="L361" s="378"/>
      <c r="M361" s="379"/>
      <c r="N361" s="380"/>
      <c r="O361" s="327" t="str">
        <f>LEFT(J361,10)</f>
        <v/>
      </c>
    </row>
    <row r="362" spans="1:15" ht="57.6" customHeight="1" x14ac:dyDescent="0.25">
      <c r="A362" s="372"/>
      <c r="B362" s="372"/>
      <c r="C362" s="372"/>
      <c r="D362" s="372"/>
      <c r="E362" s="372"/>
      <c r="F362" s="373"/>
      <c r="G362" s="374"/>
      <c r="H362" s="375"/>
      <c r="I362" s="376"/>
      <c r="J362" s="375"/>
      <c r="K362" s="377"/>
      <c r="L362" s="378"/>
      <c r="M362" s="379"/>
      <c r="N362" s="380"/>
      <c r="O362" s="327" t="str">
        <f>LEFT(J362,10)</f>
        <v/>
      </c>
    </row>
    <row r="363" spans="1:15" ht="57.6" customHeight="1" x14ac:dyDescent="0.25">
      <c r="A363" s="372"/>
      <c r="B363" s="372"/>
      <c r="C363" s="372"/>
      <c r="D363" s="372"/>
      <c r="E363" s="372"/>
      <c r="F363" s="373"/>
      <c r="G363" s="374"/>
      <c r="H363" s="375"/>
      <c r="I363" s="376"/>
      <c r="J363" s="375"/>
      <c r="K363" s="377"/>
      <c r="L363" s="378"/>
      <c r="M363" s="379"/>
      <c r="N363" s="380"/>
      <c r="O363" s="327" t="str">
        <f>LEFT(J363,10)</f>
        <v/>
      </c>
    </row>
    <row r="364" spans="1:15" ht="57.6" customHeight="1" x14ac:dyDescent="0.25">
      <c r="A364" s="372"/>
      <c r="B364" s="372"/>
      <c r="C364" s="372"/>
      <c r="D364" s="372"/>
      <c r="E364" s="372"/>
      <c r="F364" s="373"/>
      <c r="G364" s="374"/>
      <c r="H364" s="375"/>
      <c r="I364" s="376"/>
      <c r="J364" s="375"/>
      <c r="K364" s="377"/>
      <c r="L364" s="378"/>
      <c r="M364" s="379"/>
      <c r="N364" s="380"/>
      <c r="O364" s="327" t="str">
        <f>LEFT(J364,10)</f>
        <v/>
      </c>
    </row>
    <row r="365" spans="1:15" ht="57.6" customHeight="1" x14ac:dyDescent="0.25">
      <c r="A365" s="372"/>
      <c r="B365" s="372"/>
      <c r="C365" s="372"/>
      <c r="D365" s="372"/>
      <c r="E365" s="372"/>
      <c r="F365" s="373"/>
      <c r="G365" s="374"/>
      <c r="H365" s="375"/>
      <c r="I365" s="376"/>
      <c r="J365" s="375"/>
      <c r="K365" s="377"/>
      <c r="L365" s="378"/>
      <c r="M365" s="379"/>
      <c r="N365" s="380"/>
      <c r="O365" s="327" t="str">
        <f>LEFT(J365,10)</f>
        <v/>
      </c>
    </row>
    <row r="366" spans="1:15" ht="57.6" customHeight="1" x14ac:dyDescent="0.25">
      <c r="A366" s="372"/>
      <c r="B366" s="372"/>
      <c r="C366" s="372"/>
      <c r="D366" s="372"/>
      <c r="E366" s="372"/>
      <c r="F366" s="373"/>
      <c r="G366" s="374"/>
      <c r="H366" s="375"/>
      <c r="I366" s="376"/>
      <c r="J366" s="375"/>
      <c r="K366" s="377"/>
      <c r="L366" s="378"/>
      <c r="M366" s="379"/>
      <c r="N366" s="380"/>
      <c r="O366" s="327" t="str">
        <f>LEFT(J366,10)</f>
        <v/>
      </c>
    </row>
    <row r="367" spans="1:15" ht="57.6" customHeight="1" x14ac:dyDescent="0.25">
      <c r="A367" s="372"/>
      <c r="B367" s="372"/>
      <c r="C367" s="372"/>
      <c r="D367" s="372"/>
      <c r="E367" s="372"/>
      <c r="F367" s="373"/>
      <c r="G367" s="374"/>
      <c r="H367" s="375"/>
      <c r="I367" s="376"/>
      <c r="J367" s="375"/>
      <c r="K367" s="377"/>
      <c r="L367" s="378"/>
      <c r="M367" s="379"/>
      <c r="N367" s="380"/>
      <c r="O367" s="327" t="str">
        <f>LEFT(J367,10)</f>
        <v/>
      </c>
    </row>
    <row r="368" spans="1:15" ht="57.6" customHeight="1" x14ac:dyDescent="0.25">
      <c r="A368" s="372"/>
      <c r="B368" s="372"/>
      <c r="C368" s="372"/>
      <c r="D368" s="372"/>
      <c r="E368" s="372"/>
      <c r="F368" s="373"/>
      <c r="G368" s="374"/>
      <c r="H368" s="375"/>
      <c r="I368" s="376"/>
      <c r="J368" s="375"/>
      <c r="K368" s="377"/>
      <c r="L368" s="378"/>
      <c r="M368" s="379"/>
      <c r="N368" s="380"/>
      <c r="O368" s="327" t="str">
        <f>LEFT(J368,10)</f>
        <v/>
      </c>
    </row>
    <row r="369" spans="1:15" ht="57.6" customHeight="1" x14ac:dyDescent="0.25">
      <c r="A369" s="372"/>
      <c r="B369" s="372"/>
      <c r="C369" s="372"/>
      <c r="D369" s="372"/>
      <c r="E369" s="372"/>
      <c r="F369" s="373"/>
      <c r="G369" s="374"/>
      <c r="H369" s="375"/>
      <c r="I369" s="376"/>
      <c r="J369" s="375"/>
      <c r="K369" s="377"/>
      <c r="L369" s="378"/>
      <c r="M369" s="379"/>
      <c r="N369" s="380"/>
      <c r="O369" s="327" t="str">
        <f>LEFT(J369,10)</f>
        <v/>
      </c>
    </row>
    <row r="370" spans="1:15" ht="57.6" customHeight="1" x14ac:dyDescent="0.25">
      <c r="A370" s="372"/>
      <c r="B370" s="372"/>
      <c r="C370" s="372"/>
      <c r="D370" s="372"/>
      <c r="E370" s="372"/>
      <c r="F370" s="373"/>
      <c r="G370" s="374"/>
      <c r="H370" s="375"/>
      <c r="I370" s="376"/>
      <c r="J370" s="375"/>
      <c r="K370" s="377"/>
      <c r="L370" s="378"/>
      <c r="M370" s="379"/>
      <c r="N370" s="380"/>
      <c r="O370" s="327" t="str">
        <f>LEFT(J370,10)</f>
        <v/>
      </c>
    </row>
    <row r="371" spans="1:15" ht="57.6" customHeight="1" x14ac:dyDescent="0.25">
      <c r="A371" s="372"/>
      <c r="B371" s="372"/>
      <c r="C371" s="372"/>
      <c r="D371" s="372"/>
      <c r="E371" s="372"/>
      <c r="F371" s="373"/>
      <c r="G371" s="374"/>
      <c r="H371" s="375"/>
      <c r="I371" s="376"/>
      <c r="J371" s="375"/>
      <c r="K371" s="377"/>
      <c r="L371" s="378"/>
      <c r="M371" s="379"/>
      <c r="N371" s="380"/>
      <c r="O371" s="327" t="str">
        <f>LEFT(J371,10)</f>
        <v/>
      </c>
    </row>
    <row r="372" spans="1:15" ht="57.6" customHeight="1" x14ac:dyDescent="0.25">
      <c r="A372" s="372"/>
      <c r="B372" s="372"/>
      <c r="C372" s="372"/>
      <c r="D372" s="372"/>
      <c r="E372" s="372"/>
      <c r="F372" s="373"/>
      <c r="G372" s="374"/>
      <c r="H372" s="375"/>
      <c r="I372" s="376"/>
      <c r="J372" s="375"/>
      <c r="K372" s="377"/>
      <c r="L372" s="378"/>
      <c r="M372" s="379"/>
      <c r="N372" s="380"/>
      <c r="O372" s="327" t="str">
        <f>LEFT(J372,10)</f>
        <v/>
      </c>
    </row>
    <row r="373" spans="1:15" ht="57.6" customHeight="1" x14ac:dyDescent="0.25">
      <c r="A373" s="372"/>
      <c r="B373" s="372"/>
      <c r="C373" s="372"/>
      <c r="D373" s="372"/>
      <c r="E373" s="372"/>
      <c r="F373" s="373"/>
      <c r="G373" s="374"/>
      <c r="H373" s="375"/>
      <c r="I373" s="376"/>
      <c r="J373" s="375"/>
      <c r="K373" s="377"/>
      <c r="L373" s="378"/>
      <c r="M373" s="379"/>
      <c r="N373" s="380"/>
      <c r="O373" s="327" t="str">
        <f>LEFT(J373,10)</f>
        <v/>
      </c>
    </row>
    <row r="374" spans="1:15" ht="57.6" customHeight="1" x14ac:dyDescent="0.25">
      <c r="A374" s="372"/>
      <c r="B374" s="372"/>
      <c r="C374" s="372"/>
      <c r="D374" s="372"/>
      <c r="E374" s="372"/>
      <c r="F374" s="373"/>
      <c r="G374" s="374"/>
      <c r="H374" s="375"/>
      <c r="I374" s="376"/>
      <c r="J374" s="375"/>
      <c r="K374" s="377"/>
      <c r="L374" s="378"/>
      <c r="M374" s="379"/>
      <c r="N374" s="380"/>
      <c r="O374" s="327" t="str">
        <f>LEFT(J374,10)</f>
        <v/>
      </c>
    </row>
    <row r="375" spans="1:15" ht="57.6" customHeight="1" x14ac:dyDescent="0.25">
      <c r="A375" s="372"/>
      <c r="B375" s="372"/>
      <c r="C375" s="372"/>
      <c r="D375" s="372"/>
      <c r="E375" s="372"/>
      <c r="F375" s="373"/>
      <c r="G375" s="374"/>
      <c r="H375" s="375"/>
      <c r="I375" s="376"/>
      <c r="J375" s="375"/>
      <c r="K375" s="377"/>
      <c r="L375" s="378"/>
      <c r="M375" s="379"/>
      <c r="N375" s="380"/>
      <c r="O375" s="327" t="str">
        <f>LEFT(J375,10)</f>
        <v/>
      </c>
    </row>
    <row r="376" spans="1:15" ht="57.6" customHeight="1" x14ac:dyDescent="0.25">
      <c r="A376" s="372"/>
      <c r="B376" s="372"/>
      <c r="C376" s="372"/>
      <c r="D376" s="372"/>
      <c r="E376" s="372"/>
      <c r="F376" s="373"/>
      <c r="G376" s="374"/>
      <c r="H376" s="375"/>
      <c r="I376" s="376"/>
      <c r="J376" s="375"/>
      <c r="K376" s="377"/>
      <c r="L376" s="378"/>
      <c r="M376" s="379"/>
      <c r="N376" s="380"/>
      <c r="O376" s="327" t="str">
        <f>LEFT(J376,10)</f>
        <v/>
      </c>
    </row>
    <row r="377" spans="1:15" ht="57.6" customHeight="1" x14ac:dyDescent="0.25">
      <c r="A377" s="372"/>
      <c r="B377" s="372"/>
      <c r="C377" s="372"/>
      <c r="D377" s="372"/>
      <c r="E377" s="372"/>
      <c r="F377" s="373"/>
      <c r="G377" s="374"/>
      <c r="H377" s="375"/>
      <c r="I377" s="376"/>
      <c r="J377" s="375"/>
      <c r="K377" s="377"/>
      <c r="L377" s="378"/>
      <c r="M377" s="379"/>
      <c r="N377" s="380"/>
      <c r="O377" s="327" t="str">
        <f>LEFT(J377,10)</f>
        <v/>
      </c>
    </row>
    <row r="378" spans="1:15" ht="57.6" customHeight="1" x14ac:dyDescent="0.25">
      <c r="A378" s="372"/>
      <c r="B378" s="372"/>
      <c r="C378" s="372"/>
      <c r="D378" s="372"/>
      <c r="E378" s="372"/>
      <c r="F378" s="373"/>
      <c r="G378" s="374"/>
      <c r="H378" s="375"/>
      <c r="I378" s="376"/>
      <c r="J378" s="375"/>
      <c r="K378" s="377"/>
      <c r="L378" s="378"/>
      <c r="M378" s="379"/>
      <c r="N378" s="380"/>
      <c r="O378" s="327" t="str">
        <f>LEFT(J378,10)</f>
        <v/>
      </c>
    </row>
    <row r="379" spans="1:15" ht="57.6" customHeight="1" x14ac:dyDescent="0.25">
      <c r="A379" s="372"/>
      <c r="B379" s="372"/>
      <c r="C379" s="372"/>
      <c r="D379" s="372"/>
      <c r="E379" s="372"/>
      <c r="F379" s="373"/>
      <c r="G379" s="374"/>
      <c r="H379" s="375"/>
      <c r="I379" s="376"/>
      <c r="J379" s="375"/>
      <c r="K379" s="377"/>
      <c r="L379" s="378"/>
      <c r="M379" s="379"/>
      <c r="N379" s="380"/>
      <c r="O379" s="327" t="str">
        <f>LEFT(J379,10)</f>
        <v/>
      </c>
    </row>
    <row r="380" spans="1:15" ht="57.6" customHeight="1" x14ac:dyDescent="0.25">
      <c r="A380" s="372"/>
      <c r="B380" s="372"/>
      <c r="C380" s="372"/>
      <c r="D380" s="372"/>
      <c r="E380" s="372"/>
      <c r="F380" s="373"/>
      <c r="G380" s="374"/>
      <c r="H380" s="375"/>
      <c r="I380" s="376"/>
      <c r="J380" s="375"/>
      <c r="K380" s="377"/>
      <c r="L380" s="378"/>
      <c r="M380" s="379"/>
      <c r="N380" s="380"/>
      <c r="O380" s="327" t="str">
        <f>LEFT(J380,10)</f>
        <v/>
      </c>
    </row>
    <row r="381" spans="1:15" ht="57.6" customHeight="1" x14ac:dyDescent="0.25">
      <c r="A381" s="372"/>
      <c r="B381" s="372"/>
      <c r="C381" s="372"/>
      <c r="D381" s="372"/>
      <c r="E381" s="372"/>
      <c r="F381" s="373"/>
      <c r="G381" s="374"/>
      <c r="H381" s="375"/>
      <c r="I381" s="376"/>
      <c r="J381" s="375"/>
      <c r="K381" s="377"/>
      <c r="L381" s="378"/>
      <c r="M381" s="379"/>
      <c r="N381" s="380"/>
      <c r="O381" s="327" t="str">
        <f>LEFT(J381,10)</f>
        <v/>
      </c>
    </row>
    <row r="382" spans="1:15" ht="57.6" customHeight="1" x14ac:dyDescent="0.25">
      <c r="A382" s="372"/>
      <c r="B382" s="372"/>
      <c r="C382" s="372"/>
      <c r="D382" s="372"/>
      <c r="E382" s="372"/>
      <c r="F382" s="373"/>
      <c r="G382" s="374"/>
      <c r="H382" s="375"/>
      <c r="I382" s="376"/>
      <c r="J382" s="375"/>
      <c r="K382" s="377"/>
      <c r="L382" s="378"/>
      <c r="M382" s="379"/>
      <c r="N382" s="380"/>
      <c r="O382" s="327" t="str">
        <f>LEFT(J382,10)</f>
        <v/>
      </c>
    </row>
    <row r="383" spans="1:15" ht="57.6" customHeight="1" x14ac:dyDescent="0.25">
      <c r="A383" s="372"/>
      <c r="B383" s="372"/>
      <c r="C383" s="372"/>
      <c r="D383" s="372"/>
      <c r="E383" s="372"/>
      <c r="F383" s="373"/>
      <c r="G383" s="374"/>
      <c r="H383" s="375"/>
      <c r="I383" s="376"/>
      <c r="J383" s="375"/>
      <c r="K383" s="377"/>
      <c r="L383" s="378"/>
      <c r="M383" s="379"/>
      <c r="N383" s="380"/>
      <c r="O383" s="327" t="str">
        <f>LEFT(J383,10)</f>
        <v/>
      </c>
    </row>
    <row r="384" spans="1:15" ht="57.6" customHeight="1" x14ac:dyDescent="0.25">
      <c r="A384" s="372"/>
      <c r="B384" s="372"/>
      <c r="C384" s="372"/>
      <c r="D384" s="372"/>
      <c r="E384" s="372"/>
      <c r="F384" s="373"/>
      <c r="G384" s="374"/>
      <c r="H384" s="375"/>
      <c r="I384" s="376"/>
      <c r="J384" s="375"/>
      <c r="K384" s="377"/>
      <c r="L384" s="378"/>
      <c r="M384" s="379"/>
      <c r="N384" s="380"/>
      <c r="O384" s="327" t="str">
        <f>LEFT(J384,10)</f>
        <v/>
      </c>
    </row>
    <row r="385" spans="1:15" ht="57.6" customHeight="1" x14ac:dyDescent="0.25">
      <c r="A385" s="372"/>
      <c r="B385" s="372"/>
      <c r="C385" s="372"/>
      <c r="D385" s="372"/>
      <c r="E385" s="372"/>
      <c r="F385" s="373"/>
      <c r="G385" s="374"/>
      <c r="H385" s="375"/>
      <c r="I385" s="376"/>
      <c r="J385" s="375"/>
      <c r="K385" s="377"/>
      <c r="L385" s="378"/>
      <c r="M385" s="379"/>
      <c r="N385" s="380"/>
      <c r="O385" s="327" t="str">
        <f>LEFT(J385,10)</f>
        <v/>
      </c>
    </row>
    <row r="386" spans="1:15" ht="57.6" customHeight="1" x14ac:dyDescent="0.25">
      <c r="A386" s="372"/>
      <c r="B386" s="372"/>
      <c r="C386" s="372"/>
      <c r="D386" s="372"/>
      <c r="E386" s="372"/>
      <c r="F386" s="373"/>
      <c r="G386" s="374"/>
      <c r="H386" s="375"/>
      <c r="I386" s="376"/>
      <c r="J386" s="375"/>
      <c r="K386" s="377"/>
      <c r="L386" s="378"/>
      <c r="M386" s="379"/>
      <c r="N386" s="380"/>
      <c r="O386" s="327" t="str">
        <f>LEFT(J386,10)</f>
        <v/>
      </c>
    </row>
    <row r="387" spans="1:15" ht="57.6" customHeight="1" x14ac:dyDescent="0.25">
      <c r="A387" s="372"/>
      <c r="B387" s="372"/>
      <c r="C387" s="372"/>
      <c r="D387" s="372"/>
      <c r="E387" s="372"/>
      <c r="F387" s="373"/>
      <c r="G387" s="374"/>
      <c r="H387" s="375"/>
      <c r="I387" s="376"/>
      <c r="J387" s="375"/>
      <c r="K387" s="377"/>
      <c r="L387" s="378"/>
      <c r="M387" s="379"/>
      <c r="N387" s="380"/>
      <c r="O387" s="327" t="str">
        <f>LEFT(J387,10)</f>
        <v/>
      </c>
    </row>
    <row r="388" spans="1:15" ht="57.6" customHeight="1" x14ac:dyDescent="0.25">
      <c r="A388" s="372"/>
      <c r="B388" s="372"/>
      <c r="C388" s="372"/>
      <c r="D388" s="372"/>
      <c r="E388" s="372"/>
      <c r="F388" s="373"/>
      <c r="G388" s="374"/>
      <c r="H388" s="375"/>
      <c r="I388" s="376"/>
      <c r="J388" s="375"/>
      <c r="K388" s="377"/>
      <c r="L388" s="378"/>
      <c r="M388" s="379"/>
      <c r="N388" s="380"/>
      <c r="O388" s="327" t="str">
        <f>LEFT(J388,10)</f>
        <v/>
      </c>
    </row>
    <row r="389" spans="1:15" ht="57.6" customHeight="1" x14ac:dyDescent="0.25">
      <c r="A389" s="372"/>
      <c r="B389" s="372"/>
      <c r="C389" s="372"/>
      <c r="D389" s="372"/>
      <c r="E389" s="372"/>
      <c r="F389" s="373"/>
      <c r="G389" s="374"/>
      <c r="H389" s="375"/>
      <c r="I389" s="376"/>
      <c r="J389" s="375"/>
      <c r="K389" s="377"/>
      <c r="L389" s="378"/>
      <c r="M389" s="379"/>
      <c r="N389" s="380"/>
      <c r="O389" s="327" t="str">
        <f>LEFT(J389,10)</f>
        <v/>
      </c>
    </row>
    <row r="390" spans="1:15" ht="57.6" customHeight="1" x14ac:dyDescent="0.25">
      <c r="A390" s="372"/>
      <c r="B390" s="372"/>
      <c r="C390" s="372"/>
      <c r="D390" s="372"/>
      <c r="E390" s="372"/>
      <c r="F390" s="373"/>
      <c r="G390" s="374"/>
      <c r="H390" s="375"/>
      <c r="I390" s="376"/>
      <c r="J390" s="375"/>
      <c r="K390" s="377"/>
      <c r="L390" s="378"/>
      <c r="M390" s="379"/>
      <c r="N390" s="380"/>
      <c r="O390" s="327" t="str">
        <f>LEFT(J390,10)</f>
        <v/>
      </c>
    </row>
    <row r="391" spans="1:15" ht="57.6" customHeight="1" x14ac:dyDescent="0.25">
      <c r="A391" s="372"/>
      <c r="B391" s="372"/>
      <c r="C391" s="372"/>
      <c r="D391" s="372"/>
      <c r="E391" s="372"/>
      <c r="F391" s="373"/>
      <c r="G391" s="374"/>
      <c r="H391" s="375"/>
      <c r="I391" s="376"/>
      <c r="J391" s="375"/>
      <c r="K391" s="377"/>
      <c r="L391" s="378"/>
      <c r="M391" s="379"/>
      <c r="N391" s="380"/>
      <c r="O391" s="327" t="str">
        <f>LEFT(J391,10)</f>
        <v/>
      </c>
    </row>
    <row r="392" spans="1:15" ht="57.6" customHeight="1" x14ac:dyDescent="0.25">
      <c r="A392" s="372"/>
      <c r="B392" s="372"/>
      <c r="C392" s="372"/>
      <c r="D392" s="372"/>
      <c r="E392" s="372"/>
      <c r="F392" s="373"/>
      <c r="G392" s="374"/>
      <c r="H392" s="375"/>
      <c r="I392" s="376"/>
      <c r="J392" s="375"/>
      <c r="K392" s="377"/>
      <c r="L392" s="378"/>
      <c r="M392" s="379"/>
      <c r="N392" s="380"/>
      <c r="O392" s="327" t="str">
        <f>LEFT(J392,10)</f>
        <v/>
      </c>
    </row>
    <row r="393" spans="1:15" ht="57.6" customHeight="1" x14ac:dyDescent="0.25">
      <c r="A393" s="372"/>
      <c r="B393" s="372"/>
      <c r="C393" s="372"/>
      <c r="D393" s="372"/>
      <c r="E393" s="372"/>
      <c r="F393" s="373"/>
      <c r="G393" s="374"/>
      <c r="H393" s="375"/>
      <c r="I393" s="376"/>
      <c r="J393" s="375"/>
      <c r="K393" s="377"/>
      <c r="L393" s="378"/>
      <c r="M393" s="379"/>
      <c r="N393" s="380"/>
      <c r="O393" s="327" t="str">
        <f>LEFT(J393,10)</f>
        <v/>
      </c>
    </row>
    <row r="394" spans="1:15" ht="57.6" customHeight="1" x14ac:dyDescent="0.25">
      <c r="A394" s="372"/>
      <c r="B394" s="372"/>
      <c r="C394" s="372"/>
      <c r="D394" s="372"/>
      <c r="E394" s="372"/>
      <c r="F394" s="373"/>
      <c r="G394" s="374"/>
      <c r="H394" s="375"/>
      <c r="I394" s="376"/>
      <c r="J394" s="375"/>
      <c r="K394" s="377"/>
      <c r="L394" s="378"/>
      <c r="M394" s="379"/>
      <c r="N394" s="380"/>
      <c r="O394" s="327" t="str">
        <f>LEFT(J394,10)</f>
        <v/>
      </c>
    </row>
    <row r="395" spans="1:15" ht="57.6" customHeight="1" x14ac:dyDescent="0.25">
      <c r="A395" s="372"/>
      <c r="B395" s="372"/>
      <c r="C395" s="372"/>
      <c r="D395" s="372"/>
      <c r="E395" s="372"/>
      <c r="F395" s="373"/>
      <c r="G395" s="374"/>
      <c r="H395" s="375"/>
      <c r="I395" s="376"/>
      <c r="J395" s="375"/>
      <c r="K395" s="377"/>
      <c r="L395" s="378"/>
      <c r="M395" s="379"/>
      <c r="N395" s="380"/>
      <c r="O395" s="327" t="str">
        <f>LEFT(J395,10)</f>
        <v/>
      </c>
    </row>
    <row r="396" spans="1:15" ht="57.6" customHeight="1" x14ac:dyDescent="0.25">
      <c r="A396" s="372"/>
      <c r="B396" s="372"/>
      <c r="C396" s="372"/>
      <c r="D396" s="372"/>
      <c r="E396" s="372"/>
      <c r="F396" s="373"/>
      <c r="G396" s="374"/>
      <c r="H396" s="375"/>
      <c r="I396" s="376"/>
      <c r="J396" s="375"/>
      <c r="K396" s="377"/>
      <c r="L396" s="378"/>
      <c r="M396" s="379"/>
      <c r="N396" s="380"/>
      <c r="O396" s="327" t="str">
        <f>LEFT(J396,10)</f>
        <v/>
      </c>
    </row>
    <row r="397" spans="1:15" ht="57.6" customHeight="1" x14ac:dyDescent="0.25">
      <c r="A397" s="372"/>
      <c r="B397" s="372"/>
      <c r="C397" s="372"/>
      <c r="D397" s="372"/>
      <c r="E397" s="372"/>
      <c r="F397" s="373"/>
      <c r="G397" s="374"/>
      <c r="H397" s="375"/>
      <c r="I397" s="376"/>
      <c r="J397" s="375"/>
      <c r="K397" s="377"/>
      <c r="L397" s="378"/>
      <c r="M397" s="379"/>
      <c r="N397" s="380"/>
      <c r="O397" s="327" t="str">
        <f>LEFT(J397,10)</f>
        <v/>
      </c>
    </row>
    <row r="398" spans="1:15" ht="57.6" customHeight="1" x14ac:dyDescent="0.25">
      <c r="A398" s="372"/>
      <c r="B398" s="372"/>
      <c r="C398" s="372"/>
      <c r="D398" s="372"/>
      <c r="E398" s="372"/>
      <c r="F398" s="373"/>
      <c r="G398" s="374"/>
      <c r="H398" s="375"/>
      <c r="I398" s="376"/>
      <c r="J398" s="375"/>
      <c r="K398" s="377"/>
      <c r="L398" s="378"/>
      <c r="M398" s="379"/>
      <c r="N398" s="380"/>
      <c r="O398" s="327" t="str">
        <f>LEFT(J398,10)</f>
        <v/>
      </c>
    </row>
    <row r="399" spans="1:15" ht="57.6" customHeight="1" x14ac:dyDescent="0.25">
      <c r="A399" s="372"/>
      <c r="B399" s="372"/>
      <c r="C399" s="372"/>
      <c r="D399" s="372"/>
      <c r="E399" s="372"/>
      <c r="F399" s="373"/>
      <c r="G399" s="374"/>
      <c r="H399" s="375"/>
      <c r="I399" s="376"/>
      <c r="J399" s="375"/>
      <c r="K399" s="377"/>
      <c r="L399" s="378"/>
      <c r="M399" s="379"/>
      <c r="N399" s="380"/>
      <c r="O399" s="327" t="str">
        <f>LEFT(J399,10)</f>
        <v/>
      </c>
    </row>
    <row r="400" spans="1:15" ht="57.6" customHeight="1" x14ac:dyDescent="0.25">
      <c r="A400" s="372"/>
      <c r="B400" s="372"/>
      <c r="C400" s="372"/>
      <c r="D400" s="372"/>
      <c r="E400" s="372"/>
      <c r="F400" s="373"/>
      <c r="G400" s="374"/>
      <c r="H400" s="375"/>
      <c r="I400" s="376"/>
      <c r="J400" s="375"/>
      <c r="K400" s="377"/>
      <c r="L400" s="378"/>
      <c r="M400" s="379"/>
      <c r="N400" s="380"/>
      <c r="O400" s="327" t="str">
        <f>LEFT(J400,10)</f>
        <v/>
      </c>
    </row>
    <row r="401" spans="1:15" ht="57.6" customHeight="1" x14ac:dyDescent="0.25">
      <c r="A401" s="372"/>
      <c r="B401" s="372"/>
      <c r="C401" s="372"/>
      <c r="D401" s="372"/>
      <c r="E401" s="372"/>
      <c r="F401" s="373"/>
      <c r="G401" s="374"/>
      <c r="H401" s="375"/>
      <c r="I401" s="376"/>
      <c r="J401" s="375"/>
      <c r="K401" s="377"/>
      <c r="L401" s="378"/>
      <c r="M401" s="379"/>
      <c r="N401" s="380"/>
      <c r="O401" s="327" t="str">
        <f>LEFT(J401,10)</f>
        <v/>
      </c>
    </row>
    <row r="402" spans="1:15" ht="57.6" customHeight="1" x14ac:dyDescent="0.25">
      <c r="A402" s="372"/>
      <c r="B402" s="372"/>
      <c r="C402" s="372"/>
      <c r="D402" s="372"/>
      <c r="E402" s="372"/>
      <c r="F402" s="373"/>
      <c r="G402" s="374"/>
      <c r="H402" s="375"/>
      <c r="I402" s="376"/>
      <c r="J402" s="375"/>
      <c r="K402" s="377"/>
      <c r="L402" s="378"/>
      <c r="M402" s="379"/>
      <c r="N402" s="380"/>
      <c r="O402" s="327" t="str">
        <f>LEFT(J402,10)</f>
        <v/>
      </c>
    </row>
    <row r="403" spans="1:15" ht="57.6" customHeight="1" x14ac:dyDescent="0.25">
      <c r="A403" s="372"/>
      <c r="B403" s="372"/>
      <c r="C403" s="372"/>
      <c r="D403" s="372"/>
      <c r="E403" s="372"/>
      <c r="F403" s="373"/>
      <c r="G403" s="374"/>
      <c r="H403" s="375"/>
      <c r="I403" s="376"/>
      <c r="J403" s="375"/>
      <c r="K403" s="377"/>
      <c r="L403" s="378"/>
      <c r="M403" s="379"/>
      <c r="N403" s="380"/>
      <c r="O403" s="327" t="str">
        <f>LEFT(J403,10)</f>
        <v/>
      </c>
    </row>
    <row r="404" spans="1:15" ht="57.6" customHeight="1" x14ac:dyDescent="0.25">
      <c r="A404" s="372"/>
      <c r="B404" s="372"/>
      <c r="C404" s="372"/>
      <c r="D404" s="372"/>
      <c r="E404" s="372"/>
      <c r="F404" s="373"/>
      <c r="G404" s="374"/>
      <c r="H404" s="375"/>
      <c r="I404" s="376"/>
      <c r="J404" s="375"/>
      <c r="K404" s="377"/>
      <c r="L404" s="378"/>
      <c r="M404" s="379"/>
      <c r="N404" s="380"/>
      <c r="O404" s="327" t="str">
        <f>LEFT(J404,10)</f>
        <v/>
      </c>
    </row>
    <row r="405" spans="1:15" ht="57.6" customHeight="1" x14ac:dyDescent="0.25">
      <c r="A405" s="372"/>
      <c r="B405" s="372"/>
      <c r="C405" s="372"/>
      <c r="D405" s="372"/>
      <c r="E405" s="372"/>
      <c r="F405" s="373"/>
      <c r="G405" s="374"/>
      <c r="H405" s="375"/>
      <c r="I405" s="376"/>
      <c r="J405" s="375"/>
      <c r="K405" s="377"/>
      <c r="L405" s="378"/>
      <c r="M405" s="379"/>
      <c r="N405" s="380"/>
      <c r="O405" s="327" t="str">
        <f>LEFT(J405,10)</f>
        <v/>
      </c>
    </row>
    <row r="406" spans="1:15" ht="57.6" customHeight="1" x14ac:dyDescent="0.25">
      <c r="A406" s="372"/>
      <c r="B406" s="372"/>
      <c r="C406" s="372"/>
      <c r="D406" s="372"/>
      <c r="E406" s="372"/>
      <c r="F406" s="373"/>
      <c r="G406" s="374"/>
      <c r="H406" s="375"/>
      <c r="I406" s="376"/>
      <c r="J406" s="375"/>
      <c r="K406" s="377"/>
      <c r="L406" s="378"/>
      <c r="M406" s="379"/>
      <c r="N406" s="380"/>
      <c r="O406" s="327" t="str">
        <f>LEFT(J406,10)</f>
        <v/>
      </c>
    </row>
    <row r="407" spans="1:15" ht="57.6" customHeight="1" x14ac:dyDescent="0.25">
      <c r="A407" s="372"/>
      <c r="B407" s="372"/>
      <c r="C407" s="372"/>
      <c r="D407" s="372"/>
      <c r="E407" s="372"/>
      <c r="F407" s="373"/>
      <c r="G407" s="374"/>
      <c r="H407" s="375"/>
      <c r="I407" s="376"/>
      <c r="J407" s="375"/>
      <c r="K407" s="377"/>
      <c r="L407" s="378"/>
      <c r="M407" s="379"/>
      <c r="N407" s="380"/>
      <c r="O407" s="327" t="str">
        <f>LEFT(J407,10)</f>
        <v/>
      </c>
    </row>
    <row r="408" spans="1:15" ht="57.6" customHeight="1" x14ac:dyDescent="0.25">
      <c r="A408" s="372"/>
      <c r="B408" s="372"/>
      <c r="C408" s="372"/>
      <c r="D408" s="372"/>
      <c r="E408" s="372"/>
      <c r="F408" s="373"/>
      <c r="G408" s="374"/>
      <c r="H408" s="375"/>
      <c r="I408" s="376"/>
      <c r="J408" s="375"/>
      <c r="K408" s="377"/>
      <c r="L408" s="378"/>
      <c r="M408" s="379"/>
      <c r="N408" s="380"/>
      <c r="O408" s="327" t="str">
        <f>LEFT(J408,10)</f>
        <v/>
      </c>
    </row>
    <row r="409" spans="1:15" ht="57.6" customHeight="1" x14ac:dyDescent="0.25">
      <c r="A409" s="372"/>
      <c r="B409" s="372"/>
      <c r="C409" s="372"/>
      <c r="D409" s="372"/>
      <c r="E409" s="372"/>
      <c r="F409" s="373"/>
      <c r="G409" s="374"/>
      <c r="H409" s="375"/>
      <c r="I409" s="376"/>
      <c r="J409" s="375"/>
      <c r="K409" s="377"/>
      <c r="L409" s="378"/>
      <c r="M409" s="379"/>
      <c r="N409" s="380"/>
      <c r="O409" s="327" t="str">
        <f>LEFT(J409,10)</f>
        <v/>
      </c>
    </row>
    <row r="410" spans="1:15" ht="57.6" customHeight="1" x14ac:dyDescent="0.25">
      <c r="A410" s="372"/>
      <c r="B410" s="372"/>
      <c r="C410" s="372"/>
      <c r="D410" s="372"/>
      <c r="E410" s="372"/>
      <c r="F410" s="373"/>
      <c r="G410" s="374"/>
      <c r="H410" s="375"/>
      <c r="I410" s="376"/>
      <c r="J410" s="375"/>
      <c r="K410" s="377"/>
      <c r="L410" s="378"/>
      <c r="M410" s="379"/>
      <c r="N410" s="380"/>
      <c r="O410" s="327" t="str">
        <f>LEFT(J410,10)</f>
        <v/>
      </c>
    </row>
    <row r="411" spans="1:15" ht="57.6" customHeight="1" x14ac:dyDescent="0.25">
      <c r="A411" s="372"/>
      <c r="B411" s="372"/>
      <c r="C411" s="372"/>
      <c r="D411" s="372"/>
      <c r="E411" s="372"/>
      <c r="F411" s="373"/>
      <c r="G411" s="374"/>
      <c r="H411" s="375"/>
      <c r="I411" s="376"/>
      <c r="J411" s="375"/>
      <c r="K411" s="377"/>
      <c r="L411" s="378"/>
      <c r="M411" s="379"/>
      <c r="N411" s="380"/>
      <c r="O411" s="327" t="str">
        <f>LEFT(J411,10)</f>
        <v/>
      </c>
    </row>
    <row r="412" spans="1:15" ht="57.6" customHeight="1" x14ac:dyDescent="0.25">
      <c r="A412" s="372"/>
      <c r="B412" s="372"/>
      <c r="C412" s="372"/>
      <c r="D412" s="372"/>
      <c r="E412" s="372"/>
      <c r="F412" s="373"/>
      <c r="G412" s="374"/>
      <c r="H412" s="375"/>
      <c r="I412" s="376"/>
      <c r="J412" s="375"/>
      <c r="K412" s="377"/>
      <c r="L412" s="378"/>
      <c r="M412" s="379"/>
      <c r="N412" s="380"/>
      <c r="O412" s="327" t="str">
        <f>LEFT(J412,10)</f>
        <v/>
      </c>
    </row>
    <row r="413" spans="1:15" ht="57.6" customHeight="1" x14ac:dyDescent="0.25">
      <c r="A413" s="372"/>
      <c r="B413" s="372"/>
      <c r="C413" s="372"/>
      <c r="D413" s="372"/>
      <c r="E413" s="372"/>
      <c r="F413" s="373"/>
      <c r="G413" s="374"/>
      <c r="H413" s="375"/>
      <c r="I413" s="376"/>
      <c r="J413" s="375"/>
      <c r="K413" s="377"/>
      <c r="L413" s="378"/>
      <c r="M413" s="379"/>
      <c r="N413" s="380"/>
      <c r="O413" s="327" t="str">
        <f>LEFT(J413,10)</f>
        <v/>
      </c>
    </row>
    <row r="414" spans="1:15" ht="57.6" customHeight="1" x14ac:dyDescent="0.25">
      <c r="A414" s="372"/>
      <c r="B414" s="372"/>
      <c r="C414" s="372"/>
      <c r="D414" s="372"/>
      <c r="E414" s="372"/>
      <c r="F414" s="373"/>
      <c r="G414" s="374"/>
      <c r="H414" s="375"/>
      <c r="I414" s="376"/>
      <c r="J414" s="375"/>
      <c r="K414" s="377"/>
      <c r="L414" s="378"/>
      <c r="M414" s="379"/>
      <c r="N414" s="380"/>
      <c r="O414" s="327" t="str">
        <f>LEFT(J414,10)</f>
        <v/>
      </c>
    </row>
    <row r="415" spans="1:15" ht="57.6" customHeight="1" x14ac:dyDescent="0.25">
      <c r="A415" s="372"/>
      <c r="B415" s="372"/>
      <c r="C415" s="372"/>
      <c r="D415" s="372"/>
      <c r="E415" s="372"/>
      <c r="F415" s="373"/>
      <c r="G415" s="374"/>
      <c r="H415" s="375"/>
      <c r="I415" s="376"/>
      <c r="J415" s="375"/>
      <c r="K415" s="377"/>
      <c r="L415" s="378"/>
      <c r="M415" s="379"/>
      <c r="N415" s="380"/>
      <c r="O415" s="327" t="str">
        <f>LEFT(J415,10)</f>
        <v/>
      </c>
    </row>
    <row r="416" spans="1:15" ht="57.6" customHeight="1" x14ac:dyDescent="0.25">
      <c r="A416" s="372"/>
      <c r="B416" s="372"/>
      <c r="C416" s="372"/>
      <c r="D416" s="372"/>
      <c r="E416" s="372"/>
      <c r="F416" s="373"/>
      <c r="G416" s="374"/>
      <c r="H416" s="375"/>
      <c r="I416" s="376"/>
      <c r="J416" s="375"/>
      <c r="K416" s="377"/>
      <c r="L416" s="378"/>
      <c r="M416" s="379"/>
      <c r="N416" s="380"/>
      <c r="O416" s="327" t="str">
        <f>LEFT(J416,10)</f>
        <v/>
      </c>
    </row>
    <row r="417" spans="1:15" ht="57.6" customHeight="1" x14ac:dyDescent="0.25">
      <c r="A417" s="372"/>
      <c r="B417" s="372"/>
      <c r="C417" s="372"/>
      <c r="D417" s="372"/>
      <c r="E417" s="372"/>
      <c r="F417" s="373"/>
      <c r="G417" s="374"/>
      <c r="H417" s="375"/>
      <c r="I417" s="376"/>
      <c r="J417" s="375"/>
      <c r="K417" s="377"/>
      <c r="L417" s="378"/>
      <c r="M417" s="379"/>
      <c r="N417" s="380"/>
      <c r="O417" s="327" t="str">
        <f>LEFT(J417,10)</f>
        <v/>
      </c>
    </row>
    <row r="418" spans="1:15" ht="57.6" customHeight="1" x14ac:dyDescent="0.25">
      <c r="A418" s="372"/>
      <c r="B418" s="372"/>
      <c r="C418" s="372"/>
      <c r="D418" s="372"/>
      <c r="E418" s="372"/>
      <c r="F418" s="373"/>
      <c r="G418" s="374"/>
      <c r="H418" s="375"/>
      <c r="I418" s="376"/>
      <c r="J418" s="375"/>
      <c r="K418" s="377"/>
      <c r="L418" s="378"/>
      <c r="M418" s="379"/>
      <c r="N418" s="380"/>
      <c r="O418" s="327" t="str">
        <f>LEFT(J418,10)</f>
        <v/>
      </c>
    </row>
    <row r="419" spans="1:15" ht="57.6" customHeight="1" x14ac:dyDescent="0.25">
      <c r="A419" s="372"/>
      <c r="B419" s="372"/>
      <c r="C419" s="372"/>
      <c r="D419" s="372"/>
      <c r="E419" s="372"/>
      <c r="F419" s="373"/>
      <c r="G419" s="374"/>
      <c r="H419" s="375"/>
      <c r="I419" s="376"/>
      <c r="J419" s="375"/>
      <c r="K419" s="377"/>
      <c r="L419" s="378"/>
      <c r="M419" s="379"/>
      <c r="N419" s="380"/>
      <c r="O419" s="327" t="str">
        <f>LEFT(J419,10)</f>
        <v/>
      </c>
    </row>
    <row r="420" spans="1:15" ht="57.6" customHeight="1" x14ac:dyDescent="0.25">
      <c r="A420" s="372"/>
      <c r="B420" s="372"/>
      <c r="C420" s="372"/>
      <c r="D420" s="372"/>
      <c r="E420" s="372"/>
      <c r="F420" s="373"/>
      <c r="G420" s="374"/>
      <c r="H420" s="375"/>
      <c r="I420" s="376"/>
      <c r="J420" s="375"/>
      <c r="K420" s="377"/>
      <c r="L420" s="378"/>
      <c r="M420" s="379"/>
      <c r="N420" s="380"/>
      <c r="O420" s="327" t="str">
        <f>LEFT(J420,10)</f>
        <v/>
      </c>
    </row>
    <row r="421" spans="1:15" ht="57.6" customHeight="1" x14ac:dyDescent="0.25">
      <c r="A421" s="372"/>
      <c r="B421" s="372"/>
      <c r="C421" s="372"/>
      <c r="D421" s="372"/>
      <c r="E421" s="372"/>
      <c r="F421" s="373"/>
      <c r="G421" s="374"/>
      <c r="H421" s="375"/>
      <c r="I421" s="376"/>
      <c r="J421" s="375"/>
      <c r="K421" s="377"/>
      <c r="L421" s="378"/>
      <c r="M421" s="379"/>
      <c r="N421" s="380"/>
      <c r="O421" s="327" t="str">
        <f>LEFT(J421,10)</f>
        <v/>
      </c>
    </row>
    <row r="422" spans="1:15" ht="57.6" customHeight="1" x14ac:dyDescent="0.25">
      <c r="A422" s="372"/>
      <c r="B422" s="372"/>
      <c r="C422" s="372"/>
      <c r="D422" s="372"/>
      <c r="E422" s="372"/>
      <c r="F422" s="373"/>
      <c r="G422" s="374"/>
      <c r="H422" s="375"/>
      <c r="I422" s="376"/>
      <c r="J422" s="375"/>
      <c r="K422" s="377"/>
      <c r="L422" s="378"/>
      <c r="M422" s="379"/>
      <c r="N422" s="380"/>
      <c r="O422" s="327" t="str">
        <f>LEFT(J422,10)</f>
        <v/>
      </c>
    </row>
    <row r="423" spans="1:15" ht="57.6" customHeight="1" x14ac:dyDescent="0.25">
      <c r="A423" s="372"/>
      <c r="B423" s="372"/>
      <c r="C423" s="372"/>
      <c r="D423" s="372"/>
      <c r="E423" s="372"/>
      <c r="F423" s="373"/>
      <c r="G423" s="374"/>
      <c r="H423" s="375"/>
      <c r="I423" s="376"/>
      <c r="J423" s="375"/>
      <c r="K423" s="377"/>
      <c r="L423" s="378"/>
      <c r="M423" s="379"/>
      <c r="N423" s="380"/>
      <c r="O423" s="327" t="str">
        <f>LEFT(J423,10)</f>
        <v/>
      </c>
    </row>
    <row r="424" spans="1:15" ht="57.6" customHeight="1" x14ac:dyDescent="0.25">
      <c r="A424" s="372"/>
      <c r="B424" s="372"/>
      <c r="C424" s="372"/>
      <c r="D424" s="372"/>
      <c r="E424" s="372"/>
      <c r="F424" s="373"/>
      <c r="G424" s="374"/>
      <c r="H424" s="375"/>
      <c r="I424" s="376"/>
      <c r="J424" s="375"/>
      <c r="K424" s="377"/>
      <c r="L424" s="378"/>
      <c r="M424" s="379"/>
      <c r="N424" s="380"/>
      <c r="O424" s="327" t="str">
        <f>LEFT(J424,10)</f>
        <v/>
      </c>
    </row>
    <row r="425" spans="1:15" ht="57.6" customHeight="1" x14ac:dyDescent="0.25">
      <c r="A425" s="372"/>
      <c r="B425" s="372"/>
      <c r="C425" s="372"/>
      <c r="D425" s="372"/>
      <c r="E425" s="372"/>
      <c r="F425" s="373"/>
      <c r="G425" s="374"/>
      <c r="H425" s="375"/>
      <c r="I425" s="376"/>
      <c r="J425" s="375"/>
      <c r="K425" s="377"/>
      <c r="L425" s="378"/>
      <c r="M425" s="379"/>
      <c r="N425" s="380"/>
      <c r="O425" s="327" t="str">
        <f>LEFT(J425,10)</f>
        <v/>
      </c>
    </row>
    <row r="426" spans="1:15" ht="57.6" customHeight="1" x14ac:dyDescent="0.25">
      <c r="A426" s="372"/>
      <c r="B426" s="372"/>
      <c r="C426" s="372"/>
      <c r="D426" s="372"/>
      <c r="E426" s="372"/>
      <c r="F426" s="373"/>
      <c r="G426" s="374"/>
      <c r="H426" s="375"/>
      <c r="I426" s="376"/>
      <c r="J426" s="375"/>
      <c r="K426" s="377"/>
      <c r="L426" s="378"/>
      <c r="M426" s="379"/>
      <c r="N426" s="380"/>
      <c r="O426" s="327" t="str">
        <f>LEFT(J426,10)</f>
        <v/>
      </c>
    </row>
    <row r="427" spans="1:15" ht="57.6" customHeight="1" x14ac:dyDescent="0.25">
      <c r="A427" s="372"/>
      <c r="B427" s="372"/>
      <c r="C427" s="372"/>
      <c r="D427" s="372"/>
      <c r="E427" s="372"/>
      <c r="F427" s="373"/>
      <c r="G427" s="374"/>
      <c r="H427" s="375"/>
      <c r="I427" s="376"/>
      <c r="J427" s="375"/>
      <c r="K427" s="377"/>
      <c r="L427" s="378"/>
      <c r="M427" s="379"/>
      <c r="N427" s="380"/>
      <c r="O427" s="327" t="str">
        <f>LEFT(J427,10)</f>
        <v/>
      </c>
    </row>
    <row r="428" spans="1:15" ht="57.6" customHeight="1" x14ac:dyDescent="0.25">
      <c r="A428" s="372"/>
      <c r="B428" s="372"/>
      <c r="C428" s="372"/>
      <c r="D428" s="372"/>
      <c r="E428" s="372"/>
      <c r="F428" s="373"/>
      <c r="G428" s="374"/>
      <c r="H428" s="375"/>
      <c r="I428" s="376"/>
      <c r="J428" s="375"/>
      <c r="K428" s="377"/>
      <c r="L428" s="378"/>
      <c r="M428" s="379"/>
      <c r="N428" s="380"/>
      <c r="O428" s="327" t="str">
        <f>LEFT(J428,10)</f>
        <v/>
      </c>
    </row>
    <row r="429" spans="1:15" ht="57.6" customHeight="1" x14ac:dyDescent="0.25">
      <c r="A429" s="372"/>
      <c r="B429" s="372"/>
      <c r="C429" s="372"/>
      <c r="D429" s="372"/>
      <c r="E429" s="372"/>
      <c r="F429" s="373"/>
      <c r="G429" s="374"/>
      <c r="H429" s="375"/>
      <c r="I429" s="376"/>
      <c r="J429" s="375"/>
      <c r="K429" s="377"/>
      <c r="L429" s="378"/>
      <c r="M429" s="379"/>
      <c r="N429" s="380"/>
      <c r="O429" s="327" t="str">
        <f>LEFT(J429,10)</f>
        <v/>
      </c>
    </row>
    <row r="430" spans="1:15" ht="57.6" customHeight="1" x14ac:dyDescent="0.25">
      <c r="A430" s="372"/>
      <c r="B430" s="372"/>
      <c r="C430" s="372"/>
      <c r="D430" s="372"/>
      <c r="E430" s="372"/>
      <c r="F430" s="373"/>
      <c r="G430" s="374"/>
      <c r="H430" s="375"/>
      <c r="I430" s="376"/>
      <c r="J430" s="375"/>
      <c r="K430" s="377"/>
      <c r="L430" s="378"/>
      <c r="M430" s="379"/>
      <c r="N430" s="380"/>
      <c r="O430" s="327" t="str">
        <f>LEFT(J430,10)</f>
        <v/>
      </c>
    </row>
    <row r="431" spans="1:15" ht="57.6" customHeight="1" x14ac:dyDescent="0.25">
      <c r="A431" s="372"/>
      <c r="B431" s="372"/>
      <c r="C431" s="372"/>
      <c r="D431" s="372"/>
      <c r="E431" s="372"/>
      <c r="F431" s="373"/>
      <c r="G431" s="374"/>
      <c r="H431" s="375"/>
      <c r="I431" s="376"/>
      <c r="J431" s="375"/>
      <c r="K431" s="377"/>
      <c r="L431" s="378"/>
      <c r="M431" s="379"/>
      <c r="N431" s="380"/>
      <c r="O431" s="327" t="str">
        <f>LEFT(J431,10)</f>
        <v/>
      </c>
    </row>
    <row r="432" spans="1:15" ht="57.6" customHeight="1" x14ac:dyDescent="0.25">
      <c r="A432" s="372"/>
      <c r="B432" s="372"/>
      <c r="C432" s="372"/>
      <c r="D432" s="372"/>
      <c r="E432" s="372"/>
      <c r="F432" s="373"/>
      <c r="G432" s="374"/>
      <c r="H432" s="375"/>
      <c r="I432" s="376"/>
      <c r="J432" s="375"/>
      <c r="K432" s="377"/>
      <c r="L432" s="378"/>
      <c r="M432" s="379"/>
      <c r="N432" s="380"/>
      <c r="O432" s="327" t="str">
        <f>LEFT(J432,10)</f>
        <v/>
      </c>
    </row>
    <row r="433" spans="1:15" ht="57.6" customHeight="1" x14ac:dyDescent="0.25">
      <c r="A433" s="372"/>
      <c r="B433" s="372"/>
      <c r="C433" s="372"/>
      <c r="D433" s="372"/>
      <c r="E433" s="372"/>
      <c r="F433" s="373"/>
      <c r="G433" s="374"/>
      <c r="H433" s="375"/>
      <c r="I433" s="376"/>
      <c r="J433" s="375"/>
      <c r="K433" s="377"/>
      <c r="L433" s="378"/>
      <c r="M433" s="379"/>
      <c r="N433" s="380"/>
      <c r="O433" s="327" t="str">
        <f>LEFT(J433,10)</f>
        <v/>
      </c>
    </row>
    <row r="434" spans="1:15" ht="57.6" customHeight="1" x14ac:dyDescent="0.25">
      <c r="A434" s="372"/>
      <c r="B434" s="372"/>
      <c r="C434" s="372"/>
      <c r="D434" s="372"/>
      <c r="E434" s="372"/>
      <c r="F434" s="373"/>
      <c r="G434" s="374"/>
      <c r="H434" s="375"/>
      <c r="I434" s="376"/>
      <c r="J434" s="375"/>
      <c r="K434" s="377"/>
      <c r="L434" s="378"/>
      <c r="M434" s="379"/>
      <c r="N434" s="380"/>
      <c r="O434" s="327" t="str">
        <f>LEFT(J434,10)</f>
        <v/>
      </c>
    </row>
    <row r="435" spans="1:15" ht="57.6" customHeight="1" x14ac:dyDescent="0.25">
      <c r="A435" s="372"/>
      <c r="B435" s="372"/>
      <c r="C435" s="372"/>
      <c r="D435" s="372"/>
      <c r="E435" s="372"/>
      <c r="F435" s="373"/>
      <c r="G435" s="374"/>
      <c r="H435" s="375"/>
      <c r="I435" s="376"/>
      <c r="J435" s="375"/>
      <c r="K435" s="377"/>
      <c r="L435" s="378"/>
      <c r="M435" s="379"/>
      <c r="N435" s="380"/>
      <c r="O435" s="327" t="str">
        <f>LEFT(J435,10)</f>
        <v/>
      </c>
    </row>
    <row r="436" spans="1:15" ht="57.6" customHeight="1" x14ac:dyDescent="0.25">
      <c r="A436" s="372"/>
      <c r="B436" s="372"/>
      <c r="C436" s="372"/>
      <c r="D436" s="372"/>
      <c r="E436" s="372"/>
      <c r="F436" s="373"/>
      <c r="G436" s="374"/>
      <c r="H436" s="375"/>
      <c r="I436" s="376"/>
      <c r="J436" s="375"/>
      <c r="K436" s="377"/>
      <c r="L436" s="378"/>
      <c r="M436" s="379"/>
      <c r="N436" s="380"/>
      <c r="O436" s="327" t="str">
        <f>LEFT(J436,10)</f>
        <v/>
      </c>
    </row>
    <row r="437" spans="1:15" ht="57.6" customHeight="1" x14ac:dyDescent="0.25">
      <c r="A437" s="372"/>
      <c r="B437" s="372"/>
      <c r="C437" s="372"/>
      <c r="D437" s="372"/>
      <c r="E437" s="372"/>
      <c r="F437" s="373"/>
      <c r="G437" s="374"/>
      <c r="H437" s="375"/>
      <c r="I437" s="376"/>
      <c r="J437" s="375"/>
      <c r="K437" s="377"/>
      <c r="L437" s="378"/>
      <c r="M437" s="379"/>
      <c r="N437" s="380"/>
      <c r="O437" s="327" t="str">
        <f>LEFT(J437,10)</f>
        <v/>
      </c>
    </row>
    <row r="438" spans="1:15" ht="57.6" customHeight="1" x14ac:dyDescent="0.25">
      <c r="A438" s="372"/>
      <c r="B438" s="372"/>
      <c r="C438" s="372"/>
      <c r="D438" s="372"/>
      <c r="E438" s="372"/>
      <c r="F438" s="373"/>
      <c r="G438" s="374"/>
      <c r="H438" s="375"/>
      <c r="I438" s="376"/>
      <c r="J438" s="375"/>
      <c r="K438" s="377"/>
      <c r="L438" s="378"/>
      <c r="M438" s="379"/>
      <c r="N438" s="380"/>
      <c r="O438" s="327" t="str">
        <f>LEFT(J438,10)</f>
        <v/>
      </c>
    </row>
    <row r="439" spans="1:15" ht="57.6" customHeight="1" x14ac:dyDescent="0.25">
      <c r="A439" s="372"/>
      <c r="B439" s="372"/>
      <c r="C439" s="372"/>
      <c r="D439" s="372"/>
      <c r="E439" s="372"/>
      <c r="F439" s="373"/>
      <c r="G439" s="374"/>
      <c r="H439" s="375"/>
      <c r="I439" s="376"/>
      <c r="J439" s="375"/>
      <c r="K439" s="377"/>
      <c r="L439" s="378"/>
      <c r="M439" s="379"/>
      <c r="N439" s="380"/>
      <c r="O439" s="327" t="str">
        <f>LEFT(J439,10)</f>
        <v/>
      </c>
    </row>
    <row r="440" spans="1:15" ht="57.6" customHeight="1" x14ac:dyDescent="0.25">
      <c r="A440" s="372"/>
      <c r="B440" s="372"/>
      <c r="C440" s="372"/>
      <c r="D440" s="372"/>
      <c r="E440" s="372"/>
      <c r="F440" s="373"/>
      <c r="G440" s="374"/>
      <c r="H440" s="375"/>
      <c r="I440" s="376"/>
      <c r="J440" s="375"/>
      <c r="K440" s="377"/>
      <c r="L440" s="378"/>
      <c r="M440" s="379"/>
      <c r="N440" s="380"/>
      <c r="O440" s="327" t="str">
        <f>LEFT(J440,10)</f>
        <v/>
      </c>
    </row>
    <row r="441" spans="1:15" ht="57.6" customHeight="1" x14ac:dyDescent="0.25">
      <c r="A441" s="372"/>
      <c r="B441" s="372"/>
      <c r="C441" s="372"/>
      <c r="D441" s="372"/>
      <c r="E441" s="372"/>
      <c r="F441" s="373"/>
      <c r="G441" s="374"/>
      <c r="H441" s="375"/>
      <c r="I441" s="376"/>
      <c r="J441" s="375"/>
      <c r="K441" s="377"/>
      <c r="L441" s="378"/>
      <c r="M441" s="379"/>
      <c r="N441" s="380"/>
      <c r="O441" s="327" t="str">
        <f>LEFT(J441,10)</f>
        <v/>
      </c>
    </row>
    <row r="442" spans="1:15" ht="57.6" customHeight="1" x14ac:dyDescent="0.25">
      <c r="A442" s="372"/>
      <c r="B442" s="372"/>
      <c r="C442" s="372"/>
      <c r="D442" s="372"/>
      <c r="E442" s="372"/>
      <c r="F442" s="373"/>
      <c r="G442" s="374"/>
      <c r="H442" s="375"/>
      <c r="I442" s="376"/>
      <c r="J442" s="375"/>
      <c r="K442" s="377"/>
      <c r="L442" s="378"/>
      <c r="M442" s="379"/>
      <c r="N442" s="380"/>
      <c r="O442" s="327" t="str">
        <f>LEFT(J442,10)</f>
        <v/>
      </c>
    </row>
    <row r="443" spans="1:15" ht="57.6" customHeight="1" x14ac:dyDescent="0.25">
      <c r="A443" s="372"/>
      <c r="B443" s="372"/>
      <c r="C443" s="372"/>
      <c r="D443" s="372"/>
      <c r="E443" s="372"/>
      <c r="F443" s="373"/>
      <c r="G443" s="374"/>
      <c r="H443" s="375"/>
      <c r="I443" s="376"/>
      <c r="J443" s="375"/>
      <c r="K443" s="377"/>
      <c r="L443" s="378"/>
      <c r="M443" s="379"/>
      <c r="N443" s="380"/>
      <c r="O443" s="327" t="str">
        <f>LEFT(J443,10)</f>
        <v/>
      </c>
    </row>
    <row r="444" spans="1:15" ht="57.6" customHeight="1" x14ac:dyDescent="0.25">
      <c r="A444" s="372"/>
      <c r="B444" s="372"/>
      <c r="C444" s="372"/>
      <c r="D444" s="372"/>
      <c r="E444" s="372"/>
      <c r="F444" s="373"/>
      <c r="G444" s="374"/>
      <c r="H444" s="375"/>
      <c r="I444" s="376"/>
      <c r="J444" s="375"/>
      <c r="K444" s="377"/>
      <c r="L444" s="378"/>
      <c r="M444" s="379"/>
      <c r="N444" s="380"/>
      <c r="O444" s="327" t="str">
        <f>LEFT(J444,10)</f>
        <v/>
      </c>
    </row>
    <row r="445" spans="1:15" ht="57.6" customHeight="1" x14ac:dyDescent="0.25">
      <c r="A445" s="372"/>
      <c r="B445" s="372"/>
      <c r="C445" s="372"/>
      <c r="D445" s="372"/>
      <c r="E445" s="372"/>
      <c r="F445" s="373"/>
      <c r="G445" s="374"/>
      <c r="H445" s="375"/>
      <c r="I445" s="376"/>
      <c r="J445" s="375"/>
      <c r="K445" s="377"/>
      <c r="L445" s="378"/>
      <c r="M445" s="379"/>
      <c r="N445" s="380"/>
      <c r="O445" s="327" t="str">
        <f>LEFT(J445,10)</f>
        <v/>
      </c>
    </row>
    <row r="446" spans="1:15" ht="57.6" customHeight="1" x14ac:dyDescent="0.25">
      <c r="A446" s="372"/>
      <c r="B446" s="372"/>
      <c r="C446" s="372"/>
      <c r="D446" s="372"/>
      <c r="E446" s="372"/>
      <c r="F446" s="373"/>
      <c r="G446" s="374"/>
      <c r="H446" s="375"/>
      <c r="I446" s="376"/>
      <c r="J446" s="375"/>
      <c r="K446" s="377"/>
      <c r="L446" s="378"/>
      <c r="M446" s="379"/>
      <c r="N446" s="380"/>
      <c r="O446" s="327" t="str">
        <f>LEFT(J446,10)</f>
        <v/>
      </c>
    </row>
    <row r="447" spans="1:15" ht="57.6" customHeight="1" x14ac:dyDescent="0.25">
      <c r="A447" s="372"/>
      <c r="B447" s="372"/>
      <c r="C447" s="372"/>
      <c r="D447" s="372"/>
      <c r="E447" s="372"/>
      <c r="F447" s="373"/>
      <c r="G447" s="374"/>
      <c r="H447" s="375"/>
      <c r="I447" s="376"/>
      <c r="J447" s="375"/>
      <c r="K447" s="377"/>
      <c r="L447" s="378"/>
      <c r="M447" s="379"/>
      <c r="N447" s="380"/>
      <c r="O447" s="327" t="str">
        <f>LEFT(J447,10)</f>
        <v/>
      </c>
    </row>
    <row r="448" spans="1:15" ht="57.6" customHeight="1" x14ac:dyDescent="0.25">
      <c r="A448" s="372"/>
      <c r="B448" s="372"/>
      <c r="C448" s="372"/>
      <c r="D448" s="372"/>
      <c r="E448" s="372"/>
      <c r="F448" s="373"/>
      <c r="G448" s="374"/>
      <c r="H448" s="375"/>
      <c r="I448" s="376"/>
      <c r="J448" s="375"/>
      <c r="K448" s="377"/>
      <c r="L448" s="378"/>
      <c r="M448" s="379"/>
      <c r="N448" s="380"/>
      <c r="O448" s="327" t="str">
        <f>LEFT(J448,10)</f>
        <v/>
      </c>
    </row>
    <row r="449" spans="1:15" ht="57.6" customHeight="1" x14ac:dyDescent="0.25">
      <c r="A449" s="372"/>
      <c r="B449" s="372"/>
      <c r="C449" s="372"/>
      <c r="D449" s="372"/>
      <c r="E449" s="372"/>
      <c r="F449" s="373"/>
      <c r="G449" s="374"/>
      <c r="H449" s="375"/>
      <c r="I449" s="376"/>
      <c r="J449" s="375"/>
      <c r="K449" s="377"/>
      <c r="L449" s="378"/>
      <c r="M449" s="379"/>
      <c r="N449" s="380"/>
      <c r="O449" s="327" t="str">
        <f>LEFT(J449,10)</f>
        <v/>
      </c>
    </row>
    <row r="450" spans="1:15" ht="57.6" customHeight="1" x14ac:dyDescent="0.25">
      <c r="A450" s="372"/>
      <c r="B450" s="372"/>
      <c r="C450" s="372"/>
      <c r="D450" s="372"/>
      <c r="E450" s="372"/>
      <c r="F450" s="373"/>
      <c r="G450" s="374"/>
      <c r="H450" s="375"/>
      <c r="I450" s="376"/>
      <c r="J450" s="375"/>
      <c r="K450" s="377"/>
      <c r="L450" s="378"/>
      <c r="M450" s="379"/>
      <c r="N450" s="380"/>
      <c r="O450" s="327" t="str">
        <f>LEFT(J450,10)</f>
        <v/>
      </c>
    </row>
    <row r="451" spans="1:15" ht="57.6" customHeight="1" x14ac:dyDescent="0.25">
      <c r="A451" s="372"/>
      <c r="B451" s="372"/>
      <c r="C451" s="372"/>
      <c r="D451" s="372"/>
      <c r="E451" s="372"/>
      <c r="F451" s="373"/>
      <c r="G451" s="374"/>
      <c r="H451" s="375"/>
      <c r="I451" s="376"/>
      <c r="J451" s="375"/>
      <c r="K451" s="377"/>
      <c r="L451" s="378"/>
      <c r="M451" s="379"/>
      <c r="N451" s="380"/>
      <c r="O451" s="327" t="str">
        <f>LEFT(J451,10)</f>
        <v/>
      </c>
    </row>
    <row r="452" spans="1:15" ht="57.6" customHeight="1" x14ac:dyDescent="0.25">
      <c r="A452" s="372"/>
      <c r="B452" s="372"/>
      <c r="C452" s="372"/>
      <c r="D452" s="372"/>
      <c r="E452" s="372"/>
      <c r="F452" s="373"/>
      <c r="G452" s="374"/>
      <c r="H452" s="375"/>
      <c r="I452" s="376"/>
      <c r="J452" s="375"/>
      <c r="K452" s="377"/>
      <c r="L452" s="378"/>
      <c r="M452" s="379"/>
      <c r="N452" s="380"/>
      <c r="O452" s="327" t="str">
        <f>LEFT(J452,10)</f>
        <v/>
      </c>
    </row>
    <row r="453" spans="1:15" ht="57.6" customHeight="1" x14ac:dyDescent="0.25">
      <c r="A453" s="372"/>
      <c r="B453" s="372"/>
      <c r="C453" s="372"/>
      <c r="D453" s="372"/>
      <c r="E453" s="372"/>
      <c r="F453" s="373"/>
      <c r="G453" s="374"/>
      <c r="H453" s="375"/>
      <c r="I453" s="376"/>
      <c r="J453" s="375"/>
      <c r="K453" s="377"/>
      <c r="L453" s="378"/>
      <c r="M453" s="379"/>
      <c r="N453" s="380"/>
      <c r="O453" s="327" t="str">
        <f>LEFT(J453,10)</f>
        <v/>
      </c>
    </row>
    <row r="454" spans="1:15" ht="57.6" customHeight="1" x14ac:dyDescent="0.25">
      <c r="A454" s="372"/>
      <c r="B454" s="372"/>
      <c r="C454" s="372"/>
      <c r="D454" s="372"/>
      <c r="E454" s="372"/>
      <c r="F454" s="373"/>
      <c r="G454" s="374"/>
      <c r="H454" s="375"/>
      <c r="I454" s="376"/>
      <c r="J454" s="375"/>
      <c r="K454" s="377"/>
      <c r="L454" s="378"/>
      <c r="M454" s="379"/>
      <c r="N454" s="380"/>
      <c r="O454" s="327" t="str">
        <f>LEFT(J454,10)</f>
        <v/>
      </c>
    </row>
    <row r="455" spans="1:15" ht="57.6" customHeight="1" x14ac:dyDescent="0.25">
      <c r="A455" s="372"/>
      <c r="B455" s="372"/>
      <c r="C455" s="372"/>
      <c r="D455" s="372"/>
      <c r="E455" s="372"/>
      <c r="F455" s="373"/>
      <c r="G455" s="374"/>
      <c r="H455" s="375"/>
      <c r="I455" s="376"/>
      <c r="J455" s="375"/>
      <c r="K455" s="377"/>
      <c r="L455" s="378"/>
      <c r="M455" s="379"/>
      <c r="N455" s="380"/>
      <c r="O455" s="327" t="str">
        <f>LEFT(J455,10)</f>
        <v/>
      </c>
    </row>
    <row r="456" spans="1:15" ht="57.6" customHeight="1" x14ac:dyDescent="0.25">
      <c r="A456" s="372"/>
      <c r="B456" s="372"/>
      <c r="C456" s="372"/>
      <c r="D456" s="372"/>
      <c r="E456" s="372"/>
      <c r="F456" s="373"/>
      <c r="G456" s="374"/>
      <c r="H456" s="375"/>
      <c r="I456" s="376"/>
      <c r="J456" s="375"/>
      <c r="K456" s="377"/>
      <c r="L456" s="378"/>
      <c r="M456" s="379"/>
      <c r="N456" s="380"/>
      <c r="O456" s="327" t="str">
        <f>LEFT(J456,10)</f>
        <v/>
      </c>
    </row>
    <row r="457" spans="1:15" ht="57.6" customHeight="1" x14ac:dyDescent="0.25">
      <c r="A457" s="372"/>
      <c r="B457" s="372"/>
      <c r="C457" s="372"/>
      <c r="D457" s="372"/>
      <c r="E457" s="372"/>
      <c r="F457" s="373"/>
      <c r="G457" s="374"/>
      <c r="H457" s="375"/>
      <c r="I457" s="376"/>
      <c r="J457" s="375"/>
      <c r="K457" s="377"/>
      <c r="L457" s="378"/>
      <c r="M457" s="379"/>
      <c r="N457" s="380"/>
      <c r="O457" s="327" t="str">
        <f>LEFT(J457,10)</f>
        <v/>
      </c>
    </row>
    <row r="458" spans="1:15" ht="57.6" customHeight="1" x14ac:dyDescent="0.25">
      <c r="A458" s="372"/>
      <c r="B458" s="372"/>
      <c r="C458" s="372"/>
      <c r="D458" s="372"/>
      <c r="E458" s="372"/>
      <c r="F458" s="373"/>
      <c r="G458" s="374"/>
      <c r="H458" s="375"/>
      <c r="I458" s="376"/>
      <c r="J458" s="375"/>
      <c r="K458" s="377"/>
      <c r="L458" s="378"/>
      <c r="M458" s="379"/>
      <c r="N458" s="380"/>
      <c r="O458" s="327" t="str">
        <f>LEFT(J458,10)</f>
        <v/>
      </c>
    </row>
    <row r="459" spans="1:15" ht="57.6" customHeight="1" x14ac:dyDescent="0.25">
      <c r="A459" s="372"/>
      <c r="B459" s="372"/>
      <c r="C459" s="372"/>
      <c r="D459" s="372"/>
      <c r="E459" s="372"/>
      <c r="F459" s="373"/>
      <c r="G459" s="374"/>
      <c r="H459" s="375"/>
      <c r="I459" s="376"/>
      <c r="J459" s="375"/>
      <c r="K459" s="377"/>
      <c r="L459" s="378"/>
      <c r="M459" s="379"/>
      <c r="N459" s="380"/>
      <c r="O459" s="327" t="str">
        <f>LEFT(J459,10)</f>
        <v/>
      </c>
    </row>
    <row r="460" spans="1:15" ht="57.6" customHeight="1" x14ac:dyDescent="0.25">
      <c r="A460" s="372"/>
      <c r="B460" s="372"/>
      <c r="C460" s="372"/>
      <c r="D460" s="372"/>
      <c r="E460" s="372"/>
      <c r="F460" s="373"/>
      <c r="G460" s="374"/>
      <c r="H460" s="375"/>
      <c r="I460" s="376"/>
      <c r="J460" s="375"/>
      <c r="K460" s="377"/>
      <c r="L460" s="378"/>
      <c r="M460" s="379"/>
      <c r="N460" s="380"/>
      <c r="O460" s="327" t="str">
        <f>LEFT(J460,10)</f>
        <v/>
      </c>
    </row>
    <row r="461" spans="1:15" ht="57.6" customHeight="1" x14ac:dyDescent="0.25">
      <c r="A461" s="372"/>
      <c r="B461" s="372"/>
      <c r="C461" s="372"/>
      <c r="D461" s="372"/>
      <c r="E461" s="372"/>
      <c r="F461" s="373"/>
      <c r="G461" s="374"/>
      <c r="H461" s="375"/>
      <c r="I461" s="376"/>
      <c r="J461" s="375"/>
      <c r="K461" s="377"/>
      <c r="L461" s="378"/>
      <c r="M461" s="379"/>
      <c r="N461" s="380"/>
      <c r="O461" s="327" t="str">
        <f>LEFT(J461,10)</f>
        <v/>
      </c>
    </row>
    <row r="462" spans="1:15" ht="57.6" customHeight="1" x14ac:dyDescent="0.25">
      <c r="A462" s="372"/>
      <c r="B462" s="372"/>
      <c r="C462" s="372"/>
      <c r="D462" s="372"/>
      <c r="E462" s="372"/>
      <c r="F462" s="373"/>
      <c r="G462" s="374"/>
      <c r="H462" s="375"/>
      <c r="I462" s="376"/>
      <c r="J462" s="375"/>
      <c r="K462" s="377"/>
      <c r="L462" s="378"/>
      <c r="M462" s="379"/>
      <c r="N462" s="380"/>
      <c r="O462" s="327" t="str">
        <f>LEFT(J462,10)</f>
        <v/>
      </c>
    </row>
    <row r="463" spans="1:15" ht="57.6" customHeight="1" x14ac:dyDescent="0.25">
      <c r="A463" s="372"/>
      <c r="B463" s="372"/>
      <c r="C463" s="372"/>
      <c r="D463" s="372"/>
      <c r="E463" s="372"/>
      <c r="F463" s="373"/>
      <c r="G463" s="374"/>
      <c r="H463" s="375"/>
      <c r="I463" s="376"/>
      <c r="J463" s="375"/>
      <c r="K463" s="377"/>
      <c r="L463" s="378"/>
      <c r="M463" s="379"/>
      <c r="N463" s="380"/>
      <c r="O463" s="327" t="str">
        <f>LEFT(J463,10)</f>
        <v/>
      </c>
    </row>
    <row r="464" spans="1:15" ht="57.6" customHeight="1" x14ac:dyDescent="0.25">
      <c r="A464" s="372"/>
      <c r="B464" s="372"/>
      <c r="C464" s="372"/>
      <c r="D464" s="372"/>
      <c r="E464" s="372"/>
      <c r="F464" s="373"/>
      <c r="G464" s="374"/>
      <c r="H464" s="375"/>
      <c r="I464" s="376"/>
      <c r="J464" s="375"/>
      <c r="K464" s="377"/>
      <c r="L464" s="378"/>
      <c r="M464" s="379"/>
      <c r="N464" s="380"/>
      <c r="O464" s="327" t="str">
        <f>LEFT(J464,10)</f>
        <v/>
      </c>
    </row>
    <row r="465" spans="1:15" ht="57.6" customHeight="1" x14ac:dyDescent="0.25">
      <c r="A465" s="372"/>
      <c r="B465" s="372"/>
      <c r="C465" s="372"/>
      <c r="D465" s="372"/>
      <c r="E465" s="372"/>
      <c r="F465" s="373"/>
      <c r="G465" s="374"/>
      <c r="H465" s="375"/>
      <c r="I465" s="376"/>
      <c r="J465" s="375"/>
      <c r="K465" s="377"/>
      <c r="L465" s="378"/>
      <c r="M465" s="379"/>
      <c r="N465" s="380"/>
      <c r="O465" s="327" t="str">
        <f>LEFT(J465,10)</f>
        <v/>
      </c>
    </row>
    <row r="466" spans="1:15" ht="57.6" customHeight="1" x14ac:dyDescent="0.25">
      <c r="A466" s="372"/>
      <c r="B466" s="372"/>
      <c r="C466" s="372"/>
      <c r="D466" s="372"/>
      <c r="E466" s="372"/>
      <c r="F466" s="373"/>
      <c r="G466" s="374"/>
      <c r="H466" s="375"/>
      <c r="I466" s="376"/>
      <c r="J466" s="375"/>
      <c r="K466" s="377"/>
      <c r="L466" s="378"/>
      <c r="M466" s="379"/>
      <c r="N466" s="380"/>
      <c r="O466" s="327" t="str">
        <f>LEFT(J466,10)</f>
        <v/>
      </c>
    </row>
    <row r="467" spans="1:15" ht="57.6" customHeight="1" x14ac:dyDescent="0.25">
      <c r="A467" s="372"/>
      <c r="B467" s="372"/>
      <c r="C467" s="372"/>
      <c r="D467" s="372"/>
      <c r="E467" s="372"/>
      <c r="F467" s="373"/>
      <c r="G467" s="374"/>
      <c r="H467" s="375"/>
      <c r="I467" s="376"/>
      <c r="J467" s="375"/>
      <c r="K467" s="377"/>
      <c r="L467" s="378"/>
      <c r="M467" s="379"/>
      <c r="N467" s="380"/>
      <c r="O467" s="327" t="str">
        <f>LEFT(J467,10)</f>
        <v/>
      </c>
    </row>
    <row r="468" spans="1:15" ht="57.6" customHeight="1" x14ac:dyDescent="0.25">
      <c r="A468" s="372"/>
      <c r="B468" s="372"/>
      <c r="C468" s="372"/>
      <c r="D468" s="372"/>
      <c r="E468" s="372"/>
      <c r="F468" s="373"/>
      <c r="G468" s="374"/>
      <c r="H468" s="375"/>
      <c r="I468" s="376"/>
      <c r="J468" s="375"/>
      <c r="K468" s="377"/>
      <c r="L468" s="378"/>
      <c r="M468" s="379"/>
      <c r="N468" s="380"/>
      <c r="O468" s="327" t="str">
        <f>LEFT(J468,10)</f>
        <v/>
      </c>
    </row>
    <row r="469" spans="1:15" ht="57.6" customHeight="1" x14ac:dyDescent="0.25">
      <c r="A469" s="372"/>
      <c r="B469" s="372"/>
      <c r="C469" s="372"/>
      <c r="D469" s="372"/>
      <c r="E469" s="372"/>
      <c r="F469" s="373"/>
      <c r="G469" s="374"/>
      <c r="H469" s="375"/>
      <c r="I469" s="376"/>
      <c r="J469" s="375"/>
      <c r="K469" s="377"/>
      <c r="L469" s="378"/>
      <c r="M469" s="379"/>
      <c r="N469" s="380"/>
      <c r="O469" s="327" t="str">
        <f>LEFT(J469,10)</f>
        <v/>
      </c>
    </row>
    <row r="470" spans="1:15" ht="57.6" customHeight="1" x14ac:dyDescent="0.25">
      <c r="A470" s="372"/>
      <c r="B470" s="372"/>
      <c r="C470" s="372"/>
      <c r="D470" s="372"/>
      <c r="E470" s="372"/>
      <c r="F470" s="373"/>
      <c r="G470" s="374"/>
      <c r="H470" s="375"/>
      <c r="I470" s="376"/>
      <c r="J470" s="375"/>
      <c r="K470" s="377"/>
      <c r="L470" s="378"/>
      <c r="M470" s="379"/>
      <c r="N470" s="380"/>
      <c r="O470" s="327" t="str">
        <f>LEFT(J470,10)</f>
        <v/>
      </c>
    </row>
    <row r="471" spans="1:15" ht="57.6" customHeight="1" x14ac:dyDescent="0.25">
      <c r="A471" s="372"/>
      <c r="B471" s="372"/>
      <c r="C471" s="372"/>
      <c r="D471" s="372"/>
      <c r="E471" s="372"/>
      <c r="F471" s="373"/>
      <c r="G471" s="374"/>
      <c r="H471" s="375"/>
      <c r="I471" s="376"/>
      <c r="J471" s="375"/>
      <c r="K471" s="377"/>
      <c r="L471" s="378"/>
      <c r="M471" s="379"/>
      <c r="N471" s="380"/>
      <c r="O471" s="327" t="str">
        <f>LEFT(J471,10)</f>
        <v/>
      </c>
    </row>
    <row r="472" spans="1:15" ht="57.6" customHeight="1" x14ac:dyDescent="0.25">
      <c r="A472" s="372"/>
      <c r="B472" s="372"/>
      <c r="C472" s="372"/>
      <c r="D472" s="372"/>
      <c r="E472" s="372"/>
      <c r="F472" s="373"/>
      <c r="G472" s="374"/>
      <c r="H472" s="375"/>
      <c r="I472" s="376"/>
      <c r="J472" s="375"/>
      <c r="K472" s="377"/>
      <c r="L472" s="378"/>
      <c r="M472" s="379"/>
      <c r="N472" s="380"/>
      <c r="O472" s="327" t="str">
        <f>LEFT(J472,10)</f>
        <v/>
      </c>
    </row>
    <row r="473" spans="1:15" ht="57.6" customHeight="1" x14ac:dyDescent="0.25">
      <c r="A473" s="372"/>
      <c r="B473" s="372"/>
      <c r="C473" s="372"/>
      <c r="D473" s="372"/>
      <c r="E473" s="372"/>
      <c r="F473" s="373"/>
      <c r="G473" s="374"/>
      <c r="H473" s="375"/>
      <c r="I473" s="376"/>
      <c r="J473" s="375"/>
      <c r="K473" s="377"/>
      <c r="L473" s="378"/>
      <c r="M473" s="379"/>
      <c r="N473" s="380"/>
      <c r="O473" s="327" t="str">
        <f>LEFT(J473,10)</f>
        <v/>
      </c>
    </row>
    <row r="474" spans="1:15" ht="57.6" customHeight="1" x14ac:dyDescent="0.25">
      <c r="A474" s="372"/>
      <c r="B474" s="372"/>
      <c r="C474" s="372"/>
      <c r="D474" s="372"/>
      <c r="E474" s="372"/>
      <c r="F474" s="373"/>
      <c r="G474" s="374"/>
      <c r="H474" s="375"/>
      <c r="I474" s="376"/>
      <c r="J474" s="375"/>
      <c r="K474" s="377"/>
      <c r="L474" s="378"/>
      <c r="M474" s="379"/>
      <c r="N474" s="380"/>
      <c r="O474" s="327" t="str">
        <f>LEFT(J474,10)</f>
        <v/>
      </c>
    </row>
    <row r="475" spans="1:15" ht="57.6" customHeight="1" x14ac:dyDescent="0.25">
      <c r="A475" s="372"/>
      <c r="B475" s="372"/>
      <c r="C475" s="372"/>
      <c r="D475" s="372"/>
      <c r="E475" s="372"/>
      <c r="F475" s="373"/>
      <c r="G475" s="374"/>
      <c r="H475" s="375"/>
      <c r="I475" s="376"/>
      <c r="J475" s="375"/>
      <c r="K475" s="377"/>
      <c r="L475" s="378"/>
      <c r="M475" s="379"/>
      <c r="N475" s="380"/>
      <c r="O475" s="327" t="str">
        <f>LEFT(J475,10)</f>
        <v/>
      </c>
    </row>
    <row r="476" spans="1:15" ht="57.6" customHeight="1" x14ac:dyDescent="0.25">
      <c r="A476" s="372"/>
      <c r="B476" s="372"/>
      <c r="C476" s="372"/>
      <c r="D476" s="372"/>
      <c r="E476" s="372"/>
      <c r="F476" s="373"/>
      <c r="G476" s="374"/>
      <c r="H476" s="375"/>
      <c r="I476" s="376"/>
      <c r="J476" s="375"/>
      <c r="K476" s="377"/>
      <c r="L476" s="378"/>
      <c r="M476" s="379"/>
      <c r="N476" s="380"/>
      <c r="O476" s="327" t="str">
        <f>LEFT(J476,10)</f>
        <v/>
      </c>
    </row>
    <row r="477" spans="1:15" ht="57.6" customHeight="1" x14ac:dyDescent="0.25">
      <c r="A477" s="372"/>
      <c r="B477" s="372"/>
      <c r="C477" s="372"/>
      <c r="D477" s="372"/>
      <c r="E477" s="372"/>
      <c r="F477" s="373"/>
      <c r="G477" s="374"/>
      <c r="H477" s="375"/>
      <c r="I477" s="376"/>
      <c r="J477" s="375"/>
      <c r="K477" s="377"/>
      <c r="L477" s="378"/>
      <c r="M477" s="379"/>
      <c r="N477" s="380"/>
      <c r="O477" s="327" t="str">
        <f>LEFT(J477,10)</f>
        <v/>
      </c>
    </row>
    <row r="478" spans="1:15" ht="57.6" customHeight="1" x14ac:dyDescent="0.25">
      <c r="A478" s="372"/>
      <c r="B478" s="372"/>
      <c r="C478" s="372"/>
      <c r="D478" s="372"/>
      <c r="E478" s="372"/>
      <c r="F478" s="373"/>
      <c r="G478" s="374"/>
      <c r="H478" s="375"/>
      <c r="I478" s="376"/>
      <c r="J478" s="375"/>
      <c r="K478" s="377"/>
      <c r="L478" s="378"/>
      <c r="M478" s="379"/>
      <c r="N478" s="380"/>
      <c r="O478" s="327" t="str">
        <f>LEFT(J478,10)</f>
        <v/>
      </c>
    </row>
    <row r="479" spans="1:15" ht="57.6" customHeight="1" x14ac:dyDescent="0.25">
      <c r="A479" s="372"/>
      <c r="B479" s="372"/>
      <c r="C479" s="372"/>
      <c r="D479" s="372"/>
      <c r="E479" s="372"/>
      <c r="F479" s="373"/>
      <c r="G479" s="374"/>
      <c r="H479" s="375"/>
      <c r="I479" s="376"/>
      <c r="J479" s="375"/>
      <c r="K479" s="377"/>
      <c r="L479" s="378"/>
      <c r="M479" s="379"/>
      <c r="N479" s="380"/>
      <c r="O479" s="327" t="str">
        <f>LEFT(J479,10)</f>
        <v/>
      </c>
    </row>
    <row r="480" spans="1:15" ht="57.6" customHeight="1" x14ac:dyDescent="0.25">
      <c r="A480" s="372"/>
      <c r="B480" s="372"/>
      <c r="C480" s="372"/>
      <c r="D480" s="372"/>
      <c r="E480" s="372"/>
      <c r="F480" s="373"/>
      <c r="G480" s="374"/>
      <c r="H480" s="375"/>
      <c r="I480" s="376"/>
      <c r="J480" s="375"/>
      <c r="K480" s="377"/>
      <c r="L480" s="378"/>
      <c r="M480" s="379"/>
      <c r="N480" s="380"/>
      <c r="O480" s="327" t="str">
        <f>LEFT(J480,10)</f>
        <v/>
      </c>
    </row>
    <row r="481" spans="1:15" ht="57.6" customHeight="1" x14ac:dyDescent="0.25">
      <c r="A481" s="372"/>
      <c r="B481" s="372"/>
      <c r="C481" s="372"/>
      <c r="D481" s="372"/>
      <c r="E481" s="372"/>
      <c r="F481" s="373"/>
      <c r="G481" s="374"/>
      <c r="H481" s="375"/>
      <c r="I481" s="376"/>
      <c r="J481" s="375"/>
      <c r="K481" s="377"/>
      <c r="L481" s="378"/>
      <c r="M481" s="379"/>
      <c r="N481" s="380"/>
      <c r="O481" s="327" t="str">
        <f>LEFT(J481,10)</f>
        <v/>
      </c>
    </row>
    <row r="482" spans="1:15" ht="57.6" customHeight="1" x14ac:dyDescent="0.25">
      <c r="A482" s="372"/>
      <c r="B482" s="372"/>
      <c r="C482" s="372"/>
      <c r="D482" s="372"/>
      <c r="E482" s="372"/>
      <c r="F482" s="373"/>
      <c r="G482" s="374"/>
      <c r="H482" s="375"/>
      <c r="I482" s="376"/>
      <c r="J482" s="375"/>
      <c r="K482" s="377"/>
      <c r="L482" s="378"/>
      <c r="M482" s="379"/>
      <c r="N482" s="380"/>
      <c r="O482" s="327" t="str">
        <f>LEFT(J482,10)</f>
        <v/>
      </c>
    </row>
    <row r="483" spans="1:15" ht="57.6" customHeight="1" x14ac:dyDescent="0.25">
      <c r="A483" s="372"/>
      <c r="B483" s="372"/>
      <c r="C483" s="372"/>
      <c r="D483" s="372"/>
      <c r="E483" s="372"/>
      <c r="F483" s="373"/>
      <c r="G483" s="374"/>
      <c r="H483" s="375"/>
      <c r="I483" s="376"/>
      <c r="J483" s="375"/>
      <c r="K483" s="377"/>
      <c r="L483" s="378"/>
      <c r="M483" s="379"/>
      <c r="N483" s="380"/>
      <c r="O483" s="327" t="str">
        <f>LEFT(J483,10)</f>
        <v/>
      </c>
    </row>
    <row r="484" spans="1:15" ht="57.6" customHeight="1" x14ac:dyDescent="0.25">
      <c r="A484" s="372"/>
      <c r="B484" s="372"/>
      <c r="C484" s="372"/>
      <c r="D484" s="372"/>
      <c r="E484" s="372"/>
      <c r="F484" s="373"/>
      <c r="G484" s="374"/>
      <c r="H484" s="375"/>
      <c r="I484" s="376"/>
      <c r="J484" s="375"/>
      <c r="K484" s="377"/>
      <c r="L484" s="378"/>
      <c r="M484" s="379"/>
      <c r="N484" s="380"/>
      <c r="O484" s="327" t="str">
        <f>LEFT(J484,10)</f>
        <v/>
      </c>
    </row>
    <row r="485" spans="1:15" ht="57.6" customHeight="1" x14ac:dyDescent="0.25">
      <c r="A485" s="372"/>
      <c r="B485" s="372"/>
      <c r="C485" s="372"/>
      <c r="D485" s="372"/>
      <c r="E485" s="372"/>
      <c r="F485" s="373"/>
      <c r="G485" s="374"/>
      <c r="H485" s="375"/>
      <c r="I485" s="376"/>
      <c r="J485" s="375"/>
      <c r="K485" s="377"/>
      <c r="L485" s="378"/>
      <c r="M485" s="379"/>
      <c r="N485" s="380"/>
      <c r="O485" s="327" t="str">
        <f>LEFT(J485,10)</f>
        <v/>
      </c>
    </row>
    <row r="486" spans="1:15" ht="57.6" customHeight="1" x14ac:dyDescent="0.25">
      <c r="A486" s="372"/>
      <c r="B486" s="372"/>
      <c r="C486" s="372"/>
      <c r="D486" s="372"/>
      <c r="E486" s="372"/>
      <c r="F486" s="373"/>
      <c r="G486" s="374"/>
      <c r="H486" s="375"/>
      <c r="I486" s="376"/>
      <c r="J486" s="375"/>
      <c r="K486" s="377"/>
      <c r="L486" s="378"/>
      <c r="M486" s="379"/>
      <c r="N486" s="380"/>
      <c r="O486" s="327" t="str">
        <f>LEFT(J486,10)</f>
        <v/>
      </c>
    </row>
    <row r="487" spans="1:15" ht="57.6" customHeight="1" x14ac:dyDescent="0.25">
      <c r="A487" s="372"/>
      <c r="B487" s="372"/>
      <c r="C487" s="372"/>
      <c r="D487" s="372"/>
      <c r="E487" s="372"/>
      <c r="F487" s="373"/>
      <c r="G487" s="374"/>
      <c r="H487" s="375"/>
      <c r="I487" s="376"/>
      <c r="J487" s="375"/>
      <c r="K487" s="377"/>
      <c r="L487" s="378"/>
      <c r="M487" s="379"/>
      <c r="N487" s="380"/>
      <c r="O487" s="327" t="str">
        <f>LEFT(J487,10)</f>
        <v/>
      </c>
    </row>
    <row r="488" spans="1:15" ht="57.6" customHeight="1" x14ac:dyDescent="0.25">
      <c r="A488" s="372"/>
      <c r="B488" s="372"/>
      <c r="C488" s="372"/>
      <c r="D488" s="372"/>
      <c r="E488" s="372"/>
      <c r="F488" s="373"/>
      <c r="G488" s="374"/>
      <c r="H488" s="375"/>
      <c r="I488" s="376"/>
      <c r="J488" s="375"/>
      <c r="K488" s="377"/>
      <c r="L488" s="378"/>
      <c r="M488" s="379"/>
      <c r="N488" s="380"/>
      <c r="O488" s="327" t="str">
        <f>LEFT(J488,10)</f>
        <v/>
      </c>
    </row>
    <row r="489" spans="1:15" ht="57.6" customHeight="1" x14ac:dyDescent="0.25">
      <c r="A489" s="372"/>
      <c r="B489" s="372"/>
      <c r="C489" s="372"/>
      <c r="D489" s="372"/>
      <c r="E489" s="372"/>
      <c r="F489" s="373"/>
      <c r="G489" s="374"/>
      <c r="H489" s="375"/>
      <c r="I489" s="376"/>
      <c r="J489" s="375"/>
      <c r="K489" s="377"/>
      <c r="L489" s="378"/>
      <c r="M489" s="379"/>
      <c r="N489" s="380"/>
      <c r="O489" s="327" t="str">
        <f>LEFT(J489,10)</f>
        <v/>
      </c>
    </row>
    <row r="490" spans="1:15" ht="57.6" customHeight="1" x14ac:dyDescent="0.25">
      <c r="A490" s="372"/>
      <c r="B490" s="372"/>
      <c r="C490" s="372"/>
      <c r="D490" s="372"/>
      <c r="E490" s="372"/>
      <c r="F490" s="373"/>
      <c r="G490" s="374"/>
      <c r="H490" s="375"/>
      <c r="I490" s="376"/>
      <c r="J490" s="375"/>
      <c r="K490" s="377"/>
      <c r="L490" s="378"/>
      <c r="M490" s="379"/>
      <c r="N490" s="380"/>
      <c r="O490" s="327" t="str">
        <f>LEFT(J490,10)</f>
        <v/>
      </c>
    </row>
    <row r="491" spans="1:15" ht="57.6" customHeight="1" x14ac:dyDescent="0.25">
      <c r="A491" s="372"/>
      <c r="B491" s="372"/>
      <c r="C491" s="372"/>
      <c r="D491" s="372"/>
      <c r="E491" s="372"/>
      <c r="F491" s="373"/>
      <c r="G491" s="374"/>
      <c r="H491" s="375"/>
      <c r="I491" s="376"/>
      <c r="J491" s="375"/>
      <c r="K491" s="377"/>
      <c r="L491" s="378"/>
      <c r="M491" s="379"/>
      <c r="N491" s="380"/>
      <c r="O491" s="327" t="str">
        <f>LEFT(J491,10)</f>
        <v/>
      </c>
    </row>
    <row r="492" spans="1:15" ht="57.6" customHeight="1" x14ac:dyDescent="0.25">
      <c r="A492" s="372"/>
      <c r="B492" s="372"/>
      <c r="C492" s="372"/>
      <c r="D492" s="372"/>
      <c r="E492" s="372"/>
      <c r="F492" s="373"/>
      <c r="G492" s="374"/>
      <c r="H492" s="375"/>
      <c r="I492" s="376"/>
      <c r="J492" s="375"/>
      <c r="K492" s="377"/>
      <c r="L492" s="378"/>
      <c r="M492" s="379"/>
      <c r="N492" s="380"/>
      <c r="O492" s="327" t="str">
        <f>LEFT(J492,10)</f>
        <v/>
      </c>
    </row>
    <row r="493" spans="1:15" ht="57.6" customHeight="1" x14ac:dyDescent="0.25">
      <c r="A493" s="372"/>
      <c r="B493" s="372"/>
      <c r="C493" s="372"/>
      <c r="D493" s="372"/>
      <c r="E493" s="372"/>
      <c r="F493" s="373"/>
      <c r="G493" s="374"/>
      <c r="H493" s="375"/>
      <c r="I493" s="376"/>
      <c r="J493" s="375"/>
      <c r="K493" s="377"/>
      <c r="L493" s="378"/>
      <c r="M493" s="379"/>
      <c r="N493" s="380"/>
      <c r="O493" s="327" t="str">
        <f>LEFT(J493,10)</f>
        <v/>
      </c>
    </row>
    <row r="494" spans="1:15" ht="57.6" customHeight="1" x14ac:dyDescent="0.25">
      <c r="A494" s="372"/>
      <c r="B494" s="372"/>
      <c r="C494" s="372"/>
      <c r="D494" s="372"/>
      <c r="E494" s="372"/>
      <c r="F494" s="373"/>
      <c r="G494" s="374"/>
      <c r="H494" s="375"/>
      <c r="I494" s="376"/>
      <c r="J494" s="375"/>
      <c r="K494" s="377"/>
      <c r="L494" s="378"/>
      <c r="M494" s="379"/>
      <c r="N494" s="380"/>
      <c r="O494" s="327" t="str">
        <f>LEFT(J494,10)</f>
        <v/>
      </c>
    </row>
    <row r="495" spans="1:15" ht="57.6" customHeight="1" x14ac:dyDescent="0.25">
      <c r="A495" s="372"/>
      <c r="B495" s="372"/>
      <c r="C495" s="372"/>
      <c r="D495" s="372"/>
      <c r="E495" s="372"/>
      <c r="F495" s="373"/>
      <c r="G495" s="374"/>
      <c r="H495" s="375"/>
      <c r="I495" s="376"/>
      <c r="J495" s="375"/>
      <c r="K495" s="377"/>
      <c r="L495" s="378"/>
      <c r="M495" s="379"/>
      <c r="N495" s="380"/>
      <c r="O495" s="327" t="str">
        <f>LEFT(J495,10)</f>
        <v/>
      </c>
    </row>
    <row r="496" spans="1:15" ht="57.6" customHeight="1" x14ac:dyDescent="0.25">
      <c r="A496" s="372"/>
      <c r="B496" s="372"/>
      <c r="C496" s="372"/>
      <c r="D496" s="372"/>
      <c r="E496" s="372"/>
      <c r="F496" s="373"/>
      <c r="G496" s="374"/>
      <c r="H496" s="375"/>
      <c r="I496" s="376"/>
      <c r="J496" s="375"/>
      <c r="K496" s="377"/>
      <c r="L496" s="378"/>
      <c r="M496" s="379"/>
      <c r="N496" s="380"/>
      <c r="O496" s="327" t="str">
        <f>LEFT(J496,10)</f>
        <v/>
      </c>
    </row>
    <row r="497" spans="1:15" ht="57.6" customHeight="1" x14ac:dyDescent="0.25">
      <c r="A497" s="372"/>
      <c r="B497" s="372"/>
      <c r="C497" s="372"/>
      <c r="D497" s="372"/>
      <c r="E497" s="372"/>
      <c r="F497" s="373"/>
      <c r="G497" s="374"/>
      <c r="H497" s="375"/>
      <c r="I497" s="376"/>
      <c r="J497" s="375"/>
      <c r="K497" s="377"/>
      <c r="L497" s="378"/>
      <c r="M497" s="379"/>
      <c r="N497" s="380"/>
      <c r="O497" s="327" t="str">
        <f>LEFT(J497,10)</f>
        <v/>
      </c>
    </row>
    <row r="498" spans="1:15" ht="57.6" customHeight="1" x14ac:dyDescent="0.25">
      <c r="A498" s="372"/>
      <c r="B498" s="372"/>
      <c r="C498" s="372"/>
      <c r="D498" s="372"/>
      <c r="E498" s="372"/>
      <c r="F498" s="373"/>
      <c r="G498" s="374"/>
      <c r="H498" s="375"/>
      <c r="I498" s="376"/>
      <c r="J498" s="375"/>
      <c r="K498" s="377"/>
      <c r="L498" s="378"/>
      <c r="M498" s="379"/>
      <c r="N498" s="380"/>
      <c r="O498" s="327" t="str">
        <f>LEFT(J498,10)</f>
        <v/>
      </c>
    </row>
    <row r="499" spans="1:15" ht="57.6" customHeight="1" x14ac:dyDescent="0.25">
      <c r="A499" s="372"/>
      <c r="B499" s="372"/>
      <c r="C499" s="372"/>
      <c r="D499" s="372"/>
      <c r="E499" s="372"/>
      <c r="F499" s="373"/>
      <c r="G499" s="374"/>
      <c r="H499" s="375"/>
      <c r="I499" s="376"/>
      <c r="J499" s="375"/>
      <c r="K499" s="377"/>
      <c r="L499" s="378"/>
      <c r="M499" s="379"/>
      <c r="N499" s="380"/>
      <c r="O499" s="327" t="str">
        <f>LEFT(J499,10)</f>
        <v/>
      </c>
    </row>
    <row r="500" spans="1:15" ht="57.6" customHeight="1" x14ac:dyDescent="0.25">
      <c r="A500" s="372"/>
      <c r="B500" s="372"/>
      <c r="C500" s="372"/>
      <c r="D500" s="372"/>
      <c r="E500" s="372"/>
      <c r="F500" s="373"/>
      <c r="G500" s="374"/>
      <c r="H500" s="375"/>
      <c r="I500" s="376"/>
      <c r="J500" s="375"/>
      <c r="K500" s="377"/>
      <c r="L500" s="378"/>
      <c r="M500" s="379"/>
      <c r="N500" s="380"/>
      <c r="O500" s="327" t="str">
        <f>LEFT(J500,10)</f>
        <v/>
      </c>
    </row>
    <row r="501" spans="1:15" ht="57.6" customHeight="1" x14ac:dyDescent="0.25">
      <c r="A501" s="372"/>
      <c r="B501" s="372"/>
      <c r="C501" s="372"/>
      <c r="D501" s="372"/>
      <c r="E501" s="372"/>
      <c r="F501" s="373"/>
      <c r="G501" s="374"/>
      <c r="H501" s="375"/>
      <c r="I501" s="376"/>
      <c r="J501" s="375"/>
      <c r="K501" s="377"/>
      <c r="L501" s="378"/>
      <c r="M501" s="379"/>
      <c r="N501" s="380"/>
      <c r="O501" s="327" t="str">
        <f>LEFT(J501,10)</f>
        <v/>
      </c>
    </row>
    <row r="502" spans="1:15" ht="57.6" customHeight="1" x14ac:dyDescent="0.25">
      <c r="A502" s="372"/>
      <c r="B502" s="372"/>
      <c r="C502" s="372"/>
      <c r="D502" s="372"/>
      <c r="E502" s="372"/>
      <c r="F502" s="373"/>
      <c r="G502" s="374"/>
      <c r="H502" s="375"/>
      <c r="I502" s="376"/>
      <c r="J502" s="375"/>
      <c r="K502" s="377"/>
      <c r="L502" s="378"/>
      <c r="M502" s="379"/>
      <c r="N502" s="380"/>
      <c r="O502" s="327" t="str">
        <f>LEFT(J502,10)</f>
        <v/>
      </c>
    </row>
    <row r="503" spans="1:15" ht="57.6" customHeight="1" x14ac:dyDescent="0.25">
      <c r="A503" s="372"/>
      <c r="B503" s="372"/>
      <c r="C503" s="372"/>
      <c r="D503" s="372"/>
      <c r="E503" s="372"/>
      <c r="F503" s="373"/>
      <c r="G503" s="374"/>
      <c r="H503" s="375"/>
      <c r="I503" s="376"/>
      <c r="J503" s="375"/>
      <c r="K503" s="377"/>
      <c r="L503" s="378"/>
      <c r="M503" s="379"/>
      <c r="N503" s="380"/>
      <c r="O503" s="327" t="str">
        <f>LEFT(J503,10)</f>
        <v/>
      </c>
    </row>
    <row r="504" spans="1:15" ht="57.6" customHeight="1" x14ac:dyDescent="0.25">
      <c r="A504" s="372"/>
      <c r="B504" s="372"/>
      <c r="C504" s="372"/>
      <c r="D504" s="372"/>
      <c r="E504" s="372"/>
      <c r="F504" s="373"/>
      <c r="G504" s="374"/>
      <c r="H504" s="375"/>
      <c r="I504" s="376"/>
      <c r="J504" s="375"/>
      <c r="K504" s="377"/>
      <c r="L504" s="378"/>
      <c r="M504" s="379"/>
      <c r="N504" s="380"/>
      <c r="O504" s="327" t="str">
        <f>LEFT(J504,10)</f>
        <v/>
      </c>
    </row>
    <row r="505" spans="1:15" ht="57.6" customHeight="1" x14ac:dyDescent="0.25">
      <c r="A505" s="372"/>
      <c r="B505" s="372"/>
      <c r="C505" s="372"/>
      <c r="D505" s="372"/>
      <c r="E505" s="372"/>
      <c r="F505" s="373"/>
      <c r="G505" s="374"/>
      <c r="H505" s="375"/>
      <c r="I505" s="376"/>
      <c r="J505" s="375"/>
      <c r="K505" s="377"/>
      <c r="L505" s="378"/>
      <c r="M505" s="379"/>
      <c r="N505" s="380"/>
      <c r="O505" s="327" t="str">
        <f>LEFT(J505,10)</f>
        <v/>
      </c>
    </row>
    <row r="506" spans="1:15" ht="57.6" customHeight="1" x14ac:dyDescent="0.25">
      <c r="A506" s="372"/>
      <c r="B506" s="372"/>
      <c r="C506" s="372"/>
      <c r="D506" s="372"/>
      <c r="E506" s="372"/>
      <c r="F506" s="373"/>
      <c r="G506" s="374"/>
      <c r="H506" s="375"/>
      <c r="I506" s="376"/>
      <c r="J506" s="375"/>
      <c r="K506" s="377"/>
      <c r="L506" s="378"/>
      <c r="M506" s="379"/>
      <c r="N506" s="380"/>
      <c r="O506" s="327" t="str">
        <f>LEFT(J506,10)</f>
        <v/>
      </c>
    </row>
    <row r="507" spans="1:15" ht="57.6" customHeight="1" x14ac:dyDescent="0.25">
      <c r="A507" s="372"/>
      <c r="B507" s="372"/>
      <c r="C507" s="372"/>
      <c r="D507" s="372"/>
      <c r="E507" s="372"/>
      <c r="F507" s="373"/>
      <c r="G507" s="374"/>
      <c r="H507" s="375"/>
      <c r="I507" s="376"/>
      <c r="J507" s="375"/>
      <c r="K507" s="377"/>
      <c r="L507" s="378"/>
      <c r="M507" s="379"/>
      <c r="N507" s="380"/>
      <c r="O507" s="327" t="str">
        <f>LEFT(J507,10)</f>
        <v/>
      </c>
    </row>
    <row r="508" spans="1:15" ht="57.6" customHeight="1" x14ac:dyDescent="0.25">
      <c r="A508" s="372"/>
      <c r="B508" s="372"/>
      <c r="C508" s="372"/>
      <c r="D508" s="372"/>
      <c r="E508" s="372"/>
      <c r="F508" s="373"/>
      <c r="G508" s="374"/>
      <c r="H508" s="375"/>
      <c r="I508" s="376"/>
      <c r="J508" s="375"/>
      <c r="K508" s="377"/>
      <c r="L508" s="378"/>
      <c r="M508" s="379"/>
      <c r="N508" s="380"/>
      <c r="O508" s="327" t="str">
        <f>LEFT(J508,10)</f>
        <v/>
      </c>
    </row>
    <row r="509" spans="1:15" ht="57.6" customHeight="1" x14ac:dyDescent="0.25">
      <c r="A509" s="372"/>
      <c r="B509" s="372"/>
      <c r="C509" s="372"/>
      <c r="D509" s="372"/>
      <c r="E509" s="372"/>
      <c r="F509" s="373"/>
      <c r="G509" s="374"/>
      <c r="H509" s="375"/>
      <c r="I509" s="376"/>
      <c r="J509" s="375"/>
      <c r="K509" s="377"/>
      <c r="L509" s="378"/>
      <c r="M509" s="379"/>
      <c r="N509" s="380"/>
      <c r="O509" s="327" t="str">
        <f>LEFT(J509,10)</f>
        <v/>
      </c>
    </row>
    <row r="510" spans="1:15" ht="57.6" customHeight="1" x14ac:dyDescent="0.25">
      <c r="A510" s="372"/>
      <c r="B510" s="372"/>
      <c r="C510" s="372"/>
      <c r="D510" s="372"/>
      <c r="E510" s="372"/>
      <c r="F510" s="373"/>
      <c r="G510" s="374"/>
      <c r="H510" s="375"/>
      <c r="I510" s="376"/>
      <c r="J510" s="375"/>
      <c r="K510" s="377"/>
      <c r="L510" s="378"/>
      <c r="M510" s="379"/>
      <c r="N510" s="380"/>
      <c r="O510" s="327" t="str">
        <f>LEFT(J510,10)</f>
        <v/>
      </c>
    </row>
    <row r="511" spans="1:15" ht="57.6" customHeight="1" x14ac:dyDescent="0.25">
      <c r="A511" s="372"/>
      <c r="B511" s="372"/>
      <c r="C511" s="372"/>
      <c r="D511" s="372"/>
      <c r="E511" s="372"/>
      <c r="F511" s="373"/>
      <c r="G511" s="374"/>
      <c r="H511" s="375"/>
      <c r="I511" s="376"/>
      <c r="J511" s="375"/>
      <c r="K511" s="377"/>
      <c r="L511" s="378"/>
      <c r="M511" s="379"/>
      <c r="N511" s="380"/>
      <c r="O511" s="327" t="str">
        <f>LEFT(J511,10)</f>
        <v/>
      </c>
    </row>
    <row r="512" spans="1:15" ht="57.6" customHeight="1" x14ac:dyDescent="0.25">
      <c r="A512" s="372"/>
      <c r="B512" s="372"/>
      <c r="C512" s="372"/>
      <c r="D512" s="372"/>
      <c r="E512" s="372"/>
      <c r="F512" s="373"/>
      <c r="G512" s="374"/>
      <c r="H512" s="375"/>
      <c r="I512" s="376"/>
      <c r="J512" s="375"/>
      <c r="K512" s="377"/>
      <c r="L512" s="378"/>
      <c r="M512" s="379"/>
      <c r="N512" s="380"/>
      <c r="O512" s="327" t="str">
        <f>LEFT(J512,10)</f>
        <v/>
      </c>
    </row>
    <row r="513" spans="1:15" ht="57.6" customHeight="1" x14ac:dyDescent="0.25">
      <c r="A513" s="372"/>
      <c r="B513" s="372"/>
      <c r="C513" s="372"/>
      <c r="D513" s="372"/>
      <c r="E513" s="372"/>
      <c r="F513" s="373"/>
      <c r="G513" s="374"/>
      <c r="H513" s="375"/>
      <c r="I513" s="376"/>
      <c r="J513" s="375"/>
      <c r="K513" s="377"/>
      <c r="L513" s="378"/>
      <c r="M513" s="379"/>
      <c r="N513" s="380"/>
      <c r="O513" s="327" t="str">
        <f>LEFT(J513,10)</f>
        <v/>
      </c>
    </row>
    <row r="514" spans="1:15" ht="57.6" customHeight="1" x14ac:dyDescent="0.25">
      <c r="A514" s="372"/>
      <c r="B514" s="372"/>
      <c r="C514" s="372"/>
      <c r="D514" s="372"/>
      <c r="E514" s="372"/>
      <c r="F514" s="373"/>
      <c r="G514" s="374"/>
      <c r="H514" s="375"/>
      <c r="I514" s="376"/>
      <c r="J514" s="375"/>
      <c r="K514" s="377"/>
      <c r="L514" s="378"/>
      <c r="M514" s="379"/>
      <c r="N514" s="380"/>
      <c r="O514" s="327" t="str">
        <f>LEFT(J514,10)</f>
        <v/>
      </c>
    </row>
    <row r="515" spans="1:15" ht="57.6" customHeight="1" x14ac:dyDescent="0.25">
      <c r="A515" s="372"/>
      <c r="B515" s="372"/>
      <c r="C515" s="372"/>
      <c r="D515" s="372"/>
      <c r="E515" s="372"/>
      <c r="F515" s="373"/>
      <c r="G515" s="374"/>
      <c r="H515" s="375"/>
      <c r="I515" s="376"/>
      <c r="J515" s="375"/>
      <c r="K515" s="377"/>
      <c r="L515" s="378"/>
      <c r="M515" s="379"/>
      <c r="N515" s="380"/>
      <c r="O515" s="327" t="str">
        <f>LEFT(J515,10)</f>
        <v/>
      </c>
    </row>
    <row r="516" spans="1:15" ht="57.6" customHeight="1" x14ac:dyDescent="0.25">
      <c r="A516" s="372"/>
      <c r="B516" s="372"/>
      <c r="C516" s="372"/>
      <c r="D516" s="372"/>
      <c r="E516" s="372"/>
      <c r="F516" s="373"/>
      <c r="G516" s="374"/>
      <c r="H516" s="375"/>
      <c r="I516" s="376"/>
      <c r="J516" s="375"/>
      <c r="K516" s="377"/>
      <c r="L516" s="378"/>
      <c r="M516" s="379"/>
      <c r="N516" s="380"/>
      <c r="O516" s="327" t="str">
        <f>LEFT(J516,10)</f>
        <v/>
      </c>
    </row>
    <row r="517" spans="1:15" ht="57.6" customHeight="1" x14ac:dyDescent="0.25">
      <c r="A517" s="372"/>
      <c r="B517" s="372"/>
      <c r="C517" s="372"/>
      <c r="D517" s="372"/>
      <c r="E517" s="372"/>
      <c r="F517" s="373"/>
      <c r="G517" s="374"/>
      <c r="H517" s="375"/>
      <c r="I517" s="376"/>
      <c r="J517" s="375"/>
      <c r="K517" s="377"/>
      <c r="L517" s="378"/>
      <c r="M517" s="379"/>
      <c r="N517" s="380"/>
      <c r="O517" s="327" t="str">
        <f>LEFT(J517,10)</f>
        <v/>
      </c>
    </row>
    <row r="518" spans="1:15" ht="57.6" customHeight="1" x14ac:dyDescent="0.25">
      <c r="A518" s="372"/>
      <c r="B518" s="372"/>
      <c r="C518" s="372"/>
      <c r="D518" s="372"/>
      <c r="E518" s="372"/>
      <c r="F518" s="373"/>
      <c r="G518" s="374"/>
      <c r="H518" s="375"/>
      <c r="I518" s="376"/>
      <c r="J518" s="375"/>
      <c r="K518" s="377"/>
      <c r="L518" s="378"/>
      <c r="M518" s="379"/>
      <c r="N518" s="380"/>
      <c r="O518" s="327" t="str">
        <f>LEFT(J518,10)</f>
        <v/>
      </c>
    </row>
    <row r="519" spans="1:15" ht="57.6" customHeight="1" x14ac:dyDescent="0.25">
      <c r="A519" s="372"/>
      <c r="B519" s="372"/>
      <c r="C519" s="372"/>
      <c r="D519" s="372"/>
      <c r="E519" s="372"/>
      <c r="F519" s="373"/>
      <c r="G519" s="374"/>
      <c r="H519" s="375"/>
      <c r="I519" s="376"/>
      <c r="J519" s="375"/>
      <c r="K519" s="377"/>
      <c r="L519" s="378"/>
      <c r="M519" s="379"/>
      <c r="N519" s="380"/>
      <c r="O519" s="327" t="str">
        <f>LEFT(J519,10)</f>
        <v/>
      </c>
    </row>
    <row r="520" spans="1:15" ht="57.6" customHeight="1" x14ac:dyDescent="0.25">
      <c r="A520" s="372"/>
      <c r="B520" s="372"/>
      <c r="C520" s="372"/>
      <c r="D520" s="372"/>
      <c r="E520" s="372"/>
      <c r="F520" s="373"/>
      <c r="G520" s="374"/>
      <c r="H520" s="375"/>
      <c r="I520" s="376"/>
      <c r="J520" s="375"/>
      <c r="K520" s="377"/>
      <c r="L520" s="378"/>
      <c r="M520" s="379"/>
      <c r="N520" s="380"/>
      <c r="O520" s="327" t="str">
        <f>LEFT(J520,10)</f>
        <v/>
      </c>
    </row>
    <row r="521" spans="1:15" ht="57.6" customHeight="1" x14ac:dyDescent="0.25">
      <c r="A521" s="372"/>
      <c r="B521" s="372"/>
      <c r="C521" s="372"/>
      <c r="D521" s="372"/>
      <c r="E521" s="372"/>
      <c r="F521" s="373"/>
      <c r="G521" s="374"/>
      <c r="H521" s="375"/>
      <c r="I521" s="376"/>
      <c r="J521" s="375"/>
      <c r="K521" s="377"/>
      <c r="L521" s="378"/>
      <c r="M521" s="379"/>
      <c r="N521" s="380"/>
      <c r="O521" s="327" t="str">
        <f>LEFT(J521,10)</f>
        <v/>
      </c>
    </row>
    <row r="522" spans="1:15" ht="57.6" customHeight="1" x14ac:dyDescent="0.25">
      <c r="A522" s="372"/>
      <c r="B522" s="372"/>
      <c r="C522" s="372"/>
      <c r="D522" s="372"/>
      <c r="E522" s="372"/>
      <c r="F522" s="373"/>
      <c r="G522" s="374"/>
      <c r="H522" s="375"/>
      <c r="I522" s="376"/>
      <c r="J522" s="375"/>
      <c r="K522" s="377"/>
      <c r="L522" s="378"/>
      <c r="M522" s="379"/>
      <c r="N522" s="380"/>
      <c r="O522" s="327" t="str">
        <f>LEFT(J522,10)</f>
        <v/>
      </c>
    </row>
    <row r="523" spans="1:15" ht="57.6" customHeight="1" x14ac:dyDescent="0.25">
      <c r="A523" s="372"/>
      <c r="B523" s="372"/>
      <c r="C523" s="372"/>
      <c r="D523" s="372"/>
      <c r="E523" s="372"/>
      <c r="F523" s="373"/>
      <c r="G523" s="374"/>
      <c r="H523" s="375"/>
      <c r="I523" s="376"/>
      <c r="J523" s="375"/>
      <c r="K523" s="377"/>
      <c r="L523" s="378"/>
      <c r="M523" s="379"/>
      <c r="N523" s="380"/>
      <c r="O523" s="327" t="str">
        <f>LEFT(J523,10)</f>
        <v/>
      </c>
    </row>
    <row r="524" spans="1:15" ht="57.6" customHeight="1" x14ac:dyDescent="0.25">
      <c r="A524" s="372"/>
      <c r="B524" s="372"/>
      <c r="C524" s="372"/>
      <c r="D524" s="372"/>
      <c r="E524" s="372"/>
      <c r="F524" s="373"/>
      <c r="G524" s="374"/>
      <c r="H524" s="375"/>
      <c r="I524" s="376"/>
      <c r="J524" s="375"/>
      <c r="K524" s="377"/>
      <c r="L524" s="378"/>
      <c r="M524" s="379"/>
      <c r="N524" s="380"/>
      <c r="O524" s="327" t="str">
        <f>LEFT(J524,10)</f>
        <v/>
      </c>
    </row>
    <row r="525" spans="1:15" ht="57.6" customHeight="1" x14ac:dyDescent="0.25">
      <c r="A525" s="372"/>
      <c r="B525" s="372"/>
      <c r="C525" s="372"/>
      <c r="D525" s="372"/>
      <c r="E525" s="372"/>
      <c r="F525" s="373"/>
      <c r="G525" s="374"/>
      <c r="H525" s="375"/>
      <c r="I525" s="376"/>
      <c r="J525" s="375"/>
      <c r="K525" s="377"/>
      <c r="L525" s="378"/>
      <c r="M525" s="379"/>
      <c r="N525" s="380"/>
      <c r="O525" s="327" t="str">
        <f>LEFT(J525,10)</f>
        <v/>
      </c>
    </row>
    <row r="526" spans="1:15" ht="57.6" customHeight="1" x14ac:dyDescent="0.25">
      <c r="A526" s="372"/>
      <c r="B526" s="372"/>
      <c r="C526" s="372"/>
      <c r="D526" s="372"/>
      <c r="E526" s="372"/>
      <c r="F526" s="373"/>
      <c r="G526" s="374"/>
      <c r="H526" s="375"/>
      <c r="I526" s="376"/>
      <c r="J526" s="375"/>
      <c r="K526" s="377"/>
      <c r="L526" s="378"/>
      <c r="M526" s="379"/>
      <c r="N526" s="380"/>
      <c r="O526" s="327" t="str">
        <f>LEFT(J526,10)</f>
        <v/>
      </c>
    </row>
    <row r="527" spans="1:15" ht="57.6" customHeight="1" x14ac:dyDescent="0.25">
      <c r="A527" s="372"/>
      <c r="B527" s="372"/>
      <c r="C527" s="372"/>
      <c r="D527" s="372"/>
      <c r="E527" s="372"/>
      <c r="F527" s="373"/>
      <c r="G527" s="374"/>
      <c r="H527" s="375"/>
      <c r="I527" s="376"/>
      <c r="J527" s="375"/>
      <c r="K527" s="377"/>
      <c r="L527" s="378"/>
      <c r="M527" s="379"/>
      <c r="N527" s="380"/>
      <c r="O527" s="327" t="str">
        <f>LEFT(J527,10)</f>
        <v/>
      </c>
    </row>
    <row r="528" spans="1:15" ht="57.6" customHeight="1" x14ac:dyDescent="0.25">
      <c r="A528" s="372"/>
      <c r="B528" s="372"/>
      <c r="C528" s="372"/>
      <c r="D528" s="372"/>
      <c r="E528" s="372"/>
      <c r="F528" s="373"/>
      <c r="G528" s="374"/>
      <c r="H528" s="375"/>
      <c r="I528" s="376"/>
      <c r="J528" s="375"/>
      <c r="K528" s="377"/>
      <c r="L528" s="378"/>
      <c r="M528" s="379"/>
      <c r="N528" s="380"/>
      <c r="O528" s="327" t="str">
        <f>LEFT(J528,10)</f>
        <v/>
      </c>
    </row>
    <row r="529" spans="1:15" ht="57.6" customHeight="1" x14ac:dyDescent="0.25">
      <c r="A529" s="372"/>
      <c r="B529" s="372"/>
      <c r="C529" s="372"/>
      <c r="D529" s="372"/>
      <c r="E529" s="372"/>
      <c r="F529" s="373"/>
      <c r="G529" s="374"/>
      <c r="H529" s="375"/>
      <c r="I529" s="376"/>
      <c r="J529" s="375"/>
      <c r="K529" s="377"/>
      <c r="L529" s="378"/>
      <c r="M529" s="379"/>
      <c r="N529" s="380"/>
      <c r="O529" s="327" t="str">
        <f>LEFT(J529,10)</f>
        <v/>
      </c>
    </row>
    <row r="530" spans="1:15" ht="57.6" customHeight="1" x14ac:dyDescent="0.25">
      <c r="A530" s="372"/>
      <c r="B530" s="372"/>
      <c r="C530" s="372"/>
      <c r="D530" s="372"/>
      <c r="E530" s="372"/>
      <c r="F530" s="373"/>
      <c r="G530" s="374"/>
      <c r="H530" s="375"/>
      <c r="I530" s="376"/>
      <c r="J530" s="375"/>
      <c r="K530" s="377"/>
      <c r="L530" s="378"/>
      <c r="M530" s="379"/>
      <c r="N530" s="380"/>
      <c r="O530" s="327" t="str">
        <f>LEFT(J530,10)</f>
        <v/>
      </c>
    </row>
    <row r="531" spans="1:15" ht="57.6" customHeight="1" x14ac:dyDescent="0.25">
      <c r="A531" s="372"/>
      <c r="B531" s="372"/>
      <c r="C531" s="372"/>
      <c r="D531" s="372"/>
      <c r="E531" s="372"/>
      <c r="F531" s="373"/>
      <c r="G531" s="374"/>
      <c r="H531" s="375"/>
      <c r="I531" s="376"/>
      <c r="J531" s="375"/>
      <c r="K531" s="377"/>
      <c r="L531" s="378"/>
      <c r="M531" s="379"/>
      <c r="N531" s="380"/>
      <c r="O531" s="327" t="str">
        <f>LEFT(J531,10)</f>
        <v/>
      </c>
    </row>
    <row r="532" spans="1:15" ht="57.6" customHeight="1" x14ac:dyDescent="0.25">
      <c r="A532" s="372"/>
      <c r="B532" s="372"/>
      <c r="C532" s="372"/>
      <c r="D532" s="372"/>
      <c r="E532" s="372"/>
      <c r="F532" s="373"/>
      <c r="G532" s="374"/>
      <c r="H532" s="375"/>
      <c r="I532" s="376"/>
      <c r="J532" s="375"/>
      <c r="K532" s="377"/>
      <c r="L532" s="378"/>
      <c r="M532" s="379"/>
      <c r="N532" s="380"/>
      <c r="O532" s="327" t="str">
        <f>LEFT(J532,10)</f>
        <v/>
      </c>
    </row>
    <row r="533" spans="1:15" ht="57.6" customHeight="1" x14ac:dyDescent="0.25">
      <c r="A533" s="372"/>
      <c r="B533" s="372"/>
      <c r="C533" s="372"/>
      <c r="D533" s="372"/>
      <c r="E533" s="372"/>
      <c r="F533" s="373"/>
      <c r="G533" s="374"/>
      <c r="H533" s="375"/>
      <c r="I533" s="376"/>
      <c r="J533" s="375"/>
      <c r="K533" s="377"/>
      <c r="L533" s="378"/>
      <c r="M533" s="379"/>
      <c r="N533" s="380"/>
      <c r="O533" s="327" t="str">
        <f>LEFT(J533,10)</f>
        <v/>
      </c>
    </row>
    <row r="534" spans="1:15" ht="57.6" customHeight="1" x14ac:dyDescent="0.25">
      <c r="A534" s="372"/>
      <c r="B534" s="372"/>
      <c r="C534" s="372"/>
      <c r="D534" s="372"/>
      <c r="E534" s="372"/>
      <c r="F534" s="373"/>
      <c r="G534" s="374"/>
      <c r="H534" s="375"/>
      <c r="I534" s="376"/>
      <c r="J534" s="375"/>
      <c r="K534" s="377"/>
      <c r="L534" s="378"/>
      <c r="M534" s="379"/>
      <c r="N534" s="380"/>
      <c r="O534" s="327" t="str">
        <f>LEFT(J534,10)</f>
        <v/>
      </c>
    </row>
    <row r="535" spans="1:15" ht="57.6" customHeight="1" x14ac:dyDescent="0.25">
      <c r="A535" s="372"/>
      <c r="B535" s="372"/>
      <c r="C535" s="372"/>
      <c r="D535" s="372"/>
      <c r="E535" s="372"/>
      <c r="F535" s="373"/>
      <c r="G535" s="374"/>
      <c r="H535" s="375"/>
      <c r="I535" s="376"/>
      <c r="J535" s="375"/>
      <c r="K535" s="377"/>
      <c r="L535" s="378"/>
      <c r="M535" s="379"/>
      <c r="N535" s="380"/>
      <c r="O535" s="327" t="str">
        <f>LEFT(J535,10)</f>
        <v/>
      </c>
    </row>
    <row r="536" spans="1:15" ht="57.6" customHeight="1" x14ac:dyDescent="0.25">
      <c r="A536" s="372"/>
      <c r="B536" s="372"/>
      <c r="C536" s="372"/>
      <c r="D536" s="372"/>
      <c r="E536" s="372"/>
      <c r="F536" s="373"/>
      <c r="G536" s="374"/>
      <c r="H536" s="375"/>
      <c r="I536" s="376"/>
      <c r="J536" s="375"/>
      <c r="K536" s="377"/>
      <c r="L536" s="378"/>
      <c r="M536" s="379"/>
      <c r="N536" s="380"/>
      <c r="O536" s="327" t="str">
        <f>LEFT(J536,10)</f>
        <v/>
      </c>
    </row>
    <row r="537" spans="1:15" ht="57.6" customHeight="1" x14ac:dyDescent="0.25">
      <c r="A537" s="372"/>
      <c r="B537" s="372"/>
      <c r="C537" s="372"/>
      <c r="D537" s="372"/>
      <c r="E537" s="372"/>
      <c r="F537" s="373"/>
      <c r="G537" s="374"/>
      <c r="H537" s="375"/>
      <c r="I537" s="376"/>
      <c r="J537" s="375"/>
      <c r="K537" s="377"/>
      <c r="L537" s="378"/>
      <c r="M537" s="379"/>
      <c r="N537" s="380"/>
      <c r="O537" s="327" t="str">
        <f>LEFT(J537,10)</f>
        <v/>
      </c>
    </row>
    <row r="538" spans="1:15" ht="57.6" customHeight="1" x14ac:dyDescent="0.25">
      <c r="A538" s="372"/>
      <c r="B538" s="372"/>
      <c r="C538" s="372"/>
      <c r="D538" s="372"/>
      <c r="E538" s="372"/>
      <c r="F538" s="373"/>
      <c r="G538" s="374"/>
      <c r="H538" s="375"/>
      <c r="I538" s="376"/>
      <c r="J538" s="375"/>
      <c r="K538" s="377"/>
      <c r="L538" s="378"/>
      <c r="M538" s="379"/>
      <c r="N538" s="380"/>
      <c r="O538" s="327" t="str">
        <f>LEFT(J538,10)</f>
        <v/>
      </c>
    </row>
    <row r="539" spans="1:15" ht="57.6" customHeight="1" x14ac:dyDescent="0.25">
      <c r="A539" s="372"/>
      <c r="B539" s="372"/>
      <c r="C539" s="372"/>
      <c r="D539" s="372"/>
      <c r="E539" s="372"/>
      <c r="F539" s="373"/>
      <c r="G539" s="374"/>
      <c r="H539" s="375"/>
      <c r="I539" s="376"/>
      <c r="J539" s="375"/>
      <c r="K539" s="377"/>
      <c r="L539" s="378"/>
      <c r="M539" s="379"/>
      <c r="N539" s="380"/>
      <c r="O539" s="327" t="str">
        <f>LEFT(J539,10)</f>
        <v/>
      </c>
    </row>
    <row r="540" spans="1:15" ht="57.6" customHeight="1" x14ac:dyDescent="0.25">
      <c r="A540" s="372"/>
      <c r="B540" s="372"/>
      <c r="C540" s="372"/>
      <c r="D540" s="372"/>
      <c r="E540" s="372"/>
      <c r="F540" s="373"/>
      <c r="G540" s="374"/>
      <c r="H540" s="375"/>
      <c r="I540" s="376"/>
      <c r="J540" s="375"/>
      <c r="K540" s="377"/>
      <c r="L540" s="378"/>
      <c r="M540" s="379"/>
      <c r="N540" s="380"/>
      <c r="O540" s="327" t="str">
        <f>LEFT(J540,10)</f>
        <v/>
      </c>
    </row>
    <row r="541" spans="1:15" ht="57.6" customHeight="1" x14ac:dyDescent="0.25">
      <c r="A541" s="372"/>
      <c r="B541" s="372"/>
      <c r="C541" s="372"/>
      <c r="D541" s="372"/>
      <c r="E541" s="372"/>
      <c r="F541" s="373"/>
      <c r="G541" s="374"/>
      <c r="H541" s="375"/>
      <c r="I541" s="376"/>
      <c r="J541" s="375"/>
      <c r="K541" s="377"/>
      <c r="L541" s="378"/>
      <c r="M541" s="379"/>
      <c r="N541" s="380"/>
      <c r="O541" s="327" t="str">
        <f>LEFT(J541,10)</f>
        <v/>
      </c>
    </row>
    <row r="542" spans="1:15" ht="57.6" customHeight="1" x14ac:dyDescent="0.25">
      <c r="A542" s="372"/>
      <c r="B542" s="372"/>
      <c r="C542" s="372"/>
      <c r="D542" s="372"/>
      <c r="E542" s="372"/>
      <c r="F542" s="373"/>
      <c r="G542" s="374"/>
      <c r="H542" s="375"/>
      <c r="I542" s="376"/>
      <c r="J542" s="375"/>
      <c r="K542" s="377"/>
      <c r="L542" s="378"/>
      <c r="M542" s="379"/>
      <c r="N542" s="380"/>
      <c r="O542" s="327" t="str">
        <f>LEFT(J542,10)</f>
        <v/>
      </c>
    </row>
    <row r="543" spans="1:15" ht="57.6" customHeight="1" x14ac:dyDescent="0.25">
      <c r="A543" s="372"/>
      <c r="B543" s="372"/>
      <c r="C543" s="372"/>
      <c r="D543" s="372"/>
      <c r="E543" s="372"/>
      <c r="F543" s="373"/>
      <c r="G543" s="374"/>
      <c r="H543" s="375"/>
      <c r="I543" s="376"/>
      <c r="J543" s="375"/>
      <c r="K543" s="377"/>
      <c r="L543" s="378"/>
      <c r="M543" s="379"/>
      <c r="N543" s="380"/>
      <c r="O543" s="327" t="str">
        <f>LEFT(J543,10)</f>
        <v/>
      </c>
    </row>
    <row r="544" spans="1:15" ht="57.6" customHeight="1" x14ac:dyDescent="0.25">
      <c r="A544" s="372"/>
      <c r="B544" s="372"/>
      <c r="C544" s="372"/>
      <c r="D544" s="372"/>
      <c r="E544" s="372"/>
      <c r="F544" s="373"/>
      <c r="G544" s="374"/>
      <c r="H544" s="375"/>
      <c r="I544" s="376"/>
      <c r="J544" s="375"/>
      <c r="K544" s="377"/>
      <c r="L544" s="378"/>
      <c r="M544" s="379"/>
      <c r="N544" s="380"/>
      <c r="O544" s="327" t="str">
        <f>LEFT(J544,10)</f>
        <v/>
      </c>
    </row>
    <row r="545" spans="1:15" ht="57.6" customHeight="1" x14ac:dyDescent="0.25">
      <c r="A545" s="372"/>
      <c r="B545" s="372"/>
      <c r="C545" s="372"/>
      <c r="D545" s="372"/>
      <c r="E545" s="372"/>
      <c r="F545" s="373"/>
      <c r="G545" s="374"/>
      <c r="H545" s="375"/>
      <c r="I545" s="376"/>
      <c r="J545" s="375"/>
      <c r="K545" s="377"/>
      <c r="L545" s="378"/>
      <c r="M545" s="379"/>
      <c r="N545" s="380"/>
      <c r="O545" s="327" t="str">
        <f>LEFT(J545,10)</f>
        <v/>
      </c>
    </row>
    <row r="546" spans="1:15" ht="57.6" customHeight="1" x14ac:dyDescent="0.25">
      <c r="A546" s="372"/>
      <c r="B546" s="372"/>
      <c r="C546" s="372"/>
      <c r="D546" s="372"/>
      <c r="E546" s="372"/>
      <c r="F546" s="373"/>
      <c r="G546" s="374"/>
      <c r="H546" s="375"/>
      <c r="I546" s="376"/>
      <c r="J546" s="375"/>
      <c r="K546" s="377"/>
      <c r="L546" s="378"/>
      <c r="M546" s="379"/>
      <c r="N546" s="380"/>
      <c r="O546" s="327" t="str">
        <f>LEFT(J546,10)</f>
        <v/>
      </c>
    </row>
    <row r="547" spans="1:15" ht="57.6" customHeight="1" x14ac:dyDescent="0.25">
      <c r="A547" s="372"/>
      <c r="B547" s="372"/>
      <c r="C547" s="372"/>
      <c r="D547" s="372"/>
      <c r="E547" s="372"/>
      <c r="F547" s="373"/>
      <c r="G547" s="374"/>
      <c r="H547" s="375"/>
      <c r="I547" s="376"/>
      <c r="J547" s="375"/>
      <c r="K547" s="377"/>
      <c r="L547" s="378"/>
      <c r="M547" s="379"/>
      <c r="N547" s="380"/>
      <c r="O547" s="327" t="str">
        <f>LEFT(J547,10)</f>
        <v/>
      </c>
    </row>
    <row r="548" spans="1:15" ht="57.6" customHeight="1" x14ac:dyDescent="0.25">
      <c r="A548" s="372"/>
      <c r="B548" s="372"/>
      <c r="C548" s="372"/>
      <c r="D548" s="372"/>
      <c r="E548" s="372"/>
      <c r="F548" s="373"/>
      <c r="G548" s="374"/>
      <c r="H548" s="375"/>
      <c r="I548" s="376"/>
      <c r="J548" s="375"/>
      <c r="K548" s="377"/>
      <c r="L548" s="378"/>
      <c r="M548" s="379"/>
      <c r="N548" s="380"/>
      <c r="O548" s="327" t="str">
        <f>LEFT(J548,10)</f>
        <v/>
      </c>
    </row>
    <row r="549" spans="1:15" ht="57.6" customHeight="1" x14ac:dyDescent="0.25">
      <c r="A549" s="372"/>
      <c r="B549" s="372"/>
      <c r="C549" s="372"/>
      <c r="D549" s="372"/>
      <c r="E549" s="372"/>
      <c r="F549" s="373"/>
      <c r="G549" s="374"/>
      <c r="H549" s="375"/>
      <c r="I549" s="376"/>
      <c r="J549" s="375"/>
      <c r="K549" s="377"/>
      <c r="L549" s="378"/>
      <c r="M549" s="379"/>
      <c r="N549" s="380"/>
      <c r="O549" s="327" t="str">
        <f>LEFT(J549,10)</f>
        <v/>
      </c>
    </row>
    <row r="550" spans="1:15" ht="57.6" customHeight="1" x14ac:dyDescent="0.25">
      <c r="A550" s="372"/>
      <c r="B550" s="372"/>
      <c r="C550" s="372"/>
      <c r="D550" s="372"/>
      <c r="E550" s="372"/>
      <c r="F550" s="373"/>
      <c r="G550" s="374"/>
      <c r="H550" s="375"/>
      <c r="I550" s="376"/>
      <c r="J550" s="375"/>
      <c r="K550" s="377"/>
      <c r="L550" s="378"/>
      <c r="M550" s="379"/>
      <c r="N550" s="380"/>
      <c r="O550" s="327" t="str">
        <f>LEFT(J550,10)</f>
        <v/>
      </c>
    </row>
    <row r="551" spans="1:15" ht="57.6" customHeight="1" x14ac:dyDescent="0.25">
      <c r="A551" s="372"/>
      <c r="B551" s="372"/>
      <c r="C551" s="372"/>
      <c r="D551" s="372"/>
      <c r="E551" s="372"/>
      <c r="F551" s="373"/>
      <c r="G551" s="374"/>
      <c r="H551" s="375"/>
      <c r="I551" s="376"/>
      <c r="J551" s="375"/>
      <c r="K551" s="377"/>
      <c r="L551" s="378"/>
      <c r="M551" s="379"/>
      <c r="N551" s="380"/>
      <c r="O551" s="327" t="str">
        <f>LEFT(J551,10)</f>
        <v/>
      </c>
    </row>
    <row r="552" spans="1:15" ht="57.6" customHeight="1" x14ac:dyDescent="0.25">
      <c r="A552" s="372"/>
      <c r="B552" s="372"/>
      <c r="C552" s="372"/>
      <c r="D552" s="372"/>
      <c r="E552" s="372"/>
      <c r="F552" s="373"/>
      <c r="G552" s="374"/>
      <c r="H552" s="375"/>
      <c r="I552" s="376"/>
      <c r="J552" s="375"/>
      <c r="K552" s="377"/>
      <c r="L552" s="378"/>
      <c r="M552" s="379"/>
      <c r="N552" s="380"/>
      <c r="O552" s="327" t="str">
        <f>LEFT(J552,10)</f>
        <v/>
      </c>
    </row>
    <row r="553" spans="1:15" ht="57.6" customHeight="1" x14ac:dyDescent="0.25">
      <c r="A553" s="372"/>
      <c r="B553" s="372"/>
      <c r="C553" s="372"/>
      <c r="D553" s="372"/>
      <c r="E553" s="372"/>
      <c r="F553" s="373"/>
      <c r="G553" s="374"/>
      <c r="H553" s="375"/>
      <c r="I553" s="376"/>
      <c r="J553" s="375"/>
      <c r="K553" s="377"/>
      <c r="L553" s="378"/>
      <c r="M553" s="379"/>
      <c r="N553" s="380"/>
      <c r="O553" s="327" t="str">
        <f>LEFT(J553,10)</f>
        <v/>
      </c>
    </row>
    <row r="554" spans="1:15" ht="57.6" customHeight="1" x14ac:dyDescent="0.25">
      <c r="A554" s="372"/>
      <c r="B554" s="372"/>
      <c r="C554" s="372"/>
      <c r="D554" s="372"/>
      <c r="E554" s="372"/>
      <c r="F554" s="373"/>
      <c r="G554" s="374"/>
      <c r="H554" s="375"/>
      <c r="I554" s="376"/>
      <c r="J554" s="375"/>
      <c r="K554" s="377"/>
      <c r="L554" s="378"/>
      <c r="M554" s="379"/>
      <c r="N554" s="380"/>
      <c r="O554" s="327" t="str">
        <f>LEFT(J554,10)</f>
        <v/>
      </c>
    </row>
    <row r="555" spans="1:15" ht="57.6" customHeight="1" x14ac:dyDescent="0.25">
      <c r="A555" s="372"/>
      <c r="B555" s="372"/>
      <c r="C555" s="372"/>
      <c r="D555" s="372"/>
      <c r="E555" s="372"/>
      <c r="F555" s="373"/>
      <c r="G555" s="374"/>
      <c r="H555" s="375"/>
      <c r="I555" s="376"/>
      <c r="J555" s="375"/>
      <c r="K555" s="377"/>
      <c r="L555" s="378"/>
      <c r="M555" s="379"/>
      <c r="N555" s="380"/>
      <c r="O555" s="327" t="str">
        <f>LEFT(J555,10)</f>
        <v/>
      </c>
    </row>
    <row r="556" spans="1:15" ht="57.6" customHeight="1" x14ac:dyDescent="0.25">
      <c r="A556" s="372"/>
      <c r="B556" s="372"/>
      <c r="C556" s="372"/>
      <c r="D556" s="372"/>
      <c r="E556" s="372"/>
      <c r="F556" s="373"/>
      <c r="G556" s="374"/>
      <c r="H556" s="375"/>
      <c r="I556" s="376"/>
      <c r="J556" s="375"/>
      <c r="K556" s="377"/>
      <c r="L556" s="378"/>
      <c r="M556" s="379"/>
      <c r="N556" s="380"/>
      <c r="O556" s="327" t="str">
        <f>LEFT(J556,10)</f>
        <v/>
      </c>
    </row>
    <row r="557" spans="1:15" ht="57.6" customHeight="1" x14ac:dyDescent="0.25">
      <c r="A557" s="372"/>
      <c r="B557" s="372"/>
      <c r="C557" s="372"/>
      <c r="D557" s="372"/>
      <c r="E557" s="372"/>
      <c r="F557" s="373"/>
      <c r="G557" s="374"/>
      <c r="H557" s="375"/>
      <c r="I557" s="376"/>
      <c r="J557" s="375"/>
      <c r="K557" s="377"/>
      <c r="L557" s="378"/>
      <c r="M557" s="379"/>
      <c r="N557" s="380"/>
      <c r="O557" s="327" t="str">
        <f>LEFT(J557,10)</f>
        <v/>
      </c>
    </row>
    <row r="558" spans="1:15" ht="57.6" customHeight="1" x14ac:dyDescent="0.25">
      <c r="A558" s="372"/>
      <c r="B558" s="372"/>
      <c r="C558" s="372"/>
      <c r="D558" s="372"/>
      <c r="E558" s="372"/>
      <c r="F558" s="373"/>
      <c r="G558" s="374"/>
      <c r="H558" s="375"/>
      <c r="I558" s="376"/>
      <c r="J558" s="375"/>
      <c r="K558" s="377"/>
      <c r="L558" s="378"/>
      <c r="M558" s="379"/>
      <c r="N558" s="380"/>
      <c r="O558" s="327" t="str">
        <f>LEFT(J558,10)</f>
        <v/>
      </c>
    </row>
    <row r="559" spans="1:15" ht="57.6" customHeight="1" x14ac:dyDescent="0.25">
      <c r="A559" s="372"/>
      <c r="B559" s="372"/>
      <c r="C559" s="372"/>
      <c r="D559" s="372"/>
      <c r="E559" s="372"/>
      <c r="F559" s="373"/>
      <c r="G559" s="374"/>
      <c r="H559" s="375"/>
      <c r="I559" s="376"/>
      <c r="J559" s="375"/>
      <c r="K559" s="377"/>
      <c r="L559" s="378"/>
      <c r="M559" s="379"/>
      <c r="N559" s="380"/>
      <c r="O559" s="327" t="str">
        <f>LEFT(J559,10)</f>
        <v/>
      </c>
    </row>
    <row r="560" spans="1:15" ht="57.6" customHeight="1" x14ac:dyDescent="0.25">
      <c r="A560" s="372"/>
      <c r="B560" s="372"/>
      <c r="C560" s="372"/>
      <c r="D560" s="372"/>
      <c r="E560" s="372"/>
      <c r="F560" s="373"/>
      <c r="G560" s="374"/>
      <c r="H560" s="375"/>
      <c r="I560" s="376"/>
      <c r="J560" s="375"/>
      <c r="K560" s="377"/>
      <c r="L560" s="378"/>
      <c r="M560" s="379"/>
      <c r="N560" s="380"/>
      <c r="O560" s="327" t="str">
        <f>LEFT(J560,10)</f>
        <v/>
      </c>
    </row>
    <row r="561" spans="1:15" ht="57.6" customHeight="1" x14ac:dyDescent="0.25">
      <c r="A561" s="372"/>
      <c r="B561" s="372"/>
      <c r="C561" s="372"/>
      <c r="D561" s="372"/>
      <c r="E561" s="372"/>
      <c r="F561" s="373"/>
      <c r="G561" s="374"/>
      <c r="H561" s="375"/>
      <c r="I561" s="376"/>
      <c r="J561" s="375"/>
      <c r="K561" s="377"/>
      <c r="L561" s="378"/>
      <c r="M561" s="379"/>
      <c r="N561" s="380"/>
      <c r="O561" s="327" t="str">
        <f>LEFT(J561,10)</f>
        <v/>
      </c>
    </row>
    <row r="562" spans="1:15" ht="57.6" customHeight="1" x14ac:dyDescent="0.25">
      <c r="A562" s="372"/>
      <c r="B562" s="372"/>
      <c r="C562" s="372"/>
      <c r="D562" s="372"/>
      <c r="E562" s="372"/>
      <c r="F562" s="373"/>
      <c r="G562" s="374"/>
      <c r="H562" s="375"/>
      <c r="I562" s="376"/>
      <c r="J562" s="375"/>
      <c r="K562" s="377"/>
      <c r="L562" s="378"/>
      <c r="M562" s="379"/>
      <c r="N562" s="380"/>
      <c r="O562" s="327" t="str">
        <f>LEFT(J562,10)</f>
        <v/>
      </c>
    </row>
    <row r="563" spans="1:15" ht="57.6" customHeight="1" x14ac:dyDescent="0.25">
      <c r="A563" s="372"/>
      <c r="B563" s="372"/>
      <c r="C563" s="372"/>
      <c r="D563" s="372"/>
      <c r="E563" s="372"/>
      <c r="F563" s="373"/>
      <c r="G563" s="374"/>
      <c r="H563" s="375"/>
      <c r="I563" s="376"/>
      <c r="J563" s="375"/>
      <c r="K563" s="377"/>
      <c r="L563" s="378"/>
      <c r="M563" s="379"/>
      <c r="N563" s="380"/>
      <c r="O563" s="327" t="str">
        <f>LEFT(J563,10)</f>
        <v/>
      </c>
    </row>
    <row r="564" spans="1:15" ht="57.6" customHeight="1" x14ac:dyDescent="0.25">
      <c r="A564" s="372"/>
      <c r="B564" s="372"/>
      <c r="C564" s="372"/>
      <c r="D564" s="372"/>
      <c r="E564" s="372"/>
      <c r="F564" s="373"/>
      <c r="G564" s="374"/>
      <c r="H564" s="375"/>
      <c r="I564" s="376"/>
      <c r="J564" s="375"/>
      <c r="K564" s="377"/>
      <c r="L564" s="378"/>
      <c r="M564" s="379"/>
      <c r="N564" s="380"/>
      <c r="O564" s="327" t="str">
        <f>LEFT(J564,10)</f>
        <v/>
      </c>
    </row>
    <row r="565" spans="1:15" ht="57.6" customHeight="1" x14ac:dyDescent="0.25">
      <c r="A565" s="372"/>
      <c r="B565" s="372"/>
      <c r="C565" s="372"/>
      <c r="D565" s="372"/>
      <c r="E565" s="372"/>
      <c r="F565" s="373"/>
      <c r="G565" s="374"/>
      <c r="H565" s="375"/>
      <c r="I565" s="376"/>
      <c r="J565" s="375"/>
      <c r="K565" s="377"/>
      <c r="L565" s="378"/>
      <c r="M565" s="379"/>
      <c r="N565" s="380"/>
      <c r="O565" s="327" t="str">
        <f>LEFT(J565,10)</f>
        <v/>
      </c>
    </row>
    <row r="566" spans="1:15" ht="57.6" customHeight="1" x14ac:dyDescent="0.25">
      <c r="A566" s="372"/>
      <c r="B566" s="372"/>
      <c r="C566" s="372"/>
      <c r="D566" s="372"/>
      <c r="E566" s="372"/>
      <c r="F566" s="373"/>
      <c r="G566" s="374"/>
      <c r="H566" s="375"/>
      <c r="I566" s="376"/>
      <c r="J566" s="375"/>
      <c r="K566" s="377"/>
      <c r="L566" s="378"/>
      <c r="M566" s="379"/>
      <c r="N566" s="380"/>
      <c r="O566" s="327" t="str">
        <f>LEFT(J566,10)</f>
        <v/>
      </c>
    </row>
    <row r="567" spans="1:15" ht="57.6" customHeight="1" x14ac:dyDescent="0.25">
      <c r="A567" s="372"/>
      <c r="B567" s="372"/>
      <c r="C567" s="372"/>
      <c r="D567" s="372"/>
      <c r="E567" s="372"/>
      <c r="F567" s="373"/>
      <c r="G567" s="374"/>
      <c r="H567" s="375"/>
      <c r="I567" s="376"/>
      <c r="J567" s="375"/>
      <c r="K567" s="377"/>
      <c r="L567" s="378"/>
      <c r="M567" s="379"/>
      <c r="N567" s="380"/>
      <c r="O567" s="327" t="str">
        <f>LEFT(J567,10)</f>
        <v/>
      </c>
    </row>
    <row r="568" spans="1:15" ht="57.6" customHeight="1" x14ac:dyDescent="0.25">
      <c r="A568" s="372"/>
      <c r="B568" s="372"/>
      <c r="C568" s="372"/>
      <c r="D568" s="372"/>
      <c r="E568" s="372"/>
      <c r="F568" s="373"/>
      <c r="G568" s="374"/>
      <c r="H568" s="375"/>
      <c r="I568" s="376"/>
      <c r="J568" s="375"/>
      <c r="K568" s="377"/>
      <c r="L568" s="378"/>
      <c r="M568" s="379"/>
      <c r="N568" s="380"/>
      <c r="O568" s="327" t="str">
        <f>LEFT(J568,10)</f>
        <v/>
      </c>
    </row>
    <row r="569" spans="1:15" ht="57.6" customHeight="1" x14ac:dyDescent="0.25">
      <c r="A569" s="372"/>
      <c r="B569" s="372"/>
      <c r="C569" s="372"/>
      <c r="D569" s="372"/>
      <c r="E569" s="372"/>
      <c r="F569" s="373"/>
      <c r="G569" s="374"/>
      <c r="H569" s="375"/>
      <c r="I569" s="376"/>
      <c r="J569" s="375"/>
      <c r="K569" s="377"/>
      <c r="L569" s="378"/>
      <c r="M569" s="379"/>
      <c r="N569" s="380"/>
      <c r="O569" s="327" t="str">
        <f>LEFT(J569,10)</f>
        <v/>
      </c>
    </row>
    <row r="570" spans="1:15" ht="57.6" customHeight="1" x14ac:dyDescent="0.25">
      <c r="A570" s="372"/>
      <c r="B570" s="372"/>
      <c r="C570" s="372"/>
      <c r="D570" s="372"/>
      <c r="E570" s="372"/>
      <c r="F570" s="373"/>
      <c r="G570" s="374"/>
      <c r="H570" s="375"/>
      <c r="I570" s="376"/>
      <c r="J570" s="375"/>
      <c r="K570" s="377"/>
      <c r="L570" s="378"/>
      <c r="M570" s="379"/>
      <c r="N570" s="380"/>
      <c r="O570" s="327" t="str">
        <f>LEFT(J570,10)</f>
        <v/>
      </c>
    </row>
    <row r="571" spans="1:15" ht="57.6" customHeight="1" x14ac:dyDescent="0.25">
      <c r="A571" s="372"/>
      <c r="B571" s="372"/>
      <c r="C571" s="372"/>
      <c r="D571" s="372"/>
      <c r="E571" s="372"/>
      <c r="F571" s="373"/>
      <c r="G571" s="374"/>
      <c r="H571" s="375"/>
      <c r="I571" s="376"/>
      <c r="J571" s="375"/>
      <c r="K571" s="377"/>
      <c r="L571" s="378"/>
      <c r="M571" s="379"/>
      <c r="N571" s="380"/>
      <c r="O571" s="327" t="str">
        <f>LEFT(J571,10)</f>
        <v/>
      </c>
    </row>
    <row r="572" spans="1:15" ht="57.6" customHeight="1" x14ac:dyDescent="0.25">
      <c r="A572" s="372"/>
      <c r="B572" s="372"/>
      <c r="C572" s="372"/>
      <c r="D572" s="372"/>
      <c r="E572" s="372"/>
      <c r="F572" s="373"/>
      <c r="G572" s="374"/>
      <c r="H572" s="375"/>
      <c r="I572" s="376"/>
      <c r="J572" s="375"/>
      <c r="K572" s="377"/>
      <c r="L572" s="378"/>
      <c r="M572" s="379"/>
      <c r="N572" s="380"/>
      <c r="O572" s="327" t="str">
        <f>LEFT(J572,10)</f>
        <v/>
      </c>
    </row>
    <row r="573" spans="1:15" ht="57.6" customHeight="1" x14ac:dyDescent="0.25">
      <c r="A573" s="372"/>
      <c r="B573" s="372"/>
      <c r="C573" s="372"/>
      <c r="D573" s="372"/>
      <c r="E573" s="372"/>
      <c r="F573" s="373"/>
      <c r="G573" s="374"/>
      <c r="H573" s="375"/>
      <c r="I573" s="376"/>
      <c r="J573" s="375"/>
      <c r="K573" s="377"/>
      <c r="L573" s="378"/>
      <c r="M573" s="379"/>
      <c r="N573" s="380"/>
      <c r="O573" s="327" t="str">
        <f>LEFT(J573,10)</f>
        <v/>
      </c>
    </row>
    <row r="574" spans="1:15" ht="57.6" customHeight="1" x14ac:dyDescent="0.25">
      <c r="A574" s="372"/>
      <c r="B574" s="372"/>
      <c r="C574" s="372"/>
      <c r="D574" s="372"/>
      <c r="E574" s="372"/>
      <c r="F574" s="373"/>
      <c r="G574" s="374"/>
      <c r="H574" s="375"/>
      <c r="I574" s="376"/>
      <c r="J574" s="375"/>
      <c r="K574" s="377"/>
      <c r="L574" s="378"/>
      <c r="M574" s="379"/>
      <c r="N574" s="380"/>
      <c r="O574" s="327" t="str">
        <f>LEFT(J574,10)</f>
        <v/>
      </c>
    </row>
    <row r="575" spans="1:15" ht="57.6" customHeight="1" x14ac:dyDescent="0.25">
      <c r="A575" s="372"/>
      <c r="B575" s="372"/>
      <c r="C575" s="372"/>
      <c r="D575" s="372"/>
      <c r="E575" s="372"/>
      <c r="F575" s="373"/>
      <c r="G575" s="374"/>
      <c r="H575" s="375"/>
      <c r="I575" s="376"/>
      <c r="J575" s="375"/>
      <c r="K575" s="377"/>
      <c r="L575" s="378"/>
      <c r="M575" s="379"/>
      <c r="N575" s="380"/>
      <c r="O575" s="327" t="str">
        <f>LEFT(J575,10)</f>
        <v/>
      </c>
    </row>
    <row r="576" spans="1:15" ht="57.6" customHeight="1" x14ac:dyDescent="0.25">
      <c r="A576" s="372"/>
      <c r="B576" s="372"/>
      <c r="C576" s="372"/>
      <c r="D576" s="372"/>
      <c r="E576" s="372"/>
      <c r="F576" s="373"/>
      <c r="G576" s="374"/>
      <c r="H576" s="375"/>
      <c r="I576" s="376"/>
      <c r="J576" s="375"/>
      <c r="K576" s="377"/>
      <c r="L576" s="378"/>
      <c r="M576" s="379"/>
      <c r="N576" s="380"/>
      <c r="O576" s="327" t="str">
        <f>LEFT(J576,10)</f>
        <v/>
      </c>
    </row>
    <row r="577" spans="1:15" ht="57.6" customHeight="1" x14ac:dyDescent="0.25">
      <c r="A577" s="372"/>
      <c r="B577" s="372"/>
      <c r="C577" s="372"/>
      <c r="D577" s="372"/>
      <c r="E577" s="372"/>
      <c r="F577" s="373"/>
      <c r="G577" s="374"/>
      <c r="H577" s="375"/>
      <c r="I577" s="376"/>
      <c r="J577" s="375"/>
      <c r="K577" s="377"/>
      <c r="L577" s="378"/>
      <c r="M577" s="379"/>
      <c r="N577" s="380"/>
      <c r="O577" s="327" t="str">
        <f>LEFT(J577,10)</f>
        <v/>
      </c>
    </row>
    <row r="578" spans="1:15" ht="57.6" customHeight="1" x14ac:dyDescent="0.25">
      <c r="A578" s="372"/>
      <c r="B578" s="372"/>
      <c r="C578" s="372"/>
      <c r="D578" s="372"/>
      <c r="E578" s="372"/>
      <c r="F578" s="373"/>
      <c r="G578" s="374"/>
      <c r="H578" s="375"/>
      <c r="I578" s="376"/>
      <c r="J578" s="375"/>
      <c r="K578" s="377"/>
      <c r="L578" s="378"/>
      <c r="M578" s="379"/>
      <c r="N578" s="380"/>
      <c r="O578" s="327" t="str">
        <f>LEFT(J578,10)</f>
        <v/>
      </c>
    </row>
    <row r="579" spans="1:15" ht="57.6" customHeight="1" x14ac:dyDescent="0.25">
      <c r="A579" s="372"/>
      <c r="B579" s="372"/>
      <c r="C579" s="372"/>
      <c r="D579" s="372"/>
      <c r="E579" s="372"/>
      <c r="F579" s="373"/>
      <c r="G579" s="374"/>
      <c r="H579" s="375"/>
      <c r="I579" s="376"/>
      <c r="J579" s="375"/>
      <c r="K579" s="377"/>
      <c r="L579" s="378"/>
      <c r="M579" s="379"/>
      <c r="N579" s="380"/>
      <c r="O579" s="327" t="str">
        <f>LEFT(J579,10)</f>
        <v/>
      </c>
    </row>
    <row r="580" spans="1:15" ht="57.6" customHeight="1" x14ac:dyDescent="0.25">
      <c r="A580" s="372"/>
      <c r="B580" s="372"/>
      <c r="C580" s="372"/>
      <c r="D580" s="372"/>
      <c r="E580" s="372"/>
      <c r="F580" s="373"/>
      <c r="G580" s="374"/>
      <c r="H580" s="375"/>
      <c r="I580" s="376"/>
      <c r="J580" s="375"/>
      <c r="K580" s="377"/>
      <c r="L580" s="378"/>
      <c r="M580" s="379"/>
      <c r="N580" s="380"/>
      <c r="O580" s="327" t="str">
        <f>LEFT(J580,10)</f>
        <v/>
      </c>
    </row>
    <row r="581" spans="1:15" ht="57.6" customHeight="1" x14ac:dyDescent="0.25">
      <c r="A581" s="372"/>
      <c r="B581" s="372"/>
      <c r="C581" s="372"/>
      <c r="D581" s="372"/>
      <c r="E581" s="372"/>
      <c r="F581" s="373"/>
      <c r="G581" s="374"/>
      <c r="H581" s="375"/>
      <c r="I581" s="376"/>
      <c r="J581" s="375"/>
      <c r="K581" s="377"/>
      <c r="L581" s="378"/>
      <c r="M581" s="379"/>
      <c r="N581" s="380"/>
      <c r="O581" s="327" t="str">
        <f>LEFT(J581,10)</f>
        <v/>
      </c>
    </row>
    <row r="582" spans="1:15" ht="57.6" customHeight="1" x14ac:dyDescent="0.25">
      <c r="A582" s="372"/>
      <c r="B582" s="372"/>
      <c r="C582" s="372"/>
      <c r="D582" s="372"/>
      <c r="E582" s="372"/>
      <c r="F582" s="373"/>
      <c r="G582" s="374"/>
      <c r="H582" s="375"/>
      <c r="I582" s="376"/>
      <c r="J582" s="375"/>
      <c r="K582" s="377"/>
      <c r="L582" s="378"/>
      <c r="M582" s="379"/>
      <c r="N582" s="380"/>
      <c r="O582" s="327" t="str">
        <f>LEFT(J582,10)</f>
        <v/>
      </c>
    </row>
    <row r="583" spans="1:15" ht="57.6" customHeight="1" x14ac:dyDescent="0.25">
      <c r="A583" s="372"/>
      <c r="B583" s="372"/>
      <c r="C583" s="372"/>
      <c r="D583" s="372"/>
      <c r="E583" s="372"/>
      <c r="F583" s="373"/>
      <c r="G583" s="374"/>
      <c r="H583" s="375"/>
      <c r="I583" s="376"/>
      <c r="J583" s="375"/>
      <c r="K583" s="377"/>
      <c r="L583" s="378"/>
      <c r="M583" s="379"/>
      <c r="N583" s="380"/>
      <c r="O583" s="327" t="str">
        <f>LEFT(J583,10)</f>
        <v/>
      </c>
    </row>
    <row r="584" spans="1:15" ht="57.6" customHeight="1" x14ac:dyDescent="0.25">
      <c r="A584" s="372"/>
      <c r="B584" s="372"/>
      <c r="C584" s="372"/>
      <c r="D584" s="372"/>
      <c r="E584" s="372"/>
      <c r="F584" s="373"/>
      <c r="G584" s="374"/>
      <c r="H584" s="375"/>
      <c r="I584" s="376"/>
      <c r="J584" s="375"/>
      <c r="K584" s="377"/>
      <c r="L584" s="378"/>
      <c r="M584" s="379"/>
      <c r="N584" s="380"/>
      <c r="O584" s="327" t="str">
        <f>LEFT(J584,10)</f>
        <v/>
      </c>
    </row>
    <row r="585" spans="1:15" ht="57.6" customHeight="1" x14ac:dyDescent="0.25">
      <c r="A585" s="372"/>
      <c r="B585" s="372"/>
      <c r="C585" s="372"/>
      <c r="D585" s="372"/>
      <c r="E585" s="372"/>
      <c r="F585" s="373"/>
      <c r="G585" s="374"/>
      <c r="H585" s="375"/>
      <c r="I585" s="376"/>
      <c r="J585" s="375"/>
      <c r="K585" s="377"/>
      <c r="L585" s="378"/>
      <c r="M585" s="379"/>
      <c r="N585" s="380"/>
      <c r="O585" s="327" t="str">
        <f>LEFT(J585,10)</f>
        <v/>
      </c>
    </row>
    <row r="586" spans="1:15" ht="57.6" customHeight="1" x14ac:dyDescent="0.25">
      <c r="A586" s="372"/>
      <c r="B586" s="372"/>
      <c r="C586" s="372"/>
      <c r="D586" s="372"/>
      <c r="E586" s="372"/>
      <c r="F586" s="373"/>
      <c r="G586" s="374"/>
      <c r="H586" s="375"/>
      <c r="I586" s="376"/>
      <c r="J586" s="375"/>
      <c r="K586" s="377"/>
      <c r="L586" s="378"/>
      <c r="M586" s="379"/>
      <c r="N586" s="380"/>
      <c r="O586" s="327" t="str">
        <f>LEFT(J586,10)</f>
        <v/>
      </c>
    </row>
    <row r="587" spans="1:15" ht="57.6" customHeight="1" x14ac:dyDescent="0.25">
      <c r="A587" s="372"/>
      <c r="B587" s="372"/>
      <c r="C587" s="372"/>
      <c r="D587" s="372"/>
      <c r="E587" s="372"/>
      <c r="F587" s="373"/>
      <c r="G587" s="374"/>
      <c r="H587" s="375"/>
      <c r="I587" s="376"/>
      <c r="J587" s="375"/>
      <c r="K587" s="377"/>
      <c r="L587" s="378"/>
      <c r="M587" s="379"/>
      <c r="N587" s="380"/>
      <c r="O587" s="327" t="str">
        <f>LEFT(J587,10)</f>
        <v/>
      </c>
    </row>
    <row r="588" spans="1:15" ht="57.6" customHeight="1" x14ac:dyDescent="0.25">
      <c r="A588" s="372"/>
      <c r="B588" s="372"/>
      <c r="C588" s="372"/>
      <c r="D588" s="372"/>
      <c r="E588" s="372"/>
      <c r="F588" s="373"/>
      <c r="G588" s="374"/>
      <c r="H588" s="375"/>
      <c r="I588" s="376"/>
      <c r="J588" s="375"/>
      <c r="K588" s="377"/>
      <c r="L588" s="378"/>
      <c r="M588" s="379"/>
      <c r="N588" s="380"/>
      <c r="O588" s="327" t="str">
        <f>LEFT(J588,10)</f>
        <v/>
      </c>
    </row>
    <row r="589" spans="1:15" ht="57.6" customHeight="1" x14ac:dyDescent="0.25">
      <c r="A589" s="372"/>
      <c r="B589" s="372"/>
      <c r="C589" s="372"/>
      <c r="D589" s="372"/>
      <c r="E589" s="372"/>
      <c r="F589" s="373"/>
      <c r="G589" s="374"/>
      <c r="H589" s="375"/>
      <c r="I589" s="376"/>
      <c r="J589" s="375"/>
      <c r="K589" s="377"/>
      <c r="L589" s="378"/>
      <c r="M589" s="379"/>
      <c r="N589" s="380"/>
      <c r="O589" s="327" t="str">
        <f>LEFT(J589,10)</f>
        <v/>
      </c>
    </row>
    <row r="590" spans="1:15" ht="57.6" customHeight="1" x14ac:dyDescent="0.25">
      <c r="A590" s="372"/>
      <c r="B590" s="372"/>
      <c r="C590" s="372"/>
      <c r="D590" s="372"/>
      <c r="E590" s="372"/>
      <c r="F590" s="373"/>
      <c r="G590" s="374"/>
      <c r="H590" s="375"/>
      <c r="I590" s="376"/>
      <c r="J590" s="375"/>
      <c r="K590" s="377"/>
      <c r="L590" s="378"/>
      <c r="M590" s="379"/>
      <c r="N590" s="380"/>
      <c r="O590" s="327" t="str">
        <f>LEFT(J590,10)</f>
        <v/>
      </c>
    </row>
    <row r="591" spans="1:15" ht="57.6" customHeight="1" x14ac:dyDescent="0.25">
      <c r="A591" s="372"/>
      <c r="B591" s="372"/>
      <c r="C591" s="372"/>
      <c r="D591" s="372"/>
      <c r="E591" s="372"/>
      <c r="F591" s="373"/>
      <c r="G591" s="374"/>
      <c r="H591" s="375"/>
      <c r="I591" s="376"/>
      <c r="J591" s="375"/>
      <c r="K591" s="377"/>
      <c r="L591" s="378"/>
      <c r="M591" s="379"/>
      <c r="N591" s="380"/>
      <c r="O591" s="327" t="str">
        <f>LEFT(J591,10)</f>
        <v/>
      </c>
    </row>
    <row r="592" spans="1:15" ht="57.6" customHeight="1" x14ac:dyDescent="0.25">
      <c r="A592" s="372"/>
      <c r="B592" s="372"/>
      <c r="C592" s="372"/>
      <c r="D592" s="372"/>
      <c r="E592" s="372"/>
      <c r="F592" s="373"/>
      <c r="G592" s="374"/>
      <c r="H592" s="375"/>
      <c r="I592" s="376"/>
      <c r="J592" s="375"/>
      <c r="K592" s="377"/>
      <c r="L592" s="378"/>
      <c r="M592" s="379"/>
      <c r="N592" s="380"/>
      <c r="O592" s="327" t="str">
        <f>LEFT(J592,10)</f>
        <v/>
      </c>
    </row>
    <row r="593" spans="1:15" ht="57.6" customHeight="1" x14ac:dyDescent="0.25">
      <c r="A593" s="372"/>
      <c r="B593" s="372"/>
      <c r="C593" s="372"/>
      <c r="D593" s="372"/>
      <c r="E593" s="372"/>
      <c r="F593" s="373"/>
      <c r="G593" s="374"/>
      <c r="H593" s="375"/>
      <c r="I593" s="376"/>
      <c r="J593" s="375"/>
      <c r="K593" s="377"/>
      <c r="L593" s="378"/>
      <c r="M593" s="379"/>
      <c r="N593" s="380"/>
      <c r="O593" s="327" t="str">
        <f>LEFT(J593,10)</f>
        <v/>
      </c>
    </row>
    <row r="594" spans="1:15" ht="57.6" customHeight="1" x14ac:dyDescent="0.25">
      <c r="A594" s="372"/>
      <c r="B594" s="372"/>
      <c r="C594" s="372"/>
      <c r="D594" s="372"/>
      <c r="E594" s="372"/>
      <c r="F594" s="373"/>
      <c r="G594" s="374"/>
      <c r="H594" s="375"/>
      <c r="I594" s="376"/>
      <c r="J594" s="375"/>
      <c r="K594" s="377"/>
      <c r="L594" s="378"/>
      <c r="M594" s="379"/>
      <c r="N594" s="380"/>
      <c r="O594" s="327" t="str">
        <f>LEFT(J594,10)</f>
        <v/>
      </c>
    </row>
    <row r="595" spans="1:15" ht="57.6" customHeight="1" x14ac:dyDescent="0.25">
      <c r="A595" s="372"/>
      <c r="B595" s="372"/>
      <c r="C595" s="372"/>
      <c r="D595" s="372"/>
      <c r="E595" s="372"/>
      <c r="F595" s="373"/>
      <c r="G595" s="374"/>
      <c r="H595" s="375"/>
      <c r="I595" s="376"/>
      <c r="J595" s="375"/>
      <c r="K595" s="377"/>
      <c r="L595" s="378"/>
      <c r="M595" s="379"/>
      <c r="N595" s="380"/>
      <c r="O595" s="327" t="str">
        <f>LEFT(J595,10)</f>
        <v/>
      </c>
    </row>
    <row r="596" spans="1:15" ht="57.6" customHeight="1" x14ac:dyDescent="0.25">
      <c r="A596" s="372"/>
      <c r="B596" s="372"/>
      <c r="C596" s="372"/>
      <c r="D596" s="372"/>
      <c r="E596" s="372"/>
      <c r="F596" s="373"/>
      <c r="G596" s="374"/>
      <c r="H596" s="375"/>
      <c r="I596" s="376"/>
      <c r="J596" s="375"/>
      <c r="K596" s="377"/>
      <c r="L596" s="378"/>
      <c r="M596" s="379"/>
      <c r="N596" s="380"/>
      <c r="O596" s="327" t="str">
        <f>LEFT(J596,10)</f>
        <v/>
      </c>
    </row>
    <row r="597" spans="1:15" ht="57.6" customHeight="1" x14ac:dyDescent="0.25">
      <c r="A597" s="372"/>
      <c r="B597" s="372"/>
      <c r="C597" s="372"/>
      <c r="D597" s="372"/>
      <c r="E597" s="372"/>
      <c r="F597" s="373"/>
      <c r="G597" s="374"/>
      <c r="H597" s="375"/>
      <c r="I597" s="376"/>
      <c r="J597" s="375"/>
      <c r="K597" s="377"/>
      <c r="L597" s="378"/>
      <c r="M597" s="379"/>
      <c r="N597" s="380"/>
      <c r="O597" s="327" t="str">
        <f>LEFT(J597,10)</f>
        <v/>
      </c>
    </row>
    <row r="598" spans="1:15" ht="57.6" customHeight="1" x14ac:dyDescent="0.25">
      <c r="A598" s="372"/>
      <c r="B598" s="372"/>
      <c r="C598" s="372"/>
      <c r="D598" s="372"/>
      <c r="E598" s="372"/>
      <c r="F598" s="373"/>
      <c r="G598" s="374"/>
      <c r="H598" s="375"/>
      <c r="I598" s="376"/>
      <c r="J598" s="375"/>
      <c r="K598" s="377"/>
      <c r="L598" s="378"/>
      <c r="M598" s="379"/>
      <c r="N598" s="380"/>
      <c r="O598" s="327" t="str">
        <f>LEFT(J598,10)</f>
        <v/>
      </c>
    </row>
    <row r="599" spans="1:15" ht="57.6" customHeight="1" x14ac:dyDescent="0.25">
      <c r="A599" s="372"/>
      <c r="B599" s="372"/>
      <c r="C599" s="372"/>
      <c r="D599" s="372"/>
      <c r="E599" s="372"/>
      <c r="F599" s="373"/>
      <c r="G599" s="374"/>
      <c r="H599" s="375"/>
      <c r="I599" s="376"/>
      <c r="J599" s="375"/>
      <c r="K599" s="377"/>
      <c r="L599" s="378"/>
      <c r="M599" s="379"/>
      <c r="N599" s="380"/>
      <c r="O599" s="327" t="str">
        <f>LEFT(J599,10)</f>
        <v/>
      </c>
    </row>
    <row r="600" spans="1:15" ht="57.6" customHeight="1" x14ac:dyDescent="0.25">
      <c r="A600" s="372"/>
      <c r="B600" s="372"/>
      <c r="C600" s="372"/>
      <c r="D600" s="372"/>
      <c r="E600" s="372"/>
      <c r="F600" s="373"/>
      <c r="G600" s="374"/>
      <c r="H600" s="375"/>
      <c r="I600" s="376"/>
      <c r="J600" s="375"/>
      <c r="K600" s="377"/>
      <c r="L600" s="378"/>
      <c r="M600" s="379"/>
      <c r="N600" s="380"/>
      <c r="O600" s="327" t="str">
        <f>LEFT(J600,10)</f>
        <v/>
      </c>
    </row>
    <row r="601" spans="1:15" ht="57.6" customHeight="1" x14ac:dyDescent="0.25">
      <c r="A601" s="372"/>
      <c r="B601" s="372"/>
      <c r="C601" s="372"/>
      <c r="D601" s="372"/>
      <c r="E601" s="372"/>
      <c r="F601" s="373"/>
      <c r="G601" s="374"/>
      <c r="H601" s="375"/>
      <c r="I601" s="376"/>
      <c r="J601" s="375"/>
      <c r="K601" s="377"/>
      <c r="L601" s="378"/>
      <c r="M601" s="379"/>
      <c r="N601" s="380"/>
      <c r="O601" s="327" t="str">
        <f>LEFT(J601,10)</f>
        <v/>
      </c>
    </row>
    <row r="602" spans="1:15" ht="57.6" customHeight="1" x14ac:dyDescent="0.25">
      <c r="A602" s="372"/>
      <c r="B602" s="372"/>
      <c r="C602" s="372"/>
      <c r="D602" s="372"/>
      <c r="E602" s="372"/>
      <c r="F602" s="373"/>
      <c r="G602" s="374"/>
      <c r="H602" s="375"/>
      <c r="I602" s="376"/>
      <c r="J602" s="375"/>
      <c r="K602" s="377"/>
      <c r="L602" s="378"/>
      <c r="M602" s="379"/>
      <c r="N602" s="380"/>
      <c r="O602" s="327" t="str">
        <f>LEFT(J602,10)</f>
        <v/>
      </c>
    </row>
    <row r="603" spans="1:15" ht="57.6" customHeight="1" x14ac:dyDescent="0.25">
      <c r="A603" s="372"/>
      <c r="B603" s="372"/>
      <c r="C603" s="372"/>
      <c r="D603" s="372"/>
      <c r="E603" s="372"/>
      <c r="F603" s="373"/>
      <c r="G603" s="374"/>
      <c r="H603" s="375"/>
      <c r="I603" s="376"/>
      <c r="J603" s="375"/>
      <c r="K603" s="377"/>
      <c r="L603" s="378"/>
      <c r="M603" s="379"/>
      <c r="N603" s="380"/>
      <c r="O603" s="327" t="str">
        <f>LEFT(J603,10)</f>
        <v/>
      </c>
    </row>
    <row r="604" spans="1:15" ht="57.6" customHeight="1" x14ac:dyDescent="0.25">
      <c r="A604" s="372"/>
      <c r="B604" s="372"/>
      <c r="C604" s="372"/>
      <c r="D604" s="372"/>
      <c r="E604" s="372"/>
      <c r="F604" s="373"/>
      <c r="G604" s="374"/>
      <c r="H604" s="375"/>
      <c r="I604" s="376"/>
      <c r="J604" s="375"/>
      <c r="K604" s="377"/>
      <c r="L604" s="378"/>
      <c r="M604" s="379"/>
      <c r="N604" s="380"/>
      <c r="O604" s="327" t="str">
        <f>LEFT(J604,10)</f>
        <v/>
      </c>
    </row>
    <row r="605" spans="1:15" ht="57.6" customHeight="1" x14ac:dyDescent="0.25">
      <c r="A605" s="372"/>
      <c r="B605" s="372"/>
      <c r="C605" s="372"/>
      <c r="D605" s="372"/>
      <c r="E605" s="372"/>
      <c r="F605" s="373"/>
      <c r="G605" s="374"/>
      <c r="H605" s="375"/>
      <c r="I605" s="376"/>
      <c r="J605" s="375"/>
      <c r="K605" s="377"/>
      <c r="L605" s="378"/>
      <c r="M605" s="379"/>
      <c r="N605" s="380"/>
      <c r="O605" s="327" t="str">
        <f>LEFT(J605,10)</f>
        <v/>
      </c>
    </row>
    <row r="606" spans="1:15" ht="57.6" customHeight="1" x14ac:dyDescent="0.25">
      <c r="A606" s="372"/>
      <c r="B606" s="372"/>
      <c r="C606" s="372"/>
      <c r="D606" s="372"/>
      <c r="E606" s="372"/>
      <c r="F606" s="373"/>
      <c r="G606" s="374"/>
      <c r="H606" s="375"/>
      <c r="I606" s="376"/>
      <c r="J606" s="375"/>
      <c r="K606" s="377"/>
      <c r="L606" s="378"/>
      <c r="M606" s="379"/>
      <c r="N606" s="380"/>
      <c r="O606" s="327" t="str">
        <f>LEFT(J606,10)</f>
        <v/>
      </c>
    </row>
    <row r="607" spans="1:15" ht="57.6" customHeight="1" x14ac:dyDescent="0.25">
      <c r="A607" s="372"/>
      <c r="B607" s="372"/>
      <c r="C607" s="372"/>
      <c r="D607" s="372"/>
      <c r="E607" s="372"/>
      <c r="F607" s="373"/>
      <c r="G607" s="374"/>
      <c r="H607" s="375"/>
      <c r="I607" s="376"/>
      <c r="J607" s="375"/>
      <c r="K607" s="377"/>
      <c r="L607" s="378"/>
      <c r="M607" s="379"/>
      <c r="N607" s="380"/>
      <c r="O607" s="327" t="str">
        <f>LEFT(J607,10)</f>
        <v/>
      </c>
    </row>
    <row r="608" spans="1:15" ht="57.6" customHeight="1" x14ac:dyDescent="0.25">
      <c r="A608" s="372"/>
      <c r="B608" s="372"/>
      <c r="C608" s="372"/>
      <c r="D608" s="372"/>
      <c r="E608" s="372"/>
      <c r="F608" s="373"/>
      <c r="G608" s="374"/>
      <c r="H608" s="375"/>
      <c r="I608" s="376"/>
      <c r="J608" s="375"/>
      <c r="K608" s="377"/>
      <c r="L608" s="378"/>
      <c r="M608" s="379"/>
      <c r="N608" s="380"/>
      <c r="O608" s="327" t="str">
        <f>LEFT(J608,10)</f>
        <v/>
      </c>
    </row>
    <row r="609" spans="1:15" ht="57.6" customHeight="1" x14ac:dyDescent="0.25">
      <c r="A609" s="372"/>
      <c r="B609" s="372"/>
      <c r="C609" s="372"/>
      <c r="D609" s="372"/>
      <c r="E609" s="372"/>
      <c r="F609" s="373"/>
      <c r="G609" s="374"/>
      <c r="H609" s="375"/>
      <c r="I609" s="376"/>
      <c r="J609" s="375"/>
      <c r="K609" s="377"/>
      <c r="L609" s="378"/>
      <c r="M609" s="379"/>
      <c r="N609" s="380"/>
      <c r="O609" s="327" t="str">
        <f>LEFT(J609,10)</f>
        <v/>
      </c>
    </row>
    <row r="610" spans="1:15" ht="57.6" customHeight="1" x14ac:dyDescent="0.25">
      <c r="A610" s="372"/>
      <c r="B610" s="372"/>
      <c r="C610" s="372"/>
      <c r="D610" s="372"/>
      <c r="E610" s="372"/>
      <c r="F610" s="373"/>
      <c r="G610" s="374"/>
      <c r="H610" s="375"/>
      <c r="I610" s="376"/>
      <c r="J610" s="375"/>
      <c r="K610" s="377"/>
      <c r="L610" s="378"/>
      <c r="M610" s="379"/>
      <c r="N610" s="380"/>
      <c r="O610" s="327" t="str">
        <f>LEFT(J610,10)</f>
        <v/>
      </c>
    </row>
    <row r="611" spans="1:15" ht="57.6" customHeight="1" x14ac:dyDescent="0.25">
      <c r="A611" s="372"/>
      <c r="B611" s="372"/>
      <c r="C611" s="372"/>
      <c r="D611" s="372"/>
      <c r="E611" s="372"/>
      <c r="F611" s="373"/>
      <c r="G611" s="374"/>
      <c r="H611" s="375"/>
      <c r="I611" s="376"/>
      <c r="J611" s="375"/>
      <c r="K611" s="377"/>
      <c r="L611" s="378"/>
      <c r="M611" s="379"/>
      <c r="N611" s="380"/>
      <c r="O611" s="327" t="str">
        <f>LEFT(J611,10)</f>
        <v/>
      </c>
    </row>
    <row r="612" spans="1:15" ht="57.6" customHeight="1" x14ac:dyDescent="0.25">
      <c r="A612" s="372"/>
      <c r="B612" s="372"/>
      <c r="C612" s="372"/>
      <c r="D612" s="372"/>
      <c r="E612" s="372"/>
      <c r="F612" s="373"/>
      <c r="G612" s="374"/>
      <c r="H612" s="375"/>
      <c r="I612" s="376"/>
      <c r="J612" s="375"/>
      <c r="K612" s="377"/>
      <c r="L612" s="378"/>
      <c r="M612" s="379"/>
      <c r="N612" s="380"/>
      <c r="O612" s="327" t="str">
        <f>LEFT(J612,10)</f>
        <v/>
      </c>
    </row>
    <row r="613" spans="1:15" ht="57.6" customHeight="1" x14ac:dyDescent="0.25">
      <c r="A613" s="372"/>
      <c r="B613" s="372"/>
      <c r="C613" s="372"/>
      <c r="D613" s="372"/>
      <c r="E613" s="372"/>
      <c r="F613" s="373"/>
      <c r="G613" s="374"/>
      <c r="H613" s="375"/>
      <c r="I613" s="376"/>
      <c r="J613" s="375"/>
      <c r="K613" s="377"/>
      <c r="L613" s="378"/>
      <c r="M613" s="379"/>
      <c r="N613" s="380"/>
      <c r="O613" s="327" t="str">
        <f>LEFT(J613,10)</f>
        <v/>
      </c>
    </row>
    <row r="614" spans="1:15" ht="57.6" customHeight="1" x14ac:dyDescent="0.25">
      <c r="A614" s="372"/>
      <c r="B614" s="372"/>
      <c r="C614" s="372"/>
      <c r="D614" s="372"/>
      <c r="E614" s="372"/>
      <c r="F614" s="373"/>
      <c r="G614" s="374"/>
      <c r="H614" s="375"/>
      <c r="I614" s="376"/>
      <c r="J614" s="375"/>
      <c r="K614" s="377"/>
      <c r="L614" s="378"/>
      <c r="M614" s="379"/>
      <c r="N614" s="380"/>
      <c r="O614" s="327" t="str">
        <f>LEFT(J614,10)</f>
        <v/>
      </c>
    </row>
    <row r="615" spans="1:15" ht="57.6" customHeight="1" x14ac:dyDescent="0.25">
      <c r="A615" s="372"/>
      <c r="B615" s="372"/>
      <c r="C615" s="372"/>
      <c r="D615" s="372"/>
      <c r="E615" s="372"/>
      <c r="F615" s="373"/>
      <c r="G615" s="374"/>
      <c r="H615" s="375"/>
      <c r="I615" s="376"/>
      <c r="J615" s="375"/>
      <c r="K615" s="377"/>
      <c r="L615" s="378"/>
      <c r="M615" s="379"/>
      <c r="N615" s="380"/>
      <c r="O615" s="327" t="str">
        <f>LEFT(J615,10)</f>
        <v/>
      </c>
    </row>
    <row r="616" spans="1:15" ht="57.6" customHeight="1" x14ac:dyDescent="0.25">
      <c r="A616" s="372"/>
      <c r="B616" s="372"/>
      <c r="C616" s="372"/>
      <c r="D616" s="372"/>
      <c r="E616" s="372"/>
      <c r="F616" s="373"/>
      <c r="G616" s="374"/>
      <c r="H616" s="375"/>
      <c r="I616" s="376"/>
      <c r="J616" s="375"/>
      <c r="K616" s="377"/>
      <c r="L616" s="378"/>
      <c r="M616" s="379"/>
      <c r="N616" s="380"/>
      <c r="O616" s="327" t="str">
        <f>LEFT(J616,10)</f>
        <v/>
      </c>
    </row>
    <row r="617" spans="1:15" ht="57.6" customHeight="1" x14ac:dyDescent="0.25">
      <c r="A617" s="372"/>
      <c r="B617" s="372"/>
      <c r="C617" s="372"/>
      <c r="D617" s="372"/>
      <c r="E617" s="372"/>
      <c r="F617" s="373"/>
      <c r="G617" s="374"/>
      <c r="H617" s="375"/>
      <c r="I617" s="376"/>
      <c r="J617" s="375"/>
      <c r="K617" s="377"/>
      <c r="L617" s="378"/>
      <c r="M617" s="379"/>
      <c r="N617" s="380"/>
      <c r="O617" s="327" t="str">
        <f>LEFT(J617,10)</f>
        <v/>
      </c>
    </row>
    <row r="618" spans="1:15" ht="57.6" customHeight="1" x14ac:dyDescent="0.25">
      <c r="A618" s="372"/>
      <c r="B618" s="372"/>
      <c r="C618" s="372"/>
      <c r="D618" s="372"/>
      <c r="E618" s="372"/>
      <c r="F618" s="373"/>
      <c r="G618" s="374"/>
      <c r="H618" s="375"/>
      <c r="I618" s="376"/>
      <c r="J618" s="375"/>
      <c r="K618" s="377"/>
      <c r="L618" s="378"/>
      <c r="M618" s="379"/>
      <c r="N618" s="380"/>
      <c r="O618" s="327" t="str">
        <f>LEFT(J618,10)</f>
        <v/>
      </c>
    </row>
    <row r="619" spans="1:15" ht="57.6" customHeight="1" x14ac:dyDescent="0.25">
      <c r="A619" s="372"/>
      <c r="B619" s="372"/>
      <c r="C619" s="372"/>
      <c r="D619" s="372"/>
      <c r="E619" s="372"/>
      <c r="F619" s="373"/>
      <c r="G619" s="374"/>
      <c r="H619" s="375"/>
      <c r="I619" s="376"/>
      <c r="J619" s="375"/>
      <c r="K619" s="377"/>
      <c r="L619" s="378"/>
      <c r="M619" s="379"/>
      <c r="N619" s="380"/>
      <c r="O619" s="327" t="str">
        <f>LEFT(J619,10)</f>
        <v/>
      </c>
    </row>
    <row r="620" spans="1:15" ht="57.6" customHeight="1" x14ac:dyDescent="0.25">
      <c r="A620" s="372"/>
      <c r="B620" s="372"/>
      <c r="C620" s="372"/>
      <c r="D620" s="372"/>
      <c r="E620" s="372"/>
      <c r="F620" s="373"/>
      <c r="G620" s="374"/>
      <c r="H620" s="375"/>
      <c r="I620" s="376"/>
      <c r="J620" s="375"/>
      <c r="K620" s="377"/>
      <c r="L620" s="378"/>
      <c r="M620" s="379"/>
      <c r="N620" s="380"/>
      <c r="O620" s="327" t="str">
        <f>LEFT(J620,10)</f>
        <v/>
      </c>
    </row>
    <row r="621" spans="1:15" ht="57.6" customHeight="1" x14ac:dyDescent="0.25">
      <c r="A621" s="372"/>
      <c r="B621" s="372"/>
      <c r="C621" s="372"/>
      <c r="D621" s="372"/>
      <c r="E621" s="372"/>
      <c r="F621" s="373"/>
      <c r="G621" s="374"/>
      <c r="H621" s="375"/>
      <c r="I621" s="376"/>
      <c r="J621" s="375"/>
      <c r="K621" s="377"/>
      <c r="L621" s="378"/>
      <c r="M621" s="379"/>
      <c r="N621" s="380"/>
      <c r="O621" s="327" t="str">
        <f>LEFT(J621,10)</f>
        <v/>
      </c>
    </row>
    <row r="622" spans="1:15" ht="57.6" customHeight="1" x14ac:dyDescent="0.25">
      <c r="A622" s="372"/>
      <c r="B622" s="372"/>
      <c r="C622" s="372"/>
      <c r="D622" s="372"/>
      <c r="E622" s="372"/>
      <c r="F622" s="373"/>
      <c r="G622" s="374"/>
      <c r="H622" s="375"/>
      <c r="I622" s="376"/>
      <c r="J622" s="375"/>
      <c r="K622" s="377"/>
      <c r="L622" s="378"/>
      <c r="M622" s="379"/>
      <c r="N622" s="380"/>
      <c r="O622" s="327" t="str">
        <f>LEFT(J622,10)</f>
        <v/>
      </c>
    </row>
    <row r="623" spans="1:15" ht="57.6" customHeight="1" x14ac:dyDescent="0.25">
      <c r="A623" s="372"/>
      <c r="B623" s="372"/>
      <c r="C623" s="372"/>
      <c r="D623" s="372"/>
      <c r="E623" s="372"/>
      <c r="F623" s="373"/>
      <c r="G623" s="374"/>
      <c r="H623" s="375"/>
      <c r="I623" s="376"/>
      <c r="J623" s="375"/>
      <c r="K623" s="377"/>
      <c r="L623" s="378"/>
      <c r="M623" s="379"/>
      <c r="N623" s="380"/>
      <c r="O623" s="327" t="str">
        <f>LEFT(J623,10)</f>
        <v/>
      </c>
    </row>
    <row r="624" spans="1:15" ht="57.6" customHeight="1" x14ac:dyDescent="0.25">
      <c r="A624" s="372"/>
      <c r="B624" s="372"/>
      <c r="C624" s="372"/>
      <c r="D624" s="372"/>
      <c r="E624" s="372"/>
      <c r="F624" s="373"/>
      <c r="G624" s="374"/>
      <c r="H624" s="375"/>
      <c r="I624" s="376"/>
      <c r="J624" s="375"/>
      <c r="K624" s="377"/>
      <c r="L624" s="378"/>
      <c r="M624" s="379"/>
      <c r="N624" s="380"/>
      <c r="O624" s="327" t="str">
        <f>LEFT(J624,10)</f>
        <v/>
      </c>
    </row>
    <row r="625" spans="1:15" ht="57.6" customHeight="1" x14ac:dyDescent="0.25">
      <c r="A625" s="372"/>
      <c r="B625" s="372"/>
      <c r="C625" s="372"/>
      <c r="D625" s="372"/>
      <c r="E625" s="372"/>
      <c r="F625" s="373"/>
      <c r="G625" s="374"/>
      <c r="H625" s="375"/>
      <c r="I625" s="376"/>
      <c r="J625" s="375"/>
      <c r="K625" s="377"/>
      <c r="L625" s="378"/>
      <c r="M625" s="379"/>
      <c r="N625" s="380"/>
      <c r="O625" s="327" t="str">
        <f>LEFT(J625,10)</f>
        <v/>
      </c>
    </row>
    <row r="626" spans="1:15" ht="57.6" customHeight="1" x14ac:dyDescent="0.25">
      <c r="A626" s="372"/>
      <c r="B626" s="372"/>
      <c r="C626" s="372"/>
      <c r="D626" s="372"/>
      <c r="E626" s="372"/>
      <c r="F626" s="373"/>
      <c r="G626" s="374"/>
      <c r="H626" s="375"/>
      <c r="I626" s="376"/>
      <c r="J626" s="375"/>
      <c r="K626" s="377"/>
      <c r="L626" s="378"/>
      <c r="M626" s="379"/>
      <c r="N626" s="380"/>
      <c r="O626" s="327" t="str">
        <f>LEFT(J626,10)</f>
        <v/>
      </c>
    </row>
    <row r="627" spans="1:15" ht="57.6" customHeight="1" x14ac:dyDescent="0.25">
      <c r="A627" s="372"/>
      <c r="B627" s="372"/>
      <c r="C627" s="372"/>
      <c r="D627" s="372"/>
      <c r="E627" s="372"/>
      <c r="F627" s="373"/>
      <c r="G627" s="374"/>
      <c r="H627" s="375"/>
      <c r="I627" s="376"/>
      <c r="J627" s="375"/>
      <c r="K627" s="377"/>
      <c r="L627" s="378"/>
      <c r="M627" s="379"/>
      <c r="N627" s="380"/>
      <c r="O627" s="327" t="str">
        <f>LEFT(J627,10)</f>
        <v/>
      </c>
    </row>
    <row r="628" spans="1:15" ht="57.6" customHeight="1" x14ac:dyDescent="0.25">
      <c r="A628" s="372"/>
      <c r="B628" s="372"/>
      <c r="C628" s="372"/>
      <c r="D628" s="372"/>
      <c r="E628" s="372"/>
      <c r="F628" s="373"/>
      <c r="G628" s="374"/>
      <c r="H628" s="375"/>
      <c r="I628" s="376"/>
      <c r="J628" s="375"/>
      <c r="K628" s="377"/>
      <c r="L628" s="378"/>
      <c r="M628" s="379"/>
      <c r="N628" s="380"/>
      <c r="O628" s="327" t="str">
        <f>LEFT(J628,10)</f>
        <v/>
      </c>
    </row>
    <row r="629" spans="1:15" ht="57.6" customHeight="1" x14ac:dyDescent="0.25">
      <c r="A629" s="372"/>
      <c r="B629" s="372"/>
      <c r="C629" s="372"/>
      <c r="D629" s="372"/>
      <c r="E629" s="372"/>
      <c r="F629" s="373"/>
      <c r="G629" s="374"/>
      <c r="H629" s="375"/>
      <c r="I629" s="376"/>
      <c r="J629" s="375"/>
      <c r="K629" s="377"/>
      <c r="L629" s="378"/>
      <c r="M629" s="379"/>
      <c r="N629" s="380"/>
      <c r="O629" s="327" t="str">
        <f>LEFT(J629,10)</f>
        <v/>
      </c>
    </row>
    <row r="630" spans="1:15" ht="57.6" customHeight="1" x14ac:dyDescent="0.25">
      <c r="A630" s="372"/>
      <c r="B630" s="372"/>
      <c r="C630" s="372"/>
      <c r="D630" s="372"/>
      <c r="E630" s="372"/>
      <c r="F630" s="373"/>
      <c r="G630" s="374"/>
      <c r="H630" s="375"/>
      <c r="I630" s="376"/>
      <c r="J630" s="375"/>
      <c r="K630" s="377"/>
      <c r="L630" s="378"/>
      <c r="M630" s="379"/>
      <c r="N630" s="380"/>
      <c r="O630" s="327" t="str">
        <f>LEFT(J630,10)</f>
        <v/>
      </c>
    </row>
    <row r="631" spans="1:15" ht="57.6" customHeight="1" x14ac:dyDescent="0.25">
      <c r="A631" s="372"/>
      <c r="B631" s="372"/>
      <c r="C631" s="372"/>
      <c r="D631" s="372"/>
      <c r="E631" s="372"/>
      <c r="F631" s="373"/>
      <c r="G631" s="374"/>
      <c r="H631" s="375"/>
      <c r="I631" s="376"/>
      <c r="J631" s="375"/>
      <c r="K631" s="377"/>
      <c r="L631" s="378"/>
      <c r="M631" s="379"/>
      <c r="N631" s="380"/>
      <c r="O631" s="327" t="str">
        <f>LEFT(J631,10)</f>
        <v/>
      </c>
    </row>
    <row r="632" spans="1:15" ht="57.6" customHeight="1" x14ac:dyDescent="0.25">
      <c r="A632" s="372"/>
      <c r="B632" s="372"/>
      <c r="C632" s="372"/>
      <c r="D632" s="372"/>
      <c r="E632" s="372"/>
      <c r="F632" s="373"/>
      <c r="G632" s="374"/>
      <c r="H632" s="375"/>
      <c r="I632" s="376"/>
      <c r="J632" s="375"/>
      <c r="K632" s="377"/>
      <c r="L632" s="378"/>
      <c r="M632" s="379"/>
      <c r="N632" s="380"/>
      <c r="O632" s="327" t="str">
        <f>LEFT(J632,10)</f>
        <v/>
      </c>
    </row>
    <row r="633" spans="1:15" ht="57.6" customHeight="1" x14ac:dyDescent="0.25">
      <c r="A633" s="372"/>
      <c r="B633" s="372"/>
      <c r="C633" s="372"/>
      <c r="D633" s="372"/>
      <c r="E633" s="372"/>
      <c r="F633" s="373"/>
      <c r="G633" s="374"/>
      <c r="H633" s="375"/>
      <c r="I633" s="376"/>
      <c r="J633" s="375"/>
      <c r="K633" s="377"/>
      <c r="L633" s="378"/>
      <c r="M633" s="379"/>
      <c r="N633" s="380"/>
      <c r="O633" s="327" t="str">
        <f>LEFT(J633,10)</f>
        <v/>
      </c>
    </row>
    <row r="634" spans="1:15" ht="57.6" customHeight="1" x14ac:dyDescent="0.25">
      <c r="A634" s="372"/>
      <c r="B634" s="372"/>
      <c r="C634" s="372"/>
      <c r="D634" s="372"/>
      <c r="E634" s="372"/>
      <c r="F634" s="373"/>
      <c r="G634" s="374"/>
      <c r="H634" s="375"/>
      <c r="I634" s="376"/>
      <c r="J634" s="375"/>
      <c r="K634" s="377"/>
      <c r="L634" s="378"/>
      <c r="M634" s="379"/>
      <c r="N634" s="380"/>
      <c r="O634" s="327" t="str">
        <f>LEFT(J634,10)</f>
        <v/>
      </c>
    </row>
    <row r="635" spans="1:15" ht="57.6" customHeight="1" x14ac:dyDescent="0.25">
      <c r="A635" s="372"/>
      <c r="B635" s="372"/>
      <c r="C635" s="372"/>
      <c r="D635" s="372"/>
      <c r="E635" s="372"/>
      <c r="F635" s="373"/>
      <c r="G635" s="374"/>
      <c r="H635" s="375"/>
      <c r="I635" s="376"/>
      <c r="J635" s="375"/>
      <c r="K635" s="377"/>
      <c r="L635" s="378"/>
      <c r="M635" s="379"/>
      <c r="N635" s="380"/>
      <c r="O635" s="327" t="str">
        <f>LEFT(J635,10)</f>
        <v/>
      </c>
    </row>
    <row r="636" spans="1:15" ht="57.6" customHeight="1" x14ac:dyDescent="0.25">
      <c r="A636" s="372"/>
      <c r="B636" s="372"/>
      <c r="C636" s="372"/>
      <c r="D636" s="372"/>
      <c r="E636" s="372"/>
      <c r="F636" s="373"/>
      <c r="G636" s="374"/>
      <c r="H636" s="375"/>
      <c r="I636" s="376"/>
      <c r="J636" s="375"/>
      <c r="K636" s="377"/>
      <c r="L636" s="378"/>
      <c r="M636" s="379"/>
      <c r="N636" s="380"/>
      <c r="O636" s="327" t="str">
        <f>LEFT(J636,10)</f>
        <v/>
      </c>
    </row>
    <row r="637" spans="1:15" ht="57.6" customHeight="1" x14ac:dyDescent="0.25">
      <c r="A637" s="372"/>
      <c r="B637" s="372"/>
      <c r="C637" s="372"/>
      <c r="D637" s="372"/>
      <c r="E637" s="372"/>
      <c r="F637" s="373"/>
      <c r="G637" s="374"/>
      <c r="H637" s="375"/>
      <c r="I637" s="376"/>
      <c r="J637" s="375"/>
      <c r="K637" s="377"/>
      <c r="L637" s="378"/>
      <c r="M637" s="379"/>
      <c r="N637" s="380"/>
      <c r="O637" s="327" t="str">
        <f>LEFT(J637,10)</f>
        <v/>
      </c>
    </row>
    <row r="638" spans="1:15" ht="57.6" customHeight="1" x14ac:dyDescent="0.25">
      <c r="A638" s="372"/>
      <c r="B638" s="372"/>
      <c r="C638" s="372"/>
      <c r="D638" s="372"/>
      <c r="E638" s="372"/>
      <c r="F638" s="373"/>
      <c r="G638" s="374"/>
      <c r="H638" s="375"/>
      <c r="I638" s="376"/>
      <c r="J638" s="375"/>
      <c r="K638" s="377"/>
      <c r="L638" s="378"/>
      <c r="M638" s="379"/>
      <c r="N638" s="380"/>
      <c r="O638" s="327" t="str">
        <f>LEFT(J638,10)</f>
        <v/>
      </c>
    </row>
    <row r="639" spans="1:15" ht="57.6" customHeight="1" x14ac:dyDescent="0.25">
      <c r="A639" s="372"/>
      <c r="B639" s="372"/>
      <c r="C639" s="372"/>
      <c r="D639" s="372"/>
      <c r="E639" s="372"/>
      <c r="F639" s="373"/>
      <c r="G639" s="374"/>
      <c r="H639" s="375"/>
      <c r="I639" s="376"/>
      <c r="J639" s="375"/>
      <c r="K639" s="377"/>
      <c r="L639" s="378"/>
      <c r="M639" s="379"/>
      <c r="N639" s="380"/>
      <c r="O639" s="327" t="str">
        <f>LEFT(J639,10)</f>
        <v/>
      </c>
    </row>
    <row r="640" spans="1:15" ht="57.6" customHeight="1" x14ac:dyDescent="0.25">
      <c r="A640" s="372"/>
      <c r="B640" s="372"/>
      <c r="C640" s="372"/>
      <c r="D640" s="372"/>
      <c r="E640" s="372"/>
      <c r="F640" s="373"/>
      <c r="G640" s="374"/>
      <c r="H640" s="375"/>
      <c r="I640" s="376"/>
      <c r="J640" s="375"/>
      <c r="K640" s="377"/>
      <c r="L640" s="378"/>
      <c r="M640" s="379"/>
      <c r="N640" s="380"/>
      <c r="O640" s="327" t="str">
        <f>LEFT(J640,10)</f>
        <v/>
      </c>
    </row>
    <row r="641" spans="1:15" ht="57.6" customHeight="1" x14ac:dyDescent="0.25">
      <c r="A641" s="372"/>
      <c r="B641" s="372"/>
      <c r="C641" s="372"/>
      <c r="D641" s="372"/>
      <c r="E641" s="372"/>
      <c r="F641" s="373"/>
      <c r="G641" s="374"/>
      <c r="H641" s="375"/>
      <c r="I641" s="376"/>
      <c r="J641" s="375"/>
      <c r="K641" s="377"/>
      <c r="L641" s="378"/>
      <c r="M641" s="379"/>
      <c r="N641" s="380"/>
      <c r="O641" s="327" t="str">
        <f>LEFT(J641,10)</f>
        <v/>
      </c>
    </row>
    <row r="642" spans="1:15" ht="57.6" customHeight="1" x14ac:dyDescent="0.25">
      <c r="A642" s="372"/>
      <c r="B642" s="372"/>
      <c r="C642" s="372"/>
      <c r="D642" s="372"/>
      <c r="E642" s="372"/>
      <c r="F642" s="373"/>
      <c r="G642" s="374"/>
      <c r="H642" s="375"/>
      <c r="I642" s="376"/>
      <c r="J642" s="375"/>
      <c r="K642" s="377"/>
      <c r="L642" s="378"/>
      <c r="M642" s="379"/>
      <c r="N642" s="380"/>
      <c r="O642" s="327" t="str">
        <f>LEFT(J642,10)</f>
        <v/>
      </c>
    </row>
    <row r="643" spans="1:15" ht="57.6" customHeight="1" x14ac:dyDescent="0.25">
      <c r="A643" s="372"/>
      <c r="B643" s="372"/>
      <c r="C643" s="372"/>
      <c r="D643" s="372"/>
      <c r="E643" s="372"/>
      <c r="F643" s="373"/>
      <c r="G643" s="374"/>
      <c r="H643" s="375"/>
      <c r="I643" s="376"/>
      <c r="J643" s="375"/>
      <c r="K643" s="377"/>
      <c r="L643" s="378"/>
      <c r="M643" s="379"/>
      <c r="N643" s="380"/>
      <c r="O643" s="327" t="str">
        <f>LEFT(J643,10)</f>
        <v/>
      </c>
    </row>
    <row r="644" spans="1:15" ht="57.6" customHeight="1" x14ac:dyDescent="0.25">
      <c r="A644" s="372"/>
      <c r="B644" s="372"/>
      <c r="C644" s="372"/>
      <c r="D644" s="372"/>
      <c r="E644" s="372"/>
      <c r="F644" s="373"/>
      <c r="G644" s="374"/>
      <c r="H644" s="375"/>
      <c r="I644" s="376"/>
      <c r="J644" s="375"/>
      <c r="K644" s="377"/>
      <c r="L644" s="378"/>
      <c r="M644" s="379"/>
      <c r="N644" s="380"/>
      <c r="O644" s="327" t="str">
        <f>LEFT(J644,10)</f>
        <v/>
      </c>
    </row>
    <row r="645" spans="1:15" ht="57.6" customHeight="1" x14ac:dyDescent="0.25">
      <c r="A645" s="372"/>
      <c r="B645" s="372"/>
      <c r="C645" s="372"/>
      <c r="D645" s="372"/>
      <c r="E645" s="372"/>
      <c r="F645" s="373"/>
      <c r="G645" s="374"/>
      <c r="H645" s="375"/>
      <c r="I645" s="376"/>
      <c r="J645" s="375"/>
      <c r="K645" s="377"/>
      <c r="L645" s="378"/>
      <c r="M645" s="379"/>
      <c r="N645" s="380"/>
      <c r="O645" s="327" t="str">
        <f>LEFT(J645,10)</f>
        <v/>
      </c>
    </row>
    <row r="646" spans="1:15" ht="57.6" customHeight="1" x14ac:dyDescent="0.25">
      <c r="A646" s="372"/>
      <c r="B646" s="372"/>
      <c r="C646" s="372"/>
      <c r="D646" s="372"/>
      <c r="E646" s="372"/>
      <c r="F646" s="373"/>
      <c r="G646" s="374"/>
      <c r="H646" s="375"/>
      <c r="I646" s="376"/>
      <c r="J646" s="375"/>
      <c r="K646" s="377"/>
      <c r="L646" s="378"/>
      <c r="M646" s="379"/>
      <c r="N646" s="380"/>
      <c r="O646" s="327" t="str">
        <f>LEFT(J646,10)</f>
        <v/>
      </c>
    </row>
    <row r="647" spans="1:15" ht="57.6" customHeight="1" x14ac:dyDescent="0.25">
      <c r="A647" s="372"/>
      <c r="B647" s="372"/>
      <c r="C647" s="372"/>
      <c r="D647" s="372"/>
      <c r="E647" s="372"/>
      <c r="F647" s="373"/>
      <c r="G647" s="374"/>
      <c r="H647" s="375"/>
      <c r="I647" s="376"/>
      <c r="J647" s="375"/>
      <c r="K647" s="377"/>
      <c r="L647" s="378"/>
      <c r="M647" s="379"/>
      <c r="N647" s="380"/>
      <c r="O647" s="327" t="str">
        <f>LEFT(J647,10)</f>
        <v/>
      </c>
    </row>
    <row r="648" spans="1:15" ht="57.6" customHeight="1" x14ac:dyDescent="0.25">
      <c r="A648" s="372"/>
      <c r="B648" s="372"/>
      <c r="C648" s="372"/>
      <c r="D648" s="372"/>
      <c r="E648" s="372"/>
      <c r="F648" s="373"/>
      <c r="G648" s="374"/>
      <c r="H648" s="375"/>
      <c r="I648" s="376"/>
      <c r="J648" s="375"/>
      <c r="K648" s="377"/>
      <c r="L648" s="378"/>
      <c r="M648" s="379"/>
      <c r="N648" s="380"/>
      <c r="O648" s="327" t="str">
        <f>LEFT(J648,10)</f>
        <v/>
      </c>
    </row>
    <row r="649" spans="1:15" ht="57.6" customHeight="1" x14ac:dyDescent="0.25">
      <c r="A649" s="372"/>
      <c r="B649" s="372"/>
      <c r="C649" s="372"/>
      <c r="D649" s="372"/>
      <c r="E649" s="372"/>
      <c r="F649" s="373"/>
      <c r="G649" s="374"/>
      <c r="H649" s="375"/>
      <c r="I649" s="376"/>
      <c r="J649" s="375"/>
      <c r="K649" s="377"/>
      <c r="L649" s="378"/>
      <c r="M649" s="379"/>
      <c r="N649" s="380"/>
      <c r="O649" s="327" t="str">
        <f>LEFT(J649,10)</f>
        <v/>
      </c>
    </row>
    <row r="650" spans="1:15" ht="57.6" customHeight="1" x14ac:dyDescent="0.25">
      <c r="A650" s="372"/>
      <c r="B650" s="372"/>
      <c r="C650" s="372"/>
      <c r="D650" s="372"/>
      <c r="E650" s="372"/>
      <c r="F650" s="373"/>
      <c r="G650" s="374"/>
      <c r="H650" s="375"/>
      <c r="I650" s="376"/>
      <c r="J650" s="375"/>
      <c r="K650" s="377"/>
      <c r="L650" s="378"/>
      <c r="M650" s="379"/>
      <c r="N650" s="380"/>
      <c r="O650" s="327" t="str">
        <f>LEFT(J650,10)</f>
        <v/>
      </c>
    </row>
    <row r="651" spans="1:15" ht="57.6" customHeight="1" x14ac:dyDescent="0.25">
      <c r="A651" s="372"/>
      <c r="B651" s="372"/>
      <c r="C651" s="372"/>
      <c r="D651" s="372"/>
      <c r="E651" s="372"/>
      <c r="F651" s="373"/>
      <c r="G651" s="374"/>
      <c r="H651" s="375"/>
      <c r="I651" s="376"/>
      <c r="J651" s="375"/>
      <c r="K651" s="377"/>
      <c r="L651" s="378"/>
      <c r="M651" s="379"/>
      <c r="N651" s="380"/>
      <c r="O651" s="327" t="str">
        <f>LEFT(J651,10)</f>
        <v/>
      </c>
    </row>
    <row r="652" spans="1:15" ht="57.6" customHeight="1" x14ac:dyDescent="0.25">
      <c r="A652" s="372"/>
      <c r="B652" s="372"/>
      <c r="C652" s="372"/>
      <c r="D652" s="372"/>
      <c r="E652" s="372"/>
      <c r="F652" s="373"/>
      <c r="G652" s="374"/>
      <c r="H652" s="375"/>
      <c r="I652" s="376"/>
      <c r="J652" s="375"/>
      <c r="K652" s="377"/>
      <c r="L652" s="378"/>
      <c r="M652" s="379"/>
      <c r="N652" s="380"/>
      <c r="O652" s="327" t="str">
        <f>LEFT(J652,10)</f>
        <v/>
      </c>
    </row>
    <row r="653" spans="1:15" ht="57.6" customHeight="1" x14ac:dyDescent="0.25">
      <c r="A653" s="372"/>
      <c r="B653" s="372"/>
      <c r="C653" s="372"/>
      <c r="D653" s="372"/>
      <c r="E653" s="372"/>
      <c r="F653" s="373"/>
      <c r="G653" s="374"/>
      <c r="H653" s="375"/>
      <c r="I653" s="376"/>
      <c r="J653" s="375"/>
      <c r="K653" s="377"/>
      <c r="L653" s="378"/>
      <c r="M653" s="379"/>
      <c r="N653" s="380"/>
      <c r="O653" s="327" t="str">
        <f>LEFT(J653,10)</f>
        <v/>
      </c>
    </row>
    <row r="654" spans="1:15" ht="57.6" customHeight="1" x14ac:dyDescent="0.25">
      <c r="A654" s="372"/>
      <c r="B654" s="372"/>
      <c r="C654" s="372"/>
      <c r="D654" s="372"/>
      <c r="E654" s="372"/>
      <c r="F654" s="373"/>
      <c r="G654" s="374"/>
      <c r="H654" s="375"/>
      <c r="I654" s="376"/>
      <c r="J654" s="375"/>
      <c r="K654" s="377"/>
      <c r="L654" s="378"/>
      <c r="M654" s="379"/>
      <c r="N654" s="380"/>
      <c r="O654" s="327" t="str">
        <f>LEFT(J654,10)</f>
        <v/>
      </c>
    </row>
    <row r="655" spans="1:15" ht="57.6" customHeight="1" x14ac:dyDescent="0.25">
      <c r="A655" s="372"/>
      <c r="B655" s="372"/>
      <c r="C655" s="372"/>
      <c r="D655" s="372"/>
      <c r="E655" s="372"/>
      <c r="F655" s="373"/>
      <c r="G655" s="374"/>
      <c r="H655" s="375"/>
      <c r="I655" s="376"/>
      <c r="J655" s="375"/>
      <c r="K655" s="377"/>
      <c r="L655" s="378"/>
      <c r="M655" s="379"/>
      <c r="N655" s="380"/>
      <c r="O655" s="327" t="str">
        <f>LEFT(J655,10)</f>
        <v/>
      </c>
    </row>
    <row r="656" spans="1:15" ht="57.6" customHeight="1" x14ac:dyDescent="0.25">
      <c r="A656" s="372"/>
      <c r="B656" s="372"/>
      <c r="C656" s="372"/>
      <c r="D656" s="372"/>
      <c r="E656" s="372"/>
      <c r="F656" s="373"/>
      <c r="G656" s="374"/>
      <c r="H656" s="375"/>
      <c r="I656" s="376"/>
      <c r="J656" s="375"/>
      <c r="K656" s="377"/>
      <c r="L656" s="378"/>
      <c r="M656" s="379"/>
      <c r="N656" s="380"/>
      <c r="O656" s="327" t="str">
        <f>LEFT(J656,10)</f>
        <v/>
      </c>
    </row>
    <row r="657" spans="1:15" ht="57.6" customHeight="1" x14ac:dyDescent="0.25">
      <c r="A657" s="372"/>
      <c r="B657" s="372"/>
      <c r="C657" s="372"/>
      <c r="D657" s="372"/>
      <c r="E657" s="372"/>
      <c r="F657" s="373"/>
      <c r="G657" s="374"/>
      <c r="H657" s="375"/>
      <c r="I657" s="376"/>
      <c r="J657" s="375"/>
      <c r="K657" s="377"/>
      <c r="L657" s="378"/>
      <c r="M657" s="379"/>
      <c r="N657" s="380"/>
      <c r="O657" s="327" t="str">
        <f>LEFT(J657,10)</f>
        <v/>
      </c>
    </row>
    <row r="658" spans="1:15" ht="57.6" customHeight="1" x14ac:dyDescent="0.25">
      <c r="A658" s="372"/>
      <c r="B658" s="372"/>
      <c r="C658" s="372"/>
      <c r="D658" s="372"/>
      <c r="E658" s="372"/>
      <c r="F658" s="373"/>
      <c r="G658" s="374"/>
      <c r="H658" s="375"/>
      <c r="I658" s="376"/>
      <c r="J658" s="375"/>
      <c r="K658" s="377"/>
      <c r="L658" s="378"/>
      <c r="M658" s="379"/>
      <c r="N658" s="380"/>
      <c r="O658" s="327" t="str">
        <f>LEFT(J658,10)</f>
        <v/>
      </c>
    </row>
    <row r="659" spans="1:15" ht="57.6" customHeight="1" x14ac:dyDescent="0.25">
      <c r="A659" s="372"/>
      <c r="B659" s="372"/>
      <c r="C659" s="372"/>
      <c r="D659" s="372"/>
      <c r="E659" s="372"/>
      <c r="F659" s="373"/>
      <c r="G659" s="374"/>
      <c r="H659" s="375"/>
      <c r="I659" s="376"/>
      <c r="J659" s="375"/>
      <c r="K659" s="377"/>
      <c r="L659" s="378"/>
      <c r="M659" s="379"/>
      <c r="N659" s="380"/>
      <c r="O659" s="327" t="str">
        <f>LEFT(J659,10)</f>
        <v/>
      </c>
    </row>
    <row r="660" spans="1:15" ht="57.6" customHeight="1" x14ac:dyDescent="0.25">
      <c r="A660" s="372"/>
      <c r="B660" s="372"/>
      <c r="C660" s="372"/>
      <c r="D660" s="372"/>
      <c r="E660" s="372"/>
      <c r="F660" s="373"/>
      <c r="G660" s="374"/>
      <c r="H660" s="375"/>
      <c r="I660" s="376"/>
      <c r="J660" s="375"/>
      <c r="K660" s="377"/>
      <c r="L660" s="378"/>
      <c r="M660" s="379"/>
      <c r="N660" s="380"/>
      <c r="O660" s="327" t="str">
        <f>LEFT(J660,10)</f>
        <v/>
      </c>
    </row>
    <row r="661" spans="1:15" ht="57.6" customHeight="1" x14ac:dyDescent="0.25">
      <c r="A661" s="372"/>
      <c r="B661" s="372"/>
      <c r="C661" s="372"/>
      <c r="D661" s="372"/>
      <c r="E661" s="372"/>
      <c r="F661" s="373"/>
      <c r="G661" s="374"/>
      <c r="H661" s="375"/>
      <c r="I661" s="376"/>
      <c r="J661" s="375"/>
      <c r="K661" s="377"/>
      <c r="L661" s="378"/>
      <c r="M661" s="379"/>
      <c r="N661" s="380"/>
      <c r="O661" s="327" t="str">
        <f>LEFT(J661,10)</f>
        <v/>
      </c>
    </row>
    <row r="662" spans="1:15" ht="57.6" customHeight="1" x14ac:dyDescent="0.25">
      <c r="A662" s="372"/>
      <c r="B662" s="372"/>
      <c r="C662" s="372"/>
      <c r="D662" s="372"/>
      <c r="E662" s="372"/>
      <c r="F662" s="373"/>
      <c r="G662" s="374"/>
      <c r="H662" s="375"/>
      <c r="I662" s="376"/>
      <c r="J662" s="375"/>
      <c r="K662" s="377"/>
      <c r="L662" s="378"/>
      <c r="M662" s="379"/>
      <c r="N662" s="380"/>
      <c r="O662" s="327" t="str">
        <f>LEFT(J662,10)</f>
        <v/>
      </c>
    </row>
    <row r="663" spans="1:15" ht="57.6" customHeight="1" x14ac:dyDescent="0.25">
      <c r="A663" s="372"/>
      <c r="B663" s="372"/>
      <c r="C663" s="372"/>
      <c r="D663" s="372"/>
      <c r="E663" s="372"/>
      <c r="F663" s="373"/>
      <c r="G663" s="374"/>
      <c r="H663" s="375"/>
      <c r="I663" s="376"/>
      <c r="J663" s="375"/>
      <c r="K663" s="377"/>
      <c r="L663" s="378"/>
      <c r="M663" s="379"/>
      <c r="N663" s="380"/>
      <c r="O663" s="327" t="str">
        <f>LEFT(J663,10)</f>
        <v/>
      </c>
    </row>
    <row r="664" spans="1:15" ht="57.6" customHeight="1" x14ac:dyDescent="0.25">
      <c r="A664" s="372"/>
      <c r="B664" s="372"/>
      <c r="C664" s="372"/>
      <c r="D664" s="372"/>
      <c r="E664" s="372"/>
      <c r="F664" s="373"/>
      <c r="G664" s="374"/>
      <c r="H664" s="375"/>
      <c r="I664" s="376"/>
      <c r="J664" s="375"/>
      <c r="K664" s="377"/>
      <c r="L664" s="378"/>
      <c r="M664" s="379"/>
      <c r="N664" s="380"/>
      <c r="O664" s="327" t="str">
        <f>LEFT(J664,10)</f>
        <v/>
      </c>
    </row>
    <row r="665" spans="1:15" ht="57.6" customHeight="1" x14ac:dyDescent="0.25">
      <c r="A665" s="372"/>
      <c r="B665" s="372"/>
      <c r="C665" s="372"/>
      <c r="D665" s="372"/>
      <c r="E665" s="372"/>
      <c r="F665" s="373"/>
      <c r="G665" s="374"/>
      <c r="H665" s="375"/>
      <c r="I665" s="376"/>
      <c r="J665" s="375"/>
      <c r="K665" s="377"/>
      <c r="L665" s="378"/>
      <c r="M665" s="379"/>
      <c r="N665" s="380"/>
      <c r="O665" s="327" t="str">
        <f>LEFT(J665,10)</f>
        <v/>
      </c>
    </row>
    <row r="666" spans="1:15" ht="57.6" customHeight="1" x14ac:dyDescent="0.25">
      <c r="A666" s="372"/>
      <c r="B666" s="372"/>
      <c r="C666" s="372"/>
      <c r="D666" s="372"/>
      <c r="E666" s="372"/>
      <c r="F666" s="373"/>
      <c r="G666" s="374"/>
      <c r="H666" s="375"/>
      <c r="I666" s="376"/>
      <c r="J666" s="375"/>
      <c r="K666" s="377"/>
      <c r="L666" s="378"/>
      <c r="M666" s="379"/>
      <c r="N666" s="380"/>
      <c r="O666" s="327" t="str">
        <f>LEFT(J666,10)</f>
        <v/>
      </c>
    </row>
    <row r="667" spans="1:15" ht="57.6" customHeight="1" x14ac:dyDescent="0.25">
      <c r="A667" s="372"/>
      <c r="B667" s="372"/>
      <c r="C667" s="372"/>
      <c r="D667" s="372"/>
      <c r="E667" s="372"/>
      <c r="F667" s="373"/>
      <c r="G667" s="374"/>
      <c r="H667" s="375"/>
      <c r="I667" s="376"/>
      <c r="J667" s="375"/>
      <c r="K667" s="377"/>
      <c r="L667" s="378"/>
      <c r="M667" s="379"/>
      <c r="N667" s="380"/>
      <c r="O667" s="327" t="str">
        <f>LEFT(J667,10)</f>
        <v/>
      </c>
    </row>
    <row r="668" spans="1:15" ht="57.6" customHeight="1" x14ac:dyDescent="0.25">
      <c r="A668" s="372"/>
      <c r="B668" s="372"/>
      <c r="C668" s="372"/>
      <c r="D668" s="372"/>
      <c r="E668" s="372"/>
      <c r="F668" s="373"/>
      <c r="G668" s="374"/>
      <c r="H668" s="375"/>
      <c r="I668" s="376"/>
      <c r="J668" s="375"/>
      <c r="K668" s="377"/>
      <c r="L668" s="378"/>
      <c r="M668" s="379"/>
      <c r="N668" s="380"/>
      <c r="O668" s="327" t="str">
        <f>LEFT(J668,10)</f>
        <v/>
      </c>
    </row>
    <row r="669" spans="1:15" ht="57.6" customHeight="1" x14ac:dyDescent="0.25">
      <c r="A669" s="372"/>
      <c r="B669" s="372"/>
      <c r="C669" s="372"/>
      <c r="D669" s="372"/>
      <c r="E669" s="372"/>
      <c r="F669" s="373"/>
      <c r="G669" s="374"/>
      <c r="H669" s="375"/>
      <c r="I669" s="376"/>
      <c r="J669" s="375"/>
      <c r="K669" s="377"/>
      <c r="L669" s="378"/>
      <c r="M669" s="379"/>
      <c r="N669" s="380"/>
      <c r="O669" s="327" t="str">
        <f>LEFT(J669,10)</f>
        <v/>
      </c>
    </row>
    <row r="670" spans="1:15" ht="57.6" customHeight="1" x14ac:dyDescent="0.25">
      <c r="A670" s="372"/>
      <c r="B670" s="372"/>
      <c r="C670" s="372"/>
      <c r="D670" s="372"/>
      <c r="E670" s="372"/>
      <c r="F670" s="373"/>
      <c r="G670" s="374"/>
      <c r="H670" s="375"/>
      <c r="I670" s="376"/>
      <c r="J670" s="375"/>
      <c r="K670" s="377"/>
      <c r="L670" s="378"/>
      <c r="M670" s="379"/>
      <c r="N670" s="380"/>
      <c r="O670" s="327" t="str">
        <f>LEFT(J670,10)</f>
        <v/>
      </c>
    </row>
    <row r="671" spans="1:15" ht="57.6" customHeight="1" x14ac:dyDescent="0.25">
      <c r="A671" s="372"/>
      <c r="B671" s="372"/>
      <c r="C671" s="372"/>
      <c r="D671" s="372"/>
      <c r="E671" s="372"/>
      <c r="F671" s="373"/>
      <c r="G671" s="374"/>
      <c r="H671" s="375"/>
      <c r="I671" s="376"/>
      <c r="J671" s="375"/>
      <c r="K671" s="377"/>
      <c r="L671" s="378"/>
      <c r="M671" s="379"/>
      <c r="N671" s="380"/>
      <c r="O671" s="327" t="str">
        <f>LEFT(J671,10)</f>
        <v/>
      </c>
    </row>
    <row r="672" spans="1:15" ht="57.6" customHeight="1" x14ac:dyDescent="0.25">
      <c r="A672" s="372"/>
      <c r="B672" s="372"/>
      <c r="C672" s="372"/>
      <c r="D672" s="372"/>
      <c r="E672" s="372"/>
      <c r="F672" s="373"/>
      <c r="G672" s="374"/>
      <c r="H672" s="375"/>
      <c r="I672" s="376"/>
      <c r="J672" s="375"/>
      <c r="K672" s="377"/>
      <c r="L672" s="378"/>
      <c r="M672" s="379"/>
      <c r="N672" s="380"/>
      <c r="O672" s="327" t="str">
        <f>LEFT(J672,10)</f>
        <v/>
      </c>
    </row>
    <row r="673" spans="1:15" ht="57.6" customHeight="1" x14ac:dyDescent="0.25">
      <c r="A673" s="372"/>
      <c r="B673" s="372"/>
      <c r="C673" s="372"/>
      <c r="D673" s="372"/>
      <c r="E673" s="372"/>
      <c r="F673" s="373"/>
      <c r="G673" s="374"/>
      <c r="H673" s="375"/>
      <c r="I673" s="376"/>
      <c r="J673" s="375"/>
      <c r="K673" s="377"/>
      <c r="L673" s="378"/>
      <c r="M673" s="379"/>
      <c r="N673" s="380"/>
      <c r="O673" s="327" t="str">
        <f>LEFT(J673,10)</f>
        <v/>
      </c>
    </row>
    <row r="674" spans="1:15" ht="57.6" customHeight="1" x14ac:dyDescent="0.25">
      <c r="A674" s="372"/>
      <c r="B674" s="372"/>
      <c r="C674" s="372"/>
      <c r="D674" s="372"/>
      <c r="E674" s="372"/>
      <c r="F674" s="373"/>
      <c r="G674" s="374"/>
      <c r="H674" s="375"/>
      <c r="I674" s="376"/>
      <c r="J674" s="375"/>
      <c r="K674" s="377"/>
      <c r="L674" s="378"/>
      <c r="M674" s="379"/>
      <c r="N674" s="380"/>
      <c r="O674" s="327" t="str">
        <f>LEFT(J674,10)</f>
        <v/>
      </c>
    </row>
    <row r="675" spans="1:15" ht="57.6" customHeight="1" x14ac:dyDescent="0.25">
      <c r="A675" s="372"/>
      <c r="B675" s="372"/>
      <c r="C675" s="372"/>
      <c r="D675" s="372"/>
      <c r="E675" s="372"/>
      <c r="F675" s="373"/>
      <c r="G675" s="374"/>
      <c r="H675" s="375"/>
      <c r="I675" s="376"/>
      <c r="J675" s="375"/>
      <c r="K675" s="377"/>
      <c r="L675" s="378"/>
      <c r="M675" s="379"/>
      <c r="N675" s="380"/>
      <c r="O675" s="327" t="str">
        <f>LEFT(J675,10)</f>
        <v/>
      </c>
    </row>
    <row r="676" spans="1:15" ht="57.6" customHeight="1" x14ac:dyDescent="0.25">
      <c r="A676" s="372"/>
      <c r="B676" s="372"/>
      <c r="C676" s="372"/>
      <c r="D676" s="372"/>
      <c r="E676" s="372"/>
      <c r="F676" s="373"/>
      <c r="G676" s="374"/>
      <c r="H676" s="375"/>
      <c r="I676" s="376"/>
      <c r="J676" s="375"/>
      <c r="K676" s="377"/>
      <c r="L676" s="378"/>
      <c r="M676" s="379"/>
      <c r="N676" s="380"/>
      <c r="O676" s="327" t="str">
        <f>LEFT(J676,10)</f>
        <v/>
      </c>
    </row>
    <row r="677" spans="1:15" ht="57.6" customHeight="1" x14ac:dyDescent="0.25">
      <c r="A677" s="372"/>
      <c r="B677" s="372"/>
      <c r="C677" s="372"/>
      <c r="D677" s="372"/>
      <c r="E677" s="372"/>
      <c r="F677" s="373"/>
      <c r="G677" s="374"/>
      <c r="H677" s="375"/>
      <c r="I677" s="376"/>
      <c r="J677" s="375"/>
      <c r="K677" s="377"/>
      <c r="L677" s="378"/>
      <c r="M677" s="379"/>
      <c r="N677" s="380"/>
      <c r="O677" s="327" t="str">
        <f>LEFT(J677,10)</f>
        <v/>
      </c>
    </row>
    <row r="678" spans="1:15" ht="57.6" customHeight="1" x14ac:dyDescent="0.25">
      <c r="A678" s="372"/>
      <c r="B678" s="372"/>
      <c r="C678" s="372"/>
      <c r="D678" s="372"/>
      <c r="E678" s="372"/>
      <c r="F678" s="373"/>
      <c r="G678" s="374"/>
      <c r="H678" s="375"/>
      <c r="I678" s="376"/>
      <c r="J678" s="375"/>
      <c r="K678" s="377"/>
      <c r="L678" s="378"/>
      <c r="M678" s="379"/>
      <c r="N678" s="380"/>
      <c r="O678" s="327" t="str">
        <f>LEFT(J678,10)</f>
        <v/>
      </c>
    </row>
    <row r="679" spans="1:15" ht="57.6" customHeight="1" x14ac:dyDescent="0.25">
      <c r="A679" s="372"/>
      <c r="B679" s="372"/>
      <c r="C679" s="372"/>
      <c r="D679" s="372"/>
      <c r="E679" s="372"/>
      <c r="F679" s="373"/>
      <c r="G679" s="374"/>
      <c r="H679" s="375"/>
      <c r="I679" s="376"/>
      <c r="J679" s="375"/>
      <c r="K679" s="377"/>
      <c r="L679" s="378"/>
      <c r="M679" s="379"/>
      <c r="N679" s="380"/>
      <c r="O679" s="327" t="str">
        <f>LEFT(J679,10)</f>
        <v/>
      </c>
    </row>
    <row r="680" spans="1:15" ht="57.6" customHeight="1" x14ac:dyDescent="0.25">
      <c r="A680" s="372"/>
      <c r="B680" s="372"/>
      <c r="C680" s="372"/>
      <c r="D680" s="372"/>
      <c r="E680" s="372"/>
      <c r="F680" s="373"/>
      <c r="G680" s="374"/>
      <c r="H680" s="375"/>
      <c r="I680" s="376"/>
      <c r="J680" s="375"/>
      <c r="K680" s="377"/>
      <c r="L680" s="378"/>
      <c r="M680" s="379"/>
      <c r="N680" s="380"/>
      <c r="O680" s="327" t="str">
        <f>LEFT(J680,10)</f>
        <v/>
      </c>
    </row>
    <row r="681" spans="1:15" ht="57.6" customHeight="1" x14ac:dyDescent="0.25">
      <c r="A681" s="372"/>
      <c r="B681" s="372"/>
      <c r="C681" s="372"/>
      <c r="D681" s="372"/>
      <c r="E681" s="372"/>
      <c r="F681" s="373"/>
      <c r="G681" s="374"/>
      <c r="H681" s="375"/>
      <c r="I681" s="376"/>
      <c r="J681" s="375"/>
      <c r="K681" s="377"/>
      <c r="L681" s="378"/>
      <c r="M681" s="379"/>
      <c r="N681" s="380"/>
      <c r="O681" s="327" t="str">
        <f>LEFT(J681,10)</f>
        <v/>
      </c>
    </row>
    <row r="682" spans="1:15" ht="57.6" customHeight="1" x14ac:dyDescent="0.25">
      <c r="A682" s="372"/>
      <c r="B682" s="372"/>
      <c r="C682" s="372"/>
      <c r="D682" s="372"/>
      <c r="E682" s="372"/>
      <c r="F682" s="373"/>
      <c r="G682" s="374"/>
      <c r="H682" s="375"/>
      <c r="I682" s="376"/>
      <c r="J682" s="375"/>
      <c r="K682" s="377"/>
      <c r="L682" s="378"/>
      <c r="M682" s="379"/>
      <c r="N682" s="380"/>
      <c r="O682" s="327" t="str">
        <f>LEFT(J682,10)</f>
        <v/>
      </c>
    </row>
    <row r="683" spans="1:15" ht="57.6" customHeight="1" x14ac:dyDescent="0.25">
      <c r="A683" s="372"/>
      <c r="B683" s="372"/>
      <c r="C683" s="372"/>
      <c r="D683" s="372"/>
      <c r="E683" s="372"/>
      <c r="F683" s="373"/>
      <c r="G683" s="374"/>
      <c r="H683" s="375"/>
      <c r="I683" s="376"/>
      <c r="J683" s="375"/>
      <c r="K683" s="377"/>
      <c r="L683" s="378"/>
      <c r="M683" s="379"/>
      <c r="N683" s="380"/>
      <c r="O683" s="327" t="str">
        <f>LEFT(J683,10)</f>
        <v/>
      </c>
    </row>
    <row r="684" spans="1:15" ht="57.6" customHeight="1" x14ac:dyDescent="0.25">
      <c r="A684" s="372"/>
      <c r="B684" s="372"/>
      <c r="C684" s="372"/>
      <c r="D684" s="372"/>
      <c r="E684" s="372"/>
      <c r="F684" s="373"/>
      <c r="G684" s="374"/>
      <c r="H684" s="375"/>
      <c r="I684" s="376"/>
      <c r="J684" s="375"/>
      <c r="K684" s="377"/>
      <c r="L684" s="378"/>
      <c r="M684" s="379"/>
      <c r="N684" s="380"/>
      <c r="O684" s="327" t="str">
        <f>LEFT(J684,10)</f>
        <v/>
      </c>
    </row>
    <row r="685" spans="1:15" ht="57.6" customHeight="1" x14ac:dyDescent="0.25">
      <c r="A685" s="372"/>
      <c r="B685" s="372"/>
      <c r="C685" s="372"/>
      <c r="D685" s="372"/>
      <c r="E685" s="372"/>
      <c r="F685" s="373"/>
      <c r="G685" s="374"/>
      <c r="H685" s="375"/>
      <c r="I685" s="376"/>
      <c r="J685" s="375"/>
      <c r="K685" s="377"/>
      <c r="L685" s="378"/>
      <c r="M685" s="379"/>
      <c r="N685" s="380"/>
      <c r="O685" s="327" t="str">
        <f>LEFT(J685,10)</f>
        <v/>
      </c>
    </row>
    <row r="686" spans="1:15" ht="57.6" customHeight="1" x14ac:dyDescent="0.25">
      <c r="A686" s="372"/>
      <c r="B686" s="372"/>
      <c r="C686" s="372"/>
      <c r="D686" s="372"/>
      <c r="E686" s="372"/>
      <c r="F686" s="373"/>
      <c r="G686" s="374"/>
      <c r="H686" s="375"/>
      <c r="I686" s="376"/>
      <c r="J686" s="375"/>
      <c r="K686" s="377"/>
      <c r="L686" s="378"/>
      <c r="M686" s="379"/>
      <c r="N686" s="380"/>
      <c r="O686" s="327" t="str">
        <f>LEFT(J686,10)</f>
        <v/>
      </c>
    </row>
    <row r="687" spans="1:15" ht="57.6" customHeight="1" x14ac:dyDescent="0.25">
      <c r="A687" s="372"/>
      <c r="B687" s="372"/>
      <c r="C687" s="372"/>
      <c r="D687" s="372"/>
      <c r="E687" s="372"/>
      <c r="F687" s="373"/>
      <c r="G687" s="374"/>
      <c r="H687" s="375"/>
      <c r="I687" s="376"/>
      <c r="J687" s="375"/>
      <c r="K687" s="377"/>
      <c r="L687" s="378"/>
      <c r="M687" s="379"/>
      <c r="N687" s="380"/>
      <c r="O687" s="327" t="str">
        <f>LEFT(J687,10)</f>
        <v/>
      </c>
    </row>
    <row r="688" spans="1:15" ht="57.6" customHeight="1" x14ac:dyDescent="0.25">
      <c r="A688" s="372"/>
      <c r="B688" s="372"/>
      <c r="C688" s="372"/>
      <c r="D688" s="372"/>
      <c r="E688" s="372"/>
      <c r="F688" s="373"/>
      <c r="G688" s="374"/>
      <c r="H688" s="375"/>
      <c r="I688" s="376"/>
      <c r="J688" s="375"/>
      <c r="K688" s="377"/>
      <c r="L688" s="378"/>
      <c r="M688" s="379"/>
      <c r="N688" s="380"/>
      <c r="O688" s="327" t="str">
        <f>LEFT(J688,10)</f>
        <v/>
      </c>
    </row>
    <row r="689" spans="1:15" ht="57.6" customHeight="1" x14ac:dyDescent="0.25">
      <c r="A689" s="372"/>
      <c r="B689" s="372"/>
      <c r="C689" s="372"/>
      <c r="D689" s="372"/>
      <c r="E689" s="372"/>
      <c r="F689" s="373"/>
      <c r="G689" s="374"/>
      <c r="H689" s="375"/>
      <c r="I689" s="376"/>
      <c r="J689" s="375"/>
      <c r="K689" s="377"/>
      <c r="L689" s="378"/>
      <c r="M689" s="379"/>
      <c r="N689" s="380"/>
      <c r="O689" s="327" t="str">
        <f>LEFT(J689,10)</f>
        <v/>
      </c>
    </row>
    <row r="690" spans="1:15" ht="57.6" customHeight="1" x14ac:dyDescent="0.25">
      <c r="A690" s="372"/>
      <c r="B690" s="372"/>
      <c r="C690" s="372"/>
      <c r="D690" s="372"/>
      <c r="E690" s="372"/>
      <c r="F690" s="373"/>
      <c r="G690" s="374"/>
      <c r="H690" s="375"/>
      <c r="I690" s="376"/>
      <c r="J690" s="375"/>
      <c r="K690" s="377"/>
      <c r="L690" s="378"/>
      <c r="M690" s="379"/>
      <c r="N690" s="380"/>
      <c r="O690" s="327" t="str">
        <f>LEFT(J690,10)</f>
        <v/>
      </c>
    </row>
    <row r="691" spans="1:15" ht="57.6" customHeight="1" x14ac:dyDescent="0.25">
      <c r="A691" s="372"/>
      <c r="B691" s="372"/>
      <c r="C691" s="372"/>
      <c r="D691" s="372"/>
      <c r="E691" s="372"/>
      <c r="F691" s="373"/>
      <c r="G691" s="374"/>
      <c r="H691" s="375"/>
      <c r="I691" s="376"/>
      <c r="J691" s="375"/>
      <c r="K691" s="377"/>
      <c r="L691" s="378"/>
      <c r="M691" s="379"/>
      <c r="N691" s="380"/>
      <c r="O691" s="327" t="str">
        <f>LEFT(J691,10)</f>
        <v/>
      </c>
    </row>
    <row r="692" spans="1:15" ht="57.6" customHeight="1" x14ac:dyDescent="0.25">
      <c r="A692" s="372"/>
      <c r="B692" s="372"/>
      <c r="C692" s="372"/>
      <c r="D692" s="372"/>
      <c r="E692" s="372"/>
      <c r="F692" s="373"/>
      <c r="G692" s="374"/>
      <c r="H692" s="375"/>
      <c r="I692" s="376"/>
      <c r="J692" s="375"/>
      <c r="K692" s="377"/>
      <c r="L692" s="378"/>
      <c r="M692" s="379"/>
      <c r="N692" s="380"/>
      <c r="O692" s="327" t="str">
        <f>LEFT(J692,10)</f>
        <v/>
      </c>
    </row>
    <row r="693" spans="1:15" ht="57.6" customHeight="1" x14ac:dyDescent="0.25">
      <c r="A693" s="372"/>
      <c r="B693" s="372"/>
      <c r="C693" s="372"/>
      <c r="D693" s="372"/>
      <c r="E693" s="372"/>
      <c r="F693" s="373"/>
      <c r="G693" s="374"/>
      <c r="H693" s="375"/>
      <c r="I693" s="376"/>
      <c r="J693" s="375"/>
      <c r="K693" s="377"/>
      <c r="L693" s="378"/>
      <c r="M693" s="379"/>
      <c r="N693" s="380"/>
      <c r="O693" s="327" t="str">
        <f>LEFT(J693,10)</f>
        <v/>
      </c>
    </row>
    <row r="694" spans="1:15" ht="57.6" customHeight="1" x14ac:dyDescent="0.25">
      <c r="A694" s="372"/>
      <c r="B694" s="372"/>
      <c r="C694" s="372"/>
      <c r="D694" s="372"/>
      <c r="E694" s="372"/>
      <c r="F694" s="373"/>
      <c r="G694" s="374"/>
      <c r="H694" s="375"/>
      <c r="I694" s="376"/>
      <c r="J694" s="375"/>
      <c r="K694" s="377"/>
      <c r="L694" s="378"/>
      <c r="M694" s="379"/>
      <c r="N694" s="380"/>
      <c r="O694" s="327" t="str">
        <f>LEFT(J694,10)</f>
        <v/>
      </c>
    </row>
    <row r="695" spans="1:15" ht="57.6" customHeight="1" x14ac:dyDescent="0.25">
      <c r="A695" s="372"/>
      <c r="B695" s="372"/>
      <c r="C695" s="372"/>
      <c r="D695" s="372"/>
      <c r="E695" s="372"/>
      <c r="F695" s="373"/>
      <c r="G695" s="374"/>
      <c r="H695" s="375"/>
      <c r="I695" s="376"/>
      <c r="J695" s="375"/>
      <c r="K695" s="377"/>
      <c r="L695" s="378"/>
      <c r="M695" s="379"/>
      <c r="N695" s="380"/>
      <c r="O695" s="327" t="str">
        <f>LEFT(J695,10)</f>
        <v/>
      </c>
    </row>
    <row r="696" spans="1:15" ht="57.6" customHeight="1" x14ac:dyDescent="0.25">
      <c r="A696" s="372"/>
      <c r="B696" s="372"/>
      <c r="C696" s="372"/>
      <c r="D696" s="372"/>
      <c r="E696" s="372"/>
      <c r="F696" s="373"/>
      <c r="G696" s="374"/>
      <c r="H696" s="375"/>
      <c r="I696" s="376"/>
      <c r="J696" s="375"/>
      <c r="K696" s="377"/>
      <c r="L696" s="378"/>
      <c r="M696" s="379"/>
      <c r="N696" s="380"/>
      <c r="O696" s="327" t="str">
        <f>LEFT(J696,10)</f>
        <v/>
      </c>
    </row>
    <row r="697" spans="1:15" ht="57.6" customHeight="1" x14ac:dyDescent="0.25">
      <c r="A697" s="372"/>
      <c r="B697" s="372"/>
      <c r="C697" s="372"/>
      <c r="D697" s="372"/>
      <c r="E697" s="372"/>
      <c r="F697" s="373"/>
      <c r="G697" s="374"/>
      <c r="H697" s="375"/>
      <c r="I697" s="376"/>
      <c r="J697" s="375"/>
      <c r="K697" s="377"/>
      <c r="L697" s="378"/>
      <c r="M697" s="379"/>
      <c r="N697" s="380"/>
      <c r="O697" s="327" t="str">
        <f>LEFT(J697,10)</f>
        <v/>
      </c>
    </row>
    <row r="698" spans="1:15" ht="57.6" customHeight="1" x14ac:dyDescent="0.25">
      <c r="A698" s="372"/>
      <c r="B698" s="372"/>
      <c r="C698" s="372"/>
      <c r="D698" s="372"/>
      <c r="E698" s="372"/>
      <c r="F698" s="373"/>
      <c r="G698" s="374"/>
      <c r="H698" s="375"/>
      <c r="I698" s="376"/>
      <c r="J698" s="375"/>
      <c r="K698" s="377"/>
      <c r="L698" s="378"/>
      <c r="M698" s="379"/>
      <c r="N698" s="380"/>
      <c r="O698" s="327" t="str">
        <f>LEFT(J698,10)</f>
        <v/>
      </c>
    </row>
    <row r="699" spans="1:15" ht="57.6" customHeight="1" x14ac:dyDescent="0.25">
      <c r="A699" s="372"/>
      <c r="B699" s="372"/>
      <c r="C699" s="372"/>
      <c r="D699" s="372"/>
      <c r="E699" s="372"/>
      <c r="F699" s="373"/>
      <c r="G699" s="374"/>
      <c r="H699" s="375"/>
      <c r="I699" s="376"/>
      <c r="J699" s="375"/>
      <c r="K699" s="377"/>
      <c r="L699" s="378"/>
      <c r="M699" s="379"/>
      <c r="N699" s="380"/>
      <c r="O699" s="327" t="str">
        <f>LEFT(J699,10)</f>
        <v/>
      </c>
    </row>
    <row r="700" spans="1:15" ht="57.6" customHeight="1" x14ac:dyDescent="0.25">
      <c r="A700" s="372"/>
      <c r="B700" s="372"/>
      <c r="C700" s="372"/>
      <c r="D700" s="372"/>
      <c r="E700" s="372"/>
      <c r="F700" s="373"/>
      <c r="G700" s="374"/>
      <c r="H700" s="375"/>
      <c r="I700" s="376"/>
      <c r="J700" s="375"/>
      <c r="K700" s="377"/>
      <c r="L700" s="378"/>
      <c r="M700" s="379"/>
      <c r="N700" s="380"/>
      <c r="O700" s="327" t="str">
        <f>LEFT(J700,10)</f>
        <v/>
      </c>
    </row>
    <row r="701" spans="1:15" ht="57.6" customHeight="1" x14ac:dyDescent="0.25">
      <c r="A701" s="372"/>
      <c r="B701" s="372"/>
      <c r="C701" s="372"/>
      <c r="D701" s="372"/>
      <c r="E701" s="372"/>
      <c r="F701" s="373"/>
      <c r="G701" s="374"/>
      <c r="H701" s="375"/>
      <c r="I701" s="376"/>
      <c r="J701" s="375"/>
      <c r="K701" s="377"/>
      <c r="L701" s="378"/>
      <c r="M701" s="379"/>
      <c r="N701" s="380"/>
      <c r="O701" s="327" t="str">
        <f>LEFT(J701,10)</f>
        <v/>
      </c>
    </row>
    <row r="702" spans="1:15" ht="57.6" customHeight="1" x14ac:dyDescent="0.25">
      <c r="A702" s="372"/>
      <c r="B702" s="372"/>
      <c r="C702" s="372"/>
      <c r="D702" s="372"/>
      <c r="E702" s="372"/>
      <c r="F702" s="373"/>
      <c r="G702" s="374"/>
      <c r="H702" s="375"/>
      <c r="I702" s="376"/>
      <c r="J702" s="375"/>
      <c r="K702" s="377"/>
      <c r="L702" s="378"/>
      <c r="M702" s="379"/>
      <c r="N702" s="380"/>
      <c r="O702" s="327" t="str">
        <f>LEFT(J702,10)</f>
        <v/>
      </c>
    </row>
    <row r="703" spans="1:15" ht="57.6" customHeight="1" x14ac:dyDescent="0.25">
      <c r="A703" s="372"/>
      <c r="B703" s="372"/>
      <c r="C703" s="372"/>
      <c r="D703" s="372"/>
      <c r="E703" s="372"/>
      <c r="F703" s="373"/>
      <c r="G703" s="374"/>
      <c r="H703" s="375"/>
      <c r="I703" s="376"/>
      <c r="J703" s="375"/>
      <c r="K703" s="377"/>
      <c r="L703" s="378"/>
      <c r="M703" s="379"/>
      <c r="N703" s="380"/>
      <c r="O703" s="327" t="str">
        <f>LEFT(J703,10)</f>
        <v/>
      </c>
    </row>
    <row r="704" spans="1:15" ht="57.6" customHeight="1" x14ac:dyDescent="0.25">
      <c r="A704" s="372"/>
      <c r="B704" s="372"/>
      <c r="C704" s="372"/>
      <c r="D704" s="372"/>
      <c r="E704" s="372"/>
      <c r="F704" s="373"/>
      <c r="G704" s="374"/>
      <c r="H704" s="375"/>
      <c r="I704" s="376"/>
      <c r="J704" s="375"/>
      <c r="K704" s="377"/>
      <c r="L704" s="378"/>
      <c r="M704" s="379"/>
      <c r="N704" s="380"/>
      <c r="O704" s="327" t="str">
        <f>LEFT(J704,10)</f>
        <v/>
      </c>
    </row>
    <row r="705" spans="1:15" ht="57.6" customHeight="1" x14ac:dyDescent="0.25">
      <c r="A705" s="372"/>
      <c r="B705" s="372"/>
      <c r="C705" s="372"/>
      <c r="D705" s="372"/>
      <c r="E705" s="372"/>
      <c r="F705" s="373"/>
      <c r="G705" s="374"/>
      <c r="H705" s="375"/>
      <c r="I705" s="376"/>
      <c r="J705" s="375"/>
      <c r="K705" s="377"/>
      <c r="L705" s="378"/>
      <c r="M705" s="379"/>
      <c r="N705" s="380"/>
      <c r="O705" s="327" t="str">
        <f>LEFT(J705,10)</f>
        <v/>
      </c>
    </row>
    <row r="706" spans="1:15" ht="57.6" customHeight="1" x14ac:dyDescent="0.25">
      <c r="A706" s="372"/>
      <c r="B706" s="372"/>
      <c r="C706" s="372"/>
      <c r="D706" s="372"/>
      <c r="E706" s="372"/>
      <c r="F706" s="373"/>
      <c r="G706" s="374"/>
      <c r="H706" s="375"/>
      <c r="I706" s="376"/>
      <c r="J706" s="375"/>
      <c r="K706" s="377"/>
      <c r="L706" s="378"/>
      <c r="M706" s="379"/>
      <c r="N706" s="380"/>
      <c r="O706" s="327" t="str">
        <f>LEFT(J706,10)</f>
        <v/>
      </c>
    </row>
    <row r="707" spans="1:15" ht="57.6" customHeight="1" x14ac:dyDescent="0.25">
      <c r="A707" s="372"/>
      <c r="B707" s="372"/>
      <c r="C707" s="372"/>
      <c r="D707" s="372"/>
      <c r="E707" s="372"/>
      <c r="F707" s="373"/>
      <c r="G707" s="374"/>
      <c r="H707" s="375"/>
      <c r="I707" s="376"/>
      <c r="J707" s="375"/>
      <c r="K707" s="377"/>
      <c r="L707" s="378"/>
      <c r="M707" s="379"/>
      <c r="N707" s="380"/>
      <c r="O707" s="327" t="str">
        <f>LEFT(J707,10)</f>
        <v/>
      </c>
    </row>
    <row r="708" spans="1:15" ht="57.6" customHeight="1" x14ac:dyDescent="0.25">
      <c r="A708" s="372"/>
      <c r="B708" s="372"/>
      <c r="C708" s="372"/>
      <c r="D708" s="372"/>
      <c r="E708" s="372"/>
      <c r="F708" s="373"/>
      <c r="G708" s="374"/>
      <c r="H708" s="375"/>
      <c r="I708" s="376"/>
      <c r="J708" s="375"/>
      <c r="K708" s="377"/>
      <c r="L708" s="378"/>
      <c r="M708" s="379"/>
      <c r="N708" s="380"/>
      <c r="O708" s="327" t="str">
        <f>LEFT(J708,10)</f>
        <v/>
      </c>
    </row>
    <row r="709" spans="1:15" ht="57.6" customHeight="1" x14ac:dyDescent="0.25">
      <c r="A709" s="372"/>
      <c r="B709" s="372"/>
      <c r="C709" s="372"/>
      <c r="D709" s="372"/>
      <c r="E709" s="372"/>
      <c r="F709" s="373"/>
      <c r="G709" s="374"/>
      <c r="H709" s="375"/>
      <c r="I709" s="376"/>
      <c r="J709" s="375"/>
      <c r="K709" s="377"/>
      <c r="L709" s="378"/>
      <c r="M709" s="379"/>
      <c r="N709" s="380"/>
      <c r="O709" s="327" t="str">
        <f>LEFT(J709,10)</f>
        <v/>
      </c>
    </row>
    <row r="710" spans="1:15" ht="57.6" customHeight="1" x14ac:dyDescent="0.25">
      <c r="A710" s="372"/>
      <c r="B710" s="372"/>
      <c r="C710" s="372"/>
      <c r="D710" s="372"/>
      <c r="E710" s="372"/>
      <c r="F710" s="373"/>
      <c r="G710" s="374"/>
      <c r="H710" s="375"/>
      <c r="I710" s="376"/>
      <c r="J710" s="375"/>
      <c r="K710" s="377"/>
      <c r="L710" s="378"/>
      <c r="M710" s="379"/>
      <c r="N710" s="380"/>
      <c r="O710" s="327" t="str">
        <f>LEFT(J710,10)</f>
        <v/>
      </c>
    </row>
    <row r="711" spans="1:15" ht="57.6" customHeight="1" x14ac:dyDescent="0.25">
      <c r="A711" s="372"/>
      <c r="B711" s="372"/>
      <c r="C711" s="372"/>
      <c r="D711" s="372"/>
      <c r="E711" s="372"/>
      <c r="F711" s="373"/>
      <c r="G711" s="374"/>
      <c r="H711" s="375"/>
      <c r="I711" s="376"/>
      <c r="J711" s="375"/>
      <c r="K711" s="377"/>
      <c r="L711" s="378"/>
      <c r="M711" s="379"/>
      <c r="N711" s="380"/>
      <c r="O711" s="327" t="str">
        <f>LEFT(J711,10)</f>
        <v/>
      </c>
    </row>
    <row r="712" spans="1:15" ht="57.6" customHeight="1" x14ac:dyDescent="0.25">
      <c r="A712" s="372"/>
      <c r="B712" s="372"/>
      <c r="C712" s="372"/>
      <c r="D712" s="372"/>
      <c r="E712" s="372"/>
      <c r="F712" s="373"/>
      <c r="G712" s="374"/>
      <c r="H712" s="375"/>
      <c r="I712" s="376"/>
      <c r="J712" s="375"/>
      <c r="K712" s="377"/>
      <c r="L712" s="378"/>
      <c r="M712" s="379"/>
      <c r="N712" s="380"/>
      <c r="O712" s="327" t="str">
        <f>LEFT(J712,10)</f>
        <v/>
      </c>
    </row>
    <row r="713" spans="1:15" ht="57.6" customHeight="1" x14ac:dyDescent="0.25">
      <c r="A713" s="372"/>
      <c r="B713" s="372"/>
      <c r="C713" s="372"/>
      <c r="D713" s="372"/>
      <c r="E713" s="372"/>
      <c r="F713" s="373"/>
      <c r="G713" s="374"/>
      <c r="H713" s="375"/>
      <c r="I713" s="376"/>
      <c r="J713" s="375"/>
      <c r="K713" s="377"/>
      <c r="L713" s="378"/>
      <c r="M713" s="379"/>
      <c r="N713" s="380"/>
      <c r="O713" s="327" t="str">
        <f>LEFT(J713,10)</f>
        <v/>
      </c>
    </row>
    <row r="714" spans="1:15" ht="57.6" customHeight="1" x14ac:dyDescent="0.25">
      <c r="A714" s="372"/>
      <c r="B714" s="372"/>
      <c r="C714" s="372"/>
      <c r="D714" s="372"/>
      <c r="E714" s="372"/>
      <c r="F714" s="373"/>
      <c r="G714" s="374"/>
      <c r="H714" s="375"/>
      <c r="I714" s="376"/>
      <c r="J714" s="375"/>
      <c r="K714" s="377"/>
      <c r="L714" s="378"/>
      <c r="M714" s="379"/>
      <c r="N714" s="380"/>
      <c r="O714" s="327" t="str">
        <f>LEFT(J714,10)</f>
        <v/>
      </c>
    </row>
    <row r="715" spans="1:15" ht="57.6" customHeight="1" x14ac:dyDescent="0.25">
      <c r="A715" s="372"/>
      <c r="B715" s="372"/>
      <c r="C715" s="372"/>
      <c r="D715" s="372"/>
      <c r="E715" s="372"/>
      <c r="F715" s="373"/>
      <c r="G715" s="374"/>
      <c r="H715" s="375"/>
      <c r="I715" s="376"/>
      <c r="J715" s="375"/>
      <c r="K715" s="377"/>
      <c r="L715" s="378"/>
      <c r="M715" s="379"/>
      <c r="N715" s="380"/>
      <c r="O715" s="327" t="str">
        <f>LEFT(J715,10)</f>
        <v/>
      </c>
    </row>
    <row r="716" spans="1:15" ht="57.6" customHeight="1" x14ac:dyDescent="0.25">
      <c r="A716" s="372"/>
      <c r="B716" s="372"/>
      <c r="C716" s="372"/>
      <c r="D716" s="372"/>
      <c r="E716" s="372"/>
      <c r="F716" s="373"/>
      <c r="G716" s="374"/>
      <c r="H716" s="375"/>
      <c r="I716" s="376"/>
      <c r="J716" s="375"/>
      <c r="K716" s="377"/>
      <c r="L716" s="378"/>
      <c r="M716" s="379"/>
      <c r="N716" s="380"/>
      <c r="O716" s="327" t="str">
        <f>LEFT(J716,10)</f>
        <v/>
      </c>
    </row>
    <row r="717" spans="1:15" ht="57.6" customHeight="1" x14ac:dyDescent="0.25">
      <c r="A717" s="372"/>
      <c r="B717" s="372"/>
      <c r="C717" s="372"/>
      <c r="D717" s="372"/>
      <c r="E717" s="372"/>
      <c r="F717" s="373"/>
      <c r="G717" s="374"/>
      <c r="H717" s="375"/>
      <c r="I717" s="376"/>
      <c r="J717" s="375"/>
      <c r="K717" s="377"/>
      <c r="L717" s="378"/>
      <c r="M717" s="379"/>
      <c r="N717" s="380"/>
      <c r="O717" s="327" t="str">
        <f>LEFT(J717,10)</f>
        <v/>
      </c>
    </row>
    <row r="718" spans="1:15" ht="57.6" customHeight="1" x14ac:dyDescent="0.25">
      <c r="A718" s="372"/>
      <c r="B718" s="372"/>
      <c r="C718" s="372"/>
      <c r="D718" s="372"/>
      <c r="E718" s="372"/>
      <c r="F718" s="373"/>
      <c r="G718" s="374"/>
      <c r="H718" s="375"/>
      <c r="I718" s="376"/>
      <c r="J718" s="375"/>
      <c r="K718" s="377"/>
      <c r="L718" s="378"/>
      <c r="M718" s="379"/>
      <c r="N718" s="380"/>
      <c r="O718" s="327" t="str">
        <f>LEFT(J718,10)</f>
        <v/>
      </c>
    </row>
    <row r="719" spans="1:15" ht="57.6" customHeight="1" x14ac:dyDescent="0.25">
      <c r="A719" s="372"/>
      <c r="B719" s="372"/>
      <c r="C719" s="372"/>
      <c r="D719" s="372"/>
      <c r="E719" s="372"/>
      <c r="F719" s="373"/>
      <c r="G719" s="374"/>
      <c r="H719" s="375"/>
      <c r="I719" s="376"/>
      <c r="J719" s="375"/>
      <c r="K719" s="377"/>
      <c r="L719" s="378"/>
      <c r="M719" s="379"/>
      <c r="N719" s="380"/>
      <c r="O719" s="327" t="str">
        <f>LEFT(J719,10)</f>
        <v/>
      </c>
    </row>
    <row r="720" spans="1:15" ht="57.6" customHeight="1" x14ac:dyDescent="0.25">
      <c r="A720" s="372"/>
      <c r="B720" s="372"/>
      <c r="C720" s="372"/>
      <c r="D720" s="372"/>
      <c r="E720" s="372"/>
      <c r="F720" s="373"/>
      <c r="G720" s="374"/>
      <c r="H720" s="375"/>
      <c r="I720" s="376"/>
      <c r="J720" s="375"/>
      <c r="K720" s="377"/>
      <c r="L720" s="378"/>
      <c r="M720" s="379"/>
      <c r="N720" s="380"/>
      <c r="O720" s="327" t="str">
        <f>LEFT(J720,10)</f>
        <v/>
      </c>
    </row>
    <row r="721" spans="1:15" ht="57.6" customHeight="1" x14ac:dyDescent="0.25">
      <c r="A721" s="372"/>
      <c r="B721" s="372"/>
      <c r="C721" s="372"/>
      <c r="D721" s="372"/>
      <c r="E721" s="372"/>
      <c r="F721" s="373"/>
      <c r="G721" s="374"/>
      <c r="H721" s="375"/>
      <c r="I721" s="376"/>
      <c r="J721" s="375"/>
      <c r="K721" s="377"/>
      <c r="L721" s="378"/>
      <c r="M721" s="379"/>
      <c r="N721" s="380"/>
      <c r="O721" s="327" t="str">
        <f>LEFT(J721,10)</f>
        <v/>
      </c>
    </row>
    <row r="722" spans="1:15" ht="57.6" customHeight="1" x14ac:dyDescent="0.25">
      <c r="A722" s="372"/>
      <c r="B722" s="372"/>
      <c r="C722" s="372"/>
      <c r="D722" s="372"/>
      <c r="E722" s="372"/>
      <c r="F722" s="373"/>
      <c r="G722" s="374"/>
      <c r="H722" s="375"/>
      <c r="I722" s="376"/>
      <c r="J722" s="375"/>
      <c r="K722" s="377"/>
      <c r="L722" s="378"/>
      <c r="M722" s="379"/>
      <c r="N722" s="380"/>
      <c r="O722" s="327" t="str">
        <f>LEFT(J722,10)</f>
        <v/>
      </c>
    </row>
    <row r="723" spans="1:15" ht="57.6" customHeight="1" x14ac:dyDescent="0.25">
      <c r="A723" s="372"/>
      <c r="B723" s="372"/>
      <c r="C723" s="372"/>
      <c r="D723" s="372"/>
      <c r="E723" s="372"/>
      <c r="F723" s="373"/>
      <c r="G723" s="374"/>
      <c r="H723" s="375"/>
      <c r="I723" s="376"/>
      <c r="J723" s="375"/>
      <c r="K723" s="377"/>
      <c r="L723" s="378"/>
      <c r="M723" s="379"/>
      <c r="N723" s="380"/>
      <c r="O723" s="327" t="str">
        <f>LEFT(J723,10)</f>
        <v/>
      </c>
    </row>
    <row r="724" spans="1:15" ht="57.6" customHeight="1" x14ac:dyDescent="0.25">
      <c r="A724" s="372"/>
      <c r="B724" s="372"/>
      <c r="C724" s="372"/>
      <c r="D724" s="372"/>
      <c r="E724" s="372"/>
      <c r="F724" s="373"/>
      <c r="G724" s="374"/>
      <c r="H724" s="375"/>
      <c r="I724" s="376"/>
      <c r="J724" s="375"/>
      <c r="K724" s="377"/>
      <c r="L724" s="378"/>
      <c r="M724" s="379"/>
      <c r="N724" s="380"/>
      <c r="O724" s="327" t="str">
        <f>LEFT(J724,10)</f>
        <v/>
      </c>
    </row>
    <row r="725" spans="1:15" ht="57.6" customHeight="1" x14ac:dyDescent="0.25">
      <c r="A725" s="372"/>
      <c r="B725" s="372"/>
      <c r="C725" s="372"/>
      <c r="D725" s="372"/>
      <c r="E725" s="372"/>
      <c r="F725" s="373"/>
      <c r="G725" s="374"/>
      <c r="H725" s="375"/>
      <c r="I725" s="376"/>
      <c r="J725" s="375"/>
      <c r="K725" s="377"/>
      <c r="L725" s="378"/>
      <c r="M725" s="379"/>
      <c r="N725" s="380"/>
      <c r="O725" s="327" t="str">
        <f>LEFT(J725,10)</f>
        <v/>
      </c>
    </row>
    <row r="726" spans="1:15" ht="57.6" customHeight="1" x14ac:dyDescent="0.25">
      <c r="A726" s="372"/>
      <c r="B726" s="372"/>
      <c r="C726" s="372"/>
      <c r="D726" s="372"/>
      <c r="E726" s="372"/>
      <c r="F726" s="373"/>
      <c r="G726" s="374"/>
      <c r="H726" s="375"/>
      <c r="I726" s="376"/>
      <c r="J726" s="375"/>
      <c r="K726" s="377"/>
      <c r="L726" s="378"/>
      <c r="M726" s="379"/>
      <c r="N726" s="380"/>
      <c r="O726" s="327" t="str">
        <f>LEFT(J726,10)</f>
        <v/>
      </c>
    </row>
    <row r="727" spans="1:15" ht="57.6" customHeight="1" x14ac:dyDescent="0.25">
      <c r="A727" s="372"/>
      <c r="B727" s="372"/>
      <c r="C727" s="372"/>
      <c r="D727" s="372"/>
      <c r="E727" s="372"/>
      <c r="F727" s="373"/>
      <c r="G727" s="374"/>
      <c r="H727" s="375"/>
      <c r="I727" s="376"/>
      <c r="J727" s="375"/>
      <c r="K727" s="377"/>
      <c r="L727" s="378"/>
      <c r="M727" s="379"/>
      <c r="N727" s="380"/>
      <c r="O727" s="327" t="str">
        <f>LEFT(J727,10)</f>
        <v/>
      </c>
    </row>
    <row r="728" spans="1:15" ht="57.6" customHeight="1" x14ac:dyDescent="0.25">
      <c r="A728" s="372"/>
      <c r="B728" s="372"/>
      <c r="C728" s="372"/>
      <c r="D728" s="372"/>
      <c r="E728" s="372"/>
      <c r="F728" s="373"/>
      <c r="G728" s="374"/>
      <c r="H728" s="375"/>
      <c r="I728" s="376"/>
      <c r="J728" s="375"/>
      <c r="K728" s="377"/>
      <c r="L728" s="378"/>
      <c r="M728" s="379"/>
      <c r="N728" s="380"/>
      <c r="O728" s="327" t="str">
        <f>LEFT(J728,10)</f>
        <v/>
      </c>
    </row>
    <row r="729" spans="1:15" ht="57.6" customHeight="1" x14ac:dyDescent="0.25">
      <c r="A729" s="372"/>
      <c r="B729" s="372"/>
      <c r="C729" s="372"/>
      <c r="D729" s="372"/>
      <c r="E729" s="372"/>
      <c r="F729" s="373"/>
      <c r="G729" s="374"/>
      <c r="H729" s="375"/>
      <c r="I729" s="376"/>
      <c r="J729" s="375"/>
      <c r="K729" s="377"/>
      <c r="L729" s="378"/>
      <c r="M729" s="379"/>
      <c r="N729" s="380"/>
      <c r="O729" s="327" t="str">
        <f>LEFT(J729,10)</f>
        <v/>
      </c>
    </row>
    <row r="730" spans="1:15" ht="57.6" customHeight="1" x14ac:dyDescent="0.25">
      <c r="A730" s="372"/>
      <c r="B730" s="372"/>
      <c r="C730" s="372"/>
      <c r="D730" s="372"/>
      <c r="E730" s="372"/>
      <c r="F730" s="373"/>
      <c r="G730" s="374"/>
      <c r="H730" s="375"/>
      <c r="I730" s="376"/>
      <c r="J730" s="375"/>
      <c r="K730" s="377"/>
      <c r="L730" s="378"/>
      <c r="M730" s="379"/>
      <c r="N730" s="380"/>
      <c r="O730" s="327" t="str">
        <f>LEFT(J730,10)</f>
        <v/>
      </c>
    </row>
    <row r="731" spans="1:15" ht="57.6" customHeight="1" x14ac:dyDescent="0.25">
      <c r="A731" s="372"/>
      <c r="B731" s="372"/>
      <c r="C731" s="372"/>
      <c r="D731" s="372"/>
      <c r="E731" s="372"/>
      <c r="F731" s="373"/>
      <c r="G731" s="374"/>
      <c r="H731" s="375"/>
      <c r="I731" s="376"/>
      <c r="J731" s="375"/>
      <c r="K731" s="377"/>
      <c r="L731" s="378"/>
      <c r="M731" s="379"/>
      <c r="N731" s="380"/>
      <c r="O731" s="327" t="str">
        <f>LEFT(J731,10)</f>
        <v/>
      </c>
    </row>
    <row r="732" spans="1:15" ht="57.6" customHeight="1" x14ac:dyDescent="0.25">
      <c r="A732" s="372"/>
      <c r="B732" s="372"/>
      <c r="C732" s="372"/>
      <c r="D732" s="372"/>
      <c r="E732" s="372"/>
      <c r="F732" s="373"/>
      <c r="G732" s="374"/>
      <c r="H732" s="375"/>
      <c r="I732" s="376"/>
      <c r="J732" s="375"/>
      <c r="K732" s="377"/>
      <c r="L732" s="378"/>
      <c r="M732" s="379"/>
      <c r="N732" s="380"/>
      <c r="O732" s="327" t="str">
        <f>LEFT(J732,10)</f>
        <v/>
      </c>
    </row>
    <row r="733" spans="1:15" ht="57.6" customHeight="1" x14ac:dyDescent="0.25">
      <c r="A733" s="372"/>
      <c r="B733" s="372"/>
      <c r="C733" s="372"/>
      <c r="D733" s="372"/>
      <c r="E733" s="372"/>
      <c r="F733" s="373"/>
      <c r="G733" s="374"/>
      <c r="H733" s="375"/>
      <c r="I733" s="376"/>
      <c r="J733" s="375"/>
      <c r="K733" s="377"/>
      <c r="L733" s="378"/>
      <c r="M733" s="379"/>
      <c r="N733" s="380"/>
      <c r="O733" s="327" t="str">
        <f>LEFT(J733,10)</f>
        <v/>
      </c>
    </row>
    <row r="734" spans="1:15" ht="57.6" customHeight="1" x14ac:dyDescent="0.25">
      <c r="A734" s="372"/>
      <c r="B734" s="372"/>
      <c r="C734" s="372"/>
      <c r="D734" s="372"/>
      <c r="E734" s="372"/>
      <c r="F734" s="373"/>
      <c r="G734" s="374"/>
      <c r="H734" s="375"/>
      <c r="I734" s="376"/>
      <c r="J734" s="375"/>
      <c r="K734" s="377"/>
      <c r="L734" s="378"/>
      <c r="M734" s="379"/>
      <c r="N734" s="380"/>
      <c r="O734" s="327" t="str">
        <f>LEFT(J734,10)</f>
        <v/>
      </c>
    </row>
    <row r="735" spans="1:15" ht="57.6" customHeight="1" x14ac:dyDescent="0.25">
      <c r="A735" s="372"/>
      <c r="B735" s="372"/>
      <c r="C735" s="372"/>
      <c r="D735" s="372"/>
      <c r="E735" s="372"/>
      <c r="F735" s="373"/>
      <c r="G735" s="374"/>
      <c r="H735" s="375"/>
      <c r="I735" s="376"/>
      <c r="J735" s="375"/>
      <c r="K735" s="377"/>
      <c r="L735" s="378"/>
      <c r="M735" s="379"/>
      <c r="N735" s="380"/>
      <c r="O735" s="327" t="str">
        <f>LEFT(J735,10)</f>
        <v/>
      </c>
    </row>
    <row r="736" spans="1:15" ht="57.6" customHeight="1" x14ac:dyDescent="0.25">
      <c r="A736" s="372"/>
      <c r="B736" s="372"/>
      <c r="C736" s="372"/>
      <c r="D736" s="372"/>
      <c r="E736" s="372"/>
      <c r="F736" s="373"/>
      <c r="G736" s="374"/>
      <c r="H736" s="375"/>
      <c r="I736" s="376"/>
      <c r="J736" s="375"/>
      <c r="K736" s="377"/>
      <c r="L736" s="378"/>
      <c r="M736" s="379"/>
      <c r="N736" s="380"/>
      <c r="O736" s="327" t="str">
        <f>LEFT(J736,10)</f>
        <v/>
      </c>
    </row>
    <row r="737" spans="1:15" ht="57.6" customHeight="1" x14ac:dyDescent="0.25">
      <c r="A737" s="372"/>
      <c r="B737" s="372"/>
      <c r="C737" s="372"/>
      <c r="D737" s="372"/>
      <c r="E737" s="372"/>
      <c r="F737" s="373"/>
      <c r="G737" s="374"/>
      <c r="H737" s="375"/>
      <c r="I737" s="376"/>
      <c r="J737" s="375"/>
      <c r="K737" s="377"/>
      <c r="L737" s="378"/>
      <c r="M737" s="379"/>
      <c r="N737" s="380"/>
      <c r="O737" s="327" t="str">
        <f>LEFT(J737,10)</f>
        <v/>
      </c>
    </row>
    <row r="738" spans="1:15" ht="57.6" customHeight="1" x14ac:dyDescent="0.25">
      <c r="A738" s="372"/>
      <c r="B738" s="372"/>
      <c r="C738" s="372"/>
      <c r="D738" s="372"/>
      <c r="E738" s="372"/>
      <c r="F738" s="373"/>
      <c r="G738" s="374"/>
      <c r="H738" s="375"/>
      <c r="I738" s="376"/>
      <c r="J738" s="375"/>
      <c r="K738" s="377"/>
      <c r="L738" s="378"/>
      <c r="M738" s="379"/>
      <c r="N738" s="380"/>
      <c r="O738" s="327" t="str">
        <f>LEFT(J738,10)</f>
        <v/>
      </c>
    </row>
    <row r="739" spans="1:15" ht="57.6" customHeight="1" x14ac:dyDescent="0.25">
      <c r="A739" s="372"/>
      <c r="B739" s="372"/>
      <c r="C739" s="372"/>
      <c r="D739" s="372"/>
      <c r="E739" s="372"/>
      <c r="F739" s="373"/>
      <c r="G739" s="374"/>
      <c r="H739" s="375"/>
      <c r="I739" s="376"/>
      <c r="J739" s="375"/>
      <c r="K739" s="377"/>
      <c r="L739" s="378"/>
      <c r="M739" s="379"/>
      <c r="N739" s="380"/>
      <c r="O739" s="327" t="str">
        <f>LEFT(J739,10)</f>
        <v/>
      </c>
    </row>
    <row r="740" spans="1:15" ht="57.6" customHeight="1" x14ac:dyDescent="0.25">
      <c r="A740" s="372"/>
      <c r="B740" s="372"/>
      <c r="C740" s="372"/>
      <c r="D740" s="372"/>
      <c r="E740" s="372"/>
      <c r="F740" s="373"/>
      <c r="G740" s="374"/>
      <c r="H740" s="375"/>
      <c r="I740" s="376"/>
      <c r="J740" s="375"/>
      <c r="K740" s="377"/>
      <c r="L740" s="378"/>
      <c r="M740" s="379"/>
      <c r="N740" s="380"/>
      <c r="O740" s="327" t="str">
        <f>LEFT(J740,10)</f>
        <v/>
      </c>
    </row>
    <row r="741" spans="1:15" ht="57.6" customHeight="1" x14ac:dyDescent="0.25">
      <c r="A741" s="372"/>
      <c r="B741" s="372"/>
      <c r="C741" s="372"/>
      <c r="D741" s="372"/>
      <c r="E741" s="372"/>
      <c r="F741" s="373"/>
      <c r="G741" s="374"/>
      <c r="H741" s="375"/>
      <c r="I741" s="376"/>
      <c r="J741" s="375"/>
      <c r="K741" s="377"/>
      <c r="L741" s="378"/>
      <c r="M741" s="379"/>
      <c r="N741" s="380"/>
      <c r="O741" s="327" t="str">
        <f>LEFT(J741,10)</f>
        <v/>
      </c>
    </row>
    <row r="742" spans="1:15" ht="57.6" customHeight="1" x14ac:dyDescent="0.25">
      <c r="A742" s="372"/>
      <c r="B742" s="372"/>
      <c r="C742" s="372"/>
      <c r="D742" s="372"/>
      <c r="E742" s="372"/>
      <c r="F742" s="373"/>
      <c r="G742" s="374"/>
      <c r="H742" s="375"/>
      <c r="I742" s="376"/>
      <c r="J742" s="375"/>
      <c r="K742" s="377"/>
      <c r="L742" s="378"/>
      <c r="M742" s="379"/>
      <c r="N742" s="380"/>
      <c r="O742" s="327" t="str">
        <f>LEFT(J742,10)</f>
        <v/>
      </c>
    </row>
    <row r="743" spans="1:15" ht="57.6" customHeight="1" x14ac:dyDescent="0.25">
      <c r="A743" s="372"/>
      <c r="B743" s="372"/>
      <c r="C743" s="372"/>
      <c r="D743" s="372"/>
      <c r="E743" s="372"/>
      <c r="F743" s="373"/>
      <c r="G743" s="374"/>
      <c r="H743" s="375"/>
      <c r="I743" s="376"/>
      <c r="J743" s="375"/>
      <c r="K743" s="377"/>
      <c r="L743" s="378"/>
      <c r="M743" s="379"/>
      <c r="N743" s="380"/>
      <c r="O743" s="327" t="str">
        <f>LEFT(J743,10)</f>
        <v/>
      </c>
    </row>
    <row r="744" spans="1:15" ht="57.6" customHeight="1" x14ac:dyDescent="0.25">
      <c r="A744" s="372"/>
      <c r="B744" s="372"/>
      <c r="C744" s="372"/>
      <c r="D744" s="372"/>
      <c r="E744" s="372"/>
      <c r="F744" s="373"/>
      <c r="G744" s="374"/>
      <c r="H744" s="375"/>
      <c r="I744" s="376"/>
      <c r="J744" s="375"/>
      <c r="K744" s="377"/>
      <c r="L744" s="378"/>
      <c r="M744" s="379"/>
      <c r="N744" s="380"/>
      <c r="O744" s="327" t="str">
        <f>LEFT(J744,10)</f>
        <v/>
      </c>
    </row>
    <row r="745" spans="1:15" ht="57.6" customHeight="1" x14ac:dyDescent="0.25">
      <c r="A745" s="372"/>
      <c r="B745" s="372"/>
      <c r="C745" s="372"/>
      <c r="D745" s="372"/>
      <c r="E745" s="372"/>
      <c r="F745" s="373"/>
      <c r="G745" s="374"/>
      <c r="H745" s="375"/>
      <c r="I745" s="376"/>
      <c r="J745" s="375"/>
      <c r="K745" s="377"/>
      <c r="L745" s="378"/>
      <c r="M745" s="379"/>
      <c r="N745" s="380"/>
      <c r="O745" s="327" t="str">
        <f>LEFT(J745,10)</f>
        <v/>
      </c>
    </row>
    <row r="746" spans="1:15" ht="57.6" customHeight="1" x14ac:dyDescent="0.25">
      <c r="A746" s="372"/>
      <c r="B746" s="372"/>
      <c r="C746" s="372"/>
      <c r="D746" s="372"/>
      <c r="E746" s="372"/>
      <c r="F746" s="373"/>
      <c r="G746" s="374"/>
      <c r="H746" s="375"/>
      <c r="I746" s="376"/>
      <c r="J746" s="375"/>
      <c r="K746" s="377"/>
      <c r="L746" s="378"/>
      <c r="M746" s="379"/>
      <c r="N746" s="380"/>
      <c r="O746" s="327" t="str">
        <f>LEFT(J746,10)</f>
        <v/>
      </c>
    </row>
    <row r="747" spans="1:15" ht="57.6" customHeight="1" x14ac:dyDescent="0.25">
      <c r="A747" s="372"/>
      <c r="B747" s="372"/>
      <c r="C747" s="372"/>
      <c r="D747" s="372"/>
      <c r="E747" s="372"/>
      <c r="F747" s="373"/>
      <c r="G747" s="374"/>
      <c r="H747" s="375"/>
      <c r="I747" s="376"/>
      <c r="J747" s="375"/>
      <c r="K747" s="377"/>
      <c r="L747" s="378"/>
      <c r="M747" s="379"/>
      <c r="N747" s="380"/>
      <c r="O747" s="327" t="str">
        <f>LEFT(J747,10)</f>
        <v/>
      </c>
    </row>
    <row r="748" spans="1:15" ht="57.6" customHeight="1" x14ac:dyDescent="0.25">
      <c r="A748" s="372"/>
      <c r="B748" s="372"/>
      <c r="C748" s="372"/>
      <c r="D748" s="372"/>
      <c r="E748" s="372"/>
      <c r="F748" s="373"/>
      <c r="G748" s="374"/>
      <c r="H748" s="375"/>
      <c r="I748" s="376"/>
      <c r="J748" s="375"/>
      <c r="K748" s="377"/>
      <c r="L748" s="378"/>
      <c r="M748" s="379"/>
      <c r="N748" s="380"/>
      <c r="O748" s="327" t="str">
        <f>LEFT(J748,10)</f>
        <v/>
      </c>
    </row>
    <row r="749" spans="1:15" ht="57.6" customHeight="1" x14ac:dyDescent="0.25">
      <c r="A749" s="372"/>
      <c r="B749" s="372"/>
      <c r="C749" s="372"/>
      <c r="D749" s="372"/>
      <c r="E749" s="372"/>
      <c r="F749" s="373"/>
      <c r="G749" s="374"/>
      <c r="H749" s="375"/>
      <c r="I749" s="376"/>
      <c r="J749" s="375"/>
      <c r="K749" s="377"/>
      <c r="L749" s="378"/>
      <c r="M749" s="379"/>
      <c r="N749" s="380"/>
      <c r="O749" s="327" t="str">
        <f>LEFT(J749,10)</f>
        <v/>
      </c>
    </row>
    <row r="750" spans="1:15" ht="57.6" customHeight="1" x14ac:dyDescent="0.25">
      <c r="A750" s="372"/>
      <c r="B750" s="372"/>
      <c r="C750" s="372"/>
      <c r="D750" s="372"/>
      <c r="E750" s="372"/>
      <c r="F750" s="373"/>
      <c r="G750" s="374"/>
      <c r="H750" s="375"/>
      <c r="I750" s="376"/>
      <c r="J750" s="375"/>
      <c r="K750" s="377"/>
      <c r="L750" s="378"/>
      <c r="M750" s="379"/>
      <c r="N750" s="380"/>
      <c r="O750" s="327" t="str">
        <f>LEFT(J750,10)</f>
        <v/>
      </c>
    </row>
    <row r="751" spans="1:15" ht="57.6" customHeight="1" x14ac:dyDescent="0.25">
      <c r="A751" s="372"/>
      <c r="B751" s="372"/>
      <c r="C751" s="372"/>
      <c r="D751" s="372"/>
      <c r="E751" s="372"/>
      <c r="F751" s="373"/>
      <c r="G751" s="374"/>
      <c r="H751" s="375"/>
      <c r="I751" s="376"/>
      <c r="J751" s="375"/>
      <c r="K751" s="377"/>
      <c r="L751" s="378"/>
      <c r="M751" s="379"/>
      <c r="N751" s="380"/>
      <c r="O751" s="327" t="str">
        <f>LEFT(J751,10)</f>
        <v/>
      </c>
    </row>
    <row r="752" spans="1:15" ht="57.6" customHeight="1" x14ac:dyDescent="0.25">
      <c r="A752" s="372"/>
      <c r="B752" s="372"/>
      <c r="C752" s="372"/>
      <c r="D752" s="372"/>
      <c r="E752" s="372"/>
      <c r="F752" s="373"/>
      <c r="G752" s="374"/>
      <c r="H752" s="375"/>
      <c r="I752" s="376"/>
      <c r="J752" s="375"/>
      <c r="K752" s="377"/>
      <c r="L752" s="378"/>
      <c r="M752" s="379"/>
      <c r="N752" s="380"/>
      <c r="O752" s="327" t="str">
        <f>LEFT(J752,10)</f>
        <v/>
      </c>
    </row>
    <row r="753" spans="1:15" ht="57.6" customHeight="1" x14ac:dyDescent="0.25">
      <c r="A753" s="372"/>
      <c r="B753" s="372"/>
      <c r="C753" s="372"/>
      <c r="D753" s="372"/>
      <c r="E753" s="372"/>
      <c r="F753" s="373"/>
      <c r="G753" s="374"/>
      <c r="H753" s="375"/>
      <c r="I753" s="376"/>
      <c r="J753" s="375"/>
      <c r="K753" s="377"/>
      <c r="L753" s="378"/>
      <c r="M753" s="379"/>
      <c r="N753" s="380"/>
      <c r="O753" s="327" t="str">
        <f>LEFT(J753,10)</f>
        <v/>
      </c>
    </row>
    <row r="754" spans="1:15" ht="57.6" customHeight="1" x14ac:dyDescent="0.25">
      <c r="A754" s="372"/>
      <c r="B754" s="372"/>
      <c r="C754" s="372"/>
      <c r="D754" s="372"/>
      <c r="E754" s="372"/>
      <c r="F754" s="373"/>
      <c r="G754" s="374"/>
      <c r="H754" s="375"/>
      <c r="I754" s="376"/>
      <c r="J754" s="375"/>
      <c r="K754" s="377"/>
      <c r="L754" s="378"/>
      <c r="M754" s="379"/>
      <c r="N754" s="380"/>
      <c r="O754" s="327" t="str">
        <f>LEFT(J754,10)</f>
        <v/>
      </c>
    </row>
    <row r="755" spans="1:15" ht="57.6" customHeight="1" x14ac:dyDescent="0.25">
      <c r="A755" s="372"/>
      <c r="B755" s="372"/>
      <c r="C755" s="372"/>
      <c r="D755" s="372"/>
      <c r="E755" s="372"/>
      <c r="F755" s="373"/>
      <c r="G755" s="374"/>
      <c r="H755" s="375"/>
      <c r="I755" s="376"/>
      <c r="J755" s="375"/>
      <c r="K755" s="377"/>
      <c r="L755" s="378"/>
      <c r="M755" s="379"/>
      <c r="N755" s="380"/>
      <c r="O755" s="327" t="str">
        <f>LEFT(J755,10)</f>
        <v/>
      </c>
    </row>
    <row r="756" spans="1:15" ht="57.6" customHeight="1" x14ac:dyDescent="0.25">
      <c r="A756" s="372"/>
      <c r="B756" s="372"/>
      <c r="C756" s="372"/>
      <c r="D756" s="372"/>
      <c r="E756" s="372"/>
      <c r="F756" s="373"/>
      <c r="G756" s="374"/>
      <c r="H756" s="375"/>
      <c r="I756" s="376"/>
      <c r="J756" s="375"/>
      <c r="K756" s="377"/>
      <c r="L756" s="378"/>
      <c r="M756" s="379"/>
      <c r="N756" s="380"/>
      <c r="O756" s="327" t="str">
        <f>LEFT(J756,10)</f>
        <v/>
      </c>
    </row>
    <row r="757" spans="1:15" ht="57.6" customHeight="1" x14ac:dyDescent="0.25">
      <c r="A757" s="372"/>
      <c r="B757" s="372"/>
      <c r="C757" s="372"/>
      <c r="D757" s="372"/>
      <c r="E757" s="372"/>
      <c r="F757" s="373"/>
      <c r="G757" s="374"/>
      <c r="H757" s="375"/>
      <c r="I757" s="376"/>
      <c r="J757" s="375"/>
      <c r="K757" s="377"/>
      <c r="L757" s="378"/>
      <c r="M757" s="379"/>
      <c r="N757" s="380"/>
      <c r="O757" s="327" t="str">
        <f>LEFT(J757,10)</f>
        <v/>
      </c>
    </row>
    <row r="758" spans="1:15" ht="57.6" customHeight="1" x14ac:dyDescent="0.25">
      <c r="A758" s="372"/>
      <c r="B758" s="372"/>
      <c r="C758" s="372"/>
      <c r="D758" s="372"/>
      <c r="E758" s="372"/>
      <c r="F758" s="373"/>
      <c r="G758" s="374"/>
      <c r="H758" s="375"/>
      <c r="I758" s="376"/>
      <c r="J758" s="375"/>
      <c r="K758" s="377"/>
      <c r="L758" s="378"/>
      <c r="M758" s="379"/>
      <c r="N758" s="380"/>
      <c r="O758" s="327" t="str">
        <f>LEFT(J758,10)</f>
        <v/>
      </c>
    </row>
    <row r="759" spans="1:15" ht="57.6" customHeight="1" x14ac:dyDescent="0.25">
      <c r="A759" s="372"/>
      <c r="B759" s="372"/>
      <c r="C759" s="372"/>
      <c r="D759" s="372"/>
      <c r="E759" s="372"/>
      <c r="F759" s="373"/>
      <c r="G759" s="374"/>
      <c r="H759" s="375"/>
      <c r="I759" s="376"/>
      <c r="J759" s="375"/>
      <c r="K759" s="377"/>
      <c r="L759" s="378"/>
      <c r="M759" s="379"/>
      <c r="N759" s="380"/>
      <c r="O759" s="327" t="str">
        <f>LEFT(J759,10)</f>
        <v/>
      </c>
    </row>
    <row r="760" spans="1:15" ht="57.6" customHeight="1" x14ac:dyDescent="0.25">
      <c r="A760" s="372"/>
      <c r="B760" s="372"/>
      <c r="C760" s="372"/>
      <c r="D760" s="372"/>
      <c r="E760" s="372"/>
      <c r="F760" s="373"/>
      <c r="G760" s="374"/>
      <c r="H760" s="375"/>
      <c r="I760" s="376"/>
      <c r="J760" s="375"/>
      <c r="K760" s="377"/>
      <c r="L760" s="378"/>
      <c r="M760" s="379"/>
      <c r="N760" s="380"/>
      <c r="O760" s="327" t="str">
        <f>LEFT(J760,10)</f>
        <v/>
      </c>
    </row>
    <row r="761" spans="1:15" ht="57.6" customHeight="1" x14ac:dyDescent="0.25">
      <c r="A761" s="372"/>
      <c r="B761" s="372"/>
      <c r="C761" s="372"/>
      <c r="D761" s="372"/>
      <c r="E761" s="372"/>
      <c r="F761" s="373"/>
      <c r="G761" s="374"/>
      <c r="H761" s="375"/>
      <c r="I761" s="376"/>
      <c r="J761" s="375"/>
      <c r="K761" s="377"/>
      <c r="L761" s="378"/>
      <c r="M761" s="379"/>
      <c r="N761" s="380"/>
      <c r="O761" s="327" t="str">
        <f>LEFT(J761,10)</f>
        <v/>
      </c>
    </row>
    <row r="762" spans="1:15" ht="57.6" customHeight="1" x14ac:dyDescent="0.25">
      <c r="A762" s="372"/>
      <c r="B762" s="372"/>
      <c r="C762" s="372"/>
      <c r="D762" s="372"/>
      <c r="E762" s="372"/>
      <c r="F762" s="373"/>
      <c r="G762" s="374"/>
      <c r="H762" s="375"/>
      <c r="I762" s="376"/>
      <c r="J762" s="375"/>
      <c r="K762" s="377"/>
      <c r="L762" s="378"/>
      <c r="M762" s="379"/>
      <c r="N762" s="380"/>
      <c r="O762" s="327" t="str">
        <f>LEFT(J762,10)</f>
        <v/>
      </c>
    </row>
    <row r="763" spans="1:15" ht="57.6" customHeight="1" x14ac:dyDescent="0.25">
      <c r="A763" s="372"/>
      <c r="B763" s="372"/>
      <c r="C763" s="372"/>
      <c r="D763" s="372"/>
      <c r="E763" s="372"/>
      <c r="F763" s="373"/>
      <c r="G763" s="374"/>
      <c r="H763" s="375"/>
      <c r="I763" s="376"/>
      <c r="J763" s="375"/>
      <c r="K763" s="377"/>
      <c r="L763" s="378"/>
      <c r="M763" s="379"/>
      <c r="N763" s="380"/>
      <c r="O763" s="327" t="str">
        <f>LEFT(J763,10)</f>
        <v/>
      </c>
    </row>
    <row r="764" spans="1:15" ht="57.6" customHeight="1" x14ac:dyDescent="0.25">
      <c r="A764" s="372"/>
      <c r="B764" s="372"/>
      <c r="C764" s="372"/>
      <c r="D764" s="372"/>
      <c r="E764" s="372"/>
      <c r="F764" s="373"/>
      <c r="G764" s="374"/>
      <c r="H764" s="375"/>
      <c r="I764" s="376"/>
      <c r="J764" s="375"/>
      <c r="K764" s="377"/>
      <c r="L764" s="378"/>
      <c r="M764" s="379"/>
      <c r="N764" s="380"/>
      <c r="O764" s="327" t="str">
        <f>LEFT(J764,10)</f>
        <v/>
      </c>
    </row>
    <row r="765" spans="1:15" ht="57.6" customHeight="1" x14ac:dyDescent="0.25">
      <c r="A765" s="372"/>
      <c r="B765" s="372"/>
      <c r="C765" s="372"/>
      <c r="D765" s="372"/>
      <c r="E765" s="372"/>
      <c r="F765" s="373"/>
      <c r="G765" s="374"/>
      <c r="H765" s="375"/>
      <c r="I765" s="376"/>
      <c r="J765" s="375"/>
      <c r="K765" s="377"/>
      <c r="L765" s="378"/>
      <c r="M765" s="379"/>
      <c r="N765" s="380"/>
      <c r="O765" s="327" t="str">
        <f>LEFT(J765,10)</f>
        <v/>
      </c>
    </row>
    <row r="766" spans="1:15" ht="57.6" customHeight="1" x14ac:dyDescent="0.25">
      <c r="A766" s="372"/>
      <c r="B766" s="372"/>
      <c r="C766" s="372"/>
      <c r="D766" s="372"/>
      <c r="E766" s="372"/>
      <c r="F766" s="373"/>
      <c r="G766" s="374"/>
      <c r="H766" s="375"/>
      <c r="I766" s="376"/>
      <c r="J766" s="375"/>
      <c r="K766" s="377"/>
      <c r="L766" s="378"/>
      <c r="M766" s="379"/>
      <c r="N766" s="380"/>
      <c r="O766" s="327" t="str">
        <f>LEFT(J766,10)</f>
        <v/>
      </c>
    </row>
    <row r="767" spans="1:15" ht="57.6" customHeight="1" x14ac:dyDescent="0.25">
      <c r="A767" s="372"/>
      <c r="B767" s="372"/>
      <c r="C767" s="372"/>
      <c r="D767" s="372"/>
      <c r="E767" s="372"/>
      <c r="F767" s="373"/>
      <c r="G767" s="374"/>
      <c r="H767" s="375"/>
      <c r="I767" s="376"/>
      <c r="J767" s="375"/>
      <c r="K767" s="377"/>
      <c r="L767" s="378"/>
      <c r="M767" s="379"/>
      <c r="N767" s="380"/>
      <c r="O767" s="327" t="str">
        <f>LEFT(J767,10)</f>
        <v/>
      </c>
    </row>
    <row r="768" spans="1:15" ht="57.6" customHeight="1" x14ac:dyDescent="0.25">
      <c r="A768" s="372"/>
      <c r="B768" s="372"/>
      <c r="C768" s="372"/>
      <c r="D768" s="372"/>
      <c r="E768" s="372"/>
      <c r="F768" s="373"/>
      <c r="G768" s="374"/>
      <c r="H768" s="375"/>
      <c r="I768" s="376"/>
      <c r="J768" s="375"/>
      <c r="K768" s="377"/>
      <c r="L768" s="378"/>
      <c r="M768" s="379"/>
      <c r="N768" s="380"/>
      <c r="O768" s="327" t="str">
        <f>LEFT(J768,10)</f>
        <v/>
      </c>
    </row>
    <row r="769" spans="1:15" ht="57.6" customHeight="1" x14ac:dyDescent="0.25">
      <c r="A769" s="372"/>
      <c r="B769" s="372"/>
      <c r="C769" s="372"/>
      <c r="D769" s="372"/>
      <c r="E769" s="372"/>
      <c r="F769" s="373"/>
      <c r="G769" s="374"/>
      <c r="H769" s="375"/>
      <c r="I769" s="376"/>
      <c r="J769" s="375"/>
      <c r="K769" s="377"/>
      <c r="L769" s="378"/>
      <c r="M769" s="379"/>
      <c r="N769" s="380"/>
      <c r="O769" s="327" t="str">
        <f>LEFT(J769,10)</f>
        <v/>
      </c>
    </row>
    <row r="770" spans="1:15" ht="57.6" customHeight="1" x14ac:dyDescent="0.25">
      <c r="A770" s="372"/>
      <c r="B770" s="372"/>
      <c r="C770" s="372"/>
      <c r="D770" s="372"/>
      <c r="E770" s="372"/>
      <c r="F770" s="373"/>
      <c r="G770" s="374"/>
      <c r="H770" s="375"/>
      <c r="I770" s="376"/>
      <c r="J770" s="375"/>
      <c r="K770" s="377"/>
      <c r="L770" s="378"/>
      <c r="M770" s="379"/>
      <c r="N770" s="380"/>
      <c r="O770" s="327" t="str">
        <f>LEFT(J770,10)</f>
        <v/>
      </c>
    </row>
    <row r="771" spans="1:15" ht="57.6" customHeight="1" x14ac:dyDescent="0.25">
      <c r="A771" s="372"/>
      <c r="B771" s="372"/>
      <c r="C771" s="372"/>
      <c r="D771" s="372"/>
      <c r="E771" s="372"/>
      <c r="F771" s="373"/>
      <c r="G771" s="374"/>
      <c r="H771" s="375"/>
      <c r="I771" s="376"/>
      <c r="J771" s="375"/>
      <c r="K771" s="377"/>
      <c r="L771" s="378"/>
      <c r="M771" s="379"/>
      <c r="N771" s="380"/>
      <c r="O771" s="327" t="str">
        <f>LEFT(J771,10)</f>
        <v/>
      </c>
    </row>
    <row r="772" spans="1:15" ht="57.6" customHeight="1" x14ac:dyDescent="0.25">
      <c r="A772" s="372"/>
      <c r="B772" s="372"/>
      <c r="C772" s="372"/>
      <c r="D772" s="372"/>
      <c r="E772" s="372"/>
      <c r="F772" s="373"/>
      <c r="G772" s="374"/>
      <c r="H772" s="375"/>
      <c r="I772" s="376"/>
      <c r="J772" s="375"/>
      <c r="K772" s="377"/>
      <c r="L772" s="378"/>
      <c r="M772" s="379"/>
      <c r="N772" s="380"/>
      <c r="O772" s="327" t="str">
        <f>LEFT(J772,10)</f>
        <v/>
      </c>
    </row>
    <row r="773" spans="1:15" ht="57.6" customHeight="1" x14ac:dyDescent="0.25">
      <c r="A773" s="372"/>
      <c r="B773" s="372"/>
      <c r="C773" s="372"/>
      <c r="D773" s="372"/>
      <c r="E773" s="372"/>
      <c r="F773" s="373"/>
      <c r="G773" s="374"/>
      <c r="H773" s="375"/>
      <c r="I773" s="376"/>
      <c r="J773" s="375"/>
      <c r="K773" s="377"/>
      <c r="L773" s="378"/>
      <c r="M773" s="379"/>
      <c r="N773" s="380"/>
      <c r="O773" s="327" t="str">
        <f>LEFT(J773,10)</f>
        <v/>
      </c>
    </row>
    <row r="774" spans="1:15" ht="57.6" customHeight="1" x14ac:dyDescent="0.25">
      <c r="A774" s="372"/>
      <c r="B774" s="372"/>
      <c r="C774" s="372"/>
      <c r="D774" s="372"/>
      <c r="E774" s="372"/>
      <c r="F774" s="373"/>
      <c r="G774" s="374"/>
      <c r="H774" s="375"/>
      <c r="I774" s="376"/>
      <c r="J774" s="375"/>
      <c r="K774" s="377"/>
      <c r="L774" s="378"/>
      <c r="M774" s="379"/>
      <c r="N774" s="380"/>
      <c r="O774" s="327" t="str">
        <f>LEFT(J774,10)</f>
        <v/>
      </c>
    </row>
    <row r="775" spans="1:15" ht="57.6" customHeight="1" x14ac:dyDescent="0.25">
      <c r="A775" s="372"/>
      <c r="B775" s="372"/>
      <c r="C775" s="372"/>
      <c r="D775" s="372"/>
      <c r="E775" s="372"/>
      <c r="F775" s="373"/>
      <c r="G775" s="374"/>
      <c r="H775" s="375"/>
      <c r="I775" s="376"/>
      <c r="J775" s="375"/>
      <c r="K775" s="377"/>
      <c r="L775" s="378"/>
      <c r="M775" s="379"/>
      <c r="N775" s="380"/>
      <c r="O775" s="327" t="str">
        <f>LEFT(J775,10)</f>
        <v/>
      </c>
    </row>
    <row r="776" spans="1:15" ht="57.6" customHeight="1" x14ac:dyDescent="0.25">
      <c r="A776" s="372"/>
      <c r="B776" s="372"/>
      <c r="C776" s="372"/>
      <c r="D776" s="372"/>
      <c r="E776" s="372"/>
      <c r="F776" s="372"/>
      <c r="G776" s="372"/>
      <c r="H776" s="375"/>
      <c r="I776" s="381"/>
      <c r="J776" s="375"/>
      <c r="K776" s="377"/>
      <c r="L776" s="382"/>
      <c r="M776" s="382"/>
      <c r="N776" s="383"/>
      <c r="O776" s="327" t="str">
        <f>LEFT(J776,10)</f>
        <v/>
      </c>
    </row>
    <row r="777" spans="1:15" ht="57.6" customHeight="1" x14ac:dyDescent="0.25">
      <c r="A777" s="372"/>
      <c r="B777" s="372"/>
      <c r="C777" s="372"/>
      <c r="D777" s="372"/>
      <c r="E777" s="372"/>
      <c r="F777" s="372"/>
      <c r="G777" s="372"/>
      <c r="H777" s="375"/>
      <c r="I777" s="381"/>
      <c r="J777" s="375"/>
      <c r="K777" s="377"/>
      <c r="L777" s="382"/>
      <c r="M777" s="382"/>
      <c r="N777" s="383"/>
      <c r="O777" s="327" t="str">
        <f>LEFT(J777,10)</f>
        <v/>
      </c>
    </row>
    <row r="778" spans="1:15" ht="57.6" customHeight="1" x14ac:dyDescent="0.25">
      <c r="A778" s="372"/>
      <c r="B778" s="372"/>
      <c r="C778" s="372"/>
      <c r="D778" s="372"/>
      <c r="E778" s="372"/>
      <c r="F778" s="372"/>
      <c r="G778" s="372"/>
      <c r="H778" s="375"/>
      <c r="I778" s="381"/>
      <c r="J778" s="375"/>
      <c r="K778" s="377"/>
      <c r="L778" s="382"/>
      <c r="M778" s="382"/>
      <c r="N778" s="383"/>
      <c r="O778" s="327" t="str">
        <f>LEFT(J778,10)</f>
        <v/>
      </c>
    </row>
    <row r="779" spans="1:15" ht="57.6" customHeight="1" x14ac:dyDescent="0.25">
      <c r="A779" s="372"/>
      <c r="B779" s="372"/>
      <c r="C779" s="372"/>
      <c r="D779" s="372"/>
      <c r="E779" s="372"/>
      <c r="F779" s="372"/>
      <c r="G779" s="372"/>
      <c r="H779" s="375"/>
      <c r="I779" s="381"/>
      <c r="J779" s="375"/>
      <c r="K779" s="377"/>
      <c r="L779" s="382"/>
      <c r="M779" s="382"/>
      <c r="N779" s="383"/>
      <c r="O779" s="327" t="str">
        <f>LEFT(J779,10)</f>
        <v/>
      </c>
    </row>
    <row r="780" spans="1:15" ht="57.6" customHeight="1" x14ac:dyDescent="0.25">
      <c r="A780" s="372"/>
      <c r="B780" s="372"/>
      <c r="C780" s="372"/>
      <c r="D780" s="372"/>
      <c r="E780" s="372"/>
      <c r="F780" s="372"/>
      <c r="G780" s="372"/>
      <c r="H780" s="375"/>
      <c r="I780" s="381"/>
      <c r="J780" s="375"/>
      <c r="K780" s="377"/>
      <c r="L780" s="382"/>
      <c r="M780" s="382"/>
      <c r="N780" s="383"/>
      <c r="O780" s="327" t="str">
        <f>LEFT(J780,10)</f>
        <v/>
      </c>
    </row>
    <row r="781" spans="1:15" ht="57.6" customHeight="1" x14ac:dyDescent="0.25">
      <c r="A781" s="372"/>
      <c r="B781" s="372"/>
      <c r="C781" s="372"/>
      <c r="D781" s="372"/>
      <c r="E781" s="372"/>
      <c r="F781" s="372"/>
      <c r="G781" s="372"/>
      <c r="H781" s="375"/>
      <c r="I781" s="381"/>
      <c r="J781" s="375"/>
      <c r="K781" s="377"/>
      <c r="L781" s="382"/>
      <c r="M781" s="382"/>
      <c r="N781" s="383"/>
      <c r="O781" s="327" t="str">
        <f>LEFT(J781,10)</f>
        <v/>
      </c>
    </row>
    <row r="782" spans="1:15" ht="57.6" customHeight="1" x14ac:dyDescent="0.25">
      <c r="A782" s="372"/>
      <c r="B782" s="372"/>
      <c r="C782" s="372"/>
      <c r="D782" s="372"/>
      <c r="E782" s="372"/>
      <c r="F782" s="372"/>
      <c r="G782" s="372"/>
      <c r="H782" s="375"/>
      <c r="I782" s="381"/>
      <c r="J782" s="375"/>
      <c r="K782" s="377"/>
      <c r="L782" s="382"/>
      <c r="M782" s="382"/>
      <c r="N782" s="383"/>
      <c r="O782" s="327" t="str">
        <f>LEFT(J782,10)</f>
        <v/>
      </c>
    </row>
    <row r="783" spans="1:15" ht="57.6" customHeight="1" x14ac:dyDescent="0.25">
      <c r="A783" s="372"/>
      <c r="B783" s="372"/>
      <c r="C783" s="372"/>
      <c r="D783" s="372"/>
      <c r="E783" s="372"/>
      <c r="F783" s="372"/>
      <c r="G783" s="372"/>
      <c r="H783" s="375"/>
      <c r="I783" s="381"/>
      <c r="J783" s="375"/>
      <c r="K783" s="377"/>
      <c r="L783" s="382"/>
      <c r="M783" s="382"/>
      <c r="N783" s="383"/>
      <c r="O783" s="327" t="str">
        <f>LEFT(J783,10)</f>
        <v/>
      </c>
    </row>
    <row r="784" spans="1:15" ht="57.6" customHeight="1" x14ac:dyDescent="0.25">
      <c r="A784" s="372"/>
      <c r="B784" s="372"/>
      <c r="C784" s="372"/>
      <c r="D784" s="372"/>
      <c r="E784" s="372"/>
      <c r="F784" s="372"/>
      <c r="G784" s="372"/>
      <c r="H784" s="375"/>
      <c r="I784" s="381"/>
      <c r="J784" s="375"/>
      <c r="K784" s="377"/>
      <c r="L784" s="382"/>
      <c r="M784" s="382"/>
      <c r="N784" s="383"/>
      <c r="O784" s="327" t="str">
        <f>LEFT(J784,10)</f>
        <v/>
      </c>
    </row>
    <row r="785" spans="1:15" ht="57.6" customHeight="1" x14ac:dyDescent="0.25">
      <c r="A785" s="372"/>
      <c r="B785" s="372"/>
      <c r="C785" s="372"/>
      <c r="D785" s="372"/>
      <c r="E785" s="372"/>
      <c r="F785" s="372"/>
      <c r="G785" s="372"/>
      <c r="H785" s="375"/>
      <c r="I785" s="381"/>
      <c r="J785" s="375"/>
      <c r="K785" s="377"/>
      <c r="L785" s="382"/>
      <c r="M785" s="382"/>
      <c r="N785" s="383"/>
      <c r="O785" s="327" t="str">
        <f>LEFT(J785,10)</f>
        <v/>
      </c>
    </row>
    <row r="786" spans="1:15" ht="57.6" customHeight="1" x14ac:dyDescent="0.25">
      <c r="A786" s="372"/>
      <c r="B786" s="372"/>
      <c r="C786" s="372"/>
      <c r="D786" s="372"/>
      <c r="E786" s="372"/>
      <c r="F786" s="372"/>
      <c r="G786" s="372"/>
      <c r="H786" s="375"/>
      <c r="I786" s="381"/>
      <c r="J786" s="375"/>
      <c r="K786" s="377"/>
      <c r="L786" s="382"/>
      <c r="M786" s="382"/>
      <c r="N786" s="383"/>
      <c r="O786" s="327" t="str">
        <f>LEFT(J786,10)</f>
        <v/>
      </c>
    </row>
    <row r="787" spans="1:15" ht="57.6" customHeight="1" x14ac:dyDescent="0.25">
      <c r="A787" s="372"/>
      <c r="B787" s="372"/>
      <c r="C787" s="372"/>
      <c r="D787" s="372"/>
      <c r="E787" s="372"/>
      <c r="F787" s="372"/>
      <c r="G787" s="372"/>
      <c r="H787" s="375"/>
      <c r="I787" s="381"/>
      <c r="J787" s="375"/>
      <c r="K787" s="377"/>
      <c r="L787" s="382"/>
      <c r="M787" s="382"/>
      <c r="N787" s="383"/>
      <c r="O787" s="327" t="str">
        <f>LEFT(J787,10)</f>
        <v/>
      </c>
    </row>
    <row r="788" spans="1:15" ht="57.6" customHeight="1" x14ac:dyDescent="0.25">
      <c r="A788" s="372"/>
      <c r="B788" s="372"/>
      <c r="C788" s="372"/>
      <c r="D788" s="372"/>
      <c r="E788" s="372"/>
      <c r="F788" s="372"/>
      <c r="G788" s="372"/>
      <c r="H788" s="375"/>
      <c r="I788" s="381"/>
      <c r="J788" s="375"/>
      <c r="K788" s="377"/>
      <c r="L788" s="382"/>
      <c r="M788" s="382"/>
      <c r="N788" s="383"/>
      <c r="O788" s="327" t="str">
        <f>LEFT(J788,10)</f>
        <v/>
      </c>
    </row>
    <row r="789" spans="1:15" ht="57.6" customHeight="1" x14ac:dyDescent="0.25">
      <c r="A789" s="372"/>
      <c r="B789" s="372"/>
      <c r="C789" s="372"/>
      <c r="D789" s="372"/>
      <c r="E789" s="372"/>
      <c r="F789" s="372"/>
      <c r="G789" s="372"/>
      <c r="H789" s="375"/>
      <c r="I789" s="381"/>
      <c r="J789" s="375"/>
      <c r="K789" s="377"/>
      <c r="L789" s="382"/>
      <c r="M789" s="382"/>
      <c r="N789" s="383"/>
      <c r="O789" s="327" t="str">
        <f>LEFT(J789,10)</f>
        <v/>
      </c>
    </row>
    <row r="790" spans="1:15" ht="57.6" customHeight="1" x14ac:dyDescent="0.25">
      <c r="A790" s="372"/>
      <c r="B790" s="372"/>
      <c r="C790" s="372"/>
      <c r="D790" s="372"/>
      <c r="E790" s="372"/>
      <c r="F790" s="372"/>
      <c r="G790" s="372"/>
      <c r="H790" s="375"/>
      <c r="I790" s="381"/>
      <c r="J790" s="375"/>
      <c r="K790" s="377"/>
      <c r="L790" s="382"/>
      <c r="M790" s="382"/>
      <c r="N790" s="383"/>
      <c r="O790" s="327" t="str">
        <f>LEFT(J790,10)</f>
        <v/>
      </c>
    </row>
    <row r="791" spans="1:15" ht="57.6" customHeight="1" x14ac:dyDescent="0.25">
      <c r="A791" s="372"/>
      <c r="B791" s="372"/>
      <c r="C791" s="372"/>
      <c r="D791" s="372"/>
      <c r="E791" s="372"/>
      <c r="F791" s="372"/>
      <c r="G791" s="372"/>
      <c r="H791" s="375"/>
      <c r="I791" s="381"/>
      <c r="J791" s="375"/>
      <c r="K791" s="377"/>
      <c r="L791" s="382"/>
      <c r="M791" s="382"/>
      <c r="N791" s="383"/>
      <c r="O791" s="327" t="str">
        <f>LEFT(J791,10)</f>
        <v/>
      </c>
    </row>
    <row r="792" spans="1:15" ht="57.6" customHeight="1" x14ac:dyDescent="0.25">
      <c r="A792" s="372"/>
      <c r="B792" s="372"/>
      <c r="C792" s="372"/>
      <c r="D792" s="372"/>
      <c r="E792" s="372"/>
      <c r="F792" s="372"/>
      <c r="G792" s="372"/>
      <c r="H792" s="375"/>
      <c r="I792" s="381"/>
      <c r="J792" s="375"/>
      <c r="K792" s="377"/>
      <c r="L792" s="382"/>
      <c r="M792" s="382"/>
      <c r="N792" s="383"/>
      <c r="O792" s="327" t="str">
        <f>LEFT(J792,10)</f>
        <v/>
      </c>
    </row>
    <row r="793" spans="1:15" ht="57.6" customHeight="1" x14ac:dyDescent="0.25">
      <c r="A793" s="372"/>
      <c r="B793" s="372"/>
      <c r="C793" s="372"/>
      <c r="D793" s="372"/>
      <c r="E793" s="372"/>
      <c r="F793" s="372"/>
      <c r="G793" s="372"/>
      <c r="H793" s="375"/>
      <c r="I793" s="381"/>
      <c r="J793" s="375"/>
      <c r="K793" s="377"/>
      <c r="L793" s="382"/>
      <c r="M793" s="382"/>
      <c r="N793" s="383"/>
      <c r="O793" s="327" t="str">
        <f>LEFT(J793,10)</f>
        <v/>
      </c>
    </row>
    <row r="794" spans="1:15" ht="57.6" customHeight="1" x14ac:dyDescent="0.25">
      <c r="A794" s="372"/>
      <c r="B794" s="372"/>
      <c r="C794" s="372"/>
      <c r="D794" s="372"/>
      <c r="E794" s="372"/>
      <c r="F794" s="372"/>
      <c r="G794" s="372"/>
      <c r="H794" s="375"/>
      <c r="I794" s="381"/>
      <c r="J794" s="375"/>
      <c r="K794" s="377"/>
      <c r="L794" s="382"/>
      <c r="M794" s="382"/>
      <c r="N794" s="383"/>
      <c r="O794" s="327" t="str">
        <f>LEFT(J794,10)</f>
        <v/>
      </c>
    </row>
    <row r="795" spans="1:15" ht="57.6" customHeight="1" x14ac:dyDescent="0.25">
      <c r="A795" s="372"/>
      <c r="B795" s="372"/>
      <c r="C795" s="372"/>
      <c r="D795" s="372"/>
      <c r="E795" s="372"/>
      <c r="F795" s="372"/>
      <c r="G795" s="372"/>
      <c r="H795" s="375"/>
      <c r="I795" s="381"/>
      <c r="J795" s="375"/>
      <c r="K795" s="377"/>
      <c r="L795" s="382"/>
      <c r="M795" s="382"/>
      <c r="N795" s="383"/>
      <c r="O795" s="327" t="str">
        <f>LEFT(J795,10)</f>
        <v/>
      </c>
    </row>
    <row r="796" spans="1:15" ht="57.6" customHeight="1" x14ac:dyDescent="0.25">
      <c r="A796" s="372"/>
      <c r="B796" s="372"/>
      <c r="C796" s="372"/>
      <c r="D796" s="372"/>
      <c r="E796" s="372"/>
      <c r="F796" s="372"/>
      <c r="G796" s="372"/>
      <c r="H796" s="375"/>
      <c r="I796" s="381"/>
      <c r="J796" s="375"/>
      <c r="K796" s="377"/>
      <c r="L796" s="382"/>
      <c r="M796" s="382"/>
      <c r="N796" s="383"/>
      <c r="O796" s="327" t="str">
        <f>LEFT(J796,10)</f>
        <v/>
      </c>
    </row>
    <row r="797" spans="1:15" ht="57.6" customHeight="1" x14ac:dyDescent="0.25">
      <c r="A797" s="372"/>
      <c r="B797" s="372"/>
      <c r="C797" s="372"/>
      <c r="D797" s="372"/>
      <c r="E797" s="372"/>
      <c r="F797" s="372"/>
      <c r="G797" s="372"/>
      <c r="H797" s="375"/>
      <c r="I797" s="381"/>
      <c r="J797" s="375"/>
      <c r="K797" s="377"/>
      <c r="L797" s="382"/>
      <c r="M797" s="382"/>
      <c r="N797" s="383"/>
      <c r="O797" s="327" t="str">
        <f>LEFT(J797,10)</f>
        <v/>
      </c>
    </row>
    <row r="798" spans="1:15" ht="57.6" customHeight="1" x14ac:dyDescent="0.25">
      <c r="A798" s="372"/>
      <c r="B798" s="372"/>
      <c r="C798" s="372"/>
      <c r="D798" s="372"/>
      <c r="E798" s="372"/>
      <c r="F798" s="372"/>
      <c r="G798" s="372"/>
      <c r="H798" s="375"/>
      <c r="I798" s="381"/>
      <c r="J798" s="375"/>
      <c r="K798" s="377"/>
      <c r="L798" s="382"/>
      <c r="M798" s="382"/>
      <c r="N798" s="383"/>
      <c r="O798" s="327" t="str">
        <f>LEFT(J798,10)</f>
        <v/>
      </c>
    </row>
    <row r="799" spans="1:15" ht="57.6" customHeight="1" x14ac:dyDescent="0.25">
      <c r="A799" s="372"/>
      <c r="B799" s="372"/>
      <c r="C799" s="372"/>
      <c r="D799" s="372"/>
      <c r="E799" s="372"/>
      <c r="F799" s="372"/>
      <c r="G799" s="372"/>
      <c r="H799" s="375"/>
      <c r="I799" s="381"/>
      <c r="J799" s="375"/>
      <c r="K799" s="377"/>
      <c r="L799" s="382"/>
      <c r="M799" s="382"/>
      <c r="N799" s="383"/>
      <c r="O799" s="327" t="str">
        <f>LEFT(J799,10)</f>
        <v/>
      </c>
    </row>
    <row r="800" spans="1:15" ht="57.6" customHeight="1" x14ac:dyDescent="0.25">
      <c r="A800" s="372"/>
      <c r="B800" s="372"/>
      <c r="C800" s="372"/>
      <c r="D800" s="372"/>
      <c r="E800" s="372"/>
      <c r="F800" s="372"/>
      <c r="G800" s="372"/>
      <c r="H800" s="375"/>
      <c r="I800" s="381"/>
      <c r="J800" s="375"/>
      <c r="K800" s="377"/>
      <c r="L800" s="382"/>
      <c r="M800" s="382"/>
      <c r="N800" s="383"/>
      <c r="O800" s="327" t="str">
        <f>LEFT(J800,10)</f>
        <v/>
      </c>
    </row>
    <row r="801" spans="1:15" ht="57.6" customHeight="1" x14ac:dyDescent="0.25">
      <c r="A801" s="372"/>
      <c r="B801" s="372"/>
      <c r="C801" s="372"/>
      <c r="D801" s="372"/>
      <c r="E801" s="372"/>
      <c r="F801" s="372"/>
      <c r="G801" s="372"/>
      <c r="H801" s="375"/>
      <c r="I801" s="381"/>
      <c r="J801" s="375"/>
      <c r="K801" s="377"/>
      <c r="L801" s="382"/>
      <c r="M801" s="382"/>
      <c r="N801" s="383"/>
      <c r="O801" s="327" t="str">
        <f>LEFT(J801,10)</f>
        <v/>
      </c>
    </row>
    <row r="802" spans="1:15" ht="57.6" customHeight="1" x14ac:dyDescent="0.25">
      <c r="A802" s="372"/>
      <c r="B802" s="372"/>
      <c r="C802" s="372"/>
      <c r="D802" s="372"/>
      <c r="E802" s="372"/>
      <c r="F802" s="372"/>
      <c r="G802" s="372"/>
      <c r="H802" s="375"/>
      <c r="I802" s="381"/>
      <c r="J802" s="375"/>
      <c r="K802" s="377"/>
      <c r="L802" s="382"/>
      <c r="M802" s="382"/>
      <c r="N802" s="383"/>
      <c r="O802" s="327" t="str">
        <f>LEFT(J802,10)</f>
        <v/>
      </c>
    </row>
    <row r="803" spans="1:15" ht="57.6" customHeight="1" x14ac:dyDescent="0.25">
      <c r="A803" s="372"/>
      <c r="B803" s="372"/>
      <c r="C803" s="372"/>
      <c r="D803" s="372"/>
      <c r="E803" s="372"/>
      <c r="F803" s="372"/>
      <c r="G803" s="372"/>
      <c r="H803" s="375"/>
      <c r="I803" s="381"/>
      <c r="J803" s="375"/>
      <c r="K803" s="377"/>
      <c r="L803" s="382"/>
      <c r="M803" s="382"/>
      <c r="N803" s="383"/>
      <c r="O803" s="327" t="str">
        <f>LEFT(J803,10)</f>
        <v/>
      </c>
    </row>
    <row r="804" spans="1:15" ht="57.6" customHeight="1" x14ac:dyDescent="0.25">
      <c r="A804" s="372"/>
      <c r="B804" s="372"/>
      <c r="C804" s="372"/>
      <c r="D804" s="372"/>
      <c r="E804" s="372"/>
      <c r="F804" s="372"/>
      <c r="G804" s="372"/>
      <c r="H804" s="375"/>
      <c r="I804" s="381"/>
      <c r="J804" s="375"/>
      <c r="K804" s="377"/>
      <c r="L804" s="382"/>
      <c r="M804" s="382"/>
      <c r="N804" s="383"/>
      <c r="O804" s="327" t="str">
        <f>LEFT(J804,10)</f>
        <v/>
      </c>
    </row>
    <row r="805" spans="1:15" ht="57.6" customHeight="1" x14ac:dyDescent="0.25">
      <c r="A805" s="372"/>
      <c r="B805" s="372"/>
      <c r="C805" s="372"/>
      <c r="D805" s="372"/>
      <c r="E805" s="372"/>
      <c r="F805" s="372"/>
      <c r="G805" s="372"/>
      <c r="H805" s="375"/>
      <c r="I805" s="381"/>
      <c r="J805" s="375"/>
      <c r="K805" s="377"/>
      <c r="L805" s="382"/>
      <c r="M805" s="382"/>
      <c r="N805" s="383"/>
      <c r="O805" s="327" t="str">
        <f>LEFT(J805,10)</f>
        <v/>
      </c>
    </row>
    <row r="806" spans="1:15" ht="57.6" customHeight="1" x14ac:dyDescent="0.25">
      <c r="A806" s="372"/>
      <c r="B806" s="372"/>
      <c r="C806" s="372"/>
      <c r="D806" s="372"/>
      <c r="E806" s="372"/>
      <c r="F806" s="372"/>
      <c r="G806" s="372"/>
      <c r="H806" s="375"/>
      <c r="I806" s="381"/>
      <c r="J806" s="375"/>
      <c r="K806" s="377"/>
      <c r="L806" s="382"/>
      <c r="M806" s="382"/>
      <c r="N806" s="383"/>
      <c r="O806" s="327" t="str">
        <f>LEFT(J806,10)</f>
        <v/>
      </c>
    </row>
    <row r="807" spans="1:15" ht="57.6" customHeight="1" x14ac:dyDescent="0.25">
      <c r="A807" s="372"/>
      <c r="B807" s="372"/>
      <c r="C807" s="372"/>
      <c r="D807" s="372"/>
      <c r="E807" s="372"/>
      <c r="F807" s="372"/>
      <c r="G807" s="372"/>
      <c r="H807" s="375"/>
      <c r="I807" s="381"/>
      <c r="J807" s="375"/>
      <c r="K807" s="377"/>
      <c r="L807" s="382"/>
      <c r="M807" s="382"/>
      <c r="N807" s="383"/>
      <c r="O807" s="327" t="str">
        <f>LEFT(J807,10)</f>
        <v/>
      </c>
    </row>
    <row r="808" spans="1:15" ht="57.6" customHeight="1" x14ac:dyDescent="0.25">
      <c r="A808" s="372"/>
      <c r="B808" s="372"/>
      <c r="C808" s="372"/>
      <c r="D808" s="372"/>
      <c r="E808" s="372"/>
      <c r="F808" s="372"/>
      <c r="G808" s="372"/>
      <c r="H808" s="375"/>
      <c r="I808" s="381"/>
      <c r="J808" s="375"/>
      <c r="K808" s="377"/>
      <c r="L808" s="382"/>
      <c r="M808" s="382"/>
      <c r="N808" s="383"/>
      <c r="O808" s="327" t="str">
        <f>LEFT(J808,10)</f>
        <v/>
      </c>
    </row>
    <row r="809" spans="1:15" ht="57.6" customHeight="1" x14ac:dyDescent="0.25">
      <c r="A809" s="372"/>
      <c r="B809" s="372"/>
      <c r="C809" s="372"/>
      <c r="D809" s="372"/>
      <c r="E809" s="372"/>
      <c r="F809" s="372"/>
      <c r="G809" s="372"/>
      <c r="H809" s="375"/>
      <c r="I809" s="381"/>
      <c r="J809" s="375"/>
      <c r="K809" s="377"/>
      <c r="L809" s="382"/>
      <c r="M809" s="382"/>
      <c r="N809" s="383"/>
      <c r="O809" s="327" t="str">
        <f>LEFT(J809,10)</f>
        <v/>
      </c>
    </row>
    <row r="810" spans="1:15" ht="57.6" customHeight="1" x14ac:dyDescent="0.25">
      <c r="A810" s="372"/>
      <c r="B810" s="372"/>
      <c r="C810" s="372"/>
      <c r="D810" s="372"/>
      <c r="E810" s="372"/>
      <c r="F810" s="372"/>
      <c r="G810" s="372"/>
      <c r="H810" s="375"/>
      <c r="I810" s="381"/>
      <c r="J810" s="375"/>
      <c r="K810" s="377"/>
      <c r="L810" s="382"/>
      <c r="M810" s="382"/>
      <c r="N810" s="383"/>
      <c r="O810" s="327" t="str">
        <f>LEFT(J810,10)</f>
        <v/>
      </c>
    </row>
    <row r="811" spans="1:15" ht="57.6" customHeight="1" x14ac:dyDescent="0.25">
      <c r="A811" s="372"/>
      <c r="B811" s="372"/>
      <c r="C811" s="372"/>
      <c r="D811" s="372"/>
      <c r="E811" s="372"/>
      <c r="F811" s="372"/>
      <c r="G811" s="372"/>
      <c r="H811" s="375"/>
      <c r="I811" s="381"/>
      <c r="J811" s="375"/>
      <c r="K811" s="377"/>
      <c r="L811" s="382"/>
      <c r="M811" s="382"/>
      <c r="N811" s="383"/>
      <c r="O811" s="327" t="str">
        <f>LEFT(J811,10)</f>
        <v/>
      </c>
    </row>
    <row r="812" spans="1:15" ht="57.6" customHeight="1" x14ac:dyDescent="0.25">
      <c r="A812" s="372"/>
      <c r="B812" s="372"/>
      <c r="C812" s="372"/>
      <c r="D812" s="372"/>
      <c r="E812" s="372"/>
      <c r="F812" s="372"/>
      <c r="G812" s="372"/>
      <c r="H812" s="375"/>
      <c r="I812" s="381"/>
      <c r="J812" s="375"/>
      <c r="K812" s="377"/>
      <c r="L812" s="382"/>
      <c r="M812" s="382"/>
      <c r="N812" s="383"/>
      <c r="O812" s="327" t="str">
        <f>LEFT(J812,10)</f>
        <v/>
      </c>
    </row>
    <row r="813" spans="1:15" ht="57.6" customHeight="1" x14ac:dyDescent="0.25">
      <c r="A813" s="372"/>
      <c r="B813" s="372"/>
      <c r="C813" s="372"/>
      <c r="D813" s="372"/>
      <c r="E813" s="372"/>
      <c r="F813" s="372"/>
      <c r="G813" s="372"/>
      <c r="H813" s="375"/>
      <c r="I813" s="381"/>
      <c r="J813" s="375"/>
      <c r="K813" s="377"/>
      <c r="L813" s="382"/>
      <c r="M813" s="382"/>
      <c r="N813" s="383"/>
      <c r="O813" s="327" t="str">
        <f>LEFT(J813,10)</f>
        <v/>
      </c>
    </row>
    <row r="814" spans="1:15" ht="57.6" customHeight="1" x14ac:dyDescent="0.25">
      <c r="A814" s="372"/>
      <c r="B814" s="372"/>
      <c r="C814" s="372"/>
      <c r="D814" s="372"/>
      <c r="E814" s="372"/>
      <c r="F814" s="372"/>
      <c r="G814" s="372"/>
      <c r="H814" s="375"/>
      <c r="I814" s="381"/>
      <c r="J814" s="375"/>
      <c r="K814" s="377"/>
      <c r="L814" s="382"/>
      <c r="M814" s="382"/>
      <c r="N814" s="383"/>
      <c r="O814" s="327" t="str">
        <f>LEFT(J814,10)</f>
        <v/>
      </c>
    </row>
    <row r="815" spans="1:15" ht="57.6" customHeight="1" x14ac:dyDescent="0.25">
      <c r="A815" s="372"/>
      <c r="B815" s="372"/>
      <c r="C815" s="372"/>
      <c r="D815" s="372"/>
      <c r="E815" s="372"/>
      <c r="F815" s="372"/>
      <c r="G815" s="372"/>
      <c r="H815" s="375"/>
      <c r="I815" s="381"/>
      <c r="J815" s="375"/>
      <c r="K815" s="377"/>
      <c r="L815" s="382"/>
      <c r="M815" s="382"/>
      <c r="N815" s="383"/>
      <c r="O815" s="327" t="str">
        <f>LEFT(J815,10)</f>
        <v/>
      </c>
    </row>
    <row r="816" spans="1:15" ht="57.6" customHeight="1" x14ac:dyDescent="0.25">
      <c r="A816" s="372"/>
      <c r="B816" s="372"/>
      <c r="C816" s="372"/>
      <c r="D816" s="372"/>
      <c r="E816" s="372"/>
      <c r="F816" s="372"/>
      <c r="G816" s="372"/>
      <c r="H816" s="375"/>
      <c r="I816" s="381"/>
      <c r="J816" s="375"/>
      <c r="K816" s="377"/>
      <c r="L816" s="382"/>
      <c r="M816" s="382"/>
      <c r="N816" s="383"/>
      <c r="O816" s="327" t="str">
        <f>LEFT(J816,10)</f>
        <v/>
      </c>
    </row>
    <row r="817" spans="1:15" ht="57.6" customHeight="1" x14ac:dyDescent="0.25">
      <c r="A817" s="372"/>
      <c r="B817" s="372"/>
      <c r="C817" s="372"/>
      <c r="D817" s="372"/>
      <c r="E817" s="372"/>
      <c r="F817" s="372"/>
      <c r="G817" s="372"/>
      <c r="H817" s="375"/>
      <c r="I817" s="381"/>
      <c r="J817" s="375"/>
      <c r="K817" s="377"/>
      <c r="L817" s="382"/>
      <c r="M817" s="382"/>
      <c r="N817" s="383"/>
      <c r="O817" s="327" t="str">
        <f>LEFT(J817,10)</f>
        <v/>
      </c>
    </row>
    <row r="818" spans="1:15" ht="57.6" customHeight="1" x14ac:dyDescent="0.25">
      <c r="A818" s="372"/>
      <c r="B818" s="372"/>
      <c r="C818" s="372"/>
      <c r="D818" s="372"/>
      <c r="E818" s="372"/>
      <c r="F818" s="372"/>
      <c r="G818" s="372"/>
      <c r="H818" s="375"/>
      <c r="I818" s="381"/>
      <c r="J818" s="375"/>
      <c r="K818" s="377"/>
      <c r="L818" s="382"/>
      <c r="M818" s="382"/>
      <c r="N818" s="383"/>
      <c r="O818" s="327" t="str">
        <f>LEFT(J818,10)</f>
        <v/>
      </c>
    </row>
    <row r="819" spans="1:15" ht="57.6" customHeight="1" x14ac:dyDescent="0.25">
      <c r="A819" s="372"/>
      <c r="B819" s="372"/>
      <c r="C819" s="372"/>
      <c r="D819" s="372"/>
      <c r="E819" s="372"/>
      <c r="F819" s="372"/>
      <c r="G819" s="372"/>
      <c r="H819" s="375"/>
      <c r="I819" s="381"/>
      <c r="J819" s="375"/>
      <c r="K819" s="377"/>
      <c r="L819" s="382"/>
      <c r="M819" s="382"/>
      <c r="N819" s="383"/>
      <c r="O819" s="327" t="str">
        <f>LEFT(J819,10)</f>
        <v/>
      </c>
    </row>
    <row r="820" spans="1:15" ht="57.6" customHeight="1" x14ac:dyDescent="0.25">
      <c r="A820" s="372"/>
      <c r="B820" s="372"/>
      <c r="C820" s="372"/>
      <c r="D820" s="372"/>
      <c r="E820" s="372"/>
      <c r="F820" s="372"/>
      <c r="G820" s="372"/>
      <c r="H820" s="375"/>
      <c r="I820" s="381"/>
      <c r="J820" s="375"/>
      <c r="K820" s="377"/>
      <c r="L820" s="382"/>
      <c r="M820" s="382"/>
      <c r="N820" s="383"/>
      <c r="O820" s="327" t="str">
        <f>LEFT(J820,10)</f>
        <v/>
      </c>
    </row>
    <row r="821" spans="1:15" ht="57.6" customHeight="1" x14ac:dyDescent="0.25">
      <c r="A821" s="372"/>
      <c r="B821" s="372"/>
      <c r="C821" s="372"/>
      <c r="D821" s="372"/>
      <c r="E821" s="372"/>
      <c r="F821" s="372"/>
      <c r="G821" s="372"/>
      <c r="H821" s="375"/>
      <c r="I821" s="381"/>
      <c r="J821" s="375"/>
      <c r="K821" s="377"/>
      <c r="L821" s="382"/>
      <c r="M821" s="382"/>
      <c r="N821" s="383"/>
      <c r="O821" s="327" t="str">
        <f>LEFT(J821,10)</f>
        <v/>
      </c>
    </row>
    <row r="822" spans="1:15" ht="57.6" customHeight="1" x14ac:dyDescent="0.25">
      <c r="A822" s="372"/>
      <c r="B822" s="372"/>
      <c r="C822" s="372"/>
      <c r="D822" s="372"/>
      <c r="E822" s="372"/>
      <c r="F822" s="372"/>
      <c r="G822" s="372"/>
      <c r="H822" s="375"/>
      <c r="I822" s="381"/>
      <c r="J822" s="375"/>
      <c r="K822" s="377"/>
      <c r="L822" s="382"/>
      <c r="M822" s="382"/>
      <c r="N822" s="383"/>
      <c r="O822" s="327" t="str">
        <f>LEFT(J822,10)</f>
        <v/>
      </c>
    </row>
    <row r="823" spans="1:15" ht="57.6" customHeight="1" x14ac:dyDescent="0.25">
      <c r="A823" s="372"/>
      <c r="B823" s="372"/>
      <c r="C823" s="372"/>
      <c r="D823" s="372"/>
      <c r="E823" s="372"/>
      <c r="F823" s="372"/>
      <c r="G823" s="372"/>
      <c r="H823" s="375"/>
      <c r="I823" s="381"/>
      <c r="J823" s="375"/>
      <c r="K823" s="377"/>
      <c r="L823" s="382"/>
      <c r="M823" s="382"/>
      <c r="N823" s="383"/>
      <c r="O823" s="327" t="str">
        <f>LEFT(J823,10)</f>
        <v/>
      </c>
    </row>
    <row r="824" spans="1:15" ht="57.6" customHeight="1" x14ac:dyDescent="0.25">
      <c r="A824" s="372"/>
      <c r="B824" s="372"/>
      <c r="C824" s="372"/>
      <c r="D824" s="372"/>
      <c r="E824" s="372"/>
      <c r="F824" s="372"/>
      <c r="G824" s="372"/>
      <c r="H824" s="375"/>
      <c r="I824" s="381"/>
      <c r="J824" s="375"/>
      <c r="K824" s="377"/>
      <c r="L824" s="382"/>
      <c r="M824" s="382"/>
      <c r="N824" s="383"/>
      <c r="O824" s="327" t="str">
        <f>LEFT(J824,10)</f>
        <v/>
      </c>
    </row>
    <row r="825" spans="1:15" ht="57.6" customHeight="1" x14ac:dyDescent="0.25">
      <c r="A825" s="372"/>
      <c r="B825" s="372"/>
      <c r="C825" s="372"/>
      <c r="D825" s="372"/>
      <c r="E825" s="372"/>
      <c r="F825" s="372"/>
      <c r="G825" s="372"/>
      <c r="H825" s="375"/>
      <c r="I825" s="381"/>
      <c r="J825" s="375"/>
      <c r="K825" s="377"/>
      <c r="L825" s="382"/>
      <c r="M825" s="382"/>
      <c r="N825" s="383"/>
      <c r="O825" s="327" t="str">
        <f>LEFT(J825,10)</f>
        <v/>
      </c>
    </row>
    <row r="826" spans="1:15" ht="57.6" customHeight="1" x14ac:dyDescent="0.25">
      <c r="A826" s="372"/>
      <c r="B826" s="372"/>
      <c r="C826" s="372"/>
      <c r="D826" s="372"/>
      <c r="E826" s="372"/>
      <c r="F826" s="372"/>
      <c r="G826" s="372"/>
      <c r="H826" s="375"/>
      <c r="I826" s="381"/>
      <c r="J826" s="375"/>
      <c r="K826" s="377"/>
      <c r="L826" s="382"/>
      <c r="M826" s="382"/>
      <c r="N826" s="383"/>
      <c r="O826" s="327" t="str">
        <f>LEFT(J826,10)</f>
        <v/>
      </c>
    </row>
    <row r="827" spans="1:15" ht="57.6" customHeight="1" x14ac:dyDescent="0.25">
      <c r="A827" s="372"/>
      <c r="B827" s="372"/>
      <c r="C827" s="372"/>
      <c r="D827" s="372"/>
      <c r="E827" s="372"/>
      <c r="F827" s="372"/>
      <c r="G827" s="372"/>
      <c r="H827" s="375"/>
      <c r="I827" s="381"/>
      <c r="J827" s="375"/>
      <c r="K827" s="377"/>
      <c r="L827" s="382"/>
      <c r="M827" s="382"/>
      <c r="N827" s="383"/>
      <c r="O827" s="327" t="str">
        <f>LEFT(J827,10)</f>
        <v/>
      </c>
    </row>
    <row r="828" spans="1:15" ht="57.6" customHeight="1" x14ac:dyDescent="0.25">
      <c r="A828" s="372"/>
      <c r="B828" s="372"/>
      <c r="C828" s="372"/>
      <c r="D828" s="372"/>
      <c r="E828" s="372"/>
      <c r="F828" s="372"/>
      <c r="G828" s="372"/>
      <c r="H828" s="375"/>
      <c r="I828" s="381"/>
      <c r="J828" s="375"/>
      <c r="K828" s="377"/>
      <c r="L828" s="382"/>
      <c r="M828" s="382"/>
      <c r="N828" s="383"/>
      <c r="O828" s="327" t="str">
        <f>LEFT(J828,10)</f>
        <v/>
      </c>
    </row>
    <row r="829" spans="1:15" ht="57.6" customHeight="1" x14ac:dyDescent="0.25">
      <c r="A829" s="372"/>
      <c r="B829" s="372"/>
      <c r="C829" s="372"/>
      <c r="D829" s="372"/>
      <c r="E829" s="372"/>
      <c r="F829" s="372"/>
      <c r="G829" s="372"/>
      <c r="H829" s="375"/>
      <c r="I829" s="381"/>
      <c r="J829" s="375"/>
      <c r="K829" s="377"/>
      <c r="L829" s="382"/>
      <c r="M829" s="382"/>
      <c r="N829" s="383"/>
      <c r="O829" s="327" t="str">
        <f>LEFT(J829,10)</f>
        <v/>
      </c>
    </row>
    <row r="830" spans="1:15" ht="57.6" customHeight="1" x14ac:dyDescent="0.25">
      <c r="A830" s="372"/>
      <c r="B830" s="372"/>
      <c r="C830" s="372"/>
      <c r="D830" s="372"/>
      <c r="E830" s="372"/>
      <c r="F830" s="372"/>
      <c r="G830" s="372"/>
      <c r="H830" s="375"/>
      <c r="I830" s="381"/>
      <c r="J830" s="375"/>
      <c r="K830" s="377"/>
      <c r="L830" s="382"/>
      <c r="M830" s="382"/>
      <c r="N830" s="383"/>
      <c r="O830" s="327" t="str">
        <f>LEFT(J830,10)</f>
        <v/>
      </c>
    </row>
    <row r="831" spans="1:15" ht="57.6" customHeight="1" x14ac:dyDescent="0.25">
      <c r="A831" s="372"/>
      <c r="B831" s="372"/>
      <c r="C831" s="372"/>
      <c r="D831" s="372"/>
      <c r="E831" s="372"/>
      <c r="F831" s="372"/>
      <c r="G831" s="372"/>
      <c r="H831" s="375"/>
      <c r="I831" s="381"/>
      <c r="J831" s="375"/>
      <c r="K831" s="377"/>
      <c r="L831" s="382"/>
      <c r="M831" s="382"/>
      <c r="N831" s="383"/>
      <c r="O831" s="327" t="str">
        <f>LEFT(J831,10)</f>
        <v/>
      </c>
    </row>
    <row r="832" spans="1:15" ht="57.6" customHeight="1" x14ac:dyDescent="0.25">
      <c r="A832" s="372"/>
      <c r="B832" s="372"/>
      <c r="C832" s="372"/>
      <c r="D832" s="372"/>
      <c r="E832" s="372"/>
      <c r="F832" s="372"/>
      <c r="G832" s="372"/>
      <c r="H832" s="375"/>
      <c r="I832" s="381"/>
      <c r="J832" s="375"/>
      <c r="K832" s="377"/>
      <c r="L832" s="382"/>
      <c r="M832" s="382"/>
      <c r="N832" s="383"/>
      <c r="O832" s="327" t="str">
        <f>LEFT(J832,10)</f>
        <v/>
      </c>
    </row>
    <row r="833" spans="1:15" ht="57.6" customHeight="1" x14ac:dyDescent="0.25">
      <c r="A833" s="372"/>
      <c r="B833" s="372"/>
      <c r="C833" s="372"/>
      <c r="D833" s="372"/>
      <c r="E833" s="372"/>
      <c r="F833" s="372"/>
      <c r="G833" s="372"/>
      <c r="H833" s="375"/>
      <c r="I833" s="381"/>
      <c r="J833" s="375"/>
      <c r="K833" s="377"/>
      <c r="L833" s="382"/>
      <c r="M833" s="382"/>
      <c r="N833" s="383"/>
      <c r="O833" s="327" t="str">
        <f>LEFT(J833,10)</f>
        <v/>
      </c>
    </row>
    <row r="834" spans="1:15" ht="57.6" customHeight="1" x14ac:dyDescent="0.25">
      <c r="A834" s="372"/>
      <c r="B834" s="372"/>
      <c r="C834" s="372"/>
      <c r="D834" s="372"/>
      <c r="E834" s="372"/>
      <c r="F834" s="372"/>
      <c r="G834" s="372"/>
      <c r="H834" s="375"/>
      <c r="I834" s="381"/>
      <c r="J834" s="375"/>
      <c r="K834" s="377"/>
      <c r="L834" s="382"/>
      <c r="M834" s="382"/>
      <c r="N834" s="383"/>
      <c r="O834" s="327" t="str">
        <f>LEFT(J834,10)</f>
        <v/>
      </c>
    </row>
    <row r="835" spans="1:15" ht="57.6" customHeight="1" x14ac:dyDescent="0.25">
      <c r="A835" s="372"/>
      <c r="B835" s="372"/>
      <c r="C835" s="372"/>
      <c r="D835" s="372"/>
      <c r="E835" s="372"/>
      <c r="F835" s="372"/>
      <c r="G835" s="372"/>
      <c r="H835" s="375"/>
      <c r="I835" s="381"/>
      <c r="J835" s="375"/>
      <c r="K835" s="377"/>
      <c r="L835" s="382"/>
      <c r="M835" s="382"/>
      <c r="N835" s="383"/>
      <c r="O835" s="327" t="str">
        <f>LEFT(J835,10)</f>
        <v/>
      </c>
    </row>
    <row r="836" spans="1:15" ht="57.6" customHeight="1" x14ac:dyDescent="0.25">
      <c r="A836" s="372"/>
      <c r="B836" s="372"/>
      <c r="C836" s="372"/>
      <c r="D836" s="372"/>
      <c r="E836" s="372"/>
      <c r="F836" s="372"/>
      <c r="G836" s="372"/>
      <c r="H836" s="375"/>
      <c r="I836" s="381"/>
      <c r="J836" s="375"/>
      <c r="K836" s="377"/>
      <c r="L836" s="382"/>
      <c r="M836" s="382"/>
      <c r="N836" s="383"/>
      <c r="O836" s="327" t="str">
        <f>LEFT(J836,10)</f>
        <v/>
      </c>
    </row>
    <row r="837" spans="1:15" ht="57.6" customHeight="1" x14ac:dyDescent="0.25">
      <c r="A837" s="372"/>
      <c r="B837" s="372"/>
      <c r="C837" s="372"/>
      <c r="D837" s="372"/>
      <c r="E837" s="372"/>
      <c r="F837" s="372"/>
      <c r="G837" s="372"/>
      <c r="H837" s="375"/>
      <c r="I837" s="381"/>
      <c r="J837" s="375"/>
      <c r="K837" s="377"/>
      <c r="L837" s="382"/>
      <c r="M837" s="382"/>
      <c r="N837" s="383"/>
      <c r="O837" s="327" t="str">
        <f>LEFT(J837,10)</f>
        <v/>
      </c>
    </row>
    <row r="838" spans="1:15" ht="57.6" customHeight="1" x14ac:dyDescent="0.25">
      <c r="A838" s="372"/>
      <c r="B838" s="372"/>
      <c r="C838" s="372"/>
      <c r="D838" s="372"/>
      <c r="E838" s="372"/>
      <c r="F838" s="372"/>
      <c r="G838" s="372"/>
      <c r="H838" s="375"/>
      <c r="I838" s="381"/>
      <c r="J838" s="375"/>
      <c r="K838" s="377"/>
      <c r="L838" s="382"/>
      <c r="M838" s="382"/>
      <c r="N838" s="383"/>
      <c r="O838" s="327" t="str">
        <f>LEFT(J838,10)</f>
        <v/>
      </c>
    </row>
    <row r="839" spans="1:15" ht="57.6" customHeight="1" x14ac:dyDescent="0.25">
      <c r="A839" s="372"/>
      <c r="B839" s="372"/>
      <c r="C839" s="372"/>
      <c r="D839" s="372"/>
      <c r="E839" s="372"/>
      <c r="F839" s="372"/>
      <c r="G839" s="372"/>
      <c r="H839" s="375"/>
      <c r="I839" s="381"/>
      <c r="J839" s="375"/>
      <c r="K839" s="377"/>
      <c r="L839" s="382"/>
      <c r="M839" s="382"/>
      <c r="N839" s="383"/>
      <c r="O839" s="327" t="str">
        <f>LEFT(J839,10)</f>
        <v/>
      </c>
    </row>
    <row r="840" spans="1:15" ht="57.6" customHeight="1" x14ac:dyDescent="0.25">
      <c r="A840" s="372"/>
      <c r="B840" s="372"/>
      <c r="C840" s="372"/>
      <c r="D840" s="372"/>
      <c r="E840" s="372"/>
      <c r="F840" s="372"/>
      <c r="G840" s="372"/>
      <c r="H840" s="375"/>
      <c r="I840" s="381"/>
      <c r="J840" s="375"/>
      <c r="K840" s="377"/>
      <c r="L840" s="382"/>
      <c r="M840" s="382"/>
      <c r="N840" s="383"/>
      <c r="O840" s="327" t="str">
        <f>LEFT(J840,10)</f>
        <v/>
      </c>
    </row>
    <row r="841" spans="1:15" ht="57.6" customHeight="1" x14ac:dyDescent="0.25">
      <c r="A841" s="372"/>
      <c r="B841" s="372"/>
      <c r="C841" s="372"/>
      <c r="D841" s="372"/>
      <c r="E841" s="372"/>
      <c r="F841" s="372"/>
      <c r="G841" s="372"/>
      <c r="H841" s="375"/>
      <c r="I841" s="381"/>
      <c r="J841" s="375"/>
      <c r="K841" s="377"/>
      <c r="L841" s="382"/>
      <c r="M841" s="382"/>
      <c r="N841" s="383"/>
      <c r="O841" s="327" t="str">
        <f>LEFT(J841,10)</f>
        <v/>
      </c>
    </row>
    <row r="842" spans="1:15" ht="57.6" customHeight="1" x14ac:dyDescent="0.25">
      <c r="A842" s="372"/>
      <c r="B842" s="372"/>
      <c r="C842" s="372"/>
      <c r="D842" s="372"/>
      <c r="E842" s="372"/>
      <c r="F842" s="372"/>
      <c r="G842" s="372"/>
      <c r="H842" s="375"/>
      <c r="I842" s="381"/>
      <c r="J842" s="375"/>
      <c r="K842" s="377"/>
      <c r="L842" s="382"/>
      <c r="M842" s="382"/>
      <c r="N842" s="383"/>
      <c r="O842" s="327" t="str">
        <f>LEFT(J842,10)</f>
        <v/>
      </c>
    </row>
    <row r="843" spans="1:15" ht="57.6" customHeight="1" x14ac:dyDescent="0.25">
      <c r="A843" s="372"/>
      <c r="B843" s="372"/>
      <c r="C843" s="372"/>
      <c r="D843" s="372"/>
      <c r="E843" s="372"/>
      <c r="F843" s="372"/>
      <c r="G843" s="372"/>
      <c r="H843" s="375"/>
      <c r="I843" s="381"/>
      <c r="J843" s="375"/>
      <c r="K843" s="377"/>
      <c r="L843" s="382"/>
      <c r="M843" s="382"/>
      <c r="N843" s="383"/>
      <c r="O843" s="327" t="str">
        <f>LEFT(J843,10)</f>
        <v/>
      </c>
    </row>
    <row r="844" spans="1:15" ht="57.6" customHeight="1" x14ac:dyDescent="0.25">
      <c r="A844" s="372"/>
      <c r="B844" s="372"/>
      <c r="C844" s="372"/>
      <c r="D844" s="372"/>
      <c r="E844" s="372"/>
      <c r="F844" s="372"/>
      <c r="G844" s="372"/>
      <c r="H844" s="375"/>
      <c r="I844" s="381"/>
      <c r="J844" s="375"/>
      <c r="K844" s="377"/>
      <c r="L844" s="382"/>
      <c r="M844" s="382"/>
      <c r="N844" s="383"/>
      <c r="O844" s="327" t="str">
        <f>LEFT(J844,10)</f>
        <v/>
      </c>
    </row>
    <row r="845" spans="1:15" ht="57.6" customHeight="1" x14ac:dyDescent="0.25">
      <c r="A845" s="372"/>
      <c r="B845" s="372"/>
      <c r="C845" s="372"/>
      <c r="D845" s="372"/>
      <c r="E845" s="372"/>
      <c r="F845" s="372"/>
      <c r="G845" s="372"/>
      <c r="H845" s="375"/>
      <c r="I845" s="381"/>
      <c r="J845" s="375"/>
      <c r="K845" s="377"/>
      <c r="L845" s="382"/>
      <c r="M845" s="382"/>
      <c r="N845" s="383"/>
      <c r="O845" s="327" t="str">
        <f>LEFT(J845,10)</f>
        <v/>
      </c>
    </row>
    <row r="846" spans="1:15" ht="57.6" customHeight="1" x14ac:dyDescent="0.25">
      <c r="A846" s="372"/>
      <c r="B846" s="372"/>
      <c r="C846" s="372"/>
      <c r="D846" s="372"/>
      <c r="E846" s="372"/>
      <c r="F846" s="372"/>
      <c r="G846" s="372"/>
      <c r="H846" s="375"/>
      <c r="I846" s="381"/>
      <c r="J846" s="375"/>
      <c r="K846" s="377"/>
      <c r="L846" s="382"/>
      <c r="M846" s="382"/>
      <c r="N846" s="383"/>
      <c r="O846" s="327" t="str">
        <f>LEFT(J846,10)</f>
        <v/>
      </c>
    </row>
    <row r="847" spans="1:15" ht="57.6" customHeight="1" x14ac:dyDescent="0.25">
      <c r="A847" s="372"/>
      <c r="B847" s="372"/>
      <c r="C847" s="372"/>
      <c r="D847" s="372"/>
      <c r="E847" s="372"/>
      <c r="F847" s="372"/>
      <c r="G847" s="372"/>
      <c r="H847" s="375"/>
      <c r="I847" s="381"/>
      <c r="J847" s="375"/>
      <c r="K847" s="377"/>
      <c r="L847" s="382"/>
      <c r="M847" s="382"/>
      <c r="N847" s="383"/>
      <c r="O847" s="327" t="str">
        <f>LEFT(J847,10)</f>
        <v/>
      </c>
    </row>
    <row r="848" spans="1:15" ht="57.6" customHeight="1" x14ac:dyDescent="0.25">
      <c r="A848" s="372"/>
      <c r="B848" s="372"/>
      <c r="C848" s="372"/>
      <c r="D848" s="372"/>
      <c r="E848" s="372"/>
      <c r="F848" s="372"/>
      <c r="G848" s="372"/>
      <c r="H848" s="375"/>
      <c r="I848" s="381"/>
      <c r="J848" s="375"/>
      <c r="K848" s="377"/>
      <c r="L848" s="382"/>
      <c r="M848" s="382"/>
      <c r="N848" s="383"/>
      <c r="O848" s="327" t="str">
        <f>LEFT(J848,10)</f>
        <v/>
      </c>
    </row>
    <row r="849" spans="1:15" ht="57.6" customHeight="1" x14ac:dyDescent="0.25">
      <c r="A849" s="372"/>
      <c r="B849" s="372"/>
      <c r="C849" s="372"/>
      <c r="D849" s="372"/>
      <c r="E849" s="372"/>
      <c r="F849" s="372"/>
      <c r="G849" s="372"/>
      <c r="H849" s="375"/>
      <c r="I849" s="381"/>
      <c r="J849" s="375"/>
      <c r="K849" s="377"/>
      <c r="L849" s="382"/>
      <c r="M849" s="382"/>
      <c r="N849" s="383"/>
      <c r="O849" s="327" t="str">
        <f>LEFT(J849,10)</f>
        <v/>
      </c>
    </row>
    <row r="850" spans="1:15" ht="57.6" customHeight="1" x14ac:dyDescent="0.25">
      <c r="A850" s="372"/>
      <c r="B850" s="372"/>
      <c r="C850" s="372"/>
      <c r="D850" s="372"/>
      <c r="E850" s="372"/>
      <c r="F850" s="372"/>
      <c r="G850" s="372"/>
      <c r="H850" s="375"/>
      <c r="I850" s="381"/>
      <c r="J850" s="375"/>
      <c r="K850" s="377"/>
      <c r="L850" s="382"/>
      <c r="M850" s="382"/>
      <c r="N850" s="383"/>
      <c r="O850" s="327" t="str">
        <f>LEFT(J850,10)</f>
        <v/>
      </c>
    </row>
    <row r="851" spans="1:15" ht="57.6" customHeight="1" x14ac:dyDescent="0.25">
      <c r="A851" s="372"/>
      <c r="B851" s="372"/>
      <c r="C851" s="372"/>
      <c r="D851" s="372"/>
      <c r="E851" s="372"/>
      <c r="F851" s="372"/>
      <c r="G851" s="372"/>
      <c r="H851" s="375"/>
      <c r="I851" s="381"/>
      <c r="J851" s="375"/>
      <c r="K851" s="377"/>
      <c r="L851" s="382"/>
      <c r="M851" s="382"/>
      <c r="N851" s="383"/>
      <c r="O851" s="327" t="str">
        <f>LEFT(J851,10)</f>
        <v/>
      </c>
    </row>
    <row r="852" spans="1:15" ht="57.6" customHeight="1" x14ac:dyDescent="0.25">
      <c r="A852" s="372"/>
      <c r="B852" s="372"/>
      <c r="C852" s="372"/>
      <c r="D852" s="372"/>
      <c r="E852" s="372"/>
      <c r="F852" s="372"/>
      <c r="G852" s="372"/>
      <c r="H852" s="375"/>
      <c r="I852" s="381"/>
      <c r="J852" s="375"/>
      <c r="K852" s="377"/>
      <c r="L852" s="382"/>
      <c r="M852" s="382"/>
      <c r="N852" s="383"/>
      <c r="O852" s="327" t="str">
        <f>LEFT(J852,10)</f>
        <v/>
      </c>
    </row>
    <row r="853" spans="1:15" ht="57.6" customHeight="1" x14ac:dyDescent="0.25">
      <c r="A853" s="372"/>
      <c r="B853" s="372"/>
      <c r="C853" s="372"/>
      <c r="D853" s="372"/>
      <c r="E853" s="372"/>
      <c r="F853" s="372"/>
      <c r="G853" s="372"/>
      <c r="H853" s="375"/>
      <c r="I853" s="381"/>
      <c r="J853" s="375"/>
      <c r="K853" s="377"/>
      <c r="L853" s="382"/>
      <c r="M853" s="382"/>
      <c r="N853" s="383"/>
      <c r="O853" s="327" t="str">
        <f>LEFT(J853,10)</f>
        <v/>
      </c>
    </row>
    <row r="854" spans="1:15" ht="57.6" customHeight="1" x14ac:dyDescent="0.25">
      <c r="A854" s="372"/>
      <c r="B854" s="372"/>
      <c r="C854" s="372"/>
      <c r="D854" s="372"/>
      <c r="E854" s="372"/>
      <c r="F854" s="372"/>
      <c r="G854" s="372"/>
      <c r="H854" s="375"/>
      <c r="I854" s="381"/>
      <c r="J854" s="375"/>
      <c r="K854" s="377"/>
      <c r="L854" s="382"/>
      <c r="M854" s="382"/>
      <c r="N854" s="383"/>
      <c r="O854" s="327" t="str">
        <f>LEFT(J854,10)</f>
        <v/>
      </c>
    </row>
    <row r="855" spans="1:15" ht="57.6" customHeight="1" x14ac:dyDescent="0.25">
      <c r="A855" s="372"/>
      <c r="B855" s="372"/>
      <c r="C855" s="372"/>
      <c r="D855" s="372"/>
      <c r="E855" s="372"/>
      <c r="F855" s="372"/>
      <c r="G855" s="372"/>
      <c r="H855" s="375"/>
      <c r="I855" s="381"/>
      <c r="J855" s="375"/>
      <c r="K855" s="377"/>
      <c r="L855" s="382"/>
      <c r="M855" s="382"/>
      <c r="N855" s="383"/>
      <c r="O855" s="327" t="str">
        <f>LEFT(J855,10)</f>
        <v/>
      </c>
    </row>
    <row r="856" spans="1:15" ht="57.6" customHeight="1" x14ac:dyDescent="0.25">
      <c r="A856" s="372"/>
      <c r="B856" s="372"/>
      <c r="C856" s="372"/>
      <c r="D856" s="372"/>
      <c r="E856" s="372"/>
      <c r="F856" s="372"/>
      <c r="G856" s="372"/>
      <c r="H856" s="375"/>
      <c r="I856" s="381"/>
      <c r="J856" s="375"/>
      <c r="K856" s="377"/>
      <c r="L856" s="382"/>
      <c r="M856" s="382"/>
      <c r="N856" s="383"/>
      <c r="O856" s="327" t="str">
        <f>LEFT(J856,10)</f>
        <v/>
      </c>
    </row>
    <row r="857" spans="1:15" ht="57.6" customHeight="1" x14ac:dyDescent="0.25">
      <c r="A857" s="372"/>
      <c r="B857" s="372"/>
      <c r="C857" s="372"/>
      <c r="D857" s="372"/>
      <c r="E857" s="372"/>
      <c r="F857" s="372"/>
      <c r="G857" s="372"/>
      <c r="H857" s="375"/>
      <c r="I857" s="381"/>
      <c r="J857" s="375"/>
      <c r="K857" s="377"/>
      <c r="L857" s="382"/>
      <c r="M857" s="382"/>
      <c r="N857" s="383"/>
      <c r="O857" s="327" t="str">
        <f>LEFT(J857,10)</f>
        <v/>
      </c>
    </row>
    <row r="858" spans="1:15" ht="57.6" customHeight="1" x14ac:dyDescent="0.25">
      <c r="A858" s="372"/>
      <c r="B858" s="372"/>
      <c r="C858" s="372"/>
      <c r="D858" s="372"/>
      <c r="E858" s="372"/>
      <c r="F858" s="372"/>
      <c r="G858" s="372"/>
      <c r="H858" s="375"/>
      <c r="I858" s="381"/>
      <c r="J858" s="375"/>
      <c r="K858" s="377"/>
      <c r="L858" s="382"/>
      <c r="M858" s="382"/>
      <c r="N858" s="383"/>
      <c r="O858" s="327" t="str">
        <f>LEFT(J858,10)</f>
        <v/>
      </c>
    </row>
    <row r="859" spans="1:15" ht="57.6" customHeight="1" x14ac:dyDescent="0.25">
      <c r="A859" s="372"/>
      <c r="B859" s="372"/>
      <c r="C859" s="372"/>
      <c r="D859" s="372"/>
      <c r="E859" s="372"/>
      <c r="F859" s="372"/>
      <c r="G859" s="372"/>
      <c r="H859" s="375"/>
      <c r="I859" s="381"/>
      <c r="J859" s="375"/>
      <c r="K859" s="377"/>
      <c r="L859" s="382"/>
      <c r="M859" s="382"/>
      <c r="N859" s="383"/>
      <c r="O859" s="327" t="str">
        <f>LEFT(J859,10)</f>
        <v/>
      </c>
    </row>
    <row r="860" spans="1:15" ht="57.6" customHeight="1" x14ac:dyDescent="0.25">
      <c r="A860" s="372"/>
      <c r="B860" s="372"/>
      <c r="C860" s="372"/>
      <c r="D860" s="372"/>
      <c r="E860" s="372"/>
      <c r="F860" s="372"/>
      <c r="G860" s="372"/>
      <c r="H860" s="375"/>
      <c r="I860" s="381"/>
      <c r="J860" s="375"/>
      <c r="K860" s="377"/>
      <c r="L860" s="382"/>
      <c r="M860" s="382"/>
      <c r="N860" s="383"/>
      <c r="O860" s="327" t="str">
        <f>LEFT(J860,10)</f>
        <v/>
      </c>
    </row>
    <row r="861" spans="1:15" ht="57.6" customHeight="1" x14ac:dyDescent="0.25">
      <c r="A861" s="372"/>
      <c r="B861" s="372"/>
      <c r="C861" s="372"/>
      <c r="D861" s="372"/>
      <c r="E861" s="372"/>
      <c r="F861" s="372"/>
      <c r="G861" s="372"/>
      <c r="H861" s="375"/>
      <c r="I861" s="381"/>
      <c r="J861" s="375"/>
      <c r="K861" s="377"/>
      <c r="L861" s="382"/>
      <c r="M861" s="382"/>
      <c r="N861" s="383"/>
      <c r="O861" s="327" t="str">
        <f>LEFT(J861,10)</f>
        <v/>
      </c>
    </row>
    <row r="862" spans="1:15" ht="57.6" customHeight="1" x14ac:dyDescent="0.25">
      <c r="A862" s="372"/>
      <c r="B862" s="372"/>
      <c r="C862" s="372"/>
      <c r="D862" s="372"/>
      <c r="E862" s="372"/>
      <c r="F862" s="372"/>
      <c r="G862" s="372"/>
      <c r="H862" s="375"/>
      <c r="I862" s="381"/>
      <c r="J862" s="375"/>
      <c r="K862" s="377"/>
      <c r="L862" s="382"/>
      <c r="M862" s="382"/>
      <c r="N862" s="383"/>
      <c r="O862" s="327" t="str">
        <f>LEFT(J862,10)</f>
        <v/>
      </c>
    </row>
    <row r="863" spans="1:15" ht="57.6" customHeight="1" x14ac:dyDescent="0.25">
      <c r="A863" s="372"/>
      <c r="B863" s="372"/>
      <c r="C863" s="372"/>
      <c r="D863" s="372"/>
      <c r="E863" s="372"/>
      <c r="F863" s="372"/>
      <c r="G863" s="372"/>
      <c r="H863" s="375"/>
      <c r="I863" s="381"/>
      <c r="J863" s="375"/>
      <c r="K863" s="377"/>
      <c r="L863" s="382"/>
      <c r="M863" s="382"/>
      <c r="N863" s="383"/>
      <c r="O863" s="327" t="str">
        <f>LEFT(J863,10)</f>
        <v/>
      </c>
    </row>
    <row r="864" spans="1:15" ht="57.6" customHeight="1" x14ac:dyDescent="0.25">
      <c r="A864" s="372"/>
      <c r="B864" s="372"/>
      <c r="C864" s="372"/>
      <c r="D864" s="372"/>
      <c r="E864" s="372"/>
      <c r="F864" s="372"/>
      <c r="G864" s="372"/>
      <c r="H864" s="375"/>
      <c r="I864" s="381"/>
      <c r="J864" s="375"/>
      <c r="K864" s="377"/>
      <c r="L864" s="382"/>
      <c r="M864" s="382"/>
      <c r="N864" s="383"/>
      <c r="O864" s="327" t="str">
        <f>LEFT(J864,10)</f>
        <v/>
      </c>
    </row>
    <row r="865" spans="1:15" ht="57.6" customHeight="1" x14ac:dyDescent="0.25">
      <c r="A865" s="372"/>
      <c r="B865" s="372"/>
      <c r="C865" s="372"/>
      <c r="D865" s="372"/>
      <c r="E865" s="372"/>
      <c r="F865" s="372"/>
      <c r="G865" s="372"/>
      <c r="H865" s="375"/>
      <c r="I865" s="381"/>
      <c r="J865" s="375"/>
      <c r="K865" s="377"/>
      <c r="L865" s="382"/>
      <c r="M865" s="382"/>
      <c r="N865" s="383"/>
      <c r="O865" s="327" t="str">
        <f>LEFT(J865,10)</f>
        <v/>
      </c>
    </row>
    <row r="866" spans="1:15" ht="57.6" customHeight="1" x14ac:dyDescent="0.25">
      <c r="A866" s="372"/>
      <c r="B866" s="372"/>
      <c r="C866" s="372"/>
      <c r="D866" s="372"/>
      <c r="E866" s="372"/>
      <c r="F866" s="372"/>
      <c r="G866" s="372"/>
      <c r="H866" s="375"/>
      <c r="I866" s="381"/>
      <c r="J866" s="375"/>
      <c r="K866" s="377"/>
      <c r="L866" s="382"/>
      <c r="M866" s="382"/>
      <c r="N866" s="383"/>
      <c r="O866" s="327" t="str">
        <f>LEFT(J866,10)</f>
        <v/>
      </c>
    </row>
    <row r="867" spans="1:15" ht="57.6" customHeight="1" x14ac:dyDescent="0.25">
      <c r="A867" s="372"/>
      <c r="B867" s="372"/>
      <c r="C867" s="372"/>
      <c r="D867" s="372"/>
      <c r="E867" s="372"/>
      <c r="F867" s="372"/>
      <c r="G867" s="372"/>
      <c r="H867" s="375"/>
      <c r="I867" s="381"/>
      <c r="J867" s="375"/>
      <c r="K867" s="377"/>
      <c r="L867" s="382"/>
      <c r="M867" s="382"/>
      <c r="N867" s="383"/>
      <c r="O867" s="327" t="str">
        <f>LEFT(J867,10)</f>
        <v/>
      </c>
    </row>
    <row r="868" spans="1:15" ht="57.6" customHeight="1" x14ac:dyDescent="0.25">
      <c r="A868" s="372"/>
      <c r="B868" s="372"/>
      <c r="C868" s="372"/>
      <c r="D868" s="372"/>
      <c r="E868" s="372"/>
      <c r="F868" s="372"/>
      <c r="G868" s="372"/>
      <c r="H868" s="375"/>
      <c r="I868" s="381"/>
      <c r="J868" s="375"/>
      <c r="K868" s="377"/>
      <c r="L868" s="382"/>
      <c r="M868" s="382"/>
      <c r="N868" s="383"/>
      <c r="O868" s="327" t="str">
        <f>LEFT(J868,10)</f>
        <v/>
      </c>
    </row>
    <row r="869" spans="1:15" ht="57.6" customHeight="1" x14ac:dyDescent="0.25">
      <c r="A869" s="372"/>
      <c r="B869" s="372"/>
      <c r="C869" s="372"/>
      <c r="D869" s="372"/>
      <c r="E869" s="372"/>
      <c r="F869" s="372"/>
      <c r="G869" s="372"/>
      <c r="H869" s="375"/>
      <c r="I869" s="381"/>
      <c r="J869" s="375"/>
      <c r="K869" s="377"/>
      <c r="L869" s="382"/>
      <c r="M869" s="382"/>
      <c r="N869" s="383"/>
      <c r="O869" s="327" t="str">
        <f>LEFT(J869,10)</f>
        <v/>
      </c>
    </row>
    <row r="870" spans="1:15" ht="57.6" customHeight="1" x14ac:dyDescent="0.25">
      <c r="A870" s="372"/>
      <c r="B870" s="372"/>
      <c r="C870" s="372"/>
      <c r="D870" s="372"/>
      <c r="E870" s="372"/>
      <c r="F870" s="372"/>
      <c r="G870" s="372"/>
      <c r="H870" s="375"/>
      <c r="I870" s="381"/>
      <c r="J870" s="375"/>
      <c r="K870" s="377"/>
      <c r="L870" s="382"/>
      <c r="M870" s="382"/>
      <c r="N870" s="383"/>
      <c r="O870" s="327" t="str">
        <f>LEFT(J870,10)</f>
        <v/>
      </c>
    </row>
    <row r="871" spans="1:15" ht="57.6" customHeight="1" x14ac:dyDescent="0.25">
      <c r="A871" s="372"/>
      <c r="B871" s="372"/>
      <c r="C871" s="372"/>
      <c r="D871" s="372"/>
      <c r="E871" s="372"/>
      <c r="F871" s="372"/>
      <c r="G871" s="372"/>
      <c r="H871" s="375"/>
      <c r="I871" s="381"/>
      <c r="J871" s="375"/>
      <c r="K871" s="377"/>
      <c r="L871" s="382"/>
      <c r="M871" s="382"/>
      <c r="N871" s="383"/>
      <c r="O871" s="327" t="str">
        <f>LEFT(J871,10)</f>
        <v/>
      </c>
    </row>
    <row r="872" spans="1:15" ht="57.6" customHeight="1" x14ac:dyDescent="0.25">
      <c r="A872" s="372"/>
      <c r="B872" s="372"/>
      <c r="C872" s="372"/>
      <c r="D872" s="372"/>
      <c r="E872" s="372"/>
      <c r="F872" s="372"/>
      <c r="G872" s="372"/>
      <c r="H872" s="375"/>
      <c r="I872" s="381"/>
      <c r="J872" s="375"/>
      <c r="K872" s="377"/>
      <c r="L872" s="382"/>
      <c r="M872" s="382"/>
      <c r="N872" s="383"/>
      <c r="O872" s="327" t="str">
        <f>LEFT(J872,10)</f>
        <v/>
      </c>
    </row>
    <row r="873" spans="1:15" ht="57.6" customHeight="1" x14ac:dyDescent="0.25">
      <c r="A873" s="372"/>
      <c r="B873" s="372"/>
      <c r="C873" s="372"/>
      <c r="D873" s="372"/>
      <c r="E873" s="372"/>
      <c r="F873" s="372"/>
      <c r="G873" s="372"/>
      <c r="H873" s="375"/>
      <c r="I873" s="381"/>
      <c r="J873" s="375"/>
      <c r="K873" s="377"/>
      <c r="L873" s="382"/>
      <c r="M873" s="382"/>
      <c r="N873" s="383"/>
      <c r="O873" s="327" t="str">
        <f>LEFT(J873,10)</f>
        <v/>
      </c>
    </row>
    <row r="874" spans="1:15" ht="57.6" customHeight="1" x14ac:dyDescent="0.25">
      <c r="A874" s="372"/>
      <c r="B874" s="372"/>
      <c r="C874" s="372"/>
      <c r="D874" s="372"/>
      <c r="E874" s="372"/>
      <c r="F874" s="372"/>
      <c r="G874" s="372"/>
      <c r="H874" s="375"/>
      <c r="I874" s="381"/>
      <c r="J874" s="375"/>
      <c r="K874" s="377"/>
      <c r="L874" s="382"/>
      <c r="M874" s="382"/>
      <c r="N874" s="383"/>
      <c r="O874" s="327" t="str">
        <f>LEFT(J874,10)</f>
        <v/>
      </c>
    </row>
    <row r="875" spans="1:15" ht="57.6" customHeight="1" x14ac:dyDescent="0.25">
      <c r="A875" s="372"/>
      <c r="B875" s="372"/>
      <c r="C875" s="372"/>
      <c r="D875" s="372"/>
      <c r="E875" s="372"/>
      <c r="F875" s="372"/>
      <c r="G875" s="372"/>
      <c r="H875" s="375"/>
      <c r="I875" s="381"/>
      <c r="J875" s="375"/>
      <c r="K875" s="377"/>
      <c r="L875" s="382"/>
      <c r="M875" s="382"/>
      <c r="N875" s="383"/>
      <c r="O875" s="327" t="str">
        <f>LEFT(J875,10)</f>
        <v/>
      </c>
    </row>
    <row r="876" spans="1:15" ht="57.6" customHeight="1" x14ac:dyDescent="0.25">
      <c r="A876" s="372"/>
      <c r="B876" s="372"/>
      <c r="C876" s="372"/>
      <c r="D876" s="372"/>
      <c r="E876" s="372"/>
      <c r="F876" s="372"/>
      <c r="G876" s="372"/>
      <c r="H876" s="375"/>
      <c r="I876" s="381"/>
      <c r="J876" s="375"/>
      <c r="K876" s="377"/>
      <c r="L876" s="382"/>
      <c r="M876" s="382"/>
      <c r="N876" s="383"/>
      <c r="O876" s="327" t="str">
        <f>LEFT(J876,10)</f>
        <v/>
      </c>
    </row>
    <row r="877" spans="1:15" ht="57.6" customHeight="1" x14ac:dyDescent="0.25">
      <c r="A877" s="372"/>
      <c r="B877" s="372"/>
      <c r="C877" s="372"/>
      <c r="D877" s="372"/>
      <c r="E877" s="372"/>
      <c r="F877" s="372"/>
      <c r="G877" s="372"/>
      <c r="H877" s="375"/>
      <c r="I877" s="381"/>
      <c r="J877" s="375"/>
      <c r="K877" s="377"/>
      <c r="L877" s="382"/>
      <c r="M877" s="382"/>
      <c r="N877" s="383"/>
      <c r="O877" s="327" t="str">
        <f>LEFT(J877,10)</f>
        <v/>
      </c>
    </row>
    <row r="878" spans="1:15" ht="57.6" customHeight="1" x14ac:dyDescent="0.25">
      <c r="A878" s="372"/>
      <c r="B878" s="372"/>
      <c r="C878" s="372"/>
      <c r="D878" s="372"/>
      <c r="E878" s="372"/>
      <c r="F878" s="372"/>
      <c r="G878" s="372"/>
      <c r="H878" s="375"/>
      <c r="I878" s="381"/>
      <c r="J878" s="375"/>
      <c r="K878" s="377"/>
      <c r="L878" s="382"/>
      <c r="M878" s="382"/>
      <c r="N878" s="383"/>
      <c r="O878" s="327" t="str">
        <f>LEFT(J878,10)</f>
        <v/>
      </c>
    </row>
    <row r="879" spans="1:15" ht="57.6" customHeight="1" x14ac:dyDescent="0.25">
      <c r="A879" s="372"/>
      <c r="B879" s="372"/>
      <c r="C879" s="372"/>
      <c r="D879" s="372"/>
      <c r="E879" s="372"/>
      <c r="F879" s="372"/>
      <c r="G879" s="372"/>
      <c r="H879" s="375"/>
      <c r="I879" s="381"/>
      <c r="J879" s="375"/>
      <c r="K879" s="377"/>
      <c r="L879" s="382"/>
      <c r="M879" s="382"/>
      <c r="N879" s="383"/>
      <c r="O879" s="327" t="str">
        <f>LEFT(J879,10)</f>
        <v/>
      </c>
    </row>
    <row r="880" spans="1:15" ht="57.6" customHeight="1" x14ac:dyDescent="0.25">
      <c r="A880" s="372"/>
      <c r="B880" s="372"/>
      <c r="C880" s="372"/>
      <c r="D880" s="372"/>
      <c r="E880" s="372"/>
      <c r="F880" s="372"/>
      <c r="G880" s="372"/>
      <c r="H880" s="375"/>
      <c r="I880" s="381"/>
      <c r="J880" s="375"/>
      <c r="K880" s="377"/>
      <c r="L880" s="382"/>
      <c r="M880" s="382"/>
      <c r="N880" s="383"/>
      <c r="O880" s="327" t="str">
        <f>LEFT(J880,10)</f>
        <v/>
      </c>
    </row>
    <row r="881" spans="1:15" ht="57.6" customHeight="1" x14ac:dyDescent="0.25">
      <c r="A881" s="372"/>
      <c r="B881" s="372"/>
      <c r="C881" s="372"/>
      <c r="D881" s="372"/>
      <c r="E881" s="372"/>
      <c r="F881" s="372"/>
      <c r="G881" s="372"/>
      <c r="H881" s="375"/>
      <c r="I881" s="381"/>
      <c r="J881" s="375"/>
      <c r="K881" s="377"/>
      <c r="L881" s="382"/>
      <c r="M881" s="382"/>
      <c r="N881" s="383"/>
      <c r="O881" s="327" t="str">
        <f>LEFT(J881,10)</f>
        <v/>
      </c>
    </row>
    <row r="882" spans="1:15" ht="57.6" customHeight="1" x14ac:dyDescent="0.25">
      <c r="A882" s="372"/>
      <c r="B882" s="372"/>
      <c r="C882" s="372"/>
      <c r="D882" s="372"/>
      <c r="E882" s="372"/>
      <c r="F882" s="372"/>
      <c r="G882" s="372"/>
      <c r="H882" s="375"/>
      <c r="I882" s="381"/>
      <c r="J882" s="375"/>
      <c r="K882" s="377"/>
      <c r="L882" s="382"/>
      <c r="M882" s="382"/>
      <c r="N882" s="383"/>
      <c r="O882" s="327" t="str">
        <f>LEFT(J882,10)</f>
        <v/>
      </c>
    </row>
    <row r="883" spans="1:15" ht="57.6" customHeight="1" x14ac:dyDescent="0.25">
      <c r="A883" s="372"/>
      <c r="B883" s="372"/>
      <c r="C883" s="372"/>
      <c r="D883" s="372"/>
      <c r="E883" s="372"/>
      <c r="F883" s="372"/>
      <c r="G883" s="372"/>
      <c r="H883" s="375"/>
      <c r="I883" s="381"/>
      <c r="J883" s="375"/>
      <c r="K883" s="377"/>
      <c r="L883" s="382"/>
      <c r="M883" s="382"/>
      <c r="N883" s="383"/>
      <c r="O883" s="327" t="str">
        <f>LEFT(J883,10)</f>
        <v/>
      </c>
    </row>
    <row r="884" spans="1:15" ht="57.6" customHeight="1" x14ac:dyDescent="0.25">
      <c r="A884" s="372"/>
      <c r="B884" s="372"/>
      <c r="C884" s="372"/>
      <c r="D884" s="372"/>
      <c r="E884" s="372"/>
      <c r="F884" s="372"/>
      <c r="G884" s="372"/>
      <c r="H884" s="375"/>
      <c r="I884" s="381"/>
      <c r="J884" s="375"/>
      <c r="K884" s="377"/>
      <c r="L884" s="382"/>
      <c r="M884" s="382"/>
      <c r="N884" s="383"/>
      <c r="O884" s="327" t="str">
        <f>LEFT(J884,10)</f>
        <v/>
      </c>
    </row>
    <row r="885" spans="1:15" ht="57.6" customHeight="1" x14ac:dyDescent="0.25">
      <c r="A885" s="372"/>
      <c r="B885" s="372"/>
      <c r="C885" s="372"/>
      <c r="D885" s="372"/>
      <c r="E885" s="372"/>
      <c r="F885" s="372"/>
      <c r="G885" s="372"/>
      <c r="H885" s="375"/>
      <c r="I885" s="381"/>
      <c r="J885" s="375"/>
      <c r="K885" s="377"/>
      <c r="L885" s="382"/>
      <c r="M885" s="382"/>
      <c r="N885" s="383"/>
      <c r="O885" s="327" t="str">
        <f>LEFT(J885,10)</f>
        <v/>
      </c>
    </row>
    <row r="886" spans="1:15" ht="57.6" customHeight="1" x14ac:dyDescent="0.25">
      <c r="A886" s="372"/>
      <c r="B886" s="372"/>
      <c r="C886" s="372"/>
      <c r="D886" s="372"/>
      <c r="E886" s="372"/>
      <c r="F886" s="372"/>
      <c r="G886" s="372"/>
      <c r="H886" s="375"/>
      <c r="I886" s="381"/>
      <c r="J886" s="375"/>
      <c r="K886" s="377"/>
      <c r="L886" s="382"/>
      <c r="M886" s="382"/>
      <c r="N886" s="383"/>
      <c r="O886" s="327" t="str">
        <f>LEFT(J886,10)</f>
        <v/>
      </c>
    </row>
    <row r="887" spans="1:15" ht="57.6" customHeight="1" x14ac:dyDescent="0.25">
      <c r="A887" s="372"/>
      <c r="B887" s="372"/>
      <c r="C887" s="372"/>
      <c r="D887" s="372"/>
      <c r="E887" s="372"/>
      <c r="F887" s="372"/>
      <c r="G887" s="372"/>
      <c r="H887" s="375"/>
      <c r="I887" s="381"/>
      <c r="J887" s="375"/>
      <c r="K887" s="377"/>
      <c r="L887" s="382"/>
      <c r="M887" s="382"/>
      <c r="N887" s="383"/>
      <c r="O887" s="327" t="str">
        <f>LEFT(J887,10)</f>
        <v/>
      </c>
    </row>
    <row r="888" spans="1:15" ht="57.6" customHeight="1" x14ac:dyDescent="0.25">
      <c r="A888" s="372"/>
      <c r="B888" s="372"/>
      <c r="C888" s="372"/>
      <c r="D888" s="372"/>
      <c r="E888" s="372"/>
      <c r="F888" s="372"/>
      <c r="G888" s="372"/>
      <c r="H888" s="375"/>
      <c r="I888" s="381"/>
      <c r="J888" s="375"/>
      <c r="K888" s="377"/>
      <c r="L888" s="382"/>
      <c r="M888" s="382"/>
      <c r="N888" s="383"/>
      <c r="O888" s="327" t="str">
        <f>LEFT(J888,10)</f>
        <v/>
      </c>
    </row>
    <row r="889" spans="1:15" ht="57.6" customHeight="1" x14ac:dyDescent="0.25">
      <c r="A889" s="372"/>
      <c r="B889" s="372"/>
      <c r="C889" s="372"/>
      <c r="D889" s="372"/>
      <c r="E889" s="372"/>
      <c r="F889" s="372"/>
      <c r="G889" s="372"/>
      <c r="H889" s="375"/>
      <c r="I889" s="381"/>
      <c r="J889" s="375"/>
      <c r="K889" s="377"/>
      <c r="L889" s="382"/>
      <c r="M889" s="382"/>
      <c r="N889" s="383"/>
      <c r="O889" s="327" t="str">
        <f>LEFT(J889,10)</f>
        <v/>
      </c>
    </row>
    <row r="890" spans="1:15" ht="57.6" customHeight="1" x14ac:dyDescent="0.25">
      <c r="A890" s="372"/>
      <c r="B890" s="372"/>
      <c r="C890" s="372"/>
      <c r="D890" s="372"/>
      <c r="E890" s="372"/>
      <c r="F890" s="372"/>
      <c r="G890" s="372"/>
      <c r="H890" s="375"/>
      <c r="I890" s="381"/>
      <c r="J890" s="375"/>
      <c r="K890" s="377"/>
      <c r="L890" s="382"/>
      <c r="M890" s="382"/>
      <c r="N890" s="383"/>
      <c r="O890" s="327" t="str">
        <f>LEFT(J890,10)</f>
        <v/>
      </c>
    </row>
    <row r="891" spans="1:15" ht="57.6" customHeight="1" x14ac:dyDescent="0.25">
      <c r="A891" s="372"/>
      <c r="B891" s="372"/>
      <c r="C891" s="372"/>
      <c r="D891" s="372"/>
      <c r="E891" s="372"/>
      <c r="F891" s="372"/>
      <c r="G891" s="372"/>
      <c r="H891" s="375"/>
      <c r="I891" s="381"/>
      <c r="J891" s="375"/>
      <c r="K891" s="377"/>
      <c r="L891" s="382"/>
      <c r="M891" s="382"/>
      <c r="N891" s="383"/>
      <c r="O891" s="327" t="str">
        <f>LEFT(J891,10)</f>
        <v/>
      </c>
    </row>
    <row r="892" spans="1:15" ht="57.6" customHeight="1" x14ac:dyDescent="0.25">
      <c r="A892" s="372"/>
      <c r="B892" s="372"/>
      <c r="C892" s="372"/>
      <c r="D892" s="372"/>
      <c r="E892" s="372"/>
      <c r="F892" s="372"/>
      <c r="G892" s="372"/>
      <c r="H892" s="375"/>
      <c r="I892" s="381"/>
      <c r="J892" s="375"/>
      <c r="K892" s="377"/>
      <c r="L892" s="382"/>
      <c r="M892" s="382"/>
      <c r="N892" s="383"/>
      <c r="O892" s="327" t="str">
        <f>LEFT(J892,10)</f>
        <v/>
      </c>
    </row>
    <row r="893" spans="1:15" ht="57.6" customHeight="1" x14ac:dyDescent="0.25">
      <c r="A893" s="372"/>
      <c r="B893" s="372"/>
      <c r="C893" s="372"/>
      <c r="D893" s="372"/>
      <c r="E893" s="372"/>
      <c r="F893" s="372"/>
      <c r="G893" s="372"/>
      <c r="H893" s="375"/>
      <c r="I893" s="381"/>
      <c r="J893" s="375"/>
      <c r="K893" s="377"/>
      <c r="L893" s="382"/>
      <c r="M893" s="382"/>
      <c r="N893" s="383"/>
      <c r="O893" s="327" t="str">
        <f>LEFT(J893,10)</f>
        <v/>
      </c>
    </row>
    <row r="894" spans="1:15" ht="57.6" customHeight="1" x14ac:dyDescent="0.25">
      <c r="A894" s="372"/>
      <c r="B894" s="372"/>
      <c r="C894" s="372"/>
      <c r="D894" s="372"/>
      <c r="E894" s="372"/>
      <c r="F894" s="372"/>
      <c r="G894" s="372"/>
      <c r="H894" s="375"/>
      <c r="I894" s="381"/>
      <c r="J894" s="375"/>
      <c r="K894" s="377"/>
      <c r="L894" s="382"/>
      <c r="M894" s="382"/>
      <c r="N894" s="383"/>
      <c r="O894" s="327" t="str">
        <f>LEFT(J894,10)</f>
        <v/>
      </c>
    </row>
    <row r="895" spans="1:15" ht="57.6" customHeight="1" x14ac:dyDescent="0.25">
      <c r="A895" s="372"/>
      <c r="B895" s="372"/>
      <c r="C895" s="372"/>
      <c r="D895" s="372"/>
      <c r="E895" s="372"/>
      <c r="F895" s="372"/>
      <c r="G895" s="372"/>
      <c r="H895" s="375"/>
      <c r="I895" s="381"/>
      <c r="J895" s="375"/>
      <c r="K895" s="377"/>
      <c r="L895" s="382"/>
      <c r="M895" s="382"/>
      <c r="N895" s="383"/>
      <c r="O895" s="327" t="str">
        <f>LEFT(J895,10)</f>
        <v/>
      </c>
    </row>
    <row r="896" spans="1:15" ht="57.6" customHeight="1" x14ac:dyDescent="0.25">
      <c r="A896" s="372"/>
      <c r="B896" s="372"/>
      <c r="C896" s="372"/>
      <c r="D896" s="372"/>
      <c r="E896" s="372"/>
      <c r="F896" s="372"/>
      <c r="G896" s="372"/>
      <c r="H896" s="375"/>
      <c r="I896" s="381"/>
      <c r="J896" s="375"/>
      <c r="K896" s="377"/>
      <c r="L896" s="382"/>
      <c r="M896" s="382"/>
      <c r="N896" s="383"/>
      <c r="O896" s="327" t="str">
        <f>LEFT(J896,10)</f>
        <v/>
      </c>
    </row>
    <row r="897" spans="1:15" ht="57.6" customHeight="1" x14ac:dyDescent="0.25">
      <c r="A897" s="372"/>
      <c r="B897" s="372"/>
      <c r="C897" s="372"/>
      <c r="D897" s="372"/>
      <c r="E897" s="372"/>
      <c r="F897" s="372"/>
      <c r="G897" s="372"/>
      <c r="H897" s="375"/>
      <c r="I897" s="381"/>
      <c r="J897" s="375"/>
      <c r="K897" s="377"/>
      <c r="L897" s="382"/>
      <c r="M897" s="382"/>
      <c r="N897" s="383"/>
      <c r="O897" s="327" t="str">
        <f>LEFT(J897,10)</f>
        <v/>
      </c>
    </row>
    <row r="898" spans="1:15" ht="57.6" customHeight="1" x14ac:dyDescent="0.25">
      <c r="A898" s="372"/>
      <c r="B898" s="372"/>
      <c r="C898" s="372"/>
      <c r="D898" s="372"/>
      <c r="E898" s="372"/>
      <c r="F898" s="372"/>
      <c r="G898" s="372"/>
      <c r="H898" s="375"/>
      <c r="I898" s="381"/>
      <c r="J898" s="375"/>
      <c r="K898" s="377"/>
      <c r="L898" s="382"/>
      <c r="M898" s="382"/>
      <c r="N898" s="383"/>
      <c r="O898" s="327" t="str">
        <f>LEFT(J898,10)</f>
        <v/>
      </c>
    </row>
    <row r="899" spans="1:15" ht="57.6" customHeight="1" x14ac:dyDescent="0.25">
      <c r="A899" s="372"/>
      <c r="B899" s="372"/>
      <c r="C899" s="372"/>
      <c r="D899" s="372"/>
      <c r="E899" s="372"/>
      <c r="F899" s="372"/>
      <c r="G899" s="372"/>
      <c r="H899" s="375"/>
      <c r="I899" s="381"/>
      <c r="J899" s="375"/>
      <c r="K899" s="377"/>
      <c r="L899" s="382"/>
      <c r="M899" s="382"/>
      <c r="N899" s="383"/>
      <c r="O899" s="327" t="str">
        <f>LEFT(J899,10)</f>
        <v/>
      </c>
    </row>
    <row r="900" spans="1:15" ht="57.6" customHeight="1" x14ac:dyDescent="0.25">
      <c r="A900" s="372"/>
      <c r="B900" s="372"/>
      <c r="C900" s="372"/>
      <c r="D900" s="372"/>
      <c r="E900" s="372"/>
      <c r="F900" s="372"/>
      <c r="G900" s="372"/>
      <c r="H900" s="375"/>
      <c r="I900" s="381"/>
      <c r="J900" s="375"/>
      <c r="K900" s="377"/>
      <c r="L900" s="382"/>
      <c r="M900" s="382"/>
      <c r="N900" s="383"/>
      <c r="O900" s="327" t="str">
        <f>LEFT(J900,10)</f>
        <v/>
      </c>
    </row>
    <row r="901" spans="1:15" ht="57.6" customHeight="1" x14ac:dyDescent="0.25">
      <c r="A901" s="372"/>
      <c r="B901" s="372"/>
      <c r="C901" s="372"/>
      <c r="D901" s="372"/>
      <c r="E901" s="372"/>
      <c r="F901" s="372"/>
      <c r="G901" s="372"/>
      <c r="H901" s="375"/>
      <c r="I901" s="381"/>
      <c r="J901" s="375"/>
      <c r="K901" s="377"/>
      <c r="L901" s="382"/>
      <c r="M901" s="382"/>
      <c r="N901" s="383"/>
      <c r="O901" s="327" t="str">
        <f>LEFT(J901,10)</f>
        <v/>
      </c>
    </row>
    <row r="902" spans="1:15" ht="57.6" customHeight="1" x14ac:dyDescent="0.25">
      <c r="A902" s="372"/>
      <c r="B902" s="372"/>
      <c r="C902" s="372"/>
      <c r="D902" s="372"/>
      <c r="E902" s="372"/>
      <c r="F902" s="372"/>
      <c r="G902" s="372"/>
      <c r="H902" s="375"/>
      <c r="I902" s="381"/>
      <c r="J902" s="375"/>
      <c r="K902" s="377"/>
      <c r="L902" s="382"/>
      <c r="M902" s="382"/>
      <c r="N902" s="383"/>
      <c r="O902" s="327" t="str">
        <f>LEFT(J902,10)</f>
        <v/>
      </c>
    </row>
    <row r="903" spans="1:15" ht="57.6" customHeight="1" x14ac:dyDescent="0.25">
      <c r="A903" s="372"/>
      <c r="B903" s="372"/>
      <c r="C903" s="372"/>
      <c r="D903" s="372"/>
      <c r="E903" s="372"/>
      <c r="F903" s="372"/>
      <c r="G903" s="372"/>
      <c r="H903" s="375"/>
      <c r="I903" s="381"/>
      <c r="J903" s="375"/>
      <c r="K903" s="377"/>
      <c r="L903" s="382"/>
      <c r="M903" s="382"/>
      <c r="N903" s="383"/>
      <c r="O903" s="327" t="str">
        <f>LEFT(J903,10)</f>
        <v/>
      </c>
    </row>
    <row r="904" spans="1:15" ht="57.6" customHeight="1" x14ac:dyDescent="0.25">
      <c r="A904" s="372"/>
      <c r="B904" s="372"/>
      <c r="C904" s="372"/>
      <c r="D904" s="372"/>
      <c r="E904" s="372"/>
      <c r="F904" s="372"/>
      <c r="G904" s="372"/>
      <c r="H904" s="375"/>
      <c r="I904" s="381"/>
      <c r="J904" s="375"/>
      <c r="K904" s="377"/>
      <c r="L904" s="382"/>
      <c r="M904" s="382"/>
      <c r="N904" s="383"/>
      <c r="O904" s="327" t="str">
        <f>LEFT(J904,10)</f>
        <v/>
      </c>
    </row>
    <row r="905" spans="1:15" ht="57.6" customHeight="1" x14ac:dyDescent="0.25">
      <c r="A905" s="372"/>
      <c r="B905" s="372"/>
      <c r="C905" s="372"/>
      <c r="D905" s="372"/>
      <c r="E905" s="372"/>
      <c r="F905" s="372"/>
      <c r="G905" s="372"/>
      <c r="H905" s="375"/>
      <c r="I905" s="381"/>
      <c r="J905" s="375"/>
      <c r="K905" s="377"/>
      <c r="L905" s="382"/>
      <c r="M905" s="382"/>
      <c r="N905" s="383"/>
      <c r="O905" s="327" t="str">
        <f>LEFT(J905,10)</f>
        <v/>
      </c>
    </row>
    <row r="906" spans="1:15" ht="57.6" customHeight="1" x14ac:dyDescent="0.25">
      <c r="A906" s="372"/>
      <c r="B906" s="372"/>
      <c r="C906" s="372"/>
      <c r="D906" s="372"/>
      <c r="E906" s="372"/>
      <c r="F906" s="372"/>
      <c r="G906" s="372"/>
      <c r="H906" s="375"/>
      <c r="I906" s="381"/>
      <c r="J906" s="375"/>
      <c r="K906" s="377"/>
      <c r="L906" s="382"/>
      <c r="M906" s="382"/>
      <c r="N906" s="383"/>
      <c r="O906" s="327" t="str">
        <f>LEFT(J906,10)</f>
        <v/>
      </c>
    </row>
    <row r="907" spans="1:15" ht="57.6" customHeight="1" x14ac:dyDescent="0.25">
      <c r="A907" s="372"/>
      <c r="B907" s="372"/>
      <c r="C907" s="372"/>
      <c r="D907" s="372"/>
      <c r="E907" s="372"/>
      <c r="F907" s="372"/>
      <c r="G907" s="372"/>
      <c r="H907" s="375"/>
      <c r="I907" s="381"/>
      <c r="J907" s="375"/>
      <c r="K907" s="377"/>
      <c r="L907" s="382"/>
      <c r="M907" s="382"/>
      <c r="N907" s="383"/>
      <c r="O907" s="327" t="str">
        <f>LEFT(J907,10)</f>
        <v/>
      </c>
    </row>
    <row r="908" spans="1:15" ht="57.6" customHeight="1" x14ac:dyDescent="0.25">
      <c r="A908" s="372"/>
      <c r="B908" s="372"/>
      <c r="C908" s="372"/>
      <c r="D908" s="372"/>
      <c r="E908" s="372"/>
      <c r="F908" s="372"/>
      <c r="G908" s="372"/>
      <c r="H908" s="375"/>
      <c r="I908" s="381"/>
      <c r="J908" s="375"/>
      <c r="K908" s="377"/>
      <c r="L908" s="382"/>
      <c r="M908" s="382"/>
      <c r="N908" s="383"/>
      <c r="O908" s="327" t="str">
        <f>LEFT(J908,10)</f>
        <v/>
      </c>
    </row>
    <row r="909" spans="1:15" ht="57.6" customHeight="1" x14ac:dyDescent="0.25">
      <c r="A909" s="372"/>
      <c r="B909" s="372"/>
      <c r="C909" s="372"/>
      <c r="D909" s="372"/>
      <c r="E909" s="372"/>
      <c r="F909" s="372"/>
      <c r="G909" s="372"/>
      <c r="H909" s="375"/>
      <c r="I909" s="381"/>
      <c r="J909" s="375"/>
      <c r="K909" s="377"/>
      <c r="L909" s="382"/>
      <c r="M909" s="382"/>
      <c r="N909" s="383"/>
      <c r="O909" s="327" t="str">
        <f>LEFT(J909,10)</f>
        <v/>
      </c>
    </row>
    <row r="910" spans="1:15" ht="57.6" customHeight="1" x14ac:dyDescent="0.25">
      <c r="A910" s="372"/>
      <c r="B910" s="372"/>
      <c r="C910" s="372"/>
      <c r="D910" s="372"/>
      <c r="E910" s="372"/>
      <c r="F910" s="372"/>
      <c r="G910" s="372"/>
      <c r="H910" s="375"/>
      <c r="I910" s="381"/>
      <c r="J910" s="375"/>
      <c r="K910" s="377"/>
      <c r="L910" s="382"/>
      <c r="M910" s="382"/>
      <c r="N910" s="383"/>
      <c r="O910" s="327" t="str">
        <f>LEFT(J910,10)</f>
        <v/>
      </c>
    </row>
    <row r="911" spans="1:15" ht="57.6" customHeight="1" x14ac:dyDescent="0.25">
      <c r="A911" s="372"/>
      <c r="B911" s="372"/>
      <c r="C911" s="372"/>
      <c r="D911" s="372"/>
      <c r="E911" s="372"/>
      <c r="F911" s="372"/>
      <c r="G911" s="372"/>
      <c r="H911" s="375"/>
      <c r="I911" s="381"/>
      <c r="J911" s="375"/>
      <c r="K911" s="377"/>
      <c r="L911" s="382"/>
      <c r="M911" s="382"/>
      <c r="N911" s="383"/>
      <c r="O911" s="327" t="str">
        <f>LEFT(J911,10)</f>
        <v/>
      </c>
    </row>
    <row r="912" spans="1:15" ht="57.6" customHeight="1" x14ac:dyDescent="0.25">
      <c r="A912" s="372"/>
      <c r="B912" s="372"/>
      <c r="C912" s="372"/>
      <c r="D912" s="372"/>
      <c r="E912" s="372"/>
      <c r="F912" s="372"/>
      <c r="G912" s="372"/>
      <c r="H912" s="375"/>
      <c r="I912" s="381"/>
      <c r="J912" s="375"/>
      <c r="K912" s="377"/>
      <c r="L912" s="382"/>
      <c r="M912" s="382"/>
      <c r="N912" s="383"/>
      <c r="O912" s="327" t="str">
        <f>LEFT(J912,10)</f>
        <v/>
      </c>
    </row>
    <row r="913" spans="1:15" ht="57.6" customHeight="1" x14ac:dyDescent="0.25">
      <c r="A913" s="372"/>
      <c r="B913" s="372"/>
      <c r="C913" s="372"/>
      <c r="D913" s="372"/>
      <c r="E913" s="372"/>
      <c r="F913" s="372"/>
      <c r="G913" s="372"/>
      <c r="H913" s="375"/>
      <c r="I913" s="381"/>
      <c r="J913" s="375"/>
      <c r="K913" s="377"/>
      <c r="L913" s="382"/>
      <c r="M913" s="382"/>
      <c r="N913" s="383"/>
      <c r="O913" s="327" t="str">
        <f>LEFT(J913,10)</f>
        <v/>
      </c>
    </row>
    <row r="914" spans="1:15" ht="57.6" customHeight="1" x14ac:dyDescent="0.25">
      <c r="A914" s="372"/>
      <c r="B914" s="372"/>
      <c r="C914" s="372"/>
      <c r="D914" s="372"/>
      <c r="E914" s="372"/>
      <c r="F914" s="372"/>
      <c r="G914" s="372"/>
      <c r="H914" s="375"/>
      <c r="I914" s="381"/>
      <c r="J914" s="375"/>
      <c r="K914" s="377"/>
      <c r="L914" s="382"/>
      <c r="M914" s="382"/>
      <c r="N914" s="383"/>
      <c r="O914" s="327" t="str">
        <f>LEFT(J914,10)</f>
        <v/>
      </c>
    </row>
    <row r="915" spans="1:15" ht="57.6" customHeight="1" x14ac:dyDescent="0.25">
      <c r="A915" s="372"/>
      <c r="B915" s="372"/>
      <c r="C915" s="372"/>
      <c r="D915" s="372"/>
      <c r="E915" s="372"/>
      <c r="F915" s="372"/>
      <c r="G915" s="372"/>
      <c r="H915" s="375"/>
      <c r="I915" s="381"/>
      <c r="J915" s="375"/>
      <c r="K915" s="377"/>
      <c r="L915" s="382"/>
      <c r="M915" s="382"/>
      <c r="N915" s="383"/>
      <c r="O915" s="327" t="str">
        <f>LEFT(J915,10)</f>
        <v/>
      </c>
    </row>
    <row r="916" spans="1:15" ht="57.6" customHeight="1" x14ac:dyDescent="0.25">
      <c r="A916" s="372"/>
      <c r="B916" s="372"/>
      <c r="C916" s="372"/>
      <c r="D916" s="372"/>
      <c r="E916" s="372"/>
      <c r="F916" s="372"/>
      <c r="G916" s="372"/>
      <c r="H916" s="375"/>
      <c r="I916" s="381"/>
      <c r="J916" s="375"/>
      <c r="K916" s="377"/>
      <c r="L916" s="382"/>
      <c r="M916" s="382"/>
      <c r="N916" s="383"/>
      <c r="O916" s="327" t="str">
        <f>LEFT(J916,10)</f>
        <v/>
      </c>
    </row>
    <row r="917" spans="1:15" ht="57.6" customHeight="1" x14ac:dyDescent="0.25">
      <c r="A917" s="372"/>
      <c r="B917" s="372"/>
      <c r="C917" s="372"/>
      <c r="D917" s="372"/>
      <c r="E917" s="372"/>
      <c r="F917" s="372"/>
      <c r="G917" s="372"/>
      <c r="H917" s="375"/>
      <c r="I917" s="381"/>
      <c r="J917" s="375"/>
      <c r="K917" s="377"/>
      <c r="L917" s="382"/>
      <c r="M917" s="382"/>
      <c r="N917" s="383"/>
      <c r="O917" s="327" t="str">
        <f>LEFT(J917,10)</f>
        <v/>
      </c>
    </row>
    <row r="918" spans="1:15" ht="57.6" customHeight="1" x14ac:dyDescent="0.25">
      <c r="A918" s="372"/>
      <c r="B918" s="372"/>
      <c r="C918" s="372"/>
      <c r="D918" s="372"/>
      <c r="E918" s="372"/>
      <c r="F918" s="372"/>
      <c r="G918" s="372"/>
      <c r="H918" s="375"/>
      <c r="I918" s="381"/>
      <c r="J918" s="375"/>
      <c r="K918" s="377"/>
      <c r="L918" s="382"/>
      <c r="M918" s="382"/>
      <c r="N918" s="383"/>
      <c r="O918" s="327" t="str">
        <f>LEFT(J918,10)</f>
        <v/>
      </c>
    </row>
    <row r="919" spans="1:15" ht="57.6" customHeight="1" x14ac:dyDescent="0.25">
      <c r="A919" s="372"/>
      <c r="B919" s="372"/>
      <c r="C919" s="372"/>
      <c r="D919" s="372"/>
      <c r="E919" s="372"/>
      <c r="F919" s="372"/>
      <c r="G919" s="372"/>
      <c r="H919" s="375"/>
      <c r="I919" s="381"/>
      <c r="J919" s="375"/>
      <c r="K919" s="377"/>
      <c r="L919" s="382"/>
      <c r="M919" s="382"/>
      <c r="N919" s="383"/>
      <c r="O919" s="327" t="str">
        <f>LEFT(J919,10)</f>
        <v/>
      </c>
    </row>
    <row r="920" spans="1:15" ht="57.6" customHeight="1" x14ac:dyDescent="0.25">
      <c r="A920" s="372"/>
      <c r="B920" s="372"/>
      <c r="C920" s="372"/>
      <c r="D920" s="372"/>
      <c r="E920" s="372"/>
      <c r="F920" s="372"/>
      <c r="G920" s="372"/>
      <c r="H920" s="375"/>
      <c r="I920" s="381"/>
      <c r="J920" s="375"/>
      <c r="K920" s="377"/>
      <c r="L920" s="382"/>
      <c r="M920" s="382"/>
      <c r="N920" s="383"/>
      <c r="O920" s="327" t="str">
        <f>LEFT(J920,10)</f>
        <v/>
      </c>
    </row>
    <row r="921" spans="1:15" ht="57.6" customHeight="1" x14ac:dyDescent="0.25">
      <c r="A921" s="372"/>
      <c r="B921" s="372"/>
      <c r="C921" s="372"/>
      <c r="D921" s="372"/>
      <c r="E921" s="372"/>
      <c r="F921" s="372"/>
      <c r="G921" s="372"/>
      <c r="H921" s="375"/>
      <c r="I921" s="381"/>
      <c r="J921" s="375"/>
      <c r="K921" s="377"/>
      <c r="L921" s="382"/>
      <c r="M921" s="382"/>
      <c r="N921" s="383"/>
      <c r="O921" s="327" t="str">
        <f>LEFT(J921,10)</f>
        <v/>
      </c>
    </row>
    <row r="922" spans="1:15" ht="57.6" customHeight="1" x14ac:dyDescent="0.25">
      <c r="A922" s="372"/>
      <c r="B922" s="372"/>
      <c r="C922" s="372"/>
      <c r="D922" s="372"/>
      <c r="E922" s="372"/>
      <c r="F922" s="372"/>
      <c r="G922" s="372"/>
      <c r="H922" s="375"/>
      <c r="I922" s="381"/>
      <c r="J922" s="375"/>
      <c r="K922" s="377"/>
      <c r="L922" s="382"/>
      <c r="M922" s="382"/>
      <c r="N922" s="383"/>
      <c r="O922" s="327" t="str">
        <f>LEFT(J922,10)</f>
        <v/>
      </c>
    </row>
    <row r="923" spans="1:15" ht="57.6" customHeight="1" x14ac:dyDescent="0.25">
      <c r="A923" s="372"/>
      <c r="B923" s="372"/>
      <c r="C923" s="372"/>
      <c r="D923" s="372"/>
      <c r="E923" s="372"/>
      <c r="F923" s="372"/>
      <c r="G923" s="372"/>
      <c r="H923" s="375"/>
      <c r="I923" s="381"/>
      <c r="J923" s="375"/>
      <c r="K923" s="377"/>
      <c r="L923" s="382"/>
      <c r="M923" s="382"/>
      <c r="N923" s="383"/>
      <c r="O923" s="327" t="str">
        <f>LEFT(J923,10)</f>
        <v/>
      </c>
    </row>
    <row r="924" spans="1:15" ht="57.6" customHeight="1" x14ac:dyDescent="0.25">
      <c r="A924" s="372"/>
      <c r="B924" s="372"/>
      <c r="C924" s="372"/>
      <c r="D924" s="372"/>
      <c r="E924" s="372"/>
      <c r="F924" s="372"/>
      <c r="G924" s="372"/>
      <c r="H924" s="375"/>
      <c r="I924" s="381"/>
      <c r="J924" s="375"/>
      <c r="K924" s="377"/>
      <c r="L924" s="382"/>
      <c r="M924" s="382"/>
      <c r="N924" s="383"/>
      <c r="O924" s="327" t="str">
        <f>LEFT(J924,10)</f>
        <v/>
      </c>
    </row>
    <row r="925" spans="1:15" ht="57.6" customHeight="1" x14ac:dyDescent="0.25">
      <c r="A925" s="372"/>
      <c r="B925" s="372"/>
      <c r="C925" s="372"/>
      <c r="D925" s="372"/>
      <c r="E925" s="372"/>
      <c r="F925" s="372"/>
      <c r="G925" s="372"/>
      <c r="H925" s="375"/>
      <c r="I925" s="381"/>
      <c r="J925" s="375"/>
      <c r="K925" s="377"/>
      <c r="L925" s="382"/>
      <c r="M925" s="382"/>
      <c r="N925" s="383"/>
      <c r="O925" s="327" t="str">
        <f>LEFT(J925,10)</f>
        <v/>
      </c>
    </row>
    <row r="926" spans="1:15" ht="57.6" customHeight="1" x14ac:dyDescent="0.25">
      <c r="A926" s="372"/>
      <c r="B926" s="372"/>
      <c r="C926" s="372"/>
      <c r="D926" s="372"/>
      <c r="E926" s="372"/>
      <c r="F926" s="372"/>
      <c r="G926" s="372"/>
      <c r="H926" s="375"/>
      <c r="I926" s="381"/>
      <c r="J926" s="375"/>
      <c r="K926" s="377"/>
      <c r="L926" s="382"/>
      <c r="M926" s="382"/>
      <c r="N926" s="383"/>
      <c r="O926" s="327" t="str">
        <f>LEFT(J926,10)</f>
        <v/>
      </c>
    </row>
    <row r="927" spans="1:15" ht="57.6" customHeight="1" x14ac:dyDescent="0.25">
      <c r="A927" s="372"/>
      <c r="B927" s="372"/>
      <c r="C927" s="372"/>
      <c r="D927" s="372"/>
      <c r="E927" s="372"/>
      <c r="F927" s="372"/>
      <c r="G927" s="372"/>
      <c r="H927" s="375"/>
      <c r="I927" s="381"/>
      <c r="J927" s="375"/>
      <c r="K927" s="377"/>
      <c r="L927" s="382"/>
      <c r="M927" s="382"/>
      <c r="N927" s="383"/>
      <c r="O927" s="327" t="str">
        <f>LEFT(J927,10)</f>
        <v/>
      </c>
    </row>
    <row r="928" spans="1:15" ht="57.6" customHeight="1" x14ac:dyDescent="0.25">
      <c r="A928" s="372"/>
      <c r="B928" s="372"/>
      <c r="C928" s="372"/>
      <c r="D928" s="372"/>
      <c r="E928" s="372"/>
      <c r="F928" s="372"/>
      <c r="G928" s="372"/>
      <c r="H928" s="375"/>
      <c r="I928" s="381"/>
      <c r="J928" s="375"/>
      <c r="K928" s="377"/>
      <c r="L928" s="382"/>
      <c r="M928" s="382"/>
      <c r="N928" s="383"/>
      <c r="O928" s="327" t="str">
        <f>LEFT(J928,10)</f>
        <v/>
      </c>
    </row>
    <row r="929" spans="1:15" ht="57.6" customHeight="1" x14ac:dyDescent="0.25">
      <c r="A929" s="372"/>
      <c r="B929" s="372"/>
      <c r="C929" s="372"/>
      <c r="D929" s="372"/>
      <c r="E929" s="372"/>
      <c r="F929" s="372"/>
      <c r="G929" s="372"/>
      <c r="H929" s="375"/>
      <c r="I929" s="381"/>
      <c r="J929" s="375"/>
      <c r="K929" s="377"/>
      <c r="L929" s="382"/>
      <c r="M929" s="382"/>
      <c r="N929" s="383"/>
      <c r="O929" s="327" t="str">
        <f>LEFT(J929,10)</f>
        <v/>
      </c>
    </row>
    <row r="930" spans="1:15" ht="57.6" customHeight="1" x14ac:dyDescent="0.25">
      <c r="A930" s="372"/>
      <c r="B930" s="372"/>
      <c r="C930" s="372"/>
      <c r="D930" s="372"/>
      <c r="E930" s="372"/>
      <c r="F930" s="372"/>
      <c r="G930" s="372"/>
      <c r="H930" s="375"/>
      <c r="I930" s="381"/>
      <c r="J930" s="375"/>
      <c r="K930" s="377"/>
      <c r="L930" s="382"/>
      <c r="M930" s="382"/>
      <c r="N930" s="383"/>
      <c r="O930" s="327" t="str">
        <f>LEFT(J930,10)</f>
        <v/>
      </c>
    </row>
    <row r="931" spans="1:15" ht="57.6" customHeight="1" x14ac:dyDescent="0.25">
      <c r="A931" s="372"/>
      <c r="B931" s="372"/>
      <c r="C931" s="372"/>
      <c r="D931" s="372"/>
      <c r="E931" s="372"/>
      <c r="F931" s="372"/>
      <c r="G931" s="372"/>
      <c r="H931" s="375"/>
      <c r="I931" s="381"/>
      <c r="J931" s="375"/>
      <c r="K931" s="377"/>
      <c r="L931" s="382"/>
      <c r="M931" s="382"/>
      <c r="N931" s="383"/>
      <c r="O931" s="327" t="str">
        <f>LEFT(J931,10)</f>
        <v/>
      </c>
    </row>
    <row r="932" spans="1:15" ht="57.6" customHeight="1" x14ac:dyDescent="0.25">
      <c r="A932" s="372"/>
      <c r="B932" s="372"/>
      <c r="C932" s="372"/>
      <c r="D932" s="372"/>
      <c r="E932" s="372"/>
      <c r="F932" s="372"/>
      <c r="G932" s="372"/>
      <c r="H932" s="375"/>
      <c r="I932" s="381"/>
      <c r="J932" s="375"/>
      <c r="K932" s="377"/>
      <c r="L932" s="382"/>
      <c r="M932" s="382"/>
      <c r="N932" s="383"/>
      <c r="O932" s="327" t="str">
        <f>LEFT(J932,10)</f>
        <v/>
      </c>
    </row>
    <row r="933" spans="1:15" ht="57.6" customHeight="1" x14ac:dyDescent="0.25">
      <c r="A933" s="372"/>
      <c r="B933" s="372"/>
      <c r="C933" s="372"/>
      <c r="D933" s="372"/>
      <c r="E933" s="372"/>
      <c r="F933" s="372"/>
      <c r="G933" s="372"/>
      <c r="H933" s="375"/>
      <c r="I933" s="381"/>
      <c r="J933" s="375"/>
      <c r="K933" s="377"/>
      <c r="L933" s="382"/>
      <c r="M933" s="382"/>
      <c r="N933" s="383"/>
      <c r="O933" s="327" t="str">
        <f>LEFT(J933,10)</f>
        <v/>
      </c>
    </row>
    <row r="934" spans="1:15" ht="57.6" customHeight="1" x14ac:dyDescent="0.25">
      <c r="A934" s="372"/>
      <c r="B934" s="372"/>
      <c r="C934" s="372"/>
      <c r="D934" s="372"/>
      <c r="E934" s="372"/>
      <c r="F934" s="372"/>
      <c r="G934" s="372"/>
      <c r="H934" s="375"/>
      <c r="I934" s="381"/>
      <c r="J934" s="375"/>
      <c r="K934" s="377"/>
      <c r="L934" s="382"/>
      <c r="M934" s="382"/>
      <c r="N934" s="383"/>
      <c r="O934" s="327" t="str">
        <f>LEFT(J934,10)</f>
        <v/>
      </c>
    </row>
    <row r="935" spans="1:15" ht="57.6" customHeight="1" x14ac:dyDescent="0.25">
      <c r="A935" s="372"/>
      <c r="B935" s="372"/>
      <c r="C935" s="372"/>
      <c r="D935" s="372"/>
      <c r="E935" s="372"/>
      <c r="F935" s="372"/>
      <c r="G935" s="372"/>
      <c r="H935" s="375"/>
      <c r="I935" s="381"/>
      <c r="J935" s="375"/>
      <c r="K935" s="377"/>
      <c r="L935" s="382"/>
      <c r="M935" s="382"/>
      <c r="N935" s="383"/>
      <c r="O935" s="327" t="str">
        <f>LEFT(J935,10)</f>
        <v/>
      </c>
    </row>
    <row r="936" spans="1:15" ht="57.6" customHeight="1" x14ac:dyDescent="0.25">
      <c r="A936" s="372"/>
      <c r="B936" s="372"/>
      <c r="C936" s="372"/>
      <c r="D936" s="372"/>
      <c r="E936" s="372"/>
      <c r="F936" s="372"/>
      <c r="G936" s="372"/>
      <c r="H936" s="375"/>
      <c r="I936" s="381"/>
      <c r="J936" s="375"/>
      <c r="K936" s="377"/>
      <c r="L936" s="382"/>
      <c r="M936" s="382"/>
      <c r="N936" s="383"/>
      <c r="O936" s="327" t="str">
        <f>LEFT(J936,10)</f>
        <v/>
      </c>
    </row>
    <row r="937" spans="1:15" ht="57.6" customHeight="1" x14ac:dyDescent="0.25">
      <c r="A937" s="372"/>
      <c r="B937" s="372"/>
      <c r="C937" s="372"/>
      <c r="D937" s="372"/>
      <c r="E937" s="372"/>
      <c r="F937" s="372"/>
      <c r="G937" s="372"/>
      <c r="H937" s="375"/>
      <c r="I937" s="381"/>
      <c r="J937" s="375"/>
      <c r="K937" s="377"/>
      <c r="L937" s="382"/>
      <c r="M937" s="382"/>
      <c r="N937" s="383"/>
      <c r="O937" s="327" t="str">
        <f>LEFT(J937,10)</f>
        <v/>
      </c>
    </row>
    <row r="938" spans="1:15" ht="57.6" customHeight="1" x14ac:dyDescent="0.25">
      <c r="A938" s="372"/>
      <c r="B938" s="372"/>
      <c r="C938" s="372"/>
      <c r="D938" s="372"/>
      <c r="E938" s="372"/>
      <c r="F938" s="372"/>
      <c r="G938" s="372"/>
      <c r="H938" s="375"/>
      <c r="I938" s="381"/>
      <c r="J938" s="375"/>
      <c r="K938" s="377"/>
      <c r="L938" s="382"/>
      <c r="M938" s="382"/>
      <c r="N938" s="383"/>
      <c r="O938" s="327" t="str">
        <f>LEFT(J938,10)</f>
        <v/>
      </c>
    </row>
    <row r="939" spans="1:15" ht="57.6" customHeight="1" x14ac:dyDescent="0.25">
      <c r="A939" s="372"/>
      <c r="B939" s="372"/>
      <c r="C939" s="372"/>
      <c r="D939" s="372"/>
      <c r="E939" s="372"/>
      <c r="F939" s="372"/>
      <c r="G939" s="372"/>
      <c r="H939" s="375"/>
      <c r="I939" s="381"/>
      <c r="J939" s="375"/>
      <c r="K939" s="377"/>
      <c r="L939" s="382"/>
      <c r="M939" s="382"/>
      <c r="N939" s="383"/>
      <c r="O939" s="327" t="str">
        <f>LEFT(J939,10)</f>
        <v/>
      </c>
    </row>
    <row r="940" spans="1:15" ht="57.6" customHeight="1" x14ac:dyDescent="0.25">
      <c r="A940" s="372"/>
      <c r="B940" s="372"/>
      <c r="C940" s="372"/>
      <c r="D940" s="372"/>
      <c r="E940" s="372"/>
      <c r="F940" s="372"/>
      <c r="G940" s="372"/>
      <c r="H940" s="375"/>
      <c r="I940" s="381"/>
      <c r="J940" s="375"/>
      <c r="K940" s="377"/>
      <c r="L940" s="382"/>
      <c r="M940" s="382"/>
      <c r="N940" s="383"/>
      <c r="O940" s="327" t="str">
        <f>LEFT(J940,10)</f>
        <v/>
      </c>
    </row>
    <row r="941" spans="1:15" ht="57.6" customHeight="1" x14ac:dyDescent="0.25">
      <c r="A941" s="372"/>
      <c r="B941" s="372"/>
      <c r="C941" s="372"/>
      <c r="D941" s="372"/>
      <c r="E941" s="372"/>
      <c r="F941" s="372"/>
      <c r="G941" s="372"/>
      <c r="H941" s="375"/>
      <c r="I941" s="381"/>
      <c r="J941" s="375"/>
      <c r="K941" s="377"/>
      <c r="L941" s="382"/>
      <c r="M941" s="382"/>
      <c r="N941" s="383"/>
      <c r="O941" s="327" t="str">
        <f>LEFT(J941,10)</f>
        <v/>
      </c>
    </row>
    <row r="942" spans="1:15" ht="57.6" customHeight="1" x14ac:dyDescent="0.25">
      <c r="A942" s="372"/>
      <c r="B942" s="372"/>
      <c r="C942" s="372"/>
      <c r="D942" s="372"/>
      <c r="E942" s="372"/>
      <c r="F942" s="372"/>
      <c r="G942" s="372"/>
      <c r="H942" s="375"/>
      <c r="I942" s="381"/>
      <c r="J942" s="375"/>
      <c r="K942" s="377"/>
      <c r="L942" s="382"/>
      <c r="M942" s="382"/>
      <c r="N942" s="383"/>
      <c r="O942" s="327" t="str">
        <f>LEFT(J942,10)</f>
        <v/>
      </c>
    </row>
    <row r="943" spans="1:15" ht="57.6" customHeight="1" x14ac:dyDescent="0.25">
      <c r="A943" s="372"/>
      <c r="B943" s="372"/>
      <c r="C943" s="372"/>
      <c r="D943" s="372"/>
      <c r="E943" s="372"/>
      <c r="F943" s="372"/>
      <c r="G943" s="372"/>
      <c r="H943" s="375"/>
      <c r="I943" s="381"/>
      <c r="J943" s="375"/>
      <c r="K943" s="377"/>
      <c r="L943" s="382"/>
      <c r="M943" s="382"/>
      <c r="N943" s="383"/>
      <c r="O943" s="327" t="str">
        <f>LEFT(J943,10)</f>
        <v/>
      </c>
    </row>
    <row r="944" spans="1:15" ht="57.6" customHeight="1" x14ac:dyDescent="0.25">
      <c r="A944" s="372"/>
      <c r="B944" s="372"/>
      <c r="C944" s="372"/>
      <c r="D944" s="372"/>
      <c r="E944" s="372"/>
      <c r="F944" s="372"/>
      <c r="G944" s="372"/>
      <c r="H944" s="375"/>
      <c r="I944" s="381"/>
      <c r="J944" s="375"/>
      <c r="K944" s="377"/>
      <c r="L944" s="382"/>
      <c r="M944" s="382"/>
      <c r="N944" s="383"/>
      <c r="O944" s="327" t="str">
        <f>LEFT(J944,10)</f>
        <v/>
      </c>
    </row>
    <row r="945" spans="1:16" ht="57.6" customHeight="1" x14ac:dyDescent="0.25">
      <c r="A945" s="372"/>
      <c r="B945" s="372"/>
      <c r="C945" s="372"/>
      <c r="D945" s="372"/>
      <c r="E945" s="372"/>
      <c r="F945" s="372"/>
      <c r="G945" s="372"/>
      <c r="H945" s="375"/>
      <c r="I945" s="381"/>
      <c r="J945" s="375"/>
      <c r="K945" s="377"/>
      <c r="L945" s="382"/>
      <c r="M945" s="382"/>
      <c r="N945" s="383"/>
      <c r="O945" s="327" t="str">
        <f>LEFT(J945,10)</f>
        <v/>
      </c>
    </row>
    <row r="946" spans="1:16" ht="57.6" customHeight="1" x14ac:dyDescent="0.25">
      <c r="A946" s="372"/>
      <c r="B946" s="372"/>
      <c r="C946" s="372"/>
      <c r="D946" s="372"/>
      <c r="E946" s="372"/>
      <c r="F946" s="372"/>
      <c r="G946" s="372"/>
      <c r="H946" s="375"/>
      <c r="I946" s="381"/>
      <c r="J946" s="375"/>
      <c r="K946" s="377"/>
      <c r="L946" s="382"/>
      <c r="M946" s="382"/>
      <c r="N946" s="383"/>
      <c r="O946" s="327" t="str">
        <f>LEFT(J946,10)</f>
        <v/>
      </c>
    </row>
    <row r="947" spans="1:16" ht="57.6" customHeight="1" x14ac:dyDescent="0.25">
      <c r="A947" s="372"/>
      <c r="B947" s="372"/>
      <c r="C947" s="372"/>
      <c r="D947" s="372"/>
      <c r="E947" s="372"/>
      <c r="F947" s="372"/>
      <c r="G947" s="372"/>
      <c r="H947" s="375"/>
      <c r="I947" s="381"/>
      <c r="J947" s="375"/>
      <c r="K947" s="377"/>
      <c r="L947" s="382"/>
      <c r="M947" s="382"/>
      <c r="N947" s="383"/>
      <c r="O947" s="327" t="str">
        <f>LEFT(J947,10)</f>
        <v/>
      </c>
    </row>
    <row r="948" spans="1:16" ht="57.6" customHeight="1" x14ac:dyDescent="0.25">
      <c r="A948" s="372"/>
      <c r="B948" s="372"/>
      <c r="C948" s="372"/>
      <c r="D948" s="372"/>
      <c r="E948" s="372"/>
      <c r="F948" s="372"/>
      <c r="G948" s="372"/>
      <c r="H948" s="375"/>
      <c r="I948" s="381"/>
      <c r="J948" s="375"/>
      <c r="K948" s="377"/>
      <c r="L948" s="382"/>
      <c r="M948" s="382"/>
      <c r="N948" s="383"/>
      <c r="O948" s="327" t="str">
        <f>LEFT(J948,10)</f>
        <v/>
      </c>
    </row>
    <row r="949" spans="1:16" ht="57.6" customHeight="1" x14ac:dyDescent="0.25">
      <c r="A949" s="372"/>
      <c r="B949" s="372"/>
      <c r="C949" s="372"/>
      <c r="D949" s="372"/>
      <c r="E949" s="372"/>
      <c r="F949" s="372"/>
      <c r="G949" s="372"/>
      <c r="H949" s="375"/>
      <c r="I949" s="381"/>
      <c r="J949" s="375"/>
      <c r="K949" s="377"/>
      <c r="L949" s="382"/>
      <c r="M949" s="382"/>
      <c r="N949" s="383"/>
      <c r="O949" s="327" t="str">
        <f>LEFT(J949,10)</f>
        <v/>
      </c>
    </row>
    <row r="950" spans="1:16" ht="57.6" customHeight="1" x14ac:dyDescent="0.25">
      <c r="A950" s="372"/>
      <c r="B950" s="372"/>
      <c r="C950" s="372"/>
      <c r="D950" s="372"/>
      <c r="E950" s="372"/>
      <c r="F950" s="372"/>
      <c r="G950" s="372"/>
      <c r="H950" s="375"/>
      <c r="I950" s="381"/>
      <c r="J950" s="375"/>
      <c r="K950" s="377"/>
      <c r="L950" s="382"/>
      <c r="M950" s="382"/>
      <c r="N950" s="383"/>
      <c r="O950" s="327" t="str">
        <f>LEFT(J950,10)</f>
        <v/>
      </c>
    </row>
    <row r="951" spans="1:16" ht="57.6" customHeight="1" x14ac:dyDescent="0.25">
      <c r="A951" s="372"/>
      <c r="B951" s="372"/>
      <c r="C951" s="372"/>
      <c r="D951" s="372"/>
      <c r="E951" s="372"/>
      <c r="F951" s="372"/>
      <c r="G951" s="372"/>
      <c r="H951" s="375"/>
      <c r="I951" s="381"/>
      <c r="J951" s="375"/>
      <c r="K951" s="377"/>
      <c r="L951" s="382"/>
      <c r="M951" s="382"/>
      <c r="N951" s="383"/>
      <c r="O951" s="327" t="str">
        <f>LEFT(J951,10)</f>
        <v/>
      </c>
    </row>
    <row r="952" spans="1:16" ht="57.6" customHeight="1" x14ac:dyDescent="0.25">
      <c r="A952" s="384"/>
      <c r="B952" s="372"/>
      <c r="C952" s="384"/>
      <c r="D952" s="384"/>
      <c r="E952" s="372"/>
      <c r="F952" s="384"/>
      <c r="G952" s="384"/>
      <c r="H952" s="385"/>
      <c r="I952" s="386"/>
      <c r="J952" s="375"/>
      <c r="K952" s="387"/>
      <c r="L952" s="388"/>
      <c r="M952" s="388"/>
      <c r="N952" s="389"/>
      <c r="O952" s="327" t="str">
        <f>LEFT(J952,10)</f>
        <v/>
      </c>
    </row>
    <row r="953" spans="1:16" ht="57.6" customHeight="1" x14ac:dyDescent="0.25">
      <c r="O953" s="5"/>
      <c r="P953" s="5"/>
    </row>
    <row r="954" spans="1:16" ht="57.6" customHeight="1" x14ac:dyDescent="0.25">
      <c r="O954" s="5"/>
      <c r="P954" s="5"/>
    </row>
    <row r="955" spans="1:16" ht="57.6" customHeight="1" x14ac:dyDescent="0.25">
      <c r="O955" s="5"/>
      <c r="P955" s="5"/>
    </row>
    <row r="956" spans="1:16" ht="57.6" customHeight="1" x14ac:dyDescent="0.25">
      <c r="O956" s="5"/>
      <c r="P956" s="5"/>
    </row>
    <row r="957" spans="1:16" ht="57.6" customHeight="1" x14ac:dyDescent="0.25">
      <c r="O957" s="5"/>
      <c r="P957" s="5"/>
    </row>
  </sheetData>
  <sheetProtection formatCells="0" deleteRows="0" sort="0" autoFilter="0" pivotTables="0"/>
  <autoFilter ref="O21:O957" xr:uid="{00000000-0009-0000-0000-000000000000}"/>
  <mergeCells count="1">
    <mergeCell ref="N3:N6"/>
  </mergeCells>
  <phoneticPr fontId="48" type="noConversion"/>
  <conditionalFormatting sqref="L776:M952">
    <cfRule type="duplicateValues" dxfId="193" priority="12"/>
  </conditionalFormatting>
  <conditionalFormatting sqref="L55:M55">
    <cfRule type="duplicateValues" dxfId="192" priority="9"/>
  </conditionalFormatting>
  <conditionalFormatting sqref="L53">
    <cfRule type="duplicateValues" dxfId="191" priority="8"/>
  </conditionalFormatting>
  <conditionalFormatting sqref="L54">
    <cfRule type="duplicateValues" dxfId="190" priority="7"/>
  </conditionalFormatting>
  <conditionalFormatting sqref="M54">
    <cfRule type="duplicateValues" dxfId="189" priority="6"/>
  </conditionalFormatting>
  <conditionalFormatting sqref="M53">
    <cfRule type="duplicateValues" dxfId="188" priority="5"/>
  </conditionalFormatting>
  <conditionalFormatting sqref="M56">
    <cfRule type="duplicateValues" dxfId="187" priority="4"/>
  </conditionalFormatting>
  <conditionalFormatting sqref="L108">
    <cfRule type="duplicateValues" dxfId="186" priority="3"/>
  </conditionalFormatting>
  <conditionalFormatting sqref="L109:M775 L56 L57:M68 M108 L70:M107 L22:M52">
    <cfRule type="duplicateValues" dxfId="185" priority="51"/>
  </conditionalFormatting>
  <conditionalFormatting sqref="L69:M69">
    <cfRule type="duplicateValues" dxfId="184" priority="2"/>
  </conditionalFormatting>
  <dataValidations xWindow="467" yWindow="841" count="5">
    <dataValidation type="list" allowBlank="1" showInputMessage="1" showErrorMessage="1" sqref="A3" xr:uid="{B84E8A0D-466C-4DA1-B18E-1FBB88847723}">
      <formula1>meses</formula1>
    </dataValidation>
    <dataValidation type="list" allowBlank="1" showInputMessage="1" showErrorMessage="1" sqref="C3:C16" xr:uid="{D9F73F7E-866F-4841-9079-B3C513BAA0B8}">
      <formula1>INDIRECT($A$6)</formula1>
    </dataValidation>
    <dataValidation type="list" allowBlank="1" showInputMessage="1" showErrorMessage="1" promptTitle="Atención!" prompt="Ingresar valores que ofrece la lista desplegable." sqref="H22:H952" xr:uid="{DFFA6371-F5AE-464B-B036-1EDC6B814D14}">
      <formula1>TP</formula1>
    </dataValidation>
    <dataValidation type="list" allowBlank="1" showInputMessage="1" showErrorMessage="1" promptTitle="Atención!" prompt="Ingresar valores que ofrece la lista desplegable." sqref="K22:K952" xr:uid="{1A836954-11F8-4148-99C6-47B3AA4EE294}">
      <formula1>CALIDAD</formula1>
    </dataValidation>
    <dataValidation type="list" allowBlank="1" showInputMessage="1" showErrorMessage="1" promptTitle="Atención!" prompt="Ingresar valores que ofrece la lista desplegable." sqref="F22:F952" xr:uid="{9C64AF26-8CB3-4EE8-8180-D75B230FF6FF}">
      <formula1>INDIRECT($A$12)</formula1>
    </dataValidation>
  </dataValidations>
  <pageMargins left="0.7" right="0.7" top="0.75" bottom="0.75" header="0.3" footer="0.3"/>
  <pageSetup orientation="portrait" r:id="rId1"/>
  <ignoredErrors>
    <ignoredError sqref="A11:A12" evalError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xWindow="467" yWindow="841" count="86">
        <x14:dataValidation type="list" allowBlank="1" showInputMessage="1" showErrorMessage="1" xr:uid="{14EC24B9-FB4C-4824-93D1-C2EDE93771EB}">
          <x14:formula1>
            <xm:f>Base!$AX$5:$AX$29</xm:f>
          </x14:formula1>
          <xm:sqref>A6</xm:sqref>
        </x14:dataValidation>
        <x14:dataValidation type="list" allowBlank="1" showInputMessage="1" showErrorMessage="1" promptTitle="Atención!" prompt="Ingresar valores que ofrece la lista desplegable." xr:uid="{D7EFE97F-94F4-4D3B-8F13-755B32782B5E}">
          <x14:formula1>
            <xm:f>Accion!$A$2:$A$5</xm:f>
          </x14:formula1>
          <xm:sqref>A22:A33 A35:A952</xm:sqref>
        </x14:dataValidation>
        <x14:dataValidation type="list" allowBlank="1" showInputMessage="1" showErrorMessage="1" promptTitle="IMPORTANTE" prompt="Debe haber registrado el campo anterior para mostrar la lista desplegable." xr:uid="{BC8A3CEB-B4FA-4E90-9321-C013A8307504}">
          <x14:formula1>
            <xm:f>INDIRECT(Parametros!A177)</xm:f>
          </x14:formula1>
          <xm:sqref>B132:C952</xm:sqref>
        </x14:dataValidation>
        <x14:dataValidation type="list" allowBlank="1" showInputMessage="1" showErrorMessage="1" promptTitle="IMPORTANTE" prompt="Debe haber registrado el campo anterior para mostrar la lista desplegable." xr:uid="{52F6E520-C0C8-40C4-A7E8-18A51944752B}">
          <x14:formula1>
            <xm:f>INDIRECT(Parametros!D177)</xm:f>
          </x14:formula1>
          <xm:sqref>D132:D952</xm:sqref>
        </x14:dataValidation>
        <x14:dataValidation type="list" allowBlank="1" showInputMessage="1" showErrorMessage="1" promptTitle="IMPORTANTE" prompt="Debe haber registrado el campo anterior para mostrar la lista desplegable." xr:uid="{57B0E4A4-C334-43BF-86B2-F0658A5CD13D}">
          <x14:formula1>
            <xm:f>INDIRECT(Parametros!$F177)</xm:f>
          </x14:formula1>
          <xm:sqref>E132:E952</xm:sqref>
        </x14:dataValidation>
        <x14:dataValidation type="list" allowBlank="1" showInputMessage="1" showErrorMessage="1" promptTitle="IMPORTANTE" prompt="Debe haber registrado el campo anterior para mostrar la lista desplegable." xr:uid="{127DB857-093E-4A9D-8039-F2A02E469CA0}">
          <x14:formula1>
            <xm:f>INDIRECT(Parametros!H177)</xm:f>
          </x14:formula1>
          <xm:sqref>G132:G952</xm:sqref>
        </x14:dataValidation>
        <x14:dataValidation type="list" allowBlank="1" showInputMessage="1" showErrorMessage="1" promptTitle="IMPORTANTE" prompt="Debe haber registrado el campo anterior para mostrar la lista desplegable." xr:uid="{1BF19122-C258-4124-9A9E-728E8C965826}">
          <x14:formula1>
            <xm:f>INDIRECT(Parametros!A145)</xm:f>
          </x14:formula1>
          <xm:sqref>B125:C126 B115:C115</xm:sqref>
        </x14:dataValidation>
        <x14:dataValidation type="list" allowBlank="1" showInputMessage="1" showErrorMessage="1" promptTitle="IMPORTANTE" prompt="Debe haber registrado el campo anterior para mostrar la lista desplegable." xr:uid="{27A76922-DCE9-47EB-A917-93CEF3172ADB}">
          <x14:formula1>
            <xm:f>INDIRECT(Parametros!D145)</xm:f>
          </x14:formula1>
          <xm:sqref>D125 D115</xm:sqref>
        </x14:dataValidation>
        <x14:dataValidation type="list" allowBlank="1" showInputMessage="1" showErrorMessage="1" promptTitle="IMPORTANTE" prompt="Debe haber registrado el campo anterior para mostrar la lista desplegable." xr:uid="{F4F0A273-4281-4754-B0EC-B39F4B29C996}">
          <x14:formula1>
            <xm:f>INDIRECT(Parametros!$F145)</xm:f>
          </x14:formula1>
          <xm:sqref>E125 E115</xm:sqref>
        </x14:dataValidation>
        <x14:dataValidation type="list" allowBlank="1" showInputMessage="1" showErrorMessage="1" promptTitle="IMPORTANTE" prompt="Debe haber registrado el campo anterior para mostrar la lista desplegable." xr:uid="{1E0D443F-0715-43BA-A2B2-9C7E6927A05A}">
          <x14:formula1>
            <xm:f>INDIRECT(Parametros!A139)</xm:f>
          </x14:formula1>
          <xm:sqref>B121:C124 B110:C114</xm:sqref>
        </x14:dataValidation>
        <x14:dataValidation type="list" allowBlank="1" showInputMessage="1" showErrorMessage="1" promptTitle="IMPORTANTE" prompt="Debe haber registrado el campo anterior para mostrar la lista desplegable." xr:uid="{6779AA7F-5680-4D79-9F20-66C2B58F5EED}">
          <x14:formula1>
            <xm:f>INDIRECT(Parametros!D139)</xm:f>
          </x14:formula1>
          <xm:sqref>D121:D124 D110:D114</xm:sqref>
        </x14:dataValidation>
        <x14:dataValidation type="list" allowBlank="1" showInputMessage="1" showErrorMessage="1" promptTitle="IMPORTANTE" prompt="Debe haber registrado el campo anterior para mostrar la lista desplegable." xr:uid="{6883D667-D50F-4515-AD90-371A087B763A}">
          <x14:formula1>
            <xm:f>INDIRECT(Parametros!$F139)</xm:f>
          </x14:formula1>
          <xm:sqref>E121:E124 E110:E114</xm:sqref>
        </x14:dataValidation>
        <x14:dataValidation type="list" allowBlank="1" showInputMessage="1" showErrorMessage="1" promptTitle="IMPORTANTE" prompt="Debe haber registrado el campo anterior para mostrar la lista desplegable." xr:uid="{D6087FFF-4E7D-4EA6-B299-26A6FDA3ABBE}">
          <x14:formula1>
            <xm:f>INDIRECT(Parametros!H139)</xm:f>
          </x14:formula1>
          <xm:sqref>G127 G110:G114</xm:sqref>
        </x14:dataValidation>
        <x14:dataValidation type="list" allowBlank="1" showInputMessage="1" showErrorMessage="1" promptTitle="IMPORTANTE" prompt="Debe haber registrado el campo anterior para mostrar la lista desplegable." xr:uid="{79259CDF-DAB1-4E28-9DA0-3E52A9E0A4C3}">
          <x14:formula1>
            <xm:f>INDIRECT(Parametros!H138)</xm:f>
          </x14:formula1>
          <xm:sqref>G125:G126 G128:G130</xm:sqref>
        </x14:dataValidation>
        <x14:dataValidation type="list" allowBlank="1" showInputMessage="1" showErrorMessage="1" promptTitle="IMPORTANTE" prompt="Debe haber registrado el campo anterior para mostrar la lista desplegable." xr:uid="{932BFA42-ABB9-48E6-B6EE-2F615226A729}">
          <x14:formula1>
            <xm:f>INDIRECT(Parametros!A127)</xm:f>
          </x14:formula1>
          <xm:sqref>B127:C131 B118:C120</xm:sqref>
        </x14:dataValidation>
        <x14:dataValidation type="list" allowBlank="1" showInputMessage="1" showErrorMessage="1" promptTitle="IMPORTANTE" prompt="Debe haber registrado el campo anterior para mostrar la lista desplegable." xr:uid="{CD93929E-76F1-4A98-894E-4B89565A5921}">
          <x14:formula1>
            <xm:f>INDIRECT(Parametros!D127)</xm:f>
          </x14:formula1>
          <xm:sqref>D126:D131 D118:D120</xm:sqref>
        </x14:dataValidation>
        <x14:dataValidation type="list" allowBlank="1" showInputMessage="1" showErrorMessage="1" promptTitle="IMPORTANTE" prompt="Debe haber registrado el campo anterior para mostrar la lista desplegable." xr:uid="{7D0C5A7B-FD4F-4D38-BB3C-1F0286C0E5E7}">
          <x14:formula1>
            <xm:f>INDIRECT(Parametros!$F127)</xm:f>
          </x14:formula1>
          <xm:sqref>E126:E131 E118:E120</xm:sqref>
        </x14:dataValidation>
        <x14:dataValidation type="list" allowBlank="1" showInputMessage="1" showErrorMessage="1" promptTitle="IMPORTANTE" prompt="Debe haber registrado el campo anterior para mostrar la lista desplegable." xr:uid="{4F30B9E0-9308-40D4-A9C3-3553E2C4EA6C}">
          <x14:formula1>
            <xm:f>INDIRECT(Parametros!H127)</xm:f>
          </x14:formula1>
          <xm:sqref>G131 G118:G124</xm:sqref>
        </x14:dataValidation>
        <x14:dataValidation type="list" allowBlank="1" showInputMessage="1" showErrorMessage="1" promptTitle="IMPORTANTE" prompt="Debe haber registrado el campo anterior para mostrar la lista desplegable." xr:uid="{60661D31-B8BA-467C-A1BD-C912537B3724}">
          <x14:formula1>
            <xm:f>INDIRECT(Parametros!H145)</xm:f>
          </x14:formula1>
          <xm:sqref>G115</xm:sqref>
        </x14:dataValidation>
        <x14:dataValidation type="list" allowBlank="1" showInputMessage="1" showErrorMessage="1" promptTitle="IMPORTANTE" prompt="Debe haber registrado el campo anterior para mostrar la lista desplegable." xr:uid="{3BCE4461-7BF1-4831-947D-7FFF88F0B7BB}">
          <x14:formula1>
            <xm:f>INDIRECT(Parametros!A124)</xm:f>
          </x14:formula1>
          <xm:sqref>B116:C117</xm:sqref>
        </x14:dataValidation>
        <x14:dataValidation type="list" allowBlank="1" showInputMessage="1" showErrorMessage="1" promptTitle="IMPORTANTE" prompt="Debe haber registrado el campo anterior para mostrar la lista desplegable." xr:uid="{DC932F99-CC53-497E-943A-4B1C3D727709}">
          <x14:formula1>
            <xm:f>INDIRECT(Parametros!D124)</xm:f>
          </x14:formula1>
          <xm:sqref>D116:D117</xm:sqref>
        </x14:dataValidation>
        <x14:dataValidation type="list" allowBlank="1" showInputMessage="1" showErrorMessage="1" promptTitle="IMPORTANTE" prompt="Debe haber registrado el campo anterior para mostrar la lista desplegable." xr:uid="{92C4EBE7-B24C-452E-8468-BE782646BC38}">
          <x14:formula1>
            <xm:f>INDIRECT(Parametros!$F124)</xm:f>
          </x14:formula1>
          <xm:sqref>E116:E117</xm:sqref>
        </x14:dataValidation>
        <x14:dataValidation type="list" allowBlank="1" showInputMessage="1" showErrorMessage="1" promptTitle="IMPORTANTE" prompt="Debe haber registrado el campo anterior para mostrar la lista desplegable." xr:uid="{41939508-6667-4B9C-8A85-D3DE64B88071}">
          <x14:formula1>
            <xm:f>INDIRECT(Parametros!H124)</xm:f>
          </x14:formula1>
          <xm:sqref>G116:G117</xm:sqref>
        </x14:dataValidation>
        <x14:dataValidation type="list" allowBlank="1" showInputMessage="1" showErrorMessage="1" promptTitle="IMPORTANTE" prompt="Debe haber registrado el campo anterior para mostrar la lista desplegable." xr:uid="{0D377412-4F43-49CE-AAE5-EA80B1452E55}">
          <x14:formula1>
            <xm:f>INDIRECT(Parametros!H91)</xm:f>
          </x14:formula1>
          <xm:sqref>G79</xm:sqref>
        </x14:dataValidation>
        <x14:dataValidation type="list" allowBlank="1" showInputMessage="1" showErrorMessage="1" promptTitle="IMPORTANTE" prompt="Debe haber registrado el campo anterior para mostrar la lista desplegable." xr:uid="{46DF1865-4C58-4F03-84FB-7BF619BF89A3}">
          <x14:formula1>
            <xm:f>INDIRECT(Parametros!A128)</xm:f>
          </x14:formula1>
          <xm:sqref>B101:C105</xm:sqref>
        </x14:dataValidation>
        <x14:dataValidation type="list" allowBlank="1" showInputMessage="1" showErrorMessage="1" promptTitle="IMPORTANTE" prompt="Debe haber registrado el campo anterior para mostrar la lista desplegable." xr:uid="{E42F791B-AC09-422F-894F-6050EB08F95E}">
          <x14:formula1>
            <xm:f>INDIRECT(Parametros!A134)</xm:f>
          </x14:formula1>
          <xm:sqref>B106:C109</xm:sqref>
        </x14:dataValidation>
        <x14:dataValidation type="list" allowBlank="1" showInputMessage="1" showErrorMessage="1" promptTitle="IMPORTANTE" prompt="Debe haber registrado el campo anterior para mostrar la lista desplegable." xr:uid="{48E9FDB0-5A2A-4E64-B9D0-82078E79E50E}">
          <x14:formula1>
            <xm:f>INDIRECT(Parametros!D128)</xm:f>
          </x14:formula1>
          <xm:sqref>D101:D105</xm:sqref>
        </x14:dataValidation>
        <x14:dataValidation type="list" allowBlank="1" showInputMessage="1" showErrorMessage="1" promptTitle="IMPORTANTE" prompt="Debe haber registrado el campo anterior para mostrar la lista desplegable." xr:uid="{F02053F2-A540-4BAC-B7CE-97574D0EC370}">
          <x14:formula1>
            <xm:f>INDIRECT(Parametros!D134)</xm:f>
          </x14:formula1>
          <xm:sqref>D106:D109</xm:sqref>
        </x14:dataValidation>
        <x14:dataValidation type="list" allowBlank="1" showInputMessage="1" showErrorMessage="1" promptTitle="IMPORTANTE" prompt="Debe haber registrado el campo anterior para mostrar la lista desplegable." xr:uid="{F23E334E-3A8F-48ED-91AC-046B2C5CD37B}">
          <x14:formula1>
            <xm:f>INDIRECT(Parametros!$F128)</xm:f>
          </x14:formula1>
          <xm:sqref>E101:E105</xm:sqref>
        </x14:dataValidation>
        <x14:dataValidation type="list" allowBlank="1" showInputMessage="1" showErrorMessage="1" promptTitle="IMPORTANTE" prompt="Debe haber registrado el campo anterior para mostrar la lista desplegable." xr:uid="{1D6E887F-83BD-4CFC-8375-357ECF80F159}">
          <x14:formula1>
            <xm:f>INDIRECT(Parametros!$F134)</xm:f>
          </x14:formula1>
          <xm:sqref>E106:E109</xm:sqref>
        </x14:dataValidation>
        <x14:dataValidation type="list" allowBlank="1" showInputMessage="1" showErrorMessage="1" promptTitle="IMPORTANTE" prompt="Debe haber registrado el campo anterior para mostrar la lista desplegable." xr:uid="{CFB5276A-B907-42D6-9A9A-66ABD666A3A4}">
          <x14:formula1>
            <xm:f>INDIRECT(Parametros!H128)</xm:f>
          </x14:formula1>
          <xm:sqref>G101:G105</xm:sqref>
        </x14:dataValidation>
        <x14:dataValidation type="list" allowBlank="1" showInputMessage="1" showErrorMessage="1" promptTitle="IMPORTANTE" prompt="Debe haber registrado el campo anterior para mostrar la lista desplegable." xr:uid="{CBA950D4-1766-431B-9DB2-0F9DB8D0163A}">
          <x14:formula1>
            <xm:f>INDIRECT(Parametros!H134)</xm:f>
          </x14:formula1>
          <xm:sqref>G106:G109</xm:sqref>
        </x14:dataValidation>
        <x14:dataValidation type="list" allowBlank="1" showInputMessage="1" showErrorMessage="1" promptTitle="IMPORTANTE" prompt="Debe haber registrado el campo anterior para mostrar la lista desplegable." xr:uid="{3AAC8A7D-DF1B-435F-AE8F-D22EF7993EB1}">
          <x14:formula1>
            <xm:f>INDIRECT(Parametros!A120)</xm:f>
          </x14:formula1>
          <xm:sqref>B97:C100</xm:sqref>
        </x14:dataValidation>
        <x14:dataValidation type="list" allowBlank="1" showInputMessage="1" showErrorMessage="1" promptTitle="IMPORTANTE" prompt="Debe haber registrado el campo anterior para mostrar la lista desplegable." xr:uid="{22DCAD99-FE29-49EC-9BBA-A96E35AFA775}">
          <x14:formula1>
            <xm:f>INDIRECT(Parametros!D120)</xm:f>
          </x14:formula1>
          <xm:sqref>D97:D100</xm:sqref>
        </x14:dataValidation>
        <x14:dataValidation type="list" allowBlank="1" showInputMessage="1" showErrorMessage="1" promptTitle="IMPORTANTE" prompt="Debe haber registrado el campo anterior para mostrar la lista desplegable." xr:uid="{8A92EDDD-A2DF-4733-BF78-92903AC78650}">
          <x14:formula1>
            <xm:f>INDIRECT(Parametros!$F120)</xm:f>
          </x14:formula1>
          <xm:sqref>E97:E100</xm:sqref>
        </x14:dataValidation>
        <x14:dataValidation type="list" allowBlank="1" showInputMessage="1" showErrorMessage="1" promptTitle="IMPORTANTE" prompt="Debe haber registrado el campo anterior para mostrar la lista desplegable." xr:uid="{4DA22024-1786-449E-9647-D0E95C663812}">
          <x14:formula1>
            <xm:f>INDIRECT(Parametros!H120)</xm:f>
          </x14:formula1>
          <xm:sqref>G97:G100</xm:sqref>
        </x14:dataValidation>
        <x14:dataValidation type="list" allowBlank="1" showInputMessage="1" showErrorMessage="1" promptTitle="IMPORTANTE" prompt="Debe haber registrado el campo anterior para mostrar la lista desplegable." xr:uid="{50727AA6-745C-4C08-99B4-E2581BDFB8BF}">
          <x14:formula1>
            <xm:f>INDIRECT(Parametros!A112)</xm:f>
          </x14:formula1>
          <xm:sqref>B92:C92 B94:C96</xm:sqref>
        </x14:dataValidation>
        <x14:dataValidation type="list" allowBlank="1" showInputMessage="1" showErrorMessage="1" promptTitle="IMPORTANTE" prompt="Debe haber registrado el campo anterior para mostrar la lista desplegable." xr:uid="{E1B94346-CBAF-4FB9-975E-F6AED3706998}">
          <x14:formula1>
            <xm:f>INDIRECT(Parametros!D112)</xm:f>
          </x14:formula1>
          <xm:sqref>D92:D96</xm:sqref>
        </x14:dataValidation>
        <x14:dataValidation type="list" allowBlank="1" showInputMessage="1" showErrorMessage="1" promptTitle="IMPORTANTE" prompt="Debe haber registrado el campo anterior para mostrar la lista desplegable." xr:uid="{A1A7E3F6-3C04-46F0-92E4-6068708C3319}">
          <x14:formula1>
            <xm:f>INDIRECT(Parametros!$F112)</xm:f>
          </x14:formula1>
          <xm:sqref>E92:E96</xm:sqref>
        </x14:dataValidation>
        <x14:dataValidation type="list" allowBlank="1" showInputMessage="1" showErrorMessage="1" promptTitle="IMPORTANTE" prompt="Debe haber registrado el campo anterior para mostrar la lista desplegable." xr:uid="{8652BDEE-F9C6-474E-B2D2-37B272D56E46}">
          <x14:formula1>
            <xm:f>INDIRECT(Parametros!H112)</xm:f>
          </x14:formula1>
          <xm:sqref>G92:G96</xm:sqref>
        </x14:dataValidation>
        <x14:dataValidation type="list" allowBlank="1" showInputMessage="1" showErrorMessage="1" promptTitle="IMPORTANTE" prompt="Debe haber registrado el campo anterior para mostrar la lista desplegable." xr:uid="{DA45135B-66A6-441F-9A83-06F87045F310}">
          <x14:formula1>
            <xm:f>INDIRECT(Parametros!H79)</xm:f>
          </x14:formula1>
          <xm:sqref>G72:G78 G68</xm:sqref>
        </x14:dataValidation>
        <x14:dataValidation type="list" allowBlank="1" showInputMessage="1" showErrorMessage="1" promptTitle="IMPORTANTE" prompt="Debe haber registrado el campo anterior para mostrar la lista desplegable." xr:uid="{912CB758-9390-4622-A11B-BFFA359C417D}">
          <x14:formula1>
            <xm:f>INDIRECT(Parametros!$F101)</xm:f>
          </x14:formula1>
          <xm:sqref>E83</xm:sqref>
        </x14:dataValidation>
        <x14:dataValidation type="list" allowBlank="1" showInputMessage="1" showErrorMessage="1" promptTitle="IMPORTANTE" prompt="Debe haber registrado el campo anterior para mostrar la lista desplegable." xr:uid="{85730459-16D9-41BF-B1CD-45D6CF01B530}">
          <x14:formula1>
            <xm:f>INDIRECT(Parametros!$F110)</xm:f>
          </x14:formula1>
          <xm:sqref>E91</xm:sqref>
        </x14:dataValidation>
        <x14:dataValidation type="list" allowBlank="1" showInputMessage="1" showErrorMessage="1" promptTitle="IMPORTANTE" prompt="Debe haber registrado el campo anterior para mostrar la lista desplegable." xr:uid="{DD310E8B-9EB6-4DAF-B1E1-27728F9A1EF1}">
          <x14:formula1>
            <xm:f>INDIRECT(Parametros!A100)</xm:f>
          </x14:formula1>
          <xm:sqref>B93:C93 B83:C90</xm:sqref>
        </x14:dataValidation>
        <x14:dataValidation type="list" allowBlank="1" showInputMessage="1" showErrorMessage="1" promptTitle="IMPORTANTE" prompt="Debe haber registrado el campo anterior para mostrar la lista desplegable." xr:uid="{AB0CD70E-EABB-470C-B57A-E94CC9660778}">
          <x14:formula1>
            <xm:f>INDIRECT(Parametros!A110)</xm:f>
          </x14:formula1>
          <xm:sqref>B91:C91</xm:sqref>
        </x14:dataValidation>
        <x14:dataValidation type="list" allowBlank="1" showInputMessage="1" showErrorMessage="1" promptTitle="IMPORTANTE" prompt="Debe haber registrado el campo anterior para mostrar la lista desplegable." xr:uid="{1CBE65B6-4CF9-4B45-8F2D-41859F6D9101}">
          <x14:formula1>
            <xm:f>INDIRECT(Parametros!D100)</xm:f>
          </x14:formula1>
          <xm:sqref>D83:D90</xm:sqref>
        </x14:dataValidation>
        <x14:dataValidation type="list" allowBlank="1" showInputMessage="1" showErrorMessage="1" promptTitle="IMPORTANTE" prompt="Debe haber registrado el campo anterior para mostrar la lista desplegable." xr:uid="{8E3C9266-D49F-4AD8-A12C-33B26DF6A90F}">
          <x14:formula1>
            <xm:f>INDIRECT(Parametros!D110)</xm:f>
          </x14:formula1>
          <xm:sqref>D91</xm:sqref>
        </x14:dataValidation>
        <x14:dataValidation type="list" allowBlank="1" showInputMessage="1" showErrorMessage="1" promptTitle="IMPORTANTE" prompt="Debe haber registrado el campo anterior para mostrar la lista desplegable." xr:uid="{FAD2859E-0986-4A64-A506-384508CF8877}">
          <x14:formula1>
            <xm:f>INDIRECT(Parametros!$F101)</xm:f>
          </x14:formula1>
          <xm:sqref>E84:E90</xm:sqref>
        </x14:dataValidation>
        <x14:dataValidation type="list" allowBlank="1" showInputMessage="1" showErrorMessage="1" promptTitle="IMPORTANTE" prompt="Debe haber registrado el campo anterior para mostrar la lista desplegable." xr:uid="{B0A63723-21B6-4D97-BAB3-EB8B6489B58C}">
          <x14:formula1>
            <xm:f>INDIRECT(Parametros!H100)</xm:f>
          </x14:formula1>
          <xm:sqref>G83:G90</xm:sqref>
        </x14:dataValidation>
        <x14:dataValidation type="list" allowBlank="1" showInputMessage="1" showErrorMessage="1" promptTitle="IMPORTANTE" prompt="Debe haber registrado el campo anterior para mostrar la lista desplegable." xr:uid="{E2EE9915-325C-487B-A8BA-1E833A849CE0}">
          <x14:formula1>
            <xm:f>INDIRECT(Parametros!H110)</xm:f>
          </x14:formula1>
          <xm:sqref>G91</xm:sqref>
        </x14:dataValidation>
        <x14:dataValidation type="list" allowBlank="1" showInputMessage="1" showErrorMessage="1" promptTitle="IMPORTANTE" prompt="Debe haber registrado el campo anterior para mostrar la lista desplegable." xr:uid="{68253D30-3061-469A-8C38-35DDCC14B0A3}">
          <x14:formula1>
            <xm:f>INDIRECT(Parametros!A98)</xm:f>
          </x14:formula1>
          <xm:sqref>B82:C82</xm:sqref>
        </x14:dataValidation>
        <x14:dataValidation type="list" allowBlank="1" showInputMessage="1" showErrorMessage="1" promptTitle="IMPORTANTE" prompt="Debe haber registrado el campo anterior para mostrar la lista desplegable." xr:uid="{FF80C558-6D31-4FAA-BE43-8A7E7CDD433D}">
          <x14:formula1>
            <xm:f>INDIRECT(Parametros!D98)</xm:f>
          </x14:formula1>
          <xm:sqref>D82</xm:sqref>
        </x14:dataValidation>
        <x14:dataValidation type="list" allowBlank="1" showInputMessage="1" showErrorMessage="1" promptTitle="IMPORTANTE" prompt="Debe haber registrado el campo anterior para mostrar la lista desplegable." xr:uid="{180F72E2-C9A3-4155-A59D-8B7DA50CB9A1}">
          <x14:formula1>
            <xm:f>INDIRECT(Parametros!$F98)</xm:f>
          </x14:formula1>
          <xm:sqref>E82</xm:sqref>
        </x14:dataValidation>
        <x14:dataValidation type="list" allowBlank="1" showInputMessage="1" showErrorMessage="1" promptTitle="IMPORTANTE" prompt="Debe haber registrado el campo anterior para mostrar la lista desplegable." xr:uid="{32056751-E64D-49AA-8014-7F4CE7E7646A}">
          <x14:formula1>
            <xm:f>INDIRECT(Parametros!H98)</xm:f>
          </x14:formula1>
          <xm:sqref>G82</xm:sqref>
        </x14:dataValidation>
        <x14:dataValidation type="list" allowBlank="1" showInputMessage="1" showErrorMessage="1" promptTitle="IMPORTANTE" prompt="Debe haber registrado el campo anterior para mostrar la lista desplegable." xr:uid="{EABC71DA-D91B-48EE-B864-9F931991C8A6}">
          <x14:formula1>
            <xm:f>INDIRECT(Parametros!A96)</xm:f>
          </x14:formula1>
          <xm:sqref>B81:C81</xm:sqref>
        </x14:dataValidation>
        <x14:dataValidation type="list" allowBlank="1" showInputMessage="1" showErrorMessage="1" promptTitle="IMPORTANTE" prompt="Debe haber registrado el campo anterior para mostrar la lista desplegable." xr:uid="{A9C079B8-B38B-4E46-BC3B-648A481C989D}">
          <x14:formula1>
            <xm:f>INDIRECT(Parametros!D96)</xm:f>
          </x14:formula1>
          <xm:sqref>D81</xm:sqref>
        </x14:dataValidation>
        <x14:dataValidation type="list" allowBlank="1" showInputMessage="1" showErrorMessage="1" promptTitle="IMPORTANTE" prompt="Debe haber registrado el campo anterior para mostrar la lista desplegable." xr:uid="{3C9AA8E1-8CC7-4359-8B0D-6B85A9E97627}">
          <x14:formula1>
            <xm:f>INDIRECT(Parametros!$F96)</xm:f>
          </x14:formula1>
          <xm:sqref>E81</xm:sqref>
        </x14:dataValidation>
        <x14:dataValidation type="list" allowBlank="1" showInputMessage="1" showErrorMessage="1" promptTitle="IMPORTANTE" prompt="Debe haber registrado el campo anterior para mostrar la lista desplegable." xr:uid="{6182F7B9-26FD-4BD2-BA52-BD565F5731C3}">
          <x14:formula1>
            <xm:f>INDIRECT(Parametros!H96)</xm:f>
          </x14:formula1>
          <xm:sqref>G81</xm:sqref>
        </x14:dataValidation>
        <x14:dataValidation type="list" allowBlank="1" showInputMessage="1" showErrorMessage="1" promptTitle="IMPORTANTE" prompt="Debe haber registrado el campo anterior para mostrar la lista desplegable." xr:uid="{54C763D9-444B-42EC-80E2-88FBE4FB2FD2}">
          <x14:formula1>
            <xm:f>INDIRECT(Parametros!A94)</xm:f>
          </x14:formula1>
          <xm:sqref>B80:C80</xm:sqref>
        </x14:dataValidation>
        <x14:dataValidation type="list" allowBlank="1" showInputMessage="1" showErrorMessage="1" promptTitle="IMPORTANTE" prompt="Debe haber registrado el campo anterior para mostrar la lista desplegable." xr:uid="{AB5F62EE-F317-4D54-806A-391884934C28}">
          <x14:formula1>
            <xm:f>INDIRECT(Parametros!D94)</xm:f>
          </x14:formula1>
          <xm:sqref>D80</xm:sqref>
        </x14:dataValidation>
        <x14:dataValidation type="list" allowBlank="1" showInputMessage="1" showErrorMessage="1" promptTitle="IMPORTANTE" prompt="Debe haber registrado el campo anterior para mostrar la lista desplegable." xr:uid="{143B0363-85FC-441B-8C73-921B959ACCF8}">
          <x14:formula1>
            <xm:f>INDIRECT(Parametros!$F94)</xm:f>
          </x14:formula1>
          <xm:sqref>E80</xm:sqref>
        </x14:dataValidation>
        <x14:dataValidation type="list" allowBlank="1" showInputMessage="1" showErrorMessage="1" promptTitle="IMPORTANTE" prompt="Debe haber registrado el campo anterior para mostrar la lista desplegable." xr:uid="{AA1954EC-042C-46C6-881F-7E81D5FA98D3}">
          <x14:formula1>
            <xm:f>INDIRECT(Parametros!H94)</xm:f>
          </x14:formula1>
          <xm:sqref>G80</xm:sqref>
        </x14:dataValidation>
        <x14:dataValidation type="list" allowBlank="1" showInputMessage="1" showErrorMessage="1" promptTitle="IMPORTANTE" prompt="Debe haber registrado el campo anterior para mostrar la lista desplegable." xr:uid="{A9A65C75-CBB8-4297-B139-1380B08DA5B3}">
          <x14:formula1>
            <xm:f>INDIRECT(Parametros!A91)</xm:f>
          </x14:formula1>
          <xm:sqref>B79:C79</xm:sqref>
        </x14:dataValidation>
        <x14:dataValidation type="list" allowBlank="1" showInputMessage="1" showErrorMessage="1" promptTitle="IMPORTANTE" prompt="Debe haber registrado el campo anterior para mostrar la lista desplegable." xr:uid="{38F1E2AA-2E0C-4315-BC42-B13DFB98D1F3}">
          <x14:formula1>
            <xm:f>INDIRECT(Parametros!D91)</xm:f>
          </x14:formula1>
          <xm:sqref>D79</xm:sqref>
        </x14:dataValidation>
        <x14:dataValidation type="list" allowBlank="1" showInputMessage="1" showErrorMessage="1" promptTitle="IMPORTANTE" prompt="Debe haber registrado el campo anterior para mostrar la lista desplegable." xr:uid="{E05A0807-7D32-476A-9C45-023B38DD23B4}">
          <x14:formula1>
            <xm:f>INDIRECT(Parametros!$F91)</xm:f>
          </x14:formula1>
          <xm:sqref>E79</xm:sqref>
        </x14:dataValidation>
        <x14:dataValidation type="list" allowBlank="1" showInputMessage="1" showErrorMessage="1" promptTitle="IMPORTANTE" prompt="Debe haber registrado el campo anterior para mostrar la lista desplegable." xr:uid="{84F82078-537B-4DDC-BAA0-225450EF049B}">
          <x14:formula1>
            <xm:f>INDIRECT(Parametros!A79)</xm:f>
          </x14:formula1>
          <xm:sqref>B72:C78 B68:C68</xm:sqref>
        </x14:dataValidation>
        <x14:dataValidation type="list" allowBlank="1" showInputMessage="1" showErrorMessage="1" promptTitle="IMPORTANTE" prompt="Debe haber registrado el campo anterior para mostrar la lista desplegable." xr:uid="{30878DC7-A357-4EE0-8C99-6F58D4D9C420}">
          <x14:formula1>
            <xm:f>INDIRECT(Parametros!D79)</xm:f>
          </x14:formula1>
          <xm:sqref>D72:D78 D68</xm:sqref>
        </x14:dataValidation>
        <x14:dataValidation type="list" allowBlank="1" showInputMessage="1" showErrorMessage="1" promptTitle="IMPORTANTE" prompt="Debe haber registrado el campo anterior para mostrar la lista desplegable." xr:uid="{21763B5A-8F66-4F30-BB81-E79F345ED5B2}">
          <x14:formula1>
            <xm:f>INDIRECT(Parametros!$F79)</xm:f>
          </x14:formula1>
          <xm:sqref>E72:E78 E68</xm:sqref>
        </x14:dataValidation>
        <x14:dataValidation type="list" allowBlank="1" showInputMessage="1" showErrorMessage="1" promptTitle="IMPORTANTE" prompt="Debe haber registrado el campo anterior para mostrar la lista desplegable." xr:uid="{FFFB9C8B-60A1-4307-B7E8-C0025A514386}">
          <x14:formula1>
            <xm:f>INDIRECT(Parametros!A68)</xm:f>
          </x14:formula1>
          <xm:sqref>B58:C67 B69:C71</xm:sqref>
        </x14:dataValidation>
        <x14:dataValidation type="list" allowBlank="1" showInputMessage="1" showErrorMessage="1" promptTitle="IMPORTANTE" prompt="Debe haber registrado el campo anterior para mostrar la lista desplegable." xr:uid="{55567FDA-A7A5-4B40-BFAD-E1B293FFA66F}">
          <x14:formula1>
            <xm:f>INDIRECT(Parametros!D68)</xm:f>
          </x14:formula1>
          <xm:sqref>D58:D67 D69:D71</xm:sqref>
        </x14:dataValidation>
        <x14:dataValidation type="list" allowBlank="1" showInputMessage="1" showErrorMessage="1" promptTitle="IMPORTANTE" prompt="Debe haber registrado el campo anterior para mostrar la lista desplegable." xr:uid="{3BD0935F-DB27-433C-9D05-1F5F9B0D462F}">
          <x14:formula1>
            <xm:f>INDIRECT(Parametros!$F68)</xm:f>
          </x14:formula1>
          <xm:sqref>E58:E67 E69:E71</xm:sqref>
        </x14:dataValidation>
        <x14:dataValidation type="list" allowBlank="1" showInputMessage="1" showErrorMessage="1" promptTitle="IMPORTANTE" prompt="Debe haber registrado el campo anterior para mostrar la lista desplegable." xr:uid="{52BB26A6-53B0-4ED7-81B8-1E46DC6E3367}">
          <x14:formula1>
            <xm:f>INDIRECT(Parametros!H68)</xm:f>
          </x14:formula1>
          <xm:sqref>G58:G67 G69:G71</xm:sqref>
        </x14:dataValidation>
        <x14:dataValidation type="list" allowBlank="1" showInputMessage="1" showErrorMessage="1" promptTitle="IMPORTANTE" prompt="Debe haber registrado el campo anterior para mostrar la lista desplegable." xr:uid="{FA15F91E-E36C-461D-8C86-B4355A550D3B}">
          <x14:formula1>
            <xm:f>INDIRECT(Parametros!A52)</xm:f>
          </x14:formula1>
          <xm:sqref>B46:C57</xm:sqref>
        </x14:dataValidation>
        <x14:dataValidation type="list" allowBlank="1" showInputMessage="1" showErrorMessage="1" promptTitle="IMPORTANTE" prompt="Debe haber registrado el campo anterior para mostrar la lista desplegable." xr:uid="{1BFBF87E-F38A-48E1-9856-6F1BFF8D1AE8}">
          <x14:formula1>
            <xm:f>INDIRECT(Parametros!D52)</xm:f>
          </x14:formula1>
          <xm:sqref>D46:D57</xm:sqref>
        </x14:dataValidation>
        <x14:dataValidation type="list" allowBlank="1" showInputMessage="1" showErrorMessage="1" promptTitle="IMPORTANTE" prompt="Debe haber registrado el campo anterior para mostrar la lista desplegable." xr:uid="{D6DB09D4-7EA5-45DD-AB8D-1C8E61C20CDC}">
          <x14:formula1>
            <xm:f>INDIRECT(Parametros!$F52)</xm:f>
          </x14:formula1>
          <xm:sqref>E46:E57</xm:sqref>
        </x14:dataValidation>
        <x14:dataValidation type="list" allowBlank="1" showInputMessage="1" showErrorMessage="1" promptTitle="IMPORTANTE" prompt="Debe haber registrado el campo anterior para mostrar la lista desplegable." xr:uid="{9689AEDE-55A4-44B4-A734-19671CC43BB7}">
          <x14:formula1>
            <xm:f>INDIRECT(Parametros!H52)</xm:f>
          </x14:formula1>
          <xm:sqref>G46:G57</xm:sqref>
        </x14:dataValidation>
        <x14:dataValidation type="list" allowBlank="1" showInputMessage="1" showErrorMessage="1" promptTitle="IMPORTANTE" prompt="Debe haber registrado el campo anterior para mostrar la lista desplegable." xr:uid="{8594B479-6D72-4DAD-A5D5-AFD7C2594F10}">
          <x14:formula1>
            <xm:f>INDIRECT(Parametros!A39)</xm:f>
          </x14:formula1>
          <xm:sqref>B35:C45</xm:sqref>
        </x14:dataValidation>
        <x14:dataValidation type="list" allowBlank="1" showInputMessage="1" showErrorMessage="1" promptTitle="IMPORTANTE" prompt="Debe haber registrado el campo anterior para mostrar la lista desplegable." xr:uid="{15F3BCB4-64C9-43BD-AD23-0D6B26465D21}">
          <x14:formula1>
            <xm:f>INDIRECT(Parametros!D39)</xm:f>
          </x14:formula1>
          <xm:sqref>D35:D45</xm:sqref>
        </x14:dataValidation>
        <x14:dataValidation type="list" allowBlank="1" showInputMessage="1" showErrorMessage="1" promptTitle="IMPORTANTE" prompt="Debe haber registrado el campo anterior para mostrar la lista desplegable." xr:uid="{B9651494-F085-4E58-9D4F-241B20C952F5}">
          <x14:formula1>
            <xm:f>INDIRECT(Parametros!$F39)</xm:f>
          </x14:formula1>
          <xm:sqref>E35:E45</xm:sqref>
        </x14:dataValidation>
        <x14:dataValidation type="list" allowBlank="1" showInputMessage="1" showErrorMessage="1" promptTitle="IMPORTANTE" prompt="Debe haber registrado el campo anterior para mostrar la lista desplegable." xr:uid="{DAE5E7F5-1961-413E-B8FC-D583F424538D}">
          <x14:formula1>
            <xm:f>INDIRECT(Parametros!H39)</xm:f>
          </x14:formula1>
          <xm:sqref>G35:G45</xm:sqref>
        </x14:dataValidation>
        <x14:dataValidation type="list" allowBlank="1" showInputMessage="1" showErrorMessage="1" promptTitle="Atención!" prompt="Ingresar valores que ofrece la lista desplegable." xr:uid="{31ED7BCF-75DD-46BA-AF90-341A5070C83C}">
          <x14:formula1>
            <xm:f>OFFSET(Parametros!$S$3,0,,COUNTIF(LIST_EMP,"&lt;&gt;X"))</xm:f>
          </x14:formula1>
          <xm:sqref>J22:J952</xm:sqref>
        </x14:dataValidation>
        <x14:dataValidation type="list" allowBlank="1" showInputMessage="1" showErrorMessage="1" promptTitle="IMPORTANTE" prompt="Debe haber registrado el campo anterior para mostrar la lista desplegable." xr:uid="{EE5FBE27-4390-4322-9957-8E9F37239109}">
          <x14:formula1>
            <xm:f>INDIRECT(Parametros!A22)</xm:f>
          </x14:formula1>
          <xm:sqref>B22:C33</xm:sqref>
        </x14:dataValidation>
        <x14:dataValidation type="list" allowBlank="1" showInputMessage="1" showErrorMessage="1" promptTitle="IMPORTANTE" prompt="Debe haber registrado el campo anterior para mostrar la lista desplegable." xr:uid="{21F9F4C3-DB92-4B1F-B5F9-CD89F3A6E72D}">
          <x14:formula1>
            <xm:f>INDIRECT(Parametros!D22)</xm:f>
          </x14:formula1>
          <xm:sqref>D22:D33</xm:sqref>
        </x14:dataValidation>
        <x14:dataValidation type="list" allowBlank="1" showInputMessage="1" showErrorMessage="1" promptTitle="IMPORTANTE" prompt="Debe haber registrado el campo anterior para mostrar la lista desplegable." xr:uid="{9072B425-EC9F-4303-B501-9841B2B24935}">
          <x14:formula1>
            <xm:f>INDIRECT(Parametros!$F22)</xm:f>
          </x14:formula1>
          <xm:sqref>E22:E33</xm:sqref>
        </x14:dataValidation>
        <x14:dataValidation type="list" allowBlank="1" showInputMessage="1" showErrorMessage="1" promptTitle="IMPORTANTE" prompt="Debe haber registrado el campo anterior para mostrar la lista desplegable." xr:uid="{D5890924-5100-4F3B-BA07-7A68D15762FF}">
          <x14:formula1>
            <xm:f>INDIRECT(Parametros!H22)</xm:f>
          </x14:formula1>
          <xm:sqref>G22:G33</xm:sqref>
        </x14:dataValidation>
        <x14:dataValidation type="list" allowBlank="1" showInputMessage="1" showErrorMessage="1" promptTitle="IMPORTANTE" prompt="Debe haber registrado el campo anterior para mostrar la lista desplegable." xr:uid="{A080117B-77D3-489C-BAA9-372B04D2CA58}">
          <x14:formula1>
            <xm:f>INDIRECT(Parametros!H35)</xm:f>
          </x14:formula1>
          <xm:sqref>G34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">
    <tabColor theme="8"/>
  </sheetPr>
  <dimension ref="A1:T1002"/>
  <sheetViews>
    <sheetView topLeftCell="A4" zoomScale="85" zoomScaleNormal="85" workbookViewId="0">
      <selection activeCell="D23" sqref="D23"/>
    </sheetView>
  </sheetViews>
  <sheetFormatPr baseColWidth="10" defaultRowHeight="15.75" x14ac:dyDescent="0.25"/>
  <cols>
    <col min="1" max="1" width="10.85546875" style="5" customWidth="1"/>
    <col min="2" max="2" width="13.7109375" style="5" customWidth="1"/>
    <col min="3" max="3" width="61.140625" style="5" customWidth="1"/>
    <col min="4" max="4" width="30.5703125" style="5" customWidth="1"/>
    <col min="5" max="5" width="37.42578125" style="5" customWidth="1"/>
    <col min="6" max="6" width="30.5703125" style="5" customWidth="1"/>
    <col min="7" max="7" width="38.7109375" style="61" customWidth="1"/>
    <col min="8" max="8" width="22.7109375" style="61" customWidth="1"/>
    <col min="9" max="9" width="23.85546875" style="61" customWidth="1"/>
    <col min="10" max="10" width="23.28515625" style="61" customWidth="1"/>
    <col min="11" max="11" width="12.28515625" style="28" customWidth="1"/>
    <col min="12" max="12" width="14.7109375" style="61" customWidth="1"/>
    <col min="15" max="15" width="11.140625" bestFit="1" customWidth="1"/>
    <col min="16" max="16" width="87.85546875" bestFit="1" customWidth="1"/>
    <col min="17" max="17" width="5.140625" customWidth="1"/>
    <col min="18" max="18" width="13.28515625" bestFit="1" customWidth="1"/>
    <col min="19" max="19" width="87.85546875" bestFit="1" customWidth="1"/>
  </cols>
  <sheetData>
    <row r="1" spans="1:20" ht="31.5" x14ac:dyDescent="0.25">
      <c r="A1" s="313"/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</row>
    <row r="2" spans="1:20" ht="21" x14ac:dyDescent="0.35">
      <c r="A2" s="36"/>
      <c r="B2" s="36"/>
      <c r="C2" s="36"/>
      <c r="G2" s="59"/>
      <c r="H2" s="59"/>
      <c r="I2" s="59"/>
      <c r="J2" s="59"/>
      <c r="K2" s="37"/>
      <c r="L2" s="59"/>
      <c r="O2" s="309" t="s">
        <v>3203</v>
      </c>
      <c r="P2" s="309" t="s">
        <v>3204</v>
      </c>
      <c r="Q2" s="309"/>
      <c r="R2" s="308" t="s">
        <v>3205</v>
      </c>
      <c r="S2" s="308" t="s">
        <v>3206</v>
      </c>
      <c r="T2" s="35"/>
    </row>
    <row r="3" spans="1:20" ht="21" x14ac:dyDescent="0.35">
      <c r="A3" s="36"/>
      <c r="B3" s="36"/>
      <c r="C3" s="36"/>
      <c r="G3" s="59"/>
      <c r="H3" s="59"/>
      <c r="I3" s="59"/>
      <c r="J3" s="59"/>
      <c r="K3" s="37"/>
      <c r="L3" s="59"/>
      <c r="O3" s="310">
        <v>1</v>
      </c>
      <c r="P3" s="310" t="str">
        <f>Registro!C3</f>
        <v>ERH-ESPECIALISTA REGIONAL DE HIDROCARBUROS</v>
      </c>
      <c r="Q3" s="310"/>
      <c r="R3" s="311">
        <f>IF(Parametros!P3=0,MAX(Parametros!$O$3:$O$19)+1,Parametros!O3)</f>
        <v>1</v>
      </c>
      <c r="S3" s="310" t="str">
        <f>IFERROR(VLOOKUP(SMALL($R$3:$R$19,Parametros!O3),Parametros!$O$3:$P$19,2,FALSE),"X")</f>
        <v>ERH-ESPECIALISTA REGIONAL DE HIDROCARBUROS</v>
      </c>
      <c r="T3" s="288"/>
    </row>
    <row r="4" spans="1:20" ht="21" x14ac:dyDescent="0.35">
      <c r="A4" s="36"/>
      <c r="B4" s="36"/>
      <c r="C4" s="36"/>
      <c r="G4" s="59"/>
      <c r="H4" s="59"/>
      <c r="I4" s="59"/>
      <c r="J4" s="59"/>
      <c r="K4" s="37"/>
      <c r="L4" s="59"/>
      <c r="O4" s="310">
        <v>2</v>
      </c>
      <c r="P4" s="310" t="str">
        <f>Registro!C4</f>
        <v>SUP2400176-EVALUACION Y SUPERVISION EN ENERGIA E.I.R.L.</v>
      </c>
      <c r="Q4" s="310"/>
      <c r="R4" s="311">
        <f>IF(Parametros!P4=0,MAX(Parametros!$O$3:$O$19)+1,Parametros!O4)</f>
        <v>2</v>
      </c>
      <c r="S4" s="310" t="str">
        <f>IFERROR(VLOOKUP(SMALL($R$3:$R$19,Parametros!O4),Parametros!$O$3:$P$19,2,FALSE),"X")</f>
        <v>SUP2400176-EVALUACION Y SUPERVISION EN ENERGIA E.I.R.L.</v>
      </c>
      <c r="T4" s="288"/>
    </row>
    <row r="5" spans="1:20" ht="21" x14ac:dyDescent="0.35">
      <c r="A5" s="36"/>
      <c r="B5" s="36"/>
      <c r="C5" s="36"/>
      <c r="G5" s="59"/>
      <c r="H5" s="59"/>
      <c r="I5" s="59"/>
      <c r="J5" s="59"/>
      <c r="K5" s="37"/>
      <c r="L5" s="59"/>
      <c r="O5" s="310">
        <v>3</v>
      </c>
      <c r="P5" s="310" t="str">
        <f>Registro!C5</f>
        <v>SUP2400158-EVALUACION Y SUPERVISION EN ENERGIA E.I.R.L.</v>
      </c>
      <c r="Q5" s="310"/>
      <c r="R5" s="311">
        <f>IF(Parametros!P5=0,MAX(Parametros!$O$3:$O$19)+1,Parametros!O5)</f>
        <v>3</v>
      </c>
      <c r="S5" s="310" t="str">
        <f>IFERROR(VLOOKUP(SMALL($R$3:$R$19,Parametros!O5),Parametros!$O$3:$P$19,2,FALSE),"X")</f>
        <v>SUP2400158-EVALUACION Y SUPERVISION EN ENERGIA E.I.R.L.</v>
      </c>
      <c r="T5" s="288"/>
    </row>
    <row r="6" spans="1:20" ht="21" x14ac:dyDescent="0.35">
      <c r="A6" s="36"/>
      <c r="B6" s="36"/>
      <c r="C6" s="36"/>
      <c r="G6" s="59"/>
      <c r="H6" s="59"/>
      <c r="I6" s="59"/>
      <c r="J6" s="59"/>
      <c r="K6" s="37"/>
      <c r="L6" s="59"/>
      <c r="O6" s="310">
        <v>4</v>
      </c>
      <c r="P6" s="310" t="str">
        <f>Registro!C6</f>
        <v>SUP2400198-KALEV C7 PROYECTOS S.A.C.</v>
      </c>
      <c r="Q6" s="310"/>
      <c r="R6" s="311">
        <f>IF(Parametros!P6=0,MAX(Parametros!$O$3:$O$19)+1,Parametros!O6)</f>
        <v>4</v>
      </c>
      <c r="S6" s="310" t="str">
        <f>IFERROR(VLOOKUP(SMALL($R$3:$R$19,Parametros!O6),Parametros!$O$3:$P$19,2,FALSE),"X")</f>
        <v>SUP2400198-KALEV C7 PROYECTOS S.A.C.</v>
      </c>
      <c r="T6" s="288"/>
    </row>
    <row r="7" spans="1:20" ht="21" x14ac:dyDescent="0.35">
      <c r="A7" s="36"/>
      <c r="B7" s="36"/>
      <c r="C7" s="36"/>
      <c r="G7" s="59"/>
      <c r="H7" s="59"/>
      <c r="I7" s="59"/>
      <c r="J7" s="59"/>
      <c r="K7" s="37"/>
      <c r="L7" s="59"/>
      <c r="O7" s="310">
        <v>5</v>
      </c>
      <c r="P7" s="310" t="str">
        <f>Registro!C7</f>
        <v>-</v>
      </c>
      <c r="Q7" s="310"/>
      <c r="R7" s="311">
        <f>IF(Parametros!P7=0,MAX(Parametros!$O$3:$O$19)+1,Parametros!O7)</f>
        <v>5</v>
      </c>
      <c r="S7" s="310" t="str">
        <f>IFERROR(VLOOKUP(SMALL($R$3:$R$19,Parametros!O7),Parametros!$O$3:$P$19,2,FALSE),"X")</f>
        <v>-</v>
      </c>
      <c r="T7" s="288"/>
    </row>
    <row r="8" spans="1:20" ht="21" x14ac:dyDescent="0.35">
      <c r="A8" s="36"/>
      <c r="B8" s="36"/>
      <c r="C8" s="36"/>
      <c r="G8" s="59"/>
      <c r="H8" s="59"/>
      <c r="I8" s="59"/>
      <c r="J8" s="59"/>
      <c r="K8" s="37"/>
      <c r="L8" s="59"/>
      <c r="O8" s="310">
        <v>6</v>
      </c>
      <c r="P8" s="310" t="str">
        <f>Registro!C8</f>
        <v>-</v>
      </c>
      <c r="Q8" s="310"/>
      <c r="R8" s="311">
        <f>IF(Parametros!P8=0,MAX(Parametros!$O$3:$O$19)+1,Parametros!O8)</f>
        <v>6</v>
      </c>
      <c r="S8" s="310" t="str">
        <f>IFERROR(VLOOKUP(SMALL($R$3:$R$19,Parametros!O8),Parametros!$O$3:$P$19,2,FALSE),"X")</f>
        <v>-</v>
      </c>
      <c r="T8" s="288"/>
    </row>
    <row r="9" spans="1:20" ht="21" x14ac:dyDescent="0.35">
      <c r="A9" s="36"/>
      <c r="B9" s="36"/>
      <c r="C9" s="36"/>
      <c r="G9" s="59"/>
      <c r="H9" s="59"/>
      <c r="I9" s="59"/>
      <c r="J9" s="59"/>
      <c r="K9" s="37"/>
      <c r="L9" s="59"/>
      <c r="O9" s="310">
        <v>7</v>
      </c>
      <c r="P9" s="310" t="str">
        <f>Registro!C9</f>
        <v>-</v>
      </c>
      <c r="Q9" s="310"/>
      <c r="R9" s="311">
        <f>IF(Parametros!P9=0,MAX(Parametros!$O$3:$O$19)+1,Parametros!O9)</f>
        <v>7</v>
      </c>
      <c r="S9" s="310" t="str">
        <f>IFERROR(VLOOKUP(SMALL($R$3:$R$19,Parametros!O9),Parametros!$O$3:$P$19,2,FALSE),"X")</f>
        <v>-</v>
      </c>
      <c r="T9" s="288"/>
    </row>
    <row r="10" spans="1:20" ht="21" x14ac:dyDescent="0.35">
      <c r="A10" s="36"/>
      <c r="B10" s="36"/>
      <c r="C10" s="36"/>
      <c r="G10" s="59"/>
      <c r="H10" s="59"/>
      <c r="I10" s="59"/>
      <c r="J10" s="59"/>
      <c r="K10" s="37"/>
      <c r="L10" s="59"/>
      <c r="O10" s="310">
        <v>8</v>
      </c>
      <c r="P10" s="310" t="str">
        <f>Registro!C10</f>
        <v>-</v>
      </c>
      <c r="Q10" s="310"/>
      <c r="R10" s="311">
        <f>IF(Parametros!P10=0,MAX(Parametros!$O$3:$O$19)+1,Parametros!O10)</f>
        <v>8</v>
      </c>
      <c r="S10" s="310" t="str">
        <f>IFERROR(VLOOKUP(SMALL($R$3:$R$19,Parametros!O10),Parametros!$O$3:$P$19,2,FALSE),"X")</f>
        <v>-</v>
      </c>
      <c r="T10" s="288"/>
    </row>
    <row r="11" spans="1:20" x14ac:dyDescent="0.25">
      <c r="A11" s="42"/>
      <c r="B11" s="42"/>
      <c r="C11" s="42"/>
      <c r="G11" s="59"/>
      <c r="H11" s="59"/>
      <c r="I11" s="59"/>
      <c r="J11" s="59"/>
      <c r="K11" s="37"/>
      <c r="L11" s="59"/>
      <c r="O11" s="310">
        <v>9</v>
      </c>
      <c r="P11" s="310">
        <f>Registro!C11</f>
        <v>0</v>
      </c>
      <c r="Q11" s="310"/>
      <c r="R11" s="311">
        <f>IF(Parametros!P11=0,MAX(Parametros!$O$3:$O$19)+1,Parametros!O11)</f>
        <v>18</v>
      </c>
      <c r="S11" s="310" t="str">
        <f>IFERROR(VLOOKUP(SMALL($R$3:$R$19,Parametros!O11),Parametros!$O$3:$P$19,2,FALSE),"X")</f>
        <v>X</v>
      </c>
      <c r="T11" s="288"/>
    </row>
    <row r="12" spans="1:20" x14ac:dyDescent="0.25">
      <c r="A12" s="42"/>
      <c r="B12" s="42"/>
      <c r="C12" s="42"/>
      <c r="G12" s="59"/>
      <c r="H12" s="59"/>
      <c r="I12" s="59"/>
      <c r="J12" s="59"/>
      <c r="K12" s="37"/>
      <c r="L12" s="59"/>
      <c r="O12" s="310">
        <v>10</v>
      </c>
      <c r="P12" s="310">
        <f>Registro!C12</f>
        <v>0</v>
      </c>
      <c r="Q12" s="310"/>
      <c r="R12" s="311">
        <f>IF(Parametros!P12=0,MAX(Parametros!$O$3:$O$19)+1,Parametros!O12)</f>
        <v>18</v>
      </c>
      <c r="S12" s="310" t="str">
        <f>IFERROR(VLOOKUP(SMALL($R$3:$R$19,Parametros!O12),Parametros!$O$3:$P$19,2,FALSE),"X")</f>
        <v>X</v>
      </c>
      <c r="T12" s="288"/>
    </row>
    <row r="13" spans="1:20" x14ac:dyDescent="0.25">
      <c r="A13" s="42"/>
      <c r="B13" s="42"/>
      <c r="C13" s="42"/>
      <c r="G13" s="59"/>
      <c r="H13" s="59"/>
      <c r="I13" s="59"/>
      <c r="J13" s="59"/>
      <c r="K13" s="37"/>
      <c r="L13" s="59"/>
      <c r="O13" s="310">
        <v>11</v>
      </c>
      <c r="P13" s="310">
        <f>Registro!C13</f>
        <v>0</v>
      </c>
      <c r="Q13" s="310"/>
      <c r="R13" s="311">
        <f>IF(Parametros!P13=0,MAX(Parametros!$O$3:$O$19)+1,Parametros!O13)</f>
        <v>18</v>
      </c>
      <c r="S13" s="310" t="str">
        <f>IFERROR(VLOOKUP(SMALL($R$3:$R$19,Parametros!O13),Parametros!$O$3:$P$19,2,FALSE),"X")</f>
        <v>X</v>
      </c>
      <c r="T13" s="288"/>
    </row>
    <row r="14" spans="1:20" x14ac:dyDescent="0.25">
      <c r="A14" s="42"/>
      <c r="B14" s="42"/>
      <c r="C14" s="42"/>
      <c r="G14" s="59"/>
      <c r="H14" s="59"/>
      <c r="I14" s="59"/>
      <c r="J14" s="59"/>
      <c r="K14" s="37"/>
      <c r="L14" s="59"/>
      <c r="O14" s="310">
        <v>12</v>
      </c>
      <c r="P14" s="310">
        <f>Registro!C14</f>
        <v>0</v>
      </c>
      <c r="Q14" s="310"/>
      <c r="R14" s="311">
        <f>IF(Parametros!P14=0,MAX(Parametros!$O$3:$O$19)+1,Parametros!O14)</f>
        <v>18</v>
      </c>
      <c r="S14" s="310" t="str">
        <f>IFERROR(VLOOKUP(SMALL($R$3:$R$19,Parametros!O14),Parametros!$O$3:$P$19,2,FALSE),"X")</f>
        <v>X</v>
      </c>
      <c r="T14" s="288"/>
    </row>
    <row r="15" spans="1:20" x14ac:dyDescent="0.25">
      <c r="A15" s="42"/>
      <c r="B15" s="42"/>
      <c r="C15" s="42"/>
      <c r="G15" s="59"/>
      <c r="H15" s="59"/>
      <c r="I15" s="59"/>
      <c r="J15" s="59"/>
      <c r="K15" s="37"/>
      <c r="L15" s="59"/>
      <c r="O15" s="310">
        <v>13</v>
      </c>
      <c r="P15" s="310">
        <f>Registro!C15</f>
        <v>0</v>
      </c>
      <c r="Q15" s="310"/>
      <c r="R15" s="311">
        <f>IF(Parametros!P15=0,MAX(Parametros!$O$3:$O$19)+1,Parametros!O15)</f>
        <v>18</v>
      </c>
      <c r="S15" s="310" t="str">
        <f>IFERROR(VLOOKUP(SMALL($R$3:$R$19,Parametros!O15),Parametros!$O$3:$P$19,2,FALSE),"X")</f>
        <v>X</v>
      </c>
      <c r="T15" s="288"/>
    </row>
    <row r="16" spans="1:20" x14ac:dyDescent="0.25">
      <c r="A16" s="42"/>
      <c r="B16" s="42"/>
      <c r="C16" s="42"/>
      <c r="G16" s="59"/>
      <c r="H16" s="59"/>
      <c r="I16" s="59"/>
      <c r="J16" s="59"/>
      <c r="K16" s="37"/>
      <c r="L16" s="59"/>
      <c r="O16" s="310">
        <v>14</v>
      </c>
      <c r="P16" s="310">
        <f>Registro!C16</f>
        <v>0</v>
      </c>
      <c r="Q16" s="310"/>
      <c r="R16" s="311">
        <f>IF(Parametros!P16=0,MAX(Parametros!$O$3:$O$19)+1,Parametros!O16)</f>
        <v>18</v>
      </c>
      <c r="S16" s="310" t="str">
        <f>IFERROR(VLOOKUP(SMALL($R$3:$R$19,Parametros!O16),Parametros!$O$3:$P$19,2,FALSE),"X")</f>
        <v>X</v>
      </c>
      <c r="T16" s="288"/>
    </row>
    <row r="17" spans="1:20" x14ac:dyDescent="0.25">
      <c r="A17" s="42"/>
      <c r="B17" s="42"/>
      <c r="C17" s="42"/>
      <c r="G17" s="59"/>
      <c r="H17" s="59"/>
      <c r="I17" s="59"/>
      <c r="J17" s="59"/>
      <c r="K17" s="37"/>
      <c r="L17" s="59"/>
      <c r="O17" s="310">
        <v>15</v>
      </c>
      <c r="P17" s="310">
        <f>Registro!C17</f>
        <v>0</v>
      </c>
      <c r="Q17" s="310"/>
      <c r="R17" s="311">
        <f>IF(Parametros!P17=0,MAX(Parametros!$O$3:$O$19)+1,Parametros!O17)</f>
        <v>18</v>
      </c>
      <c r="S17" s="310" t="str">
        <f>IFERROR(VLOOKUP(SMALL($R$3:$R$19,Parametros!O17),Parametros!$O$3:$P$19,2,FALSE),"X")</f>
        <v>X</v>
      </c>
      <c r="T17" s="288"/>
    </row>
    <row r="18" spans="1:20" x14ac:dyDescent="0.25">
      <c r="A18" s="42"/>
      <c r="B18" s="42"/>
      <c r="C18" s="42"/>
      <c r="G18" s="59"/>
      <c r="H18" s="59"/>
      <c r="I18" s="59"/>
      <c r="J18" s="59"/>
      <c r="K18" s="37"/>
      <c r="L18" s="59"/>
      <c r="O18" s="310">
        <v>16</v>
      </c>
      <c r="P18" s="310">
        <f>Registro!C18</f>
        <v>0</v>
      </c>
      <c r="Q18" s="310"/>
      <c r="R18" s="311">
        <f>IF(Parametros!P18=0,MAX(Parametros!$O$3:$O$19)+1,Parametros!O18)</f>
        <v>18</v>
      </c>
      <c r="S18" s="310" t="str">
        <f>IFERROR(VLOOKUP(SMALL($R$3:$R$19,Parametros!O18),Parametros!$O$3:$P$19,2,FALSE),"X")</f>
        <v>X</v>
      </c>
      <c r="T18" s="288"/>
    </row>
    <row r="19" spans="1:20" x14ac:dyDescent="0.25">
      <c r="A19" s="42"/>
      <c r="B19" s="42"/>
      <c r="C19" s="42"/>
      <c r="G19" s="59"/>
      <c r="H19" s="59"/>
      <c r="I19" s="59"/>
      <c r="J19" s="59"/>
      <c r="K19" s="37"/>
      <c r="L19" s="59"/>
      <c r="O19" s="310">
        <v>17</v>
      </c>
      <c r="P19" s="310">
        <f>Registro!C19</f>
        <v>0</v>
      </c>
      <c r="Q19" s="310"/>
      <c r="R19" s="311">
        <f>IF(Parametros!P19=0,MAX(Parametros!$O$3:$O$19)+1,Parametros!O19)</f>
        <v>18</v>
      </c>
      <c r="S19" s="310" t="str">
        <f>IFERROR(VLOOKUP(SMALL($R$3:$R$19,Parametros!O19),Parametros!$O$3:$P$19,2,FALSE),"X")</f>
        <v>X</v>
      </c>
      <c r="T19" s="288"/>
    </row>
    <row r="20" spans="1:20" x14ac:dyDescent="0.25">
      <c r="A20" s="38"/>
      <c r="B20" s="38"/>
      <c r="C20" s="38"/>
      <c r="D20" s="38"/>
      <c r="E20" s="38"/>
      <c r="F20" s="38"/>
      <c r="G20" s="59"/>
      <c r="H20" s="59"/>
      <c r="I20" s="59"/>
      <c r="J20" s="59"/>
      <c r="K20" s="37"/>
      <c r="L20" s="59"/>
    </row>
    <row r="21" spans="1:20" ht="131.25" x14ac:dyDescent="0.25">
      <c r="A21" s="312" t="s">
        <v>3144</v>
      </c>
      <c r="B21" s="312" t="s">
        <v>3145</v>
      </c>
      <c r="C21" s="312" t="s">
        <v>3147</v>
      </c>
      <c r="D21" s="312" t="s">
        <v>3148</v>
      </c>
      <c r="E21" s="312" t="s">
        <v>3197</v>
      </c>
      <c r="F21" s="312" t="s">
        <v>3195</v>
      </c>
      <c r="G21" s="312" t="s">
        <v>2318</v>
      </c>
      <c r="H21" s="312" t="s">
        <v>2319</v>
      </c>
      <c r="I21" s="312" t="s">
        <v>2320</v>
      </c>
      <c r="J21" s="312" t="s">
        <v>2439</v>
      </c>
      <c r="K21" s="312" t="s">
        <v>2440</v>
      </c>
      <c r="L21" s="312" t="s">
        <v>2441</v>
      </c>
    </row>
    <row r="22" spans="1:20" ht="31.5" x14ac:dyDescent="0.25">
      <c r="A22" s="328" t="str">
        <f>VLOOKUP(Tabla5[[#This Row],[Acción
&lt;&lt; Seleccionar&gt;&gt;]],TablaAccion[[#All],[Nombre_Abreviado]:[Codigo_Plan_Acción]],3,0)</f>
        <v>K31.1</v>
      </c>
      <c r="B22" s="328" t="str">
        <f>VLOOKUP(Tabla5[[#This Row],[Acción Especifica
&lt;&lt; Seleccionar&gt;&gt;]],TablaAccionEspecifica[[#All],[Nombre_Abreviado]:[Codigo_Acción]],3,0)</f>
        <v>K31.1.2</v>
      </c>
      <c r="C22" s="328" t="str">
        <f>CONCATENATE(Tabla18[[#This Row],[Bus_02]],"_",Tabla5[[#This Row],[Sub Acción Específica
&lt;&lt; Seleccionar&gt;&gt;]])</f>
        <v>K31.1.2_Price</v>
      </c>
      <c r="D22" s="328" t="e">
        <f>VLOOKUP(Tabla18[[#This Row],[Aux_01]],TablaSubAccionEspecifica[[#All],[Concat]:[Cod_Sub_acción_especifica]],2,0)</f>
        <v>#N/A</v>
      </c>
      <c r="E22" s="328" t="e">
        <f>Tabla18[[#This Row],[Bus_03]]&amp;"_"&amp;Tabla5[[#This Row],[Tipo de Agente
&lt;&lt; Seleccionar&gt;&gt;]]</f>
        <v>#N/A</v>
      </c>
      <c r="F22" s="328" t="e">
        <f>VLOOKUP(Tabla18[[#This Row],[Concat2]],TablaPOA[[#All],[Concat]:[ConcatEspecial]],3,0)</f>
        <v>#N/A</v>
      </c>
      <c r="G22" s="65" t="str">
        <f>CONCATENATE(Registro!$A$6,"_",Tabla5[[#This Row],[Zona (Provincia)
&lt;&lt; Seleccionar&gt;&gt;]])</f>
        <v>Huánuco_01 Huánuco</v>
      </c>
      <c r="H22" s="60" t="str">
        <f>VLOOKUP(Tabla18[[#This Row],[Concatenado***]],Tabla2[[#All],[Concatenado]:[Simbología*]],2,0)</f>
        <v>LOC_85</v>
      </c>
      <c r="I22" s="65" t="str">
        <f>CONCATENATE(Tabla18[[#This Row],[Concatenado***]],"_",Tabla5[[#This Row],[Zona (Distrito)
&lt;&lt; Seleccionar&gt;&gt;]])</f>
        <v>Huánuco_01 Huánuco_01 Huánuco</v>
      </c>
      <c r="J22" s="70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1.7166666666666668</v>
      </c>
      <c r="K22" s="72">
        <f>VLOOKUP(Tabla5[[#This Row],[Tipo de Transporte Empleado
&lt;&lt; Seleccionar&gt;&gt;]],Tabla8[#All],2,0)</f>
        <v>0</v>
      </c>
      <c r="L22" s="71" t="e">
        <f>#REF!+(#REF!*2)+#REF!</f>
        <v>#REF!</v>
      </c>
    </row>
    <row r="23" spans="1:20" ht="31.5" x14ac:dyDescent="0.25">
      <c r="A23" s="328" t="e">
        <f>VLOOKUP(Tabla5[[#This Row],[Acción
&lt;&lt; Seleccionar&gt;&gt;]],TablaAccion[[#All],[Nombre_Abreviado]:[Codigo_Plan_Acción]],3,0)</f>
        <v>#N/A</v>
      </c>
      <c r="B23" s="328" t="e">
        <f>VLOOKUP(Tabla5[[#This Row],[Acción Especifica
&lt;&lt; Seleccionar&gt;&gt;]],TablaAccionEspecifica[[#All],[Nombre_Abreviado]:[Codigo_Acción]],3,0)</f>
        <v>#N/A</v>
      </c>
      <c r="C23" s="328" t="e">
        <f>CONCATENATE(Tabla18[[#This Row],[Bus_02]],"_",Tabla5[[#This Row],[Sub Acción Específica
&lt;&lt; Seleccionar&gt;&gt;]])</f>
        <v>#N/A</v>
      </c>
      <c r="D23" s="328" t="e">
        <f>VLOOKUP(Tabla18[[#This Row],[Aux_01]],TablaSubAccionEspecifica[[#All],[Concat]:[Cod_Sub_acción_especifica]],2,0)</f>
        <v>#N/A</v>
      </c>
      <c r="E23" s="328" t="e">
        <f>Tabla18[[#This Row],[Bus_03]]&amp;"_"&amp;Tabla5[[#This Row],[Tipo de Agente
&lt;&lt; Seleccionar&gt;&gt;]]</f>
        <v>#N/A</v>
      </c>
      <c r="F23" s="328" t="e">
        <f>VLOOKUP(Tabla18[[#This Row],[Concat2]],TablaPOA[[#All],[Concat]:[ConcatEspecial]],3,0)</f>
        <v>#N/A</v>
      </c>
      <c r="G23" s="65" t="str">
        <f>CONCATENATE(Registro!$A$6,"_",Tabla5[[#This Row],[Zona (Provincia)
&lt;&lt; Seleccionar&gt;&gt;]])</f>
        <v>Huánuco_</v>
      </c>
      <c r="H23" s="60" t="e">
        <f>VLOOKUP(Tabla18[[#This Row],[Concatenado***]],Tabla2[[#All],[Concatenado]:[Simbología*]],2,0)</f>
        <v>#N/A</v>
      </c>
      <c r="I23" s="65" t="str">
        <f>CONCATENATE(Tabla18[[#This Row],[Concatenado***]],"_",Tabla5[[#This Row],[Zona (Distrito)
&lt;&lt; Seleccionar&gt;&gt;]])</f>
        <v>Huánuco__</v>
      </c>
      <c r="J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" s="72" t="e">
        <f>VLOOKUP(Tabla5[[#This Row],[Tipo de Transporte Empleado
&lt;&lt; Seleccionar&gt;&gt;]],Tabla8[#All],2,0)</f>
        <v>#N/A</v>
      </c>
      <c r="L23" s="71" t="e">
        <f>#REF!+(#REF!*2)+#REF!</f>
        <v>#REF!</v>
      </c>
    </row>
    <row r="24" spans="1:20" ht="31.5" x14ac:dyDescent="0.25">
      <c r="A24" s="328" t="e">
        <f>VLOOKUP(Tabla5[[#This Row],[Acción
&lt;&lt; Seleccionar&gt;&gt;]],TablaAccion[[#All],[Nombre_Abreviado]:[Codigo_Plan_Acción]],3,0)</f>
        <v>#N/A</v>
      </c>
      <c r="B24" s="328" t="e">
        <f>VLOOKUP(Tabla5[[#This Row],[Acción Especifica
&lt;&lt; Seleccionar&gt;&gt;]],TablaAccionEspecifica[[#All],[Nombre_Abreviado]:[Codigo_Acción]],3,0)</f>
        <v>#N/A</v>
      </c>
      <c r="C24" s="328" t="e">
        <f>CONCATENATE(Tabla18[[#This Row],[Bus_02]],"_",Tabla5[[#This Row],[Sub Acción Específica
&lt;&lt; Seleccionar&gt;&gt;]])</f>
        <v>#N/A</v>
      </c>
      <c r="D24" s="328" t="e">
        <f>VLOOKUP(Tabla18[[#This Row],[Aux_01]],TablaSubAccionEspecifica[[#All],[Concat]:[Cod_Sub_acción_especifica]],2,0)</f>
        <v>#N/A</v>
      </c>
      <c r="E24" s="328" t="e">
        <f>Tabla18[[#This Row],[Bus_03]]&amp;"_"&amp;Tabla5[[#This Row],[Tipo de Agente
&lt;&lt; Seleccionar&gt;&gt;]]</f>
        <v>#N/A</v>
      </c>
      <c r="F24" s="328" t="e">
        <f>VLOOKUP(Tabla18[[#This Row],[Concat2]],TablaPOA[[#All],[Concat]:[ConcatEspecial]],3,0)</f>
        <v>#N/A</v>
      </c>
      <c r="G24" s="65" t="str">
        <f>CONCATENATE(Registro!$A$6,"_",Tabla5[[#This Row],[Zona (Provincia)
&lt;&lt; Seleccionar&gt;&gt;]])</f>
        <v>Huánuco_</v>
      </c>
      <c r="H24" s="60" t="e">
        <f>VLOOKUP(Tabla18[[#This Row],[Concatenado***]],Tabla2[[#All],[Concatenado]:[Simbología*]],2,0)</f>
        <v>#N/A</v>
      </c>
      <c r="I24" s="65" t="str">
        <f>CONCATENATE(Tabla18[[#This Row],[Concatenado***]],"_",Tabla5[[#This Row],[Zona (Distrito)
&lt;&lt; Seleccionar&gt;&gt;]])</f>
        <v>Huánuco__</v>
      </c>
      <c r="J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" s="72" t="e">
        <f>VLOOKUP(Tabla5[[#This Row],[Tipo de Transporte Empleado
&lt;&lt; Seleccionar&gt;&gt;]],Tabla8[#All],2,0)</f>
        <v>#N/A</v>
      </c>
      <c r="L24" s="71" t="e">
        <f>#REF!+(#REF!*2)+#REF!</f>
        <v>#REF!</v>
      </c>
    </row>
    <row r="25" spans="1:20" ht="31.5" x14ac:dyDescent="0.25">
      <c r="A25" s="328" t="e">
        <f>VLOOKUP(Tabla5[[#This Row],[Acción
&lt;&lt; Seleccionar&gt;&gt;]],TablaAccion[[#All],[Nombre_Abreviado]:[Codigo_Plan_Acción]],3,0)</f>
        <v>#N/A</v>
      </c>
      <c r="B25" s="328" t="e">
        <f>VLOOKUP(Tabla5[[#This Row],[Acción Especifica
&lt;&lt; Seleccionar&gt;&gt;]],TablaAccionEspecifica[[#All],[Nombre_Abreviado]:[Codigo_Acción]],3,0)</f>
        <v>#N/A</v>
      </c>
      <c r="C25" s="328" t="e">
        <f>CONCATENATE(Tabla18[[#This Row],[Bus_02]],"_",Tabla5[[#This Row],[Sub Acción Específica
&lt;&lt; Seleccionar&gt;&gt;]])</f>
        <v>#N/A</v>
      </c>
      <c r="D25" s="328" t="e">
        <f>VLOOKUP(Tabla18[[#This Row],[Aux_01]],TablaSubAccionEspecifica[[#All],[Concat]:[Cod_Sub_acción_especifica]],2,0)</f>
        <v>#N/A</v>
      </c>
      <c r="E25" s="328" t="e">
        <f>Tabla18[[#This Row],[Bus_03]]&amp;"_"&amp;Tabla5[[#This Row],[Tipo de Agente
&lt;&lt; Seleccionar&gt;&gt;]]</f>
        <v>#N/A</v>
      </c>
      <c r="F25" s="328" t="e">
        <f>VLOOKUP(Tabla18[[#This Row],[Concat2]],TablaPOA[[#All],[Concat]:[ConcatEspecial]],3,0)</f>
        <v>#N/A</v>
      </c>
      <c r="G25" s="65" t="str">
        <f>CONCATENATE(Registro!$A$6,"_",Tabla5[[#This Row],[Zona (Provincia)
&lt;&lt; Seleccionar&gt;&gt;]])</f>
        <v>Huánuco_</v>
      </c>
      <c r="H25" s="60" t="e">
        <f>VLOOKUP(Tabla18[[#This Row],[Concatenado***]],Tabla2[[#All],[Concatenado]:[Simbología*]],2,0)</f>
        <v>#N/A</v>
      </c>
      <c r="I25" s="65" t="str">
        <f>CONCATENATE(Tabla18[[#This Row],[Concatenado***]],"_",Tabla5[[#This Row],[Zona (Distrito)
&lt;&lt; Seleccionar&gt;&gt;]])</f>
        <v>Huánuco__</v>
      </c>
      <c r="J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" s="72" t="e">
        <f>VLOOKUP(Tabla5[[#This Row],[Tipo de Transporte Empleado
&lt;&lt; Seleccionar&gt;&gt;]],Tabla8[#All],2,0)</f>
        <v>#N/A</v>
      </c>
      <c r="L25" s="71" t="e">
        <f>#REF!+(#REF!*2)+#REF!</f>
        <v>#REF!</v>
      </c>
    </row>
    <row r="26" spans="1:20" x14ac:dyDescent="0.25">
      <c r="A26" s="328" t="e">
        <f>VLOOKUP(Tabla5[[#This Row],[Acción
&lt;&lt; Seleccionar&gt;&gt;]],TablaAccion[[#All],[Nombre_Abreviado]:[Codigo_Plan_Acción]],3,0)</f>
        <v>#N/A</v>
      </c>
      <c r="B26" s="328" t="e">
        <f>VLOOKUP(Tabla5[[#This Row],[Acción Especifica
&lt;&lt; Seleccionar&gt;&gt;]],TablaAccionEspecifica[[#All],[Nombre_Abreviado]:[Codigo_Acción]],3,0)</f>
        <v>#N/A</v>
      </c>
      <c r="C26" s="328" t="e">
        <f>CONCATENATE(Tabla18[[#This Row],[Bus_02]],"_",Tabla5[[#This Row],[Sub Acción Específica
&lt;&lt; Seleccionar&gt;&gt;]])</f>
        <v>#N/A</v>
      </c>
      <c r="D26" s="328" t="e">
        <f>VLOOKUP(Tabla18[[#This Row],[Aux_01]],TablaSubAccionEspecifica[[#All],[Concat]:[Cod_Sub_acción_especifica]],2,0)</f>
        <v>#N/A</v>
      </c>
      <c r="E26" s="328" t="e">
        <f>Tabla18[[#This Row],[Bus_03]]&amp;"_"&amp;Tabla5[[#This Row],[Tipo de Agente
&lt;&lt; Seleccionar&gt;&gt;]]</f>
        <v>#N/A</v>
      </c>
      <c r="F26" s="328" t="e">
        <f>VLOOKUP(Tabla18[[#This Row],[Concat2]],TablaPOA[[#All],[Concat]:[ConcatEspecial]],3,0)</f>
        <v>#N/A</v>
      </c>
      <c r="G26" s="65" t="str">
        <f>CONCATENATE(Registro!$A$6,"_",Tabla5[[#This Row],[Zona (Provincia)
&lt;&lt; Seleccionar&gt;&gt;]])</f>
        <v>Huánuco_</v>
      </c>
      <c r="H26" s="60" t="e">
        <f>VLOOKUP(Tabla18[[#This Row],[Concatenado***]],Tabla2[[#All],[Concatenado]:[Simbología*]],2,0)</f>
        <v>#N/A</v>
      </c>
      <c r="I26" s="65" t="str">
        <f>CONCATENATE(Tabla18[[#This Row],[Concatenado***]],"_",Tabla5[[#This Row],[Zona (Distrito)
&lt;&lt; Seleccionar&gt;&gt;]])</f>
        <v>Huánuco__</v>
      </c>
      <c r="J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" s="72" t="e">
        <f>VLOOKUP(Tabla5[[#This Row],[Tipo de Transporte Empleado
&lt;&lt; Seleccionar&gt;&gt;]],Tabla8[#All],2,0)</f>
        <v>#N/A</v>
      </c>
      <c r="L26" s="71" t="e">
        <f>#REF!+(#REF!*2)+#REF!</f>
        <v>#REF!</v>
      </c>
    </row>
    <row r="27" spans="1:20" ht="31.5" x14ac:dyDescent="0.25">
      <c r="A27" s="328" t="e">
        <f>VLOOKUP(Tabla5[[#This Row],[Acción
&lt;&lt; Seleccionar&gt;&gt;]],TablaAccion[[#All],[Nombre_Abreviado]:[Codigo_Plan_Acción]],3,0)</f>
        <v>#N/A</v>
      </c>
      <c r="B27" s="328" t="e">
        <f>VLOOKUP(Tabla5[[#This Row],[Acción Especifica
&lt;&lt; Seleccionar&gt;&gt;]],TablaAccionEspecifica[[#All],[Nombre_Abreviado]:[Codigo_Acción]],3,0)</f>
        <v>#N/A</v>
      </c>
      <c r="C27" s="328" t="e">
        <f>CONCATENATE(Tabla18[[#This Row],[Bus_02]],"_",Tabla5[[#This Row],[Sub Acción Específica
&lt;&lt; Seleccionar&gt;&gt;]])</f>
        <v>#N/A</v>
      </c>
      <c r="D27" s="328" t="e">
        <f>VLOOKUP(Tabla18[[#This Row],[Aux_01]],TablaSubAccionEspecifica[[#All],[Concat]:[Cod_Sub_acción_especifica]],2,0)</f>
        <v>#N/A</v>
      </c>
      <c r="E27" s="328" t="e">
        <f>Tabla18[[#This Row],[Bus_03]]&amp;"_"&amp;Tabla5[[#This Row],[Tipo de Agente
&lt;&lt; Seleccionar&gt;&gt;]]</f>
        <v>#N/A</v>
      </c>
      <c r="F27" s="328" t="e">
        <f>VLOOKUP(Tabla18[[#This Row],[Concat2]],TablaPOA[[#All],[Concat]:[ConcatEspecial]],3,0)</f>
        <v>#N/A</v>
      </c>
      <c r="G27" s="65" t="str">
        <f>CONCATENATE(Registro!$A$6,"_",Tabla5[[#This Row],[Zona (Provincia)
&lt;&lt; Seleccionar&gt;&gt;]])</f>
        <v>Huánuco_</v>
      </c>
      <c r="H27" s="60" t="e">
        <f>VLOOKUP(Tabla18[[#This Row],[Concatenado***]],Tabla2[[#All],[Concatenado]:[Simbología*]],2,0)</f>
        <v>#N/A</v>
      </c>
      <c r="I27" s="65" t="str">
        <f>CONCATENATE(Tabla18[[#This Row],[Concatenado***]],"_",Tabla5[[#This Row],[Zona (Distrito)
&lt;&lt; Seleccionar&gt;&gt;]])</f>
        <v>Huánuco__</v>
      </c>
      <c r="J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" s="72" t="e">
        <f>VLOOKUP(Tabla5[[#This Row],[Tipo de Transporte Empleado
&lt;&lt; Seleccionar&gt;&gt;]],Tabla8[#All],2,0)</f>
        <v>#N/A</v>
      </c>
      <c r="L27" s="71" t="e">
        <f>#REF!+(#REF!*2)+#REF!</f>
        <v>#REF!</v>
      </c>
    </row>
    <row r="28" spans="1:20" x14ac:dyDescent="0.25">
      <c r="A28" s="328" t="e">
        <f>VLOOKUP(Tabla5[[#This Row],[Acción
&lt;&lt; Seleccionar&gt;&gt;]],TablaAccion[[#All],[Nombre_Abreviado]:[Codigo_Plan_Acción]],3,0)</f>
        <v>#N/A</v>
      </c>
      <c r="B28" s="328" t="e">
        <f>VLOOKUP(Tabla5[[#This Row],[Acción Especifica
&lt;&lt; Seleccionar&gt;&gt;]],TablaAccionEspecifica[[#All],[Nombre_Abreviado]:[Codigo_Acción]],3,0)</f>
        <v>#N/A</v>
      </c>
      <c r="C28" s="328" t="e">
        <f>CONCATENATE(Tabla18[[#This Row],[Bus_02]],"_",Tabla5[[#This Row],[Sub Acción Específica
&lt;&lt; Seleccionar&gt;&gt;]])</f>
        <v>#N/A</v>
      </c>
      <c r="D28" s="328" t="e">
        <f>VLOOKUP(Tabla18[[#This Row],[Aux_01]],TablaSubAccionEspecifica[[#All],[Concat]:[Cod_Sub_acción_especifica]],2,0)</f>
        <v>#N/A</v>
      </c>
      <c r="E28" s="328" t="e">
        <f>Tabla18[[#This Row],[Bus_03]]&amp;"_"&amp;Tabla5[[#This Row],[Tipo de Agente
&lt;&lt; Seleccionar&gt;&gt;]]</f>
        <v>#N/A</v>
      </c>
      <c r="F28" s="328" t="e">
        <f>VLOOKUP(Tabla18[[#This Row],[Concat2]],TablaPOA[[#All],[Concat]:[ConcatEspecial]],3,0)</f>
        <v>#N/A</v>
      </c>
      <c r="G28" s="65" t="str">
        <f>CONCATENATE(Registro!$A$6,"_",Tabla5[[#This Row],[Zona (Provincia)
&lt;&lt; Seleccionar&gt;&gt;]])</f>
        <v>Huánuco_</v>
      </c>
      <c r="H28" s="60" t="e">
        <f>VLOOKUP(Tabla18[[#This Row],[Concatenado***]],Tabla2[[#All],[Concatenado]:[Simbología*]],2,0)</f>
        <v>#N/A</v>
      </c>
      <c r="I28" s="65" t="str">
        <f>CONCATENATE(Tabla18[[#This Row],[Concatenado***]],"_",Tabla5[[#This Row],[Zona (Distrito)
&lt;&lt; Seleccionar&gt;&gt;]])</f>
        <v>Huánuco__</v>
      </c>
      <c r="J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" s="72" t="e">
        <f>VLOOKUP(Tabla5[[#This Row],[Tipo de Transporte Empleado
&lt;&lt; Seleccionar&gt;&gt;]],Tabla8[#All],2,0)</f>
        <v>#N/A</v>
      </c>
      <c r="L28" s="71" t="e">
        <f>#REF!+(#REF!*2)+#REF!</f>
        <v>#REF!</v>
      </c>
    </row>
    <row r="29" spans="1:20" x14ac:dyDescent="0.25">
      <c r="A29" s="328" t="e">
        <f>VLOOKUP(Tabla5[[#This Row],[Acción
&lt;&lt; Seleccionar&gt;&gt;]],TablaAccion[[#All],[Nombre_Abreviado]:[Codigo_Plan_Acción]],3,0)</f>
        <v>#N/A</v>
      </c>
      <c r="B29" s="328" t="e">
        <f>VLOOKUP(Tabla5[[#This Row],[Acción Especifica
&lt;&lt; Seleccionar&gt;&gt;]],TablaAccionEspecifica[[#All],[Nombre_Abreviado]:[Codigo_Acción]],3,0)</f>
        <v>#N/A</v>
      </c>
      <c r="C29" s="328" t="e">
        <f>CONCATENATE(Tabla18[[#This Row],[Bus_02]],"_",Tabla5[[#This Row],[Sub Acción Específica
&lt;&lt; Seleccionar&gt;&gt;]])</f>
        <v>#N/A</v>
      </c>
      <c r="D29" s="328" t="e">
        <f>VLOOKUP(Tabla18[[#This Row],[Aux_01]],TablaSubAccionEspecifica[[#All],[Concat]:[Cod_Sub_acción_especifica]],2,0)</f>
        <v>#N/A</v>
      </c>
      <c r="E29" s="328" t="e">
        <f>Tabla18[[#This Row],[Bus_03]]&amp;"_"&amp;Tabla5[[#This Row],[Tipo de Agente
&lt;&lt; Seleccionar&gt;&gt;]]</f>
        <v>#N/A</v>
      </c>
      <c r="F29" s="328" t="e">
        <f>VLOOKUP(Tabla18[[#This Row],[Concat2]],TablaPOA[[#All],[Concat]:[ConcatEspecial]],3,0)</f>
        <v>#N/A</v>
      </c>
      <c r="G29" s="65" t="str">
        <f>CONCATENATE(Registro!$A$6,"_",Tabla5[[#This Row],[Zona (Provincia)
&lt;&lt; Seleccionar&gt;&gt;]])</f>
        <v>Huánuco_</v>
      </c>
      <c r="H29" s="60" t="e">
        <f>VLOOKUP(Tabla18[[#This Row],[Concatenado***]],Tabla2[[#All],[Concatenado]:[Simbología*]],2,0)</f>
        <v>#N/A</v>
      </c>
      <c r="I29" s="65" t="str">
        <f>CONCATENATE(Tabla18[[#This Row],[Concatenado***]],"_",Tabla5[[#This Row],[Zona (Distrito)
&lt;&lt; Seleccionar&gt;&gt;]])</f>
        <v>Huánuco__</v>
      </c>
      <c r="J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" s="72" t="e">
        <f>VLOOKUP(Tabla5[[#This Row],[Tipo de Transporte Empleado
&lt;&lt; Seleccionar&gt;&gt;]],Tabla8[#All],2,0)</f>
        <v>#N/A</v>
      </c>
      <c r="L29" s="71" t="e">
        <f>#REF!+(#REF!*2)+#REF!</f>
        <v>#REF!</v>
      </c>
    </row>
    <row r="30" spans="1:20" x14ac:dyDescent="0.25">
      <c r="A30" s="328" t="e">
        <f>VLOOKUP(Tabla5[[#This Row],[Acción
&lt;&lt; Seleccionar&gt;&gt;]],TablaAccion[[#All],[Nombre_Abreviado]:[Codigo_Plan_Acción]],3,0)</f>
        <v>#N/A</v>
      </c>
      <c r="B30" s="328" t="e">
        <f>VLOOKUP(Tabla5[[#This Row],[Acción Especifica
&lt;&lt; Seleccionar&gt;&gt;]],TablaAccionEspecifica[[#All],[Nombre_Abreviado]:[Codigo_Acción]],3,0)</f>
        <v>#N/A</v>
      </c>
      <c r="C30" s="328" t="e">
        <f>CONCATENATE(Tabla18[[#This Row],[Bus_02]],"_",Tabla5[[#This Row],[Sub Acción Específica
&lt;&lt; Seleccionar&gt;&gt;]])</f>
        <v>#N/A</v>
      </c>
      <c r="D30" s="328" t="e">
        <f>VLOOKUP(Tabla18[[#This Row],[Aux_01]],TablaSubAccionEspecifica[[#All],[Concat]:[Cod_Sub_acción_especifica]],2,0)</f>
        <v>#N/A</v>
      </c>
      <c r="E30" s="328" t="e">
        <f>Tabla18[[#This Row],[Bus_03]]&amp;"_"&amp;Tabla5[[#This Row],[Tipo de Agente
&lt;&lt; Seleccionar&gt;&gt;]]</f>
        <v>#N/A</v>
      </c>
      <c r="F30" s="328" t="e">
        <f>VLOOKUP(Tabla18[[#This Row],[Concat2]],TablaPOA[[#All],[Concat]:[ConcatEspecial]],3,0)</f>
        <v>#N/A</v>
      </c>
      <c r="G30" s="65" t="str">
        <f>CONCATENATE(Registro!$A$6,"_",Tabla5[[#This Row],[Zona (Provincia)
&lt;&lt; Seleccionar&gt;&gt;]])</f>
        <v>Huánuco_</v>
      </c>
      <c r="H30" s="60" t="e">
        <f>VLOOKUP(Tabla18[[#This Row],[Concatenado***]],Tabla2[[#All],[Concatenado]:[Simbología*]],2,0)</f>
        <v>#N/A</v>
      </c>
      <c r="I30" s="65" t="str">
        <f>CONCATENATE(Tabla18[[#This Row],[Concatenado***]],"_",Tabla5[[#This Row],[Zona (Distrito)
&lt;&lt; Seleccionar&gt;&gt;]])</f>
        <v>Huánuco__</v>
      </c>
      <c r="J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" s="72" t="e">
        <f>VLOOKUP(Tabla5[[#This Row],[Tipo de Transporte Empleado
&lt;&lt; Seleccionar&gt;&gt;]],Tabla8[#All],2,0)</f>
        <v>#N/A</v>
      </c>
      <c r="L30" s="71" t="e">
        <f>#REF!+(#REF!*2)+#REF!</f>
        <v>#REF!</v>
      </c>
    </row>
    <row r="31" spans="1:20" x14ac:dyDescent="0.25">
      <c r="A31" s="328" t="e">
        <f>VLOOKUP(Tabla5[[#This Row],[Acción
&lt;&lt; Seleccionar&gt;&gt;]],TablaAccion[[#All],[Nombre_Abreviado]:[Codigo_Plan_Acción]],3,0)</f>
        <v>#N/A</v>
      </c>
      <c r="B31" s="328" t="e">
        <f>VLOOKUP(Tabla5[[#This Row],[Acción Especifica
&lt;&lt; Seleccionar&gt;&gt;]],TablaAccionEspecifica[[#All],[Nombre_Abreviado]:[Codigo_Acción]],3,0)</f>
        <v>#N/A</v>
      </c>
      <c r="C31" s="328" t="e">
        <f>CONCATENATE(Tabla18[[#This Row],[Bus_02]],"_",Tabla5[[#This Row],[Sub Acción Específica
&lt;&lt; Seleccionar&gt;&gt;]])</f>
        <v>#N/A</v>
      </c>
      <c r="D31" s="328" t="e">
        <f>VLOOKUP(Tabla18[[#This Row],[Aux_01]],TablaSubAccionEspecifica[[#All],[Concat]:[Cod_Sub_acción_especifica]],2,0)</f>
        <v>#N/A</v>
      </c>
      <c r="E31" s="328" t="e">
        <f>Tabla18[[#This Row],[Bus_03]]&amp;"_"&amp;Tabla5[[#This Row],[Tipo de Agente
&lt;&lt; Seleccionar&gt;&gt;]]</f>
        <v>#N/A</v>
      </c>
      <c r="F31" s="328" t="e">
        <f>VLOOKUP(Tabla18[[#This Row],[Concat2]],TablaPOA[[#All],[Concat]:[ConcatEspecial]],3,0)</f>
        <v>#N/A</v>
      </c>
      <c r="G31" s="65" t="str">
        <f>CONCATENATE(Registro!$A$6,"_",Tabla5[[#This Row],[Zona (Provincia)
&lt;&lt; Seleccionar&gt;&gt;]])</f>
        <v>Huánuco_</v>
      </c>
      <c r="H31" s="60" t="e">
        <f>VLOOKUP(Tabla18[[#This Row],[Concatenado***]],Tabla2[[#All],[Concatenado]:[Simbología*]],2,0)</f>
        <v>#N/A</v>
      </c>
      <c r="I31" s="65" t="str">
        <f>CONCATENATE(Tabla18[[#This Row],[Concatenado***]],"_",Tabla5[[#This Row],[Zona (Distrito)
&lt;&lt; Seleccionar&gt;&gt;]])</f>
        <v>Huánuco__</v>
      </c>
      <c r="J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" s="72" t="e">
        <f>VLOOKUP(Tabla5[[#This Row],[Tipo de Transporte Empleado
&lt;&lt; Seleccionar&gt;&gt;]],Tabla8[#All],2,0)</f>
        <v>#N/A</v>
      </c>
      <c r="L31" s="71" t="e">
        <f>#REF!+(#REF!*2)+#REF!</f>
        <v>#REF!</v>
      </c>
    </row>
    <row r="32" spans="1:20" x14ac:dyDescent="0.25">
      <c r="A32" s="328" t="e">
        <f>VLOOKUP(Tabla5[[#This Row],[Acción
&lt;&lt; Seleccionar&gt;&gt;]],TablaAccion[[#All],[Nombre_Abreviado]:[Codigo_Plan_Acción]],3,0)</f>
        <v>#N/A</v>
      </c>
      <c r="B32" s="328" t="e">
        <f>VLOOKUP(Tabla5[[#This Row],[Acción Especifica
&lt;&lt; Seleccionar&gt;&gt;]],TablaAccionEspecifica[[#All],[Nombre_Abreviado]:[Codigo_Acción]],3,0)</f>
        <v>#N/A</v>
      </c>
      <c r="C32" s="328" t="e">
        <f>CONCATENATE(Tabla18[[#This Row],[Bus_02]],"_",Tabla5[[#This Row],[Sub Acción Específica
&lt;&lt; Seleccionar&gt;&gt;]])</f>
        <v>#N/A</v>
      </c>
      <c r="D32" s="328" t="e">
        <f>VLOOKUP(Tabla18[[#This Row],[Aux_01]],TablaSubAccionEspecifica[[#All],[Concat]:[Cod_Sub_acción_especifica]],2,0)</f>
        <v>#N/A</v>
      </c>
      <c r="E32" s="328" t="e">
        <f>Tabla18[[#This Row],[Bus_03]]&amp;"_"&amp;Tabla5[[#This Row],[Tipo de Agente
&lt;&lt; Seleccionar&gt;&gt;]]</f>
        <v>#N/A</v>
      </c>
      <c r="F32" s="328" t="e">
        <f>VLOOKUP(Tabla18[[#This Row],[Concat2]],TablaPOA[[#All],[Concat]:[ConcatEspecial]],3,0)</f>
        <v>#N/A</v>
      </c>
      <c r="G32" s="65" t="str">
        <f>CONCATENATE(Registro!$A$6,"_",Tabla5[[#This Row],[Zona (Provincia)
&lt;&lt; Seleccionar&gt;&gt;]])</f>
        <v>Huánuco_</v>
      </c>
      <c r="H32" s="60" t="e">
        <f>VLOOKUP(Tabla18[[#This Row],[Concatenado***]],Tabla2[[#All],[Concatenado]:[Simbología*]],2,0)</f>
        <v>#N/A</v>
      </c>
      <c r="I32" s="65" t="str">
        <f>CONCATENATE(Tabla18[[#This Row],[Concatenado***]],"_",Tabla5[[#This Row],[Zona (Distrito)
&lt;&lt; Seleccionar&gt;&gt;]])</f>
        <v>Huánuco__</v>
      </c>
      <c r="J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" s="72" t="e">
        <f>VLOOKUP(Tabla5[[#This Row],[Tipo de Transporte Empleado
&lt;&lt; Seleccionar&gt;&gt;]],Tabla8[#All],2,0)</f>
        <v>#N/A</v>
      </c>
      <c r="L32" s="71" t="e">
        <f>#REF!+(#REF!*2)+#REF!</f>
        <v>#REF!</v>
      </c>
    </row>
    <row r="33" spans="1:12" x14ac:dyDescent="0.25">
      <c r="A33" s="328" t="e">
        <f>VLOOKUP(Tabla5[[#This Row],[Acción
&lt;&lt; Seleccionar&gt;&gt;]],TablaAccion[[#All],[Nombre_Abreviado]:[Codigo_Plan_Acción]],3,0)</f>
        <v>#N/A</v>
      </c>
      <c r="B33" s="328" t="e">
        <f>VLOOKUP(Tabla5[[#This Row],[Acción Especifica
&lt;&lt; Seleccionar&gt;&gt;]],TablaAccionEspecifica[[#All],[Nombre_Abreviado]:[Codigo_Acción]],3,0)</f>
        <v>#N/A</v>
      </c>
      <c r="C33" s="328" t="e">
        <f>CONCATENATE(Tabla18[[#This Row],[Bus_02]],"_",Tabla5[[#This Row],[Sub Acción Específica
&lt;&lt; Seleccionar&gt;&gt;]])</f>
        <v>#N/A</v>
      </c>
      <c r="D33" s="328" t="e">
        <f>VLOOKUP(Tabla18[[#This Row],[Aux_01]],TablaSubAccionEspecifica[[#All],[Concat]:[Cod_Sub_acción_especifica]],2,0)</f>
        <v>#N/A</v>
      </c>
      <c r="E33" s="328" t="e">
        <f>Tabla18[[#This Row],[Bus_03]]&amp;"_"&amp;Tabla5[[#This Row],[Tipo de Agente
&lt;&lt; Seleccionar&gt;&gt;]]</f>
        <v>#N/A</v>
      </c>
      <c r="F33" s="328" t="e">
        <f>VLOOKUP(Tabla18[[#This Row],[Concat2]],TablaPOA[[#All],[Concat]:[ConcatEspecial]],3,0)</f>
        <v>#N/A</v>
      </c>
      <c r="G33" s="65" t="str">
        <f>CONCATENATE(Registro!$A$6,"_",Tabla5[[#This Row],[Zona (Provincia)
&lt;&lt; Seleccionar&gt;&gt;]])</f>
        <v>Huánuco_</v>
      </c>
      <c r="H33" s="60" t="e">
        <f>VLOOKUP(Tabla18[[#This Row],[Concatenado***]],Tabla2[[#All],[Concatenado]:[Simbología*]],2,0)</f>
        <v>#N/A</v>
      </c>
      <c r="I33" s="65" t="str">
        <f>CONCATENATE(Tabla18[[#This Row],[Concatenado***]],"_",Tabla5[[#This Row],[Zona (Distrito)
&lt;&lt; Seleccionar&gt;&gt;]])</f>
        <v>Huánuco__</v>
      </c>
      <c r="J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" s="72" t="e">
        <f>VLOOKUP(Tabla5[[#This Row],[Tipo de Transporte Empleado
&lt;&lt; Seleccionar&gt;&gt;]],Tabla8[#All],2,0)</f>
        <v>#N/A</v>
      </c>
      <c r="L33" s="71" t="e">
        <f>#REF!+(#REF!*2)+#REF!</f>
        <v>#REF!</v>
      </c>
    </row>
    <row r="34" spans="1:12" x14ac:dyDescent="0.25">
      <c r="A34" s="328" t="e">
        <f>VLOOKUP(Tabla5[[#This Row],[Acción
&lt;&lt; Seleccionar&gt;&gt;]],TablaAccion[[#All],[Nombre_Abreviado]:[Codigo_Plan_Acción]],3,0)</f>
        <v>#N/A</v>
      </c>
      <c r="B34" s="328" t="e">
        <f>VLOOKUP(Tabla5[[#This Row],[Acción Especifica
&lt;&lt; Seleccionar&gt;&gt;]],TablaAccionEspecifica[[#All],[Nombre_Abreviado]:[Codigo_Acción]],3,0)</f>
        <v>#N/A</v>
      </c>
      <c r="C34" s="328" t="e">
        <f>CONCATENATE(Tabla18[[#This Row],[Bus_02]],"_",Tabla5[[#This Row],[Sub Acción Específica
&lt;&lt; Seleccionar&gt;&gt;]])</f>
        <v>#N/A</v>
      </c>
      <c r="D34" s="328" t="e">
        <f>VLOOKUP(Tabla18[[#This Row],[Aux_01]],TablaSubAccionEspecifica[[#All],[Concat]:[Cod_Sub_acción_especifica]],2,0)</f>
        <v>#N/A</v>
      </c>
      <c r="E34" s="328" t="e">
        <f>Tabla18[[#This Row],[Bus_03]]&amp;"_"&amp;Tabla5[[#This Row],[Tipo de Agente
&lt;&lt; Seleccionar&gt;&gt;]]</f>
        <v>#N/A</v>
      </c>
      <c r="F34" s="328" t="e">
        <f>VLOOKUP(Tabla18[[#This Row],[Concat2]],TablaPOA[[#All],[Concat]:[ConcatEspecial]],3,0)</f>
        <v>#N/A</v>
      </c>
      <c r="G34" s="65" t="str">
        <f>CONCATENATE(Registro!$A$6,"_",Tabla5[[#This Row],[Zona (Provincia)
&lt;&lt; Seleccionar&gt;&gt;]])</f>
        <v>Huánuco_</v>
      </c>
      <c r="H34" s="60" t="e">
        <f>VLOOKUP(Tabla18[[#This Row],[Concatenado***]],Tabla2[[#All],[Concatenado]:[Simbología*]],2,0)</f>
        <v>#N/A</v>
      </c>
      <c r="I34" s="65" t="str">
        <f>CONCATENATE(Tabla18[[#This Row],[Concatenado***]],"_",Tabla5[[#This Row],[Zona (Distrito)
&lt;&lt; Seleccionar&gt;&gt;]])</f>
        <v>Huánuco__</v>
      </c>
      <c r="J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" s="72" t="e">
        <f>VLOOKUP(Tabla5[[#This Row],[Tipo de Transporte Empleado
&lt;&lt; Seleccionar&gt;&gt;]],Tabla8[#All],2,0)</f>
        <v>#N/A</v>
      </c>
      <c r="L34" s="71" t="e">
        <f>#REF!+(#REF!*2)+#REF!</f>
        <v>#REF!</v>
      </c>
    </row>
    <row r="35" spans="1:12" x14ac:dyDescent="0.25">
      <c r="A35" s="328" t="e">
        <f>VLOOKUP(Tabla5[[#This Row],[Acción
&lt;&lt; Seleccionar&gt;&gt;]],TablaAccion[[#All],[Nombre_Abreviado]:[Codigo_Plan_Acción]],3,0)</f>
        <v>#N/A</v>
      </c>
      <c r="B35" s="328" t="e">
        <f>VLOOKUP(Tabla5[[#This Row],[Acción Especifica
&lt;&lt; Seleccionar&gt;&gt;]],TablaAccionEspecifica[[#All],[Nombre_Abreviado]:[Codigo_Acción]],3,0)</f>
        <v>#N/A</v>
      </c>
      <c r="C35" s="328" t="e">
        <f>CONCATENATE(Tabla18[[#This Row],[Bus_02]],"_",Tabla5[[#This Row],[Sub Acción Específica
&lt;&lt; Seleccionar&gt;&gt;]])</f>
        <v>#N/A</v>
      </c>
      <c r="D35" s="328" t="e">
        <f>VLOOKUP(Tabla18[[#This Row],[Aux_01]],TablaSubAccionEspecifica[[#All],[Concat]:[Cod_Sub_acción_especifica]],2,0)</f>
        <v>#N/A</v>
      </c>
      <c r="E35" s="328" t="e">
        <f>Tabla18[[#This Row],[Bus_03]]&amp;"_"&amp;Tabla5[[#This Row],[Tipo de Agente
&lt;&lt; Seleccionar&gt;&gt;]]</f>
        <v>#N/A</v>
      </c>
      <c r="F35" s="328" t="e">
        <f>VLOOKUP(Tabla18[[#This Row],[Concat2]],TablaPOA[[#All],[Concat]:[ConcatEspecial]],3,0)</f>
        <v>#N/A</v>
      </c>
      <c r="G35" s="65" t="str">
        <f>CONCATENATE(Registro!$A$6,"_",Tabla5[[#This Row],[Zona (Provincia)
&lt;&lt; Seleccionar&gt;&gt;]])</f>
        <v>Huánuco_</v>
      </c>
      <c r="H35" s="60" t="e">
        <f>VLOOKUP(Tabla18[[#This Row],[Concatenado***]],Tabla2[[#All],[Concatenado]:[Simbología*]],2,0)</f>
        <v>#N/A</v>
      </c>
      <c r="I35" s="65" t="str">
        <f>CONCATENATE(Tabla18[[#This Row],[Concatenado***]],"_",Tabla5[[#This Row],[Zona (Distrito)
&lt;&lt; Seleccionar&gt;&gt;]])</f>
        <v>Huánuco__</v>
      </c>
      <c r="J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" s="72" t="e">
        <f>VLOOKUP(Tabla5[[#This Row],[Tipo de Transporte Empleado
&lt;&lt; Seleccionar&gt;&gt;]],Tabla8[#All],2,0)</f>
        <v>#N/A</v>
      </c>
      <c r="L35" s="71" t="e">
        <f>#REF!+(#REF!*2)+#REF!</f>
        <v>#REF!</v>
      </c>
    </row>
    <row r="36" spans="1:12" x14ac:dyDescent="0.25">
      <c r="A36" s="328" t="e">
        <f>VLOOKUP(Tabla5[[#This Row],[Acción
&lt;&lt; Seleccionar&gt;&gt;]],TablaAccion[[#All],[Nombre_Abreviado]:[Codigo_Plan_Acción]],3,0)</f>
        <v>#N/A</v>
      </c>
      <c r="B36" s="328" t="e">
        <f>VLOOKUP(Tabla5[[#This Row],[Acción Especifica
&lt;&lt; Seleccionar&gt;&gt;]],TablaAccionEspecifica[[#All],[Nombre_Abreviado]:[Codigo_Acción]],3,0)</f>
        <v>#N/A</v>
      </c>
      <c r="C36" s="328" t="e">
        <f>CONCATENATE(Tabla18[[#This Row],[Bus_02]],"_",Tabla5[[#This Row],[Sub Acción Específica
&lt;&lt; Seleccionar&gt;&gt;]])</f>
        <v>#N/A</v>
      </c>
      <c r="D36" s="328" t="e">
        <f>VLOOKUP(Tabla18[[#This Row],[Aux_01]],TablaSubAccionEspecifica[[#All],[Concat]:[Cod_Sub_acción_especifica]],2,0)</f>
        <v>#N/A</v>
      </c>
      <c r="E36" s="328" t="e">
        <f>Tabla18[[#This Row],[Bus_03]]&amp;"_"&amp;Tabla5[[#This Row],[Tipo de Agente
&lt;&lt; Seleccionar&gt;&gt;]]</f>
        <v>#N/A</v>
      </c>
      <c r="F36" s="328" t="e">
        <f>VLOOKUP(Tabla18[[#This Row],[Concat2]],TablaPOA[[#All],[Concat]:[ConcatEspecial]],3,0)</f>
        <v>#N/A</v>
      </c>
      <c r="G36" s="65" t="str">
        <f>CONCATENATE(Registro!$A$6,"_",Tabla5[[#This Row],[Zona (Provincia)
&lt;&lt; Seleccionar&gt;&gt;]])</f>
        <v>Huánuco_</v>
      </c>
      <c r="H36" s="60" t="e">
        <f>VLOOKUP(Tabla18[[#This Row],[Concatenado***]],Tabla2[[#All],[Concatenado]:[Simbología*]],2,0)</f>
        <v>#N/A</v>
      </c>
      <c r="I36" s="65" t="str">
        <f>CONCATENATE(Tabla18[[#This Row],[Concatenado***]],"_",Tabla5[[#This Row],[Zona (Distrito)
&lt;&lt; Seleccionar&gt;&gt;]])</f>
        <v>Huánuco__</v>
      </c>
      <c r="J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" s="72" t="e">
        <f>VLOOKUP(Tabla5[[#This Row],[Tipo de Transporte Empleado
&lt;&lt; Seleccionar&gt;&gt;]],Tabla8[#All],2,0)</f>
        <v>#N/A</v>
      </c>
      <c r="L36" s="71" t="e">
        <f>#REF!+(#REF!*2)+#REF!</f>
        <v>#REF!</v>
      </c>
    </row>
    <row r="37" spans="1:12" x14ac:dyDescent="0.25">
      <c r="A37" s="328" t="e">
        <f>VLOOKUP(Tabla5[[#This Row],[Acción
&lt;&lt; Seleccionar&gt;&gt;]],TablaAccion[[#All],[Nombre_Abreviado]:[Codigo_Plan_Acción]],3,0)</f>
        <v>#N/A</v>
      </c>
      <c r="B37" s="328" t="e">
        <f>VLOOKUP(Tabla5[[#This Row],[Acción Especifica
&lt;&lt; Seleccionar&gt;&gt;]],TablaAccionEspecifica[[#All],[Nombre_Abreviado]:[Codigo_Acción]],3,0)</f>
        <v>#N/A</v>
      </c>
      <c r="C37" s="328" t="e">
        <f>CONCATENATE(Tabla18[[#This Row],[Bus_02]],"_",Tabla5[[#This Row],[Sub Acción Específica
&lt;&lt; Seleccionar&gt;&gt;]])</f>
        <v>#N/A</v>
      </c>
      <c r="D37" s="328" t="e">
        <f>VLOOKUP(Tabla18[[#This Row],[Aux_01]],TablaSubAccionEspecifica[[#All],[Concat]:[Cod_Sub_acción_especifica]],2,0)</f>
        <v>#N/A</v>
      </c>
      <c r="E37" s="328" t="e">
        <f>Tabla18[[#This Row],[Bus_03]]&amp;"_"&amp;Tabla5[[#This Row],[Tipo de Agente
&lt;&lt; Seleccionar&gt;&gt;]]</f>
        <v>#N/A</v>
      </c>
      <c r="F37" s="328" t="e">
        <f>VLOOKUP(Tabla18[[#This Row],[Concat2]],TablaPOA[[#All],[Concat]:[ConcatEspecial]],3,0)</f>
        <v>#N/A</v>
      </c>
      <c r="G37" s="65" t="str">
        <f>CONCATENATE(Registro!$A$6,"_",Tabla5[[#This Row],[Zona (Provincia)
&lt;&lt; Seleccionar&gt;&gt;]])</f>
        <v>Huánuco_</v>
      </c>
      <c r="H37" s="60" t="e">
        <f>VLOOKUP(Tabla18[[#This Row],[Concatenado***]],Tabla2[[#All],[Concatenado]:[Simbología*]],2,0)</f>
        <v>#N/A</v>
      </c>
      <c r="I37" s="65" t="str">
        <f>CONCATENATE(Tabla18[[#This Row],[Concatenado***]],"_",Tabla5[[#This Row],[Zona (Distrito)
&lt;&lt; Seleccionar&gt;&gt;]])</f>
        <v>Huánuco__</v>
      </c>
      <c r="J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" s="72" t="e">
        <f>VLOOKUP(Tabla5[[#This Row],[Tipo de Transporte Empleado
&lt;&lt; Seleccionar&gt;&gt;]],Tabla8[#All],2,0)</f>
        <v>#N/A</v>
      </c>
      <c r="L37" s="71" t="e">
        <f>#REF!+(#REF!*2)+#REF!</f>
        <v>#REF!</v>
      </c>
    </row>
    <row r="38" spans="1:12" x14ac:dyDescent="0.25">
      <c r="A38" s="328" t="e">
        <f>VLOOKUP(Tabla5[[#This Row],[Acción
&lt;&lt; Seleccionar&gt;&gt;]],TablaAccion[[#All],[Nombre_Abreviado]:[Codigo_Plan_Acción]],3,0)</f>
        <v>#N/A</v>
      </c>
      <c r="B38" s="328" t="e">
        <f>VLOOKUP(Tabla5[[#This Row],[Acción Especifica
&lt;&lt; Seleccionar&gt;&gt;]],TablaAccionEspecifica[[#All],[Nombre_Abreviado]:[Codigo_Acción]],3,0)</f>
        <v>#N/A</v>
      </c>
      <c r="C38" s="328" t="e">
        <f>CONCATENATE(Tabla18[[#This Row],[Bus_02]],"_",Tabla5[[#This Row],[Sub Acción Específica
&lt;&lt; Seleccionar&gt;&gt;]])</f>
        <v>#N/A</v>
      </c>
      <c r="D38" s="328" t="e">
        <f>VLOOKUP(Tabla18[[#This Row],[Aux_01]],TablaSubAccionEspecifica[[#All],[Concat]:[Cod_Sub_acción_especifica]],2,0)</f>
        <v>#N/A</v>
      </c>
      <c r="E38" s="328" t="e">
        <f>Tabla18[[#This Row],[Bus_03]]&amp;"_"&amp;Tabla5[[#This Row],[Tipo de Agente
&lt;&lt; Seleccionar&gt;&gt;]]</f>
        <v>#N/A</v>
      </c>
      <c r="F38" s="328" t="e">
        <f>VLOOKUP(Tabla18[[#This Row],[Concat2]],TablaPOA[[#All],[Concat]:[ConcatEspecial]],3,0)</f>
        <v>#N/A</v>
      </c>
      <c r="G38" s="65" t="str">
        <f>CONCATENATE(Registro!$A$6,"_",Tabla5[[#This Row],[Zona (Provincia)
&lt;&lt; Seleccionar&gt;&gt;]])</f>
        <v>Huánuco_</v>
      </c>
      <c r="H38" s="60" t="e">
        <f>VLOOKUP(Tabla18[[#This Row],[Concatenado***]],Tabla2[[#All],[Concatenado]:[Simbología*]],2,0)</f>
        <v>#N/A</v>
      </c>
      <c r="I38" s="65" t="str">
        <f>CONCATENATE(Tabla18[[#This Row],[Concatenado***]],"_",Tabla5[[#This Row],[Zona (Distrito)
&lt;&lt; Seleccionar&gt;&gt;]])</f>
        <v>Huánuco__</v>
      </c>
      <c r="J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" s="72" t="e">
        <f>VLOOKUP(Tabla5[[#This Row],[Tipo de Transporte Empleado
&lt;&lt; Seleccionar&gt;&gt;]],Tabla8[#All],2,0)</f>
        <v>#N/A</v>
      </c>
      <c r="L38" s="71" t="e">
        <f>#REF!+(#REF!*2)+#REF!</f>
        <v>#REF!</v>
      </c>
    </row>
    <row r="39" spans="1:12" x14ac:dyDescent="0.25">
      <c r="A39" s="328" t="e">
        <f>VLOOKUP(Tabla5[[#This Row],[Acción
&lt;&lt; Seleccionar&gt;&gt;]],TablaAccion[[#All],[Nombre_Abreviado]:[Codigo_Plan_Acción]],3,0)</f>
        <v>#N/A</v>
      </c>
      <c r="B39" s="328" t="e">
        <f>VLOOKUP(Tabla5[[#This Row],[Acción Especifica
&lt;&lt; Seleccionar&gt;&gt;]],TablaAccionEspecifica[[#All],[Nombre_Abreviado]:[Codigo_Acción]],3,0)</f>
        <v>#N/A</v>
      </c>
      <c r="C39" s="328" t="e">
        <f>CONCATENATE(Tabla18[[#This Row],[Bus_02]],"_",Tabla5[[#This Row],[Sub Acción Específica
&lt;&lt; Seleccionar&gt;&gt;]])</f>
        <v>#N/A</v>
      </c>
      <c r="D39" s="328" t="e">
        <f>VLOOKUP(Tabla18[[#This Row],[Aux_01]],TablaSubAccionEspecifica[[#All],[Concat]:[Cod_Sub_acción_especifica]],2,0)</f>
        <v>#N/A</v>
      </c>
      <c r="E39" s="328" t="e">
        <f>Tabla18[[#This Row],[Bus_03]]&amp;"_"&amp;Tabla5[[#This Row],[Tipo de Agente
&lt;&lt; Seleccionar&gt;&gt;]]</f>
        <v>#N/A</v>
      </c>
      <c r="F39" s="328" t="e">
        <f>VLOOKUP(Tabla18[[#This Row],[Concat2]],TablaPOA[[#All],[Concat]:[ConcatEspecial]],3,0)</f>
        <v>#N/A</v>
      </c>
      <c r="G39" s="65" t="str">
        <f>CONCATENATE(Registro!$A$6,"_",Tabla5[[#This Row],[Zona (Provincia)
&lt;&lt; Seleccionar&gt;&gt;]])</f>
        <v>Huánuco_</v>
      </c>
      <c r="H39" s="60" t="e">
        <f>VLOOKUP(Tabla18[[#This Row],[Concatenado***]],Tabla2[[#All],[Concatenado]:[Simbología*]],2,0)</f>
        <v>#N/A</v>
      </c>
      <c r="I39" s="65" t="str">
        <f>CONCATENATE(Tabla18[[#This Row],[Concatenado***]],"_",Tabla5[[#This Row],[Zona (Distrito)
&lt;&lt; Seleccionar&gt;&gt;]])</f>
        <v>Huánuco__</v>
      </c>
      <c r="J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" s="72" t="e">
        <f>VLOOKUP(Tabla5[[#This Row],[Tipo de Transporte Empleado
&lt;&lt; Seleccionar&gt;&gt;]],Tabla8[#All],2,0)</f>
        <v>#N/A</v>
      </c>
      <c r="L39" s="71" t="e">
        <f>#REF!+(#REF!*2)+#REF!</f>
        <v>#REF!</v>
      </c>
    </row>
    <row r="40" spans="1:12" x14ac:dyDescent="0.25">
      <c r="A40" s="328" t="e">
        <f>VLOOKUP(Tabla5[[#This Row],[Acción
&lt;&lt; Seleccionar&gt;&gt;]],TablaAccion[[#All],[Nombre_Abreviado]:[Codigo_Plan_Acción]],3,0)</f>
        <v>#N/A</v>
      </c>
      <c r="B40" s="328" t="e">
        <f>VLOOKUP(Tabla5[[#This Row],[Acción Especifica
&lt;&lt; Seleccionar&gt;&gt;]],TablaAccionEspecifica[[#All],[Nombre_Abreviado]:[Codigo_Acción]],3,0)</f>
        <v>#N/A</v>
      </c>
      <c r="C40" s="328" t="e">
        <f>CONCATENATE(Tabla18[[#This Row],[Bus_02]],"_",Tabla5[[#This Row],[Sub Acción Específica
&lt;&lt; Seleccionar&gt;&gt;]])</f>
        <v>#N/A</v>
      </c>
      <c r="D40" s="328" t="e">
        <f>VLOOKUP(Tabla18[[#This Row],[Aux_01]],TablaSubAccionEspecifica[[#All],[Concat]:[Cod_Sub_acción_especifica]],2,0)</f>
        <v>#N/A</v>
      </c>
      <c r="E40" s="328" t="e">
        <f>Tabla18[[#This Row],[Bus_03]]&amp;"_"&amp;Tabla5[[#This Row],[Tipo de Agente
&lt;&lt; Seleccionar&gt;&gt;]]</f>
        <v>#N/A</v>
      </c>
      <c r="F40" s="328" t="e">
        <f>VLOOKUP(Tabla18[[#This Row],[Concat2]],TablaPOA[[#All],[Concat]:[ConcatEspecial]],3,0)</f>
        <v>#N/A</v>
      </c>
      <c r="G40" s="65" t="str">
        <f>CONCATENATE(Registro!$A$6,"_",Tabla5[[#This Row],[Zona (Provincia)
&lt;&lt; Seleccionar&gt;&gt;]])</f>
        <v>Huánuco_</v>
      </c>
      <c r="H40" s="60" t="e">
        <f>VLOOKUP(Tabla18[[#This Row],[Concatenado***]],Tabla2[[#All],[Concatenado]:[Simbología*]],2,0)</f>
        <v>#N/A</v>
      </c>
      <c r="I40" s="65" t="str">
        <f>CONCATENATE(Tabla18[[#This Row],[Concatenado***]],"_",Tabla5[[#This Row],[Zona (Distrito)
&lt;&lt; Seleccionar&gt;&gt;]])</f>
        <v>Huánuco__</v>
      </c>
      <c r="J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" s="72" t="e">
        <f>VLOOKUP(Tabla5[[#This Row],[Tipo de Transporte Empleado
&lt;&lt; Seleccionar&gt;&gt;]],Tabla8[#All],2,0)</f>
        <v>#N/A</v>
      </c>
      <c r="L40" s="71" t="e">
        <f>#REF!+(#REF!*2)+#REF!</f>
        <v>#REF!</v>
      </c>
    </row>
    <row r="41" spans="1:12" x14ac:dyDescent="0.25">
      <c r="A41" s="328" t="e">
        <f>VLOOKUP(Tabla5[[#This Row],[Acción
&lt;&lt; Seleccionar&gt;&gt;]],TablaAccion[[#All],[Nombre_Abreviado]:[Codigo_Plan_Acción]],3,0)</f>
        <v>#N/A</v>
      </c>
      <c r="B41" s="328" t="e">
        <f>VLOOKUP(Tabla5[[#This Row],[Acción Especifica
&lt;&lt; Seleccionar&gt;&gt;]],TablaAccionEspecifica[[#All],[Nombre_Abreviado]:[Codigo_Acción]],3,0)</f>
        <v>#N/A</v>
      </c>
      <c r="C41" s="328" t="e">
        <f>CONCATENATE(Tabla18[[#This Row],[Bus_02]],"_",Tabla5[[#This Row],[Sub Acción Específica
&lt;&lt; Seleccionar&gt;&gt;]])</f>
        <v>#N/A</v>
      </c>
      <c r="D41" s="328" t="e">
        <f>VLOOKUP(Tabla18[[#This Row],[Aux_01]],TablaSubAccionEspecifica[[#All],[Concat]:[Cod_Sub_acción_especifica]],2,0)</f>
        <v>#N/A</v>
      </c>
      <c r="E41" s="328" t="e">
        <f>Tabla18[[#This Row],[Bus_03]]&amp;"_"&amp;Tabla5[[#This Row],[Tipo de Agente
&lt;&lt; Seleccionar&gt;&gt;]]</f>
        <v>#N/A</v>
      </c>
      <c r="F41" s="328" t="e">
        <f>VLOOKUP(Tabla18[[#This Row],[Concat2]],TablaPOA[[#All],[Concat]:[ConcatEspecial]],3,0)</f>
        <v>#N/A</v>
      </c>
      <c r="G41" s="65" t="str">
        <f>CONCATENATE(Registro!$A$6,"_",Tabla5[[#This Row],[Zona (Provincia)
&lt;&lt; Seleccionar&gt;&gt;]])</f>
        <v>Huánuco_</v>
      </c>
      <c r="H41" s="60" t="e">
        <f>VLOOKUP(Tabla18[[#This Row],[Concatenado***]],Tabla2[[#All],[Concatenado]:[Simbología*]],2,0)</f>
        <v>#N/A</v>
      </c>
      <c r="I41" s="65" t="str">
        <f>CONCATENATE(Tabla18[[#This Row],[Concatenado***]],"_",Tabla5[[#This Row],[Zona (Distrito)
&lt;&lt; Seleccionar&gt;&gt;]])</f>
        <v>Huánuco__</v>
      </c>
      <c r="J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" s="72" t="e">
        <f>VLOOKUP(Tabla5[[#This Row],[Tipo de Transporte Empleado
&lt;&lt; Seleccionar&gt;&gt;]],Tabla8[#All],2,0)</f>
        <v>#N/A</v>
      </c>
      <c r="L41" s="71" t="e">
        <f>#REF!+(#REF!*2)+#REF!</f>
        <v>#REF!</v>
      </c>
    </row>
    <row r="42" spans="1:12" x14ac:dyDescent="0.25">
      <c r="A42" s="328" t="e">
        <f>VLOOKUP(Tabla5[[#This Row],[Acción
&lt;&lt; Seleccionar&gt;&gt;]],TablaAccion[[#All],[Nombre_Abreviado]:[Codigo_Plan_Acción]],3,0)</f>
        <v>#N/A</v>
      </c>
      <c r="B42" s="328" t="e">
        <f>VLOOKUP(Tabla5[[#This Row],[Acción Especifica
&lt;&lt; Seleccionar&gt;&gt;]],TablaAccionEspecifica[[#All],[Nombre_Abreviado]:[Codigo_Acción]],3,0)</f>
        <v>#N/A</v>
      </c>
      <c r="C42" s="328" t="e">
        <f>CONCATENATE(Tabla18[[#This Row],[Bus_02]],"_",Tabla5[[#This Row],[Sub Acción Específica
&lt;&lt; Seleccionar&gt;&gt;]])</f>
        <v>#N/A</v>
      </c>
      <c r="D42" s="328" t="e">
        <f>VLOOKUP(Tabla18[[#This Row],[Aux_01]],TablaSubAccionEspecifica[[#All],[Concat]:[Cod_Sub_acción_especifica]],2,0)</f>
        <v>#N/A</v>
      </c>
      <c r="E42" s="328" t="e">
        <f>Tabla18[[#This Row],[Bus_03]]&amp;"_"&amp;Tabla5[[#This Row],[Tipo de Agente
&lt;&lt; Seleccionar&gt;&gt;]]</f>
        <v>#N/A</v>
      </c>
      <c r="F42" s="328" t="e">
        <f>VLOOKUP(Tabla18[[#This Row],[Concat2]],TablaPOA[[#All],[Concat]:[ConcatEspecial]],3,0)</f>
        <v>#N/A</v>
      </c>
      <c r="G42" s="65" t="str">
        <f>CONCATENATE(Registro!$A$6,"_",Tabla5[[#This Row],[Zona (Provincia)
&lt;&lt; Seleccionar&gt;&gt;]])</f>
        <v>Huánuco_</v>
      </c>
      <c r="H42" s="60" t="e">
        <f>VLOOKUP(Tabla18[[#This Row],[Concatenado***]],Tabla2[[#All],[Concatenado]:[Simbología*]],2,0)</f>
        <v>#N/A</v>
      </c>
      <c r="I42" s="65" t="str">
        <f>CONCATENATE(Tabla18[[#This Row],[Concatenado***]],"_",Tabla5[[#This Row],[Zona (Distrito)
&lt;&lt; Seleccionar&gt;&gt;]])</f>
        <v>Huánuco__</v>
      </c>
      <c r="J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" s="72" t="e">
        <f>VLOOKUP(Tabla5[[#This Row],[Tipo de Transporte Empleado
&lt;&lt; Seleccionar&gt;&gt;]],Tabla8[#All],2,0)</f>
        <v>#N/A</v>
      </c>
      <c r="L42" s="71" t="e">
        <f>#REF!+(#REF!*2)+#REF!</f>
        <v>#REF!</v>
      </c>
    </row>
    <row r="43" spans="1:12" x14ac:dyDescent="0.25">
      <c r="A43" s="328" t="e">
        <f>VLOOKUP(Tabla5[[#This Row],[Acción
&lt;&lt; Seleccionar&gt;&gt;]],TablaAccion[[#All],[Nombre_Abreviado]:[Codigo_Plan_Acción]],3,0)</f>
        <v>#N/A</v>
      </c>
      <c r="B43" s="328" t="e">
        <f>VLOOKUP(Tabla5[[#This Row],[Acción Especifica
&lt;&lt; Seleccionar&gt;&gt;]],TablaAccionEspecifica[[#All],[Nombre_Abreviado]:[Codigo_Acción]],3,0)</f>
        <v>#N/A</v>
      </c>
      <c r="C43" s="328" t="e">
        <f>CONCATENATE(Tabla18[[#This Row],[Bus_02]],"_",Tabla5[[#This Row],[Sub Acción Específica
&lt;&lt; Seleccionar&gt;&gt;]])</f>
        <v>#N/A</v>
      </c>
      <c r="D43" s="328" t="e">
        <f>VLOOKUP(Tabla18[[#This Row],[Aux_01]],TablaSubAccionEspecifica[[#All],[Concat]:[Cod_Sub_acción_especifica]],2,0)</f>
        <v>#N/A</v>
      </c>
      <c r="E43" s="328" t="e">
        <f>Tabla18[[#This Row],[Bus_03]]&amp;"_"&amp;Tabla5[[#This Row],[Tipo de Agente
&lt;&lt; Seleccionar&gt;&gt;]]</f>
        <v>#N/A</v>
      </c>
      <c r="F43" s="328" t="e">
        <f>VLOOKUP(Tabla18[[#This Row],[Concat2]],TablaPOA[[#All],[Concat]:[ConcatEspecial]],3,0)</f>
        <v>#N/A</v>
      </c>
      <c r="G43" s="65" t="str">
        <f>CONCATENATE(Registro!$A$6,"_",Tabla5[[#This Row],[Zona (Provincia)
&lt;&lt; Seleccionar&gt;&gt;]])</f>
        <v>Huánuco_</v>
      </c>
      <c r="H43" s="60" t="e">
        <f>VLOOKUP(Tabla18[[#This Row],[Concatenado***]],Tabla2[[#All],[Concatenado]:[Simbología*]],2,0)</f>
        <v>#N/A</v>
      </c>
      <c r="I43" s="65" t="str">
        <f>CONCATENATE(Tabla18[[#This Row],[Concatenado***]],"_",Tabla5[[#This Row],[Zona (Distrito)
&lt;&lt; Seleccionar&gt;&gt;]])</f>
        <v>Huánuco__</v>
      </c>
      <c r="J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" s="72" t="e">
        <f>VLOOKUP(Tabla5[[#This Row],[Tipo de Transporte Empleado
&lt;&lt; Seleccionar&gt;&gt;]],Tabla8[#All],2,0)</f>
        <v>#N/A</v>
      </c>
      <c r="L43" s="71" t="e">
        <f>#REF!+(#REF!*2)+#REF!</f>
        <v>#REF!</v>
      </c>
    </row>
    <row r="44" spans="1:12" x14ac:dyDescent="0.25">
      <c r="A44" s="328" t="e">
        <f>VLOOKUP(Tabla5[[#This Row],[Acción
&lt;&lt; Seleccionar&gt;&gt;]],TablaAccion[[#All],[Nombre_Abreviado]:[Codigo_Plan_Acción]],3,0)</f>
        <v>#N/A</v>
      </c>
      <c r="B44" s="328" t="e">
        <f>VLOOKUP(Tabla5[[#This Row],[Acción Especifica
&lt;&lt; Seleccionar&gt;&gt;]],TablaAccionEspecifica[[#All],[Nombre_Abreviado]:[Codigo_Acción]],3,0)</f>
        <v>#N/A</v>
      </c>
      <c r="C44" s="328" t="e">
        <f>CONCATENATE(Tabla18[[#This Row],[Bus_02]],"_",Tabla5[[#This Row],[Sub Acción Específica
&lt;&lt; Seleccionar&gt;&gt;]])</f>
        <v>#N/A</v>
      </c>
      <c r="D44" s="328" t="e">
        <f>VLOOKUP(Tabla18[[#This Row],[Aux_01]],TablaSubAccionEspecifica[[#All],[Concat]:[Cod_Sub_acción_especifica]],2,0)</f>
        <v>#N/A</v>
      </c>
      <c r="E44" s="328" t="e">
        <f>Tabla18[[#This Row],[Bus_03]]&amp;"_"&amp;Tabla5[[#This Row],[Tipo de Agente
&lt;&lt; Seleccionar&gt;&gt;]]</f>
        <v>#N/A</v>
      </c>
      <c r="F44" s="328" t="e">
        <f>VLOOKUP(Tabla18[[#This Row],[Concat2]],TablaPOA[[#All],[Concat]:[ConcatEspecial]],3,0)</f>
        <v>#N/A</v>
      </c>
      <c r="G44" s="65" t="str">
        <f>CONCATENATE(Registro!$A$6,"_",Tabla5[[#This Row],[Zona (Provincia)
&lt;&lt; Seleccionar&gt;&gt;]])</f>
        <v>Huánuco_</v>
      </c>
      <c r="H44" s="60" t="e">
        <f>VLOOKUP(Tabla18[[#This Row],[Concatenado***]],Tabla2[[#All],[Concatenado]:[Simbología*]],2,0)</f>
        <v>#N/A</v>
      </c>
      <c r="I44" s="65" t="str">
        <f>CONCATENATE(Tabla18[[#This Row],[Concatenado***]],"_",Tabla5[[#This Row],[Zona (Distrito)
&lt;&lt; Seleccionar&gt;&gt;]])</f>
        <v>Huánuco__</v>
      </c>
      <c r="J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" s="72" t="e">
        <f>VLOOKUP(Tabla5[[#This Row],[Tipo de Transporte Empleado
&lt;&lt; Seleccionar&gt;&gt;]],Tabla8[#All],2,0)</f>
        <v>#N/A</v>
      </c>
      <c r="L44" s="71" t="e">
        <f>#REF!+(#REF!*2)+#REF!</f>
        <v>#REF!</v>
      </c>
    </row>
    <row r="45" spans="1:12" x14ac:dyDescent="0.25">
      <c r="A45" s="328" t="e">
        <f>VLOOKUP(Tabla5[[#This Row],[Acción
&lt;&lt; Seleccionar&gt;&gt;]],TablaAccion[[#All],[Nombre_Abreviado]:[Codigo_Plan_Acción]],3,0)</f>
        <v>#N/A</v>
      </c>
      <c r="B45" s="328" t="e">
        <f>VLOOKUP(Tabla5[[#This Row],[Acción Especifica
&lt;&lt; Seleccionar&gt;&gt;]],TablaAccionEspecifica[[#All],[Nombre_Abreviado]:[Codigo_Acción]],3,0)</f>
        <v>#N/A</v>
      </c>
      <c r="C45" s="328" t="e">
        <f>CONCATENATE(Tabla18[[#This Row],[Bus_02]],"_",Tabla5[[#This Row],[Sub Acción Específica
&lt;&lt; Seleccionar&gt;&gt;]])</f>
        <v>#N/A</v>
      </c>
      <c r="D45" s="328" t="e">
        <f>VLOOKUP(Tabla18[[#This Row],[Aux_01]],TablaSubAccionEspecifica[[#All],[Concat]:[Cod_Sub_acción_especifica]],2,0)</f>
        <v>#N/A</v>
      </c>
      <c r="E45" s="328" t="e">
        <f>Tabla18[[#This Row],[Bus_03]]&amp;"_"&amp;Tabla5[[#This Row],[Tipo de Agente
&lt;&lt; Seleccionar&gt;&gt;]]</f>
        <v>#N/A</v>
      </c>
      <c r="F45" s="328" t="e">
        <f>VLOOKUP(Tabla18[[#This Row],[Concat2]],TablaPOA[[#All],[Concat]:[ConcatEspecial]],3,0)</f>
        <v>#N/A</v>
      </c>
      <c r="G45" s="65" t="str">
        <f>CONCATENATE(Registro!$A$6,"_",Tabla5[[#This Row],[Zona (Provincia)
&lt;&lt; Seleccionar&gt;&gt;]])</f>
        <v>Huánuco_</v>
      </c>
      <c r="H45" s="60" t="e">
        <f>VLOOKUP(Tabla18[[#This Row],[Concatenado***]],Tabla2[[#All],[Concatenado]:[Simbología*]],2,0)</f>
        <v>#N/A</v>
      </c>
      <c r="I45" s="65" t="str">
        <f>CONCATENATE(Tabla18[[#This Row],[Concatenado***]],"_",Tabla5[[#This Row],[Zona (Distrito)
&lt;&lt; Seleccionar&gt;&gt;]])</f>
        <v>Huánuco__</v>
      </c>
      <c r="J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" s="72" t="e">
        <f>VLOOKUP(Tabla5[[#This Row],[Tipo de Transporte Empleado
&lt;&lt; Seleccionar&gt;&gt;]],Tabla8[#All],2,0)</f>
        <v>#N/A</v>
      </c>
      <c r="L45" s="71" t="e">
        <f>#REF!+(#REF!*2)+#REF!</f>
        <v>#REF!</v>
      </c>
    </row>
    <row r="46" spans="1:12" x14ac:dyDescent="0.25">
      <c r="A46" s="328" t="e">
        <f>VLOOKUP(Tabla5[[#This Row],[Acción
&lt;&lt; Seleccionar&gt;&gt;]],TablaAccion[[#All],[Nombre_Abreviado]:[Codigo_Plan_Acción]],3,0)</f>
        <v>#N/A</v>
      </c>
      <c r="B46" s="328" t="e">
        <f>VLOOKUP(Tabla5[[#This Row],[Acción Especifica
&lt;&lt; Seleccionar&gt;&gt;]],TablaAccionEspecifica[[#All],[Nombre_Abreviado]:[Codigo_Acción]],3,0)</f>
        <v>#N/A</v>
      </c>
      <c r="C46" s="328" t="e">
        <f>CONCATENATE(Tabla18[[#This Row],[Bus_02]],"_",Tabla5[[#This Row],[Sub Acción Específica
&lt;&lt; Seleccionar&gt;&gt;]])</f>
        <v>#N/A</v>
      </c>
      <c r="D46" s="328" t="e">
        <f>VLOOKUP(Tabla18[[#This Row],[Aux_01]],TablaSubAccionEspecifica[[#All],[Concat]:[Cod_Sub_acción_especifica]],2,0)</f>
        <v>#N/A</v>
      </c>
      <c r="E46" s="328" t="e">
        <f>Tabla18[[#This Row],[Bus_03]]&amp;"_"&amp;Tabla5[[#This Row],[Tipo de Agente
&lt;&lt; Seleccionar&gt;&gt;]]</f>
        <v>#N/A</v>
      </c>
      <c r="F46" s="328" t="e">
        <f>VLOOKUP(Tabla18[[#This Row],[Concat2]],TablaPOA[[#All],[Concat]:[ConcatEspecial]],3,0)</f>
        <v>#N/A</v>
      </c>
      <c r="G46" s="65" t="str">
        <f>CONCATENATE(Registro!$A$6,"_",Tabla5[[#This Row],[Zona (Provincia)
&lt;&lt; Seleccionar&gt;&gt;]])</f>
        <v>Huánuco_</v>
      </c>
      <c r="H46" s="60" t="e">
        <f>VLOOKUP(Tabla18[[#This Row],[Concatenado***]],Tabla2[[#All],[Concatenado]:[Simbología*]],2,0)</f>
        <v>#N/A</v>
      </c>
      <c r="I46" s="65" t="str">
        <f>CONCATENATE(Tabla18[[#This Row],[Concatenado***]],"_",Tabla5[[#This Row],[Zona (Distrito)
&lt;&lt; Seleccionar&gt;&gt;]])</f>
        <v>Huánuco__</v>
      </c>
      <c r="J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" s="72" t="e">
        <f>VLOOKUP(Tabla5[[#This Row],[Tipo de Transporte Empleado
&lt;&lt; Seleccionar&gt;&gt;]],Tabla8[#All],2,0)</f>
        <v>#N/A</v>
      </c>
      <c r="L46" s="71" t="e">
        <f>#REF!+(#REF!*2)+#REF!</f>
        <v>#REF!</v>
      </c>
    </row>
    <row r="47" spans="1:12" x14ac:dyDescent="0.25">
      <c r="A47" s="328" t="e">
        <f>VLOOKUP(Tabla5[[#This Row],[Acción
&lt;&lt; Seleccionar&gt;&gt;]],TablaAccion[[#All],[Nombre_Abreviado]:[Codigo_Plan_Acción]],3,0)</f>
        <v>#N/A</v>
      </c>
      <c r="B47" s="328" t="e">
        <f>VLOOKUP(Tabla5[[#This Row],[Acción Especifica
&lt;&lt; Seleccionar&gt;&gt;]],TablaAccionEspecifica[[#All],[Nombre_Abreviado]:[Codigo_Acción]],3,0)</f>
        <v>#N/A</v>
      </c>
      <c r="C47" s="328" t="e">
        <f>CONCATENATE(Tabla18[[#This Row],[Bus_02]],"_",Tabla5[[#This Row],[Sub Acción Específica
&lt;&lt; Seleccionar&gt;&gt;]])</f>
        <v>#N/A</v>
      </c>
      <c r="D47" s="328" t="e">
        <f>VLOOKUP(Tabla18[[#This Row],[Aux_01]],TablaSubAccionEspecifica[[#All],[Concat]:[Cod_Sub_acción_especifica]],2,0)</f>
        <v>#N/A</v>
      </c>
      <c r="E47" s="328" t="e">
        <f>Tabla18[[#This Row],[Bus_03]]&amp;"_"&amp;Tabla5[[#This Row],[Tipo de Agente
&lt;&lt; Seleccionar&gt;&gt;]]</f>
        <v>#N/A</v>
      </c>
      <c r="F47" s="328" t="e">
        <f>VLOOKUP(Tabla18[[#This Row],[Concat2]],TablaPOA[[#All],[Concat]:[ConcatEspecial]],3,0)</f>
        <v>#N/A</v>
      </c>
      <c r="G47" s="65" t="str">
        <f>CONCATENATE(Registro!$A$6,"_",Tabla5[[#This Row],[Zona (Provincia)
&lt;&lt; Seleccionar&gt;&gt;]])</f>
        <v>Huánuco_</v>
      </c>
      <c r="H47" s="60" t="e">
        <f>VLOOKUP(Tabla18[[#This Row],[Concatenado***]],Tabla2[[#All],[Concatenado]:[Simbología*]],2,0)</f>
        <v>#N/A</v>
      </c>
      <c r="I47" s="65" t="str">
        <f>CONCATENATE(Tabla18[[#This Row],[Concatenado***]],"_",Tabla5[[#This Row],[Zona (Distrito)
&lt;&lt; Seleccionar&gt;&gt;]])</f>
        <v>Huánuco__</v>
      </c>
      <c r="J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" s="72" t="e">
        <f>VLOOKUP(Tabla5[[#This Row],[Tipo de Transporte Empleado
&lt;&lt; Seleccionar&gt;&gt;]],Tabla8[#All],2,0)</f>
        <v>#N/A</v>
      </c>
      <c r="L47" s="71" t="e">
        <f>#REF!+(#REF!*2)+#REF!</f>
        <v>#REF!</v>
      </c>
    </row>
    <row r="48" spans="1:12" x14ac:dyDescent="0.25">
      <c r="A48" s="328" t="e">
        <f>VLOOKUP(Tabla5[[#This Row],[Acción
&lt;&lt; Seleccionar&gt;&gt;]],TablaAccion[[#All],[Nombre_Abreviado]:[Codigo_Plan_Acción]],3,0)</f>
        <v>#N/A</v>
      </c>
      <c r="B48" s="328" t="e">
        <f>VLOOKUP(Tabla5[[#This Row],[Acción Especifica
&lt;&lt; Seleccionar&gt;&gt;]],TablaAccionEspecifica[[#All],[Nombre_Abreviado]:[Codigo_Acción]],3,0)</f>
        <v>#N/A</v>
      </c>
      <c r="C48" s="328" t="e">
        <f>CONCATENATE(Tabla18[[#This Row],[Bus_02]],"_",Tabla5[[#This Row],[Sub Acción Específica
&lt;&lt; Seleccionar&gt;&gt;]])</f>
        <v>#N/A</v>
      </c>
      <c r="D48" s="328" t="e">
        <f>VLOOKUP(Tabla18[[#This Row],[Aux_01]],TablaSubAccionEspecifica[[#All],[Concat]:[Cod_Sub_acción_especifica]],2,0)</f>
        <v>#N/A</v>
      </c>
      <c r="E48" s="328" t="e">
        <f>Tabla18[[#This Row],[Bus_03]]&amp;"_"&amp;Tabla5[[#This Row],[Tipo de Agente
&lt;&lt; Seleccionar&gt;&gt;]]</f>
        <v>#N/A</v>
      </c>
      <c r="F48" s="328" t="e">
        <f>VLOOKUP(Tabla18[[#This Row],[Concat2]],TablaPOA[[#All],[Concat]:[ConcatEspecial]],3,0)</f>
        <v>#N/A</v>
      </c>
      <c r="G48" s="65" t="str">
        <f>CONCATENATE(Registro!$A$6,"_",Tabla5[[#This Row],[Zona (Provincia)
&lt;&lt; Seleccionar&gt;&gt;]])</f>
        <v>Huánuco_</v>
      </c>
      <c r="H48" s="60" t="e">
        <f>VLOOKUP(Tabla18[[#This Row],[Concatenado***]],Tabla2[[#All],[Concatenado]:[Simbología*]],2,0)</f>
        <v>#N/A</v>
      </c>
      <c r="I48" s="65" t="str">
        <f>CONCATENATE(Tabla18[[#This Row],[Concatenado***]],"_",Tabla5[[#This Row],[Zona (Distrito)
&lt;&lt; Seleccionar&gt;&gt;]])</f>
        <v>Huánuco__</v>
      </c>
      <c r="J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" s="72" t="e">
        <f>VLOOKUP(Tabla5[[#This Row],[Tipo de Transporte Empleado
&lt;&lt; Seleccionar&gt;&gt;]],Tabla8[#All],2,0)</f>
        <v>#N/A</v>
      </c>
      <c r="L48" s="71" t="e">
        <f>#REF!+(#REF!*2)+#REF!</f>
        <v>#REF!</v>
      </c>
    </row>
    <row r="49" spans="1:12" x14ac:dyDescent="0.25">
      <c r="A49" s="328" t="e">
        <f>VLOOKUP(Tabla5[[#This Row],[Acción
&lt;&lt; Seleccionar&gt;&gt;]],TablaAccion[[#All],[Nombre_Abreviado]:[Codigo_Plan_Acción]],3,0)</f>
        <v>#N/A</v>
      </c>
      <c r="B49" s="328" t="e">
        <f>VLOOKUP(Tabla5[[#This Row],[Acción Especifica
&lt;&lt; Seleccionar&gt;&gt;]],TablaAccionEspecifica[[#All],[Nombre_Abreviado]:[Codigo_Acción]],3,0)</f>
        <v>#N/A</v>
      </c>
      <c r="C49" s="328" t="e">
        <f>CONCATENATE(Tabla18[[#This Row],[Bus_02]],"_",Tabla5[[#This Row],[Sub Acción Específica
&lt;&lt; Seleccionar&gt;&gt;]])</f>
        <v>#N/A</v>
      </c>
      <c r="D49" s="328" t="e">
        <f>VLOOKUP(Tabla18[[#This Row],[Aux_01]],TablaSubAccionEspecifica[[#All],[Concat]:[Cod_Sub_acción_especifica]],2,0)</f>
        <v>#N/A</v>
      </c>
      <c r="E49" s="328" t="e">
        <f>Tabla18[[#This Row],[Bus_03]]&amp;"_"&amp;Tabla5[[#This Row],[Tipo de Agente
&lt;&lt; Seleccionar&gt;&gt;]]</f>
        <v>#N/A</v>
      </c>
      <c r="F49" s="328" t="e">
        <f>VLOOKUP(Tabla18[[#This Row],[Concat2]],TablaPOA[[#All],[Concat]:[ConcatEspecial]],3,0)</f>
        <v>#N/A</v>
      </c>
      <c r="G49" s="65" t="str">
        <f>CONCATENATE(Registro!$A$6,"_",Tabla5[[#This Row],[Zona (Provincia)
&lt;&lt; Seleccionar&gt;&gt;]])</f>
        <v>Huánuco_</v>
      </c>
      <c r="H49" s="60" t="e">
        <f>VLOOKUP(Tabla18[[#This Row],[Concatenado***]],Tabla2[[#All],[Concatenado]:[Simbología*]],2,0)</f>
        <v>#N/A</v>
      </c>
      <c r="I49" s="65" t="str">
        <f>CONCATENATE(Tabla18[[#This Row],[Concatenado***]],"_",Tabla5[[#This Row],[Zona (Distrito)
&lt;&lt; Seleccionar&gt;&gt;]])</f>
        <v>Huánuco__</v>
      </c>
      <c r="J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" s="72" t="e">
        <f>VLOOKUP(Tabla5[[#This Row],[Tipo de Transporte Empleado
&lt;&lt; Seleccionar&gt;&gt;]],Tabla8[#All],2,0)</f>
        <v>#N/A</v>
      </c>
      <c r="L49" s="71" t="e">
        <f>#REF!+(#REF!*2)+#REF!</f>
        <v>#REF!</v>
      </c>
    </row>
    <row r="50" spans="1:12" x14ac:dyDescent="0.25">
      <c r="A50" s="328" t="e">
        <f>VLOOKUP(Tabla5[[#This Row],[Acción
&lt;&lt; Seleccionar&gt;&gt;]],TablaAccion[[#All],[Nombre_Abreviado]:[Codigo_Plan_Acción]],3,0)</f>
        <v>#N/A</v>
      </c>
      <c r="B50" s="328" t="e">
        <f>VLOOKUP(Tabla5[[#This Row],[Acción Especifica
&lt;&lt; Seleccionar&gt;&gt;]],TablaAccionEspecifica[[#All],[Nombre_Abreviado]:[Codigo_Acción]],3,0)</f>
        <v>#N/A</v>
      </c>
      <c r="C50" s="328" t="e">
        <f>CONCATENATE(Tabla18[[#This Row],[Bus_02]],"_",Tabla5[[#This Row],[Sub Acción Específica
&lt;&lt; Seleccionar&gt;&gt;]])</f>
        <v>#N/A</v>
      </c>
      <c r="D50" s="328" t="e">
        <f>VLOOKUP(Tabla18[[#This Row],[Aux_01]],TablaSubAccionEspecifica[[#All],[Concat]:[Cod_Sub_acción_especifica]],2,0)</f>
        <v>#N/A</v>
      </c>
      <c r="E50" s="328" t="e">
        <f>Tabla18[[#This Row],[Bus_03]]&amp;"_"&amp;Tabla5[[#This Row],[Tipo de Agente
&lt;&lt; Seleccionar&gt;&gt;]]</f>
        <v>#N/A</v>
      </c>
      <c r="F50" s="328" t="e">
        <f>VLOOKUP(Tabla18[[#This Row],[Concat2]],TablaPOA[[#All],[Concat]:[ConcatEspecial]],3,0)</f>
        <v>#N/A</v>
      </c>
      <c r="G50" s="65" t="str">
        <f>CONCATENATE(Registro!$A$6,"_",Tabla5[[#This Row],[Zona (Provincia)
&lt;&lt; Seleccionar&gt;&gt;]])</f>
        <v>Huánuco_</v>
      </c>
      <c r="H50" s="60" t="e">
        <f>VLOOKUP(Tabla18[[#This Row],[Concatenado***]],Tabla2[[#All],[Concatenado]:[Simbología*]],2,0)</f>
        <v>#N/A</v>
      </c>
      <c r="I50" s="65" t="str">
        <f>CONCATENATE(Tabla18[[#This Row],[Concatenado***]],"_",Tabla5[[#This Row],[Zona (Distrito)
&lt;&lt; Seleccionar&gt;&gt;]])</f>
        <v>Huánuco__</v>
      </c>
      <c r="J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" s="72" t="e">
        <f>VLOOKUP(Tabla5[[#This Row],[Tipo de Transporte Empleado
&lt;&lt; Seleccionar&gt;&gt;]],Tabla8[#All],2,0)</f>
        <v>#N/A</v>
      </c>
      <c r="L50" s="71" t="e">
        <f>#REF!+(#REF!*2)+#REF!</f>
        <v>#REF!</v>
      </c>
    </row>
    <row r="51" spans="1:12" x14ac:dyDescent="0.25">
      <c r="A51" s="328" t="e">
        <f>VLOOKUP(Tabla5[[#This Row],[Acción
&lt;&lt; Seleccionar&gt;&gt;]],TablaAccion[[#All],[Nombre_Abreviado]:[Codigo_Plan_Acción]],3,0)</f>
        <v>#N/A</v>
      </c>
      <c r="B51" s="328" t="e">
        <f>VLOOKUP(Tabla5[[#This Row],[Acción Especifica
&lt;&lt; Seleccionar&gt;&gt;]],TablaAccionEspecifica[[#All],[Nombre_Abreviado]:[Codigo_Acción]],3,0)</f>
        <v>#N/A</v>
      </c>
      <c r="C51" s="328" t="e">
        <f>CONCATENATE(Tabla18[[#This Row],[Bus_02]],"_",Tabla5[[#This Row],[Sub Acción Específica
&lt;&lt; Seleccionar&gt;&gt;]])</f>
        <v>#N/A</v>
      </c>
      <c r="D51" s="328" t="e">
        <f>VLOOKUP(Tabla18[[#This Row],[Aux_01]],TablaSubAccionEspecifica[[#All],[Concat]:[Cod_Sub_acción_especifica]],2,0)</f>
        <v>#N/A</v>
      </c>
      <c r="E51" s="328" t="e">
        <f>Tabla18[[#This Row],[Bus_03]]&amp;"_"&amp;Tabla5[[#This Row],[Tipo de Agente
&lt;&lt; Seleccionar&gt;&gt;]]</f>
        <v>#N/A</v>
      </c>
      <c r="F51" s="328" t="e">
        <f>VLOOKUP(Tabla18[[#This Row],[Concat2]],TablaPOA[[#All],[Concat]:[ConcatEspecial]],3,0)</f>
        <v>#N/A</v>
      </c>
      <c r="G51" s="65" t="str">
        <f>CONCATENATE(Registro!$A$6,"_",Tabla5[[#This Row],[Zona (Provincia)
&lt;&lt; Seleccionar&gt;&gt;]])</f>
        <v>Huánuco_</v>
      </c>
      <c r="H51" s="60" t="e">
        <f>VLOOKUP(Tabla18[[#This Row],[Concatenado***]],Tabla2[[#All],[Concatenado]:[Simbología*]],2,0)</f>
        <v>#N/A</v>
      </c>
      <c r="I51" s="65" t="str">
        <f>CONCATENATE(Tabla18[[#This Row],[Concatenado***]],"_",Tabla5[[#This Row],[Zona (Distrito)
&lt;&lt; Seleccionar&gt;&gt;]])</f>
        <v>Huánuco__</v>
      </c>
      <c r="J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" s="72" t="e">
        <f>VLOOKUP(Tabla5[[#This Row],[Tipo de Transporte Empleado
&lt;&lt; Seleccionar&gt;&gt;]],Tabla8[#All],2,0)</f>
        <v>#N/A</v>
      </c>
      <c r="L51" s="71" t="e">
        <f>#REF!+(#REF!*2)+#REF!</f>
        <v>#REF!</v>
      </c>
    </row>
    <row r="52" spans="1:12" x14ac:dyDescent="0.25">
      <c r="A52" s="328" t="e">
        <f>VLOOKUP(Tabla5[[#This Row],[Acción
&lt;&lt; Seleccionar&gt;&gt;]],TablaAccion[[#All],[Nombre_Abreviado]:[Codigo_Plan_Acción]],3,0)</f>
        <v>#N/A</v>
      </c>
      <c r="B52" s="328" t="e">
        <f>VLOOKUP(Tabla5[[#This Row],[Acción Especifica
&lt;&lt; Seleccionar&gt;&gt;]],TablaAccionEspecifica[[#All],[Nombre_Abreviado]:[Codigo_Acción]],3,0)</f>
        <v>#N/A</v>
      </c>
      <c r="C52" s="328" t="e">
        <f>CONCATENATE(Tabla18[[#This Row],[Bus_02]],"_",Tabla5[[#This Row],[Sub Acción Específica
&lt;&lt; Seleccionar&gt;&gt;]])</f>
        <v>#N/A</v>
      </c>
      <c r="D52" s="328" t="e">
        <f>VLOOKUP(Tabla18[[#This Row],[Aux_01]],TablaSubAccionEspecifica[[#All],[Concat]:[Cod_Sub_acción_especifica]],2,0)</f>
        <v>#N/A</v>
      </c>
      <c r="E52" s="328" t="e">
        <f>Tabla18[[#This Row],[Bus_03]]&amp;"_"&amp;Tabla5[[#This Row],[Tipo de Agente
&lt;&lt; Seleccionar&gt;&gt;]]</f>
        <v>#N/A</v>
      </c>
      <c r="F52" s="328" t="e">
        <f>VLOOKUP(Tabla18[[#This Row],[Concat2]],TablaPOA[[#All],[Concat]:[ConcatEspecial]],3,0)</f>
        <v>#N/A</v>
      </c>
      <c r="G52" s="65" t="str">
        <f>CONCATENATE(Registro!$A$6,"_",Tabla5[[#This Row],[Zona (Provincia)
&lt;&lt; Seleccionar&gt;&gt;]])</f>
        <v>Huánuco_</v>
      </c>
      <c r="H52" s="60" t="e">
        <f>VLOOKUP(Tabla18[[#This Row],[Concatenado***]],Tabla2[[#All],[Concatenado]:[Simbología*]],2,0)</f>
        <v>#N/A</v>
      </c>
      <c r="I52" s="65" t="str">
        <f>CONCATENATE(Tabla18[[#This Row],[Concatenado***]],"_",Tabla5[[#This Row],[Zona (Distrito)
&lt;&lt; Seleccionar&gt;&gt;]])</f>
        <v>Huánuco__</v>
      </c>
      <c r="J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" s="72" t="e">
        <f>VLOOKUP(Tabla5[[#This Row],[Tipo de Transporte Empleado
&lt;&lt; Seleccionar&gt;&gt;]],Tabla8[#All],2,0)</f>
        <v>#N/A</v>
      </c>
      <c r="L52" s="71" t="e">
        <f>#REF!+(#REF!*2)+#REF!</f>
        <v>#REF!</v>
      </c>
    </row>
    <row r="53" spans="1:12" x14ac:dyDescent="0.25">
      <c r="A53" s="328" t="e">
        <f>VLOOKUP(Tabla5[[#This Row],[Acción
&lt;&lt; Seleccionar&gt;&gt;]],TablaAccion[[#All],[Nombre_Abreviado]:[Codigo_Plan_Acción]],3,0)</f>
        <v>#N/A</v>
      </c>
      <c r="B53" s="328" t="e">
        <f>VLOOKUP(Tabla5[[#This Row],[Acción Especifica
&lt;&lt; Seleccionar&gt;&gt;]],TablaAccionEspecifica[[#All],[Nombre_Abreviado]:[Codigo_Acción]],3,0)</f>
        <v>#N/A</v>
      </c>
      <c r="C53" s="328" t="e">
        <f>CONCATENATE(Tabla18[[#This Row],[Bus_02]],"_",Tabla5[[#This Row],[Sub Acción Específica
&lt;&lt; Seleccionar&gt;&gt;]])</f>
        <v>#N/A</v>
      </c>
      <c r="D53" s="328" t="e">
        <f>VLOOKUP(Tabla18[[#This Row],[Aux_01]],TablaSubAccionEspecifica[[#All],[Concat]:[Cod_Sub_acción_especifica]],2,0)</f>
        <v>#N/A</v>
      </c>
      <c r="E53" s="328" t="e">
        <f>Tabla18[[#This Row],[Bus_03]]&amp;"_"&amp;Tabla5[[#This Row],[Tipo de Agente
&lt;&lt; Seleccionar&gt;&gt;]]</f>
        <v>#N/A</v>
      </c>
      <c r="F53" s="328" t="e">
        <f>VLOOKUP(Tabla18[[#This Row],[Concat2]],TablaPOA[[#All],[Concat]:[ConcatEspecial]],3,0)</f>
        <v>#N/A</v>
      </c>
      <c r="G53" s="65" t="str">
        <f>CONCATENATE(Registro!$A$6,"_",Tabla5[[#This Row],[Zona (Provincia)
&lt;&lt; Seleccionar&gt;&gt;]])</f>
        <v>Huánuco_</v>
      </c>
      <c r="H53" s="60" t="e">
        <f>VLOOKUP(Tabla18[[#This Row],[Concatenado***]],Tabla2[[#All],[Concatenado]:[Simbología*]],2,0)</f>
        <v>#N/A</v>
      </c>
      <c r="I53" s="65" t="str">
        <f>CONCATENATE(Tabla18[[#This Row],[Concatenado***]],"_",Tabla5[[#This Row],[Zona (Distrito)
&lt;&lt; Seleccionar&gt;&gt;]])</f>
        <v>Huánuco__</v>
      </c>
      <c r="J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" s="72" t="e">
        <f>VLOOKUP(Tabla5[[#This Row],[Tipo de Transporte Empleado
&lt;&lt; Seleccionar&gt;&gt;]],Tabla8[#All],2,0)</f>
        <v>#N/A</v>
      </c>
      <c r="L53" s="71" t="e">
        <f>#REF!+(#REF!*2)+#REF!</f>
        <v>#REF!</v>
      </c>
    </row>
    <row r="54" spans="1:12" x14ac:dyDescent="0.25">
      <c r="A54" s="328" t="e">
        <f>VLOOKUP(Tabla5[[#This Row],[Acción
&lt;&lt; Seleccionar&gt;&gt;]],TablaAccion[[#All],[Nombre_Abreviado]:[Codigo_Plan_Acción]],3,0)</f>
        <v>#N/A</v>
      </c>
      <c r="B54" s="328" t="e">
        <f>VLOOKUP(Tabla5[[#This Row],[Acción Especifica
&lt;&lt; Seleccionar&gt;&gt;]],TablaAccionEspecifica[[#All],[Nombre_Abreviado]:[Codigo_Acción]],3,0)</f>
        <v>#N/A</v>
      </c>
      <c r="C54" s="328" t="e">
        <f>CONCATENATE(Tabla18[[#This Row],[Bus_02]],"_",Tabla5[[#This Row],[Sub Acción Específica
&lt;&lt; Seleccionar&gt;&gt;]])</f>
        <v>#N/A</v>
      </c>
      <c r="D54" s="328" t="e">
        <f>VLOOKUP(Tabla18[[#This Row],[Aux_01]],TablaSubAccionEspecifica[[#All],[Concat]:[Cod_Sub_acción_especifica]],2,0)</f>
        <v>#N/A</v>
      </c>
      <c r="E54" s="328" t="e">
        <f>Tabla18[[#This Row],[Bus_03]]&amp;"_"&amp;Tabla5[[#This Row],[Tipo de Agente
&lt;&lt; Seleccionar&gt;&gt;]]</f>
        <v>#N/A</v>
      </c>
      <c r="F54" s="328" t="e">
        <f>VLOOKUP(Tabla18[[#This Row],[Concat2]],TablaPOA[[#All],[Concat]:[ConcatEspecial]],3,0)</f>
        <v>#N/A</v>
      </c>
      <c r="G54" s="65" t="str">
        <f>CONCATENATE(Registro!$A$6,"_",Tabla5[[#This Row],[Zona (Provincia)
&lt;&lt; Seleccionar&gt;&gt;]])</f>
        <v>Huánuco_</v>
      </c>
      <c r="H54" s="60" t="e">
        <f>VLOOKUP(Tabla18[[#This Row],[Concatenado***]],Tabla2[[#All],[Concatenado]:[Simbología*]],2,0)</f>
        <v>#N/A</v>
      </c>
      <c r="I54" s="65" t="str">
        <f>CONCATENATE(Tabla18[[#This Row],[Concatenado***]],"_",Tabla5[[#This Row],[Zona (Distrito)
&lt;&lt; Seleccionar&gt;&gt;]])</f>
        <v>Huánuco__</v>
      </c>
      <c r="J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" s="72" t="e">
        <f>VLOOKUP(Tabla5[[#This Row],[Tipo de Transporte Empleado
&lt;&lt; Seleccionar&gt;&gt;]],Tabla8[#All],2,0)</f>
        <v>#N/A</v>
      </c>
      <c r="L54" s="71" t="e">
        <f>#REF!+(#REF!*2)+#REF!</f>
        <v>#REF!</v>
      </c>
    </row>
    <row r="55" spans="1:12" x14ac:dyDescent="0.25">
      <c r="A55" s="328" t="e">
        <f>VLOOKUP(Tabla5[[#This Row],[Acción
&lt;&lt; Seleccionar&gt;&gt;]],TablaAccion[[#All],[Nombre_Abreviado]:[Codigo_Plan_Acción]],3,0)</f>
        <v>#N/A</v>
      </c>
      <c r="B55" s="328" t="e">
        <f>VLOOKUP(Tabla5[[#This Row],[Acción Especifica
&lt;&lt; Seleccionar&gt;&gt;]],TablaAccionEspecifica[[#All],[Nombre_Abreviado]:[Codigo_Acción]],3,0)</f>
        <v>#N/A</v>
      </c>
      <c r="C55" s="328" t="e">
        <f>CONCATENATE(Tabla18[[#This Row],[Bus_02]],"_",Tabla5[[#This Row],[Sub Acción Específica
&lt;&lt; Seleccionar&gt;&gt;]])</f>
        <v>#N/A</v>
      </c>
      <c r="D55" s="328" t="e">
        <f>VLOOKUP(Tabla18[[#This Row],[Aux_01]],TablaSubAccionEspecifica[[#All],[Concat]:[Cod_Sub_acción_especifica]],2,0)</f>
        <v>#N/A</v>
      </c>
      <c r="E55" s="328" t="e">
        <f>Tabla18[[#This Row],[Bus_03]]&amp;"_"&amp;Tabla5[[#This Row],[Tipo de Agente
&lt;&lt; Seleccionar&gt;&gt;]]</f>
        <v>#N/A</v>
      </c>
      <c r="F55" s="328" t="e">
        <f>VLOOKUP(Tabla18[[#This Row],[Concat2]],TablaPOA[[#All],[Concat]:[ConcatEspecial]],3,0)</f>
        <v>#N/A</v>
      </c>
      <c r="G55" s="65" t="str">
        <f>CONCATENATE(Registro!$A$6,"_",Tabla5[[#This Row],[Zona (Provincia)
&lt;&lt; Seleccionar&gt;&gt;]])</f>
        <v>Huánuco_</v>
      </c>
      <c r="H55" s="60" t="e">
        <f>VLOOKUP(Tabla18[[#This Row],[Concatenado***]],Tabla2[[#All],[Concatenado]:[Simbología*]],2,0)</f>
        <v>#N/A</v>
      </c>
      <c r="I55" s="65" t="str">
        <f>CONCATENATE(Tabla18[[#This Row],[Concatenado***]],"_",Tabla5[[#This Row],[Zona (Distrito)
&lt;&lt; Seleccionar&gt;&gt;]])</f>
        <v>Huánuco__</v>
      </c>
      <c r="J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" s="72" t="e">
        <f>VLOOKUP(Tabla5[[#This Row],[Tipo de Transporte Empleado
&lt;&lt; Seleccionar&gt;&gt;]],Tabla8[#All],2,0)</f>
        <v>#N/A</v>
      </c>
      <c r="L55" s="71" t="e">
        <f>#REF!+(#REF!*2)+#REF!</f>
        <v>#REF!</v>
      </c>
    </row>
    <row r="56" spans="1:12" x14ac:dyDescent="0.25">
      <c r="A56" s="328" t="e">
        <f>VLOOKUP(Tabla5[[#This Row],[Acción
&lt;&lt; Seleccionar&gt;&gt;]],TablaAccion[[#All],[Nombre_Abreviado]:[Codigo_Plan_Acción]],3,0)</f>
        <v>#N/A</v>
      </c>
      <c r="B56" s="328" t="e">
        <f>VLOOKUP(Tabla5[[#This Row],[Acción Especifica
&lt;&lt; Seleccionar&gt;&gt;]],TablaAccionEspecifica[[#All],[Nombre_Abreviado]:[Codigo_Acción]],3,0)</f>
        <v>#N/A</v>
      </c>
      <c r="C56" s="328" t="e">
        <f>CONCATENATE(Tabla18[[#This Row],[Bus_02]],"_",Tabla5[[#This Row],[Sub Acción Específica
&lt;&lt; Seleccionar&gt;&gt;]])</f>
        <v>#N/A</v>
      </c>
      <c r="D56" s="328" t="e">
        <f>VLOOKUP(Tabla18[[#This Row],[Aux_01]],TablaSubAccionEspecifica[[#All],[Concat]:[Cod_Sub_acción_especifica]],2,0)</f>
        <v>#N/A</v>
      </c>
      <c r="E56" s="328" t="e">
        <f>Tabla18[[#This Row],[Bus_03]]&amp;"_"&amp;Tabla5[[#This Row],[Tipo de Agente
&lt;&lt; Seleccionar&gt;&gt;]]</f>
        <v>#N/A</v>
      </c>
      <c r="F56" s="328" t="e">
        <f>VLOOKUP(Tabla18[[#This Row],[Concat2]],TablaPOA[[#All],[Concat]:[ConcatEspecial]],3,0)</f>
        <v>#N/A</v>
      </c>
      <c r="G56" s="65" t="str">
        <f>CONCATENATE(Registro!$A$6,"_",Tabla5[[#This Row],[Zona (Provincia)
&lt;&lt; Seleccionar&gt;&gt;]])</f>
        <v>Huánuco_</v>
      </c>
      <c r="H56" s="60" t="e">
        <f>VLOOKUP(Tabla18[[#This Row],[Concatenado***]],Tabla2[[#All],[Concatenado]:[Simbología*]],2,0)</f>
        <v>#N/A</v>
      </c>
      <c r="I56" s="65" t="str">
        <f>CONCATENATE(Tabla18[[#This Row],[Concatenado***]],"_",Tabla5[[#This Row],[Zona (Distrito)
&lt;&lt; Seleccionar&gt;&gt;]])</f>
        <v>Huánuco__</v>
      </c>
      <c r="J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" s="72" t="e">
        <f>VLOOKUP(Tabla5[[#This Row],[Tipo de Transporte Empleado
&lt;&lt; Seleccionar&gt;&gt;]],Tabla8[#All],2,0)</f>
        <v>#N/A</v>
      </c>
      <c r="L56" s="71" t="e">
        <f>#REF!+(#REF!*2)+#REF!</f>
        <v>#REF!</v>
      </c>
    </row>
    <row r="57" spans="1:12" x14ac:dyDescent="0.25">
      <c r="A57" s="328" t="e">
        <f>VLOOKUP(Tabla5[[#This Row],[Acción
&lt;&lt; Seleccionar&gt;&gt;]],TablaAccion[[#All],[Nombre_Abreviado]:[Codigo_Plan_Acción]],3,0)</f>
        <v>#N/A</v>
      </c>
      <c r="B57" s="328" t="e">
        <f>VLOOKUP(Tabla5[[#This Row],[Acción Especifica
&lt;&lt; Seleccionar&gt;&gt;]],TablaAccionEspecifica[[#All],[Nombre_Abreviado]:[Codigo_Acción]],3,0)</f>
        <v>#N/A</v>
      </c>
      <c r="C57" s="328" t="e">
        <f>CONCATENATE(Tabla18[[#This Row],[Bus_02]],"_",Tabla5[[#This Row],[Sub Acción Específica
&lt;&lt; Seleccionar&gt;&gt;]])</f>
        <v>#N/A</v>
      </c>
      <c r="D57" s="328" t="e">
        <f>VLOOKUP(Tabla18[[#This Row],[Aux_01]],TablaSubAccionEspecifica[[#All],[Concat]:[Cod_Sub_acción_especifica]],2,0)</f>
        <v>#N/A</v>
      </c>
      <c r="E57" s="328" t="e">
        <f>Tabla18[[#This Row],[Bus_03]]&amp;"_"&amp;Tabla5[[#This Row],[Tipo de Agente
&lt;&lt; Seleccionar&gt;&gt;]]</f>
        <v>#N/A</v>
      </c>
      <c r="F57" s="328" t="e">
        <f>VLOOKUP(Tabla18[[#This Row],[Concat2]],TablaPOA[[#All],[Concat]:[ConcatEspecial]],3,0)</f>
        <v>#N/A</v>
      </c>
      <c r="G57" s="65" t="str">
        <f>CONCATENATE(Registro!$A$6,"_",Tabla5[[#This Row],[Zona (Provincia)
&lt;&lt; Seleccionar&gt;&gt;]])</f>
        <v>Huánuco_</v>
      </c>
      <c r="H57" s="60" t="e">
        <f>VLOOKUP(Tabla18[[#This Row],[Concatenado***]],Tabla2[[#All],[Concatenado]:[Simbología*]],2,0)</f>
        <v>#N/A</v>
      </c>
      <c r="I57" s="65" t="str">
        <f>CONCATENATE(Tabla18[[#This Row],[Concatenado***]],"_",Tabla5[[#This Row],[Zona (Distrito)
&lt;&lt; Seleccionar&gt;&gt;]])</f>
        <v>Huánuco__</v>
      </c>
      <c r="J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" s="72" t="e">
        <f>VLOOKUP(Tabla5[[#This Row],[Tipo de Transporte Empleado
&lt;&lt; Seleccionar&gt;&gt;]],Tabla8[#All],2,0)</f>
        <v>#N/A</v>
      </c>
      <c r="L57" s="71" t="e">
        <f>#REF!+(#REF!*2)+#REF!</f>
        <v>#REF!</v>
      </c>
    </row>
    <row r="58" spans="1:12" x14ac:dyDescent="0.25">
      <c r="A58" s="328" t="e">
        <f>VLOOKUP(Tabla5[[#This Row],[Acción
&lt;&lt; Seleccionar&gt;&gt;]],TablaAccion[[#All],[Nombre_Abreviado]:[Codigo_Plan_Acción]],3,0)</f>
        <v>#N/A</v>
      </c>
      <c r="B58" s="328" t="e">
        <f>VLOOKUP(Tabla5[[#This Row],[Acción Especifica
&lt;&lt; Seleccionar&gt;&gt;]],TablaAccionEspecifica[[#All],[Nombre_Abreviado]:[Codigo_Acción]],3,0)</f>
        <v>#N/A</v>
      </c>
      <c r="C58" s="328" t="e">
        <f>CONCATENATE(Tabla18[[#This Row],[Bus_02]],"_",Tabla5[[#This Row],[Sub Acción Específica
&lt;&lt; Seleccionar&gt;&gt;]])</f>
        <v>#N/A</v>
      </c>
      <c r="D58" s="328" t="e">
        <f>VLOOKUP(Tabla18[[#This Row],[Aux_01]],TablaSubAccionEspecifica[[#All],[Concat]:[Cod_Sub_acción_especifica]],2,0)</f>
        <v>#N/A</v>
      </c>
      <c r="E58" s="328" t="e">
        <f>Tabla18[[#This Row],[Bus_03]]&amp;"_"&amp;Tabla5[[#This Row],[Tipo de Agente
&lt;&lt; Seleccionar&gt;&gt;]]</f>
        <v>#N/A</v>
      </c>
      <c r="F58" s="328" t="e">
        <f>VLOOKUP(Tabla18[[#This Row],[Concat2]],TablaPOA[[#All],[Concat]:[ConcatEspecial]],3,0)</f>
        <v>#N/A</v>
      </c>
      <c r="G58" s="65" t="str">
        <f>CONCATENATE(Registro!$A$6,"_",Tabla5[[#This Row],[Zona (Provincia)
&lt;&lt; Seleccionar&gt;&gt;]])</f>
        <v>Huánuco_</v>
      </c>
      <c r="H58" s="60" t="e">
        <f>VLOOKUP(Tabla18[[#This Row],[Concatenado***]],Tabla2[[#All],[Concatenado]:[Simbología*]],2,0)</f>
        <v>#N/A</v>
      </c>
      <c r="I58" s="65" t="str">
        <f>CONCATENATE(Tabla18[[#This Row],[Concatenado***]],"_",Tabla5[[#This Row],[Zona (Distrito)
&lt;&lt; Seleccionar&gt;&gt;]])</f>
        <v>Huánuco__</v>
      </c>
      <c r="J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" s="72" t="e">
        <f>VLOOKUP(Tabla5[[#This Row],[Tipo de Transporte Empleado
&lt;&lt; Seleccionar&gt;&gt;]],Tabla8[#All],2,0)</f>
        <v>#N/A</v>
      </c>
      <c r="L58" s="71" t="e">
        <f>#REF!+(#REF!*2)+#REF!</f>
        <v>#REF!</v>
      </c>
    </row>
    <row r="59" spans="1:12" x14ac:dyDescent="0.25">
      <c r="A59" s="328" t="e">
        <f>VLOOKUP(Tabla5[[#This Row],[Acción
&lt;&lt; Seleccionar&gt;&gt;]],TablaAccion[[#All],[Nombre_Abreviado]:[Codigo_Plan_Acción]],3,0)</f>
        <v>#N/A</v>
      </c>
      <c r="B59" s="328" t="e">
        <f>VLOOKUP(Tabla5[[#This Row],[Acción Especifica
&lt;&lt; Seleccionar&gt;&gt;]],TablaAccionEspecifica[[#All],[Nombre_Abreviado]:[Codigo_Acción]],3,0)</f>
        <v>#N/A</v>
      </c>
      <c r="C59" s="328" t="e">
        <f>CONCATENATE(Tabla18[[#This Row],[Bus_02]],"_",Tabla5[[#This Row],[Sub Acción Específica
&lt;&lt; Seleccionar&gt;&gt;]])</f>
        <v>#N/A</v>
      </c>
      <c r="D59" s="328" t="e">
        <f>VLOOKUP(Tabla18[[#This Row],[Aux_01]],TablaSubAccionEspecifica[[#All],[Concat]:[Cod_Sub_acción_especifica]],2,0)</f>
        <v>#N/A</v>
      </c>
      <c r="E59" s="328" t="e">
        <f>Tabla18[[#This Row],[Bus_03]]&amp;"_"&amp;Tabla5[[#This Row],[Tipo de Agente
&lt;&lt; Seleccionar&gt;&gt;]]</f>
        <v>#N/A</v>
      </c>
      <c r="F59" s="328" t="e">
        <f>VLOOKUP(Tabla18[[#This Row],[Concat2]],TablaPOA[[#All],[Concat]:[ConcatEspecial]],3,0)</f>
        <v>#N/A</v>
      </c>
      <c r="G59" s="65" t="str">
        <f>CONCATENATE(Registro!$A$6,"_",Tabla5[[#This Row],[Zona (Provincia)
&lt;&lt; Seleccionar&gt;&gt;]])</f>
        <v>Huánuco_</v>
      </c>
      <c r="H59" s="60" t="e">
        <f>VLOOKUP(Tabla18[[#This Row],[Concatenado***]],Tabla2[[#All],[Concatenado]:[Simbología*]],2,0)</f>
        <v>#N/A</v>
      </c>
      <c r="I59" s="65" t="str">
        <f>CONCATENATE(Tabla18[[#This Row],[Concatenado***]],"_",Tabla5[[#This Row],[Zona (Distrito)
&lt;&lt; Seleccionar&gt;&gt;]])</f>
        <v>Huánuco__</v>
      </c>
      <c r="J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" s="72" t="e">
        <f>VLOOKUP(Tabla5[[#This Row],[Tipo de Transporte Empleado
&lt;&lt; Seleccionar&gt;&gt;]],Tabla8[#All],2,0)</f>
        <v>#N/A</v>
      </c>
      <c r="L59" s="71" t="e">
        <f>#REF!+(#REF!*2)+#REF!</f>
        <v>#REF!</v>
      </c>
    </row>
    <row r="60" spans="1:12" x14ac:dyDescent="0.25">
      <c r="A60" s="328" t="e">
        <f>VLOOKUP(Tabla5[[#This Row],[Acción
&lt;&lt; Seleccionar&gt;&gt;]],TablaAccion[[#All],[Nombre_Abreviado]:[Codigo_Plan_Acción]],3,0)</f>
        <v>#N/A</v>
      </c>
      <c r="B60" s="328" t="e">
        <f>VLOOKUP(Tabla5[[#This Row],[Acción Especifica
&lt;&lt; Seleccionar&gt;&gt;]],TablaAccionEspecifica[[#All],[Nombre_Abreviado]:[Codigo_Acción]],3,0)</f>
        <v>#N/A</v>
      </c>
      <c r="C60" s="328" t="e">
        <f>CONCATENATE(Tabla18[[#This Row],[Bus_02]],"_",Tabla5[[#This Row],[Sub Acción Específica
&lt;&lt; Seleccionar&gt;&gt;]])</f>
        <v>#N/A</v>
      </c>
      <c r="D60" s="328" t="e">
        <f>VLOOKUP(Tabla18[[#This Row],[Aux_01]],TablaSubAccionEspecifica[[#All],[Concat]:[Cod_Sub_acción_especifica]],2,0)</f>
        <v>#N/A</v>
      </c>
      <c r="E60" s="328" t="e">
        <f>Tabla18[[#This Row],[Bus_03]]&amp;"_"&amp;Tabla5[[#This Row],[Tipo de Agente
&lt;&lt; Seleccionar&gt;&gt;]]</f>
        <v>#N/A</v>
      </c>
      <c r="F60" s="328" t="e">
        <f>VLOOKUP(Tabla18[[#This Row],[Concat2]],TablaPOA[[#All],[Concat]:[ConcatEspecial]],3,0)</f>
        <v>#N/A</v>
      </c>
      <c r="G60" s="65" t="str">
        <f>CONCATENATE(Registro!$A$6,"_",Tabla5[[#This Row],[Zona (Provincia)
&lt;&lt; Seleccionar&gt;&gt;]])</f>
        <v>Huánuco_</v>
      </c>
      <c r="H60" s="60" t="e">
        <f>VLOOKUP(Tabla18[[#This Row],[Concatenado***]],Tabla2[[#All],[Concatenado]:[Simbología*]],2,0)</f>
        <v>#N/A</v>
      </c>
      <c r="I60" s="65" t="str">
        <f>CONCATENATE(Tabla18[[#This Row],[Concatenado***]],"_",Tabla5[[#This Row],[Zona (Distrito)
&lt;&lt; Seleccionar&gt;&gt;]])</f>
        <v>Huánuco__</v>
      </c>
      <c r="J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" s="72" t="e">
        <f>VLOOKUP(Tabla5[[#This Row],[Tipo de Transporte Empleado
&lt;&lt; Seleccionar&gt;&gt;]],Tabla8[#All],2,0)</f>
        <v>#N/A</v>
      </c>
      <c r="L60" s="71" t="e">
        <f>#REF!+(#REF!*2)+#REF!</f>
        <v>#REF!</v>
      </c>
    </row>
    <row r="61" spans="1:12" x14ac:dyDescent="0.25">
      <c r="A61" s="328" t="e">
        <f>VLOOKUP(Tabla5[[#This Row],[Acción
&lt;&lt; Seleccionar&gt;&gt;]],TablaAccion[[#All],[Nombre_Abreviado]:[Codigo_Plan_Acción]],3,0)</f>
        <v>#N/A</v>
      </c>
      <c r="B61" s="328" t="e">
        <f>VLOOKUP(Tabla5[[#This Row],[Acción Especifica
&lt;&lt; Seleccionar&gt;&gt;]],TablaAccionEspecifica[[#All],[Nombre_Abreviado]:[Codigo_Acción]],3,0)</f>
        <v>#N/A</v>
      </c>
      <c r="C61" s="328" t="e">
        <f>CONCATENATE(Tabla18[[#This Row],[Bus_02]],"_",Tabla5[[#This Row],[Sub Acción Específica
&lt;&lt; Seleccionar&gt;&gt;]])</f>
        <v>#N/A</v>
      </c>
      <c r="D61" s="328" t="e">
        <f>VLOOKUP(Tabla18[[#This Row],[Aux_01]],TablaSubAccionEspecifica[[#All],[Concat]:[Cod_Sub_acción_especifica]],2,0)</f>
        <v>#N/A</v>
      </c>
      <c r="E61" s="328" t="e">
        <f>Tabla18[[#This Row],[Bus_03]]&amp;"_"&amp;Tabla5[[#This Row],[Tipo de Agente
&lt;&lt; Seleccionar&gt;&gt;]]</f>
        <v>#N/A</v>
      </c>
      <c r="F61" s="328" t="e">
        <f>VLOOKUP(Tabla18[[#This Row],[Concat2]],TablaPOA[[#All],[Concat]:[ConcatEspecial]],3,0)</f>
        <v>#N/A</v>
      </c>
      <c r="G61" s="65" t="str">
        <f>CONCATENATE(Registro!$A$6,"_",Tabla5[[#This Row],[Zona (Provincia)
&lt;&lt; Seleccionar&gt;&gt;]])</f>
        <v>Huánuco_</v>
      </c>
      <c r="H61" s="60" t="e">
        <f>VLOOKUP(Tabla18[[#This Row],[Concatenado***]],Tabla2[[#All],[Concatenado]:[Simbología*]],2,0)</f>
        <v>#N/A</v>
      </c>
      <c r="I61" s="65" t="str">
        <f>CONCATENATE(Tabla18[[#This Row],[Concatenado***]],"_",Tabla5[[#This Row],[Zona (Distrito)
&lt;&lt; Seleccionar&gt;&gt;]])</f>
        <v>Huánuco__</v>
      </c>
      <c r="J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" s="72" t="e">
        <f>VLOOKUP(Tabla5[[#This Row],[Tipo de Transporte Empleado
&lt;&lt; Seleccionar&gt;&gt;]],Tabla8[#All],2,0)</f>
        <v>#N/A</v>
      </c>
      <c r="L61" s="71" t="e">
        <f>#REF!+(#REF!*2)+#REF!</f>
        <v>#REF!</v>
      </c>
    </row>
    <row r="62" spans="1:12" x14ac:dyDescent="0.25">
      <c r="A62" s="328" t="e">
        <f>VLOOKUP(Tabla5[[#This Row],[Acción
&lt;&lt; Seleccionar&gt;&gt;]],TablaAccion[[#All],[Nombre_Abreviado]:[Codigo_Plan_Acción]],3,0)</f>
        <v>#N/A</v>
      </c>
      <c r="B62" s="328" t="e">
        <f>VLOOKUP(Tabla5[[#This Row],[Acción Especifica
&lt;&lt; Seleccionar&gt;&gt;]],TablaAccionEspecifica[[#All],[Nombre_Abreviado]:[Codigo_Acción]],3,0)</f>
        <v>#N/A</v>
      </c>
      <c r="C62" s="328" t="e">
        <f>CONCATENATE(Tabla18[[#This Row],[Bus_02]],"_",Tabla5[[#This Row],[Sub Acción Específica
&lt;&lt; Seleccionar&gt;&gt;]])</f>
        <v>#N/A</v>
      </c>
      <c r="D62" s="328" t="e">
        <f>VLOOKUP(Tabla18[[#This Row],[Aux_01]],TablaSubAccionEspecifica[[#All],[Concat]:[Cod_Sub_acción_especifica]],2,0)</f>
        <v>#N/A</v>
      </c>
      <c r="E62" s="328" t="e">
        <f>Tabla18[[#This Row],[Bus_03]]&amp;"_"&amp;Tabla5[[#This Row],[Tipo de Agente
&lt;&lt; Seleccionar&gt;&gt;]]</f>
        <v>#N/A</v>
      </c>
      <c r="F62" s="328" t="e">
        <f>VLOOKUP(Tabla18[[#This Row],[Concat2]],TablaPOA[[#All],[Concat]:[ConcatEspecial]],3,0)</f>
        <v>#N/A</v>
      </c>
      <c r="G62" s="65" t="str">
        <f>CONCATENATE(Registro!$A$6,"_",Tabla5[[#This Row],[Zona (Provincia)
&lt;&lt; Seleccionar&gt;&gt;]])</f>
        <v>Huánuco_</v>
      </c>
      <c r="H62" s="60" t="e">
        <f>VLOOKUP(Tabla18[[#This Row],[Concatenado***]],Tabla2[[#All],[Concatenado]:[Simbología*]],2,0)</f>
        <v>#N/A</v>
      </c>
      <c r="I62" s="65" t="str">
        <f>CONCATENATE(Tabla18[[#This Row],[Concatenado***]],"_",Tabla5[[#This Row],[Zona (Distrito)
&lt;&lt; Seleccionar&gt;&gt;]])</f>
        <v>Huánuco__</v>
      </c>
      <c r="J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" s="72" t="e">
        <f>VLOOKUP(Tabla5[[#This Row],[Tipo de Transporte Empleado
&lt;&lt; Seleccionar&gt;&gt;]],Tabla8[#All],2,0)</f>
        <v>#N/A</v>
      </c>
      <c r="L62" s="71" t="e">
        <f>#REF!+(#REF!*2)+#REF!</f>
        <v>#REF!</v>
      </c>
    </row>
    <row r="63" spans="1:12" x14ac:dyDescent="0.25">
      <c r="A63" s="328" t="e">
        <f>VLOOKUP(Tabla5[[#This Row],[Acción
&lt;&lt; Seleccionar&gt;&gt;]],TablaAccion[[#All],[Nombre_Abreviado]:[Codigo_Plan_Acción]],3,0)</f>
        <v>#N/A</v>
      </c>
      <c r="B63" s="328" t="e">
        <f>VLOOKUP(Tabla5[[#This Row],[Acción Especifica
&lt;&lt; Seleccionar&gt;&gt;]],TablaAccionEspecifica[[#All],[Nombre_Abreviado]:[Codigo_Acción]],3,0)</f>
        <v>#N/A</v>
      </c>
      <c r="C63" s="328" t="e">
        <f>CONCATENATE(Tabla18[[#This Row],[Bus_02]],"_",Tabla5[[#This Row],[Sub Acción Específica
&lt;&lt; Seleccionar&gt;&gt;]])</f>
        <v>#N/A</v>
      </c>
      <c r="D63" s="328" t="e">
        <f>VLOOKUP(Tabla18[[#This Row],[Aux_01]],TablaSubAccionEspecifica[[#All],[Concat]:[Cod_Sub_acción_especifica]],2,0)</f>
        <v>#N/A</v>
      </c>
      <c r="E63" s="328" t="e">
        <f>Tabla18[[#This Row],[Bus_03]]&amp;"_"&amp;Tabla5[[#This Row],[Tipo de Agente
&lt;&lt; Seleccionar&gt;&gt;]]</f>
        <v>#N/A</v>
      </c>
      <c r="F63" s="328" t="e">
        <f>VLOOKUP(Tabla18[[#This Row],[Concat2]],TablaPOA[[#All],[Concat]:[ConcatEspecial]],3,0)</f>
        <v>#N/A</v>
      </c>
      <c r="G63" s="65" t="str">
        <f>CONCATENATE(Registro!$A$6,"_",Tabla5[[#This Row],[Zona (Provincia)
&lt;&lt; Seleccionar&gt;&gt;]])</f>
        <v>Huánuco_</v>
      </c>
      <c r="H63" s="60" t="e">
        <f>VLOOKUP(Tabla18[[#This Row],[Concatenado***]],Tabla2[[#All],[Concatenado]:[Simbología*]],2,0)</f>
        <v>#N/A</v>
      </c>
      <c r="I63" s="65" t="str">
        <f>CONCATENATE(Tabla18[[#This Row],[Concatenado***]],"_",Tabla5[[#This Row],[Zona (Distrito)
&lt;&lt; Seleccionar&gt;&gt;]])</f>
        <v>Huánuco__</v>
      </c>
      <c r="J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" s="72" t="e">
        <f>VLOOKUP(Tabla5[[#This Row],[Tipo de Transporte Empleado
&lt;&lt; Seleccionar&gt;&gt;]],Tabla8[#All],2,0)</f>
        <v>#N/A</v>
      </c>
      <c r="L63" s="71" t="e">
        <f>#REF!+(#REF!*2)+#REF!</f>
        <v>#REF!</v>
      </c>
    </row>
    <row r="64" spans="1:12" x14ac:dyDescent="0.25">
      <c r="A64" s="328" t="e">
        <f>VLOOKUP(Tabla5[[#This Row],[Acción
&lt;&lt; Seleccionar&gt;&gt;]],TablaAccion[[#All],[Nombre_Abreviado]:[Codigo_Plan_Acción]],3,0)</f>
        <v>#N/A</v>
      </c>
      <c r="B64" s="328" t="e">
        <f>VLOOKUP(Tabla5[[#This Row],[Acción Especifica
&lt;&lt; Seleccionar&gt;&gt;]],TablaAccionEspecifica[[#All],[Nombre_Abreviado]:[Codigo_Acción]],3,0)</f>
        <v>#N/A</v>
      </c>
      <c r="C64" s="328" t="e">
        <f>CONCATENATE(Tabla18[[#This Row],[Bus_02]],"_",Tabla5[[#This Row],[Sub Acción Específica
&lt;&lt; Seleccionar&gt;&gt;]])</f>
        <v>#N/A</v>
      </c>
      <c r="D64" s="328" t="e">
        <f>VLOOKUP(Tabla18[[#This Row],[Aux_01]],TablaSubAccionEspecifica[[#All],[Concat]:[Cod_Sub_acción_especifica]],2,0)</f>
        <v>#N/A</v>
      </c>
      <c r="E64" s="328" t="e">
        <f>Tabla18[[#This Row],[Bus_03]]&amp;"_"&amp;Tabla5[[#This Row],[Tipo de Agente
&lt;&lt; Seleccionar&gt;&gt;]]</f>
        <v>#N/A</v>
      </c>
      <c r="F64" s="328" t="e">
        <f>VLOOKUP(Tabla18[[#This Row],[Concat2]],TablaPOA[[#All],[Concat]:[ConcatEspecial]],3,0)</f>
        <v>#N/A</v>
      </c>
      <c r="G64" s="65" t="str">
        <f>CONCATENATE(Registro!$A$6,"_",Tabla5[[#This Row],[Zona (Provincia)
&lt;&lt; Seleccionar&gt;&gt;]])</f>
        <v>Huánuco_</v>
      </c>
      <c r="H64" s="60" t="e">
        <f>VLOOKUP(Tabla18[[#This Row],[Concatenado***]],Tabla2[[#All],[Concatenado]:[Simbología*]],2,0)</f>
        <v>#N/A</v>
      </c>
      <c r="I64" s="65" t="str">
        <f>CONCATENATE(Tabla18[[#This Row],[Concatenado***]],"_",Tabla5[[#This Row],[Zona (Distrito)
&lt;&lt; Seleccionar&gt;&gt;]])</f>
        <v>Huánuco__</v>
      </c>
      <c r="J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" s="72" t="e">
        <f>VLOOKUP(Tabla5[[#This Row],[Tipo de Transporte Empleado
&lt;&lt; Seleccionar&gt;&gt;]],Tabla8[#All],2,0)</f>
        <v>#N/A</v>
      </c>
      <c r="L64" s="71" t="e">
        <f>#REF!+(#REF!*2)+#REF!</f>
        <v>#REF!</v>
      </c>
    </row>
    <row r="65" spans="1:12" x14ac:dyDescent="0.25">
      <c r="A65" s="328" t="e">
        <f>VLOOKUP(Tabla5[[#This Row],[Acción
&lt;&lt; Seleccionar&gt;&gt;]],TablaAccion[[#All],[Nombre_Abreviado]:[Codigo_Plan_Acción]],3,0)</f>
        <v>#N/A</v>
      </c>
      <c r="B65" s="328" t="e">
        <f>VLOOKUP(Tabla5[[#This Row],[Acción Especifica
&lt;&lt; Seleccionar&gt;&gt;]],TablaAccionEspecifica[[#All],[Nombre_Abreviado]:[Codigo_Acción]],3,0)</f>
        <v>#N/A</v>
      </c>
      <c r="C65" s="328" t="e">
        <f>CONCATENATE(Tabla18[[#This Row],[Bus_02]],"_",Tabla5[[#This Row],[Sub Acción Específica
&lt;&lt; Seleccionar&gt;&gt;]])</f>
        <v>#N/A</v>
      </c>
      <c r="D65" s="328" t="e">
        <f>VLOOKUP(Tabla18[[#This Row],[Aux_01]],TablaSubAccionEspecifica[[#All],[Concat]:[Cod_Sub_acción_especifica]],2,0)</f>
        <v>#N/A</v>
      </c>
      <c r="E65" s="328" t="e">
        <f>Tabla18[[#This Row],[Bus_03]]&amp;"_"&amp;Tabla5[[#This Row],[Tipo de Agente
&lt;&lt; Seleccionar&gt;&gt;]]</f>
        <v>#N/A</v>
      </c>
      <c r="F65" s="328" t="e">
        <f>VLOOKUP(Tabla18[[#This Row],[Concat2]],TablaPOA[[#All],[Concat]:[ConcatEspecial]],3,0)</f>
        <v>#N/A</v>
      </c>
      <c r="G65" s="65" t="str">
        <f>CONCATENATE(Registro!$A$6,"_",Tabla5[[#This Row],[Zona (Provincia)
&lt;&lt; Seleccionar&gt;&gt;]])</f>
        <v>Huánuco_</v>
      </c>
      <c r="H65" s="60" t="e">
        <f>VLOOKUP(Tabla18[[#This Row],[Concatenado***]],Tabla2[[#All],[Concatenado]:[Simbología*]],2,0)</f>
        <v>#N/A</v>
      </c>
      <c r="I65" s="65" t="str">
        <f>CONCATENATE(Tabla18[[#This Row],[Concatenado***]],"_",Tabla5[[#This Row],[Zona (Distrito)
&lt;&lt; Seleccionar&gt;&gt;]])</f>
        <v>Huánuco__</v>
      </c>
      <c r="J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" s="72" t="e">
        <f>VLOOKUP(Tabla5[[#This Row],[Tipo de Transporte Empleado
&lt;&lt; Seleccionar&gt;&gt;]],Tabla8[#All],2,0)</f>
        <v>#N/A</v>
      </c>
      <c r="L65" s="71" t="e">
        <f>#REF!+(#REF!*2)+#REF!</f>
        <v>#REF!</v>
      </c>
    </row>
    <row r="66" spans="1:12" x14ac:dyDescent="0.25">
      <c r="A66" s="328" t="e">
        <f>VLOOKUP(Tabla5[[#This Row],[Acción
&lt;&lt; Seleccionar&gt;&gt;]],TablaAccion[[#All],[Nombre_Abreviado]:[Codigo_Plan_Acción]],3,0)</f>
        <v>#N/A</v>
      </c>
      <c r="B66" s="328" t="e">
        <f>VLOOKUP(Tabla5[[#This Row],[Acción Especifica
&lt;&lt; Seleccionar&gt;&gt;]],TablaAccionEspecifica[[#All],[Nombre_Abreviado]:[Codigo_Acción]],3,0)</f>
        <v>#N/A</v>
      </c>
      <c r="C66" s="328" t="e">
        <f>CONCATENATE(Tabla18[[#This Row],[Bus_02]],"_",Tabla5[[#This Row],[Sub Acción Específica
&lt;&lt; Seleccionar&gt;&gt;]])</f>
        <v>#N/A</v>
      </c>
      <c r="D66" s="328" t="e">
        <f>VLOOKUP(Tabla18[[#This Row],[Aux_01]],TablaSubAccionEspecifica[[#All],[Concat]:[Cod_Sub_acción_especifica]],2,0)</f>
        <v>#N/A</v>
      </c>
      <c r="E66" s="328" t="e">
        <f>Tabla18[[#This Row],[Bus_03]]&amp;"_"&amp;Tabla5[[#This Row],[Tipo de Agente
&lt;&lt; Seleccionar&gt;&gt;]]</f>
        <v>#N/A</v>
      </c>
      <c r="F66" s="328" t="e">
        <f>VLOOKUP(Tabla18[[#This Row],[Concat2]],TablaPOA[[#All],[Concat]:[ConcatEspecial]],3,0)</f>
        <v>#N/A</v>
      </c>
      <c r="G66" s="65" t="str">
        <f>CONCATENATE(Registro!$A$6,"_",Tabla5[[#This Row],[Zona (Provincia)
&lt;&lt; Seleccionar&gt;&gt;]])</f>
        <v>Huánuco_</v>
      </c>
      <c r="H66" s="60" t="e">
        <f>VLOOKUP(Tabla18[[#This Row],[Concatenado***]],Tabla2[[#All],[Concatenado]:[Simbología*]],2,0)</f>
        <v>#N/A</v>
      </c>
      <c r="I66" s="65" t="str">
        <f>CONCATENATE(Tabla18[[#This Row],[Concatenado***]],"_",Tabla5[[#This Row],[Zona (Distrito)
&lt;&lt; Seleccionar&gt;&gt;]])</f>
        <v>Huánuco__</v>
      </c>
      <c r="J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" s="72" t="e">
        <f>VLOOKUP(Tabla5[[#This Row],[Tipo de Transporte Empleado
&lt;&lt; Seleccionar&gt;&gt;]],Tabla8[#All],2,0)</f>
        <v>#N/A</v>
      </c>
      <c r="L66" s="71" t="e">
        <f>#REF!+(#REF!*2)+#REF!</f>
        <v>#REF!</v>
      </c>
    </row>
    <row r="67" spans="1:12" x14ac:dyDescent="0.25">
      <c r="A67" s="328" t="e">
        <f>VLOOKUP(Tabla5[[#This Row],[Acción
&lt;&lt; Seleccionar&gt;&gt;]],TablaAccion[[#All],[Nombre_Abreviado]:[Codigo_Plan_Acción]],3,0)</f>
        <v>#N/A</v>
      </c>
      <c r="B67" s="328" t="e">
        <f>VLOOKUP(Tabla5[[#This Row],[Acción Especifica
&lt;&lt; Seleccionar&gt;&gt;]],TablaAccionEspecifica[[#All],[Nombre_Abreviado]:[Codigo_Acción]],3,0)</f>
        <v>#N/A</v>
      </c>
      <c r="C67" s="328" t="e">
        <f>CONCATENATE(Tabla18[[#This Row],[Bus_02]],"_",Tabla5[[#This Row],[Sub Acción Específica
&lt;&lt; Seleccionar&gt;&gt;]])</f>
        <v>#N/A</v>
      </c>
      <c r="D67" s="328" t="e">
        <f>VLOOKUP(Tabla18[[#This Row],[Aux_01]],TablaSubAccionEspecifica[[#All],[Concat]:[Cod_Sub_acción_especifica]],2,0)</f>
        <v>#N/A</v>
      </c>
      <c r="E67" s="328" t="e">
        <f>Tabla18[[#This Row],[Bus_03]]&amp;"_"&amp;Tabla5[[#This Row],[Tipo de Agente
&lt;&lt; Seleccionar&gt;&gt;]]</f>
        <v>#N/A</v>
      </c>
      <c r="F67" s="328" t="e">
        <f>VLOOKUP(Tabla18[[#This Row],[Concat2]],TablaPOA[[#All],[Concat]:[ConcatEspecial]],3,0)</f>
        <v>#N/A</v>
      </c>
      <c r="G67" s="65" t="str">
        <f>CONCATENATE(Registro!$A$6,"_",Tabla5[[#This Row],[Zona (Provincia)
&lt;&lt; Seleccionar&gt;&gt;]])</f>
        <v>Huánuco_</v>
      </c>
      <c r="H67" s="60" t="e">
        <f>VLOOKUP(Tabla18[[#This Row],[Concatenado***]],Tabla2[[#All],[Concatenado]:[Simbología*]],2,0)</f>
        <v>#N/A</v>
      </c>
      <c r="I67" s="65" t="str">
        <f>CONCATENATE(Tabla18[[#This Row],[Concatenado***]],"_",Tabla5[[#This Row],[Zona (Distrito)
&lt;&lt; Seleccionar&gt;&gt;]])</f>
        <v>Huánuco__</v>
      </c>
      <c r="J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" s="72" t="e">
        <f>VLOOKUP(Tabla5[[#This Row],[Tipo de Transporte Empleado
&lt;&lt; Seleccionar&gt;&gt;]],Tabla8[#All],2,0)</f>
        <v>#N/A</v>
      </c>
      <c r="L67" s="71" t="e">
        <f>#REF!+(#REF!*2)+#REF!</f>
        <v>#REF!</v>
      </c>
    </row>
    <row r="68" spans="1:12" x14ac:dyDescent="0.25">
      <c r="A68" s="328" t="e">
        <f>VLOOKUP(Tabla5[[#This Row],[Acción
&lt;&lt; Seleccionar&gt;&gt;]],TablaAccion[[#All],[Nombre_Abreviado]:[Codigo_Plan_Acción]],3,0)</f>
        <v>#N/A</v>
      </c>
      <c r="B68" s="328" t="e">
        <f>VLOOKUP(Tabla5[[#This Row],[Acción Especifica
&lt;&lt; Seleccionar&gt;&gt;]],TablaAccionEspecifica[[#All],[Nombre_Abreviado]:[Codigo_Acción]],3,0)</f>
        <v>#N/A</v>
      </c>
      <c r="C68" s="328" t="e">
        <f>CONCATENATE(Tabla18[[#This Row],[Bus_02]],"_",Tabla5[[#This Row],[Sub Acción Específica
&lt;&lt; Seleccionar&gt;&gt;]])</f>
        <v>#N/A</v>
      </c>
      <c r="D68" s="328" t="e">
        <f>VLOOKUP(Tabla18[[#This Row],[Aux_01]],TablaSubAccionEspecifica[[#All],[Concat]:[Cod_Sub_acción_especifica]],2,0)</f>
        <v>#N/A</v>
      </c>
      <c r="E68" s="328" t="e">
        <f>Tabla18[[#This Row],[Bus_03]]&amp;"_"&amp;Tabla5[[#This Row],[Tipo de Agente
&lt;&lt; Seleccionar&gt;&gt;]]</f>
        <v>#N/A</v>
      </c>
      <c r="F68" s="328" t="e">
        <f>VLOOKUP(Tabla18[[#This Row],[Concat2]],TablaPOA[[#All],[Concat]:[ConcatEspecial]],3,0)</f>
        <v>#N/A</v>
      </c>
      <c r="G68" s="65" t="str">
        <f>CONCATENATE(Registro!$A$6,"_",Tabla5[[#This Row],[Zona (Provincia)
&lt;&lt; Seleccionar&gt;&gt;]])</f>
        <v>Huánuco_</v>
      </c>
      <c r="H68" s="60" t="e">
        <f>VLOOKUP(Tabla18[[#This Row],[Concatenado***]],Tabla2[[#All],[Concatenado]:[Simbología*]],2,0)</f>
        <v>#N/A</v>
      </c>
      <c r="I68" s="65" t="str">
        <f>CONCATENATE(Tabla18[[#This Row],[Concatenado***]],"_",Tabla5[[#This Row],[Zona (Distrito)
&lt;&lt; Seleccionar&gt;&gt;]])</f>
        <v>Huánuco__</v>
      </c>
      <c r="J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" s="72" t="e">
        <f>VLOOKUP(Tabla5[[#This Row],[Tipo de Transporte Empleado
&lt;&lt; Seleccionar&gt;&gt;]],Tabla8[#All],2,0)</f>
        <v>#N/A</v>
      </c>
      <c r="L68" s="71" t="e">
        <f>#REF!+(#REF!*2)+#REF!</f>
        <v>#REF!</v>
      </c>
    </row>
    <row r="69" spans="1:12" x14ac:dyDescent="0.25">
      <c r="A69" s="328" t="e">
        <f>VLOOKUP(Tabla5[[#This Row],[Acción
&lt;&lt; Seleccionar&gt;&gt;]],TablaAccion[[#All],[Nombre_Abreviado]:[Codigo_Plan_Acción]],3,0)</f>
        <v>#N/A</v>
      </c>
      <c r="B69" s="328" t="e">
        <f>VLOOKUP(Tabla5[[#This Row],[Acción Especifica
&lt;&lt; Seleccionar&gt;&gt;]],TablaAccionEspecifica[[#All],[Nombre_Abreviado]:[Codigo_Acción]],3,0)</f>
        <v>#N/A</v>
      </c>
      <c r="C69" s="328" t="e">
        <f>CONCATENATE(Tabla18[[#This Row],[Bus_02]],"_",Tabla5[[#This Row],[Sub Acción Específica
&lt;&lt; Seleccionar&gt;&gt;]])</f>
        <v>#N/A</v>
      </c>
      <c r="D69" s="328" t="e">
        <f>VLOOKUP(Tabla18[[#This Row],[Aux_01]],TablaSubAccionEspecifica[[#All],[Concat]:[Cod_Sub_acción_especifica]],2,0)</f>
        <v>#N/A</v>
      </c>
      <c r="E69" s="328" t="e">
        <f>Tabla18[[#This Row],[Bus_03]]&amp;"_"&amp;Tabla5[[#This Row],[Tipo de Agente
&lt;&lt; Seleccionar&gt;&gt;]]</f>
        <v>#N/A</v>
      </c>
      <c r="F69" s="328" t="e">
        <f>VLOOKUP(Tabla18[[#This Row],[Concat2]],TablaPOA[[#All],[Concat]:[ConcatEspecial]],3,0)</f>
        <v>#N/A</v>
      </c>
      <c r="G69" s="65" t="str">
        <f>CONCATENATE(Registro!$A$6,"_",Tabla5[[#This Row],[Zona (Provincia)
&lt;&lt; Seleccionar&gt;&gt;]])</f>
        <v>Huánuco_</v>
      </c>
      <c r="H69" s="60" t="e">
        <f>VLOOKUP(Tabla18[[#This Row],[Concatenado***]],Tabla2[[#All],[Concatenado]:[Simbología*]],2,0)</f>
        <v>#N/A</v>
      </c>
      <c r="I69" s="65" t="str">
        <f>CONCATENATE(Tabla18[[#This Row],[Concatenado***]],"_",Tabla5[[#This Row],[Zona (Distrito)
&lt;&lt; Seleccionar&gt;&gt;]])</f>
        <v>Huánuco__</v>
      </c>
      <c r="J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" s="72" t="e">
        <f>VLOOKUP(Tabla5[[#This Row],[Tipo de Transporte Empleado
&lt;&lt; Seleccionar&gt;&gt;]],Tabla8[#All],2,0)</f>
        <v>#N/A</v>
      </c>
      <c r="L69" s="71" t="e">
        <f>#REF!+(#REF!*2)+#REF!</f>
        <v>#REF!</v>
      </c>
    </row>
    <row r="70" spans="1:12" x14ac:dyDescent="0.25">
      <c r="A70" s="328" t="e">
        <f>VLOOKUP(Tabla5[[#This Row],[Acción
&lt;&lt; Seleccionar&gt;&gt;]],TablaAccion[[#All],[Nombre_Abreviado]:[Codigo_Plan_Acción]],3,0)</f>
        <v>#N/A</v>
      </c>
      <c r="B70" s="328" t="e">
        <f>VLOOKUP(Tabla5[[#This Row],[Acción Especifica
&lt;&lt; Seleccionar&gt;&gt;]],TablaAccionEspecifica[[#All],[Nombre_Abreviado]:[Codigo_Acción]],3,0)</f>
        <v>#N/A</v>
      </c>
      <c r="C70" s="328" t="e">
        <f>CONCATENATE(Tabla18[[#This Row],[Bus_02]],"_",Tabla5[[#This Row],[Sub Acción Específica
&lt;&lt; Seleccionar&gt;&gt;]])</f>
        <v>#N/A</v>
      </c>
      <c r="D70" s="328" t="e">
        <f>VLOOKUP(Tabla18[[#This Row],[Aux_01]],TablaSubAccionEspecifica[[#All],[Concat]:[Cod_Sub_acción_especifica]],2,0)</f>
        <v>#N/A</v>
      </c>
      <c r="E70" s="328" t="e">
        <f>Tabla18[[#This Row],[Bus_03]]&amp;"_"&amp;Tabla5[[#This Row],[Tipo de Agente
&lt;&lt; Seleccionar&gt;&gt;]]</f>
        <v>#N/A</v>
      </c>
      <c r="F70" s="328" t="e">
        <f>VLOOKUP(Tabla18[[#This Row],[Concat2]],TablaPOA[[#All],[Concat]:[ConcatEspecial]],3,0)</f>
        <v>#N/A</v>
      </c>
      <c r="G70" s="65" t="str">
        <f>CONCATENATE(Registro!$A$6,"_",Tabla5[[#This Row],[Zona (Provincia)
&lt;&lt; Seleccionar&gt;&gt;]])</f>
        <v>Huánuco_</v>
      </c>
      <c r="H70" s="60" t="e">
        <f>VLOOKUP(Tabla18[[#This Row],[Concatenado***]],Tabla2[[#All],[Concatenado]:[Simbología*]],2,0)</f>
        <v>#N/A</v>
      </c>
      <c r="I70" s="65" t="str">
        <f>CONCATENATE(Tabla18[[#This Row],[Concatenado***]],"_",Tabla5[[#This Row],[Zona (Distrito)
&lt;&lt; Seleccionar&gt;&gt;]])</f>
        <v>Huánuco__</v>
      </c>
      <c r="J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" s="72" t="e">
        <f>VLOOKUP(Tabla5[[#This Row],[Tipo de Transporte Empleado
&lt;&lt; Seleccionar&gt;&gt;]],Tabla8[#All],2,0)</f>
        <v>#N/A</v>
      </c>
      <c r="L70" s="71" t="e">
        <f>#REF!+(#REF!*2)+#REF!</f>
        <v>#REF!</v>
      </c>
    </row>
    <row r="71" spans="1:12" x14ac:dyDescent="0.25">
      <c r="A71" s="328" t="e">
        <f>VLOOKUP(Tabla5[[#This Row],[Acción
&lt;&lt; Seleccionar&gt;&gt;]],TablaAccion[[#All],[Nombre_Abreviado]:[Codigo_Plan_Acción]],3,0)</f>
        <v>#N/A</v>
      </c>
      <c r="B71" s="328" t="e">
        <f>VLOOKUP(Tabla5[[#This Row],[Acción Especifica
&lt;&lt; Seleccionar&gt;&gt;]],TablaAccionEspecifica[[#All],[Nombre_Abreviado]:[Codigo_Acción]],3,0)</f>
        <v>#N/A</v>
      </c>
      <c r="C71" s="328" t="e">
        <f>CONCATENATE(Tabla18[[#This Row],[Bus_02]],"_",Tabla5[[#This Row],[Sub Acción Específica
&lt;&lt; Seleccionar&gt;&gt;]])</f>
        <v>#N/A</v>
      </c>
      <c r="D71" s="328" t="e">
        <f>VLOOKUP(Tabla18[[#This Row],[Aux_01]],TablaSubAccionEspecifica[[#All],[Concat]:[Cod_Sub_acción_especifica]],2,0)</f>
        <v>#N/A</v>
      </c>
      <c r="E71" s="328" t="e">
        <f>Tabla18[[#This Row],[Bus_03]]&amp;"_"&amp;Tabla5[[#This Row],[Tipo de Agente
&lt;&lt; Seleccionar&gt;&gt;]]</f>
        <v>#N/A</v>
      </c>
      <c r="F71" s="328" t="e">
        <f>VLOOKUP(Tabla18[[#This Row],[Concat2]],TablaPOA[[#All],[Concat]:[ConcatEspecial]],3,0)</f>
        <v>#N/A</v>
      </c>
      <c r="G71" s="65" t="str">
        <f>CONCATENATE(Registro!$A$6,"_",Tabla5[[#This Row],[Zona (Provincia)
&lt;&lt; Seleccionar&gt;&gt;]])</f>
        <v>Huánuco_</v>
      </c>
      <c r="H71" s="60" t="e">
        <f>VLOOKUP(Tabla18[[#This Row],[Concatenado***]],Tabla2[[#All],[Concatenado]:[Simbología*]],2,0)</f>
        <v>#N/A</v>
      </c>
      <c r="I71" s="65" t="str">
        <f>CONCATENATE(Tabla18[[#This Row],[Concatenado***]],"_",Tabla5[[#This Row],[Zona (Distrito)
&lt;&lt; Seleccionar&gt;&gt;]])</f>
        <v>Huánuco__</v>
      </c>
      <c r="J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" s="72" t="e">
        <f>VLOOKUP(Tabla5[[#This Row],[Tipo de Transporte Empleado
&lt;&lt; Seleccionar&gt;&gt;]],Tabla8[#All],2,0)</f>
        <v>#N/A</v>
      </c>
      <c r="L71" s="71" t="e">
        <f>#REF!+(#REF!*2)+#REF!</f>
        <v>#REF!</v>
      </c>
    </row>
    <row r="72" spans="1:12" x14ac:dyDescent="0.25">
      <c r="A72" s="328" t="e">
        <f>VLOOKUP(Tabla5[[#This Row],[Acción
&lt;&lt; Seleccionar&gt;&gt;]],TablaAccion[[#All],[Nombre_Abreviado]:[Codigo_Plan_Acción]],3,0)</f>
        <v>#N/A</v>
      </c>
      <c r="B72" s="328" t="e">
        <f>VLOOKUP(Tabla5[[#This Row],[Acción Especifica
&lt;&lt; Seleccionar&gt;&gt;]],TablaAccionEspecifica[[#All],[Nombre_Abreviado]:[Codigo_Acción]],3,0)</f>
        <v>#N/A</v>
      </c>
      <c r="C72" s="328" t="e">
        <f>CONCATENATE(Tabla18[[#This Row],[Bus_02]],"_",Tabla5[[#This Row],[Sub Acción Específica
&lt;&lt; Seleccionar&gt;&gt;]])</f>
        <v>#N/A</v>
      </c>
      <c r="D72" s="328" t="e">
        <f>VLOOKUP(Tabla18[[#This Row],[Aux_01]],TablaSubAccionEspecifica[[#All],[Concat]:[Cod_Sub_acción_especifica]],2,0)</f>
        <v>#N/A</v>
      </c>
      <c r="E72" s="328" t="e">
        <f>Tabla18[[#This Row],[Bus_03]]&amp;"_"&amp;Tabla5[[#This Row],[Tipo de Agente
&lt;&lt; Seleccionar&gt;&gt;]]</f>
        <v>#N/A</v>
      </c>
      <c r="F72" s="328" t="e">
        <f>VLOOKUP(Tabla18[[#This Row],[Concat2]],TablaPOA[[#All],[Concat]:[ConcatEspecial]],3,0)</f>
        <v>#N/A</v>
      </c>
      <c r="G72" s="65" t="str">
        <f>CONCATENATE(Registro!$A$6,"_",Tabla5[[#This Row],[Zona (Provincia)
&lt;&lt; Seleccionar&gt;&gt;]])</f>
        <v>Huánuco_</v>
      </c>
      <c r="H72" s="60" t="e">
        <f>VLOOKUP(Tabla18[[#This Row],[Concatenado***]],Tabla2[[#All],[Concatenado]:[Simbología*]],2,0)</f>
        <v>#N/A</v>
      </c>
      <c r="I72" s="65" t="str">
        <f>CONCATENATE(Tabla18[[#This Row],[Concatenado***]],"_",Tabla5[[#This Row],[Zona (Distrito)
&lt;&lt; Seleccionar&gt;&gt;]])</f>
        <v>Huánuco__</v>
      </c>
      <c r="J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" s="72" t="e">
        <f>VLOOKUP(Tabla5[[#This Row],[Tipo de Transporte Empleado
&lt;&lt; Seleccionar&gt;&gt;]],Tabla8[#All],2,0)</f>
        <v>#N/A</v>
      </c>
      <c r="L72" s="71" t="e">
        <f>#REF!+(#REF!*2)+#REF!</f>
        <v>#REF!</v>
      </c>
    </row>
    <row r="73" spans="1:12" x14ac:dyDescent="0.25">
      <c r="A73" s="328" t="e">
        <f>VLOOKUP(Tabla5[[#This Row],[Acción
&lt;&lt; Seleccionar&gt;&gt;]],TablaAccion[[#All],[Nombre_Abreviado]:[Codigo_Plan_Acción]],3,0)</f>
        <v>#N/A</v>
      </c>
      <c r="B73" s="328" t="e">
        <f>VLOOKUP(Tabla5[[#This Row],[Acción Especifica
&lt;&lt; Seleccionar&gt;&gt;]],TablaAccionEspecifica[[#All],[Nombre_Abreviado]:[Codigo_Acción]],3,0)</f>
        <v>#N/A</v>
      </c>
      <c r="C73" s="328" t="e">
        <f>CONCATENATE(Tabla18[[#This Row],[Bus_02]],"_",Tabla5[[#This Row],[Sub Acción Específica
&lt;&lt; Seleccionar&gt;&gt;]])</f>
        <v>#N/A</v>
      </c>
      <c r="D73" s="328" t="e">
        <f>VLOOKUP(Tabla18[[#This Row],[Aux_01]],TablaSubAccionEspecifica[[#All],[Concat]:[Cod_Sub_acción_especifica]],2,0)</f>
        <v>#N/A</v>
      </c>
      <c r="E73" s="328" t="e">
        <f>Tabla18[[#This Row],[Bus_03]]&amp;"_"&amp;Tabla5[[#This Row],[Tipo de Agente
&lt;&lt; Seleccionar&gt;&gt;]]</f>
        <v>#N/A</v>
      </c>
      <c r="F73" s="328" t="e">
        <f>VLOOKUP(Tabla18[[#This Row],[Concat2]],TablaPOA[[#All],[Concat]:[ConcatEspecial]],3,0)</f>
        <v>#N/A</v>
      </c>
      <c r="G73" s="65" t="str">
        <f>CONCATENATE(Registro!$A$6,"_",Tabla5[[#This Row],[Zona (Provincia)
&lt;&lt; Seleccionar&gt;&gt;]])</f>
        <v>Huánuco_</v>
      </c>
      <c r="H73" s="60" t="e">
        <f>VLOOKUP(Tabla18[[#This Row],[Concatenado***]],Tabla2[[#All],[Concatenado]:[Simbología*]],2,0)</f>
        <v>#N/A</v>
      </c>
      <c r="I73" s="65" t="str">
        <f>CONCATENATE(Tabla18[[#This Row],[Concatenado***]],"_",Tabla5[[#This Row],[Zona (Distrito)
&lt;&lt; Seleccionar&gt;&gt;]])</f>
        <v>Huánuco__</v>
      </c>
      <c r="J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" s="72" t="e">
        <f>VLOOKUP(Tabla5[[#This Row],[Tipo de Transporte Empleado
&lt;&lt; Seleccionar&gt;&gt;]],Tabla8[#All],2,0)</f>
        <v>#N/A</v>
      </c>
      <c r="L73" s="71" t="e">
        <f>#REF!+(#REF!*2)+#REF!</f>
        <v>#REF!</v>
      </c>
    </row>
    <row r="74" spans="1:12" x14ac:dyDescent="0.25">
      <c r="A74" s="328" t="e">
        <f>VLOOKUP(Tabla5[[#This Row],[Acción
&lt;&lt; Seleccionar&gt;&gt;]],TablaAccion[[#All],[Nombre_Abreviado]:[Codigo_Plan_Acción]],3,0)</f>
        <v>#N/A</v>
      </c>
      <c r="B74" s="328" t="e">
        <f>VLOOKUP(Tabla5[[#This Row],[Acción Especifica
&lt;&lt; Seleccionar&gt;&gt;]],TablaAccionEspecifica[[#All],[Nombre_Abreviado]:[Codigo_Acción]],3,0)</f>
        <v>#N/A</v>
      </c>
      <c r="C74" s="328" t="e">
        <f>CONCATENATE(Tabla18[[#This Row],[Bus_02]],"_",Tabla5[[#This Row],[Sub Acción Específica
&lt;&lt; Seleccionar&gt;&gt;]])</f>
        <v>#N/A</v>
      </c>
      <c r="D74" s="328" t="e">
        <f>VLOOKUP(Tabla18[[#This Row],[Aux_01]],TablaSubAccionEspecifica[[#All],[Concat]:[Cod_Sub_acción_especifica]],2,0)</f>
        <v>#N/A</v>
      </c>
      <c r="E74" s="328" t="e">
        <f>Tabla18[[#This Row],[Bus_03]]&amp;"_"&amp;Tabla5[[#This Row],[Tipo de Agente
&lt;&lt; Seleccionar&gt;&gt;]]</f>
        <v>#N/A</v>
      </c>
      <c r="F74" s="328" t="e">
        <f>VLOOKUP(Tabla18[[#This Row],[Concat2]],TablaPOA[[#All],[Concat]:[ConcatEspecial]],3,0)</f>
        <v>#N/A</v>
      </c>
      <c r="G74" s="65" t="str">
        <f>CONCATENATE(Registro!$A$6,"_",Tabla5[[#This Row],[Zona (Provincia)
&lt;&lt; Seleccionar&gt;&gt;]])</f>
        <v>Huánuco_</v>
      </c>
      <c r="H74" s="60" t="e">
        <f>VLOOKUP(Tabla18[[#This Row],[Concatenado***]],Tabla2[[#All],[Concatenado]:[Simbología*]],2,0)</f>
        <v>#N/A</v>
      </c>
      <c r="I74" s="65" t="str">
        <f>CONCATENATE(Tabla18[[#This Row],[Concatenado***]],"_",Tabla5[[#This Row],[Zona (Distrito)
&lt;&lt; Seleccionar&gt;&gt;]])</f>
        <v>Huánuco__</v>
      </c>
      <c r="J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" s="72" t="e">
        <f>VLOOKUP(Tabla5[[#This Row],[Tipo de Transporte Empleado
&lt;&lt; Seleccionar&gt;&gt;]],Tabla8[#All],2,0)</f>
        <v>#N/A</v>
      </c>
      <c r="L74" s="71" t="e">
        <f>#REF!+(#REF!*2)+#REF!</f>
        <v>#REF!</v>
      </c>
    </row>
    <row r="75" spans="1:12" x14ac:dyDescent="0.25">
      <c r="A75" s="328" t="e">
        <f>VLOOKUP(Tabla5[[#This Row],[Acción
&lt;&lt; Seleccionar&gt;&gt;]],TablaAccion[[#All],[Nombre_Abreviado]:[Codigo_Plan_Acción]],3,0)</f>
        <v>#N/A</v>
      </c>
      <c r="B75" s="328" t="e">
        <f>VLOOKUP(Tabla5[[#This Row],[Acción Especifica
&lt;&lt; Seleccionar&gt;&gt;]],TablaAccionEspecifica[[#All],[Nombre_Abreviado]:[Codigo_Acción]],3,0)</f>
        <v>#N/A</v>
      </c>
      <c r="C75" s="328" t="e">
        <f>CONCATENATE(Tabla18[[#This Row],[Bus_02]],"_",Tabla5[[#This Row],[Sub Acción Específica
&lt;&lt; Seleccionar&gt;&gt;]])</f>
        <v>#N/A</v>
      </c>
      <c r="D75" s="328" t="e">
        <f>VLOOKUP(Tabla18[[#This Row],[Aux_01]],TablaSubAccionEspecifica[[#All],[Concat]:[Cod_Sub_acción_especifica]],2,0)</f>
        <v>#N/A</v>
      </c>
      <c r="E75" s="328" t="e">
        <f>Tabla18[[#This Row],[Bus_03]]&amp;"_"&amp;Tabla5[[#This Row],[Tipo de Agente
&lt;&lt; Seleccionar&gt;&gt;]]</f>
        <v>#N/A</v>
      </c>
      <c r="F75" s="328" t="e">
        <f>VLOOKUP(Tabla18[[#This Row],[Concat2]],TablaPOA[[#All],[Concat]:[ConcatEspecial]],3,0)</f>
        <v>#N/A</v>
      </c>
      <c r="G75" s="65" t="str">
        <f>CONCATENATE(Registro!$A$6,"_",Tabla5[[#This Row],[Zona (Provincia)
&lt;&lt; Seleccionar&gt;&gt;]])</f>
        <v>Huánuco_</v>
      </c>
      <c r="H75" s="60" t="e">
        <f>VLOOKUP(Tabla18[[#This Row],[Concatenado***]],Tabla2[[#All],[Concatenado]:[Simbología*]],2,0)</f>
        <v>#N/A</v>
      </c>
      <c r="I75" s="65" t="str">
        <f>CONCATENATE(Tabla18[[#This Row],[Concatenado***]],"_",Tabla5[[#This Row],[Zona (Distrito)
&lt;&lt; Seleccionar&gt;&gt;]])</f>
        <v>Huánuco__</v>
      </c>
      <c r="J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" s="72" t="e">
        <f>VLOOKUP(Tabla5[[#This Row],[Tipo de Transporte Empleado
&lt;&lt; Seleccionar&gt;&gt;]],Tabla8[#All],2,0)</f>
        <v>#N/A</v>
      </c>
      <c r="L75" s="71" t="e">
        <f>#REF!+(#REF!*2)+#REF!</f>
        <v>#REF!</v>
      </c>
    </row>
    <row r="76" spans="1:12" x14ac:dyDescent="0.25">
      <c r="A76" s="328" t="e">
        <f>VLOOKUP(Tabla5[[#This Row],[Acción
&lt;&lt; Seleccionar&gt;&gt;]],TablaAccion[[#All],[Nombre_Abreviado]:[Codigo_Plan_Acción]],3,0)</f>
        <v>#N/A</v>
      </c>
      <c r="B76" s="328" t="e">
        <f>VLOOKUP(Tabla5[[#This Row],[Acción Especifica
&lt;&lt; Seleccionar&gt;&gt;]],TablaAccionEspecifica[[#All],[Nombre_Abreviado]:[Codigo_Acción]],3,0)</f>
        <v>#N/A</v>
      </c>
      <c r="C76" s="328" t="e">
        <f>CONCATENATE(Tabla18[[#This Row],[Bus_02]],"_",Tabla5[[#This Row],[Sub Acción Específica
&lt;&lt; Seleccionar&gt;&gt;]])</f>
        <v>#N/A</v>
      </c>
      <c r="D76" s="328" t="e">
        <f>VLOOKUP(Tabla18[[#This Row],[Aux_01]],TablaSubAccionEspecifica[[#All],[Concat]:[Cod_Sub_acción_especifica]],2,0)</f>
        <v>#N/A</v>
      </c>
      <c r="E76" s="328" t="e">
        <f>Tabla18[[#This Row],[Bus_03]]&amp;"_"&amp;Tabla5[[#This Row],[Tipo de Agente
&lt;&lt; Seleccionar&gt;&gt;]]</f>
        <v>#N/A</v>
      </c>
      <c r="F76" s="328" t="e">
        <f>VLOOKUP(Tabla18[[#This Row],[Concat2]],TablaPOA[[#All],[Concat]:[ConcatEspecial]],3,0)</f>
        <v>#N/A</v>
      </c>
      <c r="G76" s="65" t="str">
        <f>CONCATENATE(Registro!$A$6,"_",Tabla5[[#This Row],[Zona (Provincia)
&lt;&lt; Seleccionar&gt;&gt;]])</f>
        <v>Huánuco_</v>
      </c>
      <c r="H76" s="60" t="e">
        <f>VLOOKUP(Tabla18[[#This Row],[Concatenado***]],Tabla2[[#All],[Concatenado]:[Simbología*]],2,0)</f>
        <v>#N/A</v>
      </c>
      <c r="I76" s="65" t="str">
        <f>CONCATENATE(Tabla18[[#This Row],[Concatenado***]],"_",Tabla5[[#This Row],[Zona (Distrito)
&lt;&lt; Seleccionar&gt;&gt;]])</f>
        <v>Huánuco__</v>
      </c>
      <c r="J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" s="72" t="e">
        <f>VLOOKUP(Tabla5[[#This Row],[Tipo de Transporte Empleado
&lt;&lt; Seleccionar&gt;&gt;]],Tabla8[#All],2,0)</f>
        <v>#N/A</v>
      </c>
      <c r="L76" s="71" t="e">
        <f>#REF!+(#REF!*2)+#REF!</f>
        <v>#REF!</v>
      </c>
    </row>
    <row r="77" spans="1:12" x14ac:dyDescent="0.25">
      <c r="A77" s="328" t="e">
        <f>VLOOKUP(Tabla5[[#This Row],[Acción
&lt;&lt; Seleccionar&gt;&gt;]],TablaAccion[[#All],[Nombre_Abreviado]:[Codigo_Plan_Acción]],3,0)</f>
        <v>#N/A</v>
      </c>
      <c r="B77" s="328" t="e">
        <f>VLOOKUP(Tabla5[[#This Row],[Acción Especifica
&lt;&lt; Seleccionar&gt;&gt;]],TablaAccionEspecifica[[#All],[Nombre_Abreviado]:[Codigo_Acción]],3,0)</f>
        <v>#N/A</v>
      </c>
      <c r="C77" s="328" t="e">
        <f>CONCATENATE(Tabla18[[#This Row],[Bus_02]],"_",Tabla5[[#This Row],[Sub Acción Específica
&lt;&lt; Seleccionar&gt;&gt;]])</f>
        <v>#N/A</v>
      </c>
      <c r="D77" s="328" t="e">
        <f>VLOOKUP(Tabla18[[#This Row],[Aux_01]],TablaSubAccionEspecifica[[#All],[Concat]:[Cod_Sub_acción_especifica]],2,0)</f>
        <v>#N/A</v>
      </c>
      <c r="E77" s="328" t="e">
        <f>Tabla18[[#This Row],[Bus_03]]&amp;"_"&amp;Tabla5[[#This Row],[Tipo de Agente
&lt;&lt; Seleccionar&gt;&gt;]]</f>
        <v>#N/A</v>
      </c>
      <c r="F77" s="328" t="e">
        <f>VLOOKUP(Tabla18[[#This Row],[Concat2]],TablaPOA[[#All],[Concat]:[ConcatEspecial]],3,0)</f>
        <v>#N/A</v>
      </c>
      <c r="G77" s="65" t="str">
        <f>CONCATENATE(Registro!$A$6,"_",Tabla5[[#This Row],[Zona (Provincia)
&lt;&lt; Seleccionar&gt;&gt;]])</f>
        <v>Huánuco_</v>
      </c>
      <c r="H77" s="60" t="e">
        <f>VLOOKUP(Tabla18[[#This Row],[Concatenado***]],Tabla2[[#All],[Concatenado]:[Simbología*]],2,0)</f>
        <v>#N/A</v>
      </c>
      <c r="I77" s="65" t="str">
        <f>CONCATENATE(Tabla18[[#This Row],[Concatenado***]],"_",Tabla5[[#This Row],[Zona (Distrito)
&lt;&lt; Seleccionar&gt;&gt;]])</f>
        <v>Huánuco__</v>
      </c>
      <c r="J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" s="72" t="e">
        <f>VLOOKUP(Tabla5[[#This Row],[Tipo de Transporte Empleado
&lt;&lt; Seleccionar&gt;&gt;]],Tabla8[#All],2,0)</f>
        <v>#N/A</v>
      </c>
      <c r="L77" s="71" t="e">
        <f>#REF!+(#REF!*2)+#REF!</f>
        <v>#REF!</v>
      </c>
    </row>
    <row r="78" spans="1:12" x14ac:dyDescent="0.25">
      <c r="A78" s="328" t="e">
        <f>VLOOKUP(Tabla5[[#This Row],[Acción
&lt;&lt; Seleccionar&gt;&gt;]],TablaAccion[[#All],[Nombre_Abreviado]:[Codigo_Plan_Acción]],3,0)</f>
        <v>#N/A</v>
      </c>
      <c r="B78" s="328" t="e">
        <f>VLOOKUP(Tabla5[[#This Row],[Acción Especifica
&lt;&lt; Seleccionar&gt;&gt;]],TablaAccionEspecifica[[#All],[Nombre_Abreviado]:[Codigo_Acción]],3,0)</f>
        <v>#N/A</v>
      </c>
      <c r="C78" s="328" t="e">
        <f>CONCATENATE(Tabla18[[#This Row],[Bus_02]],"_",Tabla5[[#This Row],[Sub Acción Específica
&lt;&lt; Seleccionar&gt;&gt;]])</f>
        <v>#N/A</v>
      </c>
      <c r="D78" s="328" t="e">
        <f>VLOOKUP(Tabla18[[#This Row],[Aux_01]],TablaSubAccionEspecifica[[#All],[Concat]:[Cod_Sub_acción_especifica]],2,0)</f>
        <v>#N/A</v>
      </c>
      <c r="E78" s="328" t="e">
        <f>Tabla18[[#This Row],[Bus_03]]&amp;"_"&amp;Tabla5[[#This Row],[Tipo de Agente
&lt;&lt; Seleccionar&gt;&gt;]]</f>
        <v>#N/A</v>
      </c>
      <c r="F78" s="328" t="e">
        <f>VLOOKUP(Tabla18[[#This Row],[Concat2]],TablaPOA[[#All],[Concat]:[ConcatEspecial]],3,0)</f>
        <v>#N/A</v>
      </c>
      <c r="G78" s="65" t="str">
        <f>CONCATENATE(Registro!$A$6,"_",Tabla5[[#This Row],[Zona (Provincia)
&lt;&lt; Seleccionar&gt;&gt;]])</f>
        <v>Huánuco_</v>
      </c>
      <c r="H78" s="60" t="e">
        <f>VLOOKUP(Tabla18[[#This Row],[Concatenado***]],Tabla2[[#All],[Concatenado]:[Simbología*]],2,0)</f>
        <v>#N/A</v>
      </c>
      <c r="I78" s="65" t="str">
        <f>CONCATENATE(Tabla18[[#This Row],[Concatenado***]],"_",Tabla5[[#This Row],[Zona (Distrito)
&lt;&lt; Seleccionar&gt;&gt;]])</f>
        <v>Huánuco__</v>
      </c>
      <c r="J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" s="72" t="e">
        <f>VLOOKUP(Tabla5[[#This Row],[Tipo de Transporte Empleado
&lt;&lt; Seleccionar&gt;&gt;]],Tabla8[#All],2,0)</f>
        <v>#N/A</v>
      </c>
      <c r="L78" s="71" t="e">
        <f>#REF!+(#REF!*2)+#REF!</f>
        <v>#REF!</v>
      </c>
    </row>
    <row r="79" spans="1:12" x14ac:dyDescent="0.25">
      <c r="A79" s="328" t="e">
        <f>VLOOKUP(Tabla5[[#This Row],[Acción
&lt;&lt; Seleccionar&gt;&gt;]],TablaAccion[[#All],[Nombre_Abreviado]:[Codigo_Plan_Acción]],3,0)</f>
        <v>#N/A</v>
      </c>
      <c r="B79" s="328" t="e">
        <f>VLOOKUP(Tabla5[[#This Row],[Acción Especifica
&lt;&lt; Seleccionar&gt;&gt;]],TablaAccionEspecifica[[#All],[Nombre_Abreviado]:[Codigo_Acción]],3,0)</f>
        <v>#N/A</v>
      </c>
      <c r="C79" s="328" t="e">
        <f>CONCATENATE(Tabla18[[#This Row],[Bus_02]],"_",Tabla5[[#This Row],[Sub Acción Específica
&lt;&lt; Seleccionar&gt;&gt;]])</f>
        <v>#N/A</v>
      </c>
      <c r="D79" s="328" t="e">
        <f>VLOOKUP(Tabla18[[#This Row],[Aux_01]],TablaSubAccionEspecifica[[#All],[Concat]:[Cod_Sub_acción_especifica]],2,0)</f>
        <v>#N/A</v>
      </c>
      <c r="E79" s="328" t="e">
        <f>Tabla18[[#This Row],[Bus_03]]&amp;"_"&amp;Tabla5[[#This Row],[Tipo de Agente
&lt;&lt; Seleccionar&gt;&gt;]]</f>
        <v>#N/A</v>
      </c>
      <c r="F79" s="328" t="e">
        <f>VLOOKUP(Tabla18[[#This Row],[Concat2]],TablaPOA[[#All],[Concat]:[ConcatEspecial]],3,0)</f>
        <v>#N/A</v>
      </c>
      <c r="G79" s="65" t="str">
        <f>CONCATENATE(Registro!$A$6,"_",Tabla5[[#This Row],[Zona (Provincia)
&lt;&lt; Seleccionar&gt;&gt;]])</f>
        <v>Huánuco_</v>
      </c>
      <c r="H79" s="60" t="e">
        <f>VLOOKUP(Tabla18[[#This Row],[Concatenado***]],Tabla2[[#All],[Concatenado]:[Simbología*]],2,0)</f>
        <v>#N/A</v>
      </c>
      <c r="I79" s="65" t="str">
        <f>CONCATENATE(Tabla18[[#This Row],[Concatenado***]],"_",Tabla5[[#This Row],[Zona (Distrito)
&lt;&lt; Seleccionar&gt;&gt;]])</f>
        <v>Huánuco__</v>
      </c>
      <c r="J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" s="72" t="e">
        <f>VLOOKUP(Tabla5[[#This Row],[Tipo de Transporte Empleado
&lt;&lt; Seleccionar&gt;&gt;]],Tabla8[#All],2,0)</f>
        <v>#N/A</v>
      </c>
      <c r="L79" s="71" t="e">
        <f>#REF!+(#REF!*2)+#REF!</f>
        <v>#REF!</v>
      </c>
    </row>
    <row r="80" spans="1:12" x14ac:dyDescent="0.25">
      <c r="A80" s="328" t="e">
        <f>VLOOKUP(Tabla5[[#This Row],[Acción
&lt;&lt; Seleccionar&gt;&gt;]],TablaAccion[[#All],[Nombre_Abreviado]:[Codigo_Plan_Acción]],3,0)</f>
        <v>#N/A</v>
      </c>
      <c r="B80" s="328" t="e">
        <f>VLOOKUP(Tabla5[[#This Row],[Acción Especifica
&lt;&lt; Seleccionar&gt;&gt;]],TablaAccionEspecifica[[#All],[Nombre_Abreviado]:[Codigo_Acción]],3,0)</f>
        <v>#N/A</v>
      </c>
      <c r="C80" s="328" t="e">
        <f>CONCATENATE(Tabla18[[#This Row],[Bus_02]],"_",Tabla5[[#This Row],[Sub Acción Específica
&lt;&lt; Seleccionar&gt;&gt;]])</f>
        <v>#N/A</v>
      </c>
      <c r="D80" s="328" t="e">
        <f>VLOOKUP(Tabla18[[#This Row],[Aux_01]],TablaSubAccionEspecifica[[#All],[Concat]:[Cod_Sub_acción_especifica]],2,0)</f>
        <v>#N/A</v>
      </c>
      <c r="E80" s="328" t="e">
        <f>Tabla18[[#This Row],[Bus_03]]&amp;"_"&amp;Tabla5[[#This Row],[Tipo de Agente
&lt;&lt; Seleccionar&gt;&gt;]]</f>
        <v>#N/A</v>
      </c>
      <c r="F80" s="328" t="e">
        <f>VLOOKUP(Tabla18[[#This Row],[Concat2]],TablaPOA[[#All],[Concat]:[ConcatEspecial]],3,0)</f>
        <v>#N/A</v>
      </c>
      <c r="G80" s="65" t="str">
        <f>CONCATENATE(Registro!$A$6,"_",Tabla5[[#This Row],[Zona (Provincia)
&lt;&lt; Seleccionar&gt;&gt;]])</f>
        <v>Huánuco_</v>
      </c>
      <c r="H80" s="60" t="e">
        <f>VLOOKUP(Tabla18[[#This Row],[Concatenado***]],Tabla2[[#All],[Concatenado]:[Simbología*]],2,0)</f>
        <v>#N/A</v>
      </c>
      <c r="I80" s="65" t="str">
        <f>CONCATENATE(Tabla18[[#This Row],[Concatenado***]],"_",Tabla5[[#This Row],[Zona (Distrito)
&lt;&lt; Seleccionar&gt;&gt;]])</f>
        <v>Huánuco__</v>
      </c>
      <c r="J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" s="72" t="e">
        <f>VLOOKUP(Tabla5[[#This Row],[Tipo de Transporte Empleado
&lt;&lt; Seleccionar&gt;&gt;]],Tabla8[#All],2,0)</f>
        <v>#N/A</v>
      </c>
      <c r="L80" s="71" t="e">
        <f>#REF!+(#REF!*2)+#REF!</f>
        <v>#REF!</v>
      </c>
    </row>
    <row r="81" spans="1:12" x14ac:dyDescent="0.25">
      <c r="A81" s="328" t="e">
        <f>VLOOKUP(Tabla5[[#This Row],[Acción
&lt;&lt; Seleccionar&gt;&gt;]],TablaAccion[[#All],[Nombre_Abreviado]:[Codigo_Plan_Acción]],3,0)</f>
        <v>#N/A</v>
      </c>
      <c r="B81" s="328" t="e">
        <f>VLOOKUP(Tabla5[[#This Row],[Acción Especifica
&lt;&lt; Seleccionar&gt;&gt;]],TablaAccionEspecifica[[#All],[Nombre_Abreviado]:[Codigo_Acción]],3,0)</f>
        <v>#N/A</v>
      </c>
      <c r="C81" s="328" t="e">
        <f>CONCATENATE(Tabla18[[#This Row],[Bus_02]],"_",Tabla5[[#This Row],[Sub Acción Específica
&lt;&lt; Seleccionar&gt;&gt;]])</f>
        <v>#N/A</v>
      </c>
      <c r="D81" s="328" t="e">
        <f>VLOOKUP(Tabla18[[#This Row],[Aux_01]],TablaSubAccionEspecifica[[#All],[Concat]:[Cod_Sub_acción_especifica]],2,0)</f>
        <v>#N/A</v>
      </c>
      <c r="E81" s="328" t="e">
        <f>Tabla18[[#This Row],[Bus_03]]&amp;"_"&amp;Tabla5[[#This Row],[Tipo de Agente
&lt;&lt; Seleccionar&gt;&gt;]]</f>
        <v>#N/A</v>
      </c>
      <c r="F81" s="328" t="e">
        <f>VLOOKUP(Tabla18[[#This Row],[Concat2]],TablaPOA[[#All],[Concat]:[ConcatEspecial]],3,0)</f>
        <v>#N/A</v>
      </c>
      <c r="G81" s="65" t="str">
        <f>CONCATENATE(Registro!$A$6,"_",Tabla5[[#This Row],[Zona (Provincia)
&lt;&lt; Seleccionar&gt;&gt;]])</f>
        <v>Huánuco_</v>
      </c>
      <c r="H81" s="60" t="e">
        <f>VLOOKUP(Tabla18[[#This Row],[Concatenado***]],Tabla2[[#All],[Concatenado]:[Simbología*]],2,0)</f>
        <v>#N/A</v>
      </c>
      <c r="I81" s="65" t="str">
        <f>CONCATENATE(Tabla18[[#This Row],[Concatenado***]],"_",Tabla5[[#This Row],[Zona (Distrito)
&lt;&lt; Seleccionar&gt;&gt;]])</f>
        <v>Huánuco__</v>
      </c>
      <c r="J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" s="72" t="e">
        <f>VLOOKUP(Tabla5[[#This Row],[Tipo de Transporte Empleado
&lt;&lt; Seleccionar&gt;&gt;]],Tabla8[#All],2,0)</f>
        <v>#N/A</v>
      </c>
      <c r="L81" s="71" t="e">
        <f>#REF!+(#REF!*2)+#REF!</f>
        <v>#REF!</v>
      </c>
    </row>
    <row r="82" spans="1:12" x14ac:dyDescent="0.25">
      <c r="A82" s="328" t="e">
        <f>VLOOKUP(Tabla5[[#This Row],[Acción
&lt;&lt; Seleccionar&gt;&gt;]],TablaAccion[[#All],[Nombre_Abreviado]:[Codigo_Plan_Acción]],3,0)</f>
        <v>#N/A</v>
      </c>
      <c r="B82" s="328" t="e">
        <f>VLOOKUP(Tabla5[[#This Row],[Acción Especifica
&lt;&lt; Seleccionar&gt;&gt;]],TablaAccionEspecifica[[#All],[Nombre_Abreviado]:[Codigo_Acción]],3,0)</f>
        <v>#N/A</v>
      </c>
      <c r="C82" s="328" t="e">
        <f>CONCATENATE(Tabla18[[#This Row],[Bus_02]],"_",Tabla5[[#This Row],[Sub Acción Específica
&lt;&lt; Seleccionar&gt;&gt;]])</f>
        <v>#N/A</v>
      </c>
      <c r="D82" s="328" t="e">
        <f>VLOOKUP(Tabla18[[#This Row],[Aux_01]],TablaSubAccionEspecifica[[#All],[Concat]:[Cod_Sub_acción_especifica]],2,0)</f>
        <v>#N/A</v>
      </c>
      <c r="E82" s="328" t="e">
        <f>Tabla18[[#This Row],[Bus_03]]&amp;"_"&amp;Tabla5[[#This Row],[Tipo de Agente
&lt;&lt; Seleccionar&gt;&gt;]]</f>
        <v>#N/A</v>
      </c>
      <c r="F82" s="328" t="e">
        <f>VLOOKUP(Tabla18[[#This Row],[Concat2]],TablaPOA[[#All],[Concat]:[ConcatEspecial]],3,0)</f>
        <v>#N/A</v>
      </c>
      <c r="G82" s="65" t="str">
        <f>CONCATENATE(Registro!$A$6,"_",Tabla5[[#This Row],[Zona (Provincia)
&lt;&lt; Seleccionar&gt;&gt;]])</f>
        <v>Huánuco_</v>
      </c>
      <c r="H82" s="60" t="e">
        <f>VLOOKUP(Tabla18[[#This Row],[Concatenado***]],Tabla2[[#All],[Concatenado]:[Simbología*]],2,0)</f>
        <v>#N/A</v>
      </c>
      <c r="I82" s="65" t="str">
        <f>CONCATENATE(Tabla18[[#This Row],[Concatenado***]],"_",Tabla5[[#This Row],[Zona (Distrito)
&lt;&lt; Seleccionar&gt;&gt;]])</f>
        <v>Huánuco__</v>
      </c>
      <c r="J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" s="72" t="e">
        <f>VLOOKUP(Tabla5[[#This Row],[Tipo de Transporte Empleado
&lt;&lt; Seleccionar&gt;&gt;]],Tabla8[#All],2,0)</f>
        <v>#N/A</v>
      </c>
      <c r="L82" s="71" t="e">
        <f>#REF!+(#REF!*2)+#REF!</f>
        <v>#REF!</v>
      </c>
    </row>
    <row r="83" spans="1:12" x14ac:dyDescent="0.25">
      <c r="A83" s="328" t="e">
        <f>VLOOKUP(Tabla5[[#This Row],[Acción
&lt;&lt; Seleccionar&gt;&gt;]],TablaAccion[[#All],[Nombre_Abreviado]:[Codigo_Plan_Acción]],3,0)</f>
        <v>#N/A</v>
      </c>
      <c r="B83" s="328" t="e">
        <f>VLOOKUP(Tabla5[[#This Row],[Acción Especifica
&lt;&lt; Seleccionar&gt;&gt;]],TablaAccionEspecifica[[#All],[Nombre_Abreviado]:[Codigo_Acción]],3,0)</f>
        <v>#N/A</v>
      </c>
      <c r="C83" s="328" t="e">
        <f>CONCATENATE(Tabla18[[#This Row],[Bus_02]],"_",Tabla5[[#This Row],[Sub Acción Específica
&lt;&lt; Seleccionar&gt;&gt;]])</f>
        <v>#N/A</v>
      </c>
      <c r="D83" s="328" t="e">
        <f>VLOOKUP(Tabla18[[#This Row],[Aux_01]],TablaSubAccionEspecifica[[#All],[Concat]:[Cod_Sub_acción_especifica]],2,0)</f>
        <v>#N/A</v>
      </c>
      <c r="E83" s="328" t="e">
        <f>Tabla18[[#This Row],[Bus_03]]&amp;"_"&amp;Tabla5[[#This Row],[Tipo de Agente
&lt;&lt; Seleccionar&gt;&gt;]]</f>
        <v>#N/A</v>
      </c>
      <c r="F83" s="328" t="e">
        <f>VLOOKUP(Tabla18[[#This Row],[Concat2]],TablaPOA[[#All],[Concat]:[ConcatEspecial]],3,0)</f>
        <v>#N/A</v>
      </c>
      <c r="G83" s="65" t="str">
        <f>CONCATENATE(Registro!$A$6,"_",Tabla5[[#This Row],[Zona (Provincia)
&lt;&lt; Seleccionar&gt;&gt;]])</f>
        <v>Huánuco_</v>
      </c>
      <c r="H83" s="60" t="e">
        <f>VLOOKUP(Tabla18[[#This Row],[Concatenado***]],Tabla2[[#All],[Concatenado]:[Simbología*]],2,0)</f>
        <v>#N/A</v>
      </c>
      <c r="I83" s="65" t="str">
        <f>CONCATENATE(Tabla18[[#This Row],[Concatenado***]],"_",Tabla5[[#This Row],[Zona (Distrito)
&lt;&lt; Seleccionar&gt;&gt;]])</f>
        <v>Huánuco__</v>
      </c>
      <c r="J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" s="72" t="e">
        <f>VLOOKUP(Tabla5[[#This Row],[Tipo de Transporte Empleado
&lt;&lt; Seleccionar&gt;&gt;]],Tabla8[#All],2,0)</f>
        <v>#N/A</v>
      </c>
      <c r="L83" s="71" t="e">
        <f>#REF!+(#REF!*2)+#REF!</f>
        <v>#REF!</v>
      </c>
    </row>
    <row r="84" spans="1:12" x14ac:dyDescent="0.25">
      <c r="A84" s="328" t="e">
        <f>VLOOKUP(Tabla5[[#This Row],[Acción
&lt;&lt; Seleccionar&gt;&gt;]],TablaAccion[[#All],[Nombre_Abreviado]:[Codigo_Plan_Acción]],3,0)</f>
        <v>#N/A</v>
      </c>
      <c r="B84" s="328" t="e">
        <f>VLOOKUP(Tabla5[[#This Row],[Acción Especifica
&lt;&lt; Seleccionar&gt;&gt;]],TablaAccionEspecifica[[#All],[Nombre_Abreviado]:[Codigo_Acción]],3,0)</f>
        <v>#N/A</v>
      </c>
      <c r="C84" s="328" t="e">
        <f>CONCATENATE(Tabla18[[#This Row],[Bus_02]],"_",Tabla5[[#This Row],[Sub Acción Específica
&lt;&lt; Seleccionar&gt;&gt;]])</f>
        <v>#N/A</v>
      </c>
      <c r="D84" s="328" t="e">
        <f>VLOOKUP(Tabla18[[#This Row],[Aux_01]],TablaSubAccionEspecifica[[#All],[Concat]:[Cod_Sub_acción_especifica]],2,0)</f>
        <v>#N/A</v>
      </c>
      <c r="E84" s="328" t="e">
        <f>Tabla18[[#This Row],[Bus_03]]&amp;"_"&amp;Tabla5[[#This Row],[Tipo de Agente
&lt;&lt; Seleccionar&gt;&gt;]]</f>
        <v>#N/A</v>
      </c>
      <c r="F84" s="328" t="e">
        <f>VLOOKUP(Tabla18[[#This Row],[Concat2]],TablaPOA[[#All],[Concat]:[ConcatEspecial]],3,0)</f>
        <v>#N/A</v>
      </c>
      <c r="G84" s="65" t="str">
        <f>CONCATENATE(Registro!$A$6,"_",Tabla5[[#This Row],[Zona (Provincia)
&lt;&lt; Seleccionar&gt;&gt;]])</f>
        <v>Huánuco_</v>
      </c>
      <c r="H84" s="60" t="e">
        <f>VLOOKUP(Tabla18[[#This Row],[Concatenado***]],Tabla2[[#All],[Concatenado]:[Simbología*]],2,0)</f>
        <v>#N/A</v>
      </c>
      <c r="I84" s="65" t="str">
        <f>CONCATENATE(Tabla18[[#This Row],[Concatenado***]],"_",Tabla5[[#This Row],[Zona (Distrito)
&lt;&lt; Seleccionar&gt;&gt;]])</f>
        <v>Huánuco__</v>
      </c>
      <c r="J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" s="72" t="e">
        <f>VLOOKUP(Tabla5[[#This Row],[Tipo de Transporte Empleado
&lt;&lt; Seleccionar&gt;&gt;]],Tabla8[#All],2,0)</f>
        <v>#N/A</v>
      </c>
      <c r="L84" s="71" t="e">
        <f>#REF!+(#REF!*2)+#REF!</f>
        <v>#REF!</v>
      </c>
    </row>
    <row r="85" spans="1:12" x14ac:dyDescent="0.25">
      <c r="A85" s="328" t="e">
        <f>VLOOKUP(Tabla5[[#This Row],[Acción
&lt;&lt; Seleccionar&gt;&gt;]],TablaAccion[[#All],[Nombre_Abreviado]:[Codigo_Plan_Acción]],3,0)</f>
        <v>#N/A</v>
      </c>
      <c r="B85" s="328" t="e">
        <f>VLOOKUP(Tabla5[[#This Row],[Acción Especifica
&lt;&lt; Seleccionar&gt;&gt;]],TablaAccionEspecifica[[#All],[Nombre_Abreviado]:[Codigo_Acción]],3,0)</f>
        <v>#N/A</v>
      </c>
      <c r="C85" s="328" t="e">
        <f>CONCATENATE(Tabla18[[#This Row],[Bus_02]],"_",Tabla5[[#This Row],[Sub Acción Específica
&lt;&lt; Seleccionar&gt;&gt;]])</f>
        <v>#N/A</v>
      </c>
      <c r="D85" s="328" t="e">
        <f>VLOOKUP(Tabla18[[#This Row],[Aux_01]],TablaSubAccionEspecifica[[#All],[Concat]:[Cod_Sub_acción_especifica]],2,0)</f>
        <v>#N/A</v>
      </c>
      <c r="E85" s="328" t="e">
        <f>Tabla18[[#This Row],[Bus_03]]&amp;"_"&amp;Tabla5[[#This Row],[Tipo de Agente
&lt;&lt; Seleccionar&gt;&gt;]]</f>
        <v>#N/A</v>
      </c>
      <c r="F85" s="328" t="e">
        <f>VLOOKUP(Tabla18[[#This Row],[Concat2]],TablaPOA[[#All],[Concat]:[ConcatEspecial]],3,0)</f>
        <v>#N/A</v>
      </c>
      <c r="G85" s="65" t="str">
        <f>CONCATENATE(Registro!$A$6,"_",Tabla5[[#This Row],[Zona (Provincia)
&lt;&lt; Seleccionar&gt;&gt;]])</f>
        <v>Huánuco_</v>
      </c>
      <c r="H85" s="60" t="e">
        <f>VLOOKUP(Tabla18[[#This Row],[Concatenado***]],Tabla2[[#All],[Concatenado]:[Simbología*]],2,0)</f>
        <v>#N/A</v>
      </c>
      <c r="I85" s="65" t="str">
        <f>CONCATENATE(Tabla18[[#This Row],[Concatenado***]],"_",Tabla5[[#This Row],[Zona (Distrito)
&lt;&lt; Seleccionar&gt;&gt;]])</f>
        <v>Huánuco__</v>
      </c>
      <c r="J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" s="72" t="e">
        <f>VLOOKUP(Tabla5[[#This Row],[Tipo de Transporte Empleado
&lt;&lt; Seleccionar&gt;&gt;]],Tabla8[#All],2,0)</f>
        <v>#N/A</v>
      </c>
      <c r="L85" s="71" t="e">
        <f>#REF!+(#REF!*2)+#REF!</f>
        <v>#REF!</v>
      </c>
    </row>
    <row r="86" spans="1:12" x14ac:dyDescent="0.25">
      <c r="A86" s="328" t="e">
        <f>VLOOKUP(Tabla5[[#This Row],[Acción
&lt;&lt; Seleccionar&gt;&gt;]],TablaAccion[[#All],[Nombre_Abreviado]:[Codigo_Plan_Acción]],3,0)</f>
        <v>#N/A</v>
      </c>
      <c r="B86" s="328" t="e">
        <f>VLOOKUP(Tabla5[[#This Row],[Acción Especifica
&lt;&lt; Seleccionar&gt;&gt;]],TablaAccionEspecifica[[#All],[Nombre_Abreviado]:[Codigo_Acción]],3,0)</f>
        <v>#N/A</v>
      </c>
      <c r="C86" s="328" t="e">
        <f>CONCATENATE(Tabla18[[#This Row],[Bus_02]],"_",Tabla5[[#This Row],[Sub Acción Específica
&lt;&lt; Seleccionar&gt;&gt;]])</f>
        <v>#N/A</v>
      </c>
      <c r="D86" s="328" t="e">
        <f>VLOOKUP(Tabla18[[#This Row],[Aux_01]],TablaSubAccionEspecifica[[#All],[Concat]:[Cod_Sub_acción_especifica]],2,0)</f>
        <v>#N/A</v>
      </c>
      <c r="E86" s="328" t="e">
        <f>Tabla18[[#This Row],[Bus_03]]&amp;"_"&amp;Tabla5[[#This Row],[Tipo de Agente
&lt;&lt; Seleccionar&gt;&gt;]]</f>
        <v>#N/A</v>
      </c>
      <c r="F86" s="328" t="e">
        <f>VLOOKUP(Tabla18[[#This Row],[Concat2]],TablaPOA[[#All],[Concat]:[ConcatEspecial]],3,0)</f>
        <v>#N/A</v>
      </c>
      <c r="G86" s="65" t="str">
        <f>CONCATENATE(Registro!$A$6,"_",Tabla5[[#This Row],[Zona (Provincia)
&lt;&lt; Seleccionar&gt;&gt;]])</f>
        <v>Huánuco_</v>
      </c>
      <c r="H86" s="60" t="e">
        <f>VLOOKUP(Tabla18[[#This Row],[Concatenado***]],Tabla2[[#All],[Concatenado]:[Simbología*]],2,0)</f>
        <v>#N/A</v>
      </c>
      <c r="I86" s="65" t="str">
        <f>CONCATENATE(Tabla18[[#This Row],[Concatenado***]],"_",Tabla5[[#This Row],[Zona (Distrito)
&lt;&lt; Seleccionar&gt;&gt;]])</f>
        <v>Huánuco__</v>
      </c>
      <c r="J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" s="72" t="e">
        <f>VLOOKUP(Tabla5[[#This Row],[Tipo de Transporte Empleado
&lt;&lt; Seleccionar&gt;&gt;]],Tabla8[#All],2,0)</f>
        <v>#N/A</v>
      </c>
      <c r="L86" s="71" t="e">
        <f>#REF!+(#REF!*2)+#REF!</f>
        <v>#REF!</v>
      </c>
    </row>
    <row r="87" spans="1:12" x14ac:dyDescent="0.25">
      <c r="A87" s="328" t="e">
        <f>VLOOKUP(Tabla5[[#This Row],[Acción
&lt;&lt; Seleccionar&gt;&gt;]],TablaAccion[[#All],[Nombre_Abreviado]:[Codigo_Plan_Acción]],3,0)</f>
        <v>#N/A</v>
      </c>
      <c r="B87" s="328" t="e">
        <f>VLOOKUP(Tabla5[[#This Row],[Acción Especifica
&lt;&lt; Seleccionar&gt;&gt;]],TablaAccionEspecifica[[#All],[Nombre_Abreviado]:[Codigo_Acción]],3,0)</f>
        <v>#N/A</v>
      </c>
      <c r="C87" s="328" t="e">
        <f>CONCATENATE(Tabla18[[#This Row],[Bus_02]],"_",Tabla5[[#This Row],[Sub Acción Específica
&lt;&lt; Seleccionar&gt;&gt;]])</f>
        <v>#N/A</v>
      </c>
      <c r="D87" s="328" t="e">
        <f>VLOOKUP(Tabla18[[#This Row],[Aux_01]],TablaSubAccionEspecifica[[#All],[Concat]:[Cod_Sub_acción_especifica]],2,0)</f>
        <v>#N/A</v>
      </c>
      <c r="E87" s="328" t="e">
        <f>Tabla18[[#This Row],[Bus_03]]&amp;"_"&amp;Tabla5[[#This Row],[Tipo de Agente
&lt;&lt; Seleccionar&gt;&gt;]]</f>
        <v>#N/A</v>
      </c>
      <c r="F87" s="328" t="e">
        <f>VLOOKUP(Tabla18[[#This Row],[Concat2]],TablaPOA[[#All],[Concat]:[ConcatEspecial]],3,0)</f>
        <v>#N/A</v>
      </c>
      <c r="G87" s="65" t="str">
        <f>CONCATENATE(Registro!$A$6,"_",Tabla5[[#This Row],[Zona (Provincia)
&lt;&lt; Seleccionar&gt;&gt;]])</f>
        <v>Huánuco_</v>
      </c>
      <c r="H87" s="60" t="e">
        <f>VLOOKUP(Tabla18[[#This Row],[Concatenado***]],Tabla2[[#All],[Concatenado]:[Simbología*]],2,0)</f>
        <v>#N/A</v>
      </c>
      <c r="I87" s="65" t="str">
        <f>CONCATENATE(Tabla18[[#This Row],[Concatenado***]],"_",Tabla5[[#This Row],[Zona (Distrito)
&lt;&lt; Seleccionar&gt;&gt;]])</f>
        <v>Huánuco__</v>
      </c>
      <c r="J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" s="72" t="e">
        <f>VLOOKUP(Tabla5[[#This Row],[Tipo de Transporte Empleado
&lt;&lt; Seleccionar&gt;&gt;]],Tabla8[#All],2,0)</f>
        <v>#N/A</v>
      </c>
      <c r="L87" s="71" t="e">
        <f>#REF!+(#REF!*2)+#REF!</f>
        <v>#REF!</v>
      </c>
    </row>
    <row r="88" spans="1:12" x14ac:dyDescent="0.25">
      <c r="A88" s="328" t="e">
        <f>VLOOKUP(Tabla5[[#This Row],[Acción
&lt;&lt; Seleccionar&gt;&gt;]],TablaAccion[[#All],[Nombre_Abreviado]:[Codigo_Plan_Acción]],3,0)</f>
        <v>#N/A</v>
      </c>
      <c r="B88" s="328" t="e">
        <f>VLOOKUP(Tabla5[[#This Row],[Acción Especifica
&lt;&lt; Seleccionar&gt;&gt;]],TablaAccionEspecifica[[#All],[Nombre_Abreviado]:[Codigo_Acción]],3,0)</f>
        <v>#N/A</v>
      </c>
      <c r="C88" s="328" t="e">
        <f>CONCATENATE(Tabla18[[#This Row],[Bus_02]],"_",Tabla5[[#This Row],[Sub Acción Específica
&lt;&lt; Seleccionar&gt;&gt;]])</f>
        <v>#N/A</v>
      </c>
      <c r="D88" s="328" t="e">
        <f>VLOOKUP(Tabla18[[#This Row],[Aux_01]],TablaSubAccionEspecifica[[#All],[Concat]:[Cod_Sub_acción_especifica]],2,0)</f>
        <v>#N/A</v>
      </c>
      <c r="E88" s="328" t="e">
        <f>Tabla18[[#This Row],[Bus_03]]&amp;"_"&amp;Tabla5[[#This Row],[Tipo de Agente
&lt;&lt; Seleccionar&gt;&gt;]]</f>
        <v>#N/A</v>
      </c>
      <c r="F88" s="328" t="e">
        <f>VLOOKUP(Tabla18[[#This Row],[Concat2]],TablaPOA[[#All],[Concat]:[ConcatEspecial]],3,0)</f>
        <v>#N/A</v>
      </c>
      <c r="G88" s="65" t="str">
        <f>CONCATENATE(Registro!$A$6,"_",Tabla5[[#This Row],[Zona (Provincia)
&lt;&lt; Seleccionar&gt;&gt;]])</f>
        <v>Huánuco_</v>
      </c>
      <c r="H88" s="60" t="e">
        <f>VLOOKUP(Tabla18[[#This Row],[Concatenado***]],Tabla2[[#All],[Concatenado]:[Simbología*]],2,0)</f>
        <v>#N/A</v>
      </c>
      <c r="I88" s="65" t="str">
        <f>CONCATENATE(Tabla18[[#This Row],[Concatenado***]],"_",Tabla5[[#This Row],[Zona (Distrito)
&lt;&lt; Seleccionar&gt;&gt;]])</f>
        <v>Huánuco__</v>
      </c>
      <c r="J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" s="72" t="e">
        <f>VLOOKUP(Tabla5[[#This Row],[Tipo de Transporte Empleado
&lt;&lt; Seleccionar&gt;&gt;]],Tabla8[#All],2,0)</f>
        <v>#N/A</v>
      </c>
      <c r="L88" s="71" t="e">
        <f>#REF!+(#REF!*2)+#REF!</f>
        <v>#REF!</v>
      </c>
    </row>
    <row r="89" spans="1:12" x14ac:dyDescent="0.25">
      <c r="A89" s="328" t="e">
        <f>VLOOKUP(Tabla5[[#This Row],[Acción
&lt;&lt; Seleccionar&gt;&gt;]],TablaAccion[[#All],[Nombre_Abreviado]:[Codigo_Plan_Acción]],3,0)</f>
        <v>#N/A</v>
      </c>
      <c r="B89" s="328" t="e">
        <f>VLOOKUP(Tabla5[[#This Row],[Acción Especifica
&lt;&lt; Seleccionar&gt;&gt;]],TablaAccionEspecifica[[#All],[Nombre_Abreviado]:[Codigo_Acción]],3,0)</f>
        <v>#N/A</v>
      </c>
      <c r="C89" s="328" t="e">
        <f>CONCATENATE(Tabla18[[#This Row],[Bus_02]],"_",Tabla5[[#This Row],[Sub Acción Específica
&lt;&lt; Seleccionar&gt;&gt;]])</f>
        <v>#N/A</v>
      </c>
      <c r="D89" s="328" t="e">
        <f>VLOOKUP(Tabla18[[#This Row],[Aux_01]],TablaSubAccionEspecifica[[#All],[Concat]:[Cod_Sub_acción_especifica]],2,0)</f>
        <v>#N/A</v>
      </c>
      <c r="E89" s="328" t="e">
        <f>Tabla18[[#This Row],[Bus_03]]&amp;"_"&amp;Tabla5[[#This Row],[Tipo de Agente
&lt;&lt; Seleccionar&gt;&gt;]]</f>
        <v>#N/A</v>
      </c>
      <c r="F89" s="328" t="e">
        <f>VLOOKUP(Tabla18[[#This Row],[Concat2]],TablaPOA[[#All],[Concat]:[ConcatEspecial]],3,0)</f>
        <v>#N/A</v>
      </c>
      <c r="G89" s="65" t="str">
        <f>CONCATENATE(Registro!$A$6,"_",Tabla5[[#This Row],[Zona (Provincia)
&lt;&lt; Seleccionar&gt;&gt;]])</f>
        <v>Huánuco_</v>
      </c>
      <c r="H89" s="60" t="e">
        <f>VLOOKUP(Tabla18[[#This Row],[Concatenado***]],Tabla2[[#All],[Concatenado]:[Simbología*]],2,0)</f>
        <v>#N/A</v>
      </c>
      <c r="I89" s="65" t="str">
        <f>CONCATENATE(Tabla18[[#This Row],[Concatenado***]],"_",Tabla5[[#This Row],[Zona (Distrito)
&lt;&lt; Seleccionar&gt;&gt;]])</f>
        <v>Huánuco__</v>
      </c>
      <c r="J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" s="72" t="e">
        <f>VLOOKUP(Tabla5[[#This Row],[Tipo de Transporte Empleado
&lt;&lt; Seleccionar&gt;&gt;]],Tabla8[#All],2,0)</f>
        <v>#N/A</v>
      </c>
      <c r="L89" s="71" t="e">
        <f>#REF!+(#REF!*2)+#REF!</f>
        <v>#REF!</v>
      </c>
    </row>
    <row r="90" spans="1:12" x14ac:dyDescent="0.25">
      <c r="A90" s="328" t="e">
        <f>VLOOKUP(Tabla5[[#This Row],[Acción
&lt;&lt; Seleccionar&gt;&gt;]],TablaAccion[[#All],[Nombre_Abreviado]:[Codigo_Plan_Acción]],3,0)</f>
        <v>#N/A</v>
      </c>
      <c r="B90" s="328" t="e">
        <f>VLOOKUP(Tabla5[[#This Row],[Acción Especifica
&lt;&lt; Seleccionar&gt;&gt;]],TablaAccionEspecifica[[#All],[Nombre_Abreviado]:[Codigo_Acción]],3,0)</f>
        <v>#N/A</v>
      </c>
      <c r="C90" s="328" t="e">
        <f>CONCATENATE(Tabla18[[#This Row],[Bus_02]],"_",Tabla5[[#This Row],[Sub Acción Específica
&lt;&lt; Seleccionar&gt;&gt;]])</f>
        <v>#N/A</v>
      </c>
      <c r="D90" s="328" t="e">
        <f>VLOOKUP(Tabla18[[#This Row],[Aux_01]],TablaSubAccionEspecifica[[#All],[Concat]:[Cod_Sub_acción_especifica]],2,0)</f>
        <v>#N/A</v>
      </c>
      <c r="E90" s="328" t="e">
        <f>Tabla18[[#This Row],[Bus_03]]&amp;"_"&amp;Tabla5[[#This Row],[Tipo de Agente
&lt;&lt; Seleccionar&gt;&gt;]]</f>
        <v>#N/A</v>
      </c>
      <c r="F90" s="328" t="e">
        <f>VLOOKUP(Tabla18[[#This Row],[Concat2]],TablaPOA[[#All],[Concat]:[ConcatEspecial]],3,0)</f>
        <v>#N/A</v>
      </c>
      <c r="G90" s="65" t="str">
        <f>CONCATENATE(Registro!$A$6,"_",Tabla5[[#This Row],[Zona (Provincia)
&lt;&lt; Seleccionar&gt;&gt;]])</f>
        <v>Huánuco_</v>
      </c>
      <c r="H90" s="60" t="e">
        <f>VLOOKUP(Tabla18[[#This Row],[Concatenado***]],Tabla2[[#All],[Concatenado]:[Simbología*]],2,0)</f>
        <v>#N/A</v>
      </c>
      <c r="I90" s="65" t="str">
        <f>CONCATENATE(Tabla18[[#This Row],[Concatenado***]],"_",Tabla5[[#This Row],[Zona (Distrito)
&lt;&lt; Seleccionar&gt;&gt;]])</f>
        <v>Huánuco__</v>
      </c>
      <c r="J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" s="72" t="e">
        <f>VLOOKUP(Tabla5[[#This Row],[Tipo de Transporte Empleado
&lt;&lt; Seleccionar&gt;&gt;]],Tabla8[#All],2,0)</f>
        <v>#N/A</v>
      </c>
      <c r="L90" s="71" t="e">
        <f>#REF!+(#REF!*2)+#REF!</f>
        <v>#REF!</v>
      </c>
    </row>
    <row r="91" spans="1:12" x14ac:dyDescent="0.25">
      <c r="A91" s="328" t="e">
        <f>VLOOKUP(Tabla5[[#This Row],[Acción
&lt;&lt; Seleccionar&gt;&gt;]],TablaAccion[[#All],[Nombre_Abreviado]:[Codigo_Plan_Acción]],3,0)</f>
        <v>#N/A</v>
      </c>
      <c r="B91" s="328" t="e">
        <f>VLOOKUP(Tabla5[[#This Row],[Acción Especifica
&lt;&lt; Seleccionar&gt;&gt;]],TablaAccionEspecifica[[#All],[Nombre_Abreviado]:[Codigo_Acción]],3,0)</f>
        <v>#N/A</v>
      </c>
      <c r="C91" s="328" t="e">
        <f>CONCATENATE(Tabla18[[#This Row],[Bus_02]],"_",Tabla5[[#This Row],[Sub Acción Específica
&lt;&lt; Seleccionar&gt;&gt;]])</f>
        <v>#N/A</v>
      </c>
      <c r="D91" s="328" t="e">
        <f>VLOOKUP(Tabla18[[#This Row],[Aux_01]],TablaSubAccionEspecifica[[#All],[Concat]:[Cod_Sub_acción_especifica]],2,0)</f>
        <v>#N/A</v>
      </c>
      <c r="E91" s="328" t="e">
        <f>Tabla18[[#This Row],[Bus_03]]&amp;"_"&amp;Tabla5[[#This Row],[Tipo de Agente
&lt;&lt; Seleccionar&gt;&gt;]]</f>
        <v>#N/A</v>
      </c>
      <c r="F91" s="328" t="e">
        <f>VLOOKUP(Tabla18[[#This Row],[Concat2]],TablaPOA[[#All],[Concat]:[ConcatEspecial]],3,0)</f>
        <v>#N/A</v>
      </c>
      <c r="G91" s="65" t="str">
        <f>CONCATENATE(Registro!$A$6,"_",Tabla5[[#This Row],[Zona (Provincia)
&lt;&lt; Seleccionar&gt;&gt;]])</f>
        <v>Huánuco_</v>
      </c>
      <c r="H91" s="60" t="e">
        <f>VLOOKUP(Tabla18[[#This Row],[Concatenado***]],Tabla2[[#All],[Concatenado]:[Simbología*]],2,0)</f>
        <v>#N/A</v>
      </c>
      <c r="I91" s="65" t="str">
        <f>CONCATENATE(Tabla18[[#This Row],[Concatenado***]],"_",Tabla5[[#This Row],[Zona (Distrito)
&lt;&lt; Seleccionar&gt;&gt;]])</f>
        <v>Huánuco__</v>
      </c>
      <c r="J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" s="72" t="e">
        <f>VLOOKUP(Tabla5[[#This Row],[Tipo de Transporte Empleado
&lt;&lt; Seleccionar&gt;&gt;]],Tabla8[#All],2,0)</f>
        <v>#N/A</v>
      </c>
      <c r="L91" s="71" t="e">
        <f>#REF!+(#REF!*2)+#REF!</f>
        <v>#REF!</v>
      </c>
    </row>
    <row r="92" spans="1:12" x14ac:dyDescent="0.25">
      <c r="A92" s="328" t="e">
        <f>VLOOKUP(Tabla5[[#This Row],[Acción
&lt;&lt; Seleccionar&gt;&gt;]],TablaAccion[[#All],[Nombre_Abreviado]:[Codigo_Plan_Acción]],3,0)</f>
        <v>#N/A</v>
      </c>
      <c r="B92" s="328" t="e">
        <f>VLOOKUP(Tabla5[[#This Row],[Acción Especifica
&lt;&lt; Seleccionar&gt;&gt;]],TablaAccionEspecifica[[#All],[Nombre_Abreviado]:[Codigo_Acción]],3,0)</f>
        <v>#N/A</v>
      </c>
      <c r="C92" s="328" t="e">
        <f>CONCATENATE(Tabla18[[#This Row],[Bus_02]],"_",Tabla5[[#This Row],[Sub Acción Específica
&lt;&lt; Seleccionar&gt;&gt;]])</f>
        <v>#N/A</v>
      </c>
      <c r="D92" s="328" t="e">
        <f>VLOOKUP(Tabla18[[#This Row],[Aux_01]],TablaSubAccionEspecifica[[#All],[Concat]:[Cod_Sub_acción_especifica]],2,0)</f>
        <v>#N/A</v>
      </c>
      <c r="E92" s="328" t="e">
        <f>Tabla18[[#This Row],[Bus_03]]&amp;"_"&amp;Tabla5[[#This Row],[Tipo de Agente
&lt;&lt; Seleccionar&gt;&gt;]]</f>
        <v>#N/A</v>
      </c>
      <c r="F92" s="328" t="e">
        <f>VLOOKUP(Tabla18[[#This Row],[Concat2]],TablaPOA[[#All],[Concat]:[ConcatEspecial]],3,0)</f>
        <v>#N/A</v>
      </c>
      <c r="G92" s="65" t="str">
        <f>CONCATENATE(Registro!$A$6,"_",Tabla5[[#This Row],[Zona (Provincia)
&lt;&lt; Seleccionar&gt;&gt;]])</f>
        <v>Huánuco_</v>
      </c>
      <c r="H92" s="60" t="e">
        <f>VLOOKUP(Tabla18[[#This Row],[Concatenado***]],Tabla2[[#All],[Concatenado]:[Simbología*]],2,0)</f>
        <v>#N/A</v>
      </c>
      <c r="I92" s="65" t="str">
        <f>CONCATENATE(Tabla18[[#This Row],[Concatenado***]],"_",Tabla5[[#This Row],[Zona (Distrito)
&lt;&lt; Seleccionar&gt;&gt;]])</f>
        <v>Huánuco__</v>
      </c>
      <c r="J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" s="72" t="e">
        <f>VLOOKUP(Tabla5[[#This Row],[Tipo de Transporte Empleado
&lt;&lt; Seleccionar&gt;&gt;]],Tabla8[#All],2,0)</f>
        <v>#N/A</v>
      </c>
      <c r="L92" s="71" t="e">
        <f>#REF!+(#REF!*2)+#REF!</f>
        <v>#REF!</v>
      </c>
    </row>
    <row r="93" spans="1:12" x14ac:dyDescent="0.25">
      <c r="A93" s="328" t="e">
        <f>VLOOKUP(Tabla5[[#This Row],[Acción
&lt;&lt; Seleccionar&gt;&gt;]],TablaAccion[[#All],[Nombre_Abreviado]:[Codigo_Plan_Acción]],3,0)</f>
        <v>#N/A</v>
      </c>
      <c r="B93" s="328" t="e">
        <f>VLOOKUP(Tabla5[[#This Row],[Acción Especifica
&lt;&lt; Seleccionar&gt;&gt;]],TablaAccionEspecifica[[#All],[Nombre_Abreviado]:[Codigo_Acción]],3,0)</f>
        <v>#N/A</v>
      </c>
      <c r="C93" s="328" t="e">
        <f>CONCATENATE(Tabla18[[#This Row],[Bus_02]],"_",Tabla5[[#This Row],[Sub Acción Específica
&lt;&lt; Seleccionar&gt;&gt;]])</f>
        <v>#N/A</v>
      </c>
      <c r="D93" s="328" t="e">
        <f>VLOOKUP(Tabla18[[#This Row],[Aux_01]],TablaSubAccionEspecifica[[#All],[Concat]:[Cod_Sub_acción_especifica]],2,0)</f>
        <v>#N/A</v>
      </c>
      <c r="E93" s="328" t="e">
        <f>Tabla18[[#This Row],[Bus_03]]&amp;"_"&amp;Tabla5[[#This Row],[Tipo de Agente
&lt;&lt; Seleccionar&gt;&gt;]]</f>
        <v>#N/A</v>
      </c>
      <c r="F93" s="328" t="e">
        <f>VLOOKUP(Tabla18[[#This Row],[Concat2]],TablaPOA[[#All],[Concat]:[ConcatEspecial]],3,0)</f>
        <v>#N/A</v>
      </c>
      <c r="G93" s="65" t="str">
        <f>CONCATENATE(Registro!$A$6,"_",Tabla5[[#This Row],[Zona (Provincia)
&lt;&lt; Seleccionar&gt;&gt;]])</f>
        <v>Huánuco_</v>
      </c>
      <c r="H93" s="60" t="e">
        <f>VLOOKUP(Tabla18[[#This Row],[Concatenado***]],Tabla2[[#All],[Concatenado]:[Simbología*]],2,0)</f>
        <v>#N/A</v>
      </c>
      <c r="I93" s="65" t="str">
        <f>CONCATENATE(Tabla18[[#This Row],[Concatenado***]],"_",Tabla5[[#This Row],[Zona (Distrito)
&lt;&lt; Seleccionar&gt;&gt;]])</f>
        <v>Huánuco__</v>
      </c>
      <c r="J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" s="72" t="e">
        <f>VLOOKUP(Tabla5[[#This Row],[Tipo de Transporte Empleado
&lt;&lt; Seleccionar&gt;&gt;]],Tabla8[#All],2,0)</f>
        <v>#N/A</v>
      </c>
      <c r="L93" s="71" t="e">
        <f>#REF!+(#REF!*2)+#REF!</f>
        <v>#REF!</v>
      </c>
    </row>
    <row r="94" spans="1:12" x14ac:dyDescent="0.25">
      <c r="A94" s="328" t="e">
        <f>VLOOKUP(Tabla5[[#This Row],[Acción
&lt;&lt; Seleccionar&gt;&gt;]],TablaAccion[[#All],[Nombre_Abreviado]:[Codigo_Plan_Acción]],3,0)</f>
        <v>#N/A</v>
      </c>
      <c r="B94" s="328" t="e">
        <f>VLOOKUP(Tabla5[[#This Row],[Acción Especifica
&lt;&lt; Seleccionar&gt;&gt;]],TablaAccionEspecifica[[#All],[Nombre_Abreviado]:[Codigo_Acción]],3,0)</f>
        <v>#N/A</v>
      </c>
      <c r="C94" s="328" t="e">
        <f>CONCATENATE(Tabla18[[#This Row],[Bus_02]],"_",Tabla5[[#This Row],[Sub Acción Específica
&lt;&lt; Seleccionar&gt;&gt;]])</f>
        <v>#N/A</v>
      </c>
      <c r="D94" s="328" t="e">
        <f>VLOOKUP(Tabla18[[#This Row],[Aux_01]],TablaSubAccionEspecifica[[#All],[Concat]:[Cod_Sub_acción_especifica]],2,0)</f>
        <v>#N/A</v>
      </c>
      <c r="E94" s="328" t="e">
        <f>Tabla18[[#This Row],[Bus_03]]&amp;"_"&amp;Tabla5[[#This Row],[Tipo de Agente
&lt;&lt; Seleccionar&gt;&gt;]]</f>
        <v>#N/A</v>
      </c>
      <c r="F94" s="328" t="e">
        <f>VLOOKUP(Tabla18[[#This Row],[Concat2]],TablaPOA[[#All],[Concat]:[ConcatEspecial]],3,0)</f>
        <v>#N/A</v>
      </c>
      <c r="G94" s="65" t="str">
        <f>CONCATENATE(Registro!$A$6,"_",Tabla5[[#This Row],[Zona (Provincia)
&lt;&lt; Seleccionar&gt;&gt;]])</f>
        <v>Huánuco_</v>
      </c>
      <c r="H94" s="60" t="e">
        <f>VLOOKUP(Tabla18[[#This Row],[Concatenado***]],Tabla2[[#All],[Concatenado]:[Simbología*]],2,0)</f>
        <v>#N/A</v>
      </c>
      <c r="I94" s="65" t="str">
        <f>CONCATENATE(Tabla18[[#This Row],[Concatenado***]],"_",Tabla5[[#This Row],[Zona (Distrito)
&lt;&lt; Seleccionar&gt;&gt;]])</f>
        <v>Huánuco__</v>
      </c>
      <c r="J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" s="72" t="e">
        <f>VLOOKUP(Tabla5[[#This Row],[Tipo de Transporte Empleado
&lt;&lt; Seleccionar&gt;&gt;]],Tabla8[#All],2,0)</f>
        <v>#N/A</v>
      </c>
      <c r="L94" s="71" t="e">
        <f>#REF!+(#REF!*2)+#REF!</f>
        <v>#REF!</v>
      </c>
    </row>
    <row r="95" spans="1:12" x14ac:dyDescent="0.25">
      <c r="A95" s="328" t="e">
        <f>VLOOKUP(Tabla5[[#This Row],[Acción
&lt;&lt; Seleccionar&gt;&gt;]],TablaAccion[[#All],[Nombre_Abreviado]:[Codigo_Plan_Acción]],3,0)</f>
        <v>#N/A</v>
      </c>
      <c r="B95" s="328" t="e">
        <f>VLOOKUP(Tabla5[[#This Row],[Acción Especifica
&lt;&lt; Seleccionar&gt;&gt;]],TablaAccionEspecifica[[#All],[Nombre_Abreviado]:[Codigo_Acción]],3,0)</f>
        <v>#N/A</v>
      </c>
      <c r="C95" s="328" t="e">
        <f>CONCATENATE(Tabla18[[#This Row],[Bus_02]],"_",Tabla5[[#This Row],[Sub Acción Específica
&lt;&lt; Seleccionar&gt;&gt;]])</f>
        <v>#N/A</v>
      </c>
      <c r="D95" s="328" t="e">
        <f>VLOOKUP(Tabla18[[#This Row],[Aux_01]],TablaSubAccionEspecifica[[#All],[Concat]:[Cod_Sub_acción_especifica]],2,0)</f>
        <v>#N/A</v>
      </c>
      <c r="E95" s="328" t="e">
        <f>Tabla18[[#This Row],[Bus_03]]&amp;"_"&amp;Tabla5[[#This Row],[Tipo de Agente
&lt;&lt; Seleccionar&gt;&gt;]]</f>
        <v>#N/A</v>
      </c>
      <c r="F95" s="328" t="e">
        <f>VLOOKUP(Tabla18[[#This Row],[Concat2]],TablaPOA[[#All],[Concat]:[ConcatEspecial]],3,0)</f>
        <v>#N/A</v>
      </c>
      <c r="G95" s="65" t="str">
        <f>CONCATENATE(Registro!$A$6,"_",Tabla5[[#This Row],[Zona (Provincia)
&lt;&lt; Seleccionar&gt;&gt;]])</f>
        <v>Huánuco_</v>
      </c>
      <c r="H95" s="60" t="e">
        <f>VLOOKUP(Tabla18[[#This Row],[Concatenado***]],Tabla2[[#All],[Concatenado]:[Simbología*]],2,0)</f>
        <v>#N/A</v>
      </c>
      <c r="I95" s="65" t="str">
        <f>CONCATENATE(Tabla18[[#This Row],[Concatenado***]],"_",Tabla5[[#This Row],[Zona (Distrito)
&lt;&lt; Seleccionar&gt;&gt;]])</f>
        <v>Huánuco__</v>
      </c>
      <c r="J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5" s="72" t="e">
        <f>VLOOKUP(Tabla5[[#This Row],[Tipo de Transporte Empleado
&lt;&lt; Seleccionar&gt;&gt;]],Tabla8[#All],2,0)</f>
        <v>#N/A</v>
      </c>
      <c r="L95" s="71" t="e">
        <f>#REF!+(#REF!*2)+#REF!</f>
        <v>#REF!</v>
      </c>
    </row>
    <row r="96" spans="1:12" x14ac:dyDescent="0.25">
      <c r="A96" s="328" t="e">
        <f>VLOOKUP(Tabla5[[#This Row],[Acción
&lt;&lt; Seleccionar&gt;&gt;]],TablaAccion[[#All],[Nombre_Abreviado]:[Codigo_Plan_Acción]],3,0)</f>
        <v>#N/A</v>
      </c>
      <c r="B96" s="328" t="e">
        <f>VLOOKUP(Tabla5[[#This Row],[Acción Especifica
&lt;&lt; Seleccionar&gt;&gt;]],TablaAccionEspecifica[[#All],[Nombre_Abreviado]:[Codigo_Acción]],3,0)</f>
        <v>#N/A</v>
      </c>
      <c r="C96" s="328" t="e">
        <f>CONCATENATE(Tabla18[[#This Row],[Bus_02]],"_",Tabla5[[#This Row],[Sub Acción Específica
&lt;&lt; Seleccionar&gt;&gt;]])</f>
        <v>#N/A</v>
      </c>
      <c r="D96" s="328" t="e">
        <f>VLOOKUP(Tabla18[[#This Row],[Aux_01]],TablaSubAccionEspecifica[[#All],[Concat]:[Cod_Sub_acción_especifica]],2,0)</f>
        <v>#N/A</v>
      </c>
      <c r="E96" s="328" t="e">
        <f>Tabla18[[#This Row],[Bus_03]]&amp;"_"&amp;Tabla5[[#This Row],[Tipo de Agente
&lt;&lt; Seleccionar&gt;&gt;]]</f>
        <v>#N/A</v>
      </c>
      <c r="F96" s="328" t="e">
        <f>VLOOKUP(Tabla18[[#This Row],[Concat2]],TablaPOA[[#All],[Concat]:[ConcatEspecial]],3,0)</f>
        <v>#N/A</v>
      </c>
      <c r="G96" s="65" t="str">
        <f>CONCATENATE(Registro!$A$6,"_",Tabla5[[#This Row],[Zona (Provincia)
&lt;&lt; Seleccionar&gt;&gt;]])</f>
        <v>Huánuco_</v>
      </c>
      <c r="H96" s="60" t="e">
        <f>VLOOKUP(Tabla18[[#This Row],[Concatenado***]],Tabla2[[#All],[Concatenado]:[Simbología*]],2,0)</f>
        <v>#N/A</v>
      </c>
      <c r="I96" s="65" t="str">
        <f>CONCATENATE(Tabla18[[#This Row],[Concatenado***]],"_",Tabla5[[#This Row],[Zona (Distrito)
&lt;&lt; Seleccionar&gt;&gt;]])</f>
        <v>Huánuco__</v>
      </c>
      <c r="J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6" s="72" t="e">
        <f>VLOOKUP(Tabla5[[#This Row],[Tipo de Transporte Empleado
&lt;&lt; Seleccionar&gt;&gt;]],Tabla8[#All],2,0)</f>
        <v>#N/A</v>
      </c>
      <c r="L96" s="71" t="e">
        <f>#REF!+(#REF!*2)+#REF!</f>
        <v>#REF!</v>
      </c>
    </row>
    <row r="97" spans="1:12" x14ac:dyDescent="0.25">
      <c r="A97" s="328" t="e">
        <f>VLOOKUP(Tabla5[[#This Row],[Acción
&lt;&lt; Seleccionar&gt;&gt;]],TablaAccion[[#All],[Nombre_Abreviado]:[Codigo_Plan_Acción]],3,0)</f>
        <v>#N/A</v>
      </c>
      <c r="B97" s="328" t="e">
        <f>VLOOKUP(Tabla5[[#This Row],[Acción Especifica
&lt;&lt; Seleccionar&gt;&gt;]],TablaAccionEspecifica[[#All],[Nombre_Abreviado]:[Codigo_Acción]],3,0)</f>
        <v>#N/A</v>
      </c>
      <c r="C97" s="328" t="e">
        <f>CONCATENATE(Tabla18[[#This Row],[Bus_02]],"_",Tabla5[[#This Row],[Sub Acción Específica
&lt;&lt; Seleccionar&gt;&gt;]])</f>
        <v>#N/A</v>
      </c>
      <c r="D97" s="328" t="e">
        <f>VLOOKUP(Tabla18[[#This Row],[Aux_01]],TablaSubAccionEspecifica[[#All],[Concat]:[Cod_Sub_acción_especifica]],2,0)</f>
        <v>#N/A</v>
      </c>
      <c r="E97" s="328" t="e">
        <f>Tabla18[[#This Row],[Bus_03]]&amp;"_"&amp;Tabla5[[#This Row],[Tipo de Agente
&lt;&lt; Seleccionar&gt;&gt;]]</f>
        <v>#N/A</v>
      </c>
      <c r="F97" s="328" t="e">
        <f>VLOOKUP(Tabla18[[#This Row],[Concat2]],TablaPOA[[#All],[Concat]:[ConcatEspecial]],3,0)</f>
        <v>#N/A</v>
      </c>
      <c r="G97" s="65" t="str">
        <f>CONCATENATE(Registro!$A$6,"_",Tabla5[[#This Row],[Zona (Provincia)
&lt;&lt; Seleccionar&gt;&gt;]])</f>
        <v>Huánuco_</v>
      </c>
      <c r="H97" s="60" t="e">
        <f>VLOOKUP(Tabla18[[#This Row],[Concatenado***]],Tabla2[[#All],[Concatenado]:[Simbología*]],2,0)</f>
        <v>#N/A</v>
      </c>
      <c r="I97" s="65" t="str">
        <f>CONCATENATE(Tabla18[[#This Row],[Concatenado***]],"_",Tabla5[[#This Row],[Zona (Distrito)
&lt;&lt; Seleccionar&gt;&gt;]])</f>
        <v>Huánuco__</v>
      </c>
      <c r="J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7" s="72" t="e">
        <f>VLOOKUP(Tabla5[[#This Row],[Tipo de Transporte Empleado
&lt;&lt; Seleccionar&gt;&gt;]],Tabla8[#All],2,0)</f>
        <v>#N/A</v>
      </c>
      <c r="L97" s="71" t="e">
        <f>#REF!+(#REF!*2)+#REF!</f>
        <v>#REF!</v>
      </c>
    </row>
    <row r="98" spans="1:12" x14ac:dyDescent="0.25">
      <c r="A98" s="328" t="e">
        <f>VLOOKUP(Tabla5[[#This Row],[Acción
&lt;&lt; Seleccionar&gt;&gt;]],TablaAccion[[#All],[Nombre_Abreviado]:[Codigo_Plan_Acción]],3,0)</f>
        <v>#N/A</v>
      </c>
      <c r="B98" s="328" t="e">
        <f>VLOOKUP(Tabla5[[#This Row],[Acción Especifica
&lt;&lt; Seleccionar&gt;&gt;]],TablaAccionEspecifica[[#All],[Nombre_Abreviado]:[Codigo_Acción]],3,0)</f>
        <v>#N/A</v>
      </c>
      <c r="C98" s="328" t="e">
        <f>CONCATENATE(Tabla18[[#This Row],[Bus_02]],"_",Tabla5[[#This Row],[Sub Acción Específica
&lt;&lt; Seleccionar&gt;&gt;]])</f>
        <v>#N/A</v>
      </c>
      <c r="D98" s="328" t="e">
        <f>VLOOKUP(Tabla18[[#This Row],[Aux_01]],TablaSubAccionEspecifica[[#All],[Concat]:[Cod_Sub_acción_especifica]],2,0)</f>
        <v>#N/A</v>
      </c>
      <c r="E98" s="328" t="e">
        <f>Tabla18[[#This Row],[Bus_03]]&amp;"_"&amp;Tabla5[[#This Row],[Tipo de Agente
&lt;&lt; Seleccionar&gt;&gt;]]</f>
        <v>#N/A</v>
      </c>
      <c r="F98" s="328" t="e">
        <f>VLOOKUP(Tabla18[[#This Row],[Concat2]],TablaPOA[[#All],[Concat]:[ConcatEspecial]],3,0)</f>
        <v>#N/A</v>
      </c>
      <c r="G98" s="65" t="str">
        <f>CONCATENATE(Registro!$A$6,"_",Tabla5[[#This Row],[Zona (Provincia)
&lt;&lt; Seleccionar&gt;&gt;]])</f>
        <v>Huánuco_</v>
      </c>
      <c r="H98" s="60" t="e">
        <f>VLOOKUP(Tabla18[[#This Row],[Concatenado***]],Tabla2[[#All],[Concatenado]:[Simbología*]],2,0)</f>
        <v>#N/A</v>
      </c>
      <c r="I98" s="65" t="str">
        <f>CONCATENATE(Tabla18[[#This Row],[Concatenado***]],"_",Tabla5[[#This Row],[Zona (Distrito)
&lt;&lt; Seleccionar&gt;&gt;]])</f>
        <v>Huánuco__</v>
      </c>
      <c r="J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8" s="72" t="e">
        <f>VLOOKUP(Tabla5[[#This Row],[Tipo de Transporte Empleado
&lt;&lt; Seleccionar&gt;&gt;]],Tabla8[#All],2,0)</f>
        <v>#N/A</v>
      </c>
      <c r="L98" s="71" t="e">
        <f>#REF!+(#REF!*2)+#REF!</f>
        <v>#REF!</v>
      </c>
    </row>
    <row r="99" spans="1:12" x14ac:dyDescent="0.25">
      <c r="A99" s="328" t="e">
        <f>VLOOKUP(Tabla5[[#This Row],[Acción
&lt;&lt; Seleccionar&gt;&gt;]],TablaAccion[[#All],[Nombre_Abreviado]:[Codigo_Plan_Acción]],3,0)</f>
        <v>#N/A</v>
      </c>
      <c r="B99" s="328" t="e">
        <f>VLOOKUP(Tabla5[[#This Row],[Acción Especifica
&lt;&lt; Seleccionar&gt;&gt;]],TablaAccionEspecifica[[#All],[Nombre_Abreviado]:[Codigo_Acción]],3,0)</f>
        <v>#N/A</v>
      </c>
      <c r="C99" s="328" t="e">
        <f>CONCATENATE(Tabla18[[#This Row],[Bus_02]],"_",Tabla5[[#This Row],[Sub Acción Específica
&lt;&lt; Seleccionar&gt;&gt;]])</f>
        <v>#N/A</v>
      </c>
      <c r="D99" s="328" t="e">
        <f>VLOOKUP(Tabla18[[#This Row],[Aux_01]],TablaSubAccionEspecifica[[#All],[Concat]:[Cod_Sub_acción_especifica]],2,0)</f>
        <v>#N/A</v>
      </c>
      <c r="E99" s="328" t="e">
        <f>Tabla18[[#This Row],[Bus_03]]&amp;"_"&amp;Tabla5[[#This Row],[Tipo de Agente
&lt;&lt; Seleccionar&gt;&gt;]]</f>
        <v>#N/A</v>
      </c>
      <c r="F99" s="328" t="e">
        <f>VLOOKUP(Tabla18[[#This Row],[Concat2]],TablaPOA[[#All],[Concat]:[ConcatEspecial]],3,0)</f>
        <v>#N/A</v>
      </c>
      <c r="G99" s="65" t="str">
        <f>CONCATENATE(Registro!$A$6,"_",Tabla5[[#This Row],[Zona (Provincia)
&lt;&lt; Seleccionar&gt;&gt;]])</f>
        <v>Huánuco_</v>
      </c>
      <c r="H99" s="60" t="e">
        <f>VLOOKUP(Tabla18[[#This Row],[Concatenado***]],Tabla2[[#All],[Concatenado]:[Simbología*]],2,0)</f>
        <v>#N/A</v>
      </c>
      <c r="I99" s="65" t="str">
        <f>CONCATENATE(Tabla18[[#This Row],[Concatenado***]],"_",Tabla5[[#This Row],[Zona (Distrito)
&lt;&lt; Seleccionar&gt;&gt;]])</f>
        <v>Huánuco__</v>
      </c>
      <c r="J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9" s="72" t="e">
        <f>VLOOKUP(Tabla5[[#This Row],[Tipo de Transporte Empleado
&lt;&lt; Seleccionar&gt;&gt;]],Tabla8[#All],2,0)</f>
        <v>#N/A</v>
      </c>
      <c r="L99" s="71" t="e">
        <f>#REF!+(#REF!*2)+#REF!</f>
        <v>#REF!</v>
      </c>
    </row>
    <row r="100" spans="1:12" x14ac:dyDescent="0.25">
      <c r="A100" s="328" t="e">
        <f>VLOOKUP(Tabla5[[#This Row],[Acción
&lt;&lt; Seleccionar&gt;&gt;]],TablaAccion[[#All],[Nombre_Abreviado]:[Codigo_Plan_Acción]],3,0)</f>
        <v>#N/A</v>
      </c>
      <c r="B100" s="328" t="e">
        <f>VLOOKUP(Tabla5[[#This Row],[Acción Especifica
&lt;&lt; Seleccionar&gt;&gt;]],TablaAccionEspecifica[[#All],[Nombre_Abreviado]:[Codigo_Acción]],3,0)</f>
        <v>#N/A</v>
      </c>
      <c r="C100" s="328" t="e">
        <f>CONCATENATE(Tabla18[[#This Row],[Bus_02]],"_",Tabla5[[#This Row],[Sub Acción Específica
&lt;&lt; Seleccionar&gt;&gt;]])</f>
        <v>#N/A</v>
      </c>
      <c r="D100" s="328" t="e">
        <f>VLOOKUP(Tabla18[[#This Row],[Aux_01]],TablaSubAccionEspecifica[[#All],[Concat]:[Cod_Sub_acción_especifica]],2,0)</f>
        <v>#N/A</v>
      </c>
      <c r="E100" s="328" t="e">
        <f>Tabla18[[#This Row],[Bus_03]]&amp;"_"&amp;Tabla5[[#This Row],[Tipo de Agente
&lt;&lt; Seleccionar&gt;&gt;]]</f>
        <v>#N/A</v>
      </c>
      <c r="F100" s="328" t="e">
        <f>VLOOKUP(Tabla18[[#This Row],[Concat2]],TablaPOA[[#All],[Concat]:[ConcatEspecial]],3,0)</f>
        <v>#N/A</v>
      </c>
      <c r="G100" s="65" t="str">
        <f>CONCATENATE(Registro!$A$6,"_",Tabla5[[#This Row],[Zona (Provincia)
&lt;&lt; Seleccionar&gt;&gt;]])</f>
        <v>Huánuco_</v>
      </c>
      <c r="H100" s="60" t="e">
        <f>VLOOKUP(Tabla18[[#This Row],[Concatenado***]],Tabla2[[#All],[Concatenado]:[Simbología*]],2,0)</f>
        <v>#N/A</v>
      </c>
      <c r="I100" s="65" t="str">
        <f>CONCATENATE(Tabla18[[#This Row],[Concatenado***]],"_",Tabla5[[#This Row],[Zona (Distrito)
&lt;&lt; Seleccionar&gt;&gt;]])</f>
        <v>Huánuco__</v>
      </c>
      <c r="J1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0" s="72" t="e">
        <f>VLOOKUP(Tabla5[[#This Row],[Tipo de Transporte Empleado
&lt;&lt; Seleccionar&gt;&gt;]],Tabla8[#All],2,0)</f>
        <v>#N/A</v>
      </c>
      <c r="L100" s="71" t="e">
        <f>#REF!+(#REF!*2)+#REF!</f>
        <v>#REF!</v>
      </c>
    </row>
    <row r="101" spans="1:12" x14ac:dyDescent="0.25">
      <c r="A101" s="328" t="e">
        <f>VLOOKUP(Tabla5[[#This Row],[Acción
&lt;&lt; Seleccionar&gt;&gt;]],TablaAccion[[#All],[Nombre_Abreviado]:[Codigo_Plan_Acción]],3,0)</f>
        <v>#N/A</v>
      </c>
      <c r="B101" s="328" t="e">
        <f>VLOOKUP(Tabla5[[#This Row],[Acción Especifica
&lt;&lt; Seleccionar&gt;&gt;]],TablaAccionEspecifica[[#All],[Nombre_Abreviado]:[Codigo_Acción]],3,0)</f>
        <v>#N/A</v>
      </c>
      <c r="C101" s="328" t="e">
        <f>CONCATENATE(Tabla18[[#This Row],[Bus_02]],"_",Tabla5[[#This Row],[Sub Acción Específica
&lt;&lt; Seleccionar&gt;&gt;]])</f>
        <v>#N/A</v>
      </c>
      <c r="D101" s="328" t="e">
        <f>VLOOKUP(Tabla18[[#This Row],[Aux_01]],TablaSubAccionEspecifica[[#All],[Concat]:[Cod_Sub_acción_especifica]],2,0)</f>
        <v>#N/A</v>
      </c>
      <c r="E101" s="328" t="e">
        <f>Tabla18[[#This Row],[Bus_03]]&amp;"_"&amp;Tabla5[[#This Row],[Tipo de Agente
&lt;&lt; Seleccionar&gt;&gt;]]</f>
        <v>#N/A</v>
      </c>
      <c r="F101" s="328" t="e">
        <f>VLOOKUP(Tabla18[[#This Row],[Concat2]],TablaPOA[[#All],[Concat]:[ConcatEspecial]],3,0)</f>
        <v>#N/A</v>
      </c>
      <c r="G101" s="65" t="str">
        <f>CONCATENATE(Registro!$A$6,"_",Tabla5[[#This Row],[Zona (Provincia)
&lt;&lt; Seleccionar&gt;&gt;]])</f>
        <v>Huánuco_</v>
      </c>
      <c r="H101" s="60" t="e">
        <f>VLOOKUP(Tabla18[[#This Row],[Concatenado***]],Tabla2[[#All],[Concatenado]:[Simbología*]],2,0)</f>
        <v>#N/A</v>
      </c>
      <c r="I101" s="65" t="str">
        <f>CONCATENATE(Tabla18[[#This Row],[Concatenado***]],"_",Tabla5[[#This Row],[Zona (Distrito)
&lt;&lt; Seleccionar&gt;&gt;]])</f>
        <v>Huánuco__</v>
      </c>
      <c r="J1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1" s="72" t="e">
        <f>VLOOKUP(Tabla5[[#This Row],[Tipo de Transporte Empleado
&lt;&lt; Seleccionar&gt;&gt;]],Tabla8[#All],2,0)</f>
        <v>#N/A</v>
      </c>
      <c r="L101" s="71" t="e">
        <f>#REF!+(#REF!*2)+#REF!</f>
        <v>#REF!</v>
      </c>
    </row>
    <row r="102" spans="1:12" x14ac:dyDescent="0.25">
      <c r="A102" s="328" t="e">
        <f>VLOOKUP(Tabla5[[#This Row],[Acción
&lt;&lt; Seleccionar&gt;&gt;]],TablaAccion[[#All],[Nombre_Abreviado]:[Codigo_Plan_Acción]],3,0)</f>
        <v>#N/A</v>
      </c>
      <c r="B102" s="328" t="e">
        <f>VLOOKUP(Tabla5[[#This Row],[Acción Especifica
&lt;&lt; Seleccionar&gt;&gt;]],TablaAccionEspecifica[[#All],[Nombre_Abreviado]:[Codigo_Acción]],3,0)</f>
        <v>#N/A</v>
      </c>
      <c r="C102" s="328" t="e">
        <f>CONCATENATE(Tabla18[[#This Row],[Bus_02]],"_",Tabla5[[#This Row],[Sub Acción Específica
&lt;&lt; Seleccionar&gt;&gt;]])</f>
        <v>#N/A</v>
      </c>
      <c r="D102" s="328" t="e">
        <f>VLOOKUP(Tabla18[[#This Row],[Aux_01]],TablaSubAccionEspecifica[[#All],[Concat]:[Cod_Sub_acción_especifica]],2,0)</f>
        <v>#N/A</v>
      </c>
      <c r="E102" s="328" t="e">
        <f>Tabla18[[#This Row],[Bus_03]]&amp;"_"&amp;Tabla5[[#This Row],[Tipo de Agente
&lt;&lt; Seleccionar&gt;&gt;]]</f>
        <v>#N/A</v>
      </c>
      <c r="F102" s="328" t="e">
        <f>VLOOKUP(Tabla18[[#This Row],[Concat2]],TablaPOA[[#All],[Concat]:[ConcatEspecial]],3,0)</f>
        <v>#N/A</v>
      </c>
      <c r="G102" s="65" t="str">
        <f>CONCATENATE(Registro!$A$6,"_",Tabla5[[#This Row],[Zona (Provincia)
&lt;&lt; Seleccionar&gt;&gt;]])</f>
        <v>Huánuco_</v>
      </c>
      <c r="H102" s="60" t="e">
        <f>VLOOKUP(Tabla18[[#This Row],[Concatenado***]],Tabla2[[#All],[Concatenado]:[Simbología*]],2,0)</f>
        <v>#N/A</v>
      </c>
      <c r="I102" s="65" t="str">
        <f>CONCATENATE(Tabla18[[#This Row],[Concatenado***]],"_",Tabla5[[#This Row],[Zona (Distrito)
&lt;&lt; Seleccionar&gt;&gt;]])</f>
        <v>Huánuco__</v>
      </c>
      <c r="J1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2" s="72" t="e">
        <f>VLOOKUP(Tabla5[[#This Row],[Tipo de Transporte Empleado
&lt;&lt; Seleccionar&gt;&gt;]],Tabla8[#All],2,0)</f>
        <v>#N/A</v>
      </c>
      <c r="L102" s="71" t="e">
        <f>#REF!+(#REF!*2)+#REF!</f>
        <v>#REF!</v>
      </c>
    </row>
    <row r="103" spans="1:12" x14ac:dyDescent="0.25">
      <c r="A103" s="328" t="e">
        <f>VLOOKUP(Tabla5[[#This Row],[Acción
&lt;&lt; Seleccionar&gt;&gt;]],TablaAccion[[#All],[Nombre_Abreviado]:[Codigo_Plan_Acción]],3,0)</f>
        <v>#N/A</v>
      </c>
      <c r="B103" s="328" t="e">
        <f>VLOOKUP(Tabla5[[#This Row],[Acción Especifica
&lt;&lt; Seleccionar&gt;&gt;]],TablaAccionEspecifica[[#All],[Nombre_Abreviado]:[Codigo_Acción]],3,0)</f>
        <v>#N/A</v>
      </c>
      <c r="C103" s="328" t="e">
        <f>CONCATENATE(Tabla18[[#This Row],[Bus_02]],"_",Tabla5[[#This Row],[Sub Acción Específica
&lt;&lt; Seleccionar&gt;&gt;]])</f>
        <v>#N/A</v>
      </c>
      <c r="D103" s="328" t="e">
        <f>VLOOKUP(Tabla18[[#This Row],[Aux_01]],TablaSubAccionEspecifica[[#All],[Concat]:[Cod_Sub_acción_especifica]],2,0)</f>
        <v>#N/A</v>
      </c>
      <c r="E103" s="328" t="e">
        <f>Tabla18[[#This Row],[Bus_03]]&amp;"_"&amp;Tabla5[[#This Row],[Tipo de Agente
&lt;&lt; Seleccionar&gt;&gt;]]</f>
        <v>#N/A</v>
      </c>
      <c r="F103" s="328" t="e">
        <f>VLOOKUP(Tabla18[[#This Row],[Concat2]],TablaPOA[[#All],[Concat]:[ConcatEspecial]],3,0)</f>
        <v>#N/A</v>
      </c>
      <c r="G103" s="65" t="str">
        <f>CONCATENATE(Registro!$A$6,"_",Tabla5[[#This Row],[Zona (Provincia)
&lt;&lt; Seleccionar&gt;&gt;]])</f>
        <v>Huánuco_</v>
      </c>
      <c r="H103" s="60" t="e">
        <f>VLOOKUP(Tabla18[[#This Row],[Concatenado***]],Tabla2[[#All],[Concatenado]:[Simbología*]],2,0)</f>
        <v>#N/A</v>
      </c>
      <c r="I103" s="65" t="str">
        <f>CONCATENATE(Tabla18[[#This Row],[Concatenado***]],"_",Tabla5[[#This Row],[Zona (Distrito)
&lt;&lt; Seleccionar&gt;&gt;]])</f>
        <v>Huánuco__</v>
      </c>
      <c r="J1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3" s="72" t="e">
        <f>VLOOKUP(Tabla5[[#This Row],[Tipo de Transporte Empleado
&lt;&lt; Seleccionar&gt;&gt;]],Tabla8[#All],2,0)</f>
        <v>#N/A</v>
      </c>
      <c r="L103" s="71" t="e">
        <f>#REF!+(#REF!*2)+#REF!</f>
        <v>#REF!</v>
      </c>
    </row>
    <row r="104" spans="1:12" x14ac:dyDescent="0.25">
      <c r="A104" s="328" t="e">
        <f>VLOOKUP(Tabla5[[#This Row],[Acción
&lt;&lt; Seleccionar&gt;&gt;]],TablaAccion[[#All],[Nombre_Abreviado]:[Codigo_Plan_Acción]],3,0)</f>
        <v>#N/A</v>
      </c>
      <c r="B104" s="328" t="e">
        <f>VLOOKUP(Tabla5[[#This Row],[Acción Especifica
&lt;&lt; Seleccionar&gt;&gt;]],TablaAccionEspecifica[[#All],[Nombre_Abreviado]:[Codigo_Acción]],3,0)</f>
        <v>#N/A</v>
      </c>
      <c r="C104" s="328" t="e">
        <f>CONCATENATE(Tabla18[[#This Row],[Bus_02]],"_",Tabla5[[#This Row],[Sub Acción Específica
&lt;&lt; Seleccionar&gt;&gt;]])</f>
        <v>#N/A</v>
      </c>
      <c r="D104" s="328" t="e">
        <f>VLOOKUP(Tabla18[[#This Row],[Aux_01]],TablaSubAccionEspecifica[[#All],[Concat]:[Cod_Sub_acción_especifica]],2,0)</f>
        <v>#N/A</v>
      </c>
      <c r="E104" s="328" t="e">
        <f>Tabla18[[#This Row],[Bus_03]]&amp;"_"&amp;Tabla5[[#This Row],[Tipo de Agente
&lt;&lt; Seleccionar&gt;&gt;]]</f>
        <v>#N/A</v>
      </c>
      <c r="F104" s="328" t="e">
        <f>VLOOKUP(Tabla18[[#This Row],[Concat2]],TablaPOA[[#All],[Concat]:[ConcatEspecial]],3,0)</f>
        <v>#N/A</v>
      </c>
      <c r="G104" s="65" t="str">
        <f>CONCATENATE(Registro!$A$6,"_",Tabla5[[#This Row],[Zona (Provincia)
&lt;&lt; Seleccionar&gt;&gt;]])</f>
        <v>Huánuco_</v>
      </c>
      <c r="H104" s="60" t="e">
        <f>VLOOKUP(Tabla18[[#This Row],[Concatenado***]],Tabla2[[#All],[Concatenado]:[Simbología*]],2,0)</f>
        <v>#N/A</v>
      </c>
      <c r="I104" s="65" t="str">
        <f>CONCATENATE(Tabla18[[#This Row],[Concatenado***]],"_",Tabla5[[#This Row],[Zona (Distrito)
&lt;&lt; Seleccionar&gt;&gt;]])</f>
        <v>Huánuco__</v>
      </c>
      <c r="J1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4" s="72" t="e">
        <f>VLOOKUP(Tabla5[[#This Row],[Tipo de Transporte Empleado
&lt;&lt; Seleccionar&gt;&gt;]],Tabla8[#All],2,0)</f>
        <v>#N/A</v>
      </c>
      <c r="L104" s="71" t="e">
        <f>#REF!+(#REF!*2)+#REF!</f>
        <v>#REF!</v>
      </c>
    </row>
    <row r="105" spans="1:12" x14ac:dyDescent="0.25">
      <c r="A105" s="328" t="e">
        <f>VLOOKUP(Tabla5[[#This Row],[Acción
&lt;&lt; Seleccionar&gt;&gt;]],TablaAccion[[#All],[Nombre_Abreviado]:[Codigo_Plan_Acción]],3,0)</f>
        <v>#N/A</v>
      </c>
      <c r="B105" s="328" t="e">
        <f>VLOOKUP(Tabla5[[#This Row],[Acción Especifica
&lt;&lt; Seleccionar&gt;&gt;]],TablaAccionEspecifica[[#All],[Nombre_Abreviado]:[Codigo_Acción]],3,0)</f>
        <v>#N/A</v>
      </c>
      <c r="C105" s="328" t="e">
        <f>CONCATENATE(Tabla18[[#This Row],[Bus_02]],"_",Tabla5[[#This Row],[Sub Acción Específica
&lt;&lt; Seleccionar&gt;&gt;]])</f>
        <v>#N/A</v>
      </c>
      <c r="D105" s="328" t="e">
        <f>VLOOKUP(Tabla18[[#This Row],[Aux_01]],TablaSubAccionEspecifica[[#All],[Concat]:[Cod_Sub_acción_especifica]],2,0)</f>
        <v>#N/A</v>
      </c>
      <c r="E105" s="328" t="e">
        <f>Tabla18[[#This Row],[Bus_03]]&amp;"_"&amp;Tabla5[[#This Row],[Tipo de Agente
&lt;&lt; Seleccionar&gt;&gt;]]</f>
        <v>#N/A</v>
      </c>
      <c r="F105" s="328" t="e">
        <f>VLOOKUP(Tabla18[[#This Row],[Concat2]],TablaPOA[[#All],[Concat]:[ConcatEspecial]],3,0)</f>
        <v>#N/A</v>
      </c>
      <c r="G105" s="65" t="str">
        <f>CONCATENATE(Registro!$A$6,"_",Tabla5[[#This Row],[Zona (Provincia)
&lt;&lt; Seleccionar&gt;&gt;]])</f>
        <v>Huánuco_</v>
      </c>
      <c r="H105" s="60" t="e">
        <f>VLOOKUP(Tabla18[[#This Row],[Concatenado***]],Tabla2[[#All],[Concatenado]:[Simbología*]],2,0)</f>
        <v>#N/A</v>
      </c>
      <c r="I105" s="65" t="str">
        <f>CONCATENATE(Tabla18[[#This Row],[Concatenado***]],"_",Tabla5[[#This Row],[Zona (Distrito)
&lt;&lt; Seleccionar&gt;&gt;]])</f>
        <v>Huánuco__</v>
      </c>
      <c r="J1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5" s="72" t="e">
        <f>VLOOKUP(Tabla5[[#This Row],[Tipo de Transporte Empleado
&lt;&lt; Seleccionar&gt;&gt;]],Tabla8[#All],2,0)</f>
        <v>#N/A</v>
      </c>
      <c r="L105" s="71" t="e">
        <f>#REF!+(#REF!*2)+#REF!</f>
        <v>#REF!</v>
      </c>
    </row>
    <row r="106" spans="1:12" x14ac:dyDescent="0.25">
      <c r="A106" s="328" t="e">
        <f>VLOOKUP(Tabla5[[#This Row],[Acción
&lt;&lt; Seleccionar&gt;&gt;]],TablaAccion[[#All],[Nombre_Abreviado]:[Codigo_Plan_Acción]],3,0)</f>
        <v>#N/A</v>
      </c>
      <c r="B106" s="328" t="e">
        <f>VLOOKUP(Tabla5[[#This Row],[Acción Especifica
&lt;&lt; Seleccionar&gt;&gt;]],TablaAccionEspecifica[[#All],[Nombre_Abreviado]:[Codigo_Acción]],3,0)</f>
        <v>#N/A</v>
      </c>
      <c r="C106" s="328" t="e">
        <f>CONCATENATE(Tabla18[[#This Row],[Bus_02]],"_",Tabla5[[#This Row],[Sub Acción Específica
&lt;&lt; Seleccionar&gt;&gt;]])</f>
        <v>#N/A</v>
      </c>
      <c r="D106" s="328" t="e">
        <f>VLOOKUP(Tabla18[[#This Row],[Aux_01]],TablaSubAccionEspecifica[[#All],[Concat]:[Cod_Sub_acción_especifica]],2,0)</f>
        <v>#N/A</v>
      </c>
      <c r="E106" s="328" t="e">
        <f>Tabla18[[#This Row],[Bus_03]]&amp;"_"&amp;Tabla5[[#This Row],[Tipo de Agente
&lt;&lt; Seleccionar&gt;&gt;]]</f>
        <v>#N/A</v>
      </c>
      <c r="F106" s="328" t="e">
        <f>VLOOKUP(Tabla18[[#This Row],[Concat2]],TablaPOA[[#All],[Concat]:[ConcatEspecial]],3,0)</f>
        <v>#N/A</v>
      </c>
      <c r="G106" s="65" t="str">
        <f>CONCATENATE(Registro!$A$6,"_",Tabla5[[#This Row],[Zona (Provincia)
&lt;&lt; Seleccionar&gt;&gt;]])</f>
        <v>Huánuco_</v>
      </c>
      <c r="H106" s="60" t="e">
        <f>VLOOKUP(Tabla18[[#This Row],[Concatenado***]],Tabla2[[#All],[Concatenado]:[Simbología*]],2,0)</f>
        <v>#N/A</v>
      </c>
      <c r="I106" s="65" t="str">
        <f>CONCATENATE(Tabla18[[#This Row],[Concatenado***]],"_",Tabla5[[#This Row],[Zona (Distrito)
&lt;&lt; Seleccionar&gt;&gt;]])</f>
        <v>Huánuco__</v>
      </c>
      <c r="J1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6" s="72" t="e">
        <f>VLOOKUP(Tabla5[[#This Row],[Tipo de Transporte Empleado
&lt;&lt; Seleccionar&gt;&gt;]],Tabla8[#All],2,0)</f>
        <v>#N/A</v>
      </c>
      <c r="L106" s="71" t="e">
        <f>#REF!+(#REF!*2)+#REF!</f>
        <v>#REF!</v>
      </c>
    </row>
    <row r="107" spans="1:12" x14ac:dyDescent="0.25">
      <c r="A107" s="328" t="e">
        <f>VLOOKUP(Tabla5[[#This Row],[Acción
&lt;&lt; Seleccionar&gt;&gt;]],TablaAccion[[#All],[Nombre_Abreviado]:[Codigo_Plan_Acción]],3,0)</f>
        <v>#N/A</v>
      </c>
      <c r="B107" s="328" t="e">
        <f>VLOOKUP(Tabla5[[#This Row],[Acción Especifica
&lt;&lt; Seleccionar&gt;&gt;]],TablaAccionEspecifica[[#All],[Nombre_Abreviado]:[Codigo_Acción]],3,0)</f>
        <v>#N/A</v>
      </c>
      <c r="C107" s="328" t="e">
        <f>CONCATENATE(Tabla18[[#This Row],[Bus_02]],"_",Tabla5[[#This Row],[Sub Acción Específica
&lt;&lt; Seleccionar&gt;&gt;]])</f>
        <v>#N/A</v>
      </c>
      <c r="D107" s="328" t="e">
        <f>VLOOKUP(Tabla18[[#This Row],[Aux_01]],TablaSubAccionEspecifica[[#All],[Concat]:[Cod_Sub_acción_especifica]],2,0)</f>
        <v>#N/A</v>
      </c>
      <c r="E107" s="328" t="e">
        <f>Tabla18[[#This Row],[Bus_03]]&amp;"_"&amp;Tabla5[[#This Row],[Tipo de Agente
&lt;&lt; Seleccionar&gt;&gt;]]</f>
        <v>#N/A</v>
      </c>
      <c r="F107" s="328" t="e">
        <f>VLOOKUP(Tabla18[[#This Row],[Concat2]],TablaPOA[[#All],[Concat]:[ConcatEspecial]],3,0)</f>
        <v>#N/A</v>
      </c>
      <c r="G107" s="65" t="str">
        <f>CONCATENATE(Registro!$A$6,"_",Tabla5[[#This Row],[Zona (Provincia)
&lt;&lt; Seleccionar&gt;&gt;]])</f>
        <v>Huánuco_</v>
      </c>
      <c r="H107" s="60" t="e">
        <f>VLOOKUP(Tabla18[[#This Row],[Concatenado***]],Tabla2[[#All],[Concatenado]:[Simbología*]],2,0)</f>
        <v>#N/A</v>
      </c>
      <c r="I107" s="65" t="str">
        <f>CONCATENATE(Tabla18[[#This Row],[Concatenado***]],"_",Tabla5[[#This Row],[Zona (Distrito)
&lt;&lt; Seleccionar&gt;&gt;]])</f>
        <v>Huánuco__</v>
      </c>
      <c r="J1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7" s="72" t="e">
        <f>VLOOKUP(Tabla5[[#This Row],[Tipo de Transporte Empleado
&lt;&lt; Seleccionar&gt;&gt;]],Tabla8[#All],2,0)</f>
        <v>#N/A</v>
      </c>
      <c r="L107" s="71" t="e">
        <f>#REF!+(#REF!*2)+#REF!</f>
        <v>#REF!</v>
      </c>
    </row>
    <row r="108" spans="1:12" x14ac:dyDescent="0.25">
      <c r="A108" s="328" t="e">
        <f>VLOOKUP(Tabla5[[#This Row],[Acción
&lt;&lt; Seleccionar&gt;&gt;]],TablaAccion[[#All],[Nombre_Abreviado]:[Codigo_Plan_Acción]],3,0)</f>
        <v>#N/A</v>
      </c>
      <c r="B108" s="328" t="e">
        <f>VLOOKUP(Tabla5[[#This Row],[Acción Especifica
&lt;&lt; Seleccionar&gt;&gt;]],TablaAccionEspecifica[[#All],[Nombre_Abreviado]:[Codigo_Acción]],3,0)</f>
        <v>#N/A</v>
      </c>
      <c r="C108" s="328" t="e">
        <f>CONCATENATE(Tabla18[[#This Row],[Bus_02]],"_",Tabla5[[#This Row],[Sub Acción Específica
&lt;&lt; Seleccionar&gt;&gt;]])</f>
        <v>#N/A</v>
      </c>
      <c r="D108" s="328" t="e">
        <f>VLOOKUP(Tabla18[[#This Row],[Aux_01]],TablaSubAccionEspecifica[[#All],[Concat]:[Cod_Sub_acción_especifica]],2,0)</f>
        <v>#N/A</v>
      </c>
      <c r="E108" s="328" t="e">
        <f>Tabla18[[#This Row],[Bus_03]]&amp;"_"&amp;Tabla5[[#This Row],[Tipo de Agente
&lt;&lt; Seleccionar&gt;&gt;]]</f>
        <v>#N/A</v>
      </c>
      <c r="F108" s="328" t="e">
        <f>VLOOKUP(Tabla18[[#This Row],[Concat2]],TablaPOA[[#All],[Concat]:[ConcatEspecial]],3,0)</f>
        <v>#N/A</v>
      </c>
      <c r="G108" s="65" t="str">
        <f>CONCATENATE(Registro!$A$6,"_",Tabla5[[#This Row],[Zona (Provincia)
&lt;&lt; Seleccionar&gt;&gt;]])</f>
        <v>Huánuco_</v>
      </c>
      <c r="H108" s="60" t="e">
        <f>VLOOKUP(Tabla18[[#This Row],[Concatenado***]],Tabla2[[#All],[Concatenado]:[Simbología*]],2,0)</f>
        <v>#N/A</v>
      </c>
      <c r="I108" s="65" t="str">
        <f>CONCATENATE(Tabla18[[#This Row],[Concatenado***]],"_",Tabla5[[#This Row],[Zona (Distrito)
&lt;&lt; Seleccionar&gt;&gt;]])</f>
        <v>Huánuco__</v>
      </c>
      <c r="J1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8" s="72" t="e">
        <f>VLOOKUP(Tabla5[[#This Row],[Tipo de Transporte Empleado
&lt;&lt; Seleccionar&gt;&gt;]],Tabla8[#All],2,0)</f>
        <v>#N/A</v>
      </c>
      <c r="L108" s="71" t="e">
        <f>#REF!+(#REF!*2)+#REF!</f>
        <v>#REF!</v>
      </c>
    </row>
    <row r="109" spans="1:12" x14ac:dyDescent="0.25">
      <c r="A109" s="328" t="e">
        <f>VLOOKUP(Tabla5[[#This Row],[Acción
&lt;&lt; Seleccionar&gt;&gt;]],TablaAccion[[#All],[Nombre_Abreviado]:[Codigo_Plan_Acción]],3,0)</f>
        <v>#N/A</v>
      </c>
      <c r="B109" s="328" t="e">
        <f>VLOOKUP(Tabla5[[#This Row],[Acción Especifica
&lt;&lt; Seleccionar&gt;&gt;]],TablaAccionEspecifica[[#All],[Nombre_Abreviado]:[Codigo_Acción]],3,0)</f>
        <v>#N/A</v>
      </c>
      <c r="C109" s="328" t="e">
        <f>CONCATENATE(Tabla18[[#This Row],[Bus_02]],"_",Tabla5[[#This Row],[Sub Acción Específica
&lt;&lt; Seleccionar&gt;&gt;]])</f>
        <v>#N/A</v>
      </c>
      <c r="D109" s="328" t="e">
        <f>VLOOKUP(Tabla18[[#This Row],[Aux_01]],TablaSubAccionEspecifica[[#All],[Concat]:[Cod_Sub_acción_especifica]],2,0)</f>
        <v>#N/A</v>
      </c>
      <c r="E109" s="328" t="e">
        <f>Tabla18[[#This Row],[Bus_03]]&amp;"_"&amp;Tabla5[[#This Row],[Tipo de Agente
&lt;&lt; Seleccionar&gt;&gt;]]</f>
        <v>#N/A</v>
      </c>
      <c r="F109" s="328" t="e">
        <f>VLOOKUP(Tabla18[[#This Row],[Concat2]],TablaPOA[[#All],[Concat]:[ConcatEspecial]],3,0)</f>
        <v>#N/A</v>
      </c>
      <c r="G109" s="65" t="str">
        <f>CONCATENATE(Registro!$A$6,"_",Tabla5[[#This Row],[Zona (Provincia)
&lt;&lt; Seleccionar&gt;&gt;]])</f>
        <v>Huánuco_</v>
      </c>
      <c r="H109" s="60" t="e">
        <f>VLOOKUP(Tabla18[[#This Row],[Concatenado***]],Tabla2[[#All],[Concatenado]:[Simbología*]],2,0)</f>
        <v>#N/A</v>
      </c>
      <c r="I109" s="65" t="str">
        <f>CONCATENATE(Tabla18[[#This Row],[Concatenado***]],"_",Tabla5[[#This Row],[Zona (Distrito)
&lt;&lt; Seleccionar&gt;&gt;]])</f>
        <v>Huánuco__</v>
      </c>
      <c r="J1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9" s="72" t="e">
        <f>VLOOKUP(Tabla5[[#This Row],[Tipo de Transporte Empleado
&lt;&lt; Seleccionar&gt;&gt;]],Tabla8[#All],2,0)</f>
        <v>#N/A</v>
      </c>
      <c r="L109" s="71" t="e">
        <f>#REF!+(#REF!*2)+#REF!</f>
        <v>#REF!</v>
      </c>
    </row>
    <row r="110" spans="1:12" x14ac:dyDescent="0.25">
      <c r="A110" s="328" t="e">
        <f>VLOOKUP(Tabla5[[#This Row],[Acción
&lt;&lt; Seleccionar&gt;&gt;]],TablaAccion[[#All],[Nombre_Abreviado]:[Codigo_Plan_Acción]],3,0)</f>
        <v>#N/A</v>
      </c>
      <c r="B110" s="328" t="e">
        <f>VLOOKUP(Tabla5[[#This Row],[Acción Especifica
&lt;&lt; Seleccionar&gt;&gt;]],TablaAccionEspecifica[[#All],[Nombre_Abreviado]:[Codigo_Acción]],3,0)</f>
        <v>#N/A</v>
      </c>
      <c r="C110" s="328" t="e">
        <f>CONCATENATE(Tabla18[[#This Row],[Bus_02]],"_",Tabla5[[#This Row],[Sub Acción Específica
&lt;&lt; Seleccionar&gt;&gt;]])</f>
        <v>#N/A</v>
      </c>
      <c r="D110" s="328" t="e">
        <f>VLOOKUP(Tabla18[[#This Row],[Aux_01]],TablaSubAccionEspecifica[[#All],[Concat]:[Cod_Sub_acción_especifica]],2,0)</f>
        <v>#N/A</v>
      </c>
      <c r="E110" s="328" t="e">
        <f>Tabla18[[#This Row],[Bus_03]]&amp;"_"&amp;Tabla5[[#This Row],[Tipo de Agente
&lt;&lt; Seleccionar&gt;&gt;]]</f>
        <v>#N/A</v>
      </c>
      <c r="F110" s="328" t="e">
        <f>VLOOKUP(Tabla18[[#This Row],[Concat2]],TablaPOA[[#All],[Concat]:[ConcatEspecial]],3,0)</f>
        <v>#N/A</v>
      </c>
      <c r="G110" s="65" t="str">
        <f>CONCATENATE(Registro!$A$6,"_",Tabla5[[#This Row],[Zona (Provincia)
&lt;&lt; Seleccionar&gt;&gt;]])</f>
        <v>Huánuco_</v>
      </c>
      <c r="H110" s="60" t="e">
        <f>VLOOKUP(Tabla18[[#This Row],[Concatenado***]],Tabla2[[#All],[Concatenado]:[Simbología*]],2,0)</f>
        <v>#N/A</v>
      </c>
      <c r="I110" s="65" t="str">
        <f>CONCATENATE(Tabla18[[#This Row],[Concatenado***]],"_",Tabla5[[#This Row],[Zona (Distrito)
&lt;&lt; Seleccionar&gt;&gt;]])</f>
        <v>Huánuco__</v>
      </c>
      <c r="J1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0" s="72" t="e">
        <f>VLOOKUP(Tabla5[[#This Row],[Tipo de Transporte Empleado
&lt;&lt; Seleccionar&gt;&gt;]],Tabla8[#All],2,0)</f>
        <v>#N/A</v>
      </c>
      <c r="L110" s="71" t="e">
        <f>#REF!+(#REF!*2)+#REF!</f>
        <v>#REF!</v>
      </c>
    </row>
    <row r="111" spans="1:12" x14ac:dyDescent="0.25">
      <c r="A111" s="328" t="e">
        <f>VLOOKUP(Tabla5[[#This Row],[Acción
&lt;&lt; Seleccionar&gt;&gt;]],TablaAccion[[#All],[Nombre_Abreviado]:[Codigo_Plan_Acción]],3,0)</f>
        <v>#N/A</v>
      </c>
      <c r="B111" s="328" t="e">
        <f>VLOOKUP(Tabla5[[#This Row],[Acción Especifica
&lt;&lt; Seleccionar&gt;&gt;]],TablaAccionEspecifica[[#All],[Nombre_Abreviado]:[Codigo_Acción]],3,0)</f>
        <v>#N/A</v>
      </c>
      <c r="C111" s="328" t="e">
        <f>CONCATENATE(Tabla18[[#This Row],[Bus_02]],"_",Tabla5[[#This Row],[Sub Acción Específica
&lt;&lt; Seleccionar&gt;&gt;]])</f>
        <v>#N/A</v>
      </c>
      <c r="D111" s="328" t="e">
        <f>VLOOKUP(Tabla18[[#This Row],[Aux_01]],TablaSubAccionEspecifica[[#All],[Concat]:[Cod_Sub_acción_especifica]],2,0)</f>
        <v>#N/A</v>
      </c>
      <c r="E111" s="328" t="e">
        <f>Tabla18[[#This Row],[Bus_03]]&amp;"_"&amp;Tabla5[[#This Row],[Tipo de Agente
&lt;&lt; Seleccionar&gt;&gt;]]</f>
        <v>#N/A</v>
      </c>
      <c r="F111" s="328" t="e">
        <f>VLOOKUP(Tabla18[[#This Row],[Concat2]],TablaPOA[[#All],[Concat]:[ConcatEspecial]],3,0)</f>
        <v>#N/A</v>
      </c>
      <c r="G111" s="65" t="str">
        <f>CONCATENATE(Registro!$A$6,"_",Tabla5[[#This Row],[Zona (Provincia)
&lt;&lt; Seleccionar&gt;&gt;]])</f>
        <v>Huánuco_</v>
      </c>
      <c r="H111" s="60" t="e">
        <f>VLOOKUP(Tabla18[[#This Row],[Concatenado***]],Tabla2[[#All],[Concatenado]:[Simbología*]],2,0)</f>
        <v>#N/A</v>
      </c>
      <c r="I111" s="65" t="str">
        <f>CONCATENATE(Tabla18[[#This Row],[Concatenado***]],"_",Tabla5[[#This Row],[Zona (Distrito)
&lt;&lt; Seleccionar&gt;&gt;]])</f>
        <v>Huánuco__</v>
      </c>
      <c r="J1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1" s="72" t="e">
        <f>VLOOKUP(Tabla5[[#This Row],[Tipo de Transporte Empleado
&lt;&lt; Seleccionar&gt;&gt;]],Tabla8[#All],2,0)</f>
        <v>#N/A</v>
      </c>
      <c r="L111" s="71" t="e">
        <f>#REF!+(#REF!*2)+#REF!</f>
        <v>#REF!</v>
      </c>
    </row>
    <row r="112" spans="1:12" x14ac:dyDescent="0.25">
      <c r="A112" s="328" t="e">
        <f>VLOOKUP(Tabla5[[#This Row],[Acción
&lt;&lt; Seleccionar&gt;&gt;]],TablaAccion[[#All],[Nombre_Abreviado]:[Codigo_Plan_Acción]],3,0)</f>
        <v>#N/A</v>
      </c>
      <c r="B112" s="328" t="e">
        <f>VLOOKUP(Tabla5[[#This Row],[Acción Especifica
&lt;&lt; Seleccionar&gt;&gt;]],TablaAccionEspecifica[[#All],[Nombre_Abreviado]:[Codigo_Acción]],3,0)</f>
        <v>#N/A</v>
      </c>
      <c r="C112" s="328" t="e">
        <f>CONCATENATE(Tabla18[[#This Row],[Bus_02]],"_",Tabla5[[#This Row],[Sub Acción Específica
&lt;&lt; Seleccionar&gt;&gt;]])</f>
        <v>#N/A</v>
      </c>
      <c r="D112" s="328" t="e">
        <f>VLOOKUP(Tabla18[[#This Row],[Aux_01]],TablaSubAccionEspecifica[[#All],[Concat]:[Cod_Sub_acción_especifica]],2,0)</f>
        <v>#N/A</v>
      </c>
      <c r="E112" s="328" t="e">
        <f>Tabla18[[#This Row],[Bus_03]]&amp;"_"&amp;Tabla5[[#This Row],[Tipo de Agente
&lt;&lt; Seleccionar&gt;&gt;]]</f>
        <v>#N/A</v>
      </c>
      <c r="F112" s="328" t="e">
        <f>VLOOKUP(Tabla18[[#This Row],[Concat2]],TablaPOA[[#All],[Concat]:[ConcatEspecial]],3,0)</f>
        <v>#N/A</v>
      </c>
      <c r="G112" s="65" t="str">
        <f>CONCATENATE(Registro!$A$6,"_",Tabla5[[#This Row],[Zona (Provincia)
&lt;&lt; Seleccionar&gt;&gt;]])</f>
        <v>Huánuco_</v>
      </c>
      <c r="H112" s="60" t="e">
        <f>VLOOKUP(Tabla18[[#This Row],[Concatenado***]],Tabla2[[#All],[Concatenado]:[Simbología*]],2,0)</f>
        <v>#N/A</v>
      </c>
      <c r="I112" s="65" t="str">
        <f>CONCATENATE(Tabla18[[#This Row],[Concatenado***]],"_",Tabla5[[#This Row],[Zona (Distrito)
&lt;&lt; Seleccionar&gt;&gt;]])</f>
        <v>Huánuco__</v>
      </c>
      <c r="J1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2" s="72" t="e">
        <f>VLOOKUP(Tabla5[[#This Row],[Tipo de Transporte Empleado
&lt;&lt; Seleccionar&gt;&gt;]],Tabla8[#All],2,0)</f>
        <v>#N/A</v>
      </c>
      <c r="L112" s="71" t="e">
        <f>#REF!+(#REF!*2)+#REF!</f>
        <v>#REF!</v>
      </c>
    </row>
    <row r="113" spans="1:12" x14ac:dyDescent="0.25">
      <c r="A113" s="328" t="e">
        <f>VLOOKUP(Tabla5[[#This Row],[Acción
&lt;&lt; Seleccionar&gt;&gt;]],TablaAccion[[#All],[Nombre_Abreviado]:[Codigo_Plan_Acción]],3,0)</f>
        <v>#N/A</v>
      </c>
      <c r="B113" s="328" t="e">
        <f>VLOOKUP(Tabla5[[#This Row],[Acción Especifica
&lt;&lt; Seleccionar&gt;&gt;]],TablaAccionEspecifica[[#All],[Nombre_Abreviado]:[Codigo_Acción]],3,0)</f>
        <v>#N/A</v>
      </c>
      <c r="C113" s="328" t="e">
        <f>CONCATENATE(Tabla18[[#This Row],[Bus_02]],"_",Tabla5[[#This Row],[Sub Acción Específica
&lt;&lt; Seleccionar&gt;&gt;]])</f>
        <v>#N/A</v>
      </c>
      <c r="D113" s="328" t="e">
        <f>VLOOKUP(Tabla18[[#This Row],[Aux_01]],TablaSubAccionEspecifica[[#All],[Concat]:[Cod_Sub_acción_especifica]],2,0)</f>
        <v>#N/A</v>
      </c>
      <c r="E113" s="328" t="e">
        <f>Tabla18[[#This Row],[Bus_03]]&amp;"_"&amp;Tabla5[[#This Row],[Tipo de Agente
&lt;&lt; Seleccionar&gt;&gt;]]</f>
        <v>#N/A</v>
      </c>
      <c r="F113" s="328" t="e">
        <f>VLOOKUP(Tabla18[[#This Row],[Concat2]],TablaPOA[[#All],[Concat]:[ConcatEspecial]],3,0)</f>
        <v>#N/A</v>
      </c>
      <c r="G113" s="65" t="str">
        <f>CONCATENATE(Registro!$A$6,"_",Tabla5[[#This Row],[Zona (Provincia)
&lt;&lt; Seleccionar&gt;&gt;]])</f>
        <v>Huánuco_</v>
      </c>
      <c r="H113" s="60" t="e">
        <f>VLOOKUP(Tabla18[[#This Row],[Concatenado***]],Tabla2[[#All],[Concatenado]:[Simbología*]],2,0)</f>
        <v>#N/A</v>
      </c>
      <c r="I113" s="65" t="str">
        <f>CONCATENATE(Tabla18[[#This Row],[Concatenado***]],"_",Tabla5[[#This Row],[Zona (Distrito)
&lt;&lt; Seleccionar&gt;&gt;]])</f>
        <v>Huánuco__</v>
      </c>
      <c r="J1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3" s="72" t="e">
        <f>VLOOKUP(Tabla5[[#This Row],[Tipo de Transporte Empleado
&lt;&lt; Seleccionar&gt;&gt;]],Tabla8[#All],2,0)</f>
        <v>#N/A</v>
      </c>
      <c r="L113" s="71" t="e">
        <f>#REF!+(#REF!*2)+#REF!</f>
        <v>#REF!</v>
      </c>
    </row>
    <row r="114" spans="1:12" x14ac:dyDescent="0.25">
      <c r="A114" s="328" t="e">
        <f>VLOOKUP(Tabla5[[#This Row],[Acción
&lt;&lt; Seleccionar&gt;&gt;]],TablaAccion[[#All],[Nombre_Abreviado]:[Codigo_Plan_Acción]],3,0)</f>
        <v>#N/A</v>
      </c>
      <c r="B114" s="328" t="e">
        <f>VLOOKUP(Tabla5[[#This Row],[Acción Especifica
&lt;&lt; Seleccionar&gt;&gt;]],TablaAccionEspecifica[[#All],[Nombre_Abreviado]:[Codigo_Acción]],3,0)</f>
        <v>#N/A</v>
      </c>
      <c r="C114" s="328" t="e">
        <f>CONCATENATE(Tabla18[[#This Row],[Bus_02]],"_",Tabla5[[#This Row],[Sub Acción Específica
&lt;&lt; Seleccionar&gt;&gt;]])</f>
        <v>#N/A</v>
      </c>
      <c r="D114" s="328" t="e">
        <f>VLOOKUP(Tabla18[[#This Row],[Aux_01]],TablaSubAccionEspecifica[[#All],[Concat]:[Cod_Sub_acción_especifica]],2,0)</f>
        <v>#N/A</v>
      </c>
      <c r="E114" s="328" t="e">
        <f>Tabla18[[#This Row],[Bus_03]]&amp;"_"&amp;Tabla5[[#This Row],[Tipo de Agente
&lt;&lt; Seleccionar&gt;&gt;]]</f>
        <v>#N/A</v>
      </c>
      <c r="F114" s="328" t="e">
        <f>VLOOKUP(Tabla18[[#This Row],[Concat2]],TablaPOA[[#All],[Concat]:[ConcatEspecial]],3,0)</f>
        <v>#N/A</v>
      </c>
      <c r="G114" s="65" t="str">
        <f>CONCATENATE(Registro!$A$6,"_",Tabla5[[#This Row],[Zona (Provincia)
&lt;&lt; Seleccionar&gt;&gt;]])</f>
        <v>Huánuco_</v>
      </c>
      <c r="H114" s="60" t="e">
        <f>VLOOKUP(Tabla18[[#This Row],[Concatenado***]],Tabla2[[#All],[Concatenado]:[Simbología*]],2,0)</f>
        <v>#N/A</v>
      </c>
      <c r="I114" s="65" t="str">
        <f>CONCATENATE(Tabla18[[#This Row],[Concatenado***]],"_",Tabla5[[#This Row],[Zona (Distrito)
&lt;&lt; Seleccionar&gt;&gt;]])</f>
        <v>Huánuco__</v>
      </c>
      <c r="J1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4" s="72" t="e">
        <f>VLOOKUP(Tabla5[[#This Row],[Tipo de Transporte Empleado
&lt;&lt; Seleccionar&gt;&gt;]],Tabla8[#All],2,0)</f>
        <v>#N/A</v>
      </c>
      <c r="L114" s="71" t="e">
        <f>#REF!+(#REF!*2)+#REF!</f>
        <v>#REF!</v>
      </c>
    </row>
    <row r="115" spans="1:12" x14ac:dyDescent="0.25">
      <c r="A115" s="328" t="e">
        <f>VLOOKUP(Tabla5[[#This Row],[Acción
&lt;&lt; Seleccionar&gt;&gt;]],TablaAccion[[#All],[Nombre_Abreviado]:[Codigo_Plan_Acción]],3,0)</f>
        <v>#N/A</v>
      </c>
      <c r="B115" s="328" t="e">
        <f>VLOOKUP(Tabla5[[#This Row],[Acción Especifica
&lt;&lt; Seleccionar&gt;&gt;]],TablaAccionEspecifica[[#All],[Nombre_Abreviado]:[Codigo_Acción]],3,0)</f>
        <v>#N/A</v>
      </c>
      <c r="C115" s="328" t="e">
        <f>CONCATENATE(Tabla18[[#This Row],[Bus_02]],"_",Tabla5[[#This Row],[Sub Acción Específica
&lt;&lt; Seleccionar&gt;&gt;]])</f>
        <v>#N/A</v>
      </c>
      <c r="D115" s="328" t="e">
        <f>VLOOKUP(Tabla18[[#This Row],[Aux_01]],TablaSubAccionEspecifica[[#All],[Concat]:[Cod_Sub_acción_especifica]],2,0)</f>
        <v>#N/A</v>
      </c>
      <c r="E115" s="328" t="e">
        <f>Tabla18[[#This Row],[Bus_03]]&amp;"_"&amp;Tabla5[[#This Row],[Tipo de Agente
&lt;&lt; Seleccionar&gt;&gt;]]</f>
        <v>#N/A</v>
      </c>
      <c r="F115" s="328" t="e">
        <f>VLOOKUP(Tabla18[[#This Row],[Concat2]],TablaPOA[[#All],[Concat]:[ConcatEspecial]],3,0)</f>
        <v>#N/A</v>
      </c>
      <c r="G115" s="65" t="str">
        <f>CONCATENATE(Registro!$A$6,"_",Tabla5[[#This Row],[Zona (Provincia)
&lt;&lt; Seleccionar&gt;&gt;]])</f>
        <v>Huánuco_</v>
      </c>
      <c r="H115" s="60" t="e">
        <f>VLOOKUP(Tabla18[[#This Row],[Concatenado***]],Tabla2[[#All],[Concatenado]:[Simbología*]],2,0)</f>
        <v>#N/A</v>
      </c>
      <c r="I115" s="65" t="str">
        <f>CONCATENATE(Tabla18[[#This Row],[Concatenado***]],"_",Tabla5[[#This Row],[Zona (Distrito)
&lt;&lt; Seleccionar&gt;&gt;]])</f>
        <v>Huánuco__</v>
      </c>
      <c r="J1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5" s="72" t="e">
        <f>VLOOKUP(Tabla5[[#This Row],[Tipo de Transporte Empleado
&lt;&lt; Seleccionar&gt;&gt;]],Tabla8[#All],2,0)</f>
        <v>#N/A</v>
      </c>
      <c r="L115" s="71" t="e">
        <f>#REF!+(#REF!*2)+#REF!</f>
        <v>#REF!</v>
      </c>
    </row>
    <row r="116" spans="1:12" x14ac:dyDescent="0.25">
      <c r="A116" s="328" t="e">
        <f>VLOOKUP(Tabla5[[#This Row],[Acción
&lt;&lt; Seleccionar&gt;&gt;]],TablaAccion[[#All],[Nombre_Abreviado]:[Codigo_Plan_Acción]],3,0)</f>
        <v>#N/A</v>
      </c>
      <c r="B116" s="328" t="e">
        <f>VLOOKUP(Tabla5[[#This Row],[Acción Especifica
&lt;&lt; Seleccionar&gt;&gt;]],TablaAccionEspecifica[[#All],[Nombre_Abreviado]:[Codigo_Acción]],3,0)</f>
        <v>#N/A</v>
      </c>
      <c r="C116" s="328" t="e">
        <f>CONCATENATE(Tabla18[[#This Row],[Bus_02]],"_",Tabla5[[#This Row],[Sub Acción Específica
&lt;&lt; Seleccionar&gt;&gt;]])</f>
        <v>#N/A</v>
      </c>
      <c r="D116" s="328" t="e">
        <f>VLOOKUP(Tabla18[[#This Row],[Aux_01]],TablaSubAccionEspecifica[[#All],[Concat]:[Cod_Sub_acción_especifica]],2,0)</f>
        <v>#N/A</v>
      </c>
      <c r="E116" s="328" t="e">
        <f>Tabla18[[#This Row],[Bus_03]]&amp;"_"&amp;Tabla5[[#This Row],[Tipo de Agente
&lt;&lt; Seleccionar&gt;&gt;]]</f>
        <v>#N/A</v>
      </c>
      <c r="F116" s="328" t="e">
        <f>VLOOKUP(Tabla18[[#This Row],[Concat2]],TablaPOA[[#All],[Concat]:[ConcatEspecial]],3,0)</f>
        <v>#N/A</v>
      </c>
      <c r="G116" s="65" t="str">
        <f>CONCATENATE(Registro!$A$6,"_",Tabla5[[#This Row],[Zona (Provincia)
&lt;&lt; Seleccionar&gt;&gt;]])</f>
        <v>Huánuco_</v>
      </c>
      <c r="H116" s="60" t="e">
        <f>VLOOKUP(Tabla18[[#This Row],[Concatenado***]],Tabla2[[#All],[Concatenado]:[Simbología*]],2,0)</f>
        <v>#N/A</v>
      </c>
      <c r="I116" s="65" t="str">
        <f>CONCATENATE(Tabla18[[#This Row],[Concatenado***]],"_",Tabla5[[#This Row],[Zona (Distrito)
&lt;&lt; Seleccionar&gt;&gt;]])</f>
        <v>Huánuco__</v>
      </c>
      <c r="J1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6" s="72" t="e">
        <f>VLOOKUP(Tabla5[[#This Row],[Tipo de Transporte Empleado
&lt;&lt; Seleccionar&gt;&gt;]],Tabla8[#All],2,0)</f>
        <v>#N/A</v>
      </c>
      <c r="L116" s="71" t="e">
        <f>#REF!+(#REF!*2)+#REF!</f>
        <v>#REF!</v>
      </c>
    </row>
    <row r="117" spans="1:12" x14ac:dyDescent="0.25">
      <c r="A117" s="328" t="e">
        <f>VLOOKUP(Tabla5[[#This Row],[Acción
&lt;&lt; Seleccionar&gt;&gt;]],TablaAccion[[#All],[Nombre_Abreviado]:[Codigo_Plan_Acción]],3,0)</f>
        <v>#N/A</v>
      </c>
      <c r="B117" s="328" t="e">
        <f>VLOOKUP(Tabla5[[#This Row],[Acción Especifica
&lt;&lt; Seleccionar&gt;&gt;]],TablaAccionEspecifica[[#All],[Nombre_Abreviado]:[Codigo_Acción]],3,0)</f>
        <v>#N/A</v>
      </c>
      <c r="C117" s="328" t="e">
        <f>CONCATENATE(Tabla18[[#This Row],[Bus_02]],"_",Tabla5[[#This Row],[Sub Acción Específica
&lt;&lt; Seleccionar&gt;&gt;]])</f>
        <v>#N/A</v>
      </c>
      <c r="D117" s="328" t="e">
        <f>VLOOKUP(Tabla18[[#This Row],[Aux_01]],TablaSubAccionEspecifica[[#All],[Concat]:[Cod_Sub_acción_especifica]],2,0)</f>
        <v>#N/A</v>
      </c>
      <c r="E117" s="328" t="e">
        <f>Tabla18[[#This Row],[Bus_03]]&amp;"_"&amp;Tabla5[[#This Row],[Tipo de Agente
&lt;&lt; Seleccionar&gt;&gt;]]</f>
        <v>#N/A</v>
      </c>
      <c r="F117" s="328" t="e">
        <f>VLOOKUP(Tabla18[[#This Row],[Concat2]],TablaPOA[[#All],[Concat]:[ConcatEspecial]],3,0)</f>
        <v>#N/A</v>
      </c>
      <c r="G117" s="65" t="str">
        <f>CONCATENATE(Registro!$A$6,"_",Tabla5[[#This Row],[Zona (Provincia)
&lt;&lt; Seleccionar&gt;&gt;]])</f>
        <v>Huánuco_</v>
      </c>
      <c r="H117" s="60" t="e">
        <f>VLOOKUP(Tabla18[[#This Row],[Concatenado***]],Tabla2[[#All],[Concatenado]:[Simbología*]],2,0)</f>
        <v>#N/A</v>
      </c>
      <c r="I117" s="65" t="str">
        <f>CONCATENATE(Tabla18[[#This Row],[Concatenado***]],"_",Tabla5[[#This Row],[Zona (Distrito)
&lt;&lt; Seleccionar&gt;&gt;]])</f>
        <v>Huánuco__</v>
      </c>
      <c r="J1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7" s="72" t="e">
        <f>VLOOKUP(Tabla5[[#This Row],[Tipo de Transporte Empleado
&lt;&lt; Seleccionar&gt;&gt;]],Tabla8[#All],2,0)</f>
        <v>#N/A</v>
      </c>
      <c r="L117" s="71" t="e">
        <f>#REF!+(#REF!*2)+#REF!</f>
        <v>#REF!</v>
      </c>
    </row>
    <row r="118" spans="1:12" x14ac:dyDescent="0.25">
      <c r="A118" s="328" t="e">
        <f>VLOOKUP(Tabla5[[#This Row],[Acción
&lt;&lt; Seleccionar&gt;&gt;]],TablaAccion[[#All],[Nombre_Abreviado]:[Codigo_Plan_Acción]],3,0)</f>
        <v>#N/A</v>
      </c>
      <c r="B118" s="328" t="e">
        <f>VLOOKUP(Tabla5[[#This Row],[Acción Especifica
&lt;&lt; Seleccionar&gt;&gt;]],TablaAccionEspecifica[[#All],[Nombre_Abreviado]:[Codigo_Acción]],3,0)</f>
        <v>#N/A</v>
      </c>
      <c r="C118" s="328" t="e">
        <f>CONCATENATE(Tabla18[[#This Row],[Bus_02]],"_",Tabla5[[#This Row],[Sub Acción Específica
&lt;&lt; Seleccionar&gt;&gt;]])</f>
        <v>#N/A</v>
      </c>
      <c r="D118" s="328" t="e">
        <f>VLOOKUP(Tabla18[[#This Row],[Aux_01]],TablaSubAccionEspecifica[[#All],[Concat]:[Cod_Sub_acción_especifica]],2,0)</f>
        <v>#N/A</v>
      </c>
      <c r="E118" s="328" t="e">
        <f>Tabla18[[#This Row],[Bus_03]]&amp;"_"&amp;Tabla5[[#This Row],[Tipo de Agente
&lt;&lt; Seleccionar&gt;&gt;]]</f>
        <v>#N/A</v>
      </c>
      <c r="F118" s="328" t="e">
        <f>VLOOKUP(Tabla18[[#This Row],[Concat2]],TablaPOA[[#All],[Concat]:[ConcatEspecial]],3,0)</f>
        <v>#N/A</v>
      </c>
      <c r="G118" s="65" t="str">
        <f>CONCATENATE(Registro!$A$6,"_",Tabla5[[#This Row],[Zona (Provincia)
&lt;&lt; Seleccionar&gt;&gt;]])</f>
        <v>Huánuco_</v>
      </c>
      <c r="H118" s="60" t="e">
        <f>VLOOKUP(Tabla18[[#This Row],[Concatenado***]],Tabla2[[#All],[Concatenado]:[Simbología*]],2,0)</f>
        <v>#N/A</v>
      </c>
      <c r="I118" s="65" t="str">
        <f>CONCATENATE(Tabla18[[#This Row],[Concatenado***]],"_",Tabla5[[#This Row],[Zona (Distrito)
&lt;&lt; Seleccionar&gt;&gt;]])</f>
        <v>Huánuco__</v>
      </c>
      <c r="J1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8" s="72" t="e">
        <f>VLOOKUP(Tabla5[[#This Row],[Tipo de Transporte Empleado
&lt;&lt; Seleccionar&gt;&gt;]],Tabla8[#All],2,0)</f>
        <v>#N/A</v>
      </c>
      <c r="L118" s="71" t="e">
        <f>#REF!+(#REF!*2)+#REF!</f>
        <v>#REF!</v>
      </c>
    </row>
    <row r="119" spans="1:12" x14ac:dyDescent="0.25">
      <c r="A119" s="328" t="e">
        <f>VLOOKUP(Tabla5[[#This Row],[Acción
&lt;&lt; Seleccionar&gt;&gt;]],TablaAccion[[#All],[Nombre_Abreviado]:[Codigo_Plan_Acción]],3,0)</f>
        <v>#N/A</v>
      </c>
      <c r="B119" s="328" t="e">
        <f>VLOOKUP(Tabla5[[#This Row],[Acción Especifica
&lt;&lt; Seleccionar&gt;&gt;]],TablaAccionEspecifica[[#All],[Nombre_Abreviado]:[Codigo_Acción]],3,0)</f>
        <v>#N/A</v>
      </c>
      <c r="C119" s="328" t="e">
        <f>CONCATENATE(Tabla18[[#This Row],[Bus_02]],"_",Tabla5[[#This Row],[Sub Acción Específica
&lt;&lt; Seleccionar&gt;&gt;]])</f>
        <v>#N/A</v>
      </c>
      <c r="D119" s="328" t="e">
        <f>VLOOKUP(Tabla18[[#This Row],[Aux_01]],TablaSubAccionEspecifica[[#All],[Concat]:[Cod_Sub_acción_especifica]],2,0)</f>
        <v>#N/A</v>
      </c>
      <c r="E119" s="328" t="e">
        <f>Tabla18[[#This Row],[Bus_03]]&amp;"_"&amp;Tabla5[[#This Row],[Tipo de Agente
&lt;&lt; Seleccionar&gt;&gt;]]</f>
        <v>#N/A</v>
      </c>
      <c r="F119" s="328" t="e">
        <f>VLOOKUP(Tabla18[[#This Row],[Concat2]],TablaPOA[[#All],[Concat]:[ConcatEspecial]],3,0)</f>
        <v>#N/A</v>
      </c>
      <c r="G119" s="65" t="str">
        <f>CONCATENATE(Registro!$A$6,"_",Tabla5[[#This Row],[Zona (Provincia)
&lt;&lt; Seleccionar&gt;&gt;]])</f>
        <v>Huánuco_</v>
      </c>
      <c r="H119" s="60" t="e">
        <f>VLOOKUP(Tabla18[[#This Row],[Concatenado***]],Tabla2[[#All],[Concatenado]:[Simbología*]],2,0)</f>
        <v>#N/A</v>
      </c>
      <c r="I119" s="65" t="str">
        <f>CONCATENATE(Tabla18[[#This Row],[Concatenado***]],"_",Tabla5[[#This Row],[Zona (Distrito)
&lt;&lt; Seleccionar&gt;&gt;]])</f>
        <v>Huánuco__</v>
      </c>
      <c r="J1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9" s="72" t="e">
        <f>VLOOKUP(Tabla5[[#This Row],[Tipo de Transporte Empleado
&lt;&lt; Seleccionar&gt;&gt;]],Tabla8[#All],2,0)</f>
        <v>#N/A</v>
      </c>
      <c r="L119" s="71" t="e">
        <f>#REF!+(#REF!*2)+#REF!</f>
        <v>#REF!</v>
      </c>
    </row>
    <row r="120" spans="1:12" x14ac:dyDescent="0.25">
      <c r="A120" s="328" t="e">
        <f>VLOOKUP(Tabla5[[#This Row],[Acción
&lt;&lt; Seleccionar&gt;&gt;]],TablaAccion[[#All],[Nombre_Abreviado]:[Codigo_Plan_Acción]],3,0)</f>
        <v>#N/A</v>
      </c>
      <c r="B120" s="328" t="e">
        <f>VLOOKUP(Tabla5[[#This Row],[Acción Especifica
&lt;&lt; Seleccionar&gt;&gt;]],TablaAccionEspecifica[[#All],[Nombre_Abreviado]:[Codigo_Acción]],3,0)</f>
        <v>#N/A</v>
      </c>
      <c r="C120" s="328" t="e">
        <f>CONCATENATE(Tabla18[[#This Row],[Bus_02]],"_",Tabla5[[#This Row],[Sub Acción Específica
&lt;&lt; Seleccionar&gt;&gt;]])</f>
        <v>#N/A</v>
      </c>
      <c r="D120" s="328" t="e">
        <f>VLOOKUP(Tabla18[[#This Row],[Aux_01]],TablaSubAccionEspecifica[[#All],[Concat]:[Cod_Sub_acción_especifica]],2,0)</f>
        <v>#N/A</v>
      </c>
      <c r="E120" s="328" t="e">
        <f>Tabla18[[#This Row],[Bus_03]]&amp;"_"&amp;Tabla5[[#This Row],[Tipo de Agente
&lt;&lt; Seleccionar&gt;&gt;]]</f>
        <v>#N/A</v>
      </c>
      <c r="F120" s="328" t="e">
        <f>VLOOKUP(Tabla18[[#This Row],[Concat2]],TablaPOA[[#All],[Concat]:[ConcatEspecial]],3,0)</f>
        <v>#N/A</v>
      </c>
      <c r="G120" s="65" t="str">
        <f>CONCATENATE(Registro!$A$6,"_",Tabla5[[#This Row],[Zona (Provincia)
&lt;&lt; Seleccionar&gt;&gt;]])</f>
        <v>Huánuco_</v>
      </c>
      <c r="H120" s="60" t="e">
        <f>VLOOKUP(Tabla18[[#This Row],[Concatenado***]],Tabla2[[#All],[Concatenado]:[Simbología*]],2,0)</f>
        <v>#N/A</v>
      </c>
      <c r="I120" s="65" t="str">
        <f>CONCATENATE(Tabla18[[#This Row],[Concatenado***]],"_",Tabla5[[#This Row],[Zona (Distrito)
&lt;&lt; Seleccionar&gt;&gt;]])</f>
        <v>Huánuco__</v>
      </c>
      <c r="J1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0" s="72" t="e">
        <f>VLOOKUP(Tabla5[[#This Row],[Tipo de Transporte Empleado
&lt;&lt; Seleccionar&gt;&gt;]],Tabla8[#All],2,0)</f>
        <v>#N/A</v>
      </c>
      <c r="L120" s="71" t="e">
        <f>#REF!+(#REF!*2)+#REF!</f>
        <v>#REF!</v>
      </c>
    </row>
    <row r="121" spans="1:12" x14ac:dyDescent="0.25">
      <c r="A121" s="328" t="e">
        <f>VLOOKUP(Tabla5[[#This Row],[Acción
&lt;&lt; Seleccionar&gt;&gt;]],TablaAccion[[#All],[Nombre_Abreviado]:[Codigo_Plan_Acción]],3,0)</f>
        <v>#N/A</v>
      </c>
      <c r="B121" s="328" t="e">
        <f>VLOOKUP(Tabla5[[#This Row],[Acción Especifica
&lt;&lt; Seleccionar&gt;&gt;]],TablaAccionEspecifica[[#All],[Nombre_Abreviado]:[Codigo_Acción]],3,0)</f>
        <v>#N/A</v>
      </c>
      <c r="C121" s="328" t="e">
        <f>CONCATENATE(Tabla18[[#This Row],[Bus_02]],"_",Tabla5[[#This Row],[Sub Acción Específica
&lt;&lt; Seleccionar&gt;&gt;]])</f>
        <v>#N/A</v>
      </c>
      <c r="D121" s="328" t="e">
        <f>VLOOKUP(Tabla18[[#This Row],[Aux_01]],TablaSubAccionEspecifica[[#All],[Concat]:[Cod_Sub_acción_especifica]],2,0)</f>
        <v>#N/A</v>
      </c>
      <c r="E121" s="328" t="e">
        <f>Tabla18[[#This Row],[Bus_03]]&amp;"_"&amp;Tabla5[[#This Row],[Tipo de Agente
&lt;&lt; Seleccionar&gt;&gt;]]</f>
        <v>#N/A</v>
      </c>
      <c r="F121" s="328" t="e">
        <f>VLOOKUP(Tabla18[[#This Row],[Concat2]],TablaPOA[[#All],[Concat]:[ConcatEspecial]],3,0)</f>
        <v>#N/A</v>
      </c>
      <c r="G121" s="65" t="str">
        <f>CONCATENATE(Registro!$A$6,"_",Tabla5[[#This Row],[Zona (Provincia)
&lt;&lt; Seleccionar&gt;&gt;]])</f>
        <v>Huánuco_</v>
      </c>
      <c r="H121" s="60" t="e">
        <f>VLOOKUP(Tabla18[[#This Row],[Concatenado***]],Tabla2[[#All],[Concatenado]:[Simbología*]],2,0)</f>
        <v>#N/A</v>
      </c>
      <c r="I121" s="65" t="str">
        <f>CONCATENATE(Tabla18[[#This Row],[Concatenado***]],"_",Tabla5[[#This Row],[Zona (Distrito)
&lt;&lt; Seleccionar&gt;&gt;]])</f>
        <v>Huánuco__</v>
      </c>
      <c r="J1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1" s="72" t="e">
        <f>VLOOKUP(Tabla5[[#This Row],[Tipo de Transporte Empleado
&lt;&lt; Seleccionar&gt;&gt;]],Tabla8[#All],2,0)</f>
        <v>#N/A</v>
      </c>
      <c r="L121" s="71" t="e">
        <f>#REF!+(#REF!*2)+#REF!</f>
        <v>#REF!</v>
      </c>
    </row>
    <row r="122" spans="1:12" x14ac:dyDescent="0.25">
      <c r="A122" s="328" t="e">
        <f>VLOOKUP(Tabla5[[#This Row],[Acción
&lt;&lt; Seleccionar&gt;&gt;]],TablaAccion[[#All],[Nombre_Abreviado]:[Codigo_Plan_Acción]],3,0)</f>
        <v>#N/A</v>
      </c>
      <c r="B122" s="328" t="e">
        <f>VLOOKUP(Tabla5[[#This Row],[Acción Especifica
&lt;&lt; Seleccionar&gt;&gt;]],TablaAccionEspecifica[[#All],[Nombre_Abreviado]:[Codigo_Acción]],3,0)</f>
        <v>#N/A</v>
      </c>
      <c r="C122" s="328" t="e">
        <f>CONCATENATE(Tabla18[[#This Row],[Bus_02]],"_",Tabla5[[#This Row],[Sub Acción Específica
&lt;&lt; Seleccionar&gt;&gt;]])</f>
        <v>#N/A</v>
      </c>
      <c r="D122" s="328" t="e">
        <f>VLOOKUP(Tabla18[[#This Row],[Aux_01]],TablaSubAccionEspecifica[[#All],[Concat]:[Cod_Sub_acción_especifica]],2,0)</f>
        <v>#N/A</v>
      </c>
      <c r="E122" s="328" t="e">
        <f>Tabla18[[#This Row],[Bus_03]]&amp;"_"&amp;Tabla5[[#This Row],[Tipo de Agente
&lt;&lt; Seleccionar&gt;&gt;]]</f>
        <v>#N/A</v>
      </c>
      <c r="F122" s="328" t="e">
        <f>VLOOKUP(Tabla18[[#This Row],[Concat2]],TablaPOA[[#All],[Concat]:[ConcatEspecial]],3,0)</f>
        <v>#N/A</v>
      </c>
      <c r="G122" s="65" t="str">
        <f>CONCATENATE(Registro!$A$6,"_",Tabla5[[#This Row],[Zona (Provincia)
&lt;&lt; Seleccionar&gt;&gt;]])</f>
        <v>Huánuco_</v>
      </c>
      <c r="H122" s="60" t="e">
        <f>VLOOKUP(Tabla18[[#This Row],[Concatenado***]],Tabla2[[#All],[Concatenado]:[Simbología*]],2,0)</f>
        <v>#N/A</v>
      </c>
      <c r="I122" s="65" t="str">
        <f>CONCATENATE(Tabla18[[#This Row],[Concatenado***]],"_",Tabla5[[#This Row],[Zona (Distrito)
&lt;&lt; Seleccionar&gt;&gt;]])</f>
        <v>Huánuco__</v>
      </c>
      <c r="J1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2" s="72" t="e">
        <f>VLOOKUP(Tabla5[[#This Row],[Tipo de Transporte Empleado
&lt;&lt; Seleccionar&gt;&gt;]],Tabla8[#All],2,0)</f>
        <v>#N/A</v>
      </c>
      <c r="L122" s="71" t="e">
        <f>#REF!+(#REF!*2)+#REF!</f>
        <v>#REF!</v>
      </c>
    </row>
    <row r="123" spans="1:12" x14ac:dyDescent="0.25">
      <c r="A123" s="328" t="e">
        <f>VLOOKUP(Tabla5[[#This Row],[Acción
&lt;&lt; Seleccionar&gt;&gt;]],TablaAccion[[#All],[Nombre_Abreviado]:[Codigo_Plan_Acción]],3,0)</f>
        <v>#N/A</v>
      </c>
      <c r="B123" s="328" t="e">
        <f>VLOOKUP(Tabla5[[#This Row],[Acción Especifica
&lt;&lt; Seleccionar&gt;&gt;]],TablaAccionEspecifica[[#All],[Nombre_Abreviado]:[Codigo_Acción]],3,0)</f>
        <v>#N/A</v>
      </c>
      <c r="C123" s="328" t="e">
        <f>CONCATENATE(Tabla18[[#This Row],[Bus_02]],"_",Tabla5[[#This Row],[Sub Acción Específica
&lt;&lt; Seleccionar&gt;&gt;]])</f>
        <v>#N/A</v>
      </c>
      <c r="D123" s="328" t="e">
        <f>VLOOKUP(Tabla18[[#This Row],[Aux_01]],TablaSubAccionEspecifica[[#All],[Concat]:[Cod_Sub_acción_especifica]],2,0)</f>
        <v>#N/A</v>
      </c>
      <c r="E123" s="328" t="e">
        <f>Tabla18[[#This Row],[Bus_03]]&amp;"_"&amp;Tabla5[[#This Row],[Tipo de Agente
&lt;&lt; Seleccionar&gt;&gt;]]</f>
        <v>#N/A</v>
      </c>
      <c r="F123" s="328" t="e">
        <f>VLOOKUP(Tabla18[[#This Row],[Concat2]],TablaPOA[[#All],[Concat]:[ConcatEspecial]],3,0)</f>
        <v>#N/A</v>
      </c>
      <c r="G123" s="65" t="str">
        <f>CONCATENATE(Registro!$A$6,"_",Tabla5[[#This Row],[Zona (Provincia)
&lt;&lt; Seleccionar&gt;&gt;]])</f>
        <v>Huánuco_</v>
      </c>
      <c r="H123" s="60" t="e">
        <f>VLOOKUP(Tabla18[[#This Row],[Concatenado***]],Tabla2[[#All],[Concatenado]:[Simbología*]],2,0)</f>
        <v>#N/A</v>
      </c>
      <c r="I123" s="65" t="str">
        <f>CONCATENATE(Tabla18[[#This Row],[Concatenado***]],"_",Tabla5[[#This Row],[Zona (Distrito)
&lt;&lt; Seleccionar&gt;&gt;]])</f>
        <v>Huánuco__</v>
      </c>
      <c r="J1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3" s="72" t="e">
        <f>VLOOKUP(Tabla5[[#This Row],[Tipo de Transporte Empleado
&lt;&lt; Seleccionar&gt;&gt;]],Tabla8[#All],2,0)</f>
        <v>#N/A</v>
      </c>
      <c r="L123" s="71" t="e">
        <f>#REF!+(#REF!*2)+#REF!</f>
        <v>#REF!</v>
      </c>
    </row>
    <row r="124" spans="1:12" x14ac:dyDescent="0.25">
      <c r="A124" s="328" t="e">
        <f>VLOOKUP(Tabla5[[#This Row],[Acción
&lt;&lt; Seleccionar&gt;&gt;]],TablaAccion[[#All],[Nombre_Abreviado]:[Codigo_Plan_Acción]],3,0)</f>
        <v>#N/A</v>
      </c>
      <c r="B124" s="328" t="e">
        <f>VLOOKUP(Tabla5[[#This Row],[Acción Especifica
&lt;&lt; Seleccionar&gt;&gt;]],TablaAccionEspecifica[[#All],[Nombre_Abreviado]:[Codigo_Acción]],3,0)</f>
        <v>#N/A</v>
      </c>
      <c r="C124" s="328" t="e">
        <f>CONCATENATE(Tabla18[[#This Row],[Bus_02]],"_",Tabla5[[#This Row],[Sub Acción Específica
&lt;&lt; Seleccionar&gt;&gt;]])</f>
        <v>#N/A</v>
      </c>
      <c r="D124" s="328" t="e">
        <f>VLOOKUP(Tabla18[[#This Row],[Aux_01]],TablaSubAccionEspecifica[[#All],[Concat]:[Cod_Sub_acción_especifica]],2,0)</f>
        <v>#N/A</v>
      </c>
      <c r="E124" s="328" t="e">
        <f>Tabla18[[#This Row],[Bus_03]]&amp;"_"&amp;Tabla5[[#This Row],[Tipo de Agente
&lt;&lt; Seleccionar&gt;&gt;]]</f>
        <v>#N/A</v>
      </c>
      <c r="F124" s="328" t="e">
        <f>VLOOKUP(Tabla18[[#This Row],[Concat2]],TablaPOA[[#All],[Concat]:[ConcatEspecial]],3,0)</f>
        <v>#N/A</v>
      </c>
      <c r="G124" s="65" t="str">
        <f>CONCATENATE(Registro!$A$6,"_",Tabla5[[#This Row],[Zona (Provincia)
&lt;&lt; Seleccionar&gt;&gt;]])</f>
        <v>Huánuco_</v>
      </c>
      <c r="H124" s="60" t="e">
        <f>VLOOKUP(Tabla18[[#This Row],[Concatenado***]],Tabla2[[#All],[Concatenado]:[Simbología*]],2,0)</f>
        <v>#N/A</v>
      </c>
      <c r="I124" s="65" t="str">
        <f>CONCATENATE(Tabla18[[#This Row],[Concatenado***]],"_",Tabla5[[#This Row],[Zona (Distrito)
&lt;&lt; Seleccionar&gt;&gt;]])</f>
        <v>Huánuco__</v>
      </c>
      <c r="J1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4" s="72" t="e">
        <f>VLOOKUP(Tabla5[[#This Row],[Tipo de Transporte Empleado
&lt;&lt; Seleccionar&gt;&gt;]],Tabla8[#All],2,0)</f>
        <v>#N/A</v>
      </c>
      <c r="L124" s="71" t="e">
        <f>#REF!+(#REF!*2)+#REF!</f>
        <v>#REF!</v>
      </c>
    </row>
    <row r="125" spans="1:12" x14ac:dyDescent="0.25">
      <c r="A125" s="328" t="e">
        <f>VLOOKUP(Tabla5[[#This Row],[Acción
&lt;&lt; Seleccionar&gt;&gt;]],TablaAccion[[#All],[Nombre_Abreviado]:[Codigo_Plan_Acción]],3,0)</f>
        <v>#N/A</v>
      </c>
      <c r="B125" s="328" t="e">
        <f>VLOOKUP(Tabla5[[#This Row],[Acción Especifica
&lt;&lt; Seleccionar&gt;&gt;]],TablaAccionEspecifica[[#All],[Nombre_Abreviado]:[Codigo_Acción]],3,0)</f>
        <v>#N/A</v>
      </c>
      <c r="C125" s="328" t="e">
        <f>CONCATENATE(Tabla18[[#This Row],[Bus_02]],"_",Tabla5[[#This Row],[Sub Acción Específica
&lt;&lt; Seleccionar&gt;&gt;]])</f>
        <v>#N/A</v>
      </c>
      <c r="D125" s="328" t="e">
        <f>VLOOKUP(Tabla18[[#This Row],[Aux_01]],TablaSubAccionEspecifica[[#All],[Concat]:[Cod_Sub_acción_especifica]],2,0)</f>
        <v>#N/A</v>
      </c>
      <c r="E125" s="328" t="e">
        <f>Tabla18[[#This Row],[Bus_03]]&amp;"_"&amp;Tabla5[[#This Row],[Tipo de Agente
&lt;&lt; Seleccionar&gt;&gt;]]</f>
        <v>#N/A</v>
      </c>
      <c r="F125" s="328" t="e">
        <f>VLOOKUP(Tabla18[[#This Row],[Concat2]],TablaPOA[[#All],[Concat]:[ConcatEspecial]],3,0)</f>
        <v>#N/A</v>
      </c>
      <c r="G125" s="65" t="str">
        <f>CONCATENATE(Registro!$A$6,"_",Tabla5[[#This Row],[Zona (Provincia)
&lt;&lt; Seleccionar&gt;&gt;]])</f>
        <v>Huánuco_</v>
      </c>
      <c r="H125" s="60" t="e">
        <f>VLOOKUP(Tabla18[[#This Row],[Concatenado***]],Tabla2[[#All],[Concatenado]:[Simbología*]],2,0)</f>
        <v>#N/A</v>
      </c>
      <c r="I125" s="65" t="str">
        <f>CONCATENATE(Tabla18[[#This Row],[Concatenado***]],"_",Tabla5[[#This Row],[Zona (Distrito)
&lt;&lt; Seleccionar&gt;&gt;]])</f>
        <v>Huánuco__</v>
      </c>
      <c r="J1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5" s="72" t="e">
        <f>VLOOKUP(Tabla5[[#This Row],[Tipo de Transporte Empleado
&lt;&lt; Seleccionar&gt;&gt;]],Tabla8[#All],2,0)</f>
        <v>#N/A</v>
      </c>
      <c r="L125" s="71" t="e">
        <f>#REF!+(#REF!*2)+#REF!</f>
        <v>#REF!</v>
      </c>
    </row>
    <row r="126" spans="1:12" x14ac:dyDescent="0.25">
      <c r="A126" s="328" t="e">
        <f>VLOOKUP(Tabla5[[#This Row],[Acción
&lt;&lt; Seleccionar&gt;&gt;]],TablaAccion[[#All],[Nombre_Abreviado]:[Codigo_Plan_Acción]],3,0)</f>
        <v>#N/A</v>
      </c>
      <c r="B126" s="328" t="e">
        <f>VLOOKUP(Tabla5[[#This Row],[Acción Especifica
&lt;&lt; Seleccionar&gt;&gt;]],TablaAccionEspecifica[[#All],[Nombre_Abreviado]:[Codigo_Acción]],3,0)</f>
        <v>#N/A</v>
      </c>
      <c r="C126" s="328" t="e">
        <f>CONCATENATE(Tabla18[[#This Row],[Bus_02]],"_",Tabla5[[#This Row],[Sub Acción Específica
&lt;&lt; Seleccionar&gt;&gt;]])</f>
        <v>#N/A</v>
      </c>
      <c r="D126" s="328" t="e">
        <f>VLOOKUP(Tabla18[[#This Row],[Aux_01]],TablaSubAccionEspecifica[[#All],[Concat]:[Cod_Sub_acción_especifica]],2,0)</f>
        <v>#N/A</v>
      </c>
      <c r="E126" s="328" t="e">
        <f>Tabla18[[#This Row],[Bus_03]]&amp;"_"&amp;Tabla5[[#This Row],[Tipo de Agente
&lt;&lt; Seleccionar&gt;&gt;]]</f>
        <v>#N/A</v>
      </c>
      <c r="F126" s="328" t="e">
        <f>VLOOKUP(Tabla18[[#This Row],[Concat2]],TablaPOA[[#All],[Concat]:[ConcatEspecial]],3,0)</f>
        <v>#N/A</v>
      </c>
      <c r="G126" s="65" t="str">
        <f>CONCATENATE(Registro!$A$6,"_",Tabla5[[#This Row],[Zona (Provincia)
&lt;&lt; Seleccionar&gt;&gt;]])</f>
        <v>Huánuco_</v>
      </c>
      <c r="H126" s="60" t="e">
        <f>VLOOKUP(Tabla18[[#This Row],[Concatenado***]],Tabla2[[#All],[Concatenado]:[Simbología*]],2,0)</f>
        <v>#N/A</v>
      </c>
      <c r="I126" s="65" t="str">
        <f>CONCATENATE(Tabla18[[#This Row],[Concatenado***]],"_",Tabla5[[#This Row],[Zona (Distrito)
&lt;&lt; Seleccionar&gt;&gt;]])</f>
        <v>Huánuco__</v>
      </c>
      <c r="J1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6" s="72" t="e">
        <f>VLOOKUP(Tabla5[[#This Row],[Tipo de Transporte Empleado
&lt;&lt; Seleccionar&gt;&gt;]],Tabla8[#All],2,0)</f>
        <v>#N/A</v>
      </c>
      <c r="L126" s="71" t="e">
        <f>#REF!+(#REF!*2)+#REF!</f>
        <v>#REF!</v>
      </c>
    </row>
    <row r="127" spans="1:12" x14ac:dyDescent="0.25">
      <c r="A127" s="328" t="e">
        <f>VLOOKUP(Tabla5[[#This Row],[Acción
&lt;&lt; Seleccionar&gt;&gt;]],TablaAccion[[#All],[Nombre_Abreviado]:[Codigo_Plan_Acción]],3,0)</f>
        <v>#N/A</v>
      </c>
      <c r="B127" s="328" t="e">
        <f>VLOOKUP(Tabla5[[#This Row],[Acción Especifica
&lt;&lt; Seleccionar&gt;&gt;]],TablaAccionEspecifica[[#All],[Nombre_Abreviado]:[Codigo_Acción]],3,0)</f>
        <v>#N/A</v>
      </c>
      <c r="C127" s="328" t="e">
        <f>CONCATENATE(Tabla18[[#This Row],[Bus_02]],"_",Tabla5[[#This Row],[Sub Acción Específica
&lt;&lt; Seleccionar&gt;&gt;]])</f>
        <v>#N/A</v>
      </c>
      <c r="D127" s="328" t="e">
        <f>VLOOKUP(Tabla18[[#This Row],[Aux_01]],TablaSubAccionEspecifica[[#All],[Concat]:[Cod_Sub_acción_especifica]],2,0)</f>
        <v>#N/A</v>
      </c>
      <c r="E127" s="328" t="e">
        <f>Tabla18[[#This Row],[Bus_03]]&amp;"_"&amp;Tabla5[[#This Row],[Tipo de Agente
&lt;&lt; Seleccionar&gt;&gt;]]</f>
        <v>#N/A</v>
      </c>
      <c r="F127" s="328" t="e">
        <f>VLOOKUP(Tabla18[[#This Row],[Concat2]],TablaPOA[[#All],[Concat]:[ConcatEspecial]],3,0)</f>
        <v>#N/A</v>
      </c>
      <c r="G127" s="65" t="str">
        <f>CONCATENATE(Registro!$A$6,"_",Tabla5[[#This Row],[Zona (Provincia)
&lt;&lt; Seleccionar&gt;&gt;]])</f>
        <v>Huánuco_</v>
      </c>
      <c r="H127" s="60" t="e">
        <f>VLOOKUP(Tabla18[[#This Row],[Concatenado***]],Tabla2[[#All],[Concatenado]:[Simbología*]],2,0)</f>
        <v>#N/A</v>
      </c>
      <c r="I127" s="65" t="str">
        <f>CONCATENATE(Tabla18[[#This Row],[Concatenado***]],"_",Tabla5[[#This Row],[Zona (Distrito)
&lt;&lt; Seleccionar&gt;&gt;]])</f>
        <v>Huánuco__</v>
      </c>
      <c r="J1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7" s="72" t="e">
        <f>VLOOKUP(Tabla5[[#This Row],[Tipo de Transporte Empleado
&lt;&lt; Seleccionar&gt;&gt;]],Tabla8[#All],2,0)</f>
        <v>#N/A</v>
      </c>
      <c r="L127" s="71" t="e">
        <f>#REF!+(#REF!*2)+#REF!</f>
        <v>#REF!</v>
      </c>
    </row>
    <row r="128" spans="1:12" x14ac:dyDescent="0.25">
      <c r="A128" s="328" t="e">
        <f>VLOOKUP(Tabla5[[#This Row],[Acción
&lt;&lt; Seleccionar&gt;&gt;]],TablaAccion[[#All],[Nombre_Abreviado]:[Codigo_Plan_Acción]],3,0)</f>
        <v>#N/A</v>
      </c>
      <c r="B128" s="328" t="e">
        <f>VLOOKUP(Tabla5[[#This Row],[Acción Especifica
&lt;&lt; Seleccionar&gt;&gt;]],TablaAccionEspecifica[[#All],[Nombre_Abreviado]:[Codigo_Acción]],3,0)</f>
        <v>#N/A</v>
      </c>
      <c r="C128" s="328" t="e">
        <f>CONCATENATE(Tabla18[[#This Row],[Bus_02]],"_",Tabla5[[#This Row],[Sub Acción Específica
&lt;&lt; Seleccionar&gt;&gt;]])</f>
        <v>#N/A</v>
      </c>
      <c r="D128" s="328" t="e">
        <f>VLOOKUP(Tabla18[[#This Row],[Aux_01]],TablaSubAccionEspecifica[[#All],[Concat]:[Cod_Sub_acción_especifica]],2,0)</f>
        <v>#N/A</v>
      </c>
      <c r="E128" s="328" t="e">
        <f>Tabla18[[#This Row],[Bus_03]]&amp;"_"&amp;Tabla5[[#This Row],[Tipo de Agente
&lt;&lt; Seleccionar&gt;&gt;]]</f>
        <v>#N/A</v>
      </c>
      <c r="F128" s="328" t="e">
        <f>VLOOKUP(Tabla18[[#This Row],[Concat2]],TablaPOA[[#All],[Concat]:[ConcatEspecial]],3,0)</f>
        <v>#N/A</v>
      </c>
      <c r="G128" s="65" t="str">
        <f>CONCATENATE(Registro!$A$6,"_",Tabla5[[#This Row],[Zona (Provincia)
&lt;&lt; Seleccionar&gt;&gt;]])</f>
        <v>Huánuco_</v>
      </c>
      <c r="H128" s="60" t="e">
        <f>VLOOKUP(Tabla18[[#This Row],[Concatenado***]],Tabla2[[#All],[Concatenado]:[Simbología*]],2,0)</f>
        <v>#N/A</v>
      </c>
      <c r="I128" s="65" t="str">
        <f>CONCATENATE(Tabla18[[#This Row],[Concatenado***]],"_",Tabla5[[#This Row],[Zona (Distrito)
&lt;&lt; Seleccionar&gt;&gt;]])</f>
        <v>Huánuco__</v>
      </c>
      <c r="J1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8" s="72" t="e">
        <f>VLOOKUP(Tabla5[[#This Row],[Tipo de Transporte Empleado
&lt;&lt; Seleccionar&gt;&gt;]],Tabla8[#All],2,0)</f>
        <v>#N/A</v>
      </c>
      <c r="L128" s="71" t="e">
        <f>#REF!+(#REF!*2)+#REF!</f>
        <v>#REF!</v>
      </c>
    </row>
    <row r="129" spans="1:12" x14ac:dyDescent="0.25">
      <c r="A129" s="328" t="e">
        <f>VLOOKUP(Tabla5[[#This Row],[Acción
&lt;&lt; Seleccionar&gt;&gt;]],TablaAccion[[#All],[Nombre_Abreviado]:[Codigo_Plan_Acción]],3,0)</f>
        <v>#N/A</v>
      </c>
      <c r="B129" s="328" t="e">
        <f>VLOOKUP(Tabla5[[#This Row],[Acción Especifica
&lt;&lt; Seleccionar&gt;&gt;]],TablaAccionEspecifica[[#All],[Nombre_Abreviado]:[Codigo_Acción]],3,0)</f>
        <v>#N/A</v>
      </c>
      <c r="C129" s="328" t="e">
        <f>CONCATENATE(Tabla18[[#This Row],[Bus_02]],"_",Tabla5[[#This Row],[Sub Acción Específica
&lt;&lt; Seleccionar&gt;&gt;]])</f>
        <v>#N/A</v>
      </c>
      <c r="D129" s="328" t="e">
        <f>VLOOKUP(Tabla18[[#This Row],[Aux_01]],TablaSubAccionEspecifica[[#All],[Concat]:[Cod_Sub_acción_especifica]],2,0)</f>
        <v>#N/A</v>
      </c>
      <c r="E129" s="328" t="e">
        <f>Tabla18[[#This Row],[Bus_03]]&amp;"_"&amp;Tabla5[[#This Row],[Tipo de Agente
&lt;&lt; Seleccionar&gt;&gt;]]</f>
        <v>#N/A</v>
      </c>
      <c r="F129" s="328" t="e">
        <f>VLOOKUP(Tabla18[[#This Row],[Concat2]],TablaPOA[[#All],[Concat]:[ConcatEspecial]],3,0)</f>
        <v>#N/A</v>
      </c>
      <c r="G129" s="65" t="str">
        <f>CONCATENATE(Registro!$A$6,"_",Tabla5[[#This Row],[Zona (Provincia)
&lt;&lt; Seleccionar&gt;&gt;]])</f>
        <v>Huánuco_</v>
      </c>
      <c r="H129" s="60" t="e">
        <f>VLOOKUP(Tabla18[[#This Row],[Concatenado***]],Tabla2[[#All],[Concatenado]:[Simbología*]],2,0)</f>
        <v>#N/A</v>
      </c>
      <c r="I129" s="65" t="str">
        <f>CONCATENATE(Tabla18[[#This Row],[Concatenado***]],"_",Tabla5[[#This Row],[Zona (Distrito)
&lt;&lt; Seleccionar&gt;&gt;]])</f>
        <v>Huánuco__</v>
      </c>
      <c r="J1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9" s="72" t="e">
        <f>VLOOKUP(Tabla5[[#This Row],[Tipo de Transporte Empleado
&lt;&lt; Seleccionar&gt;&gt;]],Tabla8[#All],2,0)</f>
        <v>#N/A</v>
      </c>
      <c r="L129" s="71" t="e">
        <f>#REF!+(#REF!*2)+#REF!</f>
        <v>#REF!</v>
      </c>
    </row>
    <row r="130" spans="1:12" x14ac:dyDescent="0.25">
      <c r="A130" s="328" t="e">
        <f>VLOOKUP(Tabla5[[#This Row],[Acción
&lt;&lt; Seleccionar&gt;&gt;]],TablaAccion[[#All],[Nombre_Abreviado]:[Codigo_Plan_Acción]],3,0)</f>
        <v>#N/A</v>
      </c>
      <c r="B130" s="328" t="e">
        <f>VLOOKUP(Tabla5[[#This Row],[Acción Especifica
&lt;&lt; Seleccionar&gt;&gt;]],TablaAccionEspecifica[[#All],[Nombre_Abreviado]:[Codigo_Acción]],3,0)</f>
        <v>#N/A</v>
      </c>
      <c r="C130" s="328" t="e">
        <f>CONCATENATE(Tabla18[[#This Row],[Bus_02]],"_",Tabla5[[#This Row],[Sub Acción Específica
&lt;&lt; Seleccionar&gt;&gt;]])</f>
        <v>#N/A</v>
      </c>
      <c r="D130" s="328" t="e">
        <f>VLOOKUP(Tabla18[[#This Row],[Aux_01]],TablaSubAccionEspecifica[[#All],[Concat]:[Cod_Sub_acción_especifica]],2,0)</f>
        <v>#N/A</v>
      </c>
      <c r="E130" s="328" t="e">
        <f>Tabla18[[#This Row],[Bus_03]]&amp;"_"&amp;Tabla5[[#This Row],[Tipo de Agente
&lt;&lt; Seleccionar&gt;&gt;]]</f>
        <v>#N/A</v>
      </c>
      <c r="F130" s="328" t="e">
        <f>VLOOKUP(Tabla18[[#This Row],[Concat2]],TablaPOA[[#All],[Concat]:[ConcatEspecial]],3,0)</f>
        <v>#N/A</v>
      </c>
      <c r="G130" s="65" t="str">
        <f>CONCATENATE(Registro!$A$6,"_",Tabla5[[#This Row],[Zona (Provincia)
&lt;&lt; Seleccionar&gt;&gt;]])</f>
        <v>Huánuco_</v>
      </c>
      <c r="H130" s="60" t="e">
        <f>VLOOKUP(Tabla18[[#This Row],[Concatenado***]],Tabla2[[#All],[Concatenado]:[Simbología*]],2,0)</f>
        <v>#N/A</v>
      </c>
      <c r="I130" s="65" t="str">
        <f>CONCATENATE(Tabla18[[#This Row],[Concatenado***]],"_",Tabla5[[#This Row],[Zona (Distrito)
&lt;&lt; Seleccionar&gt;&gt;]])</f>
        <v>Huánuco__</v>
      </c>
      <c r="J1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0" s="72" t="e">
        <f>VLOOKUP(Tabla5[[#This Row],[Tipo de Transporte Empleado
&lt;&lt; Seleccionar&gt;&gt;]],Tabla8[#All],2,0)</f>
        <v>#N/A</v>
      </c>
      <c r="L130" s="71" t="e">
        <f>#REF!+(#REF!*2)+#REF!</f>
        <v>#REF!</v>
      </c>
    </row>
    <row r="131" spans="1:12" x14ac:dyDescent="0.25">
      <c r="A131" s="328" t="e">
        <f>VLOOKUP(Tabla5[[#This Row],[Acción
&lt;&lt; Seleccionar&gt;&gt;]],TablaAccion[[#All],[Nombre_Abreviado]:[Codigo_Plan_Acción]],3,0)</f>
        <v>#N/A</v>
      </c>
      <c r="B131" s="328" t="e">
        <f>VLOOKUP(Tabla5[[#This Row],[Acción Especifica
&lt;&lt; Seleccionar&gt;&gt;]],TablaAccionEspecifica[[#All],[Nombre_Abreviado]:[Codigo_Acción]],3,0)</f>
        <v>#N/A</v>
      </c>
      <c r="C131" s="328" t="e">
        <f>CONCATENATE(Tabla18[[#This Row],[Bus_02]],"_",Tabla5[[#This Row],[Sub Acción Específica
&lt;&lt; Seleccionar&gt;&gt;]])</f>
        <v>#N/A</v>
      </c>
      <c r="D131" s="328" t="e">
        <f>VLOOKUP(Tabla18[[#This Row],[Aux_01]],TablaSubAccionEspecifica[[#All],[Concat]:[Cod_Sub_acción_especifica]],2,0)</f>
        <v>#N/A</v>
      </c>
      <c r="E131" s="328" t="e">
        <f>Tabla18[[#This Row],[Bus_03]]&amp;"_"&amp;Tabla5[[#This Row],[Tipo de Agente
&lt;&lt; Seleccionar&gt;&gt;]]</f>
        <v>#N/A</v>
      </c>
      <c r="F131" s="328" t="e">
        <f>VLOOKUP(Tabla18[[#This Row],[Concat2]],TablaPOA[[#All],[Concat]:[ConcatEspecial]],3,0)</f>
        <v>#N/A</v>
      </c>
      <c r="G131" s="65" t="str">
        <f>CONCATENATE(Registro!$A$6,"_",Tabla5[[#This Row],[Zona (Provincia)
&lt;&lt; Seleccionar&gt;&gt;]])</f>
        <v>Huánuco_</v>
      </c>
      <c r="H131" s="60" t="e">
        <f>VLOOKUP(Tabla18[[#This Row],[Concatenado***]],Tabla2[[#All],[Concatenado]:[Simbología*]],2,0)</f>
        <v>#N/A</v>
      </c>
      <c r="I131" s="65" t="str">
        <f>CONCATENATE(Tabla18[[#This Row],[Concatenado***]],"_",Tabla5[[#This Row],[Zona (Distrito)
&lt;&lt; Seleccionar&gt;&gt;]])</f>
        <v>Huánuco__</v>
      </c>
      <c r="J1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1" s="72" t="e">
        <f>VLOOKUP(Tabla5[[#This Row],[Tipo de Transporte Empleado
&lt;&lt; Seleccionar&gt;&gt;]],Tabla8[#All],2,0)</f>
        <v>#N/A</v>
      </c>
      <c r="L131" s="71" t="e">
        <f>#REF!+(#REF!*2)+#REF!</f>
        <v>#REF!</v>
      </c>
    </row>
    <row r="132" spans="1:12" x14ac:dyDescent="0.25">
      <c r="A132" s="328" t="e">
        <f>VLOOKUP(Tabla5[[#This Row],[Acción
&lt;&lt; Seleccionar&gt;&gt;]],TablaAccion[[#All],[Nombre_Abreviado]:[Codigo_Plan_Acción]],3,0)</f>
        <v>#N/A</v>
      </c>
      <c r="B132" s="328" t="e">
        <f>VLOOKUP(Tabla5[[#This Row],[Acción Especifica
&lt;&lt; Seleccionar&gt;&gt;]],TablaAccionEspecifica[[#All],[Nombre_Abreviado]:[Codigo_Acción]],3,0)</f>
        <v>#N/A</v>
      </c>
      <c r="C132" s="328" t="e">
        <f>CONCATENATE(Tabla18[[#This Row],[Bus_02]],"_",Tabla5[[#This Row],[Sub Acción Específica
&lt;&lt; Seleccionar&gt;&gt;]])</f>
        <v>#N/A</v>
      </c>
      <c r="D132" s="328" t="e">
        <f>VLOOKUP(Tabla18[[#This Row],[Aux_01]],TablaSubAccionEspecifica[[#All],[Concat]:[Cod_Sub_acción_especifica]],2,0)</f>
        <v>#N/A</v>
      </c>
      <c r="E132" s="328" t="e">
        <f>Tabla18[[#This Row],[Bus_03]]&amp;"_"&amp;Tabla5[[#This Row],[Tipo de Agente
&lt;&lt; Seleccionar&gt;&gt;]]</f>
        <v>#N/A</v>
      </c>
      <c r="F132" s="328" t="e">
        <f>VLOOKUP(Tabla18[[#This Row],[Concat2]],TablaPOA[[#All],[Concat]:[ConcatEspecial]],3,0)</f>
        <v>#N/A</v>
      </c>
      <c r="G132" s="65" t="str">
        <f>CONCATENATE(Registro!$A$6,"_",Tabla5[[#This Row],[Zona (Provincia)
&lt;&lt; Seleccionar&gt;&gt;]])</f>
        <v>Huánuco_</v>
      </c>
      <c r="H132" s="60" t="e">
        <f>VLOOKUP(Tabla18[[#This Row],[Concatenado***]],Tabla2[[#All],[Concatenado]:[Simbología*]],2,0)</f>
        <v>#N/A</v>
      </c>
      <c r="I132" s="65" t="str">
        <f>CONCATENATE(Tabla18[[#This Row],[Concatenado***]],"_",Tabla5[[#This Row],[Zona (Distrito)
&lt;&lt; Seleccionar&gt;&gt;]])</f>
        <v>Huánuco__</v>
      </c>
      <c r="J1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2" s="72" t="e">
        <f>VLOOKUP(Tabla5[[#This Row],[Tipo de Transporte Empleado
&lt;&lt; Seleccionar&gt;&gt;]],Tabla8[#All],2,0)</f>
        <v>#N/A</v>
      </c>
      <c r="L132" s="71" t="e">
        <f>#REF!+(#REF!*2)+#REF!</f>
        <v>#REF!</v>
      </c>
    </row>
    <row r="133" spans="1:12" x14ac:dyDescent="0.25">
      <c r="A133" s="328" t="e">
        <f>VLOOKUP(Tabla5[[#This Row],[Acción
&lt;&lt; Seleccionar&gt;&gt;]],TablaAccion[[#All],[Nombre_Abreviado]:[Codigo_Plan_Acción]],3,0)</f>
        <v>#N/A</v>
      </c>
      <c r="B133" s="328" t="e">
        <f>VLOOKUP(Tabla5[[#This Row],[Acción Especifica
&lt;&lt; Seleccionar&gt;&gt;]],TablaAccionEspecifica[[#All],[Nombre_Abreviado]:[Codigo_Acción]],3,0)</f>
        <v>#N/A</v>
      </c>
      <c r="C133" s="328" t="e">
        <f>CONCATENATE(Tabla18[[#This Row],[Bus_02]],"_",Tabla5[[#This Row],[Sub Acción Específica
&lt;&lt; Seleccionar&gt;&gt;]])</f>
        <v>#N/A</v>
      </c>
      <c r="D133" s="328" t="e">
        <f>VLOOKUP(Tabla18[[#This Row],[Aux_01]],TablaSubAccionEspecifica[[#All],[Concat]:[Cod_Sub_acción_especifica]],2,0)</f>
        <v>#N/A</v>
      </c>
      <c r="E133" s="328" t="e">
        <f>Tabla18[[#This Row],[Bus_03]]&amp;"_"&amp;Tabla5[[#This Row],[Tipo de Agente
&lt;&lt; Seleccionar&gt;&gt;]]</f>
        <v>#N/A</v>
      </c>
      <c r="F133" s="328" t="e">
        <f>VLOOKUP(Tabla18[[#This Row],[Concat2]],TablaPOA[[#All],[Concat]:[ConcatEspecial]],3,0)</f>
        <v>#N/A</v>
      </c>
      <c r="G133" s="65" t="str">
        <f>CONCATENATE(Registro!$A$6,"_",Tabla5[[#This Row],[Zona (Provincia)
&lt;&lt; Seleccionar&gt;&gt;]])</f>
        <v>Huánuco_</v>
      </c>
      <c r="H133" s="60" t="e">
        <f>VLOOKUP(Tabla18[[#This Row],[Concatenado***]],Tabla2[[#All],[Concatenado]:[Simbología*]],2,0)</f>
        <v>#N/A</v>
      </c>
      <c r="I133" s="65" t="str">
        <f>CONCATENATE(Tabla18[[#This Row],[Concatenado***]],"_",Tabla5[[#This Row],[Zona (Distrito)
&lt;&lt; Seleccionar&gt;&gt;]])</f>
        <v>Huánuco__</v>
      </c>
      <c r="J1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3" s="72" t="e">
        <f>VLOOKUP(Tabla5[[#This Row],[Tipo de Transporte Empleado
&lt;&lt; Seleccionar&gt;&gt;]],Tabla8[#All],2,0)</f>
        <v>#N/A</v>
      </c>
      <c r="L133" s="71" t="e">
        <f>#REF!+(#REF!*2)+#REF!</f>
        <v>#REF!</v>
      </c>
    </row>
    <row r="134" spans="1:12" x14ac:dyDescent="0.25">
      <c r="A134" s="328" t="e">
        <f>VLOOKUP(Tabla5[[#This Row],[Acción
&lt;&lt; Seleccionar&gt;&gt;]],TablaAccion[[#All],[Nombre_Abreviado]:[Codigo_Plan_Acción]],3,0)</f>
        <v>#N/A</v>
      </c>
      <c r="B134" s="328" t="e">
        <f>VLOOKUP(Tabla5[[#This Row],[Acción Especifica
&lt;&lt; Seleccionar&gt;&gt;]],TablaAccionEspecifica[[#All],[Nombre_Abreviado]:[Codigo_Acción]],3,0)</f>
        <v>#N/A</v>
      </c>
      <c r="C134" s="328" t="e">
        <f>CONCATENATE(Tabla18[[#This Row],[Bus_02]],"_",Tabla5[[#This Row],[Sub Acción Específica
&lt;&lt; Seleccionar&gt;&gt;]])</f>
        <v>#N/A</v>
      </c>
      <c r="D134" s="328" t="e">
        <f>VLOOKUP(Tabla18[[#This Row],[Aux_01]],TablaSubAccionEspecifica[[#All],[Concat]:[Cod_Sub_acción_especifica]],2,0)</f>
        <v>#N/A</v>
      </c>
      <c r="E134" s="328" t="e">
        <f>Tabla18[[#This Row],[Bus_03]]&amp;"_"&amp;Tabla5[[#This Row],[Tipo de Agente
&lt;&lt; Seleccionar&gt;&gt;]]</f>
        <v>#N/A</v>
      </c>
      <c r="F134" s="328" t="e">
        <f>VLOOKUP(Tabla18[[#This Row],[Concat2]],TablaPOA[[#All],[Concat]:[ConcatEspecial]],3,0)</f>
        <v>#N/A</v>
      </c>
      <c r="G134" s="65" t="str">
        <f>CONCATENATE(Registro!$A$6,"_",Tabla5[[#This Row],[Zona (Provincia)
&lt;&lt; Seleccionar&gt;&gt;]])</f>
        <v>Huánuco_</v>
      </c>
      <c r="H134" s="60" t="e">
        <f>VLOOKUP(Tabla18[[#This Row],[Concatenado***]],Tabla2[[#All],[Concatenado]:[Simbología*]],2,0)</f>
        <v>#N/A</v>
      </c>
      <c r="I134" s="65" t="str">
        <f>CONCATENATE(Tabla18[[#This Row],[Concatenado***]],"_",Tabla5[[#This Row],[Zona (Distrito)
&lt;&lt; Seleccionar&gt;&gt;]])</f>
        <v>Huánuco__</v>
      </c>
      <c r="J1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4" s="72" t="e">
        <f>VLOOKUP(Tabla5[[#This Row],[Tipo de Transporte Empleado
&lt;&lt; Seleccionar&gt;&gt;]],Tabla8[#All],2,0)</f>
        <v>#N/A</v>
      </c>
      <c r="L134" s="71" t="e">
        <f>#REF!+(#REF!*2)+#REF!</f>
        <v>#REF!</v>
      </c>
    </row>
    <row r="135" spans="1:12" x14ac:dyDescent="0.25">
      <c r="A135" s="328" t="e">
        <f>VLOOKUP(Tabla5[[#This Row],[Acción
&lt;&lt; Seleccionar&gt;&gt;]],TablaAccion[[#All],[Nombre_Abreviado]:[Codigo_Plan_Acción]],3,0)</f>
        <v>#N/A</v>
      </c>
      <c r="B135" s="328" t="e">
        <f>VLOOKUP(Tabla5[[#This Row],[Acción Especifica
&lt;&lt; Seleccionar&gt;&gt;]],TablaAccionEspecifica[[#All],[Nombre_Abreviado]:[Codigo_Acción]],3,0)</f>
        <v>#N/A</v>
      </c>
      <c r="C135" s="328" t="e">
        <f>CONCATENATE(Tabla18[[#This Row],[Bus_02]],"_",Tabla5[[#This Row],[Sub Acción Específica
&lt;&lt; Seleccionar&gt;&gt;]])</f>
        <v>#N/A</v>
      </c>
      <c r="D135" s="328" t="e">
        <f>VLOOKUP(Tabla18[[#This Row],[Aux_01]],TablaSubAccionEspecifica[[#All],[Concat]:[Cod_Sub_acción_especifica]],2,0)</f>
        <v>#N/A</v>
      </c>
      <c r="E135" s="328" t="e">
        <f>Tabla18[[#This Row],[Bus_03]]&amp;"_"&amp;Tabla5[[#This Row],[Tipo de Agente
&lt;&lt; Seleccionar&gt;&gt;]]</f>
        <v>#N/A</v>
      </c>
      <c r="F135" s="328" t="e">
        <f>VLOOKUP(Tabla18[[#This Row],[Concat2]],TablaPOA[[#All],[Concat]:[ConcatEspecial]],3,0)</f>
        <v>#N/A</v>
      </c>
      <c r="G135" s="65" t="str">
        <f>CONCATENATE(Registro!$A$6,"_",Tabla5[[#This Row],[Zona (Provincia)
&lt;&lt; Seleccionar&gt;&gt;]])</f>
        <v>Huánuco_</v>
      </c>
      <c r="H135" s="60" t="e">
        <f>VLOOKUP(Tabla18[[#This Row],[Concatenado***]],Tabla2[[#All],[Concatenado]:[Simbología*]],2,0)</f>
        <v>#N/A</v>
      </c>
      <c r="I135" s="65" t="str">
        <f>CONCATENATE(Tabla18[[#This Row],[Concatenado***]],"_",Tabla5[[#This Row],[Zona (Distrito)
&lt;&lt; Seleccionar&gt;&gt;]])</f>
        <v>Huánuco__</v>
      </c>
      <c r="J1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5" s="72" t="e">
        <f>VLOOKUP(Tabla5[[#This Row],[Tipo de Transporte Empleado
&lt;&lt; Seleccionar&gt;&gt;]],Tabla8[#All],2,0)</f>
        <v>#N/A</v>
      </c>
      <c r="L135" s="71" t="e">
        <f>#REF!+(#REF!*2)+#REF!</f>
        <v>#REF!</v>
      </c>
    </row>
    <row r="136" spans="1:12" x14ac:dyDescent="0.25">
      <c r="A136" s="328" t="e">
        <f>VLOOKUP(Tabla5[[#This Row],[Acción
&lt;&lt; Seleccionar&gt;&gt;]],TablaAccion[[#All],[Nombre_Abreviado]:[Codigo_Plan_Acción]],3,0)</f>
        <v>#N/A</v>
      </c>
      <c r="B136" s="328" t="e">
        <f>VLOOKUP(Tabla5[[#This Row],[Acción Especifica
&lt;&lt; Seleccionar&gt;&gt;]],TablaAccionEspecifica[[#All],[Nombre_Abreviado]:[Codigo_Acción]],3,0)</f>
        <v>#N/A</v>
      </c>
      <c r="C136" s="328" t="e">
        <f>CONCATENATE(Tabla18[[#This Row],[Bus_02]],"_",Tabla5[[#This Row],[Sub Acción Específica
&lt;&lt; Seleccionar&gt;&gt;]])</f>
        <v>#N/A</v>
      </c>
      <c r="D136" s="328" t="e">
        <f>VLOOKUP(Tabla18[[#This Row],[Aux_01]],TablaSubAccionEspecifica[[#All],[Concat]:[Cod_Sub_acción_especifica]],2,0)</f>
        <v>#N/A</v>
      </c>
      <c r="E136" s="328" t="e">
        <f>Tabla18[[#This Row],[Bus_03]]&amp;"_"&amp;Tabla5[[#This Row],[Tipo de Agente
&lt;&lt; Seleccionar&gt;&gt;]]</f>
        <v>#N/A</v>
      </c>
      <c r="F136" s="328" t="e">
        <f>VLOOKUP(Tabla18[[#This Row],[Concat2]],TablaPOA[[#All],[Concat]:[ConcatEspecial]],3,0)</f>
        <v>#N/A</v>
      </c>
      <c r="G136" s="65" t="str">
        <f>CONCATENATE(Registro!$A$6,"_",Tabla5[[#This Row],[Zona (Provincia)
&lt;&lt; Seleccionar&gt;&gt;]])</f>
        <v>Huánuco_</v>
      </c>
      <c r="H136" s="60" t="e">
        <f>VLOOKUP(Tabla18[[#This Row],[Concatenado***]],Tabla2[[#All],[Concatenado]:[Simbología*]],2,0)</f>
        <v>#N/A</v>
      </c>
      <c r="I136" s="65" t="str">
        <f>CONCATENATE(Tabla18[[#This Row],[Concatenado***]],"_",Tabla5[[#This Row],[Zona (Distrito)
&lt;&lt; Seleccionar&gt;&gt;]])</f>
        <v>Huánuco__</v>
      </c>
      <c r="J1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6" s="72" t="e">
        <f>VLOOKUP(Tabla5[[#This Row],[Tipo de Transporte Empleado
&lt;&lt; Seleccionar&gt;&gt;]],Tabla8[#All],2,0)</f>
        <v>#N/A</v>
      </c>
      <c r="L136" s="71" t="e">
        <f>#REF!+(#REF!*2)+#REF!</f>
        <v>#REF!</v>
      </c>
    </row>
    <row r="137" spans="1:12" x14ac:dyDescent="0.25">
      <c r="A137" s="328" t="e">
        <f>VLOOKUP(Tabla5[[#This Row],[Acción
&lt;&lt; Seleccionar&gt;&gt;]],TablaAccion[[#All],[Nombre_Abreviado]:[Codigo_Plan_Acción]],3,0)</f>
        <v>#N/A</v>
      </c>
      <c r="B137" s="328" t="e">
        <f>VLOOKUP(Tabla5[[#This Row],[Acción Especifica
&lt;&lt; Seleccionar&gt;&gt;]],TablaAccionEspecifica[[#All],[Nombre_Abreviado]:[Codigo_Acción]],3,0)</f>
        <v>#N/A</v>
      </c>
      <c r="C137" s="328" t="e">
        <f>CONCATENATE(Tabla18[[#This Row],[Bus_02]],"_",Tabla5[[#This Row],[Sub Acción Específica
&lt;&lt; Seleccionar&gt;&gt;]])</f>
        <v>#N/A</v>
      </c>
      <c r="D137" s="328" t="e">
        <f>VLOOKUP(Tabla18[[#This Row],[Aux_01]],TablaSubAccionEspecifica[[#All],[Concat]:[Cod_Sub_acción_especifica]],2,0)</f>
        <v>#N/A</v>
      </c>
      <c r="E137" s="328" t="e">
        <f>Tabla18[[#This Row],[Bus_03]]&amp;"_"&amp;Tabla5[[#This Row],[Tipo de Agente
&lt;&lt; Seleccionar&gt;&gt;]]</f>
        <v>#N/A</v>
      </c>
      <c r="F137" s="328" t="e">
        <f>VLOOKUP(Tabla18[[#This Row],[Concat2]],TablaPOA[[#All],[Concat]:[ConcatEspecial]],3,0)</f>
        <v>#N/A</v>
      </c>
      <c r="G137" s="65" t="str">
        <f>CONCATENATE(Registro!$A$6,"_",Tabla5[[#This Row],[Zona (Provincia)
&lt;&lt; Seleccionar&gt;&gt;]])</f>
        <v>Huánuco_</v>
      </c>
      <c r="H137" s="60" t="e">
        <f>VLOOKUP(Tabla18[[#This Row],[Concatenado***]],Tabla2[[#All],[Concatenado]:[Simbología*]],2,0)</f>
        <v>#N/A</v>
      </c>
      <c r="I137" s="65" t="str">
        <f>CONCATENATE(Tabla18[[#This Row],[Concatenado***]],"_",Tabla5[[#This Row],[Zona (Distrito)
&lt;&lt; Seleccionar&gt;&gt;]])</f>
        <v>Huánuco__</v>
      </c>
      <c r="J1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7" s="72" t="e">
        <f>VLOOKUP(Tabla5[[#This Row],[Tipo de Transporte Empleado
&lt;&lt; Seleccionar&gt;&gt;]],Tabla8[#All],2,0)</f>
        <v>#N/A</v>
      </c>
      <c r="L137" s="71" t="e">
        <f>#REF!+(#REF!*2)+#REF!</f>
        <v>#REF!</v>
      </c>
    </row>
    <row r="138" spans="1:12" x14ac:dyDescent="0.25">
      <c r="A138" s="328" t="e">
        <f>VLOOKUP(Tabla5[[#This Row],[Acción
&lt;&lt; Seleccionar&gt;&gt;]],TablaAccion[[#All],[Nombre_Abreviado]:[Codigo_Plan_Acción]],3,0)</f>
        <v>#N/A</v>
      </c>
      <c r="B138" s="328" t="e">
        <f>VLOOKUP(Tabla5[[#This Row],[Acción Especifica
&lt;&lt; Seleccionar&gt;&gt;]],TablaAccionEspecifica[[#All],[Nombre_Abreviado]:[Codigo_Acción]],3,0)</f>
        <v>#N/A</v>
      </c>
      <c r="C138" s="328" t="e">
        <f>CONCATENATE(Tabla18[[#This Row],[Bus_02]],"_",Tabla5[[#This Row],[Sub Acción Específica
&lt;&lt; Seleccionar&gt;&gt;]])</f>
        <v>#N/A</v>
      </c>
      <c r="D138" s="328" t="e">
        <f>VLOOKUP(Tabla18[[#This Row],[Aux_01]],TablaSubAccionEspecifica[[#All],[Concat]:[Cod_Sub_acción_especifica]],2,0)</f>
        <v>#N/A</v>
      </c>
      <c r="E138" s="328" t="e">
        <f>Tabla18[[#This Row],[Bus_03]]&amp;"_"&amp;Tabla5[[#This Row],[Tipo de Agente
&lt;&lt; Seleccionar&gt;&gt;]]</f>
        <v>#N/A</v>
      </c>
      <c r="F138" s="328" t="e">
        <f>VLOOKUP(Tabla18[[#This Row],[Concat2]],TablaPOA[[#All],[Concat]:[ConcatEspecial]],3,0)</f>
        <v>#N/A</v>
      </c>
      <c r="G138" s="65" t="str">
        <f>CONCATENATE(Registro!$A$6,"_",Tabla5[[#This Row],[Zona (Provincia)
&lt;&lt; Seleccionar&gt;&gt;]])</f>
        <v>Huánuco_</v>
      </c>
      <c r="H138" s="60" t="e">
        <f>VLOOKUP(Tabla18[[#This Row],[Concatenado***]],Tabla2[[#All],[Concatenado]:[Simbología*]],2,0)</f>
        <v>#N/A</v>
      </c>
      <c r="I138" s="65" t="str">
        <f>CONCATENATE(Tabla18[[#This Row],[Concatenado***]],"_",Tabla5[[#This Row],[Zona (Distrito)
&lt;&lt; Seleccionar&gt;&gt;]])</f>
        <v>Huánuco__</v>
      </c>
      <c r="J1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8" s="72" t="e">
        <f>VLOOKUP(Tabla5[[#This Row],[Tipo de Transporte Empleado
&lt;&lt; Seleccionar&gt;&gt;]],Tabla8[#All],2,0)</f>
        <v>#N/A</v>
      </c>
      <c r="L138" s="71" t="e">
        <f>#REF!+(#REF!*2)+#REF!</f>
        <v>#REF!</v>
      </c>
    </row>
    <row r="139" spans="1:12" x14ac:dyDescent="0.25">
      <c r="A139" s="328" t="e">
        <f>VLOOKUP(Tabla5[[#This Row],[Acción
&lt;&lt; Seleccionar&gt;&gt;]],TablaAccion[[#All],[Nombre_Abreviado]:[Codigo_Plan_Acción]],3,0)</f>
        <v>#N/A</v>
      </c>
      <c r="B139" s="328" t="e">
        <f>VLOOKUP(Tabla5[[#This Row],[Acción Especifica
&lt;&lt; Seleccionar&gt;&gt;]],TablaAccionEspecifica[[#All],[Nombre_Abreviado]:[Codigo_Acción]],3,0)</f>
        <v>#N/A</v>
      </c>
      <c r="C139" s="328" t="e">
        <f>CONCATENATE(Tabla18[[#This Row],[Bus_02]],"_",Tabla5[[#This Row],[Sub Acción Específica
&lt;&lt; Seleccionar&gt;&gt;]])</f>
        <v>#N/A</v>
      </c>
      <c r="D139" s="328" t="e">
        <f>VLOOKUP(Tabla18[[#This Row],[Aux_01]],TablaSubAccionEspecifica[[#All],[Concat]:[Cod_Sub_acción_especifica]],2,0)</f>
        <v>#N/A</v>
      </c>
      <c r="E139" s="328" t="e">
        <f>Tabla18[[#This Row],[Bus_03]]&amp;"_"&amp;Tabla5[[#This Row],[Tipo de Agente
&lt;&lt; Seleccionar&gt;&gt;]]</f>
        <v>#N/A</v>
      </c>
      <c r="F139" s="328" t="e">
        <f>VLOOKUP(Tabla18[[#This Row],[Concat2]],TablaPOA[[#All],[Concat]:[ConcatEspecial]],3,0)</f>
        <v>#N/A</v>
      </c>
      <c r="G139" s="65" t="str">
        <f>CONCATENATE(Registro!$A$6,"_",Tabla5[[#This Row],[Zona (Provincia)
&lt;&lt; Seleccionar&gt;&gt;]])</f>
        <v>Huánuco_</v>
      </c>
      <c r="H139" s="60" t="e">
        <f>VLOOKUP(Tabla18[[#This Row],[Concatenado***]],Tabla2[[#All],[Concatenado]:[Simbología*]],2,0)</f>
        <v>#N/A</v>
      </c>
      <c r="I139" s="65" t="str">
        <f>CONCATENATE(Tabla18[[#This Row],[Concatenado***]],"_",Tabla5[[#This Row],[Zona (Distrito)
&lt;&lt; Seleccionar&gt;&gt;]])</f>
        <v>Huánuco__</v>
      </c>
      <c r="J1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9" s="72" t="e">
        <f>VLOOKUP(Tabla5[[#This Row],[Tipo de Transporte Empleado
&lt;&lt; Seleccionar&gt;&gt;]],Tabla8[#All],2,0)</f>
        <v>#N/A</v>
      </c>
      <c r="L139" s="71" t="e">
        <f>#REF!+(#REF!*2)+#REF!</f>
        <v>#REF!</v>
      </c>
    </row>
    <row r="140" spans="1:12" x14ac:dyDescent="0.25">
      <c r="A140" s="328" t="e">
        <f>VLOOKUP(Tabla5[[#This Row],[Acción
&lt;&lt; Seleccionar&gt;&gt;]],TablaAccion[[#All],[Nombre_Abreviado]:[Codigo_Plan_Acción]],3,0)</f>
        <v>#N/A</v>
      </c>
      <c r="B140" s="328" t="e">
        <f>VLOOKUP(Tabla5[[#This Row],[Acción Especifica
&lt;&lt; Seleccionar&gt;&gt;]],TablaAccionEspecifica[[#All],[Nombre_Abreviado]:[Codigo_Acción]],3,0)</f>
        <v>#N/A</v>
      </c>
      <c r="C140" s="328" t="e">
        <f>CONCATENATE(Tabla18[[#This Row],[Bus_02]],"_",Tabla5[[#This Row],[Sub Acción Específica
&lt;&lt; Seleccionar&gt;&gt;]])</f>
        <v>#N/A</v>
      </c>
      <c r="D140" s="328" t="e">
        <f>VLOOKUP(Tabla18[[#This Row],[Aux_01]],TablaSubAccionEspecifica[[#All],[Concat]:[Cod_Sub_acción_especifica]],2,0)</f>
        <v>#N/A</v>
      </c>
      <c r="E140" s="328" t="e">
        <f>Tabla18[[#This Row],[Bus_03]]&amp;"_"&amp;Tabla5[[#This Row],[Tipo de Agente
&lt;&lt; Seleccionar&gt;&gt;]]</f>
        <v>#N/A</v>
      </c>
      <c r="F140" s="328" t="e">
        <f>VLOOKUP(Tabla18[[#This Row],[Concat2]],TablaPOA[[#All],[Concat]:[ConcatEspecial]],3,0)</f>
        <v>#N/A</v>
      </c>
      <c r="G140" s="65" t="str">
        <f>CONCATENATE(Registro!$A$6,"_",Tabla5[[#This Row],[Zona (Provincia)
&lt;&lt; Seleccionar&gt;&gt;]])</f>
        <v>Huánuco_</v>
      </c>
      <c r="H140" s="60" t="e">
        <f>VLOOKUP(Tabla18[[#This Row],[Concatenado***]],Tabla2[[#All],[Concatenado]:[Simbología*]],2,0)</f>
        <v>#N/A</v>
      </c>
      <c r="I140" s="65" t="str">
        <f>CONCATENATE(Tabla18[[#This Row],[Concatenado***]],"_",Tabla5[[#This Row],[Zona (Distrito)
&lt;&lt; Seleccionar&gt;&gt;]])</f>
        <v>Huánuco__</v>
      </c>
      <c r="J1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0" s="72" t="e">
        <f>VLOOKUP(Tabla5[[#This Row],[Tipo de Transporte Empleado
&lt;&lt; Seleccionar&gt;&gt;]],Tabla8[#All],2,0)</f>
        <v>#N/A</v>
      </c>
      <c r="L140" s="71" t="e">
        <f>#REF!+(#REF!*2)+#REF!</f>
        <v>#REF!</v>
      </c>
    </row>
    <row r="141" spans="1:12" x14ac:dyDescent="0.25">
      <c r="A141" s="328" t="e">
        <f>VLOOKUP(Tabla5[[#This Row],[Acción
&lt;&lt; Seleccionar&gt;&gt;]],TablaAccion[[#All],[Nombre_Abreviado]:[Codigo_Plan_Acción]],3,0)</f>
        <v>#N/A</v>
      </c>
      <c r="B141" s="328" t="e">
        <f>VLOOKUP(Tabla5[[#This Row],[Acción Especifica
&lt;&lt; Seleccionar&gt;&gt;]],TablaAccionEspecifica[[#All],[Nombre_Abreviado]:[Codigo_Acción]],3,0)</f>
        <v>#N/A</v>
      </c>
      <c r="C141" s="328" t="e">
        <f>CONCATENATE(Tabla18[[#This Row],[Bus_02]],"_",Tabla5[[#This Row],[Sub Acción Específica
&lt;&lt; Seleccionar&gt;&gt;]])</f>
        <v>#N/A</v>
      </c>
      <c r="D141" s="328" t="e">
        <f>VLOOKUP(Tabla18[[#This Row],[Aux_01]],TablaSubAccionEspecifica[[#All],[Concat]:[Cod_Sub_acción_especifica]],2,0)</f>
        <v>#N/A</v>
      </c>
      <c r="E141" s="328" t="e">
        <f>Tabla18[[#This Row],[Bus_03]]&amp;"_"&amp;Tabla5[[#This Row],[Tipo de Agente
&lt;&lt; Seleccionar&gt;&gt;]]</f>
        <v>#N/A</v>
      </c>
      <c r="F141" s="328" t="e">
        <f>VLOOKUP(Tabla18[[#This Row],[Concat2]],TablaPOA[[#All],[Concat]:[ConcatEspecial]],3,0)</f>
        <v>#N/A</v>
      </c>
      <c r="G141" s="65" t="str">
        <f>CONCATENATE(Registro!$A$6,"_",Tabla5[[#This Row],[Zona (Provincia)
&lt;&lt; Seleccionar&gt;&gt;]])</f>
        <v>Huánuco_</v>
      </c>
      <c r="H141" s="60" t="e">
        <f>VLOOKUP(Tabla18[[#This Row],[Concatenado***]],Tabla2[[#All],[Concatenado]:[Simbología*]],2,0)</f>
        <v>#N/A</v>
      </c>
      <c r="I141" s="65" t="str">
        <f>CONCATENATE(Tabla18[[#This Row],[Concatenado***]],"_",Tabla5[[#This Row],[Zona (Distrito)
&lt;&lt; Seleccionar&gt;&gt;]])</f>
        <v>Huánuco__</v>
      </c>
      <c r="J1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1" s="72" t="e">
        <f>VLOOKUP(Tabla5[[#This Row],[Tipo de Transporte Empleado
&lt;&lt; Seleccionar&gt;&gt;]],Tabla8[#All],2,0)</f>
        <v>#N/A</v>
      </c>
      <c r="L141" s="71" t="e">
        <f>#REF!+(#REF!*2)+#REF!</f>
        <v>#REF!</v>
      </c>
    </row>
    <row r="142" spans="1:12" x14ac:dyDescent="0.25">
      <c r="A142" s="328" t="e">
        <f>VLOOKUP(Tabla5[[#This Row],[Acción
&lt;&lt; Seleccionar&gt;&gt;]],TablaAccion[[#All],[Nombre_Abreviado]:[Codigo_Plan_Acción]],3,0)</f>
        <v>#N/A</v>
      </c>
      <c r="B142" s="328" t="e">
        <f>VLOOKUP(Tabla5[[#This Row],[Acción Especifica
&lt;&lt; Seleccionar&gt;&gt;]],TablaAccionEspecifica[[#All],[Nombre_Abreviado]:[Codigo_Acción]],3,0)</f>
        <v>#N/A</v>
      </c>
      <c r="C142" s="328" t="e">
        <f>CONCATENATE(Tabla18[[#This Row],[Bus_02]],"_",Tabla5[[#This Row],[Sub Acción Específica
&lt;&lt; Seleccionar&gt;&gt;]])</f>
        <v>#N/A</v>
      </c>
      <c r="D142" s="328" t="e">
        <f>VLOOKUP(Tabla18[[#This Row],[Aux_01]],TablaSubAccionEspecifica[[#All],[Concat]:[Cod_Sub_acción_especifica]],2,0)</f>
        <v>#N/A</v>
      </c>
      <c r="E142" s="328" t="e">
        <f>Tabla18[[#This Row],[Bus_03]]&amp;"_"&amp;Tabla5[[#This Row],[Tipo de Agente
&lt;&lt; Seleccionar&gt;&gt;]]</f>
        <v>#N/A</v>
      </c>
      <c r="F142" s="328" t="e">
        <f>VLOOKUP(Tabla18[[#This Row],[Concat2]],TablaPOA[[#All],[Concat]:[ConcatEspecial]],3,0)</f>
        <v>#N/A</v>
      </c>
      <c r="G142" s="65" t="str">
        <f>CONCATENATE(Registro!$A$6,"_",Tabla5[[#This Row],[Zona (Provincia)
&lt;&lt; Seleccionar&gt;&gt;]])</f>
        <v>Huánuco_</v>
      </c>
      <c r="H142" s="60" t="e">
        <f>VLOOKUP(Tabla18[[#This Row],[Concatenado***]],Tabla2[[#All],[Concatenado]:[Simbología*]],2,0)</f>
        <v>#N/A</v>
      </c>
      <c r="I142" s="65" t="str">
        <f>CONCATENATE(Tabla18[[#This Row],[Concatenado***]],"_",Tabla5[[#This Row],[Zona (Distrito)
&lt;&lt; Seleccionar&gt;&gt;]])</f>
        <v>Huánuco__</v>
      </c>
      <c r="J1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2" s="72" t="e">
        <f>VLOOKUP(Tabla5[[#This Row],[Tipo de Transporte Empleado
&lt;&lt; Seleccionar&gt;&gt;]],Tabla8[#All],2,0)</f>
        <v>#N/A</v>
      </c>
      <c r="L142" s="71" t="e">
        <f>#REF!+(#REF!*2)+#REF!</f>
        <v>#REF!</v>
      </c>
    </row>
    <row r="143" spans="1:12" x14ac:dyDescent="0.25">
      <c r="A143" s="328" t="e">
        <f>VLOOKUP(Tabla5[[#This Row],[Acción
&lt;&lt; Seleccionar&gt;&gt;]],TablaAccion[[#All],[Nombre_Abreviado]:[Codigo_Plan_Acción]],3,0)</f>
        <v>#N/A</v>
      </c>
      <c r="B143" s="328" t="e">
        <f>VLOOKUP(Tabla5[[#This Row],[Acción Especifica
&lt;&lt; Seleccionar&gt;&gt;]],TablaAccionEspecifica[[#All],[Nombre_Abreviado]:[Codigo_Acción]],3,0)</f>
        <v>#N/A</v>
      </c>
      <c r="C143" s="328" t="e">
        <f>CONCATENATE(Tabla18[[#This Row],[Bus_02]],"_",Tabla5[[#This Row],[Sub Acción Específica
&lt;&lt; Seleccionar&gt;&gt;]])</f>
        <v>#N/A</v>
      </c>
      <c r="D143" s="328" t="e">
        <f>VLOOKUP(Tabla18[[#This Row],[Aux_01]],TablaSubAccionEspecifica[[#All],[Concat]:[Cod_Sub_acción_especifica]],2,0)</f>
        <v>#N/A</v>
      </c>
      <c r="E143" s="328" t="e">
        <f>Tabla18[[#This Row],[Bus_03]]&amp;"_"&amp;Tabla5[[#This Row],[Tipo de Agente
&lt;&lt; Seleccionar&gt;&gt;]]</f>
        <v>#N/A</v>
      </c>
      <c r="F143" s="328" t="e">
        <f>VLOOKUP(Tabla18[[#This Row],[Concat2]],TablaPOA[[#All],[Concat]:[ConcatEspecial]],3,0)</f>
        <v>#N/A</v>
      </c>
      <c r="G143" s="65" t="str">
        <f>CONCATENATE(Registro!$A$6,"_",Tabla5[[#This Row],[Zona (Provincia)
&lt;&lt; Seleccionar&gt;&gt;]])</f>
        <v>Huánuco_</v>
      </c>
      <c r="H143" s="60" t="e">
        <f>VLOOKUP(Tabla18[[#This Row],[Concatenado***]],Tabla2[[#All],[Concatenado]:[Simbología*]],2,0)</f>
        <v>#N/A</v>
      </c>
      <c r="I143" s="65" t="str">
        <f>CONCATENATE(Tabla18[[#This Row],[Concatenado***]],"_",Tabla5[[#This Row],[Zona (Distrito)
&lt;&lt; Seleccionar&gt;&gt;]])</f>
        <v>Huánuco__</v>
      </c>
      <c r="J1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3" s="72" t="e">
        <f>VLOOKUP(Tabla5[[#This Row],[Tipo de Transporte Empleado
&lt;&lt; Seleccionar&gt;&gt;]],Tabla8[#All],2,0)</f>
        <v>#N/A</v>
      </c>
      <c r="L143" s="71" t="e">
        <f>#REF!+(#REF!*2)+#REF!</f>
        <v>#REF!</v>
      </c>
    </row>
    <row r="144" spans="1:12" x14ac:dyDescent="0.25">
      <c r="A144" s="328" t="e">
        <f>VLOOKUP(Tabla5[[#This Row],[Acción
&lt;&lt; Seleccionar&gt;&gt;]],TablaAccion[[#All],[Nombre_Abreviado]:[Codigo_Plan_Acción]],3,0)</f>
        <v>#N/A</v>
      </c>
      <c r="B144" s="328" t="e">
        <f>VLOOKUP(Tabla5[[#This Row],[Acción Especifica
&lt;&lt; Seleccionar&gt;&gt;]],TablaAccionEspecifica[[#All],[Nombre_Abreviado]:[Codigo_Acción]],3,0)</f>
        <v>#N/A</v>
      </c>
      <c r="C144" s="328" t="e">
        <f>CONCATENATE(Tabla18[[#This Row],[Bus_02]],"_",Tabla5[[#This Row],[Sub Acción Específica
&lt;&lt; Seleccionar&gt;&gt;]])</f>
        <v>#N/A</v>
      </c>
      <c r="D144" s="328" t="e">
        <f>VLOOKUP(Tabla18[[#This Row],[Aux_01]],TablaSubAccionEspecifica[[#All],[Concat]:[Cod_Sub_acción_especifica]],2,0)</f>
        <v>#N/A</v>
      </c>
      <c r="E144" s="328" t="e">
        <f>Tabla18[[#This Row],[Bus_03]]&amp;"_"&amp;Tabla5[[#This Row],[Tipo de Agente
&lt;&lt; Seleccionar&gt;&gt;]]</f>
        <v>#N/A</v>
      </c>
      <c r="F144" s="328" t="e">
        <f>VLOOKUP(Tabla18[[#This Row],[Concat2]],TablaPOA[[#All],[Concat]:[ConcatEspecial]],3,0)</f>
        <v>#N/A</v>
      </c>
      <c r="G144" s="65" t="str">
        <f>CONCATENATE(Registro!$A$6,"_",Tabla5[[#This Row],[Zona (Provincia)
&lt;&lt; Seleccionar&gt;&gt;]])</f>
        <v>Huánuco_</v>
      </c>
      <c r="H144" s="60" t="e">
        <f>VLOOKUP(Tabla18[[#This Row],[Concatenado***]],Tabla2[[#All],[Concatenado]:[Simbología*]],2,0)</f>
        <v>#N/A</v>
      </c>
      <c r="I144" s="65" t="str">
        <f>CONCATENATE(Tabla18[[#This Row],[Concatenado***]],"_",Tabla5[[#This Row],[Zona (Distrito)
&lt;&lt; Seleccionar&gt;&gt;]])</f>
        <v>Huánuco__</v>
      </c>
      <c r="J1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4" s="72" t="e">
        <f>VLOOKUP(Tabla5[[#This Row],[Tipo de Transporte Empleado
&lt;&lt; Seleccionar&gt;&gt;]],Tabla8[#All],2,0)</f>
        <v>#N/A</v>
      </c>
      <c r="L144" s="71" t="e">
        <f>#REF!+(#REF!*2)+#REF!</f>
        <v>#REF!</v>
      </c>
    </row>
    <row r="145" spans="1:12" x14ac:dyDescent="0.25">
      <c r="A145" s="328" t="e">
        <f>VLOOKUP(Tabla5[[#This Row],[Acción
&lt;&lt; Seleccionar&gt;&gt;]],TablaAccion[[#All],[Nombre_Abreviado]:[Codigo_Plan_Acción]],3,0)</f>
        <v>#N/A</v>
      </c>
      <c r="B145" s="328" t="e">
        <f>VLOOKUP(Tabla5[[#This Row],[Acción Especifica
&lt;&lt; Seleccionar&gt;&gt;]],TablaAccionEspecifica[[#All],[Nombre_Abreviado]:[Codigo_Acción]],3,0)</f>
        <v>#N/A</v>
      </c>
      <c r="C145" s="328" t="e">
        <f>CONCATENATE(Tabla18[[#This Row],[Bus_02]],"_",Tabla5[[#This Row],[Sub Acción Específica
&lt;&lt; Seleccionar&gt;&gt;]])</f>
        <v>#N/A</v>
      </c>
      <c r="D145" s="328" t="e">
        <f>VLOOKUP(Tabla18[[#This Row],[Aux_01]],TablaSubAccionEspecifica[[#All],[Concat]:[Cod_Sub_acción_especifica]],2,0)</f>
        <v>#N/A</v>
      </c>
      <c r="E145" s="328" t="e">
        <f>Tabla18[[#This Row],[Bus_03]]&amp;"_"&amp;Tabla5[[#This Row],[Tipo de Agente
&lt;&lt; Seleccionar&gt;&gt;]]</f>
        <v>#N/A</v>
      </c>
      <c r="F145" s="328" t="e">
        <f>VLOOKUP(Tabla18[[#This Row],[Concat2]],TablaPOA[[#All],[Concat]:[ConcatEspecial]],3,0)</f>
        <v>#N/A</v>
      </c>
      <c r="G145" s="65" t="str">
        <f>CONCATENATE(Registro!$A$6,"_",Tabla5[[#This Row],[Zona (Provincia)
&lt;&lt; Seleccionar&gt;&gt;]])</f>
        <v>Huánuco_</v>
      </c>
      <c r="H145" s="60" t="e">
        <f>VLOOKUP(Tabla18[[#This Row],[Concatenado***]],Tabla2[[#All],[Concatenado]:[Simbología*]],2,0)</f>
        <v>#N/A</v>
      </c>
      <c r="I145" s="65" t="str">
        <f>CONCATENATE(Tabla18[[#This Row],[Concatenado***]],"_",Tabla5[[#This Row],[Zona (Distrito)
&lt;&lt; Seleccionar&gt;&gt;]])</f>
        <v>Huánuco__</v>
      </c>
      <c r="J1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5" s="72" t="e">
        <f>VLOOKUP(Tabla5[[#This Row],[Tipo de Transporte Empleado
&lt;&lt; Seleccionar&gt;&gt;]],Tabla8[#All],2,0)</f>
        <v>#N/A</v>
      </c>
      <c r="L145" s="71" t="e">
        <f>#REF!+(#REF!*2)+#REF!</f>
        <v>#REF!</v>
      </c>
    </row>
    <row r="146" spans="1:12" x14ac:dyDescent="0.25">
      <c r="A146" s="328" t="e">
        <f>VLOOKUP(Tabla5[[#This Row],[Acción
&lt;&lt; Seleccionar&gt;&gt;]],TablaAccion[[#All],[Nombre_Abreviado]:[Codigo_Plan_Acción]],3,0)</f>
        <v>#N/A</v>
      </c>
      <c r="B146" s="328" t="e">
        <f>VLOOKUP(Tabla5[[#This Row],[Acción Especifica
&lt;&lt; Seleccionar&gt;&gt;]],TablaAccionEspecifica[[#All],[Nombre_Abreviado]:[Codigo_Acción]],3,0)</f>
        <v>#N/A</v>
      </c>
      <c r="C146" s="328" t="e">
        <f>CONCATENATE(Tabla18[[#This Row],[Bus_02]],"_",Tabla5[[#This Row],[Sub Acción Específica
&lt;&lt; Seleccionar&gt;&gt;]])</f>
        <v>#N/A</v>
      </c>
      <c r="D146" s="328" t="e">
        <f>VLOOKUP(Tabla18[[#This Row],[Aux_01]],TablaSubAccionEspecifica[[#All],[Concat]:[Cod_Sub_acción_especifica]],2,0)</f>
        <v>#N/A</v>
      </c>
      <c r="E146" s="328" t="e">
        <f>Tabla18[[#This Row],[Bus_03]]&amp;"_"&amp;Tabla5[[#This Row],[Tipo de Agente
&lt;&lt; Seleccionar&gt;&gt;]]</f>
        <v>#N/A</v>
      </c>
      <c r="F146" s="328" t="e">
        <f>VLOOKUP(Tabla18[[#This Row],[Concat2]],TablaPOA[[#All],[Concat]:[ConcatEspecial]],3,0)</f>
        <v>#N/A</v>
      </c>
      <c r="G146" s="65" t="str">
        <f>CONCATENATE(Registro!$A$6,"_",Tabla5[[#This Row],[Zona (Provincia)
&lt;&lt; Seleccionar&gt;&gt;]])</f>
        <v>Huánuco_</v>
      </c>
      <c r="H146" s="60" t="e">
        <f>VLOOKUP(Tabla18[[#This Row],[Concatenado***]],Tabla2[[#All],[Concatenado]:[Simbología*]],2,0)</f>
        <v>#N/A</v>
      </c>
      <c r="I146" s="65" t="str">
        <f>CONCATENATE(Tabla18[[#This Row],[Concatenado***]],"_",Tabla5[[#This Row],[Zona (Distrito)
&lt;&lt; Seleccionar&gt;&gt;]])</f>
        <v>Huánuco__</v>
      </c>
      <c r="J1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6" s="72" t="e">
        <f>VLOOKUP(Tabla5[[#This Row],[Tipo de Transporte Empleado
&lt;&lt; Seleccionar&gt;&gt;]],Tabla8[#All],2,0)</f>
        <v>#N/A</v>
      </c>
      <c r="L146" s="71" t="e">
        <f>#REF!+(#REF!*2)+#REF!</f>
        <v>#REF!</v>
      </c>
    </row>
    <row r="147" spans="1:12" x14ac:dyDescent="0.25">
      <c r="A147" s="328" t="e">
        <f>VLOOKUP(Tabla5[[#This Row],[Acción
&lt;&lt; Seleccionar&gt;&gt;]],TablaAccion[[#All],[Nombre_Abreviado]:[Codigo_Plan_Acción]],3,0)</f>
        <v>#N/A</v>
      </c>
      <c r="B147" s="328" t="e">
        <f>VLOOKUP(Tabla5[[#This Row],[Acción Especifica
&lt;&lt; Seleccionar&gt;&gt;]],TablaAccionEspecifica[[#All],[Nombre_Abreviado]:[Codigo_Acción]],3,0)</f>
        <v>#N/A</v>
      </c>
      <c r="C147" s="328" t="e">
        <f>CONCATENATE(Tabla18[[#This Row],[Bus_02]],"_",Tabla5[[#This Row],[Sub Acción Específica
&lt;&lt; Seleccionar&gt;&gt;]])</f>
        <v>#N/A</v>
      </c>
      <c r="D147" s="328" t="e">
        <f>VLOOKUP(Tabla18[[#This Row],[Aux_01]],TablaSubAccionEspecifica[[#All],[Concat]:[Cod_Sub_acción_especifica]],2,0)</f>
        <v>#N/A</v>
      </c>
      <c r="E147" s="328" t="e">
        <f>Tabla18[[#This Row],[Bus_03]]&amp;"_"&amp;Tabla5[[#This Row],[Tipo de Agente
&lt;&lt; Seleccionar&gt;&gt;]]</f>
        <v>#N/A</v>
      </c>
      <c r="F147" s="328" t="e">
        <f>VLOOKUP(Tabla18[[#This Row],[Concat2]],TablaPOA[[#All],[Concat]:[ConcatEspecial]],3,0)</f>
        <v>#N/A</v>
      </c>
      <c r="G147" s="65" t="str">
        <f>CONCATENATE(Registro!$A$6,"_",Tabla5[[#This Row],[Zona (Provincia)
&lt;&lt; Seleccionar&gt;&gt;]])</f>
        <v>Huánuco_</v>
      </c>
      <c r="H147" s="60" t="e">
        <f>VLOOKUP(Tabla18[[#This Row],[Concatenado***]],Tabla2[[#All],[Concatenado]:[Simbología*]],2,0)</f>
        <v>#N/A</v>
      </c>
      <c r="I147" s="65" t="str">
        <f>CONCATENATE(Tabla18[[#This Row],[Concatenado***]],"_",Tabla5[[#This Row],[Zona (Distrito)
&lt;&lt; Seleccionar&gt;&gt;]])</f>
        <v>Huánuco__</v>
      </c>
      <c r="J1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7" s="72" t="e">
        <f>VLOOKUP(Tabla5[[#This Row],[Tipo de Transporte Empleado
&lt;&lt; Seleccionar&gt;&gt;]],Tabla8[#All],2,0)</f>
        <v>#N/A</v>
      </c>
      <c r="L147" s="71" t="e">
        <f>#REF!+(#REF!*2)+#REF!</f>
        <v>#REF!</v>
      </c>
    </row>
    <row r="148" spans="1:12" x14ac:dyDescent="0.25">
      <c r="A148" s="328" t="e">
        <f>VLOOKUP(Tabla5[[#This Row],[Acción
&lt;&lt; Seleccionar&gt;&gt;]],TablaAccion[[#All],[Nombre_Abreviado]:[Codigo_Plan_Acción]],3,0)</f>
        <v>#N/A</v>
      </c>
      <c r="B148" s="328" t="e">
        <f>VLOOKUP(Tabla5[[#This Row],[Acción Especifica
&lt;&lt; Seleccionar&gt;&gt;]],TablaAccionEspecifica[[#All],[Nombre_Abreviado]:[Codigo_Acción]],3,0)</f>
        <v>#N/A</v>
      </c>
      <c r="C148" s="328" t="e">
        <f>CONCATENATE(Tabla18[[#This Row],[Bus_02]],"_",Tabla5[[#This Row],[Sub Acción Específica
&lt;&lt; Seleccionar&gt;&gt;]])</f>
        <v>#N/A</v>
      </c>
      <c r="D148" s="328" t="e">
        <f>VLOOKUP(Tabla18[[#This Row],[Aux_01]],TablaSubAccionEspecifica[[#All],[Concat]:[Cod_Sub_acción_especifica]],2,0)</f>
        <v>#N/A</v>
      </c>
      <c r="E148" s="328" t="e">
        <f>Tabla18[[#This Row],[Bus_03]]&amp;"_"&amp;Tabla5[[#This Row],[Tipo de Agente
&lt;&lt; Seleccionar&gt;&gt;]]</f>
        <v>#N/A</v>
      </c>
      <c r="F148" s="328" t="e">
        <f>VLOOKUP(Tabla18[[#This Row],[Concat2]],TablaPOA[[#All],[Concat]:[ConcatEspecial]],3,0)</f>
        <v>#N/A</v>
      </c>
      <c r="G148" s="65" t="str">
        <f>CONCATENATE(Registro!$A$6,"_",Tabla5[[#This Row],[Zona (Provincia)
&lt;&lt; Seleccionar&gt;&gt;]])</f>
        <v>Huánuco_</v>
      </c>
      <c r="H148" s="60" t="e">
        <f>VLOOKUP(Tabla18[[#This Row],[Concatenado***]],Tabla2[[#All],[Concatenado]:[Simbología*]],2,0)</f>
        <v>#N/A</v>
      </c>
      <c r="I148" s="65" t="str">
        <f>CONCATENATE(Tabla18[[#This Row],[Concatenado***]],"_",Tabla5[[#This Row],[Zona (Distrito)
&lt;&lt; Seleccionar&gt;&gt;]])</f>
        <v>Huánuco__</v>
      </c>
      <c r="J1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8" s="72" t="e">
        <f>VLOOKUP(Tabla5[[#This Row],[Tipo de Transporte Empleado
&lt;&lt; Seleccionar&gt;&gt;]],Tabla8[#All],2,0)</f>
        <v>#N/A</v>
      </c>
      <c r="L148" s="71" t="e">
        <f>#REF!+(#REF!*2)+#REF!</f>
        <v>#REF!</v>
      </c>
    </row>
    <row r="149" spans="1:12" x14ac:dyDescent="0.25">
      <c r="A149" s="328" t="e">
        <f>VLOOKUP(Tabla5[[#This Row],[Acción
&lt;&lt; Seleccionar&gt;&gt;]],TablaAccion[[#All],[Nombre_Abreviado]:[Codigo_Plan_Acción]],3,0)</f>
        <v>#N/A</v>
      </c>
      <c r="B149" s="328" t="e">
        <f>VLOOKUP(Tabla5[[#This Row],[Acción Especifica
&lt;&lt; Seleccionar&gt;&gt;]],TablaAccionEspecifica[[#All],[Nombre_Abreviado]:[Codigo_Acción]],3,0)</f>
        <v>#N/A</v>
      </c>
      <c r="C149" s="328" t="e">
        <f>CONCATENATE(Tabla18[[#This Row],[Bus_02]],"_",Tabla5[[#This Row],[Sub Acción Específica
&lt;&lt; Seleccionar&gt;&gt;]])</f>
        <v>#N/A</v>
      </c>
      <c r="D149" s="328" t="e">
        <f>VLOOKUP(Tabla18[[#This Row],[Aux_01]],TablaSubAccionEspecifica[[#All],[Concat]:[Cod_Sub_acción_especifica]],2,0)</f>
        <v>#N/A</v>
      </c>
      <c r="E149" s="328" t="e">
        <f>Tabla18[[#This Row],[Bus_03]]&amp;"_"&amp;Tabla5[[#This Row],[Tipo de Agente
&lt;&lt; Seleccionar&gt;&gt;]]</f>
        <v>#N/A</v>
      </c>
      <c r="F149" s="328" t="e">
        <f>VLOOKUP(Tabla18[[#This Row],[Concat2]],TablaPOA[[#All],[Concat]:[ConcatEspecial]],3,0)</f>
        <v>#N/A</v>
      </c>
      <c r="G149" s="65" t="str">
        <f>CONCATENATE(Registro!$A$6,"_",Tabla5[[#This Row],[Zona (Provincia)
&lt;&lt; Seleccionar&gt;&gt;]])</f>
        <v>Huánuco_</v>
      </c>
      <c r="H149" s="60" t="e">
        <f>VLOOKUP(Tabla18[[#This Row],[Concatenado***]],Tabla2[[#All],[Concatenado]:[Simbología*]],2,0)</f>
        <v>#N/A</v>
      </c>
      <c r="I149" s="65" t="str">
        <f>CONCATENATE(Tabla18[[#This Row],[Concatenado***]],"_",Tabla5[[#This Row],[Zona (Distrito)
&lt;&lt; Seleccionar&gt;&gt;]])</f>
        <v>Huánuco__</v>
      </c>
      <c r="J1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9" s="72" t="e">
        <f>VLOOKUP(Tabla5[[#This Row],[Tipo de Transporte Empleado
&lt;&lt; Seleccionar&gt;&gt;]],Tabla8[#All],2,0)</f>
        <v>#N/A</v>
      </c>
      <c r="L149" s="71" t="e">
        <f>#REF!+(#REF!*2)+#REF!</f>
        <v>#REF!</v>
      </c>
    </row>
    <row r="150" spans="1:12" x14ac:dyDescent="0.25">
      <c r="A150" s="328" t="e">
        <f>VLOOKUP(Tabla5[[#This Row],[Acción
&lt;&lt; Seleccionar&gt;&gt;]],TablaAccion[[#All],[Nombre_Abreviado]:[Codigo_Plan_Acción]],3,0)</f>
        <v>#N/A</v>
      </c>
      <c r="B150" s="328" t="e">
        <f>VLOOKUP(Tabla5[[#This Row],[Acción Especifica
&lt;&lt; Seleccionar&gt;&gt;]],TablaAccionEspecifica[[#All],[Nombre_Abreviado]:[Codigo_Acción]],3,0)</f>
        <v>#N/A</v>
      </c>
      <c r="C150" s="328" t="e">
        <f>CONCATENATE(Tabla18[[#This Row],[Bus_02]],"_",Tabla5[[#This Row],[Sub Acción Específica
&lt;&lt; Seleccionar&gt;&gt;]])</f>
        <v>#N/A</v>
      </c>
      <c r="D150" s="328" t="e">
        <f>VLOOKUP(Tabla18[[#This Row],[Aux_01]],TablaSubAccionEspecifica[[#All],[Concat]:[Cod_Sub_acción_especifica]],2,0)</f>
        <v>#N/A</v>
      </c>
      <c r="E150" s="328" t="e">
        <f>Tabla18[[#This Row],[Bus_03]]&amp;"_"&amp;Tabla5[[#This Row],[Tipo de Agente
&lt;&lt; Seleccionar&gt;&gt;]]</f>
        <v>#N/A</v>
      </c>
      <c r="F150" s="328" t="e">
        <f>VLOOKUP(Tabla18[[#This Row],[Concat2]],TablaPOA[[#All],[Concat]:[ConcatEspecial]],3,0)</f>
        <v>#N/A</v>
      </c>
      <c r="G150" s="65" t="str">
        <f>CONCATENATE(Registro!$A$6,"_",Tabla5[[#This Row],[Zona (Provincia)
&lt;&lt; Seleccionar&gt;&gt;]])</f>
        <v>Huánuco_</v>
      </c>
      <c r="H150" s="60" t="e">
        <f>VLOOKUP(Tabla18[[#This Row],[Concatenado***]],Tabla2[[#All],[Concatenado]:[Simbología*]],2,0)</f>
        <v>#N/A</v>
      </c>
      <c r="I150" s="65" t="str">
        <f>CONCATENATE(Tabla18[[#This Row],[Concatenado***]],"_",Tabla5[[#This Row],[Zona (Distrito)
&lt;&lt; Seleccionar&gt;&gt;]])</f>
        <v>Huánuco__</v>
      </c>
      <c r="J1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0" s="72" t="e">
        <f>VLOOKUP(Tabla5[[#This Row],[Tipo de Transporte Empleado
&lt;&lt; Seleccionar&gt;&gt;]],Tabla8[#All],2,0)</f>
        <v>#N/A</v>
      </c>
      <c r="L150" s="71" t="e">
        <f>#REF!+(#REF!*2)+#REF!</f>
        <v>#REF!</v>
      </c>
    </row>
    <row r="151" spans="1:12" x14ac:dyDescent="0.25">
      <c r="A151" s="328" t="e">
        <f>VLOOKUP(Tabla5[[#This Row],[Acción
&lt;&lt; Seleccionar&gt;&gt;]],TablaAccion[[#All],[Nombre_Abreviado]:[Codigo_Plan_Acción]],3,0)</f>
        <v>#N/A</v>
      </c>
      <c r="B151" s="328" t="e">
        <f>VLOOKUP(Tabla5[[#This Row],[Acción Especifica
&lt;&lt; Seleccionar&gt;&gt;]],TablaAccionEspecifica[[#All],[Nombre_Abreviado]:[Codigo_Acción]],3,0)</f>
        <v>#N/A</v>
      </c>
      <c r="C151" s="328" t="e">
        <f>CONCATENATE(Tabla18[[#This Row],[Bus_02]],"_",Tabla5[[#This Row],[Sub Acción Específica
&lt;&lt; Seleccionar&gt;&gt;]])</f>
        <v>#N/A</v>
      </c>
      <c r="D151" s="328" t="e">
        <f>VLOOKUP(Tabla18[[#This Row],[Aux_01]],TablaSubAccionEspecifica[[#All],[Concat]:[Cod_Sub_acción_especifica]],2,0)</f>
        <v>#N/A</v>
      </c>
      <c r="E151" s="328" t="e">
        <f>Tabla18[[#This Row],[Bus_03]]&amp;"_"&amp;Tabla5[[#This Row],[Tipo de Agente
&lt;&lt; Seleccionar&gt;&gt;]]</f>
        <v>#N/A</v>
      </c>
      <c r="F151" s="328" t="e">
        <f>VLOOKUP(Tabla18[[#This Row],[Concat2]],TablaPOA[[#All],[Concat]:[ConcatEspecial]],3,0)</f>
        <v>#N/A</v>
      </c>
      <c r="G151" s="65" t="str">
        <f>CONCATENATE(Registro!$A$6,"_",Tabla5[[#This Row],[Zona (Provincia)
&lt;&lt; Seleccionar&gt;&gt;]])</f>
        <v>Huánuco_</v>
      </c>
      <c r="H151" s="60" t="e">
        <f>VLOOKUP(Tabla18[[#This Row],[Concatenado***]],Tabla2[[#All],[Concatenado]:[Simbología*]],2,0)</f>
        <v>#N/A</v>
      </c>
      <c r="I151" s="65" t="str">
        <f>CONCATENATE(Tabla18[[#This Row],[Concatenado***]],"_",Tabla5[[#This Row],[Zona (Distrito)
&lt;&lt; Seleccionar&gt;&gt;]])</f>
        <v>Huánuco__</v>
      </c>
      <c r="J1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1" s="72" t="e">
        <f>VLOOKUP(Tabla5[[#This Row],[Tipo de Transporte Empleado
&lt;&lt; Seleccionar&gt;&gt;]],Tabla8[#All],2,0)</f>
        <v>#N/A</v>
      </c>
      <c r="L151" s="71" t="e">
        <f>#REF!+(#REF!*2)+#REF!</f>
        <v>#REF!</v>
      </c>
    </row>
    <row r="152" spans="1:12" x14ac:dyDescent="0.25">
      <c r="A152" s="328" t="e">
        <f>VLOOKUP(Tabla5[[#This Row],[Acción
&lt;&lt; Seleccionar&gt;&gt;]],TablaAccion[[#All],[Nombre_Abreviado]:[Codigo_Plan_Acción]],3,0)</f>
        <v>#N/A</v>
      </c>
      <c r="B152" s="328" t="e">
        <f>VLOOKUP(Tabla5[[#This Row],[Acción Especifica
&lt;&lt; Seleccionar&gt;&gt;]],TablaAccionEspecifica[[#All],[Nombre_Abreviado]:[Codigo_Acción]],3,0)</f>
        <v>#N/A</v>
      </c>
      <c r="C152" s="328" t="e">
        <f>CONCATENATE(Tabla18[[#This Row],[Bus_02]],"_",Tabla5[[#This Row],[Sub Acción Específica
&lt;&lt; Seleccionar&gt;&gt;]])</f>
        <v>#N/A</v>
      </c>
      <c r="D152" s="328" t="e">
        <f>VLOOKUP(Tabla18[[#This Row],[Aux_01]],TablaSubAccionEspecifica[[#All],[Concat]:[Cod_Sub_acción_especifica]],2,0)</f>
        <v>#N/A</v>
      </c>
      <c r="E152" s="328" t="e">
        <f>Tabla18[[#This Row],[Bus_03]]&amp;"_"&amp;Tabla5[[#This Row],[Tipo de Agente
&lt;&lt; Seleccionar&gt;&gt;]]</f>
        <v>#N/A</v>
      </c>
      <c r="F152" s="328" t="e">
        <f>VLOOKUP(Tabla18[[#This Row],[Concat2]],TablaPOA[[#All],[Concat]:[ConcatEspecial]],3,0)</f>
        <v>#N/A</v>
      </c>
      <c r="G152" s="65" t="str">
        <f>CONCATENATE(Registro!$A$6,"_",Tabla5[[#This Row],[Zona (Provincia)
&lt;&lt; Seleccionar&gt;&gt;]])</f>
        <v>Huánuco_</v>
      </c>
      <c r="H152" s="60" t="e">
        <f>VLOOKUP(Tabla18[[#This Row],[Concatenado***]],Tabla2[[#All],[Concatenado]:[Simbología*]],2,0)</f>
        <v>#N/A</v>
      </c>
      <c r="I152" s="65" t="str">
        <f>CONCATENATE(Tabla18[[#This Row],[Concatenado***]],"_",Tabla5[[#This Row],[Zona (Distrito)
&lt;&lt; Seleccionar&gt;&gt;]])</f>
        <v>Huánuco__</v>
      </c>
      <c r="J1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2" s="72" t="e">
        <f>VLOOKUP(Tabla5[[#This Row],[Tipo de Transporte Empleado
&lt;&lt; Seleccionar&gt;&gt;]],Tabla8[#All],2,0)</f>
        <v>#N/A</v>
      </c>
      <c r="L152" s="71" t="e">
        <f>#REF!+(#REF!*2)+#REF!</f>
        <v>#REF!</v>
      </c>
    </row>
    <row r="153" spans="1:12" x14ac:dyDescent="0.25">
      <c r="A153" s="328" t="e">
        <f>VLOOKUP(Tabla5[[#This Row],[Acción
&lt;&lt; Seleccionar&gt;&gt;]],TablaAccion[[#All],[Nombre_Abreviado]:[Codigo_Plan_Acción]],3,0)</f>
        <v>#N/A</v>
      </c>
      <c r="B153" s="328" t="e">
        <f>VLOOKUP(Tabla5[[#This Row],[Acción Especifica
&lt;&lt; Seleccionar&gt;&gt;]],TablaAccionEspecifica[[#All],[Nombre_Abreviado]:[Codigo_Acción]],3,0)</f>
        <v>#N/A</v>
      </c>
      <c r="C153" s="328" t="e">
        <f>CONCATENATE(Tabla18[[#This Row],[Bus_02]],"_",Tabla5[[#This Row],[Sub Acción Específica
&lt;&lt; Seleccionar&gt;&gt;]])</f>
        <v>#N/A</v>
      </c>
      <c r="D153" s="328" t="e">
        <f>VLOOKUP(Tabla18[[#This Row],[Aux_01]],TablaSubAccionEspecifica[[#All],[Concat]:[Cod_Sub_acción_especifica]],2,0)</f>
        <v>#N/A</v>
      </c>
      <c r="E153" s="328" t="e">
        <f>Tabla18[[#This Row],[Bus_03]]&amp;"_"&amp;Tabla5[[#This Row],[Tipo de Agente
&lt;&lt; Seleccionar&gt;&gt;]]</f>
        <v>#N/A</v>
      </c>
      <c r="F153" s="328" t="e">
        <f>VLOOKUP(Tabla18[[#This Row],[Concat2]],TablaPOA[[#All],[Concat]:[ConcatEspecial]],3,0)</f>
        <v>#N/A</v>
      </c>
      <c r="G153" s="65" t="str">
        <f>CONCATENATE(Registro!$A$6,"_",Tabla5[[#This Row],[Zona (Provincia)
&lt;&lt; Seleccionar&gt;&gt;]])</f>
        <v>Huánuco_</v>
      </c>
      <c r="H153" s="60" t="e">
        <f>VLOOKUP(Tabla18[[#This Row],[Concatenado***]],Tabla2[[#All],[Concatenado]:[Simbología*]],2,0)</f>
        <v>#N/A</v>
      </c>
      <c r="I153" s="65" t="str">
        <f>CONCATENATE(Tabla18[[#This Row],[Concatenado***]],"_",Tabla5[[#This Row],[Zona (Distrito)
&lt;&lt; Seleccionar&gt;&gt;]])</f>
        <v>Huánuco__</v>
      </c>
      <c r="J1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3" s="72" t="e">
        <f>VLOOKUP(Tabla5[[#This Row],[Tipo de Transporte Empleado
&lt;&lt; Seleccionar&gt;&gt;]],Tabla8[#All],2,0)</f>
        <v>#N/A</v>
      </c>
      <c r="L153" s="71" t="e">
        <f>#REF!+(#REF!*2)+#REF!</f>
        <v>#REF!</v>
      </c>
    </row>
    <row r="154" spans="1:12" x14ac:dyDescent="0.25">
      <c r="A154" s="328" t="e">
        <f>VLOOKUP(Tabla5[[#This Row],[Acción
&lt;&lt; Seleccionar&gt;&gt;]],TablaAccion[[#All],[Nombre_Abreviado]:[Codigo_Plan_Acción]],3,0)</f>
        <v>#N/A</v>
      </c>
      <c r="B154" s="328" t="e">
        <f>VLOOKUP(Tabla5[[#This Row],[Acción Especifica
&lt;&lt; Seleccionar&gt;&gt;]],TablaAccionEspecifica[[#All],[Nombre_Abreviado]:[Codigo_Acción]],3,0)</f>
        <v>#N/A</v>
      </c>
      <c r="C154" s="328" t="e">
        <f>CONCATENATE(Tabla18[[#This Row],[Bus_02]],"_",Tabla5[[#This Row],[Sub Acción Específica
&lt;&lt; Seleccionar&gt;&gt;]])</f>
        <v>#N/A</v>
      </c>
      <c r="D154" s="328" t="e">
        <f>VLOOKUP(Tabla18[[#This Row],[Aux_01]],TablaSubAccionEspecifica[[#All],[Concat]:[Cod_Sub_acción_especifica]],2,0)</f>
        <v>#N/A</v>
      </c>
      <c r="E154" s="328" t="e">
        <f>Tabla18[[#This Row],[Bus_03]]&amp;"_"&amp;Tabla5[[#This Row],[Tipo de Agente
&lt;&lt; Seleccionar&gt;&gt;]]</f>
        <v>#N/A</v>
      </c>
      <c r="F154" s="328" t="e">
        <f>VLOOKUP(Tabla18[[#This Row],[Concat2]],TablaPOA[[#All],[Concat]:[ConcatEspecial]],3,0)</f>
        <v>#N/A</v>
      </c>
      <c r="G154" s="65" t="str">
        <f>CONCATENATE(Registro!$A$6,"_",Tabla5[[#This Row],[Zona (Provincia)
&lt;&lt; Seleccionar&gt;&gt;]])</f>
        <v>Huánuco_</v>
      </c>
      <c r="H154" s="60" t="e">
        <f>VLOOKUP(Tabla18[[#This Row],[Concatenado***]],Tabla2[[#All],[Concatenado]:[Simbología*]],2,0)</f>
        <v>#N/A</v>
      </c>
      <c r="I154" s="65" t="str">
        <f>CONCATENATE(Tabla18[[#This Row],[Concatenado***]],"_",Tabla5[[#This Row],[Zona (Distrito)
&lt;&lt; Seleccionar&gt;&gt;]])</f>
        <v>Huánuco__</v>
      </c>
      <c r="J1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4" s="72" t="e">
        <f>VLOOKUP(Tabla5[[#This Row],[Tipo de Transporte Empleado
&lt;&lt; Seleccionar&gt;&gt;]],Tabla8[#All],2,0)</f>
        <v>#N/A</v>
      </c>
      <c r="L154" s="71" t="e">
        <f>#REF!+(#REF!*2)+#REF!</f>
        <v>#REF!</v>
      </c>
    </row>
    <row r="155" spans="1:12" x14ac:dyDescent="0.25">
      <c r="A155" s="328" t="e">
        <f>VLOOKUP(Tabla5[[#This Row],[Acción
&lt;&lt; Seleccionar&gt;&gt;]],TablaAccion[[#All],[Nombre_Abreviado]:[Codigo_Plan_Acción]],3,0)</f>
        <v>#N/A</v>
      </c>
      <c r="B155" s="328" t="e">
        <f>VLOOKUP(Tabla5[[#This Row],[Acción Especifica
&lt;&lt; Seleccionar&gt;&gt;]],TablaAccionEspecifica[[#All],[Nombre_Abreviado]:[Codigo_Acción]],3,0)</f>
        <v>#N/A</v>
      </c>
      <c r="C155" s="328" t="e">
        <f>CONCATENATE(Tabla18[[#This Row],[Bus_02]],"_",Tabla5[[#This Row],[Sub Acción Específica
&lt;&lt; Seleccionar&gt;&gt;]])</f>
        <v>#N/A</v>
      </c>
      <c r="D155" s="328" t="e">
        <f>VLOOKUP(Tabla18[[#This Row],[Aux_01]],TablaSubAccionEspecifica[[#All],[Concat]:[Cod_Sub_acción_especifica]],2,0)</f>
        <v>#N/A</v>
      </c>
      <c r="E155" s="328" t="e">
        <f>Tabla18[[#This Row],[Bus_03]]&amp;"_"&amp;Tabla5[[#This Row],[Tipo de Agente
&lt;&lt; Seleccionar&gt;&gt;]]</f>
        <v>#N/A</v>
      </c>
      <c r="F155" s="328" t="e">
        <f>VLOOKUP(Tabla18[[#This Row],[Concat2]],TablaPOA[[#All],[Concat]:[ConcatEspecial]],3,0)</f>
        <v>#N/A</v>
      </c>
      <c r="G155" s="65" t="str">
        <f>CONCATENATE(Registro!$A$6,"_",Tabla5[[#This Row],[Zona (Provincia)
&lt;&lt; Seleccionar&gt;&gt;]])</f>
        <v>Huánuco_</v>
      </c>
      <c r="H155" s="60" t="e">
        <f>VLOOKUP(Tabla18[[#This Row],[Concatenado***]],Tabla2[[#All],[Concatenado]:[Simbología*]],2,0)</f>
        <v>#N/A</v>
      </c>
      <c r="I155" s="65" t="str">
        <f>CONCATENATE(Tabla18[[#This Row],[Concatenado***]],"_",Tabla5[[#This Row],[Zona (Distrito)
&lt;&lt; Seleccionar&gt;&gt;]])</f>
        <v>Huánuco__</v>
      </c>
      <c r="J1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5" s="72" t="e">
        <f>VLOOKUP(Tabla5[[#This Row],[Tipo de Transporte Empleado
&lt;&lt; Seleccionar&gt;&gt;]],Tabla8[#All],2,0)</f>
        <v>#N/A</v>
      </c>
      <c r="L155" s="71" t="e">
        <f>#REF!+(#REF!*2)+#REF!</f>
        <v>#REF!</v>
      </c>
    </row>
    <row r="156" spans="1:12" x14ac:dyDescent="0.25">
      <c r="A156" s="328" t="e">
        <f>VLOOKUP(Tabla5[[#This Row],[Acción
&lt;&lt; Seleccionar&gt;&gt;]],TablaAccion[[#All],[Nombre_Abreviado]:[Codigo_Plan_Acción]],3,0)</f>
        <v>#N/A</v>
      </c>
      <c r="B156" s="328" t="e">
        <f>VLOOKUP(Tabla5[[#This Row],[Acción Especifica
&lt;&lt; Seleccionar&gt;&gt;]],TablaAccionEspecifica[[#All],[Nombre_Abreviado]:[Codigo_Acción]],3,0)</f>
        <v>#N/A</v>
      </c>
      <c r="C156" s="328" t="e">
        <f>CONCATENATE(Tabla18[[#This Row],[Bus_02]],"_",Tabla5[[#This Row],[Sub Acción Específica
&lt;&lt; Seleccionar&gt;&gt;]])</f>
        <v>#N/A</v>
      </c>
      <c r="D156" s="328" t="e">
        <f>VLOOKUP(Tabla18[[#This Row],[Aux_01]],TablaSubAccionEspecifica[[#All],[Concat]:[Cod_Sub_acción_especifica]],2,0)</f>
        <v>#N/A</v>
      </c>
      <c r="E156" s="328" t="e">
        <f>Tabla18[[#This Row],[Bus_03]]&amp;"_"&amp;Tabla5[[#This Row],[Tipo de Agente
&lt;&lt; Seleccionar&gt;&gt;]]</f>
        <v>#N/A</v>
      </c>
      <c r="F156" s="328" t="e">
        <f>VLOOKUP(Tabla18[[#This Row],[Concat2]],TablaPOA[[#All],[Concat]:[ConcatEspecial]],3,0)</f>
        <v>#N/A</v>
      </c>
      <c r="G156" s="65" t="str">
        <f>CONCATENATE(Registro!$A$6,"_",Tabla5[[#This Row],[Zona (Provincia)
&lt;&lt; Seleccionar&gt;&gt;]])</f>
        <v>Huánuco_</v>
      </c>
      <c r="H156" s="60" t="e">
        <f>VLOOKUP(Tabla18[[#This Row],[Concatenado***]],Tabla2[[#All],[Concatenado]:[Simbología*]],2,0)</f>
        <v>#N/A</v>
      </c>
      <c r="I156" s="65" t="str">
        <f>CONCATENATE(Tabla18[[#This Row],[Concatenado***]],"_",Tabla5[[#This Row],[Zona (Distrito)
&lt;&lt; Seleccionar&gt;&gt;]])</f>
        <v>Huánuco__</v>
      </c>
      <c r="J1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6" s="72" t="e">
        <f>VLOOKUP(Tabla5[[#This Row],[Tipo de Transporte Empleado
&lt;&lt; Seleccionar&gt;&gt;]],Tabla8[#All],2,0)</f>
        <v>#N/A</v>
      </c>
      <c r="L156" s="71" t="e">
        <f>#REF!+(#REF!*2)+#REF!</f>
        <v>#REF!</v>
      </c>
    </row>
    <row r="157" spans="1:12" x14ac:dyDescent="0.25">
      <c r="A157" s="328" t="e">
        <f>VLOOKUP(Tabla5[[#This Row],[Acción
&lt;&lt; Seleccionar&gt;&gt;]],TablaAccion[[#All],[Nombre_Abreviado]:[Codigo_Plan_Acción]],3,0)</f>
        <v>#N/A</v>
      </c>
      <c r="B157" s="328" t="e">
        <f>VLOOKUP(Tabla5[[#This Row],[Acción Especifica
&lt;&lt; Seleccionar&gt;&gt;]],TablaAccionEspecifica[[#All],[Nombre_Abreviado]:[Codigo_Acción]],3,0)</f>
        <v>#N/A</v>
      </c>
      <c r="C157" s="328" t="e">
        <f>CONCATENATE(Tabla18[[#This Row],[Bus_02]],"_",Tabla5[[#This Row],[Sub Acción Específica
&lt;&lt; Seleccionar&gt;&gt;]])</f>
        <v>#N/A</v>
      </c>
      <c r="D157" s="328" t="e">
        <f>VLOOKUP(Tabla18[[#This Row],[Aux_01]],TablaSubAccionEspecifica[[#All],[Concat]:[Cod_Sub_acción_especifica]],2,0)</f>
        <v>#N/A</v>
      </c>
      <c r="E157" s="328" t="e">
        <f>Tabla18[[#This Row],[Bus_03]]&amp;"_"&amp;Tabla5[[#This Row],[Tipo de Agente
&lt;&lt; Seleccionar&gt;&gt;]]</f>
        <v>#N/A</v>
      </c>
      <c r="F157" s="328" t="e">
        <f>VLOOKUP(Tabla18[[#This Row],[Concat2]],TablaPOA[[#All],[Concat]:[ConcatEspecial]],3,0)</f>
        <v>#N/A</v>
      </c>
      <c r="G157" s="65" t="str">
        <f>CONCATENATE(Registro!$A$6,"_",Tabla5[[#This Row],[Zona (Provincia)
&lt;&lt; Seleccionar&gt;&gt;]])</f>
        <v>Huánuco_</v>
      </c>
      <c r="H157" s="60" t="e">
        <f>VLOOKUP(Tabla18[[#This Row],[Concatenado***]],Tabla2[[#All],[Concatenado]:[Simbología*]],2,0)</f>
        <v>#N/A</v>
      </c>
      <c r="I157" s="65" t="str">
        <f>CONCATENATE(Tabla18[[#This Row],[Concatenado***]],"_",Tabla5[[#This Row],[Zona (Distrito)
&lt;&lt; Seleccionar&gt;&gt;]])</f>
        <v>Huánuco__</v>
      </c>
      <c r="J1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7" s="72" t="e">
        <f>VLOOKUP(Tabla5[[#This Row],[Tipo de Transporte Empleado
&lt;&lt; Seleccionar&gt;&gt;]],Tabla8[#All],2,0)</f>
        <v>#N/A</v>
      </c>
      <c r="L157" s="71" t="e">
        <f>#REF!+(#REF!*2)+#REF!</f>
        <v>#REF!</v>
      </c>
    </row>
    <row r="158" spans="1:12" x14ac:dyDescent="0.25">
      <c r="A158" s="328" t="e">
        <f>VLOOKUP(Tabla5[[#This Row],[Acción
&lt;&lt; Seleccionar&gt;&gt;]],TablaAccion[[#All],[Nombre_Abreviado]:[Codigo_Plan_Acción]],3,0)</f>
        <v>#N/A</v>
      </c>
      <c r="B158" s="328" t="e">
        <f>VLOOKUP(Tabla5[[#This Row],[Acción Especifica
&lt;&lt; Seleccionar&gt;&gt;]],TablaAccionEspecifica[[#All],[Nombre_Abreviado]:[Codigo_Acción]],3,0)</f>
        <v>#N/A</v>
      </c>
      <c r="C158" s="328" t="e">
        <f>CONCATENATE(Tabla18[[#This Row],[Bus_02]],"_",Tabla5[[#This Row],[Sub Acción Específica
&lt;&lt; Seleccionar&gt;&gt;]])</f>
        <v>#N/A</v>
      </c>
      <c r="D158" s="328" t="e">
        <f>VLOOKUP(Tabla18[[#This Row],[Aux_01]],TablaSubAccionEspecifica[[#All],[Concat]:[Cod_Sub_acción_especifica]],2,0)</f>
        <v>#N/A</v>
      </c>
      <c r="E158" s="328" t="e">
        <f>Tabla18[[#This Row],[Bus_03]]&amp;"_"&amp;Tabla5[[#This Row],[Tipo de Agente
&lt;&lt; Seleccionar&gt;&gt;]]</f>
        <v>#N/A</v>
      </c>
      <c r="F158" s="328" t="e">
        <f>VLOOKUP(Tabla18[[#This Row],[Concat2]],TablaPOA[[#All],[Concat]:[ConcatEspecial]],3,0)</f>
        <v>#N/A</v>
      </c>
      <c r="G158" s="65" t="str">
        <f>CONCATENATE(Registro!$A$6,"_",Tabla5[[#This Row],[Zona (Provincia)
&lt;&lt; Seleccionar&gt;&gt;]])</f>
        <v>Huánuco_</v>
      </c>
      <c r="H158" s="60" t="e">
        <f>VLOOKUP(Tabla18[[#This Row],[Concatenado***]],Tabla2[[#All],[Concatenado]:[Simbología*]],2,0)</f>
        <v>#N/A</v>
      </c>
      <c r="I158" s="65" t="str">
        <f>CONCATENATE(Tabla18[[#This Row],[Concatenado***]],"_",Tabla5[[#This Row],[Zona (Distrito)
&lt;&lt; Seleccionar&gt;&gt;]])</f>
        <v>Huánuco__</v>
      </c>
      <c r="J1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8" s="72" t="e">
        <f>VLOOKUP(Tabla5[[#This Row],[Tipo de Transporte Empleado
&lt;&lt; Seleccionar&gt;&gt;]],Tabla8[#All],2,0)</f>
        <v>#N/A</v>
      </c>
      <c r="L158" s="71" t="e">
        <f>#REF!+(#REF!*2)+#REF!</f>
        <v>#REF!</v>
      </c>
    </row>
    <row r="159" spans="1:12" x14ac:dyDescent="0.25">
      <c r="A159" s="328" t="e">
        <f>VLOOKUP(Tabla5[[#This Row],[Acción
&lt;&lt; Seleccionar&gt;&gt;]],TablaAccion[[#All],[Nombre_Abreviado]:[Codigo_Plan_Acción]],3,0)</f>
        <v>#N/A</v>
      </c>
      <c r="B159" s="328" t="e">
        <f>VLOOKUP(Tabla5[[#This Row],[Acción Especifica
&lt;&lt; Seleccionar&gt;&gt;]],TablaAccionEspecifica[[#All],[Nombre_Abreviado]:[Codigo_Acción]],3,0)</f>
        <v>#N/A</v>
      </c>
      <c r="C159" s="328" t="e">
        <f>CONCATENATE(Tabla18[[#This Row],[Bus_02]],"_",Tabla5[[#This Row],[Sub Acción Específica
&lt;&lt; Seleccionar&gt;&gt;]])</f>
        <v>#N/A</v>
      </c>
      <c r="D159" s="328" t="e">
        <f>VLOOKUP(Tabla18[[#This Row],[Aux_01]],TablaSubAccionEspecifica[[#All],[Concat]:[Cod_Sub_acción_especifica]],2,0)</f>
        <v>#N/A</v>
      </c>
      <c r="E159" s="328" t="e">
        <f>Tabla18[[#This Row],[Bus_03]]&amp;"_"&amp;Tabla5[[#This Row],[Tipo de Agente
&lt;&lt; Seleccionar&gt;&gt;]]</f>
        <v>#N/A</v>
      </c>
      <c r="F159" s="328" t="e">
        <f>VLOOKUP(Tabla18[[#This Row],[Concat2]],TablaPOA[[#All],[Concat]:[ConcatEspecial]],3,0)</f>
        <v>#N/A</v>
      </c>
      <c r="G159" s="65" t="str">
        <f>CONCATENATE(Registro!$A$6,"_",Tabla5[[#This Row],[Zona (Provincia)
&lt;&lt; Seleccionar&gt;&gt;]])</f>
        <v>Huánuco_</v>
      </c>
      <c r="H159" s="60" t="e">
        <f>VLOOKUP(Tabla18[[#This Row],[Concatenado***]],Tabla2[[#All],[Concatenado]:[Simbología*]],2,0)</f>
        <v>#N/A</v>
      </c>
      <c r="I159" s="65" t="str">
        <f>CONCATENATE(Tabla18[[#This Row],[Concatenado***]],"_",Tabla5[[#This Row],[Zona (Distrito)
&lt;&lt; Seleccionar&gt;&gt;]])</f>
        <v>Huánuco__</v>
      </c>
      <c r="J1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9" s="72" t="e">
        <f>VLOOKUP(Tabla5[[#This Row],[Tipo de Transporte Empleado
&lt;&lt; Seleccionar&gt;&gt;]],Tabla8[#All],2,0)</f>
        <v>#N/A</v>
      </c>
      <c r="L159" s="71" t="e">
        <f>#REF!+(#REF!*2)+#REF!</f>
        <v>#REF!</v>
      </c>
    </row>
    <row r="160" spans="1:12" x14ac:dyDescent="0.25">
      <c r="A160" s="328" t="e">
        <f>VLOOKUP(Tabla5[[#This Row],[Acción
&lt;&lt; Seleccionar&gt;&gt;]],TablaAccion[[#All],[Nombre_Abreviado]:[Codigo_Plan_Acción]],3,0)</f>
        <v>#N/A</v>
      </c>
      <c r="B160" s="328" t="e">
        <f>VLOOKUP(Tabla5[[#This Row],[Acción Especifica
&lt;&lt; Seleccionar&gt;&gt;]],TablaAccionEspecifica[[#All],[Nombre_Abreviado]:[Codigo_Acción]],3,0)</f>
        <v>#N/A</v>
      </c>
      <c r="C160" s="328" t="e">
        <f>CONCATENATE(Tabla18[[#This Row],[Bus_02]],"_",Tabla5[[#This Row],[Sub Acción Específica
&lt;&lt; Seleccionar&gt;&gt;]])</f>
        <v>#N/A</v>
      </c>
      <c r="D160" s="328" t="e">
        <f>VLOOKUP(Tabla18[[#This Row],[Aux_01]],TablaSubAccionEspecifica[[#All],[Concat]:[Cod_Sub_acción_especifica]],2,0)</f>
        <v>#N/A</v>
      </c>
      <c r="E160" s="328" t="e">
        <f>Tabla18[[#This Row],[Bus_03]]&amp;"_"&amp;Tabla5[[#This Row],[Tipo de Agente
&lt;&lt; Seleccionar&gt;&gt;]]</f>
        <v>#N/A</v>
      </c>
      <c r="F160" s="328" t="e">
        <f>VLOOKUP(Tabla18[[#This Row],[Concat2]],TablaPOA[[#All],[Concat]:[ConcatEspecial]],3,0)</f>
        <v>#N/A</v>
      </c>
      <c r="G160" s="65" t="str">
        <f>CONCATENATE(Registro!$A$6,"_",Tabla5[[#This Row],[Zona (Provincia)
&lt;&lt; Seleccionar&gt;&gt;]])</f>
        <v>Huánuco_</v>
      </c>
      <c r="H160" s="60" t="e">
        <f>VLOOKUP(Tabla18[[#This Row],[Concatenado***]],Tabla2[[#All],[Concatenado]:[Simbología*]],2,0)</f>
        <v>#N/A</v>
      </c>
      <c r="I160" s="65" t="str">
        <f>CONCATENATE(Tabla18[[#This Row],[Concatenado***]],"_",Tabla5[[#This Row],[Zona (Distrito)
&lt;&lt; Seleccionar&gt;&gt;]])</f>
        <v>Huánuco__</v>
      </c>
      <c r="J1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0" s="72" t="e">
        <f>VLOOKUP(Tabla5[[#This Row],[Tipo de Transporte Empleado
&lt;&lt; Seleccionar&gt;&gt;]],Tabla8[#All],2,0)</f>
        <v>#N/A</v>
      </c>
      <c r="L160" s="71" t="e">
        <f>#REF!+(#REF!*2)+#REF!</f>
        <v>#REF!</v>
      </c>
    </row>
    <row r="161" spans="1:12" x14ac:dyDescent="0.25">
      <c r="A161" s="328" t="e">
        <f>VLOOKUP(Tabla5[[#This Row],[Acción
&lt;&lt; Seleccionar&gt;&gt;]],TablaAccion[[#All],[Nombre_Abreviado]:[Codigo_Plan_Acción]],3,0)</f>
        <v>#N/A</v>
      </c>
      <c r="B161" s="328" t="e">
        <f>VLOOKUP(Tabla5[[#This Row],[Acción Especifica
&lt;&lt; Seleccionar&gt;&gt;]],TablaAccionEspecifica[[#All],[Nombre_Abreviado]:[Codigo_Acción]],3,0)</f>
        <v>#N/A</v>
      </c>
      <c r="C161" s="328" t="e">
        <f>CONCATENATE(Tabla18[[#This Row],[Bus_02]],"_",Tabla5[[#This Row],[Sub Acción Específica
&lt;&lt; Seleccionar&gt;&gt;]])</f>
        <v>#N/A</v>
      </c>
      <c r="D161" s="328" t="e">
        <f>VLOOKUP(Tabla18[[#This Row],[Aux_01]],TablaSubAccionEspecifica[[#All],[Concat]:[Cod_Sub_acción_especifica]],2,0)</f>
        <v>#N/A</v>
      </c>
      <c r="E161" s="328" t="e">
        <f>Tabla18[[#This Row],[Bus_03]]&amp;"_"&amp;Tabla5[[#This Row],[Tipo de Agente
&lt;&lt; Seleccionar&gt;&gt;]]</f>
        <v>#N/A</v>
      </c>
      <c r="F161" s="328" t="e">
        <f>VLOOKUP(Tabla18[[#This Row],[Concat2]],TablaPOA[[#All],[Concat]:[ConcatEspecial]],3,0)</f>
        <v>#N/A</v>
      </c>
      <c r="G161" s="65" t="str">
        <f>CONCATENATE(Registro!$A$6,"_",Tabla5[[#This Row],[Zona (Provincia)
&lt;&lt; Seleccionar&gt;&gt;]])</f>
        <v>Huánuco_</v>
      </c>
      <c r="H161" s="60" t="e">
        <f>VLOOKUP(Tabla18[[#This Row],[Concatenado***]],Tabla2[[#All],[Concatenado]:[Simbología*]],2,0)</f>
        <v>#N/A</v>
      </c>
      <c r="I161" s="65" t="str">
        <f>CONCATENATE(Tabla18[[#This Row],[Concatenado***]],"_",Tabla5[[#This Row],[Zona (Distrito)
&lt;&lt; Seleccionar&gt;&gt;]])</f>
        <v>Huánuco__</v>
      </c>
      <c r="J1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1" s="72" t="e">
        <f>VLOOKUP(Tabla5[[#This Row],[Tipo de Transporte Empleado
&lt;&lt; Seleccionar&gt;&gt;]],Tabla8[#All],2,0)</f>
        <v>#N/A</v>
      </c>
      <c r="L161" s="71" t="e">
        <f>#REF!+(#REF!*2)+#REF!</f>
        <v>#REF!</v>
      </c>
    </row>
    <row r="162" spans="1:12" x14ac:dyDescent="0.25">
      <c r="A162" s="328" t="e">
        <f>VLOOKUP(Tabla5[[#This Row],[Acción
&lt;&lt; Seleccionar&gt;&gt;]],TablaAccion[[#All],[Nombre_Abreviado]:[Codigo_Plan_Acción]],3,0)</f>
        <v>#N/A</v>
      </c>
      <c r="B162" s="328" t="e">
        <f>VLOOKUP(Tabla5[[#This Row],[Acción Especifica
&lt;&lt; Seleccionar&gt;&gt;]],TablaAccionEspecifica[[#All],[Nombre_Abreviado]:[Codigo_Acción]],3,0)</f>
        <v>#N/A</v>
      </c>
      <c r="C162" s="328" t="e">
        <f>CONCATENATE(Tabla18[[#This Row],[Bus_02]],"_",Tabla5[[#This Row],[Sub Acción Específica
&lt;&lt; Seleccionar&gt;&gt;]])</f>
        <v>#N/A</v>
      </c>
      <c r="D162" s="328" t="e">
        <f>VLOOKUP(Tabla18[[#This Row],[Aux_01]],TablaSubAccionEspecifica[[#All],[Concat]:[Cod_Sub_acción_especifica]],2,0)</f>
        <v>#N/A</v>
      </c>
      <c r="E162" s="328" t="e">
        <f>Tabla18[[#This Row],[Bus_03]]&amp;"_"&amp;Tabla5[[#This Row],[Tipo de Agente
&lt;&lt; Seleccionar&gt;&gt;]]</f>
        <v>#N/A</v>
      </c>
      <c r="F162" s="328" t="e">
        <f>VLOOKUP(Tabla18[[#This Row],[Concat2]],TablaPOA[[#All],[Concat]:[ConcatEspecial]],3,0)</f>
        <v>#N/A</v>
      </c>
      <c r="G162" s="65" t="str">
        <f>CONCATENATE(Registro!$A$6,"_",Tabla5[[#This Row],[Zona (Provincia)
&lt;&lt; Seleccionar&gt;&gt;]])</f>
        <v>Huánuco_</v>
      </c>
      <c r="H162" s="60" t="e">
        <f>VLOOKUP(Tabla18[[#This Row],[Concatenado***]],Tabla2[[#All],[Concatenado]:[Simbología*]],2,0)</f>
        <v>#N/A</v>
      </c>
      <c r="I162" s="65" t="str">
        <f>CONCATENATE(Tabla18[[#This Row],[Concatenado***]],"_",Tabla5[[#This Row],[Zona (Distrito)
&lt;&lt; Seleccionar&gt;&gt;]])</f>
        <v>Huánuco__</v>
      </c>
      <c r="J1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2" s="72" t="e">
        <f>VLOOKUP(Tabla5[[#This Row],[Tipo de Transporte Empleado
&lt;&lt; Seleccionar&gt;&gt;]],Tabla8[#All],2,0)</f>
        <v>#N/A</v>
      </c>
      <c r="L162" s="71" t="e">
        <f>#REF!+(#REF!*2)+#REF!</f>
        <v>#REF!</v>
      </c>
    </row>
    <row r="163" spans="1:12" x14ac:dyDescent="0.25">
      <c r="A163" s="328" t="e">
        <f>VLOOKUP(Tabla5[[#This Row],[Acción
&lt;&lt; Seleccionar&gt;&gt;]],TablaAccion[[#All],[Nombre_Abreviado]:[Codigo_Plan_Acción]],3,0)</f>
        <v>#N/A</v>
      </c>
      <c r="B163" s="328" t="e">
        <f>VLOOKUP(Tabla5[[#This Row],[Acción Especifica
&lt;&lt; Seleccionar&gt;&gt;]],TablaAccionEspecifica[[#All],[Nombre_Abreviado]:[Codigo_Acción]],3,0)</f>
        <v>#N/A</v>
      </c>
      <c r="C163" s="328" t="e">
        <f>CONCATENATE(Tabla18[[#This Row],[Bus_02]],"_",Tabla5[[#This Row],[Sub Acción Específica
&lt;&lt; Seleccionar&gt;&gt;]])</f>
        <v>#N/A</v>
      </c>
      <c r="D163" s="328" t="e">
        <f>VLOOKUP(Tabla18[[#This Row],[Aux_01]],TablaSubAccionEspecifica[[#All],[Concat]:[Cod_Sub_acción_especifica]],2,0)</f>
        <v>#N/A</v>
      </c>
      <c r="E163" s="328" t="e">
        <f>Tabla18[[#This Row],[Bus_03]]&amp;"_"&amp;Tabla5[[#This Row],[Tipo de Agente
&lt;&lt; Seleccionar&gt;&gt;]]</f>
        <v>#N/A</v>
      </c>
      <c r="F163" s="328" t="e">
        <f>VLOOKUP(Tabla18[[#This Row],[Concat2]],TablaPOA[[#All],[Concat]:[ConcatEspecial]],3,0)</f>
        <v>#N/A</v>
      </c>
      <c r="G163" s="65" t="str">
        <f>CONCATENATE(Registro!$A$6,"_",Tabla5[[#This Row],[Zona (Provincia)
&lt;&lt; Seleccionar&gt;&gt;]])</f>
        <v>Huánuco_</v>
      </c>
      <c r="H163" s="60" t="e">
        <f>VLOOKUP(Tabla18[[#This Row],[Concatenado***]],Tabla2[[#All],[Concatenado]:[Simbología*]],2,0)</f>
        <v>#N/A</v>
      </c>
      <c r="I163" s="65" t="str">
        <f>CONCATENATE(Tabla18[[#This Row],[Concatenado***]],"_",Tabla5[[#This Row],[Zona (Distrito)
&lt;&lt; Seleccionar&gt;&gt;]])</f>
        <v>Huánuco__</v>
      </c>
      <c r="J1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3" s="72" t="e">
        <f>VLOOKUP(Tabla5[[#This Row],[Tipo de Transporte Empleado
&lt;&lt; Seleccionar&gt;&gt;]],Tabla8[#All],2,0)</f>
        <v>#N/A</v>
      </c>
      <c r="L163" s="71" t="e">
        <f>#REF!+(#REF!*2)+#REF!</f>
        <v>#REF!</v>
      </c>
    </row>
    <row r="164" spans="1:12" x14ac:dyDescent="0.25">
      <c r="A164" s="328" t="e">
        <f>VLOOKUP(Tabla5[[#This Row],[Acción
&lt;&lt; Seleccionar&gt;&gt;]],TablaAccion[[#All],[Nombre_Abreviado]:[Codigo_Plan_Acción]],3,0)</f>
        <v>#N/A</v>
      </c>
      <c r="B164" s="328" t="e">
        <f>VLOOKUP(Tabla5[[#This Row],[Acción Especifica
&lt;&lt; Seleccionar&gt;&gt;]],TablaAccionEspecifica[[#All],[Nombre_Abreviado]:[Codigo_Acción]],3,0)</f>
        <v>#N/A</v>
      </c>
      <c r="C164" s="328" t="e">
        <f>CONCATENATE(Tabla18[[#This Row],[Bus_02]],"_",Tabla5[[#This Row],[Sub Acción Específica
&lt;&lt; Seleccionar&gt;&gt;]])</f>
        <v>#N/A</v>
      </c>
      <c r="D164" s="328" t="e">
        <f>VLOOKUP(Tabla18[[#This Row],[Aux_01]],TablaSubAccionEspecifica[[#All],[Concat]:[Cod_Sub_acción_especifica]],2,0)</f>
        <v>#N/A</v>
      </c>
      <c r="E164" s="328" t="e">
        <f>Tabla18[[#This Row],[Bus_03]]&amp;"_"&amp;Tabla5[[#This Row],[Tipo de Agente
&lt;&lt; Seleccionar&gt;&gt;]]</f>
        <v>#N/A</v>
      </c>
      <c r="F164" s="328" t="e">
        <f>VLOOKUP(Tabla18[[#This Row],[Concat2]],TablaPOA[[#All],[Concat]:[ConcatEspecial]],3,0)</f>
        <v>#N/A</v>
      </c>
      <c r="G164" s="65" t="str">
        <f>CONCATENATE(Registro!$A$6,"_",Tabla5[[#This Row],[Zona (Provincia)
&lt;&lt; Seleccionar&gt;&gt;]])</f>
        <v>Huánuco_</v>
      </c>
      <c r="H164" s="60" t="e">
        <f>VLOOKUP(Tabla18[[#This Row],[Concatenado***]],Tabla2[[#All],[Concatenado]:[Simbología*]],2,0)</f>
        <v>#N/A</v>
      </c>
      <c r="I164" s="65" t="str">
        <f>CONCATENATE(Tabla18[[#This Row],[Concatenado***]],"_",Tabla5[[#This Row],[Zona (Distrito)
&lt;&lt; Seleccionar&gt;&gt;]])</f>
        <v>Huánuco__</v>
      </c>
      <c r="J1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4" s="72" t="e">
        <f>VLOOKUP(Tabla5[[#This Row],[Tipo de Transporte Empleado
&lt;&lt; Seleccionar&gt;&gt;]],Tabla8[#All],2,0)</f>
        <v>#N/A</v>
      </c>
      <c r="L164" s="71" t="e">
        <f>#REF!+(#REF!*2)+#REF!</f>
        <v>#REF!</v>
      </c>
    </row>
    <row r="165" spans="1:12" x14ac:dyDescent="0.25">
      <c r="A165" s="328" t="e">
        <f>VLOOKUP(Tabla5[[#This Row],[Acción
&lt;&lt; Seleccionar&gt;&gt;]],TablaAccion[[#All],[Nombre_Abreviado]:[Codigo_Plan_Acción]],3,0)</f>
        <v>#N/A</v>
      </c>
      <c r="B165" s="328" t="e">
        <f>VLOOKUP(Tabla5[[#This Row],[Acción Especifica
&lt;&lt; Seleccionar&gt;&gt;]],TablaAccionEspecifica[[#All],[Nombre_Abreviado]:[Codigo_Acción]],3,0)</f>
        <v>#N/A</v>
      </c>
      <c r="C165" s="328" t="e">
        <f>CONCATENATE(Tabla18[[#This Row],[Bus_02]],"_",Tabla5[[#This Row],[Sub Acción Específica
&lt;&lt; Seleccionar&gt;&gt;]])</f>
        <v>#N/A</v>
      </c>
      <c r="D165" s="328" t="e">
        <f>VLOOKUP(Tabla18[[#This Row],[Aux_01]],TablaSubAccionEspecifica[[#All],[Concat]:[Cod_Sub_acción_especifica]],2,0)</f>
        <v>#N/A</v>
      </c>
      <c r="E165" s="328" t="e">
        <f>Tabla18[[#This Row],[Bus_03]]&amp;"_"&amp;Tabla5[[#This Row],[Tipo de Agente
&lt;&lt; Seleccionar&gt;&gt;]]</f>
        <v>#N/A</v>
      </c>
      <c r="F165" s="328" t="e">
        <f>VLOOKUP(Tabla18[[#This Row],[Concat2]],TablaPOA[[#All],[Concat]:[ConcatEspecial]],3,0)</f>
        <v>#N/A</v>
      </c>
      <c r="G165" s="65" t="str">
        <f>CONCATENATE(Registro!$A$6,"_",Tabla5[[#This Row],[Zona (Provincia)
&lt;&lt; Seleccionar&gt;&gt;]])</f>
        <v>Huánuco_</v>
      </c>
      <c r="H165" s="60" t="e">
        <f>VLOOKUP(Tabla18[[#This Row],[Concatenado***]],Tabla2[[#All],[Concatenado]:[Simbología*]],2,0)</f>
        <v>#N/A</v>
      </c>
      <c r="I165" s="65" t="str">
        <f>CONCATENATE(Tabla18[[#This Row],[Concatenado***]],"_",Tabla5[[#This Row],[Zona (Distrito)
&lt;&lt; Seleccionar&gt;&gt;]])</f>
        <v>Huánuco__</v>
      </c>
      <c r="J1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5" s="72" t="e">
        <f>VLOOKUP(Tabla5[[#This Row],[Tipo de Transporte Empleado
&lt;&lt; Seleccionar&gt;&gt;]],Tabla8[#All],2,0)</f>
        <v>#N/A</v>
      </c>
      <c r="L165" s="71" t="e">
        <f>#REF!+(#REF!*2)+#REF!</f>
        <v>#REF!</v>
      </c>
    </row>
    <row r="166" spans="1:12" x14ac:dyDescent="0.25">
      <c r="A166" s="328" t="e">
        <f>VLOOKUP(Tabla5[[#This Row],[Acción
&lt;&lt; Seleccionar&gt;&gt;]],TablaAccion[[#All],[Nombre_Abreviado]:[Codigo_Plan_Acción]],3,0)</f>
        <v>#N/A</v>
      </c>
      <c r="B166" s="328" t="e">
        <f>VLOOKUP(Tabla5[[#This Row],[Acción Especifica
&lt;&lt; Seleccionar&gt;&gt;]],TablaAccionEspecifica[[#All],[Nombre_Abreviado]:[Codigo_Acción]],3,0)</f>
        <v>#N/A</v>
      </c>
      <c r="C166" s="328" t="e">
        <f>CONCATENATE(Tabla18[[#This Row],[Bus_02]],"_",Tabla5[[#This Row],[Sub Acción Específica
&lt;&lt; Seleccionar&gt;&gt;]])</f>
        <v>#N/A</v>
      </c>
      <c r="D166" s="328" t="e">
        <f>VLOOKUP(Tabla18[[#This Row],[Aux_01]],TablaSubAccionEspecifica[[#All],[Concat]:[Cod_Sub_acción_especifica]],2,0)</f>
        <v>#N/A</v>
      </c>
      <c r="E166" s="328" t="e">
        <f>Tabla18[[#This Row],[Bus_03]]&amp;"_"&amp;Tabla5[[#This Row],[Tipo de Agente
&lt;&lt; Seleccionar&gt;&gt;]]</f>
        <v>#N/A</v>
      </c>
      <c r="F166" s="328" t="e">
        <f>VLOOKUP(Tabla18[[#This Row],[Concat2]],TablaPOA[[#All],[Concat]:[ConcatEspecial]],3,0)</f>
        <v>#N/A</v>
      </c>
      <c r="G166" s="65" t="str">
        <f>CONCATENATE(Registro!$A$6,"_",Tabla5[[#This Row],[Zona (Provincia)
&lt;&lt; Seleccionar&gt;&gt;]])</f>
        <v>Huánuco_</v>
      </c>
      <c r="H166" s="60" t="e">
        <f>VLOOKUP(Tabla18[[#This Row],[Concatenado***]],Tabla2[[#All],[Concatenado]:[Simbología*]],2,0)</f>
        <v>#N/A</v>
      </c>
      <c r="I166" s="65" t="str">
        <f>CONCATENATE(Tabla18[[#This Row],[Concatenado***]],"_",Tabla5[[#This Row],[Zona (Distrito)
&lt;&lt; Seleccionar&gt;&gt;]])</f>
        <v>Huánuco__</v>
      </c>
      <c r="J1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6" s="72" t="e">
        <f>VLOOKUP(Tabla5[[#This Row],[Tipo de Transporte Empleado
&lt;&lt; Seleccionar&gt;&gt;]],Tabla8[#All],2,0)</f>
        <v>#N/A</v>
      </c>
      <c r="L166" s="71" t="e">
        <f>#REF!+(#REF!*2)+#REF!</f>
        <v>#REF!</v>
      </c>
    </row>
    <row r="167" spans="1:12" x14ac:dyDescent="0.25">
      <c r="A167" s="328" t="e">
        <f>VLOOKUP(Tabla5[[#This Row],[Acción
&lt;&lt; Seleccionar&gt;&gt;]],TablaAccion[[#All],[Nombre_Abreviado]:[Codigo_Plan_Acción]],3,0)</f>
        <v>#N/A</v>
      </c>
      <c r="B167" s="328" t="e">
        <f>VLOOKUP(Tabla5[[#This Row],[Acción Especifica
&lt;&lt; Seleccionar&gt;&gt;]],TablaAccionEspecifica[[#All],[Nombre_Abreviado]:[Codigo_Acción]],3,0)</f>
        <v>#N/A</v>
      </c>
      <c r="C167" s="328" t="e">
        <f>CONCATENATE(Tabla18[[#This Row],[Bus_02]],"_",Tabla5[[#This Row],[Sub Acción Específica
&lt;&lt; Seleccionar&gt;&gt;]])</f>
        <v>#N/A</v>
      </c>
      <c r="D167" s="328" t="e">
        <f>VLOOKUP(Tabla18[[#This Row],[Aux_01]],TablaSubAccionEspecifica[[#All],[Concat]:[Cod_Sub_acción_especifica]],2,0)</f>
        <v>#N/A</v>
      </c>
      <c r="E167" s="328" t="e">
        <f>Tabla18[[#This Row],[Bus_03]]&amp;"_"&amp;Tabla5[[#This Row],[Tipo de Agente
&lt;&lt; Seleccionar&gt;&gt;]]</f>
        <v>#N/A</v>
      </c>
      <c r="F167" s="328" t="e">
        <f>VLOOKUP(Tabla18[[#This Row],[Concat2]],TablaPOA[[#All],[Concat]:[ConcatEspecial]],3,0)</f>
        <v>#N/A</v>
      </c>
      <c r="G167" s="65" t="str">
        <f>CONCATENATE(Registro!$A$6,"_",Tabla5[[#This Row],[Zona (Provincia)
&lt;&lt; Seleccionar&gt;&gt;]])</f>
        <v>Huánuco_</v>
      </c>
      <c r="H167" s="60" t="e">
        <f>VLOOKUP(Tabla18[[#This Row],[Concatenado***]],Tabla2[[#All],[Concatenado]:[Simbología*]],2,0)</f>
        <v>#N/A</v>
      </c>
      <c r="I167" s="65" t="str">
        <f>CONCATENATE(Tabla18[[#This Row],[Concatenado***]],"_",Tabla5[[#This Row],[Zona (Distrito)
&lt;&lt; Seleccionar&gt;&gt;]])</f>
        <v>Huánuco__</v>
      </c>
      <c r="J1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7" s="72" t="e">
        <f>VLOOKUP(Tabla5[[#This Row],[Tipo de Transporte Empleado
&lt;&lt; Seleccionar&gt;&gt;]],Tabla8[#All],2,0)</f>
        <v>#N/A</v>
      </c>
      <c r="L167" s="71" t="e">
        <f>#REF!+(#REF!*2)+#REF!</f>
        <v>#REF!</v>
      </c>
    </row>
    <row r="168" spans="1:12" x14ac:dyDescent="0.25">
      <c r="A168" s="328" t="e">
        <f>VLOOKUP(Tabla5[[#This Row],[Acción
&lt;&lt; Seleccionar&gt;&gt;]],TablaAccion[[#All],[Nombre_Abreviado]:[Codigo_Plan_Acción]],3,0)</f>
        <v>#N/A</v>
      </c>
      <c r="B168" s="328" t="e">
        <f>VLOOKUP(Tabla5[[#This Row],[Acción Especifica
&lt;&lt; Seleccionar&gt;&gt;]],TablaAccionEspecifica[[#All],[Nombre_Abreviado]:[Codigo_Acción]],3,0)</f>
        <v>#N/A</v>
      </c>
      <c r="C168" s="328" t="e">
        <f>CONCATENATE(Tabla18[[#This Row],[Bus_02]],"_",Tabla5[[#This Row],[Sub Acción Específica
&lt;&lt; Seleccionar&gt;&gt;]])</f>
        <v>#N/A</v>
      </c>
      <c r="D168" s="328" t="e">
        <f>VLOOKUP(Tabla18[[#This Row],[Aux_01]],TablaSubAccionEspecifica[[#All],[Concat]:[Cod_Sub_acción_especifica]],2,0)</f>
        <v>#N/A</v>
      </c>
      <c r="E168" s="328" t="e">
        <f>Tabla18[[#This Row],[Bus_03]]&amp;"_"&amp;Tabla5[[#This Row],[Tipo de Agente
&lt;&lt; Seleccionar&gt;&gt;]]</f>
        <v>#N/A</v>
      </c>
      <c r="F168" s="328" t="e">
        <f>VLOOKUP(Tabla18[[#This Row],[Concat2]],TablaPOA[[#All],[Concat]:[ConcatEspecial]],3,0)</f>
        <v>#N/A</v>
      </c>
      <c r="G168" s="65" t="str">
        <f>CONCATENATE(Registro!$A$6,"_",Tabla5[[#This Row],[Zona (Provincia)
&lt;&lt; Seleccionar&gt;&gt;]])</f>
        <v>Huánuco_</v>
      </c>
      <c r="H168" s="60" t="e">
        <f>VLOOKUP(Tabla18[[#This Row],[Concatenado***]],Tabla2[[#All],[Concatenado]:[Simbología*]],2,0)</f>
        <v>#N/A</v>
      </c>
      <c r="I168" s="65" t="str">
        <f>CONCATENATE(Tabla18[[#This Row],[Concatenado***]],"_",Tabla5[[#This Row],[Zona (Distrito)
&lt;&lt; Seleccionar&gt;&gt;]])</f>
        <v>Huánuco__</v>
      </c>
      <c r="J1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8" s="72" t="e">
        <f>VLOOKUP(Tabla5[[#This Row],[Tipo de Transporte Empleado
&lt;&lt; Seleccionar&gt;&gt;]],Tabla8[#All],2,0)</f>
        <v>#N/A</v>
      </c>
      <c r="L168" s="71" t="e">
        <f>#REF!+(#REF!*2)+#REF!</f>
        <v>#REF!</v>
      </c>
    </row>
    <row r="169" spans="1:12" x14ac:dyDescent="0.25">
      <c r="A169" s="328" t="e">
        <f>VLOOKUP(Tabla5[[#This Row],[Acción
&lt;&lt; Seleccionar&gt;&gt;]],TablaAccion[[#All],[Nombre_Abreviado]:[Codigo_Plan_Acción]],3,0)</f>
        <v>#N/A</v>
      </c>
      <c r="B169" s="328" t="e">
        <f>VLOOKUP(Tabla5[[#This Row],[Acción Especifica
&lt;&lt; Seleccionar&gt;&gt;]],TablaAccionEspecifica[[#All],[Nombre_Abreviado]:[Codigo_Acción]],3,0)</f>
        <v>#N/A</v>
      </c>
      <c r="C169" s="328" t="e">
        <f>CONCATENATE(Tabla18[[#This Row],[Bus_02]],"_",Tabla5[[#This Row],[Sub Acción Específica
&lt;&lt; Seleccionar&gt;&gt;]])</f>
        <v>#N/A</v>
      </c>
      <c r="D169" s="328" t="e">
        <f>VLOOKUP(Tabla18[[#This Row],[Aux_01]],TablaSubAccionEspecifica[[#All],[Concat]:[Cod_Sub_acción_especifica]],2,0)</f>
        <v>#N/A</v>
      </c>
      <c r="E169" s="328" t="e">
        <f>Tabla18[[#This Row],[Bus_03]]&amp;"_"&amp;Tabla5[[#This Row],[Tipo de Agente
&lt;&lt; Seleccionar&gt;&gt;]]</f>
        <v>#N/A</v>
      </c>
      <c r="F169" s="328" t="e">
        <f>VLOOKUP(Tabla18[[#This Row],[Concat2]],TablaPOA[[#All],[Concat]:[ConcatEspecial]],3,0)</f>
        <v>#N/A</v>
      </c>
      <c r="G169" s="65" t="str">
        <f>CONCATENATE(Registro!$A$6,"_",Tabla5[[#This Row],[Zona (Provincia)
&lt;&lt; Seleccionar&gt;&gt;]])</f>
        <v>Huánuco_</v>
      </c>
      <c r="H169" s="60" t="e">
        <f>VLOOKUP(Tabla18[[#This Row],[Concatenado***]],Tabla2[[#All],[Concatenado]:[Simbología*]],2,0)</f>
        <v>#N/A</v>
      </c>
      <c r="I169" s="65" t="str">
        <f>CONCATENATE(Tabla18[[#This Row],[Concatenado***]],"_",Tabla5[[#This Row],[Zona (Distrito)
&lt;&lt; Seleccionar&gt;&gt;]])</f>
        <v>Huánuco__</v>
      </c>
      <c r="J1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9" s="72" t="e">
        <f>VLOOKUP(Tabla5[[#This Row],[Tipo de Transporte Empleado
&lt;&lt; Seleccionar&gt;&gt;]],Tabla8[#All],2,0)</f>
        <v>#N/A</v>
      </c>
      <c r="L169" s="71" t="e">
        <f>#REF!+(#REF!*2)+#REF!</f>
        <v>#REF!</v>
      </c>
    </row>
    <row r="170" spans="1:12" x14ac:dyDescent="0.25">
      <c r="A170" s="328" t="e">
        <f>VLOOKUP(Tabla5[[#This Row],[Acción
&lt;&lt; Seleccionar&gt;&gt;]],TablaAccion[[#All],[Nombre_Abreviado]:[Codigo_Plan_Acción]],3,0)</f>
        <v>#N/A</v>
      </c>
      <c r="B170" s="328" t="e">
        <f>VLOOKUP(Tabla5[[#This Row],[Acción Especifica
&lt;&lt; Seleccionar&gt;&gt;]],TablaAccionEspecifica[[#All],[Nombre_Abreviado]:[Codigo_Acción]],3,0)</f>
        <v>#N/A</v>
      </c>
      <c r="C170" s="328" t="e">
        <f>CONCATENATE(Tabla18[[#This Row],[Bus_02]],"_",Tabla5[[#This Row],[Sub Acción Específica
&lt;&lt; Seleccionar&gt;&gt;]])</f>
        <v>#N/A</v>
      </c>
      <c r="D170" s="328" t="e">
        <f>VLOOKUP(Tabla18[[#This Row],[Aux_01]],TablaSubAccionEspecifica[[#All],[Concat]:[Cod_Sub_acción_especifica]],2,0)</f>
        <v>#N/A</v>
      </c>
      <c r="E170" s="328" t="e">
        <f>Tabla18[[#This Row],[Bus_03]]&amp;"_"&amp;Tabla5[[#This Row],[Tipo de Agente
&lt;&lt; Seleccionar&gt;&gt;]]</f>
        <v>#N/A</v>
      </c>
      <c r="F170" s="328" t="e">
        <f>VLOOKUP(Tabla18[[#This Row],[Concat2]],TablaPOA[[#All],[Concat]:[ConcatEspecial]],3,0)</f>
        <v>#N/A</v>
      </c>
      <c r="G170" s="65" t="str">
        <f>CONCATENATE(Registro!$A$6,"_",Tabla5[[#This Row],[Zona (Provincia)
&lt;&lt; Seleccionar&gt;&gt;]])</f>
        <v>Huánuco_</v>
      </c>
      <c r="H170" s="60" t="e">
        <f>VLOOKUP(Tabla18[[#This Row],[Concatenado***]],Tabla2[[#All],[Concatenado]:[Simbología*]],2,0)</f>
        <v>#N/A</v>
      </c>
      <c r="I170" s="65" t="str">
        <f>CONCATENATE(Tabla18[[#This Row],[Concatenado***]],"_",Tabla5[[#This Row],[Zona (Distrito)
&lt;&lt; Seleccionar&gt;&gt;]])</f>
        <v>Huánuco__</v>
      </c>
      <c r="J1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0" s="72" t="e">
        <f>VLOOKUP(Tabla5[[#This Row],[Tipo de Transporte Empleado
&lt;&lt; Seleccionar&gt;&gt;]],Tabla8[#All],2,0)</f>
        <v>#N/A</v>
      </c>
      <c r="L170" s="71" t="e">
        <f>#REF!+(#REF!*2)+#REF!</f>
        <v>#REF!</v>
      </c>
    </row>
    <row r="171" spans="1:12" x14ac:dyDescent="0.25">
      <c r="A171" s="328" t="e">
        <f>VLOOKUP(Tabla5[[#This Row],[Acción
&lt;&lt; Seleccionar&gt;&gt;]],TablaAccion[[#All],[Nombre_Abreviado]:[Codigo_Plan_Acción]],3,0)</f>
        <v>#N/A</v>
      </c>
      <c r="B171" s="328" t="e">
        <f>VLOOKUP(Tabla5[[#This Row],[Acción Especifica
&lt;&lt; Seleccionar&gt;&gt;]],TablaAccionEspecifica[[#All],[Nombre_Abreviado]:[Codigo_Acción]],3,0)</f>
        <v>#N/A</v>
      </c>
      <c r="C171" s="328" t="e">
        <f>CONCATENATE(Tabla18[[#This Row],[Bus_02]],"_",Tabla5[[#This Row],[Sub Acción Específica
&lt;&lt; Seleccionar&gt;&gt;]])</f>
        <v>#N/A</v>
      </c>
      <c r="D171" s="328" t="e">
        <f>VLOOKUP(Tabla18[[#This Row],[Aux_01]],TablaSubAccionEspecifica[[#All],[Concat]:[Cod_Sub_acción_especifica]],2,0)</f>
        <v>#N/A</v>
      </c>
      <c r="E171" s="328" t="e">
        <f>Tabla18[[#This Row],[Bus_03]]&amp;"_"&amp;Tabla5[[#This Row],[Tipo de Agente
&lt;&lt; Seleccionar&gt;&gt;]]</f>
        <v>#N/A</v>
      </c>
      <c r="F171" s="328" t="e">
        <f>VLOOKUP(Tabla18[[#This Row],[Concat2]],TablaPOA[[#All],[Concat]:[ConcatEspecial]],3,0)</f>
        <v>#N/A</v>
      </c>
      <c r="G171" s="65" t="str">
        <f>CONCATENATE(Registro!$A$6,"_",Tabla5[[#This Row],[Zona (Provincia)
&lt;&lt; Seleccionar&gt;&gt;]])</f>
        <v>Huánuco_</v>
      </c>
      <c r="H171" s="60" t="e">
        <f>VLOOKUP(Tabla18[[#This Row],[Concatenado***]],Tabla2[[#All],[Concatenado]:[Simbología*]],2,0)</f>
        <v>#N/A</v>
      </c>
      <c r="I171" s="65" t="str">
        <f>CONCATENATE(Tabla18[[#This Row],[Concatenado***]],"_",Tabla5[[#This Row],[Zona (Distrito)
&lt;&lt; Seleccionar&gt;&gt;]])</f>
        <v>Huánuco__</v>
      </c>
      <c r="J1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1" s="72" t="e">
        <f>VLOOKUP(Tabla5[[#This Row],[Tipo de Transporte Empleado
&lt;&lt; Seleccionar&gt;&gt;]],Tabla8[#All],2,0)</f>
        <v>#N/A</v>
      </c>
      <c r="L171" s="71" t="e">
        <f>#REF!+(#REF!*2)+#REF!</f>
        <v>#REF!</v>
      </c>
    </row>
    <row r="172" spans="1:12" x14ac:dyDescent="0.25">
      <c r="A172" s="328" t="e">
        <f>VLOOKUP(Tabla5[[#This Row],[Acción
&lt;&lt; Seleccionar&gt;&gt;]],TablaAccion[[#All],[Nombre_Abreviado]:[Codigo_Plan_Acción]],3,0)</f>
        <v>#N/A</v>
      </c>
      <c r="B172" s="328" t="e">
        <f>VLOOKUP(Tabla5[[#This Row],[Acción Especifica
&lt;&lt; Seleccionar&gt;&gt;]],TablaAccionEspecifica[[#All],[Nombre_Abreviado]:[Codigo_Acción]],3,0)</f>
        <v>#N/A</v>
      </c>
      <c r="C172" s="328" t="e">
        <f>CONCATENATE(Tabla18[[#This Row],[Bus_02]],"_",Tabla5[[#This Row],[Sub Acción Específica
&lt;&lt; Seleccionar&gt;&gt;]])</f>
        <v>#N/A</v>
      </c>
      <c r="D172" s="328" t="e">
        <f>VLOOKUP(Tabla18[[#This Row],[Aux_01]],TablaSubAccionEspecifica[[#All],[Concat]:[Cod_Sub_acción_especifica]],2,0)</f>
        <v>#N/A</v>
      </c>
      <c r="E172" s="328" t="e">
        <f>Tabla18[[#This Row],[Bus_03]]&amp;"_"&amp;Tabla5[[#This Row],[Tipo de Agente
&lt;&lt; Seleccionar&gt;&gt;]]</f>
        <v>#N/A</v>
      </c>
      <c r="F172" s="328" t="e">
        <f>VLOOKUP(Tabla18[[#This Row],[Concat2]],TablaPOA[[#All],[Concat]:[ConcatEspecial]],3,0)</f>
        <v>#N/A</v>
      </c>
      <c r="G172" s="65" t="str">
        <f>CONCATENATE(Registro!$A$6,"_",Tabla5[[#This Row],[Zona (Provincia)
&lt;&lt; Seleccionar&gt;&gt;]])</f>
        <v>Huánuco_</v>
      </c>
      <c r="H172" s="60" t="e">
        <f>VLOOKUP(Tabla18[[#This Row],[Concatenado***]],Tabla2[[#All],[Concatenado]:[Simbología*]],2,0)</f>
        <v>#N/A</v>
      </c>
      <c r="I172" s="65" t="str">
        <f>CONCATENATE(Tabla18[[#This Row],[Concatenado***]],"_",Tabla5[[#This Row],[Zona (Distrito)
&lt;&lt; Seleccionar&gt;&gt;]])</f>
        <v>Huánuco__</v>
      </c>
      <c r="J1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2" s="72" t="e">
        <f>VLOOKUP(Tabla5[[#This Row],[Tipo de Transporte Empleado
&lt;&lt; Seleccionar&gt;&gt;]],Tabla8[#All],2,0)</f>
        <v>#N/A</v>
      </c>
      <c r="L172" s="71" t="e">
        <f>#REF!+(#REF!*2)+#REF!</f>
        <v>#REF!</v>
      </c>
    </row>
    <row r="173" spans="1:12" x14ac:dyDescent="0.25">
      <c r="A173" s="328" t="e">
        <f>VLOOKUP(Tabla5[[#This Row],[Acción
&lt;&lt; Seleccionar&gt;&gt;]],TablaAccion[[#All],[Nombre_Abreviado]:[Codigo_Plan_Acción]],3,0)</f>
        <v>#N/A</v>
      </c>
      <c r="B173" s="328" t="e">
        <f>VLOOKUP(Tabla5[[#This Row],[Acción Especifica
&lt;&lt; Seleccionar&gt;&gt;]],TablaAccionEspecifica[[#All],[Nombre_Abreviado]:[Codigo_Acción]],3,0)</f>
        <v>#N/A</v>
      </c>
      <c r="C173" s="328" t="e">
        <f>CONCATENATE(Tabla18[[#This Row],[Bus_02]],"_",Tabla5[[#This Row],[Sub Acción Específica
&lt;&lt; Seleccionar&gt;&gt;]])</f>
        <v>#N/A</v>
      </c>
      <c r="D173" s="328" t="e">
        <f>VLOOKUP(Tabla18[[#This Row],[Aux_01]],TablaSubAccionEspecifica[[#All],[Concat]:[Cod_Sub_acción_especifica]],2,0)</f>
        <v>#N/A</v>
      </c>
      <c r="E173" s="328" t="e">
        <f>Tabla18[[#This Row],[Bus_03]]&amp;"_"&amp;Tabla5[[#This Row],[Tipo de Agente
&lt;&lt; Seleccionar&gt;&gt;]]</f>
        <v>#N/A</v>
      </c>
      <c r="F173" s="328" t="e">
        <f>VLOOKUP(Tabla18[[#This Row],[Concat2]],TablaPOA[[#All],[Concat]:[ConcatEspecial]],3,0)</f>
        <v>#N/A</v>
      </c>
      <c r="G173" s="65" t="str">
        <f>CONCATENATE(Registro!$A$6,"_",Tabla5[[#This Row],[Zona (Provincia)
&lt;&lt; Seleccionar&gt;&gt;]])</f>
        <v>Huánuco_</v>
      </c>
      <c r="H173" s="60" t="e">
        <f>VLOOKUP(Tabla18[[#This Row],[Concatenado***]],Tabla2[[#All],[Concatenado]:[Simbología*]],2,0)</f>
        <v>#N/A</v>
      </c>
      <c r="I173" s="65" t="str">
        <f>CONCATENATE(Tabla18[[#This Row],[Concatenado***]],"_",Tabla5[[#This Row],[Zona (Distrito)
&lt;&lt; Seleccionar&gt;&gt;]])</f>
        <v>Huánuco__</v>
      </c>
      <c r="J1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3" s="72" t="e">
        <f>VLOOKUP(Tabla5[[#This Row],[Tipo de Transporte Empleado
&lt;&lt; Seleccionar&gt;&gt;]],Tabla8[#All],2,0)</f>
        <v>#N/A</v>
      </c>
      <c r="L173" s="71" t="e">
        <f>#REF!+(#REF!*2)+#REF!</f>
        <v>#REF!</v>
      </c>
    </row>
    <row r="174" spans="1:12" x14ac:dyDescent="0.25">
      <c r="A174" s="328" t="e">
        <f>VLOOKUP(Tabla5[[#This Row],[Acción
&lt;&lt; Seleccionar&gt;&gt;]],TablaAccion[[#All],[Nombre_Abreviado]:[Codigo_Plan_Acción]],3,0)</f>
        <v>#N/A</v>
      </c>
      <c r="B174" s="328" t="e">
        <f>VLOOKUP(Tabla5[[#This Row],[Acción Especifica
&lt;&lt; Seleccionar&gt;&gt;]],TablaAccionEspecifica[[#All],[Nombre_Abreviado]:[Codigo_Acción]],3,0)</f>
        <v>#N/A</v>
      </c>
      <c r="C174" s="328" t="e">
        <f>CONCATENATE(Tabla18[[#This Row],[Bus_02]],"_",Tabla5[[#This Row],[Sub Acción Específica
&lt;&lt; Seleccionar&gt;&gt;]])</f>
        <v>#N/A</v>
      </c>
      <c r="D174" s="328" t="e">
        <f>VLOOKUP(Tabla18[[#This Row],[Aux_01]],TablaSubAccionEspecifica[[#All],[Concat]:[Cod_Sub_acción_especifica]],2,0)</f>
        <v>#N/A</v>
      </c>
      <c r="E174" s="328" t="e">
        <f>Tabla18[[#This Row],[Bus_03]]&amp;"_"&amp;Tabla5[[#This Row],[Tipo de Agente
&lt;&lt; Seleccionar&gt;&gt;]]</f>
        <v>#N/A</v>
      </c>
      <c r="F174" s="328" t="e">
        <f>VLOOKUP(Tabla18[[#This Row],[Concat2]],TablaPOA[[#All],[Concat]:[ConcatEspecial]],3,0)</f>
        <v>#N/A</v>
      </c>
      <c r="G174" s="65" t="str">
        <f>CONCATENATE(Registro!$A$6,"_",Tabla5[[#This Row],[Zona (Provincia)
&lt;&lt; Seleccionar&gt;&gt;]])</f>
        <v>Huánuco_</v>
      </c>
      <c r="H174" s="60" t="e">
        <f>VLOOKUP(Tabla18[[#This Row],[Concatenado***]],Tabla2[[#All],[Concatenado]:[Simbología*]],2,0)</f>
        <v>#N/A</v>
      </c>
      <c r="I174" s="65" t="str">
        <f>CONCATENATE(Tabla18[[#This Row],[Concatenado***]],"_",Tabla5[[#This Row],[Zona (Distrito)
&lt;&lt; Seleccionar&gt;&gt;]])</f>
        <v>Huánuco__</v>
      </c>
      <c r="J1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4" s="72" t="e">
        <f>VLOOKUP(Tabla5[[#This Row],[Tipo de Transporte Empleado
&lt;&lt; Seleccionar&gt;&gt;]],Tabla8[#All],2,0)</f>
        <v>#N/A</v>
      </c>
      <c r="L174" s="71" t="e">
        <f>#REF!+(#REF!*2)+#REF!</f>
        <v>#REF!</v>
      </c>
    </row>
    <row r="175" spans="1:12" x14ac:dyDescent="0.25">
      <c r="A175" s="328" t="e">
        <f>VLOOKUP(Tabla5[[#This Row],[Acción
&lt;&lt; Seleccionar&gt;&gt;]],TablaAccion[[#All],[Nombre_Abreviado]:[Codigo_Plan_Acción]],3,0)</f>
        <v>#N/A</v>
      </c>
      <c r="B175" s="328" t="e">
        <f>VLOOKUP(Tabla5[[#This Row],[Acción Especifica
&lt;&lt; Seleccionar&gt;&gt;]],TablaAccionEspecifica[[#All],[Nombre_Abreviado]:[Codigo_Acción]],3,0)</f>
        <v>#N/A</v>
      </c>
      <c r="C175" s="328" t="e">
        <f>CONCATENATE(Tabla18[[#This Row],[Bus_02]],"_",Tabla5[[#This Row],[Sub Acción Específica
&lt;&lt; Seleccionar&gt;&gt;]])</f>
        <v>#N/A</v>
      </c>
      <c r="D175" s="328" t="e">
        <f>VLOOKUP(Tabla18[[#This Row],[Aux_01]],TablaSubAccionEspecifica[[#All],[Concat]:[Cod_Sub_acción_especifica]],2,0)</f>
        <v>#N/A</v>
      </c>
      <c r="E175" s="328" t="e">
        <f>Tabla18[[#This Row],[Bus_03]]&amp;"_"&amp;Tabla5[[#This Row],[Tipo de Agente
&lt;&lt; Seleccionar&gt;&gt;]]</f>
        <v>#N/A</v>
      </c>
      <c r="F175" s="328" t="e">
        <f>VLOOKUP(Tabla18[[#This Row],[Concat2]],TablaPOA[[#All],[Concat]:[ConcatEspecial]],3,0)</f>
        <v>#N/A</v>
      </c>
      <c r="G175" s="65" t="str">
        <f>CONCATENATE(Registro!$A$6,"_",Tabla5[[#This Row],[Zona (Provincia)
&lt;&lt; Seleccionar&gt;&gt;]])</f>
        <v>Huánuco_</v>
      </c>
      <c r="H175" s="60" t="e">
        <f>VLOOKUP(Tabla18[[#This Row],[Concatenado***]],Tabla2[[#All],[Concatenado]:[Simbología*]],2,0)</f>
        <v>#N/A</v>
      </c>
      <c r="I175" s="65" t="str">
        <f>CONCATENATE(Tabla18[[#This Row],[Concatenado***]],"_",Tabla5[[#This Row],[Zona (Distrito)
&lt;&lt; Seleccionar&gt;&gt;]])</f>
        <v>Huánuco__</v>
      </c>
      <c r="J1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5" s="72" t="e">
        <f>VLOOKUP(Tabla5[[#This Row],[Tipo de Transporte Empleado
&lt;&lt; Seleccionar&gt;&gt;]],Tabla8[#All],2,0)</f>
        <v>#N/A</v>
      </c>
      <c r="L175" s="71" t="e">
        <f>#REF!+(#REF!*2)+#REF!</f>
        <v>#REF!</v>
      </c>
    </row>
    <row r="176" spans="1:12" x14ac:dyDescent="0.25">
      <c r="A176" s="328" t="e">
        <f>VLOOKUP(Tabla5[[#This Row],[Acción
&lt;&lt; Seleccionar&gt;&gt;]],TablaAccion[[#All],[Nombre_Abreviado]:[Codigo_Plan_Acción]],3,0)</f>
        <v>#N/A</v>
      </c>
      <c r="B176" s="328" t="e">
        <f>VLOOKUP(Tabla5[[#This Row],[Acción Especifica
&lt;&lt; Seleccionar&gt;&gt;]],TablaAccionEspecifica[[#All],[Nombre_Abreviado]:[Codigo_Acción]],3,0)</f>
        <v>#N/A</v>
      </c>
      <c r="C176" s="328" t="e">
        <f>CONCATENATE(Tabla18[[#This Row],[Bus_02]],"_",Tabla5[[#This Row],[Sub Acción Específica
&lt;&lt; Seleccionar&gt;&gt;]])</f>
        <v>#N/A</v>
      </c>
      <c r="D176" s="328" t="e">
        <f>VLOOKUP(Tabla18[[#This Row],[Aux_01]],TablaSubAccionEspecifica[[#All],[Concat]:[Cod_Sub_acción_especifica]],2,0)</f>
        <v>#N/A</v>
      </c>
      <c r="E176" s="328" t="e">
        <f>Tabla18[[#This Row],[Bus_03]]&amp;"_"&amp;Tabla5[[#This Row],[Tipo de Agente
&lt;&lt; Seleccionar&gt;&gt;]]</f>
        <v>#N/A</v>
      </c>
      <c r="F176" s="328" t="e">
        <f>VLOOKUP(Tabla18[[#This Row],[Concat2]],TablaPOA[[#All],[Concat]:[ConcatEspecial]],3,0)</f>
        <v>#N/A</v>
      </c>
      <c r="G176" s="65" t="str">
        <f>CONCATENATE(Registro!$A$6,"_",Tabla5[[#This Row],[Zona (Provincia)
&lt;&lt; Seleccionar&gt;&gt;]])</f>
        <v>Huánuco_</v>
      </c>
      <c r="H176" s="60" t="e">
        <f>VLOOKUP(Tabla18[[#This Row],[Concatenado***]],Tabla2[[#All],[Concatenado]:[Simbología*]],2,0)</f>
        <v>#N/A</v>
      </c>
      <c r="I176" s="65" t="str">
        <f>CONCATENATE(Tabla18[[#This Row],[Concatenado***]],"_",Tabla5[[#This Row],[Zona (Distrito)
&lt;&lt; Seleccionar&gt;&gt;]])</f>
        <v>Huánuco__</v>
      </c>
      <c r="J1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6" s="72" t="e">
        <f>VLOOKUP(Tabla5[[#This Row],[Tipo de Transporte Empleado
&lt;&lt; Seleccionar&gt;&gt;]],Tabla8[#All],2,0)</f>
        <v>#N/A</v>
      </c>
      <c r="L176" s="71" t="e">
        <f>#REF!+(#REF!*2)+#REF!</f>
        <v>#REF!</v>
      </c>
    </row>
    <row r="177" spans="1:12" x14ac:dyDescent="0.25">
      <c r="A177" s="328" t="e">
        <f>VLOOKUP(Tabla5[[#This Row],[Acción
&lt;&lt; Seleccionar&gt;&gt;]],TablaAccion[[#All],[Nombre_Abreviado]:[Codigo_Plan_Acción]],3,0)</f>
        <v>#N/A</v>
      </c>
      <c r="B177" s="328" t="e">
        <f>VLOOKUP(Tabla5[[#This Row],[Acción Especifica
&lt;&lt; Seleccionar&gt;&gt;]],TablaAccionEspecifica[[#All],[Nombre_Abreviado]:[Codigo_Acción]],3,0)</f>
        <v>#N/A</v>
      </c>
      <c r="C177" s="328" t="e">
        <f>CONCATENATE(Tabla18[[#This Row],[Bus_02]],"_",Tabla5[[#This Row],[Sub Acción Específica
&lt;&lt; Seleccionar&gt;&gt;]])</f>
        <v>#N/A</v>
      </c>
      <c r="D177" s="328" t="e">
        <f>VLOOKUP(Tabla18[[#This Row],[Aux_01]],TablaSubAccionEspecifica[[#All],[Concat]:[Cod_Sub_acción_especifica]],2,0)</f>
        <v>#N/A</v>
      </c>
      <c r="E177" s="328" t="e">
        <f>Tabla18[[#This Row],[Bus_03]]&amp;"_"&amp;Tabla5[[#This Row],[Tipo de Agente
&lt;&lt; Seleccionar&gt;&gt;]]</f>
        <v>#N/A</v>
      </c>
      <c r="F177" s="328" t="e">
        <f>VLOOKUP(Tabla18[[#This Row],[Concat2]],TablaPOA[[#All],[Concat]:[ConcatEspecial]],3,0)</f>
        <v>#N/A</v>
      </c>
      <c r="G177" s="65" t="str">
        <f>CONCATENATE(Registro!$A$6,"_",Tabla5[[#This Row],[Zona (Provincia)
&lt;&lt; Seleccionar&gt;&gt;]])</f>
        <v>Huánuco_</v>
      </c>
      <c r="H177" s="60" t="e">
        <f>VLOOKUP(Tabla18[[#This Row],[Concatenado***]],Tabla2[[#All],[Concatenado]:[Simbología*]],2,0)</f>
        <v>#N/A</v>
      </c>
      <c r="I177" s="65" t="str">
        <f>CONCATENATE(Tabla18[[#This Row],[Concatenado***]],"_",Tabla5[[#This Row],[Zona (Distrito)
&lt;&lt; Seleccionar&gt;&gt;]])</f>
        <v>Huánuco__</v>
      </c>
      <c r="J1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7" s="72" t="e">
        <f>VLOOKUP(Tabla5[[#This Row],[Tipo de Transporte Empleado
&lt;&lt; Seleccionar&gt;&gt;]],Tabla8[#All],2,0)</f>
        <v>#N/A</v>
      </c>
      <c r="L177" s="71" t="e">
        <f>#REF!+(#REF!*2)+#REF!</f>
        <v>#REF!</v>
      </c>
    </row>
    <row r="178" spans="1:12" x14ac:dyDescent="0.25">
      <c r="A178" s="328" t="e">
        <f>VLOOKUP(Tabla5[[#This Row],[Acción
&lt;&lt; Seleccionar&gt;&gt;]],TablaAccion[[#All],[Nombre_Abreviado]:[Codigo_Plan_Acción]],3,0)</f>
        <v>#N/A</v>
      </c>
      <c r="B178" s="328" t="e">
        <f>VLOOKUP(Tabla5[[#This Row],[Acción Especifica
&lt;&lt; Seleccionar&gt;&gt;]],TablaAccionEspecifica[[#All],[Nombre_Abreviado]:[Codigo_Acción]],3,0)</f>
        <v>#N/A</v>
      </c>
      <c r="C178" s="328" t="e">
        <f>CONCATENATE(Tabla18[[#This Row],[Bus_02]],"_",Tabla5[[#This Row],[Sub Acción Específica
&lt;&lt; Seleccionar&gt;&gt;]])</f>
        <v>#N/A</v>
      </c>
      <c r="D178" s="328" t="e">
        <f>VLOOKUP(Tabla18[[#This Row],[Aux_01]],TablaSubAccionEspecifica[[#All],[Concat]:[Cod_Sub_acción_especifica]],2,0)</f>
        <v>#N/A</v>
      </c>
      <c r="E178" s="328" t="e">
        <f>Tabla18[[#This Row],[Bus_03]]&amp;"_"&amp;Tabla5[[#This Row],[Tipo de Agente
&lt;&lt; Seleccionar&gt;&gt;]]</f>
        <v>#N/A</v>
      </c>
      <c r="F178" s="328" t="e">
        <f>VLOOKUP(Tabla18[[#This Row],[Concat2]],TablaPOA[[#All],[Concat]:[ConcatEspecial]],3,0)</f>
        <v>#N/A</v>
      </c>
      <c r="G178" s="65" t="str">
        <f>CONCATENATE(Registro!$A$6,"_",Tabla5[[#This Row],[Zona (Provincia)
&lt;&lt; Seleccionar&gt;&gt;]])</f>
        <v>Huánuco_</v>
      </c>
      <c r="H178" s="60" t="e">
        <f>VLOOKUP(Tabla18[[#This Row],[Concatenado***]],Tabla2[[#All],[Concatenado]:[Simbología*]],2,0)</f>
        <v>#N/A</v>
      </c>
      <c r="I178" s="65" t="str">
        <f>CONCATENATE(Tabla18[[#This Row],[Concatenado***]],"_",Tabla5[[#This Row],[Zona (Distrito)
&lt;&lt; Seleccionar&gt;&gt;]])</f>
        <v>Huánuco__</v>
      </c>
      <c r="J1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8" s="72" t="e">
        <f>VLOOKUP(Tabla5[[#This Row],[Tipo de Transporte Empleado
&lt;&lt; Seleccionar&gt;&gt;]],Tabla8[#All],2,0)</f>
        <v>#N/A</v>
      </c>
      <c r="L178" s="71" t="e">
        <f>#REF!+(#REF!*2)+#REF!</f>
        <v>#REF!</v>
      </c>
    </row>
    <row r="179" spans="1:12" x14ac:dyDescent="0.25">
      <c r="A179" s="328" t="e">
        <f>VLOOKUP(Tabla5[[#This Row],[Acción
&lt;&lt; Seleccionar&gt;&gt;]],TablaAccion[[#All],[Nombre_Abreviado]:[Codigo_Plan_Acción]],3,0)</f>
        <v>#N/A</v>
      </c>
      <c r="B179" s="328" t="e">
        <f>VLOOKUP(Tabla5[[#This Row],[Acción Especifica
&lt;&lt; Seleccionar&gt;&gt;]],TablaAccionEspecifica[[#All],[Nombre_Abreviado]:[Codigo_Acción]],3,0)</f>
        <v>#N/A</v>
      </c>
      <c r="C179" s="328" t="e">
        <f>CONCATENATE(Tabla18[[#This Row],[Bus_02]],"_",Tabla5[[#This Row],[Sub Acción Específica
&lt;&lt; Seleccionar&gt;&gt;]])</f>
        <v>#N/A</v>
      </c>
      <c r="D179" s="328" t="e">
        <f>VLOOKUP(Tabla18[[#This Row],[Aux_01]],TablaSubAccionEspecifica[[#All],[Concat]:[Cod_Sub_acción_especifica]],2,0)</f>
        <v>#N/A</v>
      </c>
      <c r="E179" s="328" t="e">
        <f>Tabla18[[#This Row],[Bus_03]]&amp;"_"&amp;Tabla5[[#This Row],[Tipo de Agente
&lt;&lt; Seleccionar&gt;&gt;]]</f>
        <v>#N/A</v>
      </c>
      <c r="F179" s="328" t="e">
        <f>VLOOKUP(Tabla18[[#This Row],[Concat2]],TablaPOA[[#All],[Concat]:[ConcatEspecial]],3,0)</f>
        <v>#N/A</v>
      </c>
      <c r="G179" s="65" t="str">
        <f>CONCATENATE(Registro!$A$6,"_",Tabla5[[#This Row],[Zona (Provincia)
&lt;&lt; Seleccionar&gt;&gt;]])</f>
        <v>Huánuco_</v>
      </c>
      <c r="H179" s="60" t="e">
        <f>VLOOKUP(Tabla18[[#This Row],[Concatenado***]],Tabla2[[#All],[Concatenado]:[Simbología*]],2,0)</f>
        <v>#N/A</v>
      </c>
      <c r="I179" s="65" t="str">
        <f>CONCATENATE(Tabla18[[#This Row],[Concatenado***]],"_",Tabla5[[#This Row],[Zona (Distrito)
&lt;&lt; Seleccionar&gt;&gt;]])</f>
        <v>Huánuco__</v>
      </c>
      <c r="J1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9" s="72" t="e">
        <f>VLOOKUP(Tabla5[[#This Row],[Tipo de Transporte Empleado
&lt;&lt; Seleccionar&gt;&gt;]],Tabla8[#All],2,0)</f>
        <v>#N/A</v>
      </c>
      <c r="L179" s="71" t="e">
        <f>#REF!+(#REF!*2)+#REF!</f>
        <v>#REF!</v>
      </c>
    </row>
    <row r="180" spans="1:12" x14ac:dyDescent="0.25">
      <c r="A180" s="328" t="e">
        <f>VLOOKUP(Tabla5[[#This Row],[Acción
&lt;&lt; Seleccionar&gt;&gt;]],TablaAccion[[#All],[Nombre_Abreviado]:[Codigo_Plan_Acción]],3,0)</f>
        <v>#N/A</v>
      </c>
      <c r="B180" s="328" t="e">
        <f>VLOOKUP(Tabla5[[#This Row],[Acción Especifica
&lt;&lt; Seleccionar&gt;&gt;]],TablaAccionEspecifica[[#All],[Nombre_Abreviado]:[Codigo_Acción]],3,0)</f>
        <v>#N/A</v>
      </c>
      <c r="C180" s="328" t="e">
        <f>CONCATENATE(Tabla18[[#This Row],[Bus_02]],"_",Tabla5[[#This Row],[Sub Acción Específica
&lt;&lt; Seleccionar&gt;&gt;]])</f>
        <v>#N/A</v>
      </c>
      <c r="D180" s="328" t="e">
        <f>VLOOKUP(Tabla18[[#This Row],[Aux_01]],TablaSubAccionEspecifica[[#All],[Concat]:[Cod_Sub_acción_especifica]],2,0)</f>
        <v>#N/A</v>
      </c>
      <c r="E180" s="328" t="e">
        <f>Tabla18[[#This Row],[Bus_03]]&amp;"_"&amp;Tabla5[[#This Row],[Tipo de Agente
&lt;&lt; Seleccionar&gt;&gt;]]</f>
        <v>#N/A</v>
      </c>
      <c r="F180" s="328" t="e">
        <f>VLOOKUP(Tabla18[[#This Row],[Concat2]],TablaPOA[[#All],[Concat]:[ConcatEspecial]],3,0)</f>
        <v>#N/A</v>
      </c>
      <c r="G180" s="65" t="str">
        <f>CONCATENATE(Registro!$A$6,"_",Tabla5[[#This Row],[Zona (Provincia)
&lt;&lt; Seleccionar&gt;&gt;]])</f>
        <v>Huánuco_</v>
      </c>
      <c r="H180" s="60" t="e">
        <f>VLOOKUP(Tabla18[[#This Row],[Concatenado***]],Tabla2[[#All],[Concatenado]:[Simbología*]],2,0)</f>
        <v>#N/A</v>
      </c>
      <c r="I180" s="65" t="str">
        <f>CONCATENATE(Tabla18[[#This Row],[Concatenado***]],"_",Tabla5[[#This Row],[Zona (Distrito)
&lt;&lt; Seleccionar&gt;&gt;]])</f>
        <v>Huánuco__</v>
      </c>
      <c r="J1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0" s="72" t="e">
        <f>VLOOKUP(Tabla5[[#This Row],[Tipo de Transporte Empleado
&lt;&lt; Seleccionar&gt;&gt;]],Tabla8[#All],2,0)</f>
        <v>#N/A</v>
      </c>
      <c r="L180" s="71" t="e">
        <f>#REF!+(#REF!*2)+#REF!</f>
        <v>#REF!</v>
      </c>
    </row>
    <row r="181" spans="1:12" x14ac:dyDescent="0.25">
      <c r="A181" s="328" t="e">
        <f>VLOOKUP(Tabla5[[#This Row],[Acción
&lt;&lt; Seleccionar&gt;&gt;]],TablaAccion[[#All],[Nombre_Abreviado]:[Codigo_Plan_Acción]],3,0)</f>
        <v>#N/A</v>
      </c>
      <c r="B181" s="328" t="e">
        <f>VLOOKUP(Tabla5[[#This Row],[Acción Especifica
&lt;&lt; Seleccionar&gt;&gt;]],TablaAccionEspecifica[[#All],[Nombre_Abreviado]:[Codigo_Acción]],3,0)</f>
        <v>#N/A</v>
      </c>
      <c r="C181" s="328" t="e">
        <f>CONCATENATE(Tabla18[[#This Row],[Bus_02]],"_",Tabla5[[#This Row],[Sub Acción Específica
&lt;&lt; Seleccionar&gt;&gt;]])</f>
        <v>#N/A</v>
      </c>
      <c r="D181" s="328" t="e">
        <f>VLOOKUP(Tabla18[[#This Row],[Aux_01]],TablaSubAccionEspecifica[[#All],[Concat]:[Cod_Sub_acción_especifica]],2,0)</f>
        <v>#N/A</v>
      </c>
      <c r="E181" s="328" t="e">
        <f>Tabla18[[#This Row],[Bus_03]]&amp;"_"&amp;Tabla5[[#This Row],[Tipo de Agente
&lt;&lt; Seleccionar&gt;&gt;]]</f>
        <v>#N/A</v>
      </c>
      <c r="F181" s="328" t="e">
        <f>VLOOKUP(Tabla18[[#This Row],[Concat2]],TablaPOA[[#All],[Concat]:[ConcatEspecial]],3,0)</f>
        <v>#N/A</v>
      </c>
      <c r="G181" s="65" t="str">
        <f>CONCATENATE(Registro!$A$6,"_",Tabla5[[#This Row],[Zona (Provincia)
&lt;&lt; Seleccionar&gt;&gt;]])</f>
        <v>Huánuco_</v>
      </c>
      <c r="H181" s="60" t="e">
        <f>VLOOKUP(Tabla18[[#This Row],[Concatenado***]],Tabla2[[#All],[Concatenado]:[Simbología*]],2,0)</f>
        <v>#N/A</v>
      </c>
      <c r="I181" s="65" t="str">
        <f>CONCATENATE(Tabla18[[#This Row],[Concatenado***]],"_",Tabla5[[#This Row],[Zona (Distrito)
&lt;&lt; Seleccionar&gt;&gt;]])</f>
        <v>Huánuco__</v>
      </c>
      <c r="J1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1" s="72" t="e">
        <f>VLOOKUP(Tabla5[[#This Row],[Tipo de Transporte Empleado
&lt;&lt; Seleccionar&gt;&gt;]],Tabla8[#All],2,0)</f>
        <v>#N/A</v>
      </c>
      <c r="L181" s="71" t="e">
        <f>#REF!+(#REF!*2)+#REF!</f>
        <v>#REF!</v>
      </c>
    </row>
    <row r="182" spans="1:12" x14ac:dyDescent="0.25">
      <c r="A182" s="328" t="e">
        <f>VLOOKUP(Tabla5[[#This Row],[Acción
&lt;&lt; Seleccionar&gt;&gt;]],TablaAccion[[#All],[Nombre_Abreviado]:[Codigo_Plan_Acción]],3,0)</f>
        <v>#N/A</v>
      </c>
      <c r="B182" s="328" t="e">
        <f>VLOOKUP(Tabla5[[#This Row],[Acción Especifica
&lt;&lt; Seleccionar&gt;&gt;]],TablaAccionEspecifica[[#All],[Nombre_Abreviado]:[Codigo_Acción]],3,0)</f>
        <v>#N/A</v>
      </c>
      <c r="C182" s="328" t="e">
        <f>CONCATENATE(Tabla18[[#This Row],[Bus_02]],"_",Tabla5[[#This Row],[Sub Acción Específica
&lt;&lt; Seleccionar&gt;&gt;]])</f>
        <v>#N/A</v>
      </c>
      <c r="D182" s="328" t="e">
        <f>VLOOKUP(Tabla18[[#This Row],[Aux_01]],TablaSubAccionEspecifica[[#All],[Concat]:[Cod_Sub_acción_especifica]],2,0)</f>
        <v>#N/A</v>
      </c>
      <c r="E182" s="328" t="e">
        <f>Tabla18[[#This Row],[Bus_03]]&amp;"_"&amp;Tabla5[[#This Row],[Tipo de Agente
&lt;&lt; Seleccionar&gt;&gt;]]</f>
        <v>#N/A</v>
      </c>
      <c r="F182" s="328" t="e">
        <f>VLOOKUP(Tabla18[[#This Row],[Concat2]],TablaPOA[[#All],[Concat]:[ConcatEspecial]],3,0)</f>
        <v>#N/A</v>
      </c>
      <c r="G182" s="65" t="str">
        <f>CONCATENATE(Registro!$A$6,"_",Tabla5[[#This Row],[Zona (Provincia)
&lt;&lt; Seleccionar&gt;&gt;]])</f>
        <v>Huánuco_</v>
      </c>
      <c r="H182" s="60" t="e">
        <f>VLOOKUP(Tabla18[[#This Row],[Concatenado***]],Tabla2[[#All],[Concatenado]:[Simbología*]],2,0)</f>
        <v>#N/A</v>
      </c>
      <c r="I182" s="65" t="str">
        <f>CONCATENATE(Tabla18[[#This Row],[Concatenado***]],"_",Tabla5[[#This Row],[Zona (Distrito)
&lt;&lt; Seleccionar&gt;&gt;]])</f>
        <v>Huánuco__</v>
      </c>
      <c r="J1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2" s="72" t="e">
        <f>VLOOKUP(Tabla5[[#This Row],[Tipo de Transporte Empleado
&lt;&lt; Seleccionar&gt;&gt;]],Tabla8[#All],2,0)</f>
        <v>#N/A</v>
      </c>
      <c r="L182" s="71" t="e">
        <f>#REF!+(#REF!*2)+#REF!</f>
        <v>#REF!</v>
      </c>
    </row>
    <row r="183" spans="1:12" x14ac:dyDescent="0.25">
      <c r="A183" s="328" t="e">
        <f>VLOOKUP(Tabla5[[#This Row],[Acción
&lt;&lt; Seleccionar&gt;&gt;]],TablaAccion[[#All],[Nombre_Abreviado]:[Codigo_Plan_Acción]],3,0)</f>
        <v>#N/A</v>
      </c>
      <c r="B183" s="328" t="e">
        <f>VLOOKUP(Tabla5[[#This Row],[Acción Especifica
&lt;&lt; Seleccionar&gt;&gt;]],TablaAccionEspecifica[[#All],[Nombre_Abreviado]:[Codigo_Acción]],3,0)</f>
        <v>#N/A</v>
      </c>
      <c r="C183" s="328" t="e">
        <f>CONCATENATE(Tabla18[[#This Row],[Bus_02]],"_",Tabla5[[#This Row],[Sub Acción Específica
&lt;&lt; Seleccionar&gt;&gt;]])</f>
        <v>#N/A</v>
      </c>
      <c r="D183" s="328" t="e">
        <f>VLOOKUP(Tabla18[[#This Row],[Aux_01]],TablaSubAccionEspecifica[[#All],[Concat]:[Cod_Sub_acción_especifica]],2,0)</f>
        <v>#N/A</v>
      </c>
      <c r="E183" s="328" t="e">
        <f>Tabla18[[#This Row],[Bus_03]]&amp;"_"&amp;Tabla5[[#This Row],[Tipo de Agente
&lt;&lt; Seleccionar&gt;&gt;]]</f>
        <v>#N/A</v>
      </c>
      <c r="F183" s="328" t="e">
        <f>VLOOKUP(Tabla18[[#This Row],[Concat2]],TablaPOA[[#All],[Concat]:[ConcatEspecial]],3,0)</f>
        <v>#N/A</v>
      </c>
      <c r="G183" s="65" t="str">
        <f>CONCATENATE(Registro!$A$6,"_",Tabla5[[#This Row],[Zona (Provincia)
&lt;&lt; Seleccionar&gt;&gt;]])</f>
        <v>Huánuco_</v>
      </c>
      <c r="H183" s="60" t="e">
        <f>VLOOKUP(Tabla18[[#This Row],[Concatenado***]],Tabla2[[#All],[Concatenado]:[Simbología*]],2,0)</f>
        <v>#N/A</v>
      </c>
      <c r="I183" s="65" t="str">
        <f>CONCATENATE(Tabla18[[#This Row],[Concatenado***]],"_",Tabla5[[#This Row],[Zona (Distrito)
&lt;&lt; Seleccionar&gt;&gt;]])</f>
        <v>Huánuco__</v>
      </c>
      <c r="J1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3" s="72" t="e">
        <f>VLOOKUP(Tabla5[[#This Row],[Tipo de Transporte Empleado
&lt;&lt; Seleccionar&gt;&gt;]],Tabla8[#All],2,0)</f>
        <v>#N/A</v>
      </c>
      <c r="L183" s="71" t="e">
        <f>#REF!+(#REF!*2)+#REF!</f>
        <v>#REF!</v>
      </c>
    </row>
    <row r="184" spans="1:12" x14ac:dyDescent="0.25">
      <c r="A184" s="328" t="e">
        <f>VLOOKUP(Tabla5[[#This Row],[Acción
&lt;&lt; Seleccionar&gt;&gt;]],TablaAccion[[#All],[Nombre_Abreviado]:[Codigo_Plan_Acción]],3,0)</f>
        <v>#N/A</v>
      </c>
      <c r="B184" s="328" t="e">
        <f>VLOOKUP(Tabla5[[#This Row],[Acción Especifica
&lt;&lt; Seleccionar&gt;&gt;]],TablaAccionEspecifica[[#All],[Nombre_Abreviado]:[Codigo_Acción]],3,0)</f>
        <v>#N/A</v>
      </c>
      <c r="C184" s="328" t="e">
        <f>CONCATENATE(Tabla18[[#This Row],[Bus_02]],"_",Tabla5[[#This Row],[Sub Acción Específica
&lt;&lt; Seleccionar&gt;&gt;]])</f>
        <v>#N/A</v>
      </c>
      <c r="D184" s="328" t="e">
        <f>VLOOKUP(Tabla18[[#This Row],[Aux_01]],TablaSubAccionEspecifica[[#All],[Concat]:[Cod_Sub_acción_especifica]],2,0)</f>
        <v>#N/A</v>
      </c>
      <c r="E184" s="328" t="e">
        <f>Tabla18[[#This Row],[Bus_03]]&amp;"_"&amp;Tabla5[[#This Row],[Tipo de Agente
&lt;&lt; Seleccionar&gt;&gt;]]</f>
        <v>#N/A</v>
      </c>
      <c r="F184" s="328" t="e">
        <f>VLOOKUP(Tabla18[[#This Row],[Concat2]],TablaPOA[[#All],[Concat]:[ConcatEspecial]],3,0)</f>
        <v>#N/A</v>
      </c>
      <c r="G184" s="65" t="str">
        <f>CONCATENATE(Registro!$A$6,"_",Tabla5[[#This Row],[Zona (Provincia)
&lt;&lt; Seleccionar&gt;&gt;]])</f>
        <v>Huánuco_</v>
      </c>
      <c r="H184" s="60" t="e">
        <f>VLOOKUP(Tabla18[[#This Row],[Concatenado***]],Tabla2[[#All],[Concatenado]:[Simbología*]],2,0)</f>
        <v>#N/A</v>
      </c>
      <c r="I184" s="65" t="str">
        <f>CONCATENATE(Tabla18[[#This Row],[Concatenado***]],"_",Tabla5[[#This Row],[Zona (Distrito)
&lt;&lt; Seleccionar&gt;&gt;]])</f>
        <v>Huánuco__</v>
      </c>
      <c r="J1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4" s="72" t="e">
        <f>VLOOKUP(Tabla5[[#This Row],[Tipo de Transporte Empleado
&lt;&lt; Seleccionar&gt;&gt;]],Tabla8[#All],2,0)</f>
        <v>#N/A</v>
      </c>
      <c r="L184" s="71" t="e">
        <f>#REF!+(#REF!*2)+#REF!</f>
        <v>#REF!</v>
      </c>
    </row>
    <row r="185" spans="1:12" x14ac:dyDescent="0.25">
      <c r="A185" s="328" t="e">
        <f>VLOOKUP(Tabla5[[#This Row],[Acción
&lt;&lt; Seleccionar&gt;&gt;]],TablaAccion[[#All],[Nombre_Abreviado]:[Codigo_Plan_Acción]],3,0)</f>
        <v>#N/A</v>
      </c>
      <c r="B185" s="328" t="e">
        <f>VLOOKUP(Tabla5[[#This Row],[Acción Especifica
&lt;&lt; Seleccionar&gt;&gt;]],TablaAccionEspecifica[[#All],[Nombre_Abreviado]:[Codigo_Acción]],3,0)</f>
        <v>#N/A</v>
      </c>
      <c r="C185" s="328" t="e">
        <f>CONCATENATE(Tabla18[[#This Row],[Bus_02]],"_",Tabla5[[#This Row],[Sub Acción Específica
&lt;&lt; Seleccionar&gt;&gt;]])</f>
        <v>#N/A</v>
      </c>
      <c r="D185" s="328" t="e">
        <f>VLOOKUP(Tabla18[[#This Row],[Aux_01]],TablaSubAccionEspecifica[[#All],[Concat]:[Cod_Sub_acción_especifica]],2,0)</f>
        <v>#N/A</v>
      </c>
      <c r="E185" s="328" t="e">
        <f>Tabla18[[#This Row],[Bus_03]]&amp;"_"&amp;Tabla5[[#This Row],[Tipo de Agente
&lt;&lt; Seleccionar&gt;&gt;]]</f>
        <v>#N/A</v>
      </c>
      <c r="F185" s="328" t="e">
        <f>VLOOKUP(Tabla18[[#This Row],[Concat2]],TablaPOA[[#All],[Concat]:[ConcatEspecial]],3,0)</f>
        <v>#N/A</v>
      </c>
      <c r="G185" s="65" t="str">
        <f>CONCATENATE(Registro!$A$6,"_",Tabla5[[#This Row],[Zona (Provincia)
&lt;&lt; Seleccionar&gt;&gt;]])</f>
        <v>Huánuco_</v>
      </c>
      <c r="H185" s="60" t="e">
        <f>VLOOKUP(Tabla18[[#This Row],[Concatenado***]],Tabla2[[#All],[Concatenado]:[Simbología*]],2,0)</f>
        <v>#N/A</v>
      </c>
      <c r="I185" s="65" t="str">
        <f>CONCATENATE(Tabla18[[#This Row],[Concatenado***]],"_",Tabla5[[#This Row],[Zona (Distrito)
&lt;&lt; Seleccionar&gt;&gt;]])</f>
        <v>Huánuco__</v>
      </c>
      <c r="J1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5" s="72" t="e">
        <f>VLOOKUP(Tabla5[[#This Row],[Tipo de Transporte Empleado
&lt;&lt; Seleccionar&gt;&gt;]],Tabla8[#All],2,0)</f>
        <v>#N/A</v>
      </c>
      <c r="L185" s="71" t="e">
        <f>#REF!+(#REF!*2)+#REF!</f>
        <v>#REF!</v>
      </c>
    </row>
    <row r="186" spans="1:12" x14ac:dyDescent="0.25">
      <c r="A186" s="328" t="e">
        <f>VLOOKUP(Tabla5[[#This Row],[Acción
&lt;&lt; Seleccionar&gt;&gt;]],TablaAccion[[#All],[Nombre_Abreviado]:[Codigo_Plan_Acción]],3,0)</f>
        <v>#N/A</v>
      </c>
      <c r="B186" s="328" t="e">
        <f>VLOOKUP(Tabla5[[#This Row],[Acción Especifica
&lt;&lt; Seleccionar&gt;&gt;]],TablaAccionEspecifica[[#All],[Nombre_Abreviado]:[Codigo_Acción]],3,0)</f>
        <v>#N/A</v>
      </c>
      <c r="C186" s="328" t="e">
        <f>CONCATENATE(Tabla18[[#This Row],[Bus_02]],"_",Tabla5[[#This Row],[Sub Acción Específica
&lt;&lt; Seleccionar&gt;&gt;]])</f>
        <v>#N/A</v>
      </c>
      <c r="D186" s="328" t="e">
        <f>VLOOKUP(Tabla18[[#This Row],[Aux_01]],TablaSubAccionEspecifica[[#All],[Concat]:[Cod_Sub_acción_especifica]],2,0)</f>
        <v>#N/A</v>
      </c>
      <c r="E186" s="328" t="e">
        <f>Tabla18[[#This Row],[Bus_03]]&amp;"_"&amp;Tabla5[[#This Row],[Tipo de Agente
&lt;&lt; Seleccionar&gt;&gt;]]</f>
        <v>#N/A</v>
      </c>
      <c r="F186" s="328" t="e">
        <f>VLOOKUP(Tabla18[[#This Row],[Concat2]],TablaPOA[[#All],[Concat]:[ConcatEspecial]],3,0)</f>
        <v>#N/A</v>
      </c>
      <c r="G186" s="65" t="str">
        <f>CONCATENATE(Registro!$A$6,"_",Tabla5[[#This Row],[Zona (Provincia)
&lt;&lt; Seleccionar&gt;&gt;]])</f>
        <v>Huánuco_</v>
      </c>
      <c r="H186" s="60" t="e">
        <f>VLOOKUP(Tabla18[[#This Row],[Concatenado***]],Tabla2[[#All],[Concatenado]:[Simbología*]],2,0)</f>
        <v>#N/A</v>
      </c>
      <c r="I186" s="65" t="str">
        <f>CONCATENATE(Tabla18[[#This Row],[Concatenado***]],"_",Tabla5[[#This Row],[Zona (Distrito)
&lt;&lt; Seleccionar&gt;&gt;]])</f>
        <v>Huánuco__</v>
      </c>
      <c r="J1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6" s="72" t="e">
        <f>VLOOKUP(Tabla5[[#This Row],[Tipo de Transporte Empleado
&lt;&lt; Seleccionar&gt;&gt;]],Tabla8[#All],2,0)</f>
        <v>#N/A</v>
      </c>
      <c r="L186" s="71" t="e">
        <f>#REF!+(#REF!*2)+#REF!</f>
        <v>#REF!</v>
      </c>
    </row>
    <row r="187" spans="1:12" x14ac:dyDescent="0.25">
      <c r="A187" s="328" t="e">
        <f>VLOOKUP(Tabla5[[#This Row],[Acción
&lt;&lt; Seleccionar&gt;&gt;]],TablaAccion[[#All],[Nombre_Abreviado]:[Codigo_Plan_Acción]],3,0)</f>
        <v>#N/A</v>
      </c>
      <c r="B187" s="328" t="e">
        <f>VLOOKUP(Tabla5[[#This Row],[Acción Especifica
&lt;&lt; Seleccionar&gt;&gt;]],TablaAccionEspecifica[[#All],[Nombre_Abreviado]:[Codigo_Acción]],3,0)</f>
        <v>#N/A</v>
      </c>
      <c r="C187" s="328" t="e">
        <f>CONCATENATE(Tabla18[[#This Row],[Bus_02]],"_",Tabla5[[#This Row],[Sub Acción Específica
&lt;&lt; Seleccionar&gt;&gt;]])</f>
        <v>#N/A</v>
      </c>
      <c r="D187" s="328" t="e">
        <f>VLOOKUP(Tabla18[[#This Row],[Aux_01]],TablaSubAccionEspecifica[[#All],[Concat]:[Cod_Sub_acción_especifica]],2,0)</f>
        <v>#N/A</v>
      </c>
      <c r="E187" s="328" t="e">
        <f>Tabla18[[#This Row],[Bus_03]]&amp;"_"&amp;Tabla5[[#This Row],[Tipo de Agente
&lt;&lt; Seleccionar&gt;&gt;]]</f>
        <v>#N/A</v>
      </c>
      <c r="F187" s="328" t="e">
        <f>VLOOKUP(Tabla18[[#This Row],[Concat2]],TablaPOA[[#All],[Concat]:[ConcatEspecial]],3,0)</f>
        <v>#N/A</v>
      </c>
      <c r="G187" s="65" t="str">
        <f>CONCATENATE(Registro!$A$6,"_",Tabla5[[#This Row],[Zona (Provincia)
&lt;&lt; Seleccionar&gt;&gt;]])</f>
        <v>Huánuco_</v>
      </c>
      <c r="H187" s="60" t="e">
        <f>VLOOKUP(Tabla18[[#This Row],[Concatenado***]],Tabla2[[#All],[Concatenado]:[Simbología*]],2,0)</f>
        <v>#N/A</v>
      </c>
      <c r="I187" s="65" t="str">
        <f>CONCATENATE(Tabla18[[#This Row],[Concatenado***]],"_",Tabla5[[#This Row],[Zona (Distrito)
&lt;&lt; Seleccionar&gt;&gt;]])</f>
        <v>Huánuco__</v>
      </c>
      <c r="J1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7" s="72" t="e">
        <f>VLOOKUP(Tabla5[[#This Row],[Tipo de Transporte Empleado
&lt;&lt; Seleccionar&gt;&gt;]],Tabla8[#All],2,0)</f>
        <v>#N/A</v>
      </c>
      <c r="L187" s="71" t="e">
        <f>#REF!+(#REF!*2)+#REF!</f>
        <v>#REF!</v>
      </c>
    </row>
    <row r="188" spans="1:12" x14ac:dyDescent="0.25">
      <c r="A188" s="328" t="e">
        <f>VLOOKUP(Tabla5[[#This Row],[Acción
&lt;&lt; Seleccionar&gt;&gt;]],TablaAccion[[#All],[Nombre_Abreviado]:[Codigo_Plan_Acción]],3,0)</f>
        <v>#N/A</v>
      </c>
      <c r="B188" s="328" t="e">
        <f>VLOOKUP(Tabla5[[#This Row],[Acción Especifica
&lt;&lt; Seleccionar&gt;&gt;]],TablaAccionEspecifica[[#All],[Nombre_Abreviado]:[Codigo_Acción]],3,0)</f>
        <v>#N/A</v>
      </c>
      <c r="C188" s="328" t="e">
        <f>CONCATENATE(Tabla18[[#This Row],[Bus_02]],"_",Tabla5[[#This Row],[Sub Acción Específica
&lt;&lt; Seleccionar&gt;&gt;]])</f>
        <v>#N/A</v>
      </c>
      <c r="D188" s="328" t="e">
        <f>VLOOKUP(Tabla18[[#This Row],[Aux_01]],TablaSubAccionEspecifica[[#All],[Concat]:[Cod_Sub_acción_especifica]],2,0)</f>
        <v>#N/A</v>
      </c>
      <c r="E188" s="328" t="e">
        <f>Tabla18[[#This Row],[Bus_03]]&amp;"_"&amp;Tabla5[[#This Row],[Tipo de Agente
&lt;&lt; Seleccionar&gt;&gt;]]</f>
        <v>#N/A</v>
      </c>
      <c r="F188" s="328" t="e">
        <f>VLOOKUP(Tabla18[[#This Row],[Concat2]],TablaPOA[[#All],[Concat]:[ConcatEspecial]],3,0)</f>
        <v>#N/A</v>
      </c>
      <c r="G188" s="65" t="str">
        <f>CONCATENATE(Registro!$A$6,"_",Tabla5[[#This Row],[Zona (Provincia)
&lt;&lt; Seleccionar&gt;&gt;]])</f>
        <v>Huánuco_</v>
      </c>
      <c r="H188" s="60" t="e">
        <f>VLOOKUP(Tabla18[[#This Row],[Concatenado***]],Tabla2[[#All],[Concatenado]:[Simbología*]],2,0)</f>
        <v>#N/A</v>
      </c>
      <c r="I188" s="65" t="str">
        <f>CONCATENATE(Tabla18[[#This Row],[Concatenado***]],"_",Tabla5[[#This Row],[Zona (Distrito)
&lt;&lt; Seleccionar&gt;&gt;]])</f>
        <v>Huánuco__</v>
      </c>
      <c r="J1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8" s="72" t="e">
        <f>VLOOKUP(Tabla5[[#This Row],[Tipo de Transporte Empleado
&lt;&lt; Seleccionar&gt;&gt;]],Tabla8[#All],2,0)</f>
        <v>#N/A</v>
      </c>
      <c r="L188" s="71" t="e">
        <f>#REF!+(#REF!*2)+#REF!</f>
        <v>#REF!</v>
      </c>
    </row>
    <row r="189" spans="1:12" x14ac:dyDescent="0.25">
      <c r="A189" s="328" t="e">
        <f>VLOOKUP(Tabla5[[#This Row],[Acción
&lt;&lt; Seleccionar&gt;&gt;]],TablaAccion[[#All],[Nombre_Abreviado]:[Codigo_Plan_Acción]],3,0)</f>
        <v>#N/A</v>
      </c>
      <c r="B189" s="328" t="e">
        <f>VLOOKUP(Tabla5[[#This Row],[Acción Especifica
&lt;&lt; Seleccionar&gt;&gt;]],TablaAccionEspecifica[[#All],[Nombre_Abreviado]:[Codigo_Acción]],3,0)</f>
        <v>#N/A</v>
      </c>
      <c r="C189" s="328" t="e">
        <f>CONCATENATE(Tabla18[[#This Row],[Bus_02]],"_",Tabla5[[#This Row],[Sub Acción Específica
&lt;&lt; Seleccionar&gt;&gt;]])</f>
        <v>#N/A</v>
      </c>
      <c r="D189" s="328" t="e">
        <f>VLOOKUP(Tabla18[[#This Row],[Aux_01]],TablaSubAccionEspecifica[[#All],[Concat]:[Cod_Sub_acción_especifica]],2,0)</f>
        <v>#N/A</v>
      </c>
      <c r="E189" s="328" t="e">
        <f>Tabla18[[#This Row],[Bus_03]]&amp;"_"&amp;Tabla5[[#This Row],[Tipo de Agente
&lt;&lt; Seleccionar&gt;&gt;]]</f>
        <v>#N/A</v>
      </c>
      <c r="F189" s="328" t="e">
        <f>VLOOKUP(Tabla18[[#This Row],[Concat2]],TablaPOA[[#All],[Concat]:[ConcatEspecial]],3,0)</f>
        <v>#N/A</v>
      </c>
      <c r="G189" s="65" t="str">
        <f>CONCATENATE(Registro!$A$6,"_",Tabla5[[#This Row],[Zona (Provincia)
&lt;&lt; Seleccionar&gt;&gt;]])</f>
        <v>Huánuco_</v>
      </c>
      <c r="H189" s="60" t="e">
        <f>VLOOKUP(Tabla18[[#This Row],[Concatenado***]],Tabla2[[#All],[Concatenado]:[Simbología*]],2,0)</f>
        <v>#N/A</v>
      </c>
      <c r="I189" s="65" t="str">
        <f>CONCATENATE(Tabla18[[#This Row],[Concatenado***]],"_",Tabla5[[#This Row],[Zona (Distrito)
&lt;&lt; Seleccionar&gt;&gt;]])</f>
        <v>Huánuco__</v>
      </c>
      <c r="J1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9" s="72" t="e">
        <f>VLOOKUP(Tabla5[[#This Row],[Tipo de Transporte Empleado
&lt;&lt; Seleccionar&gt;&gt;]],Tabla8[#All],2,0)</f>
        <v>#N/A</v>
      </c>
      <c r="L189" s="71" t="e">
        <f>#REF!+(#REF!*2)+#REF!</f>
        <v>#REF!</v>
      </c>
    </row>
    <row r="190" spans="1:12" x14ac:dyDescent="0.25">
      <c r="A190" s="328" t="e">
        <f>VLOOKUP(Tabla5[[#This Row],[Acción
&lt;&lt; Seleccionar&gt;&gt;]],TablaAccion[[#All],[Nombre_Abreviado]:[Codigo_Plan_Acción]],3,0)</f>
        <v>#N/A</v>
      </c>
      <c r="B190" s="328" t="e">
        <f>VLOOKUP(Tabla5[[#This Row],[Acción Especifica
&lt;&lt; Seleccionar&gt;&gt;]],TablaAccionEspecifica[[#All],[Nombre_Abreviado]:[Codigo_Acción]],3,0)</f>
        <v>#N/A</v>
      </c>
      <c r="C190" s="328" t="e">
        <f>CONCATENATE(Tabla18[[#This Row],[Bus_02]],"_",Tabla5[[#This Row],[Sub Acción Específica
&lt;&lt; Seleccionar&gt;&gt;]])</f>
        <v>#N/A</v>
      </c>
      <c r="D190" s="328" t="e">
        <f>VLOOKUP(Tabla18[[#This Row],[Aux_01]],TablaSubAccionEspecifica[[#All],[Concat]:[Cod_Sub_acción_especifica]],2,0)</f>
        <v>#N/A</v>
      </c>
      <c r="E190" s="328" t="e">
        <f>Tabla18[[#This Row],[Bus_03]]&amp;"_"&amp;Tabla5[[#This Row],[Tipo de Agente
&lt;&lt; Seleccionar&gt;&gt;]]</f>
        <v>#N/A</v>
      </c>
      <c r="F190" s="328" t="e">
        <f>VLOOKUP(Tabla18[[#This Row],[Concat2]],TablaPOA[[#All],[Concat]:[ConcatEspecial]],3,0)</f>
        <v>#N/A</v>
      </c>
      <c r="G190" s="65" t="str">
        <f>CONCATENATE(Registro!$A$6,"_",Tabla5[[#This Row],[Zona (Provincia)
&lt;&lt; Seleccionar&gt;&gt;]])</f>
        <v>Huánuco_</v>
      </c>
      <c r="H190" s="60" t="e">
        <f>VLOOKUP(Tabla18[[#This Row],[Concatenado***]],Tabla2[[#All],[Concatenado]:[Simbología*]],2,0)</f>
        <v>#N/A</v>
      </c>
      <c r="I190" s="65" t="str">
        <f>CONCATENATE(Tabla18[[#This Row],[Concatenado***]],"_",Tabla5[[#This Row],[Zona (Distrito)
&lt;&lt; Seleccionar&gt;&gt;]])</f>
        <v>Huánuco__</v>
      </c>
      <c r="J1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0" s="72" t="e">
        <f>VLOOKUP(Tabla5[[#This Row],[Tipo de Transporte Empleado
&lt;&lt; Seleccionar&gt;&gt;]],Tabla8[#All],2,0)</f>
        <v>#N/A</v>
      </c>
      <c r="L190" s="71" t="e">
        <f>#REF!+(#REF!*2)+#REF!</f>
        <v>#REF!</v>
      </c>
    </row>
    <row r="191" spans="1:12" x14ac:dyDescent="0.25">
      <c r="A191" s="328" t="e">
        <f>VLOOKUP(Tabla5[[#This Row],[Acción
&lt;&lt; Seleccionar&gt;&gt;]],TablaAccion[[#All],[Nombre_Abreviado]:[Codigo_Plan_Acción]],3,0)</f>
        <v>#N/A</v>
      </c>
      <c r="B191" s="328" t="e">
        <f>VLOOKUP(Tabla5[[#This Row],[Acción Especifica
&lt;&lt; Seleccionar&gt;&gt;]],TablaAccionEspecifica[[#All],[Nombre_Abreviado]:[Codigo_Acción]],3,0)</f>
        <v>#N/A</v>
      </c>
      <c r="C191" s="328" t="e">
        <f>CONCATENATE(Tabla18[[#This Row],[Bus_02]],"_",Tabla5[[#This Row],[Sub Acción Específica
&lt;&lt; Seleccionar&gt;&gt;]])</f>
        <v>#N/A</v>
      </c>
      <c r="D191" s="328" t="e">
        <f>VLOOKUP(Tabla18[[#This Row],[Aux_01]],TablaSubAccionEspecifica[[#All],[Concat]:[Cod_Sub_acción_especifica]],2,0)</f>
        <v>#N/A</v>
      </c>
      <c r="E191" s="328" t="e">
        <f>Tabla18[[#This Row],[Bus_03]]&amp;"_"&amp;Tabla5[[#This Row],[Tipo de Agente
&lt;&lt; Seleccionar&gt;&gt;]]</f>
        <v>#N/A</v>
      </c>
      <c r="F191" s="328" t="e">
        <f>VLOOKUP(Tabla18[[#This Row],[Concat2]],TablaPOA[[#All],[Concat]:[ConcatEspecial]],3,0)</f>
        <v>#N/A</v>
      </c>
      <c r="G191" s="65" t="str">
        <f>CONCATENATE(Registro!$A$6,"_",Tabla5[[#This Row],[Zona (Provincia)
&lt;&lt; Seleccionar&gt;&gt;]])</f>
        <v>Huánuco_</v>
      </c>
      <c r="H191" s="60" t="e">
        <f>VLOOKUP(Tabla18[[#This Row],[Concatenado***]],Tabla2[[#All],[Concatenado]:[Simbología*]],2,0)</f>
        <v>#N/A</v>
      </c>
      <c r="I191" s="65" t="str">
        <f>CONCATENATE(Tabla18[[#This Row],[Concatenado***]],"_",Tabla5[[#This Row],[Zona (Distrito)
&lt;&lt; Seleccionar&gt;&gt;]])</f>
        <v>Huánuco__</v>
      </c>
      <c r="J1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1" s="72" t="e">
        <f>VLOOKUP(Tabla5[[#This Row],[Tipo de Transporte Empleado
&lt;&lt; Seleccionar&gt;&gt;]],Tabla8[#All],2,0)</f>
        <v>#N/A</v>
      </c>
      <c r="L191" s="71" t="e">
        <f>#REF!+(#REF!*2)+#REF!</f>
        <v>#REF!</v>
      </c>
    </row>
    <row r="192" spans="1:12" x14ac:dyDescent="0.25">
      <c r="A192" s="328" t="e">
        <f>VLOOKUP(Tabla5[[#This Row],[Acción
&lt;&lt; Seleccionar&gt;&gt;]],TablaAccion[[#All],[Nombre_Abreviado]:[Codigo_Plan_Acción]],3,0)</f>
        <v>#N/A</v>
      </c>
      <c r="B192" s="328" t="e">
        <f>VLOOKUP(Tabla5[[#This Row],[Acción Especifica
&lt;&lt; Seleccionar&gt;&gt;]],TablaAccionEspecifica[[#All],[Nombre_Abreviado]:[Codigo_Acción]],3,0)</f>
        <v>#N/A</v>
      </c>
      <c r="C192" s="328" t="e">
        <f>CONCATENATE(Tabla18[[#This Row],[Bus_02]],"_",Tabla5[[#This Row],[Sub Acción Específica
&lt;&lt; Seleccionar&gt;&gt;]])</f>
        <v>#N/A</v>
      </c>
      <c r="D192" s="328" t="e">
        <f>VLOOKUP(Tabla18[[#This Row],[Aux_01]],TablaSubAccionEspecifica[[#All],[Concat]:[Cod_Sub_acción_especifica]],2,0)</f>
        <v>#N/A</v>
      </c>
      <c r="E192" s="328" t="e">
        <f>Tabla18[[#This Row],[Bus_03]]&amp;"_"&amp;Tabla5[[#This Row],[Tipo de Agente
&lt;&lt; Seleccionar&gt;&gt;]]</f>
        <v>#N/A</v>
      </c>
      <c r="F192" s="328" t="e">
        <f>VLOOKUP(Tabla18[[#This Row],[Concat2]],TablaPOA[[#All],[Concat]:[ConcatEspecial]],3,0)</f>
        <v>#N/A</v>
      </c>
      <c r="G192" s="65" t="str">
        <f>CONCATENATE(Registro!$A$6,"_",Tabla5[[#This Row],[Zona (Provincia)
&lt;&lt; Seleccionar&gt;&gt;]])</f>
        <v>Huánuco_</v>
      </c>
      <c r="H192" s="60" t="e">
        <f>VLOOKUP(Tabla18[[#This Row],[Concatenado***]],Tabla2[[#All],[Concatenado]:[Simbología*]],2,0)</f>
        <v>#N/A</v>
      </c>
      <c r="I192" s="65" t="str">
        <f>CONCATENATE(Tabla18[[#This Row],[Concatenado***]],"_",Tabla5[[#This Row],[Zona (Distrito)
&lt;&lt; Seleccionar&gt;&gt;]])</f>
        <v>Huánuco__</v>
      </c>
      <c r="J1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2" s="72" t="e">
        <f>VLOOKUP(Tabla5[[#This Row],[Tipo de Transporte Empleado
&lt;&lt; Seleccionar&gt;&gt;]],Tabla8[#All],2,0)</f>
        <v>#N/A</v>
      </c>
      <c r="L192" s="71" t="e">
        <f>#REF!+(#REF!*2)+#REF!</f>
        <v>#REF!</v>
      </c>
    </row>
    <row r="193" spans="1:12" x14ac:dyDescent="0.25">
      <c r="A193" s="328" t="e">
        <f>VLOOKUP(Tabla5[[#This Row],[Acción
&lt;&lt; Seleccionar&gt;&gt;]],TablaAccion[[#All],[Nombre_Abreviado]:[Codigo_Plan_Acción]],3,0)</f>
        <v>#N/A</v>
      </c>
      <c r="B193" s="328" t="e">
        <f>VLOOKUP(Tabla5[[#This Row],[Acción Especifica
&lt;&lt; Seleccionar&gt;&gt;]],TablaAccionEspecifica[[#All],[Nombre_Abreviado]:[Codigo_Acción]],3,0)</f>
        <v>#N/A</v>
      </c>
      <c r="C193" s="328" t="e">
        <f>CONCATENATE(Tabla18[[#This Row],[Bus_02]],"_",Tabla5[[#This Row],[Sub Acción Específica
&lt;&lt; Seleccionar&gt;&gt;]])</f>
        <v>#N/A</v>
      </c>
      <c r="D193" s="328" t="e">
        <f>VLOOKUP(Tabla18[[#This Row],[Aux_01]],TablaSubAccionEspecifica[[#All],[Concat]:[Cod_Sub_acción_especifica]],2,0)</f>
        <v>#N/A</v>
      </c>
      <c r="E193" s="328" t="e">
        <f>Tabla18[[#This Row],[Bus_03]]&amp;"_"&amp;Tabla5[[#This Row],[Tipo de Agente
&lt;&lt; Seleccionar&gt;&gt;]]</f>
        <v>#N/A</v>
      </c>
      <c r="F193" s="328" t="e">
        <f>VLOOKUP(Tabla18[[#This Row],[Concat2]],TablaPOA[[#All],[Concat]:[ConcatEspecial]],3,0)</f>
        <v>#N/A</v>
      </c>
      <c r="G193" s="65" t="str">
        <f>CONCATENATE(Registro!$A$6,"_",Tabla5[[#This Row],[Zona (Provincia)
&lt;&lt; Seleccionar&gt;&gt;]])</f>
        <v>Huánuco_</v>
      </c>
      <c r="H193" s="60" t="e">
        <f>VLOOKUP(Tabla18[[#This Row],[Concatenado***]],Tabla2[[#All],[Concatenado]:[Simbología*]],2,0)</f>
        <v>#N/A</v>
      </c>
      <c r="I193" s="65" t="str">
        <f>CONCATENATE(Tabla18[[#This Row],[Concatenado***]],"_",Tabla5[[#This Row],[Zona (Distrito)
&lt;&lt; Seleccionar&gt;&gt;]])</f>
        <v>Huánuco__</v>
      </c>
      <c r="J1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3" s="72" t="e">
        <f>VLOOKUP(Tabla5[[#This Row],[Tipo de Transporte Empleado
&lt;&lt; Seleccionar&gt;&gt;]],Tabla8[#All],2,0)</f>
        <v>#N/A</v>
      </c>
      <c r="L193" s="71" t="e">
        <f>#REF!+(#REF!*2)+#REF!</f>
        <v>#REF!</v>
      </c>
    </row>
    <row r="194" spans="1:12" x14ac:dyDescent="0.25">
      <c r="A194" s="328" t="e">
        <f>VLOOKUP(Tabla5[[#This Row],[Acción
&lt;&lt; Seleccionar&gt;&gt;]],TablaAccion[[#All],[Nombre_Abreviado]:[Codigo_Plan_Acción]],3,0)</f>
        <v>#N/A</v>
      </c>
      <c r="B194" s="328" t="e">
        <f>VLOOKUP(Tabla5[[#This Row],[Acción Especifica
&lt;&lt; Seleccionar&gt;&gt;]],TablaAccionEspecifica[[#All],[Nombre_Abreviado]:[Codigo_Acción]],3,0)</f>
        <v>#N/A</v>
      </c>
      <c r="C194" s="328" t="e">
        <f>CONCATENATE(Tabla18[[#This Row],[Bus_02]],"_",Tabla5[[#This Row],[Sub Acción Específica
&lt;&lt; Seleccionar&gt;&gt;]])</f>
        <v>#N/A</v>
      </c>
      <c r="D194" s="328" t="e">
        <f>VLOOKUP(Tabla18[[#This Row],[Aux_01]],TablaSubAccionEspecifica[[#All],[Concat]:[Cod_Sub_acción_especifica]],2,0)</f>
        <v>#N/A</v>
      </c>
      <c r="E194" s="328" t="e">
        <f>Tabla18[[#This Row],[Bus_03]]&amp;"_"&amp;Tabla5[[#This Row],[Tipo de Agente
&lt;&lt; Seleccionar&gt;&gt;]]</f>
        <v>#N/A</v>
      </c>
      <c r="F194" s="328" t="e">
        <f>VLOOKUP(Tabla18[[#This Row],[Concat2]],TablaPOA[[#All],[Concat]:[ConcatEspecial]],3,0)</f>
        <v>#N/A</v>
      </c>
      <c r="G194" s="65" t="str">
        <f>CONCATENATE(Registro!$A$6,"_",Tabla5[[#This Row],[Zona (Provincia)
&lt;&lt; Seleccionar&gt;&gt;]])</f>
        <v>Huánuco_</v>
      </c>
      <c r="H194" s="60" t="e">
        <f>VLOOKUP(Tabla18[[#This Row],[Concatenado***]],Tabla2[[#All],[Concatenado]:[Simbología*]],2,0)</f>
        <v>#N/A</v>
      </c>
      <c r="I194" s="65" t="str">
        <f>CONCATENATE(Tabla18[[#This Row],[Concatenado***]],"_",Tabla5[[#This Row],[Zona (Distrito)
&lt;&lt; Seleccionar&gt;&gt;]])</f>
        <v>Huánuco__</v>
      </c>
      <c r="J1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4" s="72" t="e">
        <f>VLOOKUP(Tabla5[[#This Row],[Tipo de Transporte Empleado
&lt;&lt; Seleccionar&gt;&gt;]],Tabla8[#All],2,0)</f>
        <v>#N/A</v>
      </c>
      <c r="L194" s="71" t="e">
        <f>#REF!+(#REF!*2)+#REF!</f>
        <v>#REF!</v>
      </c>
    </row>
    <row r="195" spans="1:12" x14ac:dyDescent="0.25">
      <c r="A195" s="328" t="e">
        <f>VLOOKUP(Tabla5[[#This Row],[Acción
&lt;&lt; Seleccionar&gt;&gt;]],TablaAccion[[#All],[Nombre_Abreviado]:[Codigo_Plan_Acción]],3,0)</f>
        <v>#N/A</v>
      </c>
      <c r="B195" s="328" t="e">
        <f>VLOOKUP(Tabla5[[#This Row],[Acción Especifica
&lt;&lt; Seleccionar&gt;&gt;]],TablaAccionEspecifica[[#All],[Nombre_Abreviado]:[Codigo_Acción]],3,0)</f>
        <v>#N/A</v>
      </c>
      <c r="C195" s="328" t="e">
        <f>CONCATENATE(Tabla18[[#This Row],[Bus_02]],"_",Tabla5[[#This Row],[Sub Acción Específica
&lt;&lt; Seleccionar&gt;&gt;]])</f>
        <v>#N/A</v>
      </c>
      <c r="D195" s="328" t="e">
        <f>VLOOKUP(Tabla18[[#This Row],[Aux_01]],TablaSubAccionEspecifica[[#All],[Concat]:[Cod_Sub_acción_especifica]],2,0)</f>
        <v>#N/A</v>
      </c>
      <c r="E195" s="328" t="e">
        <f>Tabla18[[#This Row],[Bus_03]]&amp;"_"&amp;Tabla5[[#This Row],[Tipo de Agente
&lt;&lt; Seleccionar&gt;&gt;]]</f>
        <v>#N/A</v>
      </c>
      <c r="F195" s="328" t="e">
        <f>VLOOKUP(Tabla18[[#This Row],[Concat2]],TablaPOA[[#All],[Concat]:[ConcatEspecial]],3,0)</f>
        <v>#N/A</v>
      </c>
      <c r="G195" s="65" t="str">
        <f>CONCATENATE(Registro!$A$6,"_",Tabla5[[#This Row],[Zona (Provincia)
&lt;&lt; Seleccionar&gt;&gt;]])</f>
        <v>Huánuco_</v>
      </c>
      <c r="H195" s="60" t="e">
        <f>VLOOKUP(Tabla18[[#This Row],[Concatenado***]],Tabla2[[#All],[Concatenado]:[Simbología*]],2,0)</f>
        <v>#N/A</v>
      </c>
      <c r="I195" s="65" t="str">
        <f>CONCATENATE(Tabla18[[#This Row],[Concatenado***]],"_",Tabla5[[#This Row],[Zona (Distrito)
&lt;&lt; Seleccionar&gt;&gt;]])</f>
        <v>Huánuco__</v>
      </c>
      <c r="J1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5" s="72" t="e">
        <f>VLOOKUP(Tabla5[[#This Row],[Tipo de Transporte Empleado
&lt;&lt; Seleccionar&gt;&gt;]],Tabla8[#All],2,0)</f>
        <v>#N/A</v>
      </c>
      <c r="L195" s="71" t="e">
        <f>#REF!+(#REF!*2)+#REF!</f>
        <v>#REF!</v>
      </c>
    </row>
    <row r="196" spans="1:12" x14ac:dyDescent="0.25">
      <c r="A196" s="328" t="e">
        <f>VLOOKUP(Tabla5[[#This Row],[Acción
&lt;&lt; Seleccionar&gt;&gt;]],TablaAccion[[#All],[Nombre_Abreviado]:[Codigo_Plan_Acción]],3,0)</f>
        <v>#N/A</v>
      </c>
      <c r="B196" s="328" t="e">
        <f>VLOOKUP(Tabla5[[#This Row],[Acción Especifica
&lt;&lt; Seleccionar&gt;&gt;]],TablaAccionEspecifica[[#All],[Nombre_Abreviado]:[Codigo_Acción]],3,0)</f>
        <v>#N/A</v>
      </c>
      <c r="C196" s="328" t="e">
        <f>CONCATENATE(Tabla18[[#This Row],[Bus_02]],"_",Tabla5[[#This Row],[Sub Acción Específica
&lt;&lt; Seleccionar&gt;&gt;]])</f>
        <v>#N/A</v>
      </c>
      <c r="D196" s="328" t="e">
        <f>VLOOKUP(Tabla18[[#This Row],[Aux_01]],TablaSubAccionEspecifica[[#All],[Concat]:[Cod_Sub_acción_especifica]],2,0)</f>
        <v>#N/A</v>
      </c>
      <c r="E196" s="328" t="e">
        <f>Tabla18[[#This Row],[Bus_03]]&amp;"_"&amp;Tabla5[[#This Row],[Tipo de Agente
&lt;&lt; Seleccionar&gt;&gt;]]</f>
        <v>#N/A</v>
      </c>
      <c r="F196" s="328" t="e">
        <f>VLOOKUP(Tabla18[[#This Row],[Concat2]],TablaPOA[[#All],[Concat]:[ConcatEspecial]],3,0)</f>
        <v>#N/A</v>
      </c>
      <c r="G196" s="65" t="str">
        <f>CONCATENATE(Registro!$A$6,"_",Tabla5[[#This Row],[Zona (Provincia)
&lt;&lt; Seleccionar&gt;&gt;]])</f>
        <v>Huánuco_</v>
      </c>
      <c r="H196" s="60" t="e">
        <f>VLOOKUP(Tabla18[[#This Row],[Concatenado***]],Tabla2[[#All],[Concatenado]:[Simbología*]],2,0)</f>
        <v>#N/A</v>
      </c>
      <c r="I196" s="65" t="str">
        <f>CONCATENATE(Tabla18[[#This Row],[Concatenado***]],"_",Tabla5[[#This Row],[Zona (Distrito)
&lt;&lt; Seleccionar&gt;&gt;]])</f>
        <v>Huánuco__</v>
      </c>
      <c r="J1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6" s="72" t="e">
        <f>VLOOKUP(Tabla5[[#This Row],[Tipo de Transporte Empleado
&lt;&lt; Seleccionar&gt;&gt;]],Tabla8[#All],2,0)</f>
        <v>#N/A</v>
      </c>
      <c r="L196" s="71" t="e">
        <f>#REF!+(#REF!*2)+#REF!</f>
        <v>#REF!</v>
      </c>
    </row>
    <row r="197" spans="1:12" x14ac:dyDescent="0.25">
      <c r="A197" s="328" t="e">
        <f>VLOOKUP(Tabla5[[#This Row],[Acción
&lt;&lt; Seleccionar&gt;&gt;]],TablaAccion[[#All],[Nombre_Abreviado]:[Codigo_Plan_Acción]],3,0)</f>
        <v>#N/A</v>
      </c>
      <c r="B197" s="328" t="e">
        <f>VLOOKUP(Tabla5[[#This Row],[Acción Especifica
&lt;&lt; Seleccionar&gt;&gt;]],TablaAccionEspecifica[[#All],[Nombre_Abreviado]:[Codigo_Acción]],3,0)</f>
        <v>#N/A</v>
      </c>
      <c r="C197" s="328" t="e">
        <f>CONCATENATE(Tabla18[[#This Row],[Bus_02]],"_",Tabla5[[#This Row],[Sub Acción Específica
&lt;&lt; Seleccionar&gt;&gt;]])</f>
        <v>#N/A</v>
      </c>
      <c r="D197" s="328" t="e">
        <f>VLOOKUP(Tabla18[[#This Row],[Aux_01]],TablaSubAccionEspecifica[[#All],[Concat]:[Cod_Sub_acción_especifica]],2,0)</f>
        <v>#N/A</v>
      </c>
      <c r="E197" s="328" t="e">
        <f>Tabla18[[#This Row],[Bus_03]]&amp;"_"&amp;Tabla5[[#This Row],[Tipo de Agente
&lt;&lt; Seleccionar&gt;&gt;]]</f>
        <v>#N/A</v>
      </c>
      <c r="F197" s="328" t="e">
        <f>VLOOKUP(Tabla18[[#This Row],[Concat2]],TablaPOA[[#All],[Concat]:[ConcatEspecial]],3,0)</f>
        <v>#N/A</v>
      </c>
      <c r="G197" s="65" t="str">
        <f>CONCATENATE(Registro!$A$6,"_",Tabla5[[#This Row],[Zona (Provincia)
&lt;&lt; Seleccionar&gt;&gt;]])</f>
        <v>Huánuco_</v>
      </c>
      <c r="H197" s="60" t="e">
        <f>VLOOKUP(Tabla18[[#This Row],[Concatenado***]],Tabla2[[#All],[Concatenado]:[Simbología*]],2,0)</f>
        <v>#N/A</v>
      </c>
      <c r="I197" s="65" t="str">
        <f>CONCATENATE(Tabla18[[#This Row],[Concatenado***]],"_",Tabla5[[#This Row],[Zona (Distrito)
&lt;&lt; Seleccionar&gt;&gt;]])</f>
        <v>Huánuco__</v>
      </c>
      <c r="J1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7" s="72" t="e">
        <f>VLOOKUP(Tabla5[[#This Row],[Tipo de Transporte Empleado
&lt;&lt; Seleccionar&gt;&gt;]],Tabla8[#All],2,0)</f>
        <v>#N/A</v>
      </c>
      <c r="L197" s="71" t="e">
        <f>#REF!+(#REF!*2)+#REF!</f>
        <v>#REF!</v>
      </c>
    </row>
    <row r="198" spans="1:12" x14ac:dyDescent="0.25">
      <c r="A198" s="328" t="e">
        <f>VLOOKUP(Tabla5[[#This Row],[Acción
&lt;&lt; Seleccionar&gt;&gt;]],TablaAccion[[#All],[Nombre_Abreviado]:[Codigo_Plan_Acción]],3,0)</f>
        <v>#N/A</v>
      </c>
      <c r="B198" s="328" t="e">
        <f>VLOOKUP(Tabla5[[#This Row],[Acción Especifica
&lt;&lt; Seleccionar&gt;&gt;]],TablaAccionEspecifica[[#All],[Nombre_Abreviado]:[Codigo_Acción]],3,0)</f>
        <v>#N/A</v>
      </c>
      <c r="C198" s="328" t="e">
        <f>CONCATENATE(Tabla18[[#This Row],[Bus_02]],"_",Tabla5[[#This Row],[Sub Acción Específica
&lt;&lt; Seleccionar&gt;&gt;]])</f>
        <v>#N/A</v>
      </c>
      <c r="D198" s="328" t="e">
        <f>VLOOKUP(Tabla18[[#This Row],[Aux_01]],TablaSubAccionEspecifica[[#All],[Concat]:[Cod_Sub_acción_especifica]],2,0)</f>
        <v>#N/A</v>
      </c>
      <c r="E198" s="328" t="e">
        <f>Tabla18[[#This Row],[Bus_03]]&amp;"_"&amp;Tabla5[[#This Row],[Tipo de Agente
&lt;&lt; Seleccionar&gt;&gt;]]</f>
        <v>#N/A</v>
      </c>
      <c r="F198" s="328" t="e">
        <f>VLOOKUP(Tabla18[[#This Row],[Concat2]],TablaPOA[[#All],[Concat]:[ConcatEspecial]],3,0)</f>
        <v>#N/A</v>
      </c>
      <c r="G198" s="65" t="str">
        <f>CONCATENATE(Registro!$A$6,"_",Tabla5[[#This Row],[Zona (Provincia)
&lt;&lt; Seleccionar&gt;&gt;]])</f>
        <v>Huánuco_</v>
      </c>
      <c r="H198" s="60" t="e">
        <f>VLOOKUP(Tabla18[[#This Row],[Concatenado***]],Tabla2[[#All],[Concatenado]:[Simbología*]],2,0)</f>
        <v>#N/A</v>
      </c>
      <c r="I198" s="65" t="str">
        <f>CONCATENATE(Tabla18[[#This Row],[Concatenado***]],"_",Tabla5[[#This Row],[Zona (Distrito)
&lt;&lt; Seleccionar&gt;&gt;]])</f>
        <v>Huánuco__</v>
      </c>
      <c r="J1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8" s="72" t="e">
        <f>VLOOKUP(Tabla5[[#This Row],[Tipo de Transporte Empleado
&lt;&lt; Seleccionar&gt;&gt;]],Tabla8[#All],2,0)</f>
        <v>#N/A</v>
      </c>
      <c r="L198" s="71" t="e">
        <f>#REF!+(#REF!*2)+#REF!</f>
        <v>#REF!</v>
      </c>
    </row>
    <row r="199" spans="1:12" x14ac:dyDescent="0.25">
      <c r="A199" s="328" t="e">
        <f>VLOOKUP(Tabla5[[#This Row],[Acción
&lt;&lt; Seleccionar&gt;&gt;]],TablaAccion[[#All],[Nombre_Abreviado]:[Codigo_Plan_Acción]],3,0)</f>
        <v>#N/A</v>
      </c>
      <c r="B199" s="328" t="e">
        <f>VLOOKUP(Tabla5[[#This Row],[Acción Especifica
&lt;&lt; Seleccionar&gt;&gt;]],TablaAccionEspecifica[[#All],[Nombre_Abreviado]:[Codigo_Acción]],3,0)</f>
        <v>#N/A</v>
      </c>
      <c r="C199" s="328" t="e">
        <f>CONCATENATE(Tabla18[[#This Row],[Bus_02]],"_",Tabla5[[#This Row],[Sub Acción Específica
&lt;&lt; Seleccionar&gt;&gt;]])</f>
        <v>#N/A</v>
      </c>
      <c r="D199" s="328" t="e">
        <f>VLOOKUP(Tabla18[[#This Row],[Aux_01]],TablaSubAccionEspecifica[[#All],[Concat]:[Cod_Sub_acción_especifica]],2,0)</f>
        <v>#N/A</v>
      </c>
      <c r="E199" s="328" t="e">
        <f>Tabla18[[#This Row],[Bus_03]]&amp;"_"&amp;Tabla5[[#This Row],[Tipo de Agente
&lt;&lt; Seleccionar&gt;&gt;]]</f>
        <v>#N/A</v>
      </c>
      <c r="F199" s="328" t="e">
        <f>VLOOKUP(Tabla18[[#This Row],[Concat2]],TablaPOA[[#All],[Concat]:[ConcatEspecial]],3,0)</f>
        <v>#N/A</v>
      </c>
      <c r="G199" s="65" t="str">
        <f>CONCATENATE(Registro!$A$6,"_",Tabla5[[#This Row],[Zona (Provincia)
&lt;&lt; Seleccionar&gt;&gt;]])</f>
        <v>Huánuco_</v>
      </c>
      <c r="H199" s="60" t="e">
        <f>VLOOKUP(Tabla18[[#This Row],[Concatenado***]],Tabla2[[#All],[Concatenado]:[Simbología*]],2,0)</f>
        <v>#N/A</v>
      </c>
      <c r="I199" s="65" t="str">
        <f>CONCATENATE(Tabla18[[#This Row],[Concatenado***]],"_",Tabla5[[#This Row],[Zona (Distrito)
&lt;&lt; Seleccionar&gt;&gt;]])</f>
        <v>Huánuco__</v>
      </c>
      <c r="J1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9" s="72" t="e">
        <f>VLOOKUP(Tabla5[[#This Row],[Tipo de Transporte Empleado
&lt;&lt; Seleccionar&gt;&gt;]],Tabla8[#All],2,0)</f>
        <v>#N/A</v>
      </c>
      <c r="L199" s="71" t="e">
        <f>#REF!+(#REF!*2)+#REF!</f>
        <v>#REF!</v>
      </c>
    </row>
    <row r="200" spans="1:12" x14ac:dyDescent="0.25">
      <c r="A200" s="328" t="e">
        <f>VLOOKUP(Tabla5[[#This Row],[Acción
&lt;&lt; Seleccionar&gt;&gt;]],TablaAccion[[#All],[Nombre_Abreviado]:[Codigo_Plan_Acción]],3,0)</f>
        <v>#N/A</v>
      </c>
      <c r="B200" s="328" t="e">
        <f>VLOOKUP(Tabla5[[#This Row],[Acción Especifica
&lt;&lt; Seleccionar&gt;&gt;]],TablaAccionEspecifica[[#All],[Nombre_Abreviado]:[Codigo_Acción]],3,0)</f>
        <v>#N/A</v>
      </c>
      <c r="C200" s="328" t="e">
        <f>CONCATENATE(Tabla18[[#This Row],[Bus_02]],"_",Tabla5[[#This Row],[Sub Acción Específica
&lt;&lt; Seleccionar&gt;&gt;]])</f>
        <v>#N/A</v>
      </c>
      <c r="D200" s="328" t="e">
        <f>VLOOKUP(Tabla18[[#This Row],[Aux_01]],TablaSubAccionEspecifica[[#All],[Concat]:[Cod_Sub_acción_especifica]],2,0)</f>
        <v>#N/A</v>
      </c>
      <c r="E200" s="328" t="e">
        <f>Tabla18[[#This Row],[Bus_03]]&amp;"_"&amp;Tabla5[[#This Row],[Tipo de Agente
&lt;&lt; Seleccionar&gt;&gt;]]</f>
        <v>#N/A</v>
      </c>
      <c r="F200" s="328" t="e">
        <f>VLOOKUP(Tabla18[[#This Row],[Concat2]],TablaPOA[[#All],[Concat]:[ConcatEspecial]],3,0)</f>
        <v>#N/A</v>
      </c>
      <c r="G200" s="65" t="str">
        <f>CONCATENATE(Registro!$A$6,"_",Tabla5[[#This Row],[Zona (Provincia)
&lt;&lt; Seleccionar&gt;&gt;]])</f>
        <v>Huánuco_</v>
      </c>
      <c r="H200" s="60" t="e">
        <f>VLOOKUP(Tabla18[[#This Row],[Concatenado***]],Tabla2[[#All],[Concatenado]:[Simbología*]],2,0)</f>
        <v>#N/A</v>
      </c>
      <c r="I200" s="65" t="str">
        <f>CONCATENATE(Tabla18[[#This Row],[Concatenado***]],"_",Tabla5[[#This Row],[Zona (Distrito)
&lt;&lt; Seleccionar&gt;&gt;]])</f>
        <v>Huánuco__</v>
      </c>
      <c r="J2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0" s="72" t="e">
        <f>VLOOKUP(Tabla5[[#This Row],[Tipo de Transporte Empleado
&lt;&lt; Seleccionar&gt;&gt;]],Tabla8[#All],2,0)</f>
        <v>#N/A</v>
      </c>
      <c r="L200" s="71" t="e">
        <f>#REF!+(#REF!*2)+#REF!</f>
        <v>#REF!</v>
      </c>
    </row>
    <row r="201" spans="1:12" x14ac:dyDescent="0.25">
      <c r="A201" s="328" t="e">
        <f>VLOOKUP(Tabla5[[#This Row],[Acción
&lt;&lt; Seleccionar&gt;&gt;]],TablaAccion[[#All],[Nombre_Abreviado]:[Codigo_Plan_Acción]],3,0)</f>
        <v>#N/A</v>
      </c>
      <c r="B201" s="328" t="e">
        <f>VLOOKUP(Tabla5[[#This Row],[Acción Especifica
&lt;&lt; Seleccionar&gt;&gt;]],TablaAccionEspecifica[[#All],[Nombre_Abreviado]:[Codigo_Acción]],3,0)</f>
        <v>#N/A</v>
      </c>
      <c r="C201" s="328" t="e">
        <f>CONCATENATE(Tabla18[[#This Row],[Bus_02]],"_",Tabla5[[#This Row],[Sub Acción Específica
&lt;&lt; Seleccionar&gt;&gt;]])</f>
        <v>#N/A</v>
      </c>
      <c r="D201" s="328" t="e">
        <f>VLOOKUP(Tabla18[[#This Row],[Aux_01]],TablaSubAccionEspecifica[[#All],[Concat]:[Cod_Sub_acción_especifica]],2,0)</f>
        <v>#N/A</v>
      </c>
      <c r="E201" s="328" t="e">
        <f>Tabla18[[#This Row],[Bus_03]]&amp;"_"&amp;Tabla5[[#This Row],[Tipo de Agente
&lt;&lt; Seleccionar&gt;&gt;]]</f>
        <v>#N/A</v>
      </c>
      <c r="F201" s="328" t="e">
        <f>VLOOKUP(Tabla18[[#This Row],[Concat2]],TablaPOA[[#All],[Concat]:[ConcatEspecial]],3,0)</f>
        <v>#N/A</v>
      </c>
      <c r="G201" s="65" t="str">
        <f>CONCATENATE(Registro!$A$6,"_",Tabla5[[#This Row],[Zona (Provincia)
&lt;&lt; Seleccionar&gt;&gt;]])</f>
        <v>Huánuco_</v>
      </c>
      <c r="H201" s="60" t="e">
        <f>VLOOKUP(Tabla18[[#This Row],[Concatenado***]],Tabla2[[#All],[Concatenado]:[Simbología*]],2,0)</f>
        <v>#N/A</v>
      </c>
      <c r="I201" s="65" t="str">
        <f>CONCATENATE(Tabla18[[#This Row],[Concatenado***]],"_",Tabla5[[#This Row],[Zona (Distrito)
&lt;&lt; Seleccionar&gt;&gt;]])</f>
        <v>Huánuco__</v>
      </c>
      <c r="J2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1" s="72" t="e">
        <f>VLOOKUP(Tabla5[[#This Row],[Tipo de Transporte Empleado
&lt;&lt; Seleccionar&gt;&gt;]],Tabla8[#All],2,0)</f>
        <v>#N/A</v>
      </c>
      <c r="L201" s="71" t="e">
        <f>#REF!+(#REF!*2)+#REF!</f>
        <v>#REF!</v>
      </c>
    </row>
    <row r="202" spans="1:12" x14ac:dyDescent="0.25">
      <c r="A202" s="328" t="e">
        <f>VLOOKUP(Tabla5[[#This Row],[Acción
&lt;&lt; Seleccionar&gt;&gt;]],TablaAccion[[#All],[Nombre_Abreviado]:[Codigo_Plan_Acción]],3,0)</f>
        <v>#N/A</v>
      </c>
      <c r="B202" s="328" t="e">
        <f>VLOOKUP(Tabla5[[#This Row],[Acción Especifica
&lt;&lt; Seleccionar&gt;&gt;]],TablaAccionEspecifica[[#All],[Nombre_Abreviado]:[Codigo_Acción]],3,0)</f>
        <v>#N/A</v>
      </c>
      <c r="C202" s="328" t="e">
        <f>CONCATENATE(Tabla18[[#This Row],[Bus_02]],"_",Tabla5[[#This Row],[Sub Acción Específica
&lt;&lt; Seleccionar&gt;&gt;]])</f>
        <v>#N/A</v>
      </c>
      <c r="D202" s="328" t="e">
        <f>VLOOKUP(Tabla18[[#This Row],[Aux_01]],TablaSubAccionEspecifica[[#All],[Concat]:[Cod_Sub_acción_especifica]],2,0)</f>
        <v>#N/A</v>
      </c>
      <c r="E202" s="328" t="e">
        <f>Tabla18[[#This Row],[Bus_03]]&amp;"_"&amp;Tabla5[[#This Row],[Tipo de Agente
&lt;&lt; Seleccionar&gt;&gt;]]</f>
        <v>#N/A</v>
      </c>
      <c r="F202" s="328" t="e">
        <f>VLOOKUP(Tabla18[[#This Row],[Concat2]],TablaPOA[[#All],[Concat]:[ConcatEspecial]],3,0)</f>
        <v>#N/A</v>
      </c>
      <c r="G202" s="65" t="str">
        <f>CONCATENATE(Registro!$A$6,"_",Tabla5[[#This Row],[Zona (Provincia)
&lt;&lt; Seleccionar&gt;&gt;]])</f>
        <v>Huánuco_</v>
      </c>
      <c r="H202" s="60" t="e">
        <f>VLOOKUP(Tabla18[[#This Row],[Concatenado***]],Tabla2[[#All],[Concatenado]:[Simbología*]],2,0)</f>
        <v>#N/A</v>
      </c>
      <c r="I202" s="65" t="str">
        <f>CONCATENATE(Tabla18[[#This Row],[Concatenado***]],"_",Tabla5[[#This Row],[Zona (Distrito)
&lt;&lt; Seleccionar&gt;&gt;]])</f>
        <v>Huánuco__</v>
      </c>
      <c r="J2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2" s="72" t="e">
        <f>VLOOKUP(Tabla5[[#This Row],[Tipo de Transporte Empleado
&lt;&lt; Seleccionar&gt;&gt;]],Tabla8[#All],2,0)</f>
        <v>#N/A</v>
      </c>
      <c r="L202" s="71" t="e">
        <f>#REF!+(#REF!*2)+#REF!</f>
        <v>#REF!</v>
      </c>
    </row>
    <row r="203" spans="1:12" x14ac:dyDescent="0.25">
      <c r="A203" s="328" t="e">
        <f>VLOOKUP(Tabla5[[#This Row],[Acción
&lt;&lt; Seleccionar&gt;&gt;]],TablaAccion[[#All],[Nombre_Abreviado]:[Codigo_Plan_Acción]],3,0)</f>
        <v>#N/A</v>
      </c>
      <c r="B203" s="328" t="e">
        <f>VLOOKUP(Tabla5[[#This Row],[Acción Especifica
&lt;&lt; Seleccionar&gt;&gt;]],TablaAccionEspecifica[[#All],[Nombre_Abreviado]:[Codigo_Acción]],3,0)</f>
        <v>#N/A</v>
      </c>
      <c r="C203" s="328" t="e">
        <f>CONCATENATE(Tabla18[[#This Row],[Bus_02]],"_",Tabla5[[#This Row],[Sub Acción Específica
&lt;&lt; Seleccionar&gt;&gt;]])</f>
        <v>#N/A</v>
      </c>
      <c r="D203" s="328" t="e">
        <f>VLOOKUP(Tabla18[[#This Row],[Aux_01]],TablaSubAccionEspecifica[[#All],[Concat]:[Cod_Sub_acción_especifica]],2,0)</f>
        <v>#N/A</v>
      </c>
      <c r="E203" s="328" t="e">
        <f>Tabla18[[#This Row],[Bus_03]]&amp;"_"&amp;Tabla5[[#This Row],[Tipo de Agente
&lt;&lt; Seleccionar&gt;&gt;]]</f>
        <v>#N/A</v>
      </c>
      <c r="F203" s="328" t="e">
        <f>VLOOKUP(Tabla18[[#This Row],[Concat2]],TablaPOA[[#All],[Concat]:[ConcatEspecial]],3,0)</f>
        <v>#N/A</v>
      </c>
      <c r="G203" s="65" t="str">
        <f>CONCATENATE(Registro!$A$6,"_",Tabla5[[#This Row],[Zona (Provincia)
&lt;&lt; Seleccionar&gt;&gt;]])</f>
        <v>Huánuco_</v>
      </c>
      <c r="H203" s="60" t="e">
        <f>VLOOKUP(Tabla18[[#This Row],[Concatenado***]],Tabla2[[#All],[Concatenado]:[Simbología*]],2,0)</f>
        <v>#N/A</v>
      </c>
      <c r="I203" s="65" t="str">
        <f>CONCATENATE(Tabla18[[#This Row],[Concatenado***]],"_",Tabla5[[#This Row],[Zona (Distrito)
&lt;&lt; Seleccionar&gt;&gt;]])</f>
        <v>Huánuco__</v>
      </c>
      <c r="J2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3" s="72" t="e">
        <f>VLOOKUP(Tabla5[[#This Row],[Tipo de Transporte Empleado
&lt;&lt; Seleccionar&gt;&gt;]],Tabla8[#All],2,0)</f>
        <v>#N/A</v>
      </c>
      <c r="L203" s="71" t="e">
        <f>#REF!+(#REF!*2)+#REF!</f>
        <v>#REF!</v>
      </c>
    </row>
    <row r="204" spans="1:12" x14ac:dyDescent="0.25">
      <c r="A204" s="328" t="e">
        <f>VLOOKUP(Tabla5[[#This Row],[Acción
&lt;&lt; Seleccionar&gt;&gt;]],TablaAccion[[#All],[Nombre_Abreviado]:[Codigo_Plan_Acción]],3,0)</f>
        <v>#N/A</v>
      </c>
      <c r="B204" s="328" t="e">
        <f>VLOOKUP(Tabla5[[#This Row],[Acción Especifica
&lt;&lt; Seleccionar&gt;&gt;]],TablaAccionEspecifica[[#All],[Nombre_Abreviado]:[Codigo_Acción]],3,0)</f>
        <v>#N/A</v>
      </c>
      <c r="C204" s="328" t="e">
        <f>CONCATENATE(Tabla18[[#This Row],[Bus_02]],"_",Tabla5[[#This Row],[Sub Acción Específica
&lt;&lt; Seleccionar&gt;&gt;]])</f>
        <v>#N/A</v>
      </c>
      <c r="D204" s="328" t="e">
        <f>VLOOKUP(Tabla18[[#This Row],[Aux_01]],TablaSubAccionEspecifica[[#All],[Concat]:[Cod_Sub_acción_especifica]],2,0)</f>
        <v>#N/A</v>
      </c>
      <c r="E204" s="328" t="e">
        <f>Tabla18[[#This Row],[Bus_03]]&amp;"_"&amp;Tabla5[[#This Row],[Tipo de Agente
&lt;&lt; Seleccionar&gt;&gt;]]</f>
        <v>#N/A</v>
      </c>
      <c r="F204" s="328" t="e">
        <f>VLOOKUP(Tabla18[[#This Row],[Concat2]],TablaPOA[[#All],[Concat]:[ConcatEspecial]],3,0)</f>
        <v>#N/A</v>
      </c>
      <c r="G204" s="65" t="str">
        <f>CONCATENATE(Registro!$A$6,"_",Tabla5[[#This Row],[Zona (Provincia)
&lt;&lt; Seleccionar&gt;&gt;]])</f>
        <v>Huánuco_</v>
      </c>
      <c r="H204" s="60" t="e">
        <f>VLOOKUP(Tabla18[[#This Row],[Concatenado***]],Tabla2[[#All],[Concatenado]:[Simbología*]],2,0)</f>
        <v>#N/A</v>
      </c>
      <c r="I204" s="65" t="str">
        <f>CONCATENATE(Tabla18[[#This Row],[Concatenado***]],"_",Tabla5[[#This Row],[Zona (Distrito)
&lt;&lt; Seleccionar&gt;&gt;]])</f>
        <v>Huánuco__</v>
      </c>
      <c r="J2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4" s="72" t="e">
        <f>VLOOKUP(Tabla5[[#This Row],[Tipo de Transporte Empleado
&lt;&lt; Seleccionar&gt;&gt;]],Tabla8[#All],2,0)</f>
        <v>#N/A</v>
      </c>
      <c r="L204" s="71" t="e">
        <f>#REF!+(#REF!*2)+#REF!</f>
        <v>#REF!</v>
      </c>
    </row>
    <row r="205" spans="1:12" x14ac:dyDescent="0.25">
      <c r="A205" s="328" t="e">
        <f>VLOOKUP(Tabla5[[#This Row],[Acción
&lt;&lt; Seleccionar&gt;&gt;]],TablaAccion[[#All],[Nombre_Abreviado]:[Codigo_Plan_Acción]],3,0)</f>
        <v>#N/A</v>
      </c>
      <c r="B205" s="328" t="e">
        <f>VLOOKUP(Tabla5[[#This Row],[Acción Especifica
&lt;&lt; Seleccionar&gt;&gt;]],TablaAccionEspecifica[[#All],[Nombre_Abreviado]:[Codigo_Acción]],3,0)</f>
        <v>#N/A</v>
      </c>
      <c r="C205" s="328" t="e">
        <f>CONCATENATE(Tabla18[[#This Row],[Bus_02]],"_",Tabla5[[#This Row],[Sub Acción Específica
&lt;&lt; Seleccionar&gt;&gt;]])</f>
        <v>#N/A</v>
      </c>
      <c r="D205" s="328" t="e">
        <f>VLOOKUP(Tabla18[[#This Row],[Aux_01]],TablaSubAccionEspecifica[[#All],[Concat]:[Cod_Sub_acción_especifica]],2,0)</f>
        <v>#N/A</v>
      </c>
      <c r="E205" s="328" t="e">
        <f>Tabla18[[#This Row],[Bus_03]]&amp;"_"&amp;Tabla5[[#This Row],[Tipo de Agente
&lt;&lt; Seleccionar&gt;&gt;]]</f>
        <v>#N/A</v>
      </c>
      <c r="F205" s="328" t="e">
        <f>VLOOKUP(Tabla18[[#This Row],[Concat2]],TablaPOA[[#All],[Concat]:[ConcatEspecial]],3,0)</f>
        <v>#N/A</v>
      </c>
      <c r="G205" s="65" t="str">
        <f>CONCATENATE(Registro!$A$6,"_",Tabla5[[#This Row],[Zona (Provincia)
&lt;&lt; Seleccionar&gt;&gt;]])</f>
        <v>Huánuco_</v>
      </c>
      <c r="H205" s="60" t="e">
        <f>VLOOKUP(Tabla18[[#This Row],[Concatenado***]],Tabla2[[#All],[Concatenado]:[Simbología*]],2,0)</f>
        <v>#N/A</v>
      </c>
      <c r="I205" s="65" t="str">
        <f>CONCATENATE(Tabla18[[#This Row],[Concatenado***]],"_",Tabla5[[#This Row],[Zona (Distrito)
&lt;&lt; Seleccionar&gt;&gt;]])</f>
        <v>Huánuco__</v>
      </c>
      <c r="J2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5" s="72" t="e">
        <f>VLOOKUP(Tabla5[[#This Row],[Tipo de Transporte Empleado
&lt;&lt; Seleccionar&gt;&gt;]],Tabla8[#All],2,0)</f>
        <v>#N/A</v>
      </c>
      <c r="L205" s="71" t="e">
        <f>#REF!+(#REF!*2)+#REF!</f>
        <v>#REF!</v>
      </c>
    </row>
    <row r="206" spans="1:12" x14ac:dyDescent="0.25">
      <c r="A206" s="328" t="e">
        <f>VLOOKUP(Tabla5[[#This Row],[Acción
&lt;&lt; Seleccionar&gt;&gt;]],TablaAccion[[#All],[Nombre_Abreviado]:[Codigo_Plan_Acción]],3,0)</f>
        <v>#N/A</v>
      </c>
      <c r="B206" s="328" t="e">
        <f>VLOOKUP(Tabla5[[#This Row],[Acción Especifica
&lt;&lt; Seleccionar&gt;&gt;]],TablaAccionEspecifica[[#All],[Nombre_Abreviado]:[Codigo_Acción]],3,0)</f>
        <v>#N/A</v>
      </c>
      <c r="C206" s="328" t="e">
        <f>CONCATENATE(Tabla18[[#This Row],[Bus_02]],"_",Tabla5[[#This Row],[Sub Acción Específica
&lt;&lt; Seleccionar&gt;&gt;]])</f>
        <v>#N/A</v>
      </c>
      <c r="D206" s="328" t="e">
        <f>VLOOKUP(Tabla18[[#This Row],[Aux_01]],TablaSubAccionEspecifica[[#All],[Concat]:[Cod_Sub_acción_especifica]],2,0)</f>
        <v>#N/A</v>
      </c>
      <c r="E206" s="328" t="e">
        <f>Tabla18[[#This Row],[Bus_03]]&amp;"_"&amp;Tabla5[[#This Row],[Tipo de Agente
&lt;&lt; Seleccionar&gt;&gt;]]</f>
        <v>#N/A</v>
      </c>
      <c r="F206" s="328" t="e">
        <f>VLOOKUP(Tabla18[[#This Row],[Concat2]],TablaPOA[[#All],[Concat]:[ConcatEspecial]],3,0)</f>
        <v>#N/A</v>
      </c>
      <c r="G206" s="65" t="str">
        <f>CONCATENATE(Registro!$A$6,"_",Tabla5[[#This Row],[Zona (Provincia)
&lt;&lt; Seleccionar&gt;&gt;]])</f>
        <v>Huánuco_</v>
      </c>
      <c r="H206" s="60" t="e">
        <f>VLOOKUP(Tabla18[[#This Row],[Concatenado***]],Tabla2[[#All],[Concatenado]:[Simbología*]],2,0)</f>
        <v>#N/A</v>
      </c>
      <c r="I206" s="65" t="str">
        <f>CONCATENATE(Tabla18[[#This Row],[Concatenado***]],"_",Tabla5[[#This Row],[Zona (Distrito)
&lt;&lt; Seleccionar&gt;&gt;]])</f>
        <v>Huánuco__</v>
      </c>
      <c r="J2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6" s="72" t="e">
        <f>VLOOKUP(Tabla5[[#This Row],[Tipo de Transporte Empleado
&lt;&lt; Seleccionar&gt;&gt;]],Tabla8[#All],2,0)</f>
        <v>#N/A</v>
      </c>
      <c r="L206" s="71" t="e">
        <f>#REF!+(#REF!*2)+#REF!</f>
        <v>#REF!</v>
      </c>
    </row>
    <row r="207" spans="1:12" x14ac:dyDescent="0.25">
      <c r="A207" s="328" t="e">
        <f>VLOOKUP(Tabla5[[#This Row],[Acción
&lt;&lt; Seleccionar&gt;&gt;]],TablaAccion[[#All],[Nombre_Abreviado]:[Codigo_Plan_Acción]],3,0)</f>
        <v>#N/A</v>
      </c>
      <c r="B207" s="328" t="e">
        <f>VLOOKUP(Tabla5[[#This Row],[Acción Especifica
&lt;&lt; Seleccionar&gt;&gt;]],TablaAccionEspecifica[[#All],[Nombre_Abreviado]:[Codigo_Acción]],3,0)</f>
        <v>#N/A</v>
      </c>
      <c r="C207" s="328" t="e">
        <f>CONCATENATE(Tabla18[[#This Row],[Bus_02]],"_",Tabla5[[#This Row],[Sub Acción Específica
&lt;&lt; Seleccionar&gt;&gt;]])</f>
        <v>#N/A</v>
      </c>
      <c r="D207" s="328" t="e">
        <f>VLOOKUP(Tabla18[[#This Row],[Aux_01]],TablaSubAccionEspecifica[[#All],[Concat]:[Cod_Sub_acción_especifica]],2,0)</f>
        <v>#N/A</v>
      </c>
      <c r="E207" s="328" t="e">
        <f>Tabla18[[#This Row],[Bus_03]]&amp;"_"&amp;Tabla5[[#This Row],[Tipo de Agente
&lt;&lt; Seleccionar&gt;&gt;]]</f>
        <v>#N/A</v>
      </c>
      <c r="F207" s="328" t="e">
        <f>VLOOKUP(Tabla18[[#This Row],[Concat2]],TablaPOA[[#All],[Concat]:[ConcatEspecial]],3,0)</f>
        <v>#N/A</v>
      </c>
      <c r="G207" s="65" t="str">
        <f>CONCATENATE(Registro!$A$6,"_",Tabla5[[#This Row],[Zona (Provincia)
&lt;&lt; Seleccionar&gt;&gt;]])</f>
        <v>Huánuco_</v>
      </c>
      <c r="H207" s="60" t="e">
        <f>VLOOKUP(Tabla18[[#This Row],[Concatenado***]],Tabla2[[#All],[Concatenado]:[Simbología*]],2,0)</f>
        <v>#N/A</v>
      </c>
      <c r="I207" s="65" t="str">
        <f>CONCATENATE(Tabla18[[#This Row],[Concatenado***]],"_",Tabla5[[#This Row],[Zona (Distrito)
&lt;&lt; Seleccionar&gt;&gt;]])</f>
        <v>Huánuco__</v>
      </c>
      <c r="J2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7" s="72" t="e">
        <f>VLOOKUP(Tabla5[[#This Row],[Tipo de Transporte Empleado
&lt;&lt; Seleccionar&gt;&gt;]],Tabla8[#All],2,0)</f>
        <v>#N/A</v>
      </c>
      <c r="L207" s="71" t="e">
        <f>#REF!+(#REF!*2)+#REF!</f>
        <v>#REF!</v>
      </c>
    </row>
    <row r="208" spans="1:12" x14ac:dyDescent="0.25">
      <c r="A208" s="328" t="e">
        <f>VLOOKUP(Tabla5[[#This Row],[Acción
&lt;&lt; Seleccionar&gt;&gt;]],TablaAccion[[#All],[Nombre_Abreviado]:[Codigo_Plan_Acción]],3,0)</f>
        <v>#N/A</v>
      </c>
      <c r="B208" s="328" t="e">
        <f>VLOOKUP(Tabla5[[#This Row],[Acción Especifica
&lt;&lt; Seleccionar&gt;&gt;]],TablaAccionEspecifica[[#All],[Nombre_Abreviado]:[Codigo_Acción]],3,0)</f>
        <v>#N/A</v>
      </c>
      <c r="C208" s="328" t="e">
        <f>CONCATENATE(Tabla18[[#This Row],[Bus_02]],"_",Tabla5[[#This Row],[Sub Acción Específica
&lt;&lt; Seleccionar&gt;&gt;]])</f>
        <v>#N/A</v>
      </c>
      <c r="D208" s="328" t="e">
        <f>VLOOKUP(Tabla18[[#This Row],[Aux_01]],TablaSubAccionEspecifica[[#All],[Concat]:[Cod_Sub_acción_especifica]],2,0)</f>
        <v>#N/A</v>
      </c>
      <c r="E208" s="328" t="e">
        <f>Tabla18[[#This Row],[Bus_03]]&amp;"_"&amp;Tabla5[[#This Row],[Tipo de Agente
&lt;&lt; Seleccionar&gt;&gt;]]</f>
        <v>#N/A</v>
      </c>
      <c r="F208" s="328" t="e">
        <f>VLOOKUP(Tabla18[[#This Row],[Concat2]],TablaPOA[[#All],[Concat]:[ConcatEspecial]],3,0)</f>
        <v>#N/A</v>
      </c>
      <c r="G208" s="65" t="str">
        <f>CONCATENATE(Registro!$A$6,"_",Tabla5[[#This Row],[Zona (Provincia)
&lt;&lt; Seleccionar&gt;&gt;]])</f>
        <v>Huánuco_</v>
      </c>
      <c r="H208" s="60" t="e">
        <f>VLOOKUP(Tabla18[[#This Row],[Concatenado***]],Tabla2[[#All],[Concatenado]:[Simbología*]],2,0)</f>
        <v>#N/A</v>
      </c>
      <c r="I208" s="65" t="str">
        <f>CONCATENATE(Tabla18[[#This Row],[Concatenado***]],"_",Tabla5[[#This Row],[Zona (Distrito)
&lt;&lt; Seleccionar&gt;&gt;]])</f>
        <v>Huánuco__</v>
      </c>
      <c r="J2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8" s="72" t="e">
        <f>VLOOKUP(Tabla5[[#This Row],[Tipo de Transporte Empleado
&lt;&lt; Seleccionar&gt;&gt;]],Tabla8[#All],2,0)</f>
        <v>#N/A</v>
      </c>
      <c r="L208" s="71" t="e">
        <f>#REF!+(#REF!*2)+#REF!</f>
        <v>#REF!</v>
      </c>
    </row>
    <row r="209" spans="1:12" x14ac:dyDescent="0.25">
      <c r="A209" s="328" t="e">
        <f>VLOOKUP(Tabla5[[#This Row],[Acción
&lt;&lt; Seleccionar&gt;&gt;]],TablaAccion[[#All],[Nombre_Abreviado]:[Codigo_Plan_Acción]],3,0)</f>
        <v>#N/A</v>
      </c>
      <c r="B209" s="328" t="e">
        <f>VLOOKUP(Tabla5[[#This Row],[Acción Especifica
&lt;&lt; Seleccionar&gt;&gt;]],TablaAccionEspecifica[[#All],[Nombre_Abreviado]:[Codigo_Acción]],3,0)</f>
        <v>#N/A</v>
      </c>
      <c r="C209" s="328" t="e">
        <f>CONCATENATE(Tabla18[[#This Row],[Bus_02]],"_",Tabla5[[#This Row],[Sub Acción Específica
&lt;&lt; Seleccionar&gt;&gt;]])</f>
        <v>#N/A</v>
      </c>
      <c r="D209" s="328" t="e">
        <f>VLOOKUP(Tabla18[[#This Row],[Aux_01]],TablaSubAccionEspecifica[[#All],[Concat]:[Cod_Sub_acción_especifica]],2,0)</f>
        <v>#N/A</v>
      </c>
      <c r="E209" s="328" t="e">
        <f>Tabla18[[#This Row],[Bus_03]]&amp;"_"&amp;Tabla5[[#This Row],[Tipo de Agente
&lt;&lt; Seleccionar&gt;&gt;]]</f>
        <v>#N/A</v>
      </c>
      <c r="F209" s="328" t="e">
        <f>VLOOKUP(Tabla18[[#This Row],[Concat2]],TablaPOA[[#All],[Concat]:[ConcatEspecial]],3,0)</f>
        <v>#N/A</v>
      </c>
      <c r="G209" s="65" t="str">
        <f>CONCATENATE(Registro!$A$6,"_",Tabla5[[#This Row],[Zona (Provincia)
&lt;&lt; Seleccionar&gt;&gt;]])</f>
        <v>Huánuco_</v>
      </c>
      <c r="H209" s="60" t="e">
        <f>VLOOKUP(Tabla18[[#This Row],[Concatenado***]],Tabla2[[#All],[Concatenado]:[Simbología*]],2,0)</f>
        <v>#N/A</v>
      </c>
      <c r="I209" s="65" t="str">
        <f>CONCATENATE(Tabla18[[#This Row],[Concatenado***]],"_",Tabla5[[#This Row],[Zona (Distrito)
&lt;&lt; Seleccionar&gt;&gt;]])</f>
        <v>Huánuco__</v>
      </c>
      <c r="J2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9" s="72" t="e">
        <f>VLOOKUP(Tabla5[[#This Row],[Tipo de Transporte Empleado
&lt;&lt; Seleccionar&gt;&gt;]],Tabla8[#All],2,0)</f>
        <v>#N/A</v>
      </c>
      <c r="L209" s="71" t="e">
        <f>#REF!+(#REF!*2)+#REF!</f>
        <v>#REF!</v>
      </c>
    </row>
    <row r="210" spans="1:12" x14ac:dyDescent="0.25">
      <c r="A210" s="328" t="e">
        <f>VLOOKUP(Tabla5[[#This Row],[Acción
&lt;&lt; Seleccionar&gt;&gt;]],TablaAccion[[#All],[Nombre_Abreviado]:[Codigo_Plan_Acción]],3,0)</f>
        <v>#N/A</v>
      </c>
      <c r="B210" s="328" t="e">
        <f>VLOOKUP(Tabla5[[#This Row],[Acción Especifica
&lt;&lt; Seleccionar&gt;&gt;]],TablaAccionEspecifica[[#All],[Nombre_Abreviado]:[Codigo_Acción]],3,0)</f>
        <v>#N/A</v>
      </c>
      <c r="C210" s="328" t="e">
        <f>CONCATENATE(Tabla18[[#This Row],[Bus_02]],"_",Tabla5[[#This Row],[Sub Acción Específica
&lt;&lt; Seleccionar&gt;&gt;]])</f>
        <v>#N/A</v>
      </c>
      <c r="D210" s="328" t="e">
        <f>VLOOKUP(Tabla18[[#This Row],[Aux_01]],TablaSubAccionEspecifica[[#All],[Concat]:[Cod_Sub_acción_especifica]],2,0)</f>
        <v>#N/A</v>
      </c>
      <c r="E210" s="328" t="e">
        <f>Tabla18[[#This Row],[Bus_03]]&amp;"_"&amp;Tabla5[[#This Row],[Tipo de Agente
&lt;&lt; Seleccionar&gt;&gt;]]</f>
        <v>#N/A</v>
      </c>
      <c r="F210" s="328" t="e">
        <f>VLOOKUP(Tabla18[[#This Row],[Concat2]],TablaPOA[[#All],[Concat]:[ConcatEspecial]],3,0)</f>
        <v>#N/A</v>
      </c>
      <c r="G210" s="65" t="str">
        <f>CONCATENATE(Registro!$A$6,"_",Tabla5[[#This Row],[Zona (Provincia)
&lt;&lt; Seleccionar&gt;&gt;]])</f>
        <v>Huánuco_</v>
      </c>
      <c r="H210" s="60" t="e">
        <f>VLOOKUP(Tabla18[[#This Row],[Concatenado***]],Tabla2[[#All],[Concatenado]:[Simbología*]],2,0)</f>
        <v>#N/A</v>
      </c>
      <c r="I210" s="65" t="str">
        <f>CONCATENATE(Tabla18[[#This Row],[Concatenado***]],"_",Tabla5[[#This Row],[Zona (Distrito)
&lt;&lt; Seleccionar&gt;&gt;]])</f>
        <v>Huánuco__</v>
      </c>
      <c r="J2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0" s="72" t="e">
        <f>VLOOKUP(Tabla5[[#This Row],[Tipo de Transporte Empleado
&lt;&lt; Seleccionar&gt;&gt;]],Tabla8[#All],2,0)</f>
        <v>#N/A</v>
      </c>
      <c r="L210" s="71" t="e">
        <f>#REF!+(#REF!*2)+#REF!</f>
        <v>#REF!</v>
      </c>
    </row>
    <row r="211" spans="1:12" x14ac:dyDescent="0.25">
      <c r="A211" s="328" t="e">
        <f>VLOOKUP(Tabla5[[#This Row],[Acción
&lt;&lt; Seleccionar&gt;&gt;]],TablaAccion[[#All],[Nombre_Abreviado]:[Codigo_Plan_Acción]],3,0)</f>
        <v>#N/A</v>
      </c>
      <c r="B211" s="328" t="e">
        <f>VLOOKUP(Tabla5[[#This Row],[Acción Especifica
&lt;&lt; Seleccionar&gt;&gt;]],TablaAccionEspecifica[[#All],[Nombre_Abreviado]:[Codigo_Acción]],3,0)</f>
        <v>#N/A</v>
      </c>
      <c r="C211" s="328" t="e">
        <f>CONCATENATE(Tabla18[[#This Row],[Bus_02]],"_",Tabla5[[#This Row],[Sub Acción Específica
&lt;&lt; Seleccionar&gt;&gt;]])</f>
        <v>#N/A</v>
      </c>
      <c r="D211" s="328" t="e">
        <f>VLOOKUP(Tabla18[[#This Row],[Aux_01]],TablaSubAccionEspecifica[[#All],[Concat]:[Cod_Sub_acción_especifica]],2,0)</f>
        <v>#N/A</v>
      </c>
      <c r="E211" s="328" t="e">
        <f>Tabla18[[#This Row],[Bus_03]]&amp;"_"&amp;Tabla5[[#This Row],[Tipo de Agente
&lt;&lt; Seleccionar&gt;&gt;]]</f>
        <v>#N/A</v>
      </c>
      <c r="F211" s="328" t="e">
        <f>VLOOKUP(Tabla18[[#This Row],[Concat2]],TablaPOA[[#All],[Concat]:[ConcatEspecial]],3,0)</f>
        <v>#N/A</v>
      </c>
      <c r="G211" s="65" t="str">
        <f>CONCATENATE(Registro!$A$6,"_",Tabla5[[#This Row],[Zona (Provincia)
&lt;&lt; Seleccionar&gt;&gt;]])</f>
        <v>Huánuco_</v>
      </c>
      <c r="H211" s="60" t="e">
        <f>VLOOKUP(Tabla18[[#This Row],[Concatenado***]],Tabla2[[#All],[Concatenado]:[Simbología*]],2,0)</f>
        <v>#N/A</v>
      </c>
      <c r="I211" s="65" t="str">
        <f>CONCATENATE(Tabla18[[#This Row],[Concatenado***]],"_",Tabla5[[#This Row],[Zona (Distrito)
&lt;&lt; Seleccionar&gt;&gt;]])</f>
        <v>Huánuco__</v>
      </c>
      <c r="J2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1" s="72" t="e">
        <f>VLOOKUP(Tabla5[[#This Row],[Tipo de Transporte Empleado
&lt;&lt; Seleccionar&gt;&gt;]],Tabla8[#All],2,0)</f>
        <v>#N/A</v>
      </c>
      <c r="L211" s="71" t="e">
        <f>#REF!+(#REF!*2)+#REF!</f>
        <v>#REF!</v>
      </c>
    </row>
    <row r="212" spans="1:12" x14ac:dyDescent="0.25">
      <c r="A212" s="328" t="e">
        <f>VLOOKUP(Tabla5[[#This Row],[Acción
&lt;&lt; Seleccionar&gt;&gt;]],TablaAccion[[#All],[Nombre_Abreviado]:[Codigo_Plan_Acción]],3,0)</f>
        <v>#N/A</v>
      </c>
      <c r="B212" s="328" t="e">
        <f>VLOOKUP(Tabla5[[#This Row],[Acción Especifica
&lt;&lt; Seleccionar&gt;&gt;]],TablaAccionEspecifica[[#All],[Nombre_Abreviado]:[Codigo_Acción]],3,0)</f>
        <v>#N/A</v>
      </c>
      <c r="C212" s="328" t="e">
        <f>CONCATENATE(Tabla18[[#This Row],[Bus_02]],"_",Tabla5[[#This Row],[Sub Acción Específica
&lt;&lt; Seleccionar&gt;&gt;]])</f>
        <v>#N/A</v>
      </c>
      <c r="D212" s="328" t="e">
        <f>VLOOKUP(Tabla18[[#This Row],[Aux_01]],TablaSubAccionEspecifica[[#All],[Concat]:[Cod_Sub_acción_especifica]],2,0)</f>
        <v>#N/A</v>
      </c>
      <c r="E212" s="328" t="e">
        <f>Tabla18[[#This Row],[Bus_03]]&amp;"_"&amp;Tabla5[[#This Row],[Tipo de Agente
&lt;&lt; Seleccionar&gt;&gt;]]</f>
        <v>#N/A</v>
      </c>
      <c r="F212" s="328" t="e">
        <f>VLOOKUP(Tabla18[[#This Row],[Concat2]],TablaPOA[[#All],[Concat]:[ConcatEspecial]],3,0)</f>
        <v>#N/A</v>
      </c>
      <c r="G212" s="65" t="str">
        <f>CONCATENATE(Registro!$A$6,"_",Tabla5[[#This Row],[Zona (Provincia)
&lt;&lt; Seleccionar&gt;&gt;]])</f>
        <v>Huánuco_</v>
      </c>
      <c r="H212" s="60" t="e">
        <f>VLOOKUP(Tabla18[[#This Row],[Concatenado***]],Tabla2[[#All],[Concatenado]:[Simbología*]],2,0)</f>
        <v>#N/A</v>
      </c>
      <c r="I212" s="65" t="str">
        <f>CONCATENATE(Tabla18[[#This Row],[Concatenado***]],"_",Tabla5[[#This Row],[Zona (Distrito)
&lt;&lt; Seleccionar&gt;&gt;]])</f>
        <v>Huánuco__</v>
      </c>
      <c r="J2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2" s="72" t="e">
        <f>VLOOKUP(Tabla5[[#This Row],[Tipo de Transporte Empleado
&lt;&lt; Seleccionar&gt;&gt;]],Tabla8[#All],2,0)</f>
        <v>#N/A</v>
      </c>
      <c r="L212" s="71" t="e">
        <f>#REF!+(#REF!*2)+#REF!</f>
        <v>#REF!</v>
      </c>
    </row>
    <row r="213" spans="1:12" x14ac:dyDescent="0.25">
      <c r="A213" s="328" t="e">
        <f>VLOOKUP(Tabla5[[#This Row],[Acción
&lt;&lt; Seleccionar&gt;&gt;]],TablaAccion[[#All],[Nombre_Abreviado]:[Codigo_Plan_Acción]],3,0)</f>
        <v>#N/A</v>
      </c>
      <c r="B213" s="328" t="e">
        <f>VLOOKUP(Tabla5[[#This Row],[Acción Especifica
&lt;&lt; Seleccionar&gt;&gt;]],TablaAccionEspecifica[[#All],[Nombre_Abreviado]:[Codigo_Acción]],3,0)</f>
        <v>#N/A</v>
      </c>
      <c r="C213" s="328" t="e">
        <f>CONCATENATE(Tabla18[[#This Row],[Bus_02]],"_",Tabla5[[#This Row],[Sub Acción Específica
&lt;&lt; Seleccionar&gt;&gt;]])</f>
        <v>#N/A</v>
      </c>
      <c r="D213" s="328" t="e">
        <f>VLOOKUP(Tabla18[[#This Row],[Aux_01]],TablaSubAccionEspecifica[[#All],[Concat]:[Cod_Sub_acción_especifica]],2,0)</f>
        <v>#N/A</v>
      </c>
      <c r="E213" s="328" t="e">
        <f>Tabla18[[#This Row],[Bus_03]]&amp;"_"&amp;Tabla5[[#This Row],[Tipo de Agente
&lt;&lt; Seleccionar&gt;&gt;]]</f>
        <v>#N/A</v>
      </c>
      <c r="F213" s="328" t="e">
        <f>VLOOKUP(Tabla18[[#This Row],[Concat2]],TablaPOA[[#All],[Concat]:[ConcatEspecial]],3,0)</f>
        <v>#N/A</v>
      </c>
      <c r="G213" s="65" t="str">
        <f>CONCATENATE(Registro!$A$6,"_",Tabla5[[#This Row],[Zona (Provincia)
&lt;&lt; Seleccionar&gt;&gt;]])</f>
        <v>Huánuco_</v>
      </c>
      <c r="H213" s="60" t="e">
        <f>VLOOKUP(Tabla18[[#This Row],[Concatenado***]],Tabla2[[#All],[Concatenado]:[Simbología*]],2,0)</f>
        <v>#N/A</v>
      </c>
      <c r="I213" s="65" t="str">
        <f>CONCATENATE(Tabla18[[#This Row],[Concatenado***]],"_",Tabla5[[#This Row],[Zona (Distrito)
&lt;&lt; Seleccionar&gt;&gt;]])</f>
        <v>Huánuco__</v>
      </c>
      <c r="J2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3" s="72" t="e">
        <f>VLOOKUP(Tabla5[[#This Row],[Tipo de Transporte Empleado
&lt;&lt; Seleccionar&gt;&gt;]],Tabla8[#All],2,0)</f>
        <v>#N/A</v>
      </c>
      <c r="L213" s="71" t="e">
        <f>#REF!+(#REF!*2)+#REF!</f>
        <v>#REF!</v>
      </c>
    </row>
    <row r="214" spans="1:12" x14ac:dyDescent="0.25">
      <c r="A214" s="328" t="e">
        <f>VLOOKUP(Tabla5[[#This Row],[Acción
&lt;&lt; Seleccionar&gt;&gt;]],TablaAccion[[#All],[Nombre_Abreviado]:[Codigo_Plan_Acción]],3,0)</f>
        <v>#N/A</v>
      </c>
      <c r="B214" s="328" t="e">
        <f>VLOOKUP(Tabla5[[#This Row],[Acción Especifica
&lt;&lt; Seleccionar&gt;&gt;]],TablaAccionEspecifica[[#All],[Nombre_Abreviado]:[Codigo_Acción]],3,0)</f>
        <v>#N/A</v>
      </c>
      <c r="C214" s="328" t="e">
        <f>CONCATENATE(Tabla18[[#This Row],[Bus_02]],"_",Tabla5[[#This Row],[Sub Acción Específica
&lt;&lt; Seleccionar&gt;&gt;]])</f>
        <v>#N/A</v>
      </c>
      <c r="D214" s="328" t="e">
        <f>VLOOKUP(Tabla18[[#This Row],[Aux_01]],TablaSubAccionEspecifica[[#All],[Concat]:[Cod_Sub_acción_especifica]],2,0)</f>
        <v>#N/A</v>
      </c>
      <c r="E214" s="328" t="e">
        <f>Tabla18[[#This Row],[Bus_03]]&amp;"_"&amp;Tabla5[[#This Row],[Tipo de Agente
&lt;&lt; Seleccionar&gt;&gt;]]</f>
        <v>#N/A</v>
      </c>
      <c r="F214" s="328" t="e">
        <f>VLOOKUP(Tabla18[[#This Row],[Concat2]],TablaPOA[[#All],[Concat]:[ConcatEspecial]],3,0)</f>
        <v>#N/A</v>
      </c>
      <c r="G214" s="65" t="str">
        <f>CONCATENATE(Registro!$A$6,"_",Tabla5[[#This Row],[Zona (Provincia)
&lt;&lt; Seleccionar&gt;&gt;]])</f>
        <v>Huánuco_</v>
      </c>
      <c r="H214" s="60" t="e">
        <f>VLOOKUP(Tabla18[[#This Row],[Concatenado***]],Tabla2[[#All],[Concatenado]:[Simbología*]],2,0)</f>
        <v>#N/A</v>
      </c>
      <c r="I214" s="65" t="str">
        <f>CONCATENATE(Tabla18[[#This Row],[Concatenado***]],"_",Tabla5[[#This Row],[Zona (Distrito)
&lt;&lt; Seleccionar&gt;&gt;]])</f>
        <v>Huánuco__</v>
      </c>
      <c r="J2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4" s="72" t="e">
        <f>VLOOKUP(Tabla5[[#This Row],[Tipo de Transporte Empleado
&lt;&lt; Seleccionar&gt;&gt;]],Tabla8[#All],2,0)</f>
        <v>#N/A</v>
      </c>
      <c r="L214" s="71" t="e">
        <f>#REF!+(#REF!*2)+#REF!</f>
        <v>#REF!</v>
      </c>
    </row>
    <row r="215" spans="1:12" x14ac:dyDescent="0.25">
      <c r="A215" s="328" t="e">
        <f>VLOOKUP(Tabla5[[#This Row],[Acción
&lt;&lt; Seleccionar&gt;&gt;]],TablaAccion[[#All],[Nombre_Abreviado]:[Codigo_Plan_Acción]],3,0)</f>
        <v>#N/A</v>
      </c>
      <c r="B215" s="328" t="e">
        <f>VLOOKUP(Tabla5[[#This Row],[Acción Especifica
&lt;&lt; Seleccionar&gt;&gt;]],TablaAccionEspecifica[[#All],[Nombre_Abreviado]:[Codigo_Acción]],3,0)</f>
        <v>#N/A</v>
      </c>
      <c r="C215" s="328" t="e">
        <f>CONCATENATE(Tabla18[[#This Row],[Bus_02]],"_",Tabla5[[#This Row],[Sub Acción Específica
&lt;&lt; Seleccionar&gt;&gt;]])</f>
        <v>#N/A</v>
      </c>
      <c r="D215" s="328" t="e">
        <f>VLOOKUP(Tabla18[[#This Row],[Aux_01]],TablaSubAccionEspecifica[[#All],[Concat]:[Cod_Sub_acción_especifica]],2,0)</f>
        <v>#N/A</v>
      </c>
      <c r="E215" s="328" t="e">
        <f>Tabla18[[#This Row],[Bus_03]]&amp;"_"&amp;Tabla5[[#This Row],[Tipo de Agente
&lt;&lt; Seleccionar&gt;&gt;]]</f>
        <v>#N/A</v>
      </c>
      <c r="F215" s="328" t="e">
        <f>VLOOKUP(Tabla18[[#This Row],[Concat2]],TablaPOA[[#All],[Concat]:[ConcatEspecial]],3,0)</f>
        <v>#N/A</v>
      </c>
      <c r="G215" s="65" t="str">
        <f>CONCATENATE(Registro!$A$6,"_",Tabla5[[#This Row],[Zona (Provincia)
&lt;&lt; Seleccionar&gt;&gt;]])</f>
        <v>Huánuco_</v>
      </c>
      <c r="H215" s="60" t="e">
        <f>VLOOKUP(Tabla18[[#This Row],[Concatenado***]],Tabla2[[#All],[Concatenado]:[Simbología*]],2,0)</f>
        <v>#N/A</v>
      </c>
      <c r="I215" s="65" t="str">
        <f>CONCATENATE(Tabla18[[#This Row],[Concatenado***]],"_",Tabla5[[#This Row],[Zona (Distrito)
&lt;&lt; Seleccionar&gt;&gt;]])</f>
        <v>Huánuco__</v>
      </c>
      <c r="J2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5" s="72" t="e">
        <f>VLOOKUP(Tabla5[[#This Row],[Tipo de Transporte Empleado
&lt;&lt; Seleccionar&gt;&gt;]],Tabla8[#All],2,0)</f>
        <v>#N/A</v>
      </c>
      <c r="L215" s="71" t="e">
        <f>#REF!+(#REF!*2)+#REF!</f>
        <v>#REF!</v>
      </c>
    </row>
    <row r="216" spans="1:12" x14ac:dyDescent="0.25">
      <c r="A216" s="328" t="e">
        <f>VLOOKUP(Tabla5[[#This Row],[Acción
&lt;&lt; Seleccionar&gt;&gt;]],TablaAccion[[#All],[Nombre_Abreviado]:[Codigo_Plan_Acción]],3,0)</f>
        <v>#N/A</v>
      </c>
      <c r="B216" s="328" t="e">
        <f>VLOOKUP(Tabla5[[#This Row],[Acción Especifica
&lt;&lt; Seleccionar&gt;&gt;]],TablaAccionEspecifica[[#All],[Nombre_Abreviado]:[Codigo_Acción]],3,0)</f>
        <v>#N/A</v>
      </c>
      <c r="C216" s="328" t="e">
        <f>CONCATENATE(Tabla18[[#This Row],[Bus_02]],"_",Tabla5[[#This Row],[Sub Acción Específica
&lt;&lt; Seleccionar&gt;&gt;]])</f>
        <v>#N/A</v>
      </c>
      <c r="D216" s="328" t="e">
        <f>VLOOKUP(Tabla18[[#This Row],[Aux_01]],TablaSubAccionEspecifica[[#All],[Concat]:[Cod_Sub_acción_especifica]],2,0)</f>
        <v>#N/A</v>
      </c>
      <c r="E216" s="328" t="e">
        <f>Tabla18[[#This Row],[Bus_03]]&amp;"_"&amp;Tabla5[[#This Row],[Tipo de Agente
&lt;&lt; Seleccionar&gt;&gt;]]</f>
        <v>#N/A</v>
      </c>
      <c r="F216" s="328" t="e">
        <f>VLOOKUP(Tabla18[[#This Row],[Concat2]],TablaPOA[[#All],[Concat]:[ConcatEspecial]],3,0)</f>
        <v>#N/A</v>
      </c>
      <c r="G216" s="65" t="str">
        <f>CONCATENATE(Registro!$A$6,"_",Tabla5[[#This Row],[Zona (Provincia)
&lt;&lt; Seleccionar&gt;&gt;]])</f>
        <v>Huánuco_</v>
      </c>
      <c r="H216" s="60" t="e">
        <f>VLOOKUP(Tabla18[[#This Row],[Concatenado***]],Tabla2[[#All],[Concatenado]:[Simbología*]],2,0)</f>
        <v>#N/A</v>
      </c>
      <c r="I216" s="65" t="str">
        <f>CONCATENATE(Tabla18[[#This Row],[Concatenado***]],"_",Tabla5[[#This Row],[Zona (Distrito)
&lt;&lt; Seleccionar&gt;&gt;]])</f>
        <v>Huánuco__</v>
      </c>
      <c r="J2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6" s="72" t="e">
        <f>VLOOKUP(Tabla5[[#This Row],[Tipo de Transporte Empleado
&lt;&lt; Seleccionar&gt;&gt;]],Tabla8[#All],2,0)</f>
        <v>#N/A</v>
      </c>
      <c r="L216" s="71" t="e">
        <f>#REF!+(#REF!*2)+#REF!</f>
        <v>#REF!</v>
      </c>
    </row>
    <row r="217" spans="1:12" x14ac:dyDescent="0.25">
      <c r="A217" s="328" t="e">
        <f>VLOOKUP(Tabla5[[#This Row],[Acción
&lt;&lt; Seleccionar&gt;&gt;]],TablaAccion[[#All],[Nombre_Abreviado]:[Codigo_Plan_Acción]],3,0)</f>
        <v>#N/A</v>
      </c>
      <c r="B217" s="328" t="e">
        <f>VLOOKUP(Tabla5[[#This Row],[Acción Especifica
&lt;&lt; Seleccionar&gt;&gt;]],TablaAccionEspecifica[[#All],[Nombre_Abreviado]:[Codigo_Acción]],3,0)</f>
        <v>#N/A</v>
      </c>
      <c r="C217" s="328" t="e">
        <f>CONCATENATE(Tabla18[[#This Row],[Bus_02]],"_",Tabla5[[#This Row],[Sub Acción Específica
&lt;&lt; Seleccionar&gt;&gt;]])</f>
        <v>#N/A</v>
      </c>
      <c r="D217" s="328" t="e">
        <f>VLOOKUP(Tabla18[[#This Row],[Aux_01]],TablaSubAccionEspecifica[[#All],[Concat]:[Cod_Sub_acción_especifica]],2,0)</f>
        <v>#N/A</v>
      </c>
      <c r="E217" s="328" t="e">
        <f>Tabla18[[#This Row],[Bus_03]]&amp;"_"&amp;Tabla5[[#This Row],[Tipo de Agente
&lt;&lt; Seleccionar&gt;&gt;]]</f>
        <v>#N/A</v>
      </c>
      <c r="F217" s="328" t="e">
        <f>VLOOKUP(Tabla18[[#This Row],[Concat2]],TablaPOA[[#All],[Concat]:[ConcatEspecial]],3,0)</f>
        <v>#N/A</v>
      </c>
      <c r="G217" s="65" t="str">
        <f>CONCATENATE(Registro!$A$6,"_",Tabla5[[#This Row],[Zona (Provincia)
&lt;&lt; Seleccionar&gt;&gt;]])</f>
        <v>Huánuco_</v>
      </c>
      <c r="H217" s="60" t="e">
        <f>VLOOKUP(Tabla18[[#This Row],[Concatenado***]],Tabla2[[#All],[Concatenado]:[Simbología*]],2,0)</f>
        <v>#N/A</v>
      </c>
      <c r="I217" s="65" t="str">
        <f>CONCATENATE(Tabla18[[#This Row],[Concatenado***]],"_",Tabla5[[#This Row],[Zona (Distrito)
&lt;&lt; Seleccionar&gt;&gt;]])</f>
        <v>Huánuco__</v>
      </c>
      <c r="J2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7" s="72" t="e">
        <f>VLOOKUP(Tabla5[[#This Row],[Tipo de Transporte Empleado
&lt;&lt; Seleccionar&gt;&gt;]],Tabla8[#All],2,0)</f>
        <v>#N/A</v>
      </c>
      <c r="L217" s="71" t="e">
        <f>#REF!+(#REF!*2)+#REF!</f>
        <v>#REF!</v>
      </c>
    </row>
    <row r="218" spans="1:12" x14ac:dyDescent="0.25">
      <c r="A218" s="328" t="e">
        <f>VLOOKUP(Tabla5[[#This Row],[Acción
&lt;&lt; Seleccionar&gt;&gt;]],TablaAccion[[#All],[Nombre_Abreviado]:[Codigo_Plan_Acción]],3,0)</f>
        <v>#N/A</v>
      </c>
      <c r="B218" s="328" t="e">
        <f>VLOOKUP(Tabla5[[#This Row],[Acción Especifica
&lt;&lt; Seleccionar&gt;&gt;]],TablaAccionEspecifica[[#All],[Nombre_Abreviado]:[Codigo_Acción]],3,0)</f>
        <v>#N/A</v>
      </c>
      <c r="C218" s="328" t="e">
        <f>CONCATENATE(Tabla18[[#This Row],[Bus_02]],"_",Tabla5[[#This Row],[Sub Acción Específica
&lt;&lt; Seleccionar&gt;&gt;]])</f>
        <v>#N/A</v>
      </c>
      <c r="D218" s="328" t="e">
        <f>VLOOKUP(Tabla18[[#This Row],[Aux_01]],TablaSubAccionEspecifica[[#All],[Concat]:[Cod_Sub_acción_especifica]],2,0)</f>
        <v>#N/A</v>
      </c>
      <c r="E218" s="328" t="e">
        <f>Tabla18[[#This Row],[Bus_03]]&amp;"_"&amp;Tabla5[[#This Row],[Tipo de Agente
&lt;&lt; Seleccionar&gt;&gt;]]</f>
        <v>#N/A</v>
      </c>
      <c r="F218" s="328" t="e">
        <f>VLOOKUP(Tabla18[[#This Row],[Concat2]],TablaPOA[[#All],[Concat]:[ConcatEspecial]],3,0)</f>
        <v>#N/A</v>
      </c>
      <c r="G218" s="65" t="str">
        <f>CONCATENATE(Registro!$A$6,"_",Tabla5[[#This Row],[Zona (Provincia)
&lt;&lt; Seleccionar&gt;&gt;]])</f>
        <v>Huánuco_</v>
      </c>
      <c r="H218" s="60" t="e">
        <f>VLOOKUP(Tabla18[[#This Row],[Concatenado***]],Tabla2[[#All],[Concatenado]:[Simbología*]],2,0)</f>
        <v>#N/A</v>
      </c>
      <c r="I218" s="65" t="str">
        <f>CONCATENATE(Tabla18[[#This Row],[Concatenado***]],"_",Tabla5[[#This Row],[Zona (Distrito)
&lt;&lt; Seleccionar&gt;&gt;]])</f>
        <v>Huánuco__</v>
      </c>
      <c r="J2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8" s="72" t="e">
        <f>VLOOKUP(Tabla5[[#This Row],[Tipo de Transporte Empleado
&lt;&lt; Seleccionar&gt;&gt;]],Tabla8[#All],2,0)</f>
        <v>#N/A</v>
      </c>
      <c r="L218" s="71" t="e">
        <f>#REF!+(#REF!*2)+#REF!</f>
        <v>#REF!</v>
      </c>
    </row>
    <row r="219" spans="1:12" x14ac:dyDescent="0.25">
      <c r="A219" s="328" t="e">
        <f>VLOOKUP(Tabla5[[#This Row],[Acción
&lt;&lt; Seleccionar&gt;&gt;]],TablaAccion[[#All],[Nombre_Abreviado]:[Codigo_Plan_Acción]],3,0)</f>
        <v>#N/A</v>
      </c>
      <c r="B219" s="328" t="e">
        <f>VLOOKUP(Tabla5[[#This Row],[Acción Especifica
&lt;&lt; Seleccionar&gt;&gt;]],TablaAccionEspecifica[[#All],[Nombre_Abreviado]:[Codigo_Acción]],3,0)</f>
        <v>#N/A</v>
      </c>
      <c r="C219" s="328" t="e">
        <f>CONCATENATE(Tabla18[[#This Row],[Bus_02]],"_",Tabla5[[#This Row],[Sub Acción Específica
&lt;&lt; Seleccionar&gt;&gt;]])</f>
        <v>#N/A</v>
      </c>
      <c r="D219" s="328" t="e">
        <f>VLOOKUP(Tabla18[[#This Row],[Aux_01]],TablaSubAccionEspecifica[[#All],[Concat]:[Cod_Sub_acción_especifica]],2,0)</f>
        <v>#N/A</v>
      </c>
      <c r="E219" s="328" t="e">
        <f>Tabla18[[#This Row],[Bus_03]]&amp;"_"&amp;Tabla5[[#This Row],[Tipo de Agente
&lt;&lt; Seleccionar&gt;&gt;]]</f>
        <v>#N/A</v>
      </c>
      <c r="F219" s="328" t="e">
        <f>VLOOKUP(Tabla18[[#This Row],[Concat2]],TablaPOA[[#All],[Concat]:[ConcatEspecial]],3,0)</f>
        <v>#N/A</v>
      </c>
      <c r="G219" s="65" t="str">
        <f>CONCATENATE(Registro!$A$6,"_",Tabla5[[#This Row],[Zona (Provincia)
&lt;&lt; Seleccionar&gt;&gt;]])</f>
        <v>Huánuco_</v>
      </c>
      <c r="H219" s="60" t="e">
        <f>VLOOKUP(Tabla18[[#This Row],[Concatenado***]],Tabla2[[#All],[Concatenado]:[Simbología*]],2,0)</f>
        <v>#N/A</v>
      </c>
      <c r="I219" s="65" t="str">
        <f>CONCATENATE(Tabla18[[#This Row],[Concatenado***]],"_",Tabla5[[#This Row],[Zona (Distrito)
&lt;&lt; Seleccionar&gt;&gt;]])</f>
        <v>Huánuco__</v>
      </c>
      <c r="J2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9" s="72" t="e">
        <f>VLOOKUP(Tabla5[[#This Row],[Tipo de Transporte Empleado
&lt;&lt; Seleccionar&gt;&gt;]],Tabla8[#All],2,0)</f>
        <v>#N/A</v>
      </c>
      <c r="L219" s="71" t="e">
        <f>#REF!+(#REF!*2)+#REF!</f>
        <v>#REF!</v>
      </c>
    </row>
    <row r="220" spans="1:12" x14ac:dyDescent="0.25">
      <c r="A220" s="328" t="e">
        <f>VLOOKUP(Tabla5[[#This Row],[Acción
&lt;&lt; Seleccionar&gt;&gt;]],TablaAccion[[#All],[Nombre_Abreviado]:[Codigo_Plan_Acción]],3,0)</f>
        <v>#N/A</v>
      </c>
      <c r="B220" s="328" t="e">
        <f>VLOOKUP(Tabla5[[#This Row],[Acción Especifica
&lt;&lt; Seleccionar&gt;&gt;]],TablaAccionEspecifica[[#All],[Nombre_Abreviado]:[Codigo_Acción]],3,0)</f>
        <v>#N/A</v>
      </c>
      <c r="C220" s="328" t="e">
        <f>CONCATENATE(Tabla18[[#This Row],[Bus_02]],"_",Tabla5[[#This Row],[Sub Acción Específica
&lt;&lt; Seleccionar&gt;&gt;]])</f>
        <v>#N/A</v>
      </c>
      <c r="D220" s="328" t="e">
        <f>VLOOKUP(Tabla18[[#This Row],[Aux_01]],TablaSubAccionEspecifica[[#All],[Concat]:[Cod_Sub_acción_especifica]],2,0)</f>
        <v>#N/A</v>
      </c>
      <c r="E220" s="328" t="e">
        <f>Tabla18[[#This Row],[Bus_03]]&amp;"_"&amp;Tabla5[[#This Row],[Tipo de Agente
&lt;&lt; Seleccionar&gt;&gt;]]</f>
        <v>#N/A</v>
      </c>
      <c r="F220" s="328" t="e">
        <f>VLOOKUP(Tabla18[[#This Row],[Concat2]],TablaPOA[[#All],[Concat]:[ConcatEspecial]],3,0)</f>
        <v>#N/A</v>
      </c>
      <c r="G220" s="65" t="str">
        <f>CONCATENATE(Registro!$A$6,"_",Tabla5[[#This Row],[Zona (Provincia)
&lt;&lt; Seleccionar&gt;&gt;]])</f>
        <v>Huánuco_</v>
      </c>
      <c r="H220" s="60" t="e">
        <f>VLOOKUP(Tabla18[[#This Row],[Concatenado***]],Tabla2[[#All],[Concatenado]:[Simbología*]],2,0)</f>
        <v>#N/A</v>
      </c>
      <c r="I220" s="65" t="str">
        <f>CONCATENATE(Tabla18[[#This Row],[Concatenado***]],"_",Tabla5[[#This Row],[Zona (Distrito)
&lt;&lt; Seleccionar&gt;&gt;]])</f>
        <v>Huánuco__</v>
      </c>
      <c r="J2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0" s="72" t="e">
        <f>VLOOKUP(Tabla5[[#This Row],[Tipo de Transporte Empleado
&lt;&lt; Seleccionar&gt;&gt;]],Tabla8[#All],2,0)</f>
        <v>#N/A</v>
      </c>
      <c r="L220" s="71" t="e">
        <f>#REF!+(#REF!*2)+#REF!</f>
        <v>#REF!</v>
      </c>
    </row>
    <row r="221" spans="1:12" x14ac:dyDescent="0.25">
      <c r="A221" s="328" t="e">
        <f>VLOOKUP(Tabla5[[#This Row],[Acción
&lt;&lt; Seleccionar&gt;&gt;]],TablaAccion[[#All],[Nombre_Abreviado]:[Codigo_Plan_Acción]],3,0)</f>
        <v>#N/A</v>
      </c>
      <c r="B221" s="328" t="e">
        <f>VLOOKUP(Tabla5[[#This Row],[Acción Especifica
&lt;&lt; Seleccionar&gt;&gt;]],TablaAccionEspecifica[[#All],[Nombre_Abreviado]:[Codigo_Acción]],3,0)</f>
        <v>#N/A</v>
      </c>
      <c r="C221" s="328" t="e">
        <f>CONCATENATE(Tabla18[[#This Row],[Bus_02]],"_",Tabla5[[#This Row],[Sub Acción Específica
&lt;&lt; Seleccionar&gt;&gt;]])</f>
        <v>#N/A</v>
      </c>
      <c r="D221" s="328" t="e">
        <f>VLOOKUP(Tabla18[[#This Row],[Aux_01]],TablaSubAccionEspecifica[[#All],[Concat]:[Cod_Sub_acción_especifica]],2,0)</f>
        <v>#N/A</v>
      </c>
      <c r="E221" s="328" t="e">
        <f>Tabla18[[#This Row],[Bus_03]]&amp;"_"&amp;Tabla5[[#This Row],[Tipo de Agente
&lt;&lt; Seleccionar&gt;&gt;]]</f>
        <v>#N/A</v>
      </c>
      <c r="F221" s="328" t="e">
        <f>VLOOKUP(Tabla18[[#This Row],[Concat2]],TablaPOA[[#All],[Concat]:[ConcatEspecial]],3,0)</f>
        <v>#N/A</v>
      </c>
      <c r="G221" s="65" t="str">
        <f>CONCATENATE(Registro!$A$6,"_",Tabla5[[#This Row],[Zona (Provincia)
&lt;&lt; Seleccionar&gt;&gt;]])</f>
        <v>Huánuco_</v>
      </c>
      <c r="H221" s="60" t="e">
        <f>VLOOKUP(Tabla18[[#This Row],[Concatenado***]],Tabla2[[#All],[Concatenado]:[Simbología*]],2,0)</f>
        <v>#N/A</v>
      </c>
      <c r="I221" s="65" t="str">
        <f>CONCATENATE(Tabla18[[#This Row],[Concatenado***]],"_",Tabla5[[#This Row],[Zona (Distrito)
&lt;&lt; Seleccionar&gt;&gt;]])</f>
        <v>Huánuco__</v>
      </c>
      <c r="J2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1" s="72" t="e">
        <f>VLOOKUP(Tabla5[[#This Row],[Tipo de Transporte Empleado
&lt;&lt; Seleccionar&gt;&gt;]],Tabla8[#All],2,0)</f>
        <v>#N/A</v>
      </c>
      <c r="L221" s="71" t="e">
        <f>#REF!+(#REF!*2)+#REF!</f>
        <v>#REF!</v>
      </c>
    </row>
    <row r="222" spans="1:12" x14ac:dyDescent="0.25">
      <c r="A222" s="328" t="e">
        <f>VLOOKUP(Tabla5[[#This Row],[Acción
&lt;&lt; Seleccionar&gt;&gt;]],TablaAccion[[#All],[Nombre_Abreviado]:[Codigo_Plan_Acción]],3,0)</f>
        <v>#N/A</v>
      </c>
      <c r="B222" s="328" t="e">
        <f>VLOOKUP(Tabla5[[#This Row],[Acción Especifica
&lt;&lt; Seleccionar&gt;&gt;]],TablaAccionEspecifica[[#All],[Nombre_Abreviado]:[Codigo_Acción]],3,0)</f>
        <v>#N/A</v>
      </c>
      <c r="C222" s="328" t="e">
        <f>CONCATENATE(Tabla18[[#This Row],[Bus_02]],"_",Tabla5[[#This Row],[Sub Acción Específica
&lt;&lt; Seleccionar&gt;&gt;]])</f>
        <v>#N/A</v>
      </c>
      <c r="D222" s="328" t="e">
        <f>VLOOKUP(Tabla18[[#This Row],[Aux_01]],TablaSubAccionEspecifica[[#All],[Concat]:[Cod_Sub_acción_especifica]],2,0)</f>
        <v>#N/A</v>
      </c>
      <c r="E222" s="328" t="e">
        <f>Tabla18[[#This Row],[Bus_03]]&amp;"_"&amp;Tabla5[[#This Row],[Tipo de Agente
&lt;&lt; Seleccionar&gt;&gt;]]</f>
        <v>#N/A</v>
      </c>
      <c r="F222" s="328" t="e">
        <f>VLOOKUP(Tabla18[[#This Row],[Concat2]],TablaPOA[[#All],[Concat]:[ConcatEspecial]],3,0)</f>
        <v>#N/A</v>
      </c>
      <c r="G222" s="65" t="str">
        <f>CONCATENATE(Registro!$A$6,"_",Tabla5[[#This Row],[Zona (Provincia)
&lt;&lt; Seleccionar&gt;&gt;]])</f>
        <v>Huánuco_</v>
      </c>
      <c r="H222" s="60" t="e">
        <f>VLOOKUP(Tabla18[[#This Row],[Concatenado***]],Tabla2[[#All],[Concatenado]:[Simbología*]],2,0)</f>
        <v>#N/A</v>
      </c>
      <c r="I222" s="65" t="str">
        <f>CONCATENATE(Tabla18[[#This Row],[Concatenado***]],"_",Tabla5[[#This Row],[Zona (Distrito)
&lt;&lt; Seleccionar&gt;&gt;]])</f>
        <v>Huánuco__</v>
      </c>
      <c r="J2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2" s="72" t="e">
        <f>VLOOKUP(Tabla5[[#This Row],[Tipo de Transporte Empleado
&lt;&lt; Seleccionar&gt;&gt;]],Tabla8[#All],2,0)</f>
        <v>#N/A</v>
      </c>
      <c r="L222" s="71" t="e">
        <f>#REF!+(#REF!*2)+#REF!</f>
        <v>#REF!</v>
      </c>
    </row>
    <row r="223" spans="1:12" x14ac:dyDescent="0.25">
      <c r="A223" s="328" t="e">
        <f>VLOOKUP(Tabla5[[#This Row],[Acción
&lt;&lt; Seleccionar&gt;&gt;]],TablaAccion[[#All],[Nombre_Abreviado]:[Codigo_Plan_Acción]],3,0)</f>
        <v>#N/A</v>
      </c>
      <c r="B223" s="328" t="e">
        <f>VLOOKUP(Tabla5[[#This Row],[Acción Especifica
&lt;&lt; Seleccionar&gt;&gt;]],TablaAccionEspecifica[[#All],[Nombre_Abreviado]:[Codigo_Acción]],3,0)</f>
        <v>#N/A</v>
      </c>
      <c r="C223" s="328" t="e">
        <f>CONCATENATE(Tabla18[[#This Row],[Bus_02]],"_",Tabla5[[#This Row],[Sub Acción Específica
&lt;&lt; Seleccionar&gt;&gt;]])</f>
        <v>#N/A</v>
      </c>
      <c r="D223" s="328" t="e">
        <f>VLOOKUP(Tabla18[[#This Row],[Aux_01]],TablaSubAccionEspecifica[[#All],[Concat]:[Cod_Sub_acción_especifica]],2,0)</f>
        <v>#N/A</v>
      </c>
      <c r="E223" s="328" t="e">
        <f>Tabla18[[#This Row],[Bus_03]]&amp;"_"&amp;Tabla5[[#This Row],[Tipo de Agente
&lt;&lt; Seleccionar&gt;&gt;]]</f>
        <v>#N/A</v>
      </c>
      <c r="F223" s="328" t="e">
        <f>VLOOKUP(Tabla18[[#This Row],[Concat2]],TablaPOA[[#All],[Concat]:[ConcatEspecial]],3,0)</f>
        <v>#N/A</v>
      </c>
      <c r="G223" s="65" t="str">
        <f>CONCATENATE(Registro!$A$6,"_",Tabla5[[#This Row],[Zona (Provincia)
&lt;&lt; Seleccionar&gt;&gt;]])</f>
        <v>Huánuco_</v>
      </c>
      <c r="H223" s="60" t="e">
        <f>VLOOKUP(Tabla18[[#This Row],[Concatenado***]],Tabla2[[#All],[Concatenado]:[Simbología*]],2,0)</f>
        <v>#N/A</v>
      </c>
      <c r="I223" s="65" t="str">
        <f>CONCATENATE(Tabla18[[#This Row],[Concatenado***]],"_",Tabla5[[#This Row],[Zona (Distrito)
&lt;&lt; Seleccionar&gt;&gt;]])</f>
        <v>Huánuco__</v>
      </c>
      <c r="J2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3" s="72" t="e">
        <f>VLOOKUP(Tabla5[[#This Row],[Tipo de Transporte Empleado
&lt;&lt; Seleccionar&gt;&gt;]],Tabla8[#All],2,0)</f>
        <v>#N/A</v>
      </c>
      <c r="L223" s="71" t="e">
        <f>#REF!+(#REF!*2)+#REF!</f>
        <v>#REF!</v>
      </c>
    </row>
    <row r="224" spans="1:12" x14ac:dyDescent="0.25">
      <c r="A224" s="328" t="e">
        <f>VLOOKUP(Tabla5[[#This Row],[Acción
&lt;&lt; Seleccionar&gt;&gt;]],TablaAccion[[#All],[Nombre_Abreviado]:[Codigo_Plan_Acción]],3,0)</f>
        <v>#N/A</v>
      </c>
      <c r="B224" s="328" t="e">
        <f>VLOOKUP(Tabla5[[#This Row],[Acción Especifica
&lt;&lt; Seleccionar&gt;&gt;]],TablaAccionEspecifica[[#All],[Nombre_Abreviado]:[Codigo_Acción]],3,0)</f>
        <v>#N/A</v>
      </c>
      <c r="C224" s="328" t="e">
        <f>CONCATENATE(Tabla18[[#This Row],[Bus_02]],"_",Tabla5[[#This Row],[Sub Acción Específica
&lt;&lt; Seleccionar&gt;&gt;]])</f>
        <v>#N/A</v>
      </c>
      <c r="D224" s="328" t="e">
        <f>VLOOKUP(Tabla18[[#This Row],[Aux_01]],TablaSubAccionEspecifica[[#All],[Concat]:[Cod_Sub_acción_especifica]],2,0)</f>
        <v>#N/A</v>
      </c>
      <c r="E224" s="328" t="e">
        <f>Tabla18[[#This Row],[Bus_03]]&amp;"_"&amp;Tabla5[[#This Row],[Tipo de Agente
&lt;&lt; Seleccionar&gt;&gt;]]</f>
        <v>#N/A</v>
      </c>
      <c r="F224" s="328" t="e">
        <f>VLOOKUP(Tabla18[[#This Row],[Concat2]],TablaPOA[[#All],[Concat]:[ConcatEspecial]],3,0)</f>
        <v>#N/A</v>
      </c>
      <c r="G224" s="65" t="str">
        <f>CONCATENATE(Registro!$A$6,"_",Tabla5[[#This Row],[Zona (Provincia)
&lt;&lt; Seleccionar&gt;&gt;]])</f>
        <v>Huánuco_</v>
      </c>
      <c r="H224" s="60" t="e">
        <f>VLOOKUP(Tabla18[[#This Row],[Concatenado***]],Tabla2[[#All],[Concatenado]:[Simbología*]],2,0)</f>
        <v>#N/A</v>
      </c>
      <c r="I224" s="65" t="str">
        <f>CONCATENATE(Tabla18[[#This Row],[Concatenado***]],"_",Tabla5[[#This Row],[Zona (Distrito)
&lt;&lt; Seleccionar&gt;&gt;]])</f>
        <v>Huánuco__</v>
      </c>
      <c r="J2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4" s="72" t="e">
        <f>VLOOKUP(Tabla5[[#This Row],[Tipo de Transporte Empleado
&lt;&lt; Seleccionar&gt;&gt;]],Tabla8[#All],2,0)</f>
        <v>#N/A</v>
      </c>
      <c r="L224" s="71" t="e">
        <f>#REF!+(#REF!*2)+#REF!</f>
        <v>#REF!</v>
      </c>
    </row>
    <row r="225" spans="1:12" x14ac:dyDescent="0.25">
      <c r="A225" s="328" t="e">
        <f>VLOOKUP(Tabla5[[#This Row],[Acción
&lt;&lt; Seleccionar&gt;&gt;]],TablaAccion[[#All],[Nombre_Abreviado]:[Codigo_Plan_Acción]],3,0)</f>
        <v>#N/A</v>
      </c>
      <c r="B225" s="328" t="e">
        <f>VLOOKUP(Tabla5[[#This Row],[Acción Especifica
&lt;&lt; Seleccionar&gt;&gt;]],TablaAccionEspecifica[[#All],[Nombre_Abreviado]:[Codigo_Acción]],3,0)</f>
        <v>#N/A</v>
      </c>
      <c r="C225" s="328" t="e">
        <f>CONCATENATE(Tabla18[[#This Row],[Bus_02]],"_",Tabla5[[#This Row],[Sub Acción Específica
&lt;&lt; Seleccionar&gt;&gt;]])</f>
        <v>#N/A</v>
      </c>
      <c r="D225" s="328" t="e">
        <f>VLOOKUP(Tabla18[[#This Row],[Aux_01]],TablaSubAccionEspecifica[[#All],[Concat]:[Cod_Sub_acción_especifica]],2,0)</f>
        <v>#N/A</v>
      </c>
      <c r="E225" s="328" t="e">
        <f>Tabla18[[#This Row],[Bus_03]]&amp;"_"&amp;Tabla5[[#This Row],[Tipo de Agente
&lt;&lt; Seleccionar&gt;&gt;]]</f>
        <v>#N/A</v>
      </c>
      <c r="F225" s="328" t="e">
        <f>VLOOKUP(Tabla18[[#This Row],[Concat2]],TablaPOA[[#All],[Concat]:[ConcatEspecial]],3,0)</f>
        <v>#N/A</v>
      </c>
      <c r="G225" s="65" t="str">
        <f>CONCATENATE(Registro!$A$6,"_",Tabla5[[#This Row],[Zona (Provincia)
&lt;&lt; Seleccionar&gt;&gt;]])</f>
        <v>Huánuco_</v>
      </c>
      <c r="H225" s="60" t="e">
        <f>VLOOKUP(Tabla18[[#This Row],[Concatenado***]],Tabla2[[#All],[Concatenado]:[Simbología*]],2,0)</f>
        <v>#N/A</v>
      </c>
      <c r="I225" s="65" t="str">
        <f>CONCATENATE(Tabla18[[#This Row],[Concatenado***]],"_",Tabla5[[#This Row],[Zona (Distrito)
&lt;&lt; Seleccionar&gt;&gt;]])</f>
        <v>Huánuco__</v>
      </c>
      <c r="J2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5" s="72" t="e">
        <f>VLOOKUP(Tabla5[[#This Row],[Tipo de Transporte Empleado
&lt;&lt; Seleccionar&gt;&gt;]],Tabla8[#All],2,0)</f>
        <v>#N/A</v>
      </c>
      <c r="L225" s="71" t="e">
        <f>#REF!+(#REF!*2)+#REF!</f>
        <v>#REF!</v>
      </c>
    </row>
    <row r="226" spans="1:12" x14ac:dyDescent="0.25">
      <c r="A226" s="328" t="e">
        <f>VLOOKUP(Tabla5[[#This Row],[Acción
&lt;&lt; Seleccionar&gt;&gt;]],TablaAccion[[#All],[Nombre_Abreviado]:[Codigo_Plan_Acción]],3,0)</f>
        <v>#N/A</v>
      </c>
      <c r="B226" s="328" t="e">
        <f>VLOOKUP(Tabla5[[#This Row],[Acción Especifica
&lt;&lt; Seleccionar&gt;&gt;]],TablaAccionEspecifica[[#All],[Nombre_Abreviado]:[Codigo_Acción]],3,0)</f>
        <v>#N/A</v>
      </c>
      <c r="C226" s="328" t="e">
        <f>CONCATENATE(Tabla18[[#This Row],[Bus_02]],"_",Tabla5[[#This Row],[Sub Acción Específica
&lt;&lt; Seleccionar&gt;&gt;]])</f>
        <v>#N/A</v>
      </c>
      <c r="D226" s="328" t="e">
        <f>VLOOKUP(Tabla18[[#This Row],[Aux_01]],TablaSubAccionEspecifica[[#All],[Concat]:[Cod_Sub_acción_especifica]],2,0)</f>
        <v>#N/A</v>
      </c>
      <c r="E226" s="328" t="e">
        <f>Tabla18[[#This Row],[Bus_03]]&amp;"_"&amp;Tabla5[[#This Row],[Tipo de Agente
&lt;&lt; Seleccionar&gt;&gt;]]</f>
        <v>#N/A</v>
      </c>
      <c r="F226" s="328" t="e">
        <f>VLOOKUP(Tabla18[[#This Row],[Concat2]],TablaPOA[[#All],[Concat]:[ConcatEspecial]],3,0)</f>
        <v>#N/A</v>
      </c>
      <c r="G226" s="65" t="str">
        <f>CONCATENATE(Registro!$A$6,"_",Tabla5[[#This Row],[Zona (Provincia)
&lt;&lt; Seleccionar&gt;&gt;]])</f>
        <v>Huánuco_</v>
      </c>
      <c r="H226" s="60" t="e">
        <f>VLOOKUP(Tabla18[[#This Row],[Concatenado***]],Tabla2[[#All],[Concatenado]:[Simbología*]],2,0)</f>
        <v>#N/A</v>
      </c>
      <c r="I226" s="65" t="str">
        <f>CONCATENATE(Tabla18[[#This Row],[Concatenado***]],"_",Tabla5[[#This Row],[Zona (Distrito)
&lt;&lt; Seleccionar&gt;&gt;]])</f>
        <v>Huánuco__</v>
      </c>
      <c r="J2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6" s="72" t="e">
        <f>VLOOKUP(Tabla5[[#This Row],[Tipo de Transporte Empleado
&lt;&lt; Seleccionar&gt;&gt;]],Tabla8[#All],2,0)</f>
        <v>#N/A</v>
      </c>
      <c r="L226" s="71" t="e">
        <f>#REF!+(#REF!*2)+#REF!</f>
        <v>#REF!</v>
      </c>
    </row>
    <row r="227" spans="1:12" x14ac:dyDescent="0.25">
      <c r="A227" s="328" t="e">
        <f>VLOOKUP(Tabla5[[#This Row],[Acción
&lt;&lt; Seleccionar&gt;&gt;]],TablaAccion[[#All],[Nombre_Abreviado]:[Codigo_Plan_Acción]],3,0)</f>
        <v>#N/A</v>
      </c>
      <c r="B227" s="328" t="e">
        <f>VLOOKUP(Tabla5[[#This Row],[Acción Especifica
&lt;&lt; Seleccionar&gt;&gt;]],TablaAccionEspecifica[[#All],[Nombre_Abreviado]:[Codigo_Acción]],3,0)</f>
        <v>#N/A</v>
      </c>
      <c r="C227" s="328" t="e">
        <f>CONCATENATE(Tabla18[[#This Row],[Bus_02]],"_",Tabla5[[#This Row],[Sub Acción Específica
&lt;&lt; Seleccionar&gt;&gt;]])</f>
        <v>#N/A</v>
      </c>
      <c r="D227" s="328" t="e">
        <f>VLOOKUP(Tabla18[[#This Row],[Aux_01]],TablaSubAccionEspecifica[[#All],[Concat]:[Cod_Sub_acción_especifica]],2,0)</f>
        <v>#N/A</v>
      </c>
      <c r="E227" s="328" t="e">
        <f>Tabla18[[#This Row],[Bus_03]]&amp;"_"&amp;Tabla5[[#This Row],[Tipo de Agente
&lt;&lt; Seleccionar&gt;&gt;]]</f>
        <v>#N/A</v>
      </c>
      <c r="F227" s="328" t="e">
        <f>VLOOKUP(Tabla18[[#This Row],[Concat2]],TablaPOA[[#All],[Concat]:[ConcatEspecial]],3,0)</f>
        <v>#N/A</v>
      </c>
      <c r="G227" s="65" t="str">
        <f>CONCATENATE(Registro!$A$6,"_",Tabla5[[#This Row],[Zona (Provincia)
&lt;&lt; Seleccionar&gt;&gt;]])</f>
        <v>Huánuco_</v>
      </c>
      <c r="H227" s="60" t="e">
        <f>VLOOKUP(Tabla18[[#This Row],[Concatenado***]],Tabla2[[#All],[Concatenado]:[Simbología*]],2,0)</f>
        <v>#N/A</v>
      </c>
      <c r="I227" s="65" t="str">
        <f>CONCATENATE(Tabla18[[#This Row],[Concatenado***]],"_",Tabla5[[#This Row],[Zona (Distrito)
&lt;&lt; Seleccionar&gt;&gt;]])</f>
        <v>Huánuco__</v>
      </c>
      <c r="J2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7" s="72" t="e">
        <f>VLOOKUP(Tabla5[[#This Row],[Tipo de Transporte Empleado
&lt;&lt; Seleccionar&gt;&gt;]],Tabla8[#All],2,0)</f>
        <v>#N/A</v>
      </c>
      <c r="L227" s="71" t="e">
        <f>#REF!+(#REF!*2)+#REF!</f>
        <v>#REF!</v>
      </c>
    </row>
    <row r="228" spans="1:12" x14ac:dyDescent="0.25">
      <c r="A228" s="328" t="e">
        <f>VLOOKUP(Tabla5[[#This Row],[Acción
&lt;&lt; Seleccionar&gt;&gt;]],TablaAccion[[#All],[Nombre_Abreviado]:[Codigo_Plan_Acción]],3,0)</f>
        <v>#N/A</v>
      </c>
      <c r="B228" s="328" t="e">
        <f>VLOOKUP(Tabla5[[#This Row],[Acción Especifica
&lt;&lt; Seleccionar&gt;&gt;]],TablaAccionEspecifica[[#All],[Nombre_Abreviado]:[Codigo_Acción]],3,0)</f>
        <v>#N/A</v>
      </c>
      <c r="C228" s="328" t="e">
        <f>CONCATENATE(Tabla18[[#This Row],[Bus_02]],"_",Tabla5[[#This Row],[Sub Acción Específica
&lt;&lt; Seleccionar&gt;&gt;]])</f>
        <v>#N/A</v>
      </c>
      <c r="D228" s="328" t="e">
        <f>VLOOKUP(Tabla18[[#This Row],[Aux_01]],TablaSubAccionEspecifica[[#All],[Concat]:[Cod_Sub_acción_especifica]],2,0)</f>
        <v>#N/A</v>
      </c>
      <c r="E228" s="328" t="e">
        <f>Tabla18[[#This Row],[Bus_03]]&amp;"_"&amp;Tabla5[[#This Row],[Tipo de Agente
&lt;&lt; Seleccionar&gt;&gt;]]</f>
        <v>#N/A</v>
      </c>
      <c r="F228" s="328" t="e">
        <f>VLOOKUP(Tabla18[[#This Row],[Concat2]],TablaPOA[[#All],[Concat]:[ConcatEspecial]],3,0)</f>
        <v>#N/A</v>
      </c>
      <c r="G228" s="65" t="str">
        <f>CONCATENATE(Registro!$A$6,"_",Tabla5[[#This Row],[Zona (Provincia)
&lt;&lt; Seleccionar&gt;&gt;]])</f>
        <v>Huánuco_</v>
      </c>
      <c r="H228" s="60" t="e">
        <f>VLOOKUP(Tabla18[[#This Row],[Concatenado***]],Tabla2[[#All],[Concatenado]:[Simbología*]],2,0)</f>
        <v>#N/A</v>
      </c>
      <c r="I228" s="65" t="str">
        <f>CONCATENATE(Tabla18[[#This Row],[Concatenado***]],"_",Tabla5[[#This Row],[Zona (Distrito)
&lt;&lt; Seleccionar&gt;&gt;]])</f>
        <v>Huánuco__</v>
      </c>
      <c r="J2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8" s="72" t="e">
        <f>VLOOKUP(Tabla5[[#This Row],[Tipo de Transporte Empleado
&lt;&lt; Seleccionar&gt;&gt;]],Tabla8[#All],2,0)</f>
        <v>#N/A</v>
      </c>
      <c r="L228" s="71" t="e">
        <f>#REF!+(#REF!*2)+#REF!</f>
        <v>#REF!</v>
      </c>
    </row>
    <row r="229" spans="1:12" x14ac:dyDescent="0.25">
      <c r="A229" s="328" t="e">
        <f>VLOOKUP(Tabla5[[#This Row],[Acción
&lt;&lt; Seleccionar&gt;&gt;]],TablaAccion[[#All],[Nombre_Abreviado]:[Codigo_Plan_Acción]],3,0)</f>
        <v>#N/A</v>
      </c>
      <c r="B229" s="328" t="e">
        <f>VLOOKUP(Tabla5[[#This Row],[Acción Especifica
&lt;&lt; Seleccionar&gt;&gt;]],TablaAccionEspecifica[[#All],[Nombre_Abreviado]:[Codigo_Acción]],3,0)</f>
        <v>#N/A</v>
      </c>
      <c r="C229" s="328" t="e">
        <f>CONCATENATE(Tabla18[[#This Row],[Bus_02]],"_",Tabla5[[#This Row],[Sub Acción Específica
&lt;&lt; Seleccionar&gt;&gt;]])</f>
        <v>#N/A</v>
      </c>
      <c r="D229" s="328" t="e">
        <f>VLOOKUP(Tabla18[[#This Row],[Aux_01]],TablaSubAccionEspecifica[[#All],[Concat]:[Cod_Sub_acción_especifica]],2,0)</f>
        <v>#N/A</v>
      </c>
      <c r="E229" s="328" t="e">
        <f>Tabla18[[#This Row],[Bus_03]]&amp;"_"&amp;Tabla5[[#This Row],[Tipo de Agente
&lt;&lt; Seleccionar&gt;&gt;]]</f>
        <v>#N/A</v>
      </c>
      <c r="F229" s="328" t="e">
        <f>VLOOKUP(Tabla18[[#This Row],[Concat2]],TablaPOA[[#All],[Concat]:[ConcatEspecial]],3,0)</f>
        <v>#N/A</v>
      </c>
      <c r="G229" s="65" t="str">
        <f>CONCATENATE(Registro!$A$6,"_",Tabla5[[#This Row],[Zona (Provincia)
&lt;&lt; Seleccionar&gt;&gt;]])</f>
        <v>Huánuco_</v>
      </c>
      <c r="H229" s="60" t="e">
        <f>VLOOKUP(Tabla18[[#This Row],[Concatenado***]],Tabla2[[#All],[Concatenado]:[Simbología*]],2,0)</f>
        <v>#N/A</v>
      </c>
      <c r="I229" s="65" t="str">
        <f>CONCATENATE(Tabla18[[#This Row],[Concatenado***]],"_",Tabla5[[#This Row],[Zona (Distrito)
&lt;&lt; Seleccionar&gt;&gt;]])</f>
        <v>Huánuco__</v>
      </c>
      <c r="J2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9" s="72" t="e">
        <f>VLOOKUP(Tabla5[[#This Row],[Tipo de Transporte Empleado
&lt;&lt; Seleccionar&gt;&gt;]],Tabla8[#All],2,0)</f>
        <v>#N/A</v>
      </c>
      <c r="L229" s="71" t="e">
        <f>#REF!+(#REF!*2)+#REF!</f>
        <v>#REF!</v>
      </c>
    </row>
    <row r="230" spans="1:12" x14ac:dyDescent="0.25">
      <c r="A230" s="328" t="e">
        <f>VLOOKUP(Tabla5[[#This Row],[Acción
&lt;&lt; Seleccionar&gt;&gt;]],TablaAccion[[#All],[Nombre_Abreviado]:[Codigo_Plan_Acción]],3,0)</f>
        <v>#N/A</v>
      </c>
      <c r="B230" s="328" t="e">
        <f>VLOOKUP(Tabla5[[#This Row],[Acción Especifica
&lt;&lt; Seleccionar&gt;&gt;]],TablaAccionEspecifica[[#All],[Nombre_Abreviado]:[Codigo_Acción]],3,0)</f>
        <v>#N/A</v>
      </c>
      <c r="C230" s="328" t="e">
        <f>CONCATENATE(Tabla18[[#This Row],[Bus_02]],"_",Tabla5[[#This Row],[Sub Acción Específica
&lt;&lt; Seleccionar&gt;&gt;]])</f>
        <v>#N/A</v>
      </c>
      <c r="D230" s="328" t="e">
        <f>VLOOKUP(Tabla18[[#This Row],[Aux_01]],TablaSubAccionEspecifica[[#All],[Concat]:[Cod_Sub_acción_especifica]],2,0)</f>
        <v>#N/A</v>
      </c>
      <c r="E230" s="328" t="e">
        <f>Tabla18[[#This Row],[Bus_03]]&amp;"_"&amp;Tabla5[[#This Row],[Tipo de Agente
&lt;&lt; Seleccionar&gt;&gt;]]</f>
        <v>#N/A</v>
      </c>
      <c r="F230" s="328" t="e">
        <f>VLOOKUP(Tabla18[[#This Row],[Concat2]],TablaPOA[[#All],[Concat]:[ConcatEspecial]],3,0)</f>
        <v>#N/A</v>
      </c>
      <c r="G230" s="65" t="str">
        <f>CONCATENATE(Registro!$A$6,"_",Tabla5[[#This Row],[Zona (Provincia)
&lt;&lt; Seleccionar&gt;&gt;]])</f>
        <v>Huánuco_</v>
      </c>
      <c r="H230" s="60" t="e">
        <f>VLOOKUP(Tabla18[[#This Row],[Concatenado***]],Tabla2[[#All],[Concatenado]:[Simbología*]],2,0)</f>
        <v>#N/A</v>
      </c>
      <c r="I230" s="65" t="str">
        <f>CONCATENATE(Tabla18[[#This Row],[Concatenado***]],"_",Tabla5[[#This Row],[Zona (Distrito)
&lt;&lt; Seleccionar&gt;&gt;]])</f>
        <v>Huánuco__</v>
      </c>
      <c r="J2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0" s="72" t="e">
        <f>VLOOKUP(Tabla5[[#This Row],[Tipo de Transporte Empleado
&lt;&lt; Seleccionar&gt;&gt;]],Tabla8[#All],2,0)</f>
        <v>#N/A</v>
      </c>
      <c r="L230" s="71" t="e">
        <f>#REF!+(#REF!*2)+#REF!</f>
        <v>#REF!</v>
      </c>
    </row>
    <row r="231" spans="1:12" x14ac:dyDescent="0.25">
      <c r="A231" s="328" t="e">
        <f>VLOOKUP(Tabla5[[#This Row],[Acción
&lt;&lt; Seleccionar&gt;&gt;]],TablaAccion[[#All],[Nombre_Abreviado]:[Codigo_Plan_Acción]],3,0)</f>
        <v>#N/A</v>
      </c>
      <c r="B231" s="328" t="e">
        <f>VLOOKUP(Tabla5[[#This Row],[Acción Especifica
&lt;&lt; Seleccionar&gt;&gt;]],TablaAccionEspecifica[[#All],[Nombre_Abreviado]:[Codigo_Acción]],3,0)</f>
        <v>#N/A</v>
      </c>
      <c r="C231" s="328" t="e">
        <f>CONCATENATE(Tabla18[[#This Row],[Bus_02]],"_",Tabla5[[#This Row],[Sub Acción Específica
&lt;&lt; Seleccionar&gt;&gt;]])</f>
        <v>#N/A</v>
      </c>
      <c r="D231" s="328" t="e">
        <f>VLOOKUP(Tabla18[[#This Row],[Aux_01]],TablaSubAccionEspecifica[[#All],[Concat]:[Cod_Sub_acción_especifica]],2,0)</f>
        <v>#N/A</v>
      </c>
      <c r="E231" s="328" t="e">
        <f>Tabla18[[#This Row],[Bus_03]]&amp;"_"&amp;Tabla5[[#This Row],[Tipo de Agente
&lt;&lt; Seleccionar&gt;&gt;]]</f>
        <v>#N/A</v>
      </c>
      <c r="F231" s="328" t="e">
        <f>VLOOKUP(Tabla18[[#This Row],[Concat2]],TablaPOA[[#All],[Concat]:[ConcatEspecial]],3,0)</f>
        <v>#N/A</v>
      </c>
      <c r="G231" s="65" t="str">
        <f>CONCATENATE(Registro!$A$6,"_",Tabla5[[#This Row],[Zona (Provincia)
&lt;&lt; Seleccionar&gt;&gt;]])</f>
        <v>Huánuco_</v>
      </c>
      <c r="H231" s="60" t="e">
        <f>VLOOKUP(Tabla18[[#This Row],[Concatenado***]],Tabla2[[#All],[Concatenado]:[Simbología*]],2,0)</f>
        <v>#N/A</v>
      </c>
      <c r="I231" s="65" t="str">
        <f>CONCATENATE(Tabla18[[#This Row],[Concatenado***]],"_",Tabla5[[#This Row],[Zona (Distrito)
&lt;&lt; Seleccionar&gt;&gt;]])</f>
        <v>Huánuco__</v>
      </c>
      <c r="J2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1" s="72" t="e">
        <f>VLOOKUP(Tabla5[[#This Row],[Tipo de Transporte Empleado
&lt;&lt; Seleccionar&gt;&gt;]],Tabla8[#All],2,0)</f>
        <v>#N/A</v>
      </c>
      <c r="L231" s="71" t="e">
        <f>#REF!+(#REF!*2)+#REF!</f>
        <v>#REF!</v>
      </c>
    </row>
    <row r="232" spans="1:12" x14ac:dyDescent="0.25">
      <c r="A232" s="328" t="e">
        <f>VLOOKUP(Tabla5[[#This Row],[Acción
&lt;&lt; Seleccionar&gt;&gt;]],TablaAccion[[#All],[Nombre_Abreviado]:[Codigo_Plan_Acción]],3,0)</f>
        <v>#N/A</v>
      </c>
      <c r="B232" s="328" t="e">
        <f>VLOOKUP(Tabla5[[#This Row],[Acción Especifica
&lt;&lt; Seleccionar&gt;&gt;]],TablaAccionEspecifica[[#All],[Nombre_Abreviado]:[Codigo_Acción]],3,0)</f>
        <v>#N/A</v>
      </c>
      <c r="C232" s="328" t="e">
        <f>CONCATENATE(Tabla18[[#This Row],[Bus_02]],"_",Tabla5[[#This Row],[Sub Acción Específica
&lt;&lt; Seleccionar&gt;&gt;]])</f>
        <v>#N/A</v>
      </c>
      <c r="D232" s="328" t="e">
        <f>VLOOKUP(Tabla18[[#This Row],[Aux_01]],TablaSubAccionEspecifica[[#All],[Concat]:[Cod_Sub_acción_especifica]],2,0)</f>
        <v>#N/A</v>
      </c>
      <c r="E232" s="328" t="e">
        <f>Tabla18[[#This Row],[Bus_03]]&amp;"_"&amp;Tabla5[[#This Row],[Tipo de Agente
&lt;&lt; Seleccionar&gt;&gt;]]</f>
        <v>#N/A</v>
      </c>
      <c r="F232" s="328" t="e">
        <f>VLOOKUP(Tabla18[[#This Row],[Concat2]],TablaPOA[[#All],[Concat]:[ConcatEspecial]],3,0)</f>
        <v>#N/A</v>
      </c>
      <c r="G232" s="65" t="str">
        <f>CONCATENATE(Registro!$A$6,"_",Tabla5[[#This Row],[Zona (Provincia)
&lt;&lt; Seleccionar&gt;&gt;]])</f>
        <v>Huánuco_</v>
      </c>
      <c r="H232" s="60" t="e">
        <f>VLOOKUP(Tabla18[[#This Row],[Concatenado***]],Tabla2[[#All],[Concatenado]:[Simbología*]],2,0)</f>
        <v>#N/A</v>
      </c>
      <c r="I232" s="65" t="str">
        <f>CONCATENATE(Tabla18[[#This Row],[Concatenado***]],"_",Tabla5[[#This Row],[Zona (Distrito)
&lt;&lt; Seleccionar&gt;&gt;]])</f>
        <v>Huánuco__</v>
      </c>
      <c r="J2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2" s="72" t="e">
        <f>VLOOKUP(Tabla5[[#This Row],[Tipo de Transporte Empleado
&lt;&lt; Seleccionar&gt;&gt;]],Tabla8[#All],2,0)</f>
        <v>#N/A</v>
      </c>
      <c r="L232" s="71" t="e">
        <f>#REF!+(#REF!*2)+#REF!</f>
        <v>#REF!</v>
      </c>
    </row>
    <row r="233" spans="1:12" x14ac:dyDescent="0.25">
      <c r="A233" s="328" t="e">
        <f>VLOOKUP(Tabla5[[#This Row],[Acción
&lt;&lt; Seleccionar&gt;&gt;]],TablaAccion[[#All],[Nombre_Abreviado]:[Codigo_Plan_Acción]],3,0)</f>
        <v>#N/A</v>
      </c>
      <c r="B233" s="328" t="e">
        <f>VLOOKUP(Tabla5[[#This Row],[Acción Especifica
&lt;&lt; Seleccionar&gt;&gt;]],TablaAccionEspecifica[[#All],[Nombre_Abreviado]:[Codigo_Acción]],3,0)</f>
        <v>#N/A</v>
      </c>
      <c r="C233" s="328" t="e">
        <f>CONCATENATE(Tabla18[[#This Row],[Bus_02]],"_",Tabla5[[#This Row],[Sub Acción Específica
&lt;&lt; Seleccionar&gt;&gt;]])</f>
        <v>#N/A</v>
      </c>
      <c r="D233" s="328" t="e">
        <f>VLOOKUP(Tabla18[[#This Row],[Aux_01]],TablaSubAccionEspecifica[[#All],[Concat]:[Cod_Sub_acción_especifica]],2,0)</f>
        <v>#N/A</v>
      </c>
      <c r="E233" s="328" t="e">
        <f>Tabla18[[#This Row],[Bus_03]]&amp;"_"&amp;Tabla5[[#This Row],[Tipo de Agente
&lt;&lt; Seleccionar&gt;&gt;]]</f>
        <v>#N/A</v>
      </c>
      <c r="F233" s="328" t="e">
        <f>VLOOKUP(Tabla18[[#This Row],[Concat2]],TablaPOA[[#All],[Concat]:[ConcatEspecial]],3,0)</f>
        <v>#N/A</v>
      </c>
      <c r="G233" s="65" t="str">
        <f>CONCATENATE(Registro!$A$6,"_",Tabla5[[#This Row],[Zona (Provincia)
&lt;&lt; Seleccionar&gt;&gt;]])</f>
        <v>Huánuco_</v>
      </c>
      <c r="H233" s="60" t="e">
        <f>VLOOKUP(Tabla18[[#This Row],[Concatenado***]],Tabla2[[#All],[Concatenado]:[Simbología*]],2,0)</f>
        <v>#N/A</v>
      </c>
      <c r="I233" s="65" t="str">
        <f>CONCATENATE(Tabla18[[#This Row],[Concatenado***]],"_",Tabla5[[#This Row],[Zona (Distrito)
&lt;&lt; Seleccionar&gt;&gt;]])</f>
        <v>Huánuco__</v>
      </c>
      <c r="J2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3" s="72" t="e">
        <f>VLOOKUP(Tabla5[[#This Row],[Tipo de Transporte Empleado
&lt;&lt; Seleccionar&gt;&gt;]],Tabla8[#All],2,0)</f>
        <v>#N/A</v>
      </c>
      <c r="L233" s="71" t="e">
        <f>#REF!+(#REF!*2)+#REF!</f>
        <v>#REF!</v>
      </c>
    </row>
    <row r="234" spans="1:12" x14ac:dyDescent="0.25">
      <c r="A234" s="328" t="e">
        <f>VLOOKUP(Tabla5[[#This Row],[Acción
&lt;&lt; Seleccionar&gt;&gt;]],TablaAccion[[#All],[Nombre_Abreviado]:[Codigo_Plan_Acción]],3,0)</f>
        <v>#N/A</v>
      </c>
      <c r="B234" s="328" t="e">
        <f>VLOOKUP(Tabla5[[#This Row],[Acción Especifica
&lt;&lt; Seleccionar&gt;&gt;]],TablaAccionEspecifica[[#All],[Nombre_Abreviado]:[Codigo_Acción]],3,0)</f>
        <v>#N/A</v>
      </c>
      <c r="C234" s="328" t="e">
        <f>CONCATENATE(Tabla18[[#This Row],[Bus_02]],"_",Tabla5[[#This Row],[Sub Acción Específica
&lt;&lt; Seleccionar&gt;&gt;]])</f>
        <v>#N/A</v>
      </c>
      <c r="D234" s="328" t="e">
        <f>VLOOKUP(Tabla18[[#This Row],[Aux_01]],TablaSubAccionEspecifica[[#All],[Concat]:[Cod_Sub_acción_especifica]],2,0)</f>
        <v>#N/A</v>
      </c>
      <c r="E234" s="328" t="e">
        <f>Tabla18[[#This Row],[Bus_03]]&amp;"_"&amp;Tabla5[[#This Row],[Tipo de Agente
&lt;&lt; Seleccionar&gt;&gt;]]</f>
        <v>#N/A</v>
      </c>
      <c r="F234" s="328" t="e">
        <f>VLOOKUP(Tabla18[[#This Row],[Concat2]],TablaPOA[[#All],[Concat]:[ConcatEspecial]],3,0)</f>
        <v>#N/A</v>
      </c>
      <c r="G234" s="65" t="str">
        <f>CONCATENATE(Registro!$A$6,"_",Tabla5[[#This Row],[Zona (Provincia)
&lt;&lt; Seleccionar&gt;&gt;]])</f>
        <v>Huánuco_</v>
      </c>
      <c r="H234" s="60" t="e">
        <f>VLOOKUP(Tabla18[[#This Row],[Concatenado***]],Tabla2[[#All],[Concatenado]:[Simbología*]],2,0)</f>
        <v>#N/A</v>
      </c>
      <c r="I234" s="65" t="str">
        <f>CONCATENATE(Tabla18[[#This Row],[Concatenado***]],"_",Tabla5[[#This Row],[Zona (Distrito)
&lt;&lt; Seleccionar&gt;&gt;]])</f>
        <v>Huánuco__</v>
      </c>
      <c r="J2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4" s="72" t="e">
        <f>VLOOKUP(Tabla5[[#This Row],[Tipo de Transporte Empleado
&lt;&lt; Seleccionar&gt;&gt;]],Tabla8[#All],2,0)</f>
        <v>#N/A</v>
      </c>
      <c r="L234" s="71" t="e">
        <f>#REF!+(#REF!*2)+#REF!</f>
        <v>#REF!</v>
      </c>
    </row>
    <row r="235" spans="1:12" x14ac:dyDescent="0.25">
      <c r="A235" s="328" t="e">
        <f>VLOOKUP(Tabla5[[#This Row],[Acción
&lt;&lt; Seleccionar&gt;&gt;]],TablaAccion[[#All],[Nombre_Abreviado]:[Codigo_Plan_Acción]],3,0)</f>
        <v>#N/A</v>
      </c>
      <c r="B235" s="328" t="e">
        <f>VLOOKUP(Tabla5[[#This Row],[Acción Especifica
&lt;&lt; Seleccionar&gt;&gt;]],TablaAccionEspecifica[[#All],[Nombre_Abreviado]:[Codigo_Acción]],3,0)</f>
        <v>#N/A</v>
      </c>
      <c r="C235" s="328" t="e">
        <f>CONCATENATE(Tabla18[[#This Row],[Bus_02]],"_",Tabla5[[#This Row],[Sub Acción Específica
&lt;&lt; Seleccionar&gt;&gt;]])</f>
        <v>#N/A</v>
      </c>
      <c r="D235" s="328" t="e">
        <f>VLOOKUP(Tabla18[[#This Row],[Aux_01]],TablaSubAccionEspecifica[[#All],[Concat]:[Cod_Sub_acción_especifica]],2,0)</f>
        <v>#N/A</v>
      </c>
      <c r="E235" s="328" t="e">
        <f>Tabla18[[#This Row],[Bus_03]]&amp;"_"&amp;Tabla5[[#This Row],[Tipo de Agente
&lt;&lt; Seleccionar&gt;&gt;]]</f>
        <v>#N/A</v>
      </c>
      <c r="F235" s="328" t="e">
        <f>VLOOKUP(Tabla18[[#This Row],[Concat2]],TablaPOA[[#All],[Concat]:[ConcatEspecial]],3,0)</f>
        <v>#N/A</v>
      </c>
      <c r="G235" s="65" t="str">
        <f>CONCATENATE(Registro!$A$6,"_",Tabla5[[#This Row],[Zona (Provincia)
&lt;&lt; Seleccionar&gt;&gt;]])</f>
        <v>Huánuco_</v>
      </c>
      <c r="H235" s="60" t="e">
        <f>VLOOKUP(Tabla18[[#This Row],[Concatenado***]],Tabla2[[#All],[Concatenado]:[Simbología*]],2,0)</f>
        <v>#N/A</v>
      </c>
      <c r="I235" s="65" t="str">
        <f>CONCATENATE(Tabla18[[#This Row],[Concatenado***]],"_",Tabla5[[#This Row],[Zona (Distrito)
&lt;&lt; Seleccionar&gt;&gt;]])</f>
        <v>Huánuco__</v>
      </c>
      <c r="J2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5" s="72" t="e">
        <f>VLOOKUP(Tabla5[[#This Row],[Tipo de Transporte Empleado
&lt;&lt; Seleccionar&gt;&gt;]],Tabla8[#All],2,0)</f>
        <v>#N/A</v>
      </c>
      <c r="L235" s="71" t="e">
        <f>#REF!+(#REF!*2)+#REF!</f>
        <v>#REF!</v>
      </c>
    </row>
    <row r="236" spans="1:12" x14ac:dyDescent="0.25">
      <c r="A236" s="328" t="e">
        <f>VLOOKUP(Tabla5[[#This Row],[Acción
&lt;&lt; Seleccionar&gt;&gt;]],TablaAccion[[#All],[Nombre_Abreviado]:[Codigo_Plan_Acción]],3,0)</f>
        <v>#N/A</v>
      </c>
      <c r="B236" s="328" t="e">
        <f>VLOOKUP(Tabla5[[#This Row],[Acción Especifica
&lt;&lt; Seleccionar&gt;&gt;]],TablaAccionEspecifica[[#All],[Nombre_Abreviado]:[Codigo_Acción]],3,0)</f>
        <v>#N/A</v>
      </c>
      <c r="C236" s="328" t="e">
        <f>CONCATENATE(Tabla18[[#This Row],[Bus_02]],"_",Tabla5[[#This Row],[Sub Acción Específica
&lt;&lt; Seleccionar&gt;&gt;]])</f>
        <v>#N/A</v>
      </c>
      <c r="D236" s="328" t="e">
        <f>VLOOKUP(Tabla18[[#This Row],[Aux_01]],TablaSubAccionEspecifica[[#All],[Concat]:[Cod_Sub_acción_especifica]],2,0)</f>
        <v>#N/A</v>
      </c>
      <c r="E236" s="328" t="e">
        <f>Tabla18[[#This Row],[Bus_03]]&amp;"_"&amp;Tabla5[[#This Row],[Tipo de Agente
&lt;&lt; Seleccionar&gt;&gt;]]</f>
        <v>#N/A</v>
      </c>
      <c r="F236" s="328" t="e">
        <f>VLOOKUP(Tabla18[[#This Row],[Concat2]],TablaPOA[[#All],[Concat]:[ConcatEspecial]],3,0)</f>
        <v>#N/A</v>
      </c>
      <c r="G236" s="65" t="str">
        <f>CONCATENATE(Registro!$A$6,"_",Tabla5[[#This Row],[Zona (Provincia)
&lt;&lt; Seleccionar&gt;&gt;]])</f>
        <v>Huánuco_</v>
      </c>
      <c r="H236" s="60" t="e">
        <f>VLOOKUP(Tabla18[[#This Row],[Concatenado***]],Tabla2[[#All],[Concatenado]:[Simbología*]],2,0)</f>
        <v>#N/A</v>
      </c>
      <c r="I236" s="65" t="str">
        <f>CONCATENATE(Tabla18[[#This Row],[Concatenado***]],"_",Tabla5[[#This Row],[Zona (Distrito)
&lt;&lt; Seleccionar&gt;&gt;]])</f>
        <v>Huánuco__</v>
      </c>
      <c r="J2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6" s="72" t="e">
        <f>VLOOKUP(Tabla5[[#This Row],[Tipo de Transporte Empleado
&lt;&lt; Seleccionar&gt;&gt;]],Tabla8[#All],2,0)</f>
        <v>#N/A</v>
      </c>
      <c r="L236" s="71" t="e">
        <f>#REF!+(#REF!*2)+#REF!</f>
        <v>#REF!</v>
      </c>
    </row>
    <row r="237" spans="1:12" x14ac:dyDescent="0.25">
      <c r="A237" s="328" t="e">
        <f>VLOOKUP(Tabla5[[#This Row],[Acción
&lt;&lt; Seleccionar&gt;&gt;]],TablaAccion[[#All],[Nombre_Abreviado]:[Codigo_Plan_Acción]],3,0)</f>
        <v>#N/A</v>
      </c>
      <c r="B237" s="328" t="e">
        <f>VLOOKUP(Tabla5[[#This Row],[Acción Especifica
&lt;&lt; Seleccionar&gt;&gt;]],TablaAccionEspecifica[[#All],[Nombre_Abreviado]:[Codigo_Acción]],3,0)</f>
        <v>#N/A</v>
      </c>
      <c r="C237" s="328" t="e">
        <f>CONCATENATE(Tabla18[[#This Row],[Bus_02]],"_",Tabla5[[#This Row],[Sub Acción Específica
&lt;&lt; Seleccionar&gt;&gt;]])</f>
        <v>#N/A</v>
      </c>
      <c r="D237" s="328" t="e">
        <f>VLOOKUP(Tabla18[[#This Row],[Aux_01]],TablaSubAccionEspecifica[[#All],[Concat]:[Cod_Sub_acción_especifica]],2,0)</f>
        <v>#N/A</v>
      </c>
      <c r="E237" s="328" t="e">
        <f>Tabla18[[#This Row],[Bus_03]]&amp;"_"&amp;Tabla5[[#This Row],[Tipo de Agente
&lt;&lt; Seleccionar&gt;&gt;]]</f>
        <v>#N/A</v>
      </c>
      <c r="F237" s="328" t="e">
        <f>VLOOKUP(Tabla18[[#This Row],[Concat2]],TablaPOA[[#All],[Concat]:[ConcatEspecial]],3,0)</f>
        <v>#N/A</v>
      </c>
      <c r="G237" s="65" t="str">
        <f>CONCATENATE(Registro!$A$6,"_",Tabla5[[#This Row],[Zona (Provincia)
&lt;&lt; Seleccionar&gt;&gt;]])</f>
        <v>Huánuco_</v>
      </c>
      <c r="H237" s="60" t="e">
        <f>VLOOKUP(Tabla18[[#This Row],[Concatenado***]],Tabla2[[#All],[Concatenado]:[Simbología*]],2,0)</f>
        <v>#N/A</v>
      </c>
      <c r="I237" s="65" t="str">
        <f>CONCATENATE(Tabla18[[#This Row],[Concatenado***]],"_",Tabla5[[#This Row],[Zona (Distrito)
&lt;&lt; Seleccionar&gt;&gt;]])</f>
        <v>Huánuco__</v>
      </c>
      <c r="J2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7" s="72" t="e">
        <f>VLOOKUP(Tabla5[[#This Row],[Tipo de Transporte Empleado
&lt;&lt; Seleccionar&gt;&gt;]],Tabla8[#All],2,0)</f>
        <v>#N/A</v>
      </c>
      <c r="L237" s="71" t="e">
        <f>#REF!+(#REF!*2)+#REF!</f>
        <v>#REF!</v>
      </c>
    </row>
    <row r="238" spans="1:12" x14ac:dyDescent="0.25">
      <c r="A238" s="328" t="e">
        <f>VLOOKUP(Tabla5[[#This Row],[Acción
&lt;&lt; Seleccionar&gt;&gt;]],TablaAccion[[#All],[Nombre_Abreviado]:[Codigo_Plan_Acción]],3,0)</f>
        <v>#N/A</v>
      </c>
      <c r="B238" s="328" t="e">
        <f>VLOOKUP(Tabla5[[#This Row],[Acción Especifica
&lt;&lt; Seleccionar&gt;&gt;]],TablaAccionEspecifica[[#All],[Nombre_Abreviado]:[Codigo_Acción]],3,0)</f>
        <v>#N/A</v>
      </c>
      <c r="C238" s="328" t="e">
        <f>CONCATENATE(Tabla18[[#This Row],[Bus_02]],"_",Tabla5[[#This Row],[Sub Acción Específica
&lt;&lt; Seleccionar&gt;&gt;]])</f>
        <v>#N/A</v>
      </c>
      <c r="D238" s="328" t="e">
        <f>VLOOKUP(Tabla18[[#This Row],[Aux_01]],TablaSubAccionEspecifica[[#All],[Concat]:[Cod_Sub_acción_especifica]],2,0)</f>
        <v>#N/A</v>
      </c>
      <c r="E238" s="328" t="e">
        <f>Tabla18[[#This Row],[Bus_03]]&amp;"_"&amp;Tabla5[[#This Row],[Tipo de Agente
&lt;&lt; Seleccionar&gt;&gt;]]</f>
        <v>#N/A</v>
      </c>
      <c r="F238" s="328" t="e">
        <f>VLOOKUP(Tabla18[[#This Row],[Concat2]],TablaPOA[[#All],[Concat]:[ConcatEspecial]],3,0)</f>
        <v>#N/A</v>
      </c>
      <c r="G238" s="65" t="str">
        <f>CONCATENATE(Registro!$A$6,"_",Tabla5[[#This Row],[Zona (Provincia)
&lt;&lt; Seleccionar&gt;&gt;]])</f>
        <v>Huánuco_</v>
      </c>
      <c r="H238" s="60" t="e">
        <f>VLOOKUP(Tabla18[[#This Row],[Concatenado***]],Tabla2[[#All],[Concatenado]:[Simbología*]],2,0)</f>
        <v>#N/A</v>
      </c>
      <c r="I238" s="65" t="str">
        <f>CONCATENATE(Tabla18[[#This Row],[Concatenado***]],"_",Tabla5[[#This Row],[Zona (Distrito)
&lt;&lt; Seleccionar&gt;&gt;]])</f>
        <v>Huánuco__</v>
      </c>
      <c r="J2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8" s="72" t="e">
        <f>VLOOKUP(Tabla5[[#This Row],[Tipo de Transporte Empleado
&lt;&lt; Seleccionar&gt;&gt;]],Tabla8[#All],2,0)</f>
        <v>#N/A</v>
      </c>
      <c r="L238" s="71" t="e">
        <f>#REF!+(#REF!*2)+#REF!</f>
        <v>#REF!</v>
      </c>
    </row>
    <row r="239" spans="1:12" x14ac:dyDescent="0.25">
      <c r="A239" s="328" t="e">
        <f>VLOOKUP(Tabla5[[#This Row],[Acción
&lt;&lt; Seleccionar&gt;&gt;]],TablaAccion[[#All],[Nombre_Abreviado]:[Codigo_Plan_Acción]],3,0)</f>
        <v>#N/A</v>
      </c>
      <c r="B239" s="328" t="e">
        <f>VLOOKUP(Tabla5[[#This Row],[Acción Especifica
&lt;&lt; Seleccionar&gt;&gt;]],TablaAccionEspecifica[[#All],[Nombre_Abreviado]:[Codigo_Acción]],3,0)</f>
        <v>#N/A</v>
      </c>
      <c r="C239" s="328" t="e">
        <f>CONCATENATE(Tabla18[[#This Row],[Bus_02]],"_",Tabla5[[#This Row],[Sub Acción Específica
&lt;&lt; Seleccionar&gt;&gt;]])</f>
        <v>#N/A</v>
      </c>
      <c r="D239" s="328" t="e">
        <f>VLOOKUP(Tabla18[[#This Row],[Aux_01]],TablaSubAccionEspecifica[[#All],[Concat]:[Cod_Sub_acción_especifica]],2,0)</f>
        <v>#N/A</v>
      </c>
      <c r="E239" s="328" t="e">
        <f>Tabla18[[#This Row],[Bus_03]]&amp;"_"&amp;Tabla5[[#This Row],[Tipo de Agente
&lt;&lt; Seleccionar&gt;&gt;]]</f>
        <v>#N/A</v>
      </c>
      <c r="F239" s="328" t="e">
        <f>VLOOKUP(Tabla18[[#This Row],[Concat2]],TablaPOA[[#All],[Concat]:[ConcatEspecial]],3,0)</f>
        <v>#N/A</v>
      </c>
      <c r="G239" s="65" t="str">
        <f>CONCATENATE(Registro!$A$6,"_",Tabla5[[#This Row],[Zona (Provincia)
&lt;&lt; Seleccionar&gt;&gt;]])</f>
        <v>Huánuco_</v>
      </c>
      <c r="H239" s="60" t="e">
        <f>VLOOKUP(Tabla18[[#This Row],[Concatenado***]],Tabla2[[#All],[Concatenado]:[Simbología*]],2,0)</f>
        <v>#N/A</v>
      </c>
      <c r="I239" s="65" t="str">
        <f>CONCATENATE(Tabla18[[#This Row],[Concatenado***]],"_",Tabla5[[#This Row],[Zona (Distrito)
&lt;&lt; Seleccionar&gt;&gt;]])</f>
        <v>Huánuco__</v>
      </c>
      <c r="J2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9" s="72" t="e">
        <f>VLOOKUP(Tabla5[[#This Row],[Tipo de Transporte Empleado
&lt;&lt; Seleccionar&gt;&gt;]],Tabla8[#All],2,0)</f>
        <v>#N/A</v>
      </c>
      <c r="L239" s="71" t="e">
        <f>#REF!+(#REF!*2)+#REF!</f>
        <v>#REF!</v>
      </c>
    </row>
    <row r="240" spans="1:12" x14ac:dyDescent="0.25">
      <c r="A240" s="328" t="e">
        <f>VLOOKUP(Tabla5[[#This Row],[Acción
&lt;&lt; Seleccionar&gt;&gt;]],TablaAccion[[#All],[Nombre_Abreviado]:[Codigo_Plan_Acción]],3,0)</f>
        <v>#N/A</v>
      </c>
      <c r="B240" s="328" t="e">
        <f>VLOOKUP(Tabla5[[#This Row],[Acción Especifica
&lt;&lt; Seleccionar&gt;&gt;]],TablaAccionEspecifica[[#All],[Nombre_Abreviado]:[Codigo_Acción]],3,0)</f>
        <v>#N/A</v>
      </c>
      <c r="C240" s="328" t="e">
        <f>CONCATENATE(Tabla18[[#This Row],[Bus_02]],"_",Tabla5[[#This Row],[Sub Acción Específica
&lt;&lt; Seleccionar&gt;&gt;]])</f>
        <v>#N/A</v>
      </c>
      <c r="D240" s="328" t="e">
        <f>VLOOKUP(Tabla18[[#This Row],[Aux_01]],TablaSubAccionEspecifica[[#All],[Concat]:[Cod_Sub_acción_especifica]],2,0)</f>
        <v>#N/A</v>
      </c>
      <c r="E240" s="328" t="e">
        <f>Tabla18[[#This Row],[Bus_03]]&amp;"_"&amp;Tabla5[[#This Row],[Tipo de Agente
&lt;&lt; Seleccionar&gt;&gt;]]</f>
        <v>#N/A</v>
      </c>
      <c r="F240" s="328" t="e">
        <f>VLOOKUP(Tabla18[[#This Row],[Concat2]],TablaPOA[[#All],[Concat]:[ConcatEspecial]],3,0)</f>
        <v>#N/A</v>
      </c>
      <c r="G240" s="65" t="str">
        <f>CONCATENATE(Registro!$A$6,"_",Tabla5[[#This Row],[Zona (Provincia)
&lt;&lt; Seleccionar&gt;&gt;]])</f>
        <v>Huánuco_</v>
      </c>
      <c r="H240" s="60" t="e">
        <f>VLOOKUP(Tabla18[[#This Row],[Concatenado***]],Tabla2[[#All],[Concatenado]:[Simbología*]],2,0)</f>
        <v>#N/A</v>
      </c>
      <c r="I240" s="65" t="str">
        <f>CONCATENATE(Tabla18[[#This Row],[Concatenado***]],"_",Tabla5[[#This Row],[Zona (Distrito)
&lt;&lt; Seleccionar&gt;&gt;]])</f>
        <v>Huánuco__</v>
      </c>
      <c r="J2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0" s="72" t="e">
        <f>VLOOKUP(Tabla5[[#This Row],[Tipo de Transporte Empleado
&lt;&lt; Seleccionar&gt;&gt;]],Tabla8[#All],2,0)</f>
        <v>#N/A</v>
      </c>
      <c r="L240" s="71" t="e">
        <f>#REF!+(#REF!*2)+#REF!</f>
        <v>#REF!</v>
      </c>
    </row>
    <row r="241" spans="1:12" x14ac:dyDescent="0.25">
      <c r="A241" s="328" t="e">
        <f>VLOOKUP(Tabla5[[#This Row],[Acción
&lt;&lt; Seleccionar&gt;&gt;]],TablaAccion[[#All],[Nombre_Abreviado]:[Codigo_Plan_Acción]],3,0)</f>
        <v>#N/A</v>
      </c>
      <c r="B241" s="328" t="e">
        <f>VLOOKUP(Tabla5[[#This Row],[Acción Especifica
&lt;&lt; Seleccionar&gt;&gt;]],TablaAccionEspecifica[[#All],[Nombre_Abreviado]:[Codigo_Acción]],3,0)</f>
        <v>#N/A</v>
      </c>
      <c r="C241" s="328" t="e">
        <f>CONCATENATE(Tabla18[[#This Row],[Bus_02]],"_",Tabla5[[#This Row],[Sub Acción Específica
&lt;&lt; Seleccionar&gt;&gt;]])</f>
        <v>#N/A</v>
      </c>
      <c r="D241" s="328" t="e">
        <f>VLOOKUP(Tabla18[[#This Row],[Aux_01]],TablaSubAccionEspecifica[[#All],[Concat]:[Cod_Sub_acción_especifica]],2,0)</f>
        <v>#N/A</v>
      </c>
      <c r="E241" s="328" t="e">
        <f>Tabla18[[#This Row],[Bus_03]]&amp;"_"&amp;Tabla5[[#This Row],[Tipo de Agente
&lt;&lt; Seleccionar&gt;&gt;]]</f>
        <v>#N/A</v>
      </c>
      <c r="F241" s="328" t="e">
        <f>VLOOKUP(Tabla18[[#This Row],[Concat2]],TablaPOA[[#All],[Concat]:[ConcatEspecial]],3,0)</f>
        <v>#N/A</v>
      </c>
      <c r="G241" s="65" t="str">
        <f>CONCATENATE(Registro!$A$6,"_",Tabla5[[#This Row],[Zona (Provincia)
&lt;&lt; Seleccionar&gt;&gt;]])</f>
        <v>Huánuco_</v>
      </c>
      <c r="H241" s="60" t="e">
        <f>VLOOKUP(Tabla18[[#This Row],[Concatenado***]],Tabla2[[#All],[Concatenado]:[Simbología*]],2,0)</f>
        <v>#N/A</v>
      </c>
      <c r="I241" s="65" t="str">
        <f>CONCATENATE(Tabla18[[#This Row],[Concatenado***]],"_",Tabla5[[#This Row],[Zona (Distrito)
&lt;&lt; Seleccionar&gt;&gt;]])</f>
        <v>Huánuco__</v>
      </c>
      <c r="J2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1" s="72" t="e">
        <f>VLOOKUP(Tabla5[[#This Row],[Tipo de Transporte Empleado
&lt;&lt; Seleccionar&gt;&gt;]],Tabla8[#All],2,0)</f>
        <v>#N/A</v>
      </c>
      <c r="L241" s="71" t="e">
        <f>#REF!+(#REF!*2)+#REF!</f>
        <v>#REF!</v>
      </c>
    </row>
    <row r="242" spans="1:12" x14ac:dyDescent="0.25">
      <c r="A242" s="328" t="e">
        <f>VLOOKUP(Tabla5[[#This Row],[Acción
&lt;&lt; Seleccionar&gt;&gt;]],TablaAccion[[#All],[Nombre_Abreviado]:[Codigo_Plan_Acción]],3,0)</f>
        <v>#N/A</v>
      </c>
      <c r="B242" s="328" t="e">
        <f>VLOOKUP(Tabla5[[#This Row],[Acción Especifica
&lt;&lt; Seleccionar&gt;&gt;]],TablaAccionEspecifica[[#All],[Nombre_Abreviado]:[Codigo_Acción]],3,0)</f>
        <v>#N/A</v>
      </c>
      <c r="C242" s="328" t="e">
        <f>CONCATENATE(Tabla18[[#This Row],[Bus_02]],"_",Tabla5[[#This Row],[Sub Acción Específica
&lt;&lt; Seleccionar&gt;&gt;]])</f>
        <v>#N/A</v>
      </c>
      <c r="D242" s="328" t="e">
        <f>VLOOKUP(Tabla18[[#This Row],[Aux_01]],TablaSubAccionEspecifica[[#All],[Concat]:[Cod_Sub_acción_especifica]],2,0)</f>
        <v>#N/A</v>
      </c>
      <c r="E242" s="328" t="e">
        <f>Tabla18[[#This Row],[Bus_03]]&amp;"_"&amp;Tabla5[[#This Row],[Tipo de Agente
&lt;&lt; Seleccionar&gt;&gt;]]</f>
        <v>#N/A</v>
      </c>
      <c r="F242" s="328" t="e">
        <f>VLOOKUP(Tabla18[[#This Row],[Concat2]],TablaPOA[[#All],[Concat]:[ConcatEspecial]],3,0)</f>
        <v>#N/A</v>
      </c>
      <c r="G242" s="65" t="str">
        <f>CONCATENATE(Registro!$A$6,"_",Tabla5[[#This Row],[Zona (Provincia)
&lt;&lt; Seleccionar&gt;&gt;]])</f>
        <v>Huánuco_</v>
      </c>
      <c r="H242" s="60" t="e">
        <f>VLOOKUP(Tabla18[[#This Row],[Concatenado***]],Tabla2[[#All],[Concatenado]:[Simbología*]],2,0)</f>
        <v>#N/A</v>
      </c>
      <c r="I242" s="65" t="str">
        <f>CONCATENATE(Tabla18[[#This Row],[Concatenado***]],"_",Tabla5[[#This Row],[Zona (Distrito)
&lt;&lt; Seleccionar&gt;&gt;]])</f>
        <v>Huánuco__</v>
      </c>
      <c r="J2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2" s="72" t="e">
        <f>VLOOKUP(Tabla5[[#This Row],[Tipo de Transporte Empleado
&lt;&lt; Seleccionar&gt;&gt;]],Tabla8[#All],2,0)</f>
        <v>#N/A</v>
      </c>
      <c r="L242" s="71" t="e">
        <f>#REF!+(#REF!*2)+#REF!</f>
        <v>#REF!</v>
      </c>
    </row>
    <row r="243" spans="1:12" x14ac:dyDescent="0.25">
      <c r="A243" s="328" t="e">
        <f>VLOOKUP(Tabla5[[#This Row],[Acción
&lt;&lt; Seleccionar&gt;&gt;]],TablaAccion[[#All],[Nombre_Abreviado]:[Codigo_Plan_Acción]],3,0)</f>
        <v>#N/A</v>
      </c>
      <c r="B243" s="328" t="e">
        <f>VLOOKUP(Tabla5[[#This Row],[Acción Especifica
&lt;&lt; Seleccionar&gt;&gt;]],TablaAccionEspecifica[[#All],[Nombre_Abreviado]:[Codigo_Acción]],3,0)</f>
        <v>#N/A</v>
      </c>
      <c r="C243" s="328" t="e">
        <f>CONCATENATE(Tabla18[[#This Row],[Bus_02]],"_",Tabla5[[#This Row],[Sub Acción Específica
&lt;&lt; Seleccionar&gt;&gt;]])</f>
        <v>#N/A</v>
      </c>
      <c r="D243" s="328" t="e">
        <f>VLOOKUP(Tabla18[[#This Row],[Aux_01]],TablaSubAccionEspecifica[[#All],[Concat]:[Cod_Sub_acción_especifica]],2,0)</f>
        <v>#N/A</v>
      </c>
      <c r="E243" s="328" t="e">
        <f>Tabla18[[#This Row],[Bus_03]]&amp;"_"&amp;Tabla5[[#This Row],[Tipo de Agente
&lt;&lt; Seleccionar&gt;&gt;]]</f>
        <v>#N/A</v>
      </c>
      <c r="F243" s="328" t="e">
        <f>VLOOKUP(Tabla18[[#This Row],[Concat2]],TablaPOA[[#All],[Concat]:[ConcatEspecial]],3,0)</f>
        <v>#N/A</v>
      </c>
      <c r="G243" s="65" t="str">
        <f>CONCATENATE(Registro!$A$6,"_",Tabla5[[#This Row],[Zona (Provincia)
&lt;&lt; Seleccionar&gt;&gt;]])</f>
        <v>Huánuco_</v>
      </c>
      <c r="H243" s="60" t="e">
        <f>VLOOKUP(Tabla18[[#This Row],[Concatenado***]],Tabla2[[#All],[Concatenado]:[Simbología*]],2,0)</f>
        <v>#N/A</v>
      </c>
      <c r="I243" s="65" t="str">
        <f>CONCATENATE(Tabla18[[#This Row],[Concatenado***]],"_",Tabla5[[#This Row],[Zona (Distrito)
&lt;&lt; Seleccionar&gt;&gt;]])</f>
        <v>Huánuco__</v>
      </c>
      <c r="J2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3" s="72" t="e">
        <f>VLOOKUP(Tabla5[[#This Row],[Tipo de Transporte Empleado
&lt;&lt; Seleccionar&gt;&gt;]],Tabla8[#All],2,0)</f>
        <v>#N/A</v>
      </c>
      <c r="L243" s="71" t="e">
        <f>#REF!+(#REF!*2)+#REF!</f>
        <v>#REF!</v>
      </c>
    </row>
    <row r="244" spans="1:12" x14ac:dyDescent="0.25">
      <c r="A244" s="328" t="e">
        <f>VLOOKUP(Tabla5[[#This Row],[Acción
&lt;&lt; Seleccionar&gt;&gt;]],TablaAccion[[#All],[Nombre_Abreviado]:[Codigo_Plan_Acción]],3,0)</f>
        <v>#N/A</v>
      </c>
      <c r="B244" s="328" t="e">
        <f>VLOOKUP(Tabla5[[#This Row],[Acción Especifica
&lt;&lt; Seleccionar&gt;&gt;]],TablaAccionEspecifica[[#All],[Nombre_Abreviado]:[Codigo_Acción]],3,0)</f>
        <v>#N/A</v>
      </c>
      <c r="C244" s="328" t="e">
        <f>CONCATENATE(Tabla18[[#This Row],[Bus_02]],"_",Tabla5[[#This Row],[Sub Acción Específica
&lt;&lt; Seleccionar&gt;&gt;]])</f>
        <v>#N/A</v>
      </c>
      <c r="D244" s="328" t="e">
        <f>VLOOKUP(Tabla18[[#This Row],[Aux_01]],TablaSubAccionEspecifica[[#All],[Concat]:[Cod_Sub_acción_especifica]],2,0)</f>
        <v>#N/A</v>
      </c>
      <c r="E244" s="328" t="e">
        <f>Tabla18[[#This Row],[Bus_03]]&amp;"_"&amp;Tabla5[[#This Row],[Tipo de Agente
&lt;&lt; Seleccionar&gt;&gt;]]</f>
        <v>#N/A</v>
      </c>
      <c r="F244" s="328" t="e">
        <f>VLOOKUP(Tabla18[[#This Row],[Concat2]],TablaPOA[[#All],[Concat]:[ConcatEspecial]],3,0)</f>
        <v>#N/A</v>
      </c>
      <c r="G244" s="65" t="str">
        <f>CONCATENATE(Registro!$A$6,"_",Tabla5[[#This Row],[Zona (Provincia)
&lt;&lt; Seleccionar&gt;&gt;]])</f>
        <v>Huánuco_</v>
      </c>
      <c r="H244" s="60" t="e">
        <f>VLOOKUP(Tabla18[[#This Row],[Concatenado***]],Tabla2[[#All],[Concatenado]:[Simbología*]],2,0)</f>
        <v>#N/A</v>
      </c>
      <c r="I244" s="65" t="str">
        <f>CONCATENATE(Tabla18[[#This Row],[Concatenado***]],"_",Tabla5[[#This Row],[Zona (Distrito)
&lt;&lt; Seleccionar&gt;&gt;]])</f>
        <v>Huánuco__</v>
      </c>
      <c r="J2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4" s="72" t="e">
        <f>VLOOKUP(Tabla5[[#This Row],[Tipo de Transporte Empleado
&lt;&lt; Seleccionar&gt;&gt;]],Tabla8[#All],2,0)</f>
        <v>#N/A</v>
      </c>
      <c r="L244" s="71" t="e">
        <f>#REF!+(#REF!*2)+#REF!</f>
        <v>#REF!</v>
      </c>
    </row>
    <row r="245" spans="1:12" x14ac:dyDescent="0.25">
      <c r="A245" s="328" t="e">
        <f>VLOOKUP(Tabla5[[#This Row],[Acción
&lt;&lt; Seleccionar&gt;&gt;]],TablaAccion[[#All],[Nombre_Abreviado]:[Codigo_Plan_Acción]],3,0)</f>
        <v>#N/A</v>
      </c>
      <c r="B245" s="328" t="e">
        <f>VLOOKUP(Tabla5[[#This Row],[Acción Especifica
&lt;&lt; Seleccionar&gt;&gt;]],TablaAccionEspecifica[[#All],[Nombre_Abreviado]:[Codigo_Acción]],3,0)</f>
        <v>#N/A</v>
      </c>
      <c r="C245" s="328" t="e">
        <f>CONCATENATE(Tabla18[[#This Row],[Bus_02]],"_",Tabla5[[#This Row],[Sub Acción Específica
&lt;&lt; Seleccionar&gt;&gt;]])</f>
        <v>#N/A</v>
      </c>
      <c r="D245" s="328" t="e">
        <f>VLOOKUP(Tabla18[[#This Row],[Aux_01]],TablaSubAccionEspecifica[[#All],[Concat]:[Cod_Sub_acción_especifica]],2,0)</f>
        <v>#N/A</v>
      </c>
      <c r="E245" s="328" t="e">
        <f>Tabla18[[#This Row],[Bus_03]]&amp;"_"&amp;Tabla5[[#This Row],[Tipo de Agente
&lt;&lt; Seleccionar&gt;&gt;]]</f>
        <v>#N/A</v>
      </c>
      <c r="F245" s="328" t="e">
        <f>VLOOKUP(Tabla18[[#This Row],[Concat2]],TablaPOA[[#All],[Concat]:[ConcatEspecial]],3,0)</f>
        <v>#N/A</v>
      </c>
      <c r="G245" s="65" t="str">
        <f>CONCATENATE(Registro!$A$6,"_",Tabla5[[#This Row],[Zona (Provincia)
&lt;&lt; Seleccionar&gt;&gt;]])</f>
        <v>Huánuco_</v>
      </c>
      <c r="H245" s="60" t="e">
        <f>VLOOKUP(Tabla18[[#This Row],[Concatenado***]],Tabla2[[#All],[Concatenado]:[Simbología*]],2,0)</f>
        <v>#N/A</v>
      </c>
      <c r="I245" s="65" t="str">
        <f>CONCATENATE(Tabla18[[#This Row],[Concatenado***]],"_",Tabla5[[#This Row],[Zona (Distrito)
&lt;&lt; Seleccionar&gt;&gt;]])</f>
        <v>Huánuco__</v>
      </c>
      <c r="J2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5" s="72" t="e">
        <f>VLOOKUP(Tabla5[[#This Row],[Tipo de Transporte Empleado
&lt;&lt; Seleccionar&gt;&gt;]],Tabla8[#All],2,0)</f>
        <v>#N/A</v>
      </c>
      <c r="L245" s="71" t="e">
        <f>#REF!+(#REF!*2)+#REF!</f>
        <v>#REF!</v>
      </c>
    </row>
    <row r="246" spans="1:12" x14ac:dyDescent="0.25">
      <c r="A246" s="328" t="e">
        <f>VLOOKUP(Tabla5[[#This Row],[Acción
&lt;&lt; Seleccionar&gt;&gt;]],TablaAccion[[#All],[Nombre_Abreviado]:[Codigo_Plan_Acción]],3,0)</f>
        <v>#N/A</v>
      </c>
      <c r="B246" s="328" t="e">
        <f>VLOOKUP(Tabla5[[#This Row],[Acción Especifica
&lt;&lt; Seleccionar&gt;&gt;]],TablaAccionEspecifica[[#All],[Nombre_Abreviado]:[Codigo_Acción]],3,0)</f>
        <v>#N/A</v>
      </c>
      <c r="C246" s="328" t="e">
        <f>CONCATENATE(Tabla18[[#This Row],[Bus_02]],"_",Tabla5[[#This Row],[Sub Acción Específica
&lt;&lt; Seleccionar&gt;&gt;]])</f>
        <v>#N/A</v>
      </c>
      <c r="D246" s="328" t="e">
        <f>VLOOKUP(Tabla18[[#This Row],[Aux_01]],TablaSubAccionEspecifica[[#All],[Concat]:[Cod_Sub_acción_especifica]],2,0)</f>
        <v>#N/A</v>
      </c>
      <c r="E246" s="328" t="e">
        <f>Tabla18[[#This Row],[Bus_03]]&amp;"_"&amp;Tabla5[[#This Row],[Tipo de Agente
&lt;&lt; Seleccionar&gt;&gt;]]</f>
        <v>#N/A</v>
      </c>
      <c r="F246" s="328" t="e">
        <f>VLOOKUP(Tabla18[[#This Row],[Concat2]],TablaPOA[[#All],[Concat]:[ConcatEspecial]],3,0)</f>
        <v>#N/A</v>
      </c>
      <c r="G246" s="65" t="str">
        <f>CONCATENATE(Registro!$A$6,"_",Tabla5[[#This Row],[Zona (Provincia)
&lt;&lt; Seleccionar&gt;&gt;]])</f>
        <v>Huánuco_</v>
      </c>
      <c r="H246" s="60" t="e">
        <f>VLOOKUP(Tabla18[[#This Row],[Concatenado***]],Tabla2[[#All],[Concatenado]:[Simbología*]],2,0)</f>
        <v>#N/A</v>
      </c>
      <c r="I246" s="65" t="str">
        <f>CONCATENATE(Tabla18[[#This Row],[Concatenado***]],"_",Tabla5[[#This Row],[Zona (Distrito)
&lt;&lt; Seleccionar&gt;&gt;]])</f>
        <v>Huánuco__</v>
      </c>
      <c r="J2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6" s="72" t="e">
        <f>VLOOKUP(Tabla5[[#This Row],[Tipo de Transporte Empleado
&lt;&lt; Seleccionar&gt;&gt;]],Tabla8[#All],2,0)</f>
        <v>#N/A</v>
      </c>
      <c r="L246" s="71" t="e">
        <f>#REF!+(#REF!*2)+#REF!</f>
        <v>#REF!</v>
      </c>
    </row>
    <row r="247" spans="1:12" x14ac:dyDescent="0.25">
      <c r="A247" s="328" t="e">
        <f>VLOOKUP(Tabla5[[#This Row],[Acción
&lt;&lt; Seleccionar&gt;&gt;]],TablaAccion[[#All],[Nombre_Abreviado]:[Codigo_Plan_Acción]],3,0)</f>
        <v>#N/A</v>
      </c>
      <c r="B247" s="328" t="e">
        <f>VLOOKUP(Tabla5[[#This Row],[Acción Especifica
&lt;&lt; Seleccionar&gt;&gt;]],TablaAccionEspecifica[[#All],[Nombre_Abreviado]:[Codigo_Acción]],3,0)</f>
        <v>#N/A</v>
      </c>
      <c r="C247" s="328" t="e">
        <f>CONCATENATE(Tabla18[[#This Row],[Bus_02]],"_",Tabla5[[#This Row],[Sub Acción Específica
&lt;&lt; Seleccionar&gt;&gt;]])</f>
        <v>#N/A</v>
      </c>
      <c r="D247" s="328" t="e">
        <f>VLOOKUP(Tabla18[[#This Row],[Aux_01]],TablaSubAccionEspecifica[[#All],[Concat]:[Cod_Sub_acción_especifica]],2,0)</f>
        <v>#N/A</v>
      </c>
      <c r="E247" s="328" t="e">
        <f>Tabla18[[#This Row],[Bus_03]]&amp;"_"&amp;Tabla5[[#This Row],[Tipo de Agente
&lt;&lt; Seleccionar&gt;&gt;]]</f>
        <v>#N/A</v>
      </c>
      <c r="F247" s="328" t="e">
        <f>VLOOKUP(Tabla18[[#This Row],[Concat2]],TablaPOA[[#All],[Concat]:[ConcatEspecial]],3,0)</f>
        <v>#N/A</v>
      </c>
      <c r="G247" s="65" t="str">
        <f>CONCATENATE(Registro!$A$6,"_",Tabla5[[#This Row],[Zona (Provincia)
&lt;&lt; Seleccionar&gt;&gt;]])</f>
        <v>Huánuco_</v>
      </c>
      <c r="H247" s="60" t="e">
        <f>VLOOKUP(Tabla18[[#This Row],[Concatenado***]],Tabla2[[#All],[Concatenado]:[Simbología*]],2,0)</f>
        <v>#N/A</v>
      </c>
      <c r="I247" s="65" t="str">
        <f>CONCATENATE(Tabla18[[#This Row],[Concatenado***]],"_",Tabla5[[#This Row],[Zona (Distrito)
&lt;&lt; Seleccionar&gt;&gt;]])</f>
        <v>Huánuco__</v>
      </c>
      <c r="J2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7" s="72" t="e">
        <f>VLOOKUP(Tabla5[[#This Row],[Tipo de Transporte Empleado
&lt;&lt; Seleccionar&gt;&gt;]],Tabla8[#All],2,0)</f>
        <v>#N/A</v>
      </c>
      <c r="L247" s="71" t="e">
        <f>#REF!+(#REF!*2)+#REF!</f>
        <v>#REF!</v>
      </c>
    </row>
    <row r="248" spans="1:12" x14ac:dyDescent="0.25">
      <c r="A248" s="328" t="e">
        <f>VLOOKUP(Tabla5[[#This Row],[Acción
&lt;&lt; Seleccionar&gt;&gt;]],TablaAccion[[#All],[Nombre_Abreviado]:[Codigo_Plan_Acción]],3,0)</f>
        <v>#N/A</v>
      </c>
      <c r="B248" s="328" t="e">
        <f>VLOOKUP(Tabla5[[#This Row],[Acción Especifica
&lt;&lt; Seleccionar&gt;&gt;]],TablaAccionEspecifica[[#All],[Nombre_Abreviado]:[Codigo_Acción]],3,0)</f>
        <v>#N/A</v>
      </c>
      <c r="C248" s="328" t="e">
        <f>CONCATENATE(Tabla18[[#This Row],[Bus_02]],"_",Tabla5[[#This Row],[Sub Acción Específica
&lt;&lt; Seleccionar&gt;&gt;]])</f>
        <v>#N/A</v>
      </c>
      <c r="D248" s="328" t="e">
        <f>VLOOKUP(Tabla18[[#This Row],[Aux_01]],TablaSubAccionEspecifica[[#All],[Concat]:[Cod_Sub_acción_especifica]],2,0)</f>
        <v>#N/A</v>
      </c>
      <c r="E248" s="328" t="e">
        <f>Tabla18[[#This Row],[Bus_03]]&amp;"_"&amp;Tabla5[[#This Row],[Tipo de Agente
&lt;&lt; Seleccionar&gt;&gt;]]</f>
        <v>#N/A</v>
      </c>
      <c r="F248" s="328" t="e">
        <f>VLOOKUP(Tabla18[[#This Row],[Concat2]],TablaPOA[[#All],[Concat]:[ConcatEspecial]],3,0)</f>
        <v>#N/A</v>
      </c>
      <c r="G248" s="65" t="str">
        <f>CONCATENATE(Registro!$A$6,"_",Tabla5[[#This Row],[Zona (Provincia)
&lt;&lt; Seleccionar&gt;&gt;]])</f>
        <v>Huánuco_</v>
      </c>
      <c r="H248" s="60" t="e">
        <f>VLOOKUP(Tabla18[[#This Row],[Concatenado***]],Tabla2[[#All],[Concatenado]:[Simbología*]],2,0)</f>
        <v>#N/A</v>
      </c>
      <c r="I248" s="65" t="str">
        <f>CONCATENATE(Tabla18[[#This Row],[Concatenado***]],"_",Tabla5[[#This Row],[Zona (Distrito)
&lt;&lt; Seleccionar&gt;&gt;]])</f>
        <v>Huánuco__</v>
      </c>
      <c r="J2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8" s="72" t="e">
        <f>VLOOKUP(Tabla5[[#This Row],[Tipo de Transporte Empleado
&lt;&lt; Seleccionar&gt;&gt;]],Tabla8[#All],2,0)</f>
        <v>#N/A</v>
      </c>
      <c r="L248" s="71" t="e">
        <f>#REF!+(#REF!*2)+#REF!</f>
        <v>#REF!</v>
      </c>
    </row>
    <row r="249" spans="1:12" x14ac:dyDescent="0.25">
      <c r="A249" s="328" t="e">
        <f>VLOOKUP(Tabla5[[#This Row],[Acción
&lt;&lt; Seleccionar&gt;&gt;]],TablaAccion[[#All],[Nombre_Abreviado]:[Codigo_Plan_Acción]],3,0)</f>
        <v>#N/A</v>
      </c>
      <c r="B249" s="328" t="e">
        <f>VLOOKUP(Tabla5[[#This Row],[Acción Especifica
&lt;&lt; Seleccionar&gt;&gt;]],TablaAccionEspecifica[[#All],[Nombre_Abreviado]:[Codigo_Acción]],3,0)</f>
        <v>#N/A</v>
      </c>
      <c r="C249" s="328" t="e">
        <f>CONCATENATE(Tabla18[[#This Row],[Bus_02]],"_",Tabla5[[#This Row],[Sub Acción Específica
&lt;&lt; Seleccionar&gt;&gt;]])</f>
        <v>#N/A</v>
      </c>
      <c r="D249" s="328" t="e">
        <f>VLOOKUP(Tabla18[[#This Row],[Aux_01]],TablaSubAccionEspecifica[[#All],[Concat]:[Cod_Sub_acción_especifica]],2,0)</f>
        <v>#N/A</v>
      </c>
      <c r="E249" s="328" t="e">
        <f>Tabla18[[#This Row],[Bus_03]]&amp;"_"&amp;Tabla5[[#This Row],[Tipo de Agente
&lt;&lt; Seleccionar&gt;&gt;]]</f>
        <v>#N/A</v>
      </c>
      <c r="F249" s="328" t="e">
        <f>VLOOKUP(Tabla18[[#This Row],[Concat2]],TablaPOA[[#All],[Concat]:[ConcatEspecial]],3,0)</f>
        <v>#N/A</v>
      </c>
      <c r="G249" s="65" t="str">
        <f>CONCATENATE(Registro!$A$6,"_",Tabla5[[#This Row],[Zona (Provincia)
&lt;&lt; Seleccionar&gt;&gt;]])</f>
        <v>Huánuco_</v>
      </c>
      <c r="H249" s="60" t="e">
        <f>VLOOKUP(Tabla18[[#This Row],[Concatenado***]],Tabla2[[#All],[Concatenado]:[Simbología*]],2,0)</f>
        <v>#N/A</v>
      </c>
      <c r="I249" s="65" t="str">
        <f>CONCATENATE(Tabla18[[#This Row],[Concatenado***]],"_",Tabla5[[#This Row],[Zona (Distrito)
&lt;&lt; Seleccionar&gt;&gt;]])</f>
        <v>Huánuco__</v>
      </c>
      <c r="J2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9" s="72" t="e">
        <f>VLOOKUP(Tabla5[[#This Row],[Tipo de Transporte Empleado
&lt;&lt; Seleccionar&gt;&gt;]],Tabla8[#All],2,0)</f>
        <v>#N/A</v>
      </c>
      <c r="L249" s="71" t="e">
        <f>#REF!+(#REF!*2)+#REF!</f>
        <v>#REF!</v>
      </c>
    </row>
    <row r="250" spans="1:12" x14ac:dyDescent="0.25">
      <c r="A250" s="328" t="e">
        <f>VLOOKUP(Tabla5[[#This Row],[Acción
&lt;&lt; Seleccionar&gt;&gt;]],TablaAccion[[#All],[Nombre_Abreviado]:[Codigo_Plan_Acción]],3,0)</f>
        <v>#N/A</v>
      </c>
      <c r="B250" s="328" t="e">
        <f>VLOOKUP(Tabla5[[#This Row],[Acción Especifica
&lt;&lt; Seleccionar&gt;&gt;]],TablaAccionEspecifica[[#All],[Nombre_Abreviado]:[Codigo_Acción]],3,0)</f>
        <v>#N/A</v>
      </c>
      <c r="C250" s="328" t="e">
        <f>CONCATENATE(Tabla18[[#This Row],[Bus_02]],"_",Tabla5[[#This Row],[Sub Acción Específica
&lt;&lt; Seleccionar&gt;&gt;]])</f>
        <v>#N/A</v>
      </c>
      <c r="D250" s="328" t="e">
        <f>VLOOKUP(Tabla18[[#This Row],[Aux_01]],TablaSubAccionEspecifica[[#All],[Concat]:[Cod_Sub_acción_especifica]],2,0)</f>
        <v>#N/A</v>
      </c>
      <c r="E250" s="328" t="e">
        <f>Tabla18[[#This Row],[Bus_03]]&amp;"_"&amp;Tabla5[[#This Row],[Tipo de Agente
&lt;&lt; Seleccionar&gt;&gt;]]</f>
        <v>#N/A</v>
      </c>
      <c r="F250" s="328" t="e">
        <f>VLOOKUP(Tabla18[[#This Row],[Concat2]],TablaPOA[[#All],[Concat]:[ConcatEspecial]],3,0)</f>
        <v>#N/A</v>
      </c>
      <c r="G250" s="65" t="str">
        <f>CONCATENATE(Registro!$A$6,"_",Tabla5[[#This Row],[Zona (Provincia)
&lt;&lt; Seleccionar&gt;&gt;]])</f>
        <v>Huánuco_</v>
      </c>
      <c r="H250" s="60" t="e">
        <f>VLOOKUP(Tabla18[[#This Row],[Concatenado***]],Tabla2[[#All],[Concatenado]:[Simbología*]],2,0)</f>
        <v>#N/A</v>
      </c>
      <c r="I250" s="65" t="str">
        <f>CONCATENATE(Tabla18[[#This Row],[Concatenado***]],"_",Tabla5[[#This Row],[Zona (Distrito)
&lt;&lt; Seleccionar&gt;&gt;]])</f>
        <v>Huánuco__</v>
      </c>
      <c r="J2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0" s="72" t="e">
        <f>VLOOKUP(Tabla5[[#This Row],[Tipo de Transporte Empleado
&lt;&lt; Seleccionar&gt;&gt;]],Tabla8[#All],2,0)</f>
        <v>#N/A</v>
      </c>
      <c r="L250" s="71" t="e">
        <f>#REF!+(#REF!*2)+#REF!</f>
        <v>#REF!</v>
      </c>
    </row>
    <row r="251" spans="1:12" x14ac:dyDescent="0.25">
      <c r="A251" s="328" t="e">
        <f>VLOOKUP(Tabla5[[#This Row],[Acción
&lt;&lt; Seleccionar&gt;&gt;]],TablaAccion[[#All],[Nombre_Abreviado]:[Codigo_Plan_Acción]],3,0)</f>
        <v>#N/A</v>
      </c>
      <c r="B251" s="328" t="e">
        <f>VLOOKUP(Tabla5[[#This Row],[Acción Especifica
&lt;&lt; Seleccionar&gt;&gt;]],TablaAccionEspecifica[[#All],[Nombre_Abreviado]:[Codigo_Acción]],3,0)</f>
        <v>#N/A</v>
      </c>
      <c r="C251" s="328" t="e">
        <f>CONCATENATE(Tabla18[[#This Row],[Bus_02]],"_",Tabla5[[#This Row],[Sub Acción Específica
&lt;&lt; Seleccionar&gt;&gt;]])</f>
        <v>#N/A</v>
      </c>
      <c r="D251" s="328" t="e">
        <f>VLOOKUP(Tabla18[[#This Row],[Aux_01]],TablaSubAccionEspecifica[[#All],[Concat]:[Cod_Sub_acción_especifica]],2,0)</f>
        <v>#N/A</v>
      </c>
      <c r="E251" s="328" t="e">
        <f>Tabla18[[#This Row],[Bus_03]]&amp;"_"&amp;Tabla5[[#This Row],[Tipo de Agente
&lt;&lt; Seleccionar&gt;&gt;]]</f>
        <v>#N/A</v>
      </c>
      <c r="F251" s="328" t="e">
        <f>VLOOKUP(Tabla18[[#This Row],[Concat2]],TablaPOA[[#All],[Concat]:[ConcatEspecial]],3,0)</f>
        <v>#N/A</v>
      </c>
      <c r="G251" s="65" t="str">
        <f>CONCATENATE(Registro!$A$6,"_",Tabla5[[#This Row],[Zona (Provincia)
&lt;&lt; Seleccionar&gt;&gt;]])</f>
        <v>Huánuco_</v>
      </c>
      <c r="H251" s="60" t="e">
        <f>VLOOKUP(Tabla18[[#This Row],[Concatenado***]],Tabla2[[#All],[Concatenado]:[Simbología*]],2,0)</f>
        <v>#N/A</v>
      </c>
      <c r="I251" s="65" t="str">
        <f>CONCATENATE(Tabla18[[#This Row],[Concatenado***]],"_",Tabla5[[#This Row],[Zona (Distrito)
&lt;&lt; Seleccionar&gt;&gt;]])</f>
        <v>Huánuco__</v>
      </c>
      <c r="J2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1" s="72" t="e">
        <f>VLOOKUP(Tabla5[[#This Row],[Tipo de Transporte Empleado
&lt;&lt; Seleccionar&gt;&gt;]],Tabla8[#All],2,0)</f>
        <v>#N/A</v>
      </c>
      <c r="L251" s="71" t="e">
        <f>#REF!+(#REF!*2)+#REF!</f>
        <v>#REF!</v>
      </c>
    </row>
    <row r="252" spans="1:12" x14ac:dyDescent="0.25">
      <c r="A252" s="328" t="e">
        <f>VLOOKUP(Tabla5[[#This Row],[Acción
&lt;&lt; Seleccionar&gt;&gt;]],TablaAccion[[#All],[Nombre_Abreviado]:[Codigo_Plan_Acción]],3,0)</f>
        <v>#N/A</v>
      </c>
      <c r="B252" s="328" t="e">
        <f>VLOOKUP(Tabla5[[#This Row],[Acción Especifica
&lt;&lt; Seleccionar&gt;&gt;]],TablaAccionEspecifica[[#All],[Nombre_Abreviado]:[Codigo_Acción]],3,0)</f>
        <v>#N/A</v>
      </c>
      <c r="C252" s="328" t="e">
        <f>CONCATENATE(Tabla18[[#This Row],[Bus_02]],"_",Tabla5[[#This Row],[Sub Acción Específica
&lt;&lt; Seleccionar&gt;&gt;]])</f>
        <v>#N/A</v>
      </c>
      <c r="D252" s="328" t="e">
        <f>VLOOKUP(Tabla18[[#This Row],[Aux_01]],TablaSubAccionEspecifica[[#All],[Concat]:[Cod_Sub_acción_especifica]],2,0)</f>
        <v>#N/A</v>
      </c>
      <c r="E252" s="328" t="e">
        <f>Tabla18[[#This Row],[Bus_03]]&amp;"_"&amp;Tabla5[[#This Row],[Tipo de Agente
&lt;&lt; Seleccionar&gt;&gt;]]</f>
        <v>#N/A</v>
      </c>
      <c r="F252" s="328" t="e">
        <f>VLOOKUP(Tabla18[[#This Row],[Concat2]],TablaPOA[[#All],[Concat]:[ConcatEspecial]],3,0)</f>
        <v>#N/A</v>
      </c>
      <c r="G252" s="65" t="str">
        <f>CONCATENATE(Registro!$A$6,"_",Tabla5[[#This Row],[Zona (Provincia)
&lt;&lt; Seleccionar&gt;&gt;]])</f>
        <v>Huánuco_</v>
      </c>
      <c r="H252" s="60" t="e">
        <f>VLOOKUP(Tabla18[[#This Row],[Concatenado***]],Tabla2[[#All],[Concatenado]:[Simbología*]],2,0)</f>
        <v>#N/A</v>
      </c>
      <c r="I252" s="65" t="str">
        <f>CONCATENATE(Tabla18[[#This Row],[Concatenado***]],"_",Tabla5[[#This Row],[Zona (Distrito)
&lt;&lt; Seleccionar&gt;&gt;]])</f>
        <v>Huánuco__</v>
      </c>
      <c r="J2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2" s="72" t="e">
        <f>VLOOKUP(Tabla5[[#This Row],[Tipo de Transporte Empleado
&lt;&lt; Seleccionar&gt;&gt;]],Tabla8[#All],2,0)</f>
        <v>#N/A</v>
      </c>
      <c r="L252" s="71" t="e">
        <f>#REF!+(#REF!*2)+#REF!</f>
        <v>#REF!</v>
      </c>
    </row>
    <row r="253" spans="1:12" x14ac:dyDescent="0.25">
      <c r="A253" s="328" t="e">
        <f>VLOOKUP(Tabla5[[#This Row],[Acción
&lt;&lt; Seleccionar&gt;&gt;]],TablaAccion[[#All],[Nombre_Abreviado]:[Codigo_Plan_Acción]],3,0)</f>
        <v>#N/A</v>
      </c>
      <c r="B253" s="328" t="e">
        <f>VLOOKUP(Tabla5[[#This Row],[Acción Especifica
&lt;&lt; Seleccionar&gt;&gt;]],TablaAccionEspecifica[[#All],[Nombre_Abreviado]:[Codigo_Acción]],3,0)</f>
        <v>#N/A</v>
      </c>
      <c r="C253" s="328" t="e">
        <f>CONCATENATE(Tabla18[[#This Row],[Bus_02]],"_",Tabla5[[#This Row],[Sub Acción Específica
&lt;&lt; Seleccionar&gt;&gt;]])</f>
        <v>#N/A</v>
      </c>
      <c r="D253" s="328" t="e">
        <f>VLOOKUP(Tabla18[[#This Row],[Aux_01]],TablaSubAccionEspecifica[[#All],[Concat]:[Cod_Sub_acción_especifica]],2,0)</f>
        <v>#N/A</v>
      </c>
      <c r="E253" s="328" t="e">
        <f>Tabla18[[#This Row],[Bus_03]]&amp;"_"&amp;Tabla5[[#This Row],[Tipo de Agente
&lt;&lt; Seleccionar&gt;&gt;]]</f>
        <v>#N/A</v>
      </c>
      <c r="F253" s="328" t="e">
        <f>VLOOKUP(Tabla18[[#This Row],[Concat2]],TablaPOA[[#All],[Concat]:[ConcatEspecial]],3,0)</f>
        <v>#N/A</v>
      </c>
      <c r="G253" s="65" t="str">
        <f>CONCATENATE(Registro!$A$6,"_",Tabla5[[#This Row],[Zona (Provincia)
&lt;&lt; Seleccionar&gt;&gt;]])</f>
        <v>Huánuco_</v>
      </c>
      <c r="H253" s="60" t="e">
        <f>VLOOKUP(Tabla18[[#This Row],[Concatenado***]],Tabla2[[#All],[Concatenado]:[Simbología*]],2,0)</f>
        <v>#N/A</v>
      </c>
      <c r="I253" s="65" t="str">
        <f>CONCATENATE(Tabla18[[#This Row],[Concatenado***]],"_",Tabla5[[#This Row],[Zona (Distrito)
&lt;&lt; Seleccionar&gt;&gt;]])</f>
        <v>Huánuco__</v>
      </c>
      <c r="J2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3" s="72" t="e">
        <f>VLOOKUP(Tabla5[[#This Row],[Tipo de Transporte Empleado
&lt;&lt; Seleccionar&gt;&gt;]],Tabla8[#All],2,0)</f>
        <v>#N/A</v>
      </c>
      <c r="L253" s="71" t="e">
        <f>#REF!+(#REF!*2)+#REF!</f>
        <v>#REF!</v>
      </c>
    </row>
    <row r="254" spans="1:12" x14ac:dyDescent="0.25">
      <c r="A254" s="328" t="e">
        <f>VLOOKUP(Tabla5[[#This Row],[Acción
&lt;&lt; Seleccionar&gt;&gt;]],TablaAccion[[#All],[Nombre_Abreviado]:[Codigo_Plan_Acción]],3,0)</f>
        <v>#N/A</v>
      </c>
      <c r="B254" s="328" t="e">
        <f>VLOOKUP(Tabla5[[#This Row],[Acción Especifica
&lt;&lt; Seleccionar&gt;&gt;]],TablaAccionEspecifica[[#All],[Nombre_Abreviado]:[Codigo_Acción]],3,0)</f>
        <v>#N/A</v>
      </c>
      <c r="C254" s="328" t="e">
        <f>CONCATENATE(Tabla18[[#This Row],[Bus_02]],"_",Tabla5[[#This Row],[Sub Acción Específica
&lt;&lt; Seleccionar&gt;&gt;]])</f>
        <v>#N/A</v>
      </c>
      <c r="D254" s="328" t="e">
        <f>VLOOKUP(Tabla18[[#This Row],[Aux_01]],TablaSubAccionEspecifica[[#All],[Concat]:[Cod_Sub_acción_especifica]],2,0)</f>
        <v>#N/A</v>
      </c>
      <c r="E254" s="328" t="e">
        <f>Tabla18[[#This Row],[Bus_03]]&amp;"_"&amp;Tabla5[[#This Row],[Tipo de Agente
&lt;&lt; Seleccionar&gt;&gt;]]</f>
        <v>#N/A</v>
      </c>
      <c r="F254" s="328" t="e">
        <f>VLOOKUP(Tabla18[[#This Row],[Concat2]],TablaPOA[[#All],[Concat]:[ConcatEspecial]],3,0)</f>
        <v>#N/A</v>
      </c>
      <c r="G254" s="65" t="str">
        <f>CONCATENATE(Registro!$A$6,"_",Tabla5[[#This Row],[Zona (Provincia)
&lt;&lt; Seleccionar&gt;&gt;]])</f>
        <v>Huánuco_</v>
      </c>
      <c r="H254" s="60" t="e">
        <f>VLOOKUP(Tabla18[[#This Row],[Concatenado***]],Tabla2[[#All],[Concatenado]:[Simbología*]],2,0)</f>
        <v>#N/A</v>
      </c>
      <c r="I254" s="65" t="str">
        <f>CONCATENATE(Tabla18[[#This Row],[Concatenado***]],"_",Tabla5[[#This Row],[Zona (Distrito)
&lt;&lt; Seleccionar&gt;&gt;]])</f>
        <v>Huánuco__</v>
      </c>
      <c r="J2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4" s="72" t="e">
        <f>VLOOKUP(Tabla5[[#This Row],[Tipo de Transporte Empleado
&lt;&lt; Seleccionar&gt;&gt;]],Tabla8[#All],2,0)</f>
        <v>#N/A</v>
      </c>
      <c r="L254" s="71" t="e">
        <f>#REF!+(#REF!*2)+#REF!</f>
        <v>#REF!</v>
      </c>
    </row>
    <row r="255" spans="1:12" x14ac:dyDescent="0.25">
      <c r="A255" s="328" t="e">
        <f>VLOOKUP(Tabla5[[#This Row],[Acción
&lt;&lt; Seleccionar&gt;&gt;]],TablaAccion[[#All],[Nombre_Abreviado]:[Codigo_Plan_Acción]],3,0)</f>
        <v>#N/A</v>
      </c>
      <c r="B255" s="328" t="e">
        <f>VLOOKUP(Tabla5[[#This Row],[Acción Especifica
&lt;&lt; Seleccionar&gt;&gt;]],TablaAccionEspecifica[[#All],[Nombre_Abreviado]:[Codigo_Acción]],3,0)</f>
        <v>#N/A</v>
      </c>
      <c r="C255" s="328" t="e">
        <f>CONCATENATE(Tabla18[[#This Row],[Bus_02]],"_",Tabla5[[#This Row],[Sub Acción Específica
&lt;&lt; Seleccionar&gt;&gt;]])</f>
        <v>#N/A</v>
      </c>
      <c r="D255" s="328" t="e">
        <f>VLOOKUP(Tabla18[[#This Row],[Aux_01]],TablaSubAccionEspecifica[[#All],[Concat]:[Cod_Sub_acción_especifica]],2,0)</f>
        <v>#N/A</v>
      </c>
      <c r="E255" s="328" t="e">
        <f>Tabla18[[#This Row],[Bus_03]]&amp;"_"&amp;Tabla5[[#This Row],[Tipo de Agente
&lt;&lt; Seleccionar&gt;&gt;]]</f>
        <v>#N/A</v>
      </c>
      <c r="F255" s="328" t="e">
        <f>VLOOKUP(Tabla18[[#This Row],[Concat2]],TablaPOA[[#All],[Concat]:[ConcatEspecial]],3,0)</f>
        <v>#N/A</v>
      </c>
      <c r="G255" s="65" t="str">
        <f>CONCATENATE(Registro!$A$6,"_",Tabla5[[#This Row],[Zona (Provincia)
&lt;&lt; Seleccionar&gt;&gt;]])</f>
        <v>Huánuco_</v>
      </c>
      <c r="H255" s="60" t="e">
        <f>VLOOKUP(Tabla18[[#This Row],[Concatenado***]],Tabla2[[#All],[Concatenado]:[Simbología*]],2,0)</f>
        <v>#N/A</v>
      </c>
      <c r="I255" s="65" t="str">
        <f>CONCATENATE(Tabla18[[#This Row],[Concatenado***]],"_",Tabla5[[#This Row],[Zona (Distrito)
&lt;&lt; Seleccionar&gt;&gt;]])</f>
        <v>Huánuco__</v>
      </c>
      <c r="J2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5" s="72" t="e">
        <f>VLOOKUP(Tabla5[[#This Row],[Tipo de Transporte Empleado
&lt;&lt; Seleccionar&gt;&gt;]],Tabla8[#All],2,0)</f>
        <v>#N/A</v>
      </c>
      <c r="L255" s="71" t="e">
        <f>#REF!+(#REF!*2)+#REF!</f>
        <v>#REF!</v>
      </c>
    </row>
    <row r="256" spans="1:12" x14ac:dyDescent="0.25">
      <c r="A256" s="328" t="e">
        <f>VLOOKUP(Tabla5[[#This Row],[Acción
&lt;&lt; Seleccionar&gt;&gt;]],TablaAccion[[#All],[Nombre_Abreviado]:[Codigo_Plan_Acción]],3,0)</f>
        <v>#N/A</v>
      </c>
      <c r="B256" s="328" t="e">
        <f>VLOOKUP(Tabla5[[#This Row],[Acción Especifica
&lt;&lt; Seleccionar&gt;&gt;]],TablaAccionEspecifica[[#All],[Nombre_Abreviado]:[Codigo_Acción]],3,0)</f>
        <v>#N/A</v>
      </c>
      <c r="C256" s="328" t="e">
        <f>CONCATENATE(Tabla18[[#This Row],[Bus_02]],"_",Tabla5[[#This Row],[Sub Acción Específica
&lt;&lt; Seleccionar&gt;&gt;]])</f>
        <v>#N/A</v>
      </c>
      <c r="D256" s="328" t="e">
        <f>VLOOKUP(Tabla18[[#This Row],[Aux_01]],TablaSubAccionEspecifica[[#All],[Concat]:[Cod_Sub_acción_especifica]],2,0)</f>
        <v>#N/A</v>
      </c>
      <c r="E256" s="328" t="e">
        <f>Tabla18[[#This Row],[Bus_03]]&amp;"_"&amp;Tabla5[[#This Row],[Tipo de Agente
&lt;&lt; Seleccionar&gt;&gt;]]</f>
        <v>#N/A</v>
      </c>
      <c r="F256" s="328" t="e">
        <f>VLOOKUP(Tabla18[[#This Row],[Concat2]],TablaPOA[[#All],[Concat]:[ConcatEspecial]],3,0)</f>
        <v>#N/A</v>
      </c>
      <c r="G256" s="65" t="str">
        <f>CONCATENATE(Registro!$A$6,"_",Tabla5[[#This Row],[Zona (Provincia)
&lt;&lt; Seleccionar&gt;&gt;]])</f>
        <v>Huánuco_</v>
      </c>
      <c r="H256" s="60" t="e">
        <f>VLOOKUP(Tabla18[[#This Row],[Concatenado***]],Tabla2[[#All],[Concatenado]:[Simbología*]],2,0)</f>
        <v>#N/A</v>
      </c>
      <c r="I256" s="65" t="str">
        <f>CONCATENATE(Tabla18[[#This Row],[Concatenado***]],"_",Tabla5[[#This Row],[Zona (Distrito)
&lt;&lt; Seleccionar&gt;&gt;]])</f>
        <v>Huánuco__</v>
      </c>
      <c r="J2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6" s="72" t="e">
        <f>VLOOKUP(Tabla5[[#This Row],[Tipo de Transporte Empleado
&lt;&lt; Seleccionar&gt;&gt;]],Tabla8[#All],2,0)</f>
        <v>#N/A</v>
      </c>
      <c r="L256" s="71" t="e">
        <f>#REF!+(#REF!*2)+#REF!</f>
        <v>#REF!</v>
      </c>
    </row>
    <row r="257" spans="1:12" x14ac:dyDescent="0.25">
      <c r="A257" s="328" t="e">
        <f>VLOOKUP(Tabla5[[#This Row],[Acción
&lt;&lt; Seleccionar&gt;&gt;]],TablaAccion[[#All],[Nombre_Abreviado]:[Codigo_Plan_Acción]],3,0)</f>
        <v>#N/A</v>
      </c>
      <c r="B257" s="328" t="e">
        <f>VLOOKUP(Tabla5[[#This Row],[Acción Especifica
&lt;&lt; Seleccionar&gt;&gt;]],TablaAccionEspecifica[[#All],[Nombre_Abreviado]:[Codigo_Acción]],3,0)</f>
        <v>#N/A</v>
      </c>
      <c r="C257" s="328" t="e">
        <f>CONCATENATE(Tabla18[[#This Row],[Bus_02]],"_",Tabla5[[#This Row],[Sub Acción Específica
&lt;&lt; Seleccionar&gt;&gt;]])</f>
        <v>#N/A</v>
      </c>
      <c r="D257" s="328" t="e">
        <f>VLOOKUP(Tabla18[[#This Row],[Aux_01]],TablaSubAccionEspecifica[[#All],[Concat]:[Cod_Sub_acción_especifica]],2,0)</f>
        <v>#N/A</v>
      </c>
      <c r="E257" s="328" t="e">
        <f>Tabla18[[#This Row],[Bus_03]]&amp;"_"&amp;Tabla5[[#This Row],[Tipo de Agente
&lt;&lt; Seleccionar&gt;&gt;]]</f>
        <v>#N/A</v>
      </c>
      <c r="F257" s="328" t="e">
        <f>VLOOKUP(Tabla18[[#This Row],[Concat2]],TablaPOA[[#All],[Concat]:[ConcatEspecial]],3,0)</f>
        <v>#N/A</v>
      </c>
      <c r="G257" s="65" t="str">
        <f>CONCATENATE(Registro!$A$6,"_",Tabla5[[#This Row],[Zona (Provincia)
&lt;&lt; Seleccionar&gt;&gt;]])</f>
        <v>Huánuco_</v>
      </c>
      <c r="H257" s="60" t="e">
        <f>VLOOKUP(Tabla18[[#This Row],[Concatenado***]],Tabla2[[#All],[Concatenado]:[Simbología*]],2,0)</f>
        <v>#N/A</v>
      </c>
      <c r="I257" s="65" t="str">
        <f>CONCATENATE(Tabla18[[#This Row],[Concatenado***]],"_",Tabla5[[#This Row],[Zona (Distrito)
&lt;&lt; Seleccionar&gt;&gt;]])</f>
        <v>Huánuco__</v>
      </c>
      <c r="J2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7" s="72" t="e">
        <f>VLOOKUP(Tabla5[[#This Row],[Tipo de Transporte Empleado
&lt;&lt; Seleccionar&gt;&gt;]],Tabla8[#All],2,0)</f>
        <v>#N/A</v>
      </c>
      <c r="L257" s="71" t="e">
        <f>#REF!+(#REF!*2)+#REF!</f>
        <v>#REF!</v>
      </c>
    </row>
    <row r="258" spans="1:12" x14ac:dyDescent="0.25">
      <c r="A258" s="328" t="e">
        <f>VLOOKUP(Tabla5[[#This Row],[Acción
&lt;&lt; Seleccionar&gt;&gt;]],TablaAccion[[#All],[Nombre_Abreviado]:[Codigo_Plan_Acción]],3,0)</f>
        <v>#N/A</v>
      </c>
      <c r="B258" s="328" t="e">
        <f>VLOOKUP(Tabla5[[#This Row],[Acción Especifica
&lt;&lt; Seleccionar&gt;&gt;]],TablaAccionEspecifica[[#All],[Nombre_Abreviado]:[Codigo_Acción]],3,0)</f>
        <v>#N/A</v>
      </c>
      <c r="C258" s="328" t="e">
        <f>CONCATENATE(Tabla18[[#This Row],[Bus_02]],"_",Tabla5[[#This Row],[Sub Acción Específica
&lt;&lt; Seleccionar&gt;&gt;]])</f>
        <v>#N/A</v>
      </c>
      <c r="D258" s="328" t="e">
        <f>VLOOKUP(Tabla18[[#This Row],[Aux_01]],TablaSubAccionEspecifica[[#All],[Concat]:[Cod_Sub_acción_especifica]],2,0)</f>
        <v>#N/A</v>
      </c>
      <c r="E258" s="328" t="e">
        <f>Tabla18[[#This Row],[Bus_03]]&amp;"_"&amp;Tabla5[[#This Row],[Tipo de Agente
&lt;&lt; Seleccionar&gt;&gt;]]</f>
        <v>#N/A</v>
      </c>
      <c r="F258" s="328" t="e">
        <f>VLOOKUP(Tabla18[[#This Row],[Concat2]],TablaPOA[[#All],[Concat]:[ConcatEspecial]],3,0)</f>
        <v>#N/A</v>
      </c>
      <c r="G258" s="65" t="str">
        <f>CONCATENATE(Registro!$A$6,"_",Tabla5[[#This Row],[Zona (Provincia)
&lt;&lt; Seleccionar&gt;&gt;]])</f>
        <v>Huánuco_</v>
      </c>
      <c r="H258" s="60" t="e">
        <f>VLOOKUP(Tabla18[[#This Row],[Concatenado***]],Tabla2[[#All],[Concatenado]:[Simbología*]],2,0)</f>
        <v>#N/A</v>
      </c>
      <c r="I258" s="65" t="str">
        <f>CONCATENATE(Tabla18[[#This Row],[Concatenado***]],"_",Tabla5[[#This Row],[Zona (Distrito)
&lt;&lt; Seleccionar&gt;&gt;]])</f>
        <v>Huánuco__</v>
      </c>
      <c r="J2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8" s="72" t="e">
        <f>VLOOKUP(Tabla5[[#This Row],[Tipo de Transporte Empleado
&lt;&lt; Seleccionar&gt;&gt;]],Tabla8[#All],2,0)</f>
        <v>#N/A</v>
      </c>
      <c r="L258" s="71" t="e">
        <f>#REF!+(#REF!*2)+#REF!</f>
        <v>#REF!</v>
      </c>
    </row>
    <row r="259" spans="1:12" x14ac:dyDescent="0.25">
      <c r="A259" s="328" t="e">
        <f>VLOOKUP(Tabla5[[#This Row],[Acción
&lt;&lt; Seleccionar&gt;&gt;]],TablaAccion[[#All],[Nombre_Abreviado]:[Codigo_Plan_Acción]],3,0)</f>
        <v>#N/A</v>
      </c>
      <c r="B259" s="328" t="e">
        <f>VLOOKUP(Tabla5[[#This Row],[Acción Especifica
&lt;&lt; Seleccionar&gt;&gt;]],TablaAccionEspecifica[[#All],[Nombre_Abreviado]:[Codigo_Acción]],3,0)</f>
        <v>#N/A</v>
      </c>
      <c r="C259" s="328" t="e">
        <f>CONCATENATE(Tabla18[[#This Row],[Bus_02]],"_",Tabla5[[#This Row],[Sub Acción Específica
&lt;&lt; Seleccionar&gt;&gt;]])</f>
        <v>#N/A</v>
      </c>
      <c r="D259" s="328" t="e">
        <f>VLOOKUP(Tabla18[[#This Row],[Aux_01]],TablaSubAccionEspecifica[[#All],[Concat]:[Cod_Sub_acción_especifica]],2,0)</f>
        <v>#N/A</v>
      </c>
      <c r="E259" s="328" t="e">
        <f>Tabla18[[#This Row],[Bus_03]]&amp;"_"&amp;Tabla5[[#This Row],[Tipo de Agente
&lt;&lt; Seleccionar&gt;&gt;]]</f>
        <v>#N/A</v>
      </c>
      <c r="F259" s="328" t="e">
        <f>VLOOKUP(Tabla18[[#This Row],[Concat2]],TablaPOA[[#All],[Concat]:[ConcatEspecial]],3,0)</f>
        <v>#N/A</v>
      </c>
      <c r="G259" s="65" t="str">
        <f>CONCATENATE(Registro!$A$6,"_",Tabla5[[#This Row],[Zona (Provincia)
&lt;&lt; Seleccionar&gt;&gt;]])</f>
        <v>Huánuco_</v>
      </c>
      <c r="H259" s="60" t="e">
        <f>VLOOKUP(Tabla18[[#This Row],[Concatenado***]],Tabla2[[#All],[Concatenado]:[Simbología*]],2,0)</f>
        <v>#N/A</v>
      </c>
      <c r="I259" s="65" t="str">
        <f>CONCATENATE(Tabla18[[#This Row],[Concatenado***]],"_",Tabla5[[#This Row],[Zona (Distrito)
&lt;&lt; Seleccionar&gt;&gt;]])</f>
        <v>Huánuco__</v>
      </c>
      <c r="J2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9" s="72" t="e">
        <f>VLOOKUP(Tabla5[[#This Row],[Tipo de Transporte Empleado
&lt;&lt; Seleccionar&gt;&gt;]],Tabla8[#All],2,0)</f>
        <v>#N/A</v>
      </c>
      <c r="L259" s="71" t="e">
        <f>#REF!+(#REF!*2)+#REF!</f>
        <v>#REF!</v>
      </c>
    </row>
    <row r="260" spans="1:12" x14ac:dyDescent="0.25">
      <c r="A260" s="328" t="e">
        <f>VLOOKUP(Tabla5[[#This Row],[Acción
&lt;&lt; Seleccionar&gt;&gt;]],TablaAccion[[#All],[Nombre_Abreviado]:[Codigo_Plan_Acción]],3,0)</f>
        <v>#N/A</v>
      </c>
      <c r="B260" s="328" t="e">
        <f>VLOOKUP(Tabla5[[#This Row],[Acción Especifica
&lt;&lt; Seleccionar&gt;&gt;]],TablaAccionEspecifica[[#All],[Nombre_Abreviado]:[Codigo_Acción]],3,0)</f>
        <v>#N/A</v>
      </c>
      <c r="C260" s="328" t="e">
        <f>CONCATENATE(Tabla18[[#This Row],[Bus_02]],"_",Tabla5[[#This Row],[Sub Acción Específica
&lt;&lt; Seleccionar&gt;&gt;]])</f>
        <v>#N/A</v>
      </c>
      <c r="D260" s="328" t="e">
        <f>VLOOKUP(Tabla18[[#This Row],[Aux_01]],TablaSubAccionEspecifica[[#All],[Concat]:[Cod_Sub_acción_especifica]],2,0)</f>
        <v>#N/A</v>
      </c>
      <c r="E260" s="328" t="e">
        <f>Tabla18[[#This Row],[Bus_03]]&amp;"_"&amp;Tabla5[[#This Row],[Tipo de Agente
&lt;&lt; Seleccionar&gt;&gt;]]</f>
        <v>#N/A</v>
      </c>
      <c r="F260" s="328" t="e">
        <f>VLOOKUP(Tabla18[[#This Row],[Concat2]],TablaPOA[[#All],[Concat]:[ConcatEspecial]],3,0)</f>
        <v>#N/A</v>
      </c>
      <c r="G260" s="65" t="str">
        <f>CONCATENATE(Registro!$A$6,"_",Tabla5[[#This Row],[Zona (Provincia)
&lt;&lt; Seleccionar&gt;&gt;]])</f>
        <v>Huánuco_</v>
      </c>
      <c r="H260" s="60" t="e">
        <f>VLOOKUP(Tabla18[[#This Row],[Concatenado***]],Tabla2[[#All],[Concatenado]:[Simbología*]],2,0)</f>
        <v>#N/A</v>
      </c>
      <c r="I260" s="65" t="str">
        <f>CONCATENATE(Tabla18[[#This Row],[Concatenado***]],"_",Tabla5[[#This Row],[Zona (Distrito)
&lt;&lt; Seleccionar&gt;&gt;]])</f>
        <v>Huánuco__</v>
      </c>
      <c r="J2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0" s="72" t="e">
        <f>VLOOKUP(Tabla5[[#This Row],[Tipo de Transporte Empleado
&lt;&lt; Seleccionar&gt;&gt;]],Tabla8[#All],2,0)</f>
        <v>#N/A</v>
      </c>
      <c r="L260" s="71" t="e">
        <f>#REF!+(#REF!*2)+#REF!</f>
        <v>#REF!</v>
      </c>
    </row>
    <row r="261" spans="1:12" x14ac:dyDescent="0.25">
      <c r="A261" s="328" t="e">
        <f>VLOOKUP(Tabla5[[#This Row],[Acción
&lt;&lt; Seleccionar&gt;&gt;]],TablaAccion[[#All],[Nombre_Abreviado]:[Codigo_Plan_Acción]],3,0)</f>
        <v>#N/A</v>
      </c>
      <c r="B261" s="328" t="e">
        <f>VLOOKUP(Tabla5[[#This Row],[Acción Especifica
&lt;&lt; Seleccionar&gt;&gt;]],TablaAccionEspecifica[[#All],[Nombre_Abreviado]:[Codigo_Acción]],3,0)</f>
        <v>#N/A</v>
      </c>
      <c r="C261" s="328" t="e">
        <f>CONCATENATE(Tabla18[[#This Row],[Bus_02]],"_",Tabla5[[#This Row],[Sub Acción Específica
&lt;&lt; Seleccionar&gt;&gt;]])</f>
        <v>#N/A</v>
      </c>
      <c r="D261" s="328" t="e">
        <f>VLOOKUP(Tabla18[[#This Row],[Aux_01]],TablaSubAccionEspecifica[[#All],[Concat]:[Cod_Sub_acción_especifica]],2,0)</f>
        <v>#N/A</v>
      </c>
      <c r="E261" s="328" t="e">
        <f>Tabla18[[#This Row],[Bus_03]]&amp;"_"&amp;Tabla5[[#This Row],[Tipo de Agente
&lt;&lt; Seleccionar&gt;&gt;]]</f>
        <v>#N/A</v>
      </c>
      <c r="F261" s="328" t="e">
        <f>VLOOKUP(Tabla18[[#This Row],[Concat2]],TablaPOA[[#All],[Concat]:[ConcatEspecial]],3,0)</f>
        <v>#N/A</v>
      </c>
      <c r="G261" s="65" t="str">
        <f>CONCATENATE(Registro!$A$6,"_",Tabla5[[#This Row],[Zona (Provincia)
&lt;&lt; Seleccionar&gt;&gt;]])</f>
        <v>Huánuco_</v>
      </c>
      <c r="H261" s="60" t="e">
        <f>VLOOKUP(Tabla18[[#This Row],[Concatenado***]],Tabla2[[#All],[Concatenado]:[Simbología*]],2,0)</f>
        <v>#N/A</v>
      </c>
      <c r="I261" s="65" t="str">
        <f>CONCATENATE(Tabla18[[#This Row],[Concatenado***]],"_",Tabla5[[#This Row],[Zona (Distrito)
&lt;&lt; Seleccionar&gt;&gt;]])</f>
        <v>Huánuco__</v>
      </c>
      <c r="J2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1" s="72" t="e">
        <f>VLOOKUP(Tabla5[[#This Row],[Tipo de Transporte Empleado
&lt;&lt; Seleccionar&gt;&gt;]],Tabla8[#All],2,0)</f>
        <v>#N/A</v>
      </c>
      <c r="L261" s="71" t="e">
        <f>#REF!+(#REF!*2)+#REF!</f>
        <v>#REF!</v>
      </c>
    </row>
    <row r="262" spans="1:12" x14ac:dyDescent="0.25">
      <c r="A262" s="328" t="e">
        <f>VLOOKUP(Tabla5[[#This Row],[Acción
&lt;&lt; Seleccionar&gt;&gt;]],TablaAccion[[#All],[Nombre_Abreviado]:[Codigo_Plan_Acción]],3,0)</f>
        <v>#N/A</v>
      </c>
      <c r="B262" s="328" t="e">
        <f>VLOOKUP(Tabla5[[#This Row],[Acción Especifica
&lt;&lt; Seleccionar&gt;&gt;]],TablaAccionEspecifica[[#All],[Nombre_Abreviado]:[Codigo_Acción]],3,0)</f>
        <v>#N/A</v>
      </c>
      <c r="C262" s="328" t="e">
        <f>CONCATENATE(Tabla18[[#This Row],[Bus_02]],"_",Tabla5[[#This Row],[Sub Acción Específica
&lt;&lt; Seleccionar&gt;&gt;]])</f>
        <v>#N/A</v>
      </c>
      <c r="D262" s="328" t="e">
        <f>VLOOKUP(Tabla18[[#This Row],[Aux_01]],TablaSubAccionEspecifica[[#All],[Concat]:[Cod_Sub_acción_especifica]],2,0)</f>
        <v>#N/A</v>
      </c>
      <c r="E262" s="328" t="e">
        <f>Tabla18[[#This Row],[Bus_03]]&amp;"_"&amp;Tabla5[[#This Row],[Tipo de Agente
&lt;&lt; Seleccionar&gt;&gt;]]</f>
        <v>#N/A</v>
      </c>
      <c r="F262" s="328" t="e">
        <f>VLOOKUP(Tabla18[[#This Row],[Concat2]],TablaPOA[[#All],[Concat]:[ConcatEspecial]],3,0)</f>
        <v>#N/A</v>
      </c>
      <c r="G262" s="65" t="str">
        <f>CONCATENATE(Registro!$A$6,"_",Tabla5[[#This Row],[Zona (Provincia)
&lt;&lt; Seleccionar&gt;&gt;]])</f>
        <v>Huánuco_</v>
      </c>
      <c r="H262" s="60" t="e">
        <f>VLOOKUP(Tabla18[[#This Row],[Concatenado***]],Tabla2[[#All],[Concatenado]:[Simbología*]],2,0)</f>
        <v>#N/A</v>
      </c>
      <c r="I262" s="65" t="str">
        <f>CONCATENATE(Tabla18[[#This Row],[Concatenado***]],"_",Tabla5[[#This Row],[Zona (Distrito)
&lt;&lt; Seleccionar&gt;&gt;]])</f>
        <v>Huánuco__</v>
      </c>
      <c r="J2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2" s="72" t="e">
        <f>VLOOKUP(Tabla5[[#This Row],[Tipo de Transporte Empleado
&lt;&lt; Seleccionar&gt;&gt;]],Tabla8[#All],2,0)</f>
        <v>#N/A</v>
      </c>
      <c r="L262" s="71" t="e">
        <f>#REF!+(#REF!*2)+#REF!</f>
        <v>#REF!</v>
      </c>
    </row>
    <row r="263" spans="1:12" x14ac:dyDescent="0.25">
      <c r="A263" s="328" t="e">
        <f>VLOOKUP(Tabla5[[#This Row],[Acción
&lt;&lt; Seleccionar&gt;&gt;]],TablaAccion[[#All],[Nombre_Abreviado]:[Codigo_Plan_Acción]],3,0)</f>
        <v>#N/A</v>
      </c>
      <c r="B263" s="328" t="e">
        <f>VLOOKUP(Tabla5[[#This Row],[Acción Especifica
&lt;&lt; Seleccionar&gt;&gt;]],TablaAccionEspecifica[[#All],[Nombre_Abreviado]:[Codigo_Acción]],3,0)</f>
        <v>#N/A</v>
      </c>
      <c r="C263" s="328" t="e">
        <f>CONCATENATE(Tabla18[[#This Row],[Bus_02]],"_",Tabla5[[#This Row],[Sub Acción Específica
&lt;&lt; Seleccionar&gt;&gt;]])</f>
        <v>#N/A</v>
      </c>
      <c r="D263" s="328" t="e">
        <f>VLOOKUP(Tabla18[[#This Row],[Aux_01]],TablaSubAccionEspecifica[[#All],[Concat]:[Cod_Sub_acción_especifica]],2,0)</f>
        <v>#N/A</v>
      </c>
      <c r="E263" s="328" t="e">
        <f>Tabla18[[#This Row],[Bus_03]]&amp;"_"&amp;Tabla5[[#This Row],[Tipo de Agente
&lt;&lt; Seleccionar&gt;&gt;]]</f>
        <v>#N/A</v>
      </c>
      <c r="F263" s="328" t="e">
        <f>VLOOKUP(Tabla18[[#This Row],[Concat2]],TablaPOA[[#All],[Concat]:[ConcatEspecial]],3,0)</f>
        <v>#N/A</v>
      </c>
      <c r="G263" s="65" t="str">
        <f>CONCATENATE(Registro!$A$6,"_",Tabla5[[#This Row],[Zona (Provincia)
&lt;&lt; Seleccionar&gt;&gt;]])</f>
        <v>Huánuco_</v>
      </c>
      <c r="H263" s="60" t="e">
        <f>VLOOKUP(Tabla18[[#This Row],[Concatenado***]],Tabla2[[#All],[Concatenado]:[Simbología*]],2,0)</f>
        <v>#N/A</v>
      </c>
      <c r="I263" s="65" t="str">
        <f>CONCATENATE(Tabla18[[#This Row],[Concatenado***]],"_",Tabla5[[#This Row],[Zona (Distrito)
&lt;&lt; Seleccionar&gt;&gt;]])</f>
        <v>Huánuco__</v>
      </c>
      <c r="J2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3" s="72" t="e">
        <f>VLOOKUP(Tabla5[[#This Row],[Tipo de Transporte Empleado
&lt;&lt; Seleccionar&gt;&gt;]],Tabla8[#All],2,0)</f>
        <v>#N/A</v>
      </c>
      <c r="L263" s="71" t="e">
        <f>#REF!+(#REF!*2)+#REF!</f>
        <v>#REF!</v>
      </c>
    </row>
    <row r="264" spans="1:12" x14ac:dyDescent="0.25">
      <c r="A264" s="328" t="e">
        <f>VLOOKUP(Tabla5[[#This Row],[Acción
&lt;&lt; Seleccionar&gt;&gt;]],TablaAccion[[#All],[Nombre_Abreviado]:[Codigo_Plan_Acción]],3,0)</f>
        <v>#N/A</v>
      </c>
      <c r="B264" s="328" t="e">
        <f>VLOOKUP(Tabla5[[#This Row],[Acción Especifica
&lt;&lt; Seleccionar&gt;&gt;]],TablaAccionEspecifica[[#All],[Nombre_Abreviado]:[Codigo_Acción]],3,0)</f>
        <v>#N/A</v>
      </c>
      <c r="C264" s="328" t="e">
        <f>CONCATENATE(Tabla18[[#This Row],[Bus_02]],"_",Tabla5[[#This Row],[Sub Acción Específica
&lt;&lt; Seleccionar&gt;&gt;]])</f>
        <v>#N/A</v>
      </c>
      <c r="D264" s="328" t="e">
        <f>VLOOKUP(Tabla18[[#This Row],[Aux_01]],TablaSubAccionEspecifica[[#All],[Concat]:[Cod_Sub_acción_especifica]],2,0)</f>
        <v>#N/A</v>
      </c>
      <c r="E264" s="328" t="e">
        <f>Tabla18[[#This Row],[Bus_03]]&amp;"_"&amp;Tabla5[[#This Row],[Tipo de Agente
&lt;&lt; Seleccionar&gt;&gt;]]</f>
        <v>#N/A</v>
      </c>
      <c r="F264" s="328" t="e">
        <f>VLOOKUP(Tabla18[[#This Row],[Concat2]],TablaPOA[[#All],[Concat]:[ConcatEspecial]],3,0)</f>
        <v>#N/A</v>
      </c>
      <c r="G264" s="65" t="str">
        <f>CONCATENATE(Registro!$A$6,"_",Tabla5[[#This Row],[Zona (Provincia)
&lt;&lt; Seleccionar&gt;&gt;]])</f>
        <v>Huánuco_</v>
      </c>
      <c r="H264" s="60" t="e">
        <f>VLOOKUP(Tabla18[[#This Row],[Concatenado***]],Tabla2[[#All],[Concatenado]:[Simbología*]],2,0)</f>
        <v>#N/A</v>
      </c>
      <c r="I264" s="65" t="str">
        <f>CONCATENATE(Tabla18[[#This Row],[Concatenado***]],"_",Tabla5[[#This Row],[Zona (Distrito)
&lt;&lt; Seleccionar&gt;&gt;]])</f>
        <v>Huánuco__</v>
      </c>
      <c r="J2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4" s="72" t="e">
        <f>VLOOKUP(Tabla5[[#This Row],[Tipo de Transporte Empleado
&lt;&lt; Seleccionar&gt;&gt;]],Tabla8[#All],2,0)</f>
        <v>#N/A</v>
      </c>
      <c r="L264" s="71" t="e">
        <f>#REF!+(#REF!*2)+#REF!</f>
        <v>#REF!</v>
      </c>
    </row>
    <row r="265" spans="1:12" x14ac:dyDescent="0.25">
      <c r="A265" s="328" t="e">
        <f>VLOOKUP(Tabla5[[#This Row],[Acción
&lt;&lt; Seleccionar&gt;&gt;]],TablaAccion[[#All],[Nombre_Abreviado]:[Codigo_Plan_Acción]],3,0)</f>
        <v>#N/A</v>
      </c>
      <c r="B265" s="328" t="e">
        <f>VLOOKUP(Tabla5[[#This Row],[Acción Especifica
&lt;&lt; Seleccionar&gt;&gt;]],TablaAccionEspecifica[[#All],[Nombre_Abreviado]:[Codigo_Acción]],3,0)</f>
        <v>#N/A</v>
      </c>
      <c r="C265" s="328" t="e">
        <f>CONCATENATE(Tabla18[[#This Row],[Bus_02]],"_",Tabla5[[#This Row],[Sub Acción Específica
&lt;&lt; Seleccionar&gt;&gt;]])</f>
        <v>#N/A</v>
      </c>
      <c r="D265" s="328" t="e">
        <f>VLOOKUP(Tabla18[[#This Row],[Aux_01]],TablaSubAccionEspecifica[[#All],[Concat]:[Cod_Sub_acción_especifica]],2,0)</f>
        <v>#N/A</v>
      </c>
      <c r="E265" s="328" t="e">
        <f>Tabla18[[#This Row],[Bus_03]]&amp;"_"&amp;Tabla5[[#This Row],[Tipo de Agente
&lt;&lt; Seleccionar&gt;&gt;]]</f>
        <v>#N/A</v>
      </c>
      <c r="F265" s="328" t="e">
        <f>VLOOKUP(Tabla18[[#This Row],[Concat2]],TablaPOA[[#All],[Concat]:[ConcatEspecial]],3,0)</f>
        <v>#N/A</v>
      </c>
      <c r="G265" s="65" t="str">
        <f>CONCATENATE(Registro!$A$6,"_",Tabla5[[#This Row],[Zona (Provincia)
&lt;&lt; Seleccionar&gt;&gt;]])</f>
        <v>Huánuco_</v>
      </c>
      <c r="H265" s="60" t="e">
        <f>VLOOKUP(Tabla18[[#This Row],[Concatenado***]],Tabla2[[#All],[Concatenado]:[Simbología*]],2,0)</f>
        <v>#N/A</v>
      </c>
      <c r="I265" s="65" t="str">
        <f>CONCATENATE(Tabla18[[#This Row],[Concatenado***]],"_",Tabla5[[#This Row],[Zona (Distrito)
&lt;&lt; Seleccionar&gt;&gt;]])</f>
        <v>Huánuco__</v>
      </c>
      <c r="J2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5" s="72" t="e">
        <f>VLOOKUP(Tabla5[[#This Row],[Tipo de Transporte Empleado
&lt;&lt; Seleccionar&gt;&gt;]],Tabla8[#All],2,0)</f>
        <v>#N/A</v>
      </c>
      <c r="L265" s="71" t="e">
        <f>#REF!+(#REF!*2)+#REF!</f>
        <v>#REF!</v>
      </c>
    </row>
    <row r="266" spans="1:12" x14ac:dyDescent="0.25">
      <c r="A266" s="328" t="e">
        <f>VLOOKUP(Tabla5[[#This Row],[Acción
&lt;&lt; Seleccionar&gt;&gt;]],TablaAccion[[#All],[Nombre_Abreviado]:[Codigo_Plan_Acción]],3,0)</f>
        <v>#N/A</v>
      </c>
      <c r="B266" s="328" t="e">
        <f>VLOOKUP(Tabla5[[#This Row],[Acción Especifica
&lt;&lt; Seleccionar&gt;&gt;]],TablaAccionEspecifica[[#All],[Nombre_Abreviado]:[Codigo_Acción]],3,0)</f>
        <v>#N/A</v>
      </c>
      <c r="C266" s="328" t="e">
        <f>CONCATENATE(Tabla18[[#This Row],[Bus_02]],"_",Tabla5[[#This Row],[Sub Acción Específica
&lt;&lt; Seleccionar&gt;&gt;]])</f>
        <v>#N/A</v>
      </c>
      <c r="D266" s="328" t="e">
        <f>VLOOKUP(Tabla18[[#This Row],[Aux_01]],TablaSubAccionEspecifica[[#All],[Concat]:[Cod_Sub_acción_especifica]],2,0)</f>
        <v>#N/A</v>
      </c>
      <c r="E266" s="328" t="e">
        <f>Tabla18[[#This Row],[Bus_03]]&amp;"_"&amp;Tabla5[[#This Row],[Tipo de Agente
&lt;&lt; Seleccionar&gt;&gt;]]</f>
        <v>#N/A</v>
      </c>
      <c r="F266" s="328" t="e">
        <f>VLOOKUP(Tabla18[[#This Row],[Concat2]],TablaPOA[[#All],[Concat]:[ConcatEspecial]],3,0)</f>
        <v>#N/A</v>
      </c>
      <c r="G266" s="65" t="str">
        <f>CONCATENATE(Registro!$A$6,"_",Tabla5[[#This Row],[Zona (Provincia)
&lt;&lt; Seleccionar&gt;&gt;]])</f>
        <v>Huánuco_</v>
      </c>
      <c r="H266" s="60" t="e">
        <f>VLOOKUP(Tabla18[[#This Row],[Concatenado***]],Tabla2[[#All],[Concatenado]:[Simbología*]],2,0)</f>
        <v>#N/A</v>
      </c>
      <c r="I266" s="65" t="str">
        <f>CONCATENATE(Tabla18[[#This Row],[Concatenado***]],"_",Tabla5[[#This Row],[Zona (Distrito)
&lt;&lt; Seleccionar&gt;&gt;]])</f>
        <v>Huánuco__</v>
      </c>
      <c r="J2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6" s="72" t="e">
        <f>VLOOKUP(Tabla5[[#This Row],[Tipo de Transporte Empleado
&lt;&lt; Seleccionar&gt;&gt;]],Tabla8[#All],2,0)</f>
        <v>#N/A</v>
      </c>
      <c r="L266" s="71" t="e">
        <f>#REF!+(#REF!*2)+#REF!</f>
        <v>#REF!</v>
      </c>
    </row>
    <row r="267" spans="1:12" x14ac:dyDescent="0.25">
      <c r="A267" s="328" t="e">
        <f>VLOOKUP(Tabla5[[#This Row],[Acción
&lt;&lt; Seleccionar&gt;&gt;]],TablaAccion[[#All],[Nombre_Abreviado]:[Codigo_Plan_Acción]],3,0)</f>
        <v>#N/A</v>
      </c>
      <c r="B267" s="328" t="e">
        <f>VLOOKUP(Tabla5[[#This Row],[Acción Especifica
&lt;&lt; Seleccionar&gt;&gt;]],TablaAccionEspecifica[[#All],[Nombre_Abreviado]:[Codigo_Acción]],3,0)</f>
        <v>#N/A</v>
      </c>
      <c r="C267" s="328" t="e">
        <f>CONCATENATE(Tabla18[[#This Row],[Bus_02]],"_",Tabla5[[#This Row],[Sub Acción Específica
&lt;&lt; Seleccionar&gt;&gt;]])</f>
        <v>#N/A</v>
      </c>
      <c r="D267" s="328" t="e">
        <f>VLOOKUP(Tabla18[[#This Row],[Aux_01]],TablaSubAccionEspecifica[[#All],[Concat]:[Cod_Sub_acción_especifica]],2,0)</f>
        <v>#N/A</v>
      </c>
      <c r="E267" s="328" t="e">
        <f>Tabla18[[#This Row],[Bus_03]]&amp;"_"&amp;Tabla5[[#This Row],[Tipo de Agente
&lt;&lt; Seleccionar&gt;&gt;]]</f>
        <v>#N/A</v>
      </c>
      <c r="F267" s="328" t="e">
        <f>VLOOKUP(Tabla18[[#This Row],[Concat2]],TablaPOA[[#All],[Concat]:[ConcatEspecial]],3,0)</f>
        <v>#N/A</v>
      </c>
      <c r="G267" s="65" t="str">
        <f>CONCATENATE(Registro!$A$6,"_",Tabla5[[#This Row],[Zona (Provincia)
&lt;&lt; Seleccionar&gt;&gt;]])</f>
        <v>Huánuco_</v>
      </c>
      <c r="H267" s="60" t="e">
        <f>VLOOKUP(Tabla18[[#This Row],[Concatenado***]],Tabla2[[#All],[Concatenado]:[Simbología*]],2,0)</f>
        <v>#N/A</v>
      </c>
      <c r="I267" s="65" t="str">
        <f>CONCATENATE(Tabla18[[#This Row],[Concatenado***]],"_",Tabla5[[#This Row],[Zona (Distrito)
&lt;&lt; Seleccionar&gt;&gt;]])</f>
        <v>Huánuco__</v>
      </c>
      <c r="J2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7" s="72" t="e">
        <f>VLOOKUP(Tabla5[[#This Row],[Tipo de Transporte Empleado
&lt;&lt; Seleccionar&gt;&gt;]],Tabla8[#All],2,0)</f>
        <v>#N/A</v>
      </c>
      <c r="L267" s="71" t="e">
        <f>#REF!+(#REF!*2)+#REF!</f>
        <v>#REF!</v>
      </c>
    </row>
    <row r="268" spans="1:12" x14ac:dyDescent="0.25">
      <c r="A268" s="328" t="e">
        <f>VLOOKUP(Tabla5[[#This Row],[Acción
&lt;&lt; Seleccionar&gt;&gt;]],TablaAccion[[#All],[Nombre_Abreviado]:[Codigo_Plan_Acción]],3,0)</f>
        <v>#N/A</v>
      </c>
      <c r="B268" s="328" t="e">
        <f>VLOOKUP(Tabla5[[#This Row],[Acción Especifica
&lt;&lt; Seleccionar&gt;&gt;]],TablaAccionEspecifica[[#All],[Nombre_Abreviado]:[Codigo_Acción]],3,0)</f>
        <v>#N/A</v>
      </c>
      <c r="C268" s="328" t="e">
        <f>CONCATENATE(Tabla18[[#This Row],[Bus_02]],"_",Tabla5[[#This Row],[Sub Acción Específica
&lt;&lt; Seleccionar&gt;&gt;]])</f>
        <v>#N/A</v>
      </c>
      <c r="D268" s="328" t="e">
        <f>VLOOKUP(Tabla18[[#This Row],[Aux_01]],TablaSubAccionEspecifica[[#All],[Concat]:[Cod_Sub_acción_especifica]],2,0)</f>
        <v>#N/A</v>
      </c>
      <c r="E268" s="328" t="e">
        <f>Tabla18[[#This Row],[Bus_03]]&amp;"_"&amp;Tabla5[[#This Row],[Tipo de Agente
&lt;&lt; Seleccionar&gt;&gt;]]</f>
        <v>#N/A</v>
      </c>
      <c r="F268" s="328" t="e">
        <f>VLOOKUP(Tabla18[[#This Row],[Concat2]],TablaPOA[[#All],[Concat]:[ConcatEspecial]],3,0)</f>
        <v>#N/A</v>
      </c>
      <c r="G268" s="65" t="str">
        <f>CONCATENATE(Registro!$A$6,"_",Tabla5[[#This Row],[Zona (Provincia)
&lt;&lt; Seleccionar&gt;&gt;]])</f>
        <v>Huánuco_</v>
      </c>
      <c r="H268" s="60" t="e">
        <f>VLOOKUP(Tabla18[[#This Row],[Concatenado***]],Tabla2[[#All],[Concatenado]:[Simbología*]],2,0)</f>
        <v>#N/A</v>
      </c>
      <c r="I268" s="65" t="str">
        <f>CONCATENATE(Tabla18[[#This Row],[Concatenado***]],"_",Tabla5[[#This Row],[Zona (Distrito)
&lt;&lt; Seleccionar&gt;&gt;]])</f>
        <v>Huánuco__</v>
      </c>
      <c r="J2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8" s="72" t="e">
        <f>VLOOKUP(Tabla5[[#This Row],[Tipo de Transporte Empleado
&lt;&lt; Seleccionar&gt;&gt;]],Tabla8[#All],2,0)</f>
        <v>#N/A</v>
      </c>
      <c r="L268" s="71" t="e">
        <f>#REF!+(#REF!*2)+#REF!</f>
        <v>#REF!</v>
      </c>
    </row>
    <row r="269" spans="1:12" x14ac:dyDescent="0.25">
      <c r="A269" s="328" t="e">
        <f>VLOOKUP(Tabla5[[#This Row],[Acción
&lt;&lt; Seleccionar&gt;&gt;]],TablaAccion[[#All],[Nombre_Abreviado]:[Codigo_Plan_Acción]],3,0)</f>
        <v>#N/A</v>
      </c>
      <c r="B269" s="328" t="e">
        <f>VLOOKUP(Tabla5[[#This Row],[Acción Especifica
&lt;&lt; Seleccionar&gt;&gt;]],TablaAccionEspecifica[[#All],[Nombre_Abreviado]:[Codigo_Acción]],3,0)</f>
        <v>#N/A</v>
      </c>
      <c r="C269" s="328" t="e">
        <f>CONCATENATE(Tabla18[[#This Row],[Bus_02]],"_",Tabla5[[#This Row],[Sub Acción Específica
&lt;&lt; Seleccionar&gt;&gt;]])</f>
        <v>#N/A</v>
      </c>
      <c r="D269" s="328" t="e">
        <f>VLOOKUP(Tabla18[[#This Row],[Aux_01]],TablaSubAccionEspecifica[[#All],[Concat]:[Cod_Sub_acción_especifica]],2,0)</f>
        <v>#N/A</v>
      </c>
      <c r="E269" s="328" t="e">
        <f>Tabla18[[#This Row],[Bus_03]]&amp;"_"&amp;Tabla5[[#This Row],[Tipo de Agente
&lt;&lt; Seleccionar&gt;&gt;]]</f>
        <v>#N/A</v>
      </c>
      <c r="F269" s="328" t="e">
        <f>VLOOKUP(Tabla18[[#This Row],[Concat2]],TablaPOA[[#All],[Concat]:[ConcatEspecial]],3,0)</f>
        <v>#N/A</v>
      </c>
      <c r="G269" s="65" t="str">
        <f>CONCATENATE(Registro!$A$6,"_",Tabla5[[#This Row],[Zona (Provincia)
&lt;&lt; Seleccionar&gt;&gt;]])</f>
        <v>Huánuco_</v>
      </c>
      <c r="H269" s="60" t="e">
        <f>VLOOKUP(Tabla18[[#This Row],[Concatenado***]],Tabla2[[#All],[Concatenado]:[Simbología*]],2,0)</f>
        <v>#N/A</v>
      </c>
      <c r="I269" s="65" t="str">
        <f>CONCATENATE(Tabla18[[#This Row],[Concatenado***]],"_",Tabla5[[#This Row],[Zona (Distrito)
&lt;&lt; Seleccionar&gt;&gt;]])</f>
        <v>Huánuco__</v>
      </c>
      <c r="J2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9" s="72" t="e">
        <f>VLOOKUP(Tabla5[[#This Row],[Tipo de Transporte Empleado
&lt;&lt; Seleccionar&gt;&gt;]],Tabla8[#All],2,0)</f>
        <v>#N/A</v>
      </c>
      <c r="L269" s="71" t="e">
        <f>#REF!+(#REF!*2)+#REF!</f>
        <v>#REF!</v>
      </c>
    </row>
    <row r="270" spans="1:12" x14ac:dyDescent="0.25">
      <c r="A270" s="328" t="e">
        <f>VLOOKUP(Tabla5[[#This Row],[Acción
&lt;&lt; Seleccionar&gt;&gt;]],TablaAccion[[#All],[Nombre_Abreviado]:[Codigo_Plan_Acción]],3,0)</f>
        <v>#N/A</v>
      </c>
      <c r="B270" s="328" t="e">
        <f>VLOOKUP(Tabla5[[#This Row],[Acción Especifica
&lt;&lt; Seleccionar&gt;&gt;]],TablaAccionEspecifica[[#All],[Nombre_Abreviado]:[Codigo_Acción]],3,0)</f>
        <v>#N/A</v>
      </c>
      <c r="C270" s="328" t="e">
        <f>CONCATENATE(Tabla18[[#This Row],[Bus_02]],"_",Tabla5[[#This Row],[Sub Acción Específica
&lt;&lt; Seleccionar&gt;&gt;]])</f>
        <v>#N/A</v>
      </c>
      <c r="D270" s="328" t="e">
        <f>VLOOKUP(Tabla18[[#This Row],[Aux_01]],TablaSubAccionEspecifica[[#All],[Concat]:[Cod_Sub_acción_especifica]],2,0)</f>
        <v>#N/A</v>
      </c>
      <c r="E270" s="328" t="e">
        <f>Tabla18[[#This Row],[Bus_03]]&amp;"_"&amp;Tabla5[[#This Row],[Tipo de Agente
&lt;&lt; Seleccionar&gt;&gt;]]</f>
        <v>#N/A</v>
      </c>
      <c r="F270" s="328" t="e">
        <f>VLOOKUP(Tabla18[[#This Row],[Concat2]],TablaPOA[[#All],[Concat]:[ConcatEspecial]],3,0)</f>
        <v>#N/A</v>
      </c>
      <c r="G270" s="65" t="str">
        <f>CONCATENATE(Registro!$A$6,"_",Tabla5[[#This Row],[Zona (Provincia)
&lt;&lt; Seleccionar&gt;&gt;]])</f>
        <v>Huánuco_</v>
      </c>
      <c r="H270" s="60" t="e">
        <f>VLOOKUP(Tabla18[[#This Row],[Concatenado***]],Tabla2[[#All],[Concatenado]:[Simbología*]],2,0)</f>
        <v>#N/A</v>
      </c>
      <c r="I270" s="65" t="str">
        <f>CONCATENATE(Tabla18[[#This Row],[Concatenado***]],"_",Tabla5[[#This Row],[Zona (Distrito)
&lt;&lt; Seleccionar&gt;&gt;]])</f>
        <v>Huánuco__</v>
      </c>
      <c r="J2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0" s="72" t="e">
        <f>VLOOKUP(Tabla5[[#This Row],[Tipo de Transporte Empleado
&lt;&lt; Seleccionar&gt;&gt;]],Tabla8[#All],2,0)</f>
        <v>#N/A</v>
      </c>
      <c r="L270" s="71" t="e">
        <f>#REF!+(#REF!*2)+#REF!</f>
        <v>#REF!</v>
      </c>
    </row>
    <row r="271" spans="1:12" x14ac:dyDescent="0.25">
      <c r="A271" s="328" t="e">
        <f>VLOOKUP(Tabla5[[#This Row],[Acción
&lt;&lt; Seleccionar&gt;&gt;]],TablaAccion[[#All],[Nombre_Abreviado]:[Codigo_Plan_Acción]],3,0)</f>
        <v>#N/A</v>
      </c>
      <c r="B271" s="328" t="e">
        <f>VLOOKUP(Tabla5[[#This Row],[Acción Especifica
&lt;&lt; Seleccionar&gt;&gt;]],TablaAccionEspecifica[[#All],[Nombre_Abreviado]:[Codigo_Acción]],3,0)</f>
        <v>#N/A</v>
      </c>
      <c r="C271" s="328" t="e">
        <f>CONCATENATE(Tabla18[[#This Row],[Bus_02]],"_",Tabla5[[#This Row],[Sub Acción Específica
&lt;&lt; Seleccionar&gt;&gt;]])</f>
        <v>#N/A</v>
      </c>
      <c r="D271" s="328" t="e">
        <f>VLOOKUP(Tabla18[[#This Row],[Aux_01]],TablaSubAccionEspecifica[[#All],[Concat]:[Cod_Sub_acción_especifica]],2,0)</f>
        <v>#N/A</v>
      </c>
      <c r="E271" s="328" t="e">
        <f>Tabla18[[#This Row],[Bus_03]]&amp;"_"&amp;Tabla5[[#This Row],[Tipo de Agente
&lt;&lt; Seleccionar&gt;&gt;]]</f>
        <v>#N/A</v>
      </c>
      <c r="F271" s="328" t="e">
        <f>VLOOKUP(Tabla18[[#This Row],[Concat2]],TablaPOA[[#All],[Concat]:[ConcatEspecial]],3,0)</f>
        <v>#N/A</v>
      </c>
      <c r="G271" s="65" t="str">
        <f>CONCATENATE(Registro!$A$6,"_",Tabla5[[#This Row],[Zona (Provincia)
&lt;&lt; Seleccionar&gt;&gt;]])</f>
        <v>Huánuco_</v>
      </c>
      <c r="H271" s="60" t="e">
        <f>VLOOKUP(Tabla18[[#This Row],[Concatenado***]],Tabla2[[#All],[Concatenado]:[Simbología*]],2,0)</f>
        <v>#N/A</v>
      </c>
      <c r="I271" s="65" t="str">
        <f>CONCATENATE(Tabla18[[#This Row],[Concatenado***]],"_",Tabla5[[#This Row],[Zona (Distrito)
&lt;&lt; Seleccionar&gt;&gt;]])</f>
        <v>Huánuco__</v>
      </c>
      <c r="J2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1" s="72" t="e">
        <f>VLOOKUP(Tabla5[[#This Row],[Tipo de Transporte Empleado
&lt;&lt; Seleccionar&gt;&gt;]],Tabla8[#All],2,0)</f>
        <v>#N/A</v>
      </c>
      <c r="L271" s="71" t="e">
        <f>#REF!+(#REF!*2)+#REF!</f>
        <v>#REF!</v>
      </c>
    </row>
    <row r="272" spans="1:12" x14ac:dyDescent="0.25">
      <c r="A272" s="328" t="e">
        <f>VLOOKUP(Tabla5[[#This Row],[Acción
&lt;&lt; Seleccionar&gt;&gt;]],TablaAccion[[#All],[Nombre_Abreviado]:[Codigo_Plan_Acción]],3,0)</f>
        <v>#N/A</v>
      </c>
      <c r="B272" s="328" t="e">
        <f>VLOOKUP(Tabla5[[#This Row],[Acción Especifica
&lt;&lt; Seleccionar&gt;&gt;]],TablaAccionEspecifica[[#All],[Nombre_Abreviado]:[Codigo_Acción]],3,0)</f>
        <v>#N/A</v>
      </c>
      <c r="C272" s="328" t="e">
        <f>CONCATENATE(Tabla18[[#This Row],[Bus_02]],"_",Tabla5[[#This Row],[Sub Acción Específica
&lt;&lt; Seleccionar&gt;&gt;]])</f>
        <v>#N/A</v>
      </c>
      <c r="D272" s="328" t="e">
        <f>VLOOKUP(Tabla18[[#This Row],[Aux_01]],TablaSubAccionEspecifica[[#All],[Concat]:[Cod_Sub_acción_especifica]],2,0)</f>
        <v>#N/A</v>
      </c>
      <c r="E272" s="328" t="e">
        <f>Tabla18[[#This Row],[Bus_03]]&amp;"_"&amp;Tabla5[[#This Row],[Tipo de Agente
&lt;&lt; Seleccionar&gt;&gt;]]</f>
        <v>#N/A</v>
      </c>
      <c r="F272" s="328" t="e">
        <f>VLOOKUP(Tabla18[[#This Row],[Concat2]],TablaPOA[[#All],[Concat]:[ConcatEspecial]],3,0)</f>
        <v>#N/A</v>
      </c>
      <c r="G272" s="65" t="str">
        <f>CONCATENATE(Registro!$A$6,"_",Tabla5[[#This Row],[Zona (Provincia)
&lt;&lt; Seleccionar&gt;&gt;]])</f>
        <v>Huánuco_</v>
      </c>
      <c r="H272" s="60" t="e">
        <f>VLOOKUP(Tabla18[[#This Row],[Concatenado***]],Tabla2[[#All],[Concatenado]:[Simbología*]],2,0)</f>
        <v>#N/A</v>
      </c>
      <c r="I272" s="65" t="str">
        <f>CONCATENATE(Tabla18[[#This Row],[Concatenado***]],"_",Tabla5[[#This Row],[Zona (Distrito)
&lt;&lt; Seleccionar&gt;&gt;]])</f>
        <v>Huánuco__</v>
      </c>
      <c r="J2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2" s="72" t="e">
        <f>VLOOKUP(Tabla5[[#This Row],[Tipo de Transporte Empleado
&lt;&lt; Seleccionar&gt;&gt;]],Tabla8[#All],2,0)</f>
        <v>#N/A</v>
      </c>
      <c r="L272" s="71" t="e">
        <f>#REF!+(#REF!*2)+#REF!</f>
        <v>#REF!</v>
      </c>
    </row>
    <row r="273" spans="1:12" x14ac:dyDescent="0.25">
      <c r="A273" s="328" t="e">
        <f>VLOOKUP(Tabla5[[#This Row],[Acción
&lt;&lt; Seleccionar&gt;&gt;]],TablaAccion[[#All],[Nombre_Abreviado]:[Codigo_Plan_Acción]],3,0)</f>
        <v>#N/A</v>
      </c>
      <c r="B273" s="328" t="e">
        <f>VLOOKUP(Tabla5[[#This Row],[Acción Especifica
&lt;&lt; Seleccionar&gt;&gt;]],TablaAccionEspecifica[[#All],[Nombre_Abreviado]:[Codigo_Acción]],3,0)</f>
        <v>#N/A</v>
      </c>
      <c r="C273" s="328" t="e">
        <f>CONCATENATE(Tabla18[[#This Row],[Bus_02]],"_",Tabla5[[#This Row],[Sub Acción Específica
&lt;&lt; Seleccionar&gt;&gt;]])</f>
        <v>#N/A</v>
      </c>
      <c r="D273" s="328" t="e">
        <f>VLOOKUP(Tabla18[[#This Row],[Aux_01]],TablaSubAccionEspecifica[[#All],[Concat]:[Cod_Sub_acción_especifica]],2,0)</f>
        <v>#N/A</v>
      </c>
      <c r="E273" s="328" t="e">
        <f>Tabla18[[#This Row],[Bus_03]]&amp;"_"&amp;Tabla5[[#This Row],[Tipo de Agente
&lt;&lt; Seleccionar&gt;&gt;]]</f>
        <v>#N/A</v>
      </c>
      <c r="F273" s="328" t="e">
        <f>VLOOKUP(Tabla18[[#This Row],[Concat2]],TablaPOA[[#All],[Concat]:[ConcatEspecial]],3,0)</f>
        <v>#N/A</v>
      </c>
      <c r="G273" s="65" t="str">
        <f>CONCATENATE(Registro!$A$6,"_",Tabla5[[#This Row],[Zona (Provincia)
&lt;&lt; Seleccionar&gt;&gt;]])</f>
        <v>Huánuco_</v>
      </c>
      <c r="H273" s="60" t="e">
        <f>VLOOKUP(Tabla18[[#This Row],[Concatenado***]],Tabla2[[#All],[Concatenado]:[Simbología*]],2,0)</f>
        <v>#N/A</v>
      </c>
      <c r="I273" s="65" t="str">
        <f>CONCATENATE(Tabla18[[#This Row],[Concatenado***]],"_",Tabla5[[#This Row],[Zona (Distrito)
&lt;&lt; Seleccionar&gt;&gt;]])</f>
        <v>Huánuco__</v>
      </c>
      <c r="J2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3" s="72" t="e">
        <f>VLOOKUP(Tabla5[[#This Row],[Tipo de Transporte Empleado
&lt;&lt; Seleccionar&gt;&gt;]],Tabla8[#All],2,0)</f>
        <v>#N/A</v>
      </c>
      <c r="L273" s="71" t="e">
        <f>#REF!+(#REF!*2)+#REF!</f>
        <v>#REF!</v>
      </c>
    </row>
    <row r="274" spans="1:12" x14ac:dyDescent="0.25">
      <c r="A274" s="328" t="e">
        <f>VLOOKUP(Tabla5[[#This Row],[Acción
&lt;&lt; Seleccionar&gt;&gt;]],TablaAccion[[#All],[Nombre_Abreviado]:[Codigo_Plan_Acción]],3,0)</f>
        <v>#N/A</v>
      </c>
      <c r="B274" s="328" t="e">
        <f>VLOOKUP(Tabla5[[#This Row],[Acción Especifica
&lt;&lt; Seleccionar&gt;&gt;]],TablaAccionEspecifica[[#All],[Nombre_Abreviado]:[Codigo_Acción]],3,0)</f>
        <v>#N/A</v>
      </c>
      <c r="C274" s="328" t="e">
        <f>CONCATENATE(Tabla18[[#This Row],[Bus_02]],"_",Tabla5[[#This Row],[Sub Acción Específica
&lt;&lt; Seleccionar&gt;&gt;]])</f>
        <v>#N/A</v>
      </c>
      <c r="D274" s="328" t="e">
        <f>VLOOKUP(Tabla18[[#This Row],[Aux_01]],TablaSubAccionEspecifica[[#All],[Concat]:[Cod_Sub_acción_especifica]],2,0)</f>
        <v>#N/A</v>
      </c>
      <c r="E274" s="328" t="e">
        <f>Tabla18[[#This Row],[Bus_03]]&amp;"_"&amp;Tabla5[[#This Row],[Tipo de Agente
&lt;&lt; Seleccionar&gt;&gt;]]</f>
        <v>#N/A</v>
      </c>
      <c r="F274" s="328" t="e">
        <f>VLOOKUP(Tabla18[[#This Row],[Concat2]],TablaPOA[[#All],[Concat]:[ConcatEspecial]],3,0)</f>
        <v>#N/A</v>
      </c>
      <c r="G274" s="65" t="str">
        <f>CONCATENATE(Registro!$A$6,"_",Tabla5[[#This Row],[Zona (Provincia)
&lt;&lt; Seleccionar&gt;&gt;]])</f>
        <v>Huánuco_</v>
      </c>
      <c r="H274" s="60" t="e">
        <f>VLOOKUP(Tabla18[[#This Row],[Concatenado***]],Tabla2[[#All],[Concatenado]:[Simbología*]],2,0)</f>
        <v>#N/A</v>
      </c>
      <c r="I274" s="65" t="str">
        <f>CONCATENATE(Tabla18[[#This Row],[Concatenado***]],"_",Tabla5[[#This Row],[Zona (Distrito)
&lt;&lt; Seleccionar&gt;&gt;]])</f>
        <v>Huánuco__</v>
      </c>
      <c r="J2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4" s="72" t="e">
        <f>VLOOKUP(Tabla5[[#This Row],[Tipo de Transporte Empleado
&lt;&lt; Seleccionar&gt;&gt;]],Tabla8[#All],2,0)</f>
        <v>#N/A</v>
      </c>
      <c r="L274" s="71" t="e">
        <f>#REF!+(#REF!*2)+#REF!</f>
        <v>#REF!</v>
      </c>
    </row>
    <row r="275" spans="1:12" x14ac:dyDescent="0.25">
      <c r="A275" s="328" t="e">
        <f>VLOOKUP(Tabla5[[#This Row],[Acción
&lt;&lt; Seleccionar&gt;&gt;]],TablaAccion[[#All],[Nombre_Abreviado]:[Codigo_Plan_Acción]],3,0)</f>
        <v>#N/A</v>
      </c>
      <c r="B275" s="328" t="e">
        <f>VLOOKUP(Tabla5[[#This Row],[Acción Especifica
&lt;&lt; Seleccionar&gt;&gt;]],TablaAccionEspecifica[[#All],[Nombre_Abreviado]:[Codigo_Acción]],3,0)</f>
        <v>#N/A</v>
      </c>
      <c r="C275" s="328" t="e">
        <f>CONCATENATE(Tabla18[[#This Row],[Bus_02]],"_",Tabla5[[#This Row],[Sub Acción Específica
&lt;&lt; Seleccionar&gt;&gt;]])</f>
        <v>#N/A</v>
      </c>
      <c r="D275" s="328" t="e">
        <f>VLOOKUP(Tabla18[[#This Row],[Aux_01]],TablaSubAccionEspecifica[[#All],[Concat]:[Cod_Sub_acción_especifica]],2,0)</f>
        <v>#N/A</v>
      </c>
      <c r="E275" s="328" t="e">
        <f>Tabla18[[#This Row],[Bus_03]]&amp;"_"&amp;Tabla5[[#This Row],[Tipo de Agente
&lt;&lt; Seleccionar&gt;&gt;]]</f>
        <v>#N/A</v>
      </c>
      <c r="F275" s="328" t="e">
        <f>VLOOKUP(Tabla18[[#This Row],[Concat2]],TablaPOA[[#All],[Concat]:[ConcatEspecial]],3,0)</f>
        <v>#N/A</v>
      </c>
      <c r="G275" s="65" t="str">
        <f>CONCATENATE(Registro!$A$6,"_",Tabla5[[#This Row],[Zona (Provincia)
&lt;&lt; Seleccionar&gt;&gt;]])</f>
        <v>Huánuco_</v>
      </c>
      <c r="H275" s="60" t="e">
        <f>VLOOKUP(Tabla18[[#This Row],[Concatenado***]],Tabla2[[#All],[Concatenado]:[Simbología*]],2,0)</f>
        <v>#N/A</v>
      </c>
      <c r="I275" s="65" t="str">
        <f>CONCATENATE(Tabla18[[#This Row],[Concatenado***]],"_",Tabla5[[#This Row],[Zona (Distrito)
&lt;&lt; Seleccionar&gt;&gt;]])</f>
        <v>Huánuco__</v>
      </c>
      <c r="J2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5" s="72" t="e">
        <f>VLOOKUP(Tabla5[[#This Row],[Tipo de Transporte Empleado
&lt;&lt; Seleccionar&gt;&gt;]],Tabla8[#All],2,0)</f>
        <v>#N/A</v>
      </c>
      <c r="L275" s="71" t="e">
        <f>#REF!+(#REF!*2)+#REF!</f>
        <v>#REF!</v>
      </c>
    </row>
    <row r="276" spans="1:12" x14ac:dyDescent="0.25">
      <c r="A276" s="328" t="e">
        <f>VLOOKUP(Tabla5[[#This Row],[Acción
&lt;&lt; Seleccionar&gt;&gt;]],TablaAccion[[#All],[Nombre_Abreviado]:[Codigo_Plan_Acción]],3,0)</f>
        <v>#N/A</v>
      </c>
      <c r="B276" s="328" t="e">
        <f>VLOOKUP(Tabla5[[#This Row],[Acción Especifica
&lt;&lt; Seleccionar&gt;&gt;]],TablaAccionEspecifica[[#All],[Nombre_Abreviado]:[Codigo_Acción]],3,0)</f>
        <v>#N/A</v>
      </c>
      <c r="C276" s="328" t="e">
        <f>CONCATENATE(Tabla18[[#This Row],[Bus_02]],"_",Tabla5[[#This Row],[Sub Acción Específica
&lt;&lt; Seleccionar&gt;&gt;]])</f>
        <v>#N/A</v>
      </c>
      <c r="D276" s="328" t="e">
        <f>VLOOKUP(Tabla18[[#This Row],[Aux_01]],TablaSubAccionEspecifica[[#All],[Concat]:[Cod_Sub_acción_especifica]],2,0)</f>
        <v>#N/A</v>
      </c>
      <c r="E276" s="328" t="e">
        <f>Tabla18[[#This Row],[Bus_03]]&amp;"_"&amp;Tabla5[[#This Row],[Tipo de Agente
&lt;&lt; Seleccionar&gt;&gt;]]</f>
        <v>#N/A</v>
      </c>
      <c r="F276" s="328" t="e">
        <f>VLOOKUP(Tabla18[[#This Row],[Concat2]],TablaPOA[[#All],[Concat]:[ConcatEspecial]],3,0)</f>
        <v>#N/A</v>
      </c>
      <c r="G276" s="65" t="str">
        <f>CONCATENATE(Registro!$A$6,"_",Tabla5[[#This Row],[Zona (Provincia)
&lt;&lt; Seleccionar&gt;&gt;]])</f>
        <v>Huánuco_</v>
      </c>
      <c r="H276" s="60" t="e">
        <f>VLOOKUP(Tabla18[[#This Row],[Concatenado***]],Tabla2[[#All],[Concatenado]:[Simbología*]],2,0)</f>
        <v>#N/A</v>
      </c>
      <c r="I276" s="65" t="str">
        <f>CONCATENATE(Tabla18[[#This Row],[Concatenado***]],"_",Tabla5[[#This Row],[Zona (Distrito)
&lt;&lt; Seleccionar&gt;&gt;]])</f>
        <v>Huánuco__</v>
      </c>
      <c r="J2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6" s="72" t="e">
        <f>VLOOKUP(Tabla5[[#This Row],[Tipo de Transporte Empleado
&lt;&lt; Seleccionar&gt;&gt;]],Tabla8[#All],2,0)</f>
        <v>#N/A</v>
      </c>
      <c r="L276" s="71" t="e">
        <f>#REF!+(#REF!*2)+#REF!</f>
        <v>#REF!</v>
      </c>
    </row>
    <row r="277" spans="1:12" x14ac:dyDescent="0.25">
      <c r="A277" s="328" t="e">
        <f>VLOOKUP(Tabla5[[#This Row],[Acción
&lt;&lt; Seleccionar&gt;&gt;]],TablaAccion[[#All],[Nombre_Abreviado]:[Codigo_Plan_Acción]],3,0)</f>
        <v>#N/A</v>
      </c>
      <c r="B277" s="328" t="e">
        <f>VLOOKUP(Tabla5[[#This Row],[Acción Especifica
&lt;&lt; Seleccionar&gt;&gt;]],TablaAccionEspecifica[[#All],[Nombre_Abreviado]:[Codigo_Acción]],3,0)</f>
        <v>#N/A</v>
      </c>
      <c r="C277" s="328" t="e">
        <f>CONCATENATE(Tabla18[[#This Row],[Bus_02]],"_",Tabla5[[#This Row],[Sub Acción Específica
&lt;&lt; Seleccionar&gt;&gt;]])</f>
        <v>#N/A</v>
      </c>
      <c r="D277" s="328" t="e">
        <f>VLOOKUP(Tabla18[[#This Row],[Aux_01]],TablaSubAccionEspecifica[[#All],[Concat]:[Cod_Sub_acción_especifica]],2,0)</f>
        <v>#N/A</v>
      </c>
      <c r="E277" s="328" t="e">
        <f>Tabla18[[#This Row],[Bus_03]]&amp;"_"&amp;Tabla5[[#This Row],[Tipo de Agente
&lt;&lt; Seleccionar&gt;&gt;]]</f>
        <v>#N/A</v>
      </c>
      <c r="F277" s="328" t="e">
        <f>VLOOKUP(Tabla18[[#This Row],[Concat2]],TablaPOA[[#All],[Concat]:[ConcatEspecial]],3,0)</f>
        <v>#N/A</v>
      </c>
      <c r="G277" s="65" t="str">
        <f>CONCATENATE(Registro!$A$6,"_",Tabla5[[#This Row],[Zona (Provincia)
&lt;&lt; Seleccionar&gt;&gt;]])</f>
        <v>Huánuco_</v>
      </c>
      <c r="H277" s="60" t="e">
        <f>VLOOKUP(Tabla18[[#This Row],[Concatenado***]],Tabla2[[#All],[Concatenado]:[Simbología*]],2,0)</f>
        <v>#N/A</v>
      </c>
      <c r="I277" s="65" t="str">
        <f>CONCATENATE(Tabla18[[#This Row],[Concatenado***]],"_",Tabla5[[#This Row],[Zona (Distrito)
&lt;&lt; Seleccionar&gt;&gt;]])</f>
        <v>Huánuco__</v>
      </c>
      <c r="J2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7" s="72" t="e">
        <f>VLOOKUP(Tabla5[[#This Row],[Tipo de Transporte Empleado
&lt;&lt; Seleccionar&gt;&gt;]],Tabla8[#All],2,0)</f>
        <v>#N/A</v>
      </c>
      <c r="L277" s="71" t="e">
        <f>#REF!+(#REF!*2)+#REF!</f>
        <v>#REF!</v>
      </c>
    </row>
    <row r="278" spans="1:12" x14ac:dyDescent="0.25">
      <c r="A278" s="328" t="e">
        <f>VLOOKUP(Tabla5[[#This Row],[Acción
&lt;&lt; Seleccionar&gt;&gt;]],TablaAccion[[#All],[Nombre_Abreviado]:[Codigo_Plan_Acción]],3,0)</f>
        <v>#N/A</v>
      </c>
      <c r="B278" s="328" t="e">
        <f>VLOOKUP(Tabla5[[#This Row],[Acción Especifica
&lt;&lt; Seleccionar&gt;&gt;]],TablaAccionEspecifica[[#All],[Nombre_Abreviado]:[Codigo_Acción]],3,0)</f>
        <v>#N/A</v>
      </c>
      <c r="C278" s="328" t="e">
        <f>CONCATENATE(Tabla18[[#This Row],[Bus_02]],"_",Tabla5[[#This Row],[Sub Acción Específica
&lt;&lt; Seleccionar&gt;&gt;]])</f>
        <v>#N/A</v>
      </c>
      <c r="D278" s="328" t="e">
        <f>VLOOKUP(Tabla18[[#This Row],[Aux_01]],TablaSubAccionEspecifica[[#All],[Concat]:[Cod_Sub_acción_especifica]],2,0)</f>
        <v>#N/A</v>
      </c>
      <c r="E278" s="328" t="e">
        <f>Tabla18[[#This Row],[Bus_03]]&amp;"_"&amp;Tabla5[[#This Row],[Tipo de Agente
&lt;&lt; Seleccionar&gt;&gt;]]</f>
        <v>#N/A</v>
      </c>
      <c r="F278" s="328" t="e">
        <f>VLOOKUP(Tabla18[[#This Row],[Concat2]],TablaPOA[[#All],[Concat]:[ConcatEspecial]],3,0)</f>
        <v>#N/A</v>
      </c>
      <c r="G278" s="65" t="str">
        <f>CONCATENATE(Registro!$A$6,"_",Tabla5[[#This Row],[Zona (Provincia)
&lt;&lt; Seleccionar&gt;&gt;]])</f>
        <v>Huánuco_</v>
      </c>
      <c r="H278" s="60" t="e">
        <f>VLOOKUP(Tabla18[[#This Row],[Concatenado***]],Tabla2[[#All],[Concatenado]:[Simbología*]],2,0)</f>
        <v>#N/A</v>
      </c>
      <c r="I278" s="65" t="str">
        <f>CONCATENATE(Tabla18[[#This Row],[Concatenado***]],"_",Tabla5[[#This Row],[Zona (Distrito)
&lt;&lt; Seleccionar&gt;&gt;]])</f>
        <v>Huánuco__</v>
      </c>
      <c r="J2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8" s="72" t="e">
        <f>VLOOKUP(Tabla5[[#This Row],[Tipo de Transporte Empleado
&lt;&lt; Seleccionar&gt;&gt;]],Tabla8[#All],2,0)</f>
        <v>#N/A</v>
      </c>
      <c r="L278" s="71" t="e">
        <f>#REF!+(#REF!*2)+#REF!</f>
        <v>#REF!</v>
      </c>
    </row>
    <row r="279" spans="1:12" x14ac:dyDescent="0.25">
      <c r="A279" s="328" t="e">
        <f>VLOOKUP(Tabla5[[#This Row],[Acción
&lt;&lt; Seleccionar&gt;&gt;]],TablaAccion[[#All],[Nombre_Abreviado]:[Codigo_Plan_Acción]],3,0)</f>
        <v>#N/A</v>
      </c>
      <c r="B279" s="328" t="e">
        <f>VLOOKUP(Tabla5[[#This Row],[Acción Especifica
&lt;&lt; Seleccionar&gt;&gt;]],TablaAccionEspecifica[[#All],[Nombre_Abreviado]:[Codigo_Acción]],3,0)</f>
        <v>#N/A</v>
      </c>
      <c r="C279" s="328" t="e">
        <f>CONCATENATE(Tabla18[[#This Row],[Bus_02]],"_",Tabla5[[#This Row],[Sub Acción Específica
&lt;&lt; Seleccionar&gt;&gt;]])</f>
        <v>#N/A</v>
      </c>
      <c r="D279" s="328" t="e">
        <f>VLOOKUP(Tabla18[[#This Row],[Aux_01]],TablaSubAccionEspecifica[[#All],[Concat]:[Cod_Sub_acción_especifica]],2,0)</f>
        <v>#N/A</v>
      </c>
      <c r="E279" s="328" t="e">
        <f>Tabla18[[#This Row],[Bus_03]]&amp;"_"&amp;Tabla5[[#This Row],[Tipo de Agente
&lt;&lt; Seleccionar&gt;&gt;]]</f>
        <v>#N/A</v>
      </c>
      <c r="F279" s="328" t="e">
        <f>VLOOKUP(Tabla18[[#This Row],[Concat2]],TablaPOA[[#All],[Concat]:[ConcatEspecial]],3,0)</f>
        <v>#N/A</v>
      </c>
      <c r="G279" s="65" t="str">
        <f>CONCATENATE(Registro!$A$6,"_",Tabla5[[#This Row],[Zona (Provincia)
&lt;&lt; Seleccionar&gt;&gt;]])</f>
        <v>Huánuco_</v>
      </c>
      <c r="H279" s="60" t="e">
        <f>VLOOKUP(Tabla18[[#This Row],[Concatenado***]],Tabla2[[#All],[Concatenado]:[Simbología*]],2,0)</f>
        <v>#N/A</v>
      </c>
      <c r="I279" s="65" t="str">
        <f>CONCATENATE(Tabla18[[#This Row],[Concatenado***]],"_",Tabla5[[#This Row],[Zona (Distrito)
&lt;&lt; Seleccionar&gt;&gt;]])</f>
        <v>Huánuco__</v>
      </c>
      <c r="J2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9" s="72" t="e">
        <f>VLOOKUP(Tabla5[[#This Row],[Tipo de Transporte Empleado
&lt;&lt; Seleccionar&gt;&gt;]],Tabla8[#All],2,0)</f>
        <v>#N/A</v>
      </c>
      <c r="L279" s="71" t="e">
        <f>#REF!+(#REF!*2)+#REF!</f>
        <v>#REF!</v>
      </c>
    </row>
    <row r="280" spans="1:12" x14ac:dyDescent="0.25">
      <c r="A280" s="328" t="e">
        <f>VLOOKUP(Tabla5[[#This Row],[Acción
&lt;&lt; Seleccionar&gt;&gt;]],TablaAccion[[#All],[Nombre_Abreviado]:[Codigo_Plan_Acción]],3,0)</f>
        <v>#N/A</v>
      </c>
      <c r="B280" s="328" t="e">
        <f>VLOOKUP(Tabla5[[#This Row],[Acción Especifica
&lt;&lt; Seleccionar&gt;&gt;]],TablaAccionEspecifica[[#All],[Nombre_Abreviado]:[Codigo_Acción]],3,0)</f>
        <v>#N/A</v>
      </c>
      <c r="C280" s="328" t="e">
        <f>CONCATENATE(Tabla18[[#This Row],[Bus_02]],"_",Tabla5[[#This Row],[Sub Acción Específica
&lt;&lt; Seleccionar&gt;&gt;]])</f>
        <v>#N/A</v>
      </c>
      <c r="D280" s="328" t="e">
        <f>VLOOKUP(Tabla18[[#This Row],[Aux_01]],TablaSubAccionEspecifica[[#All],[Concat]:[Cod_Sub_acción_especifica]],2,0)</f>
        <v>#N/A</v>
      </c>
      <c r="E280" s="328" t="e">
        <f>Tabla18[[#This Row],[Bus_03]]&amp;"_"&amp;Tabla5[[#This Row],[Tipo de Agente
&lt;&lt; Seleccionar&gt;&gt;]]</f>
        <v>#N/A</v>
      </c>
      <c r="F280" s="328" t="e">
        <f>VLOOKUP(Tabla18[[#This Row],[Concat2]],TablaPOA[[#All],[Concat]:[ConcatEspecial]],3,0)</f>
        <v>#N/A</v>
      </c>
      <c r="G280" s="65" t="str">
        <f>CONCATENATE(Registro!$A$6,"_",Tabla5[[#This Row],[Zona (Provincia)
&lt;&lt; Seleccionar&gt;&gt;]])</f>
        <v>Huánuco_</v>
      </c>
      <c r="H280" s="60" t="e">
        <f>VLOOKUP(Tabla18[[#This Row],[Concatenado***]],Tabla2[[#All],[Concatenado]:[Simbología*]],2,0)</f>
        <v>#N/A</v>
      </c>
      <c r="I280" s="65" t="str">
        <f>CONCATENATE(Tabla18[[#This Row],[Concatenado***]],"_",Tabla5[[#This Row],[Zona (Distrito)
&lt;&lt; Seleccionar&gt;&gt;]])</f>
        <v>Huánuco__</v>
      </c>
      <c r="J2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0" s="72" t="e">
        <f>VLOOKUP(Tabla5[[#This Row],[Tipo de Transporte Empleado
&lt;&lt; Seleccionar&gt;&gt;]],Tabla8[#All],2,0)</f>
        <v>#N/A</v>
      </c>
      <c r="L280" s="71" t="e">
        <f>#REF!+(#REF!*2)+#REF!</f>
        <v>#REF!</v>
      </c>
    </row>
    <row r="281" spans="1:12" x14ac:dyDescent="0.25">
      <c r="A281" s="328" t="e">
        <f>VLOOKUP(Tabla5[[#This Row],[Acción
&lt;&lt; Seleccionar&gt;&gt;]],TablaAccion[[#All],[Nombre_Abreviado]:[Codigo_Plan_Acción]],3,0)</f>
        <v>#N/A</v>
      </c>
      <c r="B281" s="328" t="e">
        <f>VLOOKUP(Tabla5[[#This Row],[Acción Especifica
&lt;&lt; Seleccionar&gt;&gt;]],TablaAccionEspecifica[[#All],[Nombre_Abreviado]:[Codigo_Acción]],3,0)</f>
        <v>#N/A</v>
      </c>
      <c r="C281" s="328" t="e">
        <f>CONCATENATE(Tabla18[[#This Row],[Bus_02]],"_",Tabla5[[#This Row],[Sub Acción Específica
&lt;&lt; Seleccionar&gt;&gt;]])</f>
        <v>#N/A</v>
      </c>
      <c r="D281" s="328" t="e">
        <f>VLOOKUP(Tabla18[[#This Row],[Aux_01]],TablaSubAccionEspecifica[[#All],[Concat]:[Cod_Sub_acción_especifica]],2,0)</f>
        <v>#N/A</v>
      </c>
      <c r="E281" s="328" t="e">
        <f>Tabla18[[#This Row],[Bus_03]]&amp;"_"&amp;Tabla5[[#This Row],[Tipo de Agente
&lt;&lt; Seleccionar&gt;&gt;]]</f>
        <v>#N/A</v>
      </c>
      <c r="F281" s="328" t="e">
        <f>VLOOKUP(Tabla18[[#This Row],[Concat2]],TablaPOA[[#All],[Concat]:[ConcatEspecial]],3,0)</f>
        <v>#N/A</v>
      </c>
      <c r="G281" s="65" t="str">
        <f>CONCATENATE(Registro!$A$6,"_",Tabla5[[#This Row],[Zona (Provincia)
&lt;&lt; Seleccionar&gt;&gt;]])</f>
        <v>Huánuco_</v>
      </c>
      <c r="H281" s="60" t="e">
        <f>VLOOKUP(Tabla18[[#This Row],[Concatenado***]],Tabla2[[#All],[Concatenado]:[Simbología*]],2,0)</f>
        <v>#N/A</v>
      </c>
      <c r="I281" s="65" t="str">
        <f>CONCATENATE(Tabla18[[#This Row],[Concatenado***]],"_",Tabla5[[#This Row],[Zona (Distrito)
&lt;&lt; Seleccionar&gt;&gt;]])</f>
        <v>Huánuco__</v>
      </c>
      <c r="J2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1" s="72" t="e">
        <f>VLOOKUP(Tabla5[[#This Row],[Tipo de Transporte Empleado
&lt;&lt; Seleccionar&gt;&gt;]],Tabla8[#All],2,0)</f>
        <v>#N/A</v>
      </c>
      <c r="L281" s="71" t="e">
        <f>#REF!+(#REF!*2)+#REF!</f>
        <v>#REF!</v>
      </c>
    </row>
    <row r="282" spans="1:12" x14ac:dyDescent="0.25">
      <c r="A282" s="328" t="e">
        <f>VLOOKUP(Tabla5[[#This Row],[Acción
&lt;&lt; Seleccionar&gt;&gt;]],TablaAccion[[#All],[Nombre_Abreviado]:[Codigo_Plan_Acción]],3,0)</f>
        <v>#N/A</v>
      </c>
      <c r="B282" s="328" t="e">
        <f>VLOOKUP(Tabla5[[#This Row],[Acción Especifica
&lt;&lt; Seleccionar&gt;&gt;]],TablaAccionEspecifica[[#All],[Nombre_Abreviado]:[Codigo_Acción]],3,0)</f>
        <v>#N/A</v>
      </c>
      <c r="C282" s="328" t="e">
        <f>CONCATENATE(Tabla18[[#This Row],[Bus_02]],"_",Tabla5[[#This Row],[Sub Acción Específica
&lt;&lt; Seleccionar&gt;&gt;]])</f>
        <v>#N/A</v>
      </c>
      <c r="D282" s="328" t="e">
        <f>VLOOKUP(Tabla18[[#This Row],[Aux_01]],TablaSubAccionEspecifica[[#All],[Concat]:[Cod_Sub_acción_especifica]],2,0)</f>
        <v>#N/A</v>
      </c>
      <c r="E282" s="328" t="e">
        <f>Tabla18[[#This Row],[Bus_03]]&amp;"_"&amp;Tabla5[[#This Row],[Tipo de Agente
&lt;&lt; Seleccionar&gt;&gt;]]</f>
        <v>#N/A</v>
      </c>
      <c r="F282" s="328" t="e">
        <f>VLOOKUP(Tabla18[[#This Row],[Concat2]],TablaPOA[[#All],[Concat]:[ConcatEspecial]],3,0)</f>
        <v>#N/A</v>
      </c>
      <c r="G282" s="65" t="str">
        <f>CONCATENATE(Registro!$A$6,"_",Tabla5[[#This Row],[Zona (Provincia)
&lt;&lt; Seleccionar&gt;&gt;]])</f>
        <v>Huánuco_</v>
      </c>
      <c r="H282" s="60" t="e">
        <f>VLOOKUP(Tabla18[[#This Row],[Concatenado***]],Tabla2[[#All],[Concatenado]:[Simbología*]],2,0)</f>
        <v>#N/A</v>
      </c>
      <c r="I282" s="65" t="str">
        <f>CONCATENATE(Tabla18[[#This Row],[Concatenado***]],"_",Tabla5[[#This Row],[Zona (Distrito)
&lt;&lt; Seleccionar&gt;&gt;]])</f>
        <v>Huánuco__</v>
      </c>
      <c r="J2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2" s="72" t="e">
        <f>VLOOKUP(Tabla5[[#This Row],[Tipo de Transporte Empleado
&lt;&lt; Seleccionar&gt;&gt;]],Tabla8[#All],2,0)</f>
        <v>#N/A</v>
      </c>
      <c r="L282" s="71" t="e">
        <f>#REF!+(#REF!*2)+#REF!</f>
        <v>#REF!</v>
      </c>
    </row>
    <row r="283" spans="1:12" x14ac:dyDescent="0.25">
      <c r="A283" s="328" t="e">
        <f>VLOOKUP(Tabla5[[#This Row],[Acción
&lt;&lt; Seleccionar&gt;&gt;]],TablaAccion[[#All],[Nombre_Abreviado]:[Codigo_Plan_Acción]],3,0)</f>
        <v>#N/A</v>
      </c>
      <c r="B283" s="328" t="e">
        <f>VLOOKUP(Tabla5[[#This Row],[Acción Especifica
&lt;&lt; Seleccionar&gt;&gt;]],TablaAccionEspecifica[[#All],[Nombre_Abreviado]:[Codigo_Acción]],3,0)</f>
        <v>#N/A</v>
      </c>
      <c r="C283" s="328" t="e">
        <f>CONCATENATE(Tabla18[[#This Row],[Bus_02]],"_",Tabla5[[#This Row],[Sub Acción Específica
&lt;&lt; Seleccionar&gt;&gt;]])</f>
        <v>#N/A</v>
      </c>
      <c r="D283" s="328" t="e">
        <f>VLOOKUP(Tabla18[[#This Row],[Aux_01]],TablaSubAccionEspecifica[[#All],[Concat]:[Cod_Sub_acción_especifica]],2,0)</f>
        <v>#N/A</v>
      </c>
      <c r="E283" s="328" t="e">
        <f>Tabla18[[#This Row],[Bus_03]]&amp;"_"&amp;Tabla5[[#This Row],[Tipo de Agente
&lt;&lt; Seleccionar&gt;&gt;]]</f>
        <v>#N/A</v>
      </c>
      <c r="F283" s="328" t="e">
        <f>VLOOKUP(Tabla18[[#This Row],[Concat2]],TablaPOA[[#All],[Concat]:[ConcatEspecial]],3,0)</f>
        <v>#N/A</v>
      </c>
      <c r="G283" s="65" t="str">
        <f>CONCATENATE(Registro!$A$6,"_",Tabla5[[#This Row],[Zona (Provincia)
&lt;&lt; Seleccionar&gt;&gt;]])</f>
        <v>Huánuco_</v>
      </c>
      <c r="H283" s="60" t="e">
        <f>VLOOKUP(Tabla18[[#This Row],[Concatenado***]],Tabla2[[#All],[Concatenado]:[Simbología*]],2,0)</f>
        <v>#N/A</v>
      </c>
      <c r="I283" s="65" t="str">
        <f>CONCATENATE(Tabla18[[#This Row],[Concatenado***]],"_",Tabla5[[#This Row],[Zona (Distrito)
&lt;&lt; Seleccionar&gt;&gt;]])</f>
        <v>Huánuco__</v>
      </c>
      <c r="J2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3" s="72" t="e">
        <f>VLOOKUP(Tabla5[[#This Row],[Tipo de Transporte Empleado
&lt;&lt; Seleccionar&gt;&gt;]],Tabla8[#All],2,0)</f>
        <v>#N/A</v>
      </c>
      <c r="L283" s="71" t="e">
        <f>#REF!+(#REF!*2)+#REF!</f>
        <v>#REF!</v>
      </c>
    </row>
    <row r="284" spans="1:12" x14ac:dyDescent="0.25">
      <c r="A284" s="328" t="e">
        <f>VLOOKUP(Tabla5[[#This Row],[Acción
&lt;&lt; Seleccionar&gt;&gt;]],TablaAccion[[#All],[Nombre_Abreviado]:[Codigo_Plan_Acción]],3,0)</f>
        <v>#N/A</v>
      </c>
      <c r="B284" s="328" t="e">
        <f>VLOOKUP(Tabla5[[#This Row],[Acción Especifica
&lt;&lt; Seleccionar&gt;&gt;]],TablaAccionEspecifica[[#All],[Nombre_Abreviado]:[Codigo_Acción]],3,0)</f>
        <v>#N/A</v>
      </c>
      <c r="C284" s="328" t="e">
        <f>CONCATENATE(Tabla18[[#This Row],[Bus_02]],"_",Tabla5[[#This Row],[Sub Acción Específica
&lt;&lt; Seleccionar&gt;&gt;]])</f>
        <v>#N/A</v>
      </c>
      <c r="D284" s="328" t="e">
        <f>VLOOKUP(Tabla18[[#This Row],[Aux_01]],TablaSubAccionEspecifica[[#All],[Concat]:[Cod_Sub_acción_especifica]],2,0)</f>
        <v>#N/A</v>
      </c>
      <c r="E284" s="328" t="e">
        <f>Tabla18[[#This Row],[Bus_03]]&amp;"_"&amp;Tabla5[[#This Row],[Tipo de Agente
&lt;&lt; Seleccionar&gt;&gt;]]</f>
        <v>#N/A</v>
      </c>
      <c r="F284" s="328" t="e">
        <f>VLOOKUP(Tabla18[[#This Row],[Concat2]],TablaPOA[[#All],[Concat]:[ConcatEspecial]],3,0)</f>
        <v>#N/A</v>
      </c>
      <c r="G284" s="65" t="str">
        <f>CONCATENATE(Registro!$A$6,"_",Tabla5[[#This Row],[Zona (Provincia)
&lt;&lt; Seleccionar&gt;&gt;]])</f>
        <v>Huánuco_</v>
      </c>
      <c r="H284" s="60" t="e">
        <f>VLOOKUP(Tabla18[[#This Row],[Concatenado***]],Tabla2[[#All],[Concatenado]:[Simbología*]],2,0)</f>
        <v>#N/A</v>
      </c>
      <c r="I284" s="65" t="str">
        <f>CONCATENATE(Tabla18[[#This Row],[Concatenado***]],"_",Tabla5[[#This Row],[Zona (Distrito)
&lt;&lt; Seleccionar&gt;&gt;]])</f>
        <v>Huánuco__</v>
      </c>
      <c r="J2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4" s="72" t="e">
        <f>VLOOKUP(Tabla5[[#This Row],[Tipo de Transporte Empleado
&lt;&lt; Seleccionar&gt;&gt;]],Tabla8[#All],2,0)</f>
        <v>#N/A</v>
      </c>
      <c r="L284" s="71" t="e">
        <f>#REF!+(#REF!*2)+#REF!</f>
        <v>#REF!</v>
      </c>
    </row>
    <row r="285" spans="1:12" x14ac:dyDescent="0.25">
      <c r="A285" s="328" t="e">
        <f>VLOOKUP(Tabla5[[#This Row],[Acción
&lt;&lt; Seleccionar&gt;&gt;]],TablaAccion[[#All],[Nombre_Abreviado]:[Codigo_Plan_Acción]],3,0)</f>
        <v>#N/A</v>
      </c>
      <c r="B285" s="328" t="e">
        <f>VLOOKUP(Tabla5[[#This Row],[Acción Especifica
&lt;&lt; Seleccionar&gt;&gt;]],TablaAccionEspecifica[[#All],[Nombre_Abreviado]:[Codigo_Acción]],3,0)</f>
        <v>#N/A</v>
      </c>
      <c r="C285" s="328" t="e">
        <f>CONCATENATE(Tabla18[[#This Row],[Bus_02]],"_",Tabla5[[#This Row],[Sub Acción Específica
&lt;&lt; Seleccionar&gt;&gt;]])</f>
        <v>#N/A</v>
      </c>
      <c r="D285" s="328" t="e">
        <f>VLOOKUP(Tabla18[[#This Row],[Aux_01]],TablaSubAccionEspecifica[[#All],[Concat]:[Cod_Sub_acción_especifica]],2,0)</f>
        <v>#N/A</v>
      </c>
      <c r="E285" s="328" t="e">
        <f>Tabla18[[#This Row],[Bus_03]]&amp;"_"&amp;Tabla5[[#This Row],[Tipo de Agente
&lt;&lt; Seleccionar&gt;&gt;]]</f>
        <v>#N/A</v>
      </c>
      <c r="F285" s="328" t="e">
        <f>VLOOKUP(Tabla18[[#This Row],[Concat2]],TablaPOA[[#All],[Concat]:[ConcatEspecial]],3,0)</f>
        <v>#N/A</v>
      </c>
      <c r="G285" s="65" t="str">
        <f>CONCATENATE(Registro!$A$6,"_",Tabla5[[#This Row],[Zona (Provincia)
&lt;&lt; Seleccionar&gt;&gt;]])</f>
        <v>Huánuco_</v>
      </c>
      <c r="H285" s="60" t="e">
        <f>VLOOKUP(Tabla18[[#This Row],[Concatenado***]],Tabla2[[#All],[Concatenado]:[Simbología*]],2,0)</f>
        <v>#N/A</v>
      </c>
      <c r="I285" s="65" t="str">
        <f>CONCATENATE(Tabla18[[#This Row],[Concatenado***]],"_",Tabla5[[#This Row],[Zona (Distrito)
&lt;&lt; Seleccionar&gt;&gt;]])</f>
        <v>Huánuco__</v>
      </c>
      <c r="J2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5" s="72" t="e">
        <f>VLOOKUP(Tabla5[[#This Row],[Tipo de Transporte Empleado
&lt;&lt; Seleccionar&gt;&gt;]],Tabla8[#All],2,0)</f>
        <v>#N/A</v>
      </c>
      <c r="L285" s="71" t="e">
        <f>#REF!+(#REF!*2)+#REF!</f>
        <v>#REF!</v>
      </c>
    </row>
    <row r="286" spans="1:12" x14ac:dyDescent="0.25">
      <c r="A286" s="328" t="e">
        <f>VLOOKUP(Tabla5[[#This Row],[Acción
&lt;&lt; Seleccionar&gt;&gt;]],TablaAccion[[#All],[Nombre_Abreviado]:[Codigo_Plan_Acción]],3,0)</f>
        <v>#N/A</v>
      </c>
      <c r="B286" s="328" t="e">
        <f>VLOOKUP(Tabla5[[#This Row],[Acción Especifica
&lt;&lt; Seleccionar&gt;&gt;]],TablaAccionEspecifica[[#All],[Nombre_Abreviado]:[Codigo_Acción]],3,0)</f>
        <v>#N/A</v>
      </c>
      <c r="C286" s="328" t="e">
        <f>CONCATENATE(Tabla18[[#This Row],[Bus_02]],"_",Tabla5[[#This Row],[Sub Acción Específica
&lt;&lt; Seleccionar&gt;&gt;]])</f>
        <v>#N/A</v>
      </c>
      <c r="D286" s="328" t="e">
        <f>VLOOKUP(Tabla18[[#This Row],[Aux_01]],TablaSubAccionEspecifica[[#All],[Concat]:[Cod_Sub_acción_especifica]],2,0)</f>
        <v>#N/A</v>
      </c>
      <c r="E286" s="328" t="e">
        <f>Tabla18[[#This Row],[Bus_03]]&amp;"_"&amp;Tabla5[[#This Row],[Tipo de Agente
&lt;&lt; Seleccionar&gt;&gt;]]</f>
        <v>#N/A</v>
      </c>
      <c r="F286" s="328" t="e">
        <f>VLOOKUP(Tabla18[[#This Row],[Concat2]],TablaPOA[[#All],[Concat]:[ConcatEspecial]],3,0)</f>
        <v>#N/A</v>
      </c>
      <c r="G286" s="65" t="str">
        <f>CONCATENATE(Registro!$A$6,"_",Tabla5[[#This Row],[Zona (Provincia)
&lt;&lt; Seleccionar&gt;&gt;]])</f>
        <v>Huánuco_</v>
      </c>
      <c r="H286" s="60" t="e">
        <f>VLOOKUP(Tabla18[[#This Row],[Concatenado***]],Tabla2[[#All],[Concatenado]:[Simbología*]],2,0)</f>
        <v>#N/A</v>
      </c>
      <c r="I286" s="65" t="str">
        <f>CONCATENATE(Tabla18[[#This Row],[Concatenado***]],"_",Tabla5[[#This Row],[Zona (Distrito)
&lt;&lt; Seleccionar&gt;&gt;]])</f>
        <v>Huánuco__</v>
      </c>
      <c r="J2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6" s="72" t="e">
        <f>VLOOKUP(Tabla5[[#This Row],[Tipo de Transporte Empleado
&lt;&lt; Seleccionar&gt;&gt;]],Tabla8[#All],2,0)</f>
        <v>#N/A</v>
      </c>
      <c r="L286" s="71" t="e">
        <f>#REF!+(#REF!*2)+#REF!</f>
        <v>#REF!</v>
      </c>
    </row>
    <row r="287" spans="1:12" x14ac:dyDescent="0.25">
      <c r="A287" s="328" t="e">
        <f>VLOOKUP(Tabla5[[#This Row],[Acción
&lt;&lt; Seleccionar&gt;&gt;]],TablaAccion[[#All],[Nombre_Abreviado]:[Codigo_Plan_Acción]],3,0)</f>
        <v>#N/A</v>
      </c>
      <c r="B287" s="328" t="e">
        <f>VLOOKUP(Tabla5[[#This Row],[Acción Especifica
&lt;&lt; Seleccionar&gt;&gt;]],TablaAccionEspecifica[[#All],[Nombre_Abreviado]:[Codigo_Acción]],3,0)</f>
        <v>#N/A</v>
      </c>
      <c r="C287" s="328" t="e">
        <f>CONCATENATE(Tabla18[[#This Row],[Bus_02]],"_",Tabla5[[#This Row],[Sub Acción Específica
&lt;&lt; Seleccionar&gt;&gt;]])</f>
        <v>#N/A</v>
      </c>
      <c r="D287" s="328" t="e">
        <f>VLOOKUP(Tabla18[[#This Row],[Aux_01]],TablaSubAccionEspecifica[[#All],[Concat]:[Cod_Sub_acción_especifica]],2,0)</f>
        <v>#N/A</v>
      </c>
      <c r="E287" s="328" t="e">
        <f>Tabla18[[#This Row],[Bus_03]]&amp;"_"&amp;Tabla5[[#This Row],[Tipo de Agente
&lt;&lt; Seleccionar&gt;&gt;]]</f>
        <v>#N/A</v>
      </c>
      <c r="F287" s="328" t="e">
        <f>VLOOKUP(Tabla18[[#This Row],[Concat2]],TablaPOA[[#All],[Concat]:[ConcatEspecial]],3,0)</f>
        <v>#N/A</v>
      </c>
      <c r="G287" s="65" t="str">
        <f>CONCATENATE(Registro!$A$6,"_",Tabla5[[#This Row],[Zona (Provincia)
&lt;&lt; Seleccionar&gt;&gt;]])</f>
        <v>Huánuco_</v>
      </c>
      <c r="H287" s="60" t="e">
        <f>VLOOKUP(Tabla18[[#This Row],[Concatenado***]],Tabla2[[#All],[Concatenado]:[Simbología*]],2,0)</f>
        <v>#N/A</v>
      </c>
      <c r="I287" s="65" t="str">
        <f>CONCATENATE(Tabla18[[#This Row],[Concatenado***]],"_",Tabla5[[#This Row],[Zona (Distrito)
&lt;&lt; Seleccionar&gt;&gt;]])</f>
        <v>Huánuco__</v>
      </c>
      <c r="J2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7" s="72" t="e">
        <f>VLOOKUP(Tabla5[[#This Row],[Tipo de Transporte Empleado
&lt;&lt; Seleccionar&gt;&gt;]],Tabla8[#All],2,0)</f>
        <v>#N/A</v>
      </c>
      <c r="L287" s="71" t="e">
        <f>#REF!+(#REF!*2)+#REF!</f>
        <v>#REF!</v>
      </c>
    </row>
    <row r="288" spans="1:12" x14ac:dyDescent="0.25">
      <c r="A288" s="328" t="e">
        <f>VLOOKUP(Tabla5[[#This Row],[Acción
&lt;&lt; Seleccionar&gt;&gt;]],TablaAccion[[#All],[Nombre_Abreviado]:[Codigo_Plan_Acción]],3,0)</f>
        <v>#N/A</v>
      </c>
      <c r="B288" s="328" t="e">
        <f>VLOOKUP(Tabla5[[#This Row],[Acción Especifica
&lt;&lt; Seleccionar&gt;&gt;]],TablaAccionEspecifica[[#All],[Nombre_Abreviado]:[Codigo_Acción]],3,0)</f>
        <v>#N/A</v>
      </c>
      <c r="C288" s="328" t="e">
        <f>CONCATENATE(Tabla18[[#This Row],[Bus_02]],"_",Tabla5[[#This Row],[Sub Acción Específica
&lt;&lt; Seleccionar&gt;&gt;]])</f>
        <v>#N/A</v>
      </c>
      <c r="D288" s="328" t="e">
        <f>VLOOKUP(Tabla18[[#This Row],[Aux_01]],TablaSubAccionEspecifica[[#All],[Concat]:[Cod_Sub_acción_especifica]],2,0)</f>
        <v>#N/A</v>
      </c>
      <c r="E288" s="328" t="e">
        <f>Tabla18[[#This Row],[Bus_03]]&amp;"_"&amp;Tabla5[[#This Row],[Tipo de Agente
&lt;&lt; Seleccionar&gt;&gt;]]</f>
        <v>#N/A</v>
      </c>
      <c r="F288" s="328" t="e">
        <f>VLOOKUP(Tabla18[[#This Row],[Concat2]],TablaPOA[[#All],[Concat]:[ConcatEspecial]],3,0)</f>
        <v>#N/A</v>
      </c>
      <c r="G288" s="65" t="str">
        <f>CONCATENATE(Registro!$A$6,"_",Tabla5[[#This Row],[Zona (Provincia)
&lt;&lt; Seleccionar&gt;&gt;]])</f>
        <v>Huánuco_</v>
      </c>
      <c r="H288" s="60" t="e">
        <f>VLOOKUP(Tabla18[[#This Row],[Concatenado***]],Tabla2[[#All],[Concatenado]:[Simbología*]],2,0)</f>
        <v>#N/A</v>
      </c>
      <c r="I288" s="65" t="str">
        <f>CONCATENATE(Tabla18[[#This Row],[Concatenado***]],"_",Tabla5[[#This Row],[Zona (Distrito)
&lt;&lt; Seleccionar&gt;&gt;]])</f>
        <v>Huánuco__</v>
      </c>
      <c r="J2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8" s="72" t="e">
        <f>VLOOKUP(Tabla5[[#This Row],[Tipo de Transporte Empleado
&lt;&lt; Seleccionar&gt;&gt;]],Tabla8[#All],2,0)</f>
        <v>#N/A</v>
      </c>
      <c r="L288" s="71" t="e">
        <f>#REF!+(#REF!*2)+#REF!</f>
        <v>#REF!</v>
      </c>
    </row>
    <row r="289" spans="1:12" x14ac:dyDescent="0.25">
      <c r="A289" s="328" t="e">
        <f>VLOOKUP(Tabla5[[#This Row],[Acción
&lt;&lt; Seleccionar&gt;&gt;]],TablaAccion[[#All],[Nombre_Abreviado]:[Codigo_Plan_Acción]],3,0)</f>
        <v>#N/A</v>
      </c>
      <c r="B289" s="328" t="e">
        <f>VLOOKUP(Tabla5[[#This Row],[Acción Especifica
&lt;&lt; Seleccionar&gt;&gt;]],TablaAccionEspecifica[[#All],[Nombre_Abreviado]:[Codigo_Acción]],3,0)</f>
        <v>#N/A</v>
      </c>
      <c r="C289" s="328" t="e">
        <f>CONCATENATE(Tabla18[[#This Row],[Bus_02]],"_",Tabla5[[#This Row],[Sub Acción Específica
&lt;&lt; Seleccionar&gt;&gt;]])</f>
        <v>#N/A</v>
      </c>
      <c r="D289" s="328" t="e">
        <f>VLOOKUP(Tabla18[[#This Row],[Aux_01]],TablaSubAccionEspecifica[[#All],[Concat]:[Cod_Sub_acción_especifica]],2,0)</f>
        <v>#N/A</v>
      </c>
      <c r="E289" s="328" t="e">
        <f>Tabla18[[#This Row],[Bus_03]]&amp;"_"&amp;Tabla5[[#This Row],[Tipo de Agente
&lt;&lt; Seleccionar&gt;&gt;]]</f>
        <v>#N/A</v>
      </c>
      <c r="F289" s="328" t="e">
        <f>VLOOKUP(Tabla18[[#This Row],[Concat2]],TablaPOA[[#All],[Concat]:[ConcatEspecial]],3,0)</f>
        <v>#N/A</v>
      </c>
      <c r="G289" s="65" t="str">
        <f>CONCATENATE(Registro!$A$6,"_",Tabla5[[#This Row],[Zona (Provincia)
&lt;&lt; Seleccionar&gt;&gt;]])</f>
        <v>Huánuco_</v>
      </c>
      <c r="H289" s="60" t="e">
        <f>VLOOKUP(Tabla18[[#This Row],[Concatenado***]],Tabla2[[#All],[Concatenado]:[Simbología*]],2,0)</f>
        <v>#N/A</v>
      </c>
      <c r="I289" s="65" t="str">
        <f>CONCATENATE(Tabla18[[#This Row],[Concatenado***]],"_",Tabla5[[#This Row],[Zona (Distrito)
&lt;&lt; Seleccionar&gt;&gt;]])</f>
        <v>Huánuco__</v>
      </c>
      <c r="J2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9" s="72" t="e">
        <f>VLOOKUP(Tabla5[[#This Row],[Tipo de Transporte Empleado
&lt;&lt; Seleccionar&gt;&gt;]],Tabla8[#All],2,0)</f>
        <v>#N/A</v>
      </c>
      <c r="L289" s="71" t="e">
        <f>#REF!+(#REF!*2)+#REF!</f>
        <v>#REF!</v>
      </c>
    </row>
    <row r="290" spans="1:12" x14ac:dyDescent="0.25">
      <c r="A290" s="328" t="e">
        <f>VLOOKUP(Tabla5[[#This Row],[Acción
&lt;&lt; Seleccionar&gt;&gt;]],TablaAccion[[#All],[Nombre_Abreviado]:[Codigo_Plan_Acción]],3,0)</f>
        <v>#N/A</v>
      </c>
      <c r="B290" s="328" t="e">
        <f>VLOOKUP(Tabla5[[#This Row],[Acción Especifica
&lt;&lt; Seleccionar&gt;&gt;]],TablaAccionEspecifica[[#All],[Nombre_Abreviado]:[Codigo_Acción]],3,0)</f>
        <v>#N/A</v>
      </c>
      <c r="C290" s="328" t="e">
        <f>CONCATENATE(Tabla18[[#This Row],[Bus_02]],"_",Tabla5[[#This Row],[Sub Acción Específica
&lt;&lt; Seleccionar&gt;&gt;]])</f>
        <v>#N/A</v>
      </c>
      <c r="D290" s="328" t="e">
        <f>VLOOKUP(Tabla18[[#This Row],[Aux_01]],TablaSubAccionEspecifica[[#All],[Concat]:[Cod_Sub_acción_especifica]],2,0)</f>
        <v>#N/A</v>
      </c>
      <c r="E290" s="328" t="e">
        <f>Tabla18[[#This Row],[Bus_03]]&amp;"_"&amp;Tabla5[[#This Row],[Tipo de Agente
&lt;&lt; Seleccionar&gt;&gt;]]</f>
        <v>#N/A</v>
      </c>
      <c r="F290" s="328" t="e">
        <f>VLOOKUP(Tabla18[[#This Row],[Concat2]],TablaPOA[[#All],[Concat]:[ConcatEspecial]],3,0)</f>
        <v>#N/A</v>
      </c>
      <c r="G290" s="65" t="str">
        <f>CONCATENATE(Registro!$A$6,"_",Tabla5[[#This Row],[Zona (Provincia)
&lt;&lt; Seleccionar&gt;&gt;]])</f>
        <v>Huánuco_</v>
      </c>
      <c r="H290" s="60" t="e">
        <f>VLOOKUP(Tabla18[[#This Row],[Concatenado***]],Tabla2[[#All],[Concatenado]:[Simbología*]],2,0)</f>
        <v>#N/A</v>
      </c>
      <c r="I290" s="65" t="str">
        <f>CONCATENATE(Tabla18[[#This Row],[Concatenado***]],"_",Tabla5[[#This Row],[Zona (Distrito)
&lt;&lt; Seleccionar&gt;&gt;]])</f>
        <v>Huánuco__</v>
      </c>
      <c r="J2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0" s="72" t="e">
        <f>VLOOKUP(Tabla5[[#This Row],[Tipo de Transporte Empleado
&lt;&lt; Seleccionar&gt;&gt;]],Tabla8[#All],2,0)</f>
        <v>#N/A</v>
      </c>
      <c r="L290" s="71" t="e">
        <f>#REF!+(#REF!*2)+#REF!</f>
        <v>#REF!</v>
      </c>
    </row>
    <row r="291" spans="1:12" x14ac:dyDescent="0.25">
      <c r="A291" s="328" t="e">
        <f>VLOOKUP(Tabla5[[#This Row],[Acción
&lt;&lt; Seleccionar&gt;&gt;]],TablaAccion[[#All],[Nombre_Abreviado]:[Codigo_Plan_Acción]],3,0)</f>
        <v>#N/A</v>
      </c>
      <c r="B291" s="328" t="e">
        <f>VLOOKUP(Tabla5[[#This Row],[Acción Especifica
&lt;&lt; Seleccionar&gt;&gt;]],TablaAccionEspecifica[[#All],[Nombre_Abreviado]:[Codigo_Acción]],3,0)</f>
        <v>#N/A</v>
      </c>
      <c r="C291" s="328" t="e">
        <f>CONCATENATE(Tabla18[[#This Row],[Bus_02]],"_",Tabla5[[#This Row],[Sub Acción Específica
&lt;&lt; Seleccionar&gt;&gt;]])</f>
        <v>#N/A</v>
      </c>
      <c r="D291" s="328" t="e">
        <f>VLOOKUP(Tabla18[[#This Row],[Aux_01]],TablaSubAccionEspecifica[[#All],[Concat]:[Cod_Sub_acción_especifica]],2,0)</f>
        <v>#N/A</v>
      </c>
      <c r="E291" s="328" t="e">
        <f>Tabla18[[#This Row],[Bus_03]]&amp;"_"&amp;Tabla5[[#This Row],[Tipo de Agente
&lt;&lt; Seleccionar&gt;&gt;]]</f>
        <v>#N/A</v>
      </c>
      <c r="F291" s="328" t="e">
        <f>VLOOKUP(Tabla18[[#This Row],[Concat2]],TablaPOA[[#All],[Concat]:[ConcatEspecial]],3,0)</f>
        <v>#N/A</v>
      </c>
      <c r="G291" s="65" t="str">
        <f>CONCATENATE(Registro!$A$6,"_",Tabla5[[#This Row],[Zona (Provincia)
&lt;&lt; Seleccionar&gt;&gt;]])</f>
        <v>Huánuco_</v>
      </c>
      <c r="H291" s="60" t="e">
        <f>VLOOKUP(Tabla18[[#This Row],[Concatenado***]],Tabla2[[#All],[Concatenado]:[Simbología*]],2,0)</f>
        <v>#N/A</v>
      </c>
      <c r="I291" s="65" t="str">
        <f>CONCATENATE(Tabla18[[#This Row],[Concatenado***]],"_",Tabla5[[#This Row],[Zona (Distrito)
&lt;&lt; Seleccionar&gt;&gt;]])</f>
        <v>Huánuco__</v>
      </c>
      <c r="J2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1" s="72" t="e">
        <f>VLOOKUP(Tabla5[[#This Row],[Tipo de Transporte Empleado
&lt;&lt; Seleccionar&gt;&gt;]],Tabla8[#All],2,0)</f>
        <v>#N/A</v>
      </c>
      <c r="L291" s="71" t="e">
        <f>#REF!+(#REF!*2)+#REF!</f>
        <v>#REF!</v>
      </c>
    </row>
    <row r="292" spans="1:12" x14ac:dyDescent="0.25">
      <c r="A292" s="328" t="e">
        <f>VLOOKUP(Tabla5[[#This Row],[Acción
&lt;&lt; Seleccionar&gt;&gt;]],TablaAccion[[#All],[Nombre_Abreviado]:[Codigo_Plan_Acción]],3,0)</f>
        <v>#N/A</v>
      </c>
      <c r="B292" s="328" t="e">
        <f>VLOOKUP(Tabla5[[#This Row],[Acción Especifica
&lt;&lt; Seleccionar&gt;&gt;]],TablaAccionEspecifica[[#All],[Nombre_Abreviado]:[Codigo_Acción]],3,0)</f>
        <v>#N/A</v>
      </c>
      <c r="C292" s="328" t="e">
        <f>CONCATENATE(Tabla18[[#This Row],[Bus_02]],"_",Tabla5[[#This Row],[Sub Acción Específica
&lt;&lt; Seleccionar&gt;&gt;]])</f>
        <v>#N/A</v>
      </c>
      <c r="D292" s="328" t="e">
        <f>VLOOKUP(Tabla18[[#This Row],[Aux_01]],TablaSubAccionEspecifica[[#All],[Concat]:[Cod_Sub_acción_especifica]],2,0)</f>
        <v>#N/A</v>
      </c>
      <c r="E292" s="328" t="e">
        <f>Tabla18[[#This Row],[Bus_03]]&amp;"_"&amp;Tabla5[[#This Row],[Tipo de Agente
&lt;&lt; Seleccionar&gt;&gt;]]</f>
        <v>#N/A</v>
      </c>
      <c r="F292" s="328" t="e">
        <f>VLOOKUP(Tabla18[[#This Row],[Concat2]],TablaPOA[[#All],[Concat]:[ConcatEspecial]],3,0)</f>
        <v>#N/A</v>
      </c>
      <c r="G292" s="65" t="str">
        <f>CONCATENATE(Registro!$A$6,"_",Tabla5[[#This Row],[Zona (Provincia)
&lt;&lt; Seleccionar&gt;&gt;]])</f>
        <v>Huánuco_</v>
      </c>
      <c r="H292" s="60" t="e">
        <f>VLOOKUP(Tabla18[[#This Row],[Concatenado***]],Tabla2[[#All],[Concatenado]:[Simbología*]],2,0)</f>
        <v>#N/A</v>
      </c>
      <c r="I292" s="65" t="str">
        <f>CONCATENATE(Tabla18[[#This Row],[Concatenado***]],"_",Tabla5[[#This Row],[Zona (Distrito)
&lt;&lt; Seleccionar&gt;&gt;]])</f>
        <v>Huánuco__</v>
      </c>
      <c r="J2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2" s="72" t="e">
        <f>VLOOKUP(Tabla5[[#This Row],[Tipo de Transporte Empleado
&lt;&lt; Seleccionar&gt;&gt;]],Tabla8[#All],2,0)</f>
        <v>#N/A</v>
      </c>
      <c r="L292" s="71" t="e">
        <f>#REF!+(#REF!*2)+#REF!</f>
        <v>#REF!</v>
      </c>
    </row>
    <row r="293" spans="1:12" x14ac:dyDescent="0.25">
      <c r="A293" s="328" t="e">
        <f>VLOOKUP(Tabla5[[#This Row],[Acción
&lt;&lt; Seleccionar&gt;&gt;]],TablaAccion[[#All],[Nombre_Abreviado]:[Codigo_Plan_Acción]],3,0)</f>
        <v>#N/A</v>
      </c>
      <c r="B293" s="328" t="e">
        <f>VLOOKUP(Tabla5[[#This Row],[Acción Especifica
&lt;&lt; Seleccionar&gt;&gt;]],TablaAccionEspecifica[[#All],[Nombre_Abreviado]:[Codigo_Acción]],3,0)</f>
        <v>#N/A</v>
      </c>
      <c r="C293" s="328" t="e">
        <f>CONCATENATE(Tabla18[[#This Row],[Bus_02]],"_",Tabla5[[#This Row],[Sub Acción Específica
&lt;&lt; Seleccionar&gt;&gt;]])</f>
        <v>#N/A</v>
      </c>
      <c r="D293" s="328" t="e">
        <f>VLOOKUP(Tabla18[[#This Row],[Aux_01]],TablaSubAccionEspecifica[[#All],[Concat]:[Cod_Sub_acción_especifica]],2,0)</f>
        <v>#N/A</v>
      </c>
      <c r="E293" s="328" t="e">
        <f>Tabla18[[#This Row],[Bus_03]]&amp;"_"&amp;Tabla5[[#This Row],[Tipo de Agente
&lt;&lt; Seleccionar&gt;&gt;]]</f>
        <v>#N/A</v>
      </c>
      <c r="F293" s="328" t="e">
        <f>VLOOKUP(Tabla18[[#This Row],[Concat2]],TablaPOA[[#All],[Concat]:[ConcatEspecial]],3,0)</f>
        <v>#N/A</v>
      </c>
      <c r="G293" s="65" t="str">
        <f>CONCATENATE(Registro!$A$6,"_",Tabla5[[#This Row],[Zona (Provincia)
&lt;&lt; Seleccionar&gt;&gt;]])</f>
        <v>Huánuco_</v>
      </c>
      <c r="H293" s="60" t="e">
        <f>VLOOKUP(Tabla18[[#This Row],[Concatenado***]],Tabla2[[#All],[Concatenado]:[Simbología*]],2,0)</f>
        <v>#N/A</v>
      </c>
      <c r="I293" s="65" t="str">
        <f>CONCATENATE(Tabla18[[#This Row],[Concatenado***]],"_",Tabla5[[#This Row],[Zona (Distrito)
&lt;&lt; Seleccionar&gt;&gt;]])</f>
        <v>Huánuco__</v>
      </c>
      <c r="J2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3" s="72" t="e">
        <f>VLOOKUP(Tabla5[[#This Row],[Tipo de Transporte Empleado
&lt;&lt; Seleccionar&gt;&gt;]],Tabla8[#All],2,0)</f>
        <v>#N/A</v>
      </c>
      <c r="L293" s="71" t="e">
        <f>#REF!+(#REF!*2)+#REF!</f>
        <v>#REF!</v>
      </c>
    </row>
    <row r="294" spans="1:12" x14ac:dyDescent="0.25">
      <c r="A294" s="328" t="e">
        <f>VLOOKUP(Tabla5[[#This Row],[Acción
&lt;&lt; Seleccionar&gt;&gt;]],TablaAccion[[#All],[Nombre_Abreviado]:[Codigo_Plan_Acción]],3,0)</f>
        <v>#N/A</v>
      </c>
      <c r="B294" s="328" t="e">
        <f>VLOOKUP(Tabla5[[#This Row],[Acción Especifica
&lt;&lt; Seleccionar&gt;&gt;]],TablaAccionEspecifica[[#All],[Nombre_Abreviado]:[Codigo_Acción]],3,0)</f>
        <v>#N/A</v>
      </c>
      <c r="C294" s="328" t="e">
        <f>CONCATENATE(Tabla18[[#This Row],[Bus_02]],"_",Tabla5[[#This Row],[Sub Acción Específica
&lt;&lt; Seleccionar&gt;&gt;]])</f>
        <v>#N/A</v>
      </c>
      <c r="D294" s="328" t="e">
        <f>VLOOKUP(Tabla18[[#This Row],[Aux_01]],TablaSubAccionEspecifica[[#All],[Concat]:[Cod_Sub_acción_especifica]],2,0)</f>
        <v>#N/A</v>
      </c>
      <c r="E294" s="328" t="e">
        <f>Tabla18[[#This Row],[Bus_03]]&amp;"_"&amp;Tabla5[[#This Row],[Tipo de Agente
&lt;&lt; Seleccionar&gt;&gt;]]</f>
        <v>#N/A</v>
      </c>
      <c r="F294" s="328" t="e">
        <f>VLOOKUP(Tabla18[[#This Row],[Concat2]],TablaPOA[[#All],[Concat]:[ConcatEspecial]],3,0)</f>
        <v>#N/A</v>
      </c>
      <c r="G294" s="65" t="str">
        <f>CONCATENATE(Registro!$A$6,"_",Tabla5[[#This Row],[Zona (Provincia)
&lt;&lt; Seleccionar&gt;&gt;]])</f>
        <v>Huánuco_</v>
      </c>
      <c r="H294" s="60" t="e">
        <f>VLOOKUP(Tabla18[[#This Row],[Concatenado***]],Tabla2[[#All],[Concatenado]:[Simbología*]],2,0)</f>
        <v>#N/A</v>
      </c>
      <c r="I294" s="65" t="str">
        <f>CONCATENATE(Tabla18[[#This Row],[Concatenado***]],"_",Tabla5[[#This Row],[Zona (Distrito)
&lt;&lt; Seleccionar&gt;&gt;]])</f>
        <v>Huánuco__</v>
      </c>
      <c r="J2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4" s="72" t="e">
        <f>VLOOKUP(Tabla5[[#This Row],[Tipo de Transporte Empleado
&lt;&lt; Seleccionar&gt;&gt;]],Tabla8[#All],2,0)</f>
        <v>#N/A</v>
      </c>
      <c r="L294" s="71" t="e">
        <f>#REF!+(#REF!*2)+#REF!</f>
        <v>#REF!</v>
      </c>
    </row>
    <row r="295" spans="1:12" x14ac:dyDescent="0.25">
      <c r="A295" s="328" t="e">
        <f>VLOOKUP(Tabla5[[#This Row],[Acción
&lt;&lt; Seleccionar&gt;&gt;]],TablaAccion[[#All],[Nombre_Abreviado]:[Codigo_Plan_Acción]],3,0)</f>
        <v>#N/A</v>
      </c>
      <c r="B295" s="328" t="e">
        <f>VLOOKUP(Tabla5[[#This Row],[Acción Especifica
&lt;&lt; Seleccionar&gt;&gt;]],TablaAccionEspecifica[[#All],[Nombre_Abreviado]:[Codigo_Acción]],3,0)</f>
        <v>#N/A</v>
      </c>
      <c r="C295" s="328" t="e">
        <f>CONCATENATE(Tabla18[[#This Row],[Bus_02]],"_",Tabla5[[#This Row],[Sub Acción Específica
&lt;&lt; Seleccionar&gt;&gt;]])</f>
        <v>#N/A</v>
      </c>
      <c r="D295" s="328" t="e">
        <f>VLOOKUP(Tabla18[[#This Row],[Aux_01]],TablaSubAccionEspecifica[[#All],[Concat]:[Cod_Sub_acción_especifica]],2,0)</f>
        <v>#N/A</v>
      </c>
      <c r="E295" s="328" t="e">
        <f>Tabla18[[#This Row],[Bus_03]]&amp;"_"&amp;Tabla5[[#This Row],[Tipo de Agente
&lt;&lt; Seleccionar&gt;&gt;]]</f>
        <v>#N/A</v>
      </c>
      <c r="F295" s="328" t="e">
        <f>VLOOKUP(Tabla18[[#This Row],[Concat2]],TablaPOA[[#All],[Concat]:[ConcatEspecial]],3,0)</f>
        <v>#N/A</v>
      </c>
      <c r="G295" s="65" t="str">
        <f>CONCATENATE(Registro!$A$6,"_",Tabla5[[#This Row],[Zona (Provincia)
&lt;&lt; Seleccionar&gt;&gt;]])</f>
        <v>Huánuco_</v>
      </c>
      <c r="H295" s="60" t="e">
        <f>VLOOKUP(Tabla18[[#This Row],[Concatenado***]],Tabla2[[#All],[Concatenado]:[Simbología*]],2,0)</f>
        <v>#N/A</v>
      </c>
      <c r="I295" s="65" t="str">
        <f>CONCATENATE(Tabla18[[#This Row],[Concatenado***]],"_",Tabla5[[#This Row],[Zona (Distrito)
&lt;&lt; Seleccionar&gt;&gt;]])</f>
        <v>Huánuco__</v>
      </c>
      <c r="J2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5" s="72" t="e">
        <f>VLOOKUP(Tabla5[[#This Row],[Tipo de Transporte Empleado
&lt;&lt; Seleccionar&gt;&gt;]],Tabla8[#All],2,0)</f>
        <v>#N/A</v>
      </c>
      <c r="L295" s="71" t="e">
        <f>#REF!+(#REF!*2)+#REF!</f>
        <v>#REF!</v>
      </c>
    </row>
    <row r="296" spans="1:12" x14ac:dyDescent="0.25">
      <c r="A296" s="328" t="e">
        <f>VLOOKUP(Tabla5[[#This Row],[Acción
&lt;&lt; Seleccionar&gt;&gt;]],TablaAccion[[#All],[Nombre_Abreviado]:[Codigo_Plan_Acción]],3,0)</f>
        <v>#N/A</v>
      </c>
      <c r="B296" s="328" t="e">
        <f>VLOOKUP(Tabla5[[#This Row],[Acción Especifica
&lt;&lt; Seleccionar&gt;&gt;]],TablaAccionEspecifica[[#All],[Nombre_Abreviado]:[Codigo_Acción]],3,0)</f>
        <v>#N/A</v>
      </c>
      <c r="C296" s="328" t="e">
        <f>CONCATENATE(Tabla18[[#This Row],[Bus_02]],"_",Tabla5[[#This Row],[Sub Acción Específica
&lt;&lt; Seleccionar&gt;&gt;]])</f>
        <v>#N/A</v>
      </c>
      <c r="D296" s="328" t="e">
        <f>VLOOKUP(Tabla18[[#This Row],[Aux_01]],TablaSubAccionEspecifica[[#All],[Concat]:[Cod_Sub_acción_especifica]],2,0)</f>
        <v>#N/A</v>
      </c>
      <c r="E296" s="328" t="e">
        <f>Tabla18[[#This Row],[Bus_03]]&amp;"_"&amp;Tabla5[[#This Row],[Tipo de Agente
&lt;&lt; Seleccionar&gt;&gt;]]</f>
        <v>#N/A</v>
      </c>
      <c r="F296" s="328" t="e">
        <f>VLOOKUP(Tabla18[[#This Row],[Concat2]],TablaPOA[[#All],[Concat]:[ConcatEspecial]],3,0)</f>
        <v>#N/A</v>
      </c>
      <c r="G296" s="65" t="str">
        <f>CONCATENATE(Registro!$A$6,"_",Tabla5[[#This Row],[Zona (Provincia)
&lt;&lt; Seleccionar&gt;&gt;]])</f>
        <v>Huánuco_</v>
      </c>
      <c r="H296" s="60" t="e">
        <f>VLOOKUP(Tabla18[[#This Row],[Concatenado***]],Tabla2[[#All],[Concatenado]:[Simbología*]],2,0)</f>
        <v>#N/A</v>
      </c>
      <c r="I296" s="65" t="str">
        <f>CONCATENATE(Tabla18[[#This Row],[Concatenado***]],"_",Tabla5[[#This Row],[Zona (Distrito)
&lt;&lt; Seleccionar&gt;&gt;]])</f>
        <v>Huánuco__</v>
      </c>
      <c r="J2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6" s="72" t="e">
        <f>VLOOKUP(Tabla5[[#This Row],[Tipo de Transporte Empleado
&lt;&lt; Seleccionar&gt;&gt;]],Tabla8[#All],2,0)</f>
        <v>#N/A</v>
      </c>
      <c r="L296" s="71" t="e">
        <f>#REF!+(#REF!*2)+#REF!</f>
        <v>#REF!</v>
      </c>
    </row>
    <row r="297" spans="1:12" x14ac:dyDescent="0.25">
      <c r="A297" s="328" t="e">
        <f>VLOOKUP(Tabla5[[#This Row],[Acción
&lt;&lt; Seleccionar&gt;&gt;]],TablaAccion[[#All],[Nombre_Abreviado]:[Codigo_Plan_Acción]],3,0)</f>
        <v>#N/A</v>
      </c>
      <c r="B297" s="328" t="e">
        <f>VLOOKUP(Tabla5[[#This Row],[Acción Especifica
&lt;&lt; Seleccionar&gt;&gt;]],TablaAccionEspecifica[[#All],[Nombre_Abreviado]:[Codigo_Acción]],3,0)</f>
        <v>#N/A</v>
      </c>
      <c r="C297" s="328" t="e">
        <f>CONCATENATE(Tabla18[[#This Row],[Bus_02]],"_",Tabla5[[#This Row],[Sub Acción Específica
&lt;&lt; Seleccionar&gt;&gt;]])</f>
        <v>#N/A</v>
      </c>
      <c r="D297" s="328" t="e">
        <f>VLOOKUP(Tabla18[[#This Row],[Aux_01]],TablaSubAccionEspecifica[[#All],[Concat]:[Cod_Sub_acción_especifica]],2,0)</f>
        <v>#N/A</v>
      </c>
      <c r="E297" s="328" t="e">
        <f>Tabla18[[#This Row],[Bus_03]]&amp;"_"&amp;Tabla5[[#This Row],[Tipo de Agente
&lt;&lt; Seleccionar&gt;&gt;]]</f>
        <v>#N/A</v>
      </c>
      <c r="F297" s="328" t="e">
        <f>VLOOKUP(Tabla18[[#This Row],[Concat2]],TablaPOA[[#All],[Concat]:[ConcatEspecial]],3,0)</f>
        <v>#N/A</v>
      </c>
      <c r="G297" s="65" t="str">
        <f>CONCATENATE(Registro!$A$6,"_",Tabla5[[#This Row],[Zona (Provincia)
&lt;&lt; Seleccionar&gt;&gt;]])</f>
        <v>Huánuco_</v>
      </c>
      <c r="H297" s="60" t="e">
        <f>VLOOKUP(Tabla18[[#This Row],[Concatenado***]],Tabla2[[#All],[Concatenado]:[Simbología*]],2,0)</f>
        <v>#N/A</v>
      </c>
      <c r="I297" s="65" t="str">
        <f>CONCATENATE(Tabla18[[#This Row],[Concatenado***]],"_",Tabla5[[#This Row],[Zona (Distrito)
&lt;&lt; Seleccionar&gt;&gt;]])</f>
        <v>Huánuco__</v>
      </c>
      <c r="J2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7" s="72" t="e">
        <f>VLOOKUP(Tabla5[[#This Row],[Tipo de Transporte Empleado
&lt;&lt; Seleccionar&gt;&gt;]],Tabla8[#All],2,0)</f>
        <v>#N/A</v>
      </c>
      <c r="L297" s="71" t="e">
        <f>#REF!+(#REF!*2)+#REF!</f>
        <v>#REF!</v>
      </c>
    </row>
    <row r="298" spans="1:12" x14ac:dyDescent="0.25">
      <c r="A298" s="328" t="e">
        <f>VLOOKUP(Tabla5[[#This Row],[Acción
&lt;&lt; Seleccionar&gt;&gt;]],TablaAccion[[#All],[Nombre_Abreviado]:[Codigo_Plan_Acción]],3,0)</f>
        <v>#N/A</v>
      </c>
      <c r="B298" s="328" t="e">
        <f>VLOOKUP(Tabla5[[#This Row],[Acción Especifica
&lt;&lt; Seleccionar&gt;&gt;]],TablaAccionEspecifica[[#All],[Nombre_Abreviado]:[Codigo_Acción]],3,0)</f>
        <v>#N/A</v>
      </c>
      <c r="C298" s="328" t="e">
        <f>CONCATENATE(Tabla18[[#This Row],[Bus_02]],"_",Tabla5[[#This Row],[Sub Acción Específica
&lt;&lt; Seleccionar&gt;&gt;]])</f>
        <v>#N/A</v>
      </c>
      <c r="D298" s="328" t="e">
        <f>VLOOKUP(Tabla18[[#This Row],[Aux_01]],TablaSubAccionEspecifica[[#All],[Concat]:[Cod_Sub_acción_especifica]],2,0)</f>
        <v>#N/A</v>
      </c>
      <c r="E298" s="328" t="e">
        <f>Tabla18[[#This Row],[Bus_03]]&amp;"_"&amp;Tabla5[[#This Row],[Tipo de Agente
&lt;&lt; Seleccionar&gt;&gt;]]</f>
        <v>#N/A</v>
      </c>
      <c r="F298" s="328" t="e">
        <f>VLOOKUP(Tabla18[[#This Row],[Concat2]],TablaPOA[[#All],[Concat]:[ConcatEspecial]],3,0)</f>
        <v>#N/A</v>
      </c>
      <c r="G298" s="65" t="str">
        <f>CONCATENATE(Registro!$A$6,"_",Tabla5[[#This Row],[Zona (Provincia)
&lt;&lt; Seleccionar&gt;&gt;]])</f>
        <v>Huánuco_</v>
      </c>
      <c r="H298" s="60" t="e">
        <f>VLOOKUP(Tabla18[[#This Row],[Concatenado***]],Tabla2[[#All],[Concatenado]:[Simbología*]],2,0)</f>
        <v>#N/A</v>
      </c>
      <c r="I298" s="65" t="str">
        <f>CONCATENATE(Tabla18[[#This Row],[Concatenado***]],"_",Tabla5[[#This Row],[Zona (Distrito)
&lt;&lt; Seleccionar&gt;&gt;]])</f>
        <v>Huánuco__</v>
      </c>
      <c r="J2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8" s="72" t="e">
        <f>VLOOKUP(Tabla5[[#This Row],[Tipo de Transporte Empleado
&lt;&lt; Seleccionar&gt;&gt;]],Tabla8[#All],2,0)</f>
        <v>#N/A</v>
      </c>
      <c r="L298" s="71" t="e">
        <f>#REF!+(#REF!*2)+#REF!</f>
        <v>#REF!</v>
      </c>
    </row>
    <row r="299" spans="1:12" x14ac:dyDescent="0.25">
      <c r="A299" s="328" t="e">
        <f>VLOOKUP(Tabla5[[#This Row],[Acción
&lt;&lt; Seleccionar&gt;&gt;]],TablaAccion[[#All],[Nombre_Abreviado]:[Codigo_Plan_Acción]],3,0)</f>
        <v>#N/A</v>
      </c>
      <c r="B299" s="328" t="e">
        <f>VLOOKUP(Tabla5[[#This Row],[Acción Especifica
&lt;&lt; Seleccionar&gt;&gt;]],TablaAccionEspecifica[[#All],[Nombre_Abreviado]:[Codigo_Acción]],3,0)</f>
        <v>#N/A</v>
      </c>
      <c r="C299" s="328" t="e">
        <f>CONCATENATE(Tabla18[[#This Row],[Bus_02]],"_",Tabla5[[#This Row],[Sub Acción Específica
&lt;&lt; Seleccionar&gt;&gt;]])</f>
        <v>#N/A</v>
      </c>
      <c r="D299" s="328" t="e">
        <f>VLOOKUP(Tabla18[[#This Row],[Aux_01]],TablaSubAccionEspecifica[[#All],[Concat]:[Cod_Sub_acción_especifica]],2,0)</f>
        <v>#N/A</v>
      </c>
      <c r="E299" s="328" t="e">
        <f>Tabla18[[#This Row],[Bus_03]]&amp;"_"&amp;Tabla5[[#This Row],[Tipo de Agente
&lt;&lt; Seleccionar&gt;&gt;]]</f>
        <v>#N/A</v>
      </c>
      <c r="F299" s="328" t="e">
        <f>VLOOKUP(Tabla18[[#This Row],[Concat2]],TablaPOA[[#All],[Concat]:[ConcatEspecial]],3,0)</f>
        <v>#N/A</v>
      </c>
      <c r="G299" s="65" t="str">
        <f>CONCATENATE(Registro!$A$6,"_",Tabla5[[#This Row],[Zona (Provincia)
&lt;&lt; Seleccionar&gt;&gt;]])</f>
        <v>Huánuco_</v>
      </c>
      <c r="H299" s="60" t="e">
        <f>VLOOKUP(Tabla18[[#This Row],[Concatenado***]],Tabla2[[#All],[Concatenado]:[Simbología*]],2,0)</f>
        <v>#N/A</v>
      </c>
      <c r="I299" s="65" t="str">
        <f>CONCATENATE(Tabla18[[#This Row],[Concatenado***]],"_",Tabla5[[#This Row],[Zona (Distrito)
&lt;&lt; Seleccionar&gt;&gt;]])</f>
        <v>Huánuco__</v>
      </c>
      <c r="J2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9" s="72" t="e">
        <f>VLOOKUP(Tabla5[[#This Row],[Tipo de Transporte Empleado
&lt;&lt; Seleccionar&gt;&gt;]],Tabla8[#All],2,0)</f>
        <v>#N/A</v>
      </c>
      <c r="L299" s="71" t="e">
        <f>#REF!+(#REF!*2)+#REF!</f>
        <v>#REF!</v>
      </c>
    </row>
    <row r="300" spans="1:12" x14ac:dyDescent="0.25">
      <c r="A300" s="328" t="e">
        <f>VLOOKUP(Tabla5[[#This Row],[Acción
&lt;&lt; Seleccionar&gt;&gt;]],TablaAccion[[#All],[Nombre_Abreviado]:[Codigo_Plan_Acción]],3,0)</f>
        <v>#N/A</v>
      </c>
      <c r="B300" s="328" t="e">
        <f>VLOOKUP(Tabla5[[#This Row],[Acción Especifica
&lt;&lt; Seleccionar&gt;&gt;]],TablaAccionEspecifica[[#All],[Nombre_Abreviado]:[Codigo_Acción]],3,0)</f>
        <v>#N/A</v>
      </c>
      <c r="C300" s="328" t="e">
        <f>CONCATENATE(Tabla18[[#This Row],[Bus_02]],"_",Tabla5[[#This Row],[Sub Acción Específica
&lt;&lt; Seleccionar&gt;&gt;]])</f>
        <v>#N/A</v>
      </c>
      <c r="D300" s="328" t="e">
        <f>VLOOKUP(Tabla18[[#This Row],[Aux_01]],TablaSubAccionEspecifica[[#All],[Concat]:[Cod_Sub_acción_especifica]],2,0)</f>
        <v>#N/A</v>
      </c>
      <c r="E300" s="328" t="e">
        <f>Tabla18[[#This Row],[Bus_03]]&amp;"_"&amp;Tabla5[[#This Row],[Tipo de Agente
&lt;&lt; Seleccionar&gt;&gt;]]</f>
        <v>#N/A</v>
      </c>
      <c r="F300" s="328" t="e">
        <f>VLOOKUP(Tabla18[[#This Row],[Concat2]],TablaPOA[[#All],[Concat]:[ConcatEspecial]],3,0)</f>
        <v>#N/A</v>
      </c>
      <c r="G300" s="65" t="str">
        <f>CONCATENATE(Registro!$A$6,"_",Tabla5[[#This Row],[Zona (Provincia)
&lt;&lt; Seleccionar&gt;&gt;]])</f>
        <v>Huánuco_</v>
      </c>
      <c r="H300" s="60" t="e">
        <f>VLOOKUP(Tabla18[[#This Row],[Concatenado***]],Tabla2[[#All],[Concatenado]:[Simbología*]],2,0)</f>
        <v>#N/A</v>
      </c>
      <c r="I300" s="65" t="str">
        <f>CONCATENATE(Tabla18[[#This Row],[Concatenado***]],"_",Tabla5[[#This Row],[Zona (Distrito)
&lt;&lt; Seleccionar&gt;&gt;]])</f>
        <v>Huánuco__</v>
      </c>
      <c r="J3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0" s="72" t="e">
        <f>VLOOKUP(Tabla5[[#This Row],[Tipo de Transporte Empleado
&lt;&lt; Seleccionar&gt;&gt;]],Tabla8[#All],2,0)</f>
        <v>#N/A</v>
      </c>
      <c r="L300" s="71" t="e">
        <f>#REF!+(#REF!*2)+#REF!</f>
        <v>#REF!</v>
      </c>
    </row>
    <row r="301" spans="1:12" x14ac:dyDescent="0.25">
      <c r="A301" s="328" t="e">
        <f>VLOOKUP(Tabla5[[#This Row],[Acción
&lt;&lt; Seleccionar&gt;&gt;]],TablaAccion[[#All],[Nombre_Abreviado]:[Codigo_Plan_Acción]],3,0)</f>
        <v>#N/A</v>
      </c>
      <c r="B301" s="328" t="e">
        <f>VLOOKUP(Tabla5[[#This Row],[Acción Especifica
&lt;&lt; Seleccionar&gt;&gt;]],TablaAccionEspecifica[[#All],[Nombre_Abreviado]:[Codigo_Acción]],3,0)</f>
        <v>#N/A</v>
      </c>
      <c r="C301" s="328" t="e">
        <f>CONCATENATE(Tabla18[[#This Row],[Bus_02]],"_",Tabla5[[#This Row],[Sub Acción Específica
&lt;&lt; Seleccionar&gt;&gt;]])</f>
        <v>#N/A</v>
      </c>
      <c r="D301" s="328" t="e">
        <f>VLOOKUP(Tabla18[[#This Row],[Aux_01]],TablaSubAccionEspecifica[[#All],[Concat]:[Cod_Sub_acción_especifica]],2,0)</f>
        <v>#N/A</v>
      </c>
      <c r="E301" s="328" t="e">
        <f>Tabla18[[#This Row],[Bus_03]]&amp;"_"&amp;Tabla5[[#This Row],[Tipo de Agente
&lt;&lt; Seleccionar&gt;&gt;]]</f>
        <v>#N/A</v>
      </c>
      <c r="F301" s="328" t="e">
        <f>VLOOKUP(Tabla18[[#This Row],[Concat2]],TablaPOA[[#All],[Concat]:[ConcatEspecial]],3,0)</f>
        <v>#N/A</v>
      </c>
      <c r="G301" s="65" t="str">
        <f>CONCATENATE(Registro!$A$6,"_",Tabla5[[#This Row],[Zona (Provincia)
&lt;&lt; Seleccionar&gt;&gt;]])</f>
        <v>Huánuco_</v>
      </c>
      <c r="H301" s="60" t="e">
        <f>VLOOKUP(Tabla18[[#This Row],[Concatenado***]],Tabla2[[#All],[Concatenado]:[Simbología*]],2,0)</f>
        <v>#N/A</v>
      </c>
      <c r="I301" s="65" t="str">
        <f>CONCATENATE(Tabla18[[#This Row],[Concatenado***]],"_",Tabla5[[#This Row],[Zona (Distrito)
&lt;&lt; Seleccionar&gt;&gt;]])</f>
        <v>Huánuco__</v>
      </c>
      <c r="J3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1" s="72" t="e">
        <f>VLOOKUP(Tabla5[[#This Row],[Tipo de Transporte Empleado
&lt;&lt; Seleccionar&gt;&gt;]],Tabla8[#All],2,0)</f>
        <v>#N/A</v>
      </c>
      <c r="L301" s="71" t="e">
        <f>#REF!+(#REF!*2)+#REF!</f>
        <v>#REF!</v>
      </c>
    </row>
    <row r="302" spans="1:12" x14ac:dyDescent="0.25">
      <c r="A302" s="328" t="e">
        <f>VLOOKUP(Tabla5[[#This Row],[Acción
&lt;&lt; Seleccionar&gt;&gt;]],TablaAccion[[#All],[Nombre_Abreviado]:[Codigo_Plan_Acción]],3,0)</f>
        <v>#N/A</v>
      </c>
      <c r="B302" s="328" t="e">
        <f>VLOOKUP(Tabla5[[#This Row],[Acción Especifica
&lt;&lt; Seleccionar&gt;&gt;]],TablaAccionEspecifica[[#All],[Nombre_Abreviado]:[Codigo_Acción]],3,0)</f>
        <v>#N/A</v>
      </c>
      <c r="C302" s="328" t="e">
        <f>CONCATENATE(Tabla18[[#This Row],[Bus_02]],"_",Tabla5[[#This Row],[Sub Acción Específica
&lt;&lt; Seleccionar&gt;&gt;]])</f>
        <v>#N/A</v>
      </c>
      <c r="D302" s="328" t="e">
        <f>VLOOKUP(Tabla18[[#This Row],[Aux_01]],TablaSubAccionEspecifica[[#All],[Concat]:[Cod_Sub_acción_especifica]],2,0)</f>
        <v>#N/A</v>
      </c>
      <c r="E302" s="328" t="e">
        <f>Tabla18[[#This Row],[Bus_03]]&amp;"_"&amp;Tabla5[[#This Row],[Tipo de Agente
&lt;&lt; Seleccionar&gt;&gt;]]</f>
        <v>#N/A</v>
      </c>
      <c r="F302" s="328" t="e">
        <f>VLOOKUP(Tabla18[[#This Row],[Concat2]],TablaPOA[[#All],[Concat]:[ConcatEspecial]],3,0)</f>
        <v>#N/A</v>
      </c>
      <c r="G302" s="65" t="str">
        <f>CONCATENATE(Registro!$A$6,"_",Tabla5[[#This Row],[Zona (Provincia)
&lt;&lt; Seleccionar&gt;&gt;]])</f>
        <v>Huánuco_</v>
      </c>
      <c r="H302" s="60" t="e">
        <f>VLOOKUP(Tabla18[[#This Row],[Concatenado***]],Tabla2[[#All],[Concatenado]:[Simbología*]],2,0)</f>
        <v>#N/A</v>
      </c>
      <c r="I302" s="65" t="str">
        <f>CONCATENATE(Tabla18[[#This Row],[Concatenado***]],"_",Tabla5[[#This Row],[Zona (Distrito)
&lt;&lt; Seleccionar&gt;&gt;]])</f>
        <v>Huánuco__</v>
      </c>
      <c r="J3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2" s="72" t="e">
        <f>VLOOKUP(Tabla5[[#This Row],[Tipo de Transporte Empleado
&lt;&lt; Seleccionar&gt;&gt;]],Tabla8[#All],2,0)</f>
        <v>#N/A</v>
      </c>
      <c r="L302" s="71" t="e">
        <f>#REF!+(#REF!*2)+#REF!</f>
        <v>#REF!</v>
      </c>
    </row>
    <row r="303" spans="1:12" x14ac:dyDescent="0.25">
      <c r="A303" s="328" t="e">
        <f>VLOOKUP(Tabla5[[#This Row],[Acción
&lt;&lt; Seleccionar&gt;&gt;]],TablaAccion[[#All],[Nombre_Abreviado]:[Codigo_Plan_Acción]],3,0)</f>
        <v>#N/A</v>
      </c>
      <c r="B303" s="328" t="e">
        <f>VLOOKUP(Tabla5[[#This Row],[Acción Especifica
&lt;&lt; Seleccionar&gt;&gt;]],TablaAccionEspecifica[[#All],[Nombre_Abreviado]:[Codigo_Acción]],3,0)</f>
        <v>#N/A</v>
      </c>
      <c r="C303" s="328" t="e">
        <f>CONCATENATE(Tabla18[[#This Row],[Bus_02]],"_",Tabla5[[#This Row],[Sub Acción Específica
&lt;&lt; Seleccionar&gt;&gt;]])</f>
        <v>#N/A</v>
      </c>
      <c r="D303" s="328" t="e">
        <f>VLOOKUP(Tabla18[[#This Row],[Aux_01]],TablaSubAccionEspecifica[[#All],[Concat]:[Cod_Sub_acción_especifica]],2,0)</f>
        <v>#N/A</v>
      </c>
      <c r="E303" s="328" t="e">
        <f>Tabla18[[#This Row],[Bus_03]]&amp;"_"&amp;Tabla5[[#This Row],[Tipo de Agente
&lt;&lt; Seleccionar&gt;&gt;]]</f>
        <v>#N/A</v>
      </c>
      <c r="F303" s="328" t="e">
        <f>VLOOKUP(Tabla18[[#This Row],[Concat2]],TablaPOA[[#All],[Concat]:[ConcatEspecial]],3,0)</f>
        <v>#N/A</v>
      </c>
      <c r="G303" s="65" t="str">
        <f>CONCATENATE(Registro!$A$6,"_",Tabla5[[#This Row],[Zona (Provincia)
&lt;&lt; Seleccionar&gt;&gt;]])</f>
        <v>Huánuco_</v>
      </c>
      <c r="H303" s="60" t="e">
        <f>VLOOKUP(Tabla18[[#This Row],[Concatenado***]],Tabla2[[#All],[Concatenado]:[Simbología*]],2,0)</f>
        <v>#N/A</v>
      </c>
      <c r="I303" s="65" t="str">
        <f>CONCATENATE(Tabla18[[#This Row],[Concatenado***]],"_",Tabla5[[#This Row],[Zona (Distrito)
&lt;&lt; Seleccionar&gt;&gt;]])</f>
        <v>Huánuco__</v>
      </c>
      <c r="J3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3" s="72" t="e">
        <f>VLOOKUP(Tabla5[[#This Row],[Tipo de Transporte Empleado
&lt;&lt; Seleccionar&gt;&gt;]],Tabla8[#All],2,0)</f>
        <v>#N/A</v>
      </c>
      <c r="L303" s="71" t="e">
        <f>#REF!+(#REF!*2)+#REF!</f>
        <v>#REF!</v>
      </c>
    </row>
    <row r="304" spans="1:12" x14ac:dyDescent="0.25">
      <c r="A304" s="328" t="e">
        <f>VLOOKUP(Tabla5[[#This Row],[Acción
&lt;&lt; Seleccionar&gt;&gt;]],TablaAccion[[#All],[Nombre_Abreviado]:[Codigo_Plan_Acción]],3,0)</f>
        <v>#N/A</v>
      </c>
      <c r="B304" s="328" t="e">
        <f>VLOOKUP(Tabla5[[#This Row],[Acción Especifica
&lt;&lt; Seleccionar&gt;&gt;]],TablaAccionEspecifica[[#All],[Nombre_Abreviado]:[Codigo_Acción]],3,0)</f>
        <v>#N/A</v>
      </c>
      <c r="C304" s="328" t="e">
        <f>CONCATENATE(Tabla18[[#This Row],[Bus_02]],"_",Tabla5[[#This Row],[Sub Acción Específica
&lt;&lt; Seleccionar&gt;&gt;]])</f>
        <v>#N/A</v>
      </c>
      <c r="D304" s="328" t="e">
        <f>VLOOKUP(Tabla18[[#This Row],[Aux_01]],TablaSubAccionEspecifica[[#All],[Concat]:[Cod_Sub_acción_especifica]],2,0)</f>
        <v>#N/A</v>
      </c>
      <c r="E304" s="328" t="e">
        <f>Tabla18[[#This Row],[Bus_03]]&amp;"_"&amp;Tabla5[[#This Row],[Tipo de Agente
&lt;&lt; Seleccionar&gt;&gt;]]</f>
        <v>#N/A</v>
      </c>
      <c r="F304" s="328" t="e">
        <f>VLOOKUP(Tabla18[[#This Row],[Concat2]],TablaPOA[[#All],[Concat]:[ConcatEspecial]],3,0)</f>
        <v>#N/A</v>
      </c>
      <c r="G304" s="65" t="str">
        <f>CONCATENATE(Registro!$A$6,"_",Tabla5[[#This Row],[Zona (Provincia)
&lt;&lt; Seleccionar&gt;&gt;]])</f>
        <v>Huánuco_</v>
      </c>
      <c r="H304" s="60" t="e">
        <f>VLOOKUP(Tabla18[[#This Row],[Concatenado***]],Tabla2[[#All],[Concatenado]:[Simbología*]],2,0)</f>
        <v>#N/A</v>
      </c>
      <c r="I304" s="65" t="str">
        <f>CONCATENATE(Tabla18[[#This Row],[Concatenado***]],"_",Tabla5[[#This Row],[Zona (Distrito)
&lt;&lt; Seleccionar&gt;&gt;]])</f>
        <v>Huánuco__</v>
      </c>
      <c r="J3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4" s="72" t="e">
        <f>VLOOKUP(Tabla5[[#This Row],[Tipo de Transporte Empleado
&lt;&lt; Seleccionar&gt;&gt;]],Tabla8[#All],2,0)</f>
        <v>#N/A</v>
      </c>
      <c r="L304" s="71" t="e">
        <f>#REF!+(#REF!*2)+#REF!</f>
        <v>#REF!</v>
      </c>
    </row>
    <row r="305" spans="1:12" x14ac:dyDescent="0.25">
      <c r="A305" s="328" t="e">
        <f>VLOOKUP(Tabla5[[#This Row],[Acción
&lt;&lt; Seleccionar&gt;&gt;]],TablaAccion[[#All],[Nombre_Abreviado]:[Codigo_Plan_Acción]],3,0)</f>
        <v>#N/A</v>
      </c>
      <c r="B305" s="328" t="e">
        <f>VLOOKUP(Tabla5[[#This Row],[Acción Especifica
&lt;&lt; Seleccionar&gt;&gt;]],TablaAccionEspecifica[[#All],[Nombre_Abreviado]:[Codigo_Acción]],3,0)</f>
        <v>#N/A</v>
      </c>
      <c r="C305" s="328" t="e">
        <f>CONCATENATE(Tabla18[[#This Row],[Bus_02]],"_",Tabla5[[#This Row],[Sub Acción Específica
&lt;&lt; Seleccionar&gt;&gt;]])</f>
        <v>#N/A</v>
      </c>
      <c r="D305" s="328" t="e">
        <f>VLOOKUP(Tabla18[[#This Row],[Aux_01]],TablaSubAccionEspecifica[[#All],[Concat]:[Cod_Sub_acción_especifica]],2,0)</f>
        <v>#N/A</v>
      </c>
      <c r="E305" s="328" t="e">
        <f>Tabla18[[#This Row],[Bus_03]]&amp;"_"&amp;Tabla5[[#This Row],[Tipo de Agente
&lt;&lt; Seleccionar&gt;&gt;]]</f>
        <v>#N/A</v>
      </c>
      <c r="F305" s="328" t="e">
        <f>VLOOKUP(Tabla18[[#This Row],[Concat2]],TablaPOA[[#All],[Concat]:[ConcatEspecial]],3,0)</f>
        <v>#N/A</v>
      </c>
      <c r="G305" s="65" t="str">
        <f>CONCATENATE(Registro!$A$6,"_",Tabla5[[#This Row],[Zona (Provincia)
&lt;&lt; Seleccionar&gt;&gt;]])</f>
        <v>Huánuco_</v>
      </c>
      <c r="H305" s="60" t="e">
        <f>VLOOKUP(Tabla18[[#This Row],[Concatenado***]],Tabla2[[#All],[Concatenado]:[Simbología*]],2,0)</f>
        <v>#N/A</v>
      </c>
      <c r="I305" s="65" t="str">
        <f>CONCATENATE(Tabla18[[#This Row],[Concatenado***]],"_",Tabla5[[#This Row],[Zona (Distrito)
&lt;&lt; Seleccionar&gt;&gt;]])</f>
        <v>Huánuco__</v>
      </c>
      <c r="J3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5" s="72" t="e">
        <f>VLOOKUP(Tabla5[[#This Row],[Tipo de Transporte Empleado
&lt;&lt; Seleccionar&gt;&gt;]],Tabla8[#All],2,0)</f>
        <v>#N/A</v>
      </c>
      <c r="L305" s="71" t="e">
        <f>#REF!+(#REF!*2)+#REF!</f>
        <v>#REF!</v>
      </c>
    </row>
    <row r="306" spans="1:12" x14ac:dyDescent="0.25">
      <c r="A306" s="328" t="e">
        <f>VLOOKUP(Tabla5[[#This Row],[Acción
&lt;&lt; Seleccionar&gt;&gt;]],TablaAccion[[#All],[Nombre_Abreviado]:[Codigo_Plan_Acción]],3,0)</f>
        <v>#N/A</v>
      </c>
      <c r="B306" s="328" t="e">
        <f>VLOOKUP(Tabla5[[#This Row],[Acción Especifica
&lt;&lt; Seleccionar&gt;&gt;]],TablaAccionEspecifica[[#All],[Nombre_Abreviado]:[Codigo_Acción]],3,0)</f>
        <v>#N/A</v>
      </c>
      <c r="C306" s="328" t="e">
        <f>CONCATENATE(Tabla18[[#This Row],[Bus_02]],"_",Tabla5[[#This Row],[Sub Acción Específica
&lt;&lt; Seleccionar&gt;&gt;]])</f>
        <v>#N/A</v>
      </c>
      <c r="D306" s="328" t="e">
        <f>VLOOKUP(Tabla18[[#This Row],[Aux_01]],TablaSubAccionEspecifica[[#All],[Concat]:[Cod_Sub_acción_especifica]],2,0)</f>
        <v>#N/A</v>
      </c>
      <c r="E306" s="328" t="e">
        <f>Tabla18[[#This Row],[Bus_03]]&amp;"_"&amp;Tabla5[[#This Row],[Tipo de Agente
&lt;&lt; Seleccionar&gt;&gt;]]</f>
        <v>#N/A</v>
      </c>
      <c r="F306" s="328" t="e">
        <f>VLOOKUP(Tabla18[[#This Row],[Concat2]],TablaPOA[[#All],[Concat]:[ConcatEspecial]],3,0)</f>
        <v>#N/A</v>
      </c>
      <c r="G306" s="65" t="str">
        <f>CONCATENATE(Registro!$A$6,"_",Tabla5[[#This Row],[Zona (Provincia)
&lt;&lt; Seleccionar&gt;&gt;]])</f>
        <v>Huánuco_</v>
      </c>
      <c r="H306" s="60" t="e">
        <f>VLOOKUP(Tabla18[[#This Row],[Concatenado***]],Tabla2[[#All],[Concatenado]:[Simbología*]],2,0)</f>
        <v>#N/A</v>
      </c>
      <c r="I306" s="65" t="str">
        <f>CONCATENATE(Tabla18[[#This Row],[Concatenado***]],"_",Tabla5[[#This Row],[Zona (Distrito)
&lt;&lt; Seleccionar&gt;&gt;]])</f>
        <v>Huánuco__</v>
      </c>
      <c r="J3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6" s="72" t="e">
        <f>VLOOKUP(Tabla5[[#This Row],[Tipo de Transporte Empleado
&lt;&lt; Seleccionar&gt;&gt;]],Tabla8[#All],2,0)</f>
        <v>#N/A</v>
      </c>
      <c r="L306" s="71" t="e">
        <f>#REF!+(#REF!*2)+#REF!</f>
        <v>#REF!</v>
      </c>
    </row>
    <row r="307" spans="1:12" x14ac:dyDescent="0.25">
      <c r="A307" s="328" t="e">
        <f>VLOOKUP(Tabla5[[#This Row],[Acción
&lt;&lt; Seleccionar&gt;&gt;]],TablaAccion[[#All],[Nombre_Abreviado]:[Codigo_Plan_Acción]],3,0)</f>
        <v>#N/A</v>
      </c>
      <c r="B307" s="328" t="e">
        <f>VLOOKUP(Tabla5[[#This Row],[Acción Especifica
&lt;&lt; Seleccionar&gt;&gt;]],TablaAccionEspecifica[[#All],[Nombre_Abreviado]:[Codigo_Acción]],3,0)</f>
        <v>#N/A</v>
      </c>
      <c r="C307" s="328" t="e">
        <f>CONCATENATE(Tabla18[[#This Row],[Bus_02]],"_",Tabla5[[#This Row],[Sub Acción Específica
&lt;&lt; Seleccionar&gt;&gt;]])</f>
        <v>#N/A</v>
      </c>
      <c r="D307" s="328" t="e">
        <f>VLOOKUP(Tabla18[[#This Row],[Aux_01]],TablaSubAccionEspecifica[[#All],[Concat]:[Cod_Sub_acción_especifica]],2,0)</f>
        <v>#N/A</v>
      </c>
      <c r="E307" s="328" t="e">
        <f>Tabla18[[#This Row],[Bus_03]]&amp;"_"&amp;Tabla5[[#This Row],[Tipo de Agente
&lt;&lt; Seleccionar&gt;&gt;]]</f>
        <v>#N/A</v>
      </c>
      <c r="F307" s="328" t="e">
        <f>VLOOKUP(Tabla18[[#This Row],[Concat2]],TablaPOA[[#All],[Concat]:[ConcatEspecial]],3,0)</f>
        <v>#N/A</v>
      </c>
      <c r="G307" s="65" t="str">
        <f>CONCATENATE(Registro!$A$6,"_",Tabla5[[#This Row],[Zona (Provincia)
&lt;&lt; Seleccionar&gt;&gt;]])</f>
        <v>Huánuco_</v>
      </c>
      <c r="H307" s="60" t="e">
        <f>VLOOKUP(Tabla18[[#This Row],[Concatenado***]],Tabla2[[#All],[Concatenado]:[Simbología*]],2,0)</f>
        <v>#N/A</v>
      </c>
      <c r="I307" s="65" t="str">
        <f>CONCATENATE(Tabla18[[#This Row],[Concatenado***]],"_",Tabla5[[#This Row],[Zona (Distrito)
&lt;&lt; Seleccionar&gt;&gt;]])</f>
        <v>Huánuco__</v>
      </c>
      <c r="J3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7" s="72" t="e">
        <f>VLOOKUP(Tabla5[[#This Row],[Tipo de Transporte Empleado
&lt;&lt; Seleccionar&gt;&gt;]],Tabla8[#All],2,0)</f>
        <v>#N/A</v>
      </c>
      <c r="L307" s="71" t="e">
        <f>#REF!+(#REF!*2)+#REF!</f>
        <v>#REF!</v>
      </c>
    </row>
    <row r="308" spans="1:12" x14ac:dyDescent="0.25">
      <c r="A308" s="328" t="e">
        <f>VLOOKUP(Tabla5[[#This Row],[Acción
&lt;&lt; Seleccionar&gt;&gt;]],TablaAccion[[#All],[Nombre_Abreviado]:[Codigo_Plan_Acción]],3,0)</f>
        <v>#N/A</v>
      </c>
      <c r="B308" s="328" t="e">
        <f>VLOOKUP(Tabla5[[#This Row],[Acción Especifica
&lt;&lt; Seleccionar&gt;&gt;]],TablaAccionEspecifica[[#All],[Nombre_Abreviado]:[Codigo_Acción]],3,0)</f>
        <v>#N/A</v>
      </c>
      <c r="C308" s="328" t="e">
        <f>CONCATENATE(Tabla18[[#This Row],[Bus_02]],"_",Tabla5[[#This Row],[Sub Acción Específica
&lt;&lt; Seleccionar&gt;&gt;]])</f>
        <v>#N/A</v>
      </c>
      <c r="D308" s="328" t="e">
        <f>VLOOKUP(Tabla18[[#This Row],[Aux_01]],TablaSubAccionEspecifica[[#All],[Concat]:[Cod_Sub_acción_especifica]],2,0)</f>
        <v>#N/A</v>
      </c>
      <c r="E308" s="328" t="e">
        <f>Tabla18[[#This Row],[Bus_03]]&amp;"_"&amp;Tabla5[[#This Row],[Tipo de Agente
&lt;&lt; Seleccionar&gt;&gt;]]</f>
        <v>#N/A</v>
      </c>
      <c r="F308" s="328" t="e">
        <f>VLOOKUP(Tabla18[[#This Row],[Concat2]],TablaPOA[[#All],[Concat]:[ConcatEspecial]],3,0)</f>
        <v>#N/A</v>
      </c>
      <c r="G308" s="65" t="str">
        <f>CONCATENATE(Registro!$A$6,"_",Tabla5[[#This Row],[Zona (Provincia)
&lt;&lt; Seleccionar&gt;&gt;]])</f>
        <v>Huánuco_</v>
      </c>
      <c r="H308" s="60" t="e">
        <f>VLOOKUP(Tabla18[[#This Row],[Concatenado***]],Tabla2[[#All],[Concatenado]:[Simbología*]],2,0)</f>
        <v>#N/A</v>
      </c>
      <c r="I308" s="65" t="str">
        <f>CONCATENATE(Tabla18[[#This Row],[Concatenado***]],"_",Tabla5[[#This Row],[Zona (Distrito)
&lt;&lt; Seleccionar&gt;&gt;]])</f>
        <v>Huánuco__</v>
      </c>
      <c r="J3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8" s="72" t="e">
        <f>VLOOKUP(Tabla5[[#This Row],[Tipo de Transporte Empleado
&lt;&lt; Seleccionar&gt;&gt;]],Tabla8[#All],2,0)</f>
        <v>#N/A</v>
      </c>
      <c r="L308" s="71" t="e">
        <f>#REF!+(#REF!*2)+#REF!</f>
        <v>#REF!</v>
      </c>
    </row>
    <row r="309" spans="1:12" x14ac:dyDescent="0.25">
      <c r="A309" s="328" t="e">
        <f>VLOOKUP(Tabla5[[#This Row],[Acción
&lt;&lt; Seleccionar&gt;&gt;]],TablaAccion[[#All],[Nombre_Abreviado]:[Codigo_Plan_Acción]],3,0)</f>
        <v>#N/A</v>
      </c>
      <c r="B309" s="328" t="e">
        <f>VLOOKUP(Tabla5[[#This Row],[Acción Especifica
&lt;&lt; Seleccionar&gt;&gt;]],TablaAccionEspecifica[[#All],[Nombre_Abreviado]:[Codigo_Acción]],3,0)</f>
        <v>#N/A</v>
      </c>
      <c r="C309" s="328" t="e">
        <f>CONCATENATE(Tabla18[[#This Row],[Bus_02]],"_",Tabla5[[#This Row],[Sub Acción Específica
&lt;&lt; Seleccionar&gt;&gt;]])</f>
        <v>#N/A</v>
      </c>
      <c r="D309" s="328" t="e">
        <f>VLOOKUP(Tabla18[[#This Row],[Aux_01]],TablaSubAccionEspecifica[[#All],[Concat]:[Cod_Sub_acción_especifica]],2,0)</f>
        <v>#N/A</v>
      </c>
      <c r="E309" s="328" t="e">
        <f>Tabla18[[#This Row],[Bus_03]]&amp;"_"&amp;Tabla5[[#This Row],[Tipo de Agente
&lt;&lt; Seleccionar&gt;&gt;]]</f>
        <v>#N/A</v>
      </c>
      <c r="F309" s="328" t="e">
        <f>VLOOKUP(Tabla18[[#This Row],[Concat2]],TablaPOA[[#All],[Concat]:[ConcatEspecial]],3,0)</f>
        <v>#N/A</v>
      </c>
      <c r="G309" s="65" t="str">
        <f>CONCATENATE(Registro!$A$6,"_",Tabla5[[#This Row],[Zona (Provincia)
&lt;&lt; Seleccionar&gt;&gt;]])</f>
        <v>Huánuco_</v>
      </c>
      <c r="H309" s="60" t="e">
        <f>VLOOKUP(Tabla18[[#This Row],[Concatenado***]],Tabla2[[#All],[Concatenado]:[Simbología*]],2,0)</f>
        <v>#N/A</v>
      </c>
      <c r="I309" s="65" t="str">
        <f>CONCATENATE(Tabla18[[#This Row],[Concatenado***]],"_",Tabla5[[#This Row],[Zona (Distrito)
&lt;&lt; Seleccionar&gt;&gt;]])</f>
        <v>Huánuco__</v>
      </c>
      <c r="J3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9" s="72" t="e">
        <f>VLOOKUP(Tabla5[[#This Row],[Tipo de Transporte Empleado
&lt;&lt; Seleccionar&gt;&gt;]],Tabla8[#All],2,0)</f>
        <v>#N/A</v>
      </c>
      <c r="L309" s="71" t="e">
        <f>#REF!+(#REF!*2)+#REF!</f>
        <v>#REF!</v>
      </c>
    </row>
    <row r="310" spans="1:12" x14ac:dyDescent="0.25">
      <c r="A310" s="328" t="e">
        <f>VLOOKUP(Tabla5[[#This Row],[Acción
&lt;&lt; Seleccionar&gt;&gt;]],TablaAccion[[#All],[Nombre_Abreviado]:[Codigo_Plan_Acción]],3,0)</f>
        <v>#N/A</v>
      </c>
      <c r="B310" s="328" t="e">
        <f>VLOOKUP(Tabla5[[#This Row],[Acción Especifica
&lt;&lt; Seleccionar&gt;&gt;]],TablaAccionEspecifica[[#All],[Nombre_Abreviado]:[Codigo_Acción]],3,0)</f>
        <v>#N/A</v>
      </c>
      <c r="C310" s="328" t="e">
        <f>CONCATENATE(Tabla18[[#This Row],[Bus_02]],"_",Tabla5[[#This Row],[Sub Acción Específica
&lt;&lt; Seleccionar&gt;&gt;]])</f>
        <v>#N/A</v>
      </c>
      <c r="D310" s="328" t="e">
        <f>VLOOKUP(Tabla18[[#This Row],[Aux_01]],TablaSubAccionEspecifica[[#All],[Concat]:[Cod_Sub_acción_especifica]],2,0)</f>
        <v>#N/A</v>
      </c>
      <c r="E310" s="328" t="e">
        <f>Tabla18[[#This Row],[Bus_03]]&amp;"_"&amp;Tabla5[[#This Row],[Tipo de Agente
&lt;&lt; Seleccionar&gt;&gt;]]</f>
        <v>#N/A</v>
      </c>
      <c r="F310" s="328" t="e">
        <f>VLOOKUP(Tabla18[[#This Row],[Concat2]],TablaPOA[[#All],[Concat]:[ConcatEspecial]],3,0)</f>
        <v>#N/A</v>
      </c>
      <c r="G310" s="65" t="str">
        <f>CONCATENATE(Registro!$A$6,"_",Tabla5[[#This Row],[Zona (Provincia)
&lt;&lt; Seleccionar&gt;&gt;]])</f>
        <v>Huánuco_</v>
      </c>
      <c r="H310" s="60" t="e">
        <f>VLOOKUP(Tabla18[[#This Row],[Concatenado***]],Tabla2[[#All],[Concatenado]:[Simbología*]],2,0)</f>
        <v>#N/A</v>
      </c>
      <c r="I310" s="65" t="str">
        <f>CONCATENATE(Tabla18[[#This Row],[Concatenado***]],"_",Tabla5[[#This Row],[Zona (Distrito)
&lt;&lt; Seleccionar&gt;&gt;]])</f>
        <v>Huánuco__</v>
      </c>
      <c r="J3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0" s="72" t="e">
        <f>VLOOKUP(Tabla5[[#This Row],[Tipo de Transporte Empleado
&lt;&lt; Seleccionar&gt;&gt;]],Tabla8[#All],2,0)</f>
        <v>#N/A</v>
      </c>
      <c r="L310" s="71" t="e">
        <f>#REF!+(#REF!*2)+#REF!</f>
        <v>#REF!</v>
      </c>
    </row>
    <row r="311" spans="1:12" x14ac:dyDescent="0.25">
      <c r="A311" s="328" t="e">
        <f>VLOOKUP(Tabla5[[#This Row],[Acción
&lt;&lt; Seleccionar&gt;&gt;]],TablaAccion[[#All],[Nombre_Abreviado]:[Codigo_Plan_Acción]],3,0)</f>
        <v>#N/A</v>
      </c>
      <c r="B311" s="328" t="e">
        <f>VLOOKUP(Tabla5[[#This Row],[Acción Especifica
&lt;&lt; Seleccionar&gt;&gt;]],TablaAccionEspecifica[[#All],[Nombre_Abreviado]:[Codigo_Acción]],3,0)</f>
        <v>#N/A</v>
      </c>
      <c r="C311" s="328" t="e">
        <f>CONCATENATE(Tabla18[[#This Row],[Bus_02]],"_",Tabla5[[#This Row],[Sub Acción Específica
&lt;&lt; Seleccionar&gt;&gt;]])</f>
        <v>#N/A</v>
      </c>
      <c r="D311" s="328" t="e">
        <f>VLOOKUP(Tabla18[[#This Row],[Aux_01]],TablaSubAccionEspecifica[[#All],[Concat]:[Cod_Sub_acción_especifica]],2,0)</f>
        <v>#N/A</v>
      </c>
      <c r="E311" s="328" t="e">
        <f>Tabla18[[#This Row],[Bus_03]]&amp;"_"&amp;Tabla5[[#This Row],[Tipo de Agente
&lt;&lt; Seleccionar&gt;&gt;]]</f>
        <v>#N/A</v>
      </c>
      <c r="F311" s="328" t="e">
        <f>VLOOKUP(Tabla18[[#This Row],[Concat2]],TablaPOA[[#All],[Concat]:[ConcatEspecial]],3,0)</f>
        <v>#N/A</v>
      </c>
      <c r="G311" s="65" t="str">
        <f>CONCATENATE(Registro!$A$6,"_",Tabla5[[#This Row],[Zona (Provincia)
&lt;&lt; Seleccionar&gt;&gt;]])</f>
        <v>Huánuco_</v>
      </c>
      <c r="H311" s="60" t="e">
        <f>VLOOKUP(Tabla18[[#This Row],[Concatenado***]],Tabla2[[#All],[Concatenado]:[Simbología*]],2,0)</f>
        <v>#N/A</v>
      </c>
      <c r="I311" s="65" t="str">
        <f>CONCATENATE(Tabla18[[#This Row],[Concatenado***]],"_",Tabla5[[#This Row],[Zona (Distrito)
&lt;&lt; Seleccionar&gt;&gt;]])</f>
        <v>Huánuco__</v>
      </c>
      <c r="J3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1" s="72" t="e">
        <f>VLOOKUP(Tabla5[[#This Row],[Tipo de Transporte Empleado
&lt;&lt; Seleccionar&gt;&gt;]],Tabla8[#All],2,0)</f>
        <v>#N/A</v>
      </c>
      <c r="L311" s="71" t="e">
        <f>#REF!+(#REF!*2)+#REF!</f>
        <v>#REF!</v>
      </c>
    </row>
    <row r="312" spans="1:12" x14ac:dyDescent="0.25">
      <c r="A312" s="328" t="e">
        <f>VLOOKUP(Tabla5[[#This Row],[Acción
&lt;&lt; Seleccionar&gt;&gt;]],TablaAccion[[#All],[Nombre_Abreviado]:[Codigo_Plan_Acción]],3,0)</f>
        <v>#N/A</v>
      </c>
      <c r="B312" s="328" t="e">
        <f>VLOOKUP(Tabla5[[#This Row],[Acción Especifica
&lt;&lt; Seleccionar&gt;&gt;]],TablaAccionEspecifica[[#All],[Nombre_Abreviado]:[Codigo_Acción]],3,0)</f>
        <v>#N/A</v>
      </c>
      <c r="C312" s="328" t="e">
        <f>CONCATENATE(Tabla18[[#This Row],[Bus_02]],"_",Tabla5[[#This Row],[Sub Acción Específica
&lt;&lt; Seleccionar&gt;&gt;]])</f>
        <v>#N/A</v>
      </c>
      <c r="D312" s="328" t="e">
        <f>VLOOKUP(Tabla18[[#This Row],[Aux_01]],TablaSubAccionEspecifica[[#All],[Concat]:[Cod_Sub_acción_especifica]],2,0)</f>
        <v>#N/A</v>
      </c>
      <c r="E312" s="328" t="e">
        <f>Tabla18[[#This Row],[Bus_03]]&amp;"_"&amp;Tabla5[[#This Row],[Tipo de Agente
&lt;&lt; Seleccionar&gt;&gt;]]</f>
        <v>#N/A</v>
      </c>
      <c r="F312" s="328" t="e">
        <f>VLOOKUP(Tabla18[[#This Row],[Concat2]],TablaPOA[[#All],[Concat]:[ConcatEspecial]],3,0)</f>
        <v>#N/A</v>
      </c>
      <c r="G312" s="65" t="str">
        <f>CONCATENATE(Registro!$A$6,"_",Tabla5[[#This Row],[Zona (Provincia)
&lt;&lt; Seleccionar&gt;&gt;]])</f>
        <v>Huánuco_</v>
      </c>
      <c r="H312" s="60" t="e">
        <f>VLOOKUP(Tabla18[[#This Row],[Concatenado***]],Tabla2[[#All],[Concatenado]:[Simbología*]],2,0)</f>
        <v>#N/A</v>
      </c>
      <c r="I312" s="65" t="str">
        <f>CONCATENATE(Tabla18[[#This Row],[Concatenado***]],"_",Tabla5[[#This Row],[Zona (Distrito)
&lt;&lt; Seleccionar&gt;&gt;]])</f>
        <v>Huánuco__</v>
      </c>
      <c r="J3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2" s="72" t="e">
        <f>VLOOKUP(Tabla5[[#This Row],[Tipo de Transporte Empleado
&lt;&lt; Seleccionar&gt;&gt;]],Tabla8[#All],2,0)</f>
        <v>#N/A</v>
      </c>
      <c r="L312" s="71" t="e">
        <f>#REF!+(#REF!*2)+#REF!</f>
        <v>#REF!</v>
      </c>
    </row>
    <row r="313" spans="1:12" x14ac:dyDescent="0.25">
      <c r="A313" s="328" t="e">
        <f>VLOOKUP(Tabla5[[#This Row],[Acción
&lt;&lt; Seleccionar&gt;&gt;]],TablaAccion[[#All],[Nombre_Abreviado]:[Codigo_Plan_Acción]],3,0)</f>
        <v>#N/A</v>
      </c>
      <c r="B313" s="328" t="e">
        <f>VLOOKUP(Tabla5[[#This Row],[Acción Especifica
&lt;&lt; Seleccionar&gt;&gt;]],TablaAccionEspecifica[[#All],[Nombre_Abreviado]:[Codigo_Acción]],3,0)</f>
        <v>#N/A</v>
      </c>
      <c r="C313" s="328" t="e">
        <f>CONCATENATE(Tabla18[[#This Row],[Bus_02]],"_",Tabla5[[#This Row],[Sub Acción Específica
&lt;&lt; Seleccionar&gt;&gt;]])</f>
        <v>#N/A</v>
      </c>
      <c r="D313" s="328" t="e">
        <f>VLOOKUP(Tabla18[[#This Row],[Aux_01]],TablaSubAccionEspecifica[[#All],[Concat]:[Cod_Sub_acción_especifica]],2,0)</f>
        <v>#N/A</v>
      </c>
      <c r="E313" s="328" t="e">
        <f>Tabla18[[#This Row],[Bus_03]]&amp;"_"&amp;Tabla5[[#This Row],[Tipo de Agente
&lt;&lt; Seleccionar&gt;&gt;]]</f>
        <v>#N/A</v>
      </c>
      <c r="F313" s="328" t="e">
        <f>VLOOKUP(Tabla18[[#This Row],[Concat2]],TablaPOA[[#All],[Concat]:[ConcatEspecial]],3,0)</f>
        <v>#N/A</v>
      </c>
      <c r="G313" s="65" t="str">
        <f>CONCATENATE(Registro!$A$6,"_",Tabla5[[#This Row],[Zona (Provincia)
&lt;&lt; Seleccionar&gt;&gt;]])</f>
        <v>Huánuco_</v>
      </c>
      <c r="H313" s="60" t="e">
        <f>VLOOKUP(Tabla18[[#This Row],[Concatenado***]],Tabla2[[#All],[Concatenado]:[Simbología*]],2,0)</f>
        <v>#N/A</v>
      </c>
      <c r="I313" s="65" t="str">
        <f>CONCATENATE(Tabla18[[#This Row],[Concatenado***]],"_",Tabla5[[#This Row],[Zona (Distrito)
&lt;&lt; Seleccionar&gt;&gt;]])</f>
        <v>Huánuco__</v>
      </c>
      <c r="J3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3" s="72" t="e">
        <f>VLOOKUP(Tabla5[[#This Row],[Tipo de Transporte Empleado
&lt;&lt; Seleccionar&gt;&gt;]],Tabla8[#All],2,0)</f>
        <v>#N/A</v>
      </c>
      <c r="L313" s="71" t="e">
        <f>#REF!+(#REF!*2)+#REF!</f>
        <v>#REF!</v>
      </c>
    </row>
    <row r="314" spans="1:12" x14ac:dyDescent="0.25">
      <c r="A314" s="328" t="e">
        <f>VLOOKUP(Tabla5[[#This Row],[Acción
&lt;&lt; Seleccionar&gt;&gt;]],TablaAccion[[#All],[Nombre_Abreviado]:[Codigo_Plan_Acción]],3,0)</f>
        <v>#N/A</v>
      </c>
      <c r="B314" s="328" t="e">
        <f>VLOOKUP(Tabla5[[#This Row],[Acción Especifica
&lt;&lt; Seleccionar&gt;&gt;]],TablaAccionEspecifica[[#All],[Nombre_Abreviado]:[Codigo_Acción]],3,0)</f>
        <v>#N/A</v>
      </c>
      <c r="C314" s="328" t="e">
        <f>CONCATENATE(Tabla18[[#This Row],[Bus_02]],"_",Tabla5[[#This Row],[Sub Acción Específica
&lt;&lt; Seleccionar&gt;&gt;]])</f>
        <v>#N/A</v>
      </c>
      <c r="D314" s="328" t="e">
        <f>VLOOKUP(Tabla18[[#This Row],[Aux_01]],TablaSubAccionEspecifica[[#All],[Concat]:[Cod_Sub_acción_especifica]],2,0)</f>
        <v>#N/A</v>
      </c>
      <c r="E314" s="328" t="e">
        <f>Tabla18[[#This Row],[Bus_03]]&amp;"_"&amp;Tabla5[[#This Row],[Tipo de Agente
&lt;&lt; Seleccionar&gt;&gt;]]</f>
        <v>#N/A</v>
      </c>
      <c r="F314" s="328" t="e">
        <f>VLOOKUP(Tabla18[[#This Row],[Concat2]],TablaPOA[[#All],[Concat]:[ConcatEspecial]],3,0)</f>
        <v>#N/A</v>
      </c>
      <c r="G314" s="65" t="str">
        <f>CONCATENATE(Registro!$A$6,"_",Tabla5[[#This Row],[Zona (Provincia)
&lt;&lt; Seleccionar&gt;&gt;]])</f>
        <v>Huánuco_</v>
      </c>
      <c r="H314" s="60" t="e">
        <f>VLOOKUP(Tabla18[[#This Row],[Concatenado***]],Tabla2[[#All],[Concatenado]:[Simbología*]],2,0)</f>
        <v>#N/A</v>
      </c>
      <c r="I314" s="65" t="str">
        <f>CONCATENATE(Tabla18[[#This Row],[Concatenado***]],"_",Tabla5[[#This Row],[Zona (Distrito)
&lt;&lt; Seleccionar&gt;&gt;]])</f>
        <v>Huánuco__</v>
      </c>
      <c r="J3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4" s="72" t="e">
        <f>VLOOKUP(Tabla5[[#This Row],[Tipo de Transporte Empleado
&lt;&lt; Seleccionar&gt;&gt;]],Tabla8[#All],2,0)</f>
        <v>#N/A</v>
      </c>
      <c r="L314" s="71" t="e">
        <f>#REF!+(#REF!*2)+#REF!</f>
        <v>#REF!</v>
      </c>
    </row>
    <row r="315" spans="1:12" x14ac:dyDescent="0.25">
      <c r="A315" s="328" t="e">
        <f>VLOOKUP(Tabla5[[#This Row],[Acción
&lt;&lt; Seleccionar&gt;&gt;]],TablaAccion[[#All],[Nombre_Abreviado]:[Codigo_Plan_Acción]],3,0)</f>
        <v>#N/A</v>
      </c>
      <c r="B315" s="328" t="e">
        <f>VLOOKUP(Tabla5[[#This Row],[Acción Especifica
&lt;&lt; Seleccionar&gt;&gt;]],TablaAccionEspecifica[[#All],[Nombre_Abreviado]:[Codigo_Acción]],3,0)</f>
        <v>#N/A</v>
      </c>
      <c r="C315" s="328" t="e">
        <f>CONCATENATE(Tabla18[[#This Row],[Bus_02]],"_",Tabla5[[#This Row],[Sub Acción Específica
&lt;&lt; Seleccionar&gt;&gt;]])</f>
        <v>#N/A</v>
      </c>
      <c r="D315" s="328" t="e">
        <f>VLOOKUP(Tabla18[[#This Row],[Aux_01]],TablaSubAccionEspecifica[[#All],[Concat]:[Cod_Sub_acción_especifica]],2,0)</f>
        <v>#N/A</v>
      </c>
      <c r="E315" s="328" t="e">
        <f>Tabla18[[#This Row],[Bus_03]]&amp;"_"&amp;Tabla5[[#This Row],[Tipo de Agente
&lt;&lt; Seleccionar&gt;&gt;]]</f>
        <v>#N/A</v>
      </c>
      <c r="F315" s="328" t="e">
        <f>VLOOKUP(Tabla18[[#This Row],[Concat2]],TablaPOA[[#All],[Concat]:[ConcatEspecial]],3,0)</f>
        <v>#N/A</v>
      </c>
      <c r="G315" s="65" t="str">
        <f>CONCATENATE(Registro!$A$6,"_",Tabla5[[#This Row],[Zona (Provincia)
&lt;&lt; Seleccionar&gt;&gt;]])</f>
        <v>Huánuco_</v>
      </c>
      <c r="H315" s="60" t="e">
        <f>VLOOKUP(Tabla18[[#This Row],[Concatenado***]],Tabla2[[#All],[Concatenado]:[Simbología*]],2,0)</f>
        <v>#N/A</v>
      </c>
      <c r="I315" s="65" t="str">
        <f>CONCATENATE(Tabla18[[#This Row],[Concatenado***]],"_",Tabla5[[#This Row],[Zona (Distrito)
&lt;&lt; Seleccionar&gt;&gt;]])</f>
        <v>Huánuco__</v>
      </c>
      <c r="J3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5" s="72" t="e">
        <f>VLOOKUP(Tabla5[[#This Row],[Tipo de Transporte Empleado
&lt;&lt; Seleccionar&gt;&gt;]],Tabla8[#All],2,0)</f>
        <v>#N/A</v>
      </c>
      <c r="L315" s="71" t="e">
        <f>#REF!+(#REF!*2)+#REF!</f>
        <v>#REF!</v>
      </c>
    </row>
    <row r="316" spans="1:12" x14ac:dyDescent="0.25">
      <c r="A316" s="328" t="e">
        <f>VLOOKUP(Tabla5[[#This Row],[Acción
&lt;&lt; Seleccionar&gt;&gt;]],TablaAccion[[#All],[Nombre_Abreviado]:[Codigo_Plan_Acción]],3,0)</f>
        <v>#N/A</v>
      </c>
      <c r="B316" s="328" t="e">
        <f>VLOOKUP(Tabla5[[#This Row],[Acción Especifica
&lt;&lt; Seleccionar&gt;&gt;]],TablaAccionEspecifica[[#All],[Nombre_Abreviado]:[Codigo_Acción]],3,0)</f>
        <v>#N/A</v>
      </c>
      <c r="C316" s="328" t="e">
        <f>CONCATENATE(Tabla18[[#This Row],[Bus_02]],"_",Tabla5[[#This Row],[Sub Acción Específica
&lt;&lt; Seleccionar&gt;&gt;]])</f>
        <v>#N/A</v>
      </c>
      <c r="D316" s="328" t="e">
        <f>VLOOKUP(Tabla18[[#This Row],[Aux_01]],TablaSubAccionEspecifica[[#All],[Concat]:[Cod_Sub_acción_especifica]],2,0)</f>
        <v>#N/A</v>
      </c>
      <c r="E316" s="328" t="e">
        <f>Tabla18[[#This Row],[Bus_03]]&amp;"_"&amp;Tabla5[[#This Row],[Tipo de Agente
&lt;&lt; Seleccionar&gt;&gt;]]</f>
        <v>#N/A</v>
      </c>
      <c r="F316" s="328" t="e">
        <f>VLOOKUP(Tabla18[[#This Row],[Concat2]],TablaPOA[[#All],[Concat]:[ConcatEspecial]],3,0)</f>
        <v>#N/A</v>
      </c>
      <c r="G316" s="65" t="str">
        <f>CONCATENATE(Registro!$A$6,"_",Tabla5[[#This Row],[Zona (Provincia)
&lt;&lt; Seleccionar&gt;&gt;]])</f>
        <v>Huánuco_</v>
      </c>
      <c r="H316" s="60" t="e">
        <f>VLOOKUP(Tabla18[[#This Row],[Concatenado***]],Tabla2[[#All],[Concatenado]:[Simbología*]],2,0)</f>
        <v>#N/A</v>
      </c>
      <c r="I316" s="65" t="str">
        <f>CONCATENATE(Tabla18[[#This Row],[Concatenado***]],"_",Tabla5[[#This Row],[Zona (Distrito)
&lt;&lt; Seleccionar&gt;&gt;]])</f>
        <v>Huánuco__</v>
      </c>
      <c r="J3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6" s="72" t="e">
        <f>VLOOKUP(Tabla5[[#This Row],[Tipo de Transporte Empleado
&lt;&lt; Seleccionar&gt;&gt;]],Tabla8[#All],2,0)</f>
        <v>#N/A</v>
      </c>
      <c r="L316" s="71" t="e">
        <f>#REF!+(#REF!*2)+#REF!</f>
        <v>#REF!</v>
      </c>
    </row>
    <row r="317" spans="1:12" x14ac:dyDescent="0.25">
      <c r="A317" s="328" t="e">
        <f>VLOOKUP(Tabla5[[#This Row],[Acción
&lt;&lt; Seleccionar&gt;&gt;]],TablaAccion[[#All],[Nombre_Abreviado]:[Codigo_Plan_Acción]],3,0)</f>
        <v>#N/A</v>
      </c>
      <c r="B317" s="328" t="e">
        <f>VLOOKUP(Tabla5[[#This Row],[Acción Especifica
&lt;&lt; Seleccionar&gt;&gt;]],TablaAccionEspecifica[[#All],[Nombre_Abreviado]:[Codigo_Acción]],3,0)</f>
        <v>#N/A</v>
      </c>
      <c r="C317" s="328" t="e">
        <f>CONCATENATE(Tabla18[[#This Row],[Bus_02]],"_",Tabla5[[#This Row],[Sub Acción Específica
&lt;&lt; Seleccionar&gt;&gt;]])</f>
        <v>#N/A</v>
      </c>
      <c r="D317" s="328" t="e">
        <f>VLOOKUP(Tabla18[[#This Row],[Aux_01]],TablaSubAccionEspecifica[[#All],[Concat]:[Cod_Sub_acción_especifica]],2,0)</f>
        <v>#N/A</v>
      </c>
      <c r="E317" s="328" t="e">
        <f>Tabla18[[#This Row],[Bus_03]]&amp;"_"&amp;Tabla5[[#This Row],[Tipo de Agente
&lt;&lt; Seleccionar&gt;&gt;]]</f>
        <v>#N/A</v>
      </c>
      <c r="F317" s="328" t="e">
        <f>VLOOKUP(Tabla18[[#This Row],[Concat2]],TablaPOA[[#All],[Concat]:[ConcatEspecial]],3,0)</f>
        <v>#N/A</v>
      </c>
      <c r="G317" s="65" t="str">
        <f>CONCATENATE(Registro!$A$6,"_",Tabla5[[#This Row],[Zona (Provincia)
&lt;&lt; Seleccionar&gt;&gt;]])</f>
        <v>Huánuco_</v>
      </c>
      <c r="H317" s="60" t="e">
        <f>VLOOKUP(Tabla18[[#This Row],[Concatenado***]],Tabla2[[#All],[Concatenado]:[Simbología*]],2,0)</f>
        <v>#N/A</v>
      </c>
      <c r="I317" s="65" t="str">
        <f>CONCATENATE(Tabla18[[#This Row],[Concatenado***]],"_",Tabla5[[#This Row],[Zona (Distrito)
&lt;&lt; Seleccionar&gt;&gt;]])</f>
        <v>Huánuco__</v>
      </c>
      <c r="J3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7" s="72" t="e">
        <f>VLOOKUP(Tabla5[[#This Row],[Tipo de Transporte Empleado
&lt;&lt; Seleccionar&gt;&gt;]],Tabla8[#All],2,0)</f>
        <v>#N/A</v>
      </c>
      <c r="L317" s="71" t="e">
        <f>#REF!+(#REF!*2)+#REF!</f>
        <v>#REF!</v>
      </c>
    </row>
    <row r="318" spans="1:12" x14ac:dyDescent="0.25">
      <c r="A318" s="328" t="e">
        <f>VLOOKUP(Tabla5[[#This Row],[Acción
&lt;&lt; Seleccionar&gt;&gt;]],TablaAccion[[#All],[Nombre_Abreviado]:[Codigo_Plan_Acción]],3,0)</f>
        <v>#N/A</v>
      </c>
      <c r="B318" s="328" t="e">
        <f>VLOOKUP(Tabla5[[#This Row],[Acción Especifica
&lt;&lt; Seleccionar&gt;&gt;]],TablaAccionEspecifica[[#All],[Nombre_Abreviado]:[Codigo_Acción]],3,0)</f>
        <v>#N/A</v>
      </c>
      <c r="C318" s="328" t="e">
        <f>CONCATENATE(Tabla18[[#This Row],[Bus_02]],"_",Tabla5[[#This Row],[Sub Acción Específica
&lt;&lt; Seleccionar&gt;&gt;]])</f>
        <v>#N/A</v>
      </c>
      <c r="D318" s="328" t="e">
        <f>VLOOKUP(Tabla18[[#This Row],[Aux_01]],TablaSubAccionEspecifica[[#All],[Concat]:[Cod_Sub_acción_especifica]],2,0)</f>
        <v>#N/A</v>
      </c>
      <c r="E318" s="328" t="e">
        <f>Tabla18[[#This Row],[Bus_03]]&amp;"_"&amp;Tabla5[[#This Row],[Tipo de Agente
&lt;&lt; Seleccionar&gt;&gt;]]</f>
        <v>#N/A</v>
      </c>
      <c r="F318" s="328" t="e">
        <f>VLOOKUP(Tabla18[[#This Row],[Concat2]],TablaPOA[[#All],[Concat]:[ConcatEspecial]],3,0)</f>
        <v>#N/A</v>
      </c>
      <c r="G318" s="65" t="str">
        <f>CONCATENATE(Registro!$A$6,"_",Tabla5[[#This Row],[Zona (Provincia)
&lt;&lt; Seleccionar&gt;&gt;]])</f>
        <v>Huánuco_</v>
      </c>
      <c r="H318" s="60" t="e">
        <f>VLOOKUP(Tabla18[[#This Row],[Concatenado***]],Tabla2[[#All],[Concatenado]:[Simbología*]],2,0)</f>
        <v>#N/A</v>
      </c>
      <c r="I318" s="65" t="str">
        <f>CONCATENATE(Tabla18[[#This Row],[Concatenado***]],"_",Tabla5[[#This Row],[Zona (Distrito)
&lt;&lt; Seleccionar&gt;&gt;]])</f>
        <v>Huánuco__</v>
      </c>
      <c r="J3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8" s="72" t="e">
        <f>VLOOKUP(Tabla5[[#This Row],[Tipo de Transporte Empleado
&lt;&lt; Seleccionar&gt;&gt;]],Tabla8[#All],2,0)</f>
        <v>#N/A</v>
      </c>
      <c r="L318" s="71" t="e">
        <f>#REF!+(#REF!*2)+#REF!</f>
        <v>#REF!</v>
      </c>
    </row>
    <row r="319" spans="1:12" x14ac:dyDescent="0.25">
      <c r="A319" s="328" t="e">
        <f>VLOOKUP(Tabla5[[#This Row],[Acción
&lt;&lt; Seleccionar&gt;&gt;]],TablaAccion[[#All],[Nombre_Abreviado]:[Codigo_Plan_Acción]],3,0)</f>
        <v>#N/A</v>
      </c>
      <c r="B319" s="328" t="e">
        <f>VLOOKUP(Tabla5[[#This Row],[Acción Especifica
&lt;&lt; Seleccionar&gt;&gt;]],TablaAccionEspecifica[[#All],[Nombre_Abreviado]:[Codigo_Acción]],3,0)</f>
        <v>#N/A</v>
      </c>
      <c r="C319" s="328" t="e">
        <f>CONCATENATE(Tabla18[[#This Row],[Bus_02]],"_",Tabla5[[#This Row],[Sub Acción Específica
&lt;&lt; Seleccionar&gt;&gt;]])</f>
        <v>#N/A</v>
      </c>
      <c r="D319" s="328" t="e">
        <f>VLOOKUP(Tabla18[[#This Row],[Aux_01]],TablaSubAccionEspecifica[[#All],[Concat]:[Cod_Sub_acción_especifica]],2,0)</f>
        <v>#N/A</v>
      </c>
      <c r="E319" s="328" t="e">
        <f>Tabla18[[#This Row],[Bus_03]]&amp;"_"&amp;Tabla5[[#This Row],[Tipo de Agente
&lt;&lt; Seleccionar&gt;&gt;]]</f>
        <v>#N/A</v>
      </c>
      <c r="F319" s="328" t="e">
        <f>VLOOKUP(Tabla18[[#This Row],[Concat2]],TablaPOA[[#All],[Concat]:[ConcatEspecial]],3,0)</f>
        <v>#N/A</v>
      </c>
      <c r="G319" s="65" t="str">
        <f>CONCATENATE(Registro!$A$6,"_",Tabla5[[#This Row],[Zona (Provincia)
&lt;&lt; Seleccionar&gt;&gt;]])</f>
        <v>Huánuco_</v>
      </c>
      <c r="H319" s="60" t="e">
        <f>VLOOKUP(Tabla18[[#This Row],[Concatenado***]],Tabla2[[#All],[Concatenado]:[Simbología*]],2,0)</f>
        <v>#N/A</v>
      </c>
      <c r="I319" s="65" t="str">
        <f>CONCATENATE(Tabla18[[#This Row],[Concatenado***]],"_",Tabla5[[#This Row],[Zona (Distrito)
&lt;&lt; Seleccionar&gt;&gt;]])</f>
        <v>Huánuco__</v>
      </c>
      <c r="J3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9" s="72" t="e">
        <f>VLOOKUP(Tabla5[[#This Row],[Tipo de Transporte Empleado
&lt;&lt; Seleccionar&gt;&gt;]],Tabla8[#All],2,0)</f>
        <v>#N/A</v>
      </c>
      <c r="L319" s="71" t="e">
        <f>#REF!+(#REF!*2)+#REF!</f>
        <v>#REF!</v>
      </c>
    </row>
    <row r="320" spans="1:12" x14ac:dyDescent="0.25">
      <c r="A320" s="328" t="e">
        <f>VLOOKUP(Tabla5[[#This Row],[Acción
&lt;&lt; Seleccionar&gt;&gt;]],TablaAccion[[#All],[Nombre_Abreviado]:[Codigo_Plan_Acción]],3,0)</f>
        <v>#N/A</v>
      </c>
      <c r="B320" s="328" t="e">
        <f>VLOOKUP(Tabla5[[#This Row],[Acción Especifica
&lt;&lt; Seleccionar&gt;&gt;]],TablaAccionEspecifica[[#All],[Nombre_Abreviado]:[Codigo_Acción]],3,0)</f>
        <v>#N/A</v>
      </c>
      <c r="C320" s="328" t="e">
        <f>CONCATENATE(Tabla18[[#This Row],[Bus_02]],"_",Tabla5[[#This Row],[Sub Acción Específica
&lt;&lt; Seleccionar&gt;&gt;]])</f>
        <v>#N/A</v>
      </c>
      <c r="D320" s="328" t="e">
        <f>VLOOKUP(Tabla18[[#This Row],[Aux_01]],TablaSubAccionEspecifica[[#All],[Concat]:[Cod_Sub_acción_especifica]],2,0)</f>
        <v>#N/A</v>
      </c>
      <c r="E320" s="328" t="e">
        <f>Tabla18[[#This Row],[Bus_03]]&amp;"_"&amp;Tabla5[[#This Row],[Tipo de Agente
&lt;&lt; Seleccionar&gt;&gt;]]</f>
        <v>#N/A</v>
      </c>
      <c r="F320" s="328" t="e">
        <f>VLOOKUP(Tabla18[[#This Row],[Concat2]],TablaPOA[[#All],[Concat]:[ConcatEspecial]],3,0)</f>
        <v>#N/A</v>
      </c>
      <c r="G320" s="65" t="str">
        <f>CONCATENATE(Registro!$A$6,"_",Tabla5[[#This Row],[Zona (Provincia)
&lt;&lt; Seleccionar&gt;&gt;]])</f>
        <v>Huánuco_</v>
      </c>
      <c r="H320" s="60" t="e">
        <f>VLOOKUP(Tabla18[[#This Row],[Concatenado***]],Tabla2[[#All],[Concatenado]:[Simbología*]],2,0)</f>
        <v>#N/A</v>
      </c>
      <c r="I320" s="65" t="str">
        <f>CONCATENATE(Tabla18[[#This Row],[Concatenado***]],"_",Tabla5[[#This Row],[Zona (Distrito)
&lt;&lt; Seleccionar&gt;&gt;]])</f>
        <v>Huánuco__</v>
      </c>
      <c r="J3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0" s="72" t="e">
        <f>VLOOKUP(Tabla5[[#This Row],[Tipo de Transporte Empleado
&lt;&lt; Seleccionar&gt;&gt;]],Tabla8[#All],2,0)</f>
        <v>#N/A</v>
      </c>
      <c r="L320" s="71" t="e">
        <f>#REF!+(#REF!*2)+#REF!</f>
        <v>#REF!</v>
      </c>
    </row>
    <row r="321" spans="1:12" x14ac:dyDescent="0.25">
      <c r="A321" s="328" t="e">
        <f>VLOOKUP(Tabla5[[#This Row],[Acción
&lt;&lt; Seleccionar&gt;&gt;]],TablaAccion[[#All],[Nombre_Abreviado]:[Codigo_Plan_Acción]],3,0)</f>
        <v>#N/A</v>
      </c>
      <c r="B321" s="328" t="e">
        <f>VLOOKUP(Tabla5[[#This Row],[Acción Especifica
&lt;&lt; Seleccionar&gt;&gt;]],TablaAccionEspecifica[[#All],[Nombre_Abreviado]:[Codigo_Acción]],3,0)</f>
        <v>#N/A</v>
      </c>
      <c r="C321" s="328" t="e">
        <f>CONCATENATE(Tabla18[[#This Row],[Bus_02]],"_",Tabla5[[#This Row],[Sub Acción Específica
&lt;&lt; Seleccionar&gt;&gt;]])</f>
        <v>#N/A</v>
      </c>
      <c r="D321" s="328" t="e">
        <f>VLOOKUP(Tabla18[[#This Row],[Aux_01]],TablaSubAccionEspecifica[[#All],[Concat]:[Cod_Sub_acción_especifica]],2,0)</f>
        <v>#N/A</v>
      </c>
      <c r="E321" s="328" t="e">
        <f>Tabla18[[#This Row],[Bus_03]]&amp;"_"&amp;Tabla5[[#This Row],[Tipo de Agente
&lt;&lt; Seleccionar&gt;&gt;]]</f>
        <v>#N/A</v>
      </c>
      <c r="F321" s="328" t="e">
        <f>VLOOKUP(Tabla18[[#This Row],[Concat2]],TablaPOA[[#All],[Concat]:[ConcatEspecial]],3,0)</f>
        <v>#N/A</v>
      </c>
      <c r="G321" s="65" t="str">
        <f>CONCATENATE(Registro!$A$6,"_",Tabla5[[#This Row],[Zona (Provincia)
&lt;&lt; Seleccionar&gt;&gt;]])</f>
        <v>Huánuco_</v>
      </c>
      <c r="H321" s="60" t="e">
        <f>VLOOKUP(Tabla18[[#This Row],[Concatenado***]],Tabla2[[#All],[Concatenado]:[Simbología*]],2,0)</f>
        <v>#N/A</v>
      </c>
      <c r="I321" s="65" t="str">
        <f>CONCATENATE(Tabla18[[#This Row],[Concatenado***]],"_",Tabla5[[#This Row],[Zona (Distrito)
&lt;&lt; Seleccionar&gt;&gt;]])</f>
        <v>Huánuco__</v>
      </c>
      <c r="J3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1" s="72" t="e">
        <f>VLOOKUP(Tabla5[[#This Row],[Tipo de Transporte Empleado
&lt;&lt; Seleccionar&gt;&gt;]],Tabla8[#All],2,0)</f>
        <v>#N/A</v>
      </c>
      <c r="L321" s="71" t="e">
        <f>#REF!+(#REF!*2)+#REF!</f>
        <v>#REF!</v>
      </c>
    </row>
    <row r="322" spans="1:12" x14ac:dyDescent="0.25">
      <c r="A322" s="328" t="e">
        <f>VLOOKUP(Tabla5[[#This Row],[Acción
&lt;&lt; Seleccionar&gt;&gt;]],TablaAccion[[#All],[Nombre_Abreviado]:[Codigo_Plan_Acción]],3,0)</f>
        <v>#N/A</v>
      </c>
      <c r="B322" s="328" t="e">
        <f>VLOOKUP(Tabla5[[#This Row],[Acción Especifica
&lt;&lt; Seleccionar&gt;&gt;]],TablaAccionEspecifica[[#All],[Nombre_Abreviado]:[Codigo_Acción]],3,0)</f>
        <v>#N/A</v>
      </c>
      <c r="C322" s="328" t="e">
        <f>CONCATENATE(Tabla18[[#This Row],[Bus_02]],"_",Tabla5[[#This Row],[Sub Acción Específica
&lt;&lt; Seleccionar&gt;&gt;]])</f>
        <v>#N/A</v>
      </c>
      <c r="D322" s="328" t="e">
        <f>VLOOKUP(Tabla18[[#This Row],[Aux_01]],TablaSubAccionEspecifica[[#All],[Concat]:[Cod_Sub_acción_especifica]],2,0)</f>
        <v>#N/A</v>
      </c>
      <c r="E322" s="328" t="e">
        <f>Tabla18[[#This Row],[Bus_03]]&amp;"_"&amp;Tabla5[[#This Row],[Tipo de Agente
&lt;&lt; Seleccionar&gt;&gt;]]</f>
        <v>#N/A</v>
      </c>
      <c r="F322" s="328" t="e">
        <f>VLOOKUP(Tabla18[[#This Row],[Concat2]],TablaPOA[[#All],[Concat]:[ConcatEspecial]],3,0)</f>
        <v>#N/A</v>
      </c>
      <c r="G322" s="65" t="str">
        <f>CONCATENATE(Registro!$A$6,"_",Tabla5[[#This Row],[Zona (Provincia)
&lt;&lt; Seleccionar&gt;&gt;]])</f>
        <v>Huánuco_</v>
      </c>
      <c r="H322" s="60" t="e">
        <f>VLOOKUP(Tabla18[[#This Row],[Concatenado***]],Tabla2[[#All],[Concatenado]:[Simbología*]],2,0)</f>
        <v>#N/A</v>
      </c>
      <c r="I322" s="65" t="str">
        <f>CONCATENATE(Tabla18[[#This Row],[Concatenado***]],"_",Tabla5[[#This Row],[Zona (Distrito)
&lt;&lt; Seleccionar&gt;&gt;]])</f>
        <v>Huánuco__</v>
      </c>
      <c r="J3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2" s="72" t="e">
        <f>VLOOKUP(Tabla5[[#This Row],[Tipo de Transporte Empleado
&lt;&lt; Seleccionar&gt;&gt;]],Tabla8[#All],2,0)</f>
        <v>#N/A</v>
      </c>
      <c r="L322" s="71" t="e">
        <f>#REF!+(#REF!*2)+#REF!</f>
        <v>#REF!</v>
      </c>
    </row>
    <row r="323" spans="1:12" x14ac:dyDescent="0.25">
      <c r="A323" s="328" t="e">
        <f>VLOOKUP(Tabla5[[#This Row],[Acción
&lt;&lt; Seleccionar&gt;&gt;]],TablaAccion[[#All],[Nombre_Abreviado]:[Codigo_Plan_Acción]],3,0)</f>
        <v>#N/A</v>
      </c>
      <c r="B323" s="328" t="e">
        <f>VLOOKUP(Tabla5[[#This Row],[Acción Especifica
&lt;&lt; Seleccionar&gt;&gt;]],TablaAccionEspecifica[[#All],[Nombre_Abreviado]:[Codigo_Acción]],3,0)</f>
        <v>#N/A</v>
      </c>
      <c r="C323" s="328" t="e">
        <f>CONCATENATE(Tabla18[[#This Row],[Bus_02]],"_",Tabla5[[#This Row],[Sub Acción Específica
&lt;&lt; Seleccionar&gt;&gt;]])</f>
        <v>#N/A</v>
      </c>
      <c r="D323" s="328" t="e">
        <f>VLOOKUP(Tabla18[[#This Row],[Aux_01]],TablaSubAccionEspecifica[[#All],[Concat]:[Cod_Sub_acción_especifica]],2,0)</f>
        <v>#N/A</v>
      </c>
      <c r="E323" s="328" t="e">
        <f>Tabla18[[#This Row],[Bus_03]]&amp;"_"&amp;Tabla5[[#This Row],[Tipo de Agente
&lt;&lt; Seleccionar&gt;&gt;]]</f>
        <v>#N/A</v>
      </c>
      <c r="F323" s="328" t="e">
        <f>VLOOKUP(Tabla18[[#This Row],[Concat2]],TablaPOA[[#All],[Concat]:[ConcatEspecial]],3,0)</f>
        <v>#N/A</v>
      </c>
      <c r="G323" s="65" t="str">
        <f>CONCATENATE(Registro!$A$6,"_",Tabla5[[#This Row],[Zona (Provincia)
&lt;&lt; Seleccionar&gt;&gt;]])</f>
        <v>Huánuco_</v>
      </c>
      <c r="H323" s="60" t="e">
        <f>VLOOKUP(Tabla18[[#This Row],[Concatenado***]],Tabla2[[#All],[Concatenado]:[Simbología*]],2,0)</f>
        <v>#N/A</v>
      </c>
      <c r="I323" s="65" t="str">
        <f>CONCATENATE(Tabla18[[#This Row],[Concatenado***]],"_",Tabla5[[#This Row],[Zona (Distrito)
&lt;&lt; Seleccionar&gt;&gt;]])</f>
        <v>Huánuco__</v>
      </c>
      <c r="J3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3" s="72" t="e">
        <f>VLOOKUP(Tabla5[[#This Row],[Tipo de Transporte Empleado
&lt;&lt; Seleccionar&gt;&gt;]],Tabla8[#All],2,0)</f>
        <v>#N/A</v>
      </c>
      <c r="L323" s="71" t="e">
        <f>#REF!+(#REF!*2)+#REF!</f>
        <v>#REF!</v>
      </c>
    </row>
    <row r="324" spans="1:12" x14ac:dyDescent="0.25">
      <c r="A324" s="328" t="e">
        <f>VLOOKUP(Tabla5[[#This Row],[Acción
&lt;&lt; Seleccionar&gt;&gt;]],TablaAccion[[#All],[Nombre_Abreviado]:[Codigo_Plan_Acción]],3,0)</f>
        <v>#N/A</v>
      </c>
      <c r="B324" s="328" t="e">
        <f>VLOOKUP(Tabla5[[#This Row],[Acción Especifica
&lt;&lt; Seleccionar&gt;&gt;]],TablaAccionEspecifica[[#All],[Nombre_Abreviado]:[Codigo_Acción]],3,0)</f>
        <v>#N/A</v>
      </c>
      <c r="C324" s="328" t="e">
        <f>CONCATENATE(Tabla18[[#This Row],[Bus_02]],"_",Tabla5[[#This Row],[Sub Acción Específica
&lt;&lt; Seleccionar&gt;&gt;]])</f>
        <v>#N/A</v>
      </c>
      <c r="D324" s="328" t="e">
        <f>VLOOKUP(Tabla18[[#This Row],[Aux_01]],TablaSubAccionEspecifica[[#All],[Concat]:[Cod_Sub_acción_especifica]],2,0)</f>
        <v>#N/A</v>
      </c>
      <c r="E324" s="328" t="e">
        <f>Tabla18[[#This Row],[Bus_03]]&amp;"_"&amp;Tabla5[[#This Row],[Tipo de Agente
&lt;&lt; Seleccionar&gt;&gt;]]</f>
        <v>#N/A</v>
      </c>
      <c r="F324" s="328" t="e">
        <f>VLOOKUP(Tabla18[[#This Row],[Concat2]],TablaPOA[[#All],[Concat]:[ConcatEspecial]],3,0)</f>
        <v>#N/A</v>
      </c>
      <c r="G324" s="65" t="str">
        <f>CONCATENATE(Registro!$A$6,"_",Tabla5[[#This Row],[Zona (Provincia)
&lt;&lt; Seleccionar&gt;&gt;]])</f>
        <v>Huánuco_</v>
      </c>
      <c r="H324" s="60" t="e">
        <f>VLOOKUP(Tabla18[[#This Row],[Concatenado***]],Tabla2[[#All],[Concatenado]:[Simbología*]],2,0)</f>
        <v>#N/A</v>
      </c>
      <c r="I324" s="65" t="str">
        <f>CONCATENATE(Tabla18[[#This Row],[Concatenado***]],"_",Tabla5[[#This Row],[Zona (Distrito)
&lt;&lt; Seleccionar&gt;&gt;]])</f>
        <v>Huánuco__</v>
      </c>
      <c r="J3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4" s="72" t="e">
        <f>VLOOKUP(Tabla5[[#This Row],[Tipo de Transporte Empleado
&lt;&lt; Seleccionar&gt;&gt;]],Tabla8[#All],2,0)</f>
        <v>#N/A</v>
      </c>
      <c r="L324" s="71" t="e">
        <f>#REF!+(#REF!*2)+#REF!</f>
        <v>#REF!</v>
      </c>
    </row>
    <row r="325" spans="1:12" x14ac:dyDescent="0.25">
      <c r="A325" s="328" t="e">
        <f>VLOOKUP(Tabla5[[#This Row],[Acción
&lt;&lt; Seleccionar&gt;&gt;]],TablaAccion[[#All],[Nombre_Abreviado]:[Codigo_Plan_Acción]],3,0)</f>
        <v>#N/A</v>
      </c>
      <c r="B325" s="328" t="e">
        <f>VLOOKUP(Tabla5[[#This Row],[Acción Especifica
&lt;&lt; Seleccionar&gt;&gt;]],TablaAccionEspecifica[[#All],[Nombre_Abreviado]:[Codigo_Acción]],3,0)</f>
        <v>#N/A</v>
      </c>
      <c r="C325" s="328" t="e">
        <f>CONCATENATE(Tabla18[[#This Row],[Bus_02]],"_",Tabla5[[#This Row],[Sub Acción Específica
&lt;&lt; Seleccionar&gt;&gt;]])</f>
        <v>#N/A</v>
      </c>
      <c r="D325" s="328" t="e">
        <f>VLOOKUP(Tabla18[[#This Row],[Aux_01]],TablaSubAccionEspecifica[[#All],[Concat]:[Cod_Sub_acción_especifica]],2,0)</f>
        <v>#N/A</v>
      </c>
      <c r="E325" s="328" t="e">
        <f>Tabla18[[#This Row],[Bus_03]]&amp;"_"&amp;Tabla5[[#This Row],[Tipo de Agente
&lt;&lt; Seleccionar&gt;&gt;]]</f>
        <v>#N/A</v>
      </c>
      <c r="F325" s="328" t="e">
        <f>VLOOKUP(Tabla18[[#This Row],[Concat2]],TablaPOA[[#All],[Concat]:[ConcatEspecial]],3,0)</f>
        <v>#N/A</v>
      </c>
      <c r="G325" s="65" t="str">
        <f>CONCATENATE(Registro!$A$6,"_",Tabla5[[#This Row],[Zona (Provincia)
&lt;&lt; Seleccionar&gt;&gt;]])</f>
        <v>Huánuco_</v>
      </c>
      <c r="H325" s="60" t="e">
        <f>VLOOKUP(Tabla18[[#This Row],[Concatenado***]],Tabla2[[#All],[Concatenado]:[Simbología*]],2,0)</f>
        <v>#N/A</v>
      </c>
      <c r="I325" s="65" t="str">
        <f>CONCATENATE(Tabla18[[#This Row],[Concatenado***]],"_",Tabla5[[#This Row],[Zona (Distrito)
&lt;&lt; Seleccionar&gt;&gt;]])</f>
        <v>Huánuco__</v>
      </c>
      <c r="J3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5" s="72" t="e">
        <f>VLOOKUP(Tabla5[[#This Row],[Tipo de Transporte Empleado
&lt;&lt; Seleccionar&gt;&gt;]],Tabla8[#All],2,0)</f>
        <v>#N/A</v>
      </c>
      <c r="L325" s="71" t="e">
        <f>#REF!+(#REF!*2)+#REF!</f>
        <v>#REF!</v>
      </c>
    </row>
    <row r="326" spans="1:12" x14ac:dyDescent="0.25">
      <c r="A326" s="328" t="e">
        <f>VLOOKUP(Tabla5[[#This Row],[Acción
&lt;&lt; Seleccionar&gt;&gt;]],TablaAccion[[#All],[Nombre_Abreviado]:[Codigo_Plan_Acción]],3,0)</f>
        <v>#N/A</v>
      </c>
      <c r="B326" s="328" t="e">
        <f>VLOOKUP(Tabla5[[#This Row],[Acción Especifica
&lt;&lt; Seleccionar&gt;&gt;]],TablaAccionEspecifica[[#All],[Nombre_Abreviado]:[Codigo_Acción]],3,0)</f>
        <v>#N/A</v>
      </c>
      <c r="C326" s="328" t="e">
        <f>CONCATENATE(Tabla18[[#This Row],[Bus_02]],"_",Tabla5[[#This Row],[Sub Acción Específica
&lt;&lt; Seleccionar&gt;&gt;]])</f>
        <v>#N/A</v>
      </c>
      <c r="D326" s="328" t="e">
        <f>VLOOKUP(Tabla18[[#This Row],[Aux_01]],TablaSubAccionEspecifica[[#All],[Concat]:[Cod_Sub_acción_especifica]],2,0)</f>
        <v>#N/A</v>
      </c>
      <c r="E326" s="328" t="e">
        <f>Tabla18[[#This Row],[Bus_03]]&amp;"_"&amp;Tabla5[[#This Row],[Tipo de Agente
&lt;&lt; Seleccionar&gt;&gt;]]</f>
        <v>#N/A</v>
      </c>
      <c r="F326" s="328" t="e">
        <f>VLOOKUP(Tabla18[[#This Row],[Concat2]],TablaPOA[[#All],[Concat]:[ConcatEspecial]],3,0)</f>
        <v>#N/A</v>
      </c>
      <c r="G326" s="65" t="str">
        <f>CONCATENATE(Registro!$A$6,"_",Tabla5[[#This Row],[Zona (Provincia)
&lt;&lt; Seleccionar&gt;&gt;]])</f>
        <v>Huánuco_</v>
      </c>
      <c r="H326" s="60" t="e">
        <f>VLOOKUP(Tabla18[[#This Row],[Concatenado***]],Tabla2[[#All],[Concatenado]:[Simbología*]],2,0)</f>
        <v>#N/A</v>
      </c>
      <c r="I326" s="65" t="str">
        <f>CONCATENATE(Tabla18[[#This Row],[Concatenado***]],"_",Tabla5[[#This Row],[Zona (Distrito)
&lt;&lt; Seleccionar&gt;&gt;]])</f>
        <v>Huánuco__</v>
      </c>
      <c r="J3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6" s="72" t="e">
        <f>VLOOKUP(Tabla5[[#This Row],[Tipo de Transporte Empleado
&lt;&lt; Seleccionar&gt;&gt;]],Tabla8[#All],2,0)</f>
        <v>#N/A</v>
      </c>
      <c r="L326" s="71" t="e">
        <f>#REF!+(#REF!*2)+#REF!</f>
        <v>#REF!</v>
      </c>
    </row>
    <row r="327" spans="1:12" x14ac:dyDescent="0.25">
      <c r="A327" s="328" t="e">
        <f>VLOOKUP(Tabla5[[#This Row],[Acción
&lt;&lt; Seleccionar&gt;&gt;]],TablaAccion[[#All],[Nombre_Abreviado]:[Codigo_Plan_Acción]],3,0)</f>
        <v>#N/A</v>
      </c>
      <c r="B327" s="328" t="e">
        <f>VLOOKUP(Tabla5[[#This Row],[Acción Especifica
&lt;&lt; Seleccionar&gt;&gt;]],TablaAccionEspecifica[[#All],[Nombre_Abreviado]:[Codigo_Acción]],3,0)</f>
        <v>#N/A</v>
      </c>
      <c r="C327" s="328" t="e">
        <f>CONCATENATE(Tabla18[[#This Row],[Bus_02]],"_",Tabla5[[#This Row],[Sub Acción Específica
&lt;&lt; Seleccionar&gt;&gt;]])</f>
        <v>#N/A</v>
      </c>
      <c r="D327" s="328" t="e">
        <f>VLOOKUP(Tabla18[[#This Row],[Aux_01]],TablaSubAccionEspecifica[[#All],[Concat]:[Cod_Sub_acción_especifica]],2,0)</f>
        <v>#N/A</v>
      </c>
      <c r="E327" s="328" t="e">
        <f>Tabla18[[#This Row],[Bus_03]]&amp;"_"&amp;Tabla5[[#This Row],[Tipo de Agente
&lt;&lt; Seleccionar&gt;&gt;]]</f>
        <v>#N/A</v>
      </c>
      <c r="F327" s="328" t="e">
        <f>VLOOKUP(Tabla18[[#This Row],[Concat2]],TablaPOA[[#All],[Concat]:[ConcatEspecial]],3,0)</f>
        <v>#N/A</v>
      </c>
      <c r="G327" s="65" t="str">
        <f>CONCATENATE(Registro!$A$6,"_",Tabla5[[#This Row],[Zona (Provincia)
&lt;&lt; Seleccionar&gt;&gt;]])</f>
        <v>Huánuco_</v>
      </c>
      <c r="H327" s="60" t="e">
        <f>VLOOKUP(Tabla18[[#This Row],[Concatenado***]],Tabla2[[#All],[Concatenado]:[Simbología*]],2,0)</f>
        <v>#N/A</v>
      </c>
      <c r="I327" s="65" t="str">
        <f>CONCATENATE(Tabla18[[#This Row],[Concatenado***]],"_",Tabla5[[#This Row],[Zona (Distrito)
&lt;&lt; Seleccionar&gt;&gt;]])</f>
        <v>Huánuco__</v>
      </c>
      <c r="J3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7" s="72" t="e">
        <f>VLOOKUP(Tabla5[[#This Row],[Tipo de Transporte Empleado
&lt;&lt; Seleccionar&gt;&gt;]],Tabla8[#All],2,0)</f>
        <v>#N/A</v>
      </c>
      <c r="L327" s="71" t="e">
        <f>#REF!+(#REF!*2)+#REF!</f>
        <v>#REF!</v>
      </c>
    </row>
    <row r="328" spans="1:12" x14ac:dyDescent="0.25">
      <c r="A328" s="328" t="e">
        <f>VLOOKUP(Tabla5[[#This Row],[Acción
&lt;&lt; Seleccionar&gt;&gt;]],TablaAccion[[#All],[Nombre_Abreviado]:[Codigo_Plan_Acción]],3,0)</f>
        <v>#N/A</v>
      </c>
      <c r="B328" s="328" t="e">
        <f>VLOOKUP(Tabla5[[#This Row],[Acción Especifica
&lt;&lt; Seleccionar&gt;&gt;]],TablaAccionEspecifica[[#All],[Nombre_Abreviado]:[Codigo_Acción]],3,0)</f>
        <v>#N/A</v>
      </c>
      <c r="C328" s="328" t="e">
        <f>CONCATENATE(Tabla18[[#This Row],[Bus_02]],"_",Tabla5[[#This Row],[Sub Acción Específica
&lt;&lt; Seleccionar&gt;&gt;]])</f>
        <v>#N/A</v>
      </c>
      <c r="D328" s="328" t="e">
        <f>VLOOKUP(Tabla18[[#This Row],[Aux_01]],TablaSubAccionEspecifica[[#All],[Concat]:[Cod_Sub_acción_especifica]],2,0)</f>
        <v>#N/A</v>
      </c>
      <c r="E328" s="328" t="e">
        <f>Tabla18[[#This Row],[Bus_03]]&amp;"_"&amp;Tabla5[[#This Row],[Tipo de Agente
&lt;&lt; Seleccionar&gt;&gt;]]</f>
        <v>#N/A</v>
      </c>
      <c r="F328" s="328" t="e">
        <f>VLOOKUP(Tabla18[[#This Row],[Concat2]],TablaPOA[[#All],[Concat]:[ConcatEspecial]],3,0)</f>
        <v>#N/A</v>
      </c>
      <c r="G328" s="65" t="str">
        <f>CONCATENATE(Registro!$A$6,"_",Tabla5[[#This Row],[Zona (Provincia)
&lt;&lt; Seleccionar&gt;&gt;]])</f>
        <v>Huánuco_</v>
      </c>
      <c r="H328" s="60" t="e">
        <f>VLOOKUP(Tabla18[[#This Row],[Concatenado***]],Tabla2[[#All],[Concatenado]:[Simbología*]],2,0)</f>
        <v>#N/A</v>
      </c>
      <c r="I328" s="65" t="str">
        <f>CONCATENATE(Tabla18[[#This Row],[Concatenado***]],"_",Tabla5[[#This Row],[Zona (Distrito)
&lt;&lt; Seleccionar&gt;&gt;]])</f>
        <v>Huánuco__</v>
      </c>
      <c r="J3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8" s="72" t="e">
        <f>VLOOKUP(Tabla5[[#This Row],[Tipo de Transporte Empleado
&lt;&lt; Seleccionar&gt;&gt;]],Tabla8[#All],2,0)</f>
        <v>#N/A</v>
      </c>
      <c r="L328" s="71" t="e">
        <f>#REF!+(#REF!*2)+#REF!</f>
        <v>#REF!</v>
      </c>
    </row>
    <row r="329" spans="1:12" x14ac:dyDescent="0.25">
      <c r="A329" s="328" t="e">
        <f>VLOOKUP(Tabla5[[#This Row],[Acción
&lt;&lt; Seleccionar&gt;&gt;]],TablaAccion[[#All],[Nombre_Abreviado]:[Codigo_Plan_Acción]],3,0)</f>
        <v>#N/A</v>
      </c>
      <c r="B329" s="328" t="e">
        <f>VLOOKUP(Tabla5[[#This Row],[Acción Especifica
&lt;&lt; Seleccionar&gt;&gt;]],TablaAccionEspecifica[[#All],[Nombre_Abreviado]:[Codigo_Acción]],3,0)</f>
        <v>#N/A</v>
      </c>
      <c r="C329" s="328" t="e">
        <f>CONCATENATE(Tabla18[[#This Row],[Bus_02]],"_",Tabla5[[#This Row],[Sub Acción Específica
&lt;&lt; Seleccionar&gt;&gt;]])</f>
        <v>#N/A</v>
      </c>
      <c r="D329" s="328" t="e">
        <f>VLOOKUP(Tabla18[[#This Row],[Aux_01]],TablaSubAccionEspecifica[[#All],[Concat]:[Cod_Sub_acción_especifica]],2,0)</f>
        <v>#N/A</v>
      </c>
      <c r="E329" s="328" t="e">
        <f>Tabla18[[#This Row],[Bus_03]]&amp;"_"&amp;Tabla5[[#This Row],[Tipo de Agente
&lt;&lt; Seleccionar&gt;&gt;]]</f>
        <v>#N/A</v>
      </c>
      <c r="F329" s="328" t="e">
        <f>VLOOKUP(Tabla18[[#This Row],[Concat2]],TablaPOA[[#All],[Concat]:[ConcatEspecial]],3,0)</f>
        <v>#N/A</v>
      </c>
      <c r="G329" s="65" t="str">
        <f>CONCATENATE(Registro!$A$6,"_",Tabla5[[#This Row],[Zona (Provincia)
&lt;&lt; Seleccionar&gt;&gt;]])</f>
        <v>Huánuco_</v>
      </c>
      <c r="H329" s="60" t="e">
        <f>VLOOKUP(Tabla18[[#This Row],[Concatenado***]],Tabla2[[#All],[Concatenado]:[Simbología*]],2,0)</f>
        <v>#N/A</v>
      </c>
      <c r="I329" s="65" t="str">
        <f>CONCATENATE(Tabla18[[#This Row],[Concatenado***]],"_",Tabla5[[#This Row],[Zona (Distrito)
&lt;&lt; Seleccionar&gt;&gt;]])</f>
        <v>Huánuco__</v>
      </c>
      <c r="J3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9" s="72" t="e">
        <f>VLOOKUP(Tabla5[[#This Row],[Tipo de Transporte Empleado
&lt;&lt; Seleccionar&gt;&gt;]],Tabla8[#All],2,0)</f>
        <v>#N/A</v>
      </c>
      <c r="L329" s="71" t="e">
        <f>#REF!+(#REF!*2)+#REF!</f>
        <v>#REF!</v>
      </c>
    </row>
    <row r="330" spans="1:12" x14ac:dyDescent="0.25">
      <c r="A330" s="328" t="e">
        <f>VLOOKUP(Tabla5[[#This Row],[Acción
&lt;&lt; Seleccionar&gt;&gt;]],TablaAccion[[#All],[Nombre_Abreviado]:[Codigo_Plan_Acción]],3,0)</f>
        <v>#N/A</v>
      </c>
      <c r="B330" s="328" t="e">
        <f>VLOOKUP(Tabla5[[#This Row],[Acción Especifica
&lt;&lt; Seleccionar&gt;&gt;]],TablaAccionEspecifica[[#All],[Nombre_Abreviado]:[Codigo_Acción]],3,0)</f>
        <v>#N/A</v>
      </c>
      <c r="C330" s="328" t="e">
        <f>CONCATENATE(Tabla18[[#This Row],[Bus_02]],"_",Tabla5[[#This Row],[Sub Acción Específica
&lt;&lt; Seleccionar&gt;&gt;]])</f>
        <v>#N/A</v>
      </c>
      <c r="D330" s="328" t="e">
        <f>VLOOKUP(Tabla18[[#This Row],[Aux_01]],TablaSubAccionEspecifica[[#All],[Concat]:[Cod_Sub_acción_especifica]],2,0)</f>
        <v>#N/A</v>
      </c>
      <c r="E330" s="328" t="e">
        <f>Tabla18[[#This Row],[Bus_03]]&amp;"_"&amp;Tabla5[[#This Row],[Tipo de Agente
&lt;&lt; Seleccionar&gt;&gt;]]</f>
        <v>#N/A</v>
      </c>
      <c r="F330" s="328" t="e">
        <f>VLOOKUP(Tabla18[[#This Row],[Concat2]],TablaPOA[[#All],[Concat]:[ConcatEspecial]],3,0)</f>
        <v>#N/A</v>
      </c>
      <c r="G330" s="65" t="str">
        <f>CONCATENATE(Registro!$A$6,"_",Tabla5[[#This Row],[Zona (Provincia)
&lt;&lt; Seleccionar&gt;&gt;]])</f>
        <v>Huánuco_</v>
      </c>
      <c r="H330" s="60" t="e">
        <f>VLOOKUP(Tabla18[[#This Row],[Concatenado***]],Tabla2[[#All],[Concatenado]:[Simbología*]],2,0)</f>
        <v>#N/A</v>
      </c>
      <c r="I330" s="65" t="str">
        <f>CONCATENATE(Tabla18[[#This Row],[Concatenado***]],"_",Tabla5[[#This Row],[Zona (Distrito)
&lt;&lt; Seleccionar&gt;&gt;]])</f>
        <v>Huánuco__</v>
      </c>
      <c r="J3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0" s="72" t="e">
        <f>VLOOKUP(Tabla5[[#This Row],[Tipo de Transporte Empleado
&lt;&lt; Seleccionar&gt;&gt;]],Tabla8[#All],2,0)</f>
        <v>#N/A</v>
      </c>
      <c r="L330" s="71" t="e">
        <f>#REF!+(#REF!*2)+#REF!</f>
        <v>#REF!</v>
      </c>
    </row>
    <row r="331" spans="1:12" x14ac:dyDescent="0.25">
      <c r="A331" s="328" t="e">
        <f>VLOOKUP(Tabla5[[#This Row],[Acción
&lt;&lt; Seleccionar&gt;&gt;]],TablaAccion[[#All],[Nombre_Abreviado]:[Codigo_Plan_Acción]],3,0)</f>
        <v>#N/A</v>
      </c>
      <c r="B331" s="328" t="e">
        <f>VLOOKUP(Tabla5[[#This Row],[Acción Especifica
&lt;&lt; Seleccionar&gt;&gt;]],TablaAccionEspecifica[[#All],[Nombre_Abreviado]:[Codigo_Acción]],3,0)</f>
        <v>#N/A</v>
      </c>
      <c r="C331" s="328" t="e">
        <f>CONCATENATE(Tabla18[[#This Row],[Bus_02]],"_",Tabla5[[#This Row],[Sub Acción Específica
&lt;&lt; Seleccionar&gt;&gt;]])</f>
        <v>#N/A</v>
      </c>
      <c r="D331" s="328" t="e">
        <f>VLOOKUP(Tabla18[[#This Row],[Aux_01]],TablaSubAccionEspecifica[[#All],[Concat]:[Cod_Sub_acción_especifica]],2,0)</f>
        <v>#N/A</v>
      </c>
      <c r="E331" s="328" t="e">
        <f>Tabla18[[#This Row],[Bus_03]]&amp;"_"&amp;Tabla5[[#This Row],[Tipo de Agente
&lt;&lt; Seleccionar&gt;&gt;]]</f>
        <v>#N/A</v>
      </c>
      <c r="F331" s="328" t="e">
        <f>VLOOKUP(Tabla18[[#This Row],[Concat2]],TablaPOA[[#All],[Concat]:[ConcatEspecial]],3,0)</f>
        <v>#N/A</v>
      </c>
      <c r="G331" s="65" t="str">
        <f>CONCATENATE(Registro!$A$6,"_",Tabla5[[#This Row],[Zona (Provincia)
&lt;&lt; Seleccionar&gt;&gt;]])</f>
        <v>Huánuco_</v>
      </c>
      <c r="H331" s="60" t="e">
        <f>VLOOKUP(Tabla18[[#This Row],[Concatenado***]],Tabla2[[#All],[Concatenado]:[Simbología*]],2,0)</f>
        <v>#N/A</v>
      </c>
      <c r="I331" s="65" t="str">
        <f>CONCATENATE(Tabla18[[#This Row],[Concatenado***]],"_",Tabla5[[#This Row],[Zona (Distrito)
&lt;&lt; Seleccionar&gt;&gt;]])</f>
        <v>Huánuco__</v>
      </c>
      <c r="J3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1" s="72" t="e">
        <f>VLOOKUP(Tabla5[[#This Row],[Tipo de Transporte Empleado
&lt;&lt; Seleccionar&gt;&gt;]],Tabla8[#All],2,0)</f>
        <v>#N/A</v>
      </c>
      <c r="L331" s="71" t="e">
        <f>#REF!+(#REF!*2)+#REF!</f>
        <v>#REF!</v>
      </c>
    </row>
    <row r="332" spans="1:12" x14ac:dyDescent="0.25">
      <c r="A332" s="328" t="e">
        <f>VLOOKUP(Tabla5[[#This Row],[Acción
&lt;&lt; Seleccionar&gt;&gt;]],TablaAccion[[#All],[Nombre_Abreviado]:[Codigo_Plan_Acción]],3,0)</f>
        <v>#N/A</v>
      </c>
      <c r="B332" s="328" t="e">
        <f>VLOOKUP(Tabla5[[#This Row],[Acción Especifica
&lt;&lt; Seleccionar&gt;&gt;]],TablaAccionEspecifica[[#All],[Nombre_Abreviado]:[Codigo_Acción]],3,0)</f>
        <v>#N/A</v>
      </c>
      <c r="C332" s="328" t="e">
        <f>CONCATENATE(Tabla18[[#This Row],[Bus_02]],"_",Tabla5[[#This Row],[Sub Acción Específica
&lt;&lt; Seleccionar&gt;&gt;]])</f>
        <v>#N/A</v>
      </c>
      <c r="D332" s="328" t="e">
        <f>VLOOKUP(Tabla18[[#This Row],[Aux_01]],TablaSubAccionEspecifica[[#All],[Concat]:[Cod_Sub_acción_especifica]],2,0)</f>
        <v>#N/A</v>
      </c>
      <c r="E332" s="328" t="e">
        <f>Tabla18[[#This Row],[Bus_03]]&amp;"_"&amp;Tabla5[[#This Row],[Tipo de Agente
&lt;&lt; Seleccionar&gt;&gt;]]</f>
        <v>#N/A</v>
      </c>
      <c r="F332" s="328" t="e">
        <f>VLOOKUP(Tabla18[[#This Row],[Concat2]],TablaPOA[[#All],[Concat]:[ConcatEspecial]],3,0)</f>
        <v>#N/A</v>
      </c>
      <c r="G332" s="65" t="str">
        <f>CONCATENATE(Registro!$A$6,"_",Tabla5[[#This Row],[Zona (Provincia)
&lt;&lt; Seleccionar&gt;&gt;]])</f>
        <v>Huánuco_</v>
      </c>
      <c r="H332" s="60" t="e">
        <f>VLOOKUP(Tabla18[[#This Row],[Concatenado***]],Tabla2[[#All],[Concatenado]:[Simbología*]],2,0)</f>
        <v>#N/A</v>
      </c>
      <c r="I332" s="65" t="str">
        <f>CONCATENATE(Tabla18[[#This Row],[Concatenado***]],"_",Tabla5[[#This Row],[Zona (Distrito)
&lt;&lt; Seleccionar&gt;&gt;]])</f>
        <v>Huánuco__</v>
      </c>
      <c r="J3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2" s="72" t="e">
        <f>VLOOKUP(Tabla5[[#This Row],[Tipo de Transporte Empleado
&lt;&lt; Seleccionar&gt;&gt;]],Tabla8[#All],2,0)</f>
        <v>#N/A</v>
      </c>
      <c r="L332" s="71" t="e">
        <f>#REF!+(#REF!*2)+#REF!</f>
        <v>#REF!</v>
      </c>
    </row>
    <row r="333" spans="1:12" x14ac:dyDescent="0.25">
      <c r="A333" s="328" t="e">
        <f>VLOOKUP(Tabla5[[#This Row],[Acción
&lt;&lt; Seleccionar&gt;&gt;]],TablaAccion[[#All],[Nombre_Abreviado]:[Codigo_Plan_Acción]],3,0)</f>
        <v>#N/A</v>
      </c>
      <c r="B333" s="328" t="e">
        <f>VLOOKUP(Tabla5[[#This Row],[Acción Especifica
&lt;&lt; Seleccionar&gt;&gt;]],TablaAccionEspecifica[[#All],[Nombre_Abreviado]:[Codigo_Acción]],3,0)</f>
        <v>#N/A</v>
      </c>
      <c r="C333" s="328" t="e">
        <f>CONCATENATE(Tabla18[[#This Row],[Bus_02]],"_",Tabla5[[#This Row],[Sub Acción Específica
&lt;&lt; Seleccionar&gt;&gt;]])</f>
        <v>#N/A</v>
      </c>
      <c r="D333" s="328" t="e">
        <f>VLOOKUP(Tabla18[[#This Row],[Aux_01]],TablaSubAccionEspecifica[[#All],[Concat]:[Cod_Sub_acción_especifica]],2,0)</f>
        <v>#N/A</v>
      </c>
      <c r="E333" s="328" t="e">
        <f>Tabla18[[#This Row],[Bus_03]]&amp;"_"&amp;Tabla5[[#This Row],[Tipo de Agente
&lt;&lt; Seleccionar&gt;&gt;]]</f>
        <v>#N/A</v>
      </c>
      <c r="F333" s="328" t="e">
        <f>VLOOKUP(Tabla18[[#This Row],[Concat2]],TablaPOA[[#All],[Concat]:[ConcatEspecial]],3,0)</f>
        <v>#N/A</v>
      </c>
      <c r="G333" s="65" t="str">
        <f>CONCATENATE(Registro!$A$6,"_",Tabla5[[#This Row],[Zona (Provincia)
&lt;&lt; Seleccionar&gt;&gt;]])</f>
        <v>Huánuco_</v>
      </c>
      <c r="H333" s="60" t="e">
        <f>VLOOKUP(Tabla18[[#This Row],[Concatenado***]],Tabla2[[#All],[Concatenado]:[Simbología*]],2,0)</f>
        <v>#N/A</v>
      </c>
      <c r="I333" s="65" t="str">
        <f>CONCATENATE(Tabla18[[#This Row],[Concatenado***]],"_",Tabla5[[#This Row],[Zona (Distrito)
&lt;&lt; Seleccionar&gt;&gt;]])</f>
        <v>Huánuco__</v>
      </c>
      <c r="J3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3" s="72" t="e">
        <f>VLOOKUP(Tabla5[[#This Row],[Tipo de Transporte Empleado
&lt;&lt; Seleccionar&gt;&gt;]],Tabla8[#All],2,0)</f>
        <v>#N/A</v>
      </c>
      <c r="L333" s="71" t="e">
        <f>#REF!+(#REF!*2)+#REF!</f>
        <v>#REF!</v>
      </c>
    </row>
    <row r="334" spans="1:12" x14ac:dyDescent="0.25">
      <c r="A334" s="328" t="e">
        <f>VLOOKUP(Tabla5[[#This Row],[Acción
&lt;&lt; Seleccionar&gt;&gt;]],TablaAccion[[#All],[Nombre_Abreviado]:[Codigo_Plan_Acción]],3,0)</f>
        <v>#N/A</v>
      </c>
      <c r="B334" s="328" t="e">
        <f>VLOOKUP(Tabla5[[#This Row],[Acción Especifica
&lt;&lt; Seleccionar&gt;&gt;]],TablaAccionEspecifica[[#All],[Nombre_Abreviado]:[Codigo_Acción]],3,0)</f>
        <v>#N/A</v>
      </c>
      <c r="C334" s="328" t="e">
        <f>CONCATENATE(Tabla18[[#This Row],[Bus_02]],"_",Tabla5[[#This Row],[Sub Acción Específica
&lt;&lt; Seleccionar&gt;&gt;]])</f>
        <v>#N/A</v>
      </c>
      <c r="D334" s="328" t="e">
        <f>VLOOKUP(Tabla18[[#This Row],[Aux_01]],TablaSubAccionEspecifica[[#All],[Concat]:[Cod_Sub_acción_especifica]],2,0)</f>
        <v>#N/A</v>
      </c>
      <c r="E334" s="328" t="e">
        <f>Tabla18[[#This Row],[Bus_03]]&amp;"_"&amp;Tabla5[[#This Row],[Tipo de Agente
&lt;&lt; Seleccionar&gt;&gt;]]</f>
        <v>#N/A</v>
      </c>
      <c r="F334" s="328" t="e">
        <f>VLOOKUP(Tabla18[[#This Row],[Concat2]],TablaPOA[[#All],[Concat]:[ConcatEspecial]],3,0)</f>
        <v>#N/A</v>
      </c>
      <c r="G334" s="65" t="str">
        <f>CONCATENATE(Registro!$A$6,"_",Tabla5[[#This Row],[Zona (Provincia)
&lt;&lt; Seleccionar&gt;&gt;]])</f>
        <v>Huánuco_</v>
      </c>
      <c r="H334" s="60" t="e">
        <f>VLOOKUP(Tabla18[[#This Row],[Concatenado***]],Tabla2[[#All],[Concatenado]:[Simbología*]],2,0)</f>
        <v>#N/A</v>
      </c>
      <c r="I334" s="65" t="str">
        <f>CONCATENATE(Tabla18[[#This Row],[Concatenado***]],"_",Tabla5[[#This Row],[Zona (Distrito)
&lt;&lt; Seleccionar&gt;&gt;]])</f>
        <v>Huánuco__</v>
      </c>
      <c r="J3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4" s="72" t="e">
        <f>VLOOKUP(Tabla5[[#This Row],[Tipo de Transporte Empleado
&lt;&lt; Seleccionar&gt;&gt;]],Tabla8[#All],2,0)</f>
        <v>#N/A</v>
      </c>
      <c r="L334" s="71" t="e">
        <f>#REF!+(#REF!*2)+#REF!</f>
        <v>#REF!</v>
      </c>
    </row>
    <row r="335" spans="1:12" x14ac:dyDescent="0.25">
      <c r="A335" s="328" t="e">
        <f>VLOOKUP(Tabla5[[#This Row],[Acción
&lt;&lt; Seleccionar&gt;&gt;]],TablaAccion[[#All],[Nombre_Abreviado]:[Codigo_Plan_Acción]],3,0)</f>
        <v>#N/A</v>
      </c>
      <c r="B335" s="328" t="e">
        <f>VLOOKUP(Tabla5[[#This Row],[Acción Especifica
&lt;&lt; Seleccionar&gt;&gt;]],TablaAccionEspecifica[[#All],[Nombre_Abreviado]:[Codigo_Acción]],3,0)</f>
        <v>#N/A</v>
      </c>
      <c r="C335" s="328" t="e">
        <f>CONCATENATE(Tabla18[[#This Row],[Bus_02]],"_",Tabla5[[#This Row],[Sub Acción Específica
&lt;&lt; Seleccionar&gt;&gt;]])</f>
        <v>#N/A</v>
      </c>
      <c r="D335" s="328" t="e">
        <f>VLOOKUP(Tabla18[[#This Row],[Aux_01]],TablaSubAccionEspecifica[[#All],[Concat]:[Cod_Sub_acción_especifica]],2,0)</f>
        <v>#N/A</v>
      </c>
      <c r="E335" s="328" t="e">
        <f>Tabla18[[#This Row],[Bus_03]]&amp;"_"&amp;Tabla5[[#This Row],[Tipo de Agente
&lt;&lt; Seleccionar&gt;&gt;]]</f>
        <v>#N/A</v>
      </c>
      <c r="F335" s="328" t="e">
        <f>VLOOKUP(Tabla18[[#This Row],[Concat2]],TablaPOA[[#All],[Concat]:[ConcatEspecial]],3,0)</f>
        <v>#N/A</v>
      </c>
      <c r="G335" s="65" t="str">
        <f>CONCATENATE(Registro!$A$6,"_",Tabla5[[#This Row],[Zona (Provincia)
&lt;&lt; Seleccionar&gt;&gt;]])</f>
        <v>Huánuco_</v>
      </c>
      <c r="H335" s="60" t="e">
        <f>VLOOKUP(Tabla18[[#This Row],[Concatenado***]],Tabla2[[#All],[Concatenado]:[Simbología*]],2,0)</f>
        <v>#N/A</v>
      </c>
      <c r="I335" s="65" t="str">
        <f>CONCATENATE(Tabla18[[#This Row],[Concatenado***]],"_",Tabla5[[#This Row],[Zona (Distrito)
&lt;&lt; Seleccionar&gt;&gt;]])</f>
        <v>Huánuco__</v>
      </c>
      <c r="J3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5" s="72" t="e">
        <f>VLOOKUP(Tabla5[[#This Row],[Tipo de Transporte Empleado
&lt;&lt; Seleccionar&gt;&gt;]],Tabla8[#All],2,0)</f>
        <v>#N/A</v>
      </c>
      <c r="L335" s="71" t="e">
        <f>#REF!+(#REF!*2)+#REF!</f>
        <v>#REF!</v>
      </c>
    </row>
    <row r="336" spans="1:12" x14ac:dyDescent="0.25">
      <c r="A336" s="328" t="e">
        <f>VLOOKUP(Tabla5[[#This Row],[Acción
&lt;&lt; Seleccionar&gt;&gt;]],TablaAccion[[#All],[Nombre_Abreviado]:[Codigo_Plan_Acción]],3,0)</f>
        <v>#N/A</v>
      </c>
      <c r="B336" s="328" t="e">
        <f>VLOOKUP(Tabla5[[#This Row],[Acción Especifica
&lt;&lt; Seleccionar&gt;&gt;]],TablaAccionEspecifica[[#All],[Nombre_Abreviado]:[Codigo_Acción]],3,0)</f>
        <v>#N/A</v>
      </c>
      <c r="C336" s="328" t="e">
        <f>CONCATENATE(Tabla18[[#This Row],[Bus_02]],"_",Tabla5[[#This Row],[Sub Acción Específica
&lt;&lt; Seleccionar&gt;&gt;]])</f>
        <v>#N/A</v>
      </c>
      <c r="D336" s="328" t="e">
        <f>VLOOKUP(Tabla18[[#This Row],[Aux_01]],TablaSubAccionEspecifica[[#All],[Concat]:[Cod_Sub_acción_especifica]],2,0)</f>
        <v>#N/A</v>
      </c>
      <c r="E336" s="328" t="e">
        <f>Tabla18[[#This Row],[Bus_03]]&amp;"_"&amp;Tabla5[[#This Row],[Tipo de Agente
&lt;&lt; Seleccionar&gt;&gt;]]</f>
        <v>#N/A</v>
      </c>
      <c r="F336" s="328" t="e">
        <f>VLOOKUP(Tabla18[[#This Row],[Concat2]],TablaPOA[[#All],[Concat]:[ConcatEspecial]],3,0)</f>
        <v>#N/A</v>
      </c>
      <c r="G336" s="65" t="str">
        <f>CONCATENATE(Registro!$A$6,"_",Tabla5[[#This Row],[Zona (Provincia)
&lt;&lt; Seleccionar&gt;&gt;]])</f>
        <v>Huánuco_</v>
      </c>
      <c r="H336" s="60" t="e">
        <f>VLOOKUP(Tabla18[[#This Row],[Concatenado***]],Tabla2[[#All],[Concatenado]:[Simbología*]],2,0)</f>
        <v>#N/A</v>
      </c>
      <c r="I336" s="65" t="str">
        <f>CONCATENATE(Tabla18[[#This Row],[Concatenado***]],"_",Tabla5[[#This Row],[Zona (Distrito)
&lt;&lt; Seleccionar&gt;&gt;]])</f>
        <v>Huánuco__</v>
      </c>
      <c r="J3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6" s="72" t="e">
        <f>VLOOKUP(Tabla5[[#This Row],[Tipo de Transporte Empleado
&lt;&lt; Seleccionar&gt;&gt;]],Tabla8[#All],2,0)</f>
        <v>#N/A</v>
      </c>
      <c r="L336" s="71" t="e">
        <f>#REF!+(#REF!*2)+#REF!</f>
        <v>#REF!</v>
      </c>
    </row>
    <row r="337" spans="1:12" x14ac:dyDescent="0.25">
      <c r="A337" s="328" t="e">
        <f>VLOOKUP(Tabla5[[#This Row],[Acción
&lt;&lt; Seleccionar&gt;&gt;]],TablaAccion[[#All],[Nombre_Abreviado]:[Codigo_Plan_Acción]],3,0)</f>
        <v>#N/A</v>
      </c>
      <c r="B337" s="328" t="e">
        <f>VLOOKUP(Tabla5[[#This Row],[Acción Especifica
&lt;&lt; Seleccionar&gt;&gt;]],TablaAccionEspecifica[[#All],[Nombre_Abreviado]:[Codigo_Acción]],3,0)</f>
        <v>#N/A</v>
      </c>
      <c r="C337" s="328" t="e">
        <f>CONCATENATE(Tabla18[[#This Row],[Bus_02]],"_",Tabla5[[#This Row],[Sub Acción Específica
&lt;&lt; Seleccionar&gt;&gt;]])</f>
        <v>#N/A</v>
      </c>
      <c r="D337" s="328" t="e">
        <f>VLOOKUP(Tabla18[[#This Row],[Aux_01]],TablaSubAccionEspecifica[[#All],[Concat]:[Cod_Sub_acción_especifica]],2,0)</f>
        <v>#N/A</v>
      </c>
      <c r="E337" s="328" t="e">
        <f>Tabla18[[#This Row],[Bus_03]]&amp;"_"&amp;Tabla5[[#This Row],[Tipo de Agente
&lt;&lt; Seleccionar&gt;&gt;]]</f>
        <v>#N/A</v>
      </c>
      <c r="F337" s="328" t="e">
        <f>VLOOKUP(Tabla18[[#This Row],[Concat2]],TablaPOA[[#All],[Concat]:[ConcatEspecial]],3,0)</f>
        <v>#N/A</v>
      </c>
      <c r="G337" s="65" t="str">
        <f>CONCATENATE(Registro!$A$6,"_",Tabla5[[#This Row],[Zona (Provincia)
&lt;&lt; Seleccionar&gt;&gt;]])</f>
        <v>Huánuco_</v>
      </c>
      <c r="H337" s="60" t="e">
        <f>VLOOKUP(Tabla18[[#This Row],[Concatenado***]],Tabla2[[#All],[Concatenado]:[Simbología*]],2,0)</f>
        <v>#N/A</v>
      </c>
      <c r="I337" s="65" t="str">
        <f>CONCATENATE(Tabla18[[#This Row],[Concatenado***]],"_",Tabla5[[#This Row],[Zona (Distrito)
&lt;&lt; Seleccionar&gt;&gt;]])</f>
        <v>Huánuco__</v>
      </c>
      <c r="J3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7" s="72" t="e">
        <f>VLOOKUP(Tabla5[[#This Row],[Tipo de Transporte Empleado
&lt;&lt; Seleccionar&gt;&gt;]],Tabla8[#All],2,0)</f>
        <v>#N/A</v>
      </c>
      <c r="L337" s="71" t="e">
        <f>#REF!+(#REF!*2)+#REF!</f>
        <v>#REF!</v>
      </c>
    </row>
    <row r="338" spans="1:12" x14ac:dyDescent="0.25">
      <c r="A338" s="328" t="e">
        <f>VLOOKUP(Tabla5[[#This Row],[Acción
&lt;&lt; Seleccionar&gt;&gt;]],TablaAccion[[#All],[Nombre_Abreviado]:[Codigo_Plan_Acción]],3,0)</f>
        <v>#N/A</v>
      </c>
      <c r="B338" s="328" t="e">
        <f>VLOOKUP(Tabla5[[#This Row],[Acción Especifica
&lt;&lt; Seleccionar&gt;&gt;]],TablaAccionEspecifica[[#All],[Nombre_Abreviado]:[Codigo_Acción]],3,0)</f>
        <v>#N/A</v>
      </c>
      <c r="C338" s="328" t="e">
        <f>CONCATENATE(Tabla18[[#This Row],[Bus_02]],"_",Tabla5[[#This Row],[Sub Acción Específica
&lt;&lt; Seleccionar&gt;&gt;]])</f>
        <v>#N/A</v>
      </c>
      <c r="D338" s="328" t="e">
        <f>VLOOKUP(Tabla18[[#This Row],[Aux_01]],TablaSubAccionEspecifica[[#All],[Concat]:[Cod_Sub_acción_especifica]],2,0)</f>
        <v>#N/A</v>
      </c>
      <c r="E338" s="328" t="e">
        <f>Tabla18[[#This Row],[Bus_03]]&amp;"_"&amp;Tabla5[[#This Row],[Tipo de Agente
&lt;&lt; Seleccionar&gt;&gt;]]</f>
        <v>#N/A</v>
      </c>
      <c r="F338" s="328" t="e">
        <f>VLOOKUP(Tabla18[[#This Row],[Concat2]],TablaPOA[[#All],[Concat]:[ConcatEspecial]],3,0)</f>
        <v>#N/A</v>
      </c>
      <c r="G338" s="65" t="str">
        <f>CONCATENATE(Registro!$A$6,"_",Tabla5[[#This Row],[Zona (Provincia)
&lt;&lt; Seleccionar&gt;&gt;]])</f>
        <v>Huánuco_</v>
      </c>
      <c r="H338" s="60" t="e">
        <f>VLOOKUP(Tabla18[[#This Row],[Concatenado***]],Tabla2[[#All],[Concatenado]:[Simbología*]],2,0)</f>
        <v>#N/A</v>
      </c>
      <c r="I338" s="65" t="str">
        <f>CONCATENATE(Tabla18[[#This Row],[Concatenado***]],"_",Tabla5[[#This Row],[Zona (Distrito)
&lt;&lt; Seleccionar&gt;&gt;]])</f>
        <v>Huánuco__</v>
      </c>
      <c r="J3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8" s="72" t="e">
        <f>VLOOKUP(Tabla5[[#This Row],[Tipo de Transporte Empleado
&lt;&lt; Seleccionar&gt;&gt;]],Tabla8[#All],2,0)</f>
        <v>#N/A</v>
      </c>
      <c r="L338" s="71" t="e">
        <f>#REF!+(#REF!*2)+#REF!</f>
        <v>#REF!</v>
      </c>
    </row>
    <row r="339" spans="1:12" x14ac:dyDescent="0.25">
      <c r="A339" s="328" t="e">
        <f>VLOOKUP(Tabla5[[#This Row],[Acción
&lt;&lt; Seleccionar&gt;&gt;]],TablaAccion[[#All],[Nombre_Abreviado]:[Codigo_Plan_Acción]],3,0)</f>
        <v>#N/A</v>
      </c>
      <c r="B339" s="328" t="e">
        <f>VLOOKUP(Tabla5[[#This Row],[Acción Especifica
&lt;&lt; Seleccionar&gt;&gt;]],TablaAccionEspecifica[[#All],[Nombre_Abreviado]:[Codigo_Acción]],3,0)</f>
        <v>#N/A</v>
      </c>
      <c r="C339" s="328" t="e">
        <f>CONCATENATE(Tabla18[[#This Row],[Bus_02]],"_",Tabla5[[#This Row],[Sub Acción Específica
&lt;&lt; Seleccionar&gt;&gt;]])</f>
        <v>#N/A</v>
      </c>
      <c r="D339" s="328" t="e">
        <f>VLOOKUP(Tabla18[[#This Row],[Aux_01]],TablaSubAccionEspecifica[[#All],[Concat]:[Cod_Sub_acción_especifica]],2,0)</f>
        <v>#N/A</v>
      </c>
      <c r="E339" s="328" t="e">
        <f>Tabla18[[#This Row],[Bus_03]]&amp;"_"&amp;Tabla5[[#This Row],[Tipo de Agente
&lt;&lt; Seleccionar&gt;&gt;]]</f>
        <v>#N/A</v>
      </c>
      <c r="F339" s="328" t="e">
        <f>VLOOKUP(Tabla18[[#This Row],[Concat2]],TablaPOA[[#All],[Concat]:[ConcatEspecial]],3,0)</f>
        <v>#N/A</v>
      </c>
      <c r="G339" s="65" t="str">
        <f>CONCATENATE(Registro!$A$6,"_",Tabla5[[#This Row],[Zona (Provincia)
&lt;&lt; Seleccionar&gt;&gt;]])</f>
        <v>Huánuco_</v>
      </c>
      <c r="H339" s="60" t="e">
        <f>VLOOKUP(Tabla18[[#This Row],[Concatenado***]],Tabla2[[#All],[Concatenado]:[Simbología*]],2,0)</f>
        <v>#N/A</v>
      </c>
      <c r="I339" s="65" t="str">
        <f>CONCATENATE(Tabla18[[#This Row],[Concatenado***]],"_",Tabla5[[#This Row],[Zona (Distrito)
&lt;&lt; Seleccionar&gt;&gt;]])</f>
        <v>Huánuco__</v>
      </c>
      <c r="J3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9" s="72" t="e">
        <f>VLOOKUP(Tabla5[[#This Row],[Tipo de Transporte Empleado
&lt;&lt; Seleccionar&gt;&gt;]],Tabla8[#All],2,0)</f>
        <v>#N/A</v>
      </c>
      <c r="L339" s="71" t="e">
        <f>#REF!+(#REF!*2)+#REF!</f>
        <v>#REF!</v>
      </c>
    </row>
    <row r="340" spans="1:12" x14ac:dyDescent="0.25">
      <c r="A340" s="328" t="e">
        <f>VLOOKUP(Tabla5[[#This Row],[Acción
&lt;&lt; Seleccionar&gt;&gt;]],TablaAccion[[#All],[Nombre_Abreviado]:[Codigo_Plan_Acción]],3,0)</f>
        <v>#N/A</v>
      </c>
      <c r="B340" s="328" t="e">
        <f>VLOOKUP(Tabla5[[#This Row],[Acción Especifica
&lt;&lt; Seleccionar&gt;&gt;]],TablaAccionEspecifica[[#All],[Nombre_Abreviado]:[Codigo_Acción]],3,0)</f>
        <v>#N/A</v>
      </c>
      <c r="C340" s="328" t="e">
        <f>CONCATENATE(Tabla18[[#This Row],[Bus_02]],"_",Tabla5[[#This Row],[Sub Acción Específica
&lt;&lt; Seleccionar&gt;&gt;]])</f>
        <v>#N/A</v>
      </c>
      <c r="D340" s="328" t="e">
        <f>VLOOKUP(Tabla18[[#This Row],[Aux_01]],TablaSubAccionEspecifica[[#All],[Concat]:[Cod_Sub_acción_especifica]],2,0)</f>
        <v>#N/A</v>
      </c>
      <c r="E340" s="328" t="e">
        <f>Tabla18[[#This Row],[Bus_03]]&amp;"_"&amp;Tabla5[[#This Row],[Tipo de Agente
&lt;&lt; Seleccionar&gt;&gt;]]</f>
        <v>#N/A</v>
      </c>
      <c r="F340" s="328" t="e">
        <f>VLOOKUP(Tabla18[[#This Row],[Concat2]],TablaPOA[[#All],[Concat]:[ConcatEspecial]],3,0)</f>
        <v>#N/A</v>
      </c>
      <c r="G340" s="65" t="str">
        <f>CONCATENATE(Registro!$A$6,"_",Tabla5[[#This Row],[Zona (Provincia)
&lt;&lt; Seleccionar&gt;&gt;]])</f>
        <v>Huánuco_</v>
      </c>
      <c r="H340" s="60" t="e">
        <f>VLOOKUP(Tabla18[[#This Row],[Concatenado***]],Tabla2[[#All],[Concatenado]:[Simbología*]],2,0)</f>
        <v>#N/A</v>
      </c>
      <c r="I340" s="65" t="str">
        <f>CONCATENATE(Tabla18[[#This Row],[Concatenado***]],"_",Tabla5[[#This Row],[Zona (Distrito)
&lt;&lt; Seleccionar&gt;&gt;]])</f>
        <v>Huánuco__</v>
      </c>
      <c r="J3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0" s="72" t="e">
        <f>VLOOKUP(Tabla5[[#This Row],[Tipo de Transporte Empleado
&lt;&lt; Seleccionar&gt;&gt;]],Tabla8[#All],2,0)</f>
        <v>#N/A</v>
      </c>
      <c r="L340" s="71" t="e">
        <f>#REF!+(#REF!*2)+#REF!</f>
        <v>#REF!</v>
      </c>
    </row>
    <row r="341" spans="1:12" x14ac:dyDescent="0.25">
      <c r="A341" s="328" t="e">
        <f>VLOOKUP(Tabla5[[#This Row],[Acción
&lt;&lt; Seleccionar&gt;&gt;]],TablaAccion[[#All],[Nombre_Abreviado]:[Codigo_Plan_Acción]],3,0)</f>
        <v>#N/A</v>
      </c>
      <c r="B341" s="328" t="e">
        <f>VLOOKUP(Tabla5[[#This Row],[Acción Especifica
&lt;&lt; Seleccionar&gt;&gt;]],TablaAccionEspecifica[[#All],[Nombre_Abreviado]:[Codigo_Acción]],3,0)</f>
        <v>#N/A</v>
      </c>
      <c r="C341" s="328" t="e">
        <f>CONCATENATE(Tabla18[[#This Row],[Bus_02]],"_",Tabla5[[#This Row],[Sub Acción Específica
&lt;&lt; Seleccionar&gt;&gt;]])</f>
        <v>#N/A</v>
      </c>
      <c r="D341" s="328" t="e">
        <f>VLOOKUP(Tabla18[[#This Row],[Aux_01]],TablaSubAccionEspecifica[[#All],[Concat]:[Cod_Sub_acción_especifica]],2,0)</f>
        <v>#N/A</v>
      </c>
      <c r="E341" s="328" t="e">
        <f>Tabla18[[#This Row],[Bus_03]]&amp;"_"&amp;Tabla5[[#This Row],[Tipo de Agente
&lt;&lt; Seleccionar&gt;&gt;]]</f>
        <v>#N/A</v>
      </c>
      <c r="F341" s="328" t="e">
        <f>VLOOKUP(Tabla18[[#This Row],[Concat2]],TablaPOA[[#All],[Concat]:[ConcatEspecial]],3,0)</f>
        <v>#N/A</v>
      </c>
      <c r="G341" s="65" t="str">
        <f>CONCATENATE(Registro!$A$6,"_",Tabla5[[#This Row],[Zona (Provincia)
&lt;&lt; Seleccionar&gt;&gt;]])</f>
        <v>Huánuco_</v>
      </c>
      <c r="H341" s="60" t="e">
        <f>VLOOKUP(Tabla18[[#This Row],[Concatenado***]],Tabla2[[#All],[Concatenado]:[Simbología*]],2,0)</f>
        <v>#N/A</v>
      </c>
      <c r="I341" s="65" t="str">
        <f>CONCATENATE(Tabla18[[#This Row],[Concatenado***]],"_",Tabla5[[#This Row],[Zona (Distrito)
&lt;&lt; Seleccionar&gt;&gt;]])</f>
        <v>Huánuco__</v>
      </c>
      <c r="J3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1" s="72" t="e">
        <f>VLOOKUP(Tabla5[[#This Row],[Tipo de Transporte Empleado
&lt;&lt; Seleccionar&gt;&gt;]],Tabla8[#All],2,0)</f>
        <v>#N/A</v>
      </c>
      <c r="L341" s="71" t="e">
        <f>#REF!+(#REF!*2)+#REF!</f>
        <v>#REF!</v>
      </c>
    </row>
    <row r="342" spans="1:12" x14ac:dyDescent="0.25">
      <c r="A342" s="328" t="e">
        <f>VLOOKUP(Tabla5[[#This Row],[Acción
&lt;&lt; Seleccionar&gt;&gt;]],TablaAccion[[#All],[Nombre_Abreviado]:[Codigo_Plan_Acción]],3,0)</f>
        <v>#N/A</v>
      </c>
      <c r="B342" s="328" t="e">
        <f>VLOOKUP(Tabla5[[#This Row],[Acción Especifica
&lt;&lt; Seleccionar&gt;&gt;]],TablaAccionEspecifica[[#All],[Nombre_Abreviado]:[Codigo_Acción]],3,0)</f>
        <v>#N/A</v>
      </c>
      <c r="C342" s="328" t="e">
        <f>CONCATENATE(Tabla18[[#This Row],[Bus_02]],"_",Tabla5[[#This Row],[Sub Acción Específica
&lt;&lt; Seleccionar&gt;&gt;]])</f>
        <v>#N/A</v>
      </c>
      <c r="D342" s="328" t="e">
        <f>VLOOKUP(Tabla18[[#This Row],[Aux_01]],TablaSubAccionEspecifica[[#All],[Concat]:[Cod_Sub_acción_especifica]],2,0)</f>
        <v>#N/A</v>
      </c>
      <c r="E342" s="328" t="e">
        <f>Tabla18[[#This Row],[Bus_03]]&amp;"_"&amp;Tabla5[[#This Row],[Tipo de Agente
&lt;&lt; Seleccionar&gt;&gt;]]</f>
        <v>#N/A</v>
      </c>
      <c r="F342" s="328" t="e">
        <f>VLOOKUP(Tabla18[[#This Row],[Concat2]],TablaPOA[[#All],[Concat]:[ConcatEspecial]],3,0)</f>
        <v>#N/A</v>
      </c>
      <c r="G342" s="65" t="str">
        <f>CONCATENATE(Registro!$A$6,"_",Tabla5[[#This Row],[Zona (Provincia)
&lt;&lt; Seleccionar&gt;&gt;]])</f>
        <v>Huánuco_</v>
      </c>
      <c r="H342" s="60" t="e">
        <f>VLOOKUP(Tabla18[[#This Row],[Concatenado***]],Tabla2[[#All],[Concatenado]:[Simbología*]],2,0)</f>
        <v>#N/A</v>
      </c>
      <c r="I342" s="65" t="str">
        <f>CONCATENATE(Tabla18[[#This Row],[Concatenado***]],"_",Tabla5[[#This Row],[Zona (Distrito)
&lt;&lt; Seleccionar&gt;&gt;]])</f>
        <v>Huánuco__</v>
      </c>
      <c r="J3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2" s="72" t="e">
        <f>VLOOKUP(Tabla5[[#This Row],[Tipo de Transporte Empleado
&lt;&lt; Seleccionar&gt;&gt;]],Tabla8[#All],2,0)</f>
        <v>#N/A</v>
      </c>
      <c r="L342" s="71" t="e">
        <f>#REF!+(#REF!*2)+#REF!</f>
        <v>#REF!</v>
      </c>
    </row>
    <row r="343" spans="1:12" x14ac:dyDescent="0.25">
      <c r="A343" s="328" t="e">
        <f>VLOOKUP(Tabla5[[#This Row],[Acción
&lt;&lt; Seleccionar&gt;&gt;]],TablaAccion[[#All],[Nombre_Abreviado]:[Codigo_Plan_Acción]],3,0)</f>
        <v>#N/A</v>
      </c>
      <c r="B343" s="328" t="e">
        <f>VLOOKUP(Tabla5[[#This Row],[Acción Especifica
&lt;&lt; Seleccionar&gt;&gt;]],TablaAccionEspecifica[[#All],[Nombre_Abreviado]:[Codigo_Acción]],3,0)</f>
        <v>#N/A</v>
      </c>
      <c r="C343" s="328" t="e">
        <f>CONCATENATE(Tabla18[[#This Row],[Bus_02]],"_",Tabla5[[#This Row],[Sub Acción Específica
&lt;&lt; Seleccionar&gt;&gt;]])</f>
        <v>#N/A</v>
      </c>
      <c r="D343" s="328" t="e">
        <f>VLOOKUP(Tabla18[[#This Row],[Aux_01]],TablaSubAccionEspecifica[[#All],[Concat]:[Cod_Sub_acción_especifica]],2,0)</f>
        <v>#N/A</v>
      </c>
      <c r="E343" s="328" t="e">
        <f>Tabla18[[#This Row],[Bus_03]]&amp;"_"&amp;Tabla5[[#This Row],[Tipo de Agente
&lt;&lt; Seleccionar&gt;&gt;]]</f>
        <v>#N/A</v>
      </c>
      <c r="F343" s="328" t="e">
        <f>VLOOKUP(Tabla18[[#This Row],[Concat2]],TablaPOA[[#All],[Concat]:[ConcatEspecial]],3,0)</f>
        <v>#N/A</v>
      </c>
      <c r="G343" s="65" t="str">
        <f>CONCATENATE(Registro!$A$6,"_",Tabla5[[#This Row],[Zona (Provincia)
&lt;&lt; Seleccionar&gt;&gt;]])</f>
        <v>Huánuco_</v>
      </c>
      <c r="H343" s="60" t="e">
        <f>VLOOKUP(Tabla18[[#This Row],[Concatenado***]],Tabla2[[#All],[Concatenado]:[Simbología*]],2,0)</f>
        <v>#N/A</v>
      </c>
      <c r="I343" s="65" t="str">
        <f>CONCATENATE(Tabla18[[#This Row],[Concatenado***]],"_",Tabla5[[#This Row],[Zona (Distrito)
&lt;&lt; Seleccionar&gt;&gt;]])</f>
        <v>Huánuco__</v>
      </c>
      <c r="J3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3" s="72" t="e">
        <f>VLOOKUP(Tabla5[[#This Row],[Tipo de Transporte Empleado
&lt;&lt; Seleccionar&gt;&gt;]],Tabla8[#All],2,0)</f>
        <v>#N/A</v>
      </c>
      <c r="L343" s="71" t="e">
        <f>#REF!+(#REF!*2)+#REF!</f>
        <v>#REF!</v>
      </c>
    </row>
    <row r="344" spans="1:12" x14ac:dyDescent="0.25">
      <c r="A344" s="328" t="e">
        <f>VLOOKUP(Tabla5[[#This Row],[Acción
&lt;&lt; Seleccionar&gt;&gt;]],TablaAccion[[#All],[Nombre_Abreviado]:[Codigo_Plan_Acción]],3,0)</f>
        <v>#N/A</v>
      </c>
      <c r="B344" s="328" t="e">
        <f>VLOOKUP(Tabla5[[#This Row],[Acción Especifica
&lt;&lt; Seleccionar&gt;&gt;]],TablaAccionEspecifica[[#All],[Nombre_Abreviado]:[Codigo_Acción]],3,0)</f>
        <v>#N/A</v>
      </c>
      <c r="C344" s="328" t="e">
        <f>CONCATENATE(Tabla18[[#This Row],[Bus_02]],"_",Tabla5[[#This Row],[Sub Acción Específica
&lt;&lt; Seleccionar&gt;&gt;]])</f>
        <v>#N/A</v>
      </c>
      <c r="D344" s="328" t="e">
        <f>VLOOKUP(Tabla18[[#This Row],[Aux_01]],TablaSubAccionEspecifica[[#All],[Concat]:[Cod_Sub_acción_especifica]],2,0)</f>
        <v>#N/A</v>
      </c>
      <c r="E344" s="328" t="e">
        <f>Tabla18[[#This Row],[Bus_03]]&amp;"_"&amp;Tabla5[[#This Row],[Tipo de Agente
&lt;&lt; Seleccionar&gt;&gt;]]</f>
        <v>#N/A</v>
      </c>
      <c r="F344" s="328" t="e">
        <f>VLOOKUP(Tabla18[[#This Row],[Concat2]],TablaPOA[[#All],[Concat]:[ConcatEspecial]],3,0)</f>
        <v>#N/A</v>
      </c>
      <c r="G344" s="65" t="str">
        <f>CONCATENATE(Registro!$A$6,"_",Tabla5[[#This Row],[Zona (Provincia)
&lt;&lt; Seleccionar&gt;&gt;]])</f>
        <v>Huánuco_</v>
      </c>
      <c r="H344" s="60" t="e">
        <f>VLOOKUP(Tabla18[[#This Row],[Concatenado***]],Tabla2[[#All],[Concatenado]:[Simbología*]],2,0)</f>
        <v>#N/A</v>
      </c>
      <c r="I344" s="65" t="str">
        <f>CONCATENATE(Tabla18[[#This Row],[Concatenado***]],"_",Tabla5[[#This Row],[Zona (Distrito)
&lt;&lt; Seleccionar&gt;&gt;]])</f>
        <v>Huánuco__</v>
      </c>
      <c r="J3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4" s="72" t="e">
        <f>VLOOKUP(Tabla5[[#This Row],[Tipo de Transporte Empleado
&lt;&lt; Seleccionar&gt;&gt;]],Tabla8[#All],2,0)</f>
        <v>#N/A</v>
      </c>
      <c r="L344" s="71" t="e">
        <f>#REF!+(#REF!*2)+#REF!</f>
        <v>#REF!</v>
      </c>
    </row>
    <row r="345" spans="1:12" x14ac:dyDescent="0.25">
      <c r="A345" s="328" t="e">
        <f>VLOOKUP(Tabla5[[#This Row],[Acción
&lt;&lt; Seleccionar&gt;&gt;]],TablaAccion[[#All],[Nombre_Abreviado]:[Codigo_Plan_Acción]],3,0)</f>
        <v>#N/A</v>
      </c>
      <c r="B345" s="328" t="e">
        <f>VLOOKUP(Tabla5[[#This Row],[Acción Especifica
&lt;&lt; Seleccionar&gt;&gt;]],TablaAccionEspecifica[[#All],[Nombre_Abreviado]:[Codigo_Acción]],3,0)</f>
        <v>#N/A</v>
      </c>
      <c r="C345" s="328" t="e">
        <f>CONCATENATE(Tabla18[[#This Row],[Bus_02]],"_",Tabla5[[#This Row],[Sub Acción Específica
&lt;&lt; Seleccionar&gt;&gt;]])</f>
        <v>#N/A</v>
      </c>
      <c r="D345" s="328" t="e">
        <f>VLOOKUP(Tabla18[[#This Row],[Aux_01]],TablaSubAccionEspecifica[[#All],[Concat]:[Cod_Sub_acción_especifica]],2,0)</f>
        <v>#N/A</v>
      </c>
      <c r="E345" s="328" t="e">
        <f>Tabla18[[#This Row],[Bus_03]]&amp;"_"&amp;Tabla5[[#This Row],[Tipo de Agente
&lt;&lt; Seleccionar&gt;&gt;]]</f>
        <v>#N/A</v>
      </c>
      <c r="F345" s="328" t="e">
        <f>VLOOKUP(Tabla18[[#This Row],[Concat2]],TablaPOA[[#All],[Concat]:[ConcatEspecial]],3,0)</f>
        <v>#N/A</v>
      </c>
      <c r="G345" s="65" t="str">
        <f>CONCATENATE(Registro!$A$6,"_",Tabla5[[#This Row],[Zona (Provincia)
&lt;&lt; Seleccionar&gt;&gt;]])</f>
        <v>Huánuco_</v>
      </c>
      <c r="H345" s="60" t="e">
        <f>VLOOKUP(Tabla18[[#This Row],[Concatenado***]],Tabla2[[#All],[Concatenado]:[Simbología*]],2,0)</f>
        <v>#N/A</v>
      </c>
      <c r="I345" s="65" t="str">
        <f>CONCATENATE(Tabla18[[#This Row],[Concatenado***]],"_",Tabla5[[#This Row],[Zona (Distrito)
&lt;&lt; Seleccionar&gt;&gt;]])</f>
        <v>Huánuco__</v>
      </c>
      <c r="J3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5" s="72" t="e">
        <f>VLOOKUP(Tabla5[[#This Row],[Tipo de Transporte Empleado
&lt;&lt; Seleccionar&gt;&gt;]],Tabla8[#All],2,0)</f>
        <v>#N/A</v>
      </c>
      <c r="L345" s="71" t="e">
        <f>#REF!+(#REF!*2)+#REF!</f>
        <v>#REF!</v>
      </c>
    </row>
    <row r="346" spans="1:12" x14ac:dyDescent="0.25">
      <c r="A346" s="328" t="e">
        <f>VLOOKUP(Tabla5[[#This Row],[Acción
&lt;&lt; Seleccionar&gt;&gt;]],TablaAccion[[#All],[Nombre_Abreviado]:[Codigo_Plan_Acción]],3,0)</f>
        <v>#N/A</v>
      </c>
      <c r="B346" s="328" t="e">
        <f>VLOOKUP(Tabla5[[#This Row],[Acción Especifica
&lt;&lt; Seleccionar&gt;&gt;]],TablaAccionEspecifica[[#All],[Nombre_Abreviado]:[Codigo_Acción]],3,0)</f>
        <v>#N/A</v>
      </c>
      <c r="C346" s="328" t="e">
        <f>CONCATENATE(Tabla18[[#This Row],[Bus_02]],"_",Tabla5[[#This Row],[Sub Acción Específica
&lt;&lt; Seleccionar&gt;&gt;]])</f>
        <v>#N/A</v>
      </c>
      <c r="D346" s="328" t="e">
        <f>VLOOKUP(Tabla18[[#This Row],[Aux_01]],TablaSubAccionEspecifica[[#All],[Concat]:[Cod_Sub_acción_especifica]],2,0)</f>
        <v>#N/A</v>
      </c>
      <c r="E346" s="328" t="e">
        <f>Tabla18[[#This Row],[Bus_03]]&amp;"_"&amp;Tabla5[[#This Row],[Tipo de Agente
&lt;&lt; Seleccionar&gt;&gt;]]</f>
        <v>#N/A</v>
      </c>
      <c r="F346" s="328" t="e">
        <f>VLOOKUP(Tabla18[[#This Row],[Concat2]],TablaPOA[[#All],[Concat]:[ConcatEspecial]],3,0)</f>
        <v>#N/A</v>
      </c>
      <c r="G346" s="65" t="str">
        <f>CONCATENATE(Registro!$A$6,"_",Tabla5[[#This Row],[Zona (Provincia)
&lt;&lt; Seleccionar&gt;&gt;]])</f>
        <v>Huánuco_</v>
      </c>
      <c r="H346" s="60" t="e">
        <f>VLOOKUP(Tabla18[[#This Row],[Concatenado***]],Tabla2[[#All],[Concatenado]:[Simbología*]],2,0)</f>
        <v>#N/A</v>
      </c>
      <c r="I346" s="65" t="str">
        <f>CONCATENATE(Tabla18[[#This Row],[Concatenado***]],"_",Tabla5[[#This Row],[Zona (Distrito)
&lt;&lt; Seleccionar&gt;&gt;]])</f>
        <v>Huánuco__</v>
      </c>
      <c r="J3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6" s="72" t="e">
        <f>VLOOKUP(Tabla5[[#This Row],[Tipo de Transporte Empleado
&lt;&lt; Seleccionar&gt;&gt;]],Tabla8[#All],2,0)</f>
        <v>#N/A</v>
      </c>
      <c r="L346" s="71" t="e">
        <f>#REF!+(#REF!*2)+#REF!</f>
        <v>#REF!</v>
      </c>
    </row>
    <row r="347" spans="1:12" x14ac:dyDescent="0.25">
      <c r="A347" s="328" t="e">
        <f>VLOOKUP(Tabla5[[#This Row],[Acción
&lt;&lt; Seleccionar&gt;&gt;]],TablaAccion[[#All],[Nombre_Abreviado]:[Codigo_Plan_Acción]],3,0)</f>
        <v>#N/A</v>
      </c>
      <c r="B347" s="328" t="e">
        <f>VLOOKUP(Tabla5[[#This Row],[Acción Especifica
&lt;&lt; Seleccionar&gt;&gt;]],TablaAccionEspecifica[[#All],[Nombre_Abreviado]:[Codigo_Acción]],3,0)</f>
        <v>#N/A</v>
      </c>
      <c r="C347" s="328" t="e">
        <f>CONCATENATE(Tabla18[[#This Row],[Bus_02]],"_",Tabla5[[#This Row],[Sub Acción Específica
&lt;&lt; Seleccionar&gt;&gt;]])</f>
        <v>#N/A</v>
      </c>
      <c r="D347" s="328" t="e">
        <f>VLOOKUP(Tabla18[[#This Row],[Aux_01]],TablaSubAccionEspecifica[[#All],[Concat]:[Cod_Sub_acción_especifica]],2,0)</f>
        <v>#N/A</v>
      </c>
      <c r="E347" s="328" t="e">
        <f>Tabla18[[#This Row],[Bus_03]]&amp;"_"&amp;Tabla5[[#This Row],[Tipo de Agente
&lt;&lt; Seleccionar&gt;&gt;]]</f>
        <v>#N/A</v>
      </c>
      <c r="F347" s="328" t="e">
        <f>VLOOKUP(Tabla18[[#This Row],[Concat2]],TablaPOA[[#All],[Concat]:[ConcatEspecial]],3,0)</f>
        <v>#N/A</v>
      </c>
      <c r="G347" s="65" t="str">
        <f>CONCATENATE(Registro!$A$6,"_",Tabla5[[#This Row],[Zona (Provincia)
&lt;&lt; Seleccionar&gt;&gt;]])</f>
        <v>Huánuco_</v>
      </c>
      <c r="H347" s="60" t="e">
        <f>VLOOKUP(Tabla18[[#This Row],[Concatenado***]],Tabla2[[#All],[Concatenado]:[Simbología*]],2,0)</f>
        <v>#N/A</v>
      </c>
      <c r="I347" s="65" t="str">
        <f>CONCATENATE(Tabla18[[#This Row],[Concatenado***]],"_",Tabla5[[#This Row],[Zona (Distrito)
&lt;&lt; Seleccionar&gt;&gt;]])</f>
        <v>Huánuco__</v>
      </c>
      <c r="J3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7" s="72" t="e">
        <f>VLOOKUP(Tabla5[[#This Row],[Tipo de Transporte Empleado
&lt;&lt; Seleccionar&gt;&gt;]],Tabla8[#All],2,0)</f>
        <v>#N/A</v>
      </c>
      <c r="L347" s="71" t="e">
        <f>#REF!+(#REF!*2)+#REF!</f>
        <v>#REF!</v>
      </c>
    </row>
    <row r="348" spans="1:12" x14ac:dyDescent="0.25">
      <c r="A348" s="328" t="e">
        <f>VLOOKUP(Tabla5[[#This Row],[Acción
&lt;&lt; Seleccionar&gt;&gt;]],TablaAccion[[#All],[Nombre_Abreviado]:[Codigo_Plan_Acción]],3,0)</f>
        <v>#N/A</v>
      </c>
      <c r="B348" s="328" t="e">
        <f>VLOOKUP(Tabla5[[#This Row],[Acción Especifica
&lt;&lt; Seleccionar&gt;&gt;]],TablaAccionEspecifica[[#All],[Nombre_Abreviado]:[Codigo_Acción]],3,0)</f>
        <v>#N/A</v>
      </c>
      <c r="C348" s="328" t="e">
        <f>CONCATENATE(Tabla18[[#This Row],[Bus_02]],"_",Tabla5[[#This Row],[Sub Acción Específica
&lt;&lt; Seleccionar&gt;&gt;]])</f>
        <v>#N/A</v>
      </c>
      <c r="D348" s="328" t="e">
        <f>VLOOKUP(Tabla18[[#This Row],[Aux_01]],TablaSubAccionEspecifica[[#All],[Concat]:[Cod_Sub_acción_especifica]],2,0)</f>
        <v>#N/A</v>
      </c>
      <c r="E348" s="328" t="e">
        <f>Tabla18[[#This Row],[Bus_03]]&amp;"_"&amp;Tabla5[[#This Row],[Tipo de Agente
&lt;&lt; Seleccionar&gt;&gt;]]</f>
        <v>#N/A</v>
      </c>
      <c r="F348" s="328" t="e">
        <f>VLOOKUP(Tabla18[[#This Row],[Concat2]],TablaPOA[[#All],[Concat]:[ConcatEspecial]],3,0)</f>
        <v>#N/A</v>
      </c>
      <c r="G348" s="65" t="str">
        <f>CONCATENATE(Registro!$A$6,"_",Tabla5[[#This Row],[Zona (Provincia)
&lt;&lt; Seleccionar&gt;&gt;]])</f>
        <v>Huánuco_</v>
      </c>
      <c r="H348" s="60" t="e">
        <f>VLOOKUP(Tabla18[[#This Row],[Concatenado***]],Tabla2[[#All],[Concatenado]:[Simbología*]],2,0)</f>
        <v>#N/A</v>
      </c>
      <c r="I348" s="65" t="str">
        <f>CONCATENATE(Tabla18[[#This Row],[Concatenado***]],"_",Tabla5[[#This Row],[Zona (Distrito)
&lt;&lt; Seleccionar&gt;&gt;]])</f>
        <v>Huánuco__</v>
      </c>
      <c r="J3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8" s="72" t="e">
        <f>VLOOKUP(Tabla5[[#This Row],[Tipo de Transporte Empleado
&lt;&lt; Seleccionar&gt;&gt;]],Tabla8[#All],2,0)</f>
        <v>#N/A</v>
      </c>
      <c r="L348" s="71" t="e">
        <f>#REF!+(#REF!*2)+#REF!</f>
        <v>#REF!</v>
      </c>
    </row>
    <row r="349" spans="1:12" x14ac:dyDescent="0.25">
      <c r="A349" s="328" t="e">
        <f>VLOOKUP(Tabla5[[#This Row],[Acción
&lt;&lt; Seleccionar&gt;&gt;]],TablaAccion[[#All],[Nombre_Abreviado]:[Codigo_Plan_Acción]],3,0)</f>
        <v>#N/A</v>
      </c>
      <c r="B349" s="328" t="e">
        <f>VLOOKUP(Tabla5[[#This Row],[Acción Especifica
&lt;&lt; Seleccionar&gt;&gt;]],TablaAccionEspecifica[[#All],[Nombre_Abreviado]:[Codigo_Acción]],3,0)</f>
        <v>#N/A</v>
      </c>
      <c r="C349" s="328" t="e">
        <f>CONCATENATE(Tabla18[[#This Row],[Bus_02]],"_",Tabla5[[#This Row],[Sub Acción Específica
&lt;&lt; Seleccionar&gt;&gt;]])</f>
        <v>#N/A</v>
      </c>
      <c r="D349" s="328" t="e">
        <f>VLOOKUP(Tabla18[[#This Row],[Aux_01]],TablaSubAccionEspecifica[[#All],[Concat]:[Cod_Sub_acción_especifica]],2,0)</f>
        <v>#N/A</v>
      </c>
      <c r="E349" s="328" t="e">
        <f>Tabla18[[#This Row],[Bus_03]]&amp;"_"&amp;Tabla5[[#This Row],[Tipo de Agente
&lt;&lt; Seleccionar&gt;&gt;]]</f>
        <v>#N/A</v>
      </c>
      <c r="F349" s="328" t="e">
        <f>VLOOKUP(Tabla18[[#This Row],[Concat2]],TablaPOA[[#All],[Concat]:[ConcatEspecial]],3,0)</f>
        <v>#N/A</v>
      </c>
      <c r="G349" s="65" t="str">
        <f>CONCATENATE(Registro!$A$6,"_",Tabla5[[#This Row],[Zona (Provincia)
&lt;&lt; Seleccionar&gt;&gt;]])</f>
        <v>Huánuco_</v>
      </c>
      <c r="H349" s="60" t="e">
        <f>VLOOKUP(Tabla18[[#This Row],[Concatenado***]],Tabla2[[#All],[Concatenado]:[Simbología*]],2,0)</f>
        <v>#N/A</v>
      </c>
      <c r="I349" s="65" t="str">
        <f>CONCATENATE(Tabla18[[#This Row],[Concatenado***]],"_",Tabla5[[#This Row],[Zona (Distrito)
&lt;&lt; Seleccionar&gt;&gt;]])</f>
        <v>Huánuco__</v>
      </c>
      <c r="J3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9" s="72" t="e">
        <f>VLOOKUP(Tabla5[[#This Row],[Tipo de Transporte Empleado
&lt;&lt; Seleccionar&gt;&gt;]],Tabla8[#All],2,0)</f>
        <v>#N/A</v>
      </c>
      <c r="L349" s="71" t="e">
        <f>#REF!+(#REF!*2)+#REF!</f>
        <v>#REF!</v>
      </c>
    </row>
    <row r="350" spans="1:12" x14ac:dyDescent="0.25">
      <c r="A350" s="328" t="e">
        <f>VLOOKUP(Tabla5[[#This Row],[Acción
&lt;&lt; Seleccionar&gt;&gt;]],TablaAccion[[#All],[Nombre_Abreviado]:[Codigo_Plan_Acción]],3,0)</f>
        <v>#N/A</v>
      </c>
      <c r="B350" s="328" t="e">
        <f>VLOOKUP(Tabla5[[#This Row],[Acción Especifica
&lt;&lt; Seleccionar&gt;&gt;]],TablaAccionEspecifica[[#All],[Nombre_Abreviado]:[Codigo_Acción]],3,0)</f>
        <v>#N/A</v>
      </c>
      <c r="C350" s="328" t="e">
        <f>CONCATENATE(Tabla18[[#This Row],[Bus_02]],"_",Tabla5[[#This Row],[Sub Acción Específica
&lt;&lt; Seleccionar&gt;&gt;]])</f>
        <v>#N/A</v>
      </c>
      <c r="D350" s="328" t="e">
        <f>VLOOKUP(Tabla18[[#This Row],[Aux_01]],TablaSubAccionEspecifica[[#All],[Concat]:[Cod_Sub_acción_especifica]],2,0)</f>
        <v>#N/A</v>
      </c>
      <c r="E350" s="328" t="e">
        <f>Tabla18[[#This Row],[Bus_03]]&amp;"_"&amp;Tabla5[[#This Row],[Tipo de Agente
&lt;&lt; Seleccionar&gt;&gt;]]</f>
        <v>#N/A</v>
      </c>
      <c r="F350" s="328" t="e">
        <f>VLOOKUP(Tabla18[[#This Row],[Concat2]],TablaPOA[[#All],[Concat]:[ConcatEspecial]],3,0)</f>
        <v>#N/A</v>
      </c>
      <c r="G350" s="65" t="str">
        <f>CONCATENATE(Registro!$A$6,"_",Tabla5[[#This Row],[Zona (Provincia)
&lt;&lt; Seleccionar&gt;&gt;]])</f>
        <v>Huánuco_</v>
      </c>
      <c r="H350" s="60" t="e">
        <f>VLOOKUP(Tabla18[[#This Row],[Concatenado***]],Tabla2[[#All],[Concatenado]:[Simbología*]],2,0)</f>
        <v>#N/A</v>
      </c>
      <c r="I350" s="65" t="str">
        <f>CONCATENATE(Tabla18[[#This Row],[Concatenado***]],"_",Tabla5[[#This Row],[Zona (Distrito)
&lt;&lt; Seleccionar&gt;&gt;]])</f>
        <v>Huánuco__</v>
      </c>
      <c r="J3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0" s="72" t="e">
        <f>VLOOKUP(Tabla5[[#This Row],[Tipo de Transporte Empleado
&lt;&lt; Seleccionar&gt;&gt;]],Tabla8[#All],2,0)</f>
        <v>#N/A</v>
      </c>
      <c r="L350" s="71" t="e">
        <f>#REF!+(#REF!*2)+#REF!</f>
        <v>#REF!</v>
      </c>
    </row>
    <row r="351" spans="1:12" x14ac:dyDescent="0.25">
      <c r="A351" s="328" t="e">
        <f>VLOOKUP(Tabla5[[#This Row],[Acción
&lt;&lt; Seleccionar&gt;&gt;]],TablaAccion[[#All],[Nombre_Abreviado]:[Codigo_Plan_Acción]],3,0)</f>
        <v>#N/A</v>
      </c>
      <c r="B351" s="328" t="e">
        <f>VLOOKUP(Tabla5[[#This Row],[Acción Especifica
&lt;&lt; Seleccionar&gt;&gt;]],TablaAccionEspecifica[[#All],[Nombre_Abreviado]:[Codigo_Acción]],3,0)</f>
        <v>#N/A</v>
      </c>
      <c r="C351" s="328" t="e">
        <f>CONCATENATE(Tabla18[[#This Row],[Bus_02]],"_",Tabla5[[#This Row],[Sub Acción Específica
&lt;&lt; Seleccionar&gt;&gt;]])</f>
        <v>#N/A</v>
      </c>
      <c r="D351" s="328" t="e">
        <f>VLOOKUP(Tabla18[[#This Row],[Aux_01]],TablaSubAccionEspecifica[[#All],[Concat]:[Cod_Sub_acción_especifica]],2,0)</f>
        <v>#N/A</v>
      </c>
      <c r="E351" s="328" t="e">
        <f>Tabla18[[#This Row],[Bus_03]]&amp;"_"&amp;Tabla5[[#This Row],[Tipo de Agente
&lt;&lt; Seleccionar&gt;&gt;]]</f>
        <v>#N/A</v>
      </c>
      <c r="F351" s="328" t="e">
        <f>VLOOKUP(Tabla18[[#This Row],[Concat2]],TablaPOA[[#All],[Concat]:[ConcatEspecial]],3,0)</f>
        <v>#N/A</v>
      </c>
      <c r="G351" s="65" t="str">
        <f>CONCATENATE(Registro!$A$6,"_",Tabla5[[#This Row],[Zona (Provincia)
&lt;&lt; Seleccionar&gt;&gt;]])</f>
        <v>Huánuco_</v>
      </c>
      <c r="H351" s="60" t="e">
        <f>VLOOKUP(Tabla18[[#This Row],[Concatenado***]],Tabla2[[#All],[Concatenado]:[Simbología*]],2,0)</f>
        <v>#N/A</v>
      </c>
      <c r="I351" s="65" t="str">
        <f>CONCATENATE(Tabla18[[#This Row],[Concatenado***]],"_",Tabla5[[#This Row],[Zona (Distrito)
&lt;&lt; Seleccionar&gt;&gt;]])</f>
        <v>Huánuco__</v>
      </c>
      <c r="J3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1" s="72" t="e">
        <f>VLOOKUP(Tabla5[[#This Row],[Tipo de Transporte Empleado
&lt;&lt; Seleccionar&gt;&gt;]],Tabla8[#All],2,0)</f>
        <v>#N/A</v>
      </c>
      <c r="L351" s="71" t="e">
        <f>#REF!+(#REF!*2)+#REF!</f>
        <v>#REF!</v>
      </c>
    </row>
    <row r="352" spans="1:12" x14ac:dyDescent="0.25">
      <c r="A352" s="328" t="e">
        <f>VLOOKUP(Tabla5[[#This Row],[Acción
&lt;&lt; Seleccionar&gt;&gt;]],TablaAccion[[#All],[Nombre_Abreviado]:[Codigo_Plan_Acción]],3,0)</f>
        <v>#N/A</v>
      </c>
      <c r="B352" s="328" t="e">
        <f>VLOOKUP(Tabla5[[#This Row],[Acción Especifica
&lt;&lt; Seleccionar&gt;&gt;]],TablaAccionEspecifica[[#All],[Nombre_Abreviado]:[Codigo_Acción]],3,0)</f>
        <v>#N/A</v>
      </c>
      <c r="C352" s="328" t="e">
        <f>CONCATENATE(Tabla18[[#This Row],[Bus_02]],"_",Tabla5[[#This Row],[Sub Acción Específica
&lt;&lt; Seleccionar&gt;&gt;]])</f>
        <v>#N/A</v>
      </c>
      <c r="D352" s="328" t="e">
        <f>VLOOKUP(Tabla18[[#This Row],[Aux_01]],TablaSubAccionEspecifica[[#All],[Concat]:[Cod_Sub_acción_especifica]],2,0)</f>
        <v>#N/A</v>
      </c>
      <c r="E352" s="328" t="e">
        <f>Tabla18[[#This Row],[Bus_03]]&amp;"_"&amp;Tabla5[[#This Row],[Tipo de Agente
&lt;&lt; Seleccionar&gt;&gt;]]</f>
        <v>#N/A</v>
      </c>
      <c r="F352" s="328" t="e">
        <f>VLOOKUP(Tabla18[[#This Row],[Concat2]],TablaPOA[[#All],[Concat]:[ConcatEspecial]],3,0)</f>
        <v>#N/A</v>
      </c>
      <c r="G352" s="65" t="str">
        <f>CONCATENATE(Registro!$A$6,"_",Tabla5[[#This Row],[Zona (Provincia)
&lt;&lt; Seleccionar&gt;&gt;]])</f>
        <v>Huánuco_</v>
      </c>
      <c r="H352" s="60" t="e">
        <f>VLOOKUP(Tabla18[[#This Row],[Concatenado***]],Tabla2[[#All],[Concatenado]:[Simbología*]],2,0)</f>
        <v>#N/A</v>
      </c>
      <c r="I352" s="65" t="str">
        <f>CONCATENATE(Tabla18[[#This Row],[Concatenado***]],"_",Tabla5[[#This Row],[Zona (Distrito)
&lt;&lt; Seleccionar&gt;&gt;]])</f>
        <v>Huánuco__</v>
      </c>
      <c r="J3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2" s="72" t="e">
        <f>VLOOKUP(Tabla5[[#This Row],[Tipo de Transporte Empleado
&lt;&lt; Seleccionar&gt;&gt;]],Tabla8[#All],2,0)</f>
        <v>#N/A</v>
      </c>
      <c r="L352" s="71" t="e">
        <f>#REF!+(#REF!*2)+#REF!</f>
        <v>#REF!</v>
      </c>
    </row>
    <row r="353" spans="1:12" x14ac:dyDescent="0.25">
      <c r="A353" s="328" t="e">
        <f>VLOOKUP(Tabla5[[#This Row],[Acción
&lt;&lt; Seleccionar&gt;&gt;]],TablaAccion[[#All],[Nombre_Abreviado]:[Codigo_Plan_Acción]],3,0)</f>
        <v>#N/A</v>
      </c>
      <c r="B353" s="328" t="e">
        <f>VLOOKUP(Tabla5[[#This Row],[Acción Especifica
&lt;&lt; Seleccionar&gt;&gt;]],TablaAccionEspecifica[[#All],[Nombre_Abreviado]:[Codigo_Acción]],3,0)</f>
        <v>#N/A</v>
      </c>
      <c r="C353" s="328" t="e">
        <f>CONCATENATE(Tabla18[[#This Row],[Bus_02]],"_",Tabla5[[#This Row],[Sub Acción Específica
&lt;&lt; Seleccionar&gt;&gt;]])</f>
        <v>#N/A</v>
      </c>
      <c r="D353" s="328" t="e">
        <f>VLOOKUP(Tabla18[[#This Row],[Aux_01]],TablaSubAccionEspecifica[[#All],[Concat]:[Cod_Sub_acción_especifica]],2,0)</f>
        <v>#N/A</v>
      </c>
      <c r="E353" s="328" t="e">
        <f>Tabla18[[#This Row],[Bus_03]]&amp;"_"&amp;Tabla5[[#This Row],[Tipo de Agente
&lt;&lt; Seleccionar&gt;&gt;]]</f>
        <v>#N/A</v>
      </c>
      <c r="F353" s="328" t="e">
        <f>VLOOKUP(Tabla18[[#This Row],[Concat2]],TablaPOA[[#All],[Concat]:[ConcatEspecial]],3,0)</f>
        <v>#N/A</v>
      </c>
      <c r="G353" s="65" t="str">
        <f>CONCATENATE(Registro!$A$6,"_",Tabla5[[#This Row],[Zona (Provincia)
&lt;&lt; Seleccionar&gt;&gt;]])</f>
        <v>Huánuco_</v>
      </c>
      <c r="H353" s="60" t="e">
        <f>VLOOKUP(Tabla18[[#This Row],[Concatenado***]],Tabla2[[#All],[Concatenado]:[Simbología*]],2,0)</f>
        <v>#N/A</v>
      </c>
      <c r="I353" s="65" t="str">
        <f>CONCATENATE(Tabla18[[#This Row],[Concatenado***]],"_",Tabla5[[#This Row],[Zona (Distrito)
&lt;&lt; Seleccionar&gt;&gt;]])</f>
        <v>Huánuco__</v>
      </c>
      <c r="J3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3" s="72" t="e">
        <f>VLOOKUP(Tabla5[[#This Row],[Tipo de Transporte Empleado
&lt;&lt; Seleccionar&gt;&gt;]],Tabla8[#All],2,0)</f>
        <v>#N/A</v>
      </c>
      <c r="L353" s="71" t="e">
        <f>#REF!+(#REF!*2)+#REF!</f>
        <v>#REF!</v>
      </c>
    </row>
    <row r="354" spans="1:12" x14ac:dyDescent="0.25">
      <c r="A354" s="328" t="e">
        <f>VLOOKUP(Tabla5[[#This Row],[Acción
&lt;&lt; Seleccionar&gt;&gt;]],TablaAccion[[#All],[Nombre_Abreviado]:[Codigo_Plan_Acción]],3,0)</f>
        <v>#N/A</v>
      </c>
      <c r="B354" s="328" t="e">
        <f>VLOOKUP(Tabla5[[#This Row],[Acción Especifica
&lt;&lt; Seleccionar&gt;&gt;]],TablaAccionEspecifica[[#All],[Nombre_Abreviado]:[Codigo_Acción]],3,0)</f>
        <v>#N/A</v>
      </c>
      <c r="C354" s="328" t="e">
        <f>CONCATENATE(Tabla18[[#This Row],[Bus_02]],"_",Tabla5[[#This Row],[Sub Acción Específica
&lt;&lt; Seleccionar&gt;&gt;]])</f>
        <v>#N/A</v>
      </c>
      <c r="D354" s="328" t="e">
        <f>VLOOKUP(Tabla18[[#This Row],[Aux_01]],TablaSubAccionEspecifica[[#All],[Concat]:[Cod_Sub_acción_especifica]],2,0)</f>
        <v>#N/A</v>
      </c>
      <c r="E354" s="328" t="e">
        <f>Tabla18[[#This Row],[Bus_03]]&amp;"_"&amp;Tabla5[[#This Row],[Tipo de Agente
&lt;&lt; Seleccionar&gt;&gt;]]</f>
        <v>#N/A</v>
      </c>
      <c r="F354" s="328" t="e">
        <f>VLOOKUP(Tabla18[[#This Row],[Concat2]],TablaPOA[[#All],[Concat]:[ConcatEspecial]],3,0)</f>
        <v>#N/A</v>
      </c>
      <c r="G354" s="65" t="str">
        <f>CONCATENATE(Registro!$A$6,"_",Tabla5[[#This Row],[Zona (Provincia)
&lt;&lt; Seleccionar&gt;&gt;]])</f>
        <v>Huánuco_</v>
      </c>
      <c r="H354" s="60" t="e">
        <f>VLOOKUP(Tabla18[[#This Row],[Concatenado***]],Tabla2[[#All],[Concatenado]:[Simbología*]],2,0)</f>
        <v>#N/A</v>
      </c>
      <c r="I354" s="65" t="str">
        <f>CONCATENATE(Tabla18[[#This Row],[Concatenado***]],"_",Tabla5[[#This Row],[Zona (Distrito)
&lt;&lt; Seleccionar&gt;&gt;]])</f>
        <v>Huánuco__</v>
      </c>
      <c r="J3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4" s="72" t="e">
        <f>VLOOKUP(Tabla5[[#This Row],[Tipo de Transporte Empleado
&lt;&lt; Seleccionar&gt;&gt;]],Tabla8[#All],2,0)</f>
        <v>#N/A</v>
      </c>
      <c r="L354" s="71" t="e">
        <f>#REF!+(#REF!*2)+#REF!</f>
        <v>#REF!</v>
      </c>
    </row>
    <row r="355" spans="1:12" x14ac:dyDescent="0.25">
      <c r="A355" s="328" t="e">
        <f>VLOOKUP(Tabla5[[#This Row],[Acción
&lt;&lt; Seleccionar&gt;&gt;]],TablaAccion[[#All],[Nombre_Abreviado]:[Codigo_Plan_Acción]],3,0)</f>
        <v>#N/A</v>
      </c>
      <c r="B355" s="328" t="e">
        <f>VLOOKUP(Tabla5[[#This Row],[Acción Especifica
&lt;&lt; Seleccionar&gt;&gt;]],TablaAccionEspecifica[[#All],[Nombre_Abreviado]:[Codigo_Acción]],3,0)</f>
        <v>#N/A</v>
      </c>
      <c r="C355" s="328" t="e">
        <f>CONCATENATE(Tabla18[[#This Row],[Bus_02]],"_",Tabla5[[#This Row],[Sub Acción Específica
&lt;&lt; Seleccionar&gt;&gt;]])</f>
        <v>#N/A</v>
      </c>
      <c r="D355" s="328" t="e">
        <f>VLOOKUP(Tabla18[[#This Row],[Aux_01]],TablaSubAccionEspecifica[[#All],[Concat]:[Cod_Sub_acción_especifica]],2,0)</f>
        <v>#N/A</v>
      </c>
      <c r="E355" s="328" t="e">
        <f>Tabla18[[#This Row],[Bus_03]]&amp;"_"&amp;Tabla5[[#This Row],[Tipo de Agente
&lt;&lt; Seleccionar&gt;&gt;]]</f>
        <v>#N/A</v>
      </c>
      <c r="F355" s="328" t="e">
        <f>VLOOKUP(Tabla18[[#This Row],[Concat2]],TablaPOA[[#All],[Concat]:[ConcatEspecial]],3,0)</f>
        <v>#N/A</v>
      </c>
      <c r="G355" s="65" t="str">
        <f>CONCATENATE(Registro!$A$6,"_",Tabla5[[#This Row],[Zona (Provincia)
&lt;&lt; Seleccionar&gt;&gt;]])</f>
        <v>Huánuco_</v>
      </c>
      <c r="H355" s="60" t="e">
        <f>VLOOKUP(Tabla18[[#This Row],[Concatenado***]],Tabla2[[#All],[Concatenado]:[Simbología*]],2,0)</f>
        <v>#N/A</v>
      </c>
      <c r="I355" s="65" t="str">
        <f>CONCATENATE(Tabla18[[#This Row],[Concatenado***]],"_",Tabla5[[#This Row],[Zona (Distrito)
&lt;&lt; Seleccionar&gt;&gt;]])</f>
        <v>Huánuco__</v>
      </c>
      <c r="J3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5" s="72" t="e">
        <f>VLOOKUP(Tabla5[[#This Row],[Tipo de Transporte Empleado
&lt;&lt; Seleccionar&gt;&gt;]],Tabla8[#All],2,0)</f>
        <v>#N/A</v>
      </c>
      <c r="L355" s="71" t="e">
        <f>#REF!+(#REF!*2)+#REF!</f>
        <v>#REF!</v>
      </c>
    </row>
    <row r="356" spans="1:12" x14ac:dyDescent="0.25">
      <c r="A356" s="328" t="e">
        <f>VLOOKUP(Tabla5[[#This Row],[Acción
&lt;&lt; Seleccionar&gt;&gt;]],TablaAccion[[#All],[Nombre_Abreviado]:[Codigo_Plan_Acción]],3,0)</f>
        <v>#N/A</v>
      </c>
      <c r="B356" s="328" t="e">
        <f>VLOOKUP(Tabla5[[#This Row],[Acción Especifica
&lt;&lt; Seleccionar&gt;&gt;]],TablaAccionEspecifica[[#All],[Nombre_Abreviado]:[Codigo_Acción]],3,0)</f>
        <v>#N/A</v>
      </c>
      <c r="C356" s="328" t="e">
        <f>CONCATENATE(Tabla18[[#This Row],[Bus_02]],"_",Tabla5[[#This Row],[Sub Acción Específica
&lt;&lt; Seleccionar&gt;&gt;]])</f>
        <v>#N/A</v>
      </c>
      <c r="D356" s="328" t="e">
        <f>VLOOKUP(Tabla18[[#This Row],[Aux_01]],TablaSubAccionEspecifica[[#All],[Concat]:[Cod_Sub_acción_especifica]],2,0)</f>
        <v>#N/A</v>
      </c>
      <c r="E356" s="328" t="e">
        <f>Tabla18[[#This Row],[Bus_03]]&amp;"_"&amp;Tabla5[[#This Row],[Tipo de Agente
&lt;&lt; Seleccionar&gt;&gt;]]</f>
        <v>#N/A</v>
      </c>
      <c r="F356" s="328" t="e">
        <f>VLOOKUP(Tabla18[[#This Row],[Concat2]],TablaPOA[[#All],[Concat]:[ConcatEspecial]],3,0)</f>
        <v>#N/A</v>
      </c>
      <c r="G356" s="65" t="str">
        <f>CONCATENATE(Registro!$A$6,"_",Tabla5[[#This Row],[Zona (Provincia)
&lt;&lt; Seleccionar&gt;&gt;]])</f>
        <v>Huánuco_</v>
      </c>
      <c r="H356" s="60" t="e">
        <f>VLOOKUP(Tabla18[[#This Row],[Concatenado***]],Tabla2[[#All],[Concatenado]:[Simbología*]],2,0)</f>
        <v>#N/A</v>
      </c>
      <c r="I356" s="65" t="str">
        <f>CONCATENATE(Tabla18[[#This Row],[Concatenado***]],"_",Tabla5[[#This Row],[Zona (Distrito)
&lt;&lt; Seleccionar&gt;&gt;]])</f>
        <v>Huánuco__</v>
      </c>
      <c r="J3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6" s="72" t="e">
        <f>VLOOKUP(Tabla5[[#This Row],[Tipo de Transporte Empleado
&lt;&lt; Seleccionar&gt;&gt;]],Tabla8[#All],2,0)</f>
        <v>#N/A</v>
      </c>
      <c r="L356" s="71" t="e">
        <f>#REF!+(#REF!*2)+#REF!</f>
        <v>#REF!</v>
      </c>
    </row>
    <row r="357" spans="1:12" x14ac:dyDescent="0.25">
      <c r="A357" s="328" t="e">
        <f>VLOOKUP(Tabla5[[#This Row],[Acción
&lt;&lt; Seleccionar&gt;&gt;]],TablaAccion[[#All],[Nombre_Abreviado]:[Codigo_Plan_Acción]],3,0)</f>
        <v>#N/A</v>
      </c>
      <c r="B357" s="328" t="e">
        <f>VLOOKUP(Tabla5[[#This Row],[Acción Especifica
&lt;&lt; Seleccionar&gt;&gt;]],TablaAccionEspecifica[[#All],[Nombre_Abreviado]:[Codigo_Acción]],3,0)</f>
        <v>#N/A</v>
      </c>
      <c r="C357" s="328" t="e">
        <f>CONCATENATE(Tabla18[[#This Row],[Bus_02]],"_",Tabla5[[#This Row],[Sub Acción Específica
&lt;&lt; Seleccionar&gt;&gt;]])</f>
        <v>#N/A</v>
      </c>
      <c r="D357" s="328" t="e">
        <f>VLOOKUP(Tabla18[[#This Row],[Aux_01]],TablaSubAccionEspecifica[[#All],[Concat]:[Cod_Sub_acción_especifica]],2,0)</f>
        <v>#N/A</v>
      </c>
      <c r="E357" s="328" t="e">
        <f>Tabla18[[#This Row],[Bus_03]]&amp;"_"&amp;Tabla5[[#This Row],[Tipo de Agente
&lt;&lt; Seleccionar&gt;&gt;]]</f>
        <v>#N/A</v>
      </c>
      <c r="F357" s="328" t="e">
        <f>VLOOKUP(Tabla18[[#This Row],[Concat2]],TablaPOA[[#All],[Concat]:[ConcatEspecial]],3,0)</f>
        <v>#N/A</v>
      </c>
      <c r="G357" s="65" t="str">
        <f>CONCATENATE(Registro!$A$6,"_",Tabla5[[#This Row],[Zona (Provincia)
&lt;&lt; Seleccionar&gt;&gt;]])</f>
        <v>Huánuco_</v>
      </c>
      <c r="H357" s="60" t="e">
        <f>VLOOKUP(Tabla18[[#This Row],[Concatenado***]],Tabla2[[#All],[Concatenado]:[Simbología*]],2,0)</f>
        <v>#N/A</v>
      </c>
      <c r="I357" s="65" t="str">
        <f>CONCATENATE(Tabla18[[#This Row],[Concatenado***]],"_",Tabla5[[#This Row],[Zona (Distrito)
&lt;&lt; Seleccionar&gt;&gt;]])</f>
        <v>Huánuco__</v>
      </c>
      <c r="J3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7" s="72" t="e">
        <f>VLOOKUP(Tabla5[[#This Row],[Tipo de Transporte Empleado
&lt;&lt; Seleccionar&gt;&gt;]],Tabla8[#All],2,0)</f>
        <v>#N/A</v>
      </c>
      <c r="L357" s="71" t="e">
        <f>#REF!+(#REF!*2)+#REF!</f>
        <v>#REF!</v>
      </c>
    </row>
    <row r="358" spans="1:12" x14ac:dyDescent="0.25">
      <c r="A358" s="328" t="e">
        <f>VLOOKUP(Tabla5[[#This Row],[Acción
&lt;&lt; Seleccionar&gt;&gt;]],TablaAccion[[#All],[Nombre_Abreviado]:[Codigo_Plan_Acción]],3,0)</f>
        <v>#N/A</v>
      </c>
      <c r="B358" s="328" t="e">
        <f>VLOOKUP(Tabla5[[#This Row],[Acción Especifica
&lt;&lt; Seleccionar&gt;&gt;]],TablaAccionEspecifica[[#All],[Nombre_Abreviado]:[Codigo_Acción]],3,0)</f>
        <v>#N/A</v>
      </c>
      <c r="C358" s="328" t="e">
        <f>CONCATENATE(Tabla18[[#This Row],[Bus_02]],"_",Tabla5[[#This Row],[Sub Acción Específica
&lt;&lt; Seleccionar&gt;&gt;]])</f>
        <v>#N/A</v>
      </c>
      <c r="D358" s="328" t="e">
        <f>VLOOKUP(Tabla18[[#This Row],[Aux_01]],TablaSubAccionEspecifica[[#All],[Concat]:[Cod_Sub_acción_especifica]],2,0)</f>
        <v>#N/A</v>
      </c>
      <c r="E358" s="328" t="e">
        <f>Tabla18[[#This Row],[Bus_03]]&amp;"_"&amp;Tabla5[[#This Row],[Tipo de Agente
&lt;&lt; Seleccionar&gt;&gt;]]</f>
        <v>#N/A</v>
      </c>
      <c r="F358" s="328" t="e">
        <f>VLOOKUP(Tabla18[[#This Row],[Concat2]],TablaPOA[[#All],[Concat]:[ConcatEspecial]],3,0)</f>
        <v>#N/A</v>
      </c>
      <c r="G358" s="65" t="str">
        <f>CONCATENATE(Registro!$A$6,"_",Tabla5[[#This Row],[Zona (Provincia)
&lt;&lt; Seleccionar&gt;&gt;]])</f>
        <v>Huánuco_</v>
      </c>
      <c r="H358" s="60" t="e">
        <f>VLOOKUP(Tabla18[[#This Row],[Concatenado***]],Tabla2[[#All],[Concatenado]:[Simbología*]],2,0)</f>
        <v>#N/A</v>
      </c>
      <c r="I358" s="65" t="str">
        <f>CONCATENATE(Tabla18[[#This Row],[Concatenado***]],"_",Tabla5[[#This Row],[Zona (Distrito)
&lt;&lt; Seleccionar&gt;&gt;]])</f>
        <v>Huánuco__</v>
      </c>
      <c r="J3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8" s="72" t="e">
        <f>VLOOKUP(Tabla5[[#This Row],[Tipo de Transporte Empleado
&lt;&lt; Seleccionar&gt;&gt;]],Tabla8[#All],2,0)</f>
        <v>#N/A</v>
      </c>
      <c r="L358" s="71" t="e">
        <f>#REF!+(#REF!*2)+#REF!</f>
        <v>#REF!</v>
      </c>
    </row>
    <row r="359" spans="1:12" x14ac:dyDescent="0.25">
      <c r="A359" s="328" t="e">
        <f>VLOOKUP(Tabla5[[#This Row],[Acción
&lt;&lt; Seleccionar&gt;&gt;]],TablaAccion[[#All],[Nombre_Abreviado]:[Codigo_Plan_Acción]],3,0)</f>
        <v>#N/A</v>
      </c>
      <c r="B359" s="328" t="e">
        <f>VLOOKUP(Tabla5[[#This Row],[Acción Especifica
&lt;&lt; Seleccionar&gt;&gt;]],TablaAccionEspecifica[[#All],[Nombre_Abreviado]:[Codigo_Acción]],3,0)</f>
        <v>#N/A</v>
      </c>
      <c r="C359" s="328" t="e">
        <f>CONCATENATE(Tabla18[[#This Row],[Bus_02]],"_",Tabla5[[#This Row],[Sub Acción Específica
&lt;&lt; Seleccionar&gt;&gt;]])</f>
        <v>#N/A</v>
      </c>
      <c r="D359" s="328" t="e">
        <f>VLOOKUP(Tabla18[[#This Row],[Aux_01]],TablaSubAccionEspecifica[[#All],[Concat]:[Cod_Sub_acción_especifica]],2,0)</f>
        <v>#N/A</v>
      </c>
      <c r="E359" s="328" t="e">
        <f>Tabla18[[#This Row],[Bus_03]]&amp;"_"&amp;Tabla5[[#This Row],[Tipo de Agente
&lt;&lt; Seleccionar&gt;&gt;]]</f>
        <v>#N/A</v>
      </c>
      <c r="F359" s="328" t="e">
        <f>VLOOKUP(Tabla18[[#This Row],[Concat2]],TablaPOA[[#All],[Concat]:[ConcatEspecial]],3,0)</f>
        <v>#N/A</v>
      </c>
      <c r="G359" s="65" t="str">
        <f>CONCATENATE(Registro!$A$6,"_",Tabla5[[#This Row],[Zona (Provincia)
&lt;&lt; Seleccionar&gt;&gt;]])</f>
        <v>Huánuco_</v>
      </c>
      <c r="H359" s="60" t="e">
        <f>VLOOKUP(Tabla18[[#This Row],[Concatenado***]],Tabla2[[#All],[Concatenado]:[Simbología*]],2,0)</f>
        <v>#N/A</v>
      </c>
      <c r="I359" s="65" t="str">
        <f>CONCATENATE(Tabla18[[#This Row],[Concatenado***]],"_",Tabla5[[#This Row],[Zona (Distrito)
&lt;&lt; Seleccionar&gt;&gt;]])</f>
        <v>Huánuco__</v>
      </c>
      <c r="J3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9" s="72" t="e">
        <f>VLOOKUP(Tabla5[[#This Row],[Tipo de Transporte Empleado
&lt;&lt; Seleccionar&gt;&gt;]],Tabla8[#All],2,0)</f>
        <v>#N/A</v>
      </c>
      <c r="L359" s="71" t="e">
        <f>#REF!+(#REF!*2)+#REF!</f>
        <v>#REF!</v>
      </c>
    </row>
    <row r="360" spans="1:12" x14ac:dyDescent="0.25">
      <c r="A360" s="328" t="e">
        <f>VLOOKUP(Tabla5[[#This Row],[Acción
&lt;&lt; Seleccionar&gt;&gt;]],TablaAccion[[#All],[Nombre_Abreviado]:[Codigo_Plan_Acción]],3,0)</f>
        <v>#N/A</v>
      </c>
      <c r="B360" s="328" t="e">
        <f>VLOOKUP(Tabla5[[#This Row],[Acción Especifica
&lt;&lt; Seleccionar&gt;&gt;]],TablaAccionEspecifica[[#All],[Nombre_Abreviado]:[Codigo_Acción]],3,0)</f>
        <v>#N/A</v>
      </c>
      <c r="C360" s="328" t="e">
        <f>CONCATENATE(Tabla18[[#This Row],[Bus_02]],"_",Tabla5[[#This Row],[Sub Acción Específica
&lt;&lt; Seleccionar&gt;&gt;]])</f>
        <v>#N/A</v>
      </c>
      <c r="D360" s="328" t="e">
        <f>VLOOKUP(Tabla18[[#This Row],[Aux_01]],TablaSubAccionEspecifica[[#All],[Concat]:[Cod_Sub_acción_especifica]],2,0)</f>
        <v>#N/A</v>
      </c>
      <c r="E360" s="328" t="e">
        <f>Tabla18[[#This Row],[Bus_03]]&amp;"_"&amp;Tabla5[[#This Row],[Tipo de Agente
&lt;&lt; Seleccionar&gt;&gt;]]</f>
        <v>#N/A</v>
      </c>
      <c r="F360" s="328" t="e">
        <f>VLOOKUP(Tabla18[[#This Row],[Concat2]],TablaPOA[[#All],[Concat]:[ConcatEspecial]],3,0)</f>
        <v>#N/A</v>
      </c>
      <c r="G360" s="65" t="str">
        <f>CONCATENATE(Registro!$A$6,"_",Tabla5[[#This Row],[Zona (Provincia)
&lt;&lt; Seleccionar&gt;&gt;]])</f>
        <v>Huánuco_</v>
      </c>
      <c r="H360" s="60" t="e">
        <f>VLOOKUP(Tabla18[[#This Row],[Concatenado***]],Tabla2[[#All],[Concatenado]:[Simbología*]],2,0)</f>
        <v>#N/A</v>
      </c>
      <c r="I360" s="65" t="str">
        <f>CONCATENATE(Tabla18[[#This Row],[Concatenado***]],"_",Tabla5[[#This Row],[Zona (Distrito)
&lt;&lt; Seleccionar&gt;&gt;]])</f>
        <v>Huánuco__</v>
      </c>
      <c r="J3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0" s="72" t="e">
        <f>VLOOKUP(Tabla5[[#This Row],[Tipo de Transporte Empleado
&lt;&lt; Seleccionar&gt;&gt;]],Tabla8[#All],2,0)</f>
        <v>#N/A</v>
      </c>
      <c r="L360" s="71" t="e">
        <f>#REF!+(#REF!*2)+#REF!</f>
        <v>#REF!</v>
      </c>
    </row>
    <row r="361" spans="1:12" x14ac:dyDescent="0.25">
      <c r="A361" s="328" t="e">
        <f>VLOOKUP(Tabla5[[#This Row],[Acción
&lt;&lt; Seleccionar&gt;&gt;]],TablaAccion[[#All],[Nombre_Abreviado]:[Codigo_Plan_Acción]],3,0)</f>
        <v>#N/A</v>
      </c>
      <c r="B361" s="328" t="e">
        <f>VLOOKUP(Tabla5[[#This Row],[Acción Especifica
&lt;&lt; Seleccionar&gt;&gt;]],TablaAccionEspecifica[[#All],[Nombre_Abreviado]:[Codigo_Acción]],3,0)</f>
        <v>#N/A</v>
      </c>
      <c r="C361" s="328" t="e">
        <f>CONCATENATE(Tabla18[[#This Row],[Bus_02]],"_",Tabla5[[#This Row],[Sub Acción Específica
&lt;&lt; Seleccionar&gt;&gt;]])</f>
        <v>#N/A</v>
      </c>
      <c r="D361" s="328" t="e">
        <f>VLOOKUP(Tabla18[[#This Row],[Aux_01]],TablaSubAccionEspecifica[[#All],[Concat]:[Cod_Sub_acción_especifica]],2,0)</f>
        <v>#N/A</v>
      </c>
      <c r="E361" s="328" t="e">
        <f>Tabla18[[#This Row],[Bus_03]]&amp;"_"&amp;Tabla5[[#This Row],[Tipo de Agente
&lt;&lt; Seleccionar&gt;&gt;]]</f>
        <v>#N/A</v>
      </c>
      <c r="F361" s="328" t="e">
        <f>VLOOKUP(Tabla18[[#This Row],[Concat2]],TablaPOA[[#All],[Concat]:[ConcatEspecial]],3,0)</f>
        <v>#N/A</v>
      </c>
      <c r="G361" s="65" t="str">
        <f>CONCATENATE(Registro!$A$6,"_",Tabla5[[#This Row],[Zona (Provincia)
&lt;&lt; Seleccionar&gt;&gt;]])</f>
        <v>Huánuco_</v>
      </c>
      <c r="H361" s="60" t="e">
        <f>VLOOKUP(Tabla18[[#This Row],[Concatenado***]],Tabla2[[#All],[Concatenado]:[Simbología*]],2,0)</f>
        <v>#N/A</v>
      </c>
      <c r="I361" s="65" t="str">
        <f>CONCATENATE(Tabla18[[#This Row],[Concatenado***]],"_",Tabla5[[#This Row],[Zona (Distrito)
&lt;&lt; Seleccionar&gt;&gt;]])</f>
        <v>Huánuco__</v>
      </c>
      <c r="J3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1" s="72" t="e">
        <f>VLOOKUP(Tabla5[[#This Row],[Tipo de Transporte Empleado
&lt;&lt; Seleccionar&gt;&gt;]],Tabla8[#All],2,0)</f>
        <v>#N/A</v>
      </c>
      <c r="L361" s="71" t="e">
        <f>#REF!+(#REF!*2)+#REF!</f>
        <v>#REF!</v>
      </c>
    </row>
    <row r="362" spans="1:12" x14ac:dyDescent="0.25">
      <c r="A362" s="328" t="e">
        <f>VLOOKUP(Tabla5[[#This Row],[Acción
&lt;&lt; Seleccionar&gt;&gt;]],TablaAccion[[#All],[Nombre_Abreviado]:[Codigo_Plan_Acción]],3,0)</f>
        <v>#N/A</v>
      </c>
      <c r="B362" s="328" t="e">
        <f>VLOOKUP(Tabla5[[#This Row],[Acción Especifica
&lt;&lt; Seleccionar&gt;&gt;]],TablaAccionEspecifica[[#All],[Nombre_Abreviado]:[Codigo_Acción]],3,0)</f>
        <v>#N/A</v>
      </c>
      <c r="C362" s="328" t="e">
        <f>CONCATENATE(Tabla18[[#This Row],[Bus_02]],"_",Tabla5[[#This Row],[Sub Acción Específica
&lt;&lt; Seleccionar&gt;&gt;]])</f>
        <v>#N/A</v>
      </c>
      <c r="D362" s="328" t="e">
        <f>VLOOKUP(Tabla18[[#This Row],[Aux_01]],TablaSubAccionEspecifica[[#All],[Concat]:[Cod_Sub_acción_especifica]],2,0)</f>
        <v>#N/A</v>
      </c>
      <c r="E362" s="328" t="e">
        <f>Tabla18[[#This Row],[Bus_03]]&amp;"_"&amp;Tabla5[[#This Row],[Tipo de Agente
&lt;&lt; Seleccionar&gt;&gt;]]</f>
        <v>#N/A</v>
      </c>
      <c r="F362" s="328" t="e">
        <f>VLOOKUP(Tabla18[[#This Row],[Concat2]],TablaPOA[[#All],[Concat]:[ConcatEspecial]],3,0)</f>
        <v>#N/A</v>
      </c>
      <c r="G362" s="65" t="str">
        <f>CONCATENATE(Registro!$A$6,"_",Tabla5[[#This Row],[Zona (Provincia)
&lt;&lt; Seleccionar&gt;&gt;]])</f>
        <v>Huánuco_</v>
      </c>
      <c r="H362" s="60" t="e">
        <f>VLOOKUP(Tabla18[[#This Row],[Concatenado***]],Tabla2[[#All],[Concatenado]:[Simbología*]],2,0)</f>
        <v>#N/A</v>
      </c>
      <c r="I362" s="65" t="str">
        <f>CONCATENATE(Tabla18[[#This Row],[Concatenado***]],"_",Tabla5[[#This Row],[Zona (Distrito)
&lt;&lt; Seleccionar&gt;&gt;]])</f>
        <v>Huánuco__</v>
      </c>
      <c r="J3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2" s="72" t="e">
        <f>VLOOKUP(Tabla5[[#This Row],[Tipo de Transporte Empleado
&lt;&lt; Seleccionar&gt;&gt;]],Tabla8[#All],2,0)</f>
        <v>#N/A</v>
      </c>
      <c r="L362" s="71" t="e">
        <f>#REF!+(#REF!*2)+#REF!</f>
        <v>#REF!</v>
      </c>
    </row>
    <row r="363" spans="1:12" x14ac:dyDescent="0.25">
      <c r="A363" s="328" t="e">
        <f>VLOOKUP(Tabla5[[#This Row],[Acción
&lt;&lt; Seleccionar&gt;&gt;]],TablaAccion[[#All],[Nombre_Abreviado]:[Codigo_Plan_Acción]],3,0)</f>
        <v>#N/A</v>
      </c>
      <c r="B363" s="328" t="e">
        <f>VLOOKUP(Tabla5[[#This Row],[Acción Especifica
&lt;&lt; Seleccionar&gt;&gt;]],TablaAccionEspecifica[[#All],[Nombre_Abreviado]:[Codigo_Acción]],3,0)</f>
        <v>#N/A</v>
      </c>
      <c r="C363" s="328" t="e">
        <f>CONCATENATE(Tabla18[[#This Row],[Bus_02]],"_",Tabla5[[#This Row],[Sub Acción Específica
&lt;&lt; Seleccionar&gt;&gt;]])</f>
        <v>#N/A</v>
      </c>
      <c r="D363" s="328" t="e">
        <f>VLOOKUP(Tabla18[[#This Row],[Aux_01]],TablaSubAccionEspecifica[[#All],[Concat]:[Cod_Sub_acción_especifica]],2,0)</f>
        <v>#N/A</v>
      </c>
      <c r="E363" s="328" t="e">
        <f>Tabla18[[#This Row],[Bus_03]]&amp;"_"&amp;Tabla5[[#This Row],[Tipo de Agente
&lt;&lt; Seleccionar&gt;&gt;]]</f>
        <v>#N/A</v>
      </c>
      <c r="F363" s="328" t="e">
        <f>VLOOKUP(Tabla18[[#This Row],[Concat2]],TablaPOA[[#All],[Concat]:[ConcatEspecial]],3,0)</f>
        <v>#N/A</v>
      </c>
      <c r="G363" s="65" t="str">
        <f>CONCATENATE(Registro!$A$6,"_",Tabla5[[#This Row],[Zona (Provincia)
&lt;&lt; Seleccionar&gt;&gt;]])</f>
        <v>Huánuco_</v>
      </c>
      <c r="H363" s="60" t="e">
        <f>VLOOKUP(Tabla18[[#This Row],[Concatenado***]],Tabla2[[#All],[Concatenado]:[Simbología*]],2,0)</f>
        <v>#N/A</v>
      </c>
      <c r="I363" s="65" t="str">
        <f>CONCATENATE(Tabla18[[#This Row],[Concatenado***]],"_",Tabla5[[#This Row],[Zona (Distrito)
&lt;&lt; Seleccionar&gt;&gt;]])</f>
        <v>Huánuco__</v>
      </c>
      <c r="J3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3" s="72" t="e">
        <f>VLOOKUP(Tabla5[[#This Row],[Tipo de Transporte Empleado
&lt;&lt; Seleccionar&gt;&gt;]],Tabla8[#All],2,0)</f>
        <v>#N/A</v>
      </c>
      <c r="L363" s="71" t="e">
        <f>#REF!+(#REF!*2)+#REF!</f>
        <v>#REF!</v>
      </c>
    </row>
    <row r="364" spans="1:12" x14ac:dyDescent="0.25">
      <c r="A364" s="328" t="e">
        <f>VLOOKUP(Tabla5[[#This Row],[Acción
&lt;&lt; Seleccionar&gt;&gt;]],TablaAccion[[#All],[Nombre_Abreviado]:[Codigo_Plan_Acción]],3,0)</f>
        <v>#N/A</v>
      </c>
      <c r="B364" s="328" t="e">
        <f>VLOOKUP(Tabla5[[#This Row],[Acción Especifica
&lt;&lt; Seleccionar&gt;&gt;]],TablaAccionEspecifica[[#All],[Nombre_Abreviado]:[Codigo_Acción]],3,0)</f>
        <v>#N/A</v>
      </c>
      <c r="C364" s="328" t="e">
        <f>CONCATENATE(Tabla18[[#This Row],[Bus_02]],"_",Tabla5[[#This Row],[Sub Acción Específica
&lt;&lt; Seleccionar&gt;&gt;]])</f>
        <v>#N/A</v>
      </c>
      <c r="D364" s="328" t="e">
        <f>VLOOKUP(Tabla18[[#This Row],[Aux_01]],TablaSubAccionEspecifica[[#All],[Concat]:[Cod_Sub_acción_especifica]],2,0)</f>
        <v>#N/A</v>
      </c>
      <c r="E364" s="328" t="e">
        <f>Tabla18[[#This Row],[Bus_03]]&amp;"_"&amp;Tabla5[[#This Row],[Tipo de Agente
&lt;&lt; Seleccionar&gt;&gt;]]</f>
        <v>#N/A</v>
      </c>
      <c r="F364" s="328" t="e">
        <f>VLOOKUP(Tabla18[[#This Row],[Concat2]],TablaPOA[[#All],[Concat]:[ConcatEspecial]],3,0)</f>
        <v>#N/A</v>
      </c>
      <c r="G364" s="65" t="str">
        <f>CONCATENATE(Registro!$A$6,"_",Tabla5[[#This Row],[Zona (Provincia)
&lt;&lt; Seleccionar&gt;&gt;]])</f>
        <v>Huánuco_</v>
      </c>
      <c r="H364" s="60" t="e">
        <f>VLOOKUP(Tabla18[[#This Row],[Concatenado***]],Tabla2[[#All],[Concatenado]:[Simbología*]],2,0)</f>
        <v>#N/A</v>
      </c>
      <c r="I364" s="65" t="str">
        <f>CONCATENATE(Tabla18[[#This Row],[Concatenado***]],"_",Tabla5[[#This Row],[Zona (Distrito)
&lt;&lt; Seleccionar&gt;&gt;]])</f>
        <v>Huánuco__</v>
      </c>
      <c r="J3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4" s="72" t="e">
        <f>VLOOKUP(Tabla5[[#This Row],[Tipo de Transporte Empleado
&lt;&lt; Seleccionar&gt;&gt;]],Tabla8[#All],2,0)</f>
        <v>#N/A</v>
      </c>
      <c r="L364" s="71" t="e">
        <f>#REF!+(#REF!*2)+#REF!</f>
        <v>#REF!</v>
      </c>
    </row>
    <row r="365" spans="1:12" x14ac:dyDescent="0.25">
      <c r="A365" s="328" t="e">
        <f>VLOOKUP(Tabla5[[#This Row],[Acción
&lt;&lt; Seleccionar&gt;&gt;]],TablaAccion[[#All],[Nombre_Abreviado]:[Codigo_Plan_Acción]],3,0)</f>
        <v>#N/A</v>
      </c>
      <c r="B365" s="328" t="e">
        <f>VLOOKUP(Tabla5[[#This Row],[Acción Especifica
&lt;&lt; Seleccionar&gt;&gt;]],TablaAccionEspecifica[[#All],[Nombre_Abreviado]:[Codigo_Acción]],3,0)</f>
        <v>#N/A</v>
      </c>
      <c r="C365" s="328" t="e">
        <f>CONCATENATE(Tabla18[[#This Row],[Bus_02]],"_",Tabla5[[#This Row],[Sub Acción Específica
&lt;&lt; Seleccionar&gt;&gt;]])</f>
        <v>#N/A</v>
      </c>
      <c r="D365" s="328" t="e">
        <f>VLOOKUP(Tabla18[[#This Row],[Aux_01]],TablaSubAccionEspecifica[[#All],[Concat]:[Cod_Sub_acción_especifica]],2,0)</f>
        <v>#N/A</v>
      </c>
      <c r="E365" s="328" t="e">
        <f>Tabla18[[#This Row],[Bus_03]]&amp;"_"&amp;Tabla5[[#This Row],[Tipo de Agente
&lt;&lt; Seleccionar&gt;&gt;]]</f>
        <v>#N/A</v>
      </c>
      <c r="F365" s="328" t="e">
        <f>VLOOKUP(Tabla18[[#This Row],[Concat2]],TablaPOA[[#All],[Concat]:[ConcatEspecial]],3,0)</f>
        <v>#N/A</v>
      </c>
      <c r="G365" s="65" t="str">
        <f>CONCATENATE(Registro!$A$6,"_",Tabla5[[#This Row],[Zona (Provincia)
&lt;&lt; Seleccionar&gt;&gt;]])</f>
        <v>Huánuco_</v>
      </c>
      <c r="H365" s="60" t="e">
        <f>VLOOKUP(Tabla18[[#This Row],[Concatenado***]],Tabla2[[#All],[Concatenado]:[Simbología*]],2,0)</f>
        <v>#N/A</v>
      </c>
      <c r="I365" s="65" t="str">
        <f>CONCATENATE(Tabla18[[#This Row],[Concatenado***]],"_",Tabla5[[#This Row],[Zona (Distrito)
&lt;&lt; Seleccionar&gt;&gt;]])</f>
        <v>Huánuco__</v>
      </c>
      <c r="J3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5" s="72" t="e">
        <f>VLOOKUP(Tabla5[[#This Row],[Tipo de Transporte Empleado
&lt;&lt; Seleccionar&gt;&gt;]],Tabla8[#All],2,0)</f>
        <v>#N/A</v>
      </c>
      <c r="L365" s="71" t="e">
        <f>#REF!+(#REF!*2)+#REF!</f>
        <v>#REF!</v>
      </c>
    </row>
    <row r="366" spans="1:12" x14ac:dyDescent="0.25">
      <c r="A366" s="328" t="e">
        <f>VLOOKUP(Tabla5[[#This Row],[Acción
&lt;&lt; Seleccionar&gt;&gt;]],TablaAccion[[#All],[Nombre_Abreviado]:[Codigo_Plan_Acción]],3,0)</f>
        <v>#N/A</v>
      </c>
      <c r="B366" s="328" t="e">
        <f>VLOOKUP(Tabla5[[#This Row],[Acción Especifica
&lt;&lt; Seleccionar&gt;&gt;]],TablaAccionEspecifica[[#All],[Nombre_Abreviado]:[Codigo_Acción]],3,0)</f>
        <v>#N/A</v>
      </c>
      <c r="C366" s="328" t="e">
        <f>CONCATENATE(Tabla18[[#This Row],[Bus_02]],"_",Tabla5[[#This Row],[Sub Acción Específica
&lt;&lt; Seleccionar&gt;&gt;]])</f>
        <v>#N/A</v>
      </c>
      <c r="D366" s="328" t="e">
        <f>VLOOKUP(Tabla18[[#This Row],[Aux_01]],TablaSubAccionEspecifica[[#All],[Concat]:[Cod_Sub_acción_especifica]],2,0)</f>
        <v>#N/A</v>
      </c>
      <c r="E366" s="328" t="e">
        <f>Tabla18[[#This Row],[Bus_03]]&amp;"_"&amp;Tabla5[[#This Row],[Tipo de Agente
&lt;&lt; Seleccionar&gt;&gt;]]</f>
        <v>#N/A</v>
      </c>
      <c r="F366" s="328" t="e">
        <f>VLOOKUP(Tabla18[[#This Row],[Concat2]],TablaPOA[[#All],[Concat]:[ConcatEspecial]],3,0)</f>
        <v>#N/A</v>
      </c>
      <c r="G366" s="65" t="str">
        <f>CONCATENATE(Registro!$A$6,"_",Tabla5[[#This Row],[Zona (Provincia)
&lt;&lt; Seleccionar&gt;&gt;]])</f>
        <v>Huánuco_</v>
      </c>
      <c r="H366" s="60" t="e">
        <f>VLOOKUP(Tabla18[[#This Row],[Concatenado***]],Tabla2[[#All],[Concatenado]:[Simbología*]],2,0)</f>
        <v>#N/A</v>
      </c>
      <c r="I366" s="65" t="str">
        <f>CONCATENATE(Tabla18[[#This Row],[Concatenado***]],"_",Tabla5[[#This Row],[Zona (Distrito)
&lt;&lt; Seleccionar&gt;&gt;]])</f>
        <v>Huánuco__</v>
      </c>
      <c r="J3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6" s="72" t="e">
        <f>VLOOKUP(Tabla5[[#This Row],[Tipo de Transporte Empleado
&lt;&lt; Seleccionar&gt;&gt;]],Tabla8[#All],2,0)</f>
        <v>#N/A</v>
      </c>
      <c r="L366" s="71" t="e">
        <f>#REF!+(#REF!*2)+#REF!</f>
        <v>#REF!</v>
      </c>
    </row>
    <row r="367" spans="1:12" x14ac:dyDescent="0.25">
      <c r="A367" s="328" t="e">
        <f>VLOOKUP(Tabla5[[#This Row],[Acción
&lt;&lt; Seleccionar&gt;&gt;]],TablaAccion[[#All],[Nombre_Abreviado]:[Codigo_Plan_Acción]],3,0)</f>
        <v>#N/A</v>
      </c>
      <c r="B367" s="328" t="e">
        <f>VLOOKUP(Tabla5[[#This Row],[Acción Especifica
&lt;&lt; Seleccionar&gt;&gt;]],TablaAccionEspecifica[[#All],[Nombre_Abreviado]:[Codigo_Acción]],3,0)</f>
        <v>#N/A</v>
      </c>
      <c r="C367" s="328" t="e">
        <f>CONCATENATE(Tabla18[[#This Row],[Bus_02]],"_",Tabla5[[#This Row],[Sub Acción Específica
&lt;&lt; Seleccionar&gt;&gt;]])</f>
        <v>#N/A</v>
      </c>
      <c r="D367" s="328" t="e">
        <f>VLOOKUP(Tabla18[[#This Row],[Aux_01]],TablaSubAccionEspecifica[[#All],[Concat]:[Cod_Sub_acción_especifica]],2,0)</f>
        <v>#N/A</v>
      </c>
      <c r="E367" s="328" t="e">
        <f>Tabla18[[#This Row],[Bus_03]]&amp;"_"&amp;Tabla5[[#This Row],[Tipo de Agente
&lt;&lt; Seleccionar&gt;&gt;]]</f>
        <v>#N/A</v>
      </c>
      <c r="F367" s="328" t="e">
        <f>VLOOKUP(Tabla18[[#This Row],[Concat2]],TablaPOA[[#All],[Concat]:[ConcatEspecial]],3,0)</f>
        <v>#N/A</v>
      </c>
      <c r="G367" s="65" t="str">
        <f>CONCATENATE(Registro!$A$6,"_",Tabla5[[#This Row],[Zona (Provincia)
&lt;&lt; Seleccionar&gt;&gt;]])</f>
        <v>Huánuco_</v>
      </c>
      <c r="H367" s="60" t="e">
        <f>VLOOKUP(Tabla18[[#This Row],[Concatenado***]],Tabla2[[#All],[Concatenado]:[Simbología*]],2,0)</f>
        <v>#N/A</v>
      </c>
      <c r="I367" s="65" t="str">
        <f>CONCATENATE(Tabla18[[#This Row],[Concatenado***]],"_",Tabla5[[#This Row],[Zona (Distrito)
&lt;&lt; Seleccionar&gt;&gt;]])</f>
        <v>Huánuco__</v>
      </c>
      <c r="J3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7" s="72" t="e">
        <f>VLOOKUP(Tabla5[[#This Row],[Tipo de Transporte Empleado
&lt;&lt; Seleccionar&gt;&gt;]],Tabla8[#All],2,0)</f>
        <v>#N/A</v>
      </c>
      <c r="L367" s="71" t="e">
        <f>#REF!+(#REF!*2)+#REF!</f>
        <v>#REF!</v>
      </c>
    </row>
    <row r="368" spans="1:12" x14ac:dyDescent="0.25">
      <c r="A368" s="328" t="e">
        <f>VLOOKUP(Tabla5[[#This Row],[Acción
&lt;&lt; Seleccionar&gt;&gt;]],TablaAccion[[#All],[Nombre_Abreviado]:[Codigo_Plan_Acción]],3,0)</f>
        <v>#N/A</v>
      </c>
      <c r="B368" s="328" t="e">
        <f>VLOOKUP(Tabla5[[#This Row],[Acción Especifica
&lt;&lt; Seleccionar&gt;&gt;]],TablaAccionEspecifica[[#All],[Nombre_Abreviado]:[Codigo_Acción]],3,0)</f>
        <v>#N/A</v>
      </c>
      <c r="C368" s="328" t="e">
        <f>CONCATENATE(Tabla18[[#This Row],[Bus_02]],"_",Tabla5[[#This Row],[Sub Acción Específica
&lt;&lt; Seleccionar&gt;&gt;]])</f>
        <v>#N/A</v>
      </c>
      <c r="D368" s="328" t="e">
        <f>VLOOKUP(Tabla18[[#This Row],[Aux_01]],TablaSubAccionEspecifica[[#All],[Concat]:[Cod_Sub_acción_especifica]],2,0)</f>
        <v>#N/A</v>
      </c>
      <c r="E368" s="328" t="e">
        <f>Tabla18[[#This Row],[Bus_03]]&amp;"_"&amp;Tabla5[[#This Row],[Tipo de Agente
&lt;&lt; Seleccionar&gt;&gt;]]</f>
        <v>#N/A</v>
      </c>
      <c r="F368" s="328" t="e">
        <f>VLOOKUP(Tabla18[[#This Row],[Concat2]],TablaPOA[[#All],[Concat]:[ConcatEspecial]],3,0)</f>
        <v>#N/A</v>
      </c>
      <c r="G368" s="65" t="str">
        <f>CONCATENATE(Registro!$A$6,"_",Tabla5[[#This Row],[Zona (Provincia)
&lt;&lt; Seleccionar&gt;&gt;]])</f>
        <v>Huánuco_</v>
      </c>
      <c r="H368" s="60" t="e">
        <f>VLOOKUP(Tabla18[[#This Row],[Concatenado***]],Tabla2[[#All],[Concatenado]:[Simbología*]],2,0)</f>
        <v>#N/A</v>
      </c>
      <c r="I368" s="65" t="str">
        <f>CONCATENATE(Tabla18[[#This Row],[Concatenado***]],"_",Tabla5[[#This Row],[Zona (Distrito)
&lt;&lt; Seleccionar&gt;&gt;]])</f>
        <v>Huánuco__</v>
      </c>
      <c r="J3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8" s="72" t="e">
        <f>VLOOKUP(Tabla5[[#This Row],[Tipo de Transporte Empleado
&lt;&lt; Seleccionar&gt;&gt;]],Tabla8[#All],2,0)</f>
        <v>#N/A</v>
      </c>
      <c r="L368" s="71" t="e">
        <f>#REF!+(#REF!*2)+#REF!</f>
        <v>#REF!</v>
      </c>
    </row>
    <row r="369" spans="1:12" x14ac:dyDescent="0.25">
      <c r="A369" s="328" t="e">
        <f>VLOOKUP(Tabla5[[#This Row],[Acción
&lt;&lt; Seleccionar&gt;&gt;]],TablaAccion[[#All],[Nombre_Abreviado]:[Codigo_Plan_Acción]],3,0)</f>
        <v>#N/A</v>
      </c>
      <c r="B369" s="328" t="e">
        <f>VLOOKUP(Tabla5[[#This Row],[Acción Especifica
&lt;&lt; Seleccionar&gt;&gt;]],TablaAccionEspecifica[[#All],[Nombre_Abreviado]:[Codigo_Acción]],3,0)</f>
        <v>#N/A</v>
      </c>
      <c r="C369" s="328" t="e">
        <f>CONCATENATE(Tabla18[[#This Row],[Bus_02]],"_",Tabla5[[#This Row],[Sub Acción Específica
&lt;&lt; Seleccionar&gt;&gt;]])</f>
        <v>#N/A</v>
      </c>
      <c r="D369" s="328" t="e">
        <f>VLOOKUP(Tabla18[[#This Row],[Aux_01]],TablaSubAccionEspecifica[[#All],[Concat]:[Cod_Sub_acción_especifica]],2,0)</f>
        <v>#N/A</v>
      </c>
      <c r="E369" s="328" t="e">
        <f>Tabla18[[#This Row],[Bus_03]]&amp;"_"&amp;Tabla5[[#This Row],[Tipo de Agente
&lt;&lt; Seleccionar&gt;&gt;]]</f>
        <v>#N/A</v>
      </c>
      <c r="F369" s="328" t="e">
        <f>VLOOKUP(Tabla18[[#This Row],[Concat2]],TablaPOA[[#All],[Concat]:[ConcatEspecial]],3,0)</f>
        <v>#N/A</v>
      </c>
      <c r="G369" s="65" t="str">
        <f>CONCATENATE(Registro!$A$6,"_",Tabla5[[#This Row],[Zona (Provincia)
&lt;&lt; Seleccionar&gt;&gt;]])</f>
        <v>Huánuco_</v>
      </c>
      <c r="H369" s="60" t="e">
        <f>VLOOKUP(Tabla18[[#This Row],[Concatenado***]],Tabla2[[#All],[Concatenado]:[Simbología*]],2,0)</f>
        <v>#N/A</v>
      </c>
      <c r="I369" s="65" t="str">
        <f>CONCATENATE(Tabla18[[#This Row],[Concatenado***]],"_",Tabla5[[#This Row],[Zona (Distrito)
&lt;&lt; Seleccionar&gt;&gt;]])</f>
        <v>Huánuco__</v>
      </c>
      <c r="J3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9" s="72" t="e">
        <f>VLOOKUP(Tabla5[[#This Row],[Tipo de Transporte Empleado
&lt;&lt; Seleccionar&gt;&gt;]],Tabla8[#All],2,0)</f>
        <v>#N/A</v>
      </c>
      <c r="L369" s="71" t="e">
        <f>#REF!+(#REF!*2)+#REF!</f>
        <v>#REF!</v>
      </c>
    </row>
    <row r="370" spans="1:12" x14ac:dyDescent="0.25">
      <c r="A370" s="328" t="e">
        <f>VLOOKUP(Tabla5[[#This Row],[Acción
&lt;&lt; Seleccionar&gt;&gt;]],TablaAccion[[#All],[Nombre_Abreviado]:[Codigo_Plan_Acción]],3,0)</f>
        <v>#N/A</v>
      </c>
      <c r="B370" s="328" t="e">
        <f>VLOOKUP(Tabla5[[#This Row],[Acción Especifica
&lt;&lt; Seleccionar&gt;&gt;]],TablaAccionEspecifica[[#All],[Nombre_Abreviado]:[Codigo_Acción]],3,0)</f>
        <v>#N/A</v>
      </c>
      <c r="C370" s="328" t="e">
        <f>CONCATENATE(Tabla18[[#This Row],[Bus_02]],"_",Tabla5[[#This Row],[Sub Acción Específica
&lt;&lt; Seleccionar&gt;&gt;]])</f>
        <v>#N/A</v>
      </c>
      <c r="D370" s="328" t="e">
        <f>VLOOKUP(Tabla18[[#This Row],[Aux_01]],TablaSubAccionEspecifica[[#All],[Concat]:[Cod_Sub_acción_especifica]],2,0)</f>
        <v>#N/A</v>
      </c>
      <c r="E370" s="328" t="e">
        <f>Tabla18[[#This Row],[Bus_03]]&amp;"_"&amp;Tabla5[[#This Row],[Tipo de Agente
&lt;&lt; Seleccionar&gt;&gt;]]</f>
        <v>#N/A</v>
      </c>
      <c r="F370" s="328" t="e">
        <f>VLOOKUP(Tabla18[[#This Row],[Concat2]],TablaPOA[[#All],[Concat]:[ConcatEspecial]],3,0)</f>
        <v>#N/A</v>
      </c>
      <c r="G370" s="65" t="str">
        <f>CONCATENATE(Registro!$A$6,"_",Tabla5[[#This Row],[Zona (Provincia)
&lt;&lt; Seleccionar&gt;&gt;]])</f>
        <v>Huánuco_</v>
      </c>
      <c r="H370" s="60" t="e">
        <f>VLOOKUP(Tabla18[[#This Row],[Concatenado***]],Tabla2[[#All],[Concatenado]:[Simbología*]],2,0)</f>
        <v>#N/A</v>
      </c>
      <c r="I370" s="65" t="str">
        <f>CONCATENATE(Tabla18[[#This Row],[Concatenado***]],"_",Tabla5[[#This Row],[Zona (Distrito)
&lt;&lt; Seleccionar&gt;&gt;]])</f>
        <v>Huánuco__</v>
      </c>
      <c r="J3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0" s="72" t="e">
        <f>VLOOKUP(Tabla5[[#This Row],[Tipo de Transporte Empleado
&lt;&lt; Seleccionar&gt;&gt;]],Tabla8[#All],2,0)</f>
        <v>#N/A</v>
      </c>
      <c r="L370" s="71" t="e">
        <f>#REF!+(#REF!*2)+#REF!</f>
        <v>#REF!</v>
      </c>
    </row>
    <row r="371" spans="1:12" x14ac:dyDescent="0.25">
      <c r="A371" s="328" t="e">
        <f>VLOOKUP(Tabla5[[#This Row],[Acción
&lt;&lt; Seleccionar&gt;&gt;]],TablaAccion[[#All],[Nombre_Abreviado]:[Codigo_Plan_Acción]],3,0)</f>
        <v>#N/A</v>
      </c>
      <c r="B371" s="328" t="e">
        <f>VLOOKUP(Tabla5[[#This Row],[Acción Especifica
&lt;&lt; Seleccionar&gt;&gt;]],TablaAccionEspecifica[[#All],[Nombre_Abreviado]:[Codigo_Acción]],3,0)</f>
        <v>#N/A</v>
      </c>
      <c r="C371" s="328" t="e">
        <f>CONCATENATE(Tabla18[[#This Row],[Bus_02]],"_",Tabla5[[#This Row],[Sub Acción Específica
&lt;&lt; Seleccionar&gt;&gt;]])</f>
        <v>#N/A</v>
      </c>
      <c r="D371" s="328" t="e">
        <f>VLOOKUP(Tabla18[[#This Row],[Aux_01]],TablaSubAccionEspecifica[[#All],[Concat]:[Cod_Sub_acción_especifica]],2,0)</f>
        <v>#N/A</v>
      </c>
      <c r="E371" s="328" t="e">
        <f>Tabla18[[#This Row],[Bus_03]]&amp;"_"&amp;Tabla5[[#This Row],[Tipo de Agente
&lt;&lt; Seleccionar&gt;&gt;]]</f>
        <v>#N/A</v>
      </c>
      <c r="F371" s="328" t="e">
        <f>VLOOKUP(Tabla18[[#This Row],[Concat2]],TablaPOA[[#All],[Concat]:[ConcatEspecial]],3,0)</f>
        <v>#N/A</v>
      </c>
      <c r="G371" s="65" t="str">
        <f>CONCATENATE(Registro!$A$6,"_",Tabla5[[#This Row],[Zona (Provincia)
&lt;&lt; Seleccionar&gt;&gt;]])</f>
        <v>Huánuco_</v>
      </c>
      <c r="H371" s="60" t="e">
        <f>VLOOKUP(Tabla18[[#This Row],[Concatenado***]],Tabla2[[#All],[Concatenado]:[Simbología*]],2,0)</f>
        <v>#N/A</v>
      </c>
      <c r="I371" s="65" t="str">
        <f>CONCATENATE(Tabla18[[#This Row],[Concatenado***]],"_",Tabla5[[#This Row],[Zona (Distrito)
&lt;&lt; Seleccionar&gt;&gt;]])</f>
        <v>Huánuco__</v>
      </c>
      <c r="J3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1" s="72" t="e">
        <f>VLOOKUP(Tabla5[[#This Row],[Tipo de Transporte Empleado
&lt;&lt; Seleccionar&gt;&gt;]],Tabla8[#All],2,0)</f>
        <v>#N/A</v>
      </c>
      <c r="L371" s="71" t="e">
        <f>#REF!+(#REF!*2)+#REF!</f>
        <v>#REF!</v>
      </c>
    </row>
    <row r="372" spans="1:12" x14ac:dyDescent="0.25">
      <c r="A372" s="328" t="e">
        <f>VLOOKUP(Tabla5[[#This Row],[Acción
&lt;&lt; Seleccionar&gt;&gt;]],TablaAccion[[#All],[Nombre_Abreviado]:[Codigo_Plan_Acción]],3,0)</f>
        <v>#N/A</v>
      </c>
      <c r="B372" s="328" t="e">
        <f>VLOOKUP(Tabla5[[#This Row],[Acción Especifica
&lt;&lt; Seleccionar&gt;&gt;]],TablaAccionEspecifica[[#All],[Nombre_Abreviado]:[Codigo_Acción]],3,0)</f>
        <v>#N/A</v>
      </c>
      <c r="C372" s="328" t="e">
        <f>CONCATENATE(Tabla18[[#This Row],[Bus_02]],"_",Tabla5[[#This Row],[Sub Acción Específica
&lt;&lt; Seleccionar&gt;&gt;]])</f>
        <v>#N/A</v>
      </c>
      <c r="D372" s="328" t="e">
        <f>VLOOKUP(Tabla18[[#This Row],[Aux_01]],TablaSubAccionEspecifica[[#All],[Concat]:[Cod_Sub_acción_especifica]],2,0)</f>
        <v>#N/A</v>
      </c>
      <c r="E372" s="328" t="e">
        <f>Tabla18[[#This Row],[Bus_03]]&amp;"_"&amp;Tabla5[[#This Row],[Tipo de Agente
&lt;&lt; Seleccionar&gt;&gt;]]</f>
        <v>#N/A</v>
      </c>
      <c r="F372" s="328" t="e">
        <f>VLOOKUP(Tabla18[[#This Row],[Concat2]],TablaPOA[[#All],[Concat]:[ConcatEspecial]],3,0)</f>
        <v>#N/A</v>
      </c>
      <c r="G372" s="65" t="str">
        <f>CONCATENATE(Registro!$A$6,"_",Tabla5[[#This Row],[Zona (Provincia)
&lt;&lt; Seleccionar&gt;&gt;]])</f>
        <v>Huánuco_</v>
      </c>
      <c r="H372" s="60" t="e">
        <f>VLOOKUP(Tabla18[[#This Row],[Concatenado***]],Tabla2[[#All],[Concatenado]:[Simbología*]],2,0)</f>
        <v>#N/A</v>
      </c>
      <c r="I372" s="65" t="str">
        <f>CONCATENATE(Tabla18[[#This Row],[Concatenado***]],"_",Tabla5[[#This Row],[Zona (Distrito)
&lt;&lt; Seleccionar&gt;&gt;]])</f>
        <v>Huánuco__</v>
      </c>
      <c r="J3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2" s="72" t="e">
        <f>VLOOKUP(Tabla5[[#This Row],[Tipo de Transporte Empleado
&lt;&lt; Seleccionar&gt;&gt;]],Tabla8[#All],2,0)</f>
        <v>#N/A</v>
      </c>
      <c r="L372" s="71" t="e">
        <f>#REF!+(#REF!*2)+#REF!</f>
        <v>#REF!</v>
      </c>
    </row>
    <row r="373" spans="1:12" x14ac:dyDescent="0.25">
      <c r="A373" s="328" t="e">
        <f>VLOOKUP(Tabla5[[#This Row],[Acción
&lt;&lt; Seleccionar&gt;&gt;]],TablaAccion[[#All],[Nombre_Abreviado]:[Codigo_Plan_Acción]],3,0)</f>
        <v>#N/A</v>
      </c>
      <c r="B373" s="328" t="e">
        <f>VLOOKUP(Tabla5[[#This Row],[Acción Especifica
&lt;&lt; Seleccionar&gt;&gt;]],TablaAccionEspecifica[[#All],[Nombre_Abreviado]:[Codigo_Acción]],3,0)</f>
        <v>#N/A</v>
      </c>
      <c r="C373" s="328" t="e">
        <f>CONCATENATE(Tabla18[[#This Row],[Bus_02]],"_",Tabla5[[#This Row],[Sub Acción Específica
&lt;&lt; Seleccionar&gt;&gt;]])</f>
        <v>#N/A</v>
      </c>
      <c r="D373" s="328" t="e">
        <f>VLOOKUP(Tabla18[[#This Row],[Aux_01]],TablaSubAccionEspecifica[[#All],[Concat]:[Cod_Sub_acción_especifica]],2,0)</f>
        <v>#N/A</v>
      </c>
      <c r="E373" s="328" t="e">
        <f>Tabla18[[#This Row],[Bus_03]]&amp;"_"&amp;Tabla5[[#This Row],[Tipo de Agente
&lt;&lt; Seleccionar&gt;&gt;]]</f>
        <v>#N/A</v>
      </c>
      <c r="F373" s="328" t="e">
        <f>VLOOKUP(Tabla18[[#This Row],[Concat2]],TablaPOA[[#All],[Concat]:[ConcatEspecial]],3,0)</f>
        <v>#N/A</v>
      </c>
      <c r="G373" s="65" t="str">
        <f>CONCATENATE(Registro!$A$6,"_",Tabla5[[#This Row],[Zona (Provincia)
&lt;&lt; Seleccionar&gt;&gt;]])</f>
        <v>Huánuco_</v>
      </c>
      <c r="H373" s="60" t="e">
        <f>VLOOKUP(Tabla18[[#This Row],[Concatenado***]],Tabla2[[#All],[Concatenado]:[Simbología*]],2,0)</f>
        <v>#N/A</v>
      </c>
      <c r="I373" s="65" t="str">
        <f>CONCATENATE(Tabla18[[#This Row],[Concatenado***]],"_",Tabla5[[#This Row],[Zona (Distrito)
&lt;&lt; Seleccionar&gt;&gt;]])</f>
        <v>Huánuco__</v>
      </c>
      <c r="J3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3" s="72" t="e">
        <f>VLOOKUP(Tabla5[[#This Row],[Tipo de Transporte Empleado
&lt;&lt; Seleccionar&gt;&gt;]],Tabla8[#All],2,0)</f>
        <v>#N/A</v>
      </c>
      <c r="L373" s="71" t="e">
        <f>#REF!+(#REF!*2)+#REF!</f>
        <v>#REF!</v>
      </c>
    </row>
    <row r="374" spans="1:12" x14ac:dyDescent="0.25">
      <c r="A374" s="328" t="e">
        <f>VLOOKUP(Tabla5[[#This Row],[Acción
&lt;&lt; Seleccionar&gt;&gt;]],TablaAccion[[#All],[Nombre_Abreviado]:[Codigo_Plan_Acción]],3,0)</f>
        <v>#N/A</v>
      </c>
      <c r="B374" s="328" t="e">
        <f>VLOOKUP(Tabla5[[#This Row],[Acción Especifica
&lt;&lt; Seleccionar&gt;&gt;]],TablaAccionEspecifica[[#All],[Nombre_Abreviado]:[Codigo_Acción]],3,0)</f>
        <v>#N/A</v>
      </c>
      <c r="C374" s="328" t="e">
        <f>CONCATENATE(Tabla18[[#This Row],[Bus_02]],"_",Tabla5[[#This Row],[Sub Acción Específica
&lt;&lt; Seleccionar&gt;&gt;]])</f>
        <v>#N/A</v>
      </c>
      <c r="D374" s="328" t="e">
        <f>VLOOKUP(Tabla18[[#This Row],[Aux_01]],TablaSubAccionEspecifica[[#All],[Concat]:[Cod_Sub_acción_especifica]],2,0)</f>
        <v>#N/A</v>
      </c>
      <c r="E374" s="328" t="e">
        <f>Tabla18[[#This Row],[Bus_03]]&amp;"_"&amp;Tabla5[[#This Row],[Tipo de Agente
&lt;&lt; Seleccionar&gt;&gt;]]</f>
        <v>#N/A</v>
      </c>
      <c r="F374" s="328" t="e">
        <f>VLOOKUP(Tabla18[[#This Row],[Concat2]],TablaPOA[[#All],[Concat]:[ConcatEspecial]],3,0)</f>
        <v>#N/A</v>
      </c>
      <c r="G374" s="65" t="str">
        <f>CONCATENATE(Registro!$A$6,"_",Tabla5[[#This Row],[Zona (Provincia)
&lt;&lt; Seleccionar&gt;&gt;]])</f>
        <v>Huánuco_</v>
      </c>
      <c r="H374" s="60" t="e">
        <f>VLOOKUP(Tabla18[[#This Row],[Concatenado***]],Tabla2[[#All],[Concatenado]:[Simbología*]],2,0)</f>
        <v>#N/A</v>
      </c>
      <c r="I374" s="65" t="str">
        <f>CONCATENATE(Tabla18[[#This Row],[Concatenado***]],"_",Tabla5[[#This Row],[Zona (Distrito)
&lt;&lt; Seleccionar&gt;&gt;]])</f>
        <v>Huánuco__</v>
      </c>
      <c r="J3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4" s="72" t="e">
        <f>VLOOKUP(Tabla5[[#This Row],[Tipo de Transporte Empleado
&lt;&lt; Seleccionar&gt;&gt;]],Tabla8[#All],2,0)</f>
        <v>#N/A</v>
      </c>
      <c r="L374" s="71" t="e">
        <f>#REF!+(#REF!*2)+#REF!</f>
        <v>#REF!</v>
      </c>
    </row>
    <row r="375" spans="1:12" x14ac:dyDescent="0.25">
      <c r="A375" s="328" t="e">
        <f>VLOOKUP(Tabla5[[#This Row],[Acción
&lt;&lt; Seleccionar&gt;&gt;]],TablaAccion[[#All],[Nombre_Abreviado]:[Codigo_Plan_Acción]],3,0)</f>
        <v>#N/A</v>
      </c>
      <c r="B375" s="328" t="e">
        <f>VLOOKUP(Tabla5[[#This Row],[Acción Especifica
&lt;&lt; Seleccionar&gt;&gt;]],TablaAccionEspecifica[[#All],[Nombre_Abreviado]:[Codigo_Acción]],3,0)</f>
        <v>#N/A</v>
      </c>
      <c r="C375" s="328" t="e">
        <f>CONCATENATE(Tabla18[[#This Row],[Bus_02]],"_",Tabla5[[#This Row],[Sub Acción Específica
&lt;&lt; Seleccionar&gt;&gt;]])</f>
        <v>#N/A</v>
      </c>
      <c r="D375" s="328" t="e">
        <f>VLOOKUP(Tabla18[[#This Row],[Aux_01]],TablaSubAccionEspecifica[[#All],[Concat]:[Cod_Sub_acción_especifica]],2,0)</f>
        <v>#N/A</v>
      </c>
      <c r="E375" s="328" t="e">
        <f>Tabla18[[#This Row],[Bus_03]]&amp;"_"&amp;Tabla5[[#This Row],[Tipo de Agente
&lt;&lt; Seleccionar&gt;&gt;]]</f>
        <v>#N/A</v>
      </c>
      <c r="F375" s="328" t="e">
        <f>VLOOKUP(Tabla18[[#This Row],[Concat2]],TablaPOA[[#All],[Concat]:[ConcatEspecial]],3,0)</f>
        <v>#N/A</v>
      </c>
      <c r="G375" s="65" t="str">
        <f>CONCATENATE(Registro!$A$6,"_",Tabla5[[#This Row],[Zona (Provincia)
&lt;&lt; Seleccionar&gt;&gt;]])</f>
        <v>Huánuco_</v>
      </c>
      <c r="H375" s="60" t="e">
        <f>VLOOKUP(Tabla18[[#This Row],[Concatenado***]],Tabla2[[#All],[Concatenado]:[Simbología*]],2,0)</f>
        <v>#N/A</v>
      </c>
      <c r="I375" s="65" t="str">
        <f>CONCATENATE(Tabla18[[#This Row],[Concatenado***]],"_",Tabla5[[#This Row],[Zona (Distrito)
&lt;&lt; Seleccionar&gt;&gt;]])</f>
        <v>Huánuco__</v>
      </c>
      <c r="J3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5" s="72" t="e">
        <f>VLOOKUP(Tabla5[[#This Row],[Tipo de Transporte Empleado
&lt;&lt; Seleccionar&gt;&gt;]],Tabla8[#All],2,0)</f>
        <v>#N/A</v>
      </c>
      <c r="L375" s="71" t="e">
        <f>#REF!+(#REF!*2)+#REF!</f>
        <v>#REF!</v>
      </c>
    </row>
    <row r="376" spans="1:12" x14ac:dyDescent="0.25">
      <c r="A376" s="328" t="e">
        <f>VLOOKUP(Tabla5[[#This Row],[Acción
&lt;&lt; Seleccionar&gt;&gt;]],TablaAccion[[#All],[Nombre_Abreviado]:[Codigo_Plan_Acción]],3,0)</f>
        <v>#N/A</v>
      </c>
      <c r="B376" s="328" t="e">
        <f>VLOOKUP(Tabla5[[#This Row],[Acción Especifica
&lt;&lt; Seleccionar&gt;&gt;]],TablaAccionEspecifica[[#All],[Nombre_Abreviado]:[Codigo_Acción]],3,0)</f>
        <v>#N/A</v>
      </c>
      <c r="C376" s="328" t="e">
        <f>CONCATENATE(Tabla18[[#This Row],[Bus_02]],"_",Tabla5[[#This Row],[Sub Acción Específica
&lt;&lt; Seleccionar&gt;&gt;]])</f>
        <v>#N/A</v>
      </c>
      <c r="D376" s="328" t="e">
        <f>VLOOKUP(Tabla18[[#This Row],[Aux_01]],TablaSubAccionEspecifica[[#All],[Concat]:[Cod_Sub_acción_especifica]],2,0)</f>
        <v>#N/A</v>
      </c>
      <c r="E376" s="328" t="e">
        <f>Tabla18[[#This Row],[Bus_03]]&amp;"_"&amp;Tabla5[[#This Row],[Tipo de Agente
&lt;&lt; Seleccionar&gt;&gt;]]</f>
        <v>#N/A</v>
      </c>
      <c r="F376" s="328" t="e">
        <f>VLOOKUP(Tabla18[[#This Row],[Concat2]],TablaPOA[[#All],[Concat]:[ConcatEspecial]],3,0)</f>
        <v>#N/A</v>
      </c>
      <c r="G376" s="65" t="str">
        <f>CONCATENATE(Registro!$A$6,"_",Tabla5[[#This Row],[Zona (Provincia)
&lt;&lt; Seleccionar&gt;&gt;]])</f>
        <v>Huánuco_</v>
      </c>
      <c r="H376" s="60" t="e">
        <f>VLOOKUP(Tabla18[[#This Row],[Concatenado***]],Tabla2[[#All],[Concatenado]:[Simbología*]],2,0)</f>
        <v>#N/A</v>
      </c>
      <c r="I376" s="65" t="str">
        <f>CONCATENATE(Tabla18[[#This Row],[Concatenado***]],"_",Tabla5[[#This Row],[Zona (Distrito)
&lt;&lt; Seleccionar&gt;&gt;]])</f>
        <v>Huánuco__</v>
      </c>
      <c r="J3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6" s="72" t="e">
        <f>VLOOKUP(Tabla5[[#This Row],[Tipo de Transporte Empleado
&lt;&lt; Seleccionar&gt;&gt;]],Tabla8[#All],2,0)</f>
        <v>#N/A</v>
      </c>
      <c r="L376" s="71" t="e">
        <f>#REF!+(#REF!*2)+#REF!</f>
        <v>#REF!</v>
      </c>
    </row>
    <row r="377" spans="1:12" x14ac:dyDescent="0.25">
      <c r="A377" s="328" t="e">
        <f>VLOOKUP(Tabla5[[#This Row],[Acción
&lt;&lt; Seleccionar&gt;&gt;]],TablaAccion[[#All],[Nombre_Abreviado]:[Codigo_Plan_Acción]],3,0)</f>
        <v>#N/A</v>
      </c>
      <c r="B377" s="328" t="e">
        <f>VLOOKUP(Tabla5[[#This Row],[Acción Especifica
&lt;&lt; Seleccionar&gt;&gt;]],TablaAccionEspecifica[[#All],[Nombre_Abreviado]:[Codigo_Acción]],3,0)</f>
        <v>#N/A</v>
      </c>
      <c r="C377" s="328" t="e">
        <f>CONCATENATE(Tabla18[[#This Row],[Bus_02]],"_",Tabla5[[#This Row],[Sub Acción Específica
&lt;&lt; Seleccionar&gt;&gt;]])</f>
        <v>#N/A</v>
      </c>
      <c r="D377" s="328" t="e">
        <f>VLOOKUP(Tabla18[[#This Row],[Aux_01]],TablaSubAccionEspecifica[[#All],[Concat]:[Cod_Sub_acción_especifica]],2,0)</f>
        <v>#N/A</v>
      </c>
      <c r="E377" s="328" t="e">
        <f>Tabla18[[#This Row],[Bus_03]]&amp;"_"&amp;Tabla5[[#This Row],[Tipo de Agente
&lt;&lt; Seleccionar&gt;&gt;]]</f>
        <v>#N/A</v>
      </c>
      <c r="F377" s="328" t="e">
        <f>VLOOKUP(Tabla18[[#This Row],[Concat2]],TablaPOA[[#All],[Concat]:[ConcatEspecial]],3,0)</f>
        <v>#N/A</v>
      </c>
      <c r="G377" s="65" t="str">
        <f>CONCATENATE(Registro!$A$6,"_",Tabla5[[#This Row],[Zona (Provincia)
&lt;&lt; Seleccionar&gt;&gt;]])</f>
        <v>Huánuco_</v>
      </c>
      <c r="H377" s="60" t="e">
        <f>VLOOKUP(Tabla18[[#This Row],[Concatenado***]],Tabla2[[#All],[Concatenado]:[Simbología*]],2,0)</f>
        <v>#N/A</v>
      </c>
      <c r="I377" s="65" t="str">
        <f>CONCATENATE(Tabla18[[#This Row],[Concatenado***]],"_",Tabla5[[#This Row],[Zona (Distrito)
&lt;&lt; Seleccionar&gt;&gt;]])</f>
        <v>Huánuco__</v>
      </c>
      <c r="J3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7" s="72" t="e">
        <f>VLOOKUP(Tabla5[[#This Row],[Tipo de Transporte Empleado
&lt;&lt; Seleccionar&gt;&gt;]],Tabla8[#All],2,0)</f>
        <v>#N/A</v>
      </c>
      <c r="L377" s="71" t="e">
        <f>#REF!+(#REF!*2)+#REF!</f>
        <v>#REF!</v>
      </c>
    </row>
    <row r="378" spans="1:12" x14ac:dyDescent="0.25">
      <c r="A378" s="328" t="e">
        <f>VLOOKUP(Tabla5[[#This Row],[Acción
&lt;&lt; Seleccionar&gt;&gt;]],TablaAccion[[#All],[Nombre_Abreviado]:[Codigo_Plan_Acción]],3,0)</f>
        <v>#N/A</v>
      </c>
      <c r="B378" s="328" t="e">
        <f>VLOOKUP(Tabla5[[#This Row],[Acción Especifica
&lt;&lt; Seleccionar&gt;&gt;]],TablaAccionEspecifica[[#All],[Nombre_Abreviado]:[Codigo_Acción]],3,0)</f>
        <v>#N/A</v>
      </c>
      <c r="C378" s="328" t="e">
        <f>CONCATENATE(Tabla18[[#This Row],[Bus_02]],"_",Tabla5[[#This Row],[Sub Acción Específica
&lt;&lt; Seleccionar&gt;&gt;]])</f>
        <v>#N/A</v>
      </c>
      <c r="D378" s="328" t="e">
        <f>VLOOKUP(Tabla18[[#This Row],[Aux_01]],TablaSubAccionEspecifica[[#All],[Concat]:[Cod_Sub_acción_especifica]],2,0)</f>
        <v>#N/A</v>
      </c>
      <c r="E378" s="328" t="e">
        <f>Tabla18[[#This Row],[Bus_03]]&amp;"_"&amp;Tabla5[[#This Row],[Tipo de Agente
&lt;&lt; Seleccionar&gt;&gt;]]</f>
        <v>#N/A</v>
      </c>
      <c r="F378" s="328" t="e">
        <f>VLOOKUP(Tabla18[[#This Row],[Concat2]],TablaPOA[[#All],[Concat]:[ConcatEspecial]],3,0)</f>
        <v>#N/A</v>
      </c>
      <c r="G378" s="65" t="str">
        <f>CONCATENATE(Registro!$A$6,"_",Tabla5[[#This Row],[Zona (Provincia)
&lt;&lt; Seleccionar&gt;&gt;]])</f>
        <v>Huánuco_</v>
      </c>
      <c r="H378" s="60" t="e">
        <f>VLOOKUP(Tabla18[[#This Row],[Concatenado***]],Tabla2[[#All],[Concatenado]:[Simbología*]],2,0)</f>
        <v>#N/A</v>
      </c>
      <c r="I378" s="65" t="str">
        <f>CONCATENATE(Tabla18[[#This Row],[Concatenado***]],"_",Tabla5[[#This Row],[Zona (Distrito)
&lt;&lt; Seleccionar&gt;&gt;]])</f>
        <v>Huánuco__</v>
      </c>
      <c r="J3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8" s="72" t="e">
        <f>VLOOKUP(Tabla5[[#This Row],[Tipo de Transporte Empleado
&lt;&lt; Seleccionar&gt;&gt;]],Tabla8[#All],2,0)</f>
        <v>#N/A</v>
      </c>
      <c r="L378" s="71" t="e">
        <f>#REF!+(#REF!*2)+#REF!</f>
        <v>#REF!</v>
      </c>
    </row>
    <row r="379" spans="1:12" x14ac:dyDescent="0.25">
      <c r="A379" s="328" t="e">
        <f>VLOOKUP(Tabla5[[#This Row],[Acción
&lt;&lt; Seleccionar&gt;&gt;]],TablaAccion[[#All],[Nombre_Abreviado]:[Codigo_Plan_Acción]],3,0)</f>
        <v>#N/A</v>
      </c>
      <c r="B379" s="328" t="e">
        <f>VLOOKUP(Tabla5[[#This Row],[Acción Especifica
&lt;&lt; Seleccionar&gt;&gt;]],TablaAccionEspecifica[[#All],[Nombre_Abreviado]:[Codigo_Acción]],3,0)</f>
        <v>#N/A</v>
      </c>
      <c r="C379" s="328" t="e">
        <f>CONCATENATE(Tabla18[[#This Row],[Bus_02]],"_",Tabla5[[#This Row],[Sub Acción Específica
&lt;&lt; Seleccionar&gt;&gt;]])</f>
        <v>#N/A</v>
      </c>
      <c r="D379" s="328" t="e">
        <f>VLOOKUP(Tabla18[[#This Row],[Aux_01]],TablaSubAccionEspecifica[[#All],[Concat]:[Cod_Sub_acción_especifica]],2,0)</f>
        <v>#N/A</v>
      </c>
      <c r="E379" s="328" t="e">
        <f>Tabla18[[#This Row],[Bus_03]]&amp;"_"&amp;Tabla5[[#This Row],[Tipo de Agente
&lt;&lt; Seleccionar&gt;&gt;]]</f>
        <v>#N/A</v>
      </c>
      <c r="F379" s="328" t="e">
        <f>VLOOKUP(Tabla18[[#This Row],[Concat2]],TablaPOA[[#All],[Concat]:[ConcatEspecial]],3,0)</f>
        <v>#N/A</v>
      </c>
      <c r="G379" s="65" t="str">
        <f>CONCATENATE(Registro!$A$6,"_",Tabla5[[#This Row],[Zona (Provincia)
&lt;&lt; Seleccionar&gt;&gt;]])</f>
        <v>Huánuco_</v>
      </c>
      <c r="H379" s="60" t="e">
        <f>VLOOKUP(Tabla18[[#This Row],[Concatenado***]],Tabla2[[#All],[Concatenado]:[Simbología*]],2,0)</f>
        <v>#N/A</v>
      </c>
      <c r="I379" s="65" t="str">
        <f>CONCATENATE(Tabla18[[#This Row],[Concatenado***]],"_",Tabla5[[#This Row],[Zona (Distrito)
&lt;&lt; Seleccionar&gt;&gt;]])</f>
        <v>Huánuco__</v>
      </c>
      <c r="J3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9" s="72" t="e">
        <f>VLOOKUP(Tabla5[[#This Row],[Tipo de Transporte Empleado
&lt;&lt; Seleccionar&gt;&gt;]],Tabla8[#All],2,0)</f>
        <v>#N/A</v>
      </c>
      <c r="L379" s="71" t="e">
        <f>#REF!+(#REF!*2)+#REF!</f>
        <v>#REF!</v>
      </c>
    </row>
    <row r="380" spans="1:12" x14ac:dyDescent="0.25">
      <c r="A380" s="328" t="e">
        <f>VLOOKUP(Tabla5[[#This Row],[Acción
&lt;&lt; Seleccionar&gt;&gt;]],TablaAccion[[#All],[Nombre_Abreviado]:[Codigo_Plan_Acción]],3,0)</f>
        <v>#N/A</v>
      </c>
      <c r="B380" s="328" t="e">
        <f>VLOOKUP(Tabla5[[#This Row],[Acción Especifica
&lt;&lt; Seleccionar&gt;&gt;]],TablaAccionEspecifica[[#All],[Nombre_Abreviado]:[Codigo_Acción]],3,0)</f>
        <v>#N/A</v>
      </c>
      <c r="C380" s="328" t="e">
        <f>CONCATENATE(Tabla18[[#This Row],[Bus_02]],"_",Tabla5[[#This Row],[Sub Acción Específica
&lt;&lt; Seleccionar&gt;&gt;]])</f>
        <v>#N/A</v>
      </c>
      <c r="D380" s="328" t="e">
        <f>VLOOKUP(Tabla18[[#This Row],[Aux_01]],TablaSubAccionEspecifica[[#All],[Concat]:[Cod_Sub_acción_especifica]],2,0)</f>
        <v>#N/A</v>
      </c>
      <c r="E380" s="328" t="e">
        <f>Tabla18[[#This Row],[Bus_03]]&amp;"_"&amp;Tabla5[[#This Row],[Tipo de Agente
&lt;&lt; Seleccionar&gt;&gt;]]</f>
        <v>#N/A</v>
      </c>
      <c r="F380" s="328" t="e">
        <f>VLOOKUP(Tabla18[[#This Row],[Concat2]],TablaPOA[[#All],[Concat]:[ConcatEspecial]],3,0)</f>
        <v>#N/A</v>
      </c>
      <c r="G380" s="65" t="str">
        <f>CONCATENATE(Registro!$A$6,"_",Tabla5[[#This Row],[Zona (Provincia)
&lt;&lt; Seleccionar&gt;&gt;]])</f>
        <v>Huánuco_</v>
      </c>
      <c r="H380" s="60" t="e">
        <f>VLOOKUP(Tabla18[[#This Row],[Concatenado***]],Tabla2[[#All],[Concatenado]:[Simbología*]],2,0)</f>
        <v>#N/A</v>
      </c>
      <c r="I380" s="65" t="str">
        <f>CONCATENATE(Tabla18[[#This Row],[Concatenado***]],"_",Tabla5[[#This Row],[Zona (Distrito)
&lt;&lt; Seleccionar&gt;&gt;]])</f>
        <v>Huánuco__</v>
      </c>
      <c r="J3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0" s="72" t="e">
        <f>VLOOKUP(Tabla5[[#This Row],[Tipo de Transporte Empleado
&lt;&lt; Seleccionar&gt;&gt;]],Tabla8[#All],2,0)</f>
        <v>#N/A</v>
      </c>
      <c r="L380" s="71" t="e">
        <f>#REF!+(#REF!*2)+#REF!</f>
        <v>#REF!</v>
      </c>
    </row>
    <row r="381" spans="1:12" x14ac:dyDescent="0.25">
      <c r="A381" s="328" t="e">
        <f>VLOOKUP(Tabla5[[#This Row],[Acción
&lt;&lt; Seleccionar&gt;&gt;]],TablaAccion[[#All],[Nombre_Abreviado]:[Codigo_Plan_Acción]],3,0)</f>
        <v>#N/A</v>
      </c>
      <c r="B381" s="328" t="e">
        <f>VLOOKUP(Tabla5[[#This Row],[Acción Especifica
&lt;&lt; Seleccionar&gt;&gt;]],TablaAccionEspecifica[[#All],[Nombre_Abreviado]:[Codigo_Acción]],3,0)</f>
        <v>#N/A</v>
      </c>
      <c r="C381" s="328" t="e">
        <f>CONCATENATE(Tabla18[[#This Row],[Bus_02]],"_",Tabla5[[#This Row],[Sub Acción Específica
&lt;&lt; Seleccionar&gt;&gt;]])</f>
        <v>#N/A</v>
      </c>
      <c r="D381" s="328" t="e">
        <f>VLOOKUP(Tabla18[[#This Row],[Aux_01]],TablaSubAccionEspecifica[[#All],[Concat]:[Cod_Sub_acción_especifica]],2,0)</f>
        <v>#N/A</v>
      </c>
      <c r="E381" s="328" t="e">
        <f>Tabla18[[#This Row],[Bus_03]]&amp;"_"&amp;Tabla5[[#This Row],[Tipo de Agente
&lt;&lt; Seleccionar&gt;&gt;]]</f>
        <v>#N/A</v>
      </c>
      <c r="F381" s="328" t="e">
        <f>VLOOKUP(Tabla18[[#This Row],[Concat2]],TablaPOA[[#All],[Concat]:[ConcatEspecial]],3,0)</f>
        <v>#N/A</v>
      </c>
      <c r="G381" s="65" t="str">
        <f>CONCATENATE(Registro!$A$6,"_",Tabla5[[#This Row],[Zona (Provincia)
&lt;&lt; Seleccionar&gt;&gt;]])</f>
        <v>Huánuco_</v>
      </c>
      <c r="H381" s="60" t="e">
        <f>VLOOKUP(Tabla18[[#This Row],[Concatenado***]],Tabla2[[#All],[Concatenado]:[Simbología*]],2,0)</f>
        <v>#N/A</v>
      </c>
      <c r="I381" s="65" t="str">
        <f>CONCATENATE(Tabla18[[#This Row],[Concatenado***]],"_",Tabla5[[#This Row],[Zona (Distrito)
&lt;&lt; Seleccionar&gt;&gt;]])</f>
        <v>Huánuco__</v>
      </c>
      <c r="J3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1" s="72" t="e">
        <f>VLOOKUP(Tabla5[[#This Row],[Tipo de Transporte Empleado
&lt;&lt; Seleccionar&gt;&gt;]],Tabla8[#All],2,0)</f>
        <v>#N/A</v>
      </c>
      <c r="L381" s="71" t="e">
        <f>#REF!+(#REF!*2)+#REF!</f>
        <v>#REF!</v>
      </c>
    </row>
    <row r="382" spans="1:12" x14ac:dyDescent="0.25">
      <c r="A382" s="328" t="e">
        <f>VLOOKUP(Tabla5[[#This Row],[Acción
&lt;&lt; Seleccionar&gt;&gt;]],TablaAccion[[#All],[Nombre_Abreviado]:[Codigo_Plan_Acción]],3,0)</f>
        <v>#N/A</v>
      </c>
      <c r="B382" s="328" t="e">
        <f>VLOOKUP(Tabla5[[#This Row],[Acción Especifica
&lt;&lt; Seleccionar&gt;&gt;]],TablaAccionEspecifica[[#All],[Nombre_Abreviado]:[Codigo_Acción]],3,0)</f>
        <v>#N/A</v>
      </c>
      <c r="C382" s="328" t="e">
        <f>CONCATENATE(Tabla18[[#This Row],[Bus_02]],"_",Tabla5[[#This Row],[Sub Acción Específica
&lt;&lt; Seleccionar&gt;&gt;]])</f>
        <v>#N/A</v>
      </c>
      <c r="D382" s="328" t="e">
        <f>VLOOKUP(Tabla18[[#This Row],[Aux_01]],TablaSubAccionEspecifica[[#All],[Concat]:[Cod_Sub_acción_especifica]],2,0)</f>
        <v>#N/A</v>
      </c>
      <c r="E382" s="328" t="e">
        <f>Tabla18[[#This Row],[Bus_03]]&amp;"_"&amp;Tabla5[[#This Row],[Tipo de Agente
&lt;&lt; Seleccionar&gt;&gt;]]</f>
        <v>#N/A</v>
      </c>
      <c r="F382" s="328" t="e">
        <f>VLOOKUP(Tabla18[[#This Row],[Concat2]],TablaPOA[[#All],[Concat]:[ConcatEspecial]],3,0)</f>
        <v>#N/A</v>
      </c>
      <c r="G382" s="65" t="str">
        <f>CONCATENATE(Registro!$A$6,"_",Tabla5[[#This Row],[Zona (Provincia)
&lt;&lt; Seleccionar&gt;&gt;]])</f>
        <v>Huánuco_</v>
      </c>
      <c r="H382" s="60" t="e">
        <f>VLOOKUP(Tabla18[[#This Row],[Concatenado***]],Tabla2[[#All],[Concatenado]:[Simbología*]],2,0)</f>
        <v>#N/A</v>
      </c>
      <c r="I382" s="65" t="str">
        <f>CONCATENATE(Tabla18[[#This Row],[Concatenado***]],"_",Tabla5[[#This Row],[Zona (Distrito)
&lt;&lt; Seleccionar&gt;&gt;]])</f>
        <v>Huánuco__</v>
      </c>
      <c r="J3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2" s="72" t="e">
        <f>VLOOKUP(Tabla5[[#This Row],[Tipo de Transporte Empleado
&lt;&lt; Seleccionar&gt;&gt;]],Tabla8[#All],2,0)</f>
        <v>#N/A</v>
      </c>
      <c r="L382" s="71" t="e">
        <f>#REF!+(#REF!*2)+#REF!</f>
        <v>#REF!</v>
      </c>
    </row>
    <row r="383" spans="1:12" x14ac:dyDescent="0.25">
      <c r="A383" s="328" t="e">
        <f>VLOOKUP(Tabla5[[#This Row],[Acción
&lt;&lt; Seleccionar&gt;&gt;]],TablaAccion[[#All],[Nombre_Abreviado]:[Codigo_Plan_Acción]],3,0)</f>
        <v>#N/A</v>
      </c>
      <c r="B383" s="328" t="e">
        <f>VLOOKUP(Tabla5[[#This Row],[Acción Especifica
&lt;&lt; Seleccionar&gt;&gt;]],TablaAccionEspecifica[[#All],[Nombre_Abreviado]:[Codigo_Acción]],3,0)</f>
        <v>#N/A</v>
      </c>
      <c r="C383" s="328" t="e">
        <f>CONCATENATE(Tabla18[[#This Row],[Bus_02]],"_",Tabla5[[#This Row],[Sub Acción Específica
&lt;&lt; Seleccionar&gt;&gt;]])</f>
        <v>#N/A</v>
      </c>
      <c r="D383" s="328" t="e">
        <f>VLOOKUP(Tabla18[[#This Row],[Aux_01]],TablaSubAccionEspecifica[[#All],[Concat]:[Cod_Sub_acción_especifica]],2,0)</f>
        <v>#N/A</v>
      </c>
      <c r="E383" s="328" t="e">
        <f>Tabla18[[#This Row],[Bus_03]]&amp;"_"&amp;Tabla5[[#This Row],[Tipo de Agente
&lt;&lt; Seleccionar&gt;&gt;]]</f>
        <v>#N/A</v>
      </c>
      <c r="F383" s="328" t="e">
        <f>VLOOKUP(Tabla18[[#This Row],[Concat2]],TablaPOA[[#All],[Concat]:[ConcatEspecial]],3,0)</f>
        <v>#N/A</v>
      </c>
      <c r="G383" s="65" t="str">
        <f>CONCATENATE(Registro!$A$6,"_",Tabla5[[#This Row],[Zona (Provincia)
&lt;&lt; Seleccionar&gt;&gt;]])</f>
        <v>Huánuco_</v>
      </c>
      <c r="H383" s="60" t="e">
        <f>VLOOKUP(Tabla18[[#This Row],[Concatenado***]],Tabla2[[#All],[Concatenado]:[Simbología*]],2,0)</f>
        <v>#N/A</v>
      </c>
      <c r="I383" s="65" t="str">
        <f>CONCATENATE(Tabla18[[#This Row],[Concatenado***]],"_",Tabla5[[#This Row],[Zona (Distrito)
&lt;&lt; Seleccionar&gt;&gt;]])</f>
        <v>Huánuco__</v>
      </c>
      <c r="J3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3" s="72" t="e">
        <f>VLOOKUP(Tabla5[[#This Row],[Tipo de Transporte Empleado
&lt;&lt; Seleccionar&gt;&gt;]],Tabla8[#All],2,0)</f>
        <v>#N/A</v>
      </c>
      <c r="L383" s="71" t="e">
        <f>#REF!+(#REF!*2)+#REF!</f>
        <v>#REF!</v>
      </c>
    </row>
    <row r="384" spans="1:12" x14ac:dyDescent="0.25">
      <c r="A384" s="328" t="e">
        <f>VLOOKUP(Tabla5[[#This Row],[Acción
&lt;&lt; Seleccionar&gt;&gt;]],TablaAccion[[#All],[Nombre_Abreviado]:[Codigo_Plan_Acción]],3,0)</f>
        <v>#N/A</v>
      </c>
      <c r="B384" s="328" t="e">
        <f>VLOOKUP(Tabla5[[#This Row],[Acción Especifica
&lt;&lt; Seleccionar&gt;&gt;]],TablaAccionEspecifica[[#All],[Nombre_Abreviado]:[Codigo_Acción]],3,0)</f>
        <v>#N/A</v>
      </c>
      <c r="C384" s="328" t="e">
        <f>CONCATENATE(Tabla18[[#This Row],[Bus_02]],"_",Tabla5[[#This Row],[Sub Acción Específica
&lt;&lt; Seleccionar&gt;&gt;]])</f>
        <v>#N/A</v>
      </c>
      <c r="D384" s="328" t="e">
        <f>VLOOKUP(Tabla18[[#This Row],[Aux_01]],TablaSubAccionEspecifica[[#All],[Concat]:[Cod_Sub_acción_especifica]],2,0)</f>
        <v>#N/A</v>
      </c>
      <c r="E384" s="328" t="e">
        <f>Tabla18[[#This Row],[Bus_03]]&amp;"_"&amp;Tabla5[[#This Row],[Tipo de Agente
&lt;&lt; Seleccionar&gt;&gt;]]</f>
        <v>#N/A</v>
      </c>
      <c r="F384" s="328" t="e">
        <f>VLOOKUP(Tabla18[[#This Row],[Concat2]],TablaPOA[[#All],[Concat]:[ConcatEspecial]],3,0)</f>
        <v>#N/A</v>
      </c>
      <c r="G384" s="65" t="str">
        <f>CONCATENATE(Registro!$A$6,"_",Tabla5[[#This Row],[Zona (Provincia)
&lt;&lt; Seleccionar&gt;&gt;]])</f>
        <v>Huánuco_</v>
      </c>
      <c r="H384" s="60" t="e">
        <f>VLOOKUP(Tabla18[[#This Row],[Concatenado***]],Tabla2[[#All],[Concatenado]:[Simbología*]],2,0)</f>
        <v>#N/A</v>
      </c>
      <c r="I384" s="65" t="str">
        <f>CONCATENATE(Tabla18[[#This Row],[Concatenado***]],"_",Tabla5[[#This Row],[Zona (Distrito)
&lt;&lt; Seleccionar&gt;&gt;]])</f>
        <v>Huánuco__</v>
      </c>
      <c r="J3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4" s="72" t="e">
        <f>VLOOKUP(Tabla5[[#This Row],[Tipo de Transporte Empleado
&lt;&lt; Seleccionar&gt;&gt;]],Tabla8[#All],2,0)</f>
        <v>#N/A</v>
      </c>
      <c r="L384" s="71" t="e">
        <f>#REF!+(#REF!*2)+#REF!</f>
        <v>#REF!</v>
      </c>
    </row>
    <row r="385" spans="1:12" x14ac:dyDescent="0.25">
      <c r="A385" s="328" t="e">
        <f>VLOOKUP(Tabla5[[#This Row],[Acción
&lt;&lt; Seleccionar&gt;&gt;]],TablaAccion[[#All],[Nombre_Abreviado]:[Codigo_Plan_Acción]],3,0)</f>
        <v>#N/A</v>
      </c>
      <c r="B385" s="328" t="e">
        <f>VLOOKUP(Tabla5[[#This Row],[Acción Especifica
&lt;&lt; Seleccionar&gt;&gt;]],TablaAccionEspecifica[[#All],[Nombre_Abreviado]:[Codigo_Acción]],3,0)</f>
        <v>#N/A</v>
      </c>
      <c r="C385" s="328" t="e">
        <f>CONCATENATE(Tabla18[[#This Row],[Bus_02]],"_",Tabla5[[#This Row],[Sub Acción Específica
&lt;&lt; Seleccionar&gt;&gt;]])</f>
        <v>#N/A</v>
      </c>
      <c r="D385" s="328" t="e">
        <f>VLOOKUP(Tabla18[[#This Row],[Aux_01]],TablaSubAccionEspecifica[[#All],[Concat]:[Cod_Sub_acción_especifica]],2,0)</f>
        <v>#N/A</v>
      </c>
      <c r="E385" s="328" t="e">
        <f>Tabla18[[#This Row],[Bus_03]]&amp;"_"&amp;Tabla5[[#This Row],[Tipo de Agente
&lt;&lt; Seleccionar&gt;&gt;]]</f>
        <v>#N/A</v>
      </c>
      <c r="F385" s="328" t="e">
        <f>VLOOKUP(Tabla18[[#This Row],[Concat2]],TablaPOA[[#All],[Concat]:[ConcatEspecial]],3,0)</f>
        <v>#N/A</v>
      </c>
      <c r="G385" s="65" t="str">
        <f>CONCATENATE(Registro!$A$6,"_",Tabla5[[#This Row],[Zona (Provincia)
&lt;&lt; Seleccionar&gt;&gt;]])</f>
        <v>Huánuco_</v>
      </c>
      <c r="H385" s="60" t="e">
        <f>VLOOKUP(Tabla18[[#This Row],[Concatenado***]],Tabla2[[#All],[Concatenado]:[Simbología*]],2,0)</f>
        <v>#N/A</v>
      </c>
      <c r="I385" s="65" t="str">
        <f>CONCATENATE(Tabla18[[#This Row],[Concatenado***]],"_",Tabla5[[#This Row],[Zona (Distrito)
&lt;&lt; Seleccionar&gt;&gt;]])</f>
        <v>Huánuco__</v>
      </c>
      <c r="J3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5" s="72" t="e">
        <f>VLOOKUP(Tabla5[[#This Row],[Tipo de Transporte Empleado
&lt;&lt; Seleccionar&gt;&gt;]],Tabla8[#All],2,0)</f>
        <v>#N/A</v>
      </c>
      <c r="L385" s="71" t="e">
        <f>#REF!+(#REF!*2)+#REF!</f>
        <v>#REF!</v>
      </c>
    </row>
    <row r="386" spans="1:12" x14ac:dyDescent="0.25">
      <c r="A386" s="328" t="e">
        <f>VLOOKUP(Tabla5[[#This Row],[Acción
&lt;&lt; Seleccionar&gt;&gt;]],TablaAccion[[#All],[Nombre_Abreviado]:[Codigo_Plan_Acción]],3,0)</f>
        <v>#N/A</v>
      </c>
      <c r="B386" s="328" t="e">
        <f>VLOOKUP(Tabla5[[#This Row],[Acción Especifica
&lt;&lt; Seleccionar&gt;&gt;]],TablaAccionEspecifica[[#All],[Nombre_Abreviado]:[Codigo_Acción]],3,0)</f>
        <v>#N/A</v>
      </c>
      <c r="C386" s="328" t="e">
        <f>CONCATENATE(Tabla18[[#This Row],[Bus_02]],"_",Tabla5[[#This Row],[Sub Acción Específica
&lt;&lt; Seleccionar&gt;&gt;]])</f>
        <v>#N/A</v>
      </c>
      <c r="D386" s="328" t="e">
        <f>VLOOKUP(Tabla18[[#This Row],[Aux_01]],TablaSubAccionEspecifica[[#All],[Concat]:[Cod_Sub_acción_especifica]],2,0)</f>
        <v>#N/A</v>
      </c>
      <c r="E386" s="328" t="e">
        <f>Tabla18[[#This Row],[Bus_03]]&amp;"_"&amp;Tabla5[[#This Row],[Tipo de Agente
&lt;&lt; Seleccionar&gt;&gt;]]</f>
        <v>#N/A</v>
      </c>
      <c r="F386" s="328" t="e">
        <f>VLOOKUP(Tabla18[[#This Row],[Concat2]],TablaPOA[[#All],[Concat]:[ConcatEspecial]],3,0)</f>
        <v>#N/A</v>
      </c>
      <c r="G386" s="65" t="str">
        <f>CONCATENATE(Registro!$A$6,"_",Tabla5[[#This Row],[Zona (Provincia)
&lt;&lt; Seleccionar&gt;&gt;]])</f>
        <v>Huánuco_</v>
      </c>
      <c r="H386" s="60" t="e">
        <f>VLOOKUP(Tabla18[[#This Row],[Concatenado***]],Tabla2[[#All],[Concatenado]:[Simbología*]],2,0)</f>
        <v>#N/A</v>
      </c>
      <c r="I386" s="65" t="str">
        <f>CONCATENATE(Tabla18[[#This Row],[Concatenado***]],"_",Tabla5[[#This Row],[Zona (Distrito)
&lt;&lt; Seleccionar&gt;&gt;]])</f>
        <v>Huánuco__</v>
      </c>
      <c r="J3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6" s="72" t="e">
        <f>VLOOKUP(Tabla5[[#This Row],[Tipo de Transporte Empleado
&lt;&lt; Seleccionar&gt;&gt;]],Tabla8[#All],2,0)</f>
        <v>#N/A</v>
      </c>
      <c r="L386" s="71" t="e">
        <f>#REF!+(#REF!*2)+#REF!</f>
        <v>#REF!</v>
      </c>
    </row>
    <row r="387" spans="1:12" x14ac:dyDescent="0.25">
      <c r="A387" s="328" t="e">
        <f>VLOOKUP(Tabla5[[#This Row],[Acción
&lt;&lt; Seleccionar&gt;&gt;]],TablaAccion[[#All],[Nombre_Abreviado]:[Codigo_Plan_Acción]],3,0)</f>
        <v>#N/A</v>
      </c>
      <c r="B387" s="328" t="e">
        <f>VLOOKUP(Tabla5[[#This Row],[Acción Especifica
&lt;&lt; Seleccionar&gt;&gt;]],TablaAccionEspecifica[[#All],[Nombre_Abreviado]:[Codigo_Acción]],3,0)</f>
        <v>#N/A</v>
      </c>
      <c r="C387" s="328" t="e">
        <f>CONCATENATE(Tabla18[[#This Row],[Bus_02]],"_",Tabla5[[#This Row],[Sub Acción Específica
&lt;&lt; Seleccionar&gt;&gt;]])</f>
        <v>#N/A</v>
      </c>
      <c r="D387" s="328" t="e">
        <f>VLOOKUP(Tabla18[[#This Row],[Aux_01]],TablaSubAccionEspecifica[[#All],[Concat]:[Cod_Sub_acción_especifica]],2,0)</f>
        <v>#N/A</v>
      </c>
      <c r="E387" s="328" t="e">
        <f>Tabla18[[#This Row],[Bus_03]]&amp;"_"&amp;Tabla5[[#This Row],[Tipo de Agente
&lt;&lt; Seleccionar&gt;&gt;]]</f>
        <v>#N/A</v>
      </c>
      <c r="F387" s="328" t="e">
        <f>VLOOKUP(Tabla18[[#This Row],[Concat2]],TablaPOA[[#All],[Concat]:[ConcatEspecial]],3,0)</f>
        <v>#N/A</v>
      </c>
      <c r="G387" s="65" t="str">
        <f>CONCATENATE(Registro!$A$6,"_",Tabla5[[#This Row],[Zona (Provincia)
&lt;&lt; Seleccionar&gt;&gt;]])</f>
        <v>Huánuco_</v>
      </c>
      <c r="H387" s="60" t="e">
        <f>VLOOKUP(Tabla18[[#This Row],[Concatenado***]],Tabla2[[#All],[Concatenado]:[Simbología*]],2,0)</f>
        <v>#N/A</v>
      </c>
      <c r="I387" s="65" t="str">
        <f>CONCATENATE(Tabla18[[#This Row],[Concatenado***]],"_",Tabla5[[#This Row],[Zona (Distrito)
&lt;&lt; Seleccionar&gt;&gt;]])</f>
        <v>Huánuco__</v>
      </c>
      <c r="J3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7" s="72" t="e">
        <f>VLOOKUP(Tabla5[[#This Row],[Tipo de Transporte Empleado
&lt;&lt; Seleccionar&gt;&gt;]],Tabla8[#All],2,0)</f>
        <v>#N/A</v>
      </c>
      <c r="L387" s="71" t="e">
        <f>#REF!+(#REF!*2)+#REF!</f>
        <v>#REF!</v>
      </c>
    </row>
    <row r="388" spans="1:12" x14ac:dyDescent="0.25">
      <c r="A388" s="328" t="e">
        <f>VLOOKUP(Tabla5[[#This Row],[Acción
&lt;&lt; Seleccionar&gt;&gt;]],TablaAccion[[#All],[Nombre_Abreviado]:[Codigo_Plan_Acción]],3,0)</f>
        <v>#N/A</v>
      </c>
      <c r="B388" s="328" t="e">
        <f>VLOOKUP(Tabla5[[#This Row],[Acción Especifica
&lt;&lt; Seleccionar&gt;&gt;]],TablaAccionEspecifica[[#All],[Nombre_Abreviado]:[Codigo_Acción]],3,0)</f>
        <v>#N/A</v>
      </c>
      <c r="C388" s="328" t="e">
        <f>CONCATENATE(Tabla18[[#This Row],[Bus_02]],"_",Tabla5[[#This Row],[Sub Acción Específica
&lt;&lt; Seleccionar&gt;&gt;]])</f>
        <v>#N/A</v>
      </c>
      <c r="D388" s="328" t="e">
        <f>VLOOKUP(Tabla18[[#This Row],[Aux_01]],TablaSubAccionEspecifica[[#All],[Concat]:[Cod_Sub_acción_especifica]],2,0)</f>
        <v>#N/A</v>
      </c>
      <c r="E388" s="328" t="e">
        <f>Tabla18[[#This Row],[Bus_03]]&amp;"_"&amp;Tabla5[[#This Row],[Tipo de Agente
&lt;&lt; Seleccionar&gt;&gt;]]</f>
        <v>#N/A</v>
      </c>
      <c r="F388" s="328" t="e">
        <f>VLOOKUP(Tabla18[[#This Row],[Concat2]],TablaPOA[[#All],[Concat]:[ConcatEspecial]],3,0)</f>
        <v>#N/A</v>
      </c>
      <c r="G388" s="65" t="str">
        <f>CONCATENATE(Registro!$A$6,"_",Tabla5[[#This Row],[Zona (Provincia)
&lt;&lt; Seleccionar&gt;&gt;]])</f>
        <v>Huánuco_</v>
      </c>
      <c r="H388" s="60" t="e">
        <f>VLOOKUP(Tabla18[[#This Row],[Concatenado***]],Tabla2[[#All],[Concatenado]:[Simbología*]],2,0)</f>
        <v>#N/A</v>
      </c>
      <c r="I388" s="65" t="str">
        <f>CONCATENATE(Tabla18[[#This Row],[Concatenado***]],"_",Tabla5[[#This Row],[Zona (Distrito)
&lt;&lt; Seleccionar&gt;&gt;]])</f>
        <v>Huánuco__</v>
      </c>
      <c r="J3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8" s="72" t="e">
        <f>VLOOKUP(Tabla5[[#This Row],[Tipo de Transporte Empleado
&lt;&lt; Seleccionar&gt;&gt;]],Tabla8[#All],2,0)</f>
        <v>#N/A</v>
      </c>
      <c r="L388" s="71" t="e">
        <f>#REF!+(#REF!*2)+#REF!</f>
        <v>#REF!</v>
      </c>
    </row>
    <row r="389" spans="1:12" x14ac:dyDescent="0.25">
      <c r="A389" s="328" t="e">
        <f>VLOOKUP(Tabla5[[#This Row],[Acción
&lt;&lt; Seleccionar&gt;&gt;]],TablaAccion[[#All],[Nombre_Abreviado]:[Codigo_Plan_Acción]],3,0)</f>
        <v>#N/A</v>
      </c>
      <c r="B389" s="328" t="e">
        <f>VLOOKUP(Tabla5[[#This Row],[Acción Especifica
&lt;&lt; Seleccionar&gt;&gt;]],TablaAccionEspecifica[[#All],[Nombre_Abreviado]:[Codigo_Acción]],3,0)</f>
        <v>#N/A</v>
      </c>
      <c r="C389" s="328" t="e">
        <f>CONCATENATE(Tabla18[[#This Row],[Bus_02]],"_",Tabla5[[#This Row],[Sub Acción Específica
&lt;&lt; Seleccionar&gt;&gt;]])</f>
        <v>#N/A</v>
      </c>
      <c r="D389" s="328" t="e">
        <f>VLOOKUP(Tabla18[[#This Row],[Aux_01]],TablaSubAccionEspecifica[[#All],[Concat]:[Cod_Sub_acción_especifica]],2,0)</f>
        <v>#N/A</v>
      </c>
      <c r="E389" s="328" t="e">
        <f>Tabla18[[#This Row],[Bus_03]]&amp;"_"&amp;Tabla5[[#This Row],[Tipo de Agente
&lt;&lt; Seleccionar&gt;&gt;]]</f>
        <v>#N/A</v>
      </c>
      <c r="F389" s="328" t="e">
        <f>VLOOKUP(Tabla18[[#This Row],[Concat2]],TablaPOA[[#All],[Concat]:[ConcatEspecial]],3,0)</f>
        <v>#N/A</v>
      </c>
      <c r="G389" s="65" t="str">
        <f>CONCATENATE(Registro!$A$6,"_",Tabla5[[#This Row],[Zona (Provincia)
&lt;&lt; Seleccionar&gt;&gt;]])</f>
        <v>Huánuco_</v>
      </c>
      <c r="H389" s="60" t="e">
        <f>VLOOKUP(Tabla18[[#This Row],[Concatenado***]],Tabla2[[#All],[Concatenado]:[Simbología*]],2,0)</f>
        <v>#N/A</v>
      </c>
      <c r="I389" s="65" t="str">
        <f>CONCATENATE(Tabla18[[#This Row],[Concatenado***]],"_",Tabla5[[#This Row],[Zona (Distrito)
&lt;&lt; Seleccionar&gt;&gt;]])</f>
        <v>Huánuco__</v>
      </c>
      <c r="J3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9" s="72" t="e">
        <f>VLOOKUP(Tabla5[[#This Row],[Tipo de Transporte Empleado
&lt;&lt; Seleccionar&gt;&gt;]],Tabla8[#All],2,0)</f>
        <v>#N/A</v>
      </c>
      <c r="L389" s="71" t="e">
        <f>#REF!+(#REF!*2)+#REF!</f>
        <v>#REF!</v>
      </c>
    </row>
    <row r="390" spans="1:12" x14ac:dyDescent="0.25">
      <c r="A390" s="328" t="e">
        <f>VLOOKUP(Tabla5[[#This Row],[Acción
&lt;&lt; Seleccionar&gt;&gt;]],TablaAccion[[#All],[Nombre_Abreviado]:[Codigo_Plan_Acción]],3,0)</f>
        <v>#N/A</v>
      </c>
      <c r="B390" s="328" t="e">
        <f>VLOOKUP(Tabla5[[#This Row],[Acción Especifica
&lt;&lt; Seleccionar&gt;&gt;]],TablaAccionEspecifica[[#All],[Nombre_Abreviado]:[Codigo_Acción]],3,0)</f>
        <v>#N/A</v>
      </c>
      <c r="C390" s="328" t="e">
        <f>CONCATENATE(Tabla18[[#This Row],[Bus_02]],"_",Tabla5[[#This Row],[Sub Acción Específica
&lt;&lt; Seleccionar&gt;&gt;]])</f>
        <v>#N/A</v>
      </c>
      <c r="D390" s="328" t="e">
        <f>VLOOKUP(Tabla18[[#This Row],[Aux_01]],TablaSubAccionEspecifica[[#All],[Concat]:[Cod_Sub_acción_especifica]],2,0)</f>
        <v>#N/A</v>
      </c>
      <c r="E390" s="328" t="e">
        <f>Tabla18[[#This Row],[Bus_03]]&amp;"_"&amp;Tabla5[[#This Row],[Tipo de Agente
&lt;&lt; Seleccionar&gt;&gt;]]</f>
        <v>#N/A</v>
      </c>
      <c r="F390" s="328" t="e">
        <f>VLOOKUP(Tabla18[[#This Row],[Concat2]],TablaPOA[[#All],[Concat]:[ConcatEspecial]],3,0)</f>
        <v>#N/A</v>
      </c>
      <c r="G390" s="65" t="str">
        <f>CONCATENATE(Registro!$A$6,"_",Tabla5[[#This Row],[Zona (Provincia)
&lt;&lt; Seleccionar&gt;&gt;]])</f>
        <v>Huánuco_</v>
      </c>
      <c r="H390" s="60" t="e">
        <f>VLOOKUP(Tabla18[[#This Row],[Concatenado***]],Tabla2[[#All],[Concatenado]:[Simbología*]],2,0)</f>
        <v>#N/A</v>
      </c>
      <c r="I390" s="65" t="str">
        <f>CONCATENATE(Tabla18[[#This Row],[Concatenado***]],"_",Tabla5[[#This Row],[Zona (Distrito)
&lt;&lt; Seleccionar&gt;&gt;]])</f>
        <v>Huánuco__</v>
      </c>
      <c r="J3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0" s="72" t="e">
        <f>VLOOKUP(Tabla5[[#This Row],[Tipo de Transporte Empleado
&lt;&lt; Seleccionar&gt;&gt;]],Tabla8[#All],2,0)</f>
        <v>#N/A</v>
      </c>
      <c r="L390" s="71" t="e">
        <f>#REF!+(#REF!*2)+#REF!</f>
        <v>#REF!</v>
      </c>
    </row>
    <row r="391" spans="1:12" x14ac:dyDescent="0.25">
      <c r="A391" s="328" t="e">
        <f>VLOOKUP(Tabla5[[#This Row],[Acción
&lt;&lt; Seleccionar&gt;&gt;]],TablaAccion[[#All],[Nombre_Abreviado]:[Codigo_Plan_Acción]],3,0)</f>
        <v>#N/A</v>
      </c>
      <c r="B391" s="328" t="e">
        <f>VLOOKUP(Tabla5[[#This Row],[Acción Especifica
&lt;&lt; Seleccionar&gt;&gt;]],TablaAccionEspecifica[[#All],[Nombre_Abreviado]:[Codigo_Acción]],3,0)</f>
        <v>#N/A</v>
      </c>
      <c r="C391" s="328" t="e">
        <f>CONCATENATE(Tabla18[[#This Row],[Bus_02]],"_",Tabla5[[#This Row],[Sub Acción Específica
&lt;&lt; Seleccionar&gt;&gt;]])</f>
        <v>#N/A</v>
      </c>
      <c r="D391" s="328" t="e">
        <f>VLOOKUP(Tabla18[[#This Row],[Aux_01]],TablaSubAccionEspecifica[[#All],[Concat]:[Cod_Sub_acción_especifica]],2,0)</f>
        <v>#N/A</v>
      </c>
      <c r="E391" s="328" t="e">
        <f>Tabla18[[#This Row],[Bus_03]]&amp;"_"&amp;Tabla5[[#This Row],[Tipo de Agente
&lt;&lt; Seleccionar&gt;&gt;]]</f>
        <v>#N/A</v>
      </c>
      <c r="F391" s="328" t="e">
        <f>VLOOKUP(Tabla18[[#This Row],[Concat2]],TablaPOA[[#All],[Concat]:[ConcatEspecial]],3,0)</f>
        <v>#N/A</v>
      </c>
      <c r="G391" s="65" t="str">
        <f>CONCATENATE(Registro!$A$6,"_",Tabla5[[#This Row],[Zona (Provincia)
&lt;&lt; Seleccionar&gt;&gt;]])</f>
        <v>Huánuco_</v>
      </c>
      <c r="H391" s="60" t="e">
        <f>VLOOKUP(Tabla18[[#This Row],[Concatenado***]],Tabla2[[#All],[Concatenado]:[Simbología*]],2,0)</f>
        <v>#N/A</v>
      </c>
      <c r="I391" s="65" t="str">
        <f>CONCATENATE(Tabla18[[#This Row],[Concatenado***]],"_",Tabla5[[#This Row],[Zona (Distrito)
&lt;&lt; Seleccionar&gt;&gt;]])</f>
        <v>Huánuco__</v>
      </c>
      <c r="J3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1" s="72" t="e">
        <f>VLOOKUP(Tabla5[[#This Row],[Tipo de Transporte Empleado
&lt;&lt; Seleccionar&gt;&gt;]],Tabla8[#All],2,0)</f>
        <v>#N/A</v>
      </c>
      <c r="L391" s="71" t="e">
        <f>#REF!+(#REF!*2)+#REF!</f>
        <v>#REF!</v>
      </c>
    </row>
    <row r="392" spans="1:12" x14ac:dyDescent="0.25">
      <c r="A392" s="328" t="e">
        <f>VLOOKUP(Tabla5[[#This Row],[Acción
&lt;&lt; Seleccionar&gt;&gt;]],TablaAccion[[#All],[Nombre_Abreviado]:[Codigo_Plan_Acción]],3,0)</f>
        <v>#N/A</v>
      </c>
      <c r="B392" s="328" t="e">
        <f>VLOOKUP(Tabla5[[#This Row],[Acción Especifica
&lt;&lt; Seleccionar&gt;&gt;]],TablaAccionEspecifica[[#All],[Nombre_Abreviado]:[Codigo_Acción]],3,0)</f>
        <v>#N/A</v>
      </c>
      <c r="C392" s="328" t="e">
        <f>CONCATENATE(Tabla18[[#This Row],[Bus_02]],"_",Tabla5[[#This Row],[Sub Acción Específica
&lt;&lt; Seleccionar&gt;&gt;]])</f>
        <v>#N/A</v>
      </c>
      <c r="D392" s="328" t="e">
        <f>VLOOKUP(Tabla18[[#This Row],[Aux_01]],TablaSubAccionEspecifica[[#All],[Concat]:[Cod_Sub_acción_especifica]],2,0)</f>
        <v>#N/A</v>
      </c>
      <c r="E392" s="328" t="e">
        <f>Tabla18[[#This Row],[Bus_03]]&amp;"_"&amp;Tabla5[[#This Row],[Tipo de Agente
&lt;&lt; Seleccionar&gt;&gt;]]</f>
        <v>#N/A</v>
      </c>
      <c r="F392" s="328" t="e">
        <f>VLOOKUP(Tabla18[[#This Row],[Concat2]],TablaPOA[[#All],[Concat]:[ConcatEspecial]],3,0)</f>
        <v>#N/A</v>
      </c>
      <c r="G392" s="65" t="str">
        <f>CONCATENATE(Registro!$A$6,"_",Tabla5[[#This Row],[Zona (Provincia)
&lt;&lt; Seleccionar&gt;&gt;]])</f>
        <v>Huánuco_</v>
      </c>
      <c r="H392" s="60" t="e">
        <f>VLOOKUP(Tabla18[[#This Row],[Concatenado***]],Tabla2[[#All],[Concatenado]:[Simbología*]],2,0)</f>
        <v>#N/A</v>
      </c>
      <c r="I392" s="65" t="str">
        <f>CONCATENATE(Tabla18[[#This Row],[Concatenado***]],"_",Tabla5[[#This Row],[Zona (Distrito)
&lt;&lt; Seleccionar&gt;&gt;]])</f>
        <v>Huánuco__</v>
      </c>
      <c r="J3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2" s="72" t="e">
        <f>VLOOKUP(Tabla5[[#This Row],[Tipo de Transporte Empleado
&lt;&lt; Seleccionar&gt;&gt;]],Tabla8[#All],2,0)</f>
        <v>#N/A</v>
      </c>
      <c r="L392" s="71" t="e">
        <f>#REF!+(#REF!*2)+#REF!</f>
        <v>#REF!</v>
      </c>
    </row>
    <row r="393" spans="1:12" x14ac:dyDescent="0.25">
      <c r="A393" s="328" t="e">
        <f>VLOOKUP(Tabla5[[#This Row],[Acción
&lt;&lt; Seleccionar&gt;&gt;]],TablaAccion[[#All],[Nombre_Abreviado]:[Codigo_Plan_Acción]],3,0)</f>
        <v>#N/A</v>
      </c>
      <c r="B393" s="328" t="e">
        <f>VLOOKUP(Tabla5[[#This Row],[Acción Especifica
&lt;&lt; Seleccionar&gt;&gt;]],TablaAccionEspecifica[[#All],[Nombre_Abreviado]:[Codigo_Acción]],3,0)</f>
        <v>#N/A</v>
      </c>
      <c r="C393" s="328" t="e">
        <f>CONCATENATE(Tabla18[[#This Row],[Bus_02]],"_",Tabla5[[#This Row],[Sub Acción Específica
&lt;&lt; Seleccionar&gt;&gt;]])</f>
        <v>#N/A</v>
      </c>
      <c r="D393" s="328" t="e">
        <f>VLOOKUP(Tabla18[[#This Row],[Aux_01]],TablaSubAccionEspecifica[[#All],[Concat]:[Cod_Sub_acción_especifica]],2,0)</f>
        <v>#N/A</v>
      </c>
      <c r="E393" s="328" t="e">
        <f>Tabla18[[#This Row],[Bus_03]]&amp;"_"&amp;Tabla5[[#This Row],[Tipo de Agente
&lt;&lt; Seleccionar&gt;&gt;]]</f>
        <v>#N/A</v>
      </c>
      <c r="F393" s="328" t="e">
        <f>VLOOKUP(Tabla18[[#This Row],[Concat2]],TablaPOA[[#All],[Concat]:[ConcatEspecial]],3,0)</f>
        <v>#N/A</v>
      </c>
      <c r="G393" s="65" t="str">
        <f>CONCATENATE(Registro!$A$6,"_",Tabla5[[#This Row],[Zona (Provincia)
&lt;&lt; Seleccionar&gt;&gt;]])</f>
        <v>Huánuco_</v>
      </c>
      <c r="H393" s="60" t="e">
        <f>VLOOKUP(Tabla18[[#This Row],[Concatenado***]],Tabla2[[#All],[Concatenado]:[Simbología*]],2,0)</f>
        <v>#N/A</v>
      </c>
      <c r="I393" s="65" t="str">
        <f>CONCATENATE(Tabla18[[#This Row],[Concatenado***]],"_",Tabla5[[#This Row],[Zona (Distrito)
&lt;&lt; Seleccionar&gt;&gt;]])</f>
        <v>Huánuco__</v>
      </c>
      <c r="J3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3" s="72" t="e">
        <f>VLOOKUP(Tabla5[[#This Row],[Tipo de Transporte Empleado
&lt;&lt; Seleccionar&gt;&gt;]],Tabla8[#All],2,0)</f>
        <v>#N/A</v>
      </c>
      <c r="L393" s="71" t="e">
        <f>#REF!+(#REF!*2)+#REF!</f>
        <v>#REF!</v>
      </c>
    </row>
    <row r="394" spans="1:12" x14ac:dyDescent="0.25">
      <c r="A394" s="328" t="e">
        <f>VLOOKUP(Tabla5[[#This Row],[Acción
&lt;&lt; Seleccionar&gt;&gt;]],TablaAccion[[#All],[Nombre_Abreviado]:[Codigo_Plan_Acción]],3,0)</f>
        <v>#N/A</v>
      </c>
      <c r="B394" s="328" t="e">
        <f>VLOOKUP(Tabla5[[#This Row],[Acción Especifica
&lt;&lt; Seleccionar&gt;&gt;]],TablaAccionEspecifica[[#All],[Nombre_Abreviado]:[Codigo_Acción]],3,0)</f>
        <v>#N/A</v>
      </c>
      <c r="C394" s="328" t="e">
        <f>CONCATENATE(Tabla18[[#This Row],[Bus_02]],"_",Tabla5[[#This Row],[Sub Acción Específica
&lt;&lt; Seleccionar&gt;&gt;]])</f>
        <v>#N/A</v>
      </c>
      <c r="D394" s="328" t="e">
        <f>VLOOKUP(Tabla18[[#This Row],[Aux_01]],TablaSubAccionEspecifica[[#All],[Concat]:[Cod_Sub_acción_especifica]],2,0)</f>
        <v>#N/A</v>
      </c>
      <c r="E394" s="328" t="e">
        <f>Tabla18[[#This Row],[Bus_03]]&amp;"_"&amp;Tabla5[[#This Row],[Tipo de Agente
&lt;&lt; Seleccionar&gt;&gt;]]</f>
        <v>#N/A</v>
      </c>
      <c r="F394" s="328" t="e">
        <f>VLOOKUP(Tabla18[[#This Row],[Concat2]],TablaPOA[[#All],[Concat]:[ConcatEspecial]],3,0)</f>
        <v>#N/A</v>
      </c>
      <c r="G394" s="65" t="str">
        <f>CONCATENATE(Registro!$A$6,"_",Tabla5[[#This Row],[Zona (Provincia)
&lt;&lt; Seleccionar&gt;&gt;]])</f>
        <v>Huánuco_</v>
      </c>
      <c r="H394" s="60" t="e">
        <f>VLOOKUP(Tabla18[[#This Row],[Concatenado***]],Tabla2[[#All],[Concatenado]:[Simbología*]],2,0)</f>
        <v>#N/A</v>
      </c>
      <c r="I394" s="65" t="str">
        <f>CONCATENATE(Tabla18[[#This Row],[Concatenado***]],"_",Tabla5[[#This Row],[Zona (Distrito)
&lt;&lt; Seleccionar&gt;&gt;]])</f>
        <v>Huánuco__</v>
      </c>
      <c r="J3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4" s="72" t="e">
        <f>VLOOKUP(Tabla5[[#This Row],[Tipo de Transporte Empleado
&lt;&lt; Seleccionar&gt;&gt;]],Tabla8[#All],2,0)</f>
        <v>#N/A</v>
      </c>
      <c r="L394" s="71" t="e">
        <f>#REF!+(#REF!*2)+#REF!</f>
        <v>#REF!</v>
      </c>
    </row>
    <row r="395" spans="1:12" x14ac:dyDescent="0.25">
      <c r="A395" s="328" t="e">
        <f>VLOOKUP(Tabla5[[#This Row],[Acción
&lt;&lt; Seleccionar&gt;&gt;]],TablaAccion[[#All],[Nombre_Abreviado]:[Codigo_Plan_Acción]],3,0)</f>
        <v>#N/A</v>
      </c>
      <c r="B395" s="328" t="e">
        <f>VLOOKUP(Tabla5[[#This Row],[Acción Especifica
&lt;&lt; Seleccionar&gt;&gt;]],TablaAccionEspecifica[[#All],[Nombre_Abreviado]:[Codigo_Acción]],3,0)</f>
        <v>#N/A</v>
      </c>
      <c r="C395" s="328" t="e">
        <f>CONCATENATE(Tabla18[[#This Row],[Bus_02]],"_",Tabla5[[#This Row],[Sub Acción Específica
&lt;&lt; Seleccionar&gt;&gt;]])</f>
        <v>#N/A</v>
      </c>
      <c r="D395" s="328" t="e">
        <f>VLOOKUP(Tabla18[[#This Row],[Aux_01]],TablaSubAccionEspecifica[[#All],[Concat]:[Cod_Sub_acción_especifica]],2,0)</f>
        <v>#N/A</v>
      </c>
      <c r="E395" s="328" t="e">
        <f>Tabla18[[#This Row],[Bus_03]]&amp;"_"&amp;Tabla5[[#This Row],[Tipo de Agente
&lt;&lt; Seleccionar&gt;&gt;]]</f>
        <v>#N/A</v>
      </c>
      <c r="F395" s="328" t="e">
        <f>VLOOKUP(Tabla18[[#This Row],[Concat2]],TablaPOA[[#All],[Concat]:[ConcatEspecial]],3,0)</f>
        <v>#N/A</v>
      </c>
      <c r="G395" s="65" t="str">
        <f>CONCATENATE(Registro!$A$6,"_",Tabla5[[#This Row],[Zona (Provincia)
&lt;&lt; Seleccionar&gt;&gt;]])</f>
        <v>Huánuco_</v>
      </c>
      <c r="H395" s="60" t="e">
        <f>VLOOKUP(Tabla18[[#This Row],[Concatenado***]],Tabla2[[#All],[Concatenado]:[Simbología*]],2,0)</f>
        <v>#N/A</v>
      </c>
      <c r="I395" s="65" t="str">
        <f>CONCATENATE(Tabla18[[#This Row],[Concatenado***]],"_",Tabla5[[#This Row],[Zona (Distrito)
&lt;&lt; Seleccionar&gt;&gt;]])</f>
        <v>Huánuco__</v>
      </c>
      <c r="J3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5" s="72" t="e">
        <f>VLOOKUP(Tabla5[[#This Row],[Tipo de Transporte Empleado
&lt;&lt; Seleccionar&gt;&gt;]],Tabla8[#All],2,0)</f>
        <v>#N/A</v>
      </c>
      <c r="L395" s="71" t="e">
        <f>#REF!+(#REF!*2)+#REF!</f>
        <v>#REF!</v>
      </c>
    </row>
    <row r="396" spans="1:12" x14ac:dyDescent="0.25">
      <c r="A396" s="328" t="e">
        <f>VLOOKUP(Tabla5[[#This Row],[Acción
&lt;&lt; Seleccionar&gt;&gt;]],TablaAccion[[#All],[Nombre_Abreviado]:[Codigo_Plan_Acción]],3,0)</f>
        <v>#N/A</v>
      </c>
      <c r="B396" s="328" t="e">
        <f>VLOOKUP(Tabla5[[#This Row],[Acción Especifica
&lt;&lt; Seleccionar&gt;&gt;]],TablaAccionEspecifica[[#All],[Nombre_Abreviado]:[Codigo_Acción]],3,0)</f>
        <v>#N/A</v>
      </c>
      <c r="C396" s="328" t="e">
        <f>CONCATENATE(Tabla18[[#This Row],[Bus_02]],"_",Tabla5[[#This Row],[Sub Acción Específica
&lt;&lt; Seleccionar&gt;&gt;]])</f>
        <v>#N/A</v>
      </c>
      <c r="D396" s="328" t="e">
        <f>VLOOKUP(Tabla18[[#This Row],[Aux_01]],TablaSubAccionEspecifica[[#All],[Concat]:[Cod_Sub_acción_especifica]],2,0)</f>
        <v>#N/A</v>
      </c>
      <c r="E396" s="328" t="e">
        <f>Tabla18[[#This Row],[Bus_03]]&amp;"_"&amp;Tabla5[[#This Row],[Tipo de Agente
&lt;&lt; Seleccionar&gt;&gt;]]</f>
        <v>#N/A</v>
      </c>
      <c r="F396" s="328" t="e">
        <f>VLOOKUP(Tabla18[[#This Row],[Concat2]],TablaPOA[[#All],[Concat]:[ConcatEspecial]],3,0)</f>
        <v>#N/A</v>
      </c>
      <c r="G396" s="65" t="str">
        <f>CONCATENATE(Registro!$A$6,"_",Tabla5[[#This Row],[Zona (Provincia)
&lt;&lt; Seleccionar&gt;&gt;]])</f>
        <v>Huánuco_</v>
      </c>
      <c r="H396" s="60" t="e">
        <f>VLOOKUP(Tabla18[[#This Row],[Concatenado***]],Tabla2[[#All],[Concatenado]:[Simbología*]],2,0)</f>
        <v>#N/A</v>
      </c>
      <c r="I396" s="65" t="str">
        <f>CONCATENATE(Tabla18[[#This Row],[Concatenado***]],"_",Tabla5[[#This Row],[Zona (Distrito)
&lt;&lt; Seleccionar&gt;&gt;]])</f>
        <v>Huánuco__</v>
      </c>
      <c r="J3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6" s="72" t="e">
        <f>VLOOKUP(Tabla5[[#This Row],[Tipo de Transporte Empleado
&lt;&lt; Seleccionar&gt;&gt;]],Tabla8[#All],2,0)</f>
        <v>#N/A</v>
      </c>
      <c r="L396" s="71" t="e">
        <f>#REF!+(#REF!*2)+#REF!</f>
        <v>#REF!</v>
      </c>
    </row>
    <row r="397" spans="1:12" x14ac:dyDescent="0.25">
      <c r="A397" s="328" t="e">
        <f>VLOOKUP(Tabla5[[#This Row],[Acción
&lt;&lt; Seleccionar&gt;&gt;]],TablaAccion[[#All],[Nombre_Abreviado]:[Codigo_Plan_Acción]],3,0)</f>
        <v>#N/A</v>
      </c>
      <c r="B397" s="328" t="e">
        <f>VLOOKUP(Tabla5[[#This Row],[Acción Especifica
&lt;&lt; Seleccionar&gt;&gt;]],TablaAccionEspecifica[[#All],[Nombre_Abreviado]:[Codigo_Acción]],3,0)</f>
        <v>#N/A</v>
      </c>
      <c r="C397" s="328" t="e">
        <f>CONCATENATE(Tabla18[[#This Row],[Bus_02]],"_",Tabla5[[#This Row],[Sub Acción Específica
&lt;&lt; Seleccionar&gt;&gt;]])</f>
        <v>#N/A</v>
      </c>
      <c r="D397" s="328" t="e">
        <f>VLOOKUP(Tabla18[[#This Row],[Aux_01]],TablaSubAccionEspecifica[[#All],[Concat]:[Cod_Sub_acción_especifica]],2,0)</f>
        <v>#N/A</v>
      </c>
      <c r="E397" s="328" t="e">
        <f>Tabla18[[#This Row],[Bus_03]]&amp;"_"&amp;Tabla5[[#This Row],[Tipo de Agente
&lt;&lt; Seleccionar&gt;&gt;]]</f>
        <v>#N/A</v>
      </c>
      <c r="F397" s="328" t="e">
        <f>VLOOKUP(Tabla18[[#This Row],[Concat2]],TablaPOA[[#All],[Concat]:[ConcatEspecial]],3,0)</f>
        <v>#N/A</v>
      </c>
      <c r="G397" s="65" t="str">
        <f>CONCATENATE(Registro!$A$6,"_",Tabla5[[#This Row],[Zona (Provincia)
&lt;&lt; Seleccionar&gt;&gt;]])</f>
        <v>Huánuco_</v>
      </c>
      <c r="H397" s="60" t="e">
        <f>VLOOKUP(Tabla18[[#This Row],[Concatenado***]],Tabla2[[#All],[Concatenado]:[Simbología*]],2,0)</f>
        <v>#N/A</v>
      </c>
      <c r="I397" s="65" t="str">
        <f>CONCATENATE(Tabla18[[#This Row],[Concatenado***]],"_",Tabla5[[#This Row],[Zona (Distrito)
&lt;&lt; Seleccionar&gt;&gt;]])</f>
        <v>Huánuco__</v>
      </c>
      <c r="J3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7" s="72" t="e">
        <f>VLOOKUP(Tabla5[[#This Row],[Tipo de Transporte Empleado
&lt;&lt; Seleccionar&gt;&gt;]],Tabla8[#All],2,0)</f>
        <v>#N/A</v>
      </c>
      <c r="L397" s="71" t="e">
        <f>#REF!+(#REF!*2)+#REF!</f>
        <v>#REF!</v>
      </c>
    </row>
    <row r="398" spans="1:12" x14ac:dyDescent="0.25">
      <c r="A398" s="328" t="e">
        <f>VLOOKUP(Tabla5[[#This Row],[Acción
&lt;&lt; Seleccionar&gt;&gt;]],TablaAccion[[#All],[Nombre_Abreviado]:[Codigo_Plan_Acción]],3,0)</f>
        <v>#N/A</v>
      </c>
      <c r="B398" s="328" t="e">
        <f>VLOOKUP(Tabla5[[#This Row],[Acción Especifica
&lt;&lt; Seleccionar&gt;&gt;]],TablaAccionEspecifica[[#All],[Nombre_Abreviado]:[Codigo_Acción]],3,0)</f>
        <v>#N/A</v>
      </c>
      <c r="C398" s="328" t="e">
        <f>CONCATENATE(Tabla18[[#This Row],[Bus_02]],"_",Tabla5[[#This Row],[Sub Acción Específica
&lt;&lt; Seleccionar&gt;&gt;]])</f>
        <v>#N/A</v>
      </c>
      <c r="D398" s="328" t="e">
        <f>VLOOKUP(Tabla18[[#This Row],[Aux_01]],TablaSubAccionEspecifica[[#All],[Concat]:[Cod_Sub_acción_especifica]],2,0)</f>
        <v>#N/A</v>
      </c>
      <c r="E398" s="328" t="e">
        <f>Tabla18[[#This Row],[Bus_03]]&amp;"_"&amp;Tabla5[[#This Row],[Tipo de Agente
&lt;&lt; Seleccionar&gt;&gt;]]</f>
        <v>#N/A</v>
      </c>
      <c r="F398" s="328" t="e">
        <f>VLOOKUP(Tabla18[[#This Row],[Concat2]],TablaPOA[[#All],[Concat]:[ConcatEspecial]],3,0)</f>
        <v>#N/A</v>
      </c>
      <c r="G398" s="65" t="str">
        <f>CONCATENATE(Registro!$A$6,"_",Tabla5[[#This Row],[Zona (Provincia)
&lt;&lt; Seleccionar&gt;&gt;]])</f>
        <v>Huánuco_</v>
      </c>
      <c r="H398" s="60" t="e">
        <f>VLOOKUP(Tabla18[[#This Row],[Concatenado***]],Tabla2[[#All],[Concatenado]:[Simbología*]],2,0)</f>
        <v>#N/A</v>
      </c>
      <c r="I398" s="65" t="str">
        <f>CONCATENATE(Tabla18[[#This Row],[Concatenado***]],"_",Tabla5[[#This Row],[Zona (Distrito)
&lt;&lt; Seleccionar&gt;&gt;]])</f>
        <v>Huánuco__</v>
      </c>
      <c r="J3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8" s="72" t="e">
        <f>VLOOKUP(Tabla5[[#This Row],[Tipo de Transporte Empleado
&lt;&lt; Seleccionar&gt;&gt;]],Tabla8[#All],2,0)</f>
        <v>#N/A</v>
      </c>
      <c r="L398" s="71" t="e">
        <f>#REF!+(#REF!*2)+#REF!</f>
        <v>#REF!</v>
      </c>
    </row>
    <row r="399" spans="1:12" x14ac:dyDescent="0.25">
      <c r="A399" s="328" t="e">
        <f>VLOOKUP(Tabla5[[#This Row],[Acción
&lt;&lt; Seleccionar&gt;&gt;]],TablaAccion[[#All],[Nombre_Abreviado]:[Codigo_Plan_Acción]],3,0)</f>
        <v>#N/A</v>
      </c>
      <c r="B399" s="328" t="e">
        <f>VLOOKUP(Tabla5[[#This Row],[Acción Especifica
&lt;&lt; Seleccionar&gt;&gt;]],TablaAccionEspecifica[[#All],[Nombre_Abreviado]:[Codigo_Acción]],3,0)</f>
        <v>#N/A</v>
      </c>
      <c r="C399" s="328" t="e">
        <f>CONCATENATE(Tabla18[[#This Row],[Bus_02]],"_",Tabla5[[#This Row],[Sub Acción Específica
&lt;&lt; Seleccionar&gt;&gt;]])</f>
        <v>#N/A</v>
      </c>
      <c r="D399" s="328" t="e">
        <f>VLOOKUP(Tabla18[[#This Row],[Aux_01]],TablaSubAccionEspecifica[[#All],[Concat]:[Cod_Sub_acción_especifica]],2,0)</f>
        <v>#N/A</v>
      </c>
      <c r="E399" s="328" t="e">
        <f>Tabla18[[#This Row],[Bus_03]]&amp;"_"&amp;Tabla5[[#This Row],[Tipo de Agente
&lt;&lt; Seleccionar&gt;&gt;]]</f>
        <v>#N/A</v>
      </c>
      <c r="F399" s="328" t="e">
        <f>VLOOKUP(Tabla18[[#This Row],[Concat2]],TablaPOA[[#All],[Concat]:[ConcatEspecial]],3,0)</f>
        <v>#N/A</v>
      </c>
      <c r="G399" s="65" t="str">
        <f>CONCATENATE(Registro!$A$6,"_",Tabla5[[#This Row],[Zona (Provincia)
&lt;&lt; Seleccionar&gt;&gt;]])</f>
        <v>Huánuco_</v>
      </c>
      <c r="H399" s="60" t="e">
        <f>VLOOKUP(Tabla18[[#This Row],[Concatenado***]],Tabla2[[#All],[Concatenado]:[Simbología*]],2,0)</f>
        <v>#N/A</v>
      </c>
      <c r="I399" s="65" t="str">
        <f>CONCATENATE(Tabla18[[#This Row],[Concatenado***]],"_",Tabla5[[#This Row],[Zona (Distrito)
&lt;&lt; Seleccionar&gt;&gt;]])</f>
        <v>Huánuco__</v>
      </c>
      <c r="J3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9" s="72" t="e">
        <f>VLOOKUP(Tabla5[[#This Row],[Tipo de Transporte Empleado
&lt;&lt; Seleccionar&gt;&gt;]],Tabla8[#All],2,0)</f>
        <v>#N/A</v>
      </c>
      <c r="L399" s="71" t="e">
        <f>#REF!+(#REF!*2)+#REF!</f>
        <v>#REF!</v>
      </c>
    </row>
    <row r="400" spans="1:12" x14ac:dyDescent="0.25">
      <c r="A400" s="328" t="e">
        <f>VLOOKUP(Tabla5[[#This Row],[Acción
&lt;&lt; Seleccionar&gt;&gt;]],TablaAccion[[#All],[Nombre_Abreviado]:[Codigo_Plan_Acción]],3,0)</f>
        <v>#N/A</v>
      </c>
      <c r="B400" s="328" t="e">
        <f>VLOOKUP(Tabla5[[#This Row],[Acción Especifica
&lt;&lt; Seleccionar&gt;&gt;]],TablaAccionEspecifica[[#All],[Nombre_Abreviado]:[Codigo_Acción]],3,0)</f>
        <v>#N/A</v>
      </c>
      <c r="C400" s="328" t="e">
        <f>CONCATENATE(Tabla18[[#This Row],[Bus_02]],"_",Tabla5[[#This Row],[Sub Acción Específica
&lt;&lt; Seleccionar&gt;&gt;]])</f>
        <v>#N/A</v>
      </c>
      <c r="D400" s="328" t="e">
        <f>VLOOKUP(Tabla18[[#This Row],[Aux_01]],TablaSubAccionEspecifica[[#All],[Concat]:[Cod_Sub_acción_especifica]],2,0)</f>
        <v>#N/A</v>
      </c>
      <c r="E400" s="328" t="e">
        <f>Tabla18[[#This Row],[Bus_03]]&amp;"_"&amp;Tabla5[[#This Row],[Tipo de Agente
&lt;&lt; Seleccionar&gt;&gt;]]</f>
        <v>#N/A</v>
      </c>
      <c r="F400" s="328" t="e">
        <f>VLOOKUP(Tabla18[[#This Row],[Concat2]],TablaPOA[[#All],[Concat]:[ConcatEspecial]],3,0)</f>
        <v>#N/A</v>
      </c>
      <c r="G400" s="65" t="str">
        <f>CONCATENATE(Registro!$A$6,"_",Tabla5[[#This Row],[Zona (Provincia)
&lt;&lt; Seleccionar&gt;&gt;]])</f>
        <v>Huánuco_</v>
      </c>
      <c r="H400" s="60" t="e">
        <f>VLOOKUP(Tabla18[[#This Row],[Concatenado***]],Tabla2[[#All],[Concatenado]:[Simbología*]],2,0)</f>
        <v>#N/A</v>
      </c>
      <c r="I400" s="65" t="str">
        <f>CONCATENATE(Tabla18[[#This Row],[Concatenado***]],"_",Tabla5[[#This Row],[Zona (Distrito)
&lt;&lt; Seleccionar&gt;&gt;]])</f>
        <v>Huánuco__</v>
      </c>
      <c r="J4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0" s="72" t="e">
        <f>VLOOKUP(Tabla5[[#This Row],[Tipo de Transporte Empleado
&lt;&lt; Seleccionar&gt;&gt;]],Tabla8[#All],2,0)</f>
        <v>#N/A</v>
      </c>
      <c r="L400" s="71" t="e">
        <f>#REF!+(#REF!*2)+#REF!</f>
        <v>#REF!</v>
      </c>
    </row>
    <row r="401" spans="1:12" x14ac:dyDescent="0.25">
      <c r="A401" s="328" t="e">
        <f>VLOOKUP(Tabla5[[#This Row],[Acción
&lt;&lt; Seleccionar&gt;&gt;]],TablaAccion[[#All],[Nombre_Abreviado]:[Codigo_Plan_Acción]],3,0)</f>
        <v>#N/A</v>
      </c>
      <c r="B401" s="328" t="e">
        <f>VLOOKUP(Tabla5[[#This Row],[Acción Especifica
&lt;&lt; Seleccionar&gt;&gt;]],TablaAccionEspecifica[[#All],[Nombre_Abreviado]:[Codigo_Acción]],3,0)</f>
        <v>#N/A</v>
      </c>
      <c r="C401" s="328" t="e">
        <f>CONCATENATE(Tabla18[[#This Row],[Bus_02]],"_",Tabla5[[#This Row],[Sub Acción Específica
&lt;&lt; Seleccionar&gt;&gt;]])</f>
        <v>#N/A</v>
      </c>
      <c r="D401" s="328" t="e">
        <f>VLOOKUP(Tabla18[[#This Row],[Aux_01]],TablaSubAccionEspecifica[[#All],[Concat]:[Cod_Sub_acción_especifica]],2,0)</f>
        <v>#N/A</v>
      </c>
      <c r="E401" s="328" t="e">
        <f>Tabla18[[#This Row],[Bus_03]]&amp;"_"&amp;Tabla5[[#This Row],[Tipo de Agente
&lt;&lt; Seleccionar&gt;&gt;]]</f>
        <v>#N/A</v>
      </c>
      <c r="F401" s="328" t="e">
        <f>VLOOKUP(Tabla18[[#This Row],[Concat2]],TablaPOA[[#All],[Concat]:[ConcatEspecial]],3,0)</f>
        <v>#N/A</v>
      </c>
      <c r="G401" s="65" t="str">
        <f>CONCATENATE(Registro!$A$6,"_",Tabla5[[#This Row],[Zona (Provincia)
&lt;&lt; Seleccionar&gt;&gt;]])</f>
        <v>Huánuco_</v>
      </c>
      <c r="H401" s="60" t="e">
        <f>VLOOKUP(Tabla18[[#This Row],[Concatenado***]],Tabla2[[#All],[Concatenado]:[Simbología*]],2,0)</f>
        <v>#N/A</v>
      </c>
      <c r="I401" s="65" t="str">
        <f>CONCATENATE(Tabla18[[#This Row],[Concatenado***]],"_",Tabla5[[#This Row],[Zona (Distrito)
&lt;&lt; Seleccionar&gt;&gt;]])</f>
        <v>Huánuco__</v>
      </c>
      <c r="J4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1" s="72" t="e">
        <f>VLOOKUP(Tabla5[[#This Row],[Tipo de Transporte Empleado
&lt;&lt; Seleccionar&gt;&gt;]],Tabla8[#All],2,0)</f>
        <v>#N/A</v>
      </c>
      <c r="L401" s="71" t="e">
        <f>#REF!+(#REF!*2)+#REF!</f>
        <v>#REF!</v>
      </c>
    </row>
    <row r="402" spans="1:12" x14ac:dyDescent="0.25">
      <c r="A402" s="328" t="e">
        <f>VLOOKUP(Tabla5[[#This Row],[Acción
&lt;&lt; Seleccionar&gt;&gt;]],TablaAccion[[#All],[Nombre_Abreviado]:[Codigo_Plan_Acción]],3,0)</f>
        <v>#N/A</v>
      </c>
      <c r="B402" s="328" t="e">
        <f>VLOOKUP(Tabla5[[#This Row],[Acción Especifica
&lt;&lt; Seleccionar&gt;&gt;]],TablaAccionEspecifica[[#All],[Nombre_Abreviado]:[Codigo_Acción]],3,0)</f>
        <v>#N/A</v>
      </c>
      <c r="C402" s="328" t="e">
        <f>CONCATENATE(Tabla18[[#This Row],[Bus_02]],"_",Tabla5[[#This Row],[Sub Acción Específica
&lt;&lt; Seleccionar&gt;&gt;]])</f>
        <v>#N/A</v>
      </c>
      <c r="D402" s="328" t="e">
        <f>VLOOKUP(Tabla18[[#This Row],[Aux_01]],TablaSubAccionEspecifica[[#All],[Concat]:[Cod_Sub_acción_especifica]],2,0)</f>
        <v>#N/A</v>
      </c>
      <c r="E402" s="328" t="e">
        <f>Tabla18[[#This Row],[Bus_03]]&amp;"_"&amp;Tabla5[[#This Row],[Tipo de Agente
&lt;&lt; Seleccionar&gt;&gt;]]</f>
        <v>#N/A</v>
      </c>
      <c r="F402" s="328" t="e">
        <f>VLOOKUP(Tabla18[[#This Row],[Concat2]],TablaPOA[[#All],[Concat]:[ConcatEspecial]],3,0)</f>
        <v>#N/A</v>
      </c>
      <c r="G402" s="65" t="str">
        <f>CONCATENATE(Registro!$A$6,"_",Tabla5[[#This Row],[Zona (Provincia)
&lt;&lt; Seleccionar&gt;&gt;]])</f>
        <v>Huánuco_</v>
      </c>
      <c r="H402" s="60" t="e">
        <f>VLOOKUP(Tabla18[[#This Row],[Concatenado***]],Tabla2[[#All],[Concatenado]:[Simbología*]],2,0)</f>
        <v>#N/A</v>
      </c>
      <c r="I402" s="65" t="str">
        <f>CONCATENATE(Tabla18[[#This Row],[Concatenado***]],"_",Tabla5[[#This Row],[Zona (Distrito)
&lt;&lt; Seleccionar&gt;&gt;]])</f>
        <v>Huánuco__</v>
      </c>
      <c r="J4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2" s="72" t="e">
        <f>VLOOKUP(Tabla5[[#This Row],[Tipo de Transporte Empleado
&lt;&lt; Seleccionar&gt;&gt;]],Tabla8[#All],2,0)</f>
        <v>#N/A</v>
      </c>
      <c r="L402" s="71" t="e">
        <f>#REF!+(#REF!*2)+#REF!</f>
        <v>#REF!</v>
      </c>
    </row>
    <row r="403" spans="1:12" x14ac:dyDescent="0.25">
      <c r="A403" s="328" t="e">
        <f>VLOOKUP(Tabla5[[#This Row],[Acción
&lt;&lt; Seleccionar&gt;&gt;]],TablaAccion[[#All],[Nombre_Abreviado]:[Codigo_Plan_Acción]],3,0)</f>
        <v>#N/A</v>
      </c>
      <c r="B403" s="328" t="e">
        <f>VLOOKUP(Tabla5[[#This Row],[Acción Especifica
&lt;&lt; Seleccionar&gt;&gt;]],TablaAccionEspecifica[[#All],[Nombre_Abreviado]:[Codigo_Acción]],3,0)</f>
        <v>#N/A</v>
      </c>
      <c r="C403" s="328" t="e">
        <f>CONCATENATE(Tabla18[[#This Row],[Bus_02]],"_",Tabla5[[#This Row],[Sub Acción Específica
&lt;&lt; Seleccionar&gt;&gt;]])</f>
        <v>#N/A</v>
      </c>
      <c r="D403" s="328" t="e">
        <f>VLOOKUP(Tabla18[[#This Row],[Aux_01]],TablaSubAccionEspecifica[[#All],[Concat]:[Cod_Sub_acción_especifica]],2,0)</f>
        <v>#N/A</v>
      </c>
      <c r="E403" s="328" t="e">
        <f>Tabla18[[#This Row],[Bus_03]]&amp;"_"&amp;Tabla5[[#This Row],[Tipo de Agente
&lt;&lt; Seleccionar&gt;&gt;]]</f>
        <v>#N/A</v>
      </c>
      <c r="F403" s="328" t="e">
        <f>VLOOKUP(Tabla18[[#This Row],[Concat2]],TablaPOA[[#All],[Concat]:[ConcatEspecial]],3,0)</f>
        <v>#N/A</v>
      </c>
      <c r="G403" s="65" t="str">
        <f>CONCATENATE(Registro!$A$6,"_",Tabla5[[#This Row],[Zona (Provincia)
&lt;&lt; Seleccionar&gt;&gt;]])</f>
        <v>Huánuco_</v>
      </c>
      <c r="H403" s="60" t="e">
        <f>VLOOKUP(Tabla18[[#This Row],[Concatenado***]],Tabla2[[#All],[Concatenado]:[Simbología*]],2,0)</f>
        <v>#N/A</v>
      </c>
      <c r="I403" s="65" t="str">
        <f>CONCATENATE(Tabla18[[#This Row],[Concatenado***]],"_",Tabla5[[#This Row],[Zona (Distrito)
&lt;&lt; Seleccionar&gt;&gt;]])</f>
        <v>Huánuco__</v>
      </c>
      <c r="J4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3" s="72" t="e">
        <f>VLOOKUP(Tabla5[[#This Row],[Tipo de Transporte Empleado
&lt;&lt; Seleccionar&gt;&gt;]],Tabla8[#All],2,0)</f>
        <v>#N/A</v>
      </c>
      <c r="L403" s="71" t="e">
        <f>#REF!+(#REF!*2)+#REF!</f>
        <v>#REF!</v>
      </c>
    </row>
    <row r="404" spans="1:12" x14ac:dyDescent="0.25">
      <c r="A404" s="328" t="e">
        <f>VLOOKUP(Tabla5[[#This Row],[Acción
&lt;&lt; Seleccionar&gt;&gt;]],TablaAccion[[#All],[Nombre_Abreviado]:[Codigo_Plan_Acción]],3,0)</f>
        <v>#N/A</v>
      </c>
      <c r="B404" s="328" t="e">
        <f>VLOOKUP(Tabla5[[#This Row],[Acción Especifica
&lt;&lt; Seleccionar&gt;&gt;]],TablaAccionEspecifica[[#All],[Nombre_Abreviado]:[Codigo_Acción]],3,0)</f>
        <v>#N/A</v>
      </c>
      <c r="C404" s="328" t="e">
        <f>CONCATENATE(Tabla18[[#This Row],[Bus_02]],"_",Tabla5[[#This Row],[Sub Acción Específica
&lt;&lt; Seleccionar&gt;&gt;]])</f>
        <v>#N/A</v>
      </c>
      <c r="D404" s="328" t="e">
        <f>VLOOKUP(Tabla18[[#This Row],[Aux_01]],TablaSubAccionEspecifica[[#All],[Concat]:[Cod_Sub_acción_especifica]],2,0)</f>
        <v>#N/A</v>
      </c>
      <c r="E404" s="328" t="e">
        <f>Tabla18[[#This Row],[Bus_03]]&amp;"_"&amp;Tabla5[[#This Row],[Tipo de Agente
&lt;&lt; Seleccionar&gt;&gt;]]</f>
        <v>#N/A</v>
      </c>
      <c r="F404" s="328" t="e">
        <f>VLOOKUP(Tabla18[[#This Row],[Concat2]],TablaPOA[[#All],[Concat]:[ConcatEspecial]],3,0)</f>
        <v>#N/A</v>
      </c>
      <c r="G404" s="65" t="str">
        <f>CONCATENATE(Registro!$A$6,"_",Tabla5[[#This Row],[Zona (Provincia)
&lt;&lt; Seleccionar&gt;&gt;]])</f>
        <v>Huánuco_</v>
      </c>
      <c r="H404" s="60" t="e">
        <f>VLOOKUP(Tabla18[[#This Row],[Concatenado***]],Tabla2[[#All],[Concatenado]:[Simbología*]],2,0)</f>
        <v>#N/A</v>
      </c>
      <c r="I404" s="65" t="str">
        <f>CONCATENATE(Tabla18[[#This Row],[Concatenado***]],"_",Tabla5[[#This Row],[Zona (Distrito)
&lt;&lt; Seleccionar&gt;&gt;]])</f>
        <v>Huánuco__</v>
      </c>
      <c r="J4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4" s="72" t="e">
        <f>VLOOKUP(Tabla5[[#This Row],[Tipo de Transporte Empleado
&lt;&lt; Seleccionar&gt;&gt;]],Tabla8[#All],2,0)</f>
        <v>#N/A</v>
      </c>
      <c r="L404" s="71" t="e">
        <f>#REF!+(#REF!*2)+#REF!</f>
        <v>#REF!</v>
      </c>
    </row>
    <row r="405" spans="1:12" x14ac:dyDescent="0.25">
      <c r="A405" s="328" t="e">
        <f>VLOOKUP(Tabla5[[#This Row],[Acción
&lt;&lt; Seleccionar&gt;&gt;]],TablaAccion[[#All],[Nombre_Abreviado]:[Codigo_Plan_Acción]],3,0)</f>
        <v>#N/A</v>
      </c>
      <c r="B405" s="328" t="e">
        <f>VLOOKUP(Tabla5[[#This Row],[Acción Especifica
&lt;&lt; Seleccionar&gt;&gt;]],TablaAccionEspecifica[[#All],[Nombre_Abreviado]:[Codigo_Acción]],3,0)</f>
        <v>#N/A</v>
      </c>
      <c r="C405" s="328" t="e">
        <f>CONCATENATE(Tabla18[[#This Row],[Bus_02]],"_",Tabla5[[#This Row],[Sub Acción Específica
&lt;&lt; Seleccionar&gt;&gt;]])</f>
        <v>#N/A</v>
      </c>
      <c r="D405" s="328" t="e">
        <f>VLOOKUP(Tabla18[[#This Row],[Aux_01]],TablaSubAccionEspecifica[[#All],[Concat]:[Cod_Sub_acción_especifica]],2,0)</f>
        <v>#N/A</v>
      </c>
      <c r="E405" s="328" t="e">
        <f>Tabla18[[#This Row],[Bus_03]]&amp;"_"&amp;Tabla5[[#This Row],[Tipo de Agente
&lt;&lt; Seleccionar&gt;&gt;]]</f>
        <v>#N/A</v>
      </c>
      <c r="F405" s="328" t="e">
        <f>VLOOKUP(Tabla18[[#This Row],[Concat2]],TablaPOA[[#All],[Concat]:[ConcatEspecial]],3,0)</f>
        <v>#N/A</v>
      </c>
      <c r="G405" s="65" t="str">
        <f>CONCATENATE(Registro!$A$6,"_",Tabla5[[#This Row],[Zona (Provincia)
&lt;&lt; Seleccionar&gt;&gt;]])</f>
        <v>Huánuco_</v>
      </c>
      <c r="H405" s="60" t="e">
        <f>VLOOKUP(Tabla18[[#This Row],[Concatenado***]],Tabla2[[#All],[Concatenado]:[Simbología*]],2,0)</f>
        <v>#N/A</v>
      </c>
      <c r="I405" s="65" t="str">
        <f>CONCATENATE(Tabla18[[#This Row],[Concatenado***]],"_",Tabla5[[#This Row],[Zona (Distrito)
&lt;&lt; Seleccionar&gt;&gt;]])</f>
        <v>Huánuco__</v>
      </c>
      <c r="J4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5" s="72" t="e">
        <f>VLOOKUP(Tabla5[[#This Row],[Tipo de Transporte Empleado
&lt;&lt; Seleccionar&gt;&gt;]],Tabla8[#All],2,0)</f>
        <v>#N/A</v>
      </c>
      <c r="L405" s="71" t="e">
        <f>#REF!+(#REF!*2)+#REF!</f>
        <v>#REF!</v>
      </c>
    </row>
    <row r="406" spans="1:12" x14ac:dyDescent="0.25">
      <c r="A406" s="328" t="e">
        <f>VLOOKUP(Tabla5[[#This Row],[Acción
&lt;&lt; Seleccionar&gt;&gt;]],TablaAccion[[#All],[Nombre_Abreviado]:[Codigo_Plan_Acción]],3,0)</f>
        <v>#N/A</v>
      </c>
      <c r="B406" s="328" t="e">
        <f>VLOOKUP(Tabla5[[#This Row],[Acción Especifica
&lt;&lt; Seleccionar&gt;&gt;]],TablaAccionEspecifica[[#All],[Nombre_Abreviado]:[Codigo_Acción]],3,0)</f>
        <v>#N/A</v>
      </c>
      <c r="C406" s="328" t="e">
        <f>CONCATENATE(Tabla18[[#This Row],[Bus_02]],"_",Tabla5[[#This Row],[Sub Acción Específica
&lt;&lt; Seleccionar&gt;&gt;]])</f>
        <v>#N/A</v>
      </c>
      <c r="D406" s="328" t="e">
        <f>VLOOKUP(Tabla18[[#This Row],[Aux_01]],TablaSubAccionEspecifica[[#All],[Concat]:[Cod_Sub_acción_especifica]],2,0)</f>
        <v>#N/A</v>
      </c>
      <c r="E406" s="328" t="e">
        <f>Tabla18[[#This Row],[Bus_03]]&amp;"_"&amp;Tabla5[[#This Row],[Tipo de Agente
&lt;&lt; Seleccionar&gt;&gt;]]</f>
        <v>#N/A</v>
      </c>
      <c r="F406" s="328" t="e">
        <f>VLOOKUP(Tabla18[[#This Row],[Concat2]],TablaPOA[[#All],[Concat]:[ConcatEspecial]],3,0)</f>
        <v>#N/A</v>
      </c>
      <c r="G406" s="65" t="str">
        <f>CONCATENATE(Registro!$A$6,"_",Tabla5[[#This Row],[Zona (Provincia)
&lt;&lt; Seleccionar&gt;&gt;]])</f>
        <v>Huánuco_</v>
      </c>
      <c r="H406" s="60" t="e">
        <f>VLOOKUP(Tabla18[[#This Row],[Concatenado***]],Tabla2[[#All],[Concatenado]:[Simbología*]],2,0)</f>
        <v>#N/A</v>
      </c>
      <c r="I406" s="65" t="str">
        <f>CONCATENATE(Tabla18[[#This Row],[Concatenado***]],"_",Tabla5[[#This Row],[Zona (Distrito)
&lt;&lt; Seleccionar&gt;&gt;]])</f>
        <v>Huánuco__</v>
      </c>
      <c r="J4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6" s="72" t="e">
        <f>VLOOKUP(Tabla5[[#This Row],[Tipo de Transporte Empleado
&lt;&lt; Seleccionar&gt;&gt;]],Tabla8[#All],2,0)</f>
        <v>#N/A</v>
      </c>
      <c r="L406" s="71" t="e">
        <f>#REF!+(#REF!*2)+#REF!</f>
        <v>#REF!</v>
      </c>
    </row>
    <row r="407" spans="1:12" x14ac:dyDescent="0.25">
      <c r="A407" s="328" t="e">
        <f>VLOOKUP(Tabla5[[#This Row],[Acción
&lt;&lt; Seleccionar&gt;&gt;]],TablaAccion[[#All],[Nombre_Abreviado]:[Codigo_Plan_Acción]],3,0)</f>
        <v>#N/A</v>
      </c>
      <c r="B407" s="328" t="e">
        <f>VLOOKUP(Tabla5[[#This Row],[Acción Especifica
&lt;&lt; Seleccionar&gt;&gt;]],TablaAccionEspecifica[[#All],[Nombre_Abreviado]:[Codigo_Acción]],3,0)</f>
        <v>#N/A</v>
      </c>
      <c r="C407" s="328" t="e">
        <f>CONCATENATE(Tabla18[[#This Row],[Bus_02]],"_",Tabla5[[#This Row],[Sub Acción Específica
&lt;&lt; Seleccionar&gt;&gt;]])</f>
        <v>#N/A</v>
      </c>
      <c r="D407" s="328" t="e">
        <f>VLOOKUP(Tabla18[[#This Row],[Aux_01]],TablaSubAccionEspecifica[[#All],[Concat]:[Cod_Sub_acción_especifica]],2,0)</f>
        <v>#N/A</v>
      </c>
      <c r="E407" s="328" t="e">
        <f>Tabla18[[#This Row],[Bus_03]]&amp;"_"&amp;Tabla5[[#This Row],[Tipo de Agente
&lt;&lt; Seleccionar&gt;&gt;]]</f>
        <v>#N/A</v>
      </c>
      <c r="F407" s="328" t="e">
        <f>VLOOKUP(Tabla18[[#This Row],[Concat2]],TablaPOA[[#All],[Concat]:[ConcatEspecial]],3,0)</f>
        <v>#N/A</v>
      </c>
      <c r="G407" s="65" t="str">
        <f>CONCATENATE(Registro!$A$6,"_",Tabla5[[#This Row],[Zona (Provincia)
&lt;&lt; Seleccionar&gt;&gt;]])</f>
        <v>Huánuco_</v>
      </c>
      <c r="H407" s="60" t="e">
        <f>VLOOKUP(Tabla18[[#This Row],[Concatenado***]],Tabla2[[#All],[Concatenado]:[Simbología*]],2,0)</f>
        <v>#N/A</v>
      </c>
      <c r="I407" s="65" t="str">
        <f>CONCATENATE(Tabla18[[#This Row],[Concatenado***]],"_",Tabla5[[#This Row],[Zona (Distrito)
&lt;&lt; Seleccionar&gt;&gt;]])</f>
        <v>Huánuco__</v>
      </c>
      <c r="J4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7" s="72" t="e">
        <f>VLOOKUP(Tabla5[[#This Row],[Tipo de Transporte Empleado
&lt;&lt; Seleccionar&gt;&gt;]],Tabla8[#All],2,0)</f>
        <v>#N/A</v>
      </c>
      <c r="L407" s="71" t="e">
        <f>#REF!+(#REF!*2)+#REF!</f>
        <v>#REF!</v>
      </c>
    </row>
    <row r="408" spans="1:12" x14ac:dyDescent="0.25">
      <c r="A408" s="328" t="e">
        <f>VLOOKUP(Tabla5[[#This Row],[Acción
&lt;&lt; Seleccionar&gt;&gt;]],TablaAccion[[#All],[Nombre_Abreviado]:[Codigo_Plan_Acción]],3,0)</f>
        <v>#N/A</v>
      </c>
      <c r="B408" s="328" t="e">
        <f>VLOOKUP(Tabla5[[#This Row],[Acción Especifica
&lt;&lt; Seleccionar&gt;&gt;]],TablaAccionEspecifica[[#All],[Nombre_Abreviado]:[Codigo_Acción]],3,0)</f>
        <v>#N/A</v>
      </c>
      <c r="C408" s="328" t="e">
        <f>CONCATENATE(Tabla18[[#This Row],[Bus_02]],"_",Tabla5[[#This Row],[Sub Acción Específica
&lt;&lt; Seleccionar&gt;&gt;]])</f>
        <v>#N/A</v>
      </c>
      <c r="D408" s="328" t="e">
        <f>VLOOKUP(Tabla18[[#This Row],[Aux_01]],TablaSubAccionEspecifica[[#All],[Concat]:[Cod_Sub_acción_especifica]],2,0)</f>
        <v>#N/A</v>
      </c>
      <c r="E408" s="328" t="e">
        <f>Tabla18[[#This Row],[Bus_03]]&amp;"_"&amp;Tabla5[[#This Row],[Tipo de Agente
&lt;&lt; Seleccionar&gt;&gt;]]</f>
        <v>#N/A</v>
      </c>
      <c r="F408" s="328" t="e">
        <f>VLOOKUP(Tabla18[[#This Row],[Concat2]],TablaPOA[[#All],[Concat]:[ConcatEspecial]],3,0)</f>
        <v>#N/A</v>
      </c>
      <c r="G408" s="65" t="str">
        <f>CONCATENATE(Registro!$A$6,"_",Tabla5[[#This Row],[Zona (Provincia)
&lt;&lt; Seleccionar&gt;&gt;]])</f>
        <v>Huánuco_</v>
      </c>
      <c r="H408" s="60" t="e">
        <f>VLOOKUP(Tabla18[[#This Row],[Concatenado***]],Tabla2[[#All],[Concatenado]:[Simbología*]],2,0)</f>
        <v>#N/A</v>
      </c>
      <c r="I408" s="65" t="str">
        <f>CONCATENATE(Tabla18[[#This Row],[Concatenado***]],"_",Tabla5[[#This Row],[Zona (Distrito)
&lt;&lt; Seleccionar&gt;&gt;]])</f>
        <v>Huánuco__</v>
      </c>
      <c r="J4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8" s="72" t="e">
        <f>VLOOKUP(Tabla5[[#This Row],[Tipo de Transporte Empleado
&lt;&lt; Seleccionar&gt;&gt;]],Tabla8[#All],2,0)</f>
        <v>#N/A</v>
      </c>
      <c r="L408" s="71" t="e">
        <f>#REF!+(#REF!*2)+#REF!</f>
        <v>#REF!</v>
      </c>
    </row>
    <row r="409" spans="1:12" x14ac:dyDescent="0.25">
      <c r="A409" s="328" t="e">
        <f>VLOOKUP(Tabla5[[#This Row],[Acción
&lt;&lt; Seleccionar&gt;&gt;]],TablaAccion[[#All],[Nombre_Abreviado]:[Codigo_Plan_Acción]],3,0)</f>
        <v>#N/A</v>
      </c>
      <c r="B409" s="328" t="e">
        <f>VLOOKUP(Tabla5[[#This Row],[Acción Especifica
&lt;&lt; Seleccionar&gt;&gt;]],TablaAccionEspecifica[[#All],[Nombre_Abreviado]:[Codigo_Acción]],3,0)</f>
        <v>#N/A</v>
      </c>
      <c r="C409" s="328" t="e">
        <f>CONCATENATE(Tabla18[[#This Row],[Bus_02]],"_",Tabla5[[#This Row],[Sub Acción Específica
&lt;&lt; Seleccionar&gt;&gt;]])</f>
        <v>#N/A</v>
      </c>
      <c r="D409" s="328" t="e">
        <f>VLOOKUP(Tabla18[[#This Row],[Aux_01]],TablaSubAccionEspecifica[[#All],[Concat]:[Cod_Sub_acción_especifica]],2,0)</f>
        <v>#N/A</v>
      </c>
      <c r="E409" s="328" t="e">
        <f>Tabla18[[#This Row],[Bus_03]]&amp;"_"&amp;Tabla5[[#This Row],[Tipo de Agente
&lt;&lt; Seleccionar&gt;&gt;]]</f>
        <v>#N/A</v>
      </c>
      <c r="F409" s="328" t="e">
        <f>VLOOKUP(Tabla18[[#This Row],[Concat2]],TablaPOA[[#All],[Concat]:[ConcatEspecial]],3,0)</f>
        <v>#N/A</v>
      </c>
      <c r="G409" s="65" t="str">
        <f>CONCATENATE(Registro!$A$6,"_",Tabla5[[#This Row],[Zona (Provincia)
&lt;&lt; Seleccionar&gt;&gt;]])</f>
        <v>Huánuco_</v>
      </c>
      <c r="H409" s="60" t="e">
        <f>VLOOKUP(Tabla18[[#This Row],[Concatenado***]],Tabla2[[#All],[Concatenado]:[Simbología*]],2,0)</f>
        <v>#N/A</v>
      </c>
      <c r="I409" s="65" t="str">
        <f>CONCATENATE(Tabla18[[#This Row],[Concatenado***]],"_",Tabla5[[#This Row],[Zona (Distrito)
&lt;&lt; Seleccionar&gt;&gt;]])</f>
        <v>Huánuco__</v>
      </c>
      <c r="J4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9" s="72" t="e">
        <f>VLOOKUP(Tabla5[[#This Row],[Tipo de Transporte Empleado
&lt;&lt; Seleccionar&gt;&gt;]],Tabla8[#All],2,0)</f>
        <v>#N/A</v>
      </c>
      <c r="L409" s="71" t="e">
        <f>#REF!+(#REF!*2)+#REF!</f>
        <v>#REF!</v>
      </c>
    </row>
    <row r="410" spans="1:12" x14ac:dyDescent="0.25">
      <c r="A410" s="328" t="e">
        <f>VLOOKUP(Tabla5[[#This Row],[Acción
&lt;&lt; Seleccionar&gt;&gt;]],TablaAccion[[#All],[Nombre_Abreviado]:[Codigo_Plan_Acción]],3,0)</f>
        <v>#N/A</v>
      </c>
      <c r="B410" s="328" t="e">
        <f>VLOOKUP(Tabla5[[#This Row],[Acción Especifica
&lt;&lt; Seleccionar&gt;&gt;]],TablaAccionEspecifica[[#All],[Nombre_Abreviado]:[Codigo_Acción]],3,0)</f>
        <v>#N/A</v>
      </c>
      <c r="C410" s="328" t="e">
        <f>CONCATENATE(Tabla18[[#This Row],[Bus_02]],"_",Tabla5[[#This Row],[Sub Acción Específica
&lt;&lt; Seleccionar&gt;&gt;]])</f>
        <v>#N/A</v>
      </c>
      <c r="D410" s="328" t="e">
        <f>VLOOKUP(Tabla18[[#This Row],[Aux_01]],TablaSubAccionEspecifica[[#All],[Concat]:[Cod_Sub_acción_especifica]],2,0)</f>
        <v>#N/A</v>
      </c>
      <c r="E410" s="328" t="e">
        <f>Tabla18[[#This Row],[Bus_03]]&amp;"_"&amp;Tabla5[[#This Row],[Tipo de Agente
&lt;&lt; Seleccionar&gt;&gt;]]</f>
        <v>#N/A</v>
      </c>
      <c r="F410" s="328" t="e">
        <f>VLOOKUP(Tabla18[[#This Row],[Concat2]],TablaPOA[[#All],[Concat]:[ConcatEspecial]],3,0)</f>
        <v>#N/A</v>
      </c>
      <c r="G410" s="65" t="str">
        <f>CONCATENATE(Registro!$A$6,"_",Tabla5[[#This Row],[Zona (Provincia)
&lt;&lt; Seleccionar&gt;&gt;]])</f>
        <v>Huánuco_</v>
      </c>
      <c r="H410" s="60" t="e">
        <f>VLOOKUP(Tabla18[[#This Row],[Concatenado***]],Tabla2[[#All],[Concatenado]:[Simbología*]],2,0)</f>
        <v>#N/A</v>
      </c>
      <c r="I410" s="65" t="str">
        <f>CONCATENATE(Tabla18[[#This Row],[Concatenado***]],"_",Tabla5[[#This Row],[Zona (Distrito)
&lt;&lt; Seleccionar&gt;&gt;]])</f>
        <v>Huánuco__</v>
      </c>
      <c r="J4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0" s="72" t="e">
        <f>VLOOKUP(Tabla5[[#This Row],[Tipo de Transporte Empleado
&lt;&lt; Seleccionar&gt;&gt;]],Tabla8[#All],2,0)</f>
        <v>#N/A</v>
      </c>
      <c r="L410" s="71" t="e">
        <f>#REF!+(#REF!*2)+#REF!</f>
        <v>#REF!</v>
      </c>
    </row>
    <row r="411" spans="1:12" x14ac:dyDescent="0.25">
      <c r="A411" s="328" t="e">
        <f>VLOOKUP(Tabla5[[#This Row],[Acción
&lt;&lt; Seleccionar&gt;&gt;]],TablaAccion[[#All],[Nombre_Abreviado]:[Codigo_Plan_Acción]],3,0)</f>
        <v>#N/A</v>
      </c>
      <c r="B411" s="328" t="e">
        <f>VLOOKUP(Tabla5[[#This Row],[Acción Especifica
&lt;&lt; Seleccionar&gt;&gt;]],TablaAccionEspecifica[[#All],[Nombre_Abreviado]:[Codigo_Acción]],3,0)</f>
        <v>#N/A</v>
      </c>
      <c r="C411" s="328" t="e">
        <f>CONCATENATE(Tabla18[[#This Row],[Bus_02]],"_",Tabla5[[#This Row],[Sub Acción Específica
&lt;&lt; Seleccionar&gt;&gt;]])</f>
        <v>#N/A</v>
      </c>
      <c r="D411" s="328" t="e">
        <f>VLOOKUP(Tabla18[[#This Row],[Aux_01]],TablaSubAccionEspecifica[[#All],[Concat]:[Cod_Sub_acción_especifica]],2,0)</f>
        <v>#N/A</v>
      </c>
      <c r="E411" s="328" t="e">
        <f>Tabla18[[#This Row],[Bus_03]]&amp;"_"&amp;Tabla5[[#This Row],[Tipo de Agente
&lt;&lt; Seleccionar&gt;&gt;]]</f>
        <v>#N/A</v>
      </c>
      <c r="F411" s="328" t="e">
        <f>VLOOKUP(Tabla18[[#This Row],[Concat2]],TablaPOA[[#All],[Concat]:[ConcatEspecial]],3,0)</f>
        <v>#N/A</v>
      </c>
      <c r="G411" s="65" t="str">
        <f>CONCATENATE(Registro!$A$6,"_",Tabla5[[#This Row],[Zona (Provincia)
&lt;&lt; Seleccionar&gt;&gt;]])</f>
        <v>Huánuco_</v>
      </c>
      <c r="H411" s="60" t="e">
        <f>VLOOKUP(Tabla18[[#This Row],[Concatenado***]],Tabla2[[#All],[Concatenado]:[Simbología*]],2,0)</f>
        <v>#N/A</v>
      </c>
      <c r="I411" s="65" t="str">
        <f>CONCATENATE(Tabla18[[#This Row],[Concatenado***]],"_",Tabla5[[#This Row],[Zona (Distrito)
&lt;&lt; Seleccionar&gt;&gt;]])</f>
        <v>Huánuco__</v>
      </c>
      <c r="J4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1" s="72" t="e">
        <f>VLOOKUP(Tabla5[[#This Row],[Tipo de Transporte Empleado
&lt;&lt; Seleccionar&gt;&gt;]],Tabla8[#All],2,0)</f>
        <v>#N/A</v>
      </c>
      <c r="L411" s="71" t="e">
        <f>#REF!+(#REF!*2)+#REF!</f>
        <v>#REF!</v>
      </c>
    </row>
    <row r="412" spans="1:12" x14ac:dyDescent="0.25">
      <c r="A412" s="328" t="e">
        <f>VLOOKUP(Tabla5[[#This Row],[Acción
&lt;&lt; Seleccionar&gt;&gt;]],TablaAccion[[#All],[Nombre_Abreviado]:[Codigo_Plan_Acción]],3,0)</f>
        <v>#N/A</v>
      </c>
      <c r="B412" s="328" t="e">
        <f>VLOOKUP(Tabla5[[#This Row],[Acción Especifica
&lt;&lt; Seleccionar&gt;&gt;]],TablaAccionEspecifica[[#All],[Nombre_Abreviado]:[Codigo_Acción]],3,0)</f>
        <v>#N/A</v>
      </c>
      <c r="C412" s="328" t="e">
        <f>CONCATENATE(Tabla18[[#This Row],[Bus_02]],"_",Tabla5[[#This Row],[Sub Acción Específica
&lt;&lt; Seleccionar&gt;&gt;]])</f>
        <v>#N/A</v>
      </c>
      <c r="D412" s="328" t="e">
        <f>VLOOKUP(Tabla18[[#This Row],[Aux_01]],TablaSubAccionEspecifica[[#All],[Concat]:[Cod_Sub_acción_especifica]],2,0)</f>
        <v>#N/A</v>
      </c>
      <c r="E412" s="328" t="e">
        <f>Tabla18[[#This Row],[Bus_03]]&amp;"_"&amp;Tabla5[[#This Row],[Tipo de Agente
&lt;&lt; Seleccionar&gt;&gt;]]</f>
        <v>#N/A</v>
      </c>
      <c r="F412" s="328" t="e">
        <f>VLOOKUP(Tabla18[[#This Row],[Concat2]],TablaPOA[[#All],[Concat]:[ConcatEspecial]],3,0)</f>
        <v>#N/A</v>
      </c>
      <c r="G412" s="65" t="str">
        <f>CONCATENATE(Registro!$A$6,"_",Tabla5[[#This Row],[Zona (Provincia)
&lt;&lt; Seleccionar&gt;&gt;]])</f>
        <v>Huánuco_</v>
      </c>
      <c r="H412" s="60" t="e">
        <f>VLOOKUP(Tabla18[[#This Row],[Concatenado***]],Tabla2[[#All],[Concatenado]:[Simbología*]],2,0)</f>
        <v>#N/A</v>
      </c>
      <c r="I412" s="65" t="str">
        <f>CONCATENATE(Tabla18[[#This Row],[Concatenado***]],"_",Tabla5[[#This Row],[Zona (Distrito)
&lt;&lt; Seleccionar&gt;&gt;]])</f>
        <v>Huánuco__</v>
      </c>
      <c r="J4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2" s="72" t="e">
        <f>VLOOKUP(Tabla5[[#This Row],[Tipo de Transporte Empleado
&lt;&lt; Seleccionar&gt;&gt;]],Tabla8[#All],2,0)</f>
        <v>#N/A</v>
      </c>
      <c r="L412" s="71" t="e">
        <f>#REF!+(#REF!*2)+#REF!</f>
        <v>#REF!</v>
      </c>
    </row>
    <row r="413" spans="1:12" x14ac:dyDescent="0.25">
      <c r="A413" s="328" t="e">
        <f>VLOOKUP(Tabla5[[#This Row],[Acción
&lt;&lt; Seleccionar&gt;&gt;]],TablaAccion[[#All],[Nombre_Abreviado]:[Codigo_Plan_Acción]],3,0)</f>
        <v>#N/A</v>
      </c>
      <c r="B413" s="328" t="e">
        <f>VLOOKUP(Tabla5[[#This Row],[Acción Especifica
&lt;&lt; Seleccionar&gt;&gt;]],TablaAccionEspecifica[[#All],[Nombre_Abreviado]:[Codigo_Acción]],3,0)</f>
        <v>#N/A</v>
      </c>
      <c r="C413" s="328" t="e">
        <f>CONCATENATE(Tabla18[[#This Row],[Bus_02]],"_",Tabla5[[#This Row],[Sub Acción Específica
&lt;&lt; Seleccionar&gt;&gt;]])</f>
        <v>#N/A</v>
      </c>
      <c r="D413" s="328" t="e">
        <f>VLOOKUP(Tabla18[[#This Row],[Aux_01]],TablaSubAccionEspecifica[[#All],[Concat]:[Cod_Sub_acción_especifica]],2,0)</f>
        <v>#N/A</v>
      </c>
      <c r="E413" s="328" t="e">
        <f>Tabla18[[#This Row],[Bus_03]]&amp;"_"&amp;Tabla5[[#This Row],[Tipo de Agente
&lt;&lt; Seleccionar&gt;&gt;]]</f>
        <v>#N/A</v>
      </c>
      <c r="F413" s="328" t="e">
        <f>VLOOKUP(Tabla18[[#This Row],[Concat2]],TablaPOA[[#All],[Concat]:[ConcatEspecial]],3,0)</f>
        <v>#N/A</v>
      </c>
      <c r="G413" s="65" t="str">
        <f>CONCATENATE(Registro!$A$6,"_",Tabla5[[#This Row],[Zona (Provincia)
&lt;&lt; Seleccionar&gt;&gt;]])</f>
        <v>Huánuco_</v>
      </c>
      <c r="H413" s="60" t="e">
        <f>VLOOKUP(Tabla18[[#This Row],[Concatenado***]],Tabla2[[#All],[Concatenado]:[Simbología*]],2,0)</f>
        <v>#N/A</v>
      </c>
      <c r="I413" s="65" t="str">
        <f>CONCATENATE(Tabla18[[#This Row],[Concatenado***]],"_",Tabla5[[#This Row],[Zona (Distrito)
&lt;&lt; Seleccionar&gt;&gt;]])</f>
        <v>Huánuco__</v>
      </c>
      <c r="J4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3" s="72" t="e">
        <f>VLOOKUP(Tabla5[[#This Row],[Tipo de Transporte Empleado
&lt;&lt; Seleccionar&gt;&gt;]],Tabla8[#All],2,0)</f>
        <v>#N/A</v>
      </c>
      <c r="L413" s="71" t="e">
        <f>#REF!+(#REF!*2)+#REF!</f>
        <v>#REF!</v>
      </c>
    </row>
    <row r="414" spans="1:12" x14ac:dyDescent="0.25">
      <c r="A414" s="328" t="e">
        <f>VLOOKUP(Tabla5[[#This Row],[Acción
&lt;&lt; Seleccionar&gt;&gt;]],TablaAccion[[#All],[Nombre_Abreviado]:[Codigo_Plan_Acción]],3,0)</f>
        <v>#N/A</v>
      </c>
      <c r="B414" s="328" t="e">
        <f>VLOOKUP(Tabla5[[#This Row],[Acción Especifica
&lt;&lt; Seleccionar&gt;&gt;]],TablaAccionEspecifica[[#All],[Nombre_Abreviado]:[Codigo_Acción]],3,0)</f>
        <v>#N/A</v>
      </c>
      <c r="C414" s="328" t="e">
        <f>CONCATENATE(Tabla18[[#This Row],[Bus_02]],"_",Tabla5[[#This Row],[Sub Acción Específica
&lt;&lt; Seleccionar&gt;&gt;]])</f>
        <v>#N/A</v>
      </c>
      <c r="D414" s="328" t="e">
        <f>VLOOKUP(Tabla18[[#This Row],[Aux_01]],TablaSubAccionEspecifica[[#All],[Concat]:[Cod_Sub_acción_especifica]],2,0)</f>
        <v>#N/A</v>
      </c>
      <c r="E414" s="328" t="e">
        <f>Tabla18[[#This Row],[Bus_03]]&amp;"_"&amp;Tabla5[[#This Row],[Tipo de Agente
&lt;&lt; Seleccionar&gt;&gt;]]</f>
        <v>#N/A</v>
      </c>
      <c r="F414" s="328" t="e">
        <f>VLOOKUP(Tabla18[[#This Row],[Concat2]],TablaPOA[[#All],[Concat]:[ConcatEspecial]],3,0)</f>
        <v>#N/A</v>
      </c>
      <c r="G414" s="65" t="str">
        <f>CONCATENATE(Registro!$A$6,"_",Tabla5[[#This Row],[Zona (Provincia)
&lt;&lt; Seleccionar&gt;&gt;]])</f>
        <v>Huánuco_</v>
      </c>
      <c r="H414" s="60" t="e">
        <f>VLOOKUP(Tabla18[[#This Row],[Concatenado***]],Tabla2[[#All],[Concatenado]:[Simbología*]],2,0)</f>
        <v>#N/A</v>
      </c>
      <c r="I414" s="65" t="str">
        <f>CONCATENATE(Tabla18[[#This Row],[Concatenado***]],"_",Tabla5[[#This Row],[Zona (Distrito)
&lt;&lt; Seleccionar&gt;&gt;]])</f>
        <v>Huánuco__</v>
      </c>
      <c r="J4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4" s="72" t="e">
        <f>VLOOKUP(Tabla5[[#This Row],[Tipo de Transporte Empleado
&lt;&lt; Seleccionar&gt;&gt;]],Tabla8[#All],2,0)</f>
        <v>#N/A</v>
      </c>
      <c r="L414" s="71" t="e">
        <f>#REF!+(#REF!*2)+#REF!</f>
        <v>#REF!</v>
      </c>
    </row>
    <row r="415" spans="1:12" x14ac:dyDescent="0.25">
      <c r="A415" s="328" t="e">
        <f>VLOOKUP(Tabla5[[#This Row],[Acción
&lt;&lt; Seleccionar&gt;&gt;]],TablaAccion[[#All],[Nombre_Abreviado]:[Codigo_Plan_Acción]],3,0)</f>
        <v>#N/A</v>
      </c>
      <c r="B415" s="328" t="e">
        <f>VLOOKUP(Tabla5[[#This Row],[Acción Especifica
&lt;&lt; Seleccionar&gt;&gt;]],TablaAccionEspecifica[[#All],[Nombre_Abreviado]:[Codigo_Acción]],3,0)</f>
        <v>#N/A</v>
      </c>
      <c r="C415" s="328" t="e">
        <f>CONCATENATE(Tabla18[[#This Row],[Bus_02]],"_",Tabla5[[#This Row],[Sub Acción Específica
&lt;&lt; Seleccionar&gt;&gt;]])</f>
        <v>#N/A</v>
      </c>
      <c r="D415" s="328" t="e">
        <f>VLOOKUP(Tabla18[[#This Row],[Aux_01]],TablaSubAccionEspecifica[[#All],[Concat]:[Cod_Sub_acción_especifica]],2,0)</f>
        <v>#N/A</v>
      </c>
      <c r="E415" s="328" t="e">
        <f>Tabla18[[#This Row],[Bus_03]]&amp;"_"&amp;Tabla5[[#This Row],[Tipo de Agente
&lt;&lt; Seleccionar&gt;&gt;]]</f>
        <v>#N/A</v>
      </c>
      <c r="F415" s="328" t="e">
        <f>VLOOKUP(Tabla18[[#This Row],[Concat2]],TablaPOA[[#All],[Concat]:[ConcatEspecial]],3,0)</f>
        <v>#N/A</v>
      </c>
      <c r="G415" s="65" t="str">
        <f>CONCATENATE(Registro!$A$6,"_",Tabla5[[#This Row],[Zona (Provincia)
&lt;&lt; Seleccionar&gt;&gt;]])</f>
        <v>Huánuco_</v>
      </c>
      <c r="H415" s="60" t="e">
        <f>VLOOKUP(Tabla18[[#This Row],[Concatenado***]],Tabla2[[#All],[Concatenado]:[Simbología*]],2,0)</f>
        <v>#N/A</v>
      </c>
      <c r="I415" s="65" t="str">
        <f>CONCATENATE(Tabla18[[#This Row],[Concatenado***]],"_",Tabla5[[#This Row],[Zona (Distrito)
&lt;&lt; Seleccionar&gt;&gt;]])</f>
        <v>Huánuco__</v>
      </c>
      <c r="J4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5" s="72" t="e">
        <f>VLOOKUP(Tabla5[[#This Row],[Tipo de Transporte Empleado
&lt;&lt; Seleccionar&gt;&gt;]],Tabla8[#All],2,0)</f>
        <v>#N/A</v>
      </c>
      <c r="L415" s="71" t="e">
        <f>#REF!+(#REF!*2)+#REF!</f>
        <v>#REF!</v>
      </c>
    </row>
    <row r="416" spans="1:12" x14ac:dyDescent="0.25">
      <c r="A416" s="328" t="e">
        <f>VLOOKUP(Tabla5[[#This Row],[Acción
&lt;&lt; Seleccionar&gt;&gt;]],TablaAccion[[#All],[Nombre_Abreviado]:[Codigo_Plan_Acción]],3,0)</f>
        <v>#N/A</v>
      </c>
      <c r="B416" s="328" t="e">
        <f>VLOOKUP(Tabla5[[#This Row],[Acción Especifica
&lt;&lt; Seleccionar&gt;&gt;]],TablaAccionEspecifica[[#All],[Nombre_Abreviado]:[Codigo_Acción]],3,0)</f>
        <v>#N/A</v>
      </c>
      <c r="C416" s="328" t="e">
        <f>CONCATENATE(Tabla18[[#This Row],[Bus_02]],"_",Tabla5[[#This Row],[Sub Acción Específica
&lt;&lt; Seleccionar&gt;&gt;]])</f>
        <v>#N/A</v>
      </c>
      <c r="D416" s="328" t="e">
        <f>VLOOKUP(Tabla18[[#This Row],[Aux_01]],TablaSubAccionEspecifica[[#All],[Concat]:[Cod_Sub_acción_especifica]],2,0)</f>
        <v>#N/A</v>
      </c>
      <c r="E416" s="328" t="e">
        <f>Tabla18[[#This Row],[Bus_03]]&amp;"_"&amp;Tabla5[[#This Row],[Tipo de Agente
&lt;&lt; Seleccionar&gt;&gt;]]</f>
        <v>#N/A</v>
      </c>
      <c r="F416" s="328" t="e">
        <f>VLOOKUP(Tabla18[[#This Row],[Concat2]],TablaPOA[[#All],[Concat]:[ConcatEspecial]],3,0)</f>
        <v>#N/A</v>
      </c>
      <c r="G416" s="65" t="str">
        <f>CONCATENATE(Registro!$A$6,"_",Tabla5[[#This Row],[Zona (Provincia)
&lt;&lt; Seleccionar&gt;&gt;]])</f>
        <v>Huánuco_</v>
      </c>
      <c r="H416" s="60" t="e">
        <f>VLOOKUP(Tabla18[[#This Row],[Concatenado***]],Tabla2[[#All],[Concatenado]:[Simbología*]],2,0)</f>
        <v>#N/A</v>
      </c>
      <c r="I416" s="65" t="str">
        <f>CONCATENATE(Tabla18[[#This Row],[Concatenado***]],"_",Tabla5[[#This Row],[Zona (Distrito)
&lt;&lt; Seleccionar&gt;&gt;]])</f>
        <v>Huánuco__</v>
      </c>
      <c r="J4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6" s="72" t="e">
        <f>VLOOKUP(Tabla5[[#This Row],[Tipo de Transporte Empleado
&lt;&lt; Seleccionar&gt;&gt;]],Tabla8[#All],2,0)</f>
        <v>#N/A</v>
      </c>
      <c r="L416" s="71" t="e">
        <f>#REF!+(#REF!*2)+#REF!</f>
        <v>#REF!</v>
      </c>
    </row>
    <row r="417" spans="1:12" x14ac:dyDescent="0.25">
      <c r="A417" s="328" t="e">
        <f>VLOOKUP(Tabla5[[#This Row],[Acción
&lt;&lt; Seleccionar&gt;&gt;]],TablaAccion[[#All],[Nombre_Abreviado]:[Codigo_Plan_Acción]],3,0)</f>
        <v>#N/A</v>
      </c>
      <c r="B417" s="328" t="e">
        <f>VLOOKUP(Tabla5[[#This Row],[Acción Especifica
&lt;&lt; Seleccionar&gt;&gt;]],TablaAccionEspecifica[[#All],[Nombre_Abreviado]:[Codigo_Acción]],3,0)</f>
        <v>#N/A</v>
      </c>
      <c r="C417" s="328" t="e">
        <f>CONCATENATE(Tabla18[[#This Row],[Bus_02]],"_",Tabla5[[#This Row],[Sub Acción Específica
&lt;&lt; Seleccionar&gt;&gt;]])</f>
        <v>#N/A</v>
      </c>
      <c r="D417" s="328" t="e">
        <f>VLOOKUP(Tabla18[[#This Row],[Aux_01]],TablaSubAccionEspecifica[[#All],[Concat]:[Cod_Sub_acción_especifica]],2,0)</f>
        <v>#N/A</v>
      </c>
      <c r="E417" s="328" t="e">
        <f>Tabla18[[#This Row],[Bus_03]]&amp;"_"&amp;Tabla5[[#This Row],[Tipo de Agente
&lt;&lt; Seleccionar&gt;&gt;]]</f>
        <v>#N/A</v>
      </c>
      <c r="F417" s="328" t="e">
        <f>VLOOKUP(Tabla18[[#This Row],[Concat2]],TablaPOA[[#All],[Concat]:[ConcatEspecial]],3,0)</f>
        <v>#N/A</v>
      </c>
      <c r="G417" s="65" t="str">
        <f>CONCATENATE(Registro!$A$6,"_",Tabla5[[#This Row],[Zona (Provincia)
&lt;&lt; Seleccionar&gt;&gt;]])</f>
        <v>Huánuco_</v>
      </c>
      <c r="H417" s="60" t="e">
        <f>VLOOKUP(Tabla18[[#This Row],[Concatenado***]],Tabla2[[#All],[Concatenado]:[Simbología*]],2,0)</f>
        <v>#N/A</v>
      </c>
      <c r="I417" s="65" t="str">
        <f>CONCATENATE(Tabla18[[#This Row],[Concatenado***]],"_",Tabla5[[#This Row],[Zona (Distrito)
&lt;&lt; Seleccionar&gt;&gt;]])</f>
        <v>Huánuco__</v>
      </c>
      <c r="J4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7" s="72" t="e">
        <f>VLOOKUP(Tabla5[[#This Row],[Tipo de Transporte Empleado
&lt;&lt; Seleccionar&gt;&gt;]],Tabla8[#All],2,0)</f>
        <v>#N/A</v>
      </c>
      <c r="L417" s="71" t="e">
        <f>#REF!+(#REF!*2)+#REF!</f>
        <v>#REF!</v>
      </c>
    </row>
    <row r="418" spans="1:12" x14ac:dyDescent="0.25">
      <c r="A418" s="328" t="e">
        <f>VLOOKUP(Tabla5[[#This Row],[Acción
&lt;&lt; Seleccionar&gt;&gt;]],TablaAccion[[#All],[Nombre_Abreviado]:[Codigo_Plan_Acción]],3,0)</f>
        <v>#N/A</v>
      </c>
      <c r="B418" s="328" t="e">
        <f>VLOOKUP(Tabla5[[#This Row],[Acción Especifica
&lt;&lt; Seleccionar&gt;&gt;]],TablaAccionEspecifica[[#All],[Nombre_Abreviado]:[Codigo_Acción]],3,0)</f>
        <v>#N/A</v>
      </c>
      <c r="C418" s="328" t="e">
        <f>CONCATENATE(Tabla18[[#This Row],[Bus_02]],"_",Tabla5[[#This Row],[Sub Acción Específica
&lt;&lt; Seleccionar&gt;&gt;]])</f>
        <v>#N/A</v>
      </c>
      <c r="D418" s="328" t="e">
        <f>VLOOKUP(Tabla18[[#This Row],[Aux_01]],TablaSubAccionEspecifica[[#All],[Concat]:[Cod_Sub_acción_especifica]],2,0)</f>
        <v>#N/A</v>
      </c>
      <c r="E418" s="328" t="e">
        <f>Tabla18[[#This Row],[Bus_03]]&amp;"_"&amp;Tabla5[[#This Row],[Tipo de Agente
&lt;&lt; Seleccionar&gt;&gt;]]</f>
        <v>#N/A</v>
      </c>
      <c r="F418" s="328" t="e">
        <f>VLOOKUP(Tabla18[[#This Row],[Concat2]],TablaPOA[[#All],[Concat]:[ConcatEspecial]],3,0)</f>
        <v>#N/A</v>
      </c>
      <c r="G418" s="65" t="str">
        <f>CONCATENATE(Registro!$A$6,"_",Tabla5[[#This Row],[Zona (Provincia)
&lt;&lt; Seleccionar&gt;&gt;]])</f>
        <v>Huánuco_</v>
      </c>
      <c r="H418" s="60" t="e">
        <f>VLOOKUP(Tabla18[[#This Row],[Concatenado***]],Tabla2[[#All],[Concatenado]:[Simbología*]],2,0)</f>
        <v>#N/A</v>
      </c>
      <c r="I418" s="65" t="str">
        <f>CONCATENATE(Tabla18[[#This Row],[Concatenado***]],"_",Tabla5[[#This Row],[Zona (Distrito)
&lt;&lt; Seleccionar&gt;&gt;]])</f>
        <v>Huánuco__</v>
      </c>
      <c r="J4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8" s="72" t="e">
        <f>VLOOKUP(Tabla5[[#This Row],[Tipo de Transporte Empleado
&lt;&lt; Seleccionar&gt;&gt;]],Tabla8[#All],2,0)</f>
        <v>#N/A</v>
      </c>
      <c r="L418" s="71" t="e">
        <f>#REF!+(#REF!*2)+#REF!</f>
        <v>#REF!</v>
      </c>
    </row>
    <row r="419" spans="1:12" x14ac:dyDescent="0.25">
      <c r="A419" s="328" t="e">
        <f>VLOOKUP(Tabla5[[#This Row],[Acción
&lt;&lt; Seleccionar&gt;&gt;]],TablaAccion[[#All],[Nombre_Abreviado]:[Codigo_Plan_Acción]],3,0)</f>
        <v>#N/A</v>
      </c>
      <c r="B419" s="328" t="e">
        <f>VLOOKUP(Tabla5[[#This Row],[Acción Especifica
&lt;&lt; Seleccionar&gt;&gt;]],TablaAccionEspecifica[[#All],[Nombre_Abreviado]:[Codigo_Acción]],3,0)</f>
        <v>#N/A</v>
      </c>
      <c r="C419" s="328" t="e">
        <f>CONCATENATE(Tabla18[[#This Row],[Bus_02]],"_",Tabla5[[#This Row],[Sub Acción Específica
&lt;&lt; Seleccionar&gt;&gt;]])</f>
        <v>#N/A</v>
      </c>
      <c r="D419" s="328" t="e">
        <f>VLOOKUP(Tabla18[[#This Row],[Aux_01]],TablaSubAccionEspecifica[[#All],[Concat]:[Cod_Sub_acción_especifica]],2,0)</f>
        <v>#N/A</v>
      </c>
      <c r="E419" s="328" t="e">
        <f>Tabla18[[#This Row],[Bus_03]]&amp;"_"&amp;Tabla5[[#This Row],[Tipo de Agente
&lt;&lt; Seleccionar&gt;&gt;]]</f>
        <v>#N/A</v>
      </c>
      <c r="F419" s="328" t="e">
        <f>VLOOKUP(Tabla18[[#This Row],[Concat2]],TablaPOA[[#All],[Concat]:[ConcatEspecial]],3,0)</f>
        <v>#N/A</v>
      </c>
      <c r="G419" s="65" t="str">
        <f>CONCATENATE(Registro!$A$6,"_",Tabla5[[#This Row],[Zona (Provincia)
&lt;&lt; Seleccionar&gt;&gt;]])</f>
        <v>Huánuco_</v>
      </c>
      <c r="H419" s="60" t="e">
        <f>VLOOKUP(Tabla18[[#This Row],[Concatenado***]],Tabla2[[#All],[Concatenado]:[Simbología*]],2,0)</f>
        <v>#N/A</v>
      </c>
      <c r="I419" s="65" t="str">
        <f>CONCATENATE(Tabla18[[#This Row],[Concatenado***]],"_",Tabla5[[#This Row],[Zona (Distrito)
&lt;&lt; Seleccionar&gt;&gt;]])</f>
        <v>Huánuco__</v>
      </c>
      <c r="J4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9" s="72" t="e">
        <f>VLOOKUP(Tabla5[[#This Row],[Tipo de Transporte Empleado
&lt;&lt; Seleccionar&gt;&gt;]],Tabla8[#All],2,0)</f>
        <v>#N/A</v>
      </c>
      <c r="L419" s="71" t="e">
        <f>#REF!+(#REF!*2)+#REF!</f>
        <v>#REF!</v>
      </c>
    </row>
    <row r="420" spans="1:12" x14ac:dyDescent="0.25">
      <c r="A420" s="328" t="e">
        <f>VLOOKUP(Tabla5[[#This Row],[Acción
&lt;&lt; Seleccionar&gt;&gt;]],TablaAccion[[#All],[Nombre_Abreviado]:[Codigo_Plan_Acción]],3,0)</f>
        <v>#N/A</v>
      </c>
      <c r="B420" s="328" t="e">
        <f>VLOOKUP(Tabla5[[#This Row],[Acción Especifica
&lt;&lt; Seleccionar&gt;&gt;]],TablaAccionEspecifica[[#All],[Nombre_Abreviado]:[Codigo_Acción]],3,0)</f>
        <v>#N/A</v>
      </c>
      <c r="C420" s="328" t="e">
        <f>CONCATENATE(Tabla18[[#This Row],[Bus_02]],"_",Tabla5[[#This Row],[Sub Acción Específica
&lt;&lt; Seleccionar&gt;&gt;]])</f>
        <v>#N/A</v>
      </c>
      <c r="D420" s="328" t="e">
        <f>VLOOKUP(Tabla18[[#This Row],[Aux_01]],TablaSubAccionEspecifica[[#All],[Concat]:[Cod_Sub_acción_especifica]],2,0)</f>
        <v>#N/A</v>
      </c>
      <c r="E420" s="328" t="e">
        <f>Tabla18[[#This Row],[Bus_03]]&amp;"_"&amp;Tabla5[[#This Row],[Tipo de Agente
&lt;&lt; Seleccionar&gt;&gt;]]</f>
        <v>#N/A</v>
      </c>
      <c r="F420" s="328" t="e">
        <f>VLOOKUP(Tabla18[[#This Row],[Concat2]],TablaPOA[[#All],[Concat]:[ConcatEspecial]],3,0)</f>
        <v>#N/A</v>
      </c>
      <c r="G420" s="65" t="str">
        <f>CONCATENATE(Registro!$A$6,"_",Tabla5[[#This Row],[Zona (Provincia)
&lt;&lt; Seleccionar&gt;&gt;]])</f>
        <v>Huánuco_</v>
      </c>
      <c r="H420" s="60" t="e">
        <f>VLOOKUP(Tabla18[[#This Row],[Concatenado***]],Tabla2[[#All],[Concatenado]:[Simbología*]],2,0)</f>
        <v>#N/A</v>
      </c>
      <c r="I420" s="65" t="str">
        <f>CONCATENATE(Tabla18[[#This Row],[Concatenado***]],"_",Tabla5[[#This Row],[Zona (Distrito)
&lt;&lt; Seleccionar&gt;&gt;]])</f>
        <v>Huánuco__</v>
      </c>
      <c r="J4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0" s="72" t="e">
        <f>VLOOKUP(Tabla5[[#This Row],[Tipo de Transporte Empleado
&lt;&lt; Seleccionar&gt;&gt;]],Tabla8[#All],2,0)</f>
        <v>#N/A</v>
      </c>
      <c r="L420" s="71" t="e">
        <f>#REF!+(#REF!*2)+#REF!</f>
        <v>#REF!</v>
      </c>
    </row>
    <row r="421" spans="1:12" x14ac:dyDescent="0.25">
      <c r="A421" s="328" t="e">
        <f>VLOOKUP(Tabla5[[#This Row],[Acción
&lt;&lt; Seleccionar&gt;&gt;]],TablaAccion[[#All],[Nombre_Abreviado]:[Codigo_Plan_Acción]],3,0)</f>
        <v>#N/A</v>
      </c>
      <c r="B421" s="328" t="e">
        <f>VLOOKUP(Tabla5[[#This Row],[Acción Especifica
&lt;&lt; Seleccionar&gt;&gt;]],TablaAccionEspecifica[[#All],[Nombre_Abreviado]:[Codigo_Acción]],3,0)</f>
        <v>#N/A</v>
      </c>
      <c r="C421" s="328" t="e">
        <f>CONCATENATE(Tabla18[[#This Row],[Bus_02]],"_",Tabla5[[#This Row],[Sub Acción Específica
&lt;&lt; Seleccionar&gt;&gt;]])</f>
        <v>#N/A</v>
      </c>
      <c r="D421" s="328" t="e">
        <f>VLOOKUP(Tabla18[[#This Row],[Aux_01]],TablaSubAccionEspecifica[[#All],[Concat]:[Cod_Sub_acción_especifica]],2,0)</f>
        <v>#N/A</v>
      </c>
      <c r="E421" s="328" t="e">
        <f>Tabla18[[#This Row],[Bus_03]]&amp;"_"&amp;Tabla5[[#This Row],[Tipo de Agente
&lt;&lt; Seleccionar&gt;&gt;]]</f>
        <v>#N/A</v>
      </c>
      <c r="F421" s="328" t="e">
        <f>VLOOKUP(Tabla18[[#This Row],[Concat2]],TablaPOA[[#All],[Concat]:[ConcatEspecial]],3,0)</f>
        <v>#N/A</v>
      </c>
      <c r="G421" s="65" t="str">
        <f>CONCATENATE(Registro!$A$6,"_",Tabla5[[#This Row],[Zona (Provincia)
&lt;&lt; Seleccionar&gt;&gt;]])</f>
        <v>Huánuco_</v>
      </c>
      <c r="H421" s="60" t="e">
        <f>VLOOKUP(Tabla18[[#This Row],[Concatenado***]],Tabla2[[#All],[Concatenado]:[Simbología*]],2,0)</f>
        <v>#N/A</v>
      </c>
      <c r="I421" s="65" t="str">
        <f>CONCATENATE(Tabla18[[#This Row],[Concatenado***]],"_",Tabla5[[#This Row],[Zona (Distrito)
&lt;&lt; Seleccionar&gt;&gt;]])</f>
        <v>Huánuco__</v>
      </c>
      <c r="J4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1" s="72" t="e">
        <f>VLOOKUP(Tabla5[[#This Row],[Tipo de Transporte Empleado
&lt;&lt; Seleccionar&gt;&gt;]],Tabla8[#All],2,0)</f>
        <v>#N/A</v>
      </c>
      <c r="L421" s="71" t="e">
        <f>#REF!+(#REF!*2)+#REF!</f>
        <v>#REF!</v>
      </c>
    </row>
    <row r="422" spans="1:12" x14ac:dyDescent="0.25">
      <c r="A422" s="328" t="e">
        <f>VLOOKUP(Tabla5[[#This Row],[Acción
&lt;&lt; Seleccionar&gt;&gt;]],TablaAccion[[#All],[Nombre_Abreviado]:[Codigo_Plan_Acción]],3,0)</f>
        <v>#N/A</v>
      </c>
      <c r="B422" s="328" t="e">
        <f>VLOOKUP(Tabla5[[#This Row],[Acción Especifica
&lt;&lt; Seleccionar&gt;&gt;]],TablaAccionEspecifica[[#All],[Nombre_Abreviado]:[Codigo_Acción]],3,0)</f>
        <v>#N/A</v>
      </c>
      <c r="C422" s="328" t="e">
        <f>CONCATENATE(Tabla18[[#This Row],[Bus_02]],"_",Tabla5[[#This Row],[Sub Acción Específica
&lt;&lt; Seleccionar&gt;&gt;]])</f>
        <v>#N/A</v>
      </c>
      <c r="D422" s="328" t="e">
        <f>VLOOKUP(Tabla18[[#This Row],[Aux_01]],TablaSubAccionEspecifica[[#All],[Concat]:[Cod_Sub_acción_especifica]],2,0)</f>
        <v>#N/A</v>
      </c>
      <c r="E422" s="328" t="e">
        <f>Tabla18[[#This Row],[Bus_03]]&amp;"_"&amp;Tabla5[[#This Row],[Tipo de Agente
&lt;&lt; Seleccionar&gt;&gt;]]</f>
        <v>#N/A</v>
      </c>
      <c r="F422" s="328" t="e">
        <f>VLOOKUP(Tabla18[[#This Row],[Concat2]],TablaPOA[[#All],[Concat]:[ConcatEspecial]],3,0)</f>
        <v>#N/A</v>
      </c>
      <c r="G422" s="65" t="str">
        <f>CONCATENATE(Registro!$A$6,"_",Tabla5[[#This Row],[Zona (Provincia)
&lt;&lt; Seleccionar&gt;&gt;]])</f>
        <v>Huánuco_</v>
      </c>
      <c r="H422" s="60" t="e">
        <f>VLOOKUP(Tabla18[[#This Row],[Concatenado***]],Tabla2[[#All],[Concatenado]:[Simbología*]],2,0)</f>
        <v>#N/A</v>
      </c>
      <c r="I422" s="65" t="str">
        <f>CONCATENATE(Tabla18[[#This Row],[Concatenado***]],"_",Tabla5[[#This Row],[Zona (Distrito)
&lt;&lt; Seleccionar&gt;&gt;]])</f>
        <v>Huánuco__</v>
      </c>
      <c r="J4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2" s="72" t="e">
        <f>VLOOKUP(Tabla5[[#This Row],[Tipo de Transporte Empleado
&lt;&lt; Seleccionar&gt;&gt;]],Tabla8[#All],2,0)</f>
        <v>#N/A</v>
      </c>
      <c r="L422" s="71" t="e">
        <f>#REF!+(#REF!*2)+#REF!</f>
        <v>#REF!</v>
      </c>
    </row>
    <row r="423" spans="1:12" x14ac:dyDescent="0.25">
      <c r="A423" s="328" t="e">
        <f>VLOOKUP(Tabla5[[#This Row],[Acción
&lt;&lt; Seleccionar&gt;&gt;]],TablaAccion[[#All],[Nombre_Abreviado]:[Codigo_Plan_Acción]],3,0)</f>
        <v>#N/A</v>
      </c>
      <c r="B423" s="328" t="e">
        <f>VLOOKUP(Tabla5[[#This Row],[Acción Especifica
&lt;&lt; Seleccionar&gt;&gt;]],TablaAccionEspecifica[[#All],[Nombre_Abreviado]:[Codigo_Acción]],3,0)</f>
        <v>#N/A</v>
      </c>
      <c r="C423" s="328" t="e">
        <f>CONCATENATE(Tabla18[[#This Row],[Bus_02]],"_",Tabla5[[#This Row],[Sub Acción Específica
&lt;&lt; Seleccionar&gt;&gt;]])</f>
        <v>#N/A</v>
      </c>
      <c r="D423" s="328" t="e">
        <f>VLOOKUP(Tabla18[[#This Row],[Aux_01]],TablaSubAccionEspecifica[[#All],[Concat]:[Cod_Sub_acción_especifica]],2,0)</f>
        <v>#N/A</v>
      </c>
      <c r="E423" s="328" t="e">
        <f>Tabla18[[#This Row],[Bus_03]]&amp;"_"&amp;Tabla5[[#This Row],[Tipo de Agente
&lt;&lt; Seleccionar&gt;&gt;]]</f>
        <v>#N/A</v>
      </c>
      <c r="F423" s="328" t="e">
        <f>VLOOKUP(Tabla18[[#This Row],[Concat2]],TablaPOA[[#All],[Concat]:[ConcatEspecial]],3,0)</f>
        <v>#N/A</v>
      </c>
      <c r="G423" s="65" t="str">
        <f>CONCATENATE(Registro!$A$6,"_",Tabla5[[#This Row],[Zona (Provincia)
&lt;&lt; Seleccionar&gt;&gt;]])</f>
        <v>Huánuco_</v>
      </c>
      <c r="H423" s="60" t="e">
        <f>VLOOKUP(Tabla18[[#This Row],[Concatenado***]],Tabla2[[#All],[Concatenado]:[Simbología*]],2,0)</f>
        <v>#N/A</v>
      </c>
      <c r="I423" s="65" t="str">
        <f>CONCATENATE(Tabla18[[#This Row],[Concatenado***]],"_",Tabla5[[#This Row],[Zona (Distrito)
&lt;&lt; Seleccionar&gt;&gt;]])</f>
        <v>Huánuco__</v>
      </c>
      <c r="J4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3" s="72" t="e">
        <f>VLOOKUP(Tabla5[[#This Row],[Tipo de Transporte Empleado
&lt;&lt; Seleccionar&gt;&gt;]],Tabla8[#All],2,0)</f>
        <v>#N/A</v>
      </c>
      <c r="L423" s="71" t="e">
        <f>#REF!+(#REF!*2)+#REF!</f>
        <v>#REF!</v>
      </c>
    </row>
    <row r="424" spans="1:12" x14ac:dyDescent="0.25">
      <c r="A424" s="328" t="e">
        <f>VLOOKUP(Tabla5[[#This Row],[Acción
&lt;&lt; Seleccionar&gt;&gt;]],TablaAccion[[#All],[Nombre_Abreviado]:[Codigo_Plan_Acción]],3,0)</f>
        <v>#N/A</v>
      </c>
      <c r="B424" s="328" t="e">
        <f>VLOOKUP(Tabla5[[#This Row],[Acción Especifica
&lt;&lt; Seleccionar&gt;&gt;]],TablaAccionEspecifica[[#All],[Nombre_Abreviado]:[Codigo_Acción]],3,0)</f>
        <v>#N/A</v>
      </c>
      <c r="C424" s="328" t="e">
        <f>CONCATENATE(Tabla18[[#This Row],[Bus_02]],"_",Tabla5[[#This Row],[Sub Acción Específica
&lt;&lt; Seleccionar&gt;&gt;]])</f>
        <v>#N/A</v>
      </c>
      <c r="D424" s="328" t="e">
        <f>VLOOKUP(Tabla18[[#This Row],[Aux_01]],TablaSubAccionEspecifica[[#All],[Concat]:[Cod_Sub_acción_especifica]],2,0)</f>
        <v>#N/A</v>
      </c>
      <c r="E424" s="328" t="e">
        <f>Tabla18[[#This Row],[Bus_03]]&amp;"_"&amp;Tabla5[[#This Row],[Tipo de Agente
&lt;&lt; Seleccionar&gt;&gt;]]</f>
        <v>#N/A</v>
      </c>
      <c r="F424" s="328" t="e">
        <f>VLOOKUP(Tabla18[[#This Row],[Concat2]],TablaPOA[[#All],[Concat]:[ConcatEspecial]],3,0)</f>
        <v>#N/A</v>
      </c>
      <c r="G424" s="65" t="str">
        <f>CONCATENATE(Registro!$A$6,"_",Tabla5[[#This Row],[Zona (Provincia)
&lt;&lt; Seleccionar&gt;&gt;]])</f>
        <v>Huánuco_</v>
      </c>
      <c r="H424" s="60" t="e">
        <f>VLOOKUP(Tabla18[[#This Row],[Concatenado***]],Tabla2[[#All],[Concatenado]:[Simbología*]],2,0)</f>
        <v>#N/A</v>
      </c>
      <c r="I424" s="65" t="str">
        <f>CONCATENATE(Tabla18[[#This Row],[Concatenado***]],"_",Tabla5[[#This Row],[Zona (Distrito)
&lt;&lt; Seleccionar&gt;&gt;]])</f>
        <v>Huánuco__</v>
      </c>
      <c r="J4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4" s="72" t="e">
        <f>VLOOKUP(Tabla5[[#This Row],[Tipo de Transporte Empleado
&lt;&lt; Seleccionar&gt;&gt;]],Tabla8[#All],2,0)</f>
        <v>#N/A</v>
      </c>
      <c r="L424" s="71" t="e">
        <f>#REF!+(#REF!*2)+#REF!</f>
        <v>#REF!</v>
      </c>
    </row>
    <row r="425" spans="1:12" x14ac:dyDescent="0.25">
      <c r="A425" s="328" t="e">
        <f>VLOOKUP(Tabla5[[#This Row],[Acción
&lt;&lt; Seleccionar&gt;&gt;]],TablaAccion[[#All],[Nombre_Abreviado]:[Codigo_Plan_Acción]],3,0)</f>
        <v>#N/A</v>
      </c>
      <c r="B425" s="328" t="e">
        <f>VLOOKUP(Tabla5[[#This Row],[Acción Especifica
&lt;&lt; Seleccionar&gt;&gt;]],TablaAccionEspecifica[[#All],[Nombre_Abreviado]:[Codigo_Acción]],3,0)</f>
        <v>#N/A</v>
      </c>
      <c r="C425" s="328" t="e">
        <f>CONCATENATE(Tabla18[[#This Row],[Bus_02]],"_",Tabla5[[#This Row],[Sub Acción Específica
&lt;&lt; Seleccionar&gt;&gt;]])</f>
        <v>#N/A</v>
      </c>
      <c r="D425" s="328" t="e">
        <f>VLOOKUP(Tabla18[[#This Row],[Aux_01]],TablaSubAccionEspecifica[[#All],[Concat]:[Cod_Sub_acción_especifica]],2,0)</f>
        <v>#N/A</v>
      </c>
      <c r="E425" s="328" t="e">
        <f>Tabla18[[#This Row],[Bus_03]]&amp;"_"&amp;Tabla5[[#This Row],[Tipo de Agente
&lt;&lt; Seleccionar&gt;&gt;]]</f>
        <v>#N/A</v>
      </c>
      <c r="F425" s="328" t="e">
        <f>VLOOKUP(Tabla18[[#This Row],[Concat2]],TablaPOA[[#All],[Concat]:[ConcatEspecial]],3,0)</f>
        <v>#N/A</v>
      </c>
      <c r="G425" s="65" t="str">
        <f>CONCATENATE(Registro!$A$6,"_",Tabla5[[#This Row],[Zona (Provincia)
&lt;&lt; Seleccionar&gt;&gt;]])</f>
        <v>Huánuco_</v>
      </c>
      <c r="H425" s="60" t="e">
        <f>VLOOKUP(Tabla18[[#This Row],[Concatenado***]],Tabla2[[#All],[Concatenado]:[Simbología*]],2,0)</f>
        <v>#N/A</v>
      </c>
      <c r="I425" s="65" t="str">
        <f>CONCATENATE(Tabla18[[#This Row],[Concatenado***]],"_",Tabla5[[#This Row],[Zona (Distrito)
&lt;&lt; Seleccionar&gt;&gt;]])</f>
        <v>Huánuco__</v>
      </c>
      <c r="J4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5" s="72" t="e">
        <f>VLOOKUP(Tabla5[[#This Row],[Tipo de Transporte Empleado
&lt;&lt; Seleccionar&gt;&gt;]],Tabla8[#All],2,0)</f>
        <v>#N/A</v>
      </c>
      <c r="L425" s="71" t="e">
        <f>#REF!+(#REF!*2)+#REF!</f>
        <v>#REF!</v>
      </c>
    </row>
    <row r="426" spans="1:12" x14ac:dyDescent="0.25">
      <c r="A426" s="328" t="e">
        <f>VLOOKUP(Tabla5[[#This Row],[Acción
&lt;&lt; Seleccionar&gt;&gt;]],TablaAccion[[#All],[Nombre_Abreviado]:[Codigo_Plan_Acción]],3,0)</f>
        <v>#N/A</v>
      </c>
      <c r="B426" s="328" t="e">
        <f>VLOOKUP(Tabla5[[#This Row],[Acción Especifica
&lt;&lt; Seleccionar&gt;&gt;]],TablaAccionEspecifica[[#All],[Nombre_Abreviado]:[Codigo_Acción]],3,0)</f>
        <v>#N/A</v>
      </c>
      <c r="C426" s="328" t="e">
        <f>CONCATENATE(Tabla18[[#This Row],[Bus_02]],"_",Tabla5[[#This Row],[Sub Acción Específica
&lt;&lt; Seleccionar&gt;&gt;]])</f>
        <v>#N/A</v>
      </c>
      <c r="D426" s="328" t="e">
        <f>VLOOKUP(Tabla18[[#This Row],[Aux_01]],TablaSubAccionEspecifica[[#All],[Concat]:[Cod_Sub_acción_especifica]],2,0)</f>
        <v>#N/A</v>
      </c>
      <c r="E426" s="328" t="e">
        <f>Tabla18[[#This Row],[Bus_03]]&amp;"_"&amp;Tabla5[[#This Row],[Tipo de Agente
&lt;&lt; Seleccionar&gt;&gt;]]</f>
        <v>#N/A</v>
      </c>
      <c r="F426" s="328" t="e">
        <f>VLOOKUP(Tabla18[[#This Row],[Concat2]],TablaPOA[[#All],[Concat]:[ConcatEspecial]],3,0)</f>
        <v>#N/A</v>
      </c>
      <c r="G426" s="65" t="str">
        <f>CONCATENATE(Registro!$A$6,"_",Tabla5[[#This Row],[Zona (Provincia)
&lt;&lt; Seleccionar&gt;&gt;]])</f>
        <v>Huánuco_</v>
      </c>
      <c r="H426" s="60" t="e">
        <f>VLOOKUP(Tabla18[[#This Row],[Concatenado***]],Tabla2[[#All],[Concatenado]:[Simbología*]],2,0)</f>
        <v>#N/A</v>
      </c>
      <c r="I426" s="65" t="str">
        <f>CONCATENATE(Tabla18[[#This Row],[Concatenado***]],"_",Tabla5[[#This Row],[Zona (Distrito)
&lt;&lt; Seleccionar&gt;&gt;]])</f>
        <v>Huánuco__</v>
      </c>
      <c r="J4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6" s="72" t="e">
        <f>VLOOKUP(Tabla5[[#This Row],[Tipo de Transporte Empleado
&lt;&lt; Seleccionar&gt;&gt;]],Tabla8[#All],2,0)</f>
        <v>#N/A</v>
      </c>
      <c r="L426" s="71" t="e">
        <f>#REF!+(#REF!*2)+#REF!</f>
        <v>#REF!</v>
      </c>
    </row>
    <row r="427" spans="1:12" x14ac:dyDescent="0.25">
      <c r="A427" s="328" t="e">
        <f>VLOOKUP(Tabla5[[#This Row],[Acción
&lt;&lt; Seleccionar&gt;&gt;]],TablaAccion[[#All],[Nombre_Abreviado]:[Codigo_Plan_Acción]],3,0)</f>
        <v>#N/A</v>
      </c>
      <c r="B427" s="328" t="e">
        <f>VLOOKUP(Tabla5[[#This Row],[Acción Especifica
&lt;&lt; Seleccionar&gt;&gt;]],TablaAccionEspecifica[[#All],[Nombre_Abreviado]:[Codigo_Acción]],3,0)</f>
        <v>#N/A</v>
      </c>
      <c r="C427" s="328" t="e">
        <f>CONCATENATE(Tabla18[[#This Row],[Bus_02]],"_",Tabla5[[#This Row],[Sub Acción Específica
&lt;&lt; Seleccionar&gt;&gt;]])</f>
        <v>#N/A</v>
      </c>
      <c r="D427" s="328" t="e">
        <f>VLOOKUP(Tabla18[[#This Row],[Aux_01]],TablaSubAccionEspecifica[[#All],[Concat]:[Cod_Sub_acción_especifica]],2,0)</f>
        <v>#N/A</v>
      </c>
      <c r="E427" s="328" t="e">
        <f>Tabla18[[#This Row],[Bus_03]]&amp;"_"&amp;Tabla5[[#This Row],[Tipo de Agente
&lt;&lt; Seleccionar&gt;&gt;]]</f>
        <v>#N/A</v>
      </c>
      <c r="F427" s="328" t="e">
        <f>VLOOKUP(Tabla18[[#This Row],[Concat2]],TablaPOA[[#All],[Concat]:[ConcatEspecial]],3,0)</f>
        <v>#N/A</v>
      </c>
      <c r="G427" s="65" t="str">
        <f>CONCATENATE(Registro!$A$6,"_",Tabla5[[#This Row],[Zona (Provincia)
&lt;&lt; Seleccionar&gt;&gt;]])</f>
        <v>Huánuco_</v>
      </c>
      <c r="H427" s="60" t="e">
        <f>VLOOKUP(Tabla18[[#This Row],[Concatenado***]],Tabla2[[#All],[Concatenado]:[Simbología*]],2,0)</f>
        <v>#N/A</v>
      </c>
      <c r="I427" s="65" t="str">
        <f>CONCATENATE(Tabla18[[#This Row],[Concatenado***]],"_",Tabla5[[#This Row],[Zona (Distrito)
&lt;&lt; Seleccionar&gt;&gt;]])</f>
        <v>Huánuco__</v>
      </c>
      <c r="J4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7" s="72" t="e">
        <f>VLOOKUP(Tabla5[[#This Row],[Tipo de Transporte Empleado
&lt;&lt; Seleccionar&gt;&gt;]],Tabla8[#All],2,0)</f>
        <v>#N/A</v>
      </c>
      <c r="L427" s="71" t="e">
        <f>#REF!+(#REF!*2)+#REF!</f>
        <v>#REF!</v>
      </c>
    </row>
    <row r="428" spans="1:12" x14ac:dyDescent="0.25">
      <c r="A428" s="328" t="e">
        <f>VLOOKUP(Tabla5[[#This Row],[Acción
&lt;&lt; Seleccionar&gt;&gt;]],TablaAccion[[#All],[Nombre_Abreviado]:[Codigo_Plan_Acción]],3,0)</f>
        <v>#N/A</v>
      </c>
      <c r="B428" s="328" t="e">
        <f>VLOOKUP(Tabla5[[#This Row],[Acción Especifica
&lt;&lt; Seleccionar&gt;&gt;]],TablaAccionEspecifica[[#All],[Nombre_Abreviado]:[Codigo_Acción]],3,0)</f>
        <v>#N/A</v>
      </c>
      <c r="C428" s="328" t="e">
        <f>CONCATENATE(Tabla18[[#This Row],[Bus_02]],"_",Tabla5[[#This Row],[Sub Acción Específica
&lt;&lt; Seleccionar&gt;&gt;]])</f>
        <v>#N/A</v>
      </c>
      <c r="D428" s="328" t="e">
        <f>VLOOKUP(Tabla18[[#This Row],[Aux_01]],TablaSubAccionEspecifica[[#All],[Concat]:[Cod_Sub_acción_especifica]],2,0)</f>
        <v>#N/A</v>
      </c>
      <c r="E428" s="328" t="e">
        <f>Tabla18[[#This Row],[Bus_03]]&amp;"_"&amp;Tabla5[[#This Row],[Tipo de Agente
&lt;&lt; Seleccionar&gt;&gt;]]</f>
        <v>#N/A</v>
      </c>
      <c r="F428" s="328" t="e">
        <f>VLOOKUP(Tabla18[[#This Row],[Concat2]],TablaPOA[[#All],[Concat]:[ConcatEspecial]],3,0)</f>
        <v>#N/A</v>
      </c>
      <c r="G428" s="65" t="str">
        <f>CONCATENATE(Registro!$A$6,"_",Tabla5[[#This Row],[Zona (Provincia)
&lt;&lt; Seleccionar&gt;&gt;]])</f>
        <v>Huánuco_</v>
      </c>
      <c r="H428" s="60" t="e">
        <f>VLOOKUP(Tabla18[[#This Row],[Concatenado***]],Tabla2[[#All],[Concatenado]:[Simbología*]],2,0)</f>
        <v>#N/A</v>
      </c>
      <c r="I428" s="65" t="str">
        <f>CONCATENATE(Tabla18[[#This Row],[Concatenado***]],"_",Tabla5[[#This Row],[Zona (Distrito)
&lt;&lt; Seleccionar&gt;&gt;]])</f>
        <v>Huánuco__</v>
      </c>
      <c r="J4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8" s="72" t="e">
        <f>VLOOKUP(Tabla5[[#This Row],[Tipo de Transporte Empleado
&lt;&lt; Seleccionar&gt;&gt;]],Tabla8[#All],2,0)</f>
        <v>#N/A</v>
      </c>
      <c r="L428" s="71" t="e">
        <f>#REF!+(#REF!*2)+#REF!</f>
        <v>#REF!</v>
      </c>
    </row>
    <row r="429" spans="1:12" x14ac:dyDescent="0.25">
      <c r="A429" s="328" t="e">
        <f>VLOOKUP(Tabla5[[#This Row],[Acción
&lt;&lt; Seleccionar&gt;&gt;]],TablaAccion[[#All],[Nombre_Abreviado]:[Codigo_Plan_Acción]],3,0)</f>
        <v>#N/A</v>
      </c>
      <c r="B429" s="328" t="e">
        <f>VLOOKUP(Tabla5[[#This Row],[Acción Especifica
&lt;&lt; Seleccionar&gt;&gt;]],TablaAccionEspecifica[[#All],[Nombre_Abreviado]:[Codigo_Acción]],3,0)</f>
        <v>#N/A</v>
      </c>
      <c r="C429" s="328" t="e">
        <f>CONCATENATE(Tabla18[[#This Row],[Bus_02]],"_",Tabla5[[#This Row],[Sub Acción Específica
&lt;&lt; Seleccionar&gt;&gt;]])</f>
        <v>#N/A</v>
      </c>
      <c r="D429" s="328" t="e">
        <f>VLOOKUP(Tabla18[[#This Row],[Aux_01]],TablaSubAccionEspecifica[[#All],[Concat]:[Cod_Sub_acción_especifica]],2,0)</f>
        <v>#N/A</v>
      </c>
      <c r="E429" s="328" t="e">
        <f>Tabla18[[#This Row],[Bus_03]]&amp;"_"&amp;Tabla5[[#This Row],[Tipo de Agente
&lt;&lt; Seleccionar&gt;&gt;]]</f>
        <v>#N/A</v>
      </c>
      <c r="F429" s="328" t="e">
        <f>VLOOKUP(Tabla18[[#This Row],[Concat2]],TablaPOA[[#All],[Concat]:[ConcatEspecial]],3,0)</f>
        <v>#N/A</v>
      </c>
      <c r="G429" s="65" t="str">
        <f>CONCATENATE(Registro!$A$6,"_",Tabla5[[#This Row],[Zona (Provincia)
&lt;&lt; Seleccionar&gt;&gt;]])</f>
        <v>Huánuco_</v>
      </c>
      <c r="H429" s="60" t="e">
        <f>VLOOKUP(Tabla18[[#This Row],[Concatenado***]],Tabla2[[#All],[Concatenado]:[Simbología*]],2,0)</f>
        <v>#N/A</v>
      </c>
      <c r="I429" s="65" t="str">
        <f>CONCATENATE(Tabla18[[#This Row],[Concatenado***]],"_",Tabla5[[#This Row],[Zona (Distrito)
&lt;&lt; Seleccionar&gt;&gt;]])</f>
        <v>Huánuco__</v>
      </c>
      <c r="J4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9" s="72" t="e">
        <f>VLOOKUP(Tabla5[[#This Row],[Tipo de Transporte Empleado
&lt;&lt; Seleccionar&gt;&gt;]],Tabla8[#All],2,0)</f>
        <v>#N/A</v>
      </c>
      <c r="L429" s="71" t="e">
        <f>#REF!+(#REF!*2)+#REF!</f>
        <v>#REF!</v>
      </c>
    </row>
    <row r="430" spans="1:12" x14ac:dyDescent="0.25">
      <c r="A430" s="328" t="e">
        <f>VLOOKUP(Tabla5[[#This Row],[Acción
&lt;&lt; Seleccionar&gt;&gt;]],TablaAccion[[#All],[Nombre_Abreviado]:[Codigo_Plan_Acción]],3,0)</f>
        <v>#N/A</v>
      </c>
      <c r="B430" s="328" t="e">
        <f>VLOOKUP(Tabla5[[#This Row],[Acción Especifica
&lt;&lt; Seleccionar&gt;&gt;]],TablaAccionEspecifica[[#All],[Nombre_Abreviado]:[Codigo_Acción]],3,0)</f>
        <v>#N/A</v>
      </c>
      <c r="C430" s="328" t="e">
        <f>CONCATENATE(Tabla18[[#This Row],[Bus_02]],"_",Tabla5[[#This Row],[Sub Acción Específica
&lt;&lt; Seleccionar&gt;&gt;]])</f>
        <v>#N/A</v>
      </c>
      <c r="D430" s="328" t="e">
        <f>VLOOKUP(Tabla18[[#This Row],[Aux_01]],TablaSubAccionEspecifica[[#All],[Concat]:[Cod_Sub_acción_especifica]],2,0)</f>
        <v>#N/A</v>
      </c>
      <c r="E430" s="328" t="e">
        <f>Tabla18[[#This Row],[Bus_03]]&amp;"_"&amp;Tabla5[[#This Row],[Tipo de Agente
&lt;&lt; Seleccionar&gt;&gt;]]</f>
        <v>#N/A</v>
      </c>
      <c r="F430" s="328" t="e">
        <f>VLOOKUP(Tabla18[[#This Row],[Concat2]],TablaPOA[[#All],[Concat]:[ConcatEspecial]],3,0)</f>
        <v>#N/A</v>
      </c>
      <c r="G430" s="65" t="str">
        <f>CONCATENATE(Registro!$A$6,"_",Tabla5[[#This Row],[Zona (Provincia)
&lt;&lt; Seleccionar&gt;&gt;]])</f>
        <v>Huánuco_</v>
      </c>
      <c r="H430" s="60" t="e">
        <f>VLOOKUP(Tabla18[[#This Row],[Concatenado***]],Tabla2[[#All],[Concatenado]:[Simbología*]],2,0)</f>
        <v>#N/A</v>
      </c>
      <c r="I430" s="65" t="str">
        <f>CONCATENATE(Tabla18[[#This Row],[Concatenado***]],"_",Tabla5[[#This Row],[Zona (Distrito)
&lt;&lt; Seleccionar&gt;&gt;]])</f>
        <v>Huánuco__</v>
      </c>
      <c r="J4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0" s="72" t="e">
        <f>VLOOKUP(Tabla5[[#This Row],[Tipo de Transporte Empleado
&lt;&lt; Seleccionar&gt;&gt;]],Tabla8[#All],2,0)</f>
        <v>#N/A</v>
      </c>
      <c r="L430" s="71" t="e">
        <f>#REF!+(#REF!*2)+#REF!</f>
        <v>#REF!</v>
      </c>
    </row>
    <row r="431" spans="1:12" x14ac:dyDescent="0.25">
      <c r="A431" s="328" t="e">
        <f>VLOOKUP(Tabla5[[#This Row],[Acción
&lt;&lt; Seleccionar&gt;&gt;]],TablaAccion[[#All],[Nombre_Abreviado]:[Codigo_Plan_Acción]],3,0)</f>
        <v>#N/A</v>
      </c>
      <c r="B431" s="328" t="e">
        <f>VLOOKUP(Tabla5[[#This Row],[Acción Especifica
&lt;&lt; Seleccionar&gt;&gt;]],TablaAccionEspecifica[[#All],[Nombre_Abreviado]:[Codigo_Acción]],3,0)</f>
        <v>#N/A</v>
      </c>
      <c r="C431" s="328" t="e">
        <f>CONCATENATE(Tabla18[[#This Row],[Bus_02]],"_",Tabla5[[#This Row],[Sub Acción Específica
&lt;&lt; Seleccionar&gt;&gt;]])</f>
        <v>#N/A</v>
      </c>
      <c r="D431" s="328" t="e">
        <f>VLOOKUP(Tabla18[[#This Row],[Aux_01]],TablaSubAccionEspecifica[[#All],[Concat]:[Cod_Sub_acción_especifica]],2,0)</f>
        <v>#N/A</v>
      </c>
      <c r="E431" s="328" t="e">
        <f>Tabla18[[#This Row],[Bus_03]]&amp;"_"&amp;Tabla5[[#This Row],[Tipo de Agente
&lt;&lt; Seleccionar&gt;&gt;]]</f>
        <v>#N/A</v>
      </c>
      <c r="F431" s="328" t="e">
        <f>VLOOKUP(Tabla18[[#This Row],[Concat2]],TablaPOA[[#All],[Concat]:[ConcatEspecial]],3,0)</f>
        <v>#N/A</v>
      </c>
      <c r="G431" s="65" t="str">
        <f>CONCATENATE(Registro!$A$6,"_",Tabla5[[#This Row],[Zona (Provincia)
&lt;&lt; Seleccionar&gt;&gt;]])</f>
        <v>Huánuco_</v>
      </c>
      <c r="H431" s="60" t="e">
        <f>VLOOKUP(Tabla18[[#This Row],[Concatenado***]],Tabla2[[#All],[Concatenado]:[Simbología*]],2,0)</f>
        <v>#N/A</v>
      </c>
      <c r="I431" s="65" t="str">
        <f>CONCATENATE(Tabla18[[#This Row],[Concatenado***]],"_",Tabla5[[#This Row],[Zona (Distrito)
&lt;&lt; Seleccionar&gt;&gt;]])</f>
        <v>Huánuco__</v>
      </c>
      <c r="J4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1" s="72" t="e">
        <f>VLOOKUP(Tabla5[[#This Row],[Tipo de Transporte Empleado
&lt;&lt; Seleccionar&gt;&gt;]],Tabla8[#All],2,0)</f>
        <v>#N/A</v>
      </c>
      <c r="L431" s="71" t="e">
        <f>#REF!+(#REF!*2)+#REF!</f>
        <v>#REF!</v>
      </c>
    </row>
    <row r="432" spans="1:12" x14ac:dyDescent="0.25">
      <c r="A432" s="328" t="e">
        <f>VLOOKUP(Tabla5[[#This Row],[Acción
&lt;&lt; Seleccionar&gt;&gt;]],TablaAccion[[#All],[Nombre_Abreviado]:[Codigo_Plan_Acción]],3,0)</f>
        <v>#N/A</v>
      </c>
      <c r="B432" s="328" t="e">
        <f>VLOOKUP(Tabla5[[#This Row],[Acción Especifica
&lt;&lt; Seleccionar&gt;&gt;]],TablaAccionEspecifica[[#All],[Nombre_Abreviado]:[Codigo_Acción]],3,0)</f>
        <v>#N/A</v>
      </c>
      <c r="C432" s="328" t="e">
        <f>CONCATENATE(Tabla18[[#This Row],[Bus_02]],"_",Tabla5[[#This Row],[Sub Acción Específica
&lt;&lt; Seleccionar&gt;&gt;]])</f>
        <v>#N/A</v>
      </c>
      <c r="D432" s="328" t="e">
        <f>VLOOKUP(Tabla18[[#This Row],[Aux_01]],TablaSubAccionEspecifica[[#All],[Concat]:[Cod_Sub_acción_especifica]],2,0)</f>
        <v>#N/A</v>
      </c>
      <c r="E432" s="328" t="e">
        <f>Tabla18[[#This Row],[Bus_03]]&amp;"_"&amp;Tabla5[[#This Row],[Tipo de Agente
&lt;&lt; Seleccionar&gt;&gt;]]</f>
        <v>#N/A</v>
      </c>
      <c r="F432" s="328" t="e">
        <f>VLOOKUP(Tabla18[[#This Row],[Concat2]],TablaPOA[[#All],[Concat]:[ConcatEspecial]],3,0)</f>
        <v>#N/A</v>
      </c>
      <c r="G432" s="65" t="str">
        <f>CONCATENATE(Registro!$A$6,"_",Tabla5[[#This Row],[Zona (Provincia)
&lt;&lt; Seleccionar&gt;&gt;]])</f>
        <v>Huánuco_</v>
      </c>
      <c r="H432" s="60" t="e">
        <f>VLOOKUP(Tabla18[[#This Row],[Concatenado***]],Tabla2[[#All],[Concatenado]:[Simbología*]],2,0)</f>
        <v>#N/A</v>
      </c>
      <c r="I432" s="65" t="str">
        <f>CONCATENATE(Tabla18[[#This Row],[Concatenado***]],"_",Tabla5[[#This Row],[Zona (Distrito)
&lt;&lt; Seleccionar&gt;&gt;]])</f>
        <v>Huánuco__</v>
      </c>
      <c r="J4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2" s="72" t="e">
        <f>VLOOKUP(Tabla5[[#This Row],[Tipo de Transporte Empleado
&lt;&lt; Seleccionar&gt;&gt;]],Tabla8[#All],2,0)</f>
        <v>#N/A</v>
      </c>
      <c r="L432" s="71" t="e">
        <f>#REF!+(#REF!*2)+#REF!</f>
        <v>#REF!</v>
      </c>
    </row>
    <row r="433" spans="1:12" x14ac:dyDescent="0.25">
      <c r="A433" s="328" t="e">
        <f>VLOOKUP(Tabla5[[#This Row],[Acción
&lt;&lt; Seleccionar&gt;&gt;]],TablaAccion[[#All],[Nombre_Abreviado]:[Codigo_Plan_Acción]],3,0)</f>
        <v>#N/A</v>
      </c>
      <c r="B433" s="328" t="e">
        <f>VLOOKUP(Tabla5[[#This Row],[Acción Especifica
&lt;&lt; Seleccionar&gt;&gt;]],TablaAccionEspecifica[[#All],[Nombre_Abreviado]:[Codigo_Acción]],3,0)</f>
        <v>#N/A</v>
      </c>
      <c r="C433" s="328" t="e">
        <f>CONCATENATE(Tabla18[[#This Row],[Bus_02]],"_",Tabla5[[#This Row],[Sub Acción Específica
&lt;&lt; Seleccionar&gt;&gt;]])</f>
        <v>#N/A</v>
      </c>
      <c r="D433" s="328" t="e">
        <f>VLOOKUP(Tabla18[[#This Row],[Aux_01]],TablaSubAccionEspecifica[[#All],[Concat]:[Cod_Sub_acción_especifica]],2,0)</f>
        <v>#N/A</v>
      </c>
      <c r="E433" s="328" t="e">
        <f>Tabla18[[#This Row],[Bus_03]]&amp;"_"&amp;Tabla5[[#This Row],[Tipo de Agente
&lt;&lt; Seleccionar&gt;&gt;]]</f>
        <v>#N/A</v>
      </c>
      <c r="F433" s="328" t="e">
        <f>VLOOKUP(Tabla18[[#This Row],[Concat2]],TablaPOA[[#All],[Concat]:[ConcatEspecial]],3,0)</f>
        <v>#N/A</v>
      </c>
      <c r="G433" s="65" t="str">
        <f>CONCATENATE(Registro!$A$6,"_",Tabla5[[#This Row],[Zona (Provincia)
&lt;&lt; Seleccionar&gt;&gt;]])</f>
        <v>Huánuco_</v>
      </c>
      <c r="H433" s="60" t="e">
        <f>VLOOKUP(Tabla18[[#This Row],[Concatenado***]],Tabla2[[#All],[Concatenado]:[Simbología*]],2,0)</f>
        <v>#N/A</v>
      </c>
      <c r="I433" s="65" t="str">
        <f>CONCATENATE(Tabla18[[#This Row],[Concatenado***]],"_",Tabla5[[#This Row],[Zona (Distrito)
&lt;&lt; Seleccionar&gt;&gt;]])</f>
        <v>Huánuco__</v>
      </c>
      <c r="J4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3" s="72" t="e">
        <f>VLOOKUP(Tabla5[[#This Row],[Tipo de Transporte Empleado
&lt;&lt; Seleccionar&gt;&gt;]],Tabla8[#All],2,0)</f>
        <v>#N/A</v>
      </c>
      <c r="L433" s="71" t="e">
        <f>#REF!+(#REF!*2)+#REF!</f>
        <v>#REF!</v>
      </c>
    </row>
    <row r="434" spans="1:12" x14ac:dyDescent="0.25">
      <c r="A434" s="328" t="e">
        <f>VLOOKUP(Tabla5[[#This Row],[Acción
&lt;&lt; Seleccionar&gt;&gt;]],TablaAccion[[#All],[Nombre_Abreviado]:[Codigo_Plan_Acción]],3,0)</f>
        <v>#N/A</v>
      </c>
      <c r="B434" s="328" t="e">
        <f>VLOOKUP(Tabla5[[#This Row],[Acción Especifica
&lt;&lt; Seleccionar&gt;&gt;]],TablaAccionEspecifica[[#All],[Nombre_Abreviado]:[Codigo_Acción]],3,0)</f>
        <v>#N/A</v>
      </c>
      <c r="C434" s="328" t="e">
        <f>CONCATENATE(Tabla18[[#This Row],[Bus_02]],"_",Tabla5[[#This Row],[Sub Acción Específica
&lt;&lt; Seleccionar&gt;&gt;]])</f>
        <v>#N/A</v>
      </c>
      <c r="D434" s="328" t="e">
        <f>VLOOKUP(Tabla18[[#This Row],[Aux_01]],TablaSubAccionEspecifica[[#All],[Concat]:[Cod_Sub_acción_especifica]],2,0)</f>
        <v>#N/A</v>
      </c>
      <c r="E434" s="328" t="e">
        <f>Tabla18[[#This Row],[Bus_03]]&amp;"_"&amp;Tabla5[[#This Row],[Tipo de Agente
&lt;&lt; Seleccionar&gt;&gt;]]</f>
        <v>#N/A</v>
      </c>
      <c r="F434" s="328" t="e">
        <f>VLOOKUP(Tabla18[[#This Row],[Concat2]],TablaPOA[[#All],[Concat]:[ConcatEspecial]],3,0)</f>
        <v>#N/A</v>
      </c>
      <c r="G434" s="65" t="str">
        <f>CONCATENATE(Registro!$A$6,"_",Tabla5[[#This Row],[Zona (Provincia)
&lt;&lt; Seleccionar&gt;&gt;]])</f>
        <v>Huánuco_</v>
      </c>
      <c r="H434" s="60" t="e">
        <f>VLOOKUP(Tabla18[[#This Row],[Concatenado***]],Tabla2[[#All],[Concatenado]:[Simbología*]],2,0)</f>
        <v>#N/A</v>
      </c>
      <c r="I434" s="65" t="str">
        <f>CONCATENATE(Tabla18[[#This Row],[Concatenado***]],"_",Tabla5[[#This Row],[Zona (Distrito)
&lt;&lt; Seleccionar&gt;&gt;]])</f>
        <v>Huánuco__</v>
      </c>
      <c r="J4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4" s="72" t="e">
        <f>VLOOKUP(Tabla5[[#This Row],[Tipo de Transporte Empleado
&lt;&lt; Seleccionar&gt;&gt;]],Tabla8[#All],2,0)</f>
        <v>#N/A</v>
      </c>
      <c r="L434" s="71" t="e">
        <f>#REF!+(#REF!*2)+#REF!</f>
        <v>#REF!</v>
      </c>
    </row>
    <row r="435" spans="1:12" x14ac:dyDescent="0.25">
      <c r="A435" s="328" t="e">
        <f>VLOOKUP(Tabla5[[#This Row],[Acción
&lt;&lt; Seleccionar&gt;&gt;]],TablaAccion[[#All],[Nombre_Abreviado]:[Codigo_Plan_Acción]],3,0)</f>
        <v>#N/A</v>
      </c>
      <c r="B435" s="328" t="e">
        <f>VLOOKUP(Tabla5[[#This Row],[Acción Especifica
&lt;&lt; Seleccionar&gt;&gt;]],TablaAccionEspecifica[[#All],[Nombre_Abreviado]:[Codigo_Acción]],3,0)</f>
        <v>#N/A</v>
      </c>
      <c r="C435" s="328" t="e">
        <f>CONCATENATE(Tabla18[[#This Row],[Bus_02]],"_",Tabla5[[#This Row],[Sub Acción Específica
&lt;&lt; Seleccionar&gt;&gt;]])</f>
        <v>#N/A</v>
      </c>
      <c r="D435" s="328" t="e">
        <f>VLOOKUP(Tabla18[[#This Row],[Aux_01]],TablaSubAccionEspecifica[[#All],[Concat]:[Cod_Sub_acción_especifica]],2,0)</f>
        <v>#N/A</v>
      </c>
      <c r="E435" s="328" t="e">
        <f>Tabla18[[#This Row],[Bus_03]]&amp;"_"&amp;Tabla5[[#This Row],[Tipo de Agente
&lt;&lt; Seleccionar&gt;&gt;]]</f>
        <v>#N/A</v>
      </c>
      <c r="F435" s="328" t="e">
        <f>VLOOKUP(Tabla18[[#This Row],[Concat2]],TablaPOA[[#All],[Concat]:[ConcatEspecial]],3,0)</f>
        <v>#N/A</v>
      </c>
      <c r="G435" s="65" t="str">
        <f>CONCATENATE(Registro!$A$6,"_",Tabla5[[#This Row],[Zona (Provincia)
&lt;&lt; Seleccionar&gt;&gt;]])</f>
        <v>Huánuco_</v>
      </c>
      <c r="H435" s="60" t="e">
        <f>VLOOKUP(Tabla18[[#This Row],[Concatenado***]],Tabla2[[#All],[Concatenado]:[Simbología*]],2,0)</f>
        <v>#N/A</v>
      </c>
      <c r="I435" s="65" t="str">
        <f>CONCATENATE(Tabla18[[#This Row],[Concatenado***]],"_",Tabla5[[#This Row],[Zona (Distrito)
&lt;&lt; Seleccionar&gt;&gt;]])</f>
        <v>Huánuco__</v>
      </c>
      <c r="J4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5" s="72" t="e">
        <f>VLOOKUP(Tabla5[[#This Row],[Tipo de Transporte Empleado
&lt;&lt; Seleccionar&gt;&gt;]],Tabla8[#All],2,0)</f>
        <v>#N/A</v>
      </c>
      <c r="L435" s="71" t="e">
        <f>#REF!+(#REF!*2)+#REF!</f>
        <v>#REF!</v>
      </c>
    </row>
    <row r="436" spans="1:12" x14ac:dyDescent="0.25">
      <c r="A436" s="328" t="e">
        <f>VLOOKUP(Tabla5[[#This Row],[Acción
&lt;&lt; Seleccionar&gt;&gt;]],TablaAccion[[#All],[Nombre_Abreviado]:[Codigo_Plan_Acción]],3,0)</f>
        <v>#N/A</v>
      </c>
      <c r="B436" s="328" t="e">
        <f>VLOOKUP(Tabla5[[#This Row],[Acción Especifica
&lt;&lt; Seleccionar&gt;&gt;]],TablaAccionEspecifica[[#All],[Nombre_Abreviado]:[Codigo_Acción]],3,0)</f>
        <v>#N/A</v>
      </c>
      <c r="C436" s="328" t="e">
        <f>CONCATENATE(Tabla18[[#This Row],[Bus_02]],"_",Tabla5[[#This Row],[Sub Acción Específica
&lt;&lt; Seleccionar&gt;&gt;]])</f>
        <v>#N/A</v>
      </c>
      <c r="D436" s="328" t="e">
        <f>VLOOKUP(Tabla18[[#This Row],[Aux_01]],TablaSubAccionEspecifica[[#All],[Concat]:[Cod_Sub_acción_especifica]],2,0)</f>
        <v>#N/A</v>
      </c>
      <c r="E436" s="328" t="e">
        <f>Tabla18[[#This Row],[Bus_03]]&amp;"_"&amp;Tabla5[[#This Row],[Tipo de Agente
&lt;&lt; Seleccionar&gt;&gt;]]</f>
        <v>#N/A</v>
      </c>
      <c r="F436" s="328" t="e">
        <f>VLOOKUP(Tabla18[[#This Row],[Concat2]],TablaPOA[[#All],[Concat]:[ConcatEspecial]],3,0)</f>
        <v>#N/A</v>
      </c>
      <c r="G436" s="65" t="str">
        <f>CONCATENATE(Registro!$A$6,"_",Tabla5[[#This Row],[Zona (Provincia)
&lt;&lt; Seleccionar&gt;&gt;]])</f>
        <v>Huánuco_</v>
      </c>
      <c r="H436" s="60" t="e">
        <f>VLOOKUP(Tabla18[[#This Row],[Concatenado***]],Tabla2[[#All],[Concatenado]:[Simbología*]],2,0)</f>
        <v>#N/A</v>
      </c>
      <c r="I436" s="65" t="str">
        <f>CONCATENATE(Tabla18[[#This Row],[Concatenado***]],"_",Tabla5[[#This Row],[Zona (Distrito)
&lt;&lt; Seleccionar&gt;&gt;]])</f>
        <v>Huánuco__</v>
      </c>
      <c r="J4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6" s="72" t="e">
        <f>VLOOKUP(Tabla5[[#This Row],[Tipo de Transporte Empleado
&lt;&lt; Seleccionar&gt;&gt;]],Tabla8[#All],2,0)</f>
        <v>#N/A</v>
      </c>
      <c r="L436" s="71" t="e">
        <f>#REF!+(#REF!*2)+#REF!</f>
        <v>#REF!</v>
      </c>
    </row>
    <row r="437" spans="1:12" x14ac:dyDescent="0.25">
      <c r="A437" s="328" t="e">
        <f>VLOOKUP(Tabla5[[#This Row],[Acción
&lt;&lt; Seleccionar&gt;&gt;]],TablaAccion[[#All],[Nombre_Abreviado]:[Codigo_Plan_Acción]],3,0)</f>
        <v>#N/A</v>
      </c>
      <c r="B437" s="328" t="e">
        <f>VLOOKUP(Tabla5[[#This Row],[Acción Especifica
&lt;&lt; Seleccionar&gt;&gt;]],TablaAccionEspecifica[[#All],[Nombre_Abreviado]:[Codigo_Acción]],3,0)</f>
        <v>#N/A</v>
      </c>
      <c r="C437" s="328" t="e">
        <f>CONCATENATE(Tabla18[[#This Row],[Bus_02]],"_",Tabla5[[#This Row],[Sub Acción Específica
&lt;&lt; Seleccionar&gt;&gt;]])</f>
        <v>#N/A</v>
      </c>
      <c r="D437" s="328" t="e">
        <f>VLOOKUP(Tabla18[[#This Row],[Aux_01]],TablaSubAccionEspecifica[[#All],[Concat]:[Cod_Sub_acción_especifica]],2,0)</f>
        <v>#N/A</v>
      </c>
      <c r="E437" s="328" t="e">
        <f>Tabla18[[#This Row],[Bus_03]]&amp;"_"&amp;Tabla5[[#This Row],[Tipo de Agente
&lt;&lt; Seleccionar&gt;&gt;]]</f>
        <v>#N/A</v>
      </c>
      <c r="F437" s="328" t="e">
        <f>VLOOKUP(Tabla18[[#This Row],[Concat2]],TablaPOA[[#All],[Concat]:[ConcatEspecial]],3,0)</f>
        <v>#N/A</v>
      </c>
      <c r="G437" s="65" t="str">
        <f>CONCATENATE(Registro!$A$6,"_",Tabla5[[#This Row],[Zona (Provincia)
&lt;&lt; Seleccionar&gt;&gt;]])</f>
        <v>Huánuco_</v>
      </c>
      <c r="H437" s="60" t="e">
        <f>VLOOKUP(Tabla18[[#This Row],[Concatenado***]],Tabla2[[#All],[Concatenado]:[Simbología*]],2,0)</f>
        <v>#N/A</v>
      </c>
      <c r="I437" s="65" t="str">
        <f>CONCATENATE(Tabla18[[#This Row],[Concatenado***]],"_",Tabla5[[#This Row],[Zona (Distrito)
&lt;&lt; Seleccionar&gt;&gt;]])</f>
        <v>Huánuco__</v>
      </c>
      <c r="J4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7" s="72" t="e">
        <f>VLOOKUP(Tabla5[[#This Row],[Tipo de Transporte Empleado
&lt;&lt; Seleccionar&gt;&gt;]],Tabla8[#All],2,0)</f>
        <v>#N/A</v>
      </c>
      <c r="L437" s="71" t="e">
        <f>#REF!+(#REF!*2)+#REF!</f>
        <v>#REF!</v>
      </c>
    </row>
    <row r="438" spans="1:12" x14ac:dyDescent="0.25">
      <c r="A438" s="328" t="e">
        <f>VLOOKUP(Tabla5[[#This Row],[Acción
&lt;&lt; Seleccionar&gt;&gt;]],TablaAccion[[#All],[Nombre_Abreviado]:[Codigo_Plan_Acción]],3,0)</f>
        <v>#N/A</v>
      </c>
      <c r="B438" s="328" t="e">
        <f>VLOOKUP(Tabla5[[#This Row],[Acción Especifica
&lt;&lt; Seleccionar&gt;&gt;]],TablaAccionEspecifica[[#All],[Nombre_Abreviado]:[Codigo_Acción]],3,0)</f>
        <v>#N/A</v>
      </c>
      <c r="C438" s="328" t="e">
        <f>CONCATENATE(Tabla18[[#This Row],[Bus_02]],"_",Tabla5[[#This Row],[Sub Acción Específica
&lt;&lt; Seleccionar&gt;&gt;]])</f>
        <v>#N/A</v>
      </c>
      <c r="D438" s="328" t="e">
        <f>VLOOKUP(Tabla18[[#This Row],[Aux_01]],TablaSubAccionEspecifica[[#All],[Concat]:[Cod_Sub_acción_especifica]],2,0)</f>
        <v>#N/A</v>
      </c>
      <c r="E438" s="328" t="e">
        <f>Tabla18[[#This Row],[Bus_03]]&amp;"_"&amp;Tabla5[[#This Row],[Tipo de Agente
&lt;&lt; Seleccionar&gt;&gt;]]</f>
        <v>#N/A</v>
      </c>
      <c r="F438" s="328" t="e">
        <f>VLOOKUP(Tabla18[[#This Row],[Concat2]],TablaPOA[[#All],[Concat]:[ConcatEspecial]],3,0)</f>
        <v>#N/A</v>
      </c>
      <c r="G438" s="65" t="str">
        <f>CONCATENATE(Registro!$A$6,"_",Tabla5[[#This Row],[Zona (Provincia)
&lt;&lt; Seleccionar&gt;&gt;]])</f>
        <v>Huánuco_</v>
      </c>
      <c r="H438" s="60" t="e">
        <f>VLOOKUP(Tabla18[[#This Row],[Concatenado***]],Tabla2[[#All],[Concatenado]:[Simbología*]],2,0)</f>
        <v>#N/A</v>
      </c>
      <c r="I438" s="65" t="str">
        <f>CONCATENATE(Tabla18[[#This Row],[Concatenado***]],"_",Tabla5[[#This Row],[Zona (Distrito)
&lt;&lt; Seleccionar&gt;&gt;]])</f>
        <v>Huánuco__</v>
      </c>
      <c r="J4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8" s="72" t="e">
        <f>VLOOKUP(Tabla5[[#This Row],[Tipo de Transporte Empleado
&lt;&lt; Seleccionar&gt;&gt;]],Tabla8[#All],2,0)</f>
        <v>#N/A</v>
      </c>
      <c r="L438" s="71" t="e">
        <f>#REF!+(#REF!*2)+#REF!</f>
        <v>#REF!</v>
      </c>
    </row>
    <row r="439" spans="1:12" x14ac:dyDescent="0.25">
      <c r="A439" s="328" t="e">
        <f>VLOOKUP(Tabla5[[#This Row],[Acción
&lt;&lt; Seleccionar&gt;&gt;]],TablaAccion[[#All],[Nombre_Abreviado]:[Codigo_Plan_Acción]],3,0)</f>
        <v>#N/A</v>
      </c>
      <c r="B439" s="328" t="e">
        <f>VLOOKUP(Tabla5[[#This Row],[Acción Especifica
&lt;&lt; Seleccionar&gt;&gt;]],TablaAccionEspecifica[[#All],[Nombre_Abreviado]:[Codigo_Acción]],3,0)</f>
        <v>#N/A</v>
      </c>
      <c r="C439" s="328" t="e">
        <f>CONCATENATE(Tabla18[[#This Row],[Bus_02]],"_",Tabla5[[#This Row],[Sub Acción Específica
&lt;&lt; Seleccionar&gt;&gt;]])</f>
        <v>#N/A</v>
      </c>
      <c r="D439" s="328" t="e">
        <f>VLOOKUP(Tabla18[[#This Row],[Aux_01]],TablaSubAccionEspecifica[[#All],[Concat]:[Cod_Sub_acción_especifica]],2,0)</f>
        <v>#N/A</v>
      </c>
      <c r="E439" s="328" t="e">
        <f>Tabla18[[#This Row],[Bus_03]]&amp;"_"&amp;Tabla5[[#This Row],[Tipo de Agente
&lt;&lt; Seleccionar&gt;&gt;]]</f>
        <v>#N/A</v>
      </c>
      <c r="F439" s="328" t="e">
        <f>VLOOKUP(Tabla18[[#This Row],[Concat2]],TablaPOA[[#All],[Concat]:[ConcatEspecial]],3,0)</f>
        <v>#N/A</v>
      </c>
      <c r="G439" s="65" t="str">
        <f>CONCATENATE(Registro!$A$6,"_",Tabla5[[#This Row],[Zona (Provincia)
&lt;&lt; Seleccionar&gt;&gt;]])</f>
        <v>Huánuco_</v>
      </c>
      <c r="H439" s="60" t="e">
        <f>VLOOKUP(Tabla18[[#This Row],[Concatenado***]],Tabla2[[#All],[Concatenado]:[Simbología*]],2,0)</f>
        <v>#N/A</v>
      </c>
      <c r="I439" s="65" t="str">
        <f>CONCATENATE(Tabla18[[#This Row],[Concatenado***]],"_",Tabla5[[#This Row],[Zona (Distrito)
&lt;&lt; Seleccionar&gt;&gt;]])</f>
        <v>Huánuco__</v>
      </c>
      <c r="J4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9" s="72" t="e">
        <f>VLOOKUP(Tabla5[[#This Row],[Tipo de Transporte Empleado
&lt;&lt; Seleccionar&gt;&gt;]],Tabla8[#All],2,0)</f>
        <v>#N/A</v>
      </c>
      <c r="L439" s="71" t="e">
        <f>#REF!+(#REF!*2)+#REF!</f>
        <v>#REF!</v>
      </c>
    </row>
    <row r="440" spans="1:12" x14ac:dyDescent="0.25">
      <c r="A440" s="328" t="e">
        <f>VLOOKUP(Tabla5[[#This Row],[Acción
&lt;&lt; Seleccionar&gt;&gt;]],TablaAccion[[#All],[Nombre_Abreviado]:[Codigo_Plan_Acción]],3,0)</f>
        <v>#N/A</v>
      </c>
      <c r="B440" s="328" t="e">
        <f>VLOOKUP(Tabla5[[#This Row],[Acción Especifica
&lt;&lt; Seleccionar&gt;&gt;]],TablaAccionEspecifica[[#All],[Nombre_Abreviado]:[Codigo_Acción]],3,0)</f>
        <v>#N/A</v>
      </c>
      <c r="C440" s="328" t="e">
        <f>CONCATENATE(Tabla18[[#This Row],[Bus_02]],"_",Tabla5[[#This Row],[Sub Acción Específica
&lt;&lt; Seleccionar&gt;&gt;]])</f>
        <v>#N/A</v>
      </c>
      <c r="D440" s="328" t="e">
        <f>VLOOKUP(Tabla18[[#This Row],[Aux_01]],TablaSubAccionEspecifica[[#All],[Concat]:[Cod_Sub_acción_especifica]],2,0)</f>
        <v>#N/A</v>
      </c>
      <c r="E440" s="328" t="e">
        <f>Tabla18[[#This Row],[Bus_03]]&amp;"_"&amp;Tabla5[[#This Row],[Tipo de Agente
&lt;&lt; Seleccionar&gt;&gt;]]</f>
        <v>#N/A</v>
      </c>
      <c r="F440" s="328" t="e">
        <f>VLOOKUP(Tabla18[[#This Row],[Concat2]],TablaPOA[[#All],[Concat]:[ConcatEspecial]],3,0)</f>
        <v>#N/A</v>
      </c>
      <c r="G440" s="65" t="str">
        <f>CONCATENATE(Registro!$A$6,"_",Tabla5[[#This Row],[Zona (Provincia)
&lt;&lt; Seleccionar&gt;&gt;]])</f>
        <v>Huánuco_</v>
      </c>
      <c r="H440" s="60" t="e">
        <f>VLOOKUP(Tabla18[[#This Row],[Concatenado***]],Tabla2[[#All],[Concatenado]:[Simbología*]],2,0)</f>
        <v>#N/A</v>
      </c>
      <c r="I440" s="65" t="str">
        <f>CONCATENATE(Tabla18[[#This Row],[Concatenado***]],"_",Tabla5[[#This Row],[Zona (Distrito)
&lt;&lt; Seleccionar&gt;&gt;]])</f>
        <v>Huánuco__</v>
      </c>
      <c r="J4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0" s="72" t="e">
        <f>VLOOKUP(Tabla5[[#This Row],[Tipo de Transporte Empleado
&lt;&lt; Seleccionar&gt;&gt;]],Tabla8[#All],2,0)</f>
        <v>#N/A</v>
      </c>
      <c r="L440" s="71" t="e">
        <f>#REF!+(#REF!*2)+#REF!</f>
        <v>#REF!</v>
      </c>
    </row>
    <row r="441" spans="1:12" x14ac:dyDescent="0.25">
      <c r="A441" s="328" t="e">
        <f>VLOOKUP(Tabla5[[#This Row],[Acción
&lt;&lt; Seleccionar&gt;&gt;]],TablaAccion[[#All],[Nombre_Abreviado]:[Codigo_Plan_Acción]],3,0)</f>
        <v>#N/A</v>
      </c>
      <c r="B441" s="328" t="e">
        <f>VLOOKUP(Tabla5[[#This Row],[Acción Especifica
&lt;&lt; Seleccionar&gt;&gt;]],TablaAccionEspecifica[[#All],[Nombre_Abreviado]:[Codigo_Acción]],3,0)</f>
        <v>#N/A</v>
      </c>
      <c r="C441" s="328" t="e">
        <f>CONCATENATE(Tabla18[[#This Row],[Bus_02]],"_",Tabla5[[#This Row],[Sub Acción Específica
&lt;&lt; Seleccionar&gt;&gt;]])</f>
        <v>#N/A</v>
      </c>
      <c r="D441" s="328" t="e">
        <f>VLOOKUP(Tabla18[[#This Row],[Aux_01]],TablaSubAccionEspecifica[[#All],[Concat]:[Cod_Sub_acción_especifica]],2,0)</f>
        <v>#N/A</v>
      </c>
      <c r="E441" s="328" t="e">
        <f>Tabla18[[#This Row],[Bus_03]]&amp;"_"&amp;Tabla5[[#This Row],[Tipo de Agente
&lt;&lt; Seleccionar&gt;&gt;]]</f>
        <v>#N/A</v>
      </c>
      <c r="F441" s="328" t="e">
        <f>VLOOKUP(Tabla18[[#This Row],[Concat2]],TablaPOA[[#All],[Concat]:[ConcatEspecial]],3,0)</f>
        <v>#N/A</v>
      </c>
      <c r="G441" s="65" t="str">
        <f>CONCATENATE(Registro!$A$6,"_",Tabla5[[#This Row],[Zona (Provincia)
&lt;&lt; Seleccionar&gt;&gt;]])</f>
        <v>Huánuco_</v>
      </c>
      <c r="H441" s="60" t="e">
        <f>VLOOKUP(Tabla18[[#This Row],[Concatenado***]],Tabla2[[#All],[Concatenado]:[Simbología*]],2,0)</f>
        <v>#N/A</v>
      </c>
      <c r="I441" s="65" t="str">
        <f>CONCATENATE(Tabla18[[#This Row],[Concatenado***]],"_",Tabla5[[#This Row],[Zona (Distrito)
&lt;&lt; Seleccionar&gt;&gt;]])</f>
        <v>Huánuco__</v>
      </c>
      <c r="J4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1" s="72" t="e">
        <f>VLOOKUP(Tabla5[[#This Row],[Tipo de Transporte Empleado
&lt;&lt; Seleccionar&gt;&gt;]],Tabla8[#All],2,0)</f>
        <v>#N/A</v>
      </c>
      <c r="L441" s="71" t="e">
        <f>#REF!+(#REF!*2)+#REF!</f>
        <v>#REF!</v>
      </c>
    </row>
    <row r="442" spans="1:12" x14ac:dyDescent="0.25">
      <c r="A442" s="328" t="e">
        <f>VLOOKUP(Tabla5[[#This Row],[Acción
&lt;&lt; Seleccionar&gt;&gt;]],TablaAccion[[#All],[Nombre_Abreviado]:[Codigo_Plan_Acción]],3,0)</f>
        <v>#N/A</v>
      </c>
      <c r="B442" s="328" t="e">
        <f>VLOOKUP(Tabla5[[#This Row],[Acción Especifica
&lt;&lt; Seleccionar&gt;&gt;]],TablaAccionEspecifica[[#All],[Nombre_Abreviado]:[Codigo_Acción]],3,0)</f>
        <v>#N/A</v>
      </c>
      <c r="C442" s="328" t="e">
        <f>CONCATENATE(Tabla18[[#This Row],[Bus_02]],"_",Tabla5[[#This Row],[Sub Acción Específica
&lt;&lt; Seleccionar&gt;&gt;]])</f>
        <v>#N/A</v>
      </c>
      <c r="D442" s="328" t="e">
        <f>VLOOKUP(Tabla18[[#This Row],[Aux_01]],TablaSubAccionEspecifica[[#All],[Concat]:[Cod_Sub_acción_especifica]],2,0)</f>
        <v>#N/A</v>
      </c>
      <c r="E442" s="328" t="e">
        <f>Tabla18[[#This Row],[Bus_03]]&amp;"_"&amp;Tabla5[[#This Row],[Tipo de Agente
&lt;&lt; Seleccionar&gt;&gt;]]</f>
        <v>#N/A</v>
      </c>
      <c r="F442" s="328" t="e">
        <f>VLOOKUP(Tabla18[[#This Row],[Concat2]],TablaPOA[[#All],[Concat]:[ConcatEspecial]],3,0)</f>
        <v>#N/A</v>
      </c>
      <c r="G442" s="65" t="str">
        <f>CONCATENATE(Registro!$A$6,"_",Tabla5[[#This Row],[Zona (Provincia)
&lt;&lt; Seleccionar&gt;&gt;]])</f>
        <v>Huánuco_</v>
      </c>
      <c r="H442" s="60" t="e">
        <f>VLOOKUP(Tabla18[[#This Row],[Concatenado***]],Tabla2[[#All],[Concatenado]:[Simbología*]],2,0)</f>
        <v>#N/A</v>
      </c>
      <c r="I442" s="65" t="str">
        <f>CONCATENATE(Tabla18[[#This Row],[Concatenado***]],"_",Tabla5[[#This Row],[Zona (Distrito)
&lt;&lt; Seleccionar&gt;&gt;]])</f>
        <v>Huánuco__</v>
      </c>
      <c r="J4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2" s="72" t="e">
        <f>VLOOKUP(Tabla5[[#This Row],[Tipo de Transporte Empleado
&lt;&lt; Seleccionar&gt;&gt;]],Tabla8[#All],2,0)</f>
        <v>#N/A</v>
      </c>
      <c r="L442" s="71" t="e">
        <f>#REF!+(#REF!*2)+#REF!</f>
        <v>#REF!</v>
      </c>
    </row>
    <row r="443" spans="1:12" x14ac:dyDescent="0.25">
      <c r="A443" s="328" t="e">
        <f>VLOOKUP(Tabla5[[#This Row],[Acción
&lt;&lt; Seleccionar&gt;&gt;]],TablaAccion[[#All],[Nombre_Abreviado]:[Codigo_Plan_Acción]],3,0)</f>
        <v>#N/A</v>
      </c>
      <c r="B443" s="328" t="e">
        <f>VLOOKUP(Tabla5[[#This Row],[Acción Especifica
&lt;&lt; Seleccionar&gt;&gt;]],TablaAccionEspecifica[[#All],[Nombre_Abreviado]:[Codigo_Acción]],3,0)</f>
        <v>#N/A</v>
      </c>
      <c r="C443" s="328" t="e">
        <f>CONCATENATE(Tabla18[[#This Row],[Bus_02]],"_",Tabla5[[#This Row],[Sub Acción Específica
&lt;&lt; Seleccionar&gt;&gt;]])</f>
        <v>#N/A</v>
      </c>
      <c r="D443" s="328" t="e">
        <f>VLOOKUP(Tabla18[[#This Row],[Aux_01]],TablaSubAccionEspecifica[[#All],[Concat]:[Cod_Sub_acción_especifica]],2,0)</f>
        <v>#N/A</v>
      </c>
      <c r="E443" s="328" t="e">
        <f>Tabla18[[#This Row],[Bus_03]]&amp;"_"&amp;Tabla5[[#This Row],[Tipo de Agente
&lt;&lt; Seleccionar&gt;&gt;]]</f>
        <v>#N/A</v>
      </c>
      <c r="F443" s="328" t="e">
        <f>VLOOKUP(Tabla18[[#This Row],[Concat2]],TablaPOA[[#All],[Concat]:[ConcatEspecial]],3,0)</f>
        <v>#N/A</v>
      </c>
      <c r="G443" s="65" t="str">
        <f>CONCATENATE(Registro!$A$6,"_",Tabla5[[#This Row],[Zona (Provincia)
&lt;&lt; Seleccionar&gt;&gt;]])</f>
        <v>Huánuco_</v>
      </c>
      <c r="H443" s="60" t="e">
        <f>VLOOKUP(Tabla18[[#This Row],[Concatenado***]],Tabla2[[#All],[Concatenado]:[Simbología*]],2,0)</f>
        <v>#N/A</v>
      </c>
      <c r="I443" s="65" t="str">
        <f>CONCATENATE(Tabla18[[#This Row],[Concatenado***]],"_",Tabla5[[#This Row],[Zona (Distrito)
&lt;&lt; Seleccionar&gt;&gt;]])</f>
        <v>Huánuco__</v>
      </c>
      <c r="J4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3" s="72" t="e">
        <f>VLOOKUP(Tabla5[[#This Row],[Tipo de Transporte Empleado
&lt;&lt; Seleccionar&gt;&gt;]],Tabla8[#All],2,0)</f>
        <v>#N/A</v>
      </c>
      <c r="L443" s="71" t="e">
        <f>#REF!+(#REF!*2)+#REF!</f>
        <v>#REF!</v>
      </c>
    </row>
    <row r="444" spans="1:12" x14ac:dyDescent="0.25">
      <c r="A444" s="328" t="e">
        <f>VLOOKUP(Tabla5[[#This Row],[Acción
&lt;&lt; Seleccionar&gt;&gt;]],TablaAccion[[#All],[Nombre_Abreviado]:[Codigo_Plan_Acción]],3,0)</f>
        <v>#N/A</v>
      </c>
      <c r="B444" s="328" t="e">
        <f>VLOOKUP(Tabla5[[#This Row],[Acción Especifica
&lt;&lt; Seleccionar&gt;&gt;]],TablaAccionEspecifica[[#All],[Nombre_Abreviado]:[Codigo_Acción]],3,0)</f>
        <v>#N/A</v>
      </c>
      <c r="C444" s="328" t="e">
        <f>CONCATENATE(Tabla18[[#This Row],[Bus_02]],"_",Tabla5[[#This Row],[Sub Acción Específica
&lt;&lt; Seleccionar&gt;&gt;]])</f>
        <v>#N/A</v>
      </c>
      <c r="D444" s="328" t="e">
        <f>VLOOKUP(Tabla18[[#This Row],[Aux_01]],TablaSubAccionEspecifica[[#All],[Concat]:[Cod_Sub_acción_especifica]],2,0)</f>
        <v>#N/A</v>
      </c>
      <c r="E444" s="328" t="e">
        <f>Tabla18[[#This Row],[Bus_03]]&amp;"_"&amp;Tabla5[[#This Row],[Tipo de Agente
&lt;&lt; Seleccionar&gt;&gt;]]</f>
        <v>#N/A</v>
      </c>
      <c r="F444" s="328" t="e">
        <f>VLOOKUP(Tabla18[[#This Row],[Concat2]],TablaPOA[[#All],[Concat]:[ConcatEspecial]],3,0)</f>
        <v>#N/A</v>
      </c>
      <c r="G444" s="65" t="str">
        <f>CONCATENATE(Registro!$A$6,"_",Tabla5[[#This Row],[Zona (Provincia)
&lt;&lt; Seleccionar&gt;&gt;]])</f>
        <v>Huánuco_</v>
      </c>
      <c r="H444" s="60" t="e">
        <f>VLOOKUP(Tabla18[[#This Row],[Concatenado***]],Tabla2[[#All],[Concatenado]:[Simbología*]],2,0)</f>
        <v>#N/A</v>
      </c>
      <c r="I444" s="65" t="str">
        <f>CONCATENATE(Tabla18[[#This Row],[Concatenado***]],"_",Tabla5[[#This Row],[Zona (Distrito)
&lt;&lt; Seleccionar&gt;&gt;]])</f>
        <v>Huánuco__</v>
      </c>
      <c r="J4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4" s="72" t="e">
        <f>VLOOKUP(Tabla5[[#This Row],[Tipo de Transporte Empleado
&lt;&lt; Seleccionar&gt;&gt;]],Tabla8[#All],2,0)</f>
        <v>#N/A</v>
      </c>
      <c r="L444" s="71" t="e">
        <f>#REF!+(#REF!*2)+#REF!</f>
        <v>#REF!</v>
      </c>
    </row>
    <row r="445" spans="1:12" x14ac:dyDescent="0.25">
      <c r="A445" s="328" t="e">
        <f>VLOOKUP(Tabla5[[#This Row],[Acción
&lt;&lt; Seleccionar&gt;&gt;]],TablaAccion[[#All],[Nombre_Abreviado]:[Codigo_Plan_Acción]],3,0)</f>
        <v>#N/A</v>
      </c>
      <c r="B445" s="328" t="e">
        <f>VLOOKUP(Tabla5[[#This Row],[Acción Especifica
&lt;&lt; Seleccionar&gt;&gt;]],TablaAccionEspecifica[[#All],[Nombre_Abreviado]:[Codigo_Acción]],3,0)</f>
        <v>#N/A</v>
      </c>
      <c r="C445" s="328" t="e">
        <f>CONCATENATE(Tabla18[[#This Row],[Bus_02]],"_",Tabla5[[#This Row],[Sub Acción Específica
&lt;&lt; Seleccionar&gt;&gt;]])</f>
        <v>#N/A</v>
      </c>
      <c r="D445" s="328" t="e">
        <f>VLOOKUP(Tabla18[[#This Row],[Aux_01]],TablaSubAccionEspecifica[[#All],[Concat]:[Cod_Sub_acción_especifica]],2,0)</f>
        <v>#N/A</v>
      </c>
      <c r="E445" s="328" t="e">
        <f>Tabla18[[#This Row],[Bus_03]]&amp;"_"&amp;Tabla5[[#This Row],[Tipo de Agente
&lt;&lt; Seleccionar&gt;&gt;]]</f>
        <v>#N/A</v>
      </c>
      <c r="F445" s="328" t="e">
        <f>VLOOKUP(Tabla18[[#This Row],[Concat2]],TablaPOA[[#All],[Concat]:[ConcatEspecial]],3,0)</f>
        <v>#N/A</v>
      </c>
      <c r="G445" s="65" t="str">
        <f>CONCATENATE(Registro!$A$6,"_",Tabla5[[#This Row],[Zona (Provincia)
&lt;&lt; Seleccionar&gt;&gt;]])</f>
        <v>Huánuco_</v>
      </c>
      <c r="H445" s="60" t="e">
        <f>VLOOKUP(Tabla18[[#This Row],[Concatenado***]],Tabla2[[#All],[Concatenado]:[Simbología*]],2,0)</f>
        <v>#N/A</v>
      </c>
      <c r="I445" s="65" t="str">
        <f>CONCATENATE(Tabla18[[#This Row],[Concatenado***]],"_",Tabla5[[#This Row],[Zona (Distrito)
&lt;&lt; Seleccionar&gt;&gt;]])</f>
        <v>Huánuco__</v>
      </c>
      <c r="J4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5" s="72" t="e">
        <f>VLOOKUP(Tabla5[[#This Row],[Tipo de Transporte Empleado
&lt;&lt; Seleccionar&gt;&gt;]],Tabla8[#All],2,0)</f>
        <v>#N/A</v>
      </c>
      <c r="L445" s="71" t="e">
        <f>#REF!+(#REF!*2)+#REF!</f>
        <v>#REF!</v>
      </c>
    </row>
    <row r="446" spans="1:12" x14ac:dyDescent="0.25">
      <c r="A446" s="328" t="e">
        <f>VLOOKUP(Tabla5[[#This Row],[Acción
&lt;&lt; Seleccionar&gt;&gt;]],TablaAccion[[#All],[Nombre_Abreviado]:[Codigo_Plan_Acción]],3,0)</f>
        <v>#N/A</v>
      </c>
      <c r="B446" s="328" t="e">
        <f>VLOOKUP(Tabla5[[#This Row],[Acción Especifica
&lt;&lt; Seleccionar&gt;&gt;]],TablaAccionEspecifica[[#All],[Nombre_Abreviado]:[Codigo_Acción]],3,0)</f>
        <v>#N/A</v>
      </c>
      <c r="C446" s="328" t="e">
        <f>CONCATENATE(Tabla18[[#This Row],[Bus_02]],"_",Tabla5[[#This Row],[Sub Acción Específica
&lt;&lt; Seleccionar&gt;&gt;]])</f>
        <v>#N/A</v>
      </c>
      <c r="D446" s="328" t="e">
        <f>VLOOKUP(Tabla18[[#This Row],[Aux_01]],TablaSubAccionEspecifica[[#All],[Concat]:[Cod_Sub_acción_especifica]],2,0)</f>
        <v>#N/A</v>
      </c>
      <c r="E446" s="328" t="e">
        <f>Tabla18[[#This Row],[Bus_03]]&amp;"_"&amp;Tabla5[[#This Row],[Tipo de Agente
&lt;&lt; Seleccionar&gt;&gt;]]</f>
        <v>#N/A</v>
      </c>
      <c r="F446" s="328" t="e">
        <f>VLOOKUP(Tabla18[[#This Row],[Concat2]],TablaPOA[[#All],[Concat]:[ConcatEspecial]],3,0)</f>
        <v>#N/A</v>
      </c>
      <c r="G446" s="65" t="str">
        <f>CONCATENATE(Registro!$A$6,"_",Tabla5[[#This Row],[Zona (Provincia)
&lt;&lt; Seleccionar&gt;&gt;]])</f>
        <v>Huánuco_</v>
      </c>
      <c r="H446" s="60" t="e">
        <f>VLOOKUP(Tabla18[[#This Row],[Concatenado***]],Tabla2[[#All],[Concatenado]:[Simbología*]],2,0)</f>
        <v>#N/A</v>
      </c>
      <c r="I446" s="65" t="str">
        <f>CONCATENATE(Tabla18[[#This Row],[Concatenado***]],"_",Tabla5[[#This Row],[Zona (Distrito)
&lt;&lt; Seleccionar&gt;&gt;]])</f>
        <v>Huánuco__</v>
      </c>
      <c r="J4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6" s="72" t="e">
        <f>VLOOKUP(Tabla5[[#This Row],[Tipo de Transporte Empleado
&lt;&lt; Seleccionar&gt;&gt;]],Tabla8[#All],2,0)</f>
        <v>#N/A</v>
      </c>
      <c r="L446" s="71" t="e">
        <f>#REF!+(#REF!*2)+#REF!</f>
        <v>#REF!</v>
      </c>
    </row>
    <row r="447" spans="1:12" x14ac:dyDescent="0.25">
      <c r="A447" s="328" t="e">
        <f>VLOOKUP(Tabla5[[#This Row],[Acción
&lt;&lt; Seleccionar&gt;&gt;]],TablaAccion[[#All],[Nombre_Abreviado]:[Codigo_Plan_Acción]],3,0)</f>
        <v>#N/A</v>
      </c>
      <c r="B447" s="328" t="e">
        <f>VLOOKUP(Tabla5[[#This Row],[Acción Especifica
&lt;&lt; Seleccionar&gt;&gt;]],TablaAccionEspecifica[[#All],[Nombre_Abreviado]:[Codigo_Acción]],3,0)</f>
        <v>#N/A</v>
      </c>
      <c r="C447" s="328" t="e">
        <f>CONCATENATE(Tabla18[[#This Row],[Bus_02]],"_",Tabla5[[#This Row],[Sub Acción Específica
&lt;&lt; Seleccionar&gt;&gt;]])</f>
        <v>#N/A</v>
      </c>
      <c r="D447" s="328" t="e">
        <f>VLOOKUP(Tabla18[[#This Row],[Aux_01]],TablaSubAccionEspecifica[[#All],[Concat]:[Cod_Sub_acción_especifica]],2,0)</f>
        <v>#N/A</v>
      </c>
      <c r="E447" s="328" t="e">
        <f>Tabla18[[#This Row],[Bus_03]]&amp;"_"&amp;Tabla5[[#This Row],[Tipo de Agente
&lt;&lt; Seleccionar&gt;&gt;]]</f>
        <v>#N/A</v>
      </c>
      <c r="F447" s="328" t="e">
        <f>VLOOKUP(Tabla18[[#This Row],[Concat2]],TablaPOA[[#All],[Concat]:[ConcatEspecial]],3,0)</f>
        <v>#N/A</v>
      </c>
      <c r="G447" s="65" t="str">
        <f>CONCATENATE(Registro!$A$6,"_",Tabla5[[#This Row],[Zona (Provincia)
&lt;&lt; Seleccionar&gt;&gt;]])</f>
        <v>Huánuco_</v>
      </c>
      <c r="H447" s="60" t="e">
        <f>VLOOKUP(Tabla18[[#This Row],[Concatenado***]],Tabla2[[#All],[Concatenado]:[Simbología*]],2,0)</f>
        <v>#N/A</v>
      </c>
      <c r="I447" s="65" t="str">
        <f>CONCATENATE(Tabla18[[#This Row],[Concatenado***]],"_",Tabla5[[#This Row],[Zona (Distrito)
&lt;&lt; Seleccionar&gt;&gt;]])</f>
        <v>Huánuco__</v>
      </c>
      <c r="J4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7" s="72" t="e">
        <f>VLOOKUP(Tabla5[[#This Row],[Tipo de Transporte Empleado
&lt;&lt; Seleccionar&gt;&gt;]],Tabla8[#All],2,0)</f>
        <v>#N/A</v>
      </c>
      <c r="L447" s="71" t="e">
        <f>#REF!+(#REF!*2)+#REF!</f>
        <v>#REF!</v>
      </c>
    </row>
    <row r="448" spans="1:12" x14ac:dyDescent="0.25">
      <c r="A448" s="328" t="e">
        <f>VLOOKUP(Tabla5[[#This Row],[Acción
&lt;&lt; Seleccionar&gt;&gt;]],TablaAccion[[#All],[Nombre_Abreviado]:[Codigo_Plan_Acción]],3,0)</f>
        <v>#N/A</v>
      </c>
      <c r="B448" s="328" t="e">
        <f>VLOOKUP(Tabla5[[#This Row],[Acción Especifica
&lt;&lt; Seleccionar&gt;&gt;]],TablaAccionEspecifica[[#All],[Nombre_Abreviado]:[Codigo_Acción]],3,0)</f>
        <v>#N/A</v>
      </c>
      <c r="C448" s="328" t="e">
        <f>CONCATENATE(Tabla18[[#This Row],[Bus_02]],"_",Tabla5[[#This Row],[Sub Acción Específica
&lt;&lt; Seleccionar&gt;&gt;]])</f>
        <v>#N/A</v>
      </c>
      <c r="D448" s="328" t="e">
        <f>VLOOKUP(Tabla18[[#This Row],[Aux_01]],TablaSubAccionEspecifica[[#All],[Concat]:[Cod_Sub_acción_especifica]],2,0)</f>
        <v>#N/A</v>
      </c>
      <c r="E448" s="328" t="e">
        <f>Tabla18[[#This Row],[Bus_03]]&amp;"_"&amp;Tabla5[[#This Row],[Tipo de Agente
&lt;&lt; Seleccionar&gt;&gt;]]</f>
        <v>#N/A</v>
      </c>
      <c r="F448" s="328" t="e">
        <f>VLOOKUP(Tabla18[[#This Row],[Concat2]],TablaPOA[[#All],[Concat]:[ConcatEspecial]],3,0)</f>
        <v>#N/A</v>
      </c>
      <c r="G448" s="65" t="str">
        <f>CONCATENATE(Registro!$A$6,"_",Tabla5[[#This Row],[Zona (Provincia)
&lt;&lt; Seleccionar&gt;&gt;]])</f>
        <v>Huánuco_</v>
      </c>
      <c r="H448" s="60" t="e">
        <f>VLOOKUP(Tabla18[[#This Row],[Concatenado***]],Tabla2[[#All],[Concatenado]:[Simbología*]],2,0)</f>
        <v>#N/A</v>
      </c>
      <c r="I448" s="65" t="str">
        <f>CONCATENATE(Tabla18[[#This Row],[Concatenado***]],"_",Tabla5[[#This Row],[Zona (Distrito)
&lt;&lt; Seleccionar&gt;&gt;]])</f>
        <v>Huánuco__</v>
      </c>
      <c r="J4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8" s="72" t="e">
        <f>VLOOKUP(Tabla5[[#This Row],[Tipo de Transporte Empleado
&lt;&lt; Seleccionar&gt;&gt;]],Tabla8[#All],2,0)</f>
        <v>#N/A</v>
      </c>
      <c r="L448" s="71" t="e">
        <f>#REF!+(#REF!*2)+#REF!</f>
        <v>#REF!</v>
      </c>
    </row>
    <row r="449" spans="1:12" x14ac:dyDescent="0.25">
      <c r="A449" s="328" t="e">
        <f>VLOOKUP(Tabla5[[#This Row],[Acción
&lt;&lt; Seleccionar&gt;&gt;]],TablaAccion[[#All],[Nombre_Abreviado]:[Codigo_Plan_Acción]],3,0)</f>
        <v>#N/A</v>
      </c>
      <c r="B449" s="328" t="e">
        <f>VLOOKUP(Tabla5[[#This Row],[Acción Especifica
&lt;&lt; Seleccionar&gt;&gt;]],TablaAccionEspecifica[[#All],[Nombre_Abreviado]:[Codigo_Acción]],3,0)</f>
        <v>#N/A</v>
      </c>
      <c r="C449" s="328" t="e">
        <f>CONCATENATE(Tabla18[[#This Row],[Bus_02]],"_",Tabla5[[#This Row],[Sub Acción Específica
&lt;&lt; Seleccionar&gt;&gt;]])</f>
        <v>#N/A</v>
      </c>
      <c r="D449" s="328" t="e">
        <f>VLOOKUP(Tabla18[[#This Row],[Aux_01]],TablaSubAccionEspecifica[[#All],[Concat]:[Cod_Sub_acción_especifica]],2,0)</f>
        <v>#N/A</v>
      </c>
      <c r="E449" s="328" t="e">
        <f>Tabla18[[#This Row],[Bus_03]]&amp;"_"&amp;Tabla5[[#This Row],[Tipo de Agente
&lt;&lt; Seleccionar&gt;&gt;]]</f>
        <v>#N/A</v>
      </c>
      <c r="F449" s="328" t="e">
        <f>VLOOKUP(Tabla18[[#This Row],[Concat2]],TablaPOA[[#All],[Concat]:[ConcatEspecial]],3,0)</f>
        <v>#N/A</v>
      </c>
      <c r="G449" s="65" t="str">
        <f>CONCATENATE(Registro!$A$6,"_",Tabla5[[#This Row],[Zona (Provincia)
&lt;&lt; Seleccionar&gt;&gt;]])</f>
        <v>Huánuco_</v>
      </c>
      <c r="H449" s="60" t="e">
        <f>VLOOKUP(Tabla18[[#This Row],[Concatenado***]],Tabla2[[#All],[Concatenado]:[Simbología*]],2,0)</f>
        <v>#N/A</v>
      </c>
      <c r="I449" s="65" t="str">
        <f>CONCATENATE(Tabla18[[#This Row],[Concatenado***]],"_",Tabla5[[#This Row],[Zona (Distrito)
&lt;&lt; Seleccionar&gt;&gt;]])</f>
        <v>Huánuco__</v>
      </c>
      <c r="J4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9" s="72" t="e">
        <f>VLOOKUP(Tabla5[[#This Row],[Tipo de Transporte Empleado
&lt;&lt; Seleccionar&gt;&gt;]],Tabla8[#All],2,0)</f>
        <v>#N/A</v>
      </c>
      <c r="L449" s="71" t="e">
        <f>#REF!+(#REF!*2)+#REF!</f>
        <v>#REF!</v>
      </c>
    </row>
    <row r="450" spans="1:12" x14ac:dyDescent="0.25">
      <c r="A450" s="328" t="e">
        <f>VLOOKUP(Tabla5[[#This Row],[Acción
&lt;&lt; Seleccionar&gt;&gt;]],TablaAccion[[#All],[Nombre_Abreviado]:[Codigo_Plan_Acción]],3,0)</f>
        <v>#N/A</v>
      </c>
      <c r="B450" s="328" t="e">
        <f>VLOOKUP(Tabla5[[#This Row],[Acción Especifica
&lt;&lt; Seleccionar&gt;&gt;]],TablaAccionEspecifica[[#All],[Nombre_Abreviado]:[Codigo_Acción]],3,0)</f>
        <v>#N/A</v>
      </c>
      <c r="C450" s="328" t="e">
        <f>CONCATENATE(Tabla18[[#This Row],[Bus_02]],"_",Tabla5[[#This Row],[Sub Acción Específica
&lt;&lt; Seleccionar&gt;&gt;]])</f>
        <v>#N/A</v>
      </c>
      <c r="D450" s="328" t="e">
        <f>VLOOKUP(Tabla18[[#This Row],[Aux_01]],TablaSubAccionEspecifica[[#All],[Concat]:[Cod_Sub_acción_especifica]],2,0)</f>
        <v>#N/A</v>
      </c>
      <c r="E450" s="328" t="e">
        <f>Tabla18[[#This Row],[Bus_03]]&amp;"_"&amp;Tabla5[[#This Row],[Tipo de Agente
&lt;&lt; Seleccionar&gt;&gt;]]</f>
        <v>#N/A</v>
      </c>
      <c r="F450" s="328" t="e">
        <f>VLOOKUP(Tabla18[[#This Row],[Concat2]],TablaPOA[[#All],[Concat]:[ConcatEspecial]],3,0)</f>
        <v>#N/A</v>
      </c>
      <c r="G450" s="65" t="str">
        <f>CONCATENATE(Registro!$A$6,"_",Tabla5[[#This Row],[Zona (Provincia)
&lt;&lt; Seleccionar&gt;&gt;]])</f>
        <v>Huánuco_</v>
      </c>
      <c r="H450" s="60" t="e">
        <f>VLOOKUP(Tabla18[[#This Row],[Concatenado***]],Tabla2[[#All],[Concatenado]:[Simbología*]],2,0)</f>
        <v>#N/A</v>
      </c>
      <c r="I450" s="65" t="str">
        <f>CONCATENATE(Tabla18[[#This Row],[Concatenado***]],"_",Tabla5[[#This Row],[Zona (Distrito)
&lt;&lt; Seleccionar&gt;&gt;]])</f>
        <v>Huánuco__</v>
      </c>
      <c r="J4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0" s="72" t="e">
        <f>VLOOKUP(Tabla5[[#This Row],[Tipo de Transporte Empleado
&lt;&lt; Seleccionar&gt;&gt;]],Tabla8[#All],2,0)</f>
        <v>#N/A</v>
      </c>
      <c r="L450" s="71" t="e">
        <f>#REF!+(#REF!*2)+#REF!</f>
        <v>#REF!</v>
      </c>
    </row>
    <row r="451" spans="1:12" x14ac:dyDescent="0.25">
      <c r="A451" s="328" t="e">
        <f>VLOOKUP(Tabla5[[#This Row],[Acción
&lt;&lt; Seleccionar&gt;&gt;]],TablaAccion[[#All],[Nombre_Abreviado]:[Codigo_Plan_Acción]],3,0)</f>
        <v>#N/A</v>
      </c>
      <c r="B451" s="328" t="e">
        <f>VLOOKUP(Tabla5[[#This Row],[Acción Especifica
&lt;&lt; Seleccionar&gt;&gt;]],TablaAccionEspecifica[[#All],[Nombre_Abreviado]:[Codigo_Acción]],3,0)</f>
        <v>#N/A</v>
      </c>
      <c r="C451" s="328" t="e">
        <f>CONCATENATE(Tabla18[[#This Row],[Bus_02]],"_",Tabla5[[#This Row],[Sub Acción Específica
&lt;&lt; Seleccionar&gt;&gt;]])</f>
        <v>#N/A</v>
      </c>
      <c r="D451" s="328" t="e">
        <f>VLOOKUP(Tabla18[[#This Row],[Aux_01]],TablaSubAccionEspecifica[[#All],[Concat]:[Cod_Sub_acción_especifica]],2,0)</f>
        <v>#N/A</v>
      </c>
      <c r="E451" s="328" t="e">
        <f>Tabla18[[#This Row],[Bus_03]]&amp;"_"&amp;Tabla5[[#This Row],[Tipo de Agente
&lt;&lt; Seleccionar&gt;&gt;]]</f>
        <v>#N/A</v>
      </c>
      <c r="F451" s="328" t="e">
        <f>VLOOKUP(Tabla18[[#This Row],[Concat2]],TablaPOA[[#All],[Concat]:[ConcatEspecial]],3,0)</f>
        <v>#N/A</v>
      </c>
      <c r="G451" s="65" t="str">
        <f>CONCATENATE(Registro!$A$6,"_",Tabla5[[#This Row],[Zona (Provincia)
&lt;&lt; Seleccionar&gt;&gt;]])</f>
        <v>Huánuco_</v>
      </c>
      <c r="H451" s="60" t="e">
        <f>VLOOKUP(Tabla18[[#This Row],[Concatenado***]],Tabla2[[#All],[Concatenado]:[Simbología*]],2,0)</f>
        <v>#N/A</v>
      </c>
      <c r="I451" s="65" t="str">
        <f>CONCATENATE(Tabla18[[#This Row],[Concatenado***]],"_",Tabla5[[#This Row],[Zona (Distrito)
&lt;&lt; Seleccionar&gt;&gt;]])</f>
        <v>Huánuco__</v>
      </c>
      <c r="J4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1" s="72" t="e">
        <f>VLOOKUP(Tabla5[[#This Row],[Tipo de Transporte Empleado
&lt;&lt; Seleccionar&gt;&gt;]],Tabla8[#All],2,0)</f>
        <v>#N/A</v>
      </c>
      <c r="L451" s="71" t="e">
        <f>#REF!+(#REF!*2)+#REF!</f>
        <v>#REF!</v>
      </c>
    </row>
    <row r="452" spans="1:12" x14ac:dyDescent="0.25">
      <c r="A452" s="328" t="e">
        <f>VLOOKUP(Tabla5[[#This Row],[Acción
&lt;&lt; Seleccionar&gt;&gt;]],TablaAccion[[#All],[Nombre_Abreviado]:[Codigo_Plan_Acción]],3,0)</f>
        <v>#N/A</v>
      </c>
      <c r="B452" s="328" t="e">
        <f>VLOOKUP(Tabla5[[#This Row],[Acción Especifica
&lt;&lt; Seleccionar&gt;&gt;]],TablaAccionEspecifica[[#All],[Nombre_Abreviado]:[Codigo_Acción]],3,0)</f>
        <v>#N/A</v>
      </c>
      <c r="C452" s="328" t="e">
        <f>CONCATENATE(Tabla18[[#This Row],[Bus_02]],"_",Tabla5[[#This Row],[Sub Acción Específica
&lt;&lt; Seleccionar&gt;&gt;]])</f>
        <v>#N/A</v>
      </c>
      <c r="D452" s="328" t="e">
        <f>VLOOKUP(Tabla18[[#This Row],[Aux_01]],TablaSubAccionEspecifica[[#All],[Concat]:[Cod_Sub_acción_especifica]],2,0)</f>
        <v>#N/A</v>
      </c>
      <c r="E452" s="328" t="e">
        <f>Tabla18[[#This Row],[Bus_03]]&amp;"_"&amp;Tabla5[[#This Row],[Tipo de Agente
&lt;&lt; Seleccionar&gt;&gt;]]</f>
        <v>#N/A</v>
      </c>
      <c r="F452" s="328" t="e">
        <f>VLOOKUP(Tabla18[[#This Row],[Concat2]],TablaPOA[[#All],[Concat]:[ConcatEspecial]],3,0)</f>
        <v>#N/A</v>
      </c>
      <c r="G452" s="65" t="str">
        <f>CONCATENATE(Registro!$A$6,"_",Tabla5[[#This Row],[Zona (Provincia)
&lt;&lt; Seleccionar&gt;&gt;]])</f>
        <v>Huánuco_</v>
      </c>
      <c r="H452" s="60" t="e">
        <f>VLOOKUP(Tabla18[[#This Row],[Concatenado***]],Tabla2[[#All],[Concatenado]:[Simbología*]],2,0)</f>
        <v>#N/A</v>
      </c>
      <c r="I452" s="65" t="str">
        <f>CONCATENATE(Tabla18[[#This Row],[Concatenado***]],"_",Tabla5[[#This Row],[Zona (Distrito)
&lt;&lt; Seleccionar&gt;&gt;]])</f>
        <v>Huánuco__</v>
      </c>
      <c r="J4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2" s="72" t="e">
        <f>VLOOKUP(Tabla5[[#This Row],[Tipo de Transporte Empleado
&lt;&lt; Seleccionar&gt;&gt;]],Tabla8[#All],2,0)</f>
        <v>#N/A</v>
      </c>
      <c r="L452" s="71" t="e">
        <f>#REF!+(#REF!*2)+#REF!</f>
        <v>#REF!</v>
      </c>
    </row>
    <row r="453" spans="1:12" x14ac:dyDescent="0.25">
      <c r="A453" s="328" t="e">
        <f>VLOOKUP(Tabla5[[#This Row],[Acción
&lt;&lt; Seleccionar&gt;&gt;]],TablaAccion[[#All],[Nombre_Abreviado]:[Codigo_Plan_Acción]],3,0)</f>
        <v>#N/A</v>
      </c>
      <c r="B453" s="328" t="e">
        <f>VLOOKUP(Tabla5[[#This Row],[Acción Especifica
&lt;&lt; Seleccionar&gt;&gt;]],TablaAccionEspecifica[[#All],[Nombre_Abreviado]:[Codigo_Acción]],3,0)</f>
        <v>#N/A</v>
      </c>
      <c r="C453" s="328" t="e">
        <f>CONCATENATE(Tabla18[[#This Row],[Bus_02]],"_",Tabla5[[#This Row],[Sub Acción Específica
&lt;&lt; Seleccionar&gt;&gt;]])</f>
        <v>#N/A</v>
      </c>
      <c r="D453" s="328" t="e">
        <f>VLOOKUP(Tabla18[[#This Row],[Aux_01]],TablaSubAccionEspecifica[[#All],[Concat]:[Cod_Sub_acción_especifica]],2,0)</f>
        <v>#N/A</v>
      </c>
      <c r="E453" s="328" t="e">
        <f>Tabla18[[#This Row],[Bus_03]]&amp;"_"&amp;Tabla5[[#This Row],[Tipo de Agente
&lt;&lt; Seleccionar&gt;&gt;]]</f>
        <v>#N/A</v>
      </c>
      <c r="F453" s="328" t="e">
        <f>VLOOKUP(Tabla18[[#This Row],[Concat2]],TablaPOA[[#All],[Concat]:[ConcatEspecial]],3,0)</f>
        <v>#N/A</v>
      </c>
      <c r="G453" s="65" t="str">
        <f>CONCATENATE(Registro!$A$6,"_",Tabla5[[#This Row],[Zona (Provincia)
&lt;&lt; Seleccionar&gt;&gt;]])</f>
        <v>Huánuco_</v>
      </c>
      <c r="H453" s="60" t="e">
        <f>VLOOKUP(Tabla18[[#This Row],[Concatenado***]],Tabla2[[#All],[Concatenado]:[Simbología*]],2,0)</f>
        <v>#N/A</v>
      </c>
      <c r="I453" s="65" t="str">
        <f>CONCATENATE(Tabla18[[#This Row],[Concatenado***]],"_",Tabla5[[#This Row],[Zona (Distrito)
&lt;&lt; Seleccionar&gt;&gt;]])</f>
        <v>Huánuco__</v>
      </c>
      <c r="J4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3" s="72" t="e">
        <f>VLOOKUP(Tabla5[[#This Row],[Tipo de Transporte Empleado
&lt;&lt; Seleccionar&gt;&gt;]],Tabla8[#All],2,0)</f>
        <v>#N/A</v>
      </c>
      <c r="L453" s="71" t="e">
        <f>#REF!+(#REF!*2)+#REF!</f>
        <v>#REF!</v>
      </c>
    </row>
    <row r="454" spans="1:12" x14ac:dyDescent="0.25">
      <c r="A454" s="328" t="e">
        <f>VLOOKUP(Tabla5[[#This Row],[Acción
&lt;&lt; Seleccionar&gt;&gt;]],TablaAccion[[#All],[Nombre_Abreviado]:[Codigo_Plan_Acción]],3,0)</f>
        <v>#N/A</v>
      </c>
      <c r="B454" s="328" t="e">
        <f>VLOOKUP(Tabla5[[#This Row],[Acción Especifica
&lt;&lt; Seleccionar&gt;&gt;]],TablaAccionEspecifica[[#All],[Nombre_Abreviado]:[Codigo_Acción]],3,0)</f>
        <v>#N/A</v>
      </c>
      <c r="C454" s="328" t="e">
        <f>CONCATENATE(Tabla18[[#This Row],[Bus_02]],"_",Tabla5[[#This Row],[Sub Acción Específica
&lt;&lt; Seleccionar&gt;&gt;]])</f>
        <v>#N/A</v>
      </c>
      <c r="D454" s="328" t="e">
        <f>VLOOKUP(Tabla18[[#This Row],[Aux_01]],TablaSubAccionEspecifica[[#All],[Concat]:[Cod_Sub_acción_especifica]],2,0)</f>
        <v>#N/A</v>
      </c>
      <c r="E454" s="328" t="e">
        <f>Tabla18[[#This Row],[Bus_03]]&amp;"_"&amp;Tabla5[[#This Row],[Tipo de Agente
&lt;&lt; Seleccionar&gt;&gt;]]</f>
        <v>#N/A</v>
      </c>
      <c r="F454" s="328" t="e">
        <f>VLOOKUP(Tabla18[[#This Row],[Concat2]],TablaPOA[[#All],[Concat]:[ConcatEspecial]],3,0)</f>
        <v>#N/A</v>
      </c>
      <c r="G454" s="65" t="str">
        <f>CONCATENATE(Registro!$A$6,"_",Tabla5[[#This Row],[Zona (Provincia)
&lt;&lt; Seleccionar&gt;&gt;]])</f>
        <v>Huánuco_</v>
      </c>
      <c r="H454" s="60" t="e">
        <f>VLOOKUP(Tabla18[[#This Row],[Concatenado***]],Tabla2[[#All],[Concatenado]:[Simbología*]],2,0)</f>
        <v>#N/A</v>
      </c>
      <c r="I454" s="65" t="str">
        <f>CONCATENATE(Tabla18[[#This Row],[Concatenado***]],"_",Tabla5[[#This Row],[Zona (Distrito)
&lt;&lt; Seleccionar&gt;&gt;]])</f>
        <v>Huánuco__</v>
      </c>
      <c r="J4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4" s="72" t="e">
        <f>VLOOKUP(Tabla5[[#This Row],[Tipo de Transporte Empleado
&lt;&lt; Seleccionar&gt;&gt;]],Tabla8[#All],2,0)</f>
        <v>#N/A</v>
      </c>
      <c r="L454" s="71" t="e">
        <f>#REF!+(#REF!*2)+#REF!</f>
        <v>#REF!</v>
      </c>
    </row>
    <row r="455" spans="1:12" x14ac:dyDescent="0.25">
      <c r="A455" s="328" t="e">
        <f>VLOOKUP(Tabla5[[#This Row],[Acción
&lt;&lt; Seleccionar&gt;&gt;]],TablaAccion[[#All],[Nombre_Abreviado]:[Codigo_Plan_Acción]],3,0)</f>
        <v>#N/A</v>
      </c>
      <c r="B455" s="328" t="e">
        <f>VLOOKUP(Tabla5[[#This Row],[Acción Especifica
&lt;&lt; Seleccionar&gt;&gt;]],TablaAccionEspecifica[[#All],[Nombre_Abreviado]:[Codigo_Acción]],3,0)</f>
        <v>#N/A</v>
      </c>
      <c r="C455" s="328" t="e">
        <f>CONCATENATE(Tabla18[[#This Row],[Bus_02]],"_",Tabla5[[#This Row],[Sub Acción Específica
&lt;&lt; Seleccionar&gt;&gt;]])</f>
        <v>#N/A</v>
      </c>
      <c r="D455" s="328" t="e">
        <f>VLOOKUP(Tabla18[[#This Row],[Aux_01]],TablaSubAccionEspecifica[[#All],[Concat]:[Cod_Sub_acción_especifica]],2,0)</f>
        <v>#N/A</v>
      </c>
      <c r="E455" s="328" t="e">
        <f>Tabla18[[#This Row],[Bus_03]]&amp;"_"&amp;Tabla5[[#This Row],[Tipo de Agente
&lt;&lt; Seleccionar&gt;&gt;]]</f>
        <v>#N/A</v>
      </c>
      <c r="F455" s="328" t="e">
        <f>VLOOKUP(Tabla18[[#This Row],[Concat2]],TablaPOA[[#All],[Concat]:[ConcatEspecial]],3,0)</f>
        <v>#N/A</v>
      </c>
      <c r="G455" s="65" t="str">
        <f>CONCATENATE(Registro!$A$6,"_",Tabla5[[#This Row],[Zona (Provincia)
&lt;&lt; Seleccionar&gt;&gt;]])</f>
        <v>Huánuco_</v>
      </c>
      <c r="H455" s="60" t="e">
        <f>VLOOKUP(Tabla18[[#This Row],[Concatenado***]],Tabla2[[#All],[Concatenado]:[Simbología*]],2,0)</f>
        <v>#N/A</v>
      </c>
      <c r="I455" s="65" t="str">
        <f>CONCATENATE(Tabla18[[#This Row],[Concatenado***]],"_",Tabla5[[#This Row],[Zona (Distrito)
&lt;&lt; Seleccionar&gt;&gt;]])</f>
        <v>Huánuco__</v>
      </c>
      <c r="J4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5" s="72" t="e">
        <f>VLOOKUP(Tabla5[[#This Row],[Tipo de Transporte Empleado
&lt;&lt; Seleccionar&gt;&gt;]],Tabla8[#All],2,0)</f>
        <v>#N/A</v>
      </c>
      <c r="L455" s="71" t="e">
        <f>#REF!+(#REF!*2)+#REF!</f>
        <v>#REF!</v>
      </c>
    </row>
    <row r="456" spans="1:12" x14ac:dyDescent="0.25">
      <c r="A456" s="328" t="e">
        <f>VLOOKUP(Tabla5[[#This Row],[Acción
&lt;&lt; Seleccionar&gt;&gt;]],TablaAccion[[#All],[Nombre_Abreviado]:[Codigo_Plan_Acción]],3,0)</f>
        <v>#N/A</v>
      </c>
      <c r="B456" s="328" t="e">
        <f>VLOOKUP(Tabla5[[#This Row],[Acción Especifica
&lt;&lt; Seleccionar&gt;&gt;]],TablaAccionEspecifica[[#All],[Nombre_Abreviado]:[Codigo_Acción]],3,0)</f>
        <v>#N/A</v>
      </c>
      <c r="C456" s="328" t="e">
        <f>CONCATENATE(Tabla18[[#This Row],[Bus_02]],"_",Tabla5[[#This Row],[Sub Acción Específica
&lt;&lt; Seleccionar&gt;&gt;]])</f>
        <v>#N/A</v>
      </c>
      <c r="D456" s="328" t="e">
        <f>VLOOKUP(Tabla18[[#This Row],[Aux_01]],TablaSubAccionEspecifica[[#All],[Concat]:[Cod_Sub_acción_especifica]],2,0)</f>
        <v>#N/A</v>
      </c>
      <c r="E456" s="328" t="e">
        <f>Tabla18[[#This Row],[Bus_03]]&amp;"_"&amp;Tabla5[[#This Row],[Tipo de Agente
&lt;&lt; Seleccionar&gt;&gt;]]</f>
        <v>#N/A</v>
      </c>
      <c r="F456" s="328" t="e">
        <f>VLOOKUP(Tabla18[[#This Row],[Concat2]],TablaPOA[[#All],[Concat]:[ConcatEspecial]],3,0)</f>
        <v>#N/A</v>
      </c>
      <c r="G456" s="65" t="str">
        <f>CONCATENATE(Registro!$A$6,"_",Tabla5[[#This Row],[Zona (Provincia)
&lt;&lt; Seleccionar&gt;&gt;]])</f>
        <v>Huánuco_</v>
      </c>
      <c r="H456" s="60" t="e">
        <f>VLOOKUP(Tabla18[[#This Row],[Concatenado***]],Tabla2[[#All],[Concatenado]:[Simbología*]],2,0)</f>
        <v>#N/A</v>
      </c>
      <c r="I456" s="65" t="str">
        <f>CONCATENATE(Tabla18[[#This Row],[Concatenado***]],"_",Tabla5[[#This Row],[Zona (Distrito)
&lt;&lt; Seleccionar&gt;&gt;]])</f>
        <v>Huánuco__</v>
      </c>
      <c r="J4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6" s="72" t="e">
        <f>VLOOKUP(Tabla5[[#This Row],[Tipo de Transporte Empleado
&lt;&lt; Seleccionar&gt;&gt;]],Tabla8[#All],2,0)</f>
        <v>#N/A</v>
      </c>
      <c r="L456" s="71" t="e">
        <f>#REF!+(#REF!*2)+#REF!</f>
        <v>#REF!</v>
      </c>
    </row>
    <row r="457" spans="1:12" x14ac:dyDescent="0.25">
      <c r="A457" s="328" t="e">
        <f>VLOOKUP(Tabla5[[#This Row],[Acción
&lt;&lt; Seleccionar&gt;&gt;]],TablaAccion[[#All],[Nombre_Abreviado]:[Codigo_Plan_Acción]],3,0)</f>
        <v>#N/A</v>
      </c>
      <c r="B457" s="328" t="e">
        <f>VLOOKUP(Tabla5[[#This Row],[Acción Especifica
&lt;&lt; Seleccionar&gt;&gt;]],TablaAccionEspecifica[[#All],[Nombre_Abreviado]:[Codigo_Acción]],3,0)</f>
        <v>#N/A</v>
      </c>
      <c r="C457" s="328" t="e">
        <f>CONCATENATE(Tabla18[[#This Row],[Bus_02]],"_",Tabla5[[#This Row],[Sub Acción Específica
&lt;&lt; Seleccionar&gt;&gt;]])</f>
        <v>#N/A</v>
      </c>
      <c r="D457" s="328" t="e">
        <f>VLOOKUP(Tabla18[[#This Row],[Aux_01]],TablaSubAccionEspecifica[[#All],[Concat]:[Cod_Sub_acción_especifica]],2,0)</f>
        <v>#N/A</v>
      </c>
      <c r="E457" s="328" t="e">
        <f>Tabla18[[#This Row],[Bus_03]]&amp;"_"&amp;Tabla5[[#This Row],[Tipo de Agente
&lt;&lt; Seleccionar&gt;&gt;]]</f>
        <v>#N/A</v>
      </c>
      <c r="F457" s="328" t="e">
        <f>VLOOKUP(Tabla18[[#This Row],[Concat2]],TablaPOA[[#All],[Concat]:[ConcatEspecial]],3,0)</f>
        <v>#N/A</v>
      </c>
      <c r="G457" s="65" t="str">
        <f>CONCATENATE(Registro!$A$6,"_",Tabla5[[#This Row],[Zona (Provincia)
&lt;&lt; Seleccionar&gt;&gt;]])</f>
        <v>Huánuco_</v>
      </c>
      <c r="H457" s="60" t="e">
        <f>VLOOKUP(Tabla18[[#This Row],[Concatenado***]],Tabla2[[#All],[Concatenado]:[Simbología*]],2,0)</f>
        <v>#N/A</v>
      </c>
      <c r="I457" s="65" t="str">
        <f>CONCATENATE(Tabla18[[#This Row],[Concatenado***]],"_",Tabla5[[#This Row],[Zona (Distrito)
&lt;&lt; Seleccionar&gt;&gt;]])</f>
        <v>Huánuco__</v>
      </c>
      <c r="J4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7" s="72" t="e">
        <f>VLOOKUP(Tabla5[[#This Row],[Tipo de Transporte Empleado
&lt;&lt; Seleccionar&gt;&gt;]],Tabla8[#All],2,0)</f>
        <v>#N/A</v>
      </c>
      <c r="L457" s="71" t="e">
        <f>#REF!+(#REF!*2)+#REF!</f>
        <v>#REF!</v>
      </c>
    </row>
    <row r="458" spans="1:12" x14ac:dyDescent="0.25">
      <c r="A458" s="328" t="e">
        <f>VLOOKUP(Tabla5[[#This Row],[Acción
&lt;&lt; Seleccionar&gt;&gt;]],TablaAccion[[#All],[Nombre_Abreviado]:[Codigo_Plan_Acción]],3,0)</f>
        <v>#N/A</v>
      </c>
      <c r="B458" s="328" t="e">
        <f>VLOOKUP(Tabla5[[#This Row],[Acción Especifica
&lt;&lt; Seleccionar&gt;&gt;]],TablaAccionEspecifica[[#All],[Nombre_Abreviado]:[Codigo_Acción]],3,0)</f>
        <v>#N/A</v>
      </c>
      <c r="C458" s="328" t="e">
        <f>CONCATENATE(Tabla18[[#This Row],[Bus_02]],"_",Tabla5[[#This Row],[Sub Acción Específica
&lt;&lt; Seleccionar&gt;&gt;]])</f>
        <v>#N/A</v>
      </c>
      <c r="D458" s="328" t="e">
        <f>VLOOKUP(Tabla18[[#This Row],[Aux_01]],TablaSubAccionEspecifica[[#All],[Concat]:[Cod_Sub_acción_especifica]],2,0)</f>
        <v>#N/A</v>
      </c>
      <c r="E458" s="328" t="e">
        <f>Tabla18[[#This Row],[Bus_03]]&amp;"_"&amp;Tabla5[[#This Row],[Tipo de Agente
&lt;&lt; Seleccionar&gt;&gt;]]</f>
        <v>#N/A</v>
      </c>
      <c r="F458" s="328" t="e">
        <f>VLOOKUP(Tabla18[[#This Row],[Concat2]],TablaPOA[[#All],[Concat]:[ConcatEspecial]],3,0)</f>
        <v>#N/A</v>
      </c>
      <c r="G458" s="65" t="str">
        <f>CONCATENATE(Registro!$A$6,"_",Tabla5[[#This Row],[Zona (Provincia)
&lt;&lt; Seleccionar&gt;&gt;]])</f>
        <v>Huánuco_</v>
      </c>
      <c r="H458" s="60" t="e">
        <f>VLOOKUP(Tabla18[[#This Row],[Concatenado***]],Tabla2[[#All],[Concatenado]:[Simbología*]],2,0)</f>
        <v>#N/A</v>
      </c>
      <c r="I458" s="65" t="str">
        <f>CONCATENATE(Tabla18[[#This Row],[Concatenado***]],"_",Tabla5[[#This Row],[Zona (Distrito)
&lt;&lt; Seleccionar&gt;&gt;]])</f>
        <v>Huánuco__</v>
      </c>
      <c r="J4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8" s="72" t="e">
        <f>VLOOKUP(Tabla5[[#This Row],[Tipo de Transporte Empleado
&lt;&lt; Seleccionar&gt;&gt;]],Tabla8[#All],2,0)</f>
        <v>#N/A</v>
      </c>
      <c r="L458" s="71" t="e">
        <f>#REF!+(#REF!*2)+#REF!</f>
        <v>#REF!</v>
      </c>
    </row>
    <row r="459" spans="1:12" x14ac:dyDescent="0.25">
      <c r="A459" s="328" t="e">
        <f>VLOOKUP(Tabla5[[#This Row],[Acción
&lt;&lt; Seleccionar&gt;&gt;]],TablaAccion[[#All],[Nombre_Abreviado]:[Codigo_Plan_Acción]],3,0)</f>
        <v>#N/A</v>
      </c>
      <c r="B459" s="328" t="e">
        <f>VLOOKUP(Tabla5[[#This Row],[Acción Especifica
&lt;&lt; Seleccionar&gt;&gt;]],TablaAccionEspecifica[[#All],[Nombre_Abreviado]:[Codigo_Acción]],3,0)</f>
        <v>#N/A</v>
      </c>
      <c r="C459" s="328" t="e">
        <f>CONCATENATE(Tabla18[[#This Row],[Bus_02]],"_",Tabla5[[#This Row],[Sub Acción Específica
&lt;&lt; Seleccionar&gt;&gt;]])</f>
        <v>#N/A</v>
      </c>
      <c r="D459" s="328" t="e">
        <f>VLOOKUP(Tabla18[[#This Row],[Aux_01]],TablaSubAccionEspecifica[[#All],[Concat]:[Cod_Sub_acción_especifica]],2,0)</f>
        <v>#N/A</v>
      </c>
      <c r="E459" s="328" t="e">
        <f>Tabla18[[#This Row],[Bus_03]]&amp;"_"&amp;Tabla5[[#This Row],[Tipo de Agente
&lt;&lt; Seleccionar&gt;&gt;]]</f>
        <v>#N/A</v>
      </c>
      <c r="F459" s="328" t="e">
        <f>VLOOKUP(Tabla18[[#This Row],[Concat2]],TablaPOA[[#All],[Concat]:[ConcatEspecial]],3,0)</f>
        <v>#N/A</v>
      </c>
      <c r="G459" s="65" t="str">
        <f>CONCATENATE(Registro!$A$6,"_",Tabla5[[#This Row],[Zona (Provincia)
&lt;&lt; Seleccionar&gt;&gt;]])</f>
        <v>Huánuco_</v>
      </c>
      <c r="H459" s="60" t="e">
        <f>VLOOKUP(Tabla18[[#This Row],[Concatenado***]],Tabla2[[#All],[Concatenado]:[Simbología*]],2,0)</f>
        <v>#N/A</v>
      </c>
      <c r="I459" s="65" t="str">
        <f>CONCATENATE(Tabla18[[#This Row],[Concatenado***]],"_",Tabla5[[#This Row],[Zona (Distrito)
&lt;&lt; Seleccionar&gt;&gt;]])</f>
        <v>Huánuco__</v>
      </c>
      <c r="J4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9" s="72" t="e">
        <f>VLOOKUP(Tabla5[[#This Row],[Tipo de Transporte Empleado
&lt;&lt; Seleccionar&gt;&gt;]],Tabla8[#All],2,0)</f>
        <v>#N/A</v>
      </c>
      <c r="L459" s="71" t="e">
        <f>#REF!+(#REF!*2)+#REF!</f>
        <v>#REF!</v>
      </c>
    </row>
    <row r="460" spans="1:12" x14ac:dyDescent="0.25">
      <c r="A460" s="328" t="e">
        <f>VLOOKUP(Tabla5[[#This Row],[Acción
&lt;&lt; Seleccionar&gt;&gt;]],TablaAccion[[#All],[Nombre_Abreviado]:[Codigo_Plan_Acción]],3,0)</f>
        <v>#N/A</v>
      </c>
      <c r="B460" s="328" t="e">
        <f>VLOOKUP(Tabla5[[#This Row],[Acción Especifica
&lt;&lt; Seleccionar&gt;&gt;]],TablaAccionEspecifica[[#All],[Nombre_Abreviado]:[Codigo_Acción]],3,0)</f>
        <v>#N/A</v>
      </c>
      <c r="C460" s="328" t="e">
        <f>CONCATENATE(Tabla18[[#This Row],[Bus_02]],"_",Tabla5[[#This Row],[Sub Acción Específica
&lt;&lt; Seleccionar&gt;&gt;]])</f>
        <v>#N/A</v>
      </c>
      <c r="D460" s="328" t="e">
        <f>VLOOKUP(Tabla18[[#This Row],[Aux_01]],TablaSubAccionEspecifica[[#All],[Concat]:[Cod_Sub_acción_especifica]],2,0)</f>
        <v>#N/A</v>
      </c>
      <c r="E460" s="328" t="e">
        <f>Tabla18[[#This Row],[Bus_03]]&amp;"_"&amp;Tabla5[[#This Row],[Tipo de Agente
&lt;&lt; Seleccionar&gt;&gt;]]</f>
        <v>#N/A</v>
      </c>
      <c r="F460" s="328" t="e">
        <f>VLOOKUP(Tabla18[[#This Row],[Concat2]],TablaPOA[[#All],[Concat]:[ConcatEspecial]],3,0)</f>
        <v>#N/A</v>
      </c>
      <c r="G460" s="65" t="str">
        <f>CONCATENATE(Registro!$A$6,"_",Tabla5[[#This Row],[Zona (Provincia)
&lt;&lt; Seleccionar&gt;&gt;]])</f>
        <v>Huánuco_</v>
      </c>
      <c r="H460" s="60" t="e">
        <f>VLOOKUP(Tabla18[[#This Row],[Concatenado***]],Tabla2[[#All],[Concatenado]:[Simbología*]],2,0)</f>
        <v>#N/A</v>
      </c>
      <c r="I460" s="65" t="str">
        <f>CONCATENATE(Tabla18[[#This Row],[Concatenado***]],"_",Tabla5[[#This Row],[Zona (Distrito)
&lt;&lt; Seleccionar&gt;&gt;]])</f>
        <v>Huánuco__</v>
      </c>
      <c r="J4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0" s="72" t="e">
        <f>VLOOKUP(Tabla5[[#This Row],[Tipo de Transporte Empleado
&lt;&lt; Seleccionar&gt;&gt;]],Tabla8[#All],2,0)</f>
        <v>#N/A</v>
      </c>
      <c r="L460" s="71" t="e">
        <f>#REF!+(#REF!*2)+#REF!</f>
        <v>#REF!</v>
      </c>
    </row>
    <row r="461" spans="1:12" x14ac:dyDescent="0.25">
      <c r="A461" s="328" t="e">
        <f>VLOOKUP(Tabla5[[#This Row],[Acción
&lt;&lt; Seleccionar&gt;&gt;]],TablaAccion[[#All],[Nombre_Abreviado]:[Codigo_Plan_Acción]],3,0)</f>
        <v>#N/A</v>
      </c>
      <c r="B461" s="328" t="e">
        <f>VLOOKUP(Tabla5[[#This Row],[Acción Especifica
&lt;&lt; Seleccionar&gt;&gt;]],TablaAccionEspecifica[[#All],[Nombre_Abreviado]:[Codigo_Acción]],3,0)</f>
        <v>#N/A</v>
      </c>
      <c r="C461" s="328" t="e">
        <f>CONCATENATE(Tabla18[[#This Row],[Bus_02]],"_",Tabla5[[#This Row],[Sub Acción Específica
&lt;&lt; Seleccionar&gt;&gt;]])</f>
        <v>#N/A</v>
      </c>
      <c r="D461" s="328" t="e">
        <f>VLOOKUP(Tabla18[[#This Row],[Aux_01]],TablaSubAccionEspecifica[[#All],[Concat]:[Cod_Sub_acción_especifica]],2,0)</f>
        <v>#N/A</v>
      </c>
      <c r="E461" s="328" t="e">
        <f>Tabla18[[#This Row],[Bus_03]]&amp;"_"&amp;Tabla5[[#This Row],[Tipo de Agente
&lt;&lt; Seleccionar&gt;&gt;]]</f>
        <v>#N/A</v>
      </c>
      <c r="F461" s="328" t="e">
        <f>VLOOKUP(Tabla18[[#This Row],[Concat2]],TablaPOA[[#All],[Concat]:[ConcatEspecial]],3,0)</f>
        <v>#N/A</v>
      </c>
      <c r="G461" s="65" t="str">
        <f>CONCATENATE(Registro!$A$6,"_",Tabla5[[#This Row],[Zona (Provincia)
&lt;&lt; Seleccionar&gt;&gt;]])</f>
        <v>Huánuco_</v>
      </c>
      <c r="H461" s="60" t="e">
        <f>VLOOKUP(Tabla18[[#This Row],[Concatenado***]],Tabla2[[#All],[Concatenado]:[Simbología*]],2,0)</f>
        <v>#N/A</v>
      </c>
      <c r="I461" s="65" t="str">
        <f>CONCATENATE(Tabla18[[#This Row],[Concatenado***]],"_",Tabla5[[#This Row],[Zona (Distrito)
&lt;&lt; Seleccionar&gt;&gt;]])</f>
        <v>Huánuco__</v>
      </c>
      <c r="J4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1" s="72" t="e">
        <f>VLOOKUP(Tabla5[[#This Row],[Tipo de Transporte Empleado
&lt;&lt; Seleccionar&gt;&gt;]],Tabla8[#All],2,0)</f>
        <v>#N/A</v>
      </c>
      <c r="L461" s="71" t="e">
        <f>#REF!+(#REF!*2)+#REF!</f>
        <v>#REF!</v>
      </c>
    </row>
    <row r="462" spans="1:12" x14ac:dyDescent="0.25">
      <c r="A462" s="328" t="e">
        <f>VLOOKUP(Tabla5[[#This Row],[Acción
&lt;&lt; Seleccionar&gt;&gt;]],TablaAccion[[#All],[Nombre_Abreviado]:[Codigo_Plan_Acción]],3,0)</f>
        <v>#N/A</v>
      </c>
      <c r="B462" s="328" t="e">
        <f>VLOOKUP(Tabla5[[#This Row],[Acción Especifica
&lt;&lt; Seleccionar&gt;&gt;]],TablaAccionEspecifica[[#All],[Nombre_Abreviado]:[Codigo_Acción]],3,0)</f>
        <v>#N/A</v>
      </c>
      <c r="C462" s="328" t="e">
        <f>CONCATENATE(Tabla18[[#This Row],[Bus_02]],"_",Tabla5[[#This Row],[Sub Acción Específica
&lt;&lt; Seleccionar&gt;&gt;]])</f>
        <v>#N/A</v>
      </c>
      <c r="D462" s="328" t="e">
        <f>VLOOKUP(Tabla18[[#This Row],[Aux_01]],TablaSubAccionEspecifica[[#All],[Concat]:[Cod_Sub_acción_especifica]],2,0)</f>
        <v>#N/A</v>
      </c>
      <c r="E462" s="328" t="e">
        <f>Tabla18[[#This Row],[Bus_03]]&amp;"_"&amp;Tabla5[[#This Row],[Tipo de Agente
&lt;&lt; Seleccionar&gt;&gt;]]</f>
        <v>#N/A</v>
      </c>
      <c r="F462" s="328" t="e">
        <f>VLOOKUP(Tabla18[[#This Row],[Concat2]],TablaPOA[[#All],[Concat]:[ConcatEspecial]],3,0)</f>
        <v>#N/A</v>
      </c>
      <c r="G462" s="65" t="str">
        <f>CONCATENATE(Registro!$A$6,"_",Tabla5[[#This Row],[Zona (Provincia)
&lt;&lt; Seleccionar&gt;&gt;]])</f>
        <v>Huánuco_</v>
      </c>
      <c r="H462" s="60" t="e">
        <f>VLOOKUP(Tabla18[[#This Row],[Concatenado***]],Tabla2[[#All],[Concatenado]:[Simbología*]],2,0)</f>
        <v>#N/A</v>
      </c>
      <c r="I462" s="65" t="str">
        <f>CONCATENATE(Tabla18[[#This Row],[Concatenado***]],"_",Tabla5[[#This Row],[Zona (Distrito)
&lt;&lt; Seleccionar&gt;&gt;]])</f>
        <v>Huánuco__</v>
      </c>
      <c r="J4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2" s="72" t="e">
        <f>VLOOKUP(Tabla5[[#This Row],[Tipo de Transporte Empleado
&lt;&lt; Seleccionar&gt;&gt;]],Tabla8[#All],2,0)</f>
        <v>#N/A</v>
      </c>
      <c r="L462" s="71" t="e">
        <f>#REF!+(#REF!*2)+#REF!</f>
        <v>#REF!</v>
      </c>
    </row>
    <row r="463" spans="1:12" x14ac:dyDescent="0.25">
      <c r="A463" s="328" t="e">
        <f>VLOOKUP(Tabla5[[#This Row],[Acción
&lt;&lt; Seleccionar&gt;&gt;]],TablaAccion[[#All],[Nombre_Abreviado]:[Codigo_Plan_Acción]],3,0)</f>
        <v>#N/A</v>
      </c>
      <c r="B463" s="328" t="e">
        <f>VLOOKUP(Tabla5[[#This Row],[Acción Especifica
&lt;&lt; Seleccionar&gt;&gt;]],TablaAccionEspecifica[[#All],[Nombre_Abreviado]:[Codigo_Acción]],3,0)</f>
        <v>#N/A</v>
      </c>
      <c r="C463" s="328" t="e">
        <f>CONCATENATE(Tabla18[[#This Row],[Bus_02]],"_",Tabla5[[#This Row],[Sub Acción Específica
&lt;&lt; Seleccionar&gt;&gt;]])</f>
        <v>#N/A</v>
      </c>
      <c r="D463" s="328" t="e">
        <f>VLOOKUP(Tabla18[[#This Row],[Aux_01]],TablaSubAccionEspecifica[[#All],[Concat]:[Cod_Sub_acción_especifica]],2,0)</f>
        <v>#N/A</v>
      </c>
      <c r="E463" s="328" t="e">
        <f>Tabla18[[#This Row],[Bus_03]]&amp;"_"&amp;Tabla5[[#This Row],[Tipo de Agente
&lt;&lt; Seleccionar&gt;&gt;]]</f>
        <v>#N/A</v>
      </c>
      <c r="F463" s="328" t="e">
        <f>VLOOKUP(Tabla18[[#This Row],[Concat2]],TablaPOA[[#All],[Concat]:[ConcatEspecial]],3,0)</f>
        <v>#N/A</v>
      </c>
      <c r="G463" s="65" t="str">
        <f>CONCATENATE(Registro!$A$6,"_",Tabla5[[#This Row],[Zona (Provincia)
&lt;&lt; Seleccionar&gt;&gt;]])</f>
        <v>Huánuco_</v>
      </c>
      <c r="H463" s="60" t="e">
        <f>VLOOKUP(Tabla18[[#This Row],[Concatenado***]],Tabla2[[#All],[Concatenado]:[Simbología*]],2,0)</f>
        <v>#N/A</v>
      </c>
      <c r="I463" s="65" t="str">
        <f>CONCATENATE(Tabla18[[#This Row],[Concatenado***]],"_",Tabla5[[#This Row],[Zona (Distrito)
&lt;&lt; Seleccionar&gt;&gt;]])</f>
        <v>Huánuco__</v>
      </c>
      <c r="J4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3" s="72" t="e">
        <f>VLOOKUP(Tabla5[[#This Row],[Tipo de Transporte Empleado
&lt;&lt; Seleccionar&gt;&gt;]],Tabla8[#All],2,0)</f>
        <v>#N/A</v>
      </c>
      <c r="L463" s="71" t="e">
        <f>#REF!+(#REF!*2)+#REF!</f>
        <v>#REF!</v>
      </c>
    </row>
    <row r="464" spans="1:12" x14ac:dyDescent="0.25">
      <c r="A464" s="328" t="e">
        <f>VLOOKUP(Tabla5[[#This Row],[Acción
&lt;&lt; Seleccionar&gt;&gt;]],TablaAccion[[#All],[Nombre_Abreviado]:[Codigo_Plan_Acción]],3,0)</f>
        <v>#N/A</v>
      </c>
      <c r="B464" s="328" t="e">
        <f>VLOOKUP(Tabla5[[#This Row],[Acción Especifica
&lt;&lt; Seleccionar&gt;&gt;]],TablaAccionEspecifica[[#All],[Nombre_Abreviado]:[Codigo_Acción]],3,0)</f>
        <v>#N/A</v>
      </c>
      <c r="C464" s="328" t="e">
        <f>CONCATENATE(Tabla18[[#This Row],[Bus_02]],"_",Tabla5[[#This Row],[Sub Acción Específica
&lt;&lt; Seleccionar&gt;&gt;]])</f>
        <v>#N/A</v>
      </c>
      <c r="D464" s="328" t="e">
        <f>VLOOKUP(Tabla18[[#This Row],[Aux_01]],TablaSubAccionEspecifica[[#All],[Concat]:[Cod_Sub_acción_especifica]],2,0)</f>
        <v>#N/A</v>
      </c>
      <c r="E464" s="328" t="e">
        <f>Tabla18[[#This Row],[Bus_03]]&amp;"_"&amp;Tabla5[[#This Row],[Tipo de Agente
&lt;&lt; Seleccionar&gt;&gt;]]</f>
        <v>#N/A</v>
      </c>
      <c r="F464" s="328" t="e">
        <f>VLOOKUP(Tabla18[[#This Row],[Concat2]],TablaPOA[[#All],[Concat]:[ConcatEspecial]],3,0)</f>
        <v>#N/A</v>
      </c>
      <c r="G464" s="65" t="str">
        <f>CONCATENATE(Registro!$A$6,"_",Tabla5[[#This Row],[Zona (Provincia)
&lt;&lt; Seleccionar&gt;&gt;]])</f>
        <v>Huánuco_</v>
      </c>
      <c r="H464" s="60" t="e">
        <f>VLOOKUP(Tabla18[[#This Row],[Concatenado***]],Tabla2[[#All],[Concatenado]:[Simbología*]],2,0)</f>
        <v>#N/A</v>
      </c>
      <c r="I464" s="65" t="str">
        <f>CONCATENATE(Tabla18[[#This Row],[Concatenado***]],"_",Tabla5[[#This Row],[Zona (Distrito)
&lt;&lt; Seleccionar&gt;&gt;]])</f>
        <v>Huánuco__</v>
      </c>
      <c r="J4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4" s="72" t="e">
        <f>VLOOKUP(Tabla5[[#This Row],[Tipo de Transporte Empleado
&lt;&lt; Seleccionar&gt;&gt;]],Tabla8[#All],2,0)</f>
        <v>#N/A</v>
      </c>
      <c r="L464" s="71" t="e">
        <f>#REF!+(#REF!*2)+#REF!</f>
        <v>#REF!</v>
      </c>
    </row>
    <row r="465" spans="1:12" x14ac:dyDescent="0.25">
      <c r="A465" s="328" t="e">
        <f>VLOOKUP(Tabla5[[#This Row],[Acción
&lt;&lt; Seleccionar&gt;&gt;]],TablaAccion[[#All],[Nombre_Abreviado]:[Codigo_Plan_Acción]],3,0)</f>
        <v>#N/A</v>
      </c>
      <c r="B465" s="328" t="e">
        <f>VLOOKUP(Tabla5[[#This Row],[Acción Especifica
&lt;&lt; Seleccionar&gt;&gt;]],TablaAccionEspecifica[[#All],[Nombre_Abreviado]:[Codigo_Acción]],3,0)</f>
        <v>#N/A</v>
      </c>
      <c r="C465" s="328" t="e">
        <f>CONCATENATE(Tabla18[[#This Row],[Bus_02]],"_",Tabla5[[#This Row],[Sub Acción Específica
&lt;&lt; Seleccionar&gt;&gt;]])</f>
        <v>#N/A</v>
      </c>
      <c r="D465" s="328" t="e">
        <f>VLOOKUP(Tabla18[[#This Row],[Aux_01]],TablaSubAccionEspecifica[[#All],[Concat]:[Cod_Sub_acción_especifica]],2,0)</f>
        <v>#N/A</v>
      </c>
      <c r="E465" s="328" t="e">
        <f>Tabla18[[#This Row],[Bus_03]]&amp;"_"&amp;Tabla5[[#This Row],[Tipo de Agente
&lt;&lt; Seleccionar&gt;&gt;]]</f>
        <v>#N/A</v>
      </c>
      <c r="F465" s="328" t="e">
        <f>VLOOKUP(Tabla18[[#This Row],[Concat2]],TablaPOA[[#All],[Concat]:[ConcatEspecial]],3,0)</f>
        <v>#N/A</v>
      </c>
      <c r="G465" s="65" t="str">
        <f>CONCATENATE(Registro!$A$6,"_",Tabla5[[#This Row],[Zona (Provincia)
&lt;&lt; Seleccionar&gt;&gt;]])</f>
        <v>Huánuco_</v>
      </c>
      <c r="H465" s="60" t="e">
        <f>VLOOKUP(Tabla18[[#This Row],[Concatenado***]],Tabla2[[#All],[Concatenado]:[Simbología*]],2,0)</f>
        <v>#N/A</v>
      </c>
      <c r="I465" s="65" t="str">
        <f>CONCATENATE(Tabla18[[#This Row],[Concatenado***]],"_",Tabla5[[#This Row],[Zona (Distrito)
&lt;&lt; Seleccionar&gt;&gt;]])</f>
        <v>Huánuco__</v>
      </c>
      <c r="J4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5" s="72" t="e">
        <f>VLOOKUP(Tabla5[[#This Row],[Tipo de Transporte Empleado
&lt;&lt; Seleccionar&gt;&gt;]],Tabla8[#All],2,0)</f>
        <v>#N/A</v>
      </c>
      <c r="L465" s="71" t="e">
        <f>#REF!+(#REF!*2)+#REF!</f>
        <v>#REF!</v>
      </c>
    </row>
    <row r="466" spans="1:12" x14ac:dyDescent="0.25">
      <c r="A466" s="328" t="e">
        <f>VLOOKUP(Tabla5[[#This Row],[Acción
&lt;&lt; Seleccionar&gt;&gt;]],TablaAccion[[#All],[Nombre_Abreviado]:[Codigo_Plan_Acción]],3,0)</f>
        <v>#N/A</v>
      </c>
      <c r="B466" s="328" t="e">
        <f>VLOOKUP(Tabla5[[#This Row],[Acción Especifica
&lt;&lt; Seleccionar&gt;&gt;]],TablaAccionEspecifica[[#All],[Nombre_Abreviado]:[Codigo_Acción]],3,0)</f>
        <v>#N/A</v>
      </c>
      <c r="C466" s="328" t="e">
        <f>CONCATENATE(Tabla18[[#This Row],[Bus_02]],"_",Tabla5[[#This Row],[Sub Acción Específica
&lt;&lt; Seleccionar&gt;&gt;]])</f>
        <v>#N/A</v>
      </c>
      <c r="D466" s="328" t="e">
        <f>VLOOKUP(Tabla18[[#This Row],[Aux_01]],TablaSubAccionEspecifica[[#All],[Concat]:[Cod_Sub_acción_especifica]],2,0)</f>
        <v>#N/A</v>
      </c>
      <c r="E466" s="328" t="e">
        <f>Tabla18[[#This Row],[Bus_03]]&amp;"_"&amp;Tabla5[[#This Row],[Tipo de Agente
&lt;&lt; Seleccionar&gt;&gt;]]</f>
        <v>#N/A</v>
      </c>
      <c r="F466" s="328" t="e">
        <f>VLOOKUP(Tabla18[[#This Row],[Concat2]],TablaPOA[[#All],[Concat]:[ConcatEspecial]],3,0)</f>
        <v>#N/A</v>
      </c>
      <c r="G466" s="65" t="str">
        <f>CONCATENATE(Registro!$A$6,"_",Tabla5[[#This Row],[Zona (Provincia)
&lt;&lt; Seleccionar&gt;&gt;]])</f>
        <v>Huánuco_</v>
      </c>
      <c r="H466" s="60" t="e">
        <f>VLOOKUP(Tabla18[[#This Row],[Concatenado***]],Tabla2[[#All],[Concatenado]:[Simbología*]],2,0)</f>
        <v>#N/A</v>
      </c>
      <c r="I466" s="65" t="str">
        <f>CONCATENATE(Tabla18[[#This Row],[Concatenado***]],"_",Tabla5[[#This Row],[Zona (Distrito)
&lt;&lt; Seleccionar&gt;&gt;]])</f>
        <v>Huánuco__</v>
      </c>
      <c r="J4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6" s="72" t="e">
        <f>VLOOKUP(Tabla5[[#This Row],[Tipo de Transporte Empleado
&lt;&lt; Seleccionar&gt;&gt;]],Tabla8[#All],2,0)</f>
        <v>#N/A</v>
      </c>
      <c r="L466" s="71" t="e">
        <f>#REF!+(#REF!*2)+#REF!</f>
        <v>#REF!</v>
      </c>
    </row>
    <row r="467" spans="1:12" x14ac:dyDescent="0.25">
      <c r="A467" s="328" t="e">
        <f>VLOOKUP(Tabla5[[#This Row],[Acción
&lt;&lt; Seleccionar&gt;&gt;]],TablaAccion[[#All],[Nombre_Abreviado]:[Codigo_Plan_Acción]],3,0)</f>
        <v>#N/A</v>
      </c>
      <c r="B467" s="328" t="e">
        <f>VLOOKUP(Tabla5[[#This Row],[Acción Especifica
&lt;&lt; Seleccionar&gt;&gt;]],TablaAccionEspecifica[[#All],[Nombre_Abreviado]:[Codigo_Acción]],3,0)</f>
        <v>#N/A</v>
      </c>
      <c r="C467" s="328" t="e">
        <f>CONCATENATE(Tabla18[[#This Row],[Bus_02]],"_",Tabla5[[#This Row],[Sub Acción Específica
&lt;&lt; Seleccionar&gt;&gt;]])</f>
        <v>#N/A</v>
      </c>
      <c r="D467" s="328" t="e">
        <f>VLOOKUP(Tabla18[[#This Row],[Aux_01]],TablaSubAccionEspecifica[[#All],[Concat]:[Cod_Sub_acción_especifica]],2,0)</f>
        <v>#N/A</v>
      </c>
      <c r="E467" s="328" t="e">
        <f>Tabla18[[#This Row],[Bus_03]]&amp;"_"&amp;Tabla5[[#This Row],[Tipo de Agente
&lt;&lt; Seleccionar&gt;&gt;]]</f>
        <v>#N/A</v>
      </c>
      <c r="F467" s="328" t="e">
        <f>VLOOKUP(Tabla18[[#This Row],[Concat2]],TablaPOA[[#All],[Concat]:[ConcatEspecial]],3,0)</f>
        <v>#N/A</v>
      </c>
      <c r="G467" s="65" t="str">
        <f>CONCATENATE(Registro!$A$6,"_",Tabla5[[#This Row],[Zona (Provincia)
&lt;&lt; Seleccionar&gt;&gt;]])</f>
        <v>Huánuco_</v>
      </c>
      <c r="H467" s="60" t="e">
        <f>VLOOKUP(Tabla18[[#This Row],[Concatenado***]],Tabla2[[#All],[Concatenado]:[Simbología*]],2,0)</f>
        <v>#N/A</v>
      </c>
      <c r="I467" s="65" t="str">
        <f>CONCATENATE(Tabla18[[#This Row],[Concatenado***]],"_",Tabla5[[#This Row],[Zona (Distrito)
&lt;&lt; Seleccionar&gt;&gt;]])</f>
        <v>Huánuco__</v>
      </c>
      <c r="J4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7" s="72" t="e">
        <f>VLOOKUP(Tabla5[[#This Row],[Tipo de Transporte Empleado
&lt;&lt; Seleccionar&gt;&gt;]],Tabla8[#All],2,0)</f>
        <v>#N/A</v>
      </c>
      <c r="L467" s="71" t="e">
        <f>#REF!+(#REF!*2)+#REF!</f>
        <v>#REF!</v>
      </c>
    </row>
    <row r="468" spans="1:12" x14ac:dyDescent="0.25">
      <c r="A468" s="328" t="e">
        <f>VLOOKUP(Tabla5[[#This Row],[Acción
&lt;&lt; Seleccionar&gt;&gt;]],TablaAccion[[#All],[Nombre_Abreviado]:[Codigo_Plan_Acción]],3,0)</f>
        <v>#N/A</v>
      </c>
      <c r="B468" s="328" t="e">
        <f>VLOOKUP(Tabla5[[#This Row],[Acción Especifica
&lt;&lt; Seleccionar&gt;&gt;]],TablaAccionEspecifica[[#All],[Nombre_Abreviado]:[Codigo_Acción]],3,0)</f>
        <v>#N/A</v>
      </c>
      <c r="C468" s="328" t="e">
        <f>CONCATENATE(Tabla18[[#This Row],[Bus_02]],"_",Tabla5[[#This Row],[Sub Acción Específica
&lt;&lt; Seleccionar&gt;&gt;]])</f>
        <v>#N/A</v>
      </c>
      <c r="D468" s="328" t="e">
        <f>VLOOKUP(Tabla18[[#This Row],[Aux_01]],TablaSubAccionEspecifica[[#All],[Concat]:[Cod_Sub_acción_especifica]],2,0)</f>
        <v>#N/A</v>
      </c>
      <c r="E468" s="328" t="e">
        <f>Tabla18[[#This Row],[Bus_03]]&amp;"_"&amp;Tabla5[[#This Row],[Tipo de Agente
&lt;&lt; Seleccionar&gt;&gt;]]</f>
        <v>#N/A</v>
      </c>
      <c r="F468" s="328" t="e">
        <f>VLOOKUP(Tabla18[[#This Row],[Concat2]],TablaPOA[[#All],[Concat]:[ConcatEspecial]],3,0)</f>
        <v>#N/A</v>
      </c>
      <c r="G468" s="65" t="str">
        <f>CONCATENATE(Registro!$A$6,"_",Tabla5[[#This Row],[Zona (Provincia)
&lt;&lt; Seleccionar&gt;&gt;]])</f>
        <v>Huánuco_</v>
      </c>
      <c r="H468" s="60" t="e">
        <f>VLOOKUP(Tabla18[[#This Row],[Concatenado***]],Tabla2[[#All],[Concatenado]:[Simbología*]],2,0)</f>
        <v>#N/A</v>
      </c>
      <c r="I468" s="65" t="str">
        <f>CONCATENATE(Tabla18[[#This Row],[Concatenado***]],"_",Tabla5[[#This Row],[Zona (Distrito)
&lt;&lt; Seleccionar&gt;&gt;]])</f>
        <v>Huánuco__</v>
      </c>
      <c r="J4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8" s="72" t="e">
        <f>VLOOKUP(Tabla5[[#This Row],[Tipo de Transporte Empleado
&lt;&lt; Seleccionar&gt;&gt;]],Tabla8[#All],2,0)</f>
        <v>#N/A</v>
      </c>
      <c r="L468" s="71" t="e">
        <f>#REF!+(#REF!*2)+#REF!</f>
        <v>#REF!</v>
      </c>
    </row>
    <row r="469" spans="1:12" x14ac:dyDescent="0.25">
      <c r="A469" s="328" t="e">
        <f>VLOOKUP(Tabla5[[#This Row],[Acción
&lt;&lt; Seleccionar&gt;&gt;]],TablaAccion[[#All],[Nombre_Abreviado]:[Codigo_Plan_Acción]],3,0)</f>
        <v>#N/A</v>
      </c>
      <c r="B469" s="328" t="e">
        <f>VLOOKUP(Tabla5[[#This Row],[Acción Especifica
&lt;&lt; Seleccionar&gt;&gt;]],TablaAccionEspecifica[[#All],[Nombre_Abreviado]:[Codigo_Acción]],3,0)</f>
        <v>#N/A</v>
      </c>
      <c r="C469" s="328" t="e">
        <f>CONCATENATE(Tabla18[[#This Row],[Bus_02]],"_",Tabla5[[#This Row],[Sub Acción Específica
&lt;&lt; Seleccionar&gt;&gt;]])</f>
        <v>#N/A</v>
      </c>
      <c r="D469" s="328" t="e">
        <f>VLOOKUP(Tabla18[[#This Row],[Aux_01]],TablaSubAccionEspecifica[[#All],[Concat]:[Cod_Sub_acción_especifica]],2,0)</f>
        <v>#N/A</v>
      </c>
      <c r="E469" s="328" t="e">
        <f>Tabla18[[#This Row],[Bus_03]]&amp;"_"&amp;Tabla5[[#This Row],[Tipo de Agente
&lt;&lt; Seleccionar&gt;&gt;]]</f>
        <v>#N/A</v>
      </c>
      <c r="F469" s="328" t="e">
        <f>VLOOKUP(Tabla18[[#This Row],[Concat2]],TablaPOA[[#All],[Concat]:[ConcatEspecial]],3,0)</f>
        <v>#N/A</v>
      </c>
      <c r="G469" s="65" t="str">
        <f>CONCATENATE(Registro!$A$6,"_",Tabla5[[#This Row],[Zona (Provincia)
&lt;&lt; Seleccionar&gt;&gt;]])</f>
        <v>Huánuco_</v>
      </c>
      <c r="H469" s="60" t="e">
        <f>VLOOKUP(Tabla18[[#This Row],[Concatenado***]],Tabla2[[#All],[Concatenado]:[Simbología*]],2,0)</f>
        <v>#N/A</v>
      </c>
      <c r="I469" s="65" t="str">
        <f>CONCATENATE(Tabla18[[#This Row],[Concatenado***]],"_",Tabla5[[#This Row],[Zona (Distrito)
&lt;&lt; Seleccionar&gt;&gt;]])</f>
        <v>Huánuco__</v>
      </c>
      <c r="J4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9" s="72" t="e">
        <f>VLOOKUP(Tabla5[[#This Row],[Tipo de Transporte Empleado
&lt;&lt; Seleccionar&gt;&gt;]],Tabla8[#All],2,0)</f>
        <v>#N/A</v>
      </c>
      <c r="L469" s="71" t="e">
        <f>#REF!+(#REF!*2)+#REF!</f>
        <v>#REF!</v>
      </c>
    </row>
    <row r="470" spans="1:12" x14ac:dyDescent="0.25">
      <c r="A470" s="328" t="e">
        <f>VLOOKUP(Tabla5[[#This Row],[Acción
&lt;&lt; Seleccionar&gt;&gt;]],TablaAccion[[#All],[Nombre_Abreviado]:[Codigo_Plan_Acción]],3,0)</f>
        <v>#N/A</v>
      </c>
      <c r="B470" s="328" t="e">
        <f>VLOOKUP(Tabla5[[#This Row],[Acción Especifica
&lt;&lt; Seleccionar&gt;&gt;]],TablaAccionEspecifica[[#All],[Nombre_Abreviado]:[Codigo_Acción]],3,0)</f>
        <v>#N/A</v>
      </c>
      <c r="C470" s="328" t="e">
        <f>CONCATENATE(Tabla18[[#This Row],[Bus_02]],"_",Tabla5[[#This Row],[Sub Acción Específica
&lt;&lt; Seleccionar&gt;&gt;]])</f>
        <v>#N/A</v>
      </c>
      <c r="D470" s="328" t="e">
        <f>VLOOKUP(Tabla18[[#This Row],[Aux_01]],TablaSubAccionEspecifica[[#All],[Concat]:[Cod_Sub_acción_especifica]],2,0)</f>
        <v>#N/A</v>
      </c>
      <c r="E470" s="328" t="e">
        <f>Tabla18[[#This Row],[Bus_03]]&amp;"_"&amp;Tabla5[[#This Row],[Tipo de Agente
&lt;&lt; Seleccionar&gt;&gt;]]</f>
        <v>#N/A</v>
      </c>
      <c r="F470" s="328" t="e">
        <f>VLOOKUP(Tabla18[[#This Row],[Concat2]],TablaPOA[[#All],[Concat]:[ConcatEspecial]],3,0)</f>
        <v>#N/A</v>
      </c>
      <c r="G470" s="65" t="str">
        <f>CONCATENATE(Registro!$A$6,"_",Tabla5[[#This Row],[Zona (Provincia)
&lt;&lt; Seleccionar&gt;&gt;]])</f>
        <v>Huánuco_</v>
      </c>
      <c r="H470" s="60" t="e">
        <f>VLOOKUP(Tabla18[[#This Row],[Concatenado***]],Tabla2[[#All],[Concatenado]:[Simbología*]],2,0)</f>
        <v>#N/A</v>
      </c>
      <c r="I470" s="65" t="str">
        <f>CONCATENATE(Tabla18[[#This Row],[Concatenado***]],"_",Tabla5[[#This Row],[Zona (Distrito)
&lt;&lt; Seleccionar&gt;&gt;]])</f>
        <v>Huánuco__</v>
      </c>
      <c r="J4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0" s="72" t="e">
        <f>VLOOKUP(Tabla5[[#This Row],[Tipo de Transporte Empleado
&lt;&lt; Seleccionar&gt;&gt;]],Tabla8[#All],2,0)</f>
        <v>#N/A</v>
      </c>
      <c r="L470" s="71" t="e">
        <f>#REF!+(#REF!*2)+#REF!</f>
        <v>#REF!</v>
      </c>
    </row>
    <row r="471" spans="1:12" x14ac:dyDescent="0.25">
      <c r="A471" s="328" t="e">
        <f>VLOOKUP(Tabla5[[#This Row],[Acción
&lt;&lt; Seleccionar&gt;&gt;]],TablaAccion[[#All],[Nombre_Abreviado]:[Codigo_Plan_Acción]],3,0)</f>
        <v>#N/A</v>
      </c>
      <c r="B471" s="328" t="e">
        <f>VLOOKUP(Tabla5[[#This Row],[Acción Especifica
&lt;&lt; Seleccionar&gt;&gt;]],TablaAccionEspecifica[[#All],[Nombre_Abreviado]:[Codigo_Acción]],3,0)</f>
        <v>#N/A</v>
      </c>
      <c r="C471" s="328" t="e">
        <f>CONCATENATE(Tabla18[[#This Row],[Bus_02]],"_",Tabla5[[#This Row],[Sub Acción Específica
&lt;&lt; Seleccionar&gt;&gt;]])</f>
        <v>#N/A</v>
      </c>
      <c r="D471" s="328" t="e">
        <f>VLOOKUP(Tabla18[[#This Row],[Aux_01]],TablaSubAccionEspecifica[[#All],[Concat]:[Cod_Sub_acción_especifica]],2,0)</f>
        <v>#N/A</v>
      </c>
      <c r="E471" s="328" t="e">
        <f>Tabla18[[#This Row],[Bus_03]]&amp;"_"&amp;Tabla5[[#This Row],[Tipo de Agente
&lt;&lt; Seleccionar&gt;&gt;]]</f>
        <v>#N/A</v>
      </c>
      <c r="F471" s="328" t="e">
        <f>VLOOKUP(Tabla18[[#This Row],[Concat2]],TablaPOA[[#All],[Concat]:[ConcatEspecial]],3,0)</f>
        <v>#N/A</v>
      </c>
      <c r="G471" s="65" t="str">
        <f>CONCATENATE(Registro!$A$6,"_",Tabla5[[#This Row],[Zona (Provincia)
&lt;&lt; Seleccionar&gt;&gt;]])</f>
        <v>Huánuco_</v>
      </c>
      <c r="H471" s="60" t="e">
        <f>VLOOKUP(Tabla18[[#This Row],[Concatenado***]],Tabla2[[#All],[Concatenado]:[Simbología*]],2,0)</f>
        <v>#N/A</v>
      </c>
      <c r="I471" s="65" t="str">
        <f>CONCATENATE(Tabla18[[#This Row],[Concatenado***]],"_",Tabla5[[#This Row],[Zona (Distrito)
&lt;&lt; Seleccionar&gt;&gt;]])</f>
        <v>Huánuco__</v>
      </c>
      <c r="J4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1" s="72" t="e">
        <f>VLOOKUP(Tabla5[[#This Row],[Tipo de Transporte Empleado
&lt;&lt; Seleccionar&gt;&gt;]],Tabla8[#All],2,0)</f>
        <v>#N/A</v>
      </c>
      <c r="L471" s="71" t="e">
        <f>#REF!+(#REF!*2)+#REF!</f>
        <v>#REF!</v>
      </c>
    </row>
    <row r="472" spans="1:12" x14ac:dyDescent="0.25">
      <c r="A472" s="328" t="e">
        <f>VLOOKUP(Tabla5[[#This Row],[Acción
&lt;&lt; Seleccionar&gt;&gt;]],TablaAccion[[#All],[Nombre_Abreviado]:[Codigo_Plan_Acción]],3,0)</f>
        <v>#N/A</v>
      </c>
      <c r="B472" s="328" t="e">
        <f>VLOOKUP(Tabla5[[#This Row],[Acción Especifica
&lt;&lt; Seleccionar&gt;&gt;]],TablaAccionEspecifica[[#All],[Nombre_Abreviado]:[Codigo_Acción]],3,0)</f>
        <v>#N/A</v>
      </c>
      <c r="C472" s="328" t="e">
        <f>CONCATENATE(Tabla18[[#This Row],[Bus_02]],"_",Tabla5[[#This Row],[Sub Acción Específica
&lt;&lt; Seleccionar&gt;&gt;]])</f>
        <v>#N/A</v>
      </c>
      <c r="D472" s="328" t="e">
        <f>VLOOKUP(Tabla18[[#This Row],[Aux_01]],TablaSubAccionEspecifica[[#All],[Concat]:[Cod_Sub_acción_especifica]],2,0)</f>
        <v>#N/A</v>
      </c>
      <c r="E472" s="328" t="e">
        <f>Tabla18[[#This Row],[Bus_03]]&amp;"_"&amp;Tabla5[[#This Row],[Tipo de Agente
&lt;&lt; Seleccionar&gt;&gt;]]</f>
        <v>#N/A</v>
      </c>
      <c r="F472" s="328" t="e">
        <f>VLOOKUP(Tabla18[[#This Row],[Concat2]],TablaPOA[[#All],[Concat]:[ConcatEspecial]],3,0)</f>
        <v>#N/A</v>
      </c>
      <c r="G472" s="65" t="str">
        <f>CONCATENATE(Registro!$A$6,"_",Tabla5[[#This Row],[Zona (Provincia)
&lt;&lt; Seleccionar&gt;&gt;]])</f>
        <v>Huánuco_</v>
      </c>
      <c r="H472" s="60" t="e">
        <f>VLOOKUP(Tabla18[[#This Row],[Concatenado***]],Tabla2[[#All],[Concatenado]:[Simbología*]],2,0)</f>
        <v>#N/A</v>
      </c>
      <c r="I472" s="65" t="str">
        <f>CONCATENATE(Tabla18[[#This Row],[Concatenado***]],"_",Tabla5[[#This Row],[Zona (Distrito)
&lt;&lt; Seleccionar&gt;&gt;]])</f>
        <v>Huánuco__</v>
      </c>
      <c r="J4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2" s="72" t="e">
        <f>VLOOKUP(Tabla5[[#This Row],[Tipo de Transporte Empleado
&lt;&lt; Seleccionar&gt;&gt;]],Tabla8[#All],2,0)</f>
        <v>#N/A</v>
      </c>
      <c r="L472" s="71" t="e">
        <f>#REF!+(#REF!*2)+#REF!</f>
        <v>#REF!</v>
      </c>
    </row>
    <row r="473" spans="1:12" x14ac:dyDescent="0.25">
      <c r="A473" s="328" t="e">
        <f>VLOOKUP(Tabla5[[#This Row],[Acción
&lt;&lt; Seleccionar&gt;&gt;]],TablaAccion[[#All],[Nombre_Abreviado]:[Codigo_Plan_Acción]],3,0)</f>
        <v>#N/A</v>
      </c>
      <c r="B473" s="328" t="e">
        <f>VLOOKUP(Tabla5[[#This Row],[Acción Especifica
&lt;&lt; Seleccionar&gt;&gt;]],TablaAccionEspecifica[[#All],[Nombre_Abreviado]:[Codigo_Acción]],3,0)</f>
        <v>#N/A</v>
      </c>
      <c r="C473" s="328" t="e">
        <f>CONCATENATE(Tabla18[[#This Row],[Bus_02]],"_",Tabla5[[#This Row],[Sub Acción Específica
&lt;&lt; Seleccionar&gt;&gt;]])</f>
        <v>#N/A</v>
      </c>
      <c r="D473" s="328" t="e">
        <f>VLOOKUP(Tabla18[[#This Row],[Aux_01]],TablaSubAccionEspecifica[[#All],[Concat]:[Cod_Sub_acción_especifica]],2,0)</f>
        <v>#N/A</v>
      </c>
      <c r="E473" s="328" t="e">
        <f>Tabla18[[#This Row],[Bus_03]]&amp;"_"&amp;Tabla5[[#This Row],[Tipo de Agente
&lt;&lt; Seleccionar&gt;&gt;]]</f>
        <v>#N/A</v>
      </c>
      <c r="F473" s="328" t="e">
        <f>VLOOKUP(Tabla18[[#This Row],[Concat2]],TablaPOA[[#All],[Concat]:[ConcatEspecial]],3,0)</f>
        <v>#N/A</v>
      </c>
      <c r="G473" s="65" t="str">
        <f>CONCATENATE(Registro!$A$6,"_",Tabla5[[#This Row],[Zona (Provincia)
&lt;&lt; Seleccionar&gt;&gt;]])</f>
        <v>Huánuco_</v>
      </c>
      <c r="H473" s="60" t="e">
        <f>VLOOKUP(Tabla18[[#This Row],[Concatenado***]],Tabla2[[#All],[Concatenado]:[Simbología*]],2,0)</f>
        <v>#N/A</v>
      </c>
      <c r="I473" s="65" t="str">
        <f>CONCATENATE(Tabla18[[#This Row],[Concatenado***]],"_",Tabla5[[#This Row],[Zona (Distrito)
&lt;&lt; Seleccionar&gt;&gt;]])</f>
        <v>Huánuco__</v>
      </c>
      <c r="J4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3" s="72" t="e">
        <f>VLOOKUP(Tabla5[[#This Row],[Tipo de Transporte Empleado
&lt;&lt; Seleccionar&gt;&gt;]],Tabla8[#All],2,0)</f>
        <v>#N/A</v>
      </c>
      <c r="L473" s="71" t="e">
        <f>#REF!+(#REF!*2)+#REF!</f>
        <v>#REF!</v>
      </c>
    </row>
    <row r="474" spans="1:12" x14ac:dyDescent="0.25">
      <c r="A474" s="328" t="e">
        <f>VLOOKUP(Tabla5[[#This Row],[Acción
&lt;&lt; Seleccionar&gt;&gt;]],TablaAccion[[#All],[Nombre_Abreviado]:[Codigo_Plan_Acción]],3,0)</f>
        <v>#N/A</v>
      </c>
      <c r="B474" s="328" t="e">
        <f>VLOOKUP(Tabla5[[#This Row],[Acción Especifica
&lt;&lt; Seleccionar&gt;&gt;]],TablaAccionEspecifica[[#All],[Nombre_Abreviado]:[Codigo_Acción]],3,0)</f>
        <v>#N/A</v>
      </c>
      <c r="C474" s="328" t="e">
        <f>CONCATENATE(Tabla18[[#This Row],[Bus_02]],"_",Tabla5[[#This Row],[Sub Acción Específica
&lt;&lt; Seleccionar&gt;&gt;]])</f>
        <v>#N/A</v>
      </c>
      <c r="D474" s="328" t="e">
        <f>VLOOKUP(Tabla18[[#This Row],[Aux_01]],TablaSubAccionEspecifica[[#All],[Concat]:[Cod_Sub_acción_especifica]],2,0)</f>
        <v>#N/A</v>
      </c>
      <c r="E474" s="328" t="e">
        <f>Tabla18[[#This Row],[Bus_03]]&amp;"_"&amp;Tabla5[[#This Row],[Tipo de Agente
&lt;&lt; Seleccionar&gt;&gt;]]</f>
        <v>#N/A</v>
      </c>
      <c r="F474" s="328" t="e">
        <f>VLOOKUP(Tabla18[[#This Row],[Concat2]],TablaPOA[[#All],[Concat]:[ConcatEspecial]],3,0)</f>
        <v>#N/A</v>
      </c>
      <c r="G474" s="65" t="str">
        <f>CONCATENATE(Registro!$A$6,"_",Tabla5[[#This Row],[Zona (Provincia)
&lt;&lt; Seleccionar&gt;&gt;]])</f>
        <v>Huánuco_</v>
      </c>
      <c r="H474" s="60" t="e">
        <f>VLOOKUP(Tabla18[[#This Row],[Concatenado***]],Tabla2[[#All],[Concatenado]:[Simbología*]],2,0)</f>
        <v>#N/A</v>
      </c>
      <c r="I474" s="65" t="str">
        <f>CONCATENATE(Tabla18[[#This Row],[Concatenado***]],"_",Tabla5[[#This Row],[Zona (Distrito)
&lt;&lt; Seleccionar&gt;&gt;]])</f>
        <v>Huánuco__</v>
      </c>
      <c r="J4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4" s="72" t="e">
        <f>VLOOKUP(Tabla5[[#This Row],[Tipo de Transporte Empleado
&lt;&lt; Seleccionar&gt;&gt;]],Tabla8[#All],2,0)</f>
        <v>#N/A</v>
      </c>
      <c r="L474" s="71" t="e">
        <f>#REF!+(#REF!*2)+#REF!</f>
        <v>#REF!</v>
      </c>
    </row>
    <row r="475" spans="1:12" x14ac:dyDescent="0.25">
      <c r="A475" s="328" t="e">
        <f>VLOOKUP(Tabla5[[#This Row],[Acción
&lt;&lt; Seleccionar&gt;&gt;]],TablaAccion[[#All],[Nombre_Abreviado]:[Codigo_Plan_Acción]],3,0)</f>
        <v>#N/A</v>
      </c>
      <c r="B475" s="328" t="e">
        <f>VLOOKUP(Tabla5[[#This Row],[Acción Especifica
&lt;&lt; Seleccionar&gt;&gt;]],TablaAccionEspecifica[[#All],[Nombre_Abreviado]:[Codigo_Acción]],3,0)</f>
        <v>#N/A</v>
      </c>
      <c r="C475" s="328" t="e">
        <f>CONCATENATE(Tabla18[[#This Row],[Bus_02]],"_",Tabla5[[#This Row],[Sub Acción Específica
&lt;&lt; Seleccionar&gt;&gt;]])</f>
        <v>#N/A</v>
      </c>
      <c r="D475" s="328" t="e">
        <f>VLOOKUP(Tabla18[[#This Row],[Aux_01]],TablaSubAccionEspecifica[[#All],[Concat]:[Cod_Sub_acción_especifica]],2,0)</f>
        <v>#N/A</v>
      </c>
      <c r="E475" s="328" t="e">
        <f>Tabla18[[#This Row],[Bus_03]]&amp;"_"&amp;Tabla5[[#This Row],[Tipo de Agente
&lt;&lt; Seleccionar&gt;&gt;]]</f>
        <v>#N/A</v>
      </c>
      <c r="F475" s="328" t="e">
        <f>VLOOKUP(Tabla18[[#This Row],[Concat2]],TablaPOA[[#All],[Concat]:[ConcatEspecial]],3,0)</f>
        <v>#N/A</v>
      </c>
      <c r="G475" s="65" t="str">
        <f>CONCATENATE(Registro!$A$6,"_",Tabla5[[#This Row],[Zona (Provincia)
&lt;&lt; Seleccionar&gt;&gt;]])</f>
        <v>Huánuco_</v>
      </c>
      <c r="H475" s="60" t="e">
        <f>VLOOKUP(Tabla18[[#This Row],[Concatenado***]],Tabla2[[#All],[Concatenado]:[Simbología*]],2,0)</f>
        <v>#N/A</v>
      </c>
      <c r="I475" s="65" t="str">
        <f>CONCATENATE(Tabla18[[#This Row],[Concatenado***]],"_",Tabla5[[#This Row],[Zona (Distrito)
&lt;&lt; Seleccionar&gt;&gt;]])</f>
        <v>Huánuco__</v>
      </c>
      <c r="J4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5" s="72" t="e">
        <f>VLOOKUP(Tabla5[[#This Row],[Tipo de Transporte Empleado
&lt;&lt; Seleccionar&gt;&gt;]],Tabla8[#All],2,0)</f>
        <v>#N/A</v>
      </c>
      <c r="L475" s="71" t="e">
        <f>#REF!+(#REF!*2)+#REF!</f>
        <v>#REF!</v>
      </c>
    </row>
    <row r="476" spans="1:12" x14ac:dyDescent="0.25">
      <c r="A476" s="328" t="e">
        <f>VLOOKUP(Tabla5[[#This Row],[Acción
&lt;&lt; Seleccionar&gt;&gt;]],TablaAccion[[#All],[Nombre_Abreviado]:[Codigo_Plan_Acción]],3,0)</f>
        <v>#N/A</v>
      </c>
      <c r="B476" s="328" t="e">
        <f>VLOOKUP(Tabla5[[#This Row],[Acción Especifica
&lt;&lt; Seleccionar&gt;&gt;]],TablaAccionEspecifica[[#All],[Nombre_Abreviado]:[Codigo_Acción]],3,0)</f>
        <v>#N/A</v>
      </c>
      <c r="C476" s="328" t="e">
        <f>CONCATENATE(Tabla18[[#This Row],[Bus_02]],"_",Tabla5[[#This Row],[Sub Acción Específica
&lt;&lt; Seleccionar&gt;&gt;]])</f>
        <v>#N/A</v>
      </c>
      <c r="D476" s="328" t="e">
        <f>VLOOKUP(Tabla18[[#This Row],[Aux_01]],TablaSubAccionEspecifica[[#All],[Concat]:[Cod_Sub_acción_especifica]],2,0)</f>
        <v>#N/A</v>
      </c>
      <c r="E476" s="328" t="e">
        <f>Tabla18[[#This Row],[Bus_03]]&amp;"_"&amp;Tabla5[[#This Row],[Tipo de Agente
&lt;&lt; Seleccionar&gt;&gt;]]</f>
        <v>#N/A</v>
      </c>
      <c r="F476" s="328" t="e">
        <f>VLOOKUP(Tabla18[[#This Row],[Concat2]],TablaPOA[[#All],[Concat]:[ConcatEspecial]],3,0)</f>
        <v>#N/A</v>
      </c>
      <c r="G476" s="65" t="str">
        <f>CONCATENATE(Registro!$A$6,"_",Tabla5[[#This Row],[Zona (Provincia)
&lt;&lt; Seleccionar&gt;&gt;]])</f>
        <v>Huánuco_</v>
      </c>
      <c r="H476" s="60" t="e">
        <f>VLOOKUP(Tabla18[[#This Row],[Concatenado***]],Tabla2[[#All],[Concatenado]:[Simbología*]],2,0)</f>
        <v>#N/A</v>
      </c>
      <c r="I476" s="65" t="str">
        <f>CONCATENATE(Tabla18[[#This Row],[Concatenado***]],"_",Tabla5[[#This Row],[Zona (Distrito)
&lt;&lt; Seleccionar&gt;&gt;]])</f>
        <v>Huánuco__</v>
      </c>
      <c r="J4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6" s="72" t="e">
        <f>VLOOKUP(Tabla5[[#This Row],[Tipo de Transporte Empleado
&lt;&lt; Seleccionar&gt;&gt;]],Tabla8[#All],2,0)</f>
        <v>#N/A</v>
      </c>
      <c r="L476" s="71" t="e">
        <f>#REF!+(#REF!*2)+#REF!</f>
        <v>#REF!</v>
      </c>
    </row>
    <row r="477" spans="1:12" x14ac:dyDescent="0.25">
      <c r="A477" s="328" t="e">
        <f>VLOOKUP(Tabla5[[#This Row],[Acción
&lt;&lt; Seleccionar&gt;&gt;]],TablaAccion[[#All],[Nombre_Abreviado]:[Codigo_Plan_Acción]],3,0)</f>
        <v>#N/A</v>
      </c>
      <c r="B477" s="328" t="e">
        <f>VLOOKUP(Tabla5[[#This Row],[Acción Especifica
&lt;&lt; Seleccionar&gt;&gt;]],TablaAccionEspecifica[[#All],[Nombre_Abreviado]:[Codigo_Acción]],3,0)</f>
        <v>#N/A</v>
      </c>
      <c r="C477" s="328" t="e">
        <f>CONCATENATE(Tabla18[[#This Row],[Bus_02]],"_",Tabla5[[#This Row],[Sub Acción Específica
&lt;&lt; Seleccionar&gt;&gt;]])</f>
        <v>#N/A</v>
      </c>
      <c r="D477" s="328" t="e">
        <f>VLOOKUP(Tabla18[[#This Row],[Aux_01]],TablaSubAccionEspecifica[[#All],[Concat]:[Cod_Sub_acción_especifica]],2,0)</f>
        <v>#N/A</v>
      </c>
      <c r="E477" s="328" t="e">
        <f>Tabla18[[#This Row],[Bus_03]]&amp;"_"&amp;Tabla5[[#This Row],[Tipo de Agente
&lt;&lt; Seleccionar&gt;&gt;]]</f>
        <v>#N/A</v>
      </c>
      <c r="F477" s="328" t="e">
        <f>VLOOKUP(Tabla18[[#This Row],[Concat2]],TablaPOA[[#All],[Concat]:[ConcatEspecial]],3,0)</f>
        <v>#N/A</v>
      </c>
      <c r="G477" s="65" t="str">
        <f>CONCATENATE(Registro!$A$6,"_",Tabla5[[#This Row],[Zona (Provincia)
&lt;&lt; Seleccionar&gt;&gt;]])</f>
        <v>Huánuco_</v>
      </c>
      <c r="H477" s="60" t="e">
        <f>VLOOKUP(Tabla18[[#This Row],[Concatenado***]],Tabla2[[#All],[Concatenado]:[Simbología*]],2,0)</f>
        <v>#N/A</v>
      </c>
      <c r="I477" s="65" t="str">
        <f>CONCATENATE(Tabla18[[#This Row],[Concatenado***]],"_",Tabla5[[#This Row],[Zona (Distrito)
&lt;&lt; Seleccionar&gt;&gt;]])</f>
        <v>Huánuco__</v>
      </c>
      <c r="J4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7" s="72" t="e">
        <f>VLOOKUP(Tabla5[[#This Row],[Tipo de Transporte Empleado
&lt;&lt; Seleccionar&gt;&gt;]],Tabla8[#All],2,0)</f>
        <v>#N/A</v>
      </c>
      <c r="L477" s="71" t="e">
        <f>#REF!+(#REF!*2)+#REF!</f>
        <v>#REF!</v>
      </c>
    </row>
    <row r="478" spans="1:12" x14ac:dyDescent="0.25">
      <c r="A478" s="328" t="e">
        <f>VLOOKUP(Tabla5[[#This Row],[Acción
&lt;&lt; Seleccionar&gt;&gt;]],TablaAccion[[#All],[Nombre_Abreviado]:[Codigo_Plan_Acción]],3,0)</f>
        <v>#N/A</v>
      </c>
      <c r="B478" s="328" t="e">
        <f>VLOOKUP(Tabla5[[#This Row],[Acción Especifica
&lt;&lt; Seleccionar&gt;&gt;]],TablaAccionEspecifica[[#All],[Nombre_Abreviado]:[Codigo_Acción]],3,0)</f>
        <v>#N/A</v>
      </c>
      <c r="C478" s="328" t="e">
        <f>CONCATENATE(Tabla18[[#This Row],[Bus_02]],"_",Tabla5[[#This Row],[Sub Acción Específica
&lt;&lt; Seleccionar&gt;&gt;]])</f>
        <v>#N/A</v>
      </c>
      <c r="D478" s="328" t="e">
        <f>VLOOKUP(Tabla18[[#This Row],[Aux_01]],TablaSubAccionEspecifica[[#All],[Concat]:[Cod_Sub_acción_especifica]],2,0)</f>
        <v>#N/A</v>
      </c>
      <c r="E478" s="328" t="e">
        <f>Tabla18[[#This Row],[Bus_03]]&amp;"_"&amp;Tabla5[[#This Row],[Tipo de Agente
&lt;&lt; Seleccionar&gt;&gt;]]</f>
        <v>#N/A</v>
      </c>
      <c r="F478" s="328" t="e">
        <f>VLOOKUP(Tabla18[[#This Row],[Concat2]],TablaPOA[[#All],[Concat]:[ConcatEspecial]],3,0)</f>
        <v>#N/A</v>
      </c>
      <c r="G478" s="65" t="str">
        <f>CONCATENATE(Registro!$A$6,"_",Tabla5[[#This Row],[Zona (Provincia)
&lt;&lt; Seleccionar&gt;&gt;]])</f>
        <v>Huánuco_</v>
      </c>
      <c r="H478" s="60" t="e">
        <f>VLOOKUP(Tabla18[[#This Row],[Concatenado***]],Tabla2[[#All],[Concatenado]:[Simbología*]],2,0)</f>
        <v>#N/A</v>
      </c>
      <c r="I478" s="65" t="str">
        <f>CONCATENATE(Tabla18[[#This Row],[Concatenado***]],"_",Tabla5[[#This Row],[Zona (Distrito)
&lt;&lt; Seleccionar&gt;&gt;]])</f>
        <v>Huánuco__</v>
      </c>
      <c r="J4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8" s="72" t="e">
        <f>VLOOKUP(Tabla5[[#This Row],[Tipo de Transporte Empleado
&lt;&lt; Seleccionar&gt;&gt;]],Tabla8[#All],2,0)</f>
        <v>#N/A</v>
      </c>
      <c r="L478" s="71" t="e">
        <f>#REF!+(#REF!*2)+#REF!</f>
        <v>#REF!</v>
      </c>
    </row>
    <row r="479" spans="1:12" x14ac:dyDescent="0.25">
      <c r="A479" s="328" t="e">
        <f>VLOOKUP(Tabla5[[#This Row],[Acción
&lt;&lt; Seleccionar&gt;&gt;]],TablaAccion[[#All],[Nombre_Abreviado]:[Codigo_Plan_Acción]],3,0)</f>
        <v>#N/A</v>
      </c>
      <c r="B479" s="328" t="e">
        <f>VLOOKUP(Tabla5[[#This Row],[Acción Especifica
&lt;&lt; Seleccionar&gt;&gt;]],TablaAccionEspecifica[[#All],[Nombre_Abreviado]:[Codigo_Acción]],3,0)</f>
        <v>#N/A</v>
      </c>
      <c r="C479" s="328" t="e">
        <f>CONCATENATE(Tabla18[[#This Row],[Bus_02]],"_",Tabla5[[#This Row],[Sub Acción Específica
&lt;&lt; Seleccionar&gt;&gt;]])</f>
        <v>#N/A</v>
      </c>
      <c r="D479" s="328" t="e">
        <f>VLOOKUP(Tabla18[[#This Row],[Aux_01]],TablaSubAccionEspecifica[[#All],[Concat]:[Cod_Sub_acción_especifica]],2,0)</f>
        <v>#N/A</v>
      </c>
      <c r="E479" s="328" t="e">
        <f>Tabla18[[#This Row],[Bus_03]]&amp;"_"&amp;Tabla5[[#This Row],[Tipo de Agente
&lt;&lt; Seleccionar&gt;&gt;]]</f>
        <v>#N/A</v>
      </c>
      <c r="F479" s="328" t="e">
        <f>VLOOKUP(Tabla18[[#This Row],[Concat2]],TablaPOA[[#All],[Concat]:[ConcatEspecial]],3,0)</f>
        <v>#N/A</v>
      </c>
      <c r="G479" s="65" t="str">
        <f>CONCATENATE(Registro!$A$6,"_",Tabla5[[#This Row],[Zona (Provincia)
&lt;&lt; Seleccionar&gt;&gt;]])</f>
        <v>Huánuco_</v>
      </c>
      <c r="H479" s="60" t="e">
        <f>VLOOKUP(Tabla18[[#This Row],[Concatenado***]],Tabla2[[#All],[Concatenado]:[Simbología*]],2,0)</f>
        <v>#N/A</v>
      </c>
      <c r="I479" s="65" t="str">
        <f>CONCATENATE(Tabla18[[#This Row],[Concatenado***]],"_",Tabla5[[#This Row],[Zona (Distrito)
&lt;&lt; Seleccionar&gt;&gt;]])</f>
        <v>Huánuco__</v>
      </c>
      <c r="J4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9" s="72" t="e">
        <f>VLOOKUP(Tabla5[[#This Row],[Tipo de Transporte Empleado
&lt;&lt; Seleccionar&gt;&gt;]],Tabla8[#All],2,0)</f>
        <v>#N/A</v>
      </c>
      <c r="L479" s="71" t="e">
        <f>#REF!+(#REF!*2)+#REF!</f>
        <v>#REF!</v>
      </c>
    </row>
    <row r="480" spans="1:12" x14ac:dyDescent="0.25">
      <c r="A480" s="328" t="e">
        <f>VLOOKUP(Tabla5[[#This Row],[Acción
&lt;&lt; Seleccionar&gt;&gt;]],TablaAccion[[#All],[Nombre_Abreviado]:[Codigo_Plan_Acción]],3,0)</f>
        <v>#N/A</v>
      </c>
      <c r="B480" s="328" t="e">
        <f>VLOOKUP(Tabla5[[#This Row],[Acción Especifica
&lt;&lt; Seleccionar&gt;&gt;]],TablaAccionEspecifica[[#All],[Nombre_Abreviado]:[Codigo_Acción]],3,0)</f>
        <v>#N/A</v>
      </c>
      <c r="C480" s="328" t="e">
        <f>CONCATENATE(Tabla18[[#This Row],[Bus_02]],"_",Tabla5[[#This Row],[Sub Acción Específica
&lt;&lt; Seleccionar&gt;&gt;]])</f>
        <v>#N/A</v>
      </c>
      <c r="D480" s="328" t="e">
        <f>VLOOKUP(Tabla18[[#This Row],[Aux_01]],TablaSubAccionEspecifica[[#All],[Concat]:[Cod_Sub_acción_especifica]],2,0)</f>
        <v>#N/A</v>
      </c>
      <c r="E480" s="328" t="e">
        <f>Tabla18[[#This Row],[Bus_03]]&amp;"_"&amp;Tabla5[[#This Row],[Tipo de Agente
&lt;&lt; Seleccionar&gt;&gt;]]</f>
        <v>#N/A</v>
      </c>
      <c r="F480" s="328" t="e">
        <f>VLOOKUP(Tabla18[[#This Row],[Concat2]],TablaPOA[[#All],[Concat]:[ConcatEspecial]],3,0)</f>
        <v>#N/A</v>
      </c>
      <c r="G480" s="65" t="str">
        <f>CONCATENATE(Registro!$A$6,"_",Tabla5[[#This Row],[Zona (Provincia)
&lt;&lt; Seleccionar&gt;&gt;]])</f>
        <v>Huánuco_</v>
      </c>
      <c r="H480" s="60" t="e">
        <f>VLOOKUP(Tabla18[[#This Row],[Concatenado***]],Tabla2[[#All],[Concatenado]:[Simbología*]],2,0)</f>
        <v>#N/A</v>
      </c>
      <c r="I480" s="65" t="str">
        <f>CONCATENATE(Tabla18[[#This Row],[Concatenado***]],"_",Tabla5[[#This Row],[Zona (Distrito)
&lt;&lt; Seleccionar&gt;&gt;]])</f>
        <v>Huánuco__</v>
      </c>
      <c r="J4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0" s="72" t="e">
        <f>VLOOKUP(Tabla5[[#This Row],[Tipo de Transporte Empleado
&lt;&lt; Seleccionar&gt;&gt;]],Tabla8[#All],2,0)</f>
        <v>#N/A</v>
      </c>
      <c r="L480" s="71" t="e">
        <f>#REF!+(#REF!*2)+#REF!</f>
        <v>#REF!</v>
      </c>
    </row>
    <row r="481" spans="1:12" x14ac:dyDescent="0.25">
      <c r="A481" s="328" t="e">
        <f>VLOOKUP(Tabla5[[#This Row],[Acción
&lt;&lt; Seleccionar&gt;&gt;]],TablaAccion[[#All],[Nombre_Abreviado]:[Codigo_Plan_Acción]],3,0)</f>
        <v>#N/A</v>
      </c>
      <c r="B481" s="328" t="e">
        <f>VLOOKUP(Tabla5[[#This Row],[Acción Especifica
&lt;&lt; Seleccionar&gt;&gt;]],TablaAccionEspecifica[[#All],[Nombre_Abreviado]:[Codigo_Acción]],3,0)</f>
        <v>#N/A</v>
      </c>
      <c r="C481" s="328" t="e">
        <f>CONCATENATE(Tabla18[[#This Row],[Bus_02]],"_",Tabla5[[#This Row],[Sub Acción Específica
&lt;&lt; Seleccionar&gt;&gt;]])</f>
        <v>#N/A</v>
      </c>
      <c r="D481" s="328" t="e">
        <f>VLOOKUP(Tabla18[[#This Row],[Aux_01]],TablaSubAccionEspecifica[[#All],[Concat]:[Cod_Sub_acción_especifica]],2,0)</f>
        <v>#N/A</v>
      </c>
      <c r="E481" s="328" t="e">
        <f>Tabla18[[#This Row],[Bus_03]]&amp;"_"&amp;Tabla5[[#This Row],[Tipo de Agente
&lt;&lt; Seleccionar&gt;&gt;]]</f>
        <v>#N/A</v>
      </c>
      <c r="F481" s="328" t="e">
        <f>VLOOKUP(Tabla18[[#This Row],[Concat2]],TablaPOA[[#All],[Concat]:[ConcatEspecial]],3,0)</f>
        <v>#N/A</v>
      </c>
      <c r="G481" s="65" t="str">
        <f>CONCATENATE(Registro!$A$6,"_",Tabla5[[#This Row],[Zona (Provincia)
&lt;&lt; Seleccionar&gt;&gt;]])</f>
        <v>Huánuco_</v>
      </c>
      <c r="H481" s="60" t="e">
        <f>VLOOKUP(Tabla18[[#This Row],[Concatenado***]],Tabla2[[#All],[Concatenado]:[Simbología*]],2,0)</f>
        <v>#N/A</v>
      </c>
      <c r="I481" s="65" t="str">
        <f>CONCATENATE(Tabla18[[#This Row],[Concatenado***]],"_",Tabla5[[#This Row],[Zona (Distrito)
&lt;&lt; Seleccionar&gt;&gt;]])</f>
        <v>Huánuco__</v>
      </c>
      <c r="J4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1" s="72" t="e">
        <f>VLOOKUP(Tabla5[[#This Row],[Tipo de Transporte Empleado
&lt;&lt; Seleccionar&gt;&gt;]],Tabla8[#All],2,0)</f>
        <v>#N/A</v>
      </c>
      <c r="L481" s="71" t="e">
        <f>#REF!+(#REF!*2)+#REF!</f>
        <v>#REF!</v>
      </c>
    </row>
    <row r="482" spans="1:12" x14ac:dyDescent="0.25">
      <c r="A482" s="328" t="e">
        <f>VLOOKUP(Tabla5[[#This Row],[Acción
&lt;&lt; Seleccionar&gt;&gt;]],TablaAccion[[#All],[Nombre_Abreviado]:[Codigo_Plan_Acción]],3,0)</f>
        <v>#N/A</v>
      </c>
      <c r="B482" s="328" t="e">
        <f>VLOOKUP(Tabla5[[#This Row],[Acción Especifica
&lt;&lt; Seleccionar&gt;&gt;]],TablaAccionEspecifica[[#All],[Nombre_Abreviado]:[Codigo_Acción]],3,0)</f>
        <v>#N/A</v>
      </c>
      <c r="C482" s="328" t="e">
        <f>CONCATENATE(Tabla18[[#This Row],[Bus_02]],"_",Tabla5[[#This Row],[Sub Acción Específica
&lt;&lt; Seleccionar&gt;&gt;]])</f>
        <v>#N/A</v>
      </c>
      <c r="D482" s="328" t="e">
        <f>VLOOKUP(Tabla18[[#This Row],[Aux_01]],TablaSubAccionEspecifica[[#All],[Concat]:[Cod_Sub_acción_especifica]],2,0)</f>
        <v>#N/A</v>
      </c>
      <c r="E482" s="328" t="e">
        <f>Tabla18[[#This Row],[Bus_03]]&amp;"_"&amp;Tabla5[[#This Row],[Tipo de Agente
&lt;&lt; Seleccionar&gt;&gt;]]</f>
        <v>#N/A</v>
      </c>
      <c r="F482" s="328" t="e">
        <f>VLOOKUP(Tabla18[[#This Row],[Concat2]],TablaPOA[[#All],[Concat]:[ConcatEspecial]],3,0)</f>
        <v>#N/A</v>
      </c>
      <c r="G482" s="65" t="str">
        <f>CONCATENATE(Registro!$A$6,"_",Tabla5[[#This Row],[Zona (Provincia)
&lt;&lt; Seleccionar&gt;&gt;]])</f>
        <v>Huánuco_</v>
      </c>
      <c r="H482" s="60" t="e">
        <f>VLOOKUP(Tabla18[[#This Row],[Concatenado***]],Tabla2[[#All],[Concatenado]:[Simbología*]],2,0)</f>
        <v>#N/A</v>
      </c>
      <c r="I482" s="65" t="str">
        <f>CONCATENATE(Tabla18[[#This Row],[Concatenado***]],"_",Tabla5[[#This Row],[Zona (Distrito)
&lt;&lt; Seleccionar&gt;&gt;]])</f>
        <v>Huánuco__</v>
      </c>
      <c r="J4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2" s="72" t="e">
        <f>VLOOKUP(Tabla5[[#This Row],[Tipo de Transporte Empleado
&lt;&lt; Seleccionar&gt;&gt;]],Tabla8[#All],2,0)</f>
        <v>#N/A</v>
      </c>
      <c r="L482" s="71" t="e">
        <f>#REF!+(#REF!*2)+#REF!</f>
        <v>#REF!</v>
      </c>
    </row>
    <row r="483" spans="1:12" x14ac:dyDescent="0.25">
      <c r="A483" s="328" t="e">
        <f>VLOOKUP(Tabla5[[#This Row],[Acción
&lt;&lt; Seleccionar&gt;&gt;]],TablaAccion[[#All],[Nombre_Abreviado]:[Codigo_Plan_Acción]],3,0)</f>
        <v>#N/A</v>
      </c>
      <c r="B483" s="328" t="e">
        <f>VLOOKUP(Tabla5[[#This Row],[Acción Especifica
&lt;&lt; Seleccionar&gt;&gt;]],TablaAccionEspecifica[[#All],[Nombre_Abreviado]:[Codigo_Acción]],3,0)</f>
        <v>#N/A</v>
      </c>
      <c r="C483" s="328" t="e">
        <f>CONCATENATE(Tabla18[[#This Row],[Bus_02]],"_",Tabla5[[#This Row],[Sub Acción Específica
&lt;&lt; Seleccionar&gt;&gt;]])</f>
        <v>#N/A</v>
      </c>
      <c r="D483" s="328" t="e">
        <f>VLOOKUP(Tabla18[[#This Row],[Aux_01]],TablaSubAccionEspecifica[[#All],[Concat]:[Cod_Sub_acción_especifica]],2,0)</f>
        <v>#N/A</v>
      </c>
      <c r="E483" s="328" t="e">
        <f>Tabla18[[#This Row],[Bus_03]]&amp;"_"&amp;Tabla5[[#This Row],[Tipo de Agente
&lt;&lt; Seleccionar&gt;&gt;]]</f>
        <v>#N/A</v>
      </c>
      <c r="F483" s="328" t="e">
        <f>VLOOKUP(Tabla18[[#This Row],[Concat2]],TablaPOA[[#All],[Concat]:[ConcatEspecial]],3,0)</f>
        <v>#N/A</v>
      </c>
      <c r="G483" s="65" t="str">
        <f>CONCATENATE(Registro!$A$6,"_",Tabla5[[#This Row],[Zona (Provincia)
&lt;&lt; Seleccionar&gt;&gt;]])</f>
        <v>Huánuco_</v>
      </c>
      <c r="H483" s="60" t="e">
        <f>VLOOKUP(Tabla18[[#This Row],[Concatenado***]],Tabla2[[#All],[Concatenado]:[Simbología*]],2,0)</f>
        <v>#N/A</v>
      </c>
      <c r="I483" s="65" t="str">
        <f>CONCATENATE(Tabla18[[#This Row],[Concatenado***]],"_",Tabla5[[#This Row],[Zona (Distrito)
&lt;&lt; Seleccionar&gt;&gt;]])</f>
        <v>Huánuco__</v>
      </c>
      <c r="J4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3" s="72" t="e">
        <f>VLOOKUP(Tabla5[[#This Row],[Tipo de Transporte Empleado
&lt;&lt; Seleccionar&gt;&gt;]],Tabla8[#All],2,0)</f>
        <v>#N/A</v>
      </c>
      <c r="L483" s="71" t="e">
        <f>#REF!+(#REF!*2)+#REF!</f>
        <v>#REF!</v>
      </c>
    </row>
    <row r="484" spans="1:12" x14ac:dyDescent="0.25">
      <c r="A484" s="328" t="e">
        <f>VLOOKUP(Tabla5[[#This Row],[Acción
&lt;&lt; Seleccionar&gt;&gt;]],TablaAccion[[#All],[Nombre_Abreviado]:[Codigo_Plan_Acción]],3,0)</f>
        <v>#N/A</v>
      </c>
      <c r="B484" s="328" t="e">
        <f>VLOOKUP(Tabla5[[#This Row],[Acción Especifica
&lt;&lt; Seleccionar&gt;&gt;]],TablaAccionEspecifica[[#All],[Nombre_Abreviado]:[Codigo_Acción]],3,0)</f>
        <v>#N/A</v>
      </c>
      <c r="C484" s="328" t="e">
        <f>CONCATENATE(Tabla18[[#This Row],[Bus_02]],"_",Tabla5[[#This Row],[Sub Acción Específica
&lt;&lt; Seleccionar&gt;&gt;]])</f>
        <v>#N/A</v>
      </c>
      <c r="D484" s="328" t="e">
        <f>VLOOKUP(Tabla18[[#This Row],[Aux_01]],TablaSubAccionEspecifica[[#All],[Concat]:[Cod_Sub_acción_especifica]],2,0)</f>
        <v>#N/A</v>
      </c>
      <c r="E484" s="328" t="e">
        <f>Tabla18[[#This Row],[Bus_03]]&amp;"_"&amp;Tabla5[[#This Row],[Tipo de Agente
&lt;&lt; Seleccionar&gt;&gt;]]</f>
        <v>#N/A</v>
      </c>
      <c r="F484" s="328" t="e">
        <f>VLOOKUP(Tabla18[[#This Row],[Concat2]],TablaPOA[[#All],[Concat]:[ConcatEspecial]],3,0)</f>
        <v>#N/A</v>
      </c>
      <c r="G484" s="65" t="str">
        <f>CONCATENATE(Registro!$A$6,"_",Tabla5[[#This Row],[Zona (Provincia)
&lt;&lt; Seleccionar&gt;&gt;]])</f>
        <v>Huánuco_</v>
      </c>
      <c r="H484" s="60" t="e">
        <f>VLOOKUP(Tabla18[[#This Row],[Concatenado***]],Tabla2[[#All],[Concatenado]:[Simbología*]],2,0)</f>
        <v>#N/A</v>
      </c>
      <c r="I484" s="65" t="str">
        <f>CONCATENATE(Tabla18[[#This Row],[Concatenado***]],"_",Tabla5[[#This Row],[Zona (Distrito)
&lt;&lt; Seleccionar&gt;&gt;]])</f>
        <v>Huánuco__</v>
      </c>
      <c r="J4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4" s="72" t="e">
        <f>VLOOKUP(Tabla5[[#This Row],[Tipo de Transporte Empleado
&lt;&lt; Seleccionar&gt;&gt;]],Tabla8[#All],2,0)</f>
        <v>#N/A</v>
      </c>
      <c r="L484" s="71" t="e">
        <f>#REF!+(#REF!*2)+#REF!</f>
        <v>#REF!</v>
      </c>
    </row>
    <row r="485" spans="1:12" x14ac:dyDescent="0.25">
      <c r="A485" s="328" t="e">
        <f>VLOOKUP(Tabla5[[#This Row],[Acción
&lt;&lt; Seleccionar&gt;&gt;]],TablaAccion[[#All],[Nombre_Abreviado]:[Codigo_Plan_Acción]],3,0)</f>
        <v>#N/A</v>
      </c>
      <c r="B485" s="328" t="e">
        <f>VLOOKUP(Tabla5[[#This Row],[Acción Especifica
&lt;&lt; Seleccionar&gt;&gt;]],TablaAccionEspecifica[[#All],[Nombre_Abreviado]:[Codigo_Acción]],3,0)</f>
        <v>#N/A</v>
      </c>
      <c r="C485" s="328" t="e">
        <f>CONCATENATE(Tabla18[[#This Row],[Bus_02]],"_",Tabla5[[#This Row],[Sub Acción Específica
&lt;&lt; Seleccionar&gt;&gt;]])</f>
        <v>#N/A</v>
      </c>
      <c r="D485" s="328" t="e">
        <f>VLOOKUP(Tabla18[[#This Row],[Aux_01]],TablaSubAccionEspecifica[[#All],[Concat]:[Cod_Sub_acción_especifica]],2,0)</f>
        <v>#N/A</v>
      </c>
      <c r="E485" s="328" t="e">
        <f>Tabla18[[#This Row],[Bus_03]]&amp;"_"&amp;Tabla5[[#This Row],[Tipo de Agente
&lt;&lt; Seleccionar&gt;&gt;]]</f>
        <v>#N/A</v>
      </c>
      <c r="F485" s="328" t="e">
        <f>VLOOKUP(Tabla18[[#This Row],[Concat2]],TablaPOA[[#All],[Concat]:[ConcatEspecial]],3,0)</f>
        <v>#N/A</v>
      </c>
      <c r="G485" s="65" t="str">
        <f>CONCATENATE(Registro!$A$6,"_",Tabla5[[#This Row],[Zona (Provincia)
&lt;&lt; Seleccionar&gt;&gt;]])</f>
        <v>Huánuco_</v>
      </c>
      <c r="H485" s="60" t="e">
        <f>VLOOKUP(Tabla18[[#This Row],[Concatenado***]],Tabla2[[#All],[Concatenado]:[Simbología*]],2,0)</f>
        <v>#N/A</v>
      </c>
      <c r="I485" s="65" t="str">
        <f>CONCATENATE(Tabla18[[#This Row],[Concatenado***]],"_",Tabla5[[#This Row],[Zona (Distrito)
&lt;&lt; Seleccionar&gt;&gt;]])</f>
        <v>Huánuco__</v>
      </c>
      <c r="J4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5" s="72" t="e">
        <f>VLOOKUP(Tabla5[[#This Row],[Tipo de Transporte Empleado
&lt;&lt; Seleccionar&gt;&gt;]],Tabla8[#All],2,0)</f>
        <v>#N/A</v>
      </c>
      <c r="L485" s="71" t="e">
        <f>#REF!+(#REF!*2)+#REF!</f>
        <v>#REF!</v>
      </c>
    </row>
    <row r="486" spans="1:12" x14ac:dyDescent="0.25">
      <c r="A486" s="328" t="e">
        <f>VLOOKUP(Tabla5[[#This Row],[Acción
&lt;&lt; Seleccionar&gt;&gt;]],TablaAccion[[#All],[Nombre_Abreviado]:[Codigo_Plan_Acción]],3,0)</f>
        <v>#N/A</v>
      </c>
      <c r="B486" s="328" t="e">
        <f>VLOOKUP(Tabla5[[#This Row],[Acción Especifica
&lt;&lt; Seleccionar&gt;&gt;]],TablaAccionEspecifica[[#All],[Nombre_Abreviado]:[Codigo_Acción]],3,0)</f>
        <v>#N/A</v>
      </c>
      <c r="C486" s="328" t="e">
        <f>CONCATENATE(Tabla18[[#This Row],[Bus_02]],"_",Tabla5[[#This Row],[Sub Acción Específica
&lt;&lt; Seleccionar&gt;&gt;]])</f>
        <v>#N/A</v>
      </c>
      <c r="D486" s="328" t="e">
        <f>VLOOKUP(Tabla18[[#This Row],[Aux_01]],TablaSubAccionEspecifica[[#All],[Concat]:[Cod_Sub_acción_especifica]],2,0)</f>
        <v>#N/A</v>
      </c>
      <c r="E486" s="328" t="e">
        <f>Tabla18[[#This Row],[Bus_03]]&amp;"_"&amp;Tabla5[[#This Row],[Tipo de Agente
&lt;&lt; Seleccionar&gt;&gt;]]</f>
        <v>#N/A</v>
      </c>
      <c r="F486" s="328" t="e">
        <f>VLOOKUP(Tabla18[[#This Row],[Concat2]],TablaPOA[[#All],[Concat]:[ConcatEspecial]],3,0)</f>
        <v>#N/A</v>
      </c>
      <c r="G486" s="65" t="str">
        <f>CONCATENATE(Registro!$A$6,"_",Tabla5[[#This Row],[Zona (Provincia)
&lt;&lt; Seleccionar&gt;&gt;]])</f>
        <v>Huánuco_</v>
      </c>
      <c r="H486" s="60" t="e">
        <f>VLOOKUP(Tabla18[[#This Row],[Concatenado***]],Tabla2[[#All],[Concatenado]:[Simbología*]],2,0)</f>
        <v>#N/A</v>
      </c>
      <c r="I486" s="65" t="str">
        <f>CONCATENATE(Tabla18[[#This Row],[Concatenado***]],"_",Tabla5[[#This Row],[Zona (Distrito)
&lt;&lt; Seleccionar&gt;&gt;]])</f>
        <v>Huánuco__</v>
      </c>
      <c r="J4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6" s="72" t="e">
        <f>VLOOKUP(Tabla5[[#This Row],[Tipo de Transporte Empleado
&lt;&lt; Seleccionar&gt;&gt;]],Tabla8[#All],2,0)</f>
        <v>#N/A</v>
      </c>
      <c r="L486" s="71" t="e">
        <f>#REF!+(#REF!*2)+#REF!</f>
        <v>#REF!</v>
      </c>
    </row>
    <row r="487" spans="1:12" x14ac:dyDescent="0.25">
      <c r="A487" s="328" t="e">
        <f>VLOOKUP(Tabla5[[#This Row],[Acción
&lt;&lt; Seleccionar&gt;&gt;]],TablaAccion[[#All],[Nombre_Abreviado]:[Codigo_Plan_Acción]],3,0)</f>
        <v>#N/A</v>
      </c>
      <c r="B487" s="328" t="e">
        <f>VLOOKUP(Tabla5[[#This Row],[Acción Especifica
&lt;&lt; Seleccionar&gt;&gt;]],TablaAccionEspecifica[[#All],[Nombre_Abreviado]:[Codigo_Acción]],3,0)</f>
        <v>#N/A</v>
      </c>
      <c r="C487" s="328" t="e">
        <f>CONCATENATE(Tabla18[[#This Row],[Bus_02]],"_",Tabla5[[#This Row],[Sub Acción Específica
&lt;&lt; Seleccionar&gt;&gt;]])</f>
        <v>#N/A</v>
      </c>
      <c r="D487" s="328" t="e">
        <f>VLOOKUP(Tabla18[[#This Row],[Aux_01]],TablaSubAccionEspecifica[[#All],[Concat]:[Cod_Sub_acción_especifica]],2,0)</f>
        <v>#N/A</v>
      </c>
      <c r="E487" s="328" t="e">
        <f>Tabla18[[#This Row],[Bus_03]]&amp;"_"&amp;Tabla5[[#This Row],[Tipo de Agente
&lt;&lt; Seleccionar&gt;&gt;]]</f>
        <v>#N/A</v>
      </c>
      <c r="F487" s="328" t="e">
        <f>VLOOKUP(Tabla18[[#This Row],[Concat2]],TablaPOA[[#All],[Concat]:[ConcatEspecial]],3,0)</f>
        <v>#N/A</v>
      </c>
      <c r="G487" s="65" t="str">
        <f>CONCATENATE(Registro!$A$6,"_",Tabla5[[#This Row],[Zona (Provincia)
&lt;&lt; Seleccionar&gt;&gt;]])</f>
        <v>Huánuco_</v>
      </c>
      <c r="H487" s="60" t="e">
        <f>VLOOKUP(Tabla18[[#This Row],[Concatenado***]],Tabla2[[#All],[Concatenado]:[Simbología*]],2,0)</f>
        <v>#N/A</v>
      </c>
      <c r="I487" s="65" t="str">
        <f>CONCATENATE(Tabla18[[#This Row],[Concatenado***]],"_",Tabla5[[#This Row],[Zona (Distrito)
&lt;&lt; Seleccionar&gt;&gt;]])</f>
        <v>Huánuco__</v>
      </c>
      <c r="J4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7" s="72" t="e">
        <f>VLOOKUP(Tabla5[[#This Row],[Tipo de Transporte Empleado
&lt;&lt; Seleccionar&gt;&gt;]],Tabla8[#All],2,0)</f>
        <v>#N/A</v>
      </c>
      <c r="L487" s="71" t="e">
        <f>#REF!+(#REF!*2)+#REF!</f>
        <v>#REF!</v>
      </c>
    </row>
    <row r="488" spans="1:12" x14ac:dyDescent="0.25">
      <c r="A488" s="328" t="e">
        <f>VLOOKUP(Tabla5[[#This Row],[Acción
&lt;&lt; Seleccionar&gt;&gt;]],TablaAccion[[#All],[Nombre_Abreviado]:[Codigo_Plan_Acción]],3,0)</f>
        <v>#N/A</v>
      </c>
      <c r="B488" s="328" t="e">
        <f>VLOOKUP(Tabla5[[#This Row],[Acción Especifica
&lt;&lt; Seleccionar&gt;&gt;]],TablaAccionEspecifica[[#All],[Nombre_Abreviado]:[Codigo_Acción]],3,0)</f>
        <v>#N/A</v>
      </c>
      <c r="C488" s="328" t="e">
        <f>CONCATENATE(Tabla18[[#This Row],[Bus_02]],"_",Tabla5[[#This Row],[Sub Acción Específica
&lt;&lt; Seleccionar&gt;&gt;]])</f>
        <v>#N/A</v>
      </c>
      <c r="D488" s="328" t="e">
        <f>VLOOKUP(Tabla18[[#This Row],[Aux_01]],TablaSubAccionEspecifica[[#All],[Concat]:[Cod_Sub_acción_especifica]],2,0)</f>
        <v>#N/A</v>
      </c>
      <c r="E488" s="328" t="e">
        <f>Tabla18[[#This Row],[Bus_03]]&amp;"_"&amp;Tabla5[[#This Row],[Tipo de Agente
&lt;&lt; Seleccionar&gt;&gt;]]</f>
        <v>#N/A</v>
      </c>
      <c r="F488" s="328" t="e">
        <f>VLOOKUP(Tabla18[[#This Row],[Concat2]],TablaPOA[[#All],[Concat]:[ConcatEspecial]],3,0)</f>
        <v>#N/A</v>
      </c>
      <c r="G488" s="65" t="str">
        <f>CONCATENATE(Registro!$A$6,"_",Tabla5[[#This Row],[Zona (Provincia)
&lt;&lt; Seleccionar&gt;&gt;]])</f>
        <v>Huánuco_</v>
      </c>
      <c r="H488" s="60" t="e">
        <f>VLOOKUP(Tabla18[[#This Row],[Concatenado***]],Tabla2[[#All],[Concatenado]:[Simbología*]],2,0)</f>
        <v>#N/A</v>
      </c>
      <c r="I488" s="65" t="str">
        <f>CONCATENATE(Tabla18[[#This Row],[Concatenado***]],"_",Tabla5[[#This Row],[Zona (Distrito)
&lt;&lt; Seleccionar&gt;&gt;]])</f>
        <v>Huánuco__</v>
      </c>
      <c r="J4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8" s="72" t="e">
        <f>VLOOKUP(Tabla5[[#This Row],[Tipo de Transporte Empleado
&lt;&lt; Seleccionar&gt;&gt;]],Tabla8[#All],2,0)</f>
        <v>#N/A</v>
      </c>
      <c r="L488" s="71" t="e">
        <f>#REF!+(#REF!*2)+#REF!</f>
        <v>#REF!</v>
      </c>
    </row>
    <row r="489" spans="1:12" x14ac:dyDescent="0.25">
      <c r="A489" s="328" t="e">
        <f>VLOOKUP(Tabla5[[#This Row],[Acción
&lt;&lt; Seleccionar&gt;&gt;]],TablaAccion[[#All],[Nombre_Abreviado]:[Codigo_Plan_Acción]],3,0)</f>
        <v>#N/A</v>
      </c>
      <c r="B489" s="328" t="e">
        <f>VLOOKUP(Tabla5[[#This Row],[Acción Especifica
&lt;&lt; Seleccionar&gt;&gt;]],TablaAccionEspecifica[[#All],[Nombre_Abreviado]:[Codigo_Acción]],3,0)</f>
        <v>#N/A</v>
      </c>
      <c r="C489" s="328" t="e">
        <f>CONCATENATE(Tabla18[[#This Row],[Bus_02]],"_",Tabla5[[#This Row],[Sub Acción Específica
&lt;&lt; Seleccionar&gt;&gt;]])</f>
        <v>#N/A</v>
      </c>
      <c r="D489" s="328" t="e">
        <f>VLOOKUP(Tabla18[[#This Row],[Aux_01]],TablaSubAccionEspecifica[[#All],[Concat]:[Cod_Sub_acción_especifica]],2,0)</f>
        <v>#N/A</v>
      </c>
      <c r="E489" s="328" t="e">
        <f>Tabla18[[#This Row],[Bus_03]]&amp;"_"&amp;Tabla5[[#This Row],[Tipo de Agente
&lt;&lt; Seleccionar&gt;&gt;]]</f>
        <v>#N/A</v>
      </c>
      <c r="F489" s="328" t="e">
        <f>VLOOKUP(Tabla18[[#This Row],[Concat2]],TablaPOA[[#All],[Concat]:[ConcatEspecial]],3,0)</f>
        <v>#N/A</v>
      </c>
      <c r="G489" s="65" t="str">
        <f>CONCATENATE(Registro!$A$6,"_",Tabla5[[#This Row],[Zona (Provincia)
&lt;&lt; Seleccionar&gt;&gt;]])</f>
        <v>Huánuco_</v>
      </c>
      <c r="H489" s="60" t="e">
        <f>VLOOKUP(Tabla18[[#This Row],[Concatenado***]],Tabla2[[#All],[Concatenado]:[Simbología*]],2,0)</f>
        <v>#N/A</v>
      </c>
      <c r="I489" s="65" t="str">
        <f>CONCATENATE(Tabla18[[#This Row],[Concatenado***]],"_",Tabla5[[#This Row],[Zona (Distrito)
&lt;&lt; Seleccionar&gt;&gt;]])</f>
        <v>Huánuco__</v>
      </c>
      <c r="J4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9" s="72" t="e">
        <f>VLOOKUP(Tabla5[[#This Row],[Tipo de Transporte Empleado
&lt;&lt; Seleccionar&gt;&gt;]],Tabla8[#All],2,0)</f>
        <v>#N/A</v>
      </c>
      <c r="L489" s="71" t="e">
        <f>#REF!+(#REF!*2)+#REF!</f>
        <v>#REF!</v>
      </c>
    </row>
    <row r="490" spans="1:12" x14ac:dyDescent="0.25">
      <c r="A490" s="328" t="e">
        <f>VLOOKUP(Tabla5[[#This Row],[Acción
&lt;&lt; Seleccionar&gt;&gt;]],TablaAccion[[#All],[Nombre_Abreviado]:[Codigo_Plan_Acción]],3,0)</f>
        <v>#N/A</v>
      </c>
      <c r="B490" s="328" t="e">
        <f>VLOOKUP(Tabla5[[#This Row],[Acción Especifica
&lt;&lt; Seleccionar&gt;&gt;]],TablaAccionEspecifica[[#All],[Nombre_Abreviado]:[Codigo_Acción]],3,0)</f>
        <v>#N/A</v>
      </c>
      <c r="C490" s="328" t="e">
        <f>CONCATENATE(Tabla18[[#This Row],[Bus_02]],"_",Tabla5[[#This Row],[Sub Acción Específica
&lt;&lt; Seleccionar&gt;&gt;]])</f>
        <v>#N/A</v>
      </c>
      <c r="D490" s="328" t="e">
        <f>VLOOKUP(Tabla18[[#This Row],[Aux_01]],TablaSubAccionEspecifica[[#All],[Concat]:[Cod_Sub_acción_especifica]],2,0)</f>
        <v>#N/A</v>
      </c>
      <c r="E490" s="328" t="e">
        <f>Tabla18[[#This Row],[Bus_03]]&amp;"_"&amp;Tabla5[[#This Row],[Tipo de Agente
&lt;&lt; Seleccionar&gt;&gt;]]</f>
        <v>#N/A</v>
      </c>
      <c r="F490" s="328" t="e">
        <f>VLOOKUP(Tabla18[[#This Row],[Concat2]],TablaPOA[[#All],[Concat]:[ConcatEspecial]],3,0)</f>
        <v>#N/A</v>
      </c>
      <c r="G490" s="65" t="str">
        <f>CONCATENATE(Registro!$A$6,"_",Tabla5[[#This Row],[Zona (Provincia)
&lt;&lt; Seleccionar&gt;&gt;]])</f>
        <v>Huánuco_</v>
      </c>
      <c r="H490" s="60" t="e">
        <f>VLOOKUP(Tabla18[[#This Row],[Concatenado***]],Tabla2[[#All],[Concatenado]:[Simbología*]],2,0)</f>
        <v>#N/A</v>
      </c>
      <c r="I490" s="65" t="str">
        <f>CONCATENATE(Tabla18[[#This Row],[Concatenado***]],"_",Tabla5[[#This Row],[Zona (Distrito)
&lt;&lt; Seleccionar&gt;&gt;]])</f>
        <v>Huánuco__</v>
      </c>
      <c r="J4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0" s="72" t="e">
        <f>VLOOKUP(Tabla5[[#This Row],[Tipo de Transporte Empleado
&lt;&lt; Seleccionar&gt;&gt;]],Tabla8[#All],2,0)</f>
        <v>#N/A</v>
      </c>
      <c r="L490" s="71" t="e">
        <f>#REF!+(#REF!*2)+#REF!</f>
        <v>#REF!</v>
      </c>
    </row>
    <row r="491" spans="1:12" x14ac:dyDescent="0.25">
      <c r="A491" s="328" t="e">
        <f>VLOOKUP(Tabla5[[#This Row],[Acción
&lt;&lt; Seleccionar&gt;&gt;]],TablaAccion[[#All],[Nombre_Abreviado]:[Codigo_Plan_Acción]],3,0)</f>
        <v>#N/A</v>
      </c>
      <c r="B491" s="328" t="e">
        <f>VLOOKUP(Tabla5[[#This Row],[Acción Especifica
&lt;&lt; Seleccionar&gt;&gt;]],TablaAccionEspecifica[[#All],[Nombre_Abreviado]:[Codigo_Acción]],3,0)</f>
        <v>#N/A</v>
      </c>
      <c r="C491" s="328" t="e">
        <f>CONCATENATE(Tabla18[[#This Row],[Bus_02]],"_",Tabla5[[#This Row],[Sub Acción Específica
&lt;&lt; Seleccionar&gt;&gt;]])</f>
        <v>#N/A</v>
      </c>
      <c r="D491" s="328" t="e">
        <f>VLOOKUP(Tabla18[[#This Row],[Aux_01]],TablaSubAccionEspecifica[[#All],[Concat]:[Cod_Sub_acción_especifica]],2,0)</f>
        <v>#N/A</v>
      </c>
      <c r="E491" s="328" t="e">
        <f>Tabla18[[#This Row],[Bus_03]]&amp;"_"&amp;Tabla5[[#This Row],[Tipo de Agente
&lt;&lt; Seleccionar&gt;&gt;]]</f>
        <v>#N/A</v>
      </c>
      <c r="F491" s="328" t="e">
        <f>VLOOKUP(Tabla18[[#This Row],[Concat2]],TablaPOA[[#All],[Concat]:[ConcatEspecial]],3,0)</f>
        <v>#N/A</v>
      </c>
      <c r="G491" s="65" t="str">
        <f>CONCATENATE(Registro!$A$6,"_",Tabla5[[#This Row],[Zona (Provincia)
&lt;&lt; Seleccionar&gt;&gt;]])</f>
        <v>Huánuco_</v>
      </c>
      <c r="H491" s="60" t="e">
        <f>VLOOKUP(Tabla18[[#This Row],[Concatenado***]],Tabla2[[#All],[Concatenado]:[Simbología*]],2,0)</f>
        <v>#N/A</v>
      </c>
      <c r="I491" s="65" t="str">
        <f>CONCATENATE(Tabla18[[#This Row],[Concatenado***]],"_",Tabla5[[#This Row],[Zona (Distrito)
&lt;&lt; Seleccionar&gt;&gt;]])</f>
        <v>Huánuco__</v>
      </c>
      <c r="J4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1" s="72" t="e">
        <f>VLOOKUP(Tabla5[[#This Row],[Tipo de Transporte Empleado
&lt;&lt; Seleccionar&gt;&gt;]],Tabla8[#All],2,0)</f>
        <v>#N/A</v>
      </c>
      <c r="L491" s="71" t="e">
        <f>#REF!+(#REF!*2)+#REF!</f>
        <v>#REF!</v>
      </c>
    </row>
    <row r="492" spans="1:12" x14ac:dyDescent="0.25">
      <c r="A492" s="328" t="e">
        <f>VLOOKUP(Tabla5[[#This Row],[Acción
&lt;&lt; Seleccionar&gt;&gt;]],TablaAccion[[#All],[Nombre_Abreviado]:[Codigo_Plan_Acción]],3,0)</f>
        <v>#N/A</v>
      </c>
      <c r="B492" s="328" t="e">
        <f>VLOOKUP(Tabla5[[#This Row],[Acción Especifica
&lt;&lt; Seleccionar&gt;&gt;]],TablaAccionEspecifica[[#All],[Nombre_Abreviado]:[Codigo_Acción]],3,0)</f>
        <v>#N/A</v>
      </c>
      <c r="C492" s="328" t="e">
        <f>CONCATENATE(Tabla18[[#This Row],[Bus_02]],"_",Tabla5[[#This Row],[Sub Acción Específica
&lt;&lt; Seleccionar&gt;&gt;]])</f>
        <v>#N/A</v>
      </c>
      <c r="D492" s="328" t="e">
        <f>VLOOKUP(Tabla18[[#This Row],[Aux_01]],TablaSubAccionEspecifica[[#All],[Concat]:[Cod_Sub_acción_especifica]],2,0)</f>
        <v>#N/A</v>
      </c>
      <c r="E492" s="328" t="e">
        <f>Tabla18[[#This Row],[Bus_03]]&amp;"_"&amp;Tabla5[[#This Row],[Tipo de Agente
&lt;&lt; Seleccionar&gt;&gt;]]</f>
        <v>#N/A</v>
      </c>
      <c r="F492" s="328" t="e">
        <f>VLOOKUP(Tabla18[[#This Row],[Concat2]],TablaPOA[[#All],[Concat]:[ConcatEspecial]],3,0)</f>
        <v>#N/A</v>
      </c>
      <c r="G492" s="65" t="str">
        <f>CONCATENATE(Registro!$A$6,"_",Tabla5[[#This Row],[Zona (Provincia)
&lt;&lt; Seleccionar&gt;&gt;]])</f>
        <v>Huánuco_</v>
      </c>
      <c r="H492" s="60" t="e">
        <f>VLOOKUP(Tabla18[[#This Row],[Concatenado***]],Tabla2[[#All],[Concatenado]:[Simbología*]],2,0)</f>
        <v>#N/A</v>
      </c>
      <c r="I492" s="65" t="str">
        <f>CONCATENATE(Tabla18[[#This Row],[Concatenado***]],"_",Tabla5[[#This Row],[Zona (Distrito)
&lt;&lt; Seleccionar&gt;&gt;]])</f>
        <v>Huánuco__</v>
      </c>
      <c r="J4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2" s="72" t="e">
        <f>VLOOKUP(Tabla5[[#This Row],[Tipo de Transporte Empleado
&lt;&lt; Seleccionar&gt;&gt;]],Tabla8[#All],2,0)</f>
        <v>#N/A</v>
      </c>
      <c r="L492" s="71" t="e">
        <f>#REF!+(#REF!*2)+#REF!</f>
        <v>#REF!</v>
      </c>
    </row>
    <row r="493" spans="1:12" x14ac:dyDescent="0.25">
      <c r="A493" s="328" t="e">
        <f>VLOOKUP(Tabla5[[#This Row],[Acción
&lt;&lt; Seleccionar&gt;&gt;]],TablaAccion[[#All],[Nombre_Abreviado]:[Codigo_Plan_Acción]],3,0)</f>
        <v>#N/A</v>
      </c>
      <c r="B493" s="328" t="e">
        <f>VLOOKUP(Tabla5[[#This Row],[Acción Especifica
&lt;&lt; Seleccionar&gt;&gt;]],TablaAccionEspecifica[[#All],[Nombre_Abreviado]:[Codigo_Acción]],3,0)</f>
        <v>#N/A</v>
      </c>
      <c r="C493" s="328" t="e">
        <f>CONCATENATE(Tabla18[[#This Row],[Bus_02]],"_",Tabla5[[#This Row],[Sub Acción Específica
&lt;&lt; Seleccionar&gt;&gt;]])</f>
        <v>#N/A</v>
      </c>
      <c r="D493" s="328" t="e">
        <f>VLOOKUP(Tabla18[[#This Row],[Aux_01]],TablaSubAccionEspecifica[[#All],[Concat]:[Cod_Sub_acción_especifica]],2,0)</f>
        <v>#N/A</v>
      </c>
      <c r="E493" s="328" t="e">
        <f>Tabla18[[#This Row],[Bus_03]]&amp;"_"&amp;Tabla5[[#This Row],[Tipo de Agente
&lt;&lt; Seleccionar&gt;&gt;]]</f>
        <v>#N/A</v>
      </c>
      <c r="F493" s="328" t="e">
        <f>VLOOKUP(Tabla18[[#This Row],[Concat2]],TablaPOA[[#All],[Concat]:[ConcatEspecial]],3,0)</f>
        <v>#N/A</v>
      </c>
      <c r="G493" s="65" t="str">
        <f>CONCATENATE(Registro!$A$6,"_",Tabla5[[#This Row],[Zona (Provincia)
&lt;&lt; Seleccionar&gt;&gt;]])</f>
        <v>Huánuco_</v>
      </c>
      <c r="H493" s="60" t="e">
        <f>VLOOKUP(Tabla18[[#This Row],[Concatenado***]],Tabla2[[#All],[Concatenado]:[Simbología*]],2,0)</f>
        <v>#N/A</v>
      </c>
      <c r="I493" s="65" t="str">
        <f>CONCATENATE(Tabla18[[#This Row],[Concatenado***]],"_",Tabla5[[#This Row],[Zona (Distrito)
&lt;&lt; Seleccionar&gt;&gt;]])</f>
        <v>Huánuco__</v>
      </c>
      <c r="J4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3" s="72" t="e">
        <f>VLOOKUP(Tabla5[[#This Row],[Tipo de Transporte Empleado
&lt;&lt; Seleccionar&gt;&gt;]],Tabla8[#All],2,0)</f>
        <v>#N/A</v>
      </c>
      <c r="L493" s="71" t="e">
        <f>#REF!+(#REF!*2)+#REF!</f>
        <v>#REF!</v>
      </c>
    </row>
    <row r="494" spans="1:12" x14ac:dyDescent="0.25">
      <c r="A494" s="328" t="e">
        <f>VLOOKUP(Tabla5[[#This Row],[Acción
&lt;&lt; Seleccionar&gt;&gt;]],TablaAccion[[#All],[Nombre_Abreviado]:[Codigo_Plan_Acción]],3,0)</f>
        <v>#N/A</v>
      </c>
      <c r="B494" s="328" t="e">
        <f>VLOOKUP(Tabla5[[#This Row],[Acción Especifica
&lt;&lt; Seleccionar&gt;&gt;]],TablaAccionEspecifica[[#All],[Nombre_Abreviado]:[Codigo_Acción]],3,0)</f>
        <v>#N/A</v>
      </c>
      <c r="C494" s="328" t="e">
        <f>CONCATENATE(Tabla18[[#This Row],[Bus_02]],"_",Tabla5[[#This Row],[Sub Acción Específica
&lt;&lt; Seleccionar&gt;&gt;]])</f>
        <v>#N/A</v>
      </c>
      <c r="D494" s="328" t="e">
        <f>VLOOKUP(Tabla18[[#This Row],[Aux_01]],TablaSubAccionEspecifica[[#All],[Concat]:[Cod_Sub_acción_especifica]],2,0)</f>
        <v>#N/A</v>
      </c>
      <c r="E494" s="328" t="e">
        <f>Tabla18[[#This Row],[Bus_03]]&amp;"_"&amp;Tabla5[[#This Row],[Tipo de Agente
&lt;&lt; Seleccionar&gt;&gt;]]</f>
        <v>#N/A</v>
      </c>
      <c r="F494" s="328" t="e">
        <f>VLOOKUP(Tabla18[[#This Row],[Concat2]],TablaPOA[[#All],[Concat]:[ConcatEspecial]],3,0)</f>
        <v>#N/A</v>
      </c>
      <c r="G494" s="65" t="str">
        <f>CONCATENATE(Registro!$A$6,"_",Tabla5[[#This Row],[Zona (Provincia)
&lt;&lt; Seleccionar&gt;&gt;]])</f>
        <v>Huánuco_</v>
      </c>
      <c r="H494" s="60" t="e">
        <f>VLOOKUP(Tabla18[[#This Row],[Concatenado***]],Tabla2[[#All],[Concatenado]:[Simbología*]],2,0)</f>
        <v>#N/A</v>
      </c>
      <c r="I494" s="65" t="str">
        <f>CONCATENATE(Tabla18[[#This Row],[Concatenado***]],"_",Tabla5[[#This Row],[Zona (Distrito)
&lt;&lt; Seleccionar&gt;&gt;]])</f>
        <v>Huánuco__</v>
      </c>
      <c r="J4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4" s="72" t="e">
        <f>VLOOKUP(Tabla5[[#This Row],[Tipo de Transporte Empleado
&lt;&lt; Seleccionar&gt;&gt;]],Tabla8[#All],2,0)</f>
        <v>#N/A</v>
      </c>
      <c r="L494" s="71" t="e">
        <f>#REF!+(#REF!*2)+#REF!</f>
        <v>#REF!</v>
      </c>
    </row>
    <row r="495" spans="1:12" x14ac:dyDescent="0.25">
      <c r="A495" s="328" t="e">
        <f>VLOOKUP(Tabla5[[#This Row],[Acción
&lt;&lt; Seleccionar&gt;&gt;]],TablaAccion[[#All],[Nombre_Abreviado]:[Codigo_Plan_Acción]],3,0)</f>
        <v>#N/A</v>
      </c>
      <c r="B495" s="328" t="e">
        <f>VLOOKUP(Tabla5[[#This Row],[Acción Especifica
&lt;&lt; Seleccionar&gt;&gt;]],TablaAccionEspecifica[[#All],[Nombre_Abreviado]:[Codigo_Acción]],3,0)</f>
        <v>#N/A</v>
      </c>
      <c r="C495" s="328" t="e">
        <f>CONCATENATE(Tabla18[[#This Row],[Bus_02]],"_",Tabla5[[#This Row],[Sub Acción Específica
&lt;&lt; Seleccionar&gt;&gt;]])</f>
        <v>#N/A</v>
      </c>
      <c r="D495" s="328" t="e">
        <f>VLOOKUP(Tabla18[[#This Row],[Aux_01]],TablaSubAccionEspecifica[[#All],[Concat]:[Cod_Sub_acción_especifica]],2,0)</f>
        <v>#N/A</v>
      </c>
      <c r="E495" s="328" t="e">
        <f>Tabla18[[#This Row],[Bus_03]]&amp;"_"&amp;Tabla5[[#This Row],[Tipo de Agente
&lt;&lt; Seleccionar&gt;&gt;]]</f>
        <v>#N/A</v>
      </c>
      <c r="F495" s="328" t="e">
        <f>VLOOKUP(Tabla18[[#This Row],[Concat2]],TablaPOA[[#All],[Concat]:[ConcatEspecial]],3,0)</f>
        <v>#N/A</v>
      </c>
      <c r="G495" s="65" t="str">
        <f>CONCATENATE(Registro!$A$6,"_",Tabla5[[#This Row],[Zona (Provincia)
&lt;&lt; Seleccionar&gt;&gt;]])</f>
        <v>Huánuco_</v>
      </c>
      <c r="H495" s="60" t="e">
        <f>VLOOKUP(Tabla18[[#This Row],[Concatenado***]],Tabla2[[#All],[Concatenado]:[Simbología*]],2,0)</f>
        <v>#N/A</v>
      </c>
      <c r="I495" s="65" t="str">
        <f>CONCATENATE(Tabla18[[#This Row],[Concatenado***]],"_",Tabla5[[#This Row],[Zona (Distrito)
&lt;&lt; Seleccionar&gt;&gt;]])</f>
        <v>Huánuco__</v>
      </c>
      <c r="J4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5" s="72" t="e">
        <f>VLOOKUP(Tabla5[[#This Row],[Tipo de Transporte Empleado
&lt;&lt; Seleccionar&gt;&gt;]],Tabla8[#All],2,0)</f>
        <v>#N/A</v>
      </c>
      <c r="L495" s="71" t="e">
        <f>#REF!+(#REF!*2)+#REF!</f>
        <v>#REF!</v>
      </c>
    </row>
    <row r="496" spans="1:12" x14ac:dyDescent="0.25">
      <c r="A496" s="328" t="e">
        <f>VLOOKUP(Tabla5[[#This Row],[Acción
&lt;&lt; Seleccionar&gt;&gt;]],TablaAccion[[#All],[Nombre_Abreviado]:[Codigo_Plan_Acción]],3,0)</f>
        <v>#N/A</v>
      </c>
      <c r="B496" s="328" t="e">
        <f>VLOOKUP(Tabla5[[#This Row],[Acción Especifica
&lt;&lt; Seleccionar&gt;&gt;]],TablaAccionEspecifica[[#All],[Nombre_Abreviado]:[Codigo_Acción]],3,0)</f>
        <v>#N/A</v>
      </c>
      <c r="C496" s="328" t="e">
        <f>CONCATENATE(Tabla18[[#This Row],[Bus_02]],"_",Tabla5[[#This Row],[Sub Acción Específica
&lt;&lt; Seleccionar&gt;&gt;]])</f>
        <v>#N/A</v>
      </c>
      <c r="D496" s="328" t="e">
        <f>VLOOKUP(Tabla18[[#This Row],[Aux_01]],TablaSubAccionEspecifica[[#All],[Concat]:[Cod_Sub_acción_especifica]],2,0)</f>
        <v>#N/A</v>
      </c>
      <c r="E496" s="328" t="e">
        <f>Tabla18[[#This Row],[Bus_03]]&amp;"_"&amp;Tabla5[[#This Row],[Tipo de Agente
&lt;&lt; Seleccionar&gt;&gt;]]</f>
        <v>#N/A</v>
      </c>
      <c r="F496" s="328" t="e">
        <f>VLOOKUP(Tabla18[[#This Row],[Concat2]],TablaPOA[[#All],[Concat]:[ConcatEspecial]],3,0)</f>
        <v>#N/A</v>
      </c>
      <c r="G496" s="65" t="str">
        <f>CONCATENATE(Registro!$A$6,"_",Tabla5[[#This Row],[Zona (Provincia)
&lt;&lt; Seleccionar&gt;&gt;]])</f>
        <v>Huánuco_</v>
      </c>
      <c r="H496" s="60" t="e">
        <f>VLOOKUP(Tabla18[[#This Row],[Concatenado***]],Tabla2[[#All],[Concatenado]:[Simbología*]],2,0)</f>
        <v>#N/A</v>
      </c>
      <c r="I496" s="65" t="str">
        <f>CONCATENATE(Tabla18[[#This Row],[Concatenado***]],"_",Tabla5[[#This Row],[Zona (Distrito)
&lt;&lt; Seleccionar&gt;&gt;]])</f>
        <v>Huánuco__</v>
      </c>
      <c r="J4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6" s="72" t="e">
        <f>VLOOKUP(Tabla5[[#This Row],[Tipo de Transporte Empleado
&lt;&lt; Seleccionar&gt;&gt;]],Tabla8[#All],2,0)</f>
        <v>#N/A</v>
      </c>
      <c r="L496" s="71" t="e">
        <f>#REF!+(#REF!*2)+#REF!</f>
        <v>#REF!</v>
      </c>
    </row>
    <row r="497" spans="1:12" x14ac:dyDescent="0.25">
      <c r="A497" s="328" t="e">
        <f>VLOOKUP(Tabla5[[#This Row],[Acción
&lt;&lt; Seleccionar&gt;&gt;]],TablaAccion[[#All],[Nombre_Abreviado]:[Codigo_Plan_Acción]],3,0)</f>
        <v>#N/A</v>
      </c>
      <c r="B497" s="328" t="e">
        <f>VLOOKUP(Tabla5[[#This Row],[Acción Especifica
&lt;&lt; Seleccionar&gt;&gt;]],TablaAccionEspecifica[[#All],[Nombre_Abreviado]:[Codigo_Acción]],3,0)</f>
        <v>#N/A</v>
      </c>
      <c r="C497" s="328" t="e">
        <f>CONCATENATE(Tabla18[[#This Row],[Bus_02]],"_",Tabla5[[#This Row],[Sub Acción Específica
&lt;&lt; Seleccionar&gt;&gt;]])</f>
        <v>#N/A</v>
      </c>
      <c r="D497" s="328" t="e">
        <f>VLOOKUP(Tabla18[[#This Row],[Aux_01]],TablaSubAccionEspecifica[[#All],[Concat]:[Cod_Sub_acción_especifica]],2,0)</f>
        <v>#N/A</v>
      </c>
      <c r="E497" s="328" t="e">
        <f>Tabla18[[#This Row],[Bus_03]]&amp;"_"&amp;Tabla5[[#This Row],[Tipo de Agente
&lt;&lt; Seleccionar&gt;&gt;]]</f>
        <v>#N/A</v>
      </c>
      <c r="F497" s="328" t="e">
        <f>VLOOKUP(Tabla18[[#This Row],[Concat2]],TablaPOA[[#All],[Concat]:[ConcatEspecial]],3,0)</f>
        <v>#N/A</v>
      </c>
      <c r="G497" s="65" t="str">
        <f>CONCATENATE(Registro!$A$6,"_",Tabla5[[#This Row],[Zona (Provincia)
&lt;&lt; Seleccionar&gt;&gt;]])</f>
        <v>Huánuco_</v>
      </c>
      <c r="H497" s="60" t="e">
        <f>VLOOKUP(Tabla18[[#This Row],[Concatenado***]],Tabla2[[#All],[Concatenado]:[Simbología*]],2,0)</f>
        <v>#N/A</v>
      </c>
      <c r="I497" s="65" t="str">
        <f>CONCATENATE(Tabla18[[#This Row],[Concatenado***]],"_",Tabla5[[#This Row],[Zona (Distrito)
&lt;&lt; Seleccionar&gt;&gt;]])</f>
        <v>Huánuco__</v>
      </c>
      <c r="J4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7" s="72" t="e">
        <f>VLOOKUP(Tabla5[[#This Row],[Tipo de Transporte Empleado
&lt;&lt; Seleccionar&gt;&gt;]],Tabla8[#All],2,0)</f>
        <v>#N/A</v>
      </c>
      <c r="L497" s="71" t="e">
        <f>#REF!+(#REF!*2)+#REF!</f>
        <v>#REF!</v>
      </c>
    </row>
    <row r="498" spans="1:12" x14ac:dyDescent="0.25">
      <c r="A498" s="328" t="e">
        <f>VLOOKUP(Tabla5[[#This Row],[Acción
&lt;&lt; Seleccionar&gt;&gt;]],TablaAccion[[#All],[Nombre_Abreviado]:[Codigo_Plan_Acción]],3,0)</f>
        <v>#N/A</v>
      </c>
      <c r="B498" s="328" t="e">
        <f>VLOOKUP(Tabla5[[#This Row],[Acción Especifica
&lt;&lt; Seleccionar&gt;&gt;]],TablaAccionEspecifica[[#All],[Nombre_Abreviado]:[Codigo_Acción]],3,0)</f>
        <v>#N/A</v>
      </c>
      <c r="C498" s="328" t="e">
        <f>CONCATENATE(Tabla18[[#This Row],[Bus_02]],"_",Tabla5[[#This Row],[Sub Acción Específica
&lt;&lt; Seleccionar&gt;&gt;]])</f>
        <v>#N/A</v>
      </c>
      <c r="D498" s="328" t="e">
        <f>VLOOKUP(Tabla18[[#This Row],[Aux_01]],TablaSubAccionEspecifica[[#All],[Concat]:[Cod_Sub_acción_especifica]],2,0)</f>
        <v>#N/A</v>
      </c>
      <c r="E498" s="328" t="e">
        <f>Tabla18[[#This Row],[Bus_03]]&amp;"_"&amp;Tabla5[[#This Row],[Tipo de Agente
&lt;&lt; Seleccionar&gt;&gt;]]</f>
        <v>#N/A</v>
      </c>
      <c r="F498" s="328" t="e">
        <f>VLOOKUP(Tabla18[[#This Row],[Concat2]],TablaPOA[[#All],[Concat]:[ConcatEspecial]],3,0)</f>
        <v>#N/A</v>
      </c>
      <c r="G498" s="65" t="str">
        <f>CONCATENATE(Registro!$A$6,"_",Tabla5[[#This Row],[Zona (Provincia)
&lt;&lt; Seleccionar&gt;&gt;]])</f>
        <v>Huánuco_</v>
      </c>
      <c r="H498" s="60" t="e">
        <f>VLOOKUP(Tabla18[[#This Row],[Concatenado***]],Tabla2[[#All],[Concatenado]:[Simbología*]],2,0)</f>
        <v>#N/A</v>
      </c>
      <c r="I498" s="65" t="str">
        <f>CONCATENATE(Tabla18[[#This Row],[Concatenado***]],"_",Tabla5[[#This Row],[Zona (Distrito)
&lt;&lt; Seleccionar&gt;&gt;]])</f>
        <v>Huánuco__</v>
      </c>
      <c r="J4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8" s="72" t="e">
        <f>VLOOKUP(Tabla5[[#This Row],[Tipo de Transporte Empleado
&lt;&lt; Seleccionar&gt;&gt;]],Tabla8[#All],2,0)</f>
        <v>#N/A</v>
      </c>
      <c r="L498" s="71" t="e">
        <f>#REF!+(#REF!*2)+#REF!</f>
        <v>#REF!</v>
      </c>
    </row>
    <row r="499" spans="1:12" x14ac:dyDescent="0.25">
      <c r="A499" s="328" t="e">
        <f>VLOOKUP(Tabla5[[#This Row],[Acción
&lt;&lt; Seleccionar&gt;&gt;]],TablaAccion[[#All],[Nombre_Abreviado]:[Codigo_Plan_Acción]],3,0)</f>
        <v>#N/A</v>
      </c>
      <c r="B499" s="328" t="e">
        <f>VLOOKUP(Tabla5[[#This Row],[Acción Especifica
&lt;&lt; Seleccionar&gt;&gt;]],TablaAccionEspecifica[[#All],[Nombre_Abreviado]:[Codigo_Acción]],3,0)</f>
        <v>#N/A</v>
      </c>
      <c r="C499" s="328" t="e">
        <f>CONCATENATE(Tabla18[[#This Row],[Bus_02]],"_",Tabla5[[#This Row],[Sub Acción Específica
&lt;&lt; Seleccionar&gt;&gt;]])</f>
        <v>#N/A</v>
      </c>
      <c r="D499" s="328" t="e">
        <f>VLOOKUP(Tabla18[[#This Row],[Aux_01]],TablaSubAccionEspecifica[[#All],[Concat]:[Cod_Sub_acción_especifica]],2,0)</f>
        <v>#N/A</v>
      </c>
      <c r="E499" s="328" t="e">
        <f>Tabla18[[#This Row],[Bus_03]]&amp;"_"&amp;Tabla5[[#This Row],[Tipo de Agente
&lt;&lt; Seleccionar&gt;&gt;]]</f>
        <v>#N/A</v>
      </c>
      <c r="F499" s="328" t="e">
        <f>VLOOKUP(Tabla18[[#This Row],[Concat2]],TablaPOA[[#All],[Concat]:[ConcatEspecial]],3,0)</f>
        <v>#N/A</v>
      </c>
      <c r="G499" s="65" t="str">
        <f>CONCATENATE(Registro!$A$6,"_",Tabla5[[#This Row],[Zona (Provincia)
&lt;&lt; Seleccionar&gt;&gt;]])</f>
        <v>Huánuco_</v>
      </c>
      <c r="H499" s="60" t="e">
        <f>VLOOKUP(Tabla18[[#This Row],[Concatenado***]],Tabla2[[#All],[Concatenado]:[Simbología*]],2,0)</f>
        <v>#N/A</v>
      </c>
      <c r="I499" s="65" t="str">
        <f>CONCATENATE(Tabla18[[#This Row],[Concatenado***]],"_",Tabla5[[#This Row],[Zona (Distrito)
&lt;&lt; Seleccionar&gt;&gt;]])</f>
        <v>Huánuco__</v>
      </c>
      <c r="J4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9" s="72" t="e">
        <f>VLOOKUP(Tabla5[[#This Row],[Tipo de Transporte Empleado
&lt;&lt; Seleccionar&gt;&gt;]],Tabla8[#All],2,0)</f>
        <v>#N/A</v>
      </c>
      <c r="L499" s="71" t="e">
        <f>#REF!+(#REF!*2)+#REF!</f>
        <v>#REF!</v>
      </c>
    </row>
    <row r="500" spans="1:12" x14ac:dyDescent="0.25">
      <c r="A500" s="328" t="e">
        <f>VLOOKUP(Tabla5[[#This Row],[Acción
&lt;&lt; Seleccionar&gt;&gt;]],TablaAccion[[#All],[Nombre_Abreviado]:[Codigo_Plan_Acción]],3,0)</f>
        <v>#N/A</v>
      </c>
      <c r="B500" s="328" t="e">
        <f>VLOOKUP(Tabla5[[#This Row],[Acción Especifica
&lt;&lt; Seleccionar&gt;&gt;]],TablaAccionEspecifica[[#All],[Nombre_Abreviado]:[Codigo_Acción]],3,0)</f>
        <v>#N/A</v>
      </c>
      <c r="C500" s="328" t="e">
        <f>CONCATENATE(Tabla18[[#This Row],[Bus_02]],"_",Tabla5[[#This Row],[Sub Acción Específica
&lt;&lt; Seleccionar&gt;&gt;]])</f>
        <v>#N/A</v>
      </c>
      <c r="D500" s="328" t="e">
        <f>VLOOKUP(Tabla18[[#This Row],[Aux_01]],TablaSubAccionEspecifica[[#All],[Concat]:[Cod_Sub_acción_especifica]],2,0)</f>
        <v>#N/A</v>
      </c>
      <c r="E500" s="328" t="e">
        <f>Tabla18[[#This Row],[Bus_03]]&amp;"_"&amp;Tabla5[[#This Row],[Tipo de Agente
&lt;&lt; Seleccionar&gt;&gt;]]</f>
        <v>#N/A</v>
      </c>
      <c r="F500" s="328" t="e">
        <f>VLOOKUP(Tabla18[[#This Row],[Concat2]],TablaPOA[[#All],[Concat]:[ConcatEspecial]],3,0)</f>
        <v>#N/A</v>
      </c>
      <c r="G500" s="65" t="str">
        <f>CONCATENATE(Registro!$A$6,"_",Tabla5[[#This Row],[Zona (Provincia)
&lt;&lt; Seleccionar&gt;&gt;]])</f>
        <v>Huánuco_</v>
      </c>
      <c r="H500" s="60" t="e">
        <f>VLOOKUP(Tabla18[[#This Row],[Concatenado***]],Tabla2[[#All],[Concatenado]:[Simbología*]],2,0)</f>
        <v>#N/A</v>
      </c>
      <c r="I500" s="65" t="str">
        <f>CONCATENATE(Tabla18[[#This Row],[Concatenado***]],"_",Tabla5[[#This Row],[Zona (Distrito)
&lt;&lt; Seleccionar&gt;&gt;]])</f>
        <v>Huánuco__</v>
      </c>
      <c r="J5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0" s="72" t="e">
        <f>VLOOKUP(Tabla5[[#This Row],[Tipo de Transporte Empleado
&lt;&lt; Seleccionar&gt;&gt;]],Tabla8[#All],2,0)</f>
        <v>#N/A</v>
      </c>
      <c r="L500" s="71" t="e">
        <f>#REF!+(#REF!*2)+#REF!</f>
        <v>#REF!</v>
      </c>
    </row>
    <row r="501" spans="1:12" x14ac:dyDescent="0.25">
      <c r="A501" s="328" t="e">
        <f>VLOOKUP(Tabla5[[#This Row],[Acción
&lt;&lt; Seleccionar&gt;&gt;]],TablaAccion[[#All],[Nombre_Abreviado]:[Codigo_Plan_Acción]],3,0)</f>
        <v>#N/A</v>
      </c>
      <c r="B501" s="328" t="e">
        <f>VLOOKUP(Tabla5[[#This Row],[Acción Especifica
&lt;&lt; Seleccionar&gt;&gt;]],TablaAccionEspecifica[[#All],[Nombre_Abreviado]:[Codigo_Acción]],3,0)</f>
        <v>#N/A</v>
      </c>
      <c r="C501" s="328" t="e">
        <f>CONCATENATE(Tabla18[[#This Row],[Bus_02]],"_",Tabla5[[#This Row],[Sub Acción Específica
&lt;&lt; Seleccionar&gt;&gt;]])</f>
        <v>#N/A</v>
      </c>
      <c r="D501" s="328" t="e">
        <f>VLOOKUP(Tabla18[[#This Row],[Aux_01]],TablaSubAccionEspecifica[[#All],[Concat]:[Cod_Sub_acción_especifica]],2,0)</f>
        <v>#N/A</v>
      </c>
      <c r="E501" s="328" t="e">
        <f>Tabla18[[#This Row],[Bus_03]]&amp;"_"&amp;Tabla5[[#This Row],[Tipo de Agente
&lt;&lt; Seleccionar&gt;&gt;]]</f>
        <v>#N/A</v>
      </c>
      <c r="F501" s="328" t="e">
        <f>VLOOKUP(Tabla18[[#This Row],[Concat2]],TablaPOA[[#All],[Concat]:[ConcatEspecial]],3,0)</f>
        <v>#N/A</v>
      </c>
      <c r="G501" s="65" t="str">
        <f>CONCATENATE(Registro!$A$6,"_",Tabla5[[#This Row],[Zona (Provincia)
&lt;&lt; Seleccionar&gt;&gt;]])</f>
        <v>Huánuco_</v>
      </c>
      <c r="H501" s="60" t="e">
        <f>VLOOKUP(Tabla18[[#This Row],[Concatenado***]],Tabla2[[#All],[Concatenado]:[Simbología*]],2,0)</f>
        <v>#N/A</v>
      </c>
      <c r="I501" s="65" t="str">
        <f>CONCATENATE(Tabla18[[#This Row],[Concatenado***]],"_",Tabla5[[#This Row],[Zona (Distrito)
&lt;&lt; Seleccionar&gt;&gt;]])</f>
        <v>Huánuco__</v>
      </c>
      <c r="J5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1" s="72" t="e">
        <f>VLOOKUP(Tabla5[[#This Row],[Tipo de Transporte Empleado
&lt;&lt; Seleccionar&gt;&gt;]],Tabla8[#All],2,0)</f>
        <v>#N/A</v>
      </c>
      <c r="L501" s="71" t="e">
        <f>#REF!+(#REF!*2)+#REF!</f>
        <v>#REF!</v>
      </c>
    </row>
    <row r="502" spans="1:12" x14ac:dyDescent="0.25">
      <c r="A502" s="328" t="e">
        <f>VLOOKUP(Tabla5[[#This Row],[Acción
&lt;&lt; Seleccionar&gt;&gt;]],TablaAccion[[#All],[Nombre_Abreviado]:[Codigo_Plan_Acción]],3,0)</f>
        <v>#N/A</v>
      </c>
      <c r="B502" s="328" t="e">
        <f>VLOOKUP(Tabla5[[#This Row],[Acción Especifica
&lt;&lt; Seleccionar&gt;&gt;]],TablaAccionEspecifica[[#All],[Nombre_Abreviado]:[Codigo_Acción]],3,0)</f>
        <v>#N/A</v>
      </c>
      <c r="C502" s="328" t="e">
        <f>CONCATENATE(Tabla18[[#This Row],[Bus_02]],"_",Tabla5[[#This Row],[Sub Acción Específica
&lt;&lt; Seleccionar&gt;&gt;]])</f>
        <v>#N/A</v>
      </c>
      <c r="D502" s="328" t="e">
        <f>VLOOKUP(Tabla18[[#This Row],[Aux_01]],TablaSubAccionEspecifica[[#All],[Concat]:[Cod_Sub_acción_especifica]],2,0)</f>
        <v>#N/A</v>
      </c>
      <c r="E502" s="328" t="e">
        <f>Tabla18[[#This Row],[Bus_03]]&amp;"_"&amp;Tabla5[[#This Row],[Tipo de Agente
&lt;&lt; Seleccionar&gt;&gt;]]</f>
        <v>#N/A</v>
      </c>
      <c r="F502" s="328" t="e">
        <f>VLOOKUP(Tabla18[[#This Row],[Concat2]],TablaPOA[[#All],[Concat]:[ConcatEspecial]],3,0)</f>
        <v>#N/A</v>
      </c>
      <c r="G502" s="65" t="str">
        <f>CONCATENATE(Registro!$A$6,"_",Tabla5[[#This Row],[Zona (Provincia)
&lt;&lt; Seleccionar&gt;&gt;]])</f>
        <v>Huánuco_</v>
      </c>
      <c r="H502" s="60" t="e">
        <f>VLOOKUP(Tabla18[[#This Row],[Concatenado***]],Tabla2[[#All],[Concatenado]:[Simbología*]],2,0)</f>
        <v>#N/A</v>
      </c>
      <c r="I502" s="65" t="str">
        <f>CONCATENATE(Tabla18[[#This Row],[Concatenado***]],"_",Tabla5[[#This Row],[Zona (Distrito)
&lt;&lt; Seleccionar&gt;&gt;]])</f>
        <v>Huánuco__</v>
      </c>
      <c r="J5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2" s="72" t="e">
        <f>VLOOKUP(Tabla5[[#This Row],[Tipo de Transporte Empleado
&lt;&lt; Seleccionar&gt;&gt;]],Tabla8[#All],2,0)</f>
        <v>#N/A</v>
      </c>
      <c r="L502" s="71" t="e">
        <f>#REF!+(#REF!*2)+#REF!</f>
        <v>#REF!</v>
      </c>
    </row>
    <row r="503" spans="1:12" x14ac:dyDescent="0.25">
      <c r="A503" s="328" t="e">
        <f>VLOOKUP(Tabla5[[#This Row],[Acción
&lt;&lt; Seleccionar&gt;&gt;]],TablaAccion[[#All],[Nombre_Abreviado]:[Codigo_Plan_Acción]],3,0)</f>
        <v>#N/A</v>
      </c>
      <c r="B503" s="328" t="e">
        <f>VLOOKUP(Tabla5[[#This Row],[Acción Especifica
&lt;&lt; Seleccionar&gt;&gt;]],TablaAccionEspecifica[[#All],[Nombre_Abreviado]:[Codigo_Acción]],3,0)</f>
        <v>#N/A</v>
      </c>
      <c r="C503" s="328" t="e">
        <f>CONCATENATE(Tabla18[[#This Row],[Bus_02]],"_",Tabla5[[#This Row],[Sub Acción Específica
&lt;&lt; Seleccionar&gt;&gt;]])</f>
        <v>#N/A</v>
      </c>
      <c r="D503" s="328" t="e">
        <f>VLOOKUP(Tabla18[[#This Row],[Aux_01]],TablaSubAccionEspecifica[[#All],[Concat]:[Cod_Sub_acción_especifica]],2,0)</f>
        <v>#N/A</v>
      </c>
      <c r="E503" s="328" t="e">
        <f>Tabla18[[#This Row],[Bus_03]]&amp;"_"&amp;Tabla5[[#This Row],[Tipo de Agente
&lt;&lt; Seleccionar&gt;&gt;]]</f>
        <v>#N/A</v>
      </c>
      <c r="F503" s="328" t="e">
        <f>VLOOKUP(Tabla18[[#This Row],[Concat2]],TablaPOA[[#All],[Concat]:[ConcatEspecial]],3,0)</f>
        <v>#N/A</v>
      </c>
      <c r="G503" s="65" t="str">
        <f>CONCATENATE(Registro!$A$6,"_",Tabla5[[#This Row],[Zona (Provincia)
&lt;&lt; Seleccionar&gt;&gt;]])</f>
        <v>Huánuco_</v>
      </c>
      <c r="H503" s="60" t="e">
        <f>VLOOKUP(Tabla18[[#This Row],[Concatenado***]],Tabla2[[#All],[Concatenado]:[Simbología*]],2,0)</f>
        <v>#N/A</v>
      </c>
      <c r="I503" s="65" t="str">
        <f>CONCATENATE(Tabla18[[#This Row],[Concatenado***]],"_",Tabla5[[#This Row],[Zona (Distrito)
&lt;&lt; Seleccionar&gt;&gt;]])</f>
        <v>Huánuco__</v>
      </c>
      <c r="J5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3" s="72" t="e">
        <f>VLOOKUP(Tabla5[[#This Row],[Tipo de Transporte Empleado
&lt;&lt; Seleccionar&gt;&gt;]],Tabla8[#All],2,0)</f>
        <v>#N/A</v>
      </c>
      <c r="L503" s="71" t="e">
        <f>#REF!+(#REF!*2)+#REF!</f>
        <v>#REF!</v>
      </c>
    </row>
    <row r="504" spans="1:12" x14ac:dyDescent="0.25">
      <c r="A504" s="328" t="e">
        <f>VLOOKUP(Tabla5[[#This Row],[Acción
&lt;&lt; Seleccionar&gt;&gt;]],TablaAccion[[#All],[Nombre_Abreviado]:[Codigo_Plan_Acción]],3,0)</f>
        <v>#N/A</v>
      </c>
      <c r="B504" s="328" t="e">
        <f>VLOOKUP(Tabla5[[#This Row],[Acción Especifica
&lt;&lt; Seleccionar&gt;&gt;]],TablaAccionEspecifica[[#All],[Nombre_Abreviado]:[Codigo_Acción]],3,0)</f>
        <v>#N/A</v>
      </c>
      <c r="C504" s="328" t="e">
        <f>CONCATENATE(Tabla18[[#This Row],[Bus_02]],"_",Tabla5[[#This Row],[Sub Acción Específica
&lt;&lt; Seleccionar&gt;&gt;]])</f>
        <v>#N/A</v>
      </c>
      <c r="D504" s="328" t="e">
        <f>VLOOKUP(Tabla18[[#This Row],[Aux_01]],TablaSubAccionEspecifica[[#All],[Concat]:[Cod_Sub_acción_especifica]],2,0)</f>
        <v>#N/A</v>
      </c>
      <c r="E504" s="328" t="e">
        <f>Tabla18[[#This Row],[Bus_03]]&amp;"_"&amp;Tabla5[[#This Row],[Tipo de Agente
&lt;&lt; Seleccionar&gt;&gt;]]</f>
        <v>#N/A</v>
      </c>
      <c r="F504" s="328" t="e">
        <f>VLOOKUP(Tabla18[[#This Row],[Concat2]],TablaPOA[[#All],[Concat]:[ConcatEspecial]],3,0)</f>
        <v>#N/A</v>
      </c>
      <c r="G504" s="65" t="str">
        <f>CONCATENATE(Registro!$A$6,"_",Tabla5[[#This Row],[Zona (Provincia)
&lt;&lt; Seleccionar&gt;&gt;]])</f>
        <v>Huánuco_</v>
      </c>
      <c r="H504" s="60" t="e">
        <f>VLOOKUP(Tabla18[[#This Row],[Concatenado***]],Tabla2[[#All],[Concatenado]:[Simbología*]],2,0)</f>
        <v>#N/A</v>
      </c>
      <c r="I504" s="65" t="str">
        <f>CONCATENATE(Tabla18[[#This Row],[Concatenado***]],"_",Tabla5[[#This Row],[Zona (Distrito)
&lt;&lt; Seleccionar&gt;&gt;]])</f>
        <v>Huánuco__</v>
      </c>
      <c r="J5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4" s="72" t="e">
        <f>VLOOKUP(Tabla5[[#This Row],[Tipo de Transporte Empleado
&lt;&lt; Seleccionar&gt;&gt;]],Tabla8[#All],2,0)</f>
        <v>#N/A</v>
      </c>
      <c r="L504" s="71" t="e">
        <f>#REF!+(#REF!*2)+#REF!</f>
        <v>#REF!</v>
      </c>
    </row>
    <row r="505" spans="1:12" x14ac:dyDescent="0.25">
      <c r="A505" s="328" t="e">
        <f>VLOOKUP(Tabla5[[#This Row],[Acción
&lt;&lt; Seleccionar&gt;&gt;]],TablaAccion[[#All],[Nombre_Abreviado]:[Codigo_Plan_Acción]],3,0)</f>
        <v>#N/A</v>
      </c>
      <c r="B505" s="328" t="e">
        <f>VLOOKUP(Tabla5[[#This Row],[Acción Especifica
&lt;&lt; Seleccionar&gt;&gt;]],TablaAccionEspecifica[[#All],[Nombre_Abreviado]:[Codigo_Acción]],3,0)</f>
        <v>#N/A</v>
      </c>
      <c r="C505" s="328" t="e">
        <f>CONCATENATE(Tabla18[[#This Row],[Bus_02]],"_",Tabla5[[#This Row],[Sub Acción Específica
&lt;&lt; Seleccionar&gt;&gt;]])</f>
        <v>#N/A</v>
      </c>
      <c r="D505" s="328" t="e">
        <f>VLOOKUP(Tabla18[[#This Row],[Aux_01]],TablaSubAccionEspecifica[[#All],[Concat]:[Cod_Sub_acción_especifica]],2,0)</f>
        <v>#N/A</v>
      </c>
      <c r="E505" s="328" t="e">
        <f>Tabla18[[#This Row],[Bus_03]]&amp;"_"&amp;Tabla5[[#This Row],[Tipo de Agente
&lt;&lt; Seleccionar&gt;&gt;]]</f>
        <v>#N/A</v>
      </c>
      <c r="F505" s="328" t="e">
        <f>VLOOKUP(Tabla18[[#This Row],[Concat2]],TablaPOA[[#All],[Concat]:[ConcatEspecial]],3,0)</f>
        <v>#N/A</v>
      </c>
      <c r="G505" s="65" t="str">
        <f>CONCATENATE(Registro!$A$6,"_",Tabla5[[#This Row],[Zona (Provincia)
&lt;&lt; Seleccionar&gt;&gt;]])</f>
        <v>Huánuco_</v>
      </c>
      <c r="H505" s="60" t="e">
        <f>VLOOKUP(Tabla18[[#This Row],[Concatenado***]],Tabla2[[#All],[Concatenado]:[Simbología*]],2,0)</f>
        <v>#N/A</v>
      </c>
      <c r="I505" s="65" t="str">
        <f>CONCATENATE(Tabla18[[#This Row],[Concatenado***]],"_",Tabla5[[#This Row],[Zona (Distrito)
&lt;&lt; Seleccionar&gt;&gt;]])</f>
        <v>Huánuco__</v>
      </c>
      <c r="J5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5" s="72" t="e">
        <f>VLOOKUP(Tabla5[[#This Row],[Tipo de Transporte Empleado
&lt;&lt; Seleccionar&gt;&gt;]],Tabla8[#All],2,0)</f>
        <v>#N/A</v>
      </c>
      <c r="L505" s="71" t="e">
        <f>#REF!+(#REF!*2)+#REF!</f>
        <v>#REF!</v>
      </c>
    </row>
    <row r="506" spans="1:12" x14ac:dyDescent="0.25">
      <c r="A506" s="328" t="e">
        <f>VLOOKUP(Tabla5[[#This Row],[Acción
&lt;&lt; Seleccionar&gt;&gt;]],TablaAccion[[#All],[Nombre_Abreviado]:[Codigo_Plan_Acción]],3,0)</f>
        <v>#N/A</v>
      </c>
      <c r="B506" s="328" t="e">
        <f>VLOOKUP(Tabla5[[#This Row],[Acción Especifica
&lt;&lt; Seleccionar&gt;&gt;]],TablaAccionEspecifica[[#All],[Nombre_Abreviado]:[Codigo_Acción]],3,0)</f>
        <v>#N/A</v>
      </c>
      <c r="C506" s="328" t="e">
        <f>CONCATENATE(Tabla18[[#This Row],[Bus_02]],"_",Tabla5[[#This Row],[Sub Acción Específica
&lt;&lt; Seleccionar&gt;&gt;]])</f>
        <v>#N/A</v>
      </c>
      <c r="D506" s="328" t="e">
        <f>VLOOKUP(Tabla18[[#This Row],[Aux_01]],TablaSubAccionEspecifica[[#All],[Concat]:[Cod_Sub_acción_especifica]],2,0)</f>
        <v>#N/A</v>
      </c>
      <c r="E506" s="328" t="e">
        <f>Tabla18[[#This Row],[Bus_03]]&amp;"_"&amp;Tabla5[[#This Row],[Tipo de Agente
&lt;&lt; Seleccionar&gt;&gt;]]</f>
        <v>#N/A</v>
      </c>
      <c r="F506" s="328" t="e">
        <f>VLOOKUP(Tabla18[[#This Row],[Concat2]],TablaPOA[[#All],[Concat]:[ConcatEspecial]],3,0)</f>
        <v>#N/A</v>
      </c>
      <c r="G506" s="65" t="str">
        <f>CONCATENATE(Registro!$A$6,"_",Tabla5[[#This Row],[Zona (Provincia)
&lt;&lt; Seleccionar&gt;&gt;]])</f>
        <v>Huánuco_</v>
      </c>
      <c r="H506" s="60" t="e">
        <f>VLOOKUP(Tabla18[[#This Row],[Concatenado***]],Tabla2[[#All],[Concatenado]:[Simbología*]],2,0)</f>
        <v>#N/A</v>
      </c>
      <c r="I506" s="65" t="str">
        <f>CONCATENATE(Tabla18[[#This Row],[Concatenado***]],"_",Tabla5[[#This Row],[Zona (Distrito)
&lt;&lt; Seleccionar&gt;&gt;]])</f>
        <v>Huánuco__</v>
      </c>
      <c r="J5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6" s="72" t="e">
        <f>VLOOKUP(Tabla5[[#This Row],[Tipo de Transporte Empleado
&lt;&lt; Seleccionar&gt;&gt;]],Tabla8[#All],2,0)</f>
        <v>#N/A</v>
      </c>
      <c r="L506" s="71" t="e">
        <f>#REF!+(#REF!*2)+#REF!</f>
        <v>#REF!</v>
      </c>
    </row>
    <row r="507" spans="1:12" x14ac:dyDescent="0.25">
      <c r="A507" s="328" t="e">
        <f>VLOOKUP(Tabla5[[#This Row],[Acción
&lt;&lt; Seleccionar&gt;&gt;]],TablaAccion[[#All],[Nombre_Abreviado]:[Codigo_Plan_Acción]],3,0)</f>
        <v>#N/A</v>
      </c>
      <c r="B507" s="328" t="e">
        <f>VLOOKUP(Tabla5[[#This Row],[Acción Especifica
&lt;&lt; Seleccionar&gt;&gt;]],TablaAccionEspecifica[[#All],[Nombre_Abreviado]:[Codigo_Acción]],3,0)</f>
        <v>#N/A</v>
      </c>
      <c r="C507" s="328" t="e">
        <f>CONCATENATE(Tabla18[[#This Row],[Bus_02]],"_",Tabla5[[#This Row],[Sub Acción Específica
&lt;&lt; Seleccionar&gt;&gt;]])</f>
        <v>#N/A</v>
      </c>
      <c r="D507" s="328" t="e">
        <f>VLOOKUP(Tabla18[[#This Row],[Aux_01]],TablaSubAccionEspecifica[[#All],[Concat]:[Cod_Sub_acción_especifica]],2,0)</f>
        <v>#N/A</v>
      </c>
      <c r="E507" s="328" t="e">
        <f>Tabla18[[#This Row],[Bus_03]]&amp;"_"&amp;Tabla5[[#This Row],[Tipo de Agente
&lt;&lt; Seleccionar&gt;&gt;]]</f>
        <v>#N/A</v>
      </c>
      <c r="F507" s="328" t="e">
        <f>VLOOKUP(Tabla18[[#This Row],[Concat2]],TablaPOA[[#All],[Concat]:[ConcatEspecial]],3,0)</f>
        <v>#N/A</v>
      </c>
      <c r="G507" s="65" t="str">
        <f>CONCATENATE(Registro!$A$6,"_",Tabla5[[#This Row],[Zona (Provincia)
&lt;&lt; Seleccionar&gt;&gt;]])</f>
        <v>Huánuco_</v>
      </c>
      <c r="H507" s="60" t="e">
        <f>VLOOKUP(Tabla18[[#This Row],[Concatenado***]],Tabla2[[#All],[Concatenado]:[Simbología*]],2,0)</f>
        <v>#N/A</v>
      </c>
      <c r="I507" s="65" t="str">
        <f>CONCATENATE(Tabla18[[#This Row],[Concatenado***]],"_",Tabla5[[#This Row],[Zona (Distrito)
&lt;&lt; Seleccionar&gt;&gt;]])</f>
        <v>Huánuco__</v>
      </c>
      <c r="J5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7" s="72" t="e">
        <f>VLOOKUP(Tabla5[[#This Row],[Tipo de Transporte Empleado
&lt;&lt; Seleccionar&gt;&gt;]],Tabla8[#All],2,0)</f>
        <v>#N/A</v>
      </c>
      <c r="L507" s="71" t="e">
        <f>#REF!+(#REF!*2)+#REF!</f>
        <v>#REF!</v>
      </c>
    </row>
    <row r="508" spans="1:12" x14ac:dyDescent="0.25">
      <c r="A508" s="328" t="e">
        <f>VLOOKUP(Tabla5[[#This Row],[Acción
&lt;&lt; Seleccionar&gt;&gt;]],TablaAccion[[#All],[Nombre_Abreviado]:[Codigo_Plan_Acción]],3,0)</f>
        <v>#N/A</v>
      </c>
      <c r="B508" s="328" t="e">
        <f>VLOOKUP(Tabla5[[#This Row],[Acción Especifica
&lt;&lt; Seleccionar&gt;&gt;]],TablaAccionEspecifica[[#All],[Nombre_Abreviado]:[Codigo_Acción]],3,0)</f>
        <v>#N/A</v>
      </c>
      <c r="C508" s="328" t="e">
        <f>CONCATENATE(Tabla18[[#This Row],[Bus_02]],"_",Tabla5[[#This Row],[Sub Acción Específica
&lt;&lt; Seleccionar&gt;&gt;]])</f>
        <v>#N/A</v>
      </c>
      <c r="D508" s="328" t="e">
        <f>VLOOKUP(Tabla18[[#This Row],[Aux_01]],TablaSubAccionEspecifica[[#All],[Concat]:[Cod_Sub_acción_especifica]],2,0)</f>
        <v>#N/A</v>
      </c>
      <c r="E508" s="328" t="e">
        <f>Tabla18[[#This Row],[Bus_03]]&amp;"_"&amp;Tabla5[[#This Row],[Tipo de Agente
&lt;&lt; Seleccionar&gt;&gt;]]</f>
        <v>#N/A</v>
      </c>
      <c r="F508" s="328" t="e">
        <f>VLOOKUP(Tabla18[[#This Row],[Concat2]],TablaPOA[[#All],[Concat]:[ConcatEspecial]],3,0)</f>
        <v>#N/A</v>
      </c>
      <c r="G508" s="65" t="str">
        <f>CONCATENATE(Registro!$A$6,"_",Tabla5[[#This Row],[Zona (Provincia)
&lt;&lt; Seleccionar&gt;&gt;]])</f>
        <v>Huánuco_</v>
      </c>
      <c r="H508" s="60" t="e">
        <f>VLOOKUP(Tabla18[[#This Row],[Concatenado***]],Tabla2[[#All],[Concatenado]:[Simbología*]],2,0)</f>
        <v>#N/A</v>
      </c>
      <c r="I508" s="65" t="str">
        <f>CONCATENATE(Tabla18[[#This Row],[Concatenado***]],"_",Tabla5[[#This Row],[Zona (Distrito)
&lt;&lt; Seleccionar&gt;&gt;]])</f>
        <v>Huánuco__</v>
      </c>
      <c r="J5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8" s="72" t="e">
        <f>VLOOKUP(Tabla5[[#This Row],[Tipo de Transporte Empleado
&lt;&lt; Seleccionar&gt;&gt;]],Tabla8[#All],2,0)</f>
        <v>#N/A</v>
      </c>
      <c r="L508" s="71" t="e">
        <f>#REF!+(#REF!*2)+#REF!</f>
        <v>#REF!</v>
      </c>
    </row>
    <row r="509" spans="1:12" x14ac:dyDescent="0.25">
      <c r="A509" s="328" t="e">
        <f>VLOOKUP(Tabla5[[#This Row],[Acción
&lt;&lt; Seleccionar&gt;&gt;]],TablaAccion[[#All],[Nombre_Abreviado]:[Codigo_Plan_Acción]],3,0)</f>
        <v>#N/A</v>
      </c>
      <c r="B509" s="328" t="e">
        <f>VLOOKUP(Tabla5[[#This Row],[Acción Especifica
&lt;&lt; Seleccionar&gt;&gt;]],TablaAccionEspecifica[[#All],[Nombre_Abreviado]:[Codigo_Acción]],3,0)</f>
        <v>#N/A</v>
      </c>
      <c r="C509" s="328" t="e">
        <f>CONCATENATE(Tabla18[[#This Row],[Bus_02]],"_",Tabla5[[#This Row],[Sub Acción Específica
&lt;&lt; Seleccionar&gt;&gt;]])</f>
        <v>#N/A</v>
      </c>
      <c r="D509" s="328" t="e">
        <f>VLOOKUP(Tabla18[[#This Row],[Aux_01]],TablaSubAccionEspecifica[[#All],[Concat]:[Cod_Sub_acción_especifica]],2,0)</f>
        <v>#N/A</v>
      </c>
      <c r="E509" s="328" t="e">
        <f>Tabla18[[#This Row],[Bus_03]]&amp;"_"&amp;Tabla5[[#This Row],[Tipo de Agente
&lt;&lt; Seleccionar&gt;&gt;]]</f>
        <v>#N/A</v>
      </c>
      <c r="F509" s="328" t="e">
        <f>VLOOKUP(Tabla18[[#This Row],[Concat2]],TablaPOA[[#All],[Concat]:[ConcatEspecial]],3,0)</f>
        <v>#N/A</v>
      </c>
      <c r="G509" s="65" t="str">
        <f>CONCATENATE(Registro!$A$6,"_",Tabla5[[#This Row],[Zona (Provincia)
&lt;&lt; Seleccionar&gt;&gt;]])</f>
        <v>Huánuco_</v>
      </c>
      <c r="H509" s="60" t="e">
        <f>VLOOKUP(Tabla18[[#This Row],[Concatenado***]],Tabla2[[#All],[Concatenado]:[Simbología*]],2,0)</f>
        <v>#N/A</v>
      </c>
      <c r="I509" s="65" t="str">
        <f>CONCATENATE(Tabla18[[#This Row],[Concatenado***]],"_",Tabla5[[#This Row],[Zona (Distrito)
&lt;&lt; Seleccionar&gt;&gt;]])</f>
        <v>Huánuco__</v>
      </c>
      <c r="J5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9" s="72" t="e">
        <f>VLOOKUP(Tabla5[[#This Row],[Tipo de Transporte Empleado
&lt;&lt; Seleccionar&gt;&gt;]],Tabla8[#All],2,0)</f>
        <v>#N/A</v>
      </c>
      <c r="L509" s="71" t="e">
        <f>#REF!+(#REF!*2)+#REF!</f>
        <v>#REF!</v>
      </c>
    </row>
    <row r="510" spans="1:12" x14ac:dyDescent="0.25">
      <c r="A510" s="328" t="e">
        <f>VLOOKUP(Tabla5[[#This Row],[Acción
&lt;&lt; Seleccionar&gt;&gt;]],TablaAccion[[#All],[Nombre_Abreviado]:[Codigo_Plan_Acción]],3,0)</f>
        <v>#N/A</v>
      </c>
      <c r="B510" s="328" t="e">
        <f>VLOOKUP(Tabla5[[#This Row],[Acción Especifica
&lt;&lt; Seleccionar&gt;&gt;]],TablaAccionEspecifica[[#All],[Nombre_Abreviado]:[Codigo_Acción]],3,0)</f>
        <v>#N/A</v>
      </c>
      <c r="C510" s="328" t="e">
        <f>CONCATENATE(Tabla18[[#This Row],[Bus_02]],"_",Tabla5[[#This Row],[Sub Acción Específica
&lt;&lt; Seleccionar&gt;&gt;]])</f>
        <v>#N/A</v>
      </c>
      <c r="D510" s="328" t="e">
        <f>VLOOKUP(Tabla18[[#This Row],[Aux_01]],TablaSubAccionEspecifica[[#All],[Concat]:[Cod_Sub_acción_especifica]],2,0)</f>
        <v>#N/A</v>
      </c>
      <c r="E510" s="328" t="e">
        <f>Tabla18[[#This Row],[Bus_03]]&amp;"_"&amp;Tabla5[[#This Row],[Tipo de Agente
&lt;&lt; Seleccionar&gt;&gt;]]</f>
        <v>#N/A</v>
      </c>
      <c r="F510" s="328" t="e">
        <f>VLOOKUP(Tabla18[[#This Row],[Concat2]],TablaPOA[[#All],[Concat]:[ConcatEspecial]],3,0)</f>
        <v>#N/A</v>
      </c>
      <c r="G510" s="65" t="str">
        <f>CONCATENATE(Registro!$A$6,"_",Tabla5[[#This Row],[Zona (Provincia)
&lt;&lt; Seleccionar&gt;&gt;]])</f>
        <v>Huánuco_</v>
      </c>
      <c r="H510" s="60" t="e">
        <f>VLOOKUP(Tabla18[[#This Row],[Concatenado***]],Tabla2[[#All],[Concatenado]:[Simbología*]],2,0)</f>
        <v>#N/A</v>
      </c>
      <c r="I510" s="65" t="str">
        <f>CONCATENATE(Tabla18[[#This Row],[Concatenado***]],"_",Tabla5[[#This Row],[Zona (Distrito)
&lt;&lt; Seleccionar&gt;&gt;]])</f>
        <v>Huánuco__</v>
      </c>
      <c r="J5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0" s="72" t="e">
        <f>VLOOKUP(Tabla5[[#This Row],[Tipo de Transporte Empleado
&lt;&lt; Seleccionar&gt;&gt;]],Tabla8[#All],2,0)</f>
        <v>#N/A</v>
      </c>
      <c r="L510" s="71" t="e">
        <f>#REF!+(#REF!*2)+#REF!</f>
        <v>#REF!</v>
      </c>
    </row>
    <row r="511" spans="1:12" x14ac:dyDescent="0.25">
      <c r="A511" s="328" t="e">
        <f>VLOOKUP(Tabla5[[#This Row],[Acción
&lt;&lt; Seleccionar&gt;&gt;]],TablaAccion[[#All],[Nombre_Abreviado]:[Codigo_Plan_Acción]],3,0)</f>
        <v>#N/A</v>
      </c>
      <c r="B511" s="328" t="e">
        <f>VLOOKUP(Tabla5[[#This Row],[Acción Especifica
&lt;&lt; Seleccionar&gt;&gt;]],TablaAccionEspecifica[[#All],[Nombre_Abreviado]:[Codigo_Acción]],3,0)</f>
        <v>#N/A</v>
      </c>
      <c r="C511" s="328" t="e">
        <f>CONCATENATE(Tabla18[[#This Row],[Bus_02]],"_",Tabla5[[#This Row],[Sub Acción Específica
&lt;&lt; Seleccionar&gt;&gt;]])</f>
        <v>#N/A</v>
      </c>
      <c r="D511" s="328" t="e">
        <f>VLOOKUP(Tabla18[[#This Row],[Aux_01]],TablaSubAccionEspecifica[[#All],[Concat]:[Cod_Sub_acción_especifica]],2,0)</f>
        <v>#N/A</v>
      </c>
      <c r="E511" s="328" t="e">
        <f>Tabla18[[#This Row],[Bus_03]]&amp;"_"&amp;Tabla5[[#This Row],[Tipo de Agente
&lt;&lt; Seleccionar&gt;&gt;]]</f>
        <v>#N/A</v>
      </c>
      <c r="F511" s="328" t="e">
        <f>VLOOKUP(Tabla18[[#This Row],[Concat2]],TablaPOA[[#All],[Concat]:[ConcatEspecial]],3,0)</f>
        <v>#N/A</v>
      </c>
      <c r="G511" s="65" t="str">
        <f>CONCATENATE(Registro!$A$6,"_",Tabla5[[#This Row],[Zona (Provincia)
&lt;&lt; Seleccionar&gt;&gt;]])</f>
        <v>Huánuco_</v>
      </c>
      <c r="H511" s="60" t="e">
        <f>VLOOKUP(Tabla18[[#This Row],[Concatenado***]],Tabla2[[#All],[Concatenado]:[Simbología*]],2,0)</f>
        <v>#N/A</v>
      </c>
      <c r="I511" s="65" t="str">
        <f>CONCATENATE(Tabla18[[#This Row],[Concatenado***]],"_",Tabla5[[#This Row],[Zona (Distrito)
&lt;&lt; Seleccionar&gt;&gt;]])</f>
        <v>Huánuco__</v>
      </c>
      <c r="J5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1" s="72" t="e">
        <f>VLOOKUP(Tabla5[[#This Row],[Tipo de Transporte Empleado
&lt;&lt; Seleccionar&gt;&gt;]],Tabla8[#All],2,0)</f>
        <v>#N/A</v>
      </c>
      <c r="L511" s="71" t="e">
        <f>#REF!+(#REF!*2)+#REF!</f>
        <v>#REF!</v>
      </c>
    </row>
    <row r="512" spans="1:12" x14ac:dyDescent="0.25">
      <c r="A512" s="328" t="e">
        <f>VLOOKUP(Tabla5[[#This Row],[Acción
&lt;&lt; Seleccionar&gt;&gt;]],TablaAccion[[#All],[Nombre_Abreviado]:[Codigo_Plan_Acción]],3,0)</f>
        <v>#N/A</v>
      </c>
      <c r="B512" s="328" t="e">
        <f>VLOOKUP(Tabla5[[#This Row],[Acción Especifica
&lt;&lt; Seleccionar&gt;&gt;]],TablaAccionEspecifica[[#All],[Nombre_Abreviado]:[Codigo_Acción]],3,0)</f>
        <v>#N/A</v>
      </c>
      <c r="C512" s="328" t="e">
        <f>CONCATENATE(Tabla18[[#This Row],[Bus_02]],"_",Tabla5[[#This Row],[Sub Acción Específica
&lt;&lt; Seleccionar&gt;&gt;]])</f>
        <v>#N/A</v>
      </c>
      <c r="D512" s="328" t="e">
        <f>VLOOKUP(Tabla18[[#This Row],[Aux_01]],TablaSubAccionEspecifica[[#All],[Concat]:[Cod_Sub_acción_especifica]],2,0)</f>
        <v>#N/A</v>
      </c>
      <c r="E512" s="328" t="e">
        <f>Tabla18[[#This Row],[Bus_03]]&amp;"_"&amp;Tabla5[[#This Row],[Tipo de Agente
&lt;&lt; Seleccionar&gt;&gt;]]</f>
        <v>#N/A</v>
      </c>
      <c r="F512" s="328" t="e">
        <f>VLOOKUP(Tabla18[[#This Row],[Concat2]],TablaPOA[[#All],[Concat]:[ConcatEspecial]],3,0)</f>
        <v>#N/A</v>
      </c>
      <c r="G512" s="65" t="str">
        <f>CONCATENATE(Registro!$A$6,"_",Tabla5[[#This Row],[Zona (Provincia)
&lt;&lt; Seleccionar&gt;&gt;]])</f>
        <v>Huánuco_</v>
      </c>
      <c r="H512" s="60" t="e">
        <f>VLOOKUP(Tabla18[[#This Row],[Concatenado***]],Tabla2[[#All],[Concatenado]:[Simbología*]],2,0)</f>
        <v>#N/A</v>
      </c>
      <c r="I512" s="65" t="str">
        <f>CONCATENATE(Tabla18[[#This Row],[Concatenado***]],"_",Tabla5[[#This Row],[Zona (Distrito)
&lt;&lt; Seleccionar&gt;&gt;]])</f>
        <v>Huánuco__</v>
      </c>
      <c r="J5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2" s="72" t="e">
        <f>VLOOKUP(Tabla5[[#This Row],[Tipo de Transporte Empleado
&lt;&lt; Seleccionar&gt;&gt;]],Tabla8[#All],2,0)</f>
        <v>#N/A</v>
      </c>
      <c r="L512" s="71" t="e">
        <f>#REF!+(#REF!*2)+#REF!</f>
        <v>#REF!</v>
      </c>
    </row>
    <row r="513" spans="1:12" x14ac:dyDescent="0.25">
      <c r="A513" s="328" t="e">
        <f>VLOOKUP(Tabla5[[#This Row],[Acción
&lt;&lt; Seleccionar&gt;&gt;]],TablaAccion[[#All],[Nombre_Abreviado]:[Codigo_Plan_Acción]],3,0)</f>
        <v>#N/A</v>
      </c>
      <c r="B513" s="328" t="e">
        <f>VLOOKUP(Tabla5[[#This Row],[Acción Especifica
&lt;&lt; Seleccionar&gt;&gt;]],TablaAccionEspecifica[[#All],[Nombre_Abreviado]:[Codigo_Acción]],3,0)</f>
        <v>#N/A</v>
      </c>
      <c r="C513" s="328" t="e">
        <f>CONCATENATE(Tabla18[[#This Row],[Bus_02]],"_",Tabla5[[#This Row],[Sub Acción Específica
&lt;&lt; Seleccionar&gt;&gt;]])</f>
        <v>#N/A</v>
      </c>
      <c r="D513" s="328" t="e">
        <f>VLOOKUP(Tabla18[[#This Row],[Aux_01]],TablaSubAccionEspecifica[[#All],[Concat]:[Cod_Sub_acción_especifica]],2,0)</f>
        <v>#N/A</v>
      </c>
      <c r="E513" s="328" t="e">
        <f>Tabla18[[#This Row],[Bus_03]]&amp;"_"&amp;Tabla5[[#This Row],[Tipo de Agente
&lt;&lt; Seleccionar&gt;&gt;]]</f>
        <v>#N/A</v>
      </c>
      <c r="F513" s="328" t="e">
        <f>VLOOKUP(Tabla18[[#This Row],[Concat2]],TablaPOA[[#All],[Concat]:[ConcatEspecial]],3,0)</f>
        <v>#N/A</v>
      </c>
      <c r="G513" s="65" t="str">
        <f>CONCATENATE(Registro!$A$6,"_",Tabla5[[#This Row],[Zona (Provincia)
&lt;&lt; Seleccionar&gt;&gt;]])</f>
        <v>Huánuco_</v>
      </c>
      <c r="H513" s="60" t="e">
        <f>VLOOKUP(Tabla18[[#This Row],[Concatenado***]],Tabla2[[#All],[Concatenado]:[Simbología*]],2,0)</f>
        <v>#N/A</v>
      </c>
      <c r="I513" s="65" t="str">
        <f>CONCATENATE(Tabla18[[#This Row],[Concatenado***]],"_",Tabla5[[#This Row],[Zona (Distrito)
&lt;&lt; Seleccionar&gt;&gt;]])</f>
        <v>Huánuco__</v>
      </c>
      <c r="J5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3" s="72" t="e">
        <f>VLOOKUP(Tabla5[[#This Row],[Tipo de Transporte Empleado
&lt;&lt; Seleccionar&gt;&gt;]],Tabla8[#All],2,0)</f>
        <v>#N/A</v>
      </c>
      <c r="L513" s="71" t="e">
        <f>#REF!+(#REF!*2)+#REF!</f>
        <v>#REF!</v>
      </c>
    </row>
    <row r="514" spans="1:12" x14ac:dyDescent="0.25">
      <c r="A514" s="328" t="e">
        <f>VLOOKUP(Tabla5[[#This Row],[Acción
&lt;&lt; Seleccionar&gt;&gt;]],TablaAccion[[#All],[Nombre_Abreviado]:[Codigo_Plan_Acción]],3,0)</f>
        <v>#N/A</v>
      </c>
      <c r="B514" s="328" t="e">
        <f>VLOOKUP(Tabla5[[#This Row],[Acción Especifica
&lt;&lt; Seleccionar&gt;&gt;]],TablaAccionEspecifica[[#All],[Nombre_Abreviado]:[Codigo_Acción]],3,0)</f>
        <v>#N/A</v>
      </c>
      <c r="C514" s="328" t="e">
        <f>CONCATENATE(Tabla18[[#This Row],[Bus_02]],"_",Tabla5[[#This Row],[Sub Acción Específica
&lt;&lt; Seleccionar&gt;&gt;]])</f>
        <v>#N/A</v>
      </c>
      <c r="D514" s="328" t="e">
        <f>VLOOKUP(Tabla18[[#This Row],[Aux_01]],TablaSubAccionEspecifica[[#All],[Concat]:[Cod_Sub_acción_especifica]],2,0)</f>
        <v>#N/A</v>
      </c>
      <c r="E514" s="328" t="e">
        <f>Tabla18[[#This Row],[Bus_03]]&amp;"_"&amp;Tabla5[[#This Row],[Tipo de Agente
&lt;&lt; Seleccionar&gt;&gt;]]</f>
        <v>#N/A</v>
      </c>
      <c r="F514" s="328" t="e">
        <f>VLOOKUP(Tabla18[[#This Row],[Concat2]],TablaPOA[[#All],[Concat]:[ConcatEspecial]],3,0)</f>
        <v>#N/A</v>
      </c>
      <c r="G514" s="65" t="str">
        <f>CONCATENATE(Registro!$A$6,"_",Tabla5[[#This Row],[Zona (Provincia)
&lt;&lt; Seleccionar&gt;&gt;]])</f>
        <v>Huánuco_</v>
      </c>
      <c r="H514" s="60" t="e">
        <f>VLOOKUP(Tabla18[[#This Row],[Concatenado***]],Tabla2[[#All],[Concatenado]:[Simbología*]],2,0)</f>
        <v>#N/A</v>
      </c>
      <c r="I514" s="65" t="str">
        <f>CONCATENATE(Tabla18[[#This Row],[Concatenado***]],"_",Tabla5[[#This Row],[Zona (Distrito)
&lt;&lt; Seleccionar&gt;&gt;]])</f>
        <v>Huánuco__</v>
      </c>
      <c r="J5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4" s="72" t="e">
        <f>VLOOKUP(Tabla5[[#This Row],[Tipo de Transporte Empleado
&lt;&lt; Seleccionar&gt;&gt;]],Tabla8[#All],2,0)</f>
        <v>#N/A</v>
      </c>
      <c r="L514" s="71" t="e">
        <f>#REF!+(#REF!*2)+#REF!</f>
        <v>#REF!</v>
      </c>
    </row>
    <row r="515" spans="1:12" x14ac:dyDescent="0.25">
      <c r="A515" s="328" t="e">
        <f>VLOOKUP(Tabla5[[#This Row],[Acción
&lt;&lt; Seleccionar&gt;&gt;]],TablaAccion[[#All],[Nombre_Abreviado]:[Codigo_Plan_Acción]],3,0)</f>
        <v>#N/A</v>
      </c>
      <c r="B515" s="328" t="e">
        <f>VLOOKUP(Tabla5[[#This Row],[Acción Especifica
&lt;&lt; Seleccionar&gt;&gt;]],TablaAccionEspecifica[[#All],[Nombre_Abreviado]:[Codigo_Acción]],3,0)</f>
        <v>#N/A</v>
      </c>
      <c r="C515" s="328" t="e">
        <f>CONCATENATE(Tabla18[[#This Row],[Bus_02]],"_",Tabla5[[#This Row],[Sub Acción Específica
&lt;&lt; Seleccionar&gt;&gt;]])</f>
        <v>#N/A</v>
      </c>
      <c r="D515" s="328" t="e">
        <f>VLOOKUP(Tabla18[[#This Row],[Aux_01]],TablaSubAccionEspecifica[[#All],[Concat]:[Cod_Sub_acción_especifica]],2,0)</f>
        <v>#N/A</v>
      </c>
      <c r="E515" s="328" t="e">
        <f>Tabla18[[#This Row],[Bus_03]]&amp;"_"&amp;Tabla5[[#This Row],[Tipo de Agente
&lt;&lt; Seleccionar&gt;&gt;]]</f>
        <v>#N/A</v>
      </c>
      <c r="F515" s="328" t="e">
        <f>VLOOKUP(Tabla18[[#This Row],[Concat2]],TablaPOA[[#All],[Concat]:[ConcatEspecial]],3,0)</f>
        <v>#N/A</v>
      </c>
      <c r="G515" s="65" t="str">
        <f>CONCATENATE(Registro!$A$6,"_",Tabla5[[#This Row],[Zona (Provincia)
&lt;&lt; Seleccionar&gt;&gt;]])</f>
        <v>Huánuco_</v>
      </c>
      <c r="H515" s="60" t="e">
        <f>VLOOKUP(Tabla18[[#This Row],[Concatenado***]],Tabla2[[#All],[Concatenado]:[Simbología*]],2,0)</f>
        <v>#N/A</v>
      </c>
      <c r="I515" s="65" t="str">
        <f>CONCATENATE(Tabla18[[#This Row],[Concatenado***]],"_",Tabla5[[#This Row],[Zona (Distrito)
&lt;&lt; Seleccionar&gt;&gt;]])</f>
        <v>Huánuco__</v>
      </c>
      <c r="J5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5" s="72" t="e">
        <f>VLOOKUP(Tabla5[[#This Row],[Tipo de Transporte Empleado
&lt;&lt; Seleccionar&gt;&gt;]],Tabla8[#All],2,0)</f>
        <v>#N/A</v>
      </c>
      <c r="L515" s="71" t="e">
        <f>#REF!+(#REF!*2)+#REF!</f>
        <v>#REF!</v>
      </c>
    </row>
    <row r="516" spans="1:12" x14ac:dyDescent="0.25">
      <c r="A516" s="328" t="e">
        <f>VLOOKUP(Tabla5[[#This Row],[Acción
&lt;&lt; Seleccionar&gt;&gt;]],TablaAccion[[#All],[Nombre_Abreviado]:[Codigo_Plan_Acción]],3,0)</f>
        <v>#N/A</v>
      </c>
      <c r="B516" s="328" t="e">
        <f>VLOOKUP(Tabla5[[#This Row],[Acción Especifica
&lt;&lt; Seleccionar&gt;&gt;]],TablaAccionEspecifica[[#All],[Nombre_Abreviado]:[Codigo_Acción]],3,0)</f>
        <v>#N/A</v>
      </c>
      <c r="C516" s="328" t="e">
        <f>CONCATENATE(Tabla18[[#This Row],[Bus_02]],"_",Tabla5[[#This Row],[Sub Acción Específica
&lt;&lt; Seleccionar&gt;&gt;]])</f>
        <v>#N/A</v>
      </c>
      <c r="D516" s="328" t="e">
        <f>VLOOKUP(Tabla18[[#This Row],[Aux_01]],TablaSubAccionEspecifica[[#All],[Concat]:[Cod_Sub_acción_especifica]],2,0)</f>
        <v>#N/A</v>
      </c>
      <c r="E516" s="328" t="e">
        <f>Tabla18[[#This Row],[Bus_03]]&amp;"_"&amp;Tabla5[[#This Row],[Tipo de Agente
&lt;&lt; Seleccionar&gt;&gt;]]</f>
        <v>#N/A</v>
      </c>
      <c r="F516" s="328" t="e">
        <f>VLOOKUP(Tabla18[[#This Row],[Concat2]],TablaPOA[[#All],[Concat]:[ConcatEspecial]],3,0)</f>
        <v>#N/A</v>
      </c>
      <c r="G516" s="65" t="str">
        <f>CONCATENATE(Registro!$A$6,"_",Tabla5[[#This Row],[Zona (Provincia)
&lt;&lt; Seleccionar&gt;&gt;]])</f>
        <v>Huánuco_</v>
      </c>
      <c r="H516" s="60" t="e">
        <f>VLOOKUP(Tabla18[[#This Row],[Concatenado***]],Tabla2[[#All],[Concatenado]:[Simbología*]],2,0)</f>
        <v>#N/A</v>
      </c>
      <c r="I516" s="65" t="str">
        <f>CONCATENATE(Tabla18[[#This Row],[Concatenado***]],"_",Tabla5[[#This Row],[Zona (Distrito)
&lt;&lt; Seleccionar&gt;&gt;]])</f>
        <v>Huánuco__</v>
      </c>
      <c r="J5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6" s="72" t="e">
        <f>VLOOKUP(Tabla5[[#This Row],[Tipo de Transporte Empleado
&lt;&lt; Seleccionar&gt;&gt;]],Tabla8[#All],2,0)</f>
        <v>#N/A</v>
      </c>
      <c r="L516" s="71" t="e">
        <f>#REF!+(#REF!*2)+#REF!</f>
        <v>#REF!</v>
      </c>
    </row>
    <row r="517" spans="1:12" x14ac:dyDescent="0.25">
      <c r="A517" s="328" t="e">
        <f>VLOOKUP(Tabla5[[#This Row],[Acción
&lt;&lt; Seleccionar&gt;&gt;]],TablaAccion[[#All],[Nombre_Abreviado]:[Codigo_Plan_Acción]],3,0)</f>
        <v>#N/A</v>
      </c>
      <c r="B517" s="328" t="e">
        <f>VLOOKUP(Tabla5[[#This Row],[Acción Especifica
&lt;&lt; Seleccionar&gt;&gt;]],TablaAccionEspecifica[[#All],[Nombre_Abreviado]:[Codigo_Acción]],3,0)</f>
        <v>#N/A</v>
      </c>
      <c r="C517" s="328" t="e">
        <f>CONCATENATE(Tabla18[[#This Row],[Bus_02]],"_",Tabla5[[#This Row],[Sub Acción Específica
&lt;&lt; Seleccionar&gt;&gt;]])</f>
        <v>#N/A</v>
      </c>
      <c r="D517" s="328" t="e">
        <f>VLOOKUP(Tabla18[[#This Row],[Aux_01]],TablaSubAccionEspecifica[[#All],[Concat]:[Cod_Sub_acción_especifica]],2,0)</f>
        <v>#N/A</v>
      </c>
      <c r="E517" s="328" t="e">
        <f>Tabla18[[#This Row],[Bus_03]]&amp;"_"&amp;Tabla5[[#This Row],[Tipo de Agente
&lt;&lt; Seleccionar&gt;&gt;]]</f>
        <v>#N/A</v>
      </c>
      <c r="F517" s="328" t="e">
        <f>VLOOKUP(Tabla18[[#This Row],[Concat2]],TablaPOA[[#All],[Concat]:[ConcatEspecial]],3,0)</f>
        <v>#N/A</v>
      </c>
      <c r="G517" s="65" t="str">
        <f>CONCATENATE(Registro!$A$6,"_",Tabla5[[#This Row],[Zona (Provincia)
&lt;&lt; Seleccionar&gt;&gt;]])</f>
        <v>Huánuco_</v>
      </c>
      <c r="H517" s="60" t="e">
        <f>VLOOKUP(Tabla18[[#This Row],[Concatenado***]],Tabla2[[#All],[Concatenado]:[Simbología*]],2,0)</f>
        <v>#N/A</v>
      </c>
      <c r="I517" s="65" t="str">
        <f>CONCATENATE(Tabla18[[#This Row],[Concatenado***]],"_",Tabla5[[#This Row],[Zona (Distrito)
&lt;&lt; Seleccionar&gt;&gt;]])</f>
        <v>Huánuco__</v>
      </c>
      <c r="J5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7" s="72" t="e">
        <f>VLOOKUP(Tabla5[[#This Row],[Tipo de Transporte Empleado
&lt;&lt; Seleccionar&gt;&gt;]],Tabla8[#All],2,0)</f>
        <v>#N/A</v>
      </c>
      <c r="L517" s="71" t="e">
        <f>#REF!+(#REF!*2)+#REF!</f>
        <v>#REF!</v>
      </c>
    </row>
    <row r="518" spans="1:12" x14ac:dyDescent="0.25">
      <c r="A518" s="328" t="e">
        <f>VLOOKUP(Tabla5[[#This Row],[Acción
&lt;&lt; Seleccionar&gt;&gt;]],TablaAccion[[#All],[Nombre_Abreviado]:[Codigo_Plan_Acción]],3,0)</f>
        <v>#N/A</v>
      </c>
      <c r="B518" s="328" t="e">
        <f>VLOOKUP(Tabla5[[#This Row],[Acción Especifica
&lt;&lt; Seleccionar&gt;&gt;]],TablaAccionEspecifica[[#All],[Nombre_Abreviado]:[Codigo_Acción]],3,0)</f>
        <v>#N/A</v>
      </c>
      <c r="C518" s="328" t="e">
        <f>CONCATENATE(Tabla18[[#This Row],[Bus_02]],"_",Tabla5[[#This Row],[Sub Acción Específica
&lt;&lt; Seleccionar&gt;&gt;]])</f>
        <v>#N/A</v>
      </c>
      <c r="D518" s="328" t="e">
        <f>VLOOKUP(Tabla18[[#This Row],[Aux_01]],TablaSubAccionEspecifica[[#All],[Concat]:[Cod_Sub_acción_especifica]],2,0)</f>
        <v>#N/A</v>
      </c>
      <c r="E518" s="328" t="e">
        <f>Tabla18[[#This Row],[Bus_03]]&amp;"_"&amp;Tabla5[[#This Row],[Tipo de Agente
&lt;&lt; Seleccionar&gt;&gt;]]</f>
        <v>#N/A</v>
      </c>
      <c r="F518" s="328" t="e">
        <f>VLOOKUP(Tabla18[[#This Row],[Concat2]],TablaPOA[[#All],[Concat]:[ConcatEspecial]],3,0)</f>
        <v>#N/A</v>
      </c>
      <c r="G518" s="65" t="str">
        <f>CONCATENATE(Registro!$A$6,"_",Tabla5[[#This Row],[Zona (Provincia)
&lt;&lt; Seleccionar&gt;&gt;]])</f>
        <v>Huánuco_</v>
      </c>
      <c r="H518" s="60" t="e">
        <f>VLOOKUP(Tabla18[[#This Row],[Concatenado***]],Tabla2[[#All],[Concatenado]:[Simbología*]],2,0)</f>
        <v>#N/A</v>
      </c>
      <c r="I518" s="65" t="str">
        <f>CONCATENATE(Tabla18[[#This Row],[Concatenado***]],"_",Tabla5[[#This Row],[Zona (Distrito)
&lt;&lt; Seleccionar&gt;&gt;]])</f>
        <v>Huánuco__</v>
      </c>
      <c r="J5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8" s="72" t="e">
        <f>VLOOKUP(Tabla5[[#This Row],[Tipo de Transporte Empleado
&lt;&lt; Seleccionar&gt;&gt;]],Tabla8[#All],2,0)</f>
        <v>#N/A</v>
      </c>
      <c r="L518" s="71" t="e">
        <f>#REF!+(#REF!*2)+#REF!</f>
        <v>#REF!</v>
      </c>
    </row>
    <row r="519" spans="1:12" x14ac:dyDescent="0.25">
      <c r="A519" s="328" t="e">
        <f>VLOOKUP(Tabla5[[#This Row],[Acción
&lt;&lt; Seleccionar&gt;&gt;]],TablaAccion[[#All],[Nombre_Abreviado]:[Codigo_Plan_Acción]],3,0)</f>
        <v>#N/A</v>
      </c>
      <c r="B519" s="328" t="e">
        <f>VLOOKUP(Tabla5[[#This Row],[Acción Especifica
&lt;&lt; Seleccionar&gt;&gt;]],TablaAccionEspecifica[[#All],[Nombre_Abreviado]:[Codigo_Acción]],3,0)</f>
        <v>#N/A</v>
      </c>
      <c r="C519" s="328" t="e">
        <f>CONCATENATE(Tabla18[[#This Row],[Bus_02]],"_",Tabla5[[#This Row],[Sub Acción Específica
&lt;&lt; Seleccionar&gt;&gt;]])</f>
        <v>#N/A</v>
      </c>
      <c r="D519" s="328" t="e">
        <f>VLOOKUP(Tabla18[[#This Row],[Aux_01]],TablaSubAccionEspecifica[[#All],[Concat]:[Cod_Sub_acción_especifica]],2,0)</f>
        <v>#N/A</v>
      </c>
      <c r="E519" s="328" t="e">
        <f>Tabla18[[#This Row],[Bus_03]]&amp;"_"&amp;Tabla5[[#This Row],[Tipo de Agente
&lt;&lt; Seleccionar&gt;&gt;]]</f>
        <v>#N/A</v>
      </c>
      <c r="F519" s="328" t="e">
        <f>VLOOKUP(Tabla18[[#This Row],[Concat2]],TablaPOA[[#All],[Concat]:[ConcatEspecial]],3,0)</f>
        <v>#N/A</v>
      </c>
      <c r="G519" s="65" t="str">
        <f>CONCATENATE(Registro!$A$6,"_",Tabla5[[#This Row],[Zona (Provincia)
&lt;&lt; Seleccionar&gt;&gt;]])</f>
        <v>Huánuco_</v>
      </c>
      <c r="H519" s="60" t="e">
        <f>VLOOKUP(Tabla18[[#This Row],[Concatenado***]],Tabla2[[#All],[Concatenado]:[Simbología*]],2,0)</f>
        <v>#N/A</v>
      </c>
      <c r="I519" s="65" t="str">
        <f>CONCATENATE(Tabla18[[#This Row],[Concatenado***]],"_",Tabla5[[#This Row],[Zona (Distrito)
&lt;&lt; Seleccionar&gt;&gt;]])</f>
        <v>Huánuco__</v>
      </c>
      <c r="J5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9" s="72" t="e">
        <f>VLOOKUP(Tabla5[[#This Row],[Tipo de Transporte Empleado
&lt;&lt; Seleccionar&gt;&gt;]],Tabla8[#All],2,0)</f>
        <v>#N/A</v>
      </c>
      <c r="L519" s="71" t="e">
        <f>#REF!+(#REF!*2)+#REF!</f>
        <v>#REF!</v>
      </c>
    </row>
    <row r="520" spans="1:12" x14ac:dyDescent="0.25">
      <c r="A520" s="328" t="e">
        <f>VLOOKUP(Tabla5[[#This Row],[Acción
&lt;&lt; Seleccionar&gt;&gt;]],TablaAccion[[#All],[Nombre_Abreviado]:[Codigo_Plan_Acción]],3,0)</f>
        <v>#N/A</v>
      </c>
      <c r="B520" s="328" t="e">
        <f>VLOOKUP(Tabla5[[#This Row],[Acción Especifica
&lt;&lt; Seleccionar&gt;&gt;]],TablaAccionEspecifica[[#All],[Nombre_Abreviado]:[Codigo_Acción]],3,0)</f>
        <v>#N/A</v>
      </c>
      <c r="C520" s="328" t="e">
        <f>CONCATENATE(Tabla18[[#This Row],[Bus_02]],"_",Tabla5[[#This Row],[Sub Acción Específica
&lt;&lt; Seleccionar&gt;&gt;]])</f>
        <v>#N/A</v>
      </c>
      <c r="D520" s="328" t="e">
        <f>VLOOKUP(Tabla18[[#This Row],[Aux_01]],TablaSubAccionEspecifica[[#All],[Concat]:[Cod_Sub_acción_especifica]],2,0)</f>
        <v>#N/A</v>
      </c>
      <c r="E520" s="328" t="e">
        <f>Tabla18[[#This Row],[Bus_03]]&amp;"_"&amp;Tabla5[[#This Row],[Tipo de Agente
&lt;&lt; Seleccionar&gt;&gt;]]</f>
        <v>#N/A</v>
      </c>
      <c r="F520" s="328" t="e">
        <f>VLOOKUP(Tabla18[[#This Row],[Concat2]],TablaPOA[[#All],[Concat]:[ConcatEspecial]],3,0)</f>
        <v>#N/A</v>
      </c>
      <c r="G520" s="65" t="str">
        <f>CONCATENATE(Registro!$A$6,"_",Tabla5[[#This Row],[Zona (Provincia)
&lt;&lt; Seleccionar&gt;&gt;]])</f>
        <v>Huánuco_</v>
      </c>
      <c r="H520" s="60" t="e">
        <f>VLOOKUP(Tabla18[[#This Row],[Concatenado***]],Tabla2[[#All],[Concatenado]:[Simbología*]],2,0)</f>
        <v>#N/A</v>
      </c>
      <c r="I520" s="65" t="str">
        <f>CONCATENATE(Tabla18[[#This Row],[Concatenado***]],"_",Tabla5[[#This Row],[Zona (Distrito)
&lt;&lt; Seleccionar&gt;&gt;]])</f>
        <v>Huánuco__</v>
      </c>
      <c r="J5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0" s="72" t="e">
        <f>VLOOKUP(Tabla5[[#This Row],[Tipo de Transporte Empleado
&lt;&lt; Seleccionar&gt;&gt;]],Tabla8[#All],2,0)</f>
        <v>#N/A</v>
      </c>
      <c r="L520" s="71" t="e">
        <f>#REF!+(#REF!*2)+#REF!</f>
        <v>#REF!</v>
      </c>
    </row>
    <row r="521" spans="1:12" x14ac:dyDescent="0.25">
      <c r="A521" s="328" t="e">
        <f>VLOOKUP(Tabla5[[#This Row],[Acción
&lt;&lt; Seleccionar&gt;&gt;]],TablaAccion[[#All],[Nombre_Abreviado]:[Codigo_Plan_Acción]],3,0)</f>
        <v>#N/A</v>
      </c>
      <c r="B521" s="328" t="e">
        <f>VLOOKUP(Tabla5[[#This Row],[Acción Especifica
&lt;&lt; Seleccionar&gt;&gt;]],TablaAccionEspecifica[[#All],[Nombre_Abreviado]:[Codigo_Acción]],3,0)</f>
        <v>#N/A</v>
      </c>
      <c r="C521" s="328" t="e">
        <f>CONCATENATE(Tabla18[[#This Row],[Bus_02]],"_",Tabla5[[#This Row],[Sub Acción Específica
&lt;&lt; Seleccionar&gt;&gt;]])</f>
        <v>#N/A</v>
      </c>
      <c r="D521" s="328" t="e">
        <f>VLOOKUP(Tabla18[[#This Row],[Aux_01]],TablaSubAccionEspecifica[[#All],[Concat]:[Cod_Sub_acción_especifica]],2,0)</f>
        <v>#N/A</v>
      </c>
      <c r="E521" s="328" t="e">
        <f>Tabla18[[#This Row],[Bus_03]]&amp;"_"&amp;Tabla5[[#This Row],[Tipo de Agente
&lt;&lt; Seleccionar&gt;&gt;]]</f>
        <v>#N/A</v>
      </c>
      <c r="F521" s="328" t="e">
        <f>VLOOKUP(Tabla18[[#This Row],[Concat2]],TablaPOA[[#All],[Concat]:[ConcatEspecial]],3,0)</f>
        <v>#N/A</v>
      </c>
      <c r="G521" s="65" t="str">
        <f>CONCATENATE(Registro!$A$6,"_",Tabla5[[#This Row],[Zona (Provincia)
&lt;&lt; Seleccionar&gt;&gt;]])</f>
        <v>Huánuco_</v>
      </c>
      <c r="H521" s="60" t="e">
        <f>VLOOKUP(Tabla18[[#This Row],[Concatenado***]],Tabla2[[#All],[Concatenado]:[Simbología*]],2,0)</f>
        <v>#N/A</v>
      </c>
      <c r="I521" s="65" t="str">
        <f>CONCATENATE(Tabla18[[#This Row],[Concatenado***]],"_",Tabla5[[#This Row],[Zona (Distrito)
&lt;&lt; Seleccionar&gt;&gt;]])</f>
        <v>Huánuco__</v>
      </c>
      <c r="J5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1" s="72" t="e">
        <f>VLOOKUP(Tabla5[[#This Row],[Tipo de Transporte Empleado
&lt;&lt; Seleccionar&gt;&gt;]],Tabla8[#All],2,0)</f>
        <v>#N/A</v>
      </c>
      <c r="L521" s="71" t="e">
        <f>#REF!+(#REF!*2)+#REF!</f>
        <v>#REF!</v>
      </c>
    </row>
    <row r="522" spans="1:12" x14ac:dyDescent="0.25">
      <c r="A522" s="328" t="e">
        <f>VLOOKUP(Tabla5[[#This Row],[Acción
&lt;&lt; Seleccionar&gt;&gt;]],TablaAccion[[#All],[Nombre_Abreviado]:[Codigo_Plan_Acción]],3,0)</f>
        <v>#N/A</v>
      </c>
      <c r="B522" s="328" t="e">
        <f>VLOOKUP(Tabla5[[#This Row],[Acción Especifica
&lt;&lt; Seleccionar&gt;&gt;]],TablaAccionEspecifica[[#All],[Nombre_Abreviado]:[Codigo_Acción]],3,0)</f>
        <v>#N/A</v>
      </c>
      <c r="C522" s="328" t="e">
        <f>CONCATENATE(Tabla18[[#This Row],[Bus_02]],"_",Tabla5[[#This Row],[Sub Acción Específica
&lt;&lt; Seleccionar&gt;&gt;]])</f>
        <v>#N/A</v>
      </c>
      <c r="D522" s="328" t="e">
        <f>VLOOKUP(Tabla18[[#This Row],[Aux_01]],TablaSubAccionEspecifica[[#All],[Concat]:[Cod_Sub_acción_especifica]],2,0)</f>
        <v>#N/A</v>
      </c>
      <c r="E522" s="328" t="e">
        <f>Tabla18[[#This Row],[Bus_03]]&amp;"_"&amp;Tabla5[[#This Row],[Tipo de Agente
&lt;&lt; Seleccionar&gt;&gt;]]</f>
        <v>#N/A</v>
      </c>
      <c r="F522" s="328" t="e">
        <f>VLOOKUP(Tabla18[[#This Row],[Concat2]],TablaPOA[[#All],[Concat]:[ConcatEspecial]],3,0)</f>
        <v>#N/A</v>
      </c>
      <c r="G522" s="65" t="str">
        <f>CONCATENATE(Registro!$A$6,"_",Tabla5[[#This Row],[Zona (Provincia)
&lt;&lt; Seleccionar&gt;&gt;]])</f>
        <v>Huánuco_</v>
      </c>
      <c r="H522" s="60" t="e">
        <f>VLOOKUP(Tabla18[[#This Row],[Concatenado***]],Tabla2[[#All],[Concatenado]:[Simbología*]],2,0)</f>
        <v>#N/A</v>
      </c>
      <c r="I522" s="65" t="str">
        <f>CONCATENATE(Tabla18[[#This Row],[Concatenado***]],"_",Tabla5[[#This Row],[Zona (Distrito)
&lt;&lt; Seleccionar&gt;&gt;]])</f>
        <v>Huánuco__</v>
      </c>
      <c r="J5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2" s="72" t="e">
        <f>VLOOKUP(Tabla5[[#This Row],[Tipo de Transporte Empleado
&lt;&lt; Seleccionar&gt;&gt;]],Tabla8[#All],2,0)</f>
        <v>#N/A</v>
      </c>
      <c r="L522" s="71" t="e">
        <f>#REF!+(#REF!*2)+#REF!</f>
        <v>#REF!</v>
      </c>
    </row>
    <row r="523" spans="1:12" x14ac:dyDescent="0.25">
      <c r="A523" s="328" t="e">
        <f>VLOOKUP(Tabla5[[#This Row],[Acción
&lt;&lt; Seleccionar&gt;&gt;]],TablaAccion[[#All],[Nombre_Abreviado]:[Codigo_Plan_Acción]],3,0)</f>
        <v>#N/A</v>
      </c>
      <c r="B523" s="328" t="e">
        <f>VLOOKUP(Tabla5[[#This Row],[Acción Especifica
&lt;&lt; Seleccionar&gt;&gt;]],TablaAccionEspecifica[[#All],[Nombre_Abreviado]:[Codigo_Acción]],3,0)</f>
        <v>#N/A</v>
      </c>
      <c r="C523" s="328" t="e">
        <f>CONCATENATE(Tabla18[[#This Row],[Bus_02]],"_",Tabla5[[#This Row],[Sub Acción Específica
&lt;&lt; Seleccionar&gt;&gt;]])</f>
        <v>#N/A</v>
      </c>
      <c r="D523" s="328" t="e">
        <f>VLOOKUP(Tabla18[[#This Row],[Aux_01]],TablaSubAccionEspecifica[[#All],[Concat]:[Cod_Sub_acción_especifica]],2,0)</f>
        <v>#N/A</v>
      </c>
      <c r="E523" s="328" t="e">
        <f>Tabla18[[#This Row],[Bus_03]]&amp;"_"&amp;Tabla5[[#This Row],[Tipo de Agente
&lt;&lt; Seleccionar&gt;&gt;]]</f>
        <v>#N/A</v>
      </c>
      <c r="F523" s="328" t="e">
        <f>VLOOKUP(Tabla18[[#This Row],[Concat2]],TablaPOA[[#All],[Concat]:[ConcatEspecial]],3,0)</f>
        <v>#N/A</v>
      </c>
      <c r="G523" s="65" t="str">
        <f>CONCATENATE(Registro!$A$6,"_",Tabla5[[#This Row],[Zona (Provincia)
&lt;&lt; Seleccionar&gt;&gt;]])</f>
        <v>Huánuco_</v>
      </c>
      <c r="H523" s="60" t="e">
        <f>VLOOKUP(Tabla18[[#This Row],[Concatenado***]],Tabla2[[#All],[Concatenado]:[Simbología*]],2,0)</f>
        <v>#N/A</v>
      </c>
      <c r="I523" s="65" t="str">
        <f>CONCATENATE(Tabla18[[#This Row],[Concatenado***]],"_",Tabla5[[#This Row],[Zona (Distrito)
&lt;&lt; Seleccionar&gt;&gt;]])</f>
        <v>Huánuco__</v>
      </c>
      <c r="J5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3" s="72" t="e">
        <f>VLOOKUP(Tabla5[[#This Row],[Tipo de Transporte Empleado
&lt;&lt; Seleccionar&gt;&gt;]],Tabla8[#All],2,0)</f>
        <v>#N/A</v>
      </c>
      <c r="L523" s="71" t="e">
        <f>#REF!+(#REF!*2)+#REF!</f>
        <v>#REF!</v>
      </c>
    </row>
    <row r="524" spans="1:12" x14ac:dyDescent="0.25">
      <c r="A524" s="328" t="e">
        <f>VLOOKUP(Tabla5[[#This Row],[Acción
&lt;&lt; Seleccionar&gt;&gt;]],TablaAccion[[#All],[Nombre_Abreviado]:[Codigo_Plan_Acción]],3,0)</f>
        <v>#N/A</v>
      </c>
      <c r="B524" s="328" t="e">
        <f>VLOOKUP(Tabla5[[#This Row],[Acción Especifica
&lt;&lt; Seleccionar&gt;&gt;]],TablaAccionEspecifica[[#All],[Nombre_Abreviado]:[Codigo_Acción]],3,0)</f>
        <v>#N/A</v>
      </c>
      <c r="C524" s="328" t="e">
        <f>CONCATENATE(Tabla18[[#This Row],[Bus_02]],"_",Tabla5[[#This Row],[Sub Acción Específica
&lt;&lt; Seleccionar&gt;&gt;]])</f>
        <v>#N/A</v>
      </c>
      <c r="D524" s="328" t="e">
        <f>VLOOKUP(Tabla18[[#This Row],[Aux_01]],TablaSubAccionEspecifica[[#All],[Concat]:[Cod_Sub_acción_especifica]],2,0)</f>
        <v>#N/A</v>
      </c>
      <c r="E524" s="328" t="e">
        <f>Tabla18[[#This Row],[Bus_03]]&amp;"_"&amp;Tabla5[[#This Row],[Tipo de Agente
&lt;&lt; Seleccionar&gt;&gt;]]</f>
        <v>#N/A</v>
      </c>
      <c r="F524" s="328" t="e">
        <f>VLOOKUP(Tabla18[[#This Row],[Concat2]],TablaPOA[[#All],[Concat]:[ConcatEspecial]],3,0)</f>
        <v>#N/A</v>
      </c>
      <c r="G524" s="65" t="str">
        <f>CONCATENATE(Registro!$A$6,"_",Tabla5[[#This Row],[Zona (Provincia)
&lt;&lt; Seleccionar&gt;&gt;]])</f>
        <v>Huánuco_</v>
      </c>
      <c r="H524" s="60" t="e">
        <f>VLOOKUP(Tabla18[[#This Row],[Concatenado***]],Tabla2[[#All],[Concatenado]:[Simbología*]],2,0)</f>
        <v>#N/A</v>
      </c>
      <c r="I524" s="65" t="str">
        <f>CONCATENATE(Tabla18[[#This Row],[Concatenado***]],"_",Tabla5[[#This Row],[Zona (Distrito)
&lt;&lt; Seleccionar&gt;&gt;]])</f>
        <v>Huánuco__</v>
      </c>
      <c r="J5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4" s="72" t="e">
        <f>VLOOKUP(Tabla5[[#This Row],[Tipo de Transporte Empleado
&lt;&lt; Seleccionar&gt;&gt;]],Tabla8[#All],2,0)</f>
        <v>#N/A</v>
      </c>
      <c r="L524" s="71" t="e">
        <f>#REF!+(#REF!*2)+#REF!</f>
        <v>#REF!</v>
      </c>
    </row>
    <row r="525" spans="1:12" x14ac:dyDescent="0.25">
      <c r="A525" s="328" t="e">
        <f>VLOOKUP(Tabla5[[#This Row],[Acción
&lt;&lt; Seleccionar&gt;&gt;]],TablaAccion[[#All],[Nombre_Abreviado]:[Codigo_Plan_Acción]],3,0)</f>
        <v>#N/A</v>
      </c>
      <c r="B525" s="328" t="e">
        <f>VLOOKUP(Tabla5[[#This Row],[Acción Especifica
&lt;&lt; Seleccionar&gt;&gt;]],TablaAccionEspecifica[[#All],[Nombre_Abreviado]:[Codigo_Acción]],3,0)</f>
        <v>#N/A</v>
      </c>
      <c r="C525" s="328" t="e">
        <f>CONCATENATE(Tabla18[[#This Row],[Bus_02]],"_",Tabla5[[#This Row],[Sub Acción Específica
&lt;&lt; Seleccionar&gt;&gt;]])</f>
        <v>#N/A</v>
      </c>
      <c r="D525" s="328" t="e">
        <f>VLOOKUP(Tabla18[[#This Row],[Aux_01]],TablaSubAccionEspecifica[[#All],[Concat]:[Cod_Sub_acción_especifica]],2,0)</f>
        <v>#N/A</v>
      </c>
      <c r="E525" s="328" t="e">
        <f>Tabla18[[#This Row],[Bus_03]]&amp;"_"&amp;Tabla5[[#This Row],[Tipo de Agente
&lt;&lt; Seleccionar&gt;&gt;]]</f>
        <v>#N/A</v>
      </c>
      <c r="F525" s="328" t="e">
        <f>VLOOKUP(Tabla18[[#This Row],[Concat2]],TablaPOA[[#All],[Concat]:[ConcatEspecial]],3,0)</f>
        <v>#N/A</v>
      </c>
      <c r="G525" s="65" t="str">
        <f>CONCATENATE(Registro!$A$6,"_",Tabla5[[#This Row],[Zona (Provincia)
&lt;&lt; Seleccionar&gt;&gt;]])</f>
        <v>Huánuco_</v>
      </c>
      <c r="H525" s="60" t="e">
        <f>VLOOKUP(Tabla18[[#This Row],[Concatenado***]],Tabla2[[#All],[Concatenado]:[Simbología*]],2,0)</f>
        <v>#N/A</v>
      </c>
      <c r="I525" s="65" t="str">
        <f>CONCATENATE(Tabla18[[#This Row],[Concatenado***]],"_",Tabla5[[#This Row],[Zona (Distrito)
&lt;&lt; Seleccionar&gt;&gt;]])</f>
        <v>Huánuco__</v>
      </c>
      <c r="J5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5" s="72" t="e">
        <f>VLOOKUP(Tabla5[[#This Row],[Tipo de Transporte Empleado
&lt;&lt; Seleccionar&gt;&gt;]],Tabla8[#All],2,0)</f>
        <v>#N/A</v>
      </c>
      <c r="L525" s="71" t="e">
        <f>#REF!+(#REF!*2)+#REF!</f>
        <v>#REF!</v>
      </c>
    </row>
    <row r="526" spans="1:12" x14ac:dyDescent="0.25">
      <c r="A526" s="328" t="e">
        <f>VLOOKUP(Tabla5[[#This Row],[Acción
&lt;&lt; Seleccionar&gt;&gt;]],TablaAccion[[#All],[Nombre_Abreviado]:[Codigo_Plan_Acción]],3,0)</f>
        <v>#N/A</v>
      </c>
      <c r="B526" s="328" t="e">
        <f>VLOOKUP(Tabla5[[#This Row],[Acción Especifica
&lt;&lt; Seleccionar&gt;&gt;]],TablaAccionEspecifica[[#All],[Nombre_Abreviado]:[Codigo_Acción]],3,0)</f>
        <v>#N/A</v>
      </c>
      <c r="C526" s="328" t="e">
        <f>CONCATENATE(Tabla18[[#This Row],[Bus_02]],"_",Tabla5[[#This Row],[Sub Acción Específica
&lt;&lt; Seleccionar&gt;&gt;]])</f>
        <v>#N/A</v>
      </c>
      <c r="D526" s="328" t="e">
        <f>VLOOKUP(Tabla18[[#This Row],[Aux_01]],TablaSubAccionEspecifica[[#All],[Concat]:[Cod_Sub_acción_especifica]],2,0)</f>
        <v>#N/A</v>
      </c>
      <c r="E526" s="328" t="e">
        <f>Tabla18[[#This Row],[Bus_03]]&amp;"_"&amp;Tabla5[[#This Row],[Tipo de Agente
&lt;&lt; Seleccionar&gt;&gt;]]</f>
        <v>#N/A</v>
      </c>
      <c r="F526" s="328" t="e">
        <f>VLOOKUP(Tabla18[[#This Row],[Concat2]],TablaPOA[[#All],[Concat]:[ConcatEspecial]],3,0)</f>
        <v>#N/A</v>
      </c>
      <c r="G526" s="65" t="str">
        <f>CONCATENATE(Registro!$A$6,"_",Tabla5[[#This Row],[Zona (Provincia)
&lt;&lt; Seleccionar&gt;&gt;]])</f>
        <v>Huánuco_</v>
      </c>
      <c r="H526" s="60" t="e">
        <f>VLOOKUP(Tabla18[[#This Row],[Concatenado***]],Tabla2[[#All],[Concatenado]:[Simbología*]],2,0)</f>
        <v>#N/A</v>
      </c>
      <c r="I526" s="65" t="str">
        <f>CONCATENATE(Tabla18[[#This Row],[Concatenado***]],"_",Tabla5[[#This Row],[Zona (Distrito)
&lt;&lt; Seleccionar&gt;&gt;]])</f>
        <v>Huánuco__</v>
      </c>
      <c r="J5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6" s="72" t="e">
        <f>VLOOKUP(Tabla5[[#This Row],[Tipo de Transporte Empleado
&lt;&lt; Seleccionar&gt;&gt;]],Tabla8[#All],2,0)</f>
        <v>#N/A</v>
      </c>
      <c r="L526" s="71" t="e">
        <f>#REF!+(#REF!*2)+#REF!</f>
        <v>#REF!</v>
      </c>
    </row>
    <row r="527" spans="1:12" x14ac:dyDescent="0.25">
      <c r="A527" s="328" t="e">
        <f>VLOOKUP(Tabla5[[#This Row],[Acción
&lt;&lt; Seleccionar&gt;&gt;]],TablaAccion[[#All],[Nombre_Abreviado]:[Codigo_Plan_Acción]],3,0)</f>
        <v>#N/A</v>
      </c>
      <c r="B527" s="328" t="e">
        <f>VLOOKUP(Tabla5[[#This Row],[Acción Especifica
&lt;&lt; Seleccionar&gt;&gt;]],TablaAccionEspecifica[[#All],[Nombre_Abreviado]:[Codigo_Acción]],3,0)</f>
        <v>#N/A</v>
      </c>
      <c r="C527" s="328" t="e">
        <f>CONCATENATE(Tabla18[[#This Row],[Bus_02]],"_",Tabla5[[#This Row],[Sub Acción Específica
&lt;&lt; Seleccionar&gt;&gt;]])</f>
        <v>#N/A</v>
      </c>
      <c r="D527" s="328" t="e">
        <f>VLOOKUP(Tabla18[[#This Row],[Aux_01]],TablaSubAccionEspecifica[[#All],[Concat]:[Cod_Sub_acción_especifica]],2,0)</f>
        <v>#N/A</v>
      </c>
      <c r="E527" s="328" t="e">
        <f>Tabla18[[#This Row],[Bus_03]]&amp;"_"&amp;Tabla5[[#This Row],[Tipo de Agente
&lt;&lt; Seleccionar&gt;&gt;]]</f>
        <v>#N/A</v>
      </c>
      <c r="F527" s="328" t="e">
        <f>VLOOKUP(Tabla18[[#This Row],[Concat2]],TablaPOA[[#All],[Concat]:[ConcatEspecial]],3,0)</f>
        <v>#N/A</v>
      </c>
      <c r="G527" s="65" t="str">
        <f>CONCATENATE(Registro!$A$6,"_",Tabla5[[#This Row],[Zona (Provincia)
&lt;&lt; Seleccionar&gt;&gt;]])</f>
        <v>Huánuco_</v>
      </c>
      <c r="H527" s="60" t="e">
        <f>VLOOKUP(Tabla18[[#This Row],[Concatenado***]],Tabla2[[#All],[Concatenado]:[Simbología*]],2,0)</f>
        <v>#N/A</v>
      </c>
      <c r="I527" s="65" t="str">
        <f>CONCATENATE(Tabla18[[#This Row],[Concatenado***]],"_",Tabla5[[#This Row],[Zona (Distrito)
&lt;&lt; Seleccionar&gt;&gt;]])</f>
        <v>Huánuco__</v>
      </c>
      <c r="J5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7" s="72" t="e">
        <f>VLOOKUP(Tabla5[[#This Row],[Tipo de Transporte Empleado
&lt;&lt; Seleccionar&gt;&gt;]],Tabla8[#All],2,0)</f>
        <v>#N/A</v>
      </c>
      <c r="L527" s="71" t="e">
        <f>#REF!+(#REF!*2)+#REF!</f>
        <v>#REF!</v>
      </c>
    </row>
    <row r="528" spans="1:12" x14ac:dyDescent="0.25">
      <c r="A528" s="328" t="e">
        <f>VLOOKUP(Tabla5[[#This Row],[Acción
&lt;&lt; Seleccionar&gt;&gt;]],TablaAccion[[#All],[Nombre_Abreviado]:[Codigo_Plan_Acción]],3,0)</f>
        <v>#N/A</v>
      </c>
      <c r="B528" s="328" t="e">
        <f>VLOOKUP(Tabla5[[#This Row],[Acción Especifica
&lt;&lt; Seleccionar&gt;&gt;]],TablaAccionEspecifica[[#All],[Nombre_Abreviado]:[Codigo_Acción]],3,0)</f>
        <v>#N/A</v>
      </c>
      <c r="C528" s="328" t="e">
        <f>CONCATENATE(Tabla18[[#This Row],[Bus_02]],"_",Tabla5[[#This Row],[Sub Acción Específica
&lt;&lt; Seleccionar&gt;&gt;]])</f>
        <v>#N/A</v>
      </c>
      <c r="D528" s="328" t="e">
        <f>VLOOKUP(Tabla18[[#This Row],[Aux_01]],TablaSubAccionEspecifica[[#All],[Concat]:[Cod_Sub_acción_especifica]],2,0)</f>
        <v>#N/A</v>
      </c>
      <c r="E528" s="328" t="e">
        <f>Tabla18[[#This Row],[Bus_03]]&amp;"_"&amp;Tabla5[[#This Row],[Tipo de Agente
&lt;&lt; Seleccionar&gt;&gt;]]</f>
        <v>#N/A</v>
      </c>
      <c r="F528" s="328" t="e">
        <f>VLOOKUP(Tabla18[[#This Row],[Concat2]],TablaPOA[[#All],[Concat]:[ConcatEspecial]],3,0)</f>
        <v>#N/A</v>
      </c>
      <c r="G528" s="65" t="str">
        <f>CONCATENATE(Registro!$A$6,"_",Tabla5[[#This Row],[Zona (Provincia)
&lt;&lt; Seleccionar&gt;&gt;]])</f>
        <v>Huánuco_</v>
      </c>
      <c r="H528" s="60" t="e">
        <f>VLOOKUP(Tabla18[[#This Row],[Concatenado***]],Tabla2[[#All],[Concatenado]:[Simbología*]],2,0)</f>
        <v>#N/A</v>
      </c>
      <c r="I528" s="65" t="str">
        <f>CONCATENATE(Tabla18[[#This Row],[Concatenado***]],"_",Tabla5[[#This Row],[Zona (Distrito)
&lt;&lt; Seleccionar&gt;&gt;]])</f>
        <v>Huánuco__</v>
      </c>
      <c r="J5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8" s="72" t="e">
        <f>VLOOKUP(Tabla5[[#This Row],[Tipo de Transporte Empleado
&lt;&lt; Seleccionar&gt;&gt;]],Tabla8[#All],2,0)</f>
        <v>#N/A</v>
      </c>
      <c r="L528" s="71" t="e">
        <f>#REF!+(#REF!*2)+#REF!</f>
        <v>#REF!</v>
      </c>
    </row>
    <row r="529" spans="1:12" x14ac:dyDescent="0.25">
      <c r="A529" s="328" t="e">
        <f>VLOOKUP(Tabla5[[#This Row],[Acción
&lt;&lt; Seleccionar&gt;&gt;]],TablaAccion[[#All],[Nombre_Abreviado]:[Codigo_Plan_Acción]],3,0)</f>
        <v>#N/A</v>
      </c>
      <c r="B529" s="328" t="e">
        <f>VLOOKUP(Tabla5[[#This Row],[Acción Especifica
&lt;&lt; Seleccionar&gt;&gt;]],TablaAccionEspecifica[[#All],[Nombre_Abreviado]:[Codigo_Acción]],3,0)</f>
        <v>#N/A</v>
      </c>
      <c r="C529" s="328" t="e">
        <f>CONCATENATE(Tabla18[[#This Row],[Bus_02]],"_",Tabla5[[#This Row],[Sub Acción Específica
&lt;&lt; Seleccionar&gt;&gt;]])</f>
        <v>#N/A</v>
      </c>
      <c r="D529" s="328" t="e">
        <f>VLOOKUP(Tabla18[[#This Row],[Aux_01]],TablaSubAccionEspecifica[[#All],[Concat]:[Cod_Sub_acción_especifica]],2,0)</f>
        <v>#N/A</v>
      </c>
      <c r="E529" s="328" t="e">
        <f>Tabla18[[#This Row],[Bus_03]]&amp;"_"&amp;Tabla5[[#This Row],[Tipo de Agente
&lt;&lt; Seleccionar&gt;&gt;]]</f>
        <v>#N/A</v>
      </c>
      <c r="F529" s="328" t="e">
        <f>VLOOKUP(Tabla18[[#This Row],[Concat2]],TablaPOA[[#All],[Concat]:[ConcatEspecial]],3,0)</f>
        <v>#N/A</v>
      </c>
      <c r="G529" s="65" t="str">
        <f>CONCATENATE(Registro!$A$6,"_",Tabla5[[#This Row],[Zona (Provincia)
&lt;&lt; Seleccionar&gt;&gt;]])</f>
        <v>Huánuco_</v>
      </c>
      <c r="H529" s="60" t="e">
        <f>VLOOKUP(Tabla18[[#This Row],[Concatenado***]],Tabla2[[#All],[Concatenado]:[Simbología*]],2,0)</f>
        <v>#N/A</v>
      </c>
      <c r="I529" s="65" t="str">
        <f>CONCATENATE(Tabla18[[#This Row],[Concatenado***]],"_",Tabla5[[#This Row],[Zona (Distrito)
&lt;&lt; Seleccionar&gt;&gt;]])</f>
        <v>Huánuco__</v>
      </c>
      <c r="J5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9" s="72" t="e">
        <f>VLOOKUP(Tabla5[[#This Row],[Tipo de Transporte Empleado
&lt;&lt; Seleccionar&gt;&gt;]],Tabla8[#All],2,0)</f>
        <v>#N/A</v>
      </c>
      <c r="L529" s="71" t="e">
        <f>#REF!+(#REF!*2)+#REF!</f>
        <v>#REF!</v>
      </c>
    </row>
    <row r="530" spans="1:12" x14ac:dyDescent="0.25">
      <c r="A530" s="328" t="e">
        <f>VLOOKUP(Tabla5[[#This Row],[Acción
&lt;&lt; Seleccionar&gt;&gt;]],TablaAccion[[#All],[Nombre_Abreviado]:[Codigo_Plan_Acción]],3,0)</f>
        <v>#N/A</v>
      </c>
      <c r="B530" s="328" t="e">
        <f>VLOOKUP(Tabla5[[#This Row],[Acción Especifica
&lt;&lt; Seleccionar&gt;&gt;]],TablaAccionEspecifica[[#All],[Nombre_Abreviado]:[Codigo_Acción]],3,0)</f>
        <v>#N/A</v>
      </c>
      <c r="C530" s="328" t="e">
        <f>CONCATENATE(Tabla18[[#This Row],[Bus_02]],"_",Tabla5[[#This Row],[Sub Acción Específica
&lt;&lt; Seleccionar&gt;&gt;]])</f>
        <v>#N/A</v>
      </c>
      <c r="D530" s="328" t="e">
        <f>VLOOKUP(Tabla18[[#This Row],[Aux_01]],TablaSubAccionEspecifica[[#All],[Concat]:[Cod_Sub_acción_especifica]],2,0)</f>
        <v>#N/A</v>
      </c>
      <c r="E530" s="328" t="e">
        <f>Tabla18[[#This Row],[Bus_03]]&amp;"_"&amp;Tabla5[[#This Row],[Tipo de Agente
&lt;&lt; Seleccionar&gt;&gt;]]</f>
        <v>#N/A</v>
      </c>
      <c r="F530" s="328" t="e">
        <f>VLOOKUP(Tabla18[[#This Row],[Concat2]],TablaPOA[[#All],[Concat]:[ConcatEspecial]],3,0)</f>
        <v>#N/A</v>
      </c>
      <c r="G530" s="65" t="str">
        <f>CONCATENATE(Registro!$A$6,"_",Tabla5[[#This Row],[Zona (Provincia)
&lt;&lt; Seleccionar&gt;&gt;]])</f>
        <v>Huánuco_</v>
      </c>
      <c r="H530" s="60" t="e">
        <f>VLOOKUP(Tabla18[[#This Row],[Concatenado***]],Tabla2[[#All],[Concatenado]:[Simbología*]],2,0)</f>
        <v>#N/A</v>
      </c>
      <c r="I530" s="65" t="str">
        <f>CONCATENATE(Tabla18[[#This Row],[Concatenado***]],"_",Tabla5[[#This Row],[Zona (Distrito)
&lt;&lt; Seleccionar&gt;&gt;]])</f>
        <v>Huánuco__</v>
      </c>
      <c r="J5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0" s="72" t="e">
        <f>VLOOKUP(Tabla5[[#This Row],[Tipo de Transporte Empleado
&lt;&lt; Seleccionar&gt;&gt;]],Tabla8[#All],2,0)</f>
        <v>#N/A</v>
      </c>
      <c r="L530" s="71" t="e">
        <f>#REF!+(#REF!*2)+#REF!</f>
        <v>#REF!</v>
      </c>
    </row>
    <row r="531" spans="1:12" x14ac:dyDescent="0.25">
      <c r="A531" s="328" t="e">
        <f>VLOOKUP(Tabla5[[#This Row],[Acción
&lt;&lt; Seleccionar&gt;&gt;]],TablaAccion[[#All],[Nombre_Abreviado]:[Codigo_Plan_Acción]],3,0)</f>
        <v>#N/A</v>
      </c>
      <c r="B531" s="328" t="e">
        <f>VLOOKUP(Tabla5[[#This Row],[Acción Especifica
&lt;&lt; Seleccionar&gt;&gt;]],TablaAccionEspecifica[[#All],[Nombre_Abreviado]:[Codigo_Acción]],3,0)</f>
        <v>#N/A</v>
      </c>
      <c r="C531" s="328" t="e">
        <f>CONCATENATE(Tabla18[[#This Row],[Bus_02]],"_",Tabla5[[#This Row],[Sub Acción Específica
&lt;&lt; Seleccionar&gt;&gt;]])</f>
        <v>#N/A</v>
      </c>
      <c r="D531" s="328" t="e">
        <f>VLOOKUP(Tabla18[[#This Row],[Aux_01]],TablaSubAccionEspecifica[[#All],[Concat]:[Cod_Sub_acción_especifica]],2,0)</f>
        <v>#N/A</v>
      </c>
      <c r="E531" s="328" t="e">
        <f>Tabla18[[#This Row],[Bus_03]]&amp;"_"&amp;Tabla5[[#This Row],[Tipo de Agente
&lt;&lt; Seleccionar&gt;&gt;]]</f>
        <v>#N/A</v>
      </c>
      <c r="F531" s="328" t="e">
        <f>VLOOKUP(Tabla18[[#This Row],[Concat2]],TablaPOA[[#All],[Concat]:[ConcatEspecial]],3,0)</f>
        <v>#N/A</v>
      </c>
      <c r="G531" s="65" t="str">
        <f>CONCATENATE(Registro!$A$6,"_",Tabla5[[#This Row],[Zona (Provincia)
&lt;&lt; Seleccionar&gt;&gt;]])</f>
        <v>Huánuco_</v>
      </c>
      <c r="H531" s="60" t="e">
        <f>VLOOKUP(Tabla18[[#This Row],[Concatenado***]],Tabla2[[#All],[Concatenado]:[Simbología*]],2,0)</f>
        <v>#N/A</v>
      </c>
      <c r="I531" s="65" t="str">
        <f>CONCATENATE(Tabla18[[#This Row],[Concatenado***]],"_",Tabla5[[#This Row],[Zona (Distrito)
&lt;&lt; Seleccionar&gt;&gt;]])</f>
        <v>Huánuco__</v>
      </c>
      <c r="J5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1" s="72" t="e">
        <f>VLOOKUP(Tabla5[[#This Row],[Tipo de Transporte Empleado
&lt;&lt; Seleccionar&gt;&gt;]],Tabla8[#All],2,0)</f>
        <v>#N/A</v>
      </c>
      <c r="L531" s="71" t="e">
        <f>#REF!+(#REF!*2)+#REF!</f>
        <v>#REF!</v>
      </c>
    </row>
    <row r="532" spans="1:12" x14ac:dyDescent="0.25">
      <c r="A532" s="328" t="e">
        <f>VLOOKUP(Tabla5[[#This Row],[Acción
&lt;&lt; Seleccionar&gt;&gt;]],TablaAccion[[#All],[Nombre_Abreviado]:[Codigo_Plan_Acción]],3,0)</f>
        <v>#N/A</v>
      </c>
      <c r="B532" s="328" t="e">
        <f>VLOOKUP(Tabla5[[#This Row],[Acción Especifica
&lt;&lt; Seleccionar&gt;&gt;]],TablaAccionEspecifica[[#All],[Nombre_Abreviado]:[Codigo_Acción]],3,0)</f>
        <v>#N/A</v>
      </c>
      <c r="C532" s="328" t="e">
        <f>CONCATENATE(Tabla18[[#This Row],[Bus_02]],"_",Tabla5[[#This Row],[Sub Acción Específica
&lt;&lt; Seleccionar&gt;&gt;]])</f>
        <v>#N/A</v>
      </c>
      <c r="D532" s="328" t="e">
        <f>VLOOKUP(Tabla18[[#This Row],[Aux_01]],TablaSubAccionEspecifica[[#All],[Concat]:[Cod_Sub_acción_especifica]],2,0)</f>
        <v>#N/A</v>
      </c>
      <c r="E532" s="328" t="e">
        <f>Tabla18[[#This Row],[Bus_03]]&amp;"_"&amp;Tabla5[[#This Row],[Tipo de Agente
&lt;&lt; Seleccionar&gt;&gt;]]</f>
        <v>#N/A</v>
      </c>
      <c r="F532" s="328" t="e">
        <f>VLOOKUP(Tabla18[[#This Row],[Concat2]],TablaPOA[[#All],[Concat]:[ConcatEspecial]],3,0)</f>
        <v>#N/A</v>
      </c>
      <c r="G532" s="65" t="str">
        <f>CONCATENATE(Registro!$A$6,"_",Tabla5[[#This Row],[Zona (Provincia)
&lt;&lt; Seleccionar&gt;&gt;]])</f>
        <v>Huánuco_</v>
      </c>
      <c r="H532" s="60" t="e">
        <f>VLOOKUP(Tabla18[[#This Row],[Concatenado***]],Tabla2[[#All],[Concatenado]:[Simbología*]],2,0)</f>
        <v>#N/A</v>
      </c>
      <c r="I532" s="65" t="str">
        <f>CONCATENATE(Tabla18[[#This Row],[Concatenado***]],"_",Tabla5[[#This Row],[Zona (Distrito)
&lt;&lt; Seleccionar&gt;&gt;]])</f>
        <v>Huánuco__</v>
      </c>
      <c r="J5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2" s="72" t="e">
        <f>VLOOKUP(Tabla5[[#This Row],[Tipo de Transporte Empleado
&lt;&lt; Seleccionar&gt;&gt;]],Tabla8[#All],2,0)</f>
        <v>#N/A</v>
      </c>
      <c r="L532" s="71" t="e">
        <f>#REF!+(#REF!*2)+#REF!</f>
        <v>#REF!</v>
      </c>
    </row>
    <row r="533" spans="1:12" x14ac:dyDescent="0.25">
      <c r="A533" s="328" t="e">
        <f>VLOOKUP(Tabla5[[#This Row],[Acción
&lt;&lt; Seleccionar&gt;&gt;]],TablaAccion[[#All],[Nombre_Abreviado]:[Codigo_Plan_Acción]],3,0)</f>
        <v>#N/A</v>
      </c>
      <c r="B533" s="328" t="e">
        <f>VLOOKUP(Tabla5[[#This Row],[Acción Especifica
&lt;&lt; Seleccionar&gt;&gt;]],TablaAccionEspecifica[[#All],[Nombre_Abreviado]:[Codigo_Acción]],3,0)</f>
        <v>#N/A</v>
      </c>
      <c r="C533" s="328" t="e">
        <f>CONCATENATE(Tabla18[[#This Row],[Bus_02]],"_",Tabla5[[#This Row],[Sub Acción Específica
&lt;&lt; Seleccionar&gt;&gt;]])</f>
        <v>#N/A</v>
      </c>
      <c r="D533" s="328" t="e">
        <f>VLOOKUP(Tabla18[[#This Row],[Aux_01]],TablaSubAccionEspecifica[[#All],[Concat]:[Cod_Sub_acción_especifica]],2,0)</f>
        <v>#N/A</v>
      </c>
      <c r="E533" s="328" t="e">
        <f>Tabla18[[#This Row],[Bus_03]]&amp;"_"&amp;Tabla5[[#This Row],[Tipo de Agente
&lt;&lt; Seleccionar&gt;&gt;]]</f>
        <v>#N/A</v>
      </c>
      <c r="F533" s="328" t="e">
        <f>VLOOKUP(Tabla18[[#This Row],[Concat2]],TablaPOA[[#All],[Concat]:[ConcatEspecial]],3,0)</f>
        <v>#N/A</v>
      </c>
      <c r="G533" s="65" t="str">
        <f>CONCATENATE(Registro!$A$6,"_",Tabla5[[#This Row],[Zona (Provincia)
&lt;&lt; Seleccionar&gt;&gt;]])</f>
        <v>Huánuco_</v>
      </c>
      <c r="H533" s="60" t="e">
        <f>VLOOKUP(Tabla18[[#This Row],[Concatenado***]],Tabla2[[#All],[Concatenado]:[Simbología*]],2,0)</f>
        <v>#N/A</v>
      </c>
      <c r="I533" s="65" t="str">
        <f>CONCATENATE(Tabla18[[#This Row],[Concatenado***]],"_",Tabla5[[#This Row],[Zona (Distrito)
&lt;&lt; Seleccionar&gt;&gt;]])</f>
        <v>Huánuco__</v>
      </c>
      <c r="J5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3" s="72" t="e">
        <f>VLOOKUP(Tabla5[[#This Row],[Tipo de Transporte Empleado
&lt;&lt; Seleccionar&gt;&gt;]],Tabla8[#All],2,0)</f>
        <v>#N/A</v>
      </c>
      <c r="L533" s="71" t="e">
        <f>#REF!+(#REF!*2)+#REF!</f>
        <v>#REF!</v>
      </c>
    </row>
    <row r="534" spans="1:12" x14ac:dyDescent="0.25">
      <c r="A534" s="328" t="e">
        <f>VLOOKUP(Tabla5[[#This Row],[Acción
&lt;&lt; Seleccionar&gt;&gt;]],TablaAccion[[#All],[Nombre_Abreviado]:[Codigo_Plan_Acción]],3,0)</f>
        <v>#N/A</v>
      </c>
      <c r="B534" s="328" t="e">
        <f>VLOOKUP(Tabla5[[#This Row],[Acción Especifica
&lt;&lt; Seleccionar&gt;&gt;]],TablaAccionEspecifica[[#All],[Nombre_Abreviado]:[Codigo_Acción]],3,0)</f>
        <v>#N/A</v>
      </c>
      <c r="C534" s="328" t="e">
        <f>CONCATENATE(Tabla18[[#This Row],[Bus_02]],"_",Tabla5[[#This Row],[Sub Acción Específica
&lt;&lt; Seleccionar&gt;&gt;]])</f>
        <v>#N/A</v>
      </c>
      <c r="D534" s="328" t="e">
        <f>VLOOKUP(Tabla18[[#This Row],[Aux_01]],TablaSubAccionEspecifica[[#All],[Concat]:[Cod_Sub_acción_especifica]],2,0)</f>
        <v>#N/A</v>
      </c>
      <c r="E534" s="328" t="e">
        <f>Tabla18[[#This Row],[Bus_03]]&amp;"_"&amp;Tabla5[[#This Row],[Tipo de Agente
&lt;&lt; Seleccionar&gt;&gt;]]</f>
        <v>#N/A</v>
      </c>
      <c r="F534" s="328" t="e">
        <f>VLOOKUP(Tabla18[[#This Row],[Concat2]],TablaPOA[[#All],[Concat]:[ConcatEspecial]],3,0)</f>
        <v>#N/A</v>
      </c>
      <c r="G534" s="65" t="str">
        <f>CONCATENATE(Registro!$A$6,"_",Tabla5[[#This Row],[Zona (Provincia)
&lt;&lt; Seleccionar&gt;&gt;]])</f>
        <v>Huánuco_</v>
      </c>
      <c r="H534" s="60" t="e">
        <f>VLOOKUP(Tabla18[[#This Row],[Concatenado***]],Tabla2[[#All],[Concatenado]:[Simbología*]],2,0)</f>
        <v>#N/A</v>
      </c>
      <c r="I534" s="65" t="str">
        <f>CONCATENATE(Tabla18[[#This Row],[Concatenado***]],"_",Tabla5[[#This Row],[Zona (Distrito)
&lt;&lt; Seleccionar&gt;&gt;]])</f>
        <v>Huánuco__</v>
      </c>
      <c r="J5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4" s="72" t="e">
        <f>VLOOKUP(Tabla5[[#This Row],[Tipo de Transporte Empleado
&lt;&lt; Seleccionar&gt;&gt;]],Tabla8[#All],2,0)</f>
        <v>#N/A</v>
      </c>
      <c r="L534" s="71" t="e">
        <f>#REF!+(#REF!*2)+#REF!</f>
        <v>#REF!</v>
      </c>
    </row>
    <row r="535" spans="1:12" x14ac:dyDescent="0.25">
      <c r="A535" s="328" t="e">
        <f>VLOOKUP(Tabla5[[#This Row],[Acción
&lt;&lt; Seleccionar&gt;&gt;]],TablaAccion[[#All],[Nombre_Abreviado]:[Codigo_Plan_Acción]],3,0)</f>
        <v>#N/A</v>
      </c>
      <c r="B535" s="328" t="e">
        <f>VLOOKUP(Tabla5[[#This Row],[Acción Especifica
&lt;&lt; Seleccionar&gt;&gt;]],TablaAccionEspecifica[[#All],[Nombre_Abreviado]:[Codigo_Acción]],3,0)</f>
        <v>#N/A</v>
      </c>
      <c r="C535" s="328" t="e">
        <f>CONCATENATE(Tabla18[[#This Row],[Bus_02]],"_",Tabla5[[#This Row],[Sub Acción Específica
&lt;&lt; Seleccionar&gt;&gt;]])</f>
        <v>#N/A</v>
      </c>
      <c r="D535" s="328" t="e">
        <f>VLOOKUP(Tabla18[[#This Row],[Aux_01]],TablaSubAccionEspecifica[[#All],[Concat]:[Cod_Sub_acción_especifica]],2,0)</f>
        <v>#N/A</v>
      </c>
      <c r="E535" s="328" t="e">
        <f>Tabla18[[#This Row],[Bus_03]]&amp;"_"&amp;Tabla5[[#This Row],[Tipo de Agente
&lt;&lt; Seleccionar&gt;&gt;]]</f>
        <v>#N/A</v>
      </c>
      <c r="F535" s="328" t="e">
        <f>VLOOKUP(Tabla18[[#This Row],[Concat2]],TablaPOA[[#All],[Concat]:[ConcatEspecial]],3,0)</f>
        <v>#N/A</v>
      </c>
      <c r="G535" s="65" t="str">
        <f>CONCATENATE(Registro!$A$6,"_",Tabla5[[#This Row],[Zona (Provincia)
&lt;&lt; Seleccionar&gt;&gt;]])</f>
        <v>Huánuco_</v>
      </c>
      <c r="H535" s="60" t="e">
        <f>VLOOKUP(Tabla18[[#This Row],[Concatenado***]],Tabla2[[#All],[Concatenado]:[Simbología*]],2,0)</f>
        <v>#N/A</v>
      </c>
      <c r="I535" s="65" t="str">
        <f>CONCATENATE(Tabla18[[#This Row],[Concatenado***]],"_",Tabla5[[#This Row],[Zona (Distrito)
&lt;&lt; Seleccionar&gt;&gt;]])</f>
        <v>Huánuco__</v>
      </c>
      <c r="J5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5" s="72" t="e">
        <f>VLOOKUP(Tabla5[[#This Row],[Tipo de Transporte Empleado
&lt;&lt; Seleccionar&gt;&gt;]],Tabla8[#All],2,0)</f>
        <v>#N/A</v>
      </c>
      <c r="L535" s="71" t="e">
        <f>#REF!+(#REF!*2)+#REF!</f>
        <v>#REF!</v>
      </c>
    </row>
    <row r="536" spans="1:12" x14ac:dyDescent="0.25">
      <c r="A536" s="328" t="e">
        <f>VLOOKUP(Tabla5[[#This Row],[Acción
&lt;&lt; Seleccionar&gt;&gt;]],TablaAccion[[#All],[Nombre_Abreviado]:[Codigo_Plan_Acción]],3,0)</f>
        <v>#N/A</v>
      </c>
      <c r="B536" s="328" t="e">
        <f>VLOOKUP(Tabla5[[#This Row],[Acción Especifica
&lt;&lt; Seleccionar&gt;&gt;]],TablaAccionEspecifica[[#All],[Nombre_Abreviado]:[Codigo_Acción]],3,0)</f>
        <v>#N/A</v>
      </c>
      <c r="C536" s="328" t="e">
        <f>CONCATENATE(Tabla18[[#This Row],[Bus_02]],"_",Tabla5[[#This Row],[Sub Acción Específica
&lt;&lt; Seleccionar&gt;&gt;]])</f>
        <v>#N/A</v>
      </c>
      <c r="D536" s="328" t="e">
        <f>VLOOKUP(Tabla18[[#This Row],[Aux_01]],TablaSubAccionEspecifica[[#All],[Concat]:[Cod_Sub_acción_especifica]],2,0)</f>
        <v>#N/A</v>
      </c>
      <c r="E536" s="328" t="e">
        <f>Tabla18[[#This Row],[Bus_03]]&amp;"_"&amp;Tabla5[[#This Row],[Tipo de Agente
&lt;&lt; Seleccionar&gt;&gt;]]</f>
        <v>#N/A</v>
      </c>
      <c r="F536" s="328" t="e">
        <f>VLOOKUP(Tabla18[[#This Row],[Concat2]],TablaPOA[[#All],[Concat]:[ConcatEspecial]],3,0)</f>
        <v>#N/A</v>
      </c>
      <c r="G536" s="65" t="str">
        <f>CONCATENATE(Registro!$A$6,"_",Tabla5[[#This Row],[Zona (Provincia)
&lt;&lt; Seleccionar&gt;&gt;]])</f>
        <v>Huánuco_</v>
      </c>
      <c r="H536" s="60" t="e">
        <f>VLOOKUP(Tabla18[[#This Row],[Concatenado***]],Tabla2[[#All],[Concatenado]:[Simbología*]],2,0)</f>
        <v>#N/A</v>
      </c>
      <c r="I536" s="65" t="str">
        <f>CONCATENATE(Tabla18[[#This Row],[Concatenado***]],"_",Tabla5[[#This Row],[Zona (Distrito)
&lt;&lt; Seleccionar&gt;&gt;]])</f>
        <v>Huánuco__</v>
      </c>
      <c r="J5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6" s="72" t="e">
        <f>VLOOKUP(Tabla5[[#This Row],[Tipo de Transporte Empleado
&lt;&lt; Seleccionar&gt;&gt;]],Tabla8[#All],2,0)</f>
        <v>#N/A</v>
      </c>
      <c r="L536" s="71" t="e">
        <f>#REF!+(#REF!*2)+#REF!</f>
        <v>#REF!</v>
      </c>
    </row>
    <row r="537" spans="1:12" x14ac:dyDescent="0.25">
      <c r="A537" s="328" t="e">
        <f>VLOOKUP(Tabla5[[#This Row],[Acción
&lt;&lt; Seleccionar&gt;&gt;]],TablaAccion[[#All],[Nombre_Abreviado]:[Codigo_Plan_Acción]],3,0)</f>
        <v>#N/A</v>
      </c>
      <c r="B537" s="328" t="e">
        <f>VLOOKUP(Tabla5[[#This Row],[Acción Especifica
&lt;&lt; Seleccionar&gt;&gt;]],TablaAccionEspecifica[[#All],[Nombre_Abreviado]:[Codigo_Acción]],3,0)</f>
        <v>#N/A</v>
      </c>
      <c r="C537" s="328" t="e">
        <f>CONCATENATE(Tabla18[[#This Row],[Bus_02]],"_",Tabla5[[#This Row],[Sub Acción Específica
&lt;&lt; Seleccionar&gt;&gt;]])</f>
        <v>#N/A</v>
      </c>
      <c r="D537" s="328" t="e">
        <f>VLOOKUP(Tabla18[[#This Row],[Aux_01]],TablaSubAccionEspecifica[[#All],[Concat]:[Cod_Sub_acción_especifica]],2,0)</f>
        <v>#N/A</v>
      </c>
      <c r="E537" s="328" t="e">
        <f>Tabla18[[#This Row],[Bus_03]]&amp;"_"&amp;Tabla5[[#This Row],[Tipo de Agente
&lt;&lt; Seleccionar&gt;&gt;]]</f>
        <v>#N/A</v>
      </c>
      <c r="F537" s="328" t="e">
        <f>VLOOKUP(Tabla18[[#This Row],[Concat2]],TablaPOA[[#All],[Concat]:[ConcatEspecial]],3,0)</f>
        <v>#N/A</v>
      </c>
      <c r="G537" s="65" t="str">
        <f>CONCATENATE(Registro!$A$6,"_",Tabla5[[#This Row],[Zona (Provincia)
&lt;&lt; Seleccionar&gt;&gt;]])</f>
        <v>Huánuco_</v>
      </c>
      <c r="H537" s="60" t="e">
        <f>VLOOKUP(Tabla18[[#This Row],[Concatenado***]],Tabla2[[#All],[Concatenado]:[Simbología*]],2,0)</f>
        <v>#N/A</v>
      </c>
      <c r="I537" s="65" t="str">
        <f>CONCATENATE(Tabla18[[#This Row],[Concatenado***]],"_",Tabla5[[#This Row],[Zona (Distrito)
&lt;&lt; Seleccionar&gt;&gt;]])</f>
        <v>Huánuco__</v>
      </c>
      <c r="J5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7" s="72" t="e">
        <f>VLOOKUP(Tabla5[[#This Row],[Tipo de Transporte Empleado
&lt;&lt; Seleccionar&gt;&gt;]],Tabla8[#All],2,0)</f>
        <v>#N/A</v>
      </c>
      <c r="L537" s="71" t="e">
        <f>#REF!+(#REF!*2)+#REF!</f>
        <v>#REF!</v>
      </c>
    </row>
    <row r="538" spans="1:12" x14ac:dyDescent="0.25">
      <c r="A538" s="328" t="e">
        <f>VLOOKUP(Tabla5[[#This Row],[Acción
&lt;&lt; Seleccionar&gt;&gt;]],TablaAccion[[#All],[Nombre_Abreviado]:[Codigo_Plan_Acción]],3,0)</f>
        <v>#N/A</v>
      </c>
      <c r="B538" s="328" t="e">
        <f>VLOOKUP(Tabla5[[#This Row],[Acción Especifica
&lt;&lt; Seleccionar&gt;&gt;]],TablaAccionEspecifica[[#All],[Nombre_Abreviado]:[Codigo_Acción]],3,0)</f>
        <v>#N/A</v>
      </c>
      <c r="C538" s="328" t="e">
        <f>CONCATENATE(Tabla18[[#This Row],[Bus_02]],"_",Tabla5[[#This Row],[Sub Acción Específica
&lt;&lt; Seleccionar&gt;&gt;]])</f>
        <v>#N/A</v>
      </c>
      <c r="D538" s="328" t="e">
        <f>VLOOKUP(Tabla18[[#This Row],[Aux_01]],TablaSubAccionEspecifica[[#All],[Concat]:[Cod_Sub_acción_especifica]],2,0)</f>
        <v>#N/A</v>
      </c>
      <c r="E538" s="328" t="e">
        <f>Tabla18[[#This Row],[Bus_03]]&amp;"_"&amp;Tabla5[[#This Row],[Tipo de Agente
&lt;&lt; Seleccionar&gt;&gt;]]</f>
        <v>#N/A</v>
      </c>
      <c r="F538" s="328" t="e">
        <f>VLOOKUP(Tabla18[[#This Row],[Concat2]],TablaPOA[[#All],[Concat]:[ConcatEspecial]],3,0)</f>
        <v>#N/A</v>
      </c>
      <c r="G538" s="65" t="str">
        <f>CONCATENATE(Registro!$A$6,"_",Tabla5[[#This Row],[Zona (Provincia)
&lt;&lt; Seleccionar&gt;&gt;]])</f>
        <v>Huánuco_</v>
      </c>
      <c r="H538" s="60" t="e">
        <f>VLOOKUP(Tabla18[[#This Row],[Concatenado***]],Tabla2[[#All],[Concatenado]:[Simbología*]],2,0)</f>
        <v>#N/A</v>
      </c>
      <c r="I538" s="65" t="str">
        <f>CONCATENATE(Tabla18[[#This Row],[Concatenado***]],"_",Tabla5[[#This Row],[Zona (Distrito)
&lt;&lt; Seleccionar&gt;&gt;]])</f>
        <v>Huánuco__</v>
      </c>
      <c r="J5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8" s="72" t="e">
        <f>VLOOKUP(Tabla5[[#This Row],[Tipo de Transporte Empleado
&lt;&lt; Seleccionar&gt;&gt;]],Tabla8[#All],2,0)</f>
        <v>#N/A</v>
      </c>
      <c r="L538" s="71" t="e">
        <f>#REF!+(#REF!*2)+#REF!</f>
        <v>#REF!</v>
      </c>
    </row>
    <row r="539" spans="1:12" x14ac:dyDescent="0.25">
      <c r="A539" s="328" t="e">
        <f>VLOOKUP(Tabla5[[#This Row],[Acción
&lt;&lt; Seleccionar&gt;&gt;]],TablaAccion[[#All],[Nombre_Abreviado]:[Codigo_Plan_Acción]],3,0)</f>
        <v>#N/A</v>
      </c>
      <c r="B539" s="328" t="e">
        <f>VLOOKUP(Tabla5[[#This Row],[Acción Especifica
&lt;&lt; Seleccionar&gt;&gt;]],TablaAccionEspecifica[[#All],[Nombre_Abreviado]:[Codigo_Acción]],3,0)</f>
        <v>#N/A</v>
      </c>
      <c r="C539" s="328" t="e">
        <f>CONCATENATE(Tabla18[[#This Row],[Bus_02]],"_",Tabla5[[#This Row],[Sub Acción Específica
&lt;&lt; Seleccionar&gt;&gt;]])</f>
        <v>#N/A</v>
      </c>
      <c r="D539" s="328" t="e">
        <f>VLOOKUP(Tabla18[[#This Row],[Aux_01]],TablaSubAccionEspecifica[[#All],[Concat]:[Cod_Sub_acción_especifica]],2,0)</f>
        <v>#N/A</v>
      </c>
      <c r="E539" s="328" t="e">
        <f>Tabla18[[#This Row],[Bus_03]]&amp;"_"&amp;Tabla5[[#This Row],[Tipo de Agente
&lt;&lt; Seleccionar&gt;&gt;]]</f>
        <v>#N/A</v>
      </c>
      <c r="F539" s="328" t="e">
        <f>VLOOKUP(Tabla18[[#This Row],[Concat2]],TablaPOA[[#All],[Concat]:[ConcatEspecial]],3,0)</f>
        <v>#N/A</v>
      </c>
      <c r="G539" s="65" t="str">
        <f>CONCATENATE(Registro!$A$6,"_",Tabla5[[#This Row],[Zona (Provincia)
&lt;&lt; Seleccionar&gt;&gt;]])</f>
        <v>Huánuco_</v>
      </c>
      <c r="H539" s="60" t="e">
        <f>VLOOKUP(Tabla18[[#This Row],[Concatenado***]],Tabla2[[#All],[Concatenado]:[Simbología*]],2,0)</f>
        <v>#N/A</v>
      </c>
      <c r="I539" s="65" t="str">
        <f>CONCATENATE(Tabla18[[#This Row],[Concatenado***]],"_",Tabla5[[#This Row],[Zona (Distrito)
&lt;&lt; Seleccionar&gt;&gt;]])</f>
        <v>Huánuco__</v>
      </c>
      <c r="J5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9" s="72" t="e">
        <f>VLOOKUP(Tabla5[[#This Row],[Tipo de Transporte Empleado
&lt;&lt; Seleccionar&gt;&gt;]],Tabla8[#All],2,0)</f>
        <v>#N/A</v>
      </c>
      <c r="L539" s="71" t="e">
        <f>#REF!+(#REF!*2)+#REF!</f>
        <v>#REF!</v>
      </c>
    </row>
    <row r="540" spans="1:12" x14ac:dyDescent="0.25">
      <c r="A540" s="328" t="e">
        <f>VLOOKUP(Tabla5[[#This Row],[Acción
&lt;&lt; Seleccionar&gt;&gt;]],TablaAccion[[#All],[Nombre_Abreviado]:[Codigo_Plan_Acción]],3,0)</f>
        <v>#N/A</v>
      </c>
      <c r="B540" s="328" t="e">
        <f>VLOOKUP(Tabla5[[#This Row],[Acción Especifica
&lt;&lt; Seleccionar&gt;&gt;]],TablaAccionEspecifica[[#All],[Nombre_Abreviado]:[Codigo_Acción]],3,0)</f>
        <v>#N/A</v>
      </c>
      <c r="C540" s="328" t="e">
        <f>CONCATENATE(Tabla18[[#This Row],[Bus_02]],"_",Tabla5[[#This Row],[Sub Acción Específica
&lt;&lt; Seleccionar&gt;&gt;]])</f>
        <v>#N/A</v>
      </c>
      <c r="D540" s="328" t="e">
        <f>VLOOKUP(Tabla18[[#This Row],[Aux_01]],TablaSubAccionEspecifica[[#All],[Concat]:[Cod_Sub_acción_especifica]],2,0)</f>
        <v>#N/A</v>
      </c>
      <c r="E540" s="328" t="e">
        <f>Tabla18[[#This Row],[Bus_03]]&amp;"_"&amp;Tabla5[[#This Row],[Tipo de Agente
&lt;&lt; Seleccionar&gt;&gt;]]</f>
        <v>#N/A</v>
      </c>
      <c r="F540" s="328" t="e">
        <f>VLOOKUP(Tabla18[[#This Row],[Concat2]],TablaPOA[[#All],[Concat]:[ConcatEspecial]],3,0)</f>
        <v>#N/A</v>
      </c>
      <c r="G540" s="65" t="str">
        <f>CONCATENATE(Registro!$A$6,"_",Tabla5[[#This Row],[Zona (Provincia)
&lt;&lt; Seleccionar&gt;&gt;]])</f>
        <v>Huánuco_</v>
      </c>
      <c r="H540" s="60" t="e">
        <f>VLOOKUP(Tabla18[[#This Row],[Concatenado***]],Tabla2[[#All],[Concatenado]:[Simbología*]],2,0)</f>
        <v>#N/A</v>
      </c>
      <c r="I540" s="65" t="str">
        <f>CONCATENATE(Tabla18[[#This Row],[Concatenado***]],"_",Tabla5[[#This Row],[Zona (Distrito)
&lt;&lt; Seleccionar&gt;&gt;]])</f>
        <v>Huánuco__</v>
      </c>
      <c r="J5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0" s="72" t="e">
        <f>VLOOKUP(Tabla5[[#This Row],[Tipo de Transporte Empleado
&lt;&lt; Seleccionar&gt;&gt;]],Tabla8[#All],2,0)</f>
        <v>#N/A</v>
      </c>
      <c r="L540" s="71" t="e">
        <f>#REF!+(#REF!*2)+#REF!</f>
        <v>#REF!</v>
      </c>
    </row>
    <row r="541" spans="1:12" x14ac:dyDescent="0.25">
      <c r="A541" s="328" t="e">
        <f>VLOOKUP(Tabla5[[#This Row],[Acción
&lt;&lt; Seleccionar&gt;&gt;]],TablaAccion[[#All],[Nombre_Abreviado]:[Codigo_Plan_Acción]],3,0)</f>
        <v>#N/A</v>
      </c>
      <c r="B541" s="328" t="e">
        <f>VLOOKUP(Tabla5[[#This Row],[Acción Especifica
&lt;&lt; Seleccionar&gt;&gt;]],TablaAccionEspecifica[[#All],[Nombre_Abreviado]:[Codigo_Acción]],3,0)</f>
        <v>#N/A</v>
      </c>
      <c r="C541" s="328" t="e">
        <f>CONCATENATE(Tabla18[[#This Row],[Bus_02]],"_",Tabla5[[#This Row],[Sub Acción Específica
&lt;&lt; Seleccionar&gt;&gt;]])</f>
        <v>#N/A</v>
      </c>
      <c r="D541" s="328" t="e">
        <f>VLOOKUP(Tabla18[[#This Row],[Aux_01]],TablaSubAccionEspecifica[[#All],[Concat]:[Cod_Sub_acción_especifica]],2,0)</f>
        <v>#N/A</v>
      </c>
      <c r="E541" s="328" t="e">
        <f>Tabla18[[#This Row],[Bus_03]]&amp;"_"&amp;Tabla5[[#This Row],[Tipo de Agente
&lt;&lt; Seleccionar&gt;&gt;]]</f>
        <v>#N/A</v>
      </c>
      <c r="F541" s="328" t="e">
        <f>VLOOKUP(Tabla18[[#This Row],[Concat2]],TablaPOA[[#All],[Concat]:[ConcatEspecial]],3,0)</f>
        <v>#N/A</v>
      </c>
      <c r="G541" s="65" t="str">
        <f>CONCATENATE(Registro!$A$6,"_",Tabla5[[#This Row],[Zona (Provincia)
&lt;&lt; Seleccionar&gt;&gt;]])</f>
        <v>Huánuco_</v>
      </c>
      <c r="H541" s="60" t="e">
        <f>VLOOKUP(Tabla18[[#This Row],[Concatenado***]],Tabla2[[#All],[Concatenado]:[Simbología*]],2,0)</f>
        <v>#N/A</v>
      </c>
      <c r="I541" s="65" t="str">
        <f>CONCATENATE(Tabla18[[#This Row],[Concatenado***]],"_",Tabla5[[#This Row],[Zona (Distrito)
&lt;&lt; Seleccionar&gt;&gt;]])</f>
        <v>Huánuco__</v>
      </c>
      <c r="J5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1" s="72" t="e">
        <f>VLOOKUP(Tabla5[[#This Row],[Tipo de Transporte Empleado
&lt;&lt; Seleccionar&gt;&gt;]],Tabla8[#All],2,0)</f>
        <v>#N/A</v>
      </c>
      <c r="L541" s="71" t="e">
        <f>#REF!+(#REF!*2)+#REF!</f>
        <v>#REF!</v>
      </c>
    </row>
    <row r="542" spans="1:12" x14ac:dyDescent="0.25">
      <c r="A542" s="328" t="e">
        <f>VLOOKUP(Tabla5[[#This Row],[Acción
&lt;&lt; Seleccionar&gt;&gt;]],TablaAccion[[#All],[Nombre_Abreviado]:[Codigo_Plan_Acción]],3,0)</f>
        <v>#N/A</v>
      </c>
      <c r="B542" s="328" t="e">
        <f>VLOOKUP(Tabla5[[#This Row],[Acción Especifica
&lt;&lt; Seleccionar&gt;&gt;]],TablaAccionEspecifica[[#All],[Nombre_Abreviado]:[Codigo_Acción]],3,0)</f>
        <v>#N/A</v>
      </c>
      <c r="C542" s="328" t="e">
        <f>CONCATENATE(Tabla18[[#This Row],[Bus_02]],"_",Tabla5[[#This Row],[Sub Acción Específica
&lt;&lt; Seleccionar&gt;&gt;]])</f>
        <v>#N/A</v>
      </c>
      <c r="D542" s="328" t="e">
        <f>VLOOKUP(Tabla18[[#This Row],[Aux_01]],TablaSubAccionEspecifica[[#All],[Concat]:[Cod_Sub_acción_especifica]],2,0)</f>
        <v>#N/A</v>
      </c>
      <c r="E542" s="328" t="e">
        <f>Tabla18[[#This Row],[Bus_03]]&amp;"_"&amp;Tabla5[[#This Row],[Tipo de Agente
&lt;&lt; Seleccionar&gt;&gt;]]</f>
        <v>#N/A</v>
      </c>
      <c r="F542" s="328" t="e">
        <f>VLOOKUP(Tabla18[[#This Row],[Concat2]],TablaPOA[[#All],[Concat]:[ConcatEspecial]],3,0)</f>
        <v>#N/A</v>
      </c>
      <c r="G542" s="65" t="str">
        <f>CONCATENATE(Registro!$A$6,"_",Tabla5[[#This Row],[Zona (Provincia)
&lt;&lt; Seleccionar&gt;&gt;]])</f>
        <v>Huánuco_</v>
      </c>
      <c r="H542" s="60" t="e">
        <f>VLOOKUP(Tabla18[[#This Row],[Concatenado***]],Tabla2[[#All],[Concatenado]:[Simbología*]],2,0)</f>
        <v>#N/A</v>
      </c>
      <c r="I542" s="65" t="str">
        <f>CONCATENATE(Tabla18[[#This Row],[Concatenado***]],"_",Tabla5[[#This Row],[Zona (Distrito)
&lt;&lt; Seleccionar&gt;&gt;]])</f>
        <v>Huánuco__</v>
      </c>
      <c r="J5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2" s="72" t="e">
        <f>VLOOKUP(Tabla5[[#This Row],[Tipo de Transporte Empleado
&lt;&lt; Seleccionar&gt;&gt;]],Tabla8[#All],2,0)</f>
        <v>#N/A</v>
      </c>
      <c r="L542" s="71" t="e">
        <f>#REF!+(#REF!*2)+#REF!</f>
        <v>#REF!</v>
      </c>
    </row>
    <row r="543" spans="1:12" x14ac:dyDescent="0.25">
      <c r="A543" s="328" t="e">
        <f>VLOOKUP(Tabla5[[#This Row],[Acción
&lt;&lt; Seleccionar&gt;&gt;]],TablaAccion[[#All],[Nombre_Abreviado]:[Codigo_Plan_Acción]],3,0)</f>
        <v>#N/A</v>
      </c>
      <c r="B543" s="328" t="e">
        <f>VLOOKUP(Tabla5[[#This Row],[Acción Especifica
&lt;&lt; Seleccionar&gt;&gt;]],TablaAccionEspecifica[[#All],[Nombre_Abreviado]:[Codigo_Acción]],3,0)</f>
        <v>#N/A</v>
      </c>
      <c r="C543" s="328" t="e">
        <f>CONCATENATE(Tabla18[[#This Row],[Bus_02]],"_",Tabla5[[#This Row],[Sub Acción Específica
&lt;&lt; Seleccionar&gt;&gt;]])</f>
        <v>#N/A</v>
      </c>
      <c r="D543" s="328" t="e">
        <f>VLOOKUP(Tabla18[[#This Row],[Aux_01]],TablaSubAccionEspecifica[[#All],[Concat]:[Cod_Sub_acción_especifica]],2,0)</f>
        <v>#N/A</v>
      </c>
      <c r="E543" s="328" t="e">
        <f>Tabla18[[#This Row],[Bus_03]]&amp;"_"&amp;Tabla5[[#This Row],[Tipo de Agente
&lt;&lt; Seleccionar&gt;&gt;]]</f>
        <v>#N/A</v>
      </c>
      <c r="F543" s="328" t="e">
        <f>VLOOKUP(Tabla18[[#This Row],[Concat2]],TablaPOA[[#All],[Concat]:[ConcatEspecial]],3,0)</f>
        <v>#N/A</v>
      </c>
      <c r="G543" s="65" t="str">
        <f>CONCATENATE(Registro!$A$6,"_",Tabla5[[#This Row],[Zona (Provincia)
&lt;&lt; Seleccionar&gt;&gt;]])</f>
        <v>Huánuco_</v>
      </c>
      <c r="H543" s="60" t="e">
        <f>VLOOKUP(Tabla18[[#This Row],[Concatenado***]],Tabla2[[#All],[Concatenado]:[Simbología*]],2,0)</f>
        <v>#N/A</v>
      </c>
      <c r="I543" s="65" t="str">
        <f>CONCATENATE(Tabla18[[#This Row],[Concatenado***]],"_",Tabla5[[#This Row],[Zona (Distrito)
&lt;&lt; Seleccionar&gt;&gt;]])</f>
        <v>Huánuco__</v>
      </c>
      <c r="J5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3" s="72" t="e">
        <f>VLOOKUP(Tabla5[[#This Row],[Tipo de Transporte Empleado
&lt;&lt; Seleccionar&gt;&gt;]],Tabla8[#All],2,0)</f>
        <v>#N/A</v>
      </c>
      <c r="L543" s="71" t="e">
        <f>#REF!+(#REF!*2)+#REF!</f>
        <v>#REF!</v>
      </c>
    </row>
    <row r="544" spans="1:12" x14ac:dyDescent="0.25">
      <c r="A544" s="328" t="e">
        <f>VLOOKUP(Tabla5[[#This Row],[Acción
&lt;&lt; Seleccionar&gt;&gt;]],TablaAccion[[#All],[Nombre_Abreviado]:[Codigo_Plan_Acción]],3,0)</f>
        <v>#N/A</v>
      </c>
      <c r="B544" s="328" t="e">
        <f>VLOOKUP(Tabla5[[#This Row],[Acción Especifica
&lt;&lt; Seleccionar&gt;&gt;]],TablaAccionEspecifica[[#All],[Nombre_Abreviado]:[Codigo_Acción]],3,0)</f>
        <v>#N/A</v>
      </c>
      <c r="C544" s="328" t="e">
        <f>CONCATENATE(Tabla18[[#This Row],[Bus_02]],"_",Tabla5[[#This Row],[Sub Acción Específica
&lt;&lt; Seleccionar&gt;&gt;]])</f>
        <v>#N/A</v>
      </c>
      <c r="D544" s="328" t="e">
        <f>VLOOKUP(Tabla18[[#This Row],[Aux_01]],TablaSubAccionEspecifica[[#All],[Concat]:[Cod_Sub_acción_especifica]],2,0)</f>
        <v>#N/A</v>
      </c>
      <c r="E544" s="328" t="e">
        <f>Tabla18[[#This Row],[Bus_03]]&amp;"_"&amp;Tabla5[[#This Row],[Tipo de Agente
&lt;&lt; Seleccionar&gt;&gt;]]</f>
        <v>#N/A</v>
      </c>
      <c r="F544" s="328" t="e">
        <f>VLOOKUP(Tabla18[[#This Row],[Concat2]],TablaPOA[[#All],[Concat]:[ConcatEspecial]],3,0)</f>
        <v>#N/A</v>
      </c>
      <c r="G544" s="65" t="str">
        <f>CONCATENATE(Registro!$A$6,"_",Tabla5[[#This Row],[Zona (Provincia)
&lt;&lt; Seleccionar&gt;&gt;]])</f>
        <v>Huánuco_</v>
      </c>
      <c r="H544" s="60" t="e">
        <f>VLOOKUP(Tabla18[[#This Row],[Concatenado***]],Tabla2[[#All],[Concatenado]:[Simbología*]],2,0)</f>
        <v>#N/A</v>
      </c>
      <c r="I544" s="65" t="str">
        <f>CONCATENATE(Tabla18[[#This Row],[Concatenado***]],"_",Tabla5[[#This Row],[Zona (Distrito)
&lt;&lt; Seleccionar&gt;&gt;]])</f>
        <v>Huánuco__</v>
      </c>
      <c r="J5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4" s="72" t="e">
        <f>VLOOKUP(Tabla5[[#This Row],[Tipo de Transporte Empleado
&lt;&lt; Seleccionar&gt;&gt;]],Tabla8[#All],2,0)</f>
        <v>#N/A</v>
      </c>
      <c r="L544" s="71" t="e">
        <f>#REF!+(#REF!*2)+#REF!</f>
        <v>#REF!</v>
      </c>
    </row>
    <row r="545" spans="1:12" x14ac:dyDescent="0.25">
      <c r="A545" s="328" t="e">
        <f>VLOOKUP(Tabla5[[#This Row],[Acción
&lt;&lt; Seleccionar&gt;&gt;]],TablaAccion[[#All],[Nombre_Abreviado]:[Codigo_Plan_Acción]],3,0)</f>
        <v>#N/A</v>
      </c>
      <c r="B545" s="328" t="e">
        <f>VLOOKUP(Tabla5[[#This Row],[Acción Especifica
&lt;&lt; Seleccionar&gt;&gt;]],TablaAccionEspecifica[[#All],[Nombre_Abreviado]:[Codigo_Acción]],3,0)</f>
        <v>#N/A</v>
      </c>
      <c r="C545" s="328" t="e">
        <f>CONCATENATE(Tabla18[[#This Row],[Bus_02]],"_",Tabla5[[#This Row],[Sub Acción Específica
&lt;&lt; Seleccionar&gt;&gt;]])</f>
        <v>#N/A</v>
      </c>
      <c r="D545" s="328" t="e">
        <f>VLOOKUP(Tabla18[[#This Row],[Aux_01]],TablaSubAccionEspecifica[[#All],[Concat]:[Cod_Sub_acción_especifica]],2,0)</f>
        <v>#N/A</v>
      </c>
      <c r="E545" s="328" t="e">
        <f>Tabla18[[#This Row],[Bus_03]]&amp;"_"&amp;Tabla5[[#This Row],[Tipo de Agente
&lt;&lt; Seleccionar&gt;&gt;]]</f>
        <v>#N/A</v>
      </c>
      <c r="F545" s="328" t="e">
        <f>VLOOKUP(Tabla18[[#This Row],[Concat2]],TablaPOA[[#All],[Concat]:[ConcatEspecial]],3,0)</f>
        <v>#N/A</v>
      </c>
      <c r="G545" s="65" t="str">
        <f>CONCATENATE(Registro!$A$6,"_",Tabla5[[#This Row],[Zona (Provincia)
&lt;&lt; Seleccionar&gt;&gt;]])</f>
        <v>Huánuco_</v>
      </c>
      <c r="H545" s="60" t="e">
        <f>VLOOKUP(Tabla18[[#This Row],[Concatenado***]],Tabla2[[#All],[Concatenado]:[Simbología*]],2,0)</f>
        <v>#N/A</v>
      </c>
      <c r="I545" s="65" t="str">
        <f>CONCATENATE(Tabla18[[#This Row],[Concatenado***]],"_",Tabla5[[#This Row],[Zona (Distrito)
&lt;&lt; Seleccionar&gt;&gt;]])</f>
        <v>Huánuco__</v>
      </c>
      <c r="J5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5" s="72" t="e">
        <f>VLOOKUP(Tabla5[[#This Row],[Tipo de Transporte Empleado
&lt;&lt; Seleccionar&gt;&gt;]],Tabla8[#All],2,0)</f>
        <v>#N/A</v>
      </c>
      <c r="L545" s="71" t="e">
        <f>#REF!+(#REF!*2)+#REF!</f>
        <v>#REF!</v>
      </c>
    </row>
    <row r="546" spans="1:12" x14ac:dyDescent="0.25">
      <c r="A546" s="328" t="e">
        <f>VLOOKUP(Tabla5[[#This Row],[Acción
&lt;&lt; Seleccionar&gt;&gt;]],TablaAccion[[#All],[Nombre_Abreviado]:[Codigo_Plan_Acción]],3,0)</f>
        <v>#N/A</v>
      </c>
      <c r="B546" s="328" t="e">
        <f>VLOOKUP(Tabla5[[#This Row],[Acción Especifica
&lt;&lt; Seleccionar&gt;&gt;]],TablaAccionEspecifica[[#All],[Nombre_Abreviado]:[Codigo_Acción]],3,0)</f>
        <v>#N/A</v>
      </c>
      <c r="C546" s="328" t="e">
        <f>CONCATENATE(Tabla18[[#This Row],[Bus_02]],"_",Tabla5[[#This Row],[Sub Acción Específica
&lt;&lt; Seleccionar&gt;&gt;]])</f>
        <v>#N/A</v>
      </c>
      <c r="D546" s="328" t="e">
        <f>VLOOKUP(Tabla18[[#This Row],[Aux_01]],TablaSubAccionEspecifica[[#All],[Concat]:[Cod_Sub_acción_especifica]],2,0)</f>
        <v>#N/A</v>
      </c>
      <c r="E546" s="328" t="e">
        <f>Tabla18[[#This Row],[Bus_03]]&amp;"_"&amp;Tabla5[[#This Row],[Tipo de Agente
&lt;&lt; Seleccionar&gt;&gt;]]</f>
        <v>#N/A</v>
      </c>
      <c r="F546" s="328" t="e">
        <f>VLOOKUP(Tabla18[[#This Row],[Concat2]],TablaPOA[[#All],[Concat]:[ConcatEspecial]],3,0)</f>
        <v>#N/A</v>
      </c>
      <c r="G546" s="65" t="str">
        <f>CONCATENATE(Registro!$A$6,"_",Tabla5[[#This Row],[Zona (Provincia)
&lt;&lt; Seleccionar&gt;&gt;]])</f>
        <v>Huánuco_</v>
      </c>
      <c r="H546" s="60" t="e">
        <f>VLOOKUP(Tabla18[[#This Row],[Concatenado***]],Tabla2[[#All],[Concatenado]:[Simbología*]],2,0)</f>
        <v>#N/A</v>
      </c>
      <c r="I546" s="65" t="str">
        <f>CONCATENATE(Tabla18[[#This Row],[Concatenado***]],"_",Tabla5[[#This Row],[Zona (Distrito)
&lt;&lt; Seleccionar&gt;&gt;]])</f>
        <v>Huánuco__</v>
      </c>
      <c r="J5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6" s="72" t="e">
        <f>VLOOKUP(Tabla5[[#This Row],[Tipo de Transporte Empleado
&lt;&lt; Seleccionar&gt;&gt;]],Tabla8[#All],2,0)</f>
        <v>#N/A</v>
      </c>
      <c r="L546" s="71" t="e">
        <f>#REF!+(#REF!*2)+#REF!</f>
        <v>#REF!</v>
      </c>
    </row>
    <row r="547" spans="1:12" x14ac:dyDescent="0.25">
      <c r="A547" s="328" t="e">
        <f>VLOOKUP(Tabla5[[#This Row],[Acción
&lt;&lt; Seleccionar&gt;&gt;]],TablaAccion[[#All],[Nombre_Abreviado]:[Codigo_Plan_Acción]],3,0)</f>
        <v>#N/A</v>
      </c>
      <c r="B547" s="328" t="e">
        <f>VLOOKUP(Tabla5[[#This Row],[Acción Especifica
&lt;&lt; Seleccionar&gt;&gt;]],TablaAccionEspecifica[[#All],[Nombre_Abreviado]:[Codigo_Acción]],3,0)</f>
        <v>#N/A</v>
      </c>
      <c r="C547" s="328" t="e">
        <f>CONCATENATE(Tabla18[[#This Row],[Bus_02]],"_",Tabla5[[#This Row],[Sub Acción Específica
&lt;&lt; Seleccionar&gt;&gt;]])</f>
        <v>#N/A</v>
      </c>
      <c r="D547" s="328" t="e">
        <f>VLOOKUP(Tabla18[[#This Row],[Aux_01]],TablaSubAccionEspecifica[[#All],[Concat]:[Cod_Sub_acción_especifica]],2,0)</f>
        <v>#N/A</v>
      </c>
      <c r="E547" s="328" t="e">
        <f>Tabla18[[#This Row],[Bus_03]]&amp;"_"&amp;Tabla5[[#This Row],[Tipo de Agente
&lt;&lt; Seleccionar&gt;&gt;]]</f>
        <v>#N/A</v>
      </c>
      <c r="F547" s="328" t="e">
        <f>VLOOKUP(Tabla18[[#This Row],[Concat2]],TablaPOA[[#All],[Concat]:[ConcatEspecial]],3,0)</f>
        <v>#N/A</v>
      </c>
      <c r="G547" s="65" t="str">
        <f>CONCATENATE(Registro!$A$6,"_",Tabla5[[#This Row],[Zona (Provincia)
&lt;&lt; Seleccionar&gt;&gt;]])</f>
        <v>Huánuco_</v>
      </c>
      <c r="H547" s="60" t="e">
        <f>VLOOKUP(Tabla18[[#This Row],[Concatenado***]],Tabla2[[#All],[Concatenado]:[Simbología*]],2,0)</f>
        <v>#N/A</v>
      </c>
      <c r="I547" s="65" t="str">
        <f>CONCATENATE(Tabla18[[#This Row],[Concatenado***]],"_",Tabla5[[#This Row],[Zona (Distrito)
&lt;&lt; Seleccionar&gt;&gt;]])</f>
        <v>Huánuco__</v>
      </c>
      <c r="J5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7" s="72" t="e">
        <f>VLOOKUP(Tabla5[[#This Row],[Tipo de Transporte Empleado
&lt;&lt; Seleccionar&gt;&gt;]],Tabla8[#All],2,0)</f>
        <v>#N/A</v>
      </c>
      <c r="L547" s="71" t="e">
        <f>#REF!+(#REF!*2)+#REF!</f>
        <v>#REF!</v>
      </c>
    </row>
    <row r="548" spans="1:12" x14ac:dyDescent="0.25">
      <c r="A548" s="328" t="e">
        <f>VLOOKUP(Tabla5[[#This Row],[Acción
&lt;&lt; Seleccionar&gt;&gt;]],TablaAccion[[#All],[Nombre_Abreviado]:[Codigo_Plan_Acción]],3,0)</f>
        <v>#N/A</v>
      </c>
      <c r="B548" s="328" t="e">
        <f>VLOOKUP(Tabla5[[#This Row],[Acción Especifica
&lt;&lt; Seleccionar&gt;&gt;]],TablaAccionEspecifica[[#All],[Nombre_Abreviado]:[Codigo_Acción]],3,0)</f>
        <v>#N/A</v>
      </c>
      <c r="C548" s="328" t="e">
        <f>CONCATENATE(Tabla18[[#This Row],[Bus_02]],"_",Tabla5[[#This Row],[Sub Acción Específica
&lt;&lt; Seleccionar&gt;&gt;]])</f>
        <v>#N/A</v>
      </c>
      <c r="D548" s="328" t="e">
        <f>VLOOKUP(Tabla18[[#This Row],[Aux_01]],TablaSubAccionEspecifica[[#All],[Concat]:[Cod_Sub_acción_especifica]],2,0)</f>
        <v>#N/A</v>
      </c>
      <c r="E548" s="328" t="e">
        <f>Tabla18[[#This Row],[Bus_03]]&amp;"_"&amp;Tabla5[[#This Row],[Tipo de Agente
&lt;&lt; Seleccionar&gt;&gt;]]</f>
        <v>#N/A</v>
      </c>
      <c r="F548" s="328" t="e">
        <f>VLOOKUP(Tabla18[[#This Row],[Concat2]],TablaPOA[[#All],[Concat]:[ConcatEspecial]],3,0)</f>
        <v>#N/A</v>
      </c>
      <c r="G548" s="65" t="str">
        <f>CONCATENATE(Registro!$A$6,"_",Tabla5[[#This Row],[Zona (Provincia)
&lt;&lt; Seleccionar&gt;&gt;]])</f>
        <v>Huánuco_</v>
      </c>
      <c r="H548" s="60" t="e">
        <f>VLOOKUP(Tabla18[[#This Row],[Concatenado***]],Tabla2[[#All],[Concatenado]:[Simbología*]],2,0)</f>
        <v>#N/A</v>
      </c>
      <c r="I548" s="65" t="str">
        <f>CONCATENATE(Tabla18[[#This Row],[Concatenado***]],"_",Tabla5[[#This Row],[Zona (Distrito)
&lt;&lt; Seleccionar&gt;&gt;]])</f>
        <v>Huánuco__</v>
      </c>
      <c r="J5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8" s="72" t="e">
        <f>VLOOKUP(Tabla5[[#This Row],[Tipo de Transporte Empleado
&lt;&lt; Seleccionar&gt;&gt;]],Tabla8[#All],2,0)</f>
        <v>#N/A</v>
      </c>
      <c r="L548" s="71" t="e">
        <f>#REF!+(#REF!*2)+#REF!</f>
        <v>#REF!</v>
      </c>
    </row>
    <row r="549" spans="1:12" x14ac:dyDescent="0.25">
      <c r="A549" s="328" t="e">
        <f>VLOOKUP(Tabla5[[#This Row],[Acción
&lt;&lt; Seleccionar&gt;&gt;]],TablaAccion[[#All],[Nombre_Abreviado]:[Codigo_Plan_Acción]],3,0)</f>
        <v>#N/A</v>
      </c>
      <c r="B549" s="328" t="e">
        <f>VLOOKUP(Tabla5[[#This Row],[Acción Especifica
&lt;&lt; Seleccionar&gt;&gt;]],TablaAccionEspecifica[[#All],[Nombre_Abreviado]:[Codigo_Acción]],3,0)</f>
        <v>#N/A</v>
      </c>
      <c r="C549" s="328" t="e">
        <f>CONCATENATE(Tabla18[[#This Row],[Bus_02]],"_",Tabla5[[#This Row],[Sub Acción Específica
&lt;&lt; Seleccionar&gt;&gt;]])</f>
        <v>#N/A</v>
      </c>
      <c r="D549" s="328" t="e">
        <f>VLOOKUP(Tabla18[[#This Row],[Aux_01]],TablaSubAccionEspecifica[[#All],[Concat]:[Cod_Sub_acción_especifica]],2,0)</f>
        <v>#N/A</v>
      </c>
      <c r="E549" s="328" t="e">
        <f>Tabla18[[#This Row],[Bus_03]]&amp;"_"&amp;Tabla5[[#This Row],[Tipo de Agente
&lt;&lt; Seleccionar&gt;&gt;]]</f>
        <v>#N/A</v>
      </c>
      <c r="F549" s="328" t="e">
        <f>VLOOKUP(Tabla18[[#This Row],[Concat2]],TablaPOA[[#All],[Concat]:[ConcatEspecial]],3,0)</f>
        <v>#N/A</v>
      </c>
      <c r="G549" s="65" t="str">
        <f>CONCATENATE(Registro!$A$6,"_",Tabla5[[#This Row],[Zona (Provincia)
&lt;&lt; Seleccionar&gt;&gt;]])</f>
        <v>Huánuco_</v>
      </c>
      <c r="H549" s="60" t="e">
        <f>VLOOKUP(Tabla18[[#This Row],[Concatenado***]],Tabla2[[#All],[Concatenado]:[Simbología*]],2,0)</f>
        <v>#N/A</v>
      </c>
      <c r="I549" s="65" t="str">
        <f>CONCATENATE(Tabla18[[#This Row],[Concatenado***]],"_",Tabla5[[#This Row],[Zona (Distrito)
&lt;&lt; Seleccionar&gt;&gt;]])</f>
        <v>Huánuco__</v>
      </c>
      <c r="J5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9" s="72" t="e">
        <f>VLOOKUP(Tabla5[[#This Row],[Tipo de Transporte Empleado
&lt;&lt; Seleccionar&gt;&gt;]],Tabla8[#All],2,0)</f>
        <v>#N/A</v>
      </c>
      <c r="L549" s="71" t="e">
        <f>#REF!+(#REF!*2)+#REF!</f>
        <v>#REF!</v>
      </c>
    </row>
    <row r="550" spans="1:12" x14ac:dyDescent="0.25">
      <c r="A550" s="328" t="e">
        <f>VLOOKUP(Tabla5[[#This Row],[Acción
&lt;&lt; Seleccionar&gt;&gt;]],TablaAccion[[#All],[Nombre_Abreviado]:[Codigo_Plan_Acción]],3,0)</f>
        <v>#N/A</v>
      </c>
      <c r="B550" s="328" t="e">
        <f>VLOOKUP(Tabla5[[#This Row],[Acción Especifica
&lt;&lt; Seleccionar&gt;&gt;]],TablaAccionEspecifica[[#All],[Nombre_Abreviado]:[Codigo_Acción]],3,0)</f>
        <v>#N/A</v>
      </c>
      <c r="C550" s="328" t="e">
        <f>CONCATENATE(Tabla18[[#This Row],[Bus_02]],"_",Tabla5[[#This Row],[Sub Acción Específica
&lt;&lt; Seleccionar&gt;&gt;]])</f>
        <v>#N/A</v>
      </c>
      <c r="D550" s="328" t="e">
        <f>VLOOKUP(Tabla18[[#This Row],[Aux_01]],TablaSubAccionEspecifica[[#All],[Concat]:[Cod_Sub_acción_especifica]],2,0)</f>
        <v>#N/A</v>
      </c>
      <c r="E550" s="328" t="e">
        <f>Tabla18[[#This Row],[Bus_03]]&amp;"_"&amp;Tabla5[[#This Row],[Tipo de Agente
&lt;&lt; Seleccionar&gt;&gt;]]</f>
        <v>#N/A</v>
      </c>
      <c r="F550" s="328" t="e">
        <f>VLOOKUP(Tabla18[[#This Row],[Concat2]],TablaPOA[[#All],[Concat]:[ConcatEspecial]],3,0)</f>
        <v>#N/A</v>
      </c>
      <c r="G550" s="65" t="str">
        <f>CONCATENATE(Registro!$A$6,"_",Tabla5[[#This Row],[Zona (Provincia)
&lt;&lt; Seleccionar&gt;&gt;]])</f>
        <v>Huánuco_</v>
      </c>
      <c r="H550" s="60" t="e">
        <f>VLOOKUP(Tabla18[[#This Row],[Concatenado***]],Tabla2[[#All],[Concatenado]:[Simbología*]],2,0)</f>
        <v>#N/A</v>
      </c>
      <c r="I550" s="65" t="str">
        <f>CONCATENATE(Tabla18[[#This Row],[Concatenado***]],"_",Tabla5[[#This Row],[Zona (Distrito)
&lt;&lt; Seleccionar&gt;&gt;]])</f>
        <v>Huánuco__</v>
      </c>
      <c r="J5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0" s="72" t="e">
        <f>VLOOKUP(Tabla5[[#This Row],[Tipo de Transporte Empleado
&lt;&lt; Seleccionar&gt;&gt;]],Tabla8[#All],2,0)</f>
        <v>#N/A</v>
      </c>
      <c r="L550" s="71" t="e">
        <f>#REF!+(#REF!*2)+#REF!</f>
        <v>#REF!</v>
      </c>
    </row>
    <row r="551" spans="1:12" x14ac:dyDescent="0.25">
      <c r="A551" s="328" t="e">
        <f>VLOOKUP(Tabla5[[#This Row],[Acción
&lt;&lt; Seleccionar&gt;&gt;]],TablaAccion[[#All],[Nombre_Abreviado]:[Codigo_Plan_Acción]],3,0)</f>
        <v>#N/A</v>
      </c>
      <c r="B551" s="328" t="e">
        <f>VLOOKUP(Tabla5[[#This Row],[Acción Especifica
&lt;&lt; Seleccionar&gt;&gt;]],TablaAccionEspecifica[[#All],[Nombre_Abreviado]:[Codigo_Acción]],3,0)</f>
        <v>#N/A</v>
      </c>
      <c r="C551" s="328" t="e">
        <f>CONCATENATE(Tabla18[[#This Row],[Bus_02]],"_",Tabla5[[#This Row],[Sub Acción Específica
&lt;&lt; Seleccionar&gt;&gt;]])</f>
        <v>#N/A</v>
      </c>
      <c r="D551" s="328" t="e">
        <f>VLOOKUP(Tabla18[[#This Row],[Aux_01]],TablaSubAccionEspecifica[[#All],[Concat]:[Cod_Sub_acción_especifica]],2,0)</f>
        <v>#N/A</v>
      </c>
      <c r="E551" s="328" t="e">
        <f>Tabla18[[#This Row],[Bus_03]]&amp;"_"&amp;Tabla5[[#This Row],[Tipo de Agente
&lt;&lt; Seleccionar&gt;&gt;]]</f>
        <v>#N/A</v>
      </c>
      <c r="F551" s="328" t="e">
        <f>VLOOKUP(Tabla18[[#This Row],[Concat2]],TablaPOA[[#All],[Concat]:[ConcatEspecial]],3,0)</f>
        <v>#N/A</v>
      </c>
      <c r="G551" s="65" t="str">
        <f>CONCATENATE(Registro!$A$6,"_",Tabla5[[#This Row],[Zona (Provincia)
&lt;&lt; Seleccionar&gt;&gt;]])</f>
        <v>Huánuco_</v>
      </c>
      <c r="H551" s="60" t="e">
        <f>VLOOKUP(Tabla18[[#This Row],[Concatenado***]],Tabla2[[#All],[Concatenado]:[Simbología*]],2,0)</f>
        <v>#N/A</v>
      </c>
      <c r="I551" s="65" t="str">
        <f>CONCATENATE(Tabla18[[#This Row],[Concatenado***]],"_",Tabla5[[#This Row],[Zona (Distrito)
&lt;&lt; Seleccionar&gt;&gt;]])</f>
        <v>Huánuco__</v>
      </c>
      <c r="J5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1" s="72" t="e">
        <f>VLOOKUP(Tabla5[[#This Row],[Tipo de Transporte Empleado
&lt;&lt; Seleccionar&gt;&gt;]],Tabla8[#All],2,0)</f>
        <v>#N/A</v>
      </c>
      <c r="L551" s="71" t="e">
        <f>#REF!+(#REF!*2)+#REF!</f>
        <v>#REF!</v>
      </c>
    </row>
    <row r="552" spans="1:12" x14ac:dyDescent="0.25">
      <c r="A552" s="328" t="e">
        <f>VLOOKUP(Tabla5[[#This Row],[Acción
&lt;&lt; Seleccionar&gt;&gt;]],TablaAccion[[#All],[Nombre_Abreviado]:[Codigo_Plan_Acción]],3,0)</f>
        <v>#N/A</v>
      </c>
      <c r="B552" s="328" t="e">
        <f>VLOOKUP(Tabla5[[#This Row],[Acción Especifica
&lt;&lt; Seleccionar&gt;&gt;]],TablaAccionEspecifica[[#All],[Nombre_Abreviado]:[Codigo_Acción]],3,0)</f>
        <v>#N/A</v>
      </c>
      <c r="C552" s="328" t="e">
        <f>CONCATENATE(Tabla18[[#This Row],[Bus_02]],"_",Tabla5[[#This Row],[Sub Acción Específica
&lt;&lt; Seleccionar&gt;&gt;]])</f>
        <v>#N/A</v>
      </c>
      <c r="D552" s="328" t="e">
        <f>VLOOKUP(Tabla18[[#This Row],[Aux_01]],TablaSubAccionEspecifica[[#All],[Concat]:[Cod_Sub_acción_especifica]],2,0)</f>
        <v>#N/A</v>
      </c>
      <c r="E552" s="328" t="e">
        <f>Tabla18[[#This Row],[Bus_03]]&amp;"_"&amp;Tabla5[[#This Row],[Tipo de Agente
&lt;&lt; Seleccionar&gt;&gt;]]</f>
        <v>#N/A</v>
      </c>
      <c r="F552" s="328" t="e">
        <f>VLOOKUP(Tabla18[[#This Row],[Concat2]],TablaPOA[[#All],[Concat]:[ConcatEspecial]],3,0)</f>
        <v>#N/A</v>
      </c>
      <c r="G552" s="65" t="str">
        <f>CONCATENATE(Registro!$A$6,"_",Tabla5[[#This Row],[Zona (Provincia)
&lt;&lt; Seleccionar&gt;&gt;]])</f>
        <v>Huánuco_</v>
      </c>
      <c r="H552" s="60" t="e">
        <f>VLOOKUP(Tabla18[[#This Row],[Concatenado***]],Tabla2[[#All],[Concatenado]:[Simbología*]],2,0)</f>
        <v>#N/A</v>
      </c>
      <c r="I552" s="65" t="str">
        <f>CONCATENATE(Tabla18[[#This Row],[Concatenado***]],"_",Tabla5[[#This Row],[Zona (Distrito)
&lt;&lt; Seleccionar&gt;&gt;]])</f>
        <v>Huánuco__</v>
      </c>
      <c r="J5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2" s="72" t="e">
        <f>VLOOKUP(Tabla5[[#This Row],[Tipo de Transporte Empleado
&lt;&lt; Seleccionar&gt;&gt;]],Tabla8[#All],2,0)</f>
        <v>#N/A</v>
      </c>
      <c r="L552" s="71" t="e">
        <f>#REF!+(#REF!*2)+#REF!</f>
        <v>#REF!</v>
      </c>
    </row>
    <row r="553" spans="1:12" x14ac:dyDescent="0.25">
      <c r="A553" s="328" t="e">
        <f>VLOOKUP(Tabla5[[#This Row],[Acción
&lt;&lt; Seleccionar&gt;&gt;]],TablaAccion[[#All],[Nombre_Abreviado]:[Codigo_Plan_Acción]],3,0)</f>
        <v>#N/A</v>
      </c>
      <c r="B553" s="328" t="e">
        <f>VLOOKUP(Tabla5[[#This Row],[Acción Especifica
&lt;&lt; Seleccionar&gt;&gt;]],TablaAccionEspecifica[[#All],[Nombre_Abreviado]:[Codigo_Acción]],3,0)</f>
        <v>#N/A</v>
      </c>
      <c r="C553" s="328" t="e">
        <f>CONCATENATE(Tabla18[[#This Row],[Bus_02]],"_",Tabla5[[#This Row],[Sub Acción Específica
&lt;&lt; Seleccionar&gt;&gt;]])</f>
        <v>#N/A</v>
      </c>
      <c r="D553" s="328" t="e">
        <f>VLOOKUP(Tabla18[[#This Row],[Aux_01]],TablaSubAccionEspecifica[[#All],[Concat]:[Cod_Sub_acción_especifica]],2,0)</f>
        <v>#N/A</v>
      </c>
      <c r="E553" s="328" t="e">
        <f>Tabla18[[#This Row],[Bus_03]]&amp;"_"&amp;Tabla5[[#This Row],[Tipo de Agente
&lt;&lt; Seleccionar&gt;&gt;]]</f>
        <v>#N/A</v>
      </c>
      <c r="F553" s="328" t="e">
        <f>VLOOKUP(Tabla18[[#This Row],[Concat2]],TablaPOA[[#All],[Concat]:[ConcatEspecial]],3,0)</f>
        <v>#N/A</v>
      </c>
      <c r="G553" s="65" t="str">
        <f>CONCATENATE(Registro!$A$6,"_",Tabla5[[#This Row],[Zona (Provincia)
&lt;&lt; Seleccionar&gt;&gt;]])</f>
        <v>Huánuco_</v>
      </c>
      <c r="H553" s="60" t="e">
        <f>VLOOKUP(Tabla18[[#This Row],[Concatenado***]],Tabla2[[#All],[Concatenado]:[Simbología*]],2,0)</f>
        <v>#N/A</v>
      </c>
      <c r="I553" s="65" t="str">
        <f>CONCATENATE(Tabla18[[#This Row],[Concatenado***]],"_",Tabla5[[#This Row],[Zona (Distrito)
&lt;&lt; Seleccionar&gt;&gt;]])</f>
        <v>Huánuco__</v>
      </c>
      <c r="J5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3" s="72" t="e">
        <f>VLOOKUP(Tabla5[[#This Row],[Tipo de Transporte Empleado
&lt;&lt; Seleccionar&gt;&gt;]],Tabla8[#All],2,0)</f>
        <v>#N/A</v>
      </c>
      <c r="L553" s="71" t="e">
        <f>#REF!+(#REF!*2)+#REF!</f>
        <v>#REF!</v>
      </c>
    </row>
    <row r="554" spans="1:12" x14ac:dyDescent="0.25">
      <c r="A554" s="328" t="e">
        <f>VLOOKUP(Tabla5[[#This Row],[Acción
&lt;&lt; Seleccionar&gt;&gt;]],TablaAccion[[#All],[Nombre_Abreviado]:[Codigo_Plan_Acción]],3,0)</f>
        <v>#N/A</v>
      </c>
      <c r="B554" s="328" t="e">
        <f>VLOOKUP(Tabla5[[#This Row],[Acción Especifica
&lt;&lt; Seleccionar&gt;&gt;]],TablaAccionEspecifica[[#All],[Nombre_Abreviado]:[Codigo_Acción]],3,0)</f>
        <v>#N/A</v>
      </c>
      <c r="C554" s="328" t="e">
        <f>CONCATENATE(Tabla18[[#This Row],[Bus_02]],"_",Tabla5[[#This Row],[Sub Acción Específica
&lt;&lt; Seleccionar&gt;&gt;]])</f>
        <v>#N/A</v>
      </c>
      <c r="D554" s="328" t="e">
        <f>VLOOKUP(Tabla18[[#This Row],[Aux_01]],TablaSubAccionEspecifica[[#All],[Concat]:[Cod_Sub_acción_especifica]],2,0)</f>
        <v>#N/A</v>
      </c>
      <c r="E554" s="328" t="e">
        <f>Tabla18[[#This Row],[Bus_03]]&amp;"_"&amp;Tabla5[[#This Row],[Tipo de Agente
&lt;&lt; Seleccionar&gt;&gt;]]</f>
        <v>#N/A</v>
      </c>
      <c r="F554" s="328" t="e">
        <f>VLOOKUP(Tabla18[[#This Row],[Concat2]],TablaPOA[[#All],[Concat]:[ConcatEspecial]],3,0)</f>
        <v>#N/A</v>
      </c>
      <c r="G554" s="65" t="str">
        <f>CONCATENATE(Registro!$A$6,"_",Tabla5[[#This Row],[Zona (Provincia)
&lt;&lt; Seleccionar&gt;&gt;]])</f>
        <v>Huánuco_</v>
      </c>
      <c r="H554" s="60" t="e">
        <f>VLOOKUP(Tabla18[[#This Row],[Concatenado***]],Tabla2[[#All],[Concatenado]:[Simbología*]],2,0)</f>
        <v>#N/A</v>
      </c>
      <c r="I554" s="65" t="str">
        <f>CONCATENATE(Tabla18[[#This Row],[Concatenado***]],"_",Tabla5[[#This Row],[Zona (Distrito)
&lt;&lt; Seleccionar&gt;&gt;]])</f>
        <v>Huánuco__</v>
      </c>
      <c r="J5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4" s="72" t="e">
        <f>VLOOKUP(Tabla5[[#This Row],[Tipo de Transporte Empleado
&lt;&lt; Seleccionar&gt;&gt;]],Tabla8[#All],2,0)</f>
        <v>#N/A</v>
      </c>
      <c r="L554" s="71" t="e">
        <f>#REF!+(#REF!*2)+#REF!</f>
        <v>#REF!</v>
      </c>
    </row>
    <row r="555" spans="1:12" x14ac:dyDescent="0.25">
      <c r="A555" s="328" t="e">
        <f>VLOOKUP(Tabla5[[#This Row],[Acción
&lt;&lt; Seleccionar&gt;&gt;]],TablaAccion[[#All],[Nombre_Abreviado]:[Codigo_Plan_Acción]],3,0)</f>
        <v>#N/A</v>
      </c>
      <c r="B555" s="328" t="e">
        <f>VLOOKUP(Tabla5[[#This Row],[Acción Especifica
&lt;&lt; Seleccionar&gt;&gt;]],TablaAccionEspecifica[[#All],[Nombre_Abreviado]:[Codigo_Acción]],3,0)</f>
        <v>#N/A</v>
      </c>
      <c r="C555" s="328" t="e">
        <f>CONCATENATE(Tabla18[[#This Row],[Bus_02]],"_",Tabla5[[#This Row],[Sub Acción Específica
&lt;&lt; Seleccionar&gt;&gt;]])</f>
        <v>#N/A</v>
      </c>
      <c r="D555" s="328" t="e">
        <f>VLOOKUP(Tabla18[[#This Row],[Aux_01]],TablaSubAccionEspecifica[[#All],[Concat]:[Cod_Sub_acción_especifica]],2,0)</f>
        <v>#N/A</v>
      </c>
      <c r="E555" s="328" t="e">
        <f>Tabla18[[#This Row],[Bus_03]]&amp;"_"&amp;Tabla5[[#This Row],[Tipo de Agente
&lt;&lt; Seleccionar&gt;&gt;]]</f>
        <v>#N/A</v>
      </c>
      <c r="F555" s="328" t="e">
        <f>VLOOKUP(Tabla18[[#This Row],[Concat2]],TablaPOA[[#All],[Concat]:[ConcatEspecial]],3,0)</f>
        <v>#N/A</v>
      </c>
      <c r="G555" s="65" t="str">
        <f>CONCATENATE(Registro!$A$6,"_",Tabla5[[#This Row],[Zona (Provincia)
&lt;&lt; Seleccionar&gt;&gt;]])</f>
        <v>Huánuco_</v>
      </c>
      <c r="H555" s="60" t="e">
        <f>VLOOKUP(Tabla18[[#This Row],[Concatenado***]],Tabla2[[#All],[Concatenado]:[Simbología*]],2,0)</f>
        <v>#N/A</v>
      </c>
      <c r="I555" s="65" t="str">
        <f>CONCATENATE(Tabla18[[#This Row],[Concatenado***]],"_",Tabla5[[#This Row],[Zona (Distrito)
&lt;&lt; Seleccionar&gt;&gt;]])</f>
        <v>Huánuco__</v>
      </c>
      <c r="J5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5" s="72" t="e">
        <f>VLOOKUP(Tabla5[[#This Row],[Tipo de Transporte Empleado
&lt;&lt; Seleccionar&gt;&gt;]],Tabla8[#All],2,0)</f>
        <v>#N/A</v>
      </c>
      <c r="L555" s="71" t="e">
        <f>#REF!+(#REF!*2)+#REF!</f>
        <v>#REF!</v>
      </c>
    </row>
    <row r="556" spans="1:12" x14ac:dyDescent="0.25">
      <c r="A556" s="328" t="e">
        <f>VLOOKUP(Tabla5[[#This Row],[Acción
&lt;&lt; Seleccionar&gt;&gt;]],TablaAccion[[#All],[Nombre_Abreviado]:[Codigo_Plan_Acción]],3,0)</f>
        <v>#N/A</v>
      </c>
      <c r="B556" s="328" t="e">
        <f>VLOOKUP(Tabla5[[#This Row],[Acción Especifica
&lt;&lt; Seleccionar&gt;&gt;]],TablaAccionEspecifica[[#All],[Nombre_Abreviado]:[Codigo_Acción]],3,0)</f>
        <v>#N/A</v>
      </c>
      <c r="C556" s="328" t="e">
        <f>CONCATENATE(Tabla18[[#This Row],[Bus_02]],"_",Tabla5[[#This Row],[Sub Acción Específica
&lt;&lt; Seleccionar&gt;&gt;]])</f>
        <v>#N/A</v>
      </c>
      <c r="D556" s="328" t="e">
        <f>VLOOKUP(Tabla18[[#This Row],[Aux_01]],TablaSubAccionEspecifica[[#All],[Concat]:[Cod_Sub_acción_especifica]],2,0)</f>
        <v>#N/A</v>
      </c>
      <c r="E556" s="328" t="e">
        <f>Tabla18[[#This Row],[Bus_03]]&amp;"_"&amp;Tabla5[[#This Row],[Tipo de Agente
&lt;&lt; Seleccionar&gt;&gt;]]</f>
        <v>#N/A</v>
      </c>
      <c r="F556" s="328" t="e">
        <f>VLOOKUP(Tabla18[[#This Row],[Concat2]],TablaPOA[[#All],[Concat]:[ConcatEspecial]],3,0)</f>
        <v>#N/A</v>
      </c>
      <c r="G556" s="65" t="str">
        <f>CONCATENATE(Registro!$A$6,"_",Tabla5[[#This Row],[Zona (Provincia)
&lt;&lt; Seleccionar&gt;&gt;]])</f>
        <v>Huánuco_</v>
      </c>
      <c r="H556" s="60" t="e">
        <f>VLOOKUP(Tabla18[[#This Row],[Concatenado***]],Tabla2[[#All],[Concatenado]:[Simbología*]],2,0)</f>
        <v>#N/A</v>
      </c>
      <c r="I556" s="65" t="str">
        <f>CONCATENATE(Tabla18[[#This Row],[Concatenado***]],"_",Tabla5[[#This Row],[Zona (Distrito)
&lt;&lt; Seleccionar&gt;&gt;]])</f>
        <v>Huánuco__</v>
      </c>
      <c r="J5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6" s="72" t="e">
        <f>VLOOKUP(Tabla5[[#This Row],[Tipo de Transporte Empleado
&lt;&lt; Seleccionar&gt;&gt;]],Tabla8[#All],2,0)</f>
        <v>#N/A</v>
      </c>
      <c r="L556" s="71" t="e">
        <f>#REF!+(#REF!*2)+#REF!</f>
        <v>#REF!</v>
      </c>
    </row>
    <row r="557" spans="1:12" x14ac:dyDescent="0.25">
      <c r="A557" s="328" t="e">
        <f>VLOOKUP(Tabla5[[#This Row],[Acción
&lt;&lt; Seleccionar&gt;&gt;]],TablaAccion[[#All],[Nombre_Abreviado]:[Codigo_Plan_Acción]],3,0)</f>
        <v>#N/A</v>
      </c>
      <c r="B557" s="328" t="e">
        <f>VLOOKUP(Tabla5[[#This Row],[Acción Especifica
&lt;&lt; Seleccionar&gt;&gt;]],TablaAccionEspecifica[[#All],[Nombre_Abreviado]:[Codigo_Acción]],3,0)</f>
        <v>#N/A</v>
      </c>
      <c r="C557" s="328" t="e">
        <f>CONCATENATE(Tabla18[[#This Row],[Bus_02]],"_",Tabla5[[#This Row],[Sub Acción Específica
&lt;&lt; Seleccionar&gt;&gt;]])</f>
        <v>#N/A</v>
      </c>
      <c r="D557" s="328" t="e">
        <f>VLOOKUP(Tabla18[[#This Row],[Aux_01]],TablaSubAccionEspecifica[[#All],[Concat]:[Cod_Sub_acción_especifica]],2,0)</f>
        <v>#N/A</v>
      </c>
      <c r="E557" s="328" t="e">
        <f>Tabla18[[#This Row],[Bus_03]]&amp;"_"&amp;Tabla5[[#This Row],[Tipo de Agente
&lt;&lt; Seleccionar&gt;&gt;]]</f>
        <v>#N/A</v>
      </c>
      <c r="F557" s="328" t="e">
        <f>VLOOKUP(Tabla18[[#This Row],[Concat2]],TablaPOA[[#All],[Concat]:[ConcatEspecial]],3,0)</f>
        <v>#N/A</v>
      </c>
      <c r="G557" s="65" t="str">
        <f>CONCATENATE(Registro!$A$6,"_",Tabla5[[#This Row],[Zona (Provincia)
&lt;&lt; Seleccionar&gt;&gt;]])</f>
        <v>Huánuco_</v>
      </c>
      <c r="H557" s="60" t="e">
        <f>VLOOKUP(Tabla18[[#This Row],[Concatenado***]],Tabla2[[#All],[Concatenado]:[Simbología*]],2,0)</f>
        <v>#N/A</v>
      </c>
      <c r="I557" s="65" t="str">
        <f>CONCATENATE(Tabla18[[#This Row],[Concatenado***]],"_",Tabla5[[#This Row],[Zona (Distrito)
&lt;&lt; Seleccionar&gt;&gt;]])</f>
        <v>Huánuco__</v>
      </c>
      <c r="J5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7" s="72" t="e">
        <f>VLOOKUP(Tabla5[[#This Row],[Tipo de Transporte Empleado
&lt;&lt; Seleccionar&gt;&gt;]],Tabla8[#All],2,0)</f>
        <v>#N/A</v>
      </c>
      <c r="L557" s="71" t="e">
        <f>#REF!+(#REF!*2)+#REF!</f>
        <v>#REF!</v>
      </c>
    </row>
    <row r="558" spans="1:12" x14ac:dyDescent="0.25">
      <c r="A558" s="328" t="e">
        <f>VLOOKUP(Tabla5[[#This Row],[Acción
&lt;&lt; Seleccionar&gt;&gt;]],TablaAccion[[#All],[Nombre_Abreviado]:[Codigo_Plan_Acción]],3,0)</f>
        <v>#N/A</v>
      </c>
      <c r="B558" s="328" t="e">
        <f>VLOOKUP(Tabla5[[#This Row],[Acción Especifica
&lt;&lt; Seleccionar&gt;&gt;]],TablaAccionEspecifica[[#All],[Nombre_Abreviado]:[Codigo_Acción]],3,0)</f>
        <v>#N/A</v>
      </c>
      <c r="C558" s="328" t="e">
        <f>CONCATENATE(Tabla18[[#This Row],[Bus_02]],"_",Tabla5[[#This Row],[Sub Acción Específica
&lt;&lt; Seleccionar&gt;&gt;]])</f>
        <v>#N/A</v>
      </c>
      <c r="D558" s="328" t="e">
        <f>VLOOKUP(Tabla18[[#This Row],[Aux_01]],TablaSubAccionEspecifica[[#All],[Concat]:[Cod_Sub_acción_especifica]],2,0)</f>
        <v>#N/A</v>
      </c>
      <c r="E558" s="328" t="e">
        <f>Tabla18[[#This Row],[Bus_03]]&amp;"_"&amp;Tabla5[[#This Row],[Tipo de Agente
&lt;&lt; Seleccionar&gt;&gt;]]</f>
        <v>#N/A</v>
      </c>
      <c r="F558" s="328" t="e">
        <f>VLOOKUP(Tabla18[[#This Row],[Concat2]],TablaPOA[[#All],[Concat]:[ConcatEspecial]],3,0)</f>
        <v>#N/A</v>
      </c>
      <c r="G558" s="65" t="str">
        <f>CONCATENATE(Registro!$A$6,"_",Tabla5[[#This Row],[Zona (Provincia)
&lt;&lt; Seleccionar&gt;&gt;]])</f>
        <v>Huánuco_</v>
      </c>
      <c r="H558" s="60" t="e">
        <f>VLOOKUP(Tabla18[[#This Row],[Concatenado***]],Tabla2[[#All],[Concatenado]:[Simbología*]],2,0)</f>
        <v>#N/A</v>
      </c>
      <c r="I558" s="65" t="str">
        <f>CONCATENATE(Tabla18[[#This Row],[Concatenado***]],"_",Tabla5[[#This Row],[Zona (Distrito)
&lt;&lt; Seleccionar&gt;&gt;]])</f>
        <v>Huánuco__</v>
      </c>
      <c r="J5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8" s="72" t="e">
        <f>VLOOKUP(Tabla5[[#This Row],[Tipo de Transporte Empleado
&lt;&lt; Seleccionar&gt;&gt;]],Tabla8[#All],2,0)</f>
        <v>#N/A</v>
      </c>
      <c r="L558" s="71" t="e">
        <f>#REF!+(#REF!*2)+#REF!</f>
        <v>#REF!</v>
      </c>
    </row>
    <row r="559" spans="1:12" x14ac:dyDescent="0.25">
      <c r="A559" s="328" t="e">
        <f>VLOOKUP(Tabla5[[#This Row],[Acción
&lt;&lt; Seleccionar&gt;&gt;]],TablaAccion[[#All],[Nombre_Abreviado]:[Codigo_Plan_Acción]],3,0)</f>
        <v>#N/A</v>
      </c>
      <c r="B559" s="328" t="e">
        <f>VLOOKUP(Tabla5[[#This Row],[Acción Especifica
&lt;&lt; Seleccionar&gt;&gt;]],TablaAccionEspecifica[[#All],[Nombre_Abreviado]:[Codigo_Acción]],3,0)</f>
        <v>#N/A</v>
      </c>
      <c r="C559" s="328" t="e">
        <f>CONCATENATE(Tabla18[[#This Row],[Bus_02]],"_",Tabla5[[#This Row],[Sub Acción Específica
&lt;&lt; Seleccionar&gt;&gt;]])</f>
        <v>#N/A</v>
      </c>
      <c r="D559" s="328" t="e">
        <f>VLOOKUP(Tabla18[[#This Row],[Aux_01]],TablaSubAccionEspecifica[[#All],[Concat]:[Cod_Sub_acción_especifica]],2,0)</f>
        <v>#N/A</v>
      </c>
      <c r="E559" s="328" t="e">
        <f>Tabla18[[#This Row],[Bus_03]]&amp;"_"&amp;Tabla5[[#This Row],[Tipo de Agente
&lt;&lt; Seleccionar&gt;&gt;]]</f>
        <v>#N/A</v>
      </c>
      <c r="F559" s="328" t="e">
        <f>VLOOKUP(Tabla18[[#This Row],[Concat2]],TablaPOA[[#All],[Concat]:[ConcatEspecial]],3,0)</f>
        <v>#N/A</v>
      </c>
      <c r="G559" s="65" t="str">
        <f>CONCATENATE(Registro!$A$6,"_",Tabla5[[#This Row],[Zona (Provincia)
&lt;&lt; Seleccionar&gt;&gt;]])</f>
        <v>Huánuco_</v>
      </c>
      <c r="H559" s="60" t="e">
        <f>VLOOKUP(Tabla18[[#This Row],[Concatenado***]],Tabla2[[#All],[Concatenado]:[Simbología*]],2,0)</f>
        <v>#N/A</v>
      </c>
      <c r="I559" s="65" t="str">
        <f>CONCATENATE(Tabla18[[#This Row],[Concatenado***]],"_",Tabla5[[#This Row],[Zona (Distrito)
&lt;&lt; Seleccionar&gt;&gt;]])</f>
        <v>Huánuco__</v>
      </c>
      <c r="J5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9" s="72" t="e">
        <f>VLOOKUP(Tabla5[[#This Row],[Tipo de Transporte Empleado
&lt;&lt; Seleccionar&gt;&gt;]],Tabla8[#All],2,0)</f>
        <v>#N/A</v>
      </c>
      <c r="L559" s="71" t="e">
        <f>#REF!+(#REF!*2)+#REF!</f>
        <v>#REF!</v>
      </c>
    </row>
    <row r="560" spans="1:12" x14ac:dyDescent="0.25">
      <c r="A560" s="328" t="e">
        <f>VLOOKUP(Tabla5[[#This Row],[Acción
&lt;&lt; Seleccionar&gt;&gt;]],TablaAccion[[#All],[Nombre_Abreviado]:[Codigo_Plan_Acción]],3,0)</f>
        <v>#N/A</v>
      </c>
      <c r="B560" s="328" t="e">
        <f>VLOOKUP(Tabla5[[#This Row],[Acción Especifica
&lt;&lt; Seleccionar&gt;&gt;]],TablaAccionEspecifica[[#All],[Nombre_Abreviado]:[Codigo_Acción]],3,0)</f>
        <v>#N/A</v>
      </c>
      <c r="C560" s="328" t="e">
        <f>CONCATENATE(Tabla18[[#This Row],[Bus_02]],"_",Tabla5[[#This Row],[Sub Acción Específica
&lt;&lt; Seleccionar&gt;&gt;]])</f>
        <v>#N/A</v>
      </c>
      <c r="D560" s="328" t="e">
        <f>VLOOKUP(Tabla18[[#This Row],[Aux_01]],TablaSubAccionEspecifica[[#All],[Concat]:[Cod_Sub_acción_especifica]],2,0)</f>
        <v>#N/A</v>
      </c>
      <c r="E560" s="328" t="e">
        <f>Tabla18[[#This Row],[Bus_03]]&amp;"_"&amp;Tabla5[[#This Row],[Tipo de Agente
&lt;&lt; Seleccionar&gt;&gt;]]</f>
        <v>#N/A</v>
      </c>
      <c r="F560" s="328" t="e">
        <f>VLOOKUP(Tabla18[[#This Row],[Concat2]],TablaPOA[[#All],[Concat]:[ConcatEspecial]],3,0)</f>
        <v>#N/A</v>
      </c>
      <c r="G560" s="65" t="str">
        <f>CONCATENATE(Registro!$A$6,"_",Tabla5[[#This Row],[Zona (Provincia)
&lt;&lt; Seleccionar&gt;&gt;]])</f>
        <v>Huánuco_</v>
      </c>
      <c r="H560" s="60" t="e">
        <f>VLOOKUP(Tabla18[[#This Row],[Concatenado***]],Tabla2[[#All],[Concatenado]:[Simbología*]],2,0)</f>
        <v>#N/A</v>
      </c>
      <c r="I560" s="65" t="str">
        <f>CONCATENATE(Tabla18[[#This Row],[Concatenado***]],"_",Tabla5[[#This Row],[Zona (Distrito)
&lt;&lt; Seleccionar&gt;&gt;]])</f>
        <v>Huánuco__</v>
      </c>
      <c r="J5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0" s="72" t="e">
        <f>VLOOKUP(Tabla5[[#This Row],[Tipo de Transporte Empleado
&lt;&lt; Seleccionar&gt;&gt;]],Tabla8[#All],2,0)</f>
        <v>#N/A</v>
      </c>
      <c r="L560" s="71" t="e">
        <f>#REF!+(#REF!*2)+#REF!</f>
        <v>#REF!</v>
      </c>
    </row>
    <row r="561" spans="1:12" x14ac:dyDescent="0.25">
      <c r="A561" s="328" t="e">
        <f>VLOOKUP(Tabla5[[#This Row],[Acción
&lt;&lt; Seleccionar&gt;&gt;]],TablaAccion[[#All],[Nombre_Abreviado]:[Codigo_Plan_Acción]],3,0)</f>
        <v>#N/A</v>
      </c>
      <c r="B561" s="328" t="e">
        <f>VLOOKUP(Tabla5[[#This Row],[Acción Especifica
&lt;&lt; Seleccionar&gt;&gt;]],TablaAccionEspecifica[[#All],[Nombre_Abreviado]:[Codigo_Acción]],3,0)</f>
        <v>#N/A</v>
      </c>
      <c r="C561" s="328" t="e">
        <f>CONCATENATE(Tabla18[[#This Row],[Bus_02]],"_",Tabla5[[#This Row],[Sub Acción Específica
&lt;&lt; Seleccionar&gt;&gt;]])</f>
        <v>#N/A</v>
      </c>
      <c r="D561" s="328" t="e">
        <f>VLOOKUP(Tabla18[[#This Row],[Aux_01]],TablaSubAccionEspecifica[[#All],[Concat]:[Cod_Sub_acción_especifica]],2,0)</f>
        <v>#N/A</v>
      </c>
      <c r="E561" s="328" t="e">
        <f>Tabla18[[#This Row],[Bus_03]]&amp;"_"&amp;Tabla5[[#This Row],[Tipo de Agente
&lt;&lt; Seleccionar&gt;&gt;]]</f>
        <v>#N/A</v>
      </c>
      <c r="F561" s="328" t="e">
        <f>VLOOKUP(Tabla18[[#This Row],[Concat2]],TablaPOA[[#All],[Concat]:[ConcatEspecial]],3,0)</f>
        <v>#N/A</v>
      </c>
      <c r="G561" s="65" t="str">
        <f>CONCATENATE(Registro!$A$6,"_",Tabla5[[#This Row],[Zona (Provincia)
&lt;&lt; Seleccionar&gt;&gt;]])</f>
        <v>Huánuco_</v>
      </c>
      <c r="H561" s="60" t="e">
        <f>VLOOKUP(Tabla18[[#This Row],[Concatenado***]],Tabla2[[#All],[Concatenado]:[Simbología*]],2,0)</f>
        <v>#N/A</v>
      </c>
      <c r="I561" s="65" t="str">
        <f>CONCATENATE(Tabla18[[#This Row],[Concatenado***]],"_",Tabla5[[#This Row],[Zona (Distrito)
&lt;&lt; Seleccionar&gt;&gt;]])</f>
        <v>Huánuco__</v>
      </c>
      <c r="J5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1" s="72" t="e">
        <f>VLOOKUP(Tabla5[[#This Row],[Tipo de Transporte Empleado
&lt;&lt; Seleccionar&gt;&gt;]],Tabla8[#All],2,0)</f>
        <v>#N/A</v>
      </c>
      <c r="L561" s="71" t="e">
        <f>#REF!+(#REF!*2)+#REF!</f>
        <v>#REF!</v>
      </c>
    </row>
    <row r="562" spans="1:12" x14ac:dyDescent="0.25">
      <c r="A562" s="328" t="e">
        <f>VLOOKUP(Tabla5[[#This Row],[Acción
&lt;&lt; Seleccionar&gt;&gt;]],TablaAccion[[#All],[Nombre_Abreviado]:[Codigo_Plan_Acción]],3,0)</f>
        <v>#N/A</v>
      </c>
      <c r="B562" s="328" t="e">
        <f>VLOOKUP(Tabla5[[#This Row],[Acción Especifica
&lt;&lt; Seleccionar&gt;&gt;]],TablaAccionEspecifica[[#All],[Nombre_Abreviado]:[Codigo_Acción]],3,0)</f>
        <v>#N/A</v>
      </c>
      <c r="C562" s="328" t="e">
        <f>CONCATENATE(Tabla18[[#This Row],[Bus_02]],"_",Tabla5[[#This Row],[Sub Acción Específica
&lt;&lt; Seleccionar&gt;&gt;]])</f>
        <v>#N/A</v>
      </c>
      <c r="D562" s="328" t="e">
        <f>VLOOKUP(Tabla18[[#This Row],[Aux_01]],TablaSubAccionEspecifica[[#All],[Concat]:[Cod_Sub_acción_especifica]],2,0)</f>
        <v>#N/A</v>
      </c>
      <c r="E562" s="328" t="e">
        <f>Tabla18[[#This Row],[Bus_03]]&amp;"_"&amp;Tabla5[[#This Row],[Tipo de Agente
&lt;&lt; Seleccionar&gt;&gt;]]</f>
        <v>#N/A</v>
      </c>
      <c r="F562" s="328" t="e">
        <f>VLOOKUP(Tabla18[[#This Row],[Concat2]],TablaPOA[[#All],[Concat]:[ConcatEspecial]],3,0)</f>
        <v>#N/A</v>
      </c>
      <c r="G562" s="65" t="str">
        <f>CONCATENATE(Registro!$A$6,"_",Tabla5[[#This Row],[Zona (Provincia)
&lt;&lt; Seleccionar&gt;&gt;]])</f>
        <v>Huánuco_</v>
      </c>
      <c r="H562" s="60" t="e">
        <f>VLOOKUP(Tabla18[[#This Row],[Concatenado***]],Tabla2[[#All],[Concatenado]:[Simbología*]],2,0)</f>
        <v>#N/A</v>
      </c>
      <c r="I562" s="65" t="str">
        <f>CONCATENATE(Tabla18[[#This Row],[Concatenado***]],"_",Tabla5[[#This Row],[Zona (Distrito)
&lt;&lt; Seleccionar&gt;&gt;]])</f>
        <v>Huánuco__</v>
      </c>
      <c r="J5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2" s="72" t="e">
        <f>VLOOKUP(Tabla5[[#This Row],[Tipo de Transporte Empleado
&lt;&lt; Seleccionar&gt;&gt;]],Tabla8[#All],2,0)</f>
        <v>#N/A</v>
      </c>
      <c r="L562" s="71" t="e">
        <f>#REF!+(#REF!*2)+#REF!</f>
        <v>#REF!</v>
      </c>
    </row>
    <row r="563" spans="1:12" x14ac:dyDescent="0.25">
      <c r="A563" s="328" t="e">
        <f>VLOOKUP(Tabla5[[#This Row],[Acción
&lt;&lt; Seleccionar&gt;&gt;]],TablaAccion[[#All],[Nombre_Abreviado]:[Codigo_Plan_Acción]],3,0)</f>
        <v>#N/A</v>
      </c>
      <c r="B563" s="328" t="e">
        <f>VLOOKUP(Tabla5[[#This Row],[Acción Especifica
&lt;&lt; Seleccionar&gt;&gt;]],TablaAccionEspecifica[[#All],[Nombre_Abreviado]:[Codigo_Acción]],3,0)</f>
        <v>#N/A</v>
      </c>
      <c r="C563" s="328" t="e">
        <f>CONCATENATE(Tabla18[[#This Row],[Bus_02]],"_",Tabla5[[#This Row],[Sub Acción Específica
&lt;&lt; Seleccionar&gt;&gt;]])</f>
        <v>#N/A</v>
      </c>
      <c r="D563" s="328" t="e">
        <f>VLOOKUP(Tabla18[[#This Row],[Aux_01]],TablaSubAccionEspecifica[[#All],[Concat]:[Cod_Sub_acción_especifica]],2,0)</f>
        <v>#N/A</v>
      </c>
      <c r="E563" s="328" t="e">
        <f>Tabla18[[#This Row],[Bus_03]]&amp;"_"&amp;Tabla5[[#This Row],[Tipo de Agente
&lt;&lt; Seleccionar&gt;&gt;]]</f>
        <v>#N/A</v>
      </c>
      <c r="F563" s="328" t="e">
        <f>VLOOKUP(Tabla18[[#This Row],[Concat2]],TablaPOA[[#All],[Concat]:[ConcatEspecial]],3,0)</f>
        <v>#N/A</v>
      </c>
      <c r="G563" s="65" t="str">
        <f>CONCATENATE(Registro!$A$6,"_",Tabla5[[#This Row],[Zona (Provincia)
&lt;&lt; Seleccionar&gt;&gt;]])</f>
        <v>Huánuco_</v>
      </c>
      <c r="H563" s="60" t="e">
        <f>VLOOKUP(Tabla18[[#This Row],[Concatenado***]],Tabla2[[#All],[Concatenado]:[Simbología*]],2,0)</f>
        <v>#N/A</v>
      </c>
      <c r="I563" s="65" t="str">
        <f>CONCATENATE(Tabla18[[#This Row],[Concatenado***]],"_",Tabla5[[#This Row],[Zona (Distrito)
&lt;&lt; Seleccionar&gt;&gt;]])</f>
        <v>Huánuco__</v>
      </c>
      <c r="J5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3" s="72" t="e">
        <f>VLOOKUP(Tabla5[[#This Row],[Tipo de Transporte Empleado
&lt;&lt; Seleccionar&gt;&gt;]],Tabla8[#All],2,0)</f>
        <v>#N/A</v>
      </c>
      <c r="L563" s="71" t="e">
        <f>#REF!+(#REF!*2)+#REF!</f>
        <v>#REF!</v>
      </c>
    </row>
    <row r="564" spans="1:12" x14ac:dyDescent="0.25">
      <c r="A564" s="328" t="e">
        <f>VLOOKUP(Tabla5[[#This Row],[Acción
&lt;&lt; Seleccionar&gt;&gt;]],TablaAccion[[#All],[Nombre_Abreviado]:[Codigo_Plan_Acción]],3,0)</f>
        <v>#N/A</v>
      </c>
      <c r="B564" s="328" t="e">
        <f>VLOOKUP(Tabla5[[#This Row],[Acción Especifica
&lt;&lt; Seleccionar&gt;&gt;]],TablaAccionEspecifica[[#All],[Nombre_Abreviado]:[Codigo_Acción]],3,0)</f>
        <v>#N/A</v>
      </c>
      <c r="C564" s="328" t="e">
        <f>CONCATENATE(Tabla18[[#This Row],[Bus_02]],"_",Tabla5[[#This Row],[Sub Acción Específica
&lt;&lt; Seleccionar&gt;&gt;]])</f>
        <v>#N/A</v>
      </c>
      <c r="D564" s="328" t="e">
        <f>VLOOKUP(Tabla18[[#This Row],[Aux_01]],TablaSubAccionEspecifica[[#All],[Concat]:[Cod_Sub_acción_especifica]],2,0)</f>
        <v>#N/A</v>
      </c>
      <c r="E564" s="328" t="e">
        <f>Tabla18[[#This Row],[Bus_03]]&amp;"_"&amp;Tabla5[[#This Row],[Tipo de Agente
&lt;&lt; Seleccionar&gt;&gt;]]</f>
        <v>#N/A</v>
      </c>
      <c r="F564" s="328" t="e">
        <f>VLOOKUP(Tabla18[[#This Row],[Concat2]],TablaPOA[[#All],[Concat]:[ConcatEspecial]],3,0)</f>
        <v>#N/A</v>
      </c>
      <c r="G564" s="65" t="str">
        <f>CONCATENATE(Registro!$A$6,"_",Tabla5[[#This Row],[Zona (Provincia)
&lt;&lt; Seleccionar&gt;&gt;]])</f>
        <v>Huánuco_</v>
      </c>
      <c r="H564" s="60" t="e">
        <f>VLOOKUP(Tabla18[[#This Row],[Concatenado***]],Tabla2[[#All],[Concatenado]:[Simbología*]],2,0)</f>
        <v>#N/A</v>
      </c>
      <c r="I564" s="65" t="str">
        <f>CONCATENATE(Tabla18[[#This Row],[Concatenado***]],"_",Tabla5[[#This Row],[Zona (Distrito)
&lt;&lt; Seleccionar&gt;&gt;]])</f>
        <v>Huánuco__</v>
      </c>
      <c r="J5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4" s="72" t="e">
        <f>VLOOKUP(Tabla5[[#This Row],[Tipo de Transporte Empleado
&lt;&lt; Seleccionar&gt;&gt;]],Tabla8[#All],2,0)</f>
        <v>#N/A</v>
      </c>
      <c r="L564" s="71" t="e">
        <f>#REF!+(#REF!*2)+#REF!</f>
        <v>#REF!</v>
      </c>
    </row>
    <row r="565" spans="1:12" x14ac:dyDescent="0.25">
      <c r="A565" s="328" t="e">
        <f>VLOOKUP(Tabla5[[#This Row],[Acción
&lt;&lt; Seleccionar&gt;&gt;]],TablaAccion[[#All],[Nombre_Abreviado]:[Codigo_Plan_Acción]],3,0)</f>
        <v>#N/A</v>
      </c>
      <c r="B565" s="328" t="e">
        <f>VLOOKUP(Tabla5[[#This Row],[Acción Especifica
&lt;&lt; Seleccionar&gt;&gt;]],TablaAccionEspecifica[[#All],[Nombre_Abreviado]:[Codigo_Acción]],3,0)</f>
        <v>#N/A</v>
      </c>
      <c r="C565" s="328" t="e">
        <f>CONCATENATE(Tabla18[[#This Row],[Bus_02]],"_",Tabla5[[#This Row],[Sub Acción Específica
&lt;&lt; Seleccionar&gt;&gt;]])</f>
        <v>#N/A</v>
      </c>
      <c r="D565" s="328" t="e">
        <f>VLOOKUP(Tabla18[[#This Row],[Aux_01]],TablaSubAccionEspecifica[[#All],[Concat]:[Cod_Sub_acción_especifica]],2,0)</f>
        <v>#N/A</v>
      </c>
      <c r="E565" s="328" t="e">
        <f>Tabla18[[#This Row],[Bus_03]]&amp;"_"&amp;Tabla5[[#This Row],[Tipo de Agente
&lt;&lt; Seleccionar&gt;&gt;]]</f>
        <v>#N/A</v>
      </c>
      <c r="F565" s="328" t="e">
        <f>VLOOKUP(Tabla18[[#This Row],[Concat2]],TablaPOA[[#All],[Concat]:[ConcatEspecial]],3,0)</f>
        <v>#N/A</v>
      </c>
      <c r="G565" s="65" t="str">
        <f>CONCATENATE(Registro!$A$6,"_",Tabla5[[#This Row],[Zona (Provincia)
&lt;&lt; Seleccionar&gt;&gt;]])</f>
        <v>Huánuco_</v>
      </c>
      <c r="H565" s="60" t="e">
        <f>VLOOKUP(Tabla18[[#This Row],[Concatenado***]],Tabla2[[#All],[Concatenado]:[Simbología*]],2,0)</f>
        <v>#N/A</v>
      </c>
      <c r="I565" s="65" t="str">
        <f>CONCATENATE(Tabla18[[#This Row],[Concatenado***]],"_",Tabla5[[#This Row],[Zona (Distrito)
&lt;&lt; Seleccionar&gt;&gt;]])</f>
        <v>Huánuco__</v>
      </c>
      <c r="J5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5" s="72" t="e">
        <f>VLOOKUP(Tabla5[[#This Row],[Tipo de Transporte Empleado
&lt;&lt; Seleccionar&gt;&gt;]],Tabla8[#All],2,0)</f>
        <v>#N/A</v>
      </c>
      <c r="L565" s="71" t="e">
        <f>#REF!+(#REF!*2)+#REF!</f>
        <v>#REF!</v>
      </c>
    </row>
    <row r="566" spans="1:12" x14ac:dyDescent="0.25">
      <c r="A566" s="328" t="e">
        <f>VLOOKUP(Tabla5[[#This Row],[Acción
&lt;&lt; Seleccionar&gt;&gt;]],TablaAccion[[#All],[Nombre_Abreviado]:[Codigo_Plan_Acción]],3,0)</f>
        <v>#N/A</v>
      </c>
      <c r="B566" s="328" t="e">
        <f>VLOOKUP(Tabla5[[#This Row],[Acción Especifica
&lt;&lt; Seleccionar&gt;&gt;]],TablaAccionEspecifica[[#All],[Nombre_Abreviado]:[Codigo_Acción]],3,0)</f>
        <v>#N/A</v>
      </c>
      <c r="C566" s="328" t="e">
        <f>CONCATENATE(Tabla18[[#This Row],[Bus_02]],"_",Tabla5[[#This Row],[Sub Acción Específica
&lt;&lt; Seleccionar&gt;&gt;]])</f>
        <v>#N/A</v>
      </c>
      <c r="D566" s="328" t="e">
        <f>VLOOKUP(Tabla18[[#This Row],[Aux_01]],TablaSubAccionEspecifica[[#All],[Concat]:[Cod_Sub_acción_especifica]],2,0)</f>
        <v>#N/A</v>
      </c>
      <c r="E566" s="328" t="e">
        <f>Tabla18[[#This Row],[Bus_03]]&amp;"_"&amp;Tabla5[[#This Row],[Tipo de Agente
&lt;&lt; Seleccionar&gt;&gt;]]</f>
        <v>#N/A</v>
      </c>
      <c r="F566" s="328" t="e">
        <f>VLOOKUP(Tabla18[[#This Row],[Concat2]],TablaPOA[[#All],[Concat]:[ConcatEspecial]],3,0)</f>
        <v>#N/A</v>
      </c>
      <c r="G566" s="65" t="str">
        <f>CONCATENATE(Registro!$A$6,"_",Tabla5[[#This Row],[Zona (Provincia)
&lt;&lt; Seleccionar&gt;&gt;]])</f>
        <v>Huánuco_</v>
      </c>
      <c r="H566" s="60" t="e">
        <f>VLOOKUP(Tabla18[[#This Row],[Concatenado***]],Tabla2[[#All],[Concatenado]:[Simbología*]],2,0)</f>
        <v>#N/A</v>
      </c>
      <c r="I566" s="65" t="str">
        <f>CONCATENATE(Tabla18[[#This Row],[Concatenado***]],"_",Tabla5[[#This Row],[Zona (Distrito)
&lt;&lt; Seleccionar&gt;&gt;]])</f>
        <v>Huánuco__</v>
      </c>
      <c r="J5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6" s="72" t="e">
        <f>VLOOKUP(Tabla5[[#This Row],[Tipo de Transporte Empleado
&lt;&lt; Seleccionar&gt;&gt;]],Tabla8[#All],2,0)</f>
        <v>#N/A</v>
      </c>
      <c r="L566" s="71" t="e">
        <f>#REF!+(#REF!*2)+#REF!</f>
        <v>#REF!</v>
      </c>
    </row>
    <row r="567" spans="1:12" x14ac:dyDescent="0.25">
      <c r="A567" s="328" t="e">
        <f>VLOOKUP(Tabla5[[#This Row],[Acción
&lt;&lt; Seleccionar&gt;&gt;]],TablaAccion[[#All],[Nombre_Abreviado]:[Codigo_Plan_Acción]],3,0)</f>
        <v>#N/A</v>
      </c>
      <c r="B567" s="328" t="e">
        <f>VLOOKUP(Tabla5[[#This Row],[Acción Especifica
&lt;&lt; Seleccionar&gt;&gt;]],TablaAccionEspecifica[[#All],[Nombre_Abreviado]:[Codigo_Acción]],3,0)</f>
        <v>#N/A</v>
      </c>
      <c r="C567" s="328" t="e">
        <f>CONCATENATE(Tabla18[[#This Row],[Bus_02]],"_",Tabla5[[#This Row],[Sub Acción Específica
&lt;&lt; Seleccionar&gt;&gt;]])</f>
        <v>#N/A</v>
      </c>
      <c r="D567" s="328" t="e">
        <f>VLOOKUP(Tabla18[[#This Row],[Aux_01]],TablaSubAccionEspecifica[[#All],[Concat]:[Cod_Sub_acción_especifica]],2,0)</f>
        <v>#N/A</v>
      </c>
      <c r="E567" s="328" t="e">
        <f>Tabla18[[#This Row],[Bus_03]]&amp;"_"&amp;Tabla5[[#This Row],[Tipo de Agente
&lt;&lt; Seleccionar&gt;&gt;]]</f>
        <v>#N/A</v>
      </c>
      <c r="F567" s="328" t="e">
        <f>VLOOKUP(Tabla18[[#This Row],[Concat2]],TablaPOA[[#All],[Concat]:[ConcatEspecial]],3,0)</f>
        <v>#N/A</v>
      </c>
      <c r="G567" s="65" t="str">
        <f>CONCATENATE(Registro!$A$6,"_",Tabla5[[#This Row],[Zona (Provincia)
&lt;&lt; Seleccionar&gt;&gt;]])</f>
        <v>Huánuco_</v>
      </c>
      <c r="H567" s="60" t="e">
        <f>VLOOKUP(Tabla18[[#This Row],[Concatenado***]],Tabla2[[#All],[Concatenado]:[Simbología*]],2,0)</f>
        <v>#N/A</v>
      </c>
      <c r="I567" s="65" t="str">
        <f>CONCATENATE(Tabla18[[#This Row],[Concatenado***]],"_",Tabla5[[#This Row],[Zona (Distrito)
&lt;&lt; Seleccionar&gt;&gt;]])</f>
        <v>Huánuco__</v>
      </c>
      <c r="J5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7" s="72" t="e">
        <f>VLOOKUP(Tabla5[[#This Row],[Tipo de Transporte Empleado
&lt;&lt; Seleccionar&gt;&gt;]],Tabla8[#All],2,0)</f>
        <v>#N/A</v>
      </c>
      <c r="L567" s="71" t="e">
        <f>#REF!+(#REF!*2)+#REF!</f>
        <v>#REF!</v>
      </c>
    </row>
    <row r="568" spans="1:12" x14ac:dyDescent="0.25">
      <c r="A568" s="328" t="e">
        <f>VLOOKUP(Tabla5[[#This Row],[Acción
&lt;&lt; Seleccionar&gt;&gt;]],TablaAccion[[#All],[Nombre_Abreviado]:[Codigo_Plan_Acción]],3,0)</f>
        <v>#N/A</v>
      </c>
      <c r="B568" s="328" t="e">
        <f>VLOOKUP(Tabla5[[#This Row],[Acción Especifica
&lt;&lt; Seleccionar&gt;&gt;]],TablaAccionEspecifica[[#All],[Nombre_Abreviado]:[Codigo_Acción]],3,0)</f>
        <v>#N/A</v>
      </c>
      <c r="C568" s="328" t="e">
        <f>CONCATENATE(Tabla18[[#This Row],[Bus_02]],"_",Tabla5[[#This Row],[Sub Acción Específica
&lt;&lt; Seleccionar&gt;&gt;]])</f>
        <v>#N/A</v>
      </c>
      <c r="D568" s="328" t="e">
        <f>VLOOKUP(Tabla18[[#This Row],[Aux_01]],TablaSubAccionEspecifica[[#All],[Concat]:[Cod_Sub_acción_especifica]],2,0)</f>
        <v>#N/A</v>
      </c>
      <c r="E568" s="328" t="e">
        <f>Tabla18[[#This Row],[Bus_03]]&amp;"_"&amp;Tabla5[[#This Row],[Tipo de Agente
&lt;&lt; Seleccionar&gt;&gt;]]</f>
        <v>#N/A</v>
      </c>
      <c r="F568" s="328" t="e">
        <f>VLOOKUP(Tabla18[[#This Row],[Concat2]],TablaPOA[[#All],[Concat]:[ConcatEspecial]],3,0)</f>
        <v>#N/A</v>
      </c>
      <c r="G568" s="65" t="str">
        <f>CONCATENATE(Registro!$A$6,"_",Tabla5[[#This Row],[Zona (Provincia)
&lt;&lt; Seleccionar&gt;&gt;]])</f>
        <v>Huánuco_</v>
      </c>
      <c r="H568" s="60" t="e">
        <f>VLOOKUP(Tabla18[[#This Row],[Concatenado***]],Tabla2[[#All],[Concatenado]:[Simbología*]],2,0)</f>
        <v>#N/A</v>
      </c>
      <c r="I568" s="65" t="str">
        <f>CONCATENATE(Tabla18[[#This Row],[Concatenado***]],"_",Tabla5[[#This Row],[Zona (Distrito)
&lt;&lt; Seleccionar&gt;&gt;]])</f>
        <v>Huánuco__</v>
      </c>
      <c r="J5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8" s="72" t="e">
        <f>VLOOKUP(Tabla5[[#This Row],[Tipo de Transporte Empleado
&lt;&lt; Seleccionar&gt;&gt;]],Tabla8[#All],2,0)</f>
        <v>#N/A</v>
      </c>
      <c r="L568" s="71" t="e">
        <f>#REF!+(#REF!*2)+#REF!</f>
        <v>#REF!</v>
      </c>
    </row>
    <row r="569" spans="1:12" x14ac:dyDescent="0.25">
      <c r="A569" s="328" t="e">
        <f>VLOOKUP(Tabla5[[#This Row],[Acción
&lt;&lt; Seleccionar&gt;&gt;]],TablaAccion[[#All],[Nombre_Abreviado]:[Codigo_Plan_Acción]],3,0)</f>
        <v>#N/A</v>
      </c>
      <c r="B569" s="328" t="e">
        <f>VLOOKUP(Tabla5[[#This Row],[Acción Especifica
&lt;&lt; Seleccionar&gt;&gt;]],TablaAccionEspecifica[[#All],[Nombre_Abreviado]:[Codigo_Acción]],3,0)</f>
        <v>#N/A</v>
      </c>
      <c r="C569" s="328" t="e">
        <f>CONCATENATE(Tabla18[[#This Row],[Bus_02]],"_",Tabla5[[#This Row],[Sub Acción Específica
&lt;&lt; Seleccionar&gt;&gt;]])</f>
        <v>#N/A</v>
      </c>
      <c r="D569" s="328" t="e">
        <f>VLOOKUP(Tabla18[[#This Row],[Aux_01]],TablaSubAccionEspecifica[[#All],[Concat]:[Cod_Sub_acción_especifica]],2,0)</f>
        <v>#N/A</v>
      </c>
      <c r="E569" s="328" t="e">
        <f>Tabla18[[#This Row],[Bus_03]]&amp;"_"&amp;Tabla5[[#This Row],[Tipo de Agente
&lt;&lt; Seleccionar&gt;&gt;]]</f>
        <v>#N/A</v>
      </c>
      <c r="F569" s="328" t="e">
        <f>VLOOKUP(Tabla18[[#This Row],[Concat2]],TablaPOA[[#All],[Concat]:[ConcatEspecial]],3,0)</f>
        <v>#N/A</v>
      </c>
      <c r="G569" s="65" t="str">
        <f>CONCATENATE(Registro!$A$6,"_",Tabla5[[#This Row],[Zona (Provincia)
&lt;&lt; Seleccionar&gt;&gt;]])</f>
        <v>Huánuco_</v>
      </c>
      <c r="H569" s="60" t="e">
        <f>VLOOKUP(Tabla18[[#This Row],[Concatenado***]],Tabla2[[#All],[Concatenado]:[Simbología*]],2,0)</f>
        <v>#N/A</v>
      </c>
      <c r="I569" s="65" t="str">
        <f>CONCATENATE(Tabla18[[#This Row],[Concatenado***]],"_",Tabla5[[#This Row],[Zona (Distrito)
&lt;&lt; Seleccionar&gt;&gt;]])</f>
        <v>Huánuco__</v>
      </c>
      <c r="J5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9" s="72" t="e">
        <f>VLOOKUP(Tabla5[[#This Row],[Tipo de Transporte Empleado
&lt;&lt; Seleccionar&gt;&gt;]],Tabla8[#All],2,0)</f>
        <v>#N/A</v>
      </c>
      <c r="L569" s="71" t="e">
        <f>#REF!+(#REF!*2)+#REF!</f>
        <v>#REF!</v>
      </c>
    </row>
    <row r="570" spans="1:12" x14ac:dyDescent="0.25">
      <c r="A570" s="328" t="e">
        <f>VLOOKUP(Tabla5[[#This Row],[Acción
&lt;&lt; Seleccionar&gt;&gt;]],TablaAccion[[#All],[Nombre_Abreviado]:[Codigo_Plan_Acción]],3,0)</f>
        <v>#N/A</v>
      </c>
      <c r="B570" s="328" t="e">
        <f>VLOOKUP(Tabla5[[#This Row],[Acción Especifica
&lt;&lt; Seleccionar&gt;&gt;]],TablaAccionEspecifica[[#All],[Nombre_Abreviado]:[Codigo_Acción]],3,0)</f>
        <v>#N/A</v>
      </c>
      <c r="C570" s="328" t="e">
        <f>CONCATENATE(Tabla18[[#This Row],[Bus_02]],"_",Tabla5[[#This Row],[Sub Acción Específica
&lt;&lt; Seleccionar&gt;&gt;]])</f>
        <v>#N/A</v>
      </c>
      <c r="D570" s="328" t="e">
        <f>VLOOKUP(Tabla18[[#This Row],[Aux_01]],TablaSubAccionEspecifica[[#All],[Concat]:[Cod_Sub_acción_especifica]],2,0)</f>
        <v>#N/A</v>
      </c>
      <c r="E570" s="328" t="e">
        <f>Tabla18[[#This Row],[Bus_03]]&amp;"_"&amp;Tabla5[[#This Row],[Tipo de Agente
&lt;&lt; Seleccionar&gt;&gt;]]</f>
        <v>#N/A</v>
      </c>
      <c r="F570" s="328" t="e">
        <f>VLOOKUP(Tabla18[[#This Row],[Concat2]],TablaPOA[[#All],[Concat]:[ConcatEspecial]],3,0)</f>
        <v>#N/A</v>
      </c>
      <c r="G570" s="65" t="str">
        <f>CONCATENATE(Registro!$A$6,"_",Tabla5[[#This Row],[Zona (Provincia)
&lt;&lt; Seleccionar&gt;&gt;]])</f>
        <v>Huánuco_</v>
      </c>
      <c r="H570" s="60" t="e">
        <f>VLOOKUP(Tabla18[[#This Row],[Concatenado***]],Tabla2[[#All],[Concatenado]:[Simbología*]],2,0)</f>
        <v>#N/A</v>
      </c>
      <c r="I570" s="65" t="str">
        <f>CONCATENATE(Tabla18[[#This Row],[Concatenado***]],"_",Tabla5[[#This Row],[Zona (Distrito)
&lt;&lt; Seleccionar&gt;&gt;]])</f>
        <v>Huánuco__</v>
      </c>
      <c r="J5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0" s="72" t="e">
        <f>VLOOKUP(Tabla5[[#This Row],[Tipo de Transporte Empleado
&lt;&lt; Seleccionar&gt;&gt;]],Tabla8[#All],2,0)</f>
        <v>#N/A</v>
      </c>
      <c r="L570" s="71" t="e">
        <f>#REF!+(#REF!*2)+#REF!</f>
        <v>#REF!</v>
      </c>
    </row>
    <row r="571" spans="1:12" x14ac:dyDescent="0.25">
      <c r="A571" s="328" t="e">
        <f>VLOOKUP(Tabla5[[#This Row],[Acción
&lt;&lt; Seleccionar&gt;&gt;]],TablaAccion[[#All],[Nombre_Abreviado]:[Codigo_Plan_Acción]],3,0)</f>
        <v>#N/A</v>
      </c>
      <c r="B571" s="328" t="e">
        <f>VLOOKUP(Tabla5[[#This Row],[Acción Especifica
&lt;&lt; Seleccionar&gt;&gt;]],TablaAccionEspecifica[[#All],[Nombre_Abreviado]:[Codigo_Acción]],3,0)</f>
        <v>#N/A</v>
      </c>
      <c r="C571" s="328" t="e">
        <f>CONCATENATE(Tabla18[[#This Row],[Bus_02]],"_",Tabla5[[#This Row],[Sub Acción Específica
&lt;&lt; Seleccionar&gt;&gt;]])</f>
        <v>#N/A</v>
      </c>
      <c r="D571" s="328" t="e">
        <f>VLOOKUP(Tabla18[[#This Row],[Aux_01]],TablaSubAccionEspecifica[[#All],[Concat]:[Cod_Sub_acción_especifica]],2,0)</f>
        <v>#N/A</v>
      </c>
      <c r="E571" s="328" t="e">
        <f>Tabla18[[#This Row],[Bus_03]]&amp;"_"&amp;Tabla5[[#This Row],[Tipo de Agente
&lt;&lt; Seleccionar&gt;&gt;]]</f>
        <v>#N/A</v>
      </c>
      <c r="F571" s="328" t="e">
        <f>VLOOKUP(Tabla18[[#This Row],[Concat2]],TablaPOA[[#All],[Concat]:[ConcatEspecial]],3,0)</f>
        <v>#N/A</v>
      </c>
      <c r="G571" s="65" t="str">
        <f>CONCATENATE(Registro!$A$6,"_",Tabla5[[#This Row],[Zona (Provincia)
&lt;&lt; Seleccionar&gt;&gt;]])</f>
        <v>Huánuco_</v>
      </c>
      <c r="H571" s="60" t="e">
        <f>VLOOKUP(Tabla18[[#This Row],[Concatenado***]],Tabla2[[#All],[Concatenado]:[Simbología*]],2,0)</f>
        <v>#N/A</v>
      </c>
      <c r="I571" s="65" t="str">
        <f>CONCATENATE(Tabla18[[#This Row],[Concatenado***]],"_",Tabla5[[#This Row],[Zona (Distrito)
&lt;&lt; Seleccionar&gt;&gt;]])</f>
        <v>Huánuco__</v>
      </c>
      <c r="J5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1" s="72" t="e">
        <f>VLOOKUP(Tabla5[[#This Row],[Tipo de Transporte Empleado
&lt;&lt; Seleccionar&gt;&gt;]],Tabla8[#All],2,0)</f>
        <v>#N/A</v>
      </c>
      <c r="L571" s="71" t="e">
        <f>#REF!+(#REF!*2)+#REF!</f>
        <v>#REF!</v>
      </c>
    </row>
    <row r="572" spans="1:12" x14ac:dyDescent="0.25">
      <c r="A572" s="328" t="e">
        <f>VLOOKUP(Tabla5[[#This Row],[Acción
&lt;&lt; Seleccionar&gt;&gt;]],TablaAccion[[#All],[Nombre_Abreviado]:[Codigo_Plan_Acción]],3,0)</f>
        <v>#N/A</v>
      </c>
      <c r="B572" s="328" t="e">
        <f>VLOOKUP(Tabla5[[#This Row],[Acción Especifica
&lt;&lt; Seleccionar&gt;&gt;]],TablaAccionEspecifica[[#All],[Nombre_Abreviado]:[Codigo_Acción]],3,0)</f>
        <v>#N/A</v>
      </c>
      <c r="C572" s="328" t="e">
        <f>CONCATENATE(Tabla18[[#This Row],[Bus_02]],"_",Tabla5[[#This Row],[Sub Acción Específica
&lt;&lt; Seleccionar&gt;&gt;]])</f>
        <v>#N/A</v>
      </c>
      <c r="D572" s="328" t="e">
        <f>VLOOKUP(Tabla18[[#This Row],[Aux_01]],TablaSubAccionEspecifica[[#All],[Concat]:[Cod_Sub_acción_especifica]],2,0)</f>
        <v>#N/A</v>
      </c>
      <c r="E572" s="328" t="e">
        <f>Tabla18[[#This Row],[Bus_03]]&amp;"_"&amp;Tabla5[[#This Row],[Tipo de Agente
&lt;&lt; Seleccionar&gt;&gt;]]</f>
        <v>#N/A</v>
      </c>
      <c r="F572" s="328" t="e">
        <f>VLOOKUP(Tabla18[[#This Row],[Concat2]],TablaPOA[[#All],[Concat]:[ConcatEspecial]],3,0)</f>
        <v>#N/A</v>
      </c>
      <c r="G572" s="65" t="str">
        <f>CONCATENATE(Registro!$A$6,"_",Tabla5[[#This Row],[Zona (Provincia)
&lt;&lt; Seleccionar&gt;&gt;]])</f>
        <v>Huánuco_</v>
      </c>
      <c r="H572" s="60" t="e">
        <f>VLOOKUP(Tabla18[[#This Row],[Concatenado***]],Tabla2[[#All],[Concatenado]:[Simbología*]],2,0)</f>
        <v>#N/A</v>
      </c>
      <c r="I572" s="65" t="str">
        <f>CONCATENATE(Tabla18[[#This Row],[Concatenado***]],"_",Tabla5[[#This Row],[Zona (Distrito)
&lt;&lt; Seleccionar&gt;&gt;]])</f>
        <v>Huánuco__</v>
      </c>
      <c r="J5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2" s="72" t="e">
        <f>VLOOKUP(Tabla5[[#This Row],[Tipo de Transporte Empleado
&lt;&lt; Seleccionar&gt;&gt;]],Tabla8[#All],2,0)</f>
        <v>#N/A</v>
      </c>
      <c r="L572" s="71" t="e">
        <f>#REF!+(#REF!*2)+#REF!</f>
        <v>#REF!</v>
      </c>
    </row>
    <row r="573" spans="1:12" x14ac:dyDescent="0.25">
      <c r="A573" s="328" t="e">
        <f>VLOOKUP(Tabla5[[#This Row],[Acción
&lt;&lt; Seleccionar&gt;&gt;]],TablaAccion[[#All],[Nombre_Abreviado]:[Codigo_Plan_Acción]],3,0)</f>
        <v>#N/A</v>
      </c>
      <c r="B573" s="328" t="e">
        <f>VLOOKUP(Tabla5[[#This Row],[Acción Especifica
&lt;&lt; Seleccionar&gt;&gt;]],TablaAccionEspecifica[[#All],[Nombre_Abreviado]:[Codigo_Acción]],3,0)</f>
        <v>#N/A</v>
      </c>
      <c r="C573" s="328" t="e">
        <f>CONCATENATE(Tabla18[[#This Row],[Bus_02]],"_",Tabla5[[#This Row],[Sub Acción Específica
&lt;&lt; Seleccionar&gt;&gt;]])</f>
        <v>#N/A</v>
      </c>
      <c r="D573" s="328" t="e">
        <f>VLOOKUP(Tabla18[[#This Row],[Aux_01]],TablaSubAccionEspecifica[[#All],[Concat]:[Cod_Sub_acción_especifica]],2,0)</f>
        <v>#N/A</v>
      </c>
      <c r="E573" s="328" t="e">
        <f>Tabla18[[#This Row],[Bus_03]]&amp;"_"&amp;Tabla5[[#This Row],[Tipo de Agente
&lt;&lt; Seleccionar&gt;&gt;]]</f>
        <v>#N/A</v>
      </c>
      <c r="F573" s="328" t="e">
        <f>VLOOKUP(Tabla18[[#This Row],[Concat2]],TablaPOA[[#All],[Concat]:[ConcatEspecial]],3,0)</f>
        <v>#N/A</v>
      </c>
      <c r="G573" s="65" t="str">
        <f>CONCATENATE(Registro!$A$6,"_",Tabla5[[#This Row],[Zona (Provincia)
&lt;&lt; Seleccionar&gt;&gt;]])</f>
        <v>Huánuco_</v>
      </c>
      <c r="H573" s="60" t="e">
        <f>VLOOKUP(Tabla18[[#This Row],[Concatenado***]],Tabla2[[#All],[Concatenado]:[Simbología*]],2,0)</f>
        <v>#N/A</v>
      </c>
      <c r="I573" s="65" t="str">
        <f>CONCATENATE(Tabla18[[#This Row],[Concatenado***]],"_",Tabla5[[#This Row],[Zona (Distrito)
&lt;&lt; Seleccionar&gt;&gt;]])</f>
        <v>Huánuco__</v>
      </c>
      <c r="J5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3" s="72" t="e">
        <f>VLOOKUP(Tabla5[[#This Row],[Tipo de Transporte Empleado
&lt;&lt; Seleccionar&gt;&gt;]],Tabla8[#All],2,0)</f>
        <v>#N/A</v>
      </c>
      <c r="L573" s="71" t="e">
        <f>#REF!+(#REF!*2)+#REF!</f>
        <v>#REF!</v>
      </c>
    </row>
    <row r="574" spans="1:12" x14ac:dyDescent="0.25">
      <c r="A574" s="328" t="e">
        <f>VLOOKUP(Tabla5[[#This Row],[Acción
&lt;&lt; Seleccionar&gt;&gt;]],TablaAccion[[#All],[Nombre_Abreviado]:[Codigo_Plan_Acción]],3,0)</f>
        <v>#N/A</v>
      </c>
      <c r="B574" s="328" t="e">
        <f>VLOOKUP(Tabla5[[#This Row],[Acción Especifica
&lt;&lt; Seleccionar&gt;&gt;]],TablaAccionEspecifica[[#All],[Nombre_Abreviado]:[Codigo_Acción]],3,0)</f>
        <v>#N/A</v>
      </c>
      <c r="C574" s="328" t="e">
        <f>CONCATENATE(Tabla18[[#This Row],[Bus_02]],"_",Tabla5[[#This Row],[Sub Acción Específica
&lt;&lt; Seleccionar&gt;&gt;]])</f>
        <v>#N/A</v>
      </c>
      <c r="D574" s="328" t="e">
        <f>VLOOKUP(Tabla18[[#This Row],[Aux_01]],TablaSubAccionEspecifica[[#All],[Concat]:[Cod_Sub_acción_especifica]],2,0)</f>
        <v>#N/A</v>
      </c>
      <c r="E574" s="328" t="e">
        <f>Tabla18[[#This Row],[Bus_03]]&amp;"_"&amp;Tabla5[[#This Row],[Tipo de Agente
&lt;&lt; Seleccionar&gt;&gt;]]</f>
        <v>#N/A</v>
      </c>
      <c r="F574" s="328" t="e">
        <f>VLOOKUP(Tabla18[[#This Row],[Concat2]],TablaPOA[[#All],[Concat]:[ConcatEspecial]],3,0)</f>
        <v>#N/A</v>
      </c>
      <c r="G574" s="65" t="str">
        <f>CONCATENATE(Registro!$A$6,"_",Tabla5[[#This Row],[Zona (Provincia)
&lt;&lt; Seleccionar&gt;&gt;]])</f>
        <v>Huánuco_</v>
      </c>
      <c r="H574" s="60" t="e">
        <f>VLOOKUP(Tabla18[[#This Row],[Concatenado***]],Tabla2[[#All],[Concatenado]:[Simbología*]],2,0)</f>
        <v>#N/A</v>
      </c>
      <c r="I574" s="65" t="str">
        <f>CONCATENATE(Tabla18[[#This Row],[Concatenado***]],"_",Tabla5[[#This Row],[Zona (Distrito)
&lt;&lt; Seleccionar&gt;&gt;]])</f>
        <v>Huánuco__</v>
      </c>
      <c r="J5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4" s="72" t="e">
        <f>VLOOKUP(Tabla5[[#This Row],[Tipo de Transporte Empleado
&lt;&lt; Seleccionar&gt;&gt;]],Tabla8[#All],2,0)</f>
        <v>#N/A</v>
      </c>
      <c r="L574" s="71" t="e">
        <f>#REF!+(#REF!*2)+#REF!</f>
        <v>#REF!</v>
      </c>
    </row>
    <row r="575" spans="1:12" x14ac:dyDescent="0.25">
      <c r="A575" s="328" t="e">
        <f>VLOOKUP(Tabla5[[#This Row],[Acción
&lt;&lt; Seleccionar&gt;&gt;]],TablaAccion[[#All],[Nombre_Abreviado]:[Codigo_Plan_Acción]],3,0)</f>
        <v>#N/A</v>
      </c>
      <c r="B575" s="328" t="e">
        <f>VLOOKUP(Tabla5[[#This Row],[Acción Especifica
&lt;&lt; Seleccionar&gt;&gt;]],TablaAccionEspecifica[[#All],[Nombre_Abreviado]:[Codigo_Acción]],3,0)</f>
        <v>#N/A</v>
      </c>
      <c r="C575" s="328" t="e">
        <f>CONCATENATE(Tabla18[[#This Row],[Bus_02]],"_",Tabla5[[#This Row],[Sub Acción Específica
&lt;&lt; Seleccionar&gt;&gt;]])</f>
        <v>#N/A</v>
      </c>
      <c r="D575" s="328" t="e">
        <f>VLOOKUP(Tabla18[[#This Row],[Aux_01]],TablaSubAccionEspecifica[[#All],[Concat]:[Cod_Sub_acción_especifica]],2,0)</f>
        <v>#N/A</v>
      </c>
      <c r="E575" s="328" t="e">
        <f>Tabla18[[#This Row],[Bus_03]]&amp;"_"&amp;Tabla5[[#This Row],[Tipo de Agente
&lt;&lt; Seleccionar&gt;&gt;]]</f>
        <v>#N/A</v>
      </c>
      <c r="F575" s="328" t="e">
        <f>VLOOKUP(Tabla18[[#This Row],[Concat2]],TablaPOA[[#All],[Concat]:[ConcatEspecial]],3,0)</f>
        <v>#N/A</v>
      </c>
      <c r="G575" s="65" t="str">
        <f>CONCATENATE(Registro!$A$6,"_",Tabla5[[#This Row],[Zona (Provincia)
&lt;&lt; Seleccionar&gt;&gt;]])</f>
        <v>Huánuco_</v>
      </c>
      <c r="H575" s="60" t="e">
        <f>VLOOKUP(Tabla18[[#This Row],[Concatenado***]],Tabla2[[#All],[Concatenado]:[Simbología*]],2,0)</f>
        <v>#N/A</v>
      </c>
      <c r="I575" s="65" t="str">
        <f>CONCATENATE(Tabla18[[#This Row],[Concatenado***]],"_",Tabla5[[#This Row],[Zona (Distrito)
&lt;&lt; Seleccionar&gt;&gt;]])</f>
        <v>Huánuco__</v>
      </c>
      <c r="J5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5" s="72" t="e">
        <f>VLOOKUP(Tabla5[[#This Row],[Tipo de Transporte Empleado
&lt;&lt; Seleccionar&gt;&gt;]],Tabla8[#All],2,0)</f>
        <v>#N/A</v>
      </c>
      <c r="L575" s="71" t="e">
        <f>#REF!+(#REF!*2)+#REF!</f>
        <v>#REF!</v>
      </c>
    </row>
    <row r="576" spans="1:12" x14ac:dyDescent="0.25">
      <c r="A576" s="328" t="e">
        <f>VLOOKUP(Tabla5[[#This Row],[Acción
&lt;&lt; Seleccionar&gt;&gt;]],TablaAccion[[#All],[Nombre_Abreviado]:[Codigo_Plan_Acción]],3,0)</f>
        <v>#N/A</v>
      </c>
      <c r="B576" s="328" t="e">
        <f>VLOOKUP(Tabla5[[#This Row],[Acción Especifica
&lt;&lt; Seleccionar&gt;&gt;]],TablaAccionEspecifica[[#All],[Nombre_Abreviado]:[Codigo_Acción]],3,0)</f>
        <v>#N/A</v>
      </c>
      <c r="C576" s="328" t="e">
        <f>CONCATENATE(Tabla18[[#This Row],[Bus_02]],"_",Tabla5[[#This Row],[Sub Acción Específica
&lt;&lt; Seleccionar&gt;&gt;]])</f>
        <v>#N/A</v>
      </c>
      <c r="D576" s="328" t="e">
        <f>VLOOKUP(Tabla18[[#This Row],[Aux_01]],TablaSubAccionEspecifica[[#All],[Concat]:[Cod_Sub_acción_especifica]],2,0)</f>
        <v>#N/A</v>
      </c>
      <c r="E576" s="328" t="e">
        <f>Tabla18[[#This Row],[Bus_03]]&amp;"_"&amp;Tabla5[[#This Row],[Tipo de Agente
&lt;&lt; Seleccionar&gt;&gt;]]</f>
        <v>#N/A</v>
      </c>
      <c r="F576" s="328" t="e">
        <f>VLOOKUP(Tabla18[[#This Row],[Concat2]],TablaPOA[[#All],[Concat]:[ConcatEspecial]],3,0)</f>
        <v>#N/A</v>
      </c>
      <c r="G576" s="65" t="str">
        <f>CONCATENATE(Registro!$A$6,"_",Tabla5[[#This Row],[Zona (Provincia)
&lt;&lt; Seleccionar&gt;&gt;]])</f>
        <v>Huánuco_</v>
      </c>
      <c r="H576" s="60" t="e">
        <f>VLOOKUP(Tabla18[[#This Row],[Concatenado***]],Tabla2[[#All],[Concatenado]:[Simbología*]],2,0)</f>
        <v>#N/A</v>
      </c>
      <c r="I576" s="65" t="str">
        <f>CONCATENATE(Tabla18[[#This Row],[Concatenado***]],"_",Tabla5[[#This Row],[Zona (Distrito)
&lt;&lt; Seleccionar&gt;&gt;]])</f>
        <v>Huánuco__</v>
      </c>
      <c r="J5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6" s="72" t="e">
        <f>VLOOKUP(Tabla5[[#This Row],[Tipo de Transporte Empleado
&lt;&lt; Seleccionar&gt;&gt;]],Tabla8[#All],2,0)</f>
        <v>#N/A</v>
      </c>
      <c r="L576" s="71" t="e">
        <f>#REF!+(#REF!*2)+#REF!</f>
        <v>#REF!</v>
      </c>
    </row>
    <row r="577" spans="1:12" x14ac:dyDescent="0.25">
      <c r="A577" s="328" t="e">
        <f>VLOOKUP(Tabla5[[#This Row],[Acción
&lt;&lt; Seleccionar&gt;&gt;]],TablaAccion[[#All],[Nombre_Abreviado]:[Codigo_Plan_Acción]],3,0)</f>
        <v>#N/A</v>
      </c>
      <c r="B577" s="328" t="e">
        <f>VLOOKUP(Tabla5[[#This Row],[Acción Especifica
&lt;&lt; Seleccionar&gt;&gt;]],TablaAccionEspecifica[[#All],[Nombre_Abreviado]:[Codigo_Acción]],3,0)</f>
        <v>#N/A</v>
      </c>
      <c r="C577" s="328" t="e">
        <f>CONCATENATE(Tabla18[[#This Row],[Bus_02]],"_",Tabla5[[#This Row],[Sub Acción Específica
&lt;&lt; Seleccionar&gt;&gt;]])</f>
        <v>#N/A</v>
      </c>
      <c r="D577" s="328" t="e">
        <f>VLOOKUP(Tabla18[[#This Row],[Aux_01]],TablaSubAccionEspecifica[[#All],[Concat]:[Cod_Sub_acción_especifica]],2,0)</f>
        <v>#N/A</v>
      </c>
      <c r="E577" s="328" t="e">
        <f>Tabla18[[#This Row],[Bus_03]]&amp;"_"&amp;Tabla5[[#This Row],[Tipo de Agente
&lt;&lt; Seleccionar&gt;&gt;]]</f>
        <v>#N/A</v>
      </c>
      <c r="F577" s="328" t="e">
        <f>VLOOKUP(Tabla18[[#This Row],[Concat2]],TablaPOA[[#All],[Concat]:[ConcatEspecial]],3,0)</f>
        <v>#N/A</v>
      </c>
      <c r="G577" s="65" t="str">
        <f>CONCATENATE(Registro!$A$6,"_",Tabla5[[#This Row],[Zona (Provincia)
&lt;&lt; Seleccionar&gt;&gt;]])</f>
        <v>Huánuco_</v>
      </c>
      <c r="H577" s="60" t="e">
        <f>VLOOKUP(Tabla18[[#This Row],[Concatenado***]],Tabla2[[#All],[Concatenado]:[Simbología*]],2,0)</f>
        <v>#N/A</v>
      </c>
      <c r="I577" s="65" t="str">
        <f>CONCATENATE(Tabla18[[#This Row],[Concatenado***]],"_",Tabla5[[#This Row],[Zona (Distrito)
&lt;&lt; Seleccionar&gt;&gt;]])</f>
        <v>Huánuco__</v>
      </c>
      <c r="J5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7" s="72" t="e">
        <f>VLOOKUP(Tabla5[[#This Row],[Tipo de Transporte Empleado
&lt;&lt; Seleccionar&gt;&gt;]],Tabla8[#All],2,0)</f>
        <v>#N/A</v>
      </c>
      <c r="L577" s="71" t="e">
        <f>#REF!+(#REF!*2)+#REF!</f>
        <v>#REF!</v>
      </c>
    </row>
    <row r="578" spans="1:12" x14ac:dyDescent="0.25">
      <c r="A578" s="328" t="e">
        <f>VLOOKUP(Tabla5[[#This Row],[Acción
&lt;&lt; Seleccionar&gt;&gt;]],TablaAccion[[#All],[Nombre_Abreviado]:[Codigo_Plan_Acción]],3,0)</f>
        <v>#N/A</v>
      </c>
      <c r="B578" s="328" t="e">
        <f>VLOOKUP(Tabla5[[#This Row],[Acción Especifica
&lt;&lt; Seleccionar&gt;&gt;]],TablaAccionEspecifica[[#All],[Nombre_Abreviado]:[Codigo_Acción]],3,0)</f>
        <v>#N/A</v>
      </c>
      <c r="C578" s="328" t="e">
        <f>CONCATENATE(Tabla18[[#This Row],[Bus_02]],"_",Tabla5[[#This Row],[Sub Acción Específica
&lt;&lt; Seleccionar&gt;&gt;]])</f>
        <v>#N/A</v>
      </c>
      <c r="D578" s="328" t="e">
        <f>VLOOKUP(Tabla18[[#This Row],[Aux_01]],TablaSubAccionEspecifica[[#All],[Concat]:[Cod_Sub_acción_especifica]],2,0)</f>
        <v>#N/A</v>
      </c>
      <c r="E578" s="328" t="e">
        <f>Tabla18[[#This Row],[Bus_03]]&amp;"_"&amp;Tabla5[[#This Row],[Tipo de Agente
&lt;&lt; Seleccionar&gt;&gt;]]</f>
        <v>#N/A</v>
      </c>
      <c r="F578" s="328" t="e">
        <f>VLOOKUP(Tabla18[[#This Row],[Concat2]],TablaPOA[[#All],[Concat]:[ConcatEspecial]],3,0)</f>
        <v>#N/A</v>
      </c>
      <c r="G578" s="65" t="str">
        <f>CONCATENATE(Registro!$A$6,"_",Tabla5[[#This Row],[Zona (Provincia)
&lt;&lt; Seleccionar&gt;&gt;]])</f>
        <v>Huánuco_</v>
      </c>
      <c r="H578" s="60" t="e">
        <f>VLOOKUP(Tabla18[[#This Row],[Concatenado***]],Tabla2[[#All],[Concatenado]:[Simbología*]],2,0)</f>
        <v>#N/A</v>
      </c>
      <c r="I578" s="65" t="str">
        <f>CONCATENATE(Tabla18[[#This Row],[Concatenado***]],"_",Tabla5[[#This Row],[Zona (Distrito)
&lt;&lt; Seleccionar&gt;&gt;]])</f>
        <v>Huánuco__</v>
      </c>
      <c r="J5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8" s="72" t="e">
        <f>VLOOKUP(Tabla5[[#This Row],[Tipo de Transporte Empleado
&lt;&lt; Seleccionar&gt;&gt;]],Tabla8[#All],2,0)</f>
        <v>#N/A</v>
      </c>
      <c r="L578" s="71" t="e">
        <f>#REF!+(#REF!*2)+#REF!</f>
        <v>#REF!</v>
      </c>
    </row>
    <row r="579" spans="1:12" x14ac:dyDescent="0.25">
      <c r="A579" s="328" t="e">
        <f>VLOOKUP(Tabla5[[#This Row],[Acción
&lt;&lt; Seleccionar&gt;&gt;]],TablaAccion[[#All],[Nombre_Abreviado]:[Codigo_Plan_Acción]],3,0)</f>
        <v>#N/A</v>
      </c>
      <c r="B579" s="328" t="e">
        <f>VLOOKUP(Tabla5[[#This Row],[Acción Especifica
&lt;&lt; Seleccionar&gt;&gt;]],TablaAccionEspecifica[[#All],[Nombre_Abreviado]:[Codigo_Acción]],3,0)</f>
        <v>#N/A</v>
      </c>
      <c r="C579" s="328" t="e">
        <f>CONCATENATE(Tabla18[[#This Row],[Bus_02]],"_",Tabla5[[#This Row],[Sub Acción Específica
&lt;&lt; Seleccionar&gt;&gt;]])</f>
        <v>#N/A</v>
      </c>
      <c r="D579" s="328" t="e">
        <f>VLOOKUP(Tabla18[[#This Row],[Aux_01]],TablaSubAccionEspecifica[[#All],[Concat]:[Cod_Sub_acción_especifica]],2,0)</f>
        <v>#N/A</v>
      </c>
      <c r="E579" s="328" t="e">
        <f>Tabla18[[#This Row],[Bus_03]]&amp;"_"&amp;Tabla5[[#This Row],[Tipo de Agente
&lt;&lt; Seleccionar&gt;&gt;]]</f>
        <v>#N/A</v>
      </c>
      <c r="F579" s="328" t="e">
        <f>VLOOKUP(Tabla18[[#This Row],[Concat2]],TablaPOA[[#All],[Concat]:[ConcatEspecial]],3,0)</f>
        <v>#N/A</v>
      </c>
      <c r="G579" s="65" t="str">
        <f>CONCATENATE(Registro!$A$6,"_",Tabla5[[#This Row],[Zona (Provincia)
&lt;&lt; Seleccionar&gt;&gt;]])</f>
        <v>Huánuco_</v>
      </c>
      <c r="H579" s="60" t="e">
        <f>VLOOKUP(Tabla18[[#This Row],[Concatenado***]],Tabla2[[#All],[Concatenado]:[Simbología*]],2,0)</f>
        <v>#N/A</v>
      </c>
      <c r="I579" s="65" t="str">
        <f>CONCATENATE(Tabla18[[#This Row],[Concatenado***]],"_",Tabla5[[#This Row],[Zona (Distrito)
&lt;&lt; Seleccionar&gt;&gt;]])</f>
        <v>Huánuco__</v>
      </c>
      <c r="J5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9" s="72" t="e">
        <f>VLOOKUP(Tabla5[[#This Row],[Tipo de Transporte Empleado
&lt;&lt; Seleccionar&gt;&gt;]],Tabla8[#All],2,0)</f>
        <v>#N/A</v>
      </c>
      <c r="L579" s="71" t="e">
        <f>#REF!+(#REF!*2)+#REF!</f>
        <v>#REF!</v>
      </c>
    </row>
    <row r="580" spans="1:12" x14ac:dyDescent="0.25">
      <c r="A580" s="328" t="e">
        <f>VLOOKUP(Tabla5[[#This Row],[Acción
&lt;&lt; Seleccionar&gt;&gt;]],TablaAccion[[#All],[Nombre_Abreviado]:[Codigo_Plan_Acción]],3,0)</f>
        <v>#N/A</v>
      </c>
      <c r="B580" s="328" t="e">
        <f>VLOOKUP(Tabla5[[#This Row],[Acción Especifica
&lt;&lt; Seleccionar&gt;&gt;]],TablaAccionEspecifica[[#All],[Nombre_Abreviado]:[Codigo_Acción]],3,0)</f>
        <v>#N/A</v>
      </c>
      <c r="C580" s="328" t="e">
        <f>CONCATENATE(Tabla18[[#This Row],[Bus_02]],"_",Tabla5[[#This Row],[Sub Acción Específica
&lt;&lt; Seleccionar&gt;&gt;]])</f>
        <v>#N/A</v>
      </c>
      <c r="D580" s="328" t="e">
        <f>VLOOKUP(Tabla18[[#This Row],[Aux_01]],TablaSubAccionEspecifica[[#All],[Concat]:[Cod_Sub_acción_especifica]],2,0)</f>
        <v>#N/A</v>
      </c>
      <c r="E580" s="328" t="e">
        <f>Tabla18[[#This Row],[Bus_03]]&amp;"_"&amp;Tabla5[[#This Row],[Tipo de Agente
&lt;&lt; Seleccionar&gt;&gt;]]</f>
        <v>#N/A</v>
      </c>
      <c r="F580" s="328" t="e">
        <f>VLOOKUP(Tabla18[[#This Row],[Concat2]],TablaPOA[[#All],[Concat]:[ConcatEspecial]],3,0)</f>
        <v>#N/A</v>
      </c>
      <c r="G580" s="65" t="str">
        <f>CONCATENATE(Registro!$A$6,"_",Tabla5[[#This Row],[Zona (Provincia)
&lt;&lt; Seleccionar&gt;&gt;]])</f>
        <v>Huánuco_</v>
      </c>
      <c r="H580" s="60" t="e">
        <f>VLOOKUP(Tabla18[[#This Row],[Concatenado***]],Tabla2[[#All],[Concatenado]:[Simbología*]],2,0)</f>
        <v>#N/A</v>
      </c>
      <c r="I580" s="65" t="str">
        <f>CONCATENATE(Tabla18[[#This Row],[Concatenado***]],"_",Tabla5[[#This Row],[Zona (Distrito)
&lt;&lt; Seleccionar&gt;&gt;]])</f>
        <v>Huánuco__</v>
      </c>
      <c r="J5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0" s="72" t="e">
        <f>VLOOKUP(Tabla5[[#This Row],[Tipo de Transporte Empleado
&lt;&lt; Seleccionar&gt;&gt;]],Tabla8[#All],2,0)</f>
        <v>#N/A</v>
      </c>
      <c r="L580" s="71" t="e">
        <f>#REF!+(#REF!*2)+#REF!</f>
        <v>#REF!</v>
      </c>
    </row>
    <row r="581" spans="1:12" x14ac:dyDescent="0.25">
      <c r="A581" s="328" t="e">
        <f>VLOOKUP(Tabla5[[#This Row],[Acción
&lt;&lt; Seleccionar&gt;&gt;]],TablaAccion[[#All],[Nombre_Abreviado]:[Codigo_Plan_Acción]],3,0)</f>
        <v>#N/A</v>
      </c>
      <c r="B581" s="328" t="e">
        <f>VLOOKUP(Tabla5[[#This Row],[Acción Especifica
&lt;&lt; Seleccionar&gt;&gt;]],TablaAccionEspecifica[[#All],[Nombre_Abreviado]:[Codigo_Acción]],3,0)</f>
        <v>#N/A</v>
      </c>
      <c r="C581" s="328" t="e">
        <f>CONCATENATE(Tabla18[[#This Row],[Bus_02]],"_",Tabla5[[#This Row],[Sub Acción Específica
&lt;&lt; Seleccionar&gt;&gt;]])</f>
        <v>#N/A</v>
      </c>
      <c r="D581" s="328" t="e">
        <f>VLOOKUP(Tabla18[[#This Row],[Aux_01]],TablaSubAccionEspecifica[[#All],[Concat]:[Cod_Sub_acción_especifica]],2,0)</f>
        <v>#N/A</v>
      </c>
      <c r="E581" s="328" t="e">
        <f>Tabla18[[#This Row],[Bus_03]]&amp;"_"&amp;Tabla5[[#This Row],[Tipo de Agente
&lt;&lt; Seleccionar&gt;&gt;]]</f>
        <v>#N/A</v>
      </c>
      <c r="F581" s="328" t="e">
        <f>VLOOKUP(Tabla18[[#This Row],[Concat2]],TablaPOA[[#All],[Concat]:[ConcatEspecial]],3,0)</f>
        <v>#N/A</v>
      </c>
      <c r="G581" s="65" t="str">
        <f>CONCATENATE(Registro!$A$6,"_",Tabla5[[#This Row],[Zona (Provincia)
&lt;&lt; Seleccionar&gt;&gt;]])</f>
        <v>Huánuco_</v>
      </c>
      <c r="H581" s="60" t="e">
        <f>VLOOKUP(Tabla18[[#This Row],[Concatenado***]],Tabla2[[#All],[Concatenado]:[Simbología*]],2,0)</f>
        <v>#N/A</v>
      </c>
      <c r="I581" s="65" t="str">
        <f>CONCATENATE(Tabla18[[#This Row],[Concatenado***]],"_",Tabla5[[#This Row],[Zona (Distrito)
&lt;&lt; Seleccionar&gt;&gt;]])</f>
        <v>Huánuco__</v>
      </c>
      <c r="J5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1" s="72" t="e">
        <f>VLOOKUP(Tabla5[[#This Row],[Tipo de Transporte Empleado
&lt;&lt; Seleccionar&gt;&gt;]],Tabla8[#All],2,0)</f>
        <v>#N/A</v>
      </c>
      <c r="L581" s="71" t="e">
        <f>#REF!+(#REF!*2)+#REF!</f>
        <v>#REF!</v>
      </c>
    </row>
    <row r="582" spans="1:12" x14ac:dyDescent="0.25">
      <c r="A582" s="328" t="e">
        <f>VLOOKUP(Tabla5[[#This Row],[Acción
&lt;&lt; Seleccionar&gt;&gt;]],TablaAccion[[#All],[Nombre_Abreviado]:[Codigo_Plan_Acción]],3,0)</f>
        <v>#N/A</v>
      </c>
      <c r="B582" s="328" t="e">
        <f>VLOOKUP(Tabla5[[#This Row],[Acción Especifica
&lt;&lt; Seleccionar&gt;&gt;]],TablaAccionEspecifica[[#All],[Nombre_Abreviado]:[Codigo_Acción]],3,0)</f>
        <v>#N/A</v>
      </c>
      <c r="C582" s="328" t="e">
        <f>CONCATENATE(Tabla18[[#This Row],[Bus_02]],"_",Tabla5[[#This Row],[Sub Acción Específica
&lt;&lt; Seleccionar&gt;&gt;]])</f>
        <v>#N/A</v>
      </c>
      <c r="D582" s="328" t="e">
        <f>VLOOKUP(Tabla18[[#This Row],[Aux_01]],TablaSubAccionEspecifica[[#All],[Concat]:[Cod_Sub_acción_especifica]],2,0)</f>
        <v>#N/A</v>
      </c>
      <c r="E582" s="328" t="e">
        <f>Tabla18[[#This Row],[Bus_03]]&amp;"_"&amp;Tabla5[[#This Row],[Tipo de Agente
&lt;&lt; Seleccionar&gt;&gt;]]</f>
        <v>#N/A</v>
      </c>
      <c r="F582" s="328" t="e">
        <f>VLOOKUP(Tabla18[[#This Row],[Concat2]],TablaPOA[[#All],[Concat]:[ConcatEspecial]],3,0)</f>
        <v>#N/A</v>
      </c>
      <c r="G582" s="65" t="str">
        <f>CONCATENATE(Registro!$A$6,"_",Tabla5[[#This Row],[Zona (Provincia)
&lt;&lt; Seleccionar&gt;&gt;]])</f>
        <v>Huánuco_</v>
      </c>
      <c r="H582" s="60" t="e">
        <f>VLOOKUP(Tabla18[[#This Row],[Concatenado***]],Tabla2[[#All],[Concatenado]:[Simbología*]],2,0)</f>
        <v>#N/A</v>
      </c>
      <c r="I582" s="65" t="str">
        <f>CONCATENATE(Tabla18[[#This Row],[Concatenado***]],"_",Tabla5[[#This Row],[Zona (Distrito)
&lt;&lt; Seleccionar&gt;&gt;]])</f>
        <v>Huánuco__</v>
      </c>
      <c r="J5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2" s="72" t="e">
        <f>VLOOKUP(Tabla5[[#This Row],[Tipo de Transporte Empleado
&lt;&lt; Seleccionar&gt;&gt;]],Tabla8[#All],2,0)</f>
        <v>#N/A</v>
      </c>
      <c r="L582" s="71" t="e">
        <f>#REF!+(#REF!*2)+#REF!</f>
        <v>#REF!</v>
      </c>
    </row>
    <row r="583" spans="1:12" x14ac:dyDescent="0.25">
      <c r="A583" s="328" t="e">
        <f>VLOOKUP(Tabla5[[#This Row],[Acción
&lt;&lt; Seleccionar&gt;&gt;]],TablaAccion[[#All],[Nombre_Abreviado]:[Codigo_Plan_Acción]],3,0)</f>
        <v>#N/A</v>
      </c>
      <c r="B583" s="328" t="e">
        <f>VLOOKUP(Tabla5[[#This Row],[Acción Especifica
&lt;&lt; Seleccionar&gt;&gt;]],TablaAccionEspecifica[[#All],[Nombre_Abreviado]:[Codigo_Acción]],3,0)</f>
        <v>#N/A</v>
      </c>
      <c r="C583" s="328" t="e">
        <f>CONCATENATE(Tabla18[[#This Row],[Bus_02]],"_",Tabla5[[#This Row],[Sub Acción Específica
&lt;&lt; Seleccionar&gt;&gt;]])</f>
        <v>#N/A</v>
      </c>
      <c r="D583" s="328" t="e">
        <f>VLOOKUP(Tabla18[[#This Row],[Aux_01]],TablaSubAccionEspecifica[[#All],[Concat]:[Cod_Sub_acción_especifica]],2,0)</f>
        <v>#N/A</v>
      </c>
      <c r="E583" s="328" t="e">
        <f>Tabla18[[#This Row],[Bus_03]]&amp;"_"&amp;Tabla5[[#This Row],[Tipo de Agente
&lt;&lt; Seleccionar&gt;&gt;]]</f>
        <v>#N/A</v>
      </c>
      <c r="F583" s="328" t="e">
        <f>VLOOKUP(Tabla18[[#This Row],[Concat2]],TablaPOA[[#All],[Concat]:[ConcatEspecial]],3,0)</f>
        <v>#N/A</v>
      </c>
      <c r="G583" s="65" t="str">
        <f>CONCATENATE(Registro!$A$6,"_",Tabla5[[#This Row],[Zona (Provincia)
&lt;&lt; Seleccionar&gt;&gt;]])</f>
        <v>Huánuco_</v>
      </c>
      <c r="H583" s="60" t="e">
        <f>VLOOKUP(Tabla18[[#This Row],[Concatenado***]],Tabla2[[#All],[Concatenado]:[Simbología*]],2,0)</f>
        <v>#N/A</v>
      </c>
      <c r="I583" s="65" t="str">
        <f>CONCATENATE(Tabla18[[#This Row],[Concatenado***]],"_",Tabla5[[#This Row],[Zona (Distrito)
&lt;&lt; Seleccionar&gt;&gt;]])</f>
        <v>Huánuco__</v>
      </c>
      <c r="J5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3" s="72" t="e">
        <f>VLOOKUP(Tabla5[[#This Row],[Tipo de Transporte Empleado
&lt;&lt; Seleccionar&gt;&gt;]],Tabla8[#All],2,0)</f>
        <v>#N/A</v>
      </c>
      <c r="L583" s="71" t="e">
        <f>#REF!+(#REF!*2)+#REF!</f>
        <v>#REF!</v>
      </c>
    </row>
    <row r="584" spans="1:12" x14ac:dyDescent="0.25">
      <c r="A584" s="328" t="e">
        <f>VLOOKUP(Tabla5[[#This Row],[Acción
&lt;&lt; Seleccionar&gt;&gt;]],TablaAccion[[#All],[Nombre_Abreviado]:[Codigo_Plan_Acción]],3,0)</f>
        <v>#N/A</v>
      </c>
      <c r="B584" s="328" t="e">
        <f>VLOOKUP(Tabla5[[#This Row],[Acción Especifica
&lt;&lt; Seleccionar&gt;&gt;]],TablaAccionEspecifica[[#All],[Nombre_Abreviado]:[Codigo_Acción]],3,0)</f>
        <v>#N/A</v>
      </c>
      <c r="C584" s="328" t="e">
        <f>CONCATENATE(Tabla18[[#This Row],[Bus_02]],"_",Tabla5[[#This Row],[Sub Acción Específica
&lt;&lt; Seleccionar&gt;&gt;]])</f>
        <v>#N/A</v>
      </c>
      <c r="D584" s="328" t="e">
        <f>VLOOKUP(Tabla18[[#This Row],[Aux_01]],TablaSubAccionEspecifica[[#All],[Concat]:[Cod_Sub_acción_especifica]],2,0)</f>
        <v>#N/A</v>
      </c>
      <c r="E584" s="328" t="e">
        <f>Tabla18[[#This Row],[Bus_03]]&amp;"_"&amp;Tabla5[[#This Row],[Tipo de Agente
&lt;&lt; Seleccionar&gt;&gt;]]</f>
        <v>#N/A</v>
      </c>
      <c r="F584" s="328" t="e">
        <f>VLOOKUP(Tabla18[[#This Row],[Concat2]],TablaPOA[[#All],[Concat]:[ConcatEspecial]],3,0)</f>
        <v>#N/A</v>
      </c>
      <c r="G584" s="65" t="str">
        <f>CONCATENATE(Registro!$A$6,"_",Tabla5[[#This Row],[Zona (Provincia)
&lt;&lt; Seleccionar&gt;&gt;]])</f>
        <v>Huánuco_</v>
      </c>
      <c r="H584" s="60" t="e">
        <f>VLOOKUP(Tabla18[[#This Row],[Concatenado***]],Tabla2[[#All],[Concatenado]:[Simbología*]],2,0)</f>
        <v>#N/A</v>
      </c>
      <c r="I584" s="65" t="str">
        <f>CONCATENATE(Tabla18[[#This Row],[Concatenado***]],"_",Tabla5[[#This Row],[Zona (Distrito)
&lt;&lt; Seleccionar&gt;&gt;]])</f>
        <v>Huánuco__</v>
      </c>
      <c r="J5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4" s="72" t="e">
        <f>VLOOKUP(Tabla5[[#This Row],[Tipo de Transporte Empleado
&lt;&lt; Seleccionar&gt;&gt;]],Tabla8[#All],2,0)</f>
        <v>#N/A</v>
      </c>
      <c r="L584" s="71" t="e">
        <f>#REF!+(#REF!*2)+#REF!</f>
        <v>#REF!</v>
      </c>
    </row>
    <row r="585" spans="1:12" x14ac:dyDescent="0.25">
      <c r="A585" s="328" t="e">
        <f>VLOOKUP(Tabla5[[#This Row],[Acción
&lt;&lt; Seleccionar&gt;&gt;]],TablaAccion[[#All],[Nombre_Abreviado]:[Codigo_Plan_Acción]],3,0)</f>
        <v>#N/A</v>
      </c>
      <c r="B585" s="328" t="e">
        <f>VLOOKUP(Tabla5[[#This Row],[Acción Especifica
&lt;&lt; Seleccionar&gt;&gt;]],TablaAccionEspecifica[[#All],[Nombre_Abreviado]:[Codigo_Acción]],3,0)</f>
        <v>#N/A</v>
      </c>
      <c r="C585" s="328" t="e">
        <f>CONCATENATE(Tabla18[[#This Row],[Bus_02]],"_",Tabla5[[#This Row],[Sub Acción Específica
&lt;&lt; Seleccionar&gt;&gt;]])</f>
        <v>#N/A</v>
      </c>
      <c r="D585" s="328" t="e">
        <f>VLOOKUP(Tabla18[[#This Row],[Aux_01]],TablaSubAccionEspecifica[[#All],[Concat]:[Cod_Sub_acción_especifica]],2,0)</f>
        <v>#N/A</v>
      </c>
      <c r="E585" s="328" t="e">
        <f>Tabla18[[#This Row],[Bus_03]]&amp;"_"&amp;Tabla5[[#This Row],[Tipo de Agente
&lt;&lt; Seleccionar&gt;&gt;]]</f>
        <v>#N/A</v>
      </c>
      <c r="F585" s="328" t="e">
        <f>VLOOKUP(Tabla18[[#This Row],[Concat2]],TablaPOA[[#All],[Concat]:[ConcatEspecial]],3,0)</f>
        <v>#N/A</v>
      </c>
      <c r="G585" s="65" t="str">
        <f>CONCATENATE(Registro!$A$6,"_",Tabla5[[#This Row],[Zona (Provincia)
&lt;&lt; Seleccionar&gt;&gt;]])</f>
        <v>Huánuco_</v>
      </c>
      <c r="H585" s="60" t="e">
        <f>VLOOKUP(Tabla18[[#This Row],[Concatenado***]],Tabla2[[#All],[Concatenado]:[Simbología*]],2,0)</f>
        <v>#N/A</v>
      </c>
      <c r="I585" s="65" t="str">
        <f>CONCATENATE(Tabla18[[#This Row],[Concatenado***]],"_",Tabla5[[#This Row],[Zona (Distrito)
&lt;&lt; Seleccionar&gt;&gt;]])</f>
        <v>Huánuco__</v>
      </c>
      <c r="J5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5" s="72" t="e">
        <f>VLOOKUP(Tabla5[[#This Row],[Tipo de Transporte Empleado
&lt;&lt; Seleccionar&gt;&gt;]],Tabla8[#All],2,0)</f>
        <v>#N/A</v>
      </c>
      <c r="L585" s="71" t="e">
        <f>#REF!+(#REF!*2)+#REF!</f>
        <v>#REF!</v>
      </c>
    </row>
    <row r="586" spans="1:12" x14ac:dyDescent="0.25">
      <c r="A586" s="328" t="e">
        <f>VLOOKUP(Tabla5[[#This Row],[Acción
&lt;&lt; Seleccionar&gt;&gt;]],TablaAccion[[#All],[Nombre_Abreviado]:[Codigo_Plan_Acción]],3,0)</f>
        <v>#N/A</v>
      </c>
      <c r="B586" s="328" t="e">
        <f>VLOOKUP(Tabla5[[#This Row],[Acción Especifica
&lt;&lt; Seleccionar&gt;&gt;]],TablaAccionEspecifica[[#All],[Nombre_Abreviado]:[Codigo_Acción]],3,0)</f>
        <v>#N/A</v>
      </c>
      <c r="C586" s="328" t="e">
        <f>CONCATENATE(Tabla18[[#This Row],[Bus_02]],"_",Tabla5[[#This Row],[Sub Acción Específica
&lt;&lt; Seleccionar&gt;&gt;]])</f>
        <v>#N/A</v>
      </c>
      <c r="D586" s="328" t="e">
        <f>VLOOKUP(Tabla18[[#This Row],[Aux_01]],TablaSubAccionEspecifica[[#All],[Concat]:[Cod_Sub_acción_especifica]],2,0)</f>
        <v>#N/A</v>
      </c>
      <c r="E586" s="328" t="e">
        <f>Tabla18[[#This Row],[Bus_03]]&amp;"_"&amp;Tabla5[[#This Row],[Tipo de Agente
&lt;&lt; Seleccionar&gt;&gt;]]</f>
        <v>#N/A</v>
      </c>
      <c r="F586" s="328" t="e">
        <f>VLOOKUP(Tabla18[[#This Row],[Concat2]],TablaPOA[[#All],[Concat]:[ConcatEspecial]],3,0)</f>
        <v>#N/A</v>
      </c>
      <c r="G586" s="65" t="str">
        <f>CONCATENATE(Registro!$A$6,"_",Tabla5[[#This Row],[Zona (Provincia)
&lt;&lt; Seleccionar&gt;&gt;]])</f>
        <v>Huánuco_</v>
      </c>
      <c r="H586" s="60" t="e">
        <f>VLOOKUP(Tabla18[[#This Row],[Concatenado***]],Tabla2[[#All],[Concatenado]:[Simbología*]],2,0)</f>
        <v>#N/A</v>
      </c>
      <c r="I586" s="65" t="str">
        <f>CONCATENATE(Tabla18[[#This Row],[Concatenado***]],"_",Tabla5[[#This Row],[Zona (Distrito)
&lt;&lt; Seleccionar&gt;&gt;]])</f>
        <v>Huánuco__</v>
      </c>
      <c r="J5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6" s="72" t="e">
        <f>VLOOKUP(Tabla5[[#This Row],[Tipo de Transporte Empleado
&lt;&lt; Seleccionar&gt;&gt;]],Tabla8[#All],2,0)</f>
        <v>#N/A</v>
      </c>
      <c r="L586" s="71" t="e">
        <f>#REF!+(#REF!*2)+#REF!</f>
        <v>#REF!</v>
      </c>
    </row>
    <row r="587" spans="1:12" x14ac:dyDescent="0.25">
      <c r="A587" s="328" t="e">
        <f>VLOOKUP(Tabla5[[#This Row],[Acción
&lt;&lt; Seleccionar&gt;&gt;]],TablaAccion[[#All],[Nombre_Abreviado]:[Codigo_Plan_Acción]],3,0)</f>
        <v>#N/A</v>
      </c>
      <c r="B587" s="328" t="e">
        <f>VLOOKUP(Tabla5[[#This Row],[Acción Especifica
&lt;&lt; Seleccionar&gt;&gt;]],TablaAccionEspecifica[[#All],[Nombre_Abreviado]:[Codigo_Acción]],3,0)</f>
        <v>#N/A</v>
      </c>
      <c r="C587" s="328" t="e">
        <f>CONCATENATE(Tabla18[[#This Row],[Bus_02]],"_",Tabla5[[#This Row],[Sub Acción Específica
&lt;&lt; Seleccionar&gt;&gt;]])</f>
        <v>#N/A</v>
      </c>
      <c r="D587" s="328" t="e">
        <f>VLOOKUP(Tabla18[[#This Row],[Aux_01]],TablaSubAccionEspecifica[[#All],[Concat]:[Cod_Sub_acción_especifica]],2,0)</f>
        <v>#N/A</v>
      </c>
      <c r="E587" s="328" t="e">
        <f>Tabla18[[#This Row],[Bus_03]]&amp;"_"&amp;Tabla5[[#This Row],[Tipo de Agente
&lt;&lt; Seleccionar&gt;&gt;]]</f>
        <v>#N/A</v>
      </c>
      <c r="F587" s="328" t="e">
        <f>VLOOKUP(Tabla18[[#This Row],[Concat2]],TablaPOA[[#All],[Concat]:[ConcatEspecial]],3,0)</f>
        <v>#N/A</v>
      </c>
      <c r="G587" s="65" t="str">
        <f>CONCATENATE(Registro!$A$6,"_",Tabla5[[#This Row],[Zona (Provincia)
&lt;&lt; Seleccionar&gt;&gt;]])</f>
        <v>Huánuco_</v>
      </c>
      <c r="H587" s="60" t="e">
        <f>VLOOKUP(Tabla18[[#This Row],[Concatenado***]],Tabla2[[#All],[Concatenado]:[Simbología*]],2,0)</f>
        <v>#N/A</v>
      </c>
      <c r="I587" s="65" t="str">
        <f>CONCATENATE(Tabla18[[#This Row],[Concatenado***]],"_",Tabla5[[#This Row],[Zona (Distrito)
&lt;&lt; Seleccionar&gt;&gt;]])</f>
        <v>Huánuco__</v>
      </c>
      <c r="J5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7" s="72" t="e">
        <f>VLOOKUP(Tabla5[[#This Row],[Tipo de Transporte Empleado
&lt;&lt; Seleccionar&gt;&gt;]],Tabla8[#All],2,0)</f>
        <v>#N/A</v>
      </c>
      <c r="L587" s="71" t="e">
        <f>#REF!+(#REF!*2)+#REF!</f>
        <v>#REF!</v>
      </c>
    </row>
    <row r="588" spans="1:12" x14ac:dyDescent="0.25">
      <c r="A588" s="328" t="e">
        <f>VLOOKUP(Tabla5[[#This Row],[Acción
&lt;&lt; Seleccionar&gt;&gt;]],TablaAccion[[#All],[Nombre_Abreviado]:[Codigo_Plan_Acción]],3,0)</f>
        <v>#N/A</v>
      </c>
      <c r="B588" s="328" t="e">
        <f>VLOOKUP(Tabla5[[#This Row],[Acción Especifica
&lt;&lt; Seleccionar&gt;&gt;]],TablaAccionEspecifica[[#All],[Nombre_Abreviado]:[Codigo_Acción]],3,0)</f>
        <v>#N/A</v>
      </c>
      <c r="C588" s="328" t="e">
        <f>CONCATENATE(Tabla18[[#This Row],[Bus_02]],"_",Tabla5[[#This Row],[Sub Acción Específica
&lt;&lt; Seleccionar&gt;&gt;]])</f>
        <v>#N/A</v>
      </c>
      <c r="D588" s="328" t="e">
        <f>VLOOKUP(Tabla18[[#This Row],[Aux_01]],TablaSubAccionEspecifica[[#All],[Concat]:[Cod_Sub_acción_especifica]],2,0)</f>
        <v>#N/A</v>
      </c>
      <c r="E588" s="328" t="e">
        <f>Tabla18[[#This Row],[Bus_03]]&amp;"_"&amp;Tabla5[[#This Row],[Tipo de Agente
&lt;&lt; Seleccionar&gt;&gt;]]</f>
        <v>#N/A</v>
      </c>
      <c r="F588" s="328" t="e">
        <f>VLOOKUP(Tabla18[[#This Row],[Concat2]],TablaPOA[[#All],[Concat]:[ConcatEspecial]],3,0)</f>
        <v>#N/A</v>
      </c>
      <c r="G588" s="65" t="str">
        <f>CONCATENATE(Registro!$A$6,"_",Tabla5[[#This Row],[Zona (Provincia)
&lt;&lt; Seleccionar&gt;&gt;]])</f>
        <v>Huánuco_</v>
      </c>
      <c r="H588" s="60" t="e">
        <f>VLOOKUP(Tabla18[[#This Row],[Concatenado***]],Tabla2[[#All],[Concatenado]:[Simbología*]],2,0)</f>
        <v>#N/A</v>
      </c>
      <c r="I588" s="65" t="str">
        <f>CONCATENATE(Tabla18[[#This Row],[Concatenado***]],"_",Tabla5[[#This Row],[Zona (Distrito)
&lt;&lt; Seleccionar&gt;&gt;]])</f>
        <v>Huánuco__</v>
      </c>
      <c r="J5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8" s="72" t="e">
        <f>VLOOKUP(Tabla5[[#This Row],[Tipo de Transporte Empleado
&lt;&lt; Seleccionar&gt;&gt;]],Tabla8[#All],2,0)</f>
        <v>#N/A</v>
      </c>
      <c r="L588" s="71" t="e">
        <f>#REF!+(#REF!*2)+#REF!</f>
        <v>#REF!</v>
      </c>
    </row>
    <row r="589" spans="1:12" x14ac:dyDescent="0.25">
      <c r="A589" s="328" t="e">
        <f>VLOOKUP(Tabla5[[#This Row],[Acción
&lt;&lt; Seleccionar&gt;&gt;]],TablaAccion[[#All],[Nombre_Abreviado]:[Codigo_Plan_Acción]],3,0)</f>
        <v>#N/A</v>
      </c>
      <c r="B589" s="328" t="e">
        <f>VLOOKUP(Tabla5[[#This Row],[Acción Especifica
&lt;&lt; Seleccionar&gt;&gt;]],TablaAccionEspecifica[[#All],[Nombre_Abreviado]:[Codigo_Acción]],3,0)</f>
        <v>#N/A</v>
      </c>
      <c r="C589" s="328" t="e">
        <f>CONCATENATE(Tabla18[[#This Row],[Bus_02]],"_",Tabla5[[#This Row],[Sub Acción Específica
&lt;&lt; Seleccionar&gt;&gt;]])</f>
        <v>#N/A</v>
      </c>
      <c r="D589" s="328" t="e">
        <f>VLOOKUP(Tabla18[[#This Row],[Aux_01]],TablaSubAccionEspecifica[[#All],[Concat]:[Cod_Sub_acción_especifica]],2,0)</f>
        <v>#N/A</v>
      </c>
      <c r="E589" s="328" t="e">
        <f>Tabla18[[#This Row],[Bus_03]]&amp;"_"&amp;Tabla5[[#This Row],[Tipo de Agente
&lt;&lt; Seleccionar&gt;&gt;]]</f>
        <v>#N/A</v>
      </c>
      <c r="F589" s="328" t="e">
        <f>VLOOKUP(Tabla18[[#This Row],[Concat2]],TablaPOA[[#All],[Concat]:[ConcatEspecial]],3,0)</f>
        <v>#N/A</v>
      </c>
      <c r="G589" s="65" t="str">
        <f>CONCATENATE(Registro!$A$6,"_",Tabla5[[#This Row],[Zona (Provincia)
&lt;&lt; Seleccionar&gt;&gt;]])</f>
        <v>Huánuco_</v>
      </c>
      <c r="H589" s="60" t="e">
        <f>VLOOKUP(Tabla18[[#This Row],[Concatenado***]],Tabla2[[#All],[Concatenado]:[Simbología*]],2,0)</f>
        <v>#N/A</v>
      </c>
      <c r="I589" s="65" t="str">
        <f>CONCATENATE(Tabla18[[#This Row],[Concatenado***]],"_",Tabla5[[#This Row],[Zona (Distrito)
&lt;&lt; Seleccionar&gt;&gt;]])</f>
        <v>Huánuco__</v>
      </c>
      <c r="J5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9" s="72" t="e">
        <f>VLOOKUP(Tabla5[[#This Row],[Tipo de Transporte Empleado
&lt;&lt; Seleccionar&gt;&gt;]],Tabla8[#All],2,0)</f>
        <v>#N/A</v>
      </c>
      <c r="L589" s="71" t="e">
        <f>#REF!+(#REF!*2)+#REF!</f>
        <v>#REF!</v>
      </c>
    </row>
    <row r="590" spans="1:12" x14ac:dyDescent="0.25">
      <c r="A590" s="328" t="e">
        <f>VLOOKUP(Tabla5[[#This Row],[Acción
&lt;&lt; Seleccionar&gt;&gt;]],TablaAccion[[#All],[Nombre_Abreviado]:[Codigo_Plan_Acción]],3,0)</f>
        <v>#N/A</v>
      </c>
      <c r="B590" s="328" t="e">
        <f>VLOOKUP(Tabla5[[#This Row],[Acción Especifica
&lt;&lt; Seleccionar&gt;&gt;]],TablaAccionEspecifica[[#All],[Nombre_Abreviado]:[Codigo_Acción]],3,0)</f>
        <v>#N/A</v>
      </c>
      <c r="C590" s="328" t="e">
        <f>CONCATENATE(Tabla18[[#This Row],[Bus_02]],"_",Tabla5[[#This Row],[Sub Acción Específica
&lt;&lt; Seleccionar&gt;&gt;]])</f>
        <v>#N/A</v>
      </c>
      <c r="D590" s="328" t="e">
        <f>VLOOKUP(Tabla18[[#This Row],[Aux_01]],TablaSubAccionEspecifica[[#All],[Concat]:[Cod_Sub_acción_especifica]],2,0)</f>
        <v>#N/A</v>
      </c>
      <c r="E590" s="328" t="e">
        <f>Tabla18[[#This Row],[Bus_03]]&amp;"_"&amp;Tabla5[[#This Row],[Tipo de Agente
&lt;&lt; Seleccionar&gt;&gt;]]</f>
        <v>#N/A</v>
      </c>
      <c r="F590" s="328" t="e">
        <f>VLOOKUP(Tabla18[[#This Row],[Concat2]],TablaPOA[[#All],[Concat]:[ConcatEspecial]],3,0)</f>
        <v>#N/A</v>
      </c>
      <c r="G590" s="65" t="str">
        <f>CONCATENATE(Registro!$A$6,"_",Tabla5[[#This Row],[Zona (Provincia)
&lt;&lt; Seleccionar&gt;&gt;]])</f>
        <v>Huánuco_</v>
      </c>
      <c r="H590" s="60" t="e">
        <f>VLOOKUP(Tabla18[[#This Row],[Concatenado***]],Tabla2[[#All],[Concatenado]:[Simbología*]],2,0)</f>
        <v>#N/A</v>
      </c>
      <c r="I590" s="65" t="str">
        <f>CONCATENATE(Tabla18[[#This Row],[Concatenado***]],"_",Tabla5[[#This Row],[Zona (Distrito)
&lt;&lt; Seleccionar&gt;&gt;]])</f>
        <v>Huánuco__</v>
      </c>
      <c r="J5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0" s="72" t="e">
        <f>VLOOKUP(Tabla5[[#This Row],[Tipo de Transporte Empleado
&lt;&lt; Seleccionar&gt;&gt;]],Tabla8[#All],2,0)</f>
        <v>#N/A</v>
      </c>
      <c r="L590" s="71" t="e">
        <f>#REF!+(#REF!*2)+#REF!</f>
        <v>#REF!</v>
      </c>
    </row>
    <row r="591" spans="1:12" x14ac:dyDescent="0.25">
      <c r="A591" s="328" t="e">
        <f>VLOOKUP(Tabla5[[#This Row],[Acción
&lt;&lt; Seleccionar&gt;&gt;]],TablaAccion[[#All],[Nombre_Abreviado]:[Codigo_Plan_Acción]],3,0)</f>
        <v>#N/A</v>
      </c>
      <c r="B591" s="328" t="e">
        <f>VLOOKUP(Tabla5[[#This Row],[Acción Especifica
&lt;&lt; Seleccionar&gt;&gt;]],TablaAccionEspecifica[[#All],[Nombre_Abreviado]:[Codigo_Acción]],3,0)</f>
        <v>#N/A</v>
      </c>
      <c r="C591" s="328" t="e">
        <f>CONCATENATE(Tabla18[[#This Row],[Bus_02]],"_",Tabla5[[#This Row],[Sub Acción Específica
&lt;&lt; Seleccionar&gt;&gt;]])</f>
        <v>#N/A</v>
      </c>
      <c r="D591" s="328" t="e">
        <f>VLOOKUP(Tabla18[[#This Row],[Aux_01]],TablaSubAccionEspecifica[[#All],[Concat]:[Cod_Sub_acción_especifica]],2,0)</f>
        <v>#N/A</v>
      </c>
      <c r="E591" s="328" t="e">
        <f>Tabla18[[#This Row],[Bus_03]]&amp;"_"&amp;Tabla5[[#This Row],[Tipo de Agente
&lt;&lt; Seleccionar&gt;&gt;]]</f>
        <v>#N/A</v>
      </c>
      <c r="F591" s="328" t="e">
        <f>VLOOKUP(Tabla18[[#This Row],[Concat2]],TablaPOA[[#All],[Concat]:[ConcatEspecial]],3,0)</f>
        <v>#N/A</v>
      </c>
      <c r="G591" s="65" t="str">
        <f>CONCATENATE(Registro!$A$6,"_",Tabla5[[#This Row],[Zona (Provincia)
&lt;&lt; Seleccionar&gt;&gt;]])</f>
        <v>Huánuco_</v>
      </c>
      <c r="H591" s="60" t="e">
        <f>VLOOKUP(Tabla18[[#This Row],[Concatenado***]],Tabla2[[#All],[Concatenado]:[Simbología*]],2,0)</f>
        <v>#N/A</v>
      </c>
      <c r="I591" s="65" t="str">
        <f>CONCATENATE(Tabla18[[#This Row],[Concatenado***]],"_",Tabla5[[#This Row],[Zona (Distrito)
&lt;&lt; Seleccionar&gt;&gt;]])</f>
        <v>Huánuco__</v>
      </c>
      <c r="J5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1" s="72" t="e">
        <f>VLOOKUP(Tabla5[[#This Row],[Tipo de Transporte Empleado
&lt;&lt; Seleccionar&gt;&gt;]],Tabla8[#All],2,0)</f>
        <v>#N/A</v>
      </c>
      <c r="L591" s="71" t="e">
        <f>#REF!+(#REF!*2)+#REF!</f>
        <v>#REF!</v>
      </c>
    </row>
    <row r="592" spans="1:12" x14ac:dyDescent="0.25">
      <c r="A592" s="328" t="e">
        <f>VLOOKUP(Tabla5[[#This Row],[Acción
&lt;&lt; Seleccionar&gt;&gt;]],TablaAccion[[#All],[Nombre_Abreviado]:[Codigo_Plan_Acción]],3,0)</f>
        <v>#N/A</v>
      </c>
      <c r="B592" s="328" t="e">
        <f>VLOOKUP(Tabla5[[#This Row],[Acción Especifica
&lt;&lt; Seleccionar&gt;&gt;]],TablaAccionEspecifica[[#All],[Nombre_Abreviado]:[Codigo_Acción]],3,0)</f>
        <v>#N/A</v>
      </c>
      <c r="C592" s="328" t="e">
        <f>CONCATENATE(Tabla18[[#This Row],[Bus_02]],"_",Tabla5[[#This Row],[Sub Acción Específica
&lt;&lt; Seleccionar&gt;&gt;]])</f>
        <v>#N/A</v>
      </c>
      <c r="D592" s="328" t="e">
        <f>VLOOKUP(Tabla18[[#This Row],[Aux_01]],TablaSubAccionEspecifica[[#All],[Concat]:[Cod_Sub_acción_especifica]],2,0)</f>
        <v>#N/A</v>
      </c>
      <c r="E592" s="328" t="e">
        <f>Tabla18[[#This Row],[Bus_03]]&amp;"_"&amp;Tabla5[[#This Row],[Tipo de Agente
&lt;&lt; Seleccionar&gt;&gt;]]</f>
        <v>#N/A</v>
      </c>
      <c r="F592" s="328" t="e">
        <f>VLOOKUP(Tabla18[[#This Row],[Concat2]],TablaPOA[[#All],[Concat]:[ConcatEspecial]],3,0)</f>
        <v>#N/A</v>
      </c>
      <c r="G592" s="65" t="str">
        <f>CONCATENATE(Registro!$A$6,"_",Tabla5[[#This Row],[Zona (Provincia)
&lt;&lt; Seleccionar&gt;&gt;]])</f>
        <v>Huánuco_</v>
      </c>
      <c r="H592" s="60" t="e">
        <f>VLOOKUP(Tabla18[[#This Row],[Concatenado***]],Tabla2[[#All],[Concatenado]:[Simbología*]],2,0)</f>
        <v>#N/A</v>
      </c>
      <c r="I592" s="65" t="str">
        <f>CONCATENATE(Tabla18[[#This Row],[Concatenado***]],"_",Tabla5[[#This Row],[Zona (Distrito)
&lt;&lt; Seleccionar&gt;&gt;]])</f>
        <v>Huánuco__</v>
      </c>
      <c r="J5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2" s="72" t="e">
        <f>VLOOKUP(Tabla5[[#This Row],[Tipo de Transporte Empleado
&lt;&lt; Seleccionar&gt;&gt;]],Tabla8[#All],2,0)</f>
        <v>#N/A</v>
      </c>
      <c r="L592" s="71" t="e">
        <f>#REF!+(#REF!*2)+#REF!</f>
        <v>#REF!</v>
      </c>
    </row>
    <row r="593" spans="1:12" x14ac:dyDescent="0.25">
      <c r="A593" s="328" t="e">
        <f>VLOOKUP(Tabla5[[#This Row],[Acción
&lt;&lt; Seleccionar&gt;&gt;]],TablaAccion[[#All],[Nombre_Abreviado]:[Codigo_Plan_Acción]],3,0)</f>
        <v>#N/A</v>
      </c>
      <c r="B593" s="328" t="e">
        <f>VLOOKUP(Tabla5[[#This Row],[Acción Especifica
&lt;&lt; Seleccionar&gt;&gt;]],TablaAccionEspecifica[[#All],[Nombre_Abreviado]:[Codigo_Acción]],3,0)</f>
        <v>#N/A</v>
      </c>
      <c r="C593" s="328" t="e">
        <f>CONCATENATE(Tabla18[[#This Row],[Bus_02]],"_",Tabla5[[#This Row],[Sub Acción Específica
&lt;&lt; Seleccionar&gt;&gt;]])</f>
        <v>#N/A</v>
      </c>
      <c r="D593" s="328" t="e">
        <f>VLOOKUP(Tabla18[[#This Row],[Aux_01]],TablaSubAccionEspecifica[[#All],[Concat]:[Cod_Sub_acción_especifica]],2,0)</f>
        <v>#N/A</v>
      </c>
      <c r="E593" s="328" t="e">
        <f>Tabla18[[#This Row],[Bus_03]]&amp;"_"&amp;Tabla5[[#This Row],[Tipo de Agente
&lt;&lt; Seleccionar&gt;&gt;]]</f>
        <v>#N/A</v>
      </c>
      <c r="F593" s="328" t="e">
        <f>VLOOKUP(Tabla18[[#This Row],[Concat2]],TablaPOA[[#All],[Concat]:[ConcatEspecial]],3,0)</f>
        <v>#N/A</v>
      </c>
      <c r="G593" s="65" t="str">
        <f>CONCATENATE(Registro!$A$6,"_",Tabla5[[#This Row],[Zona (Provincia)
&lt;&lt; Seleccionar&gt;&gt;]])</f>
        <v>Huánuco_</v>
      </c>
      <c r="H593" s="60" t="e">
        <f>VLOOKUP(Tabla18[[#This Row],[Concatenado***]],Tabla2[[#All],[Concatenado]:[Simbología*]],2,0)</f>
        <v>#N/A</v>
      </c>
      <c r="I593" s="65" t="str">
        <f>CONCATENATE(Tabla18[[#This Row],[Concatenado***]],"_",Tabla5[[#This Row],[Zona (Distrito)
&lt;&lt; Seleccionar&gt;&gt;]])</f>
        <v>Huánuco__</v>
      </c>
      <c r="J5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3" s="72" t="e">
        <f>VLOOKUP(Tabla5[[#This Row],[Tipo de Transporte Empleado
&lt;&lt; Seleccionar&gt;&gt;]],Tabla8[#All],2,0)</f>
        <v>#N/A</v>
      </c>
      <c r="L593" s="71" t="e">
        <f>#REF!+(#REF!*2)+#REF!</f>
        <v>#REF!</v>
      </c>
    </row>
    <row r="594" spans="1:12" x14ac:dyDescent="0.25">
      <c r="A594" s="328" t="e">
        <f>VLOOKUP(Tabla5[[#This Row],[Acción
&lt;&lt; Seleccionar&gt;&gt;]],TablaAccion[[#All],[Nombre_Abreviado]:[Codigo_Plan_Acción]],3,0)</f>
        <v>#N/A</v>
      </c>
      <c r="B594" s="328" t="e">
        <f>VLOOKUP(Tabla5[[#This Row],[Acción Especifica
&lt;&lt; Seleccionar&gt;&gt;]],TablaAccionEspecifica[[#All],[Nombre_Abreviado]:[Codigo_Acción]],3,0)</f>
        <v>#N/A</v>
      </c>
      <c r="C594" s="328" t="e">
        <f>CONCATENATE(Tabla18[[#This Row],[Bus_02]],"_",Tabla5[[#This Row],[Sub Acción Específica
&lt;&lt; Seleccionar&gt;&gt;]])</f>
        <v>#N/A</v>
      </c>
      <c r="D594" s="328" t="e">
        <f>VLOOKUP(Tabla18[[#This Row],[Aux_01]],TablaSubAccionEspecifica[[#All],[Concat]:[Cod_Sub_acción_especifica]],2,0)</f>
        <v>#N/A</v>
      </c>
      <c r="E594" s="328" t="e">
        <f>Tabla18[[#This Row],[Bus_03]]&amp;"_"&amp;Tabla5[[#This Row],[Tipo de Agente
&lt;&lt; Seleccionar&gt;&gt;]]</f>
        <v>#N/A</v>
      </c>
      <c r="F594" s="328" t="e">
        <f>VLOOKUP(Tabla18[[#This Row],[Concat2]],TablaPOA[[#All],[Concat]:[ConcatEspecial]],3,0)</f>
        <v>#N/A</v>
      </c>
      <c r="G594" s="65" t="str">
        <f>CONCATENATE(Registro!$A$6,"_",Tabla5[[#This Row],[Zona (Provincia)
&lt;&lt; Seleccionar&gt;&gt;]])</f>
        <v>Huánuco_</v>
      </c>
      <c r="H594" s="60" t="e">
        <f>VLOOKUP(Tabla18[[#This Row],[Concatenado***]],Tabla2[[#All],[Concatenado]:[Simbología*]],2,0)</f>
        <v>#N/A</v>
      </c>
      <c r="I594" s="65" t="str">
        <f>CONCATENATE(Tabla18[[#This Row],[Concatenado***]],"_",Tabla5[[#This Row],[Zona (Distrito)
&lt;&lt; Seleccionar&gt;&gt;]])</f>
        <v>Huánuco__</v>
      </c>
      <c r="J5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4" s="72" t="e">
        <f>VLOOKUP(Tabla5[[#This Row],[Tipo de Transporte Empleado
&lt;&lt; Seleccionar&gt;&gt;]],Tabla8[#All],2,0)</f>
        <v>#N/A</v>
      </c>
      <c r="L594" s="71" t="e">
        <f>#REF!+(#REF!*2)+#REF!</f>
        <v>#REF!</v>
      </c>
    </row>
    <row r="595" spans="1:12" x14ac:dyDescent="0.25">
      <c r="A595" s="328" t="e">
        <f>VLOOKUP(Tabla5[[#This Row],[Acción
&lt;&lt; Seleccionar&gt;&gt;]],TablaAccion[[#All],[Nombre_Abreviado]:[Codigo_Plan_Acción]],3,0)</f>
        <v>#N/A</v>
      </c>
      <c r="B595" s="328" t="e">
        <f>VLOOKUP(Tabla5[[#This Row],[Acción Especifica
&lt;&lt; Seleccionar&gt;&gt;]],TablaAccionEspecifica[[#All],[Nombre_Abreviado]:[Codigo_Acción]],3,0)</f>
        <v>#N/A</v>
      </c>
      <c r="C595" s="328" t="e">
        <f>CONCATENATE(Tabla18[[#This Row],[Bus_02]],"_",Tabla5[[#This Row],[Sub Acción Específica
&lt;&lt; Seleccionar&gt;&gt;]])</f>
        <v>#N/A</v>
      </c>
      <c r="D595" s="328" t="e">
        <f>VLOOKUP(Tabla18[[#This Row],[Aux_01]],TablaSubAccionEspecifica[[#All],[Concat]:[Cod_Sub_acción_especifica]],2,0)</f>
        <v>#N/A</v>
      </c>
      <c r="E595" s="328" t="e">
        <f>Tabla18[[#This Row],[Bus_03]]&amp;"_"&amp;Tabla5[[#This Row],[Tipo de Agente
&lt;&lt; Seleccionar&gt;&gt;]]</f>
        <v>#N/A</v>
      </c>
      <c r="F595" s="328" t="e">
        <f>VLOOKUP(Tabla18[[#This Row],[Concat2]],TablaPOA[[#All],[Concat]:[ConcatEspecial]],3,0)</f>
        <v>#N/A</v>
      </c>
      <c r="G595" s="65" t="str">
        <f>CONCATENATE(Registro!$A$6,"_",Tabla5[[#This Row],[Zona (Provincia)
&lt;&lt; Seleccionar&gt;&gt;]])</f>
        <v>Huánuco_</v>
      </c>
      <c r="H595" s="60" t="e">
        <f>VLOOKUP(Tabla18[[#This Row],[Concatenado***]],Tabla2[[#All],[Concatenado]:[Simbología*]],2,0)</f>
        <v>#N/A</v>
      </c>
      <c r="I595" s="65" t="str">
        <f>CONCATENATE(Tabla18[[#This Row],[Concatenado***]],"_",Tabla5[[#This Row],[Zona (Distrito)
&lt;&lt; Seleccionar&gt;&gt;]])</f>
        <v>Huánuco__</v>
      </c>
      <c r="J5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5" s="72" t="e">
        <f>VLOOKUP(Tabla5[[#This Row],[Tipo de Transporte Empleado
&lt;&lt; Seleccionar&gt;&gt;]],Tabla8[#All],2,0)</f>
        <v>#N/A</v>
      </c>
      <c r="L595" s="71" t="e">
        <f>#REF!+(#REF!*2)+#REF!</f>
        <v>#REF!</v>
      </c>
    </row>
    <row r="596" spans="1:12" x14ac:dyDescent="0.25">
      <c r="A596" s="328" t="e">
        <f>VLOOKUP(Tabla5[[#This Row],[Acción
&lt;&lt; Seleccionar&gt;&gt;]],TablaAccion[[#All],[Nombre_Abreviado]:[Codigo_Plan_Acción]],3,0)</f>
        <v>#N/A</v>
      </c>
      <c r="B596" s="328" t="e">
        <f>VLOOKUP(Tabla5[[#This Row],[Acción Especifica
&lt;&lt; Seleccionar&gt;&gt;]],TablaAccionEspecifica[[#All],[Nombre_Abreviado]:[Codigo_Acción]],3,0)</f>
        <v>#N/A</v>
      </c>
      <c r="C596" s="328" t="e">
        <f>CONCATENATE(Tabla18[[#This Row],[Bus_02]],"_",Tabla5[[#This Row],[Sub Acción Específica
&lt;&lt; Seleccionar&gt;&gt;]])</f>
        <v>#N/A</v>
      </c>
      <c r="D596" s="328" t="e">
        <f>VLOOKUP(Tabla18[[#This Row],[Aux_01]],TablaSubAccionEspecifica[[#All],[Concat]:[Cod_Sub_acción_especifica]],2,0)</f>
        <v>#N/A</v>
      </c>
      <c r="E596" s="328" t="e">
        <f>Tabla18[[#This Row],[Bus_03]]&amp;"_"&amp;Tabla5[[#This Row],[Tipo de Agente
&lt;&lt; Seleccionar&gt;&gt;]]</f>
        <v>#N/A</v>
      </c>
      <c r="F596" s="328" t="e">
        <f>VLOOKUP(Tabla18[[#This Row],[Concat2]],TablaPOA[[#All],[Concat]:[ConcatEspecial]],3,0)</f>
        <v>#N/A</v>
      </c>
      <c r="G596" s="65" t="str">
        <f>CONCATENATE(Registro!$A$6,"_",Tabla5[[#This Row],[Zona (Provincia)
&lt;&lt; Seleccionar&gt;&gt;]])</f>
        <v>Huánuco_</v>
      </c>
      <c r="H596" s="60" t="e">
        <f>VLOOKUP(Tabla18[[#This Row],[Concatenado***]],Tabla2[[#All],[Concatenado]:[Simbología*]],2,0)</f>
        <v>#N/A</v>
      </c>
      <c r="I596" s="65" t="str">
        <f>CONCATENATE(Tabla18[[#This Row],[Concatenado***]],"_",Tabla5[[#This Row],[Zona (Distrito)
&lt;&lt; Seleccionar&gt;&gt;]])</f>
        <v>Huánuco__</v>
      </c>
      <c r="J5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6" s="72" t="e">
        <f>VLOOKUP(Tabla5[[#This Row],[Tipo de Transporte Empleado
&lt;&lt; Seleccionar&gt;&gt;]],Tabla8[#All],2,0)</f>
        <v>#N/A</v>
      </c>
      <c r="L596" s="71" t="e">
        <f>#REF!+(#REF!*2)+#REF!</f>
        <v>#REF!</v>
      </c>
    </row>
    <row r="597" spans="1:12" x14ac:dyDescent="0.25">
      <c r="A597" s="328" t="e">
        <f>VLOOKUP(Tabla5[[#This Row],[Acción
&lt;&lt; Seleccionar&gt;&gt;]],TablaAccion[[#All],[Nombre_Abreviado]:[Codigo_Plan_Acción]],3,0)</f>
        <v>#N/A</v>
      </c>
      <c r="B597" s="328" t="e">
        <f>VLOOKUP(Tabla5[[#This Row],[Acción Especifica
&lt;&lt; Seleccionar&gt;&gt;]],TablaAccionEspecifica[[#All],[Nombre_Abreviado]:[Codigo_Acción]],3,0)</f>
        <v>#N/A</v>
      </c>
      <c r="C597" s="328" t="e">
        <f>CONCATENATE(Tabla18[[#This Row],[Bus_02]],"_",Tabla5[[#This Row],[Sub Acción Específica
&lt;&lt; Seleccionar&gt;&gt;]])</f>
        <v>#N/A</v>
      </c>
      <c r="D597" s="328" t="e">
        <f>VLOOKUP(Tabla18[[#This Row],[Aux_01]],TablaSubAccionEspecifica[[#All],[Concat]:[Cod_Sub_acción_especifica]],2,0)</f>
        <v>#N/A</v>
      </c>
      <c r="E597" s="328" t="e">
        <f>Tabla18[[#This Row],[Bus_03]]&amp;"_"&amp;Tabla5[[#This Row],[Tipo de Agente
&lt;&lt; Seleccionar&gt;&gt;]]</f>
        <v>#N/A</v>
      </c>
      <c r="F597" s="328" t="e">
        <f>VLOOKUP(Tabla18[[#This Row],[Concat2]],TablaPOA[[#All],[Concat]:[ConcatEspecial]],3,0)</f>
        <v>#N/A</v>
      </c>
      <c r="G597" s="65" t="str">
        <f>CONCATENATE(Registro!$A$6,"_",Tabla5[[#This Row],[Zona (Provincia)
&lt;&lt; Seleccionar&gt;&gt;]])</f>
        <v>Huánuco_</v>
      </c>
      <c r="H597" s="60" t="e">
        <f>VLOOKUP(Tabla18[[#This Row],[Concatenado***]],Tabla2[[#All],[Concatenado]:[Simbología*]],2,0)</f>
        <v>#N/A</v>
      </c>
      <c r="I597" s="65" t="str">
        <f>CONCATENATE(Tabla18[[#This Row],[Concatenado***]],"_",Tabla5[[#This Row],[Zona (Distrito)
&lt;&lt; Seleccionar&gt;&gt;]])</f>
        <v>Huánuco__</v>
      </c>
      <c r="J5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7" s="72" t="e">
        <f>VLOOKUP(Tabla5[[#This Row],[Tipo de Transporte Empleado
&lt;&lt; Seleccionar&gt;&gt;]],Tabla8[#All],2,0)</f>
        <v>#N/A</v>
      </c>
      <c r="L597" s="71" t="e">
        <f>#REF!+(#REF!*2)+#REF!</f>
        <v>#REF!</v>
      </c>
    </row>
    <row r="598" spans="1:12" x14ac:dyDescent="0.25">
      <c r="A598" s="328" t="e">
        <f>VLOOKUP(Tabla5[[#This Row],[Acción
&lt;&lt; Seleccionar&gt;&gt;]],TablaAccion[[#All],[Nombre_Abreviado]:[Codigo_Plan_Acción]],3,0)</f>
        <v>#N/A</v>
      </c>
      <c r="B598" s="328" t="e">
        <f>VLOOKUP(Tabla5[[#This Row],[Acción Especifica
&lt;&lt; Seleccionar&gt;&gt;]],TablaAccionEspecifica[[#All],[Nombre_Abreviado]:[Codigo_Acción]],3,0)</f>
        <v>#N/A</v>
      </c>
      <c r="C598" s="328" t="e">
        <f>CONCATENATE(Tabla18[[#This Row],[Bus_02]],"_",Tabla5[[#This Row],[Sub Acción Específica
&lt;&lt; Seleccionar&gt;&gt;]])</f>
        <v>#N/A</v>
      </c>
      <c r="D598" s="328" t="e">
        <f>VLOOKUP(Tabla18[[#This Row],[Aux_01]],TablaSubAccionEspecifica[[#All],[Concat]:[Cod_Sub_acción_especifica]],2,0)</f>
        <v>#N/A</v>
      </c>
      <c r="E598" s="328" t="e">
        <f>Tabla18[[#This Row],[Bus_03]]&amp;"_"&amp;Tabla5[[#This Row],[Tipo de Agente
&lt;&lt; Seleccionar&gt;&gt;]]</f>
        <v>#N/A</v>
      </c>
      <c r="F598" s="328" t="e">
        <f>VLOOKUP(Tabla18[[#This Row],[Concat2]],TablaPOA[[#All],[Concat]:[ConcatEspecial]],3,0)</f>
        <v>#N/A</v>
      </c>
      <c r="G598" s="65" t="str">
        <f>CONCATENATE(Registro!$A$6,"_",Tabla5[[#This Row],[Zona (Provincia)
&lt;&lt; Seleccionar&gt;&gt;]])</f>
        <v>Huánuco_</v>
      </c>
      <c r="H598" s="60" t="e">
        <f>VLOOKUP(Tabla18[[#This Row],[Concatenado***]],Tabla2[[#All],[Concatenado]:[Simbología*]],2,0)</f>
        <v>#N/A</v>
      </c>
      <c r="I598" s="65" t="str">
        <f>CONCATENATE(Tabla18[[#This Row],[Concatenado***]],"_",Tabla5[[#This Row],[Zona (Distrito)
&lt;&lt; Seleccionar&gt;&gt;]])</f>
        <v>Huánuco__</v>
      </c>
      <c r="J5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8" s="72" t="e">
        <f>VLOOKUP(Tabla5[[#This Row],[Tipo de Transporte Empleado
&lt;&lt; Seleccionar&gt;&gt;]],Tabla8[#All],2,0)</f>
        <v>#N/A</v>
      </c>
      <c r="L598" s="71" t="e">
        <f>#REF!+(#REF!*2)+#REF!</f>
        <v>#REF!</v>
      </c>
    </row>
    <row r="599" spans="1:12" x14ac:dyDescent="0.25">
      <c r="A599" s="328" t="e">
        <f>VLOOKUP(Tabla5[[#This Row],[Acción
&lt;&lt; Seleccionar&gt;&gt;]],TablaAccion[[#All],[Nombre_Abreviado]:[Codigo_Plan_Acción]],3,0)</f>
        <v>#N/A</v>
      </c>
      <c r="B599" s="328" t="e">
        <f>VLOOKUP(Tabla5[[#This Row],[Acción Especifica
&lt;&lt; Seleccionar&gt;&gt;]],TablaAccionEspecifica[[#All],[Nombre_Abreviado]:[Codigo_Acción]],3,0)</f>
        <v>#N/A</v>
      </c>
      <c r="C599" s="328" t="e">
        <f>CONCATENATE(Tabla18[[#This Row],[Bus_02]],"_",Tabla5[[#This Row],[Sub Acción Específica
&lt;&lt; Seleccionar&gt;&gt;]])</f>
        <v>#N/A</v>
      </c>
      <c r="D599" s="328" t="e">
        <f>VLOOKUP(Tabla18[[#This Row],[Aux_01]],TablaSubAccionEspecifica[[#All],[Concat]:[Cod_Sub_acción_especifica]],2,0)</f>
        <v>#N/A</v>
      </c>
      <c r="E599" s="328" t="e">
        <f>Tabla18[[#This Row],[Bus_03]]&amp;"_"&amp;Tabla5[[#This Row],[Tipo de Agente
&lt;&lt; Seleccionar&gt;&gt;]]</f>
        <v>#N/A</v>
      </c>
      <c r="F599" s="328" t="e">
        <f>VLOOKUP(Tabla18[[#This Row],[Concat2]],TablaPOA[[#All],[Concat]:[ConcatEspecial]],3,0)</f>
        <v>#N/A</v>
      </c>
      <c r="G599" s="65" t="str">
        <f>CONCATENATE(Registro!$A$6,"_",Tabla5[[#This Row],[Zona (Provincia)
&lt;&lt; Seleccionar&gt;&gt;]])</f>
        <v>Huánuco_</v>
      </c>
      <c r="H599" s="60" t="e">
        <f>VLOOKUP(Tabla18[[#This Row],[Concatenado***]],Tabla2[[#All],[Concatenado]:[Simbología*]],2,0)</f>
        <v>#N/A</v>
      </c>
      <c r="I599" s="65" t="str">
        <f>CONCATENATE(Tabla18[[#This Row],[Concatenado***]],"_",Tabla5[[#This Row],[Zona (Distrito)
&lt;&lt; Seleccionar&gt;&gt;]])</f>
        <v>Huánuco__</v>
      </c>
      <c r="J5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9" s="72" t="e">
        <f>VLOOKUP(Tabla5[[#This Row],[Tipo de Transporte Empleado
&lt;&lt; Seleccionar&gt;&gt;]],Tabla8[#All],2,0)</f>
        <v>#N/A</v>
      </c>
      <c r="L599" s="71" t="e">
        <f>#REF!+(#REF!*2)+#REF!</f>
        <v>#REF!</v>
      </c>
    </row>
    <row r="600" spans="1:12" x14ac:dyDescent="0.25">
      <c r="A600" s="328" t="e">
        <f>VLOOKUP(Tabla5[[#This Row],[Acción
&lt;&lt; Seleccionar&gt;&gt;]],TablaAccion[[#All],[Nombre_Abreviado]:[Codigo_Plan_Acción]],3,0)</f>
        <v>#N/A</v>
      </c>
      <c r="B600" s="328" t="e">
        <f>VLOOKUP(Tabla5[[#This Row],[Acción Especifica
&lt;&lt; Seleccionar&gt;&gt;]],TablaAccionEspecifica[[#All],[Nombre_Abreviado]:[Codigo_Acción]],3,0)</f>
        <v>#N/A</v>
      </c>
      <c r="C600" s="328" t="e">
        <f>CONCATENATE(Tabla18[[#This Row],[Bus_02]],"_",Tabla5[[#This Row],[Sub Acción Específica
&lt;&lt; Seleccionar&gt;&gt;]])</f>
        <v>#N/A</v>
      </c>
      <c r="D600" s="328" t="e">
        <f>VLOOKUP(Tabla18[[#This Row],[Aux_01]],TablaSubAccionEspecifica[[#All],[Concat]:[Cod_Sub_acción_especifica]],2,0)</f>
        <v>#N/A</v>
      </c>
      <c r="E600" s="328" t="e">
        <f>Tabla18[[#This Row],[Bus_03]]&amp;"_"&amp;Tabla5[[#This Row],[Tipo de Agente
&lt;&lt; Seleccionar&gt;&gt;]]</f>
        <v>#N/A</v>
      </c>
      <c r="F600" s="328" t="e">
        <f>VLOOKUP(Tabla18[[#This Row],[Concat2]],TablaPOA[[#All],[Concat]:[ConcatEspecial]],3,0)</f>
        <v>#N/A</v>
      </c>
      <c r="G600" s="65" t="str">
        <f>CONCATENATE(Registro!$A$6,"_",Tabla5[[#This Row],[Zona (Provincia)
&lt;&lt; Seleccionar&gt;&gt;]])</f>
        <v>Huánuco_</v>
      </c>
      <c r="H600" s="60" t="e">
        <f>VLOOKUP(Tabla18[[#This Row],[Concatenado***]],Tabla2[[#All],[Concatenado]:[Simbología*]],2,0)</f>
        <v>#N/A</v>
      </c>
      <c r="I600" s="65" t="str">
        <f>CONCATENATE(Tabla18[[#This Row],[Concatenado***]],"_",Tabla5[[#This Row],[Zona (Distrito)
&lt;&lt; Seleccionar&gt;&gt;]])</f>
        <v>Huánuco__</v>
      </c>
      <c r="J6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0" s="72" t="e">
        <f>VLOOKUP(Tabla5[[#This Row],[Tipo de Transporte Empleado
&lt;&lt; Seleccionar&gt;&gt;]],Tabla8[#All],2,0)</f>
        <v>#N/A</v>
      </c>
      <c r="L600" s="71" t="e">
        <f>#REF!+(#REF!*2)+#REF!</f>
        <v>#REF!</v>
      </c>
    </row>
    <row r="601" spans="1:12" x14ac:dyDescent="0.25">
      <c r="A601" s="328" t="e">
        <f>VLOOKUP(Tabla5[[#This Row],[Acción
&lt;&lt; Seleccionar&gt;&gt;]],TablaAccion[[#All],[Nombre_Abreviado]:[Codigo_Plan_Acción]],3,0)</f>
        <v>#N/A</v>
      </c>
      <c r="B601" s="328" t="e">
        <f>VLOOKUP(Tabla5[[#This Row],[Acción Especifica
&lt;&lt; Seleccionar&gt;&gt;]],TablaAccionEspecifica[[#All],[Nombre_Abreviado]:[Codigo_Acción]],3,0)</f>
        <v>#N/A</v>
      </c>
      <c r="C601" s="328" t="e">
        <f>CONCATENATE(Tabla18[[#This Row],[Bus_02]],"_",Tabla5[[#This Row],[Sub Acción Específica
&lt;&lt; Seleccionar&gt;&gt;]])</f>
        <v>#N/A</v>
      </c>
      <c r="D601" s="328" t="e">
        <f>VLOOKUP(Tabla18[[#This Row],[Aux_01]],TablaSubAccionEspecifica[[#All],[Concat]:[Cod_Sub_acción_especifica]],2,0)</f>
        <v>#N/A</v>
      </c>
      <c r="E601" s="328" t="e">
        <f>Tabla18[[#This Row],[Bus_03]]&amp;"_"&amp;Tabla5[[#This Row],[Tipo de Agente
&lt;&lt; Seleccionar&gt;&gt;]]</f>
        <v>#N/A</v>
      </c>
      <c r="F601" s="328" t="e">
        <f>VLOOKUP(Tabla18[[#This Row],[Concat2]],TablaPOA[[#All],[Concat]:[ConcatEspecial]],3,0)</f>
        <v>#N/A</v>
      </c>
      <c r="G601" s="65" t="str">
        <f>CONCATENATE(Registro!$A$6,"_",Tabla5[[#This Row],[Zona (Provincia)
&lt;&lt; Seleccionar&gt;&gt;]])</f>
        <v>Huánuco_</v>
      </c>
      <c r="H601" s="60" t="e">
        <f>VLOOKUP(Tabla18[[#This Row],[Concatenado***]],Tabla2[[#All],[Concatenado]:[Simbología*]],2,0)</f>
        <v>#N/A</v>
      </c>
      <c r="I601" s="65" t="str">
        <f>CONCATENATE(Tabla18[[#This Row],[Concatenado***]],"_",Tabla5[[#This Row],[Zona (Distrito)
&lt;&lt; Seleccionar&gt;&gt;]])</f>
        <v>Huánuco__</v>
      </c>
      <c r="J6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1" s="72" t="e">
        <f>VLOOKUP(Tabla5[[#This Row],[Tipo de Transporte Empleado
&lt;&lt; Seleccionar&gt;&gt;]],Tabla8[#All],2,0)</f>
        <v>#N/A</v>
      </c>
      <c r="L601" s="71" t="e">
        <f>#REF!+(#REF!*2)+#REF!</f>
        <v>#REF!</v>
      </c>
    </row>
    <row r="602" spans="1:12" x14ac:dyDescent="0.25">
      <c r="A602" s="328" t="e">
        <f>VLOOKUP(Tabla5[[#This Row],[Acción
&lt;&lt; Seleccionar&gt;&gt;]],TablaAccion[[#All],[Nombre_Abreviado]:[Codigo_Plan_Acción]],3,0)</f>
        <v>#N/A</v>
      </c>
      <c r="B602" s="328" t="e">
        <f>VLOOKUP(Tabla5[[#This Row],[Acción Especifica
&lt;&lt; Seleccionar&gt;&gt;]],TablaAccionEspecifica[[#All],[Nombre_Abreviado]:[Codigo_Acción]],3,0)</f>
        <v>#N/A</v>
      </c>
      <c r="C602" s="328" t="e">
        <f>CONCATENATE(Tabla18[[#This Row],[Bus_02]],"_",Tabla5[[#This Row],[Sub Acción Específica
&lt;&lt; Seleccionar&gt;&gt;]])</f>
        <v>#N/A</v>
      </c>
      <c r="D602" s="328" t="e">
        <f>VLOOKUP(Tabla18[[#This Row],[Aux_01]],TablaSubAccionEspecifica[[#All],[Concat]:[Cod_Sub_acción_especifica]],2,0)</f>
        <v>#N/A</v>
      </c>
      <c r="E602" s="328" t="e">
        <f>Tabla18[[#This Row],[Bus_03]]&amp;"_"&amp;Tabla5[[#This Row],[Tipo de Agente
&lt;&lt; Seleccionar&gt;&gt;]]</f>
        <v>#N/A</v>
      </c>
      <c r="F602" s="328" t="e">
        <f>VLOOKUP(Tabla18[[#This Row],[Concat2]],TablaPOA[[#All],[Concat]:[ConcatEspecial]],3,0)</f>
        <v>#N/A</v>
      </c>
      <c r="G602" s="65" t="str">
        <f>CONCATENATE(Registro!$A$6,"_",Tabla5[[#This Row],[Zona (Provincia)
&lt;&lt; Seleccionar&gt;&gt;]])</f>
        <v>Huánuco_</v>
      </c>
      <c r="H602" s="60" t="e">
        <f>VLOOKUP(Tabla18[[#This Row],[Concatenado***]],Tabla2[[#All],[Concatenado]:[Simbología*]],2,0)</f>
        <v>#N/A</v>
      </c>
      <c r="I602" s="65" t="str">
        <f>CONCATENATE(Tabla18[[#This Row],[Concatenado***]],"_",Tabla5[[#This Row],[Zona (Distrito)
&lt;&lt; Seleccionar&gt;&gt;]])</f>
        <v>Huánuco__</v>
      </c>
      <c r="J6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2" s="72" t="e">
        <f>VLOOKUP(Tabla5[[#This Row],[Tipo de Transporte Empleado
&lt;&lt; Seleccionar&gt;&gt;]],Tabla8[#All],2,0)</f>
        <v>#N/A</v>
      </c>
      <c r="L602" s="71" t="e">
        <f>#REF!+(#REF!*2)+#REF!</f>
        <v>#REF!</v>
      </c>
    </row>
    <row r="603" spans="1:12" x14ac:dyDescent="0.25">
      <c r="A603" s="328" t="e">
        <f>VLOOKUP(Tabla5[[#This Row],[Acción
&lt;&lt; Seleccionar&gt;&gt;]],TablaAccion[[#All],[Nombre_Abreviado]:[Codigo_Plan_Acción]],3,0)</f>
        <v>#N/A</v>
      </c>
      <c r="B603" s="328" t="e">
        <f>VLOOKUP(Tabla5[[#This Row],[Acción Especifica
&lt;&lt; Seleccionar&gt;&gt;]],TablaAccionEspecifica[[#All],[Nombre_Abreviado]:[Codigo_Acción]],3,0)</f>
        <v>#N/A</v>
      </c>
      <c r="C603" s="328" t="e">
        <f>CONCATENATE(Tabla18[[#This Row],[Bus_02]],"_",Tabla5[[#This Row],[Sub Acción Específica
&lt;&lt; Seleccionar&gt;&gt;]])</f>
        <v>#N/A</v>
      </c>
      <c r="D603" s="328" t="e">
        <f>VLOOKUP(Tabla18[[#This Row],[Aux_01]],TablaSubAccionEspecifica[[#All],[Concat]:[Cod_Sub_acción_especifica]],2,0)</f>
        <v>#N/A</v>
      </c>
      <c r="E603" s="328" t="e">
        <f>Tabla18[[#This Row],[Bus_03]]&amp;"_"&amp;Tabla5[[#This Row],[Tipo de Agente
&lt;&lt; Seleccionar&gt;&gt;]]</f>
        <v>#N/A</v>
      </c>
      <c r="F603" s="328" t="e">
        <f>VLOOKUP(Tabla18[[#This Row],[Concat2]],TablaPOA[[#All],[Concat]:[ConcatEspecial]],3,0)</f>
        <v>#N/A</v>
      </c>
      <c r="G603" s="65" t="str">
        <f>CONCATENATE(Registro!$A$6,"_",Tabla5[[#This Row],[Zona (Provincia)
&lt;&lt; Seleccionar&gt;&gt;]])</f>
        <v>Huánuco_</v>
      </c>
      <c r="H603" s="60" t="e">
        <f>VLOOKUP(Tabla18[[#This Row],[Concatenado***]],Tabla2[[#All],[Concatenado]:[Simbología*]],2,0)</f>
        <v>#N/A</v>
      </c>
      <c r="I603" s="65" t="str">
        <f>CONCATENATE(Tabla18[[#This Row],[Concatenado***]],"_",Tabla5[[#This Row],[Zona (Distrito)
&lt;&lt; Seleccionar&gt;&gt;]])</f>
        <v>Huánuco__</v>
      </c>
      <c r="J6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3" s="72" t="e">
        <f>VLOOKUP(Tabla5[[#This Row],[Tipo de Transporte Empleado
&lt;&lt; Seleccionar&gt;&gt;]],Tabla8[#All],2,0)</f>
        <v>#N/A</v>
      </c>
      <c r="L603" s="71" t="e">
        <f>#REF!+(#REF!*2)+#REF!</f>
        <v>#REF!</v>
      </c>
    </row>
    <row r="604" spans="1:12" x14ac:dyDescent="0.25">
      <c r="A604" s="328" t="e">
        <f>VLOOKUP(Tabla5[[#This Row],[Acción
&lt;&lt; Seleccionar&gt;&gt;]],TablaAccion[[#All],[Nombre_Abreviado]:[Codigo_Plan_Acción]],3,0)</f>
        <v>#N/A</v>
      </c>
      <c r="B604" s="328" t="e">
        <f>VLOOKUP(Tabla5[[#This Row],[Acción Especifica
&lt;&lt; Seleccionar&gt;&gt;]],TablaAccionEspecifica[[#All],[Nombre_Abreviado]:[Codigo_Acción]],3,0)</f>
        <v>#N/A</v>
      </c>
      <c r="C604" s="328" t="e">
        <f>CONCATENATE(Tabla18[[#This Row],[Bus_02]],"_",Tabla5[[#This Row],[Sub Acción Específica
&lt;&lt; Seleccionar&gt;&gt;]])</f>
        <v>#N/A</v>
      </c>
      <c r="D604" s="328" t="e">
        <f>VLOOKUP(Tabla18[[#This Row],[Aux_01]],TablaSubAccionEspecifica[[#All],[Concat]:[Cod_Sub_acción_especifica]],2,0)</f>
        <v>#N/A</v>
      </c>
      <c r="E604" s="328" t="e">
        <f>Tabla18[[#This Row],[Bus_03]]&amp;"_"&amp;Tabla5[[#This Row],[Tipo de Agente
&lt;&lt; Seleccionar&gt;&gt;]]</f>
        <v>#N/A</v>
      </c>
      <c r="F604" s="328" t="e">
        <f>VLOOKUP(Tabla18[[#This Row],[Concat2]],TablaPOA[[#All],[Concat]:[ConcatEspecial]],3,0)</f>
        <v>#N/A</v>
      </c>
      <c r="G604" s="65" t="str">
        <f>CONCATENATE(Registro!$A$6,"_",Tabla5[[#This Row],[Zona (Provincia)
&lt;&lt; Seleccionar&gt;&gt;]])</f>
        <v>Huánuco_</v>
      </c>
      <c r="H604" s="60" t="e">
        <f>VLOOKUP(Tabla18[[#This Row],[Concatenado***]],Tabla2[[#All],[Concatenado]:[Simbología*]],2,0)</f>
        <v>#N/A</v>
      </c>
      <c r="I604" s="65" t="str">
        <f>CONCATENATE(Tabla18[[#This Row],[Concatenado***]],"_",Tabla5[[#This Row],[Zona (Distrito)
&lt;&lt; Seleccionar&gt;&gt;]])</f>
        <v>Huánuco__</v>
      </c>
      <c r="J6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4" s="72" t="e">
        <f>VLOOKUP(Tabla5[[#This Row],[Tipo de Transporte Empleado
&lt;&lt; Seleccionar&gt;&gt;]],Tabla8[#All],2,0)</f>
        <v>#N/A</v>
      </c>
      <c r="L604" s="71" t="e">
        <f>#REF!+(#REF!*2)+#REF!</f>
        <v>#REF!</v>
      </c>
    </row>
    <row r="605" spans="1:12" x14ac:dyDescent="0.25">
      <c r="A605" s="328" t="e">
        <f>VLOOKUP(Tabla5[[#This Row],[Acción
&lt;&lt; Seleccionar&gt;&gt;]],TablaAccion[[#All],[Nombre_Abreviado]:[Codigo_Plan_Acción]],3,0)</f>
        <v>#N/A</v>
      </c>
      <c r="B605" s="328" t="e">
        <f>VLOOKUP(Tabla5[[#This Row],[Acción Especifica
&lt;&lt; Seleccionar&gt;&gt;]],TablaAccionEspecifica[[#All],[Nombre_Abreviado]:[Codigo_Acción]],3,0)</f>
        <v>#N/A</v>
      </c>
      <c r="C605" s="328" t="e">
        <f>CONCATENATE(Tabla18[[#This Row],[Bus_02]],"_",Tabla5[[#This Row],[Sub Acción Específica
&lt;&lt; Seleccionar&gt;&gt;]])</f>
        <v>#N/A</v>
      </c>
      <c r="D605" s="328" t="e">
        <f>VLOOKUP(Tabla18[[#This Row],[Aux_01]],TablaSubAccionEspecifica[[#All],[Concat]:[Cod_Sub_acción_especifica]],2,0)</f>
        <v>#N/A</v>
      </c>
      <c r="E605" s="328" t="e">
        <f>Tabla18[[#This Row],[Bus_03]]&amp;"_"&amp;Tabla5[[#This Row],[Tipo de Agente
&lt;&lt; Seleccionar&gt;&gt;]]</f>
        <v>#N/A</v>
      </c>
      <c r="F605" s="328" t="e">
        <f>VLOOKUP(Tabla18[[#This Row],[Concat2]],TablaPOA[[#All],[Concat]:[ConcatEspecial]],3,0)</f>
        <v>#N/A</v>
      </c>
      <c r="G605" s="65" t="str">
        <f>CONCATENATE(Registro!$A$6,"_",Tabla5[[#This Row],[Zona (Provincia)
&lt;&lt; Seleccionar&gt;&gt;]])</f>
        <v>Huánuco_</v>
      </c>
      <c r="H605" s="60" t="e">
        <f>VLOOKUP(Tabla18[[#This Row],[Concatenado***]],Tabla2[[#All],[Concatenado]:[Simbología*]],2,0)</f>
        <v>#N/A</v>
      </c>
      <c r="I605" s="65" t="str">
        <f>CONCATENATE(Tabla18[[#This Row],[Concatenado***]],"_",Tabla5[[#This Row],[Zona (Distrito)
&lt;&lt; Seleccionar&gt;&gt;]])</f>
        <v>Huánuco__</v>
      </c>
      <c r="J6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5" s="72" t="e">
        <f>VLOOKUP(Tabla5[[#This Row],[Tipo de Transporte Empleado
&lt;&lt; Seleccionar&gt;&gt;]],Tabla8[#All],2,0)</f>
        <v>#N/A</v>
      </c>
      <c r="L605" s="71" t="e">
        <f>#REF!+(#REF!*2)+#REF!</f>
        <v>#REF!</v>
      </c>
    </row>
    <row r="606" spans="1:12" x14ac:dyDescent="0.25">
      <c r="A606" s="328" t="e">
        <f>VLOOKUP(Tabla5[[#This Row],[Acción
&lt;&lt; Seleccionar&gt;&gt;]],TablaAccion[[#All],[Nombre_Abreviado]:[Codigo_Plan_Acción]],3,0)</f>
        <v>#N/A</v>
      </c>
      <c r="B606" s="328" t="e">
        <f>VLOOKUP(Tabla5[[#This Row],[Acción Especifica
&lt;&lt; Seleccionar&gt;&gt;]],TablaAccionEspecifica[[#All],[Nombre_Abreviado]:[Codigo_Acción]],3,0)</f>
        <v>#N/A</v>
      </c>
      <c r="C606" s="328" t="e">
        <f>CONCATENATE(Tabla18[[#This Row],[Bus_02]],"_",Tabla5[[#This Row],[Sub Acción Específica
&lt;&lt; Seleccionar&gt;&gt;]])</f>
        <v>#N/A</v>
      </c>
      <c r="D606" s="328" t="e">
        <f>VLOOKUP(Tabla18[[#This Row],[Aux_01]],TablaSubAccionEspecifica[[#All],[Concat]:[Cod_Sub_acción_especifica]],2,0)</f>
        <v>#N/A</v>
      </c>
      <c r="E606" s="328" t="e">
        <f>Tabla18[[#This Row],[Bus_03]]&amp;"_"&amp;Tabla5[[#This Row],[Tipo de Agente
&lt;&lt; Seleccionar&gt;&gt;]]</f>
        <v>#N/A</v>
      </c>
      <c r="F606" s="328" t="e">
        <f>VLOOKUP(Tabla18[[#This Row],[Concat2]],TablaPOA[[#All],[Concat]:[ConcatEspecial]],3,0)</f>
        <v>#N/A</v>
      </c>
      <c r="G606" s="65" t="str">
        <f>CONCATENATE(Registro!$A$6,"_",Tabla5[[#This Row],[Zona (Provincia)
&lt;&lt; Seleccionar&gt;&gt;]])</f>
        <v>Huánuco_</v>
      </c>
      <c r="H606" s="60" t="e">
        <f>VLOOKUP(Tabla18[[#This Row],[Concatenado***]],Tabla2[[#All],[Concatenado]:[Simbología*]],2,0)</f>
        <v>#N/A</v>
      </c>
      <c r="I606" s="65" t="str">
        <f>CONCATENATE(Tabla18[[#This Row],[Concatenado***]],"_",Tabla5[[#This Row],[Zona (Distrito)
&lt;&lt; Seleccionar&gt;&gt;]])</f>
        <v>Huánuco__</v>
      </c>
      <c r="J6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6" s="72" t="e">
        <f>VLOOKUP(Tabla5[[#This Row],[Tipo de Transporte Empleado
&lt;&lt; Seleccionar&gt;&gt;]],Tabla8[#All],2,0)</f>
        <v>#N/A</v>
      </c>
      <c r="L606" s="71" t="e">
        <f>#REF!+(#REF!*2)+#REF!</f>
        <v>#REF!</v>
      </c>
    </row>
    <row r="607" spans="1:12" x14ac:dyDescent="0.25">
      <c r="A607" s="328" t="e">
        <f>VLOOKUP(Tabla5[[#This Row],[Acción
&lt;&lt; Seleccionar&gt;&gt;]],TablaAccion[[#All],[Nombre_Abreviado]:[Codigo_Plan_Acción]],3,0)</f>
        <v>#N/A</v>
      </c>
      <c r="B607" s="328" t="e">
        <f>VLOOKUP(Tabla5[[#This Row],[Acción Especifica
&lt;&lt; Seleccionar&gt;&gt;]],TablaAccionEspecifica[[#All],[Nombre_Abreviado]:[Codigo_Acción]],3,0)</f>
        <v>#N/A</v>
      </c>
      <c r="C607" s="328" t="e">
        <f>CONCATENATE(Tabla18[[#This Row],[Bus_02]],"_",Tabla5[[#This Row],[Sub Acción Específica
&lt;&lt; Seleccionar&gt;&gt;]])</f>
        <v>#N/A</v>
      </c>
      <c r="D607" s="328" t="e">
        <f>VLOOKUP(Tabla18[[#This Row],[Aux_01]],TablaSubAccionEspecifica[[#All],[Concat]:[Cod_Sub_acción_especifica]],2,0)</f>
        <v>#N/A</v>
      </c>
      <c r="E607" s="328" t="e">
        <f>Tabla18[[#This Row],[Bus_03]]&amp;"_"&amp;Tabla5[[#This Row],[Tipo de Agente
&lt;&lt; Seleccionar&gt;&gt;]]</f>
        <v>#N/A</v>
      </c>
      <c r="F607" s="328" t="e">
        <f>VLOOKUP(Tabla18[[#This Row],[Concat2]],TablaPOA[[#All],[Concat]:[ConcatEspecial]],3,0)</f>
        <v>#N/A</v>
      </c>
      <c r="G607" s="65" t="str">
        <f>CONCATENATE(Registro!$A$6,"_",Tabla5[[#This Row],[Zona (Provincia)
&lt;&lt; Seleccionar&gt;&gt;]])</f>
        <v>Huánuco_</v>
      </c>
      <c r="H607" s="60" t="e">
        <f>VLOOKUP(Tabla18[[#This Row],[Concatenado***]],Tabla2[[#All],[Concatenado]:[Simbología*]],2,0)</f>
        <v>#N/A</v>
      </c>
      <c r="I607" s="65" t="str">
        <f>CONCATENATE(Tabla18[[#This Row],[Concatenado***]],"_",Tabla5[[#This Row],[Zona (Distrito)
&lt;&lt; Seleccionar&gt;&gt;]])</f>
        <v>Huánuco__</v>
      </c>
      <c r="J6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7" s="72" t="e">
        <f>VLOOKUP(Tabla5[[#This Row],[Tipo de Transporte Empleado
&lt;&lt; Seleccionar&gt;&gt;]],Tabla8[#All],2,0)</f>
        <v>#N/A</v>
      </c>
      <c r="L607" s="71" t="e">
        <f>#REF!+(#REF!*2)+#REF!</f>
        <v>#REF!</v>
      </c>
    </row>
    <row r="608" spans="1:12" x14ac:dyDescent="0.25">
      <c r="A608" s="328" t="e">
        <f>VLOOKUP(Tabla5[[#This Row],[Acción
&lt;&lt; Seleccionar&gt;&gt;]],TablaAccion[[#All],[Nombre_Abreviado]:[Codigo_Plan_Acción]],3,0)</f>
        <v>#N/A</v>
      </c>
      <c r="B608" s="328" t="e">
        <f>VLOOKUP(Tabla5[[#This Row],[Acción Especifica
&lt;&lt; Seleccionar&gt;&gt;]],TablaAccionEspecifica[[#All],[Nombre_Abreviado]:[Codigo_Acción]],3,0)</f>
        <v>#N/A</v>
      </c>
      <c r="C608" s="328" t="e">
        <f>CONCATENATE(Tabla18[[#This Row],[Bus_02]],"_",Tabla5[[#This Row],[Sub Acción Específica
&lt;&lt; Seleccionar&gt;&gt;]])</f>
        <v>#N/A</v>
      </c>
      <c r="D608" s="328" t="e">
        <f>VLOOKUP(Tabla18[[#This Row],[Aux_01]],TablaSubAccionEspecifica[[#All],[Concat]:[Cod_Sub_acción_especifica]],2,0)</f>
        <v>#N/A</v>
      </c>
      <c r="E608" s="328" t="e">
        <f>Tabla18[[#This Row],[Bus_03]]&amp;"_"&amp;Tabla5[[#This Row],[Tipo de Agente
&lt;&lt; Seleccionar&gt;&gt;]]</f>
        <v>#N/A</v>
      </c>
      <c r="F608" s="328" t="e">
        <f>VLOOKUP(Tabla18[[#This Row],[Concat2]],TablaPOA[[#All],[Concat]:[ConcatEspecial]],3,0)</f>
        <v>#N/A</v>
      </c>
      <c r="G608" s="65" t="str">
        <f>CONCATENATE(Registro!$A$6,"_",Tabla5[[#This Row],[Zona (Provincia)
&lt;&lt; Seleccionar&gt;&gt;]])</f>
        <v>Huánuco_</v>
      </c>
      <c r="H608" s="60" t="e">
        <f>VLOOKUP(Tabla18[[#This Row],[Concatenado***]],Tabla2[[#All],[Concatenado]:[Simbología*]],2,0)</f>
        <v>#N/A</v>
      </c>
      <c r="I608" s="65" t="str">
        <f>CONCATENATE(Tabla18[[#This Row],[Concatenado***]],"_",Tabla5[[#This Row],[Zona (Distrito)
&lt;&lt; Seleccionar&gt;&gt;]])</f>
        <v>Huánuco__</v>
      </c>
      <c r="J6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8" s="72" t="e">
        <f>VLOOKUP(Tabla5[[#This Row],[Tipo de Transporte Empleado
&lt;&lt; Seleccionar&gt;&gt;]],Tabla8[#All],2,0)</f>
        <v>#N/A</v>
      </c>
      <c r="L608" s="71" t="e">
        <f>#REF!+(#REF!*2)+#REF!</f>
        <v>#REF!</v>
      </c>
    </row>
    <row r="609" spans="1:12" x14ac:dyDescent="0.25">
      <c r="A609" s="328" t="e">
        <f>VLOOKUP(Tabla5[[#This Row],[Acción
&lt;&lt; Seleccionar&gt;&gt;]],TablaAccion[[#All],[Nombre_Abreviado]:[Codigo_Plan_Acción]],3,0)</f>
        <v>#N/A</v>
      </c>
      <c r="B609" s="328" t="e">
        <f>VLOOKUP(Tabla5[[#This Row],[Acción Especifica
&lt;&lt; Seleccionar&gt;&gt;]],TablaAccionEspecifica[[#All],[Nombre_Abreviado]:[Codigo_Acción]],3,0)</f>
        <v>#N/A</v>
      </c>
      <c r="C609" s="328" t="e">
        <f>CONCATENATE(Tabla18[[#This Row],[Bus_02]],"_",Tabla5[[#This Row],[Sub Acción Específica
&lt;&lt; Seleccionar&gt;&gt;]])</f>
        <v>#N/A</v>
      </c>
      <c r="D609" s="328" t="e">
        <f>VLOOKUP(Tabla18[[#This Row],[Aux_01]],TablaSubAccionEspecifica[[#All],[Concat]:[Cod_Sub_acción_especifica]],2,0)</f>
        <v>#N/A</v>
      </c>
      <c r="E609" s="328" t="e">
        <f>Tabla18[[#This Row],[Bus_03]]&amp;"_"&amp;Tabla5[[#This Row],[Tipo de Agente
&lt;&lt; Seleccionar&gt;&gt;]]</f>
        <v>#N/A</v>
      </c>
      <c r="F609" s="328" t="e">
        <f>VLOOKUP(Tabla18[[#This Row],[Concat2]],TablaPOA[[#All],[Concat]:[ConcatEspecial]],3,0)</f>
        <v>#N/A</v>
      </c>
      <c r="G609" s="65" t="str">
        <f>CONCATENATE(Registro!$A$6,"_",Tabla5[[#This Row],[Zona (Provincia)
&lt;&lt; Seleccionar&gt;&gt;]])</f>
        <v>Huánuco_</v>
      </c>
      <c r="H609" s="60" t="e">
        <f>VLOOKUP(Tabla18[[#This Row],[Concatenado***]],Tabla2[[#All],[Concatenado]:[Simbología*]],2,0)</f>
        <v>#N/A</v>
      </c>
      <c r="I609" s="65" t="str">
        <f>CONCATENATE(Tabla18[[#This Row],[Concatenado***]],"_",Tabla5[[#This Row],[Zona (Distrito)
&lt;&lt; Seleccionar&gt;&gt;]])</f>
        <v>Huánuco__</v>
      </c>
      <c r="J6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9" s="72" t="e">
        <f>VLOOKUP(Tabla5[[#This Row],[Tipo de Transporte Empleado
&lt;&lt; Seleccionar&gt;&gt;]],Tabla8[#All],2,0)</f>
        <v>#N/A</v>
      </c>
      <c r="L609" s="71" t="e">
        <f>#REF!+(#REF!*2)+#REF!</f>
        <v>#REF!</v>
      </c>
    </row>
    <row r="610" spans="1:12" x14ac:dyDescent="0.25">
      <c r="A610" s="328" t="e">
        <f>VLOOKUP(Tabla5[[#This Row],[Acción
&lt;&lt; Seleccionar&gt;&gt;]],TablaAccion[[#All],[Nombre_Abreviado]:[Codigo_Plan_Acción]],3,0)</f>
        <v>#N/A</v>
      </c>
      <c r="B610" s="328" t="e">
        <f>VLOOKUP(Tabla5[[#This Row],[Acción Especifica
&lt;&lt; Seleccionar&gt;&gt;]],TablaAccionEspecifica[[#All],[Nombre_Abreviado]:[Codigo_Acción]],3,0)</f>
        <v>#N/A</v>
      </c>
      <c r="C610" s="328" t="e">
        <f>CONCATENATE(Tabla18[[#This Row],[Bus_02]],"_",Tabla5[[#This Row],[Sub Acción Específica
&lt;&lt; Seleccionar&gt;&gt;]])</f>
        <v>#N/A</v>
      </c>
      <c r="D610" s="328" t="e">
        <f>VLOOKUP(Tabla18[[#This Row],[Aux_01]],TablaSubAccionEspecifica[[#All],[Concat]:[Cod_Sub_acción_especifica]],2,0)</f>
        <v>#N/A</v>
      </c>
      <c r="E610" s="328" t="e">
        <f>Tabla18[[#This Row],[Bus_03]]&amp;"_"&amp;Tabla5[[#This Row],[Tipo de Agente
&lt;&lt; Seleccionar&gt;&gt;]]</f>
        <v>#N/A</v>
      </c>
      <c r="F610" s="328" t="e">
        <f>VLOOKUP(Tabla18[[#This Row],[Concat2]],TablaPOA[[#All],[Concat]:[ConcatEspecial]],3,0)</f>
        <v>#N/A</v>
      </c>
      <c r="G610" s="65" t="str">
        <f>CONCATENATE(Registro!$A$6,"_",Tabla5[[#This Row],[Zona (Provincia)
&lt;&lt; Seleccionar&gt;&gt;]])</f>
        <v>Huánuco_</v>
      </c>
      <c r="H610" s="60" t="e">
        <f>VLOOKUP(Tabla18[[#This Row],[Concatenado***]],Tabla2[[#All],[Concatenado]:[Simbología*]],2,0)</f>
        <v>#N/A</v>
      </c>
      <c r="I610" s="65" t="str">
        <f>CONCATENATE(Tabla18[[#This Row],[Concatenado***]],"_",Tabla5[[#This Row],[Zona (Distrito)
&lt;&lt; Seleccionar&gt;&gt;]])</f>
        <v>Huánuco__</v>
      </c>
      <c r="J6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0" s="72" t="e">
        <f>VLOOKUP(Tabla5[[#This Row],[Tipo de Transporte Empleado
&lt;&lt; Seleccionar&gt;&gt;]],Tabla8[#All],2,0)</f>
        <v>#N/A</v>
      </c>
      <c r="L610" s="71" t="e">
        <f>#REF!+(#REF!*2)+#REF!</f>
        <v>#REF!</v>
      </c>
    </row>
    <row r="611" spans="1:12" x14ac:dyDescent="0.25">
      <c r="A611" s="328" t="e">
        <f>VLOOKUP(Tabla5[[#This Row],[Acción
&lt;&lt; Seleccionar&gt;&gt;]],TablaAccion[[#All],[Nombre_Abreviado]:[Codigo_Plan_Acción]],3,0)</f>
        <v>#N/A</v>
      </c>
      <c r="B611" s="328" t="e">
        <f>VLOOKUP(Tabla5[[#This Row],[Acción Especifica
&lt;&lt; Seleccionar&gt;&gt;]],TablaAccionEspecifica[[#All],[Nombre_Abreviado]:[Codigo_Acción]],3,0)</f>
        <v>#N/A</v>
      </c>
      <c r="C611" s="328" t="e">
        <f>CONCATENATE(Tabla18[[#This Row],[Bus_02]],"_",Tabla5[[#This Row],[Sub Acción Específica
&lt;&lt; Seleccionar&gt;&gt;]])</f>
        <v>#N/A</v>
      </c>
      <c r="D611" s="328" t="e">
        <f>VLOOKUP(Tabla18[[#This Row],[Aux_01]],TablaSubAccionEspecifica[[#All],[Concat]:[Cod_Sub_acción_especifica]],2,0)</f>
        <v>#N/A</v>
      </c>
      <c r="E611" s="328" t="e">
        <f>Tabla18[[#This Row],[Bus_03]]&amp;"_"&amp;Tabla5[[#This Row],[Tipo de Agente
&lt;&lt; Seleccionar&gt;&gt;]]</f>
        <v>#N/A</v>
      </c>
      <c r="F611" s="328" t="e">
        <f>VLOOKUP(Tabla18[[#This Row],[Concat2]],TablaPOA[[#All],[Concat]:[ConcatEspecial]],3,0)</f>
        <v>#N/A</v>
      </c>
      <c r="G611" s="65" t="str">
        <f>CONCATENATE(Registro!$A$6,"_",Tabla5[[#This Row],[Zona (Provincia)
&lt;&lt; Seleccionar&gt;&gt;]])</f>
        <v>Huánuco_</v>
      </c>
      <c r="H611" s="60" t="e">
        <f>VLOOKUP(Tabla18[[#This Row],[Concatenado***]],Tabla2[[#All],[Concatenado]:[Simbología*]],2,0)</f>
        <v>#N/A</v>
      </c>
      <c r="I611" s="65" t="str">
        <f>CONCATENATE(Tabla18[[#This Row],[Concatenado***]],"_",Tabla5[[#This Row],[Zona (Distrito)
&lt;&lt; Seleccionar&gt;&gt;]])</f>
        <v>Huánuco__</v>
      </c>
      <c r="J6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1" s="72" t="e">
        <f>VLOOKUP(Tabla5[[#This Row],[Tipo de Transporte Empleado
&lt;&lt; Seleccionar&gt;&gt;]],Tabla8[#All],2,0)</f>
        <v>#N/A</v>
      </c>
      <c r="L611" s="71" t="e">
        <f>#REF!+(#REF!*2)+#REF!</f>
        <v>#REF!</v>
      </c>
    </row>
    <row r="612" spans="1:12" x14ac:dyDescent="0.25">
      <c r="A612" s="328" t="e">
        <f>VLOOKUP(Tabla5[[#This Row],[Acción
&lt;&lt; Seleccionar&gt;&gt;]],TablaAccion[[#All],[Nombre_Abreviado]:[Codigo_Plan_Acción]],3,0)</f>
        <v>#N/A</v>
      </c>
      <c r="B612" s="328" t="e">
        <f>VLOOKUP(Tabla5[[#This Row],[Acción Especifica
&lt;&lt; Seleccionar&gt;&gt;]],TablaAccionEspecifica[[#All],[Nombre_Abreviado]:[Codigo_Acción]],3,0)</f>
        <v>#N/A</v>
      </c>
      <c r="C612" s="328" t="e">
        <f>CONCATENATE(Tabla18[[#This Row],[Bus_02]],"_",Tabla5[[#This Row],[Sub Acción Específica
&lt;&lt; Seleccionar&gt;&gt;]])</f>
        <v>#N/A</v>
      </c>
      <c r="D612" s="328" t="e">
        <f>VLOOKUP(Tabla18[[#This Row],[Aux_01]],TablaSubAccionEspecifica[[#All],[Concat]:[Cod_Sub_acción_especifica]],2,0)</f>
        <v>#N/A</v>
      </c>
      <c r="E612" s="328" t="e">
        <f>Tabla18[[#This Row],[Bus_03]]&amp;"_"&amp;Tabla5[[#This Row],[Tipo de Agente
&lt;&lt; Seleccionar&gt;&gt;]]</f>
        <v>#N/A</v>
      </c>
      <c r="F612" s="328" t="e">
        <f>VLOOKUP(Tabla18[[#This Row],[Concat2]],TablaPOA[[#All],[Concat]:[ConcatEspecial]],3,0)</f>
        <v>#N/A</v>
      </c>
      <c r="G612" s="65" t="str">
        <f>CONCATENATE(Registro!$A$6,"_",Tabla5[[#This Row],[Zona (Provincia)
&lt;&lt; Seleccionar&gt;&gt;]])</f>
        <v>Huánuco_</v>
      </c>
      <c r="H612" s="60" t="e">
        <f>VLOOKUP(Tabla18[[#This Row],[Concatenado***]],Tabla2[[#All],[Concatenado]:[Simbología*]],2,0)</f>
        <v>#N/A</v>
      </c>
      <c r="I612" s="65" t="str">
        <f>CONCATENATE(Tabla18[[#This Row],[Concatenado***]],"_",Tabla5[[#This Row],[Zona (Distrito)
&lt;&lt; Seleccionar&gt;&gt;]])</f>
        <v>Huánuco__</v>
      </c>
      <c r="J6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2" s="72" t="e">
        <f>VLOOKUP(Tabla5[[#This Row],[Tipo de Transporte Empleado
&lt;&lt; Seleccionar&gt;&gt;]],Tabla8[#All],2,0)</f>
        <v>#N/A</v>
      </c>
      <c r="L612" s="71" t="e">
        <f>#REF!+(#REF!*2)+#REF!</f>
        <v>#REF!</v>
      </c>
    </row>
    <row r="613" spans="1:12" x14ac:dyDescent="0.25">
      <c r="A613" s="328" t="e">
        <f>VLOOKUP(Tabla5[[#This Row],[Acción
&lt;&lt; Seleccionar&gt;&gt;]],TablaAccion[[#All],[Nombre_Abreviado]:[Codigo_Plan_Acción]],3,0)</f>
        <v>#N/A</v>
      </c>
      <c r="B613" s="328" t="e">
        <f>VLOOKUP(Tabla5[[#This Row],[Acción Especifica
&lt;&lt; Seleccionar&gt;&gt;]],TablaAccionEspecifica[[#All],[Nombre_Abreviado]:[Codigo_Acción]],3,0)</f>
        <v>#N/A</v>
      </c>
      <c r="C613" s="328" t="e">
        <f>CONCATENATE(Tabla18[[#This Row],[Bus_02]],"_",Tabla5[[#This Row],[Sub Acción Específica
&lt;&lt; Seleccionar&gt;&gt;]])</f>
        <v>#N/A</v>
      </c>
      <c r="D613" s="328" t="e">
        <f>VLOOKUP(Tabla18[[#This Row],[Aux_01]],TablaSubAccionEspecifica[[#All],[Concat]:[Cod_Sub_acción_especifica]],2,0)</f>
        <v>#N/A</v>
      </c>
      <c r="E613" s="328" t="e">
        <f>Tabla18[[#This Row],[Bus_03]]&amp;"_"&amp;Tabla5[[#This Row],[Tipo de Agente
&lt;&lt; Seleccionar&gt;&gt;]]</f>
        <v>#N/A</v>
      </c>
      <c r="F613" s="328" t="e">
        <f>VLOOKUP(Tabla18[[#This Row],[Concat2]],TablaPOA[[#All],[Concat]:[ConcatEspecial]],3,0)</f>
        <v>#N/A</v>
      </c>
      <c r="G613" s="65" t="str">
        <f>CONCATENATE(Registro!$A$6,"_",Tabla5[[#This Row],[Zona (Provincia)
&lt;&lt; Seleccionar&gt;&gt;]])</f>
        <v>Huánuco_</v>
      </c>
      <c r="H613" s="60" t="e">
        <f>VLOOKUP(Tabla18[[#This Row],[Concatenado***]],Tabla2[[#All],[Concatenado]:[Simbología*]],2,0)</f>
        <v>#N/A</v>
      </c>
      <c r="I613" s="65" t="str">
        <f>CONCATENATE(Tabla18[[#This Row],[Concatenado***]],"_",Tabla5[[#This Row],[Zona (Distrito)
&lt;&lt; Seleccionar&gt;&gt;]])</f>
        <v>Huánuco__</v>
      </c>
      <c r="J6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3" s="72" t="e">
        <f>VLOOKUP(Tabla5[[#This Row],[Tipo de Transporte Empleado
&lt;&lt; Seleccionar&gt;&gt;]],Tabla8[#All],2,0)</f>
        <v>#N/A</v>
      </c>
      <c r="L613" s="71" t="e">
        <f>#REF!+(#REF!*2)+#REF!</f>
        <v>#REF!</v>
      </c>
    </row>
    <row r="614" spans="1:12" x14ac:dyDescent="0.25">
      <c r="A614" s="328" t="e">
        <f>VLOOKUP(Tabla5[[#This Row],[Acción
&lt;&lt; Seleccionar&gt;&gt;]],TablaAccion[[#All],[Nombre_Abreviado]:[Codigo_Plan_Acción]],3,0)</f>
        <v>#N/A</v>
      </c>
      <c r="B614" s="328" t="e">
        <f>VLOOKUP(Tabla5[[#This Row],[Acción Especifica
&lt;&lt; Seleccionar&gt;&gt;]],TablaAccionEspecifica[[#All],[Nombre_Abreviado]:[Codigo_Acción]],3,0)</f>
        <v>#N/A</v>
      </c>
      <c r="C614" s="328" t="e">
        <f>CONCATENATE(Tabla18[[#This Row],[Bus_02]],"_",Tabla5[[#This Row],[Sub Acción Específica
&lt;&lt; Seleccionar&gt;&gt;]])</f>
        <v>#N/A</v>
      </c>
      <c r="D614" s="328" t="e">
        <f>VLOOKUP(Tabla18[[#This Row],[Aux_01]],TablaSubAccionEspecifica[[#All],[Concat]:[Cod_Sub_acción_especifica]],2,0)</f>
        <v>#N/A</v>
      </c>
      <c r="E614" s="328" t="e">
        <f>Tabla18[[#This Row],[Bus_03]]&amp;"_"&amp;Tabla5[[#This Row],[Tipo de Agente
&lt;&lt; Seleccionar&gt;&gt;]]</f>
        <v>#N/A</v>
      </c>
      <c r="F614" s="328" t="e">
        <f>VLOOKUP(Tabla18[[#This Row],[Concat2]],TablaPOA[[#All],[Concat]:[ConcatEspecial]],3,0)</f>
        <v>#N/A</v>
      </c>
      <c r="G614" s="65" t="str">
        <f>CONCATENATE(Registro!$A$6,"_",Tabla5[[#This Row],[Zona (Provincia)
&lt;&lt; Seleccionar&gt;&gt;]])</f>
        <v>Huánuco_</v>
      </c>
      <c r="H614" s="60" t="e">
        <f>VLOOKUP(Tabla18[[#This Row],[Concatenado***]],Tabla2[[#All],[Concatenado]:[Simbología*]],2,0)</f>
        <v>#N/A</v>
      </c>
      <c r="I614" s="65" t="str">
        <f>CONCATENATE(Tabla18[[#This Row],[Concatenado***]],"_",Tabla5[[#This Row],[Zona (Distrito)
&lt;&lt; Seleccionar&gt;&gt;]])</f>
        <v>Huánuco__</v>
      </c>
      <c r="J6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4" s="72" t="e">
        <f>VLOOKUP(Tabla5[[#This Row],[Tipo de Transporte Empleado
&lt;&lt; Seleccionar&gt;&gt;]],Tabla8[#All],2,0)</f>
        <v>#N/A</v>
      </c>
      <c r="L614" s="71" t="e">
        <f>#REF!+(#REF!*2)+#REF!</f>
        <v>#REF!</v>
      </c>
    </row>
    <row r="615" spans="1:12" x14ac:dyDescent="0.25">
      <c r="A615" s="328" t="e">
        <f>VLOOKUP(Tabla5[[#This Row],[Acción
&lt;&lt; Seleccionar&gt;&gt;]],TablaAccion[[#All],[Nombre_Abreviado]:[Codigo_Plan_Acción]],3,0)</f>
        <v>#N/A</v>
      </c>
      <c r="B615" s="328" t="e">
        <f>VLOOKUP(Tabla5[[#This Row],[Acción Especifica
&lt;&lt; Seleccionar&gt;&gt;]],TablaAccionEspecifica[[#All],[Nombre_Abreviado]:[Codigo_Acción]],3,0)</f>
        <v>#N/A</v>
      </c>
      <c r="C615" s="328" t="e">
        <f>CONCATENATE(Tabla18[[#This Row],[Bus_02]],"_",Tabla5[[#This Row],[Sub Acción Específica
&lt;&lt; Seleccionar&gt;&gt;]])</f>
        <v>#N/A</v>
      </c>
      <c r="D615" s="328" t="e">
        <f>VLOOKUP(Tabla18[[#This Row],[Aux_01]],TablaSubAccionEspecifica[[#All],[Concat]:[Cod_Sub_acción_especifica]],2,0)</f>
        <v>#N/A</v>
      </c>
      <c r="E615" s="328" t="e">
        <f>Tabla18[[#This Row],[Bus_03]]&amp;"_"&amp;Tabla5[[#This Row],[Tipo de Agente
&lt;&lt; Seleccionar&gt;&gt;]]</f>
        <v>#N/A</v>
      </c>
      <c r="F615" s="328" t="e">
        <f>VLOOKUP(Tabla18[[#This Row],[Concat2]],TablaPOA[[#All],[Concat]:[ConcatEspecial]],3,0)</f>
        <v>#N/A</v>
      </c>
      <c r="G615" s="65" t="str">
        <f>CONCATENATE(Registro!$A$6,"_",Tabla5[[#This Row],[Zona (Provincia)
&lt;&lt; Seleccionar&gt;&gt;]])</f>
        <v>Huánuco_</v>
      </c>
      <c r="H615" s="60" t="e">
        <f>VLOOKUP(Tabla18[[#This Row],[Concatenado***]],Tabla2[[#All],[Concatenado]:[Simbología*]],2,0)</f>
        <v>#N/A</v>
      </c>
      <c r="I615" s="65" t="str">
        <f>CONCATENATE(Tabla18[[#This Row],[Concatenado***]],"_",Tabla5[[#This Row],[Zona (Distrito)
&lt;&lt; Seleccionar&gt;&gt;]])</f>
        <v>Huánuco__</v>
      </c>
      <c r="J6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5" s="72" t="e">
        <f>VLOOKUP(Tabla5[[#This Row],[Tipo de Transporte Empleado
&lt;&lt; Seleccionar&gt;&gt;]],Tabla8[#All],2,0)</f>
        <v>#N/A</v>
      </c>
      <c r="L615" s="71" t="e">
        <f>#REF!+(#REF!*2)+#REF!</f>
        <v>#REF!</v>
      </c>
    </row>
    <row r="616" spans="1:12" x14ac:dyDescent="0.25">
      <c r="A616" s="328" t="e">
        <f>VLOOKUP(Tabla5[[#This Row],[Acción
&lt;&lt; Seleccionar&gt;&gt;]],TablaAccion[[#All],[Nombre_Abreviado]:[Codigo_Plan_Acción]],3,0)</f>
        <v>#N/A</v>
      </c>
      <c r="B616" s="328" t="e">
        <f>VLOOKUP(Tabla5[[#This Row],[Acción Especifica
&lt;&lt; Seleccionar&gt;&gt;]],TablaAccionEspecifica[[#All],[Nombre_Abreviado]:[Codigo_Acción]],3,0)</f>
        <v>#N/A</v>
      </c>
      <c r="C616" s="328" t="e">
        <f>CONCATENATE(Tabla18[[#This Row],[Bus_02]],"_",Tabla5[[#This Row],[Sub Acción Específica
&lt;&lt; Seleccionar&gt;&gt;]])</f>
        <v>#N/A</v>
      </c>
      <c r="D616" s="328" t="e">
        <f>VLOOKUP(Tabla18[[#This Row],[Aux_01]],TablaSubAccionEspecifica[[#All],[Concat]:[Cod_Sub_acción_especifica]],2,0)</f>
        <v>#N/A</v>
      </c>
      <c r="E616" s="328" t="e">
        <f>Tabla18[[#This Row],[Bus_03]]&amp;"_"&amp;Tabla5[[#This Row],[Tipo de Agente
&lt;&lt; Seleccionar&gt;&gt;]]</f>
        <v>#N/A</v>
      </c>
      <c r="F616" s="328" t="e">
        <f>VLOOKUP(Tabla18[[#This Row],[Concat2]],TablaPOA[[#All],[Concat]:[ConcatEspecial]],3,0)</f>
        <v>#N/A</v>
      </c>
      <c r="G616" s="65" t="str">
        <f>CONCATENATE(Registro!$A$6,"_",Tabla5[[#This Row],[Zona (Provincia)
&lt;&lt; Seleccionar&gt;&gt;]])</f>
        <v>Huánuco_</v>
      </c>
      <c r="H616" s="60" t="e">
        <f>VLOOKUP(Tabla18[[#This Row],[Concatenado***]],Tabla2[[#All],[Concatenado]:[Simbología*]],2,0)</f>
        <v>#N/A</v>
      </c>
      <c r="I616" s="65" t="str">
        <f>CONCATENATE(Tabla18[[#This Row],[Concatenado***]],"_",Tabla5[[#This Row],[Zona (Distrito)
&lt;&lt; Seleccionar&gt;&gt;]])</f>
        <v>Huánuco__</v>
      </c>
      <c r="J6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6" s="72" t="e">
        <f>VLOOKUP(Tabla5[[#This Row],[Tipo de Transporte Empleado
&lt;&lt; Seleccionar&gt;&gt;]],Tabla8[#All],2,0)</f>
        <v>#N/A</v>
      </c>
      <c r="L616" s="71" t="e">
        <f>#REF!+(#REF!*2)+#REF!</f>
        <v>#REF!</v>
      </c>
    </row>
    <row r="617" spans="1:12" x14ac:dyDescent="0.25">
      <c r="A617" s="328" t="e">
        <f>VLOOKUP(Tabla5[[#This Row],[Acción
&lt;&lt; Seleccionar&gt;&gt;]],TablaAccion[[#All],[Nombre_Abreviado]:[Codigo_Plan_Acción]],3,0)</f>
        <v>#N/A</v>
      </c>
      <c r="B617" s="328" t="e">
        <f>VLOOKUP(Tabla5[[#This Row],[Acción Especifica
&lt;&lt; Seleccionar&gt;&gt;]],TablaAccionEspecifica[[#All],[Nombre_Abreviado]:[Codigo_Acción]],3,0)</f>
        <v>#N/A</v>
      </c>
      <c r="C617" s="328" t="e">
        <f>CONCATENATE(Tabla18[[#This Row],[Bus_02]],"_",Tabla5[[#This Row],[Sub Acción Específica
&lt;&lt; Seleccionar&gt;&gt;]])</f>
        <v>#N/A</v>
      </c>
      <c r="D617" s="328" t="e">
        <f>VLOOKUP(Tabla18[[#This Row],[Aux_01]],TablaSubAccionEspecifica[[#All],[Concat]:[Cod_Sub_acción_especifica]],2,0)</f>
        <v>#N/A</v>
      </c>
      <c r="E617" s="328" t="e">
        <f>Tabla18[[#This Row],[Bus_03]]&amp;"_"&amp;Tabla5[[#This Row],[Tipo de Agente
&lt;&lt; Seleccionar&gt;&gt;]]</f>
        <v>#N/A</v>
      </c>
      <c r="F617" s="328" t="e">
        <f>VLOOKUP(Tabla18[[#This Row],[Concat2]],TablaPOA[[#All],[Concat]:[ConcatEspecial]],3,0)</f>
        <v>#N/A</v>
      </c>
      <c r="G617" s="65" t="str">
        <f>CONCATENATE(Registro!$A$6,"_",Tabla5[[#This Row],[Zona (Provincia)
&lt;&lt; Seleccionar&gt;&gt;]])</f>
        <v>Huánuco_</v>
      </c>
      <c r="H617" s="60" t="e">
        <f>VLOOKUP(Tabla18[[#This Row],[Concatenado***]],Tabla2[[#All],[Concatenado]:[Simbología*]],2,0)</f>
        <v>#N/A</v>
      </c>
      <c r="I617" s="65" t="str">
        <f>CONCATENATE(Tabla18[[#This Row],[Concatenado***]],"_",Tabla5[[#This Row],[Zona (Distrito)
&lt;&lt; Seleccionar&gt;&gt;]])</f>
        <v>Huánuco__</v>
      </c>
      <c r="J6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7" s="72" t="e">
        <f>VLOOKUP(Tabla5[[#This Row],[Tipo de Transporte Empleado
&lt;&lt; Seleccionar&gt;&gt;]],Tabla8[#All],2,0)</f>
        <v>#N/A</v>
      </c>
      <c r="L617" s="71" t="e">
        <f>#REF!+(#REF!*2)+#REF!</f>
        <v>#REF!</v>
      </c>
    </row>
    <row r="618" spans="1:12" x14ac:dyDescent="0.25">
      <c r="A618" s="328" t="e">
        <f>VLOOKUP(Tabla5[[#This Row],[Acción
&lt;&lt; Seleccionar&gt;&gt;]],TablaAccion[[#All],[Nombre_Abreviado]:[Codigo_Plan_Acción]],3,0)</f>
        <v>#N/A</v>
      </c>
      <c r="B618" s="328" t="e">
        <f>VLOOKUP(Tabla5[[#This Row],[Acción Especifica
&lt;&lt; Seleccionar&gt;&gt;]],TablaAccionEspecifica[[#All],[Nombre_Abreviado]:[Codigo_Acción]],3,0)</f>
        <v>#N/A</v>
      </c>
      <c r="C618" s="328" t="e">
        <f>CONCATENATE(Tabla18[[#This Row],[Bus_02]],"_",Tabla5[[#This Row],[Sub Acción Específica
&lt;&lt; Seleccionar&gt;&gt;]])</f>
        <v>#N/A</v>
      </c>
      <c r="D618" s="328" t="e">
        <f>VLOOKUP(Tabla18[[#This Row],[Aux_01]],TablaSubAccionEspecifica[[#All],[Concat]:[Cod_Sub_acción_especifica]],2,0)</f>
        <v>#N/A</v>
      </c>
      <c r="E618" s="328" t="e">
        <f>Tabla18[[#This Row],[Bus_03]]&amp;"_"&amp;Tabla5[[#This Row],[Tipo de Agente
&lt;&lt; Seleccionar&gt;&gt;]]</f>
        <v>#N/A</v>
      </c>
      <c r="F618" s="328" t="e">
        <f>VLOOKUP(Tabla18[[#This Row],[Concat2]],TablaPOA[[#All],[Concat]:[ConcatEspecial]],3,0)</f>
        <v>#N/A</v>
      </c>
      <c r="G618" s="65" t="str">
        <f>CONCATENATE(Registro!$A$6,"_",Tabla5[[#This Row],[Zona (Provincia)
&lt;&lt; Seleccionar&gt;&gt;]])</f>
        <v>Huánuco_</v>
      </c>
      <c r="H618" s="60" t="e">
        <f>VLOOKUP(Tabla18[[#This Row],[Concatenado***]],Tabla2[[#All],[Concatenado]:[Simbología*]],2,0)</f>
        <v>#N/A</v>
      </c>
      <c r="I618" s="65" t="str">
        <f>CONCATENATE(Tabla18[[#This Row],[Concatenado***]],"_",Tabla5[[#This Row],[Zona (Distrito)
&lt;&lt; Seleccionar&gt;&gt;]])</f>
        <v>Huánuco__</v>
      </c>
      <c r="J6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8" s="72" t="e">
        <f>VLOOKUP(Tabla5[[#This Row],[Tipo de Transporte Empleado
&lt;&lt; Seleccionar&gt;&gt;]],Tabla8[#All],2,0)</f>
        <v>#N/A</v>
      </c>
      <c r="L618" s="71" t="e">
        <f>#REF!+(#REF!*2)+#REF!</f>
        <v>#REF!</v>
      </c>
    </row>
    <row r="619" spans="1:12" x14ac:dyDescent="0.25">
      <c r="A619" s="328" t="e">
        <f>VLOOKUP(Tabla5[[#This Row],[Acción
&lt;&lt; Seleccionar&gt;&gt;]],TablaAccion[[#All],[Nombre_Abreviado]:[Codigo_Plan_Acción]],3,0)</f>
        <v>#N/A</v>
      </c>
      <c r="B619" s="328" t="e">
        <f>VLOOKUP(Tabla5[[#This Row],[Acción Especifica
&lt;&lt; Seleccionar&gt;&gt;]],TablaAccionEspecifica[[#All],[Nombre_Abreviado]:[Codigo_Acción]],3,0)</f>
        <v>#N/A</v>
      </c>
      <c r="C619" s="328" t="e">
        <f>CONCATENATE(Tabla18[[#This Row],[Bus_02]],"_",Tabla5[[#This Row],[Sub Acción Específica
&lt;&lt; Seleccionar&gt;&gt;]])</f>
        <v>#N/A</v>
      </c>
      <c r="D619" s="328" t="e">
        <f>VLOOKUP(Tabla18[[#This Row],[Aux_01]],TablaSubAccionEspecifica[[#All],[Concat]:[Cod_Sub_acción_especifica]],2,0)</f>
        <v>#N/A</v>
      </c>
      <c r="E619" s="328" t="e">
        <f>Tabla18[[#This Row],[Bus_03]]&amp;"_"&amp;Tabla5[[#This Row],[Tipo de Agente
&lt;&lt; Seleccionar&gt;&gt;]]</f>
        <v>#N/A</v>
      </c>
      <c r="F619" s="328" t="e">
        <f>VLOOKUP(Tabla18[[#This Row],[Concat2]],TablaPOA[[#All],[Concat]:[ConcatEspecial]],3,0)</f>
        <v>#N/A</v>
      </c>
      <c r="G619" s="65" t="str">
        <f>CONCATENATE(Registro!$A$6,"_",Tabla5[[#This Row],[Zona (Provincia)
&lt;&lt; Seleccionar&gt;&gt;]])</f>
        <v>Huánuco_</v>
      </c>
      <c r="H619" s="60" t="e">
        <f>VLOOKUP(Tabla18[[#This Row],[Concatenado***]],Tabla2[[#All],[Concatenado]:[Simbología*]],2,0)</f>
        <v>#N/A</v>
      </c>
      <c r="I619" s="65" t="str">
        <f>CONCATENATE(Tabla18[[#This Row],[Concatenado***]],"_",Tabla5[[#This Row],[Zona (Distrito)
&lt;&lt; Seleccionar&gt;&gt;]])</f>
        <v>Huánuco__</v>
      </c>
      <c r="J6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9" s="72" t="e">
        <f>VLOOKUP(Tabla5[[#This Row],[Tipo de Transporte Empleado
&lt;&lt; Seleccionar&gt;&gt;]],Tabla8[#All],2,0)</f>
        <v>#N/A</v>
      </c>
      <c r="L619" s="71" t="e">
        <f>#REF!+(#REF!*2)+#REF!</f>
        <v>#REF!</v>
      </c>
    </row>
    <row r="620" spans="1:12" x14ac:dyDescent="0.25">
      <c r="A620" s="328" t="e">
        <f>VLOOKUP(Tabla5[[#This Row],[Acción
&lt;&lt; Seleccionar&gt;&gt;]],TablaAccion[[#All],[Nombre_Abreviado]:[Codigo_Plan_Acción]],3,0)</f>
        <v>#N/A</v>
      </c>
      <c r="B620" s="328" t="e">
        <f>VLOOKUP(Tabla5[[#This Row],[Acción Especifica
&lt;&lt; Seleccionar&gt;&gt;]],TablaAccionEspecifica[[#All],[Nombre_Abreviado]:[Codigo_Acción]],3,0)</f>
        <v>#N/A</v>
      </c>
      <c r="C620" s="328" t="e">
        <f>CONCATENATE(Tabla18[[#This Row],[Bus_02]],"_",Tabla5[[#This Row],[Sub Acción Específica
&lt;&lt; Seleccionar&gt;&gt;]])</f>
        <v>#N/A</v>
      </c>
      <c r="D620" s="328" t="e">
        <f>VLOOKUP(Tabla18[[#This Row],[Aux_01]],TablaSubAccionEspecifica[[#All],[Concat]:[Cod_Sub_acción_especifica]],2,0)</f>
        <v>#N/A</v>
      </c>
      <c r="E620" s="328" t="e">
        <f>Tabla18[[#This Row],[Bus_03]]&amp;"_"&amp;Tabla5[[#This Row],[Tipo de Agente
&lt;&lt; Seleccionar&gt;&gt;]]</f>
        <v>#N/A</v>
      </c>
      <c r="F620" s="328" t="e">
        <f>VLOOKUP(Tabla18[[#This Row],[Concat2]],TablaPOA[[#All],[Concat]:[ConcatEspecial]],3,0)</f>
        <v>#N/A</v>
      </c>
      <c r="G620" s="65" t="str">
        <f>CONCATENATE(Registro!$A$6,"_",Tabla5[[#This Row],[Zona (Provincia)
&lt;&lt; Seleccionar&gt;&gt;]])</f>
        <v>Huánuco_</v>
      </c>
      <c r="H620" s="60" t="e">
        <f>VLOOKUP(Tabla18[[#This Row],[Concatenado***]],Tabla2[[#All],[Concatenado]:[Simbología*]],2,0)</f>
        <v>#N/A</v>
      </c>
      <c r="I620" s="65" t="str">
        <f>CONCATENATE(Tabla18[[#This Row],[Concatenado***]],"_",Tabla5[[#This Row],[Zona (Distrito)
&lt;&lt; Seleccionar&gt;&gt;]])</f>
        <v>Huánuco__</v>
      </c>
      <c r="J6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0" s="72" t="e">
        <f>VLOOKUP(Tabla5[[#This Row],[Tipo de Transporte Empleado
&lt;&lt; Seleccionar&gt;&gt;]],Tabla8[#All],2,0)</f>
        <v>#N/A</v>
      </c>
      <c r="L620" s="71" t="e">
        <f>#REF!+(#REF!*2)+#REF!</f>
        <v>#REF!</v>
      </c>
    </row>
    <row r="621" spans="1:12" x14ac:dyDescent="0.25">
      <c r="A621" s="328" t="e">
        <f>VLOOKUP(Tabla5[[#This Row],[Acción
&lt;&lt; Seleccionar&gt;&gt;]],TablaAccion[[#All],[Nombre_Abreviado]:[Codigo_Plan_Acción]],3,0)</f>
        <v>#N/A</v>
      </c>
      <c r="B621" s="328" t="e">
        <f>VLOOKUP(Tabla5[[#This Row],[Acción Especifica
&lt;&lt; Seleccionar&gt;&gt;]],TablaAccionEspecifica[[#All],[Nombre_Abreviado]:[Codigo_Acción]],3,0)</f>
        <v>#N/A</v>
      </c>
      <c r="C621" s="328" t="e">
        <f>CONCATENATE(Tabla18[[#This Row],[Bus_02]],"_",Tabla5[[#This Row],[Sub Acción Específica
&lt;&lt; Seleccionar&gt;&gt;]])</f>
        <v>#N/A</v>
      </c>
      <c r="D621" s="328" t="e">
        <f>VLOOKUP(Tabla18[[#This Row],[Aux_01]],TablaSubAccionEspecifica[[#All],[Concat]:[Cod_Sub_acción_especifica]],2,0)</f>
        <v>#N/A</v>
      </c>
      <c r="E621" s="328" t="e">
        <f>Tabla18[[#This Row],[Bus_03]]&amp;"_"&amp;Tabla5[[#This Row],[Tipo de Agente
&lt;&lt; Seleccionar&gt;&gt;]]</f>
        <v>#N/A</v>
      </c>
      <c r="F621" s="328" t="e">
        <f>VLOOKUP(Tabla18[[#This Row],[Concat2]],TablaPOA[[#All],[Concat]:[ConcatEspecial]],3,0)</f>
        <v>#N/A</v>
      </c>
      <c r="G621" s="65" t="str">
        <f>CONCATENATE(Registro!$A$6,"_",Tabla5[[#This Row],[Zona (Provincia)
&lt;&lt; Seleccionar&gt;&gt;]])</f>
        <v>Huánuco_</v>
      </c>
      <c r="H621" s="60" t="e">
        <f>VLOOKUP(Tabla18[[#This Row],[Concatenado***]],Tabla2[[#All],[Concatenado]:[Simbología*]],2,0)</f>
        <v>#N/A</v>
      </c>
      <c r="I621" s="65" t="str">
        <f>CONCATENATE(Tabla18[[#This Row],[Concatenado***]],"_",Tabla5[[#This Row],[Zona (Distrito)
&lt;&lt; Seleccionar&gt;&gt;]])</f>
        <v>Huánuco__</v>
      </c>
      <c r="J6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1" s="72" t="e">
        <f>VLOOKUP(Tabla5[[#This Row],[Tipo de Transporte Empleado
&lt;&lt; Seleccionar&gt;&gt;]],Tabla8[#All],2,0)</f>
        <v>#N/A</v>
      </c>
      <c r="L621" s="71" t="e">
        <f>#REF!+(#REF!*2)+#REF!</f>
        <v>#REF!</v>
      </c>
    </row>
    <row r="622" spans="1:12" x14ac:dyDescent="0.25">
      <c r="A622" s="328" t="e">
        <f>VLOOKUP(Tabla5[[#This Row],[Acción
&lt;&lt; Seleccionar&gt;&gt;]],TablaAccion[[#All],[Nombre_Abreviado]:[Codigo_Plan_Acción]],3,0)</f>
        <v>#N/A</v>
      </c>
      <c r="B622" s="328" t="e">
        <f>VLOOKUP(Tabla5[[#This Row],[Acción Especifica
&lt;&lt; Seleccionar&gt;&gt;]],TablaAccionEspecifica[[#All],[Nombre_Abreviado]:[Codigo_Acción]],3,0)</f>
        <v>#N/A</v>
      </c>
      <c r="C622" s="328" t="e">
        <f>CONCATENATE(Tabla18[[#This Row],[Bus_02]],"_",Tabla5[[#This Row],[Sub Acción Específica
&lt;&lt; Seleccionar&gt;&gt;]])</f>
        <v>#N/A</v>
      </c>
      <c r="D622" s="328" t="e">
        <f>VLOOKUP(Tabla18[[#This Row],[Aux_01]],TablaSubAccionEspecifica[[#All],[Concat]:[Cod_Sub_acción_especifica]],2,0)</f>
        <v>#N/A</v>
      </c>
      <c r="E622" s="328" t="e">
        <f>Tabla18[[#This Row],[Bus_03]]&amp;"_"&amp;Tabla5[[#This Row],[Tipo de Agente
&lt;&lt; Seleccionar&gt;&gt;]]</f>
        <v>#N/A</v>
      </c>
      <c r="F622" s="328" t="e">
        <f>VLOOKUP(Tabla18[[#This Row],[Concat2]],TablaPOA[[#All],[Concat]:[ConcatEspecial]],3,0)</f>
        <v>#N/A</v>
      </c>
      <c r="G622" s="65" t="str">
        <f>CONCATENATE(Registro!$A$6,"_",Tabla5[[#This Row],[Zona (Provincia)
&lt;&lt; Seleccionar&gt;&gt;]])</f>
        <v>Huánuco_</v>
      </c>
      <c r="H622" s="60" t="e">
        <f>VLOOKUP(Tabla18[[#This Row],[Concatenado***]],Tabla2[[#All],[Concatenado]:[Simbología*]],2,0)</f>
        <v>#N/A</v>
      </c>
      <c r="I622" s="65" t="str">
        <f>CONCATENATE(Tabla18[[#This Row],[Concatenado***]],"_",Tabla5[[#This Row],[Zona (Distrito)
&lt;&lt; Seleccionar&gt;&gt;]])</f>
        <v>Huánuco__</v>
      </c>
      <c r="J6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2" s="72" t="e">
        <f>VLOOKUP(Tabla5[[#This Row],[Tipo de Transporte Empleado
&lt;&lt; Seleccionar&gt;&gt;]],Tabla8[#All],2,0)</f>
        <v>#N/A</v>
      </c>
      <c r="L622" s="71" t="e">
        <f>#REF!+(#REF!*2)+#REF!</f>
        <v>#REF!</v>
      </c>
    </row>
    <row r="623" spans="1:12" x14ac:dyDescent="0.25">
      <c r="A623" s="328" t="e">
        <f>VLOOKUP(Tabla5[[#This Row],[Acción
&lt;&lt; Seleccionar&gt;&gt;]],TablaAccion[[#All],[Nombre_Abreviado]:[Codigo_Plan_Acción]],3,0)</f>
        <v>#N/A</v>
      </c>
      <c r="B623" s="328" t="e">
        <f>VLOOKUP(Tabla5[[#This Row],[Acción Especifica
&lt;&lt; Seleccionar&gt;&gt;]],TablaAccionEspecifica[[#All],[Nombre_Abreviado]:[Codigo_Acción]],3,0)</f>
        <v>#N/A</v>
      </c>
      <c r="C623" s="328" t="e">
        <f>CONCATENATE(Tabla18[[#This Row],[Bus_02]],"_",Tabla5[[#This Row],[Sub Acción Específica
&lt;&lt; Seleccionar&gt;&gt;]])</f>
        <v>#N/A</v>
      </c>
      <c r="D623" s="328" t="e">
        <f>VLOOKUP(Tabla18[[#This Row],[Aux_01]],TablaSubAccionEspecifica[[#All],[Concat]:[Cod_Sub_acción_especifica]],2,0)</f>
        <v>#N/A</v>
      </c>
      <c r="E623" s="328" t="e">
        <f>Tabla18[[#This Row],[Bus_03]]&amp;"_"&amp;Tabla5[[#This Row],[Tipo de Agente
&lt;&lt; Seleccionar&gt;&gt;]]</f>
        <v>#N/A</v>
      </c>
      <c r="F623" s="328" t="e">
        <f>VLOOKUP(Tabla18[[#This Row],[Concat2]],TablaPOA[[#All],[Concat]:[ConcatEspecial]],3,0)</f>
        <v>#N/A</v>
      </c>
      <c r="G623" s="65" t="str">
        <f>CONCATENATE(Registro!$A$6,"_",Tabla5[[#This Row],[Zona (Provincia)
&lt;&lt; Seleccionar&gt;&gt;]])</f>
        <v>Huánuco_</v>
      </c>
      <c r="H623" s="60" t="e">
        <f>VLOOKUP(Tabla18[[#This Row],[Concatenado***]],Tabla2[[#All],[Concatenado]:[Simbología*]],2,0)</f>
        <v>#N/A</v>
      </c>
      <c r="I623" s="65" t="str">
        <f>CONCATENATE(Tabla18[[#This Row],[Concatenado***]],"_",Tabla5[[#This Row],[Zona (Distrito)
&lt;&lt; Seleccionar&gt;&gt;]])</f>
        <v>Huánuco__</v>
      </c>
      <c r="J6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3" s="72" t="e">
        <f>VLOOKUP(Tabla5[[#This Row],[Tipo de Transporte Empleado
&lt;&lt; Seleccionar&gt;&gt;]],Tabla8[#All],2,0)</f>
        <v>#N/A</v>
      </c>
      <c r="L623" s="71" t="e">
        <f>#REF!+(#REF!*2)+#REF!</f>
        <v>#REF!</v>
      </c>
    </row>
    <row r="624" spans="1:12" x14ac:dyDescent="0.25">
      <c r="A624" s="328" t="e">
        <f>VLOOKUP(Tabla5[[#This Row],[Acción
&lt;&lt; Seleccionar&gt;&gt;]],TablaAccion[[#All],[Nombre_Abreviado]:[Codigo_Plan_Acción]],3,0)</f>
        <v>#N/A</v>
      </c>
      <c r="B624" s="328" t="e">
        <f>VLOOKUP(Tabla5[[#This Row],[Acción Especifica
&lt;&lt; Seleccionar&gt;&gt;]],TablaAccionEspecifica[[#All],[Nombre_Abreviado]:[Codigo_Acción]],3,0)</f>
        <v>#N/A</v>
      </c>
      <c r="C624" s="328" t="e">
        <f>CONCATENATE(Tabla18[[#This Row],[Bus_02]],"_",Tabla5[[#This Row],[Sub Acción Específica
&lt;&lt; Seleccionar&gt;&gt;]])</f>
        <v>#N/A</v>
      </c>
      <c r="D624" s="328" t="e">
        <f>VLOOKUP(Tabla18[[#This Row],[Aux_01]],TablaSubAccionEspecifica[[#All],[Concat]:[Cod_Sub_acción_especifica]],2,0)</f>
        <v>#N/A</v>
      </c>
      <c r="E624" s="328" t="e">
        <f>Tabla18[[#This Row],[Bus_03]]&amp;"_"&amp;Tabla5[[#This Row],[Tipo de Agente
&lt;&lt; Seleccionar&gt;&gt;]]</f>
        <v>#N/A</v>
      </c>
      <c r="F624" s="328" t="e">
        <f>VLOOKUP(Tabla18[[#This Row],[Concat2]],TablaPOA[[#All],[Concat]:[ConcatEspecial]],3,0)</f>
        <v>#N/A</v>
      </c>
      <c r="G624" s="65" t="str">
        <f>CONCATENATE(Registro!$A$6,"_",Tabla5[[#This Row],[Zona (Provincia)
&lt;&lt; Seleccionar&gt;&gt;]])</f>
        <v>Huánuco_</v>
      </c>
      <c r="H624" s="60" t="e">
        <f>VLOOKUP(Tabla18[[#This Row],[Concatenado***]],Tabla2[[#All],[Concatenado]:[Simbología*]],2,0)</f>
        <v>#N/A</v>
      </c>
      <c r="I624" s="65" t="str">
        <f>CONCATENATE(Tabla18[[#This Row],[Concatenado***]],"_",Tabla5[[#This Row],[Zona (Distrito)
&lt;&lt; Seleccionar&gt;&gt;]])</f>
        <v>Huánuco__</v>
      </c>
      <c r="J6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4" s="72" t="e">
        <f>VLOOKUP(Tabla5[[#This Row],[Tipo de Transporte Empleado
&lt;&lt; Seleccionar&gt;&gt;]],Tabla8[#All],2,0)</f>
        <v>#N/A</v>
      </c>
      <c r="L624" s="71" t="e">
        <f>#REF!+(#REF!*2)+#REF!</f>
        <v>#REF!</v>
      </c>
    </row>
    <row r="625" spans="1:12" x14ac:dyDescent="0.25">
      <c r="A625" s="328" t="e">
        <f>VLOOKUP(Tabla5[[#This Row],[Acción
&lt;&lt; Seleccionar&gt;&gt;]],TablaAccion[[#All],[Nombre_Abreviado]:[Codigo_Plan_Acción]],3,0)</f>
        <v>#N/A</v>
      </c>
      <c r="B625" s="328" t="e">
        <f>VLOOKUP(Tabla5[[#This Row],[Acción Especifica
&lt;&lt; Seleccionar&gt;&gt;]],TablaAccionEspecifica[[#All],[Nombre_Abreviado]:[Codigo_Acción]],3,0)</f>
        <v>#N/A</v>
      </c>
      <c r="C625" s="328" t="e">
        <f>CONCATENATE(Tabla18[[#This Row],[Bus_02]],"_",Tabla5[[#This Row],[Sub Acción Específica
&lt;&lt; Seleccionar&gt;&gt;]])</f>
        <v>#N/A</v>
      </c>
      <c r="D625" s="328" t="e">
        <f>VLOOKUP(Tabla18[[#This Row],[Aux_01]],TablaSubAccionEspecifica[[#All],[Concat]:[Cod_Sub_acción_especifica]],2,0)</f>
        <v>#N/A</v>
      </c>
      <c r="E625" s="328" t="e">
        <f>Tabla18[[#This Row],[Bus_03]]&amp;"_"&amp;Tabla5[[#This Row],[Tipo de Agente
&lt;&lt; Seleccionar&gt;&gt;]]</f>
        <v>#N/A</v>
      </c>
      <c r="F625" s="328" t="e">
        <f>VLOOKUP(Tabla18[[#This Row],[Concat2]],TablaPOA[[#All],[Concat]:[ConcatEspecial]],3,0)</f>
        <v>#N/A</v>
      </c>
      <c r="G625" s="65" t="str">
        <f>CONCATENATE(Registro!$A$6,"_",Tabla5[[#This Row],[Zona (Provincia)
&lt;&lt; Seleccionar&gt;&gt;]])</f>
        <v>Huánuco_</v>
      </c>
      <c r="H625" s="60" t="e">
        <f>VLOOKUP(Tabla18[[#This Row],[Concatenado***]],Tabla2[[#All],[Concatenado]:[Simbología*]],2,0)</f>
        <v>#N/A</v>
      </c>
      <c r="I625" s="65" t="str">
        <f>CONCATENATE(Tabla18[[#This Row],[Concatenado***]],"_",Tabla5[[#This Row],[Zona (Distrito)
&lt;&lt; Seleccionar&gt;&gt;]])</f>
        <v>Huánuco__</v>
      </c>
      <c r="J6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5" s="72" t="e">
        <f>VLOOKUP(Tabla5[[#This Row],[Tipo de Transporte Empleado
&lt;&lt; Seleccionar&gt;&gt;]],Tabla8[#All],2,0)</f>
        <v>#N/A</v>
      </c>
      <c r="L625" s="71" t="e">
        <f>#REF!+(#REF!*2)+#REF!</f>
        <v>#REF!</v>
      </c>
    </row>
    <row r="626" spans="1:12" x14ac:dyDescent="0.25">
      <c r="A626" s="328" t="e">
        <f>VLOOKUP(Tabla5[[#This Row],[Acción
&lt;&lt; Seleccionar&gt;&gt;]],TablaAccion[[#All],[Nombre_Abreviado]:[Codigo_Plan_Acción]],3,0)</f>
        <v>#N/A</v>
      </c>
      <c r="B626" s="328" t="e">
        <f>VLOOKUP(Tabla5[[#This Row],[Acción Especifica
&lt;&lt; Seleccionar&gt;&gt;]],TablaAccionEspecifica[[#All],[Nombre_Abreviado]:[Codigo_Acción]],3,0)</f>
        <v>#N/A</v>
      </c>
      <c r="C626" s="328" t="e">
        <f>CONCATENATE(Tabla18[[#This Row],[Bus_02]],"_",Tabla5[[#This Row],[Sub Acción Específica
&lt;&lt; Seleccionar&gt;&gt;]])</f>
        <v>#N/A</v>
      </c>
      <c r="D626" s="328" t="e">
        <f>VLOOKUP(Tabla18[[#This Row],[Aux_01]],TablaSubAccionEspecifica[[#All],[Concat]:[Cod_Sub_acción_especifica]],2,0)</f>
        <v>#N/A</v>
      </c>
      <c r="E626" s="328" t="e">
        <f>Tabla18[[#This Row],[Bus_03]]&amp;"_"&amp;Tabla5[[#This Row],[Tipo de Agente
&lt;&lt; Seleccionar&gt;&gt;]]</f>
        <v>#N/A</v>
      </c>
      <c r="F626" s="328" t="e">
        <f>VLOOKUP(Tabla18[[#This Row],[Concat2]],TablaPOA[[#All],[Concat]:[ConcatEspecial]],3,0)</f>
        <v>#N/A</v>
      </c>
      <c r="G626" s="65" t="str">
        <f>CONCATENATE(Registro!$A$6,"_",Tabla5[[#This Row],[Zona (Provincia)
&lt;&lt; Seleccionar&gt;&gt;]])</f>
        <v>Huánuco_</v>
      </c>
      <c r="H626" s="60" t="e">
        <f>VLOOKUP(Tabla18[[#This Row],[Concatenado***]],Tabla2[[#All],[Concatenado]:[Simbología*]],2,0)</f>
        <v>#N/A</v>
      </c>
      <c r="I626" s="65" t="str">
        <f>CONCATENATE(Tabla18[[#This Row],[Concatenado***]],"_",Tabla5[[#This Row],[Zona (Distrito)
&lt;&lt; Seleccionar&gt;&gt;]])</f>
        <v>Huánuco__</v>
      </c>
      <c r="J6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6" s="72" t="e">
        <f>VLOOKUP(Tabla5[[#This Row],[Tipo de Transporte Empleado
&lt;&lt; Seleccionar&gt;&gt;]],Tabla8[#All],2,0)</f>
        <v>#N/A</v>
      </c>
      <c r="L626" s="71" t="e">
        <f>#REF!+(#REF!*2)+#REF!</f>
        <v>#REF!</v>
      </c>
    </row>
    <row r="627" spans="1:12" x14ac:dyDescent="0.25">
      <c r="A627" s="328" t="e">
        <f>VLOOKUP(Tabla5[[#This Row],[Acción
&lt;&lt; Seleccionar&gt;&gt;]],TablaAccion[[#All],[Nombre_Abreviado]:[Codigo_Plan_Acción]],3,0)</f>
        <v>#N/A</v>
      </c>
      <c r="B627" s="328" t="e">
        <f>VLOOKUP(Tabla5[[#This Row],[Acción Especifica
&lt;&lt; Seleccionar&gt;&gt;]],TablaAccionEspecifica[[#All],[Nombre_Abreviado]:[Codigo_Acción]],3,0)</f>
        <v>#N/A</v>
      </c>
      <c r="C627" s="328" t="e">
        <f>CONCATENATE(Tabla18[[#This Row],[Bus_02]],"_",Tabla5[[#This Row],[Sub Acción Específica
&lt;&lt; Seleccionar&gt;&gt;]])</f>
        <v>#N/A</v>
      </c>
      <c r="D627" s="328" t="e">
        <f>VLOOKUP(Tabla18[[#This Row],[Aux_01]],TablaSubAccionEspecifica[[#All],[Concat]:[Cod_Sub_acción_especifica]],2,0)</f>
        <v>#N/A</v>
      </c>
      <c r="E627" s="328" t="e">
        <f>Tabla18[[#This Row],[Bus_03]]&amp;"_"&amp;Tabla5[[#This Row],[Tipo de Agente
&lt;&lt; Seleccionar&gt;&gt;]]</f>
        <v>#N/A</v>
      </c>
      <c r="F627" s="328" t="e">
        <f>VLOOKUP(Tabla18[[#This Row],[Concat2]],TablaPOA[[#All],[Concat]:[ConcatEspecial]],3,0)</f>
        <v>#N/A</v>
      </c>
      <c r="G627" s="65" t="str">
        <f>CONCATENATE(Registro!$A$6,"_",Tabla5[[#This Row],[Zona (Provincia)
&lt;&lt; Seleccionar&gt;&gt;]])</f>
        <v>Huánuco_</v>
      </c>
      <c r="H627" s="60" t="e">
        <f>VLOOKUP(Tabla18[[#This Row],[Concatenado***]],Tabla2[[#All],[Concatenado]:[Simbología*]],2,0)</f>
        <v>#N/A</v>
      </c>
      <c r="I627" s="65" t="str">
        <f>CONCATENATE(Tabla18[[#This Row],[Concatenado***]],"_",Tabla5[[#This Row],[Zona (Distrito)
&lt;&lt; Seleccionar&gt;&gt;]])</f>
        <v>Huánuco__</v>
      </c>
      <c r="J6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7" s="72" t="e">
        <f>VLOOKUP(Tabla5[[#This Row],[Tipo de Transporte Empleado
&lt;&lt; Seleccionar&gt;&gt;]],Tabla8[#All],2,0)</f>
        <v>#N/A</v>
      </c>
      <c r="L627" s="71" t="e">
        <f>#REF!+(#REF!*2)+#REF!</f>
        <v>#REF!</v>
      </c>
    </row>
    <row r="628" spans="1:12" x14ac:dyDescent="0.25">
      <c r="A628" s="328" t="e">
        <f>VLOOKUP(Tabla5[[#This Row],[Acción
&lt;&lt; Seleccionar&gt;&gt;]],TablaAccion[[#All],[Nombre_Abreviado]:[Codigo_Plan_Acción]],3,0)</f>
        <v>#N/A</v>
      </c>
      <c r="B628" s="328" t="e">
        <f>VLOOKUP(Tabla5[[#This Row],[Acción Especifica
&lt;&lt; Seleccionar&gt;&gt;]],TablaAccionEspecifica[[#All],[Nombre_Abreviado]:[Codigo_Acción]],3,0)</f>
        <v>#N/A</v>
      </c>
      <c r="C628" s="328" t="e">
        <f>CONCATENATE(Tabla18[[#This Row],[Bus_02]],"_",Tabla5[[#This Row],[Sub Acción Específica
&lt;&lt; Seleccionar&gt;&gt;]])</f>
        <v>#N/A</v>
      </c>
      <c r="D628" s="328" t="e">
        <f>VLOOKUP(Tabla18[[#This Row],[Aux_01]],TablaSubAccionEspecifica[[#All],[Concat]:[Cod_Sub_acción_especifica]],2,0)</f>
        <v>#N/A</v>
      </c>
      <c r="E628" s="328" t="e">
        <f>Tabla18[[#This Row],[Bus_03]]&amp;"_"&amp;Tabla5[[#This Row],[Tipo de Agente
&lt;&lt; Seleccionar&gt;&gt;]]</f>
        <v>#N/A</v>
      </c>
      <c r="F628" s="328" t="e">
        <f>VLOOKUP(Tabla18[[#This Row],[Concat2]],TablaPOA[[#All],[Concat]:[ConcatEspecial]],3,0)</f>
        <v>#N/A</v>
      </c>
      <c r="G628" s="65" t="str">
        <f>CONCATENATE(Registro!$A$6,"_",Tabla5[[#This Row],[Zona (Provincia)
&lt;&lt; Seleccionar&gt;&gt;]])</f>
        <v>Huánuco_</v>
      </c>
      <c r="H628" s="60" t="e">
        <f>VLOOKUP(Tabla18[[#This Row],[Concatenado***]],Tabla2[[#All],[Concatenado]:[Simbología*]],2,0)</f>
        <v>#N/A</v>
      </c>
      <c r="I628" s="65" t="str">
        <f>CONCATENATE(Tabla18[[#This Row],[Concatenado***]],"_",Tabla5[[#This Row],[Zona (Distrito)
&lt;&lt; Seleccionar&gt;&gt;]])</f>
        <v>Huánuco__</v>
      </c>
      <c r="J6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8" s="72" t="e">
        <f>VLOOKUP(Tabla5[[#This Row],[Tipo de Transporte Empleado
&lt;&lt; Seleccionar&gt;&gt;]],Tabla8[#All],2,0)</f>
        <v>#N/A</v>
      </c>
      <c r="L628" s="71" t="e">
        <f>#REF!+(#REF!*2)+#REF!</f>
        <v>#REF!</v>
      </c>
    </row>
    <row r="629" spans="1:12" x14ac:dyDescent="0.25">
      <c r="A629" s="328" t="e">
        <f>VLOOKUP(Tabla5[[#This Row],[Acción
&lt;&lt; Seleccionar&gt;&gt;]],TablaAccion[[#All],[Nombre_Abreviado]:[Codigo_Plan_Acción]],3,0)</f>
        <v>#N/A</v>
      </c>
      <c r="B629" s="328" t="e">
        <f>VLOOKUP(Tabla5[[#This Row],[Acción Especifica
&lt;&lt; Seleccionar&gt;&gt;]],TablaAccionEspecifica[[#All],[Nombre_Abreviado]:[Codigo_Acción]],3,0)</f>
        <v>#N/A</v>
      </c>
      <c r="C629" s="328" t="e">
        <f>CONCATENATE(Tabla18[[#This Row],[Bus_02]],"_",Tabla5[[#This Row],[Sub Acción Específica
&lt;&lt; Seleccionar&gt;&gt;]])</f>
        <v>#N/A</v>
      </c>
      <c r="D629" s="328" t="e">
        <f>VLOOKUP(Tabla18[[#This Row],[Aux_01]],TablaSubAccionEspecifica[[#All],[Concat]:[Cod_Sub_acción_especifica]],2,0)</f>
        <v>#N/A</v>
      </c>
      <c r="E629" s="328" t="e">
        <f>Tabla18[[#This Row],[Bus_03]]&amp;"_"&amp;Tabla5[[#This Row],[Tipo de Agente
&lt;&lt; Seleccionar&gt;&gt;]]</f>
        <v>#N/A</v>
      </c>
      <c r="F629" s="328" t="e">
        <f>VLOOKUP(Tabla18[[#This Row],[Concat2]],TablaPOA[[#All],[Concat]:[ConcatEspecial]],3,0)</f>
        <v>#N/A</v>
      </c>
      <c r="G629" s="65" t="str">
        <f>CONCATENATE(Registro!$A$6,"_",Tabla5[[#This Row],[Zona (Provincia)
&lt;&lt; Seleccionar&gt;&gt;]])</f>
        <v>Huánuco_</v>
      </c>
      <c r="H629" s="60" t="e">
        <f>VLOOKUP(Tabla18[[#This Row],[Concatenado***]],Tabla2[[#All],[Concatenado]:[Simbología*]],2,0)</f>
        <v>#N/A</v>
      </c>
      <c r="I629" s="65" t="str">
        <f>CONCATENATE(Tabla18[[#This Row],[Concatenado***]],"_",Tabla5[[#This Row],[Zona (Distrito)
&lt;&lt; Seleccionar&gt;&gt;]])</f>
        <v>Huánuco__</v>
      </c>
      <c r="J6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9" s="72" t="e">
        <f>VLOOKUP(Tabla5[[#This Row],[Tipo de Transporte Empleado
&lt;&lt; Seleccionar&gt;&gt;]],Tabla8[#All],2,0)</f>
        <v>#N/A</v>
      </c>
      <c r="L629" s="71" t="e">
        <f>#REF!+(#REF!*2)+#REF!</f>
        <v>#REF!</v>
      </c>
    </row>
    <row r="630" spans="1:12" x14ac:dyDescent="0.25">
      <c r="A630" s="328" t="e">
        <f>VLOOKUP(Tabla5[[#This Row],[Acción
&lt;&lt; Seleccionar&gt;&gt;]],TablaAccion[[#All],[Nombre_Abreviado]:[Codigo_Plan_Acción]],3,0)</f>
        <v>#N/A</v>
      </c>
      <c r="B630" s="328" t="e">
        <f>VLOOKUP(Tabla5[[#This Row],[Acción Especifica
&lt;&lt; Seleccionar&gt;&gt;]],TablaAccionEspecifica[[#All],[Nombre_Abreviado]:[Codigo_Acción]],3,0)</f>
        <v>#N/A</v>
      </c>
      <c r="C630" s="328" t="e">
        <f>CONCATENATE(Tabla18[[#This Row],[Bus_02]],"_",Tabla5[[#This Row],[Sub Acción Específica
&lt;&lt; Seleccionar&gt;&gt;]])</f>
        <v>#N/A</v>
      </c>
      <c r="D630" s="328" t="e">
        <f>VLOOKUP(Tabla18[[#This Row],[Aux_01]],TablaSubAccionEspecifica[[#All],[Concat]:[Cod_Sub_acción_especifica]],2,0)</f>
        <v>#N/A</v>
      </c>
      <c r="E630" s="328" t="e">
        <f>Tabla18[[#This Row],[Bus_03]]&amp;"_"&amp;Tabla5[[#This Row],[Tipo de Agente
&lt;&lt; Seleccionar&gt;&gt;]]</f>
        <v>#N/A</v>
      </c>
      <c r="F630" s="328" t="e">
        <f>VLOOKUP(Tabla18[[#This Row],[Concat2]],TablaPOA[[#All],[Concat]:[ConcatEspecial]],3,0)</f>
        <v>#N/A</v>
      </c>
      <c r="G630" s="65" t="str">
        <f>CONCATENATE(Registro!$A$6,"_",Tabla5[[#This Row],[Zona (Provincia)
&lt;&lt; Seleccionar&gt;&gt;]])</f>
        <v>Huánuco_</v>
      </c>
      <c r="H630" s="60" t="e">
        <f>VLOOKUP(Tabla18[[#This Row],[Concatenado***]],Tabla2[[#All],[Concatenado]:[Simbología*]],2,0)</f>
        <v>#N/A</v>
      </c>
      <c r="I630" s="65" t="str">
        <f>CONCATENATE(Tabla18[[#This Row],[Concatenado***]],"_",Tabla5[[#This Row],[Zona (Distrito)
&lt;&lt; Seleccionar&gt;&gt;]])</f>
        <v>Huánuco__</v>
      </c>
      <c r="J6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0" s="72" t="e">
        <f>VLOOKUP(Tabla5[[#This Row],[Tipo de Transporte Empleado
&lt;&lt; Seleccionar&gt;&gt;]],Tabla8[#All],2,0)</f>
        <v>#N/A</v>
      </c>
      <c r="L630" s="71" t="e">
        <f>#REF!+(#REF!*2)+#REF!</f>
        <v>#REF!</v>
      </c>
    </row>
    <row r="631" spans="1:12" x14ac:dyDescent="0.25">
      <c r="A631" s="328" t="e">
        <f>VLOOKUP(Tabla5[[#This Row],[Acción
&lt;&lt; Seleccionar&gt;&gt;]],TablaAccion[[#All],[Nombre_Abreviado]:[Codigo_Plan_Acción]],3,0)</f>
        <v>#N/A</v>
      </c>
      <c r="B631" s="328" t="e">
        <f>VLOOKUP(Tabla5[[#This Row],[Acción Especifica
&lt;&lt; Seleccionar&gt;&gt;]],TablaAccionEspecifica[[#All],[Nombre_Abreviado]:[Codigo_Acción]],3,0)</f>
        <v>#N/A</v>
      </c>
      <c r="C631" s="328" t="e">
        <f>CONCATENATE(Tabla18[[#This Row],[Bus_02]],"_",Tabla5[[#This Row],[Sub Acción Específica
&lt;&lt; Seleccionar&gt;&gt;]])</f>
        <v>#N/A</v>
      </c>
      <c r="D631" s="328" t="e">
        <f>VLOOKUP(Tabla18[[#This Row],[Aux_01]],TablaSubAccionEspecifica[[#All],[Concat]:[Cod_Sub_acción_especifica]],2,0)</f>
        <v>#N/A</v>
      </c>
      <c r="E631" s="328" t="e">
        <f>Tabla18[[#This Row],[Bus_03]]&amp;"_"&amp;Tabla5[[#This Row],[Tipo de Agente
&lt;&lt; Seleccionar&gt;&gt;]]</f>
        <v>#N/A</v>
      </c>
      <c r="F631" s="328" t="e">
        <f>VLOOKUP(Tabla18[[#This Row],[Concat2]],TablaPOA[[#All],[Concat]:[ConcatEspecial]],3,0)</f>
        <v>#N/A</v>
      </c>
      <c r="G631" s="65" t="str">
        <f>CONCATENATE(Registro!$A$6,"_",Tabla5[[#This Row],[Zona (Provincia)
&lt;&lt; Seleccionar&gt;&gt;]])</f>
        <v>Huánuco_</v>
      </c>
      <c r="H631" s="60" t="e">
        <f>VLOOKUP(Tabla18[[#This Row],[Concatenado***]],Tabla2[[#All],[Concatenado]:[Simbología*]],2,0)</f>
        <v>#N/A</v>
      </c>
      <c r="I631" s="65" t="str">
        <f>CONCATENATE(Tabla18[[#This Row],[Concatenado***]],"_",Tabla5[[#This Row],[Zona (Distrito)
&lt;&lt; Seleccionar&gt;&gt;]])</f>
        <v>Huánuco__</v>
      </c>
      <c r="J6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1" s="72" t="e">
        <f>VLOOKUP(Tabla5[[#This Row],[Tipo de Transporte Empleado
&lt;&lt; Seleccionar&gt;&gt;]],Tabla8[#All],2,0)</f>
        <v>#N/A</v>
      </c>
      <c r="L631" s="71" t="e">
        <f>#REF!+(#REF!*2)+#REF!</f>
        <v>#REF!</v>
      </c>
    </row>
    <row r="632" spans="1:12" x14ac:dyDescent="0.25">
      <c r="A632" s="328" t="e">
        <f>VLOOKUP(Tabla5[[#This Row],[Acción
&lt;&lt; Seleccionar&gt;&gt;]],TablaAccion[[#All],[Nombre_Abreviado]:[Codigo_Plan_Acción]],3,0)</f>
        <v>#N/A</v>
      </c>
      <c r="B632" s="328" t="e">
        <f>VLOOKUP(Tabla5[[#This Row],[Acción Especifica
&lt;&lt; Seleccionar&gt;&gt;]],TablaAccionEspecifica[[#All],[Nombre_Abreviado]:[Codigo_Acción]],3,0)</f>
        <v>#N/A</v>
      </c>
      <c r="C632" s="328" t="e">
        <f>CONCATENATE(Tabla18[[#This Row],[Bus_02]],"_",Tabla5[[#This Row],[Sub Acción Específica
&lt;&lt; Seleccionar&gt;&gt;]])</f>
        <v>#N/A</v>
      </c>
      <c r="D632" s="328" t="e">
        <f>VLOOKUP(Tabla18[[#This Row],[Aux_01]],TablaSubAccionEspecifica[[#All],[Concat]:[Cod_Sub_acción_especifica]],2,0)</f>
        <v>#N/A</v>
      </c>
      <c r="E632" s="328" t="e">
        <f>Tabla18[[#This Row],[Bus_03]]&amp;"_"&amp;Tabla5[[#This Row],[Tipo de Agente
&lt;&lt; Seleccionar&gt;&gt;]]</f>
        <v>#N/A</v>
      </c>
      <c r="F632" s="328" t="e">
        <f>VLOOKUP(Tabla18[[#This Row],[Concat2]],TablaPOA[[#All],[Concat]:[ConcatEspecial]],3,0)</f>
        <v>#N/A</v>
      </c>
      <c r="G632" s="65" t="str">
        <f>CONCATENATE(Registro!$A$6,"_",Tabla5[[#This Row],[Zona (Provincia)
&lt;&lt; Seleccionar&gt;&gt;]])</f>
        <v>Huánuco_</v>
      </c>
      <c r="H632" s="60" t="e">
        <f>VLOOKUP(Tabla18[[#This Row],[Concatenado***]],Tabla2[[#All],[Concatenado]:[Simbología*]],2,0)</f>
        <v>#N/A</v>
      </c>
      <c r="I632" s="65" t="str">
        <f>CONCATENATE(Tabla18[[#This Row],[Concatenado***]],"_",Tabla5[[#This Row],[Zona (Distrito)
&lt;&lt; Seleccionar&gt;&gt;]])</f>
        <v>Huánuco__</v>
      </c>
      <c r="J6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2" s="72" t="e">
        <f>VLOOKUP(Tabla5[[#This Row],[Tipo de Transporte Empleado
&lt;&lt; Seleccionar&gt;&gt;]],Tabla8[#All],2,0)</f>
        <v>#N/A</v>
      </c>
      <c r="L632" s="71" t="e">
        <f>#REF!+(#REF!*2)+#REF!</f>
        <v>#REF!</v>
      </c>
    </row>
    <row r="633" spans="1:12" x14ac:dyDescent="0.25">
      <c r="A633" s="328" t="e">
        <f>VLOOKUP(Tabla5[[#This Row],[Acción
&lt;&lt; Seleccionar&gt;&gt;]],TablaAccion[[#All],[Nombre_Abreviado]:[Codigo_Plan_Acción]],3,0)</f>
        <v>#N/A</v>
      </c>
      <c r="B633" s="328" t="e">
        <f>VLOOKUP(Tabla5[[#This Row],[Acción Especifica
&lt;&lt; Seleccionar&gt;&gt;]],TablaAccionEspecifica[[#All],[Nombre_Abreviado]:[Codigo_Acción]],3,0)</f>
        <v>#N/A</v>
      </c>
      <c r="C633" s="328" t="e">
        <f>CONCATENATE(Tabla18[[#This Row],[Bus_02]],"_",Tabla5[[#This Row],[Sub Acción Específica
&lt;&lt; Seleccionar&gt;&gt;]])</f>
        <v>#N/A</v>
      </c>
      <c r="D633" s="328" t="e">
        <f>VLOOKUP(Tabla18[[#This Row],[Aux_01]],TablaSubAccionEspecifica[[#All],[Concat]:[Cod_Sub_acción_especifica]],2,0)</f>
        <v>#N/A</v>
      </c>
      <c r="E633" s="328" t="e">
        <f>Tabla18[[#This Row],[Bus_03]]&amp;"_"&amp;Tabla5[[#This Row],[Tipo de Agente
&lt;&lt; Seleccionar&gt;&gt;]]</f>
        <v>#N/A</v>
      </c>
      <c r="F633" s="328" t="e">
        <f>VLOOKUP(Tabla18[[#This Row],[Concat2]],TablaPOA[[#All],[Concat]:[ConcatEspecial]],3,0)</f>
        <v>#N/A</v>
      </c>
      <c r="G633" s="65" t="str">
        <f>CONCATENATE(Registro!$A$6,"_",Tabla5[[#This Row],[Zona (Provincia)
&lt;&lt; Seleccionar&gt;&gt;]])</f>
        <v>Huánuco_</v>
      </c>
      <c r="H633" s="60" t="e">
        <f>VLOOKUP(Tabla18[[#This Row],[Concatenado***]],Tabla2[[#All],[Concatenado]:[Simbología*]],2,0)</f>
        <v>#N/A</v>
      </c>
      <c r="I633" s="65" t="str">
        <f>CONCATENATE(Tabla18[[#This Row],[Concatenado***]],"_",Tabla5[[#This Row],[Zona (Distrito)
&lt;&lt; Seleccionar&gt;&gt;]])</f>
        <v>Huánuco__</v>
      </c>
      <c r="J6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3" s="72" t="e">
        <f>VLOOKUP(Tabla5[[#This Row],[Tipo de Transporte Empleado
&lt;&lt; Seleccionar&gt;&gt;]],Tabla8[#All],2,0)</f>
        <v>#N/A</v>
      </c>
      <c r="L633" s="71" t="e">
        <f>#REF!+(#REF!*2)+#REF!</f>
        <v>#REF!</v>
      </c>
    </row>
    <row r="634" spans="1:12" x14ac:dyDescent="0.25">
      <c r="A634" s="328" t="e">
        <f>VLOOKUP(Tabla5[[#This Row],[Acción
&lt;&lt; Seleccionar&gt;&gt;]],TablaAccion[[#All],[Nombre_Abreviado]:[Codigo_Plan_Acción]],3,0)</f>
        <v>#N/A</v>
      </c>
      <c r="B634" s="328" t="e">
        <f>VLOOKUP(Tabla5[[#This Row],[Acción Especifica
&lt;&lt; Seleccionar&gt;&gt;]],TablaAccionEspecifica[[#All],[Nombre_Abreviado]:[Codigo_Acción]],3,0)</f>
        <v>#N/A</v>
      </c>
      <c r="C634" s="328" t="e">
        <f>CONCATENATE(Tabla18[[#This Row],[Bus_02]],"_",Tabla5[[#This Row],[Sub Acción Específica
&lt;&lt; Seleccionar&gt;&gt;]])</f>
        <v>#N/A</v>
      </c>
      <c r="D634" s="328" t="e">
        <f>VLOOKUP(Tabla18[[#This Row],[Aux_01]],TablaSubAccionEspecifica[[#All],[Concat]:[Cod_Sub_acción_especifica]],2,0)</f>
        <v>#N/A</v>
      </c>
      <c r="E634" s="328" t="e">
        <f>Tabla18[[#This Row],[Bus_03]]&amp;"_"&amp;Tabla5[[#This Row],[Tipo de Agente
&lt;&lt; Seleccionar&gt;&gt;]]</f>
        <v>#N/A</v>
      </c>
      <c r="F634" s="328" t="e">
        <f>VLOOKUP(Tabla18[[#This Row],[Concat2]],TablaPOA[[#All],[Concat]:[ConcatEspecial]],3,0)</f>
        <v>#N/A</v>
      </c>
      <c r="G634" s="65" t="str">
        <f>CONCATENATE(Registro!$A$6,"_",Tabla5[[#This Row],[Zona (Provincia)
&lt;&lt; Seleccionar&gt;&gt;]])</f>
        <v>Huánuco_</v>
      </c>
      <c r="H634" s="60" t="e">
        <f>VLOOKUP(Tabla18[[#This Row],[Concatenado***]],Tabla2[[#All],[Concatenado]:[Simbología*]],2,0)</f>
        <v>#N/A</v>
      </c>
      <c r="I634" s="65" t="str">
        <f>CONCATENATE(Tabla18[[#This Row],[Concatenado***]],"_",Tabla5[[#This Row],[Zona (Distrito)
&lt;&lt; Seleccionar&gt;&gt;]])</f>
        <v>Huánuco__</v>
      </c>
      <c r="J6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4" s="72" t="e">
        <f>VLOOKUP(Tabla5[[#This Row],[Tipo de Transporte Empleado
&lt;&lt; Seleccionar&gt;&gt;]],Tabla8[#All],2,0)</f>
        <v>#N/A</v>
      </c>
      <c r="L634" s="71" t="e">
        <f>#REF!+(#REF!*2)+#REF!</f>
        <v>#REF!</v>
      </c>
    </row>
    <row r="635" spans="1:12" x14ac:dyDescent="0.25">
      <c r="A635" s="328" t="e">
        <f>VLOOKUP(Tabla5[[#This Row],[Acción
&lt;&lt; Seleccionar&gt;&gt;]],TablaAccion[[#All],[Nombre_Abreviado]:[Codigo_Plan_Acción]],3,0)</f>
        <v>#N/A</v>
      </c>
      <c r="B635" s="328" t="e">
        <f>VLOOKUP(Tabla5[[#This Row],[Acción Especifica
&lt;&lt; Seleccionar&gt;&gt;]],TablaAccionEspecifica[[#All],[Nombre_Abreviado]:[Codigo_Acción]],3,0)</f>
        <v>#N/A</v>
      </c>
      <c r="C635" s="328" t="e">
        <f>CONCATENATE(Tabla18[[#This Row],[Bus_02]],"_",Tabla5[[#This Row],[Sub Acción Específica
&lt;&lt; Seleccionar&gt;&gt;]])</f>
        <v>#N/A</v>
      </c>
      <c r="D635" s="328" t="e">
        <f>VLOOKUP(Tabla18[[#This Row],[Aux_01]],TablaSubAccionEspecifica[[#All],[Concat]:[Cod_Sub_acción_especifica]],2,0)</f>
        <v>#N/A</v>
      </c>
      <c r="E635" s="328" t="e">
        <f>Tabla18[[#This Row],[Bus_03]]&amp;"_"&amp;Tabla5[[#This Row],[Tipo de Agente
&lt;&lt; Seleccionar&gt;&gt;]]</f>
        <v>#N/A</v>
      </c>
      <c r="F635" s="328" t="e">
        <f>VLOOKUP(Tabla18[[#This Row],[Concat2]],TablaPOA[[#All],[Concat]:[ConcatEspecial]],3,0)</f>
        <v>#N/A</v>
      </c>
      <c r="G635" s="65" t="str">
        <f>CONCATENATE(Registro!$A$6,"_",Tabla5[[#This Row],[Zona (Provincia)
&lt;&lt; Seleccionar&gt;&gt;]])</f>
        <v>Huánuco_</v>
      </c>
      <c r="H635" s="60" t="e">
        <f>VLOOKUP(Tabla18[[#This Row],[Concatenado***]],Tabla2[[#All],[Concatenado]:[Simbología*]],2,0)</f>
        <v>#N/A</v>
      </c>
      <c r="I635" s="65" t="str">
        <f>CONCATENATE(Tabla18[[#This Row],[Concatenado***]],"_",Tabla5[[#This Row],[Zona (Distrito)
&lt;&lt; Seleccionar&gt;&gt;]])</f>
        <v>Huánuco__</v>
      </c>
      <c r="J6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5" s="72" t="e">
        <f>VLOOKUP(Tabla5[[#This Row],[Tipo de Transporte Empleado
&lt;&lt; Seleccionar&gt;&gt;]],Tabla8[#All],2,0)</f>
        <v>#N/A</v>
      </c>
      <c r="L635" s="71" t="e">
        <f>#REF!+(#REF!*2)+#REF!</f>
        <v>#REF!</v>
      </c>
    </row>
    <row r="636" spans="1:12" x14ac:dyDescent="0.25">
      <c r="A636" s="328" t="e">
        <f>VLOOKUP(Tabla5[[#This Row],[Acción
&lt;&lt; Seleccionar&gt;&gt;]],TablaAccion[[#All],[Nombre_Abreviado]:[Codigo_Plan_Acción]],3,0)</f>
        <v>#N/A</v>
      </c>
      <c r="B636" s="328" t="e">
        <f>VLOOKUP(Tabla5[[#This Row],[Acción Especifica
&lt;&lt; Seleccionar&gt;&gt;]],TablaAccionEspecifica[[#All],[Nombre_Abreviado]:[Codigo_Acción]],3,0)</f>
        <v>#N/A</v>
      </c>
      <c r="C636" s="328" t="e">
        <f>CONCATENATE(Tabla18[[#This Row],[Bus_02]],"_",Tabla5[[#This Row],[Sub Acción Específica
&lt;&lt; Seleccionar&gt;&gt;]])</f>
        <v>#N/A</v>
      </c>
      <c r="D636" s="328" t="e">
        <f>VLOOKUP(Tabla18[[#This Row],[Aux_01]],TablaSubAccionEspecifica[[#All],[Concat]:[Cod_Sub_acción_especifica]],2,0)</f>
        <v>#N/A</v>
      </c>
      <c r="E636" s="328" t="e">
        <f>Tabla18[[#This Row],[Bus_03]]&amp;"_"&amp;Tabla5[[#This Row],[Tipo de Agente
&lt;&lt; Seleccionar&gt;&gt;]]</f>
        <v>#N/A</v>
      </c>
      <c r="F636" s="328" t="e">
        <f>VLOOKUP(Tabla18[[#This Row],[Concat2]],TablaPOA[[#All],[Concat]:[ConcatEspecial]],3,0)</f>
        <v>#N/A</v>
      </c>
      <c r="G636" s="65" t="str">
        <f>CONCATENATE(Registro!$A$6,"_",Tabla5[[#This Row],[Zona (Provincia)
&lt;&lt; Seleccionar&gt;&gt;]])</f>
        <v>Huánuco_</v>
      </c>
      <c r="H636" s="60" t="e">
        <f>VLOOKUP(Tabla18[[#This Row],[Concatenado***]],Tabla2[[#All],[Concatenado]:[Simbología*]],2,0)</f>
        <v>#N/A</v>
      </c>
      <c r="I636" s="65" t="str">
        <f>CONCATENATE(Tabla18[[#This Row],[Concatenado***]],"_",Tabla5[[#This Row],[Zona (Distrito)
&lt;&lt; Seleccionar&gt;&gt;]])</f>
        <v>Huánuco__</v>
      </c>
      <c r="J6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6" s="72" t="e">
        <f>VLOOKUP(Tabla5[[#This Row],[Tipo de Transporte Empleado
&lt;&lt; Seleccionar&gt;&gt;]],Tabla8[#All],2,0)</f>
        <v>#N/A</v>
      </c>
      <c r="L636" s="71" t="e">
        <f>#REF!+(#REF!*2)+#REF!</f>
        <v>#REF!</v>
      </c>
    </row>
    <row r="637" spans="1:12" x14ac:dyDescent="0.25">
      <c r="A637" s="328" t="e">
        <f>VLOOKUP(Tabla5[[#This Row],[Acción
&lt;&lt; Seleccionar&gt;&gt;]],TablaAccion[[#All],[Nombre_Abreviado]:[Codigo_Plan_Acción]],3,0)</f>
        <v>#N/A</v>
      </c>
      <c r="B637" s="328" t="e">
        <f>VLOOKUP(Tabla5[[#This Row],[Acción Especifica
&lt;&lt; Seleccionar&gt;&gt;]],TablaAccionEspecifica[[#All],[Nombre_Abreviado]:[Codigo_Acción]],3,0)</f>
        <v>#N/A</v>
      </c>
      <c r="C637" s="328" t="e">
        <f>CONCATENATE(Tabla18[[#This Row],[Bus_02]],"_",Tabla5[[#This Row],[Sub Acción Específica
&lt;&lt; Seleccionar&gt;&gt;]])</f>
        <v>#N/A</v>
      </c>
      <c r="D637" s="328" t="e">
        <f>VLOOKUP(Tabla18[[#This Row],[Aux_01]],TablaSubAccionEspecifica[[#All],[Concat]:[Cod_Sub_acción_especifica]],2,0)</f>
        <v>#N/A</v>
      </c>
      <c r="E637" s="328" t="e">
        <f>Tabla18[[#This Row],[Bus_03]]&amp;"_"&amp;Tabla5[[#This Row],[Tipo de Agente
&lt;&lt; Seleccionar&gt;&gt;]]</f>
        <v>#N/A</v>
      </c>
      <c r="F637" s="328" t="e">
        <f>VLOOKUP(Tabla18[[#This Row],[Concat2]],TablaPOA[[#All],[Concat]:[ConcatEspecial]],3,0)</f>
        <v>#N/A</v>
      </c>
      <c r="G637" s="65" t="str">
        <f>CONCATENATE(Registro!$A$6,"_",Tabla5[[#This Row],[Zona (Provincia)
&lt;&lt; Seleccionar&gt;&gt;]])</f>
        <v>Huánuco_</v>
      </c>
      <c r="H637" s="60" t="e">
        <f>VLOOKUP(Tabla18[[#This Row],[Concatenado***]],Tabla2[[#All],[Concatenado]:[Simbología*]],2,0)</f>
        <v>#N/A</v>
      </c>
      <c r="I637" s="65" t="str">
        <f>CONCATENATE(Tabla18[[#This Row],[Concatenado***]],"_",Tabla5[[#This Row],[Zona (Distrito)
&lt;&lt; Seleccionar&gt;&gt;]])</f>
        <v>Huánuco__</v>
      </c>
      <c r="J6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7" s="72" t="e">
        <f>VLOOKUP(Tabla5[[#This Row],[Tipo de Transporte Empleado
&lt;&lt; Seleccionar&gt;&gt;]],Tabla8[#All],2,0)</f>
        <v>#N/A</v>
      </c>
      <c r="L637" s="71" t="e">
        <f>#REF!+(#REF!*2)+#REF!</f>
        <v>#REF!</v>
      </c>
    </row>
    <row r="638" spans="1:12" x14ac:dyDescent="0.25">
      <c r="A638" s="328" t="e">
        <f>VLOOKUP(Tabla5[[#This Row],[Acción
&lt;&lt; Seleccionar&gt;&gt;]],TablaAccion[[#All],[Nombre_Abreviado]:[Codigo_Plan_Acción]],3,0)</f>
        <v>#N/A</v>
      </c>
      <c r="B638" s="328" t="e">
        <f>VLOOKUP(Tabla5[[#This Row],[Acción Especifica
&lt;&lt; Seleccionar&gt;&gt;]],TablaAccionEspecifica[[#All],[Nombre_Abreviado]:[Codigo_Acción]],3,0)</f>
        <v>#N/A</v>
      </c>
      <c r="C638" s="328" t="e">
        <f>CONCATENATE(Tabla18[[#This Row],[Bus_02]],"_",Tabla5[[#This Row],[Sub Acción Específica
&lt;&lt; Seleccionar&gt;&gt;]])</f>
        <v>#N/A</v>
      </c>
      <c r="D638" s="328" t="e">
        <f>VLOOKUP(Tabla18[[#This Row],[Aux_01]],TablaSubAccionEspecifica[[#All],[Concat]:[Cod_Sub_acción_especifica]],2,0)</f>
        <v>#N/A</v>
      </c>
      <c r="E638" s="328" t="e">
        <f>Tabla18[[#This Row],[Bus_03]]&amp;"_"&amp;Tabla5[[#This Row],[Tipo de Agente
&lt;&lt; Seleccionar&gt;&gt;]]</f>
        <v>#N/A</v>
      </c>
      <c r="F638" s="328" t="e">
        <f>VLOOKUP(Tabla18[[#This Row],[Concat2]],TablaPOA[[#All],[Concat]:[ConcatEspecial]],3,0)</f>
        <v>#N/A</v>
      </c>
      <c r="G638" s="65" t="str">
        <f>CONCATENATE(Registro!$A$6,"_",Tabla5[[#This Row],[Zona (Provincia)
&lt;&lt; Seleccionar&gt;&gt;]])</f>
        <v>Huánuco_</v>
      </c>
      <c r="H638" s="60" t="e">
        <f>VLOOKUP(Tabla18[[#This Row],[Concatenado***]],Tabla2[[#All],[Concatenado]:[Simbología*]],2,0)</f>
        <v>#N/A</v>
      </c>
      <c r="I638" s="65" t="str">
        <f>CONCATENATE(Tabla18[[#This Row],[Concatenado***]],"_",Tabla5[[#This Row],[Zona (Distrito)
&lt;&lt; Seleccionar&gt;&gt;]])</f>
        <v>Huánuco__</v>
      </c>
      <c r="J6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8" s="72" t="e">
        <f>VLOOKUP(Tabla5[[#This Row],[Tipo de Transporte Empleado
&lt;&lt; Seleccionar&gt;&gt;]],Tabla8[#All],2,0)</f>
        <v>#N/A</v>
      </c>
      <c r="L638" s="71" t="e">
        <f>#REF!+(#REF!*2)+#REF!</f>
        <v>#REF!</v>
      </c>
    </row>
    <row r="639" spans="1:12" x14ac:dyDescent="0.25">
      <c r="A639" s="328" t="e">
        <f>VLOOKUP(Tabla5[[#This Row],[Acción
&lt;&lt; Seleccionar&gt;&gt;]],TablaAccion[[#All],[Nombre_Abreviado]:[Codigo_Plan_Acción]],3,0)</f>
        <v>#N/A</v>
      </c>
      <c r="B639" s="328" t="e">
        <f>VLOOKUP(Tabla5[[#This Row],[Acción Especifica
&lt;&lt; Seleccionar&gt;&gt;]],TablaAccionEspecifica[[#All],[Nombre_Abreviado]:[Codigo_Acción]],3,0)</f>
        <v>#N/A</v>
      </c>
      <c r="C639" s="328" t="e">
        <f>CONCATENATE(Tabla18[[#This Row],[Bus_02]],"_",Tabla5[[#This Row],[Sub Acción Específica
&lt;&lt; Seleccionar&gt;&gt;]])</f>
        <v>#N/A</v>
      </c>
      <c r="D639" s="328" t="e">
        <f>VLOOKUP(Tabla18[[#This Row],[Aux_01]],TablaSubAccionEspecifica[[#All],[Concat]:[Cod_Sub_acción_especifica]],2,0)</f>
        <v>#N/A</v>
      </c>
      <c r="E639" s="328" t="e">
        <f>Tabla18[[#This Row],[Bus_03]]&amp;"_"&amp;Tabla5[[#This Row],[Tipo de Agente
&lt;&lt; Seleccionar&gt;&gt;]]</f>
        <v>#N/A</v>
      </c>
      <c r="F639" s="328" t="e">
        <f>VLOOKUP(Tabla18[[#This Row],[Concat2]],TablaPOA[[#All],[Concat]:[ConcatEspecial]],3,0)</f>
        <v>#N/A</v>
      </c>
      <c r="G639" s="65" t="str">
        <f>CONCATENATE(Registro!$A$6,"_",Tabla5[[#This Row],[Zona (Provincia)
&lt;&lt; Seleccionar&gt;&gt;]])</f>
        <v>Huánuco_</v>
      </c>
      <c r="H639" s="60" t="e">
        <f>VLOOKUP(Tabla18[[#This Row],[Concatenado***]],Tabla2[[#All],[Concatenado]:[Simbología*]],2,0)</f>
        <v>#N/A</v>
      </c>
      <c r="I639" s="65" t="str">
        <f>CONCATENATE(Tabla18[[#This Row],[Concatenado***]],"_",Tabla5[[#This Row],[Zona (Distrito)
&lt;&lt; Seleccionar&gt;&gt;]])</f>
        <v>Huánuco__</v>
      </c>
      <c r="J6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9" s="72" t="e">
        <f>VLOOKUP(Tabla5[[#This Row],[Tipo de Transporte Empleado
&lt;&lt; Seleccionar&gt;&gt;]],Tabla8[#All],2,0)</f>
        <v>#N/A</v>
      </c>
      <c r="L639" s="71" t="e">
        <f>#REF!+(#REF!*2)+#REF!</f>
        <v>#REF!</v>
      </c>
    </row>
    <row r="640" spans="1:12" x14ac:dyDescent="0.25">
      <c r="A640" s="328" t="e">
        <f>VLOOKUP(Tabla5[[#This Row],[Acción
&lt;&lt; Seleccionar&gt;&gt;]],TablaAccion[[#All],[Nombre_Abreviado]:[Codigo_Plan_Acción]],3,0)</f>
        <v>#N/A</v>
      </c>
      <c r="B640" s="328" t="e">
        <f>VLOOKUP(Tabla5[[#This Row],[Acción Especifica
&lt;&lt; Seleccionar&gt;&gt;]],TablaAccionEspecifica[[#All],[Nombre_Abreviado]:[Codigo_Acción]],3,0)</f>
        <v>#N/A</v>
      </c>
      <c r="C640" s="328" t="e">
        <f>CONCATENATE(Tabla18[[#This Row],[Bus_02]],"_",Tabla5[[#This Row],[Sub Acción Específica
&lt;&lt; Seleccionar&gt;&gt;]])</f>
        <v>#N/A</v>
      </c>
      <c r="D640" s="328" t="e">
        <f>VLOOKUP(Tabla18[[#This Row],[Aux_01]],TablaSubAccionEspecifica[[#All],[Concat]:[Cod_Sub_acción_especifica]],2,0)</f>
        <v>#N/A</v>
      </c>
      <c r="E640" s="328" t="e">
        <f>Tabla18[[#This Row],[Bus_03]]&amp;"_"&amp;Tabla5[[#This Row],[Tipo de Agente
&lt;&lt; Seleccionar&gt;&gt;]]</f>
        <v>#N/A</v>
      </c>
      <c r="F640" s="328" t="e">
        <f>VLOOKUP(Tabla18[[#This Row],[Concat2]],TablaPOA[[#All],[Concat]:[ConcatEspecial]],3,0)</f>
        <v>#N/A</v>
      </c>
      <c r="G640" s="65" t="str">
        <f>CONCATENATE(Registro!$A$6,"_",Tabla5[[#This Row],[Zona (Provincia)
&lt;&lt; Seleccionar&gt;&gt;]])</f>
        <v>Huánuco_</v>
      </c>
      <c r="H640" s="60" t="e">
        <f>VLOOKUP(Tabla18[[#This Row],[Concatenado***]],Tabla2[[#All],[Concatenado]:[Simbología*]],2,0)</f>
        <v>#N/A</v>
      </c>
      <c r="I640" s="65" t="str">
        <f>CONCATENATE(Tabla18[[#This Row],[Concatenado***]],"_",Tabla5[[#This Row],[Zona (Distrito)
&lt;&lt; Seleccionar&gt;&gt;]])</f>
        <v>Huánuco__</v>
      </c>
      <c r="J6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0" s="72" t="e">
        <f>VLOOKUP(Tabla5[[#This Row],[Tipo de Transporte Empleado
&lt;&lt; Seleccionar&gt;&gt;]],Tabla8[#All],2,0)</f>
        <v>#N/A</v>
      </c>
      <c r="L640" s="71" t="e">
        <f>#REF!+(#REF!*2)+#REF!</f>
        <v>#REF!</v>
      </c>
    </row>
    <row r="641" spans="1:12" x14ac:dyDescent="0.25">
      <c r="A641" s="328" t="e">
        <f>VLOOKUP(Tabla5[[#This Row],[Acción
&lt;&lt; Seleccionar&gt;&gt;]],TablaAccion[[#All],[Nombre_Abreviado]:[Codigo_Plan_Acción]],3,0)</f>
        <v>#N/A</v>
      </c>
      <c r="B641" s="328" t="e">
        <f>VLOOKUP(Tabla5[[#This Row],[Acción Especifica
&lt;&lt; Seleccionar&gt;&gt;]],TablaAccionEspecifica[[#All],[Nombre_Abreviado]:[Codigo_Acción]],3,0)</f>
        <v>#N/A</v>
      </c>
      <c r="C641" s="328" t="e">
        <f>CONCATENATE(Tabla18[[#This Row],[Bus_02]],"_",Tabla5[[#This Row],[Sub Acción Específica
&lt;&lt; Seleccionar&gt;&gt;]])</f>
        <v>#N/A</v>
      </c>
      <c r="D641" s="328" t="e">
        <f>VLOOKUP(Tabla18[[#This Row],[Aux_01]],TablaSubAccionEspecifica[[#All],[Concat]:[Cod_Sub_acción_especifica]],2,0)</f>
        <v>#N/A</v>
      </c>
      <c r="E641" s="328" t="e">
        <f>Tabla18[[#This Row],[Bus_03]]&amp;"_"&amp;Tabla5[[#This Row],[Tipo de Agente
&lt;&lt; Seleccionar&gt;&gt;]]</f>
        <v>#N/A</v>
      </c>
      <c r="F641" s="328" t="e">
        <f>VLOOKUP(Tabla18[[#This Row],[Concat2]],TablaPOA[[#All],[Concat]:[ConcatEspecial]],3,0)</f>
        <v>#N/A</v>
      </c>
      <c r="G641" s="65" t="str">
        <f>CONCATENATE(Registro!$A$6,"_",Tabla5[[#This Row],[Zona (Provincia)
&lt;&lt; Seleccionar&gt;&gt;]])</f>
        <v>Huánuco_</v>
      </c>
      <c r="H641" s="60" t="e">
        <f>VLOOKUP(Tabla18[[#This Row],[Concatenado***]],Tabla2[[#All],[Concatenado]:[Simbología*]],2,0)</f>
        <v>#N/A</v>
      </c>
      <c r="I641" s="65" t="str">
        <f>CONCATENATE(Tabla18[[#This Row],[Concatenado***]],"_",Tabla5[[#This Row],[Zona (Distrito)
&lt;&lt; Seleccionar&gt;&gt;]])</f>
        <v>Huánuco__</v>
      </c>
      <c r="J6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1" s="72" t="e">
        <f>VLOOKUP(Tabla5[[#This Row],[Tipo de Transporte Empleado
&lt;&lt; Seleccionar&gt;&gt;]],Tabla8[#All],2,0)</f>
        <v>#N/A</v>
      </c>
      <c r="L641" s="71" t="e">
        <f>#REF!+(#REF!*2)+#REF!</f>
        <v>#REF!</v>
      </c>
    </row>
    <row r="642" spans="1:12" x14ac:dyDescent="0.25">
      <c r="A642" s="328" t="e">
        <f>VLOOKUP(Tabla5[[#This Row],[Acción
&lt;&lt; Seleccionar&gt;&gt;]],TablaAccion[[#All],[Nombre_Abreviado]:[Codigo_Plan_Acción]],3,0)</f>
        <v>#N/A</v>
      </c>
      <c r="B642" s="328" t="e">
        <f>VLOOKUP(Tabla5[[#This Row],[Acción Especifica
&lt;&lt; Seleccionar&gt;&gt;]],TablaAccionEspecifica[[#All],[Nombre_Abreviado]:[Codigo_Acción]],3,0)</f>
        <v>#N/A</v>
      </c>
      <c r="C642" s="328" t="e">
        <f>CONCATENATE(Tabla18[[#This Row],[Bus_02]],"_",Tabla5[[#This Row],[Sub Acción Específica
&lt;&lt; Seleccionar&gt;&gt;]])</f>
        <v>#N/A</v>
      </c>
      <c r="D642" s="328" t="e">
        <f>VLOOKUP(Tabla18[[#This Row],[Aux_01]],TablaSubAccionEspecifica[[#All],[Concat]:[Cod_Sub_acción_especifica]],2,0)</f>
        <v>#N/A</v>
      </c>
      <c r="E642" s="328" t="e">
        <f>Tabla18[[#This Row],[Bus_03]]&amp;"_"&amp;Tabla5[[#This Row],[Tipo de Agente
&lt;&lt; Seleccionar&gt;&gt;]]</f>
        <v>#N/A</v>
      </c>
      <c r="F642" s="328" t="e">
        <f>VLOOKUP(Tabla18[[#This Row],[Concat2]],TablaPOA[[#All],[Concat]:[ConcatEspecial]],3,0)</f>
        <v>#N/A</v>
      </c>
      <c r="G642" s="65" t="str">
        <f>CONCATENATE(Registro!$A$6,"_",Tabla5[[#This Row],[Zona (Provincia)
&lt;&lt; Seleccionar&gt;&gt;]])</f>
        <v>Huánuco_</v>
      </c>
      <c r="H642" s="60" t="e">
        <f>VLOOKUP(Tabla18[[#This Row],[Concatenado***]],Tabla2[[#All],[Concatenado]:[Simbología*]],2,0)</f>
        <v>#N/A</v>
      </c>
      <c r="I642" s="65" t="str">
        <f>CONCATENATE(Tabla18[[#This Row],[Concatenado***]],"_",Tabla5[[#This Row],[Zona (Distrito)
&lt;&lt; Seleccionar&gt;&gt;]])</f>
        <v>Huánuco__</v>
      </c>
      <c r="J6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2" s="72" t="e">
        <f>VLOOKUP(Tabla5[[#This Row],[Tipo de Transporte Empleado
&lt;&lt; Seleccionar&gt;&gt;]],Tabla8[#All],2,0)</f>
        <v>#N/A</v>
      </c>
      <c r="L642" s="71" t="e">
        <f>#REF!+(#REF!*2)+#REF!</f>
        <v>#REF!</v>
      </c>
    </row>
    <row r="643" spans="1:12" x14ac:dyDescent="0.25">
      <c r="A643" s="328" t="e">
        <f>VLOOKUP(Tabla5[[#This Row],[Acción
&lt;&lt; Seleccionar&gt;&gt;]],TablaAccion[[#All],[Nombre_Abreviado]:[Codigo_Plan_Acción]],3,0)</f>
        <v>#N/A</v>
      </c>
      <c r="B643" s="328" t="e">
        <f>VLOOKUP(Tabla5[[#This Row],[Acción Especifica
&lt;&lt; Seleccionar&gt;&gt;]],TablaAccionEspecifica[[#All],[Nombre_Abreviado]:[Codigo_Acción]],3,0)</f>
        <v>#N/A</v>
      </c>
      <c r="C643" s="328" t="e">
        <f>CONCATENATE(Tabla18[[#This Row],[Bus_02]],"_",Tabla5[[#This Row],[Sub Acción Específica
&lt;&lt; Seleccionar&gt;&gt;]])</f>
        <v>#N/A</v>
      </c>
      <c r="D643" s="328" t="e">
        <f>VLOOKUP(Tabla18[[#This Row],[Aux_01]],TablaSubAccionEspecifica[[#All],[Concat]:[Cod_Sub_acción_especifica]],2,0)</f>
        <v>#N/A</v>
      </c>
      <c r="E643" s="328" t="e">
        <f>Tabla18[[#This Row],[Bus_03]]&amp;"_"&amp;Tabla5[[#This Row],[Tipo de Agente
&lt;&lt; Seleccionar&gt;&gt;]]</f>
        <v>#N/A</v>
      </c>
      <c r="F643" s="328" t="e">
        <f>VLOOKUP(Tabla18[[#This Row],[Concat2]],TablaPOA[[#All],[Concat]:[ConcatEspecial]],3,0)</f>
        <v>#N/A</v>
      </c>
      <c r="G643" s="65" t="str">
        <f>CONCATENATE(Registro!$A$6,"_",Tabla5[[#This Row],[Zona (Provincia)
&lt;&lt; Seleccionar&gt;&gt;]])</f>
        <v>Huánuco_</v>
      </c>
      <c r="H643" s="60" t="e">
        <f>VLOOKUP(Tabla18[[#This Row],[Concatenado***]],Tabla2[[#All],[Concatenado]:[Simbología*]],2,0)</f>
        <v>#N/A</v>
      </c>
      <c r="I643" s="65" t="str">
        <f>CONCATENATE(Tabla18[[#This Row],[Concatenado***]],"_",Tabla5[[#This Row],[Zona (Distrito)
&lt;&lt; Seleccionar&gt;&gt;]])</f>
        <v>Huánuco__</v>
      </c>
      <c r="J6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3" s="72" t="e">
        <f>VLOOKUP(Tabla5[[#This Row],[Tipo de Transporte Empleado
&lt;&lt; Seleccionar&gt;&gt;]],Tabla8[#All],2,0)</f>
        <v>#N/A</v>
      </c>
      <c r="L643" s="71" t="e">
        <f>#REF!+(#REF!*2)+#REF!</f>
        <v>#REF!</v>
      </c>
    </row>
    <row r="644" spans="1:12" x14ac:dyDescent="0.25">
      <c r="A644" s="328" t="e">
        <f>VLOOKUP(Tabla5[[#This Row],[Acción
&lt;&lt; Seleccionar&gt;&gt;]],TablaAccion[[#All],[Nombre_Abreviado]:[Codigo_Plan_Acción]],3,0)</f>
        <v>#N/A</v>
      </c>
      <c r="B644" s="328" t="e">
        <f>VLOOKUP(Tabla5[[#This Row],[Acción Especifica
&lt;&lt; Seleccionar&gt;&gt;]],TablaAccionEspecifica[[#All],[Nombre_Abreviado]:[Codigo_Acción]],3,0)</f>
        <v>#N/A</v>
      </c>
      <c r="C644" s="328" t="e">
        <f>CONCATENATE(Tabla18[[#This Row],[Bus_02]],"_",Tabla5[[#This Row],[Sub Acción Específica
&lt;&lt; Seleccionar&gt;&gt;]])</f>
        <v>#N/A</v>
      </c>
      <c r="D644" s="328" t="e">
        <f>VLOOKUP(Tabla18[[#This Row],[Aux_01]],TablaSubAccionEspecifica[[#All],[Concat]:[Cod_Sub_acción_especifica]],2,0)</f>
        <v>#N/A</v>
      </c>
      <c r="E644" s="328" t="e">
        <f>Tabla18[[#This Row],[Bus_03]]&amp;"_"&amp;Tabla5[[#This Row],[Tipo de Agente
&lt;&lt; Seleccionar&gt;&gt;]]</f>
        <v>#N/A</v>
      </c>
      <c r="F644" s="328" t="e">
        <f>VLOOKUP(Tabla18[[#This Row],[Concat2]],TablaPOA[[#All],[Concat]:[ConcatEspecial]],3,0)</f>
        <v>#N/A</v>
      </c>
      <c r="G644" s="65" t="str">
        <f>CONCATENATE(Registro!$A$6,"_",Tabla5[[#This Row],[Zona (Provincia)
&lt;&lt; Seleccionar&gt;&gt;]])</f>
        <v>Huánuco_</v>
      </c>
      <c r="H644" s="60" t="e">
        <f>VLOOKUP(Tabla18[[#This Row],[Concatenado***]],Tabla2[[#All],[Concatenado]:[Simbología*]],2,0)</f>
        <v>#N/A</v>
      </c>
      <c r="I644" s="65" t="str">
        <f>CONCATENATE(Tabla18[[#This Row],[Concatenado***]],"_",Tabla5[[#This Row],[Zona (Distrito)
&lt;&lt; Seleccionar&gt;&gt;]])</f>
        <v>Huánuco__</v>
      </c>
      <c r="J6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4" s="72" t="e">
        <f>VLOOKUP(Tabla5[[#This Row],[Tipo de Transporte Empleado
&lt;&lt; Seleccionar&gt;&gt;]],Tabla8[#All],2,0)</f>
        <v>#N/A</v>
      </c>
      <c r="L644" s="71" t="e">
        <f>#REF!+(#REF!*2)+#REF!</f>
        <v>#REF!</v>
      </c>
    </row>
    <row r="645" spans="1:12" x14ac:dyDescent="0.25">
      <c r="A645" s="328" t="e">
        <f>VLOOKUP(Tabla5[[#This Row],[Acción
&lt;&lt; Seleccionar&gt;&gt;]],TablaAccion[[#All],[Nombre_Abreviado]:[Codigo_Plan_Acción]],3,0)</f>
        <v>#N/A</v>
      </c>
      <c r="B645" s="328" t="e">
        <f>VLOOKUP(Tabla5[[#This Row],[Acción Especifica
&lt;&lt; Seleccionar&gt;&gt;]],TablaAccionEspecifica[[#All],[Nombre_Abreviado]:[Codigo_Acción]],3,0)</f>
        <v>#N/A</v>
      </c>
      <c r="C645" s="328" t="e">
        <f>CONCATENATE(Tabla18[[#This Row],[Bus_02]],"_",Tabla5[[#This Row],[Sub Acción Específica
&lt;&lt; Seleccionar&gt;&gt;]])</f>
        <v>#N/A</v>
      </c>
      <c r="D645" s="328" t="e">
        <f>VLOOKUP(Tabla18[[#This Row],[Aux_01]],TablaSubAccionEspecifica[[#All],[Concat]:[Cod_Sub_acción_especifica]],2,0)</f>
        <v>#N/A</v>
      </c>
      <c r="E645" s="328" t="e">
        <f>Tabla18[[#This Row],[Bus_03]]&amp;"_"&amp;Tabla5[[#This Row],[Tipo de Agente
&lt;&lt; Seleccionar&gt;&gt;]]</f>
        <v>#N/A</v>
      </c>
      <c r="F645" s="328" t="e">
        <f>VLOOKUP(Tabla18[[#This Row],[Concat2]],TablaPOA[[#All],[Concat]:[ConcatEspecial]],3,0)</f>
        <v>#N/A</v>
      </c>
      <c r="G645" s="65" t="str">
        <f>CONCATENATE(Registro!$A$6,"_",Tabla5[[#This Row],[Zona (Provincia)
&lt;&lt; Seleccionar&gt;&gt;]])</f>
        <v>Huánuco_</v>
      </c>
      <c r="H645" s="60" t="e">
        <f>VLOOKUP(Tabla18[[#This Row],[Concatenado***]],Tabla2[[#All],[Concatenado]:[Simbología*]],2,0)</f>
        <v>#N/A</v>
      </c>
      <c r="I645" s="65" t="str">
        <f>CONCATENATE(Tabla18[[#This Row],[Concatenado***]],"_",Tabla5[[#This Row],[Zona (Distrito)
&lt;&lt; Seleccionar&gt;&gt;]])</f>
        <v>Huánuco__</v>
      </c>
      <c r="J6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5" s="72" t="e">
        <f>VLOOKUP(Tabla5[[#This Row],[Tipo de Transporte Empleado
&lt;&lt; Seleccionar&gt;&gt;]],Tabla8[#All],2,0)</f>
        <v>#N/A</v>
      </c>
      <c r="L645" s="71" t="e">
        <f>#REF!+(#REF!*2)+#REF!</f>
        <v>#REF!</v>
      </c>
    </row>
    <row r="646" spans="1:12" x14ac:dyDescent="0.25">
      <c r="A646" s="328" t="e">
        <f>VLOOKUP(Tabla5[[#This Row],[Acción
&lt;&lt; Seleccionar&gt;&gt;]],TablaAccion[[#All],[Nombre_Abreviado]:[Codigo_Plan_Acción]],3,0)</f>
        <v>#N/A</v>
      </c>
      <c r="B646" s="328" t="e">
        <f>VLOOKUP(Tabla5[[#This Row],[Acción Especifica
&lt;&lt; Seleccionar&gt;&gt;]],TablaAccionEspecifica[[#All],[Nombre_Abreviado]:[Codigo_Acción]],3,0)</f>
        <v>#N/A</v>
      </c>
      <c r="C646" s="328" t="e">
        <f>CONCATENATE(Tabla18[[#This Row],[Bus_02]],"_",Tabla5[[#This Row],[Sub Acción Específica
&lt;&lt; Seleccionar&gt;&gt;]])</f>
        <v>#N/A</v>
      </c>
      <c r="D646" s="328" t="e">
        <f>VLOOKUP(Tabla18[[#This Row],[Aux_01]],TablaSubAccionEspecifica[[#All],[Concat]:[Cod_Sub_acción_especifica]],2,0)</f>
        <v>#N/A</v>
      </c>
      <c r="E646" s="328" t="e">
        <f>Tabla18[[#This Row],[Bus_03]]&amp;"_"&amp;Tabla5[[#This Row],[Tipo de Agente
&lt;&lt; Seleccionar&gt;&gt;]]</f>
        <v>#N/A</v>
      </c>
      <c r="F646" s="328" t="e">
        <f>VLOOKUP(Tabla18[[#This Row],[Concat2]],TablaPOA[[#All],[Concat]:[ConcatEspecial]],3,0)</f>
        <v>#N/A</v>
      </c>
      <c r="G646" s="65" t="str">
        <f>CONCATENATE(Registro!$A$6,"_",Tabla5[[#This Row],[Zona (Provincia)
&lt;&lt; Seleccionar&gt;&gt;]])</f>
        <v>Huánuco_</v>
      </c>
      <c r="H646" s="60" t="e">
        <f>VLOOKUP(Tabla18[[#This Row],[Concatenado***]],Tabla2[[#All],[Concatenado]:[Simbología*]],2,0)</f>
        <v>#N/A</v>
      </c>
      <c r="I646" s="65" t="str">
        <f>CONCATENATE(Tabla18[[#This Row],[Concatenado***]],"_",Tabla5[[#This Row],[Zona (Distrito)
&lt;&lt; Seleccionar&gt;&gt;]])</f>
        <v>Huánuco__</v>
      </c>
      <c r="J6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6" s="72" t="e">
        <f>VLOOKUP(Tabla5[[#This Row],[Tipo de Transporte Empleado
&lt;&lt; Seleccionar&gt;&gt;]],Tabla8[#All],2,0)</f>
        <v>#N/A</v>
      </c>
      <c r="L646" s="71" t="e">
        <f>#REF!+(#REF!*2)+#REF!</f>
        <v>#REF!</v>
      </c>
    </row>
    <row r="647" spans="1:12" x14ac:dyDescent="0.25">
      <c r="A647" s="328" t="e">
        <f>VLOOKUP(Tabla5[[#This Row],[Acción
&lt;&lt; Seleccionar&gt;&gt;]],TablaAccion[[#All],[Nombre_Abreviado]:[Codigo_Plan_Acción]],3,0)</f>
        <v>#N/A</v>
      </c>
      <c r="B647" s="328" t="e">
        <f>VLOOKUP(Tabla5[[#This Row],[Acción Especifica
&lt;&lt; Seleccionar&gt;&gt;]],TablaAccionEspecifica[[#All],[Nombre_Abreviado]:[Codigo_Acción]],3,0)</f>
        <v>#N/A</v>
      </c>
      <c r="C647" s="328" t="e">
        <f>CONCATENATE(Tabla18[[#This Row],[Bus_02]],"_",Tabla5[[#This Row],[Sub Acción Específica
&lt;&lt; Seleccionar&gt;&gt;]])</f>
        <v>#N/A</v>
      </c>
      <c r="D647" s="328" t="e">
        <f>VLOOKUP(Tabla18[[#This Row],[Aux_01]],TablaSubAccionEspecifica[[#All],[Concat]:[Cod_Sub_acción_especifica]],2,0)</f>
        <v>#N/A</v>
      </c>
      <c r="E647" s="328" t="e">
        <f>Tabla18[[#This Row],[Bus_03]]&amp;"_"&amp;Tabla5[[#This Row],[Tipo de Agente
&lt;&lt; Seleccionar&gt;&gt;]]</f>
        <v>#N/A</v>
      </c>
      <c r="F647" s="328" t="e">
        <f>VLOOKUP(Tabla18[[#This Row],[Concat2]],TablaPOA[[#All],[Concat]:[ConcatEspecial]],3,0)</f>
        <v>#N/A</v>
      </c>
      <c r="G647" s="65" t="str">
        <f>CONCATENATE(Registro!$A$6,"_",Tabla5[[#This Row],[Zona (Provincia)
&lt;&lt; Seleccionar&gt;&gt;]])</f>
        <v>Huánuco_</v>
      </c>
      <c r="H647" s="60" t="e">
        <f>VLOOKUP(Tabla18[[#This Row],[Concatenado***]],Tabla2[[#All],[Concatenado]:[Simbología*]],2,0)</f>
        <v>#N/A</v>
      </c>
      <c r="I647" s="65" t="str">
        <f>CONCATENATE(Tabla18[[#This Row],[Concatenado***]],"_",Tabla5[[#This Row],[Zona (Distrito)
&lt;&lt; Seleccionar&gt;&gt;]])</f>
        <v>Huánuco__</v>
      </c>
      <c r="J6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7" s="72" t="e">
        <f>VLOOKUP(Tabla5[[#This Row],[Tipo de Transporte Empleado
&lt;&lt; Seleccionar&gt;&gt;]],Tabla8[#All],2,0)</f>
        <v>#N/A</v>
      </c>
      <c r="L647" s="71" t="e">
        <f>#REF!+(#REF!*2)+#REF!</f>
        <v>#REF!</v>
      </c>
    </row>
    <row r="648" spans="1:12" x14ac:dyDescent="0.25">
      <c r="A648" s="328" t="e">
        <f>VLOOKUP(Tabla5[[#This Row],[Acción
&lt;&lt; Seleccionar&gt;&gt;]],TablaAccion[[#All],[Nombre_Abreviado]:[Codigo_Plan_Acción]],3,0)</f>
        <v>#N/A</v>
      </c>
      <c r="B648" s="328" t="e">
        <f>VLOOKUP(Tabla5[[#This Row],[Acción Especifica
&lt;&lt; Seleccionar&gt;&gt;]],TablaAccionEspecifica[[#All],[Nombre_Abreviado]:[Codigo_Acción]],3,0)</f>
        <v>#N/A</v>
      </c>
      <c r="C648" s="328" t="e">
        <f>CONCATENATE(Tabla18[[#This Row],[Bus_02]],"_",Tabla5[[#This Row],[Sub Acción Específica
&lt;&lt; Seleccionar&gt;&gt;]])</f>
        <v>#N/A</v>
      </c>
      <c r="D648" s="328" t="e">
        <f>VLOOKUP(Tabla18[[#This Row],[Aux_01]],TablaSubAccionEspecifica[[#All],[Concat]:[Cod_Sub_acción_especifica]],2,0)</f>
        <v>#N/A</v>
      </c>
      <c r="E648" s="328" t="e">
        <f>Tabla18[[#This Row],[Bus_03]]&amp;"_"&amp;Tabla5[[#This Row],[Tipo de Agente
&lt;&lt; Seleccionar&gt;&gt;]]</f>
        <v>#N/A</v>
      </c>
      <c r="F648" s="328" t="e">
        <f>VLOOKUP(Tabla18[[#This Row],[Concat2]],TablaPOA[[#All],[Concat]:[ConcatEspecial]],3,0)</f>
        <v>#N/A</v>
      </c>
      <c r="G648" s="65" t="str">
        <f>CONCATENATE(Registro!$A$6,"_",Tabla5[[#This Row],[Zona (Provincia)
&lt;&lt; Seleccionar&gt;&gt;]])</f>
        <v>Huánuco_</v>
      </c>
      <c r="H648" s="60" t="e">
        <f>VLOOKUP(Tabla18[[#This Row],[Concatenado***]],Tabla2[[#All],[Concatenado]:[Simbología*]],2,0)</f>
        <v>#N/A</v>
      </c>
      <c r="I648" s="65" t="str">
        <f>CONCATENATE(Tabla18[[#This Row],[Concatenado***]],"_",Tabla5[[#This Row],[Zona (Distrito)
&lt;&lt; Seleccionar&gt;&gt;]])</f>
        <v>Huánuco__</v>
      </c>
      <c r="J6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8" s="72" t="e">
        <f>VLOOKUP(Tabla5[[#This Row],[Tipo de Transporte Empleado
&lt;&lt; Seleccionar&gt;&gt;]],Tabla8[#All],2,0)</f>
        <v>#N/A</v>
      </c>
      <c r="L648" s="71" t="e">
        <f>#REF!+(#REF!*2)+#REF!</f>
        <v>#REF!</v>
      </c>
    </row>
    <row r="649" spans="1:12" x14ac:dyDescent="0.25">
      <c r="A649" s="328" t="e">
        <f>VLOOKUP(Tabla5[[#This Row],[Acción
&lt;&lt; Seleccionar&gt;&gt;]],TablaAccion[[#All],[Nombre_Abreviado]:[Codigo_Plan_Acción]],3,0)</f>
        <v>#N/A</v>
      </c>
      <c r="B649" s="328" t="e">
        <f>VLOOKUP(Tabla5[[#This Row],[Acción Especifica
&lt;&lt; Seleccionar&gt;&gt;]],TablaAccionEspecifica[[#All],[Nombre_Abreviado]:[Codigo_Acción]],3,0)</f>
        <v>#N/A</v>
      </c>
      <c r="C649" s="328" t="e">
        <f>CONCATENATE(Tabla18[[#This Row],[Bus_02]],"_",Tabla5[[#This Row],[Sub Acción Específica
&lt;&lt; Seleccionar&gt;&gt;]])</f>
        <v>#N/A</v>
      </c>
      <c r="D649" s="328" t="e">
        <f>VLOOKUP(Tabla18[[#This Row],[Aux_01]],TablaSubAccionEspecifica[[#All],[Concat]:[Cod_Sub_acción_especifica]],2,0)</f>
        <v>#N/A</v>
      </c>
      <c r="E649" s="328" t="e">
        <f>Tabla18[[#This Row],[Bus_03]]&amp;"_"&amp;Tabla5[[#This Row],[Tipo de Agente
&lt;&lt; Seleccionar&gt;&gt;]]</f>
        <v>#N/A</v>
      </c>
      <c r="F649" s="328" t="e">
        <f>VLOOKUP(Tabla18[[#This Row],[Concat2]],TablaPOA[[#All],[Concat]:[ConcatEspecial]],3,0)</f>
        <v>#N/A</v>
      </c>
      <c r="G649" s="65" t="str">
        <f>CONCATENATE(Registro!$A$6,"_",Tabla5[[#This Row],[Zona (Provincia)
&lt;&lt; Seleccionar&gt;&gt;]])</f>
        <v>Huánuco_</v>
      </c>
      <c r="H649" s="60" t="e">
        <f>VLOOKUP(Tabla18[[#This Row],[Concatenado***]],Tabla2[[#All],[Concatenado]:[Simbología*]],2,0)</f>
        <v>#N/A</v>
      </c>
      <c r="I649" s="65" t="str">
        <f>CONCATENATE(Tabla18[[#This Row],[Concatenado***]],"_",Tabla5[[#This Row],[Zona (Distrito)
&lt;&lt; Seleccionar&gt;&gt;]])</f>
        <v>Huánuco__</v>
      </c>
      <c r="J6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9" s="72" t="e">
        <f>VLOOKUP(Tabla5[[#This Row],[Tipo de Transporte Empleado
&lt;&lt; Seleccionar&gt;&gt;]],Tabla8[#All],2,0)</f>
        <v>#N/A</v>
      </c>
      <c r="L649" s="71" t="e">
        <f>#REF!+(#REF!*2)+#REF!</f>
        <v>#REF!</v>
      </c>
    </row>
    <row r="650" spans="1:12" x14ac:dyDescent="0.25">
      <c r="A650" s="328" t="e">
        <f>VLOOKUP(Tabla5[[#This Row],[Acción
&lt;&lt; Seleccionar&gt;&gt;]],TablaAccion[[#All],[Nombre_Abreviado]:[Codigo_Plan_Acción]],3,0)</f>
        <v>#N/A</v>
      </c>
      <c r="B650" s="328" t="e">
        <f>VLOOKUP(Tabla5[[#This Row],[Acción Especifica
&lt;&lt; Seleccionar&gt;&gt;]],TablaAccionEspecifica[[#All],[Nombre_Abreviado]:[Codigo_Acción]],3,0)</f>
        <v>#N/A</v>
      </c>
      <c r="C650" s="328" t="e">
        <f>CONCATENATE(Tabla18[[#This Row],[Bus_02]],"_",Tabla5[[#This Row],[Sub Acción Específica
&lt;&lt; Seleccionar&gt;&gt;]])</f>
        <v>#N/A</v>
      </c>
      <c r="D650" s="328" t="e">
        <f>VLOOKUP(Tabla18[[#This Row],[Aux_01]],TablaSubAccionEspecifica[[#All],[Concat]:[Cod_Sub_acción_especifica]],2,0)</f>
        <v>#N/A</v>
      </c>
      <c r="E650" s="328" t="e">
        <f>Tabla18[[#This Row],[Bus_03]]&amp;"_"&amp;Tabla5[[#This Row],[Tipo de Agente
&lt;&lt; Seleccionar&gt;&gt;]]</f>
        <v>#N/A</v>
      </c>
      <c r="F650" s="328" t="e">
        <f>VLOOKUP(Tabla18[[#This Row],[Concat2]],TablaPOA[[#All],[Concat]:[ConcatEspecial]],3,0)</f>
        <v>#N/A</v>
      </c>
      <c r="G650" s="65" t="str">
        <f>CONCATENATE(Registro!$A$6,"_",Tabla5[[#This Row],[Zona (Provincia)
&lt;&lt; Seleccionar&gt;&gt;]])</f>
        <v>Huánuco_</v>
      </c>
      <c r="H650" s="60" t="e">
        <f>VLOOKUP(Tabla18[[#This Row],[Concatenado***]],Tabla2[[#All],[Concatenado]:[Simbología*]],2,0)</f>
        <v>#N/A</v>
      </c>
      <c r="I650" s="65" t="str">
        <f>CONCATENATE(Tabla18[[#This Row],[Concatenado***]],"_",Tabla5[[#This Row],[Zona (Distrito)
&lt;&lt; Seleccionar&gt;&gt;]])</f>
        <v>Huánuco__</v>
      </c>
      <c r="J6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0" s="72" t="e">
        <f>VLOOKUP(Tabla5[[#This Row],[Tipo de Transporte Empleado
&lt;&lt; Seleccionar&gt;&gt;]],Tabla8[#All],2,0)</f>
        <v>#N/A</v>
      </c>
      <c r="L650" s="71" t="e">
        <f>#REF!+(#REF!*2)+#REF!</f>
        <v>#REF!</v>
      </c>
    </row>
    <row r="651" spans="1:12" x14ac:dyDescent="0.25">
      <c r="A651" s="328" t="e">
        <f>VLOOKUP(Tabla5[[#This Row],[Acción
&lt;&lt; Seleccionar&gt;&gt;]],TablaAccion[[#All],[Nombre_Abreviado]:[Codigo_Plan_Acción]],3,0)</f>
        <v>#N/A</v>
      </c>
      <c r="B651" s="328" t="e">
        <f>VLOOKUP(Tabla5[[#This Row],[Acción Especifica
&lt;&lt; Seleccionar&gt;&gt;]],TablaAccionEspecifica[[#All],[Nombre_Abreviado]:[Codigo_Acción]],3,0)</f>
        <v>#N/A</v>
      </c>
      <c r="C651" s="328" t="e">
        <f>CONCATENATE(Tabla18[[#This Row],[Bus_02]],"_",Tabla5[[#This Row],[Sub Acción Específica
&lt;&lt; Seleccionar&gt;&gt;]])</f>
        <v>#N/A</v>
      </c>
      <c r="D651" s="328" t="e">
        <f>VLOOKUP(Tabla18[[#This Row],[Aux_01]],TablaSubAccionEspecifica[[#All],[Concat]:[Cod_Sub_acción_especifica]],2,0)</f>
        <v>#N/A</v>
      </c>
      <c r="E651" s="328" t="e">
        <f>Tabla18[[#This Row],[Bus_03]]&amp;"_"&amp;Tabla5[[#This Row],[Tipo de Agente
&lt;&lt; Seleccionar&gt;&gt;]]</f>
        <v>#N/A</v>
      </c>
      <c r="F651" s="328" t="e">
        <f>VLOOKUP(Tabla18[[#This Row],[Concat2]],TablaPOA[[#All],[Concat]:[ConcatEspecial]],3,0)</f>
        <v>#N/A</v>
      </c>
      <c r="G651" s="65" t="str">
        <f>CONCATENATE(Registro!$A$6,"_",Tabla5[[#This Row],[Zona (Provincia)
&lt;&lt; Seleccionar&gt;&gt;]])</f>
        <v>Huánuco_</v>
      </c>
      <c r="H651" s="60" t="e">
        <f>VLOOKUP(Tabla18[[#This Row],[Concatenado***]],Tabla2[[#All],[Concatenado]:[Simbología*]],2,0)</f>
        <v>#N/A</v>
      </c>
      <c r="I651" s="65" t="str">
        <f>CONCATENATE(Tabla18[[#This Row],[Concatenado***]],"_",Tabla5[[#This Row],[Zona (Distrito)
&lt;&lt; Seleccionar&gt;&gt;]])</f>
        <v>Huánuco__</v>
      </c>
      <c r="J6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1" s="72" t="e">
        <f>VLOOKUP(Tabla5[[#This Row],[Tipo de Transporte Empleado
&lt;&lt; Seleccionar&gt;&gt;]],Tabla8[#All],2,0)</f>
        <v>#N/A</v>
      </c>
      <c r="L651" s="71" t="e">
        <f>#REF!+(#REF!*2)+#REF!</f>
        <v>#REF!</v>
      </c>
    </row>
    <row r="652" spans="1:12" x14ac:dyDescent="0.25">
      <c r="A652" s="328" t="e">
        <f>VLOOKUP(Tabla5[[#This Row],[Acción
&lt;&lt; Seleccionar&gt;&gt;]],TablaAccion[[#All],[Nombre_Abreviado]:[Codigo_Plan_Acción]],3,0)</f>
        <v>#N/A</v>
      </c>
      <c r="B652" s="328" t="e">
        <f>VLOOKUP(Tabla5[[#This Row],[Acción Especifica
&lt;&lt; Seleccionar&gt;&gt;]],TablaAccionEspecifica[[#All],[Nombre_Abreviado]:[Codigo_Acción]],3,0)</f>
        <v>#N/A</v>
      </c>
      <c r="C652" s="328" t="e">
        <f>CONCATENATE(Tabla18[[#This Row],[Bus_02]],"_",Tabla5[[#This Row],[Sub Acción Específica
&lt;&lt; Seleccionar&gt;&gt;]])</f>
        <v>#N/A</v>
      </c>
      <c r="D652" s="328" t="e">
        <f>VLOOKUP(Tabla18[[#This Row],[Aux_01]],TablaSubAccionEspecifica[[#All],[Concat]:[Cod_Sub_acción_especifica]],2,0)</f>
        <v>#N/A</v>
      </c>
      <c r="E652" s="328" t="e">
        <f>Tabla18[[#This Row],[Bus_03]]&amp;"_"&amp;Tabla5[[#This Row],[Tipo de Agente
&lt;&lt; Seleccionar&gt;&gt;]]</f>
        <v>#N/A</v>
      </c>
      <c r="F652" s="328" t="e">
        <f>VLOOKUP(Tabla18[[#This Row],[Concat2]],TablaPOA[[#All],[Concat]:[ConcatEspecial]],3,0)</f>
        <v>#N/A</v>
      </c>
      <c r="G652" s="65" t="str">
        <f>CONCATENATE(Registro!$A$6,"_",Tabla5[[#This Row],[Zona (Provincia)
&lt;&lt; Seleccionar&gt;&gt;]])</f>
        <v>Huánuco_</v>
      </c>
      <c r="H652" s="60" t="e">
        <f>VLOOKUP(Tabla18[[#This Row],[Concatenado***]],Tabla2[[#All],[Concatenado]:[Simbología*]],2,0)</f>
        <v>#N/A</v>
      </c>
      <c r="I652" s="65" t="str">
        <f>CONCATENATE(Tabla18[[#This Row],[Concatenado***]],"_",Tabla5[[#This Row],[Zona (Distrito)
&lt;&lt; Seleccionar&gt;&gt;]])</f>
        <v>Huánuco__</v>
      </c>
      <c r="J6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2" s="72" t="e">
        <f>VLOOKUP(Tabla5[[#This Row],[Tipo de Transporte Empleado
&lt;&lt; Seleccionar&gt;&gt;]],Tabla8[#All],2,0)</f>
        <v>#N/A</v>
      </c>
      <c r="L652" s="71" t="e">
        <f>#REF!+(#REF!*2)+#REF!</f>
        <v>#REF!</v>
      </c>
    </row>
    <row r="653" spans="1:12" x14ac:dyDescent="0.25">
      <c r="A653" s="328" t="e">
        <f>VLOOKUP(Tabla5[[#This Row],[Acción
&lt;&lt; Seleccionar&gt;&gt;]],TablaAccion[[#All],[Nombre_Abreviado]:[Codigo_Plan_Acción]],3,0)</f>
        <v>#N/A</v>
      </c>
      <c r="B653" s="328" t="e">
        <f>VLOOKUP(Tabla5[[#This Row],[Acción Especifica
&lt;&lt; Seleccionar&gt;&gt;]],TablaAccionEspecifica[[#All],[Nombre_Abreviado]:[Codigo_Acción]],3,0)</f>
        <v>#N/A</v>
      </c>
      <c r="C653" s="328" t="e">
        <f>CONCATENATE(Tabla18[[#This Row],[Bus_02]],"_",Tabla5[[#This Row],[Sub Acción Específica
&lt;&lt; Seleccionar&gt;&gt;]])</f>
        <v>#N/A</v>
      </c>
      <c r="D653" s="328" t="e">
        <f>VLOOKUP(Tabla18[[#This Row],[Aux_01]],TablaSubAccionEspecifica[[#All],[Concat]:[Cod_Sub_acción_especifica]],2,0)</f>
        <v>#N/A</v>
      </c>
      <c r="E653" s="328" t="e">
        <f>Tabla18[[#This Row],[Bus_03]]&amp;"_"&amp;Tabla5[[#This Row],[Tipo de Agente
&lt;&lt; Seleccionar&gt;&gt;]]</f>
        <v>#N/A</v>
      </c>
      <c r="F653" s="328" t="e">
        <f>VLOOKUP(Tabla18[[#This Row],[Concat2]],TablaPOA[[#All],[Concat]:[ConcatEspecial]],3,0)</f>
        <v>#N/A</v>
      </c>
      <c r="G653" s="65" t="str">
        <f>CONCATENATE(Registro!$A$6,"_",Tabla5[[#This Row],[Zona (Provincia)
&lt;&lt; Seleccionar&gt;&gt;]])</f>
        <v>Huánuco_</v>
      </c>
      <c r="H653" s="60" t="e">
        <f>VLOOKUP(Tabla18[[#This Row],[Concatenado***]],Tabla2[[#All],[Concatenado]:[Simbología*]],2,0)</f>
        <v>#N/A</v>
      </c>
      <c r="I653" s="65" t="str">
        <f>CONCATENATE(Tabla18[[#This Row],[Concatenado***]],"_",Tabla5[[#This Row],[Zona (Distrito)
&lt;&lt; Seleccionar&gt;&gt;]])</f>
        <v>Huánuco__</v>
      </c>
      <c r="J6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3" s="72" t="e">
        <f>VLOOKUP(Tabla5[[#This Row],[Tipo de Transporte Empleado
&lt;&lt; Seleccionar&gt;&gt;]],Tabla8[#All],2,0)</f>
        <v>#N/A</v>
      </c>
      <c r="L653" s="71" t="e">
        <f>#REF!+(#REF!*2)+#REF!</f>
        <v>#REF!</v>
      </c>
    </row>
    <row r="654" spans="1:12" x14ac:dyDescent="0.25">
      <c r="A654" s="328" t="e">
        <f>VLOOKUP(Tabla5[[#This Row],[Acción
&lt;&lt; Seleccionar&gt;&gt;]],TablaAccion[[#All],[Nombre_Abreviado]:[Codigo_Plan_Acción]],3,0)</f>
        <v>#N/A</v>
      </c>
      <c r="B654" s="328" t="e">
        <f>VLOOKUP(Tabla5[[#This Row],[Acción Especifica
&lt;&lt; Seleccionar&gt;&gt;]],TablaAccionEspecifica[[#All],[Nombre_Abreviado]:[Codigo_Acción]],3,0)</f>
        <v>#N/A</v>
      </c>
      <c r="C654" s="328" t="e">
        <f>CONCATENATE(Tabla18[[#This Row],[Bus_02]],"_",Tabla5[[#This Row],[Sub Acción Específica
&lt;&lt; Seleccionar&gt;&gt;]])</f>
        <v>#N/A</v>
      </c>
      <c r="D654" s="328" t="e">
        <f>VLOOKUP(Tabla18[[#This Row],[Aux_01]],TablaSubAccionEspecifica[[#All],[Concat]:[Cod_Sub_acción_especifica]],2,0)</f>
        <v>#N/A</v>
      </c>
      <c r="E654" s="328" t="e">
        <f>Tabla18[[#This Row],[Bus_03]]&amp;"_"&amp;Tabla5[[#This Row],[Tipo de Agente
&lt;&lt; Seleccionar&gt;&gt;]]</f>
        <v>#N/A</v>
      </c>
      <c r="F654" s="328" t="e">
        <f>VLOOKUP(Tabla18[[#This Row],[Concat2]],TablaPOA[[#All],[Concat]:[ConcatEspecial]],3,0)</f>
        <v>#N/A</v>
      </c>
      <c r="G654" s="65" t="str">
        <f>CONCATENATE(Registro!$A$6,"_",Tabla5[[#This Row],[Zona (Provincia)
&lt;&lt; Seleccionar&gt;&gt;]])</f>
        <v>Huánuco_</v>
      </c>
      <c r="H654" s="60" t="e">
        <f>VLOOKUP(Tabla18[[#This Row],[Concatenado***]],Tabla2[[#All],[Concatenado]:[Simbología*]],2,0)</f>
        <v>#N/A</v>
      </c>
      <c r="I654" s="65" t="str">
        <f>CONCATENATE(Tabla18[[#This Row],[Concatenado***]],"_",Tabla5[[#This Row],[Zona (Distrito)
&lt;&lt; Seleccionar&gt;&gt;]])</f>
        <v>Huánuco__</v>
      </c>
      <c r="J6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4" s="72" t="e">
        <f>VLOOKUP(Tabla5[[#This Row],[Tipo de Transporte Empleado
&lt;&lt; Seleccionar&gt;&gt;]],Tabla8[#All],2,0)</f>
        <v>#N/A</v>
      </c>
      <c r="L654" s="71" t="e">
        <f>#REF!+(#REF!*2)+#REF!</f>
        <v>#REF!</v>
      </c>
    </row>
    <row r="655" spans="1:12" x14ac:dyDescent="0.25">
      <c r="A655" s="328" t="e">
        <f>VLOOKUP(Tabla5[[#This Row],[Acción
&lt;&lt; Seleccionar&gt;&gt;]],TablaAccion[[#All],[Nombre_Abreviado]:[Codigo_Plan_Acción]],3,0)</f>
        <v>#N/A</v>
      </c>
      <c r="B655" s="328" t="e">
        <f>VLOOKUP(Tabla5[[#This Row],[Acción Especifica
&lt;&lt; Seleccionar&gt;&gt;]],TablaAccionEspecifica[[#All],[Nombre_Abreviado]:[Codigo_Acción]],3,0)</f>
        <v>#N/A</v>
      </c>
      <c r="C655" s="328" t="e">
        <f>CONCATENATE(Tabla18[[#This Row],[Bus_02]],"_",Tabla5[[#This Row],[Sub Acción Específica
&lt;&lt; Seleccionar&gt;&gt;]])</f>
        <v>#N/A</v>
      </c>
      <c r="D655" s="328" t="e">
        <f>VLOOKUP(Tabla18[[#This Row],[Aux_01]],TablaSubAccionEspecifica[[#All],[Concat]:[Cod_Sub_acción_especifica]],2,0)</f>
        <v>#N/A</v>
      </c>
      <c r="E655" s="328" t="e">
        <f>Tabla18[[#This Row],[Bus_03]]&amp;"_"&amp;Tabla5[[#This Row],[Tipo de Agente
&lt;&lt; Seleccionar&gt;&gt;]]</f>
        <v>#N/A</v>
      </c>
      <c r="F655" s="328" t="e">
        <f>VLOOKUP(Tabla18[[#This Row],[Concat2]],TablaPOA[[#All],[Concat]:[ConcatEspecial]],3,0)</f>
        <v>#N/A</v>
      </c>
      <c r="G655" s="65" t="str">
        <f>CONCATENATE(Registro!$A$6,"_",Tabla5[[#This Row],[Zona (Provincia)
&lt;&lt; Seleccionar&gt;&gt;]])</f>
        <v>Huánuco_</v>
      </c>
      <c r="H655" s="60" t="e">
        <f>VLOOKUP(Tabla18[[#This Row],[Concatenado***]],Tabla2[[#All],[Concatenado]:[Simbología*]],2,0)</f>
        <v>#N/A</v>
      </c>
      <c r="I655" s="65" t="str">
        <f>CONCATENATE(Tabla18[[#This Row],[Concatenado***]],"_",Tabla5[[#This Row],[Zona (Distrito)
&lt;&lt; Seleccionar&gt;&gt;]])</f>
        <v>Huánuco__</v>
      </c>
      <c r="J6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5" s="72" t="e">
        <f>VLOOKUP(Tabla5[[#This Row],[Tipo de Transporte Empleado
&lt;&lt; Seleccionar&gt;&gt;]],Tabla8[#All],2,0)</f>
        <v>#N/A</v>
      </c>
      <c r="L655" s="71" t="e">
        <f>#REF!+(#REF!*2)+#REF!</f>
        <v>#REF!</v>
      </c>
    </row>
    <row r="656" spans="1:12" x14ac:dyDescent="0.25">
      <c r="A656" s="328" t="e">
        <f>VLOOKUP(Tabla5[[#This Row],[Acción
&lt;&lt; Seleccionar&gt;&gt;]],TablaAccion[[#All],[Nombre_Abreviado]:[Codigo_Plan_Acción]],3,0)</f>
        <v>#N/A</v>
      </c>
      <c r="B656" s="328" t="e">
        <f>VLOOKUP(Tabla5[[#This Row],[Acción Especifica
&lt;&lt; Seleccionar&gt;&gt;]],TablaAccionEspecifica[[#All],[Nombre_Abreviado]:[Codigo_Acción]],3,0)</f>
        <v>#N/A</v>
      </c>
      <c r="C656" s="328" t="e">
        <f>CONCATENATE(Tabla18[[#This Row],[Bus_02]],"_",Tabla5[[#This Row],[Sub Acción Específica
&lt;&lt; Seleccionar&gt;&gt;]])</f>
        <v>#N/A</v>
      </c>
      <c r="D656" s="328" t="e">
        <f>VLOOKUP(Tabla18[[#This Row],[Aux_01]],TablaSubAccionEspecifica[[#All],[Concat]:[Cod_Sub_acción_especifica]],2,0)</f>
        <v>#N/A</v>
      </c>
      <c r="E656" s="328" t="e">
        <f>Tabla18[[#This Row],[Bus_03]]&amp;"_"&amp;Tabla5[[#This Row],[Tipo de Agente
&lt;&lt; Seleccionar&gt;&gt;]]</f>
        <v>#N/A</v>
      </c>
      <c r="F656" s="328" t="e">
        <f>VLOOKUP(Tabla18[[#This Row],[Concat2]],TablaPOA[[#All],[Concat]:[ConcatEspecial]],3,0)</f>
        <v>#N/A</v>
      </c>
      <c r="G656" s="65" t="str">
        <f>CONCATENATE(Registro!$A$6,"_",Tabla5[[#This Row],[Zona (Provincia)
&lt;&lt; Seleccionar&gt;&gt;]])</f>
        <v>Huánuco_</v>
      </c>
      <c r="H656" s="60" t="e">
        <f>VLOOKUP(Tabla18[[#This Row],[Concatenado***]],Tabla2[[#All],[Concatenado]:[Simbología*]],2,0)</f>
        <v>#N/A</v>
      </c>
      <c r="I656" s="65" t="str">
        <f>CONCATENATE(Tabla18[[#This Row],[Concatenado***]],"_",Tabla5[[#This Row],[Zona (Distrito)
&lt;&lt; Seleccionar&gt;&gt;]])</f>
        <v>Huánuco__</v>
      </c>
      <c r="J6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6" s="72" t="e">
        <f>VLOOKUP(Tabla5[[#This Row],[Tipo de Transporte Empleado
&lt;&lt; Seleccionar&gt;&gt;]],Tabla8[#All],2,0)</f>
        <v>#N/A</v>
      </c>
      <c r="L656" s="71" t="e">
        <f>#REF!+(#REF!*2)+#REF!</f>
        <v>#REF!</v>
      </c>
    </row>
    <row r="657" spans="1:12" x14ac:dyDescent="0.25">
      <c r="A657" s="328" t="e">
        <f>VLOOKUP(Tabla5[[#This Row],[Acción
&lt;&lt; Seleccionar&gt;&gt;]],TablaAccion[[#All],[Nombre_Abreviado]:[Codigo_Plan_Acción]],3,0)</f>
        <v>#N/A</v>
      </c>
      <c r="B657" s="328" t="e">
        <f>VLOOKUP(Tabla5[[#This Row],[Acción Especifica
&lt;&lt; Seleccionar&gt;&gt;]],TablaAccionEspecifica[[#All],[Nombre_Abreviado]:[Codigo_Acción]],3,0)</f>
        <v>#N/A</v>
      </c>
      <c r="C657" s="328" t="e">
        <f>CONCATENATE(Tabla18[[#This Row],[Bus_02]],"_",Tabla5[[#This Row],[Sub Acción Específica
&lt;&lt; Seleccionar&gt;&gt;]])</f>
        <v>#N/A</v>
      </c>
      <c r="D657" s="328" t="e">
        <f>VLOOKUP(Tabla18[[#This Row],[Aux_01]],TablaSubAccionEspecifica[[#All],[Concat]:[Cod_Sub_acción_especifica]],2,0)</f>
        <v>#N/A</v>
      </c>
      <c r="E657" s="328" t="e">
        <f>Tabla18[[#This Row],[Bus_03]]&amp;"_"&amp;Tabla5[[#This Row],[Tipo de Agente
&lt;&lt; Seleccionar&gt;&gt;]]</f>
        <v>#N/A</v>
      </c>
      <c r="F657" s="328" t="e">
        <f>VLOOKUP(Tabla18[[#This Row],[Concat2]],TablaPOA[[#All],[Concat]:[ConcatEspecial]],3,0)</f>
        <v>#N/A</v>
      </c>
      <c r="G657" s="65" t="str">
        <f>CONCATENATE(Registro!$A$6,"_",Tabla5[[#This Row],[Zona (Provincia)
&lt;&lt; Seleccionar&gt;&gt;]])</f>
        <v>Huánuco_</v>
      </c>
      <c r="H657" s="60" t="e">
        <f>VLOOKUP(Tabla18[[#This Row],[Concatenado***]],Tabla2[[#All],[Concatenado]:[Simbología*]],2,0)</f>
        <v>#N/A</v>
      </c>
      <c r="I657" s="65" t="str">
        <f>CONCATENATE(Tabla18[[#This Row],[Concatenado***]],"_",Tabla5[[#This Row],[Zona (Distrito)
&lt;&lt; Seleccionar&gt;&gt;]])</f>
        <v>Huánuco__</v>
      </c>
      <c r="J6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7" s="72" t="e">
        <f>VLOOKUP(Tabla5[[#This Row],[Tipo de Transporte Empleado
&lt;&lt; Seleccionar&gt;&gt;]],Tabla8[#All],2,0)</f>
        <v>#N/A</v>
      </c>
      <c r="L657" s="71" t="e">
        <f>#REF!+(#REF!*2)+#REF!</f>
        <v>#REF!</v>
      </c>
    </row>
    <row r="658" spans="1:12" x14ac:dyDescent="0.25">
      <c r="A658" s="328" t="e">
        <f>VLOOKUP(Tabla5[[#This Row],[Acción
&lt;&lt; Seleccionar&gt;&gt;]],TablaAccion[[#All],[Nombre_Abreviado]:[Codigo_Plan_Acción]],3,0)</f>
        <v>#N/A</v>
      </c>
      <c r="B658" s="328" t="e">
        <f>VLOOKUP(Tabla5[[#This Row],[Acción Especifica
&lt;&lt; Seleccionar&gt;&gt;]],TablaAccionEspecifica[[#All],[Nombre_Abreviado]:[Codigo_Acción]],3,0)</f>
        <v>#N/A</v>
      </c>
      <c r="C658" s="328" t="e">
        <f>CONCATENATE(Tabla18[[#This Row],[Bus_02]],"_",Tabla5[[#This Row],[Sub Acción Específica
&lt;&lt; Seleccionar&gt;&gt;]])</f>
        <v>#N/A</v>
      </c>
      <c r="D658" s="328" t="e">
        <f>VLOOKUP(Tabla18[[#This Row],[Aux_01]],TablaSubAccionEspecifica[[#All],[Concat]:[Cod_Sub_acción_especifica]],2,0)</f>
        <v>#N/A</v>
      </c>
      <c r="E658" s="328" t="e">
        <f>Tabla18[[#This Row],[Bus_03]]&amp;"_"&amp;Tabla5[[#This Row],[Tipo de Agente
&lt;&lt; Seleccionar&gt;&gt;]]</f>
        <v>#N/A</v>
      </c>
      <c r="F658" s="328" t="e">
        <f>VLOOKUP(Tabla18[[#This Row],[Concat2]],TablaPOA[[#All],[Concat]:[ConcatEspecial]],3,0)</f>
        <v>#N/A</v>
      </c>
      <c r="G658" s="65" t="str">
        <f>CONCATENATE(Registro!$A$6,"_",Tabla5[[#This Row],[Zona (Provincia)
&lt;&lt; Seleccionar&gt;&gt;]])</f>
        <v>Huánuco_</v>
      </c>
      <c r="H658" s="60" t="e">
        <f>VLOOKUP(Tabla18[[#This Row],[Concatenado***]],Tabla2[[#All],[Concatenado]:[Simbología*]],2,0)</f>
        <v>#N/A</v>
      </c>
      <c r="I658" s="65" t="str">
        <f>CONCATENATE(Tabla18[[#This Row],[Concatenado***]],"_",Tabla5[[#This Row],[Zona (Distrito)
&lt;&lt; Seleccionar&gt;&gt;]])</f>
        <v>Huánuco__</v>
      </c>
      <c r="J6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8" s="72" t="e">
        <f>VLOOKUP(Tabla5[[#This Row],[Tipo de Transporte Empleado
&lt;&lt; Seleccionar&gt;&gt;]],Tabla8[#All],2,0)</f>
        <v>#N/A</v>
      </c>
      <c r="L658" s="71" t="e">
        <f>#REF!+(#REF!*2)+#REF!</f>
        <v>#REF!</v>
      </c>
    </row>
    <row r="659" spans="1:12" x14ac:dyDescent="0.25">
      <c r="A659" s="328" t="e">
        <f>VLOOKUP(Tabla5[[#This Row],[Acción
&lt;&lt; Seleccionar&gt;&gt;]],TablaAccion[[#All],[Nombre_Abreviado]:[Codigo_Plan_Acción]],3,0)</f>
        <v>#N/A</v>
      </c>
      <c r="B659" s="328" t="e">
        <f>VLOOKUP(Tabla5[[#This Row],[Acción Especifica
&lt;&lt; Seleccionar&gt;&gt;]],TablaAccionEspecifica[[#All],[Nombre_Abreviado]:[Codigo_Acción]],3,0)</f>
        <v>#N/A</v>
      </c>
      <c r="C659" s="328" t="e">
        <f>CONCATENATE(Tabla18[[#This Row],[Bus_02]],"_",Tabla5[[#This Row],[Sub Acción Específica
&lt;&lt; Seleccionar&gt;&gt;]])</f>
        <v>#N/A</v>
      </c>
      <c r="D659" s="328" t="e">
        <f>VLOOKUP(Tabla18[[#This Row],[Aux_01]],TablaSubAccionEspecifica[[#All],[Concat]:[Cod_Sub_acción_especifica]],2,0)</f>
        <v>#N/A</v>
      </c>
      <c r="E659" s="328" t="e">
        <f>Tabla18[[#This Row],[Bus_03]]&amp;"_"&amp;Tabla5[[#This Row],[Tipo de Agente
&lt;&lt; Seleccionar&gt;&gt;]]</f>
        <v>#N/A</v>
      </c>
      <c r="F659" s="328" t="e">
        <f>VLOOKUP(Tabla18[[#This Row],[Concat2]],TablaPOA[[#All],[Concat]:[ConcatEspecial]],3,0)</f>
        <v>#N/A</v>
      </c>
      <c r="G659" s="65" t="str">
        <f>CONCATENATE(Registro!$A$6,"_",Tabla5[[#This Row],[Zona (Provincia)
&lt;&lt; Seleccionar&gt;&gt;]])</f>
        <v>Huánuco_</v>
      </c>
      <c r="H659" s="60" t="e">
        <f>VLOOKUP(Tabla18[[#This Row],[Concatenado***]],Tabla2[[#All],[Concatenado]:[Simbología*]],2,0)</f>
        <v>#N/A</v>
      </c>
      <c r="I659" s="65" t="str">
        <f>CONCATENATE(Tabla18[[#This Row],[Concatenado***]],"_",Tabla5[[#This Row],[Zona (Distrito)
&lt;&lt; Seleccionar&gt;&gt;]])</f>
        <v>Huánuco__</v>
      </c>
      <c r="J6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9" s="72" t="e">
        <f>VLOOKUP(Tabla5[[#This Row],[Tipo de Transporte Empleado
&lt;&lt; Seleccionar&gt;&gt;]],Tabla8[#All],2,0)</f>
        <v>#N/A</v>
      </c>
      <c r="L659" s="71" t="e">
        <f>#REF!+(#REF!*2)+#REF!</f>
        <v>#REF!</v>
      </c>
    </row>
    <row r="660" spans="1:12" x14ac:dyDescent="0.25">
      <c r="A660" s="328" t="e">
        <f>VLOOKUP(Tabla5[[#This Row],[Acción
&lt;&lt; Seleccionar&gt;&gt;]],TablaAccion[[#All],[Nombre_Abreviado]:[Codigo_Plan_Acción]],3,0)</f>
        <v>#N/A</v>
      </c>
      <c r="B660" s="328" t="e">
        <f>VLOOKUP(Tabla5[[#This Row],[Acción Especifica
&lt;&lt; Seleccionar&gt;&gt;]],TablaAccionEspecifica[[#All],[Nombre_Abreviado]:[Codigo_Acción]],3,0)</f>
        <v>#N/A</v>
      </c>
      <c r="C660" s="328" t="e">
        <f>CONCATENATE(Tabla18[[#This Row],[Bus_02]],"_",Tabla5[[#This Row],[Sub Acción Específica
&lt;&lt; Seleccionar&gt;&gt;]])</f>
        <v>#N/A</v>
      </c>
      <c r="D660" s="328" t="e">
        <f>VLOOKUP(Tabla18[[#This Row],[Aux_01]],TablaSubAccionEspecifica[[#All],[Concat]:[Cod_Sub_acción_especifica]],2,0)</f>
        <v>#N/A</v>
      </c>
      <c r="E660" s="328" t="e">
        <f>Tabla18[[#This Row],[Bus_03]]&amp;"_"&amp;Tabla5[[#This Row],[Tipo de Agente
&lt;&lt; Seleccionar&gt;&gt;]]</f>
        <v>#N/A</v>
      </c>
      <c r="F660" s="328" t="e">
        <f>VLOOKUP(Tabla18[[#This Row],[Concat2]],TablaPOA[[#All],[Concat]:[ConcatEspecial]],3,0)</f>
        <v>#N/A</v>
      </c>
      <c r="G660" s="65" t="str">
        <f>CONCATENATE(Registro!$A$6,"_",Tabla5[[#This Row],[Zona (Provincia)
&lt;&lt; Seleccionar&gt;&gt;]])</f>
        <v>Huánuco_</v>
      </c>
      <c r="H660" s="60" t="e">
        <f>VLOOKUP(Tabla18[[#This Row],[Concatenado***]],Tabla2[[#All],[Concatenado]:[Simbología*]],2,0)</f>
        <v>#N/A</v>
      </c>
      <c r="I660" s="65" t="str">
        <f>CONCATENATE(Tabla18[[#This Row],[Concatenado***]],"_",Tabla5[[#This Row],[Zona (Distrito)
&lt;&lt; Seleccionar&gt;&gt;]])</f>
        <v>Huánuco__</v>
      </c>
      <c r="J6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0" s="72" t="e">
        <f>VLOOKUP(Tabla5[[#This Row],[Tipo de Transporte Empleado
&lt;&lt; Seleccionar&gt;&gt;]],Tabla8[#All],2,0)</f>
        <v>#N/A</v>
      </c>
      <c r="L660" s="71" t="e">
        <f>#REF!+(#REF!*2)+#REF!</f>
        <v>#REF!</v>
      </c>
    </row>
    <row r="661" spans="1:12" x14ac:dyDescent="0.25">
      <c r="A661" s="328" t="e">
        <f>VLOOKUP(Tabla5[[#This Row],[Acción
&lt;&lt; Seleccionar&gt;&gt;]],TablaAccion[[#All],[Nombre_Abreviado]:[Codigo_Plan_Acción]],3,0)</f>
        <v>#N/A</v>
      </c>
      <c r="B661" s="328" t="e">
        <f>VLOOKUP(Tabla5[[#This Row],[Acción Especifica
&lt;&lt; Seleccionar&gt;&gt;]],TablaAccionEspecifica[[#All],[Nombre_Abreviado]:[Codigo_Acción]],3,0)</f>
        <v>#N/A</v>
      </c>
      <c r="C661" s="328" t="e">
        <f>CONCATENATE(Tabla18[[#This Row],[Bus_02]],"_",Tabla5[[#This Row],[Sub Acción Específica
&lt;&lt; Seleccionar&gt;&gt;]])</f>
        <v>#N/A</v>
      </c>
      <c r="D661" s="328" t="e">
        <f>VLOOKUP(Tabla18[[#This Row],[Aux_01]],TablaSubAccionEspecifica[[#All],[Concat]:[Cod_Sub_acción_especifica]],2,0)</f>
        <v>#N/A</v>
      </c>
      <c r="E661" s="328" t="e">
        <f>Tabla18[[#This Row],[Bus_03]]&amp;"_"&amp;Tabla5[[#This Row],[Tipo de Agente
&lt;&lt; Seleccionar&gt;&gt;]]</f>
        <v>#N/A</v>
      </c>
      <c r="F661" s="328" t="e">
        <f>VLOOKUP(Tabla18[[#This Row],[Concat2]],TablaPOA[[#All],[Concat]:[ConcatEspecial]],3,0)</f>
        <v>#N/A</v>
      </c>
      <c r="G661" s="65" t="str">
        <f>CONCATENATE(Registro!$A$6,"_",Tabla5[[#This Row],[Zona (Provincia)
&lt;&lt; Seleccionar&gt;&gt;]])</f>
        <v>Huánuco_</v>
      </c>
      <c r="H661" s="60" t="e">
        <f>VLOOKUP(Tabla18[[#This Row],[Concatenado***]],Tabla2[[#All],[Concatenado]:[Simbología*]],2,0)</f>
        <v>#N/A</v>
      </c>
      <c r="I661" s="65" t="str">
        <f>CONCATENATE(Tabla18[[#This Row],[Concatenado***]],"_",Tabla5[[#This Row],[Zona (Distrito)
&lt;&lt; Seleccionar&gt;&gt;]])</f>
        <v>Huánuco__</v>
      </c>
      <c r="J6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1" s="72" t="e">
        <f>VLOOKUP(Tabla5[[#This Row],[Tipo de Transporte Empleado
&lt;&lt; Seleccionar&gt;&gt;]],Tabla8[#All],2,0)</f>
        <v>#N/A</v>
      </c>
      <c r="L661" s="71" t="e">
        <f>#REF!+(#REF!*2)+#REF!</f>
        <v>#REF!</v>
      </c>
    </row>
    <row r="662" spans="1:12" x14ac:dyDescent="0.25">
      <c r="A662" s="328" t="e">
        <f>VLOOKUP(Tabla5[[#This Row],[Acción
&lt;&lt; Seleccionar&gt;&gt;]],TablaAccion[[#All],[Nombre_Abreviado]:[Codigo_Plan_Acción]],3,0)</f>
        <v>#N/A</v>
      </c>
      <c r="B662" s="328" t="e">
        <f>VLOOKUP(Tabla5[[#This Row],[Acción Especifica
&lt;&lt; Seleccionar&gt;&gt;]],TablaAccionEspecifica[[#All],[Nombre_Abreviado]:[Codigo_Acción]],3,0)</f>
        <v>#N/A</v>
      </c>
      <c r="C662" s="328" t="e">
        <f>CONCATENATE(Tabla18[[#This Row],[Bus_02]],"_",Tabla5[[#This Row],[Sub Acción Específica
&lt;&lt; Seleccionar&gt;&gt;]])</f>
        <v>#N/A</v>
      </c>
      <c r="D662" s="328" t="e">
        <f>VLOOKUP(Tabla18[[#This Row],[Aux_01]],TablaSubAccionEspecifica[[#All],[Concat]:[Cod_Sub_acción_especifica]],2,0)</f>
        <v>#N/A</v>
      </c>
      <c r="E662" s="328" t="e">
        <f>Tabla18[[#This Row],[Bus_03]]&amp;"_"&amp;Tabla5[[#This Row],[Tipo de Agente
&lt;&lt; Seleccionar&gt;&gt;]]</f>
        <v>#N/A</v>
      </c>
      <c r="F662" s="328" t="e">
        <f>VLOOKUP(Tabla18[[#This Row],[Concat2]],TablaPOA[[#All],[Concat]:[ConcatEspecial]],3,0)</f>
        <v>#N/A</v>
      </c>
      <c r="G662" s="65" t="str">
        <f>CONCATENATE(Registro!$A$6,"_",Tabla5[[#This Row],[Zona (Provincia)
&lt;&lt; Seleccionar&gt;&gt;]])</f>
        <v>Huánuco_</v>
      </c>
      <c r="H662" s="60" t="e">
        <f>VLOOKUP(Tabla18[[#This Row],[Concatenado***]],Tabla2[[#All],[Concatenado]:[Simbología*]],2,0)</f>
        <v>#N/A</v>
      </c>
      <c r="I662" s="65" t="str">
        <f>CONCATENATE(Tabla18[[#This Row],[Concatenado***]],"_",Tabla5[[#This Row],[Zona (Distrito)
&lt;&lt; Seleccionar&gt;&gt;]])</f>
        <v>Huánuco__</v>
      </c>
      <c r="J6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2" s="72" t="e">
        <f>VLOOKUP(Tabla5[[#This Row],[Tipo de Transporte Empleado
&lt;&lt; Seleccionar&gt;&gt;]],Tabla8[#All],2,0)</f>
        <v>#N/A</v>
      </c>
      <c r="L662" s="71" t="e">
        <f>#REF!+(#REF!*2)+#REF!</f>
        <v>#REF!</v>
      </c>
    </row>
    <row r="663" spans="1:12" x14ac:dyDescent="0.25">
      <c r="A663" s="328" t="e">
        <f>VLOOKUP(Tabla5[[#This Row],[Acción
&lt;&lt; Seleccionar&gt;&gt;]],TablaAccion[[#All],[Nombre_Abreviado]:[Codigo_Plan_Acción]],3,0)</f>
        <v>#N/A</v>
      </c>
      <c r="B663" s="328" t="e">
        <f>VLOOKUP(Tabla5[[#This Row],[Acción Especifica
&lt;&lt; Seleccionar&gt;&gt;]],TablaAccionEspecifica[[#All],[Nombre_Abreviado]:[Codigo_Acción]],3,0)</f>
        <v>#N/A</v>
      </c>
      <c r="C663" s="328" t="e">
        <f>CONCATENATE(Tabla18[[#This Row],[Bus_02]],"_",Tabla5[[#This Row],[Sub Acción Específica
&lt;&lt; Seleccionar&gt;&gt;]])</f>
        <v>#N/A</v>
      </c>
      <c r="D663" s="328" t="e">
        <f>VLOOKUP(Tabla18[[#This Row],[Aux_01]],TablaSubAccionEspecifica[[#All],[Concat]:[Cod_Sub_acción_especifica]],2,0)</f>
        <v>#N/A</v>
      </c>
      <c r="E663" s="328" t="e">
        <f>Tabla18[[#This Row],[Bus_03]]&amp;"_"&amp;Tabla5[[#This Row],[Tipo de Agente
&lt;&lt; Seleccionar&gt;&gt;]]</f>
        <v>#N/A</v>
      </c>
      <c r="F663" s="328" t="e">
        <f>VLOOKUP(Tabla18[[#This Row],[Concat2]],TablaPOA[[#All],[Concat]:[ConcatEspecial]],3,0)</f>
        <v>#N/A</v>
      </c>
      <c r="G663" s="65" t="str">
        <f>CONCATENATE(Registro!$A$6,"_",Tabla5[[#This Row],[Zona (Provincia)
&lt;&lt; Seleccionar&gt;&gt;]])</f>
        <v>Huánuco_</v>
      </c>
      <c r="H663" s="60" t="e">
        <f>VLOOKUP(Tabla18[[#This Row],[Concatenado***]],Tabla2[[#All],[Concatenado]:[Simbología*]],2,0)</f>
        <v>#N/A</v>
      </c>
      <c r="I663" s="65" t="str">
        <f>CONCATENATE(Tabla18[[#This Row],[Concatenado***]],"_",Tabla5[[#This Row],[Zona (Distrito)
&lt;&lt; Seleccionar&gt;&gt;]])</f>
        <v>Huánuco__</v>
      </c>
      <c r="J6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3" s="72" t="e">
        <f>VLOOKUP(Tabla5[[#This Row],[Tipo de Transporte Empleado
&lt;&lt; Seleccionar&gt;&gt;]],Tabla8[#All],2,0)</f>
        <v>#N/A</v>
      </c>
      <c r="L663" s="71" t="e">
        <f>#REF!+(#REF!*2)+#REF!</f>
        <v>#REF!</v>
      </c>
    </row>
    <row r="664" spans="1:12" x14ac:dyDescent="0.25">
      <c r="A664" s="328" t="e">
        <f>VLOOKUP(Tabla5[[#This Row],[Acción
&lt;&lt; Seleccionar&gt;&gt;]],TablaAccion[[#All],[Nombre_Abreviado]:[Codigo_Plan_Acción]],3,0)</f>
        <v>#N/A</v>
      </c>
      <c r="B664" s="328" t="e">
        <f>VLOOKUP(Tabla5[[#This Row],[Acción Especifica
&lt;&lt; Seleccionar&gt;&gt;]],TablaAccionEspecifica[[#All],[Nombre_Abreviado]:[Codigo_Acción]],3,0)</f>
        <v>#N/A</v>
      </c>
      <c r="C664" s="328" t="e">
        <f>CONCATENATE(Tabla18[[#This Row],[Bus_02]],"_",Tabla5[[#This Row],[Sub Acción Específica
&lt;&lt; Seleccionar&gt;&gt;]])</f>
        <v>#N/A</v>
      </c>
      <c r="D664" s="328" t="e">
        <f>VLOOKUP(Tabla18[[#This Row],[Aux_01]],TablaSubAccionEspecifica[[#All],[Concat]:[Cod_Sub_acción_especifica]],2,0)</f>
        <v>#N/A</v>
      </c>
      <c r="E664" s="328" t="e">
        <f>Tabla18[[#This Row],[Bus_03]]&amp;"_"&amp;Tabla5[[#This Row],[Tipo de Agente
&lt;&lt; Seleccionar&gt;&gt;]]</f>
        <v>#N/A</v>
      </c>
      <c r="F664" s="328" t="e">
        <f>VLOOKUP(Tabla18[[#This Row],[Concat2]],TablaPOA[[#All],[Concat]:[ConcatEspecial]],3,0)</f>
        <v>#N/A</v>
      </c>
      <c r="G664" s="65" t="str">
        <f>CONCATENATE(Registro!$A$6,"_",Tabla5[[#This Row],[Zona (Provincia)
&lt;&lt; Seleccionar&gt;&gt;]])</f>
        <v>Huánuco_</v>
      </c>
      <c r="H664" s="60" t="e">
        <f>VLOOKUP(Tabla18[[#This Row],[Concatenado***]],Tabla2[[#All],[Concatenado]:[Simbología*]],2,0)</f>
        <v>#N/A</v>
      </c>
      <c r="I664" s="65" t="str">
        <f>CONCATENATE(Tabla18[[#This Row],[Concatenado***]],"_",Tabla5[[#This Row],[Zona (Distrito)
&lt;&lt; Seleccionar&gt;&gt;]])</f>
        <v>Huánuco__</v>
      </c>
      <c r="J6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4" s="72" t="e">
        <f>VLOOKUP(Tabla5[[#This Row],[Tipo de Transporte Empleado
&lt;&lt; Seleccionar&gt;&gt;]],Tabla8[#All],2,0)</f>
        <v>#N/A</v>
      </c>
      <c r="L664" s="71" t="e">
        <f>#REF!+(#REF!*2)+#REF!</f>
        <v>#REF!</v>
      </c>
    </row>
    <row r="665" spans="1:12" x14ac:dyDescent="0.25">
      <c r="A665" s="328" t="e">
        <f>VLOOKUP(Tabla5[[#This Row],[Acción
&lt;&lt; Seleccionar&gt;&gt;]],TablaAccion[[#All],[Nombre_Abreviado]:[Codigo_Plan_Acción]],3,0)</f>
        <v>#N/A</v>
      </c>
      <c r="B665" s="328" t="e">
        <f>VLOOKUP(Tabla5[[#This Row],[Acción Especifica
&lt;&lt; Seleccionar&gt;&gt;]],TablaAccionEspecifica[[#All],[Nombre_Abreviado]:[Codigo_Acción]],3,0)</f>
        <v>#N/A</v>
      </c>
      <c r="C665" s="328" t="e">
        <f>CONCATENATE(Tabla18[[#This Row],[Bus_02]],"_",Tabla5[[#This Row],[Sub Acción Específica
&lt;&lt; Seleccionar&gt;&gt;]])</f>
        <v>#N/A</v>
      </c>
      <c r="D665" s="328" t="e">
        <f>VLOOKUP(Tabla18[[#This Row],[Aux_01]],TablaSubAccionEspecifica[[#All],[Concat]:[Cod_Sub_acción_especifica]],2,0)</f>
        <v>#N/A</v>
      </c>
      <c r="E665" s="328" t="e">
        <f>Tabla18[[#This Row],[Bus_03]]&amp;"_"&amp;Tabla5[[#This Row],[Tipo de Agente
&lt;&lt; Seleccionar&gt;&gt;]]</f>
        <v>#N/A</v>
      </c>
      <c r="F665" s="328" t="e">
        <f>VLOOKUP(Tabla18[[#This Row],[Concat2]],TablaPOA[[#All],[Concat]:[ConcatEspecial]],3,0)</f>
        <v>#N/A</v>
      </c>
      <c r="G665" s="65" t="str">
        <f>CONCATENATE(Registro!$A$6,"_",Tabla5[[#This Row],[Zona (Provincia)
&lt;&lt; Seleccionar&gt;&gt;]])</f>
        <v>Huánuco_</v>
      </c>
      <c r="H665" s="60" t="e">
        <f>VLOOKUP(Tabla18[[#This Row],[Concatenado***]],Tabla2[[#All],[Concatenado]:[Simbología*]],2,0)</f>
        <v>#N/A</v>
      </c>
      <c r="I665" s="65" t="str">
        <f>CONCATENATE(Tabla18[[#This Row],[Concatenado***]],"_",Tabla5[[#This Row],[Zona (Distrito)
&lt;&lt; Seleccionar&gt;&gt;]])</f>
        <v>Huánuco__</v>
      </c>
      <c r="J6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5" s="72" t="e">
        <f>VLOOKUP(Tabla5[[#This Row],[Tipo de Transporte Empleado
&lt;&lt; Seleccionar&gt;&gt;]],Tabla8[#All],2,0)</f>
        <v>#N/A</v>
      </c>
      <c r="L665" s="71" t="e">
        <f>#REF!+(#REF!*2)+#REF!</f>
        <v>#REF!</v>
      </c>
    </row>
    <row r="666" spans="1:12" x14ac:dyDescent="0.25">
      <c r="A666" s="328" t="e">
        <f>VLOOKUP(Tabla5[[#This Row],[Acción
&lt;&lt; Seleccionar&gt;&gt;]],TablaAccion[[#All],[Nombre_Abreviado]:[Codigo_Plan_Acción]],3,0)</f>
        <v>#N/A</v>
      </c>
      <c r="B666" s="328" t="e">
        <f>VLOOKUP(Tabla5[[#This Row],[Acción Especifica
&lt;&lt; Seleccionar&gt;&gt;]],TablaAccionEspecifica[[#All],[Nombre_Abreviado]:[Codigo_Acción]],3,0)</f>
        <v>#N/A</v>
      </c>
      <c r="C666" s="328" t="e">
        <f>CONCATENATE(Tabla18[[#This Row],[Bus_02]],"_",Tabla5[[#This Row],[Sub Acción Específica
&lt;&lt; Seleccionar&gt;&gt;]])</f>
        <v>#N/A</v>
      </c>
      <c r="D666" s="328" t="e">
        <f>VLOOKUP(Tabla18[[#This Row],[Aux_01]],TablaSubAccionEspecifica[[#All],[Concat]:[Cod_Sub_acción_especifica]],2,0)</f>
        <v>#N/A</v>
      </c>
      <c r="E666" s="328" t="e">
        <f>Tabla18[[#This Row],[Bus_03]]&amp;"_"&amp;Tabla5[[#This Row],[Tipo de Agente
&lt;&lt; Seleccionar&gt;&gt;]]</f>
        <v>#N/A</v>
      </c>
      <c r="F666" s="328" t="e">
        <f>VLOOKUP(Tabla18[[#This Row],[Concat2]],TablaPOA[[#All],[Concat]:[ConcatEspecial]],3,0)</f>
        <v>#N/A</v>
      </c>
      <c r="G666" s="65" t="str">
        <f>CONCATENATE(Registro!$A$6,"_",Tabla5[[#This Row],[Zona (Provincia)
&lt;&lt; Seleccionar&gt;&gt;]])</f>
        <v>Huánuco_</v>
      </c>
      <c r="H666" s="60" t="e">
        <f>VLOOKUP(Tabla18[[#This Row],[Concatenado***]],Tabla2[[#All],[Concatenado]:[Simbología*]],2,0)</f>
        <v>#N/A</v>
      </c>
      <c r="I666" s="65" t="str">
        <f>CONCATENATE(Tabla18[[#This Row],[Concatenado***]],"_",Tabla5[[#This Row],[Zona (Distrito)
&lt;&lt; Seleccionar&gt;&gt;]])</f>
        <v>Huánuco__</v>
      </c>
      <c r="J6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6" s="72" t="e">
        <f>VLOOKUP(Tabla5[[#This Row],[Tipo de Transporte Empleado
&lt;&lt; Seleccionar&gt;&gt;]],Tabla8[#All],2,0)</f>
        <v>#N/A</v>
      </c>
      <c r="L666" s="71" t="e">
        <f>#REF!+(#REF!*2)+#REF!</f>
        <v>#REF!</v>
      </c>
    </row>
    <row r="667" spans="1:12" x14ac:dyDescent="0.25">
      <c r="A667" s="328" t="e">
        <f>VLOOKUP(Tabla5[[#This Row],[Acción
&lt;&lt; Seleccionar&gt;&gt;]],TablaAccion[[#All],[Nombre_Abreviado]:[Codigo_Plan_Acción]],3,0)</f>
        <v>#N/A</v>
      </c>
      <c r="B667" s="328" t="e">
        <f>VLOOKUP(Tabla5[[#This Row],[Acción Especifica
&lt;&lt; Seleccionar&gt;&gt;]],TablaAccionEspecifica[[#All],[Nombre_Abreviado]:[Codigo_Acción]],3,0)</f>
        <v>#N/A</v>
      </c>
      <c r="C667" s="328" t="e">
        <f>CONCATENATE(Tabla18[[#This Row],[Bus_02]],"_",Tabla5[[#This Row],[Sub Acción Específica
&lt;&lt; Seleccionar&gt;&gt;]])</f>
        <v>#N/A</v>
      </c>
      <c r="D667" s="328" t="e">
        <f>VLOOKUP(Tabla18[[#This Row],[Aux_01]],TablaSubAccionEspecifica[[#All],[Concat]:[Cod_Sub_acción_especifica]],2,0)</f>
        <v>#N/A</v>
      </c>
      <c r="E667" s="328" t="e">
        <f>Tabla18[[#This Row],[Bus_03]]&amp;"_"&amp;Tabla5[[#This Row],[Tipo de Agente
&lt;&lt; Seleccionar&gt;&gt;]]</f>
        <v>#N/A</v>
      </c>
      <c r="F667" s="328" t="e">
        <f>VLOOKUP(Tabla18[[#This Row],[Concat2]],TablaPOA[[#All],[Concat]:[ConcatEspecial]],3,0)</f>
        <v>#N/A</v>
      </c>
      <c r="G667" s="65" t="str">
        <f>CONCATENATE(Registro!$A$6,"_",Tabla5[[#This Row],[Zona (Provincia)
&lt;&lt; Seleccionar&gt;&gt;]])</f>
        <v>Huánuco_</v>
      </c>
      <c r="H667" s="60" t="e">
        <f>VLOOKUP(Tabla18[[#This Row],[Concatenado***]],Tabla2[[#All],[Concatenado]:[Simbología*]],2,0)</f>
        <v>#N/A</v>
      </c>
      <c r="I667" s="65" t="str">
        <f>CONCATENATE(Tabla18[[#This Row],[Concatenado***]],"_",Tabla5[[#This Row],[Zona (Distrito)
&lt;&lt; Seleccionar&gt;&gt;]])</f>
        <v>Huánuco__</v>
      </c>
      <c r="J6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7" s="72" t="e">
        <f>VLOOKUP(Tabla5[[#This Row],[Tipo de Transporte Empleado
&lt;&lt; Seleccionar&gt;&gt;]],Tabla8[#All],2,0)</f>
        <v>#N/A</v>
      </c>
      <c r="L667" s="71" t="e">
        <f>#REF!+(#REF!*2)+#REF!</f>
        <v>#REF!</v>
      </c>
    </row>
    <row r="668" spans="1:12" x14ac:dyDescent="0.25">
      <c r="A668" s="328" t="e">
        <f>VLOOKUP(Tabla5[[#This Row],[Acción
&lt;&lt; Seleccionar&gt;&gt;]],TablaAccion[[#All],[Nombre_Abreviado]:[Codigo_Plan_Acción]],3,0)</f>
        <v>#N/A</v>
      </c>
      <c r="B668" s="328" t="e">
        <f>VLOOKUP(Tabla5[[#This Row],[Acción Especifica
&lt;&lt; Seleccionar&gt;&gt;]],TablaAccionEspecifica[[#All],[Nombre_Abreviado]:[Codigo_Acción]],3,0)</f>
        <v>#N/A</v>
      </c>
      <c r="C668" s="328" t="e">
        <f>CONCATENATE(Tabla18[[#This Row],[Bus_02]],"_",Tabla5[[#This Row],[Sub Acción Específica
&lt;&lt; Seleccionar&gt;&gt;]])</f>
        <v>#N/A</v>
      </c>
      <c r="D668" s="328" t="e">
        <f>VLOOKUP(Tabla18[[#This Row],[Aux_01]],TablaSubAccionEspecifica[[#All],[Concat]:[Cod_Sub_acción_especifica]],2,0)</f>
        <v>#N/A</v>
      </c>
      <c r="E668" s="328" t="e">
        <f>Tabla18[[#This Row],[Bus_03]]&amp;"_"&amp;Tabla5[[#This Row],[Tipo de Agente
&lt;&lt; Seleccionar&gt;&gt;]]</f>
        <v>#N/A</v>
      </c>
      <c r="F668" s="328" t="e">
        <f>VLOOKUP(Tabla18[[#This Row],[Concat2]],TablaPOA[[#All],[Concat]:[ConcatEspecial]],3,0)</f>
        <v>#N/A</v>
      </c>
      <c r="G668" s="65" t="str">
        <f>CONCATENATE(Registro!$A$6,"_",Tabla5[[#This Row],[Zona (Provincia)
&lt;&lt; Seleccionar&gt;&gt;]])</f>
        <v>Huánuco_</v>
      </c>
      <c r="H668" s="60" t="e">
        <f>VLOOKUP(Tabla18[[#This Row],[Concatenado***]],Tabla2[[#All],[Concatenado]:[Simbología*]],2,0)</f>
        <v>#N/A</v>
      </c>
      <c r="I668" s="65" t="str">
        <f>CONCATENATE(Tabla18[[#This Row],[Concatenado***]],"_",Tabla5[[#This Row],[Zona (Distrito)
&lt;&lt; Seleccionar&gt;&gt;]])</f>
        <v>Huánuco__</v>
      </c>
      <c r="J6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8" s="72" t="e">
        <f>VLOOKUP(Tabla5[[#This Row],[Tipo de Transporte Empleado
&lt;&lt; Seleccionar&gt;&gt;]],Tabla8[#All],2,0)</f>
        <v>#N/A</v>
      </c>
      <c r="L668" s="71" t="e">
        <f>#REF!+(#REF!*2)+#REF!</f>
        <v>#REF!</v>
      </c>
    </row>
    <row r="669" spans="1:12" x14ac:dyDescent="0.25">
      <c r="A669" s="328" t="e">
        <f>VLOOKUP(Tabla5[[#This Row],[Acción
&lt;&lt; Seleccionar&gt;&gt;]],TablaAccion[[#All],[Nombre_Abreviado]:[Codigo_Plan_Acción]],3,0)</f>
        <v>#N/A</v>
      </c>
      <c r="B669" s="328" t="e">
        <f>VLOOKUP(Tabla5[[#This Row],[Acción Especifica
&lt;&lt; Seleccionar&gt;&gt;]],TablaAccionEspecifica[[#All],[Nombre_Abreviado]:[Codigo_Acción]],3,0)</f>
        <v>#N/A</v>
      </c>
      <c r="C669" s="328" t="e">
        <f>CONCATENATE(Tabla18[[#This Row],[Bus_02]],"_",Tabla5[[#This Row],[Sub Acción Específica
&lt;&lt; Seleccionar&gt;&gt;]])</f>
        <v>#N/A</v>
      </c>
      <c r="D669" s="328" t="e">
        <f>VLOOKUP(Tabla18[[#This Row],[Aux_01]],TablaSubAccionEspecifica[[#All],[Concat]:[Cod_Sub_acción_especifica]],2,0)</f>
        <v>#N/A</v>
      </c>
      <c r="E669" s="328" t="e">
        <f>Tabla18[[#This Row],[Bus_03]]&amp;"_"&amp;Tabla5[[#This Row],[Tipo de Agente
&lt;&lt; Seleccionar&gt;&gt;]]</f>
        <v>#N/A</v>
      </c>
      <c r="F669" s="328" t="e">
        <f>VLOOKUP(Tabla18[[#This Row],[Concat2]],TablaPOA[[#All],[Concat]:[ConcatEspecial]],3,0)</f>
        <v>#N/A</v>
      </c>
      <c r="G669" s="65" t="str">
        <f>CONCATENATE(Registro!$A$6,"_",Tabla5[[#This Row],[Zona (Provincia)
&lt;&lt; Seleccionar&gt;&gt;]])</f>
        <v>Huánuco_</v>
      </c>
      <c r="H669" s="60" t="e">
        <f>VLOOKUP(Tabla18[[#This Row],[Concatenado***]],Tabla2[[#All],[Concatenado]:[Simbología*]],2,0)</f>
        <v>#N/A</v>
      </c>
      <c r="I669" s="65" t="str">
        <f>CONCATENATE(Tabla18[[#This Row],[Concatenado***]],"_",Tabla5[[#This Row],[Zona (Distrito)
&lt;&lt; Seleccionar&gt;&gt;]])</f>
        <v>Huánuco__</v>
      </c>
      <c r="J6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9" s="72" t="e">
        <f>VLOOKUP(Tabla5[[#This Row],[Tipo de Transporte Empleado
&lt;&lt; Seleccionar&gt;&gt;]],Tabla8[#All],2,0)</f>
        <v>#N/A</v>
      </c>
      <c r="L669" s="71" t="e">
        <f>#REF!+(#REF!*2)+#REF!</f>
        <v>#REF!</v>
      </c>
    </row>
    <row r="670" spans="1:12" x14ac:dyDescent="0.25">
      <c r="A670" s="328" t="e">
        <f>VLOOKUP(Tabla5[[#This Row],[Acción
&lt;&lt; Seleccionar&gt;&gt;]],TablaAccion[[#All],[Nombre_Abreviado]:[Codigo_Plan_Acción]],3,0)</f>
        <v>#N/A</v>
      </c>
      <c r="B670" s="328" t="e">
        <f>VLOOKUP(Tabla5[[#This Row],[Acción Especifica
&lt;&lt; Seleccionar&gt;&gt;]],TablaAccionEspecifica[[#All],[Nombre_Abreviado]:[Codigo_Acción]],3,0)</f>
        <v>#N/A</v>
      </c>
      <c r="C670" s="328" t="e">
        <f>CONCATENATE(Tabla18[[#This Row],[Bus_02]],"_",Tabla5[[#This Row],[Sub Acción Específica
&lt;&lt; Seleccionar&gt;&gt;]])</f>
        <v>#N/A</v>
      </c>
      <c r="D670" s="328" t="e">
        <f>VLOOKUP(Tabla18[[#This Row],[Aux_01]],TablaSubAccionEspecifica[[#All],[Concat]:[Cod_Sub_acción_especifica]],2,0)</f>
        <v>#N/A</v>
      </c>
      <c r="E670" s="328" t="e">
        <f>Tabla18[[#This Row],[Bus_03]]&amp;"_"&amp;Tabla5[[#This Row],[Tipo de Agente
&lt;&lt; Seleccionar&gt;&gt;]]</f>
        <v>#N/A</v>
      </c>
      <c r="F670" s="328" t="e">
        <f>VLOOKUP(Tabla18[[#This Row],[Concat2]],TablaPOA[[#All],[Concat]:[ConcatEspecial]],3,0)</f>
        <v>#N/A</v>
      </c>
      <c r="G670" s="65" t="str">
        <f>CONCATENATE(Registro!$A$6,"_",Tabla5[[#This Row],[Zona (Provincia)
&lt;&lt; Seleccionar&gt;&gt;]])</f>
        <v>Huánuco_</v>
      </c>
      <c r="H670" s="60" t="e">
        <f>VLOOKUP(Tabla18[[#This Row],[Concatenado***]],Tabla2[[#All],[Concatenado]:[Simbología*]],2,0)</f>
        <v>#N/A</v>
      </c>
      <c r="I670" s="65" t="str">
        <f>CONCATENATE(Tabla18[[#This Row],[Concatenado***]],"_",Tabla5[[#This Row],[Zona (Distrito)
&lt;&lt; Seleccionar&gt;&gt;]])</f>
        <v>Huánuco__</v>
      </c>
      <c r="J6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0" s="72" t="e">
        <f>VLOOKUP(Tabla5[[#This Row],[Tipo de Transporte Empleado
&lt;&lt; Seleccionar&gt;&gt;]],Tabla8[#All],2,0)</f>
        <v>#N/A</v>
      </c>
      <c r="L670" s="71" t="e">
        <f>#REF!+(#REF!*2)+#REF!</f>
        <v>#REF!</v>
      </c>
    </row>
    <row r="671" spans="1:12" x14ac:dyDescent="0.25">
      <c r="A671" s="328" t="e">
        <f>VLOOKUP(Tabla5[[#This Row],[Acción
&lt;&lt; Seleccionar&gt;&gt;]],TablaAccion[[#All],[Nombre_Abreviado]:[Codigo_Plan_Acción]],3,0)</f>
        <v>#N/A</v>
      </c>
      <c r="B671" s="328" t="e">
        <f>VLOOKUP(Tabla5[[#This Row],[Acción Especifica
&lt;&lt; Seleccionar&gt;&gt;]],TablaAccionEspecifica[[#All],[Nombre_Abreviado]:[Codigo_Acción]],3,0)</f>
        <v>#N/A</v>
      </c>
      <c r="C671" s="328" t="e">
        <f>CONCATENATE(Tabla18[[#This Row],[Bus_02]],"_",Tabla5[[#This Row],[Sub Acción Específica
&lt;&lt; Seleccionar&gt;&gt;]])</f>
        <v>#N/A</v>
      </c>
      <c r="D671" s="328" t="e">
        <f>VLOOKUP(Tabla18[[#This Row],[Aux_01]],TablaSubAccionEspecifica[[#All],[Concat]:[Cod_Sub_acción_especifica]],2,0)</f>
        <v>#N/A</v>
      </c>
      <c r="E671" s="328" t="e">
        <f>Tabla18[[#This Row],[Bus_03]]&amp;"_"&amp;Tabla5[[#This Row],[Tipo de Agente
&lt;&lt; Seleccionar&gt;&gt;]]</f>
        <v>#N/A</v>
      </c>
      <c r="F671" s="328" t="e">
        <f>VLOOKUP(Tabla18[[#This Row],[Concat2]],TablaPOA[[#All],[Concat]:[ConcatEspecial]],3,0)</f>
        <v>#N/A</v>
      </c>
      <c r="G671" s="65" t="str">
        <f>CONCATENATE(Registro!$A$6,"_",Tabla5[[#This Row],[Zona (Provincia)
&lt;&lt; Seleccionar&gt;&gt;]])</f>
        <v>Huánuco_</v>
      </c>
      <c r="H671" s="60" t="e">
        <f>VLOOKUP(Tabla18[[#This Row],[Concatenado***]],Tabla2[[#All],[Concatenado]:[Simbología*]],2,0)</f>
        <v>#N/A</v>
      </c>
      <c r="I671" s="65" t="str">
        <f>CONCATENATE(Tabla18[[#This Row],[Concatenado***]],"_",Tabla5[[#This Row],[Zona (Distrito)
&lt;&lt; Seleccionar&gt;&gt;]])</f>
        <v>Huánuco__</v>
      </c>
      <c r="J6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1" s="72" t="e">
        <f>VLOOKUP(Tabla5[[#This Row],[Tipo de Transporte Empleado
&lt;&lt; Seleccionar&gt;&gt;]],Tabla8[#All],2,0)</f>
        <v>#N/A</v>
      </c>
      <c r="L671" s="71" t="e">
        <f>#REF!+(#REF!*2)+#REF!</f>
        <v>#REF!</v>
      </c>
    </row>
    <row r="672" spans="1:12" x14ac:dyDescent="0.25">
      <c r="A672" s="328" t="e">
        <f>VLOOKUP(Tabla5[[#This Row],[Acción
&lt;&lt; Seleccionar&gt;&gt;]],TablaAccion[[#All],[Nombre_Abreviado]:[Codigo_Plan_Acción]],3,0)</f>
        <v>#N/A</v>
      </c>
      <c r="B672" s="328" t="e">
        <f>VLOOKUP(Tabla5[[#This Row],[Acción Especifica
&lt;&lt; Seleccionar&gt;&gt;]],TablaAccionEspecifica[[#All],[Nombre_Abreviado]:[Codigo_Acción]],3,0)</f>
        <v>#N/A</v>
      </c>
      <c r="C672" s="328" t="e">
        <f>CONCATENATE(Tabla18[[#This Row],[Bus_02]],"_",Tabla5[[#This Row],[Sub Acción Específica
&lt;&lt; Seleccionar&gt;&gt;]])</f>
        <v>#N/A</v>
      </c>
      <c r="D672" s="328" t="e">
        <f>VLOOKUP(Tabla18[[#This Row],[Aux_01]],TablaSubAccionEspecifica[[#All],[Concat]:[Cod_Sub_acción_especifica]],2,0)</f>
        <v>#N/A</v>
      </c>
      <c r="E672" s="328" t="e">
        <f>Tabla18[[#This Row],[Bus_03]]&amp;"_"&amp;Tabla5[[#This Row],[Tipo de Agente
&lt;&lt; Seleccionar&gt;&gt;]]</f>
        <v>#N/A</v>
      </c>
      <c r="F672" s="328" t="e">
        <f>VLOOKUP(Tabla18[[#This Row],[Concat2]],TablaPOA[[#All],[Concat]:[ConcatEspecial]],3,0)</f>
        <v>#N/A</v>
      </c>
      <c r="G672" s="65" t="str">
        <f>CONCATENATE(Registro!$A$6,"_",Tabla5[[#This Row],[Zona (Provincia)
&lt;&lt; Seleccionar&gt;&gt;]])</f>
        <v>Huánuco_</v>
      </c>
      <c r="H672" s="60" t="e">
        <f>VLOOKUP(Tabla18[[#This Row],[Concatenado***]],Tabla2[[#All],[Concatenado]:[Simbología*]],2,0)</f>
        <v>#N/A</v>
      </c>
      <c r="I672" s="65" t="str">
        <f>CONCATENATE(Tabla18[[#This Row],[Concatenado***]],"_",Tabla5[[#This Row],[Zona (Distrito)
&lt;&lt; Seleccionar&gt;&gt;]])</f>
        <v>Huánuco__</v>
      </c>
      <c r="J6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2" s="72" t="e">
        <f>VLOOKUP(Tabla5[[#This Row],[Tipo de Transporte Empleado
&lt;&lt; Seleccionar&gt;&gt;]],Tabla8[#All],2,0)</f>
        <v>#N/A</v>
      </c>
      <c r="L672" s="71" t="e">
        <f>#REF!+(#REF!*2)+#REF!</f>
        <v>#REF!</v>
      </c>
    </row>
    <row r="673" spans="1:12" x14ac:dyDescent="0.25">
      <c r="A673" s="328" t="e">
        <f>VLOOKUP(Tabla5[[#This Row],[Acción
&lt;&lt; Seleccionar&gt;&gt;]],TablaAccion[[#All],[Nombre_Abreviado]:[Codigo_Plan_Acción]],3,0)</f>
        <v>#N/A</v>
      </c>
      <c r="B673" s="328" t="e">
        <f>VLOOKUP(Tabla5[[#This Row],[Acción Especifica
&lt;&lt; Seleccionar&gt;&gt;]],TablaAccionEspecifica[[#All],[Nombre_Abreviado]:[Codigo_Acción]],3,0)</f>
        <v>#N/A</v>
      </c>
      <c r="C673" s="328" t="e">
        <f>CONCATENATE(Tabla18[[#This Row],[Bus_02]],"_",Tabla5[[#This Row],[Sub Acción Específica
&lt;&lt; Seleccionar&gt;&gt;]])</f>
        <v>#N/A</v>
      </c>
      <c r="D673" s="328" t="e">
        <f>VLOOKUP(Tabla18[[#This Row],[Aux_01]],TablaSubAccionEspecifica[[#All],[Concat]:[Cod_Sub_acción_especifica]],2,0)</f>
        <v>#N/A</v>
      </c>
      <c r="E673" s="328" t="e">
        <f>Tabla18[[#This Row],[Bus_03]]&amp;"_"&amp;Tabla5[[#This Row],[Tipo de Agente
&lt;&lt; Seleccionar&gt;&gt;]]</f>
        <v>#N/A</v>
      </c>
      <c r="F673" s="328" t="e">
        <f>VLOOKUP(Tabla18[[#This Row],[Concat2]],TablaPOA[[#All],[Concat]:[ConcatEspecial]],3,0)</f>
        <v>#N/A</v>
      </c>
      <c r="G673" s="65" t="str">
        <f>CONCATENATE(Registro!$A$6,"_",Tabla5[[#This Row],[Zona (Provincia)
&lt;&lt; Seleccionar&gt;&gt;]])</f>
        <v>Huánuco_</v>
      </c>
      <c r="H673" s="60" t="e">
        <f>VLOOKUP(Tabla18[[#This Row],[Concatenado***]],Tabla2[[#All],[Concatenado]:[Simbología*]],2,0)</f>
        <v>#N/A</v>
      </c>
      <c r="I673" s="65" t="str">
        <f>CONCATENATE(Tabla18[[#This Row],[Concatenado***]],"_",Tabla5[[#This Row],[Zona (Distrito)
&lt;&lt; Seleccionar&gt;&gt;]])</f>
        <v>Huánuco__</v>
      </c>
      <c r="J6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3" s="72" t="e">
        <f>VLOOKUP(Tabla5[[#This Row],[Tipo de Transporte Empleado
&lt;&lt; Seleccionar&gt;&gt;]],Tabla8[#All],2,0)</f>
        <v>#N/A</v>
      </c>
      <c r="L673" s="71" t="e">
        <f>#REF!+(#REF!*2)+#REF!</f>
        <v>#REF!</v>
      </c>
    </row>
    <row r="674" spans="1:12" x14ac:dyDescent="0.25">
      <c r="A674" s="328" t="e">
        <f>VLOOKUP(Tabla5[[#This Row],[Acción
&lt;&lt; Seleccionar&gt;&gt;]],TablaAccion[[#All],[Nombre_Abreviado]:[Codigo_Plan_Acción]],3,0)</f>
        <v>#N/A</v>
      </c>
      <c r="B674" s="328" t="e">
        <f>VLOOKUP(Tabla5[[#This Row],[Acción Especifica
&lt;&lt; Seleccionar&gt;&gt;]],TablaAccionEspecifica[[#All],[Nombre_Abreviado]:[Codigo_Acción]],3,0)</f>
        <v>#N/A</v>
      </c>
      <c r="C674" s="328" t="e">
        <f>CONCATENATE(Tabla18[[#This Row],[Bus_02]],"_",Tabla5[[#This Row],[Sub Acción Específica
&lt;&lt; Seleccionar&gt;&gt;]])</f>
        <v>#N/A</v>
      </c>
      <c r="D674" s="328" t="e">
        <f>VLOOKUP(Tabla18[[#This Row],[Aux_01]],TablaSubAccionEspecifica[[#All],[Concat]:[Cod_Sub_acción_especifica]],2,0)</f>
        <v>#N/A</v>
      </c>
      <c r="E674" s="328" t="e">
        <f>Tabla18[[#This Row],[Bus_03]]&amp;"_"&amp;Tabla5[[#This Row],[Tipo de Agente
&lt;&lt; Seleccionar&gt;&gt;]]</f>
        <v>#N/A</v>
      </c>
      <c r="F674" s="328" t="e">
        <f>VLOOKUP(Tabla18[[#This Row],[Concat2]],TablaPOA[[#All],[Concat]:[ConcatEspecial]],3,0)</f>
        <v>#N/A</v>
      </c>
      <c r="G674" s="65" t="str">
        <f>CONCATENATE(Registro!$A$6,"_",Tabla5[[#This Row],[Zona (Provincia)
&lt;&lt; Seleccionar&gt;&gt;]])</f>
        <v>Huánuco_</v>
      </c>
      <c r="H674" s="60" t="e">
        <f>VLOOKUP(Tabla18[[#This Row],[Concatenado***]],Tabla2[[#All],[Concatenado]:[Simbología*]],2,0)</f>
        <v>#N/A</v>
      </c>
      <c r="I674" s="65" t="str">
        <f>CONCATENATE(Tabla18[[#This Row],[Concatenado***]],"_",Tabla5[[#This Row],[Zona (Distrito)
&lt;&lt; Seleccionar&gt;&gt;]])</f>
        <v>Huánuco__</v>
      </c>
      <c r="J6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4" s="72" t="e">
        <f>VLOOKUP(Tabla5[[#This Row],[Tipo de Transporte Empleado
&lt;&lt; Seleccionar&gt;&gt;]],Tabla8[#All],2,0)</f>
        <v>#N/A</v>
      </c>
      <c r="L674" s="71" t="e">
        <f>#REF!+(#REF!*2)+#REF!</f>
        <v>#REF!</v>
      </c>
    </row>
    <row r="675" spans="1:12" x14ac:dyDescent="0.25">
      <c r="A675" s="328" t="e">
        <f>VLOOKUP(Tabla5[[#This Row],[Acción
&lt;&lt; Seleccionar&gt;&gt;]],TablaAccion[[#All],[Nombre_Abreviado]:[Codigo_Plan_Acción]],3,0)</f>
        <v>#N/A</v>
      </c>
      <c r="B675" s="328" t="e">
        <f>VLOOKUP(Tabla5[[#This Row],[Acción Especifica
&lt;&lt; Seleccionar&gt;&gt;]],TablaAccionEspecifica[[#All],[Nombre_Abreviado]:[Codigo_Acción]],3,0)</f>
        <v>#N/A</v>
      </c>
      <c r="C675" s="328" t="e">
        <f>CONCATENATE(Tabla18[[#This Row],[Bus_02]],"_",Tabla5[[#This Row],[Sub Acción Específica
&lt;&lt; Seleccionar&gt;&gt;]])</f>
        <v>#N/A</v>
      </c>
      <c r="D675" s="328" t="e">
        <f>VLOOKUP(Tabla18[[#This Row],[Aux_01]],TablaSubAccionEspecifica[[#All],[Concat]:[Cod_Sub_acción_especifica]],2,0)</f>
        <v>#N/A</v>
      </c>
      <c r="E675" s="328" t="e">
        <f>Tabla18[[#This Row],[Bus_03]]&amp;"_"&amp;Tabla5[[#This Row],[Tipo de Agente
&lt;&lt; Seleccionar&gt;&gt;]]</f>
        <v>#N/A</v>
      </c>
      <c r="F675" s="328" t="e">
        <f>VLOOKUP(Tabla18[[#This Row],[Concat2]],TablaPOA[[#All],[Concat]:[ConcatEspecial]],3,0)</f>
        <v>#N/A</v>
      </c>
      <c r="G675" s="65" t="str">
        <f>CONCATENATE(Registro!$A$6,"_",Tabla5[[#This Row],[Zona (Provincia)
&lt;&lt; Seleccionar&gt;&gt;]])</f>
        <v>Huánuco_</v>
      </c>
      <c r="H675" s="60" t="e">
        <f>VLOOKUP(Tabla18[[#This Row],[Concatenado***]],Tabla2[[#All],[Concatenado]:[Simbología*]],2,0)</f>
        <v>#N/A</v>
      </c>
      <c r="I675" s="65" t="str">
        <f>CONCATENATE(Tabla18[[#This Row],[Concatenado***]],"_",Tabla5[[#This Row],[Zona (Distrito)
&lt;&lt; Seleccionar&gt;&gt;]])</f>
        <v>Huánuco__</v>
      </c>
      <c r="J6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5" s="72" t="e">
        <f>VLOOKUP(Tabla5[[#This Row],[Tipo de Transporte Empleado
&lt;&lt; Seleccionar&gt;&gt;]],Tabla8[#All],2,0)</f>
        <v>#N/A</v>
      </c>
      <c r="L675" s="71" t="e">
        <f>#REF!+(#REF!*2)+#REF!</f>
        <v>#REF!</v>
      </c>
    </row>
    <row r="676" spans="1:12" x14ac:dyDescent="0.25">
      <c r="A676" s="328" t="e">
        <f>VLOOKUP(Tabla5[[#This Row],[Acción
&lt;&lt; Seleccionar&gt;&gt;]],TablaAccion[[#All],[Nombre_Abreviado]:[Codigo_Plan_Acción]],3,0)</f>
        <v>#N/A</v>
      </c>
      <c r="B676" s="328" t="e">
        <f>VLOOKUP(Tabla5[[#This Row],[Acción Especifica
&lt;&lt; Seleccionar&gt;&gt;]],TablaAccionEspecifica[[#All],[Nombre_Abreviado]:[Codigo_Acción]],3,0)</f>
        <v>#N/A</v>
      </c>
      <c r="C676" s="328" t="e">
        <f>CONCATENATE(Tabla18[[#This Row],[Bus_02]],"_",Tabla5[[#This Row],[Sub Acción Específica
&lt;&lt; Seleccionar&gt;&gt;]])</f>
        <v>#N/A</v>
      </c>
      <c r="D676" s="328" t="e">
        <f>VLOOKUP(Tabla18[[#This Row],[Aux_01]],TablaSubAccionEspecifica[[#All],[Concat]:[Cod_Sub_acción_especifica]],2,0)</f>
        <v>#N/A</v>
      </c>
      <c r="E676" s="328" t="e">
        <f>Tabla18[[#This Row],[Bus_03]]&amp;"_"&amp;Tabla5[[#This Row],[Tipo de Agente
&lt;&lt; Seleccionar&gt;&gt;]]</f>
        <v>#N/A</v>
      </c>
      <c r="F676" s="328" t="e">
        <f>VLOOKUP(Tabla18[[#This Row],[Concat2]],TablaPOA[[#All],[Concat]:[ConcatEspecial]],3,0)</f>
        <v>#N/A</v>
      </c>
      <c r="G676" s="65" t="str">
        <f>CONCATENATE(Registro!$A$6,"_",Tabla5[[#This Row],[Zona (Provincia)
&lt;&lt; Seleccionar&gt;&gt;]])</f>
        <v>Huánuco_</v>
      </c>
      <c r="H676" s="60" t="e">
        <f>VLOOKUP(Tabla18[[#This Row],[Concatenado***]],Tabla2[[#All],[Concatenado]:[Simbología*]],2,0)</f>
        <v>#N/A</v>
      </c>
      <c r="I676" s="65" t="str">
        <f>CONCATENATE(Tabla18[[#This Row],[Concatenado***]],"_",Tabla5[[#This Row],[Zona (Distrito)
&lt;&lt; Seleccionar&gt;&gt;]])</f>
        <v>Huánuco__</v>
      </c>
      <c r="J6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6" s="72" t="e">
        <f>VLOOKUP(Tabla5[[#This Row],[Tipo de Transporte Empleado
&lt;&lt; Seleccionar&gt;&gt;]],Tabla8[#All],2,0)</f>
        <v>#N/A</v>
      </c>
      <c r="L676" s="71" t="e">
        <f>#REF!+(#REF!*2)+#REF!</f>
        <v>#REF!</v>
      </c>
    </row>
    <row r="677" spans="1:12" x14ac:dyDescent="0.25">
      <c r="A677" s="328" t="e">
        <f>VLOOKUP(Tabla5[[#This Row],[Acción
&lt;&lt; Seleccionar&gt;&gt;]],TablaAccion[[#All],[Nombre_Abreviado]:[Codigo_Plan_Acción]],3,0)</f>
        <v>#N/A</v>
      </c>
      <c r="B677" s="328" t="e">
        <f>VLOOKUP(Tabla5[[#This Row],[Acción Especifica
&lt;&lt; Seleccionar&gt;&gt;]],TablaAccionEspecifica[[#All],[Nombre_Abreviado]:[Codigo_Acción]],3,0)</f>
        <v>#N/A</v>
      </c>
      <c r="C677" s="328" t="e">
        <f>CONCATENATE(Tabla18[[#This Row],[Bus_02]],"_",Tabla5[[#This Row],[Sub Acción Específica
&lt;&lt; Seleccionar&gt;&gt;]])</f>
        <v>#N/A</v>
      </c>
      <c r="D677" s="328" t="e">
        <f>VLOOKUP(Tabla18[[#This Row],[Aux_01]],TablaSubAccionEspecifica[[#All],[Concat]:[Cod_Sub_acción_especifica]],2,0)</f>
        <v>#N/A</v>
      </c>
      <c r="E677" s="328" t="e">
        <f>Tabla18[[#This Row],[Bus_03]]&amp;"_"&amp;Tabla5[[#This Row],[Tipo de Agente
&lt;&lt; Seleccionar&gt;&gt;]]</f>
        <v>#N/A</v>
      </c>
      <c r="F677" s="328" t="e">
        <f>VLOOKUP(Tabla18[[#This Row],[Concat2]],TablaPOA[[#All],[Concat]:[ConcatEspecial]],3,0)</f>
        <v>#N/A</v>
      </c>
      <c r="G677" s="65" t="str">
        <f>CONCATENATE(Registro!$A$6,"_",Tabla5[[#This Row],[Zona (Provincia)
&lt;&lt; Seleccionar&gt;&gt;]])</f>
        <v>Huánuco_</v>
      </c>
      <c r="H677" s="60" t="e">
        <f>VLOOKUP(Tabla18[[#This Row],[Concatenado***]],Tabla2[[#All],[Concatenado]:[Simbología*]],2,0)</f>
        <v>#N/A</v>
      </c>
      <c r="I677" s="65" t="str">
        <f>CONCATENATE(Tabla18[[#This Row],[Concatenado***]],"_",Tabla5[[#This Row],[Zona (Distrito)
&lt;&lt; Seleccionar&gt;&gt;]])</f>
        <v>Huánuco__</v>
      </c>
      <c r="J6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7" s="72" t="e">
        <f>VLOOKUP(Tabla5[[#This Row],[Tipo de Transporte Empleado
&lt;&lt; Seleccionar&gt;&gt;]],Tabla8[#All],2,0)</f>
        <v>#N/A</v>
      </c>
      <c r="L677" s="71" t="e">
        <f>#REF!+(#REF!*2)+#REF!</f>
        <v>#REF!</v>
      </c>
    </row>
    <row r="678" spans="1:12" x14ac:dyDescent="0.25">
      <c r="A678" s="328" t="e">
        <f>VLOOKUP(Tabla5[[#This Row],[Acción
&lt;&lt; Seleccionar&gt;&gt;]],TablaAccion[[#All],[Nombre_Abreviado]:[Codigo_Plan_Acción]],3,0)</f>
        <v>#N/A</v>
      </c>
      <c r="B678" s="328" t="e">
        <f>VLOOKUP(Tabla5[[#This Row],[Acción Especifica
&lt;&lt; Seleccionar&gt;&gt;]],TablaAccionEspecifica[[#All],[Nombre_Abreviado]:[Codigo_Acción]],3,0)</f>
        <v>#N/A</v>
      </c>
      <c r="C678" s="328" t="e">
        <f>CONCATENATE(Tabla18[[#This Row],[Bus_02]],"_",Tabla5[[#This Row],[Sub Acción Específica
&lt;&lt; Seleccionar&gt;&gt;]])</f>
        <v>#N/A</v>
      </c>
      <c r="D678" s="328" t="e">
        <f>VLOOKUP(Tabla18[[#This Row],[Aux_01]],TablaSubAccionEspecifica[[#All],[Concat]:[Cod_Sub_acción_especifica]],2,0)</f>
        <v>#N/A</v>
      </c>
      <c r="E678" s="328" t="e">
        <f>Tabla18[[#This Row],[Bus_03]]&amp;"_"&amp;Tabla5[[#This Row],[Tipo de Agente
&lt;&lt; Seleccionar&gt;&gt;]]</f>
        <v>#N/A</v>
      </c>
      <c r="F678" s="328" t="e">
        <f>VLOOKUP(Tabla18[[#This Row],[Concat2]],TablaPOA[[#All],[Concat]:[ConcatEspecial]],3,0)</f>
        <v>#N/A</v>
      </c>
      <c r="G678" s="65" t="str">
        <f>CONCATENATE(Registro!$A$6,"_",Tabla5[[#This Row],[Zona (Provincia)
&lt;&lt; Seleccionar&gt;&gt;]])</f>
        <v>Huánuco_</v>
      </c>
      <c r="H678" s="60" t="e">
        <f>VLOOKUP(Tabla18[[#This Row],[Concatenado***]],Tabla2[[#All],[Concatenado]:[Simbología*]],2,0)</f>
        <v>#N/A</v>
      </c>
      <c r="I678" s="65" t="str">
        <f>CONCATENATE(Tabla18[[#This Row],[Concatenado***]],"_",Tabla5[[#This Row],[Zona (Distrito)
&lt;&lt; Seleccionar&gt;&gt;]])</f>
        <v>Huánuco__</v>
      </c>
      <c r="J6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8" s="72" t="e">
        <f>VLOOKUP(Tabla5[[#This Row],[Tipo de Transporte Empleado
&lt;&lt; Seleccionar&gt;&gt;]],Tabla8[#All],2,0)</f>
        <v>#N/A</v>
      </c>
      <c r="L678" s="71" t="e">
        <f>#REF!+(#REF!*2)+#REF!</f>
        <v>#REF!</v>
      </c>
    </row>
    <row r="679" spans="1:12" x14ac:dyDescent="0.25">
      <c r="A679" s="328" t="e">
        <f>VLOOKUP(Tabla5[[#This Row],[Acción
&lt;&lt; Seleccionar&gt;&gt;]],TablaAccion[[#All],[Nombre_Abreviado]:[Codigo_Plan_Acción]],3,0)</f>
        <v>#N/A</v>
      </c>
      <c r="B679" s="328" t="e">
        <f>VLOOKUP(Tabla5[[#This Row],[Acción Especifica
&lt;&lt; Seleccionar&gt;&gt;]],TablaAccionEspecifica[[#All],[Nombre_Abreviado]:[Codigo_Acción]],3,0)</f>
        <v>#N/A</v>
      </c>
      <c r="C679" s="328" t="e">
        <f>CONCATENATE(Tabla18[[#This Row],[Bus_02]],"_",Tabla5[[#This Row],[Sub Acción Específica
&lt;&lt; Seleccionar&gt;&gt;]])</f>
        <v>#N/A</v>
      </c>
      <c r="D679" s="328" t="e">
        <f>VLOOKUP(Tabla18[[#This Row],[Aux_01]],TablaSubAccionEspecifica[[#All],[Concat]:[Cod_Sub_acción_especifica]],2,0)</f>
        <v>#N/A</v>
      </c>
      <c r="E679" s="328" t="e">
        <f>Tabla18[[#This Row],[Bus_03]]&amp;"_"&amp;Tabla5[[#This Row],[Tipo de Agente
&lt;&lt; Seleccionar&gt;&gt;]]</f>
        <v>#N/A</v>
      </c>
      <c r="F679" s="328" t="e">
        <f>VLOOKUP(Tabla18[[#This Row],[Concat2]],TablaPOA[[#All],[Concat]:[ConcatEspecial]],3,0)</f>
        <v>#N/A</v>
      </c>
      <c r="G679" s="65" t="str">
        <f>CONCATENATE(Registro!$A$6,"_",Tabla5[[#This Row],[Zona (Provincia)
&lt;&lt; Seleccionar&gt;&gt;]])</f>
        <v>Huánuco_</v>
      </c>
      <c r="H679" s="60" t="e">
        <f>VLOOKUP(Tabla18[[#This Row],[Concatenado***]],Tabla2[[#All],[Concatenado]:[Simbología*]],2,0)</f>
        <v>#N/A</v>
      </c>
      <c r="I679" s="65" t="str">
        <f>CONCATENATE(Tabla18[[#This Row],[Concatenado***]],"_",Tabla5[[#This Row],[Zona (Distrito)
&lt;&lt; Seleccionar&gt;&gt;]])</f>
        <v>Huánuco__</v>
      </c>
      <c r="J6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9" s="72" t="e">
        <f>VLOOKUP(Tabla5[[#This Row],[Tipo de Transporte Empleado
&lt;&lt; Seleccionar&gt;&gt;]],Tabla8[#All],2,0)</f>
        <v>#N/A</v>
      </c>
      <c r="L679" s="71" t="e">
        <f>#REF!+(#REF!*2)+#REF!</f>
        <v>#REF!</v>
      </c>
    </row>
    <row r="680" spans="1:12" x14ac:dyDescent="0.25">
      <c r="A680" s="328" t="e">
        <f>VLOOKUP(Tabla5[[#This Row],[Acción
&lt;&lt; Seleccionar&gt;&gt;]],TablaAccion[[#All],[Nombre_Abreviado]:[Codigo_Plan_Acción]],3,0)</f>
        <v>#N/A</v>
      </c>
      <c r="B680" s="328" t="e">
        <f>VLOOKUP(Tabla5[[#This Row],[Acción Especifica
&lt;&lt; Seleccionar&gt;&gt;]],TablaAccionEspecifica[[#All],[Nombre_Abreviado]:[Codigo_Acción]],3,0)</f>
        <v>#N/A</v>
      </c>
      <c r="C680" s="328" t="e">
        <f>CONCATENATE(Tabla18[[#This Row],[Bus_02]],"_",Tabla5[[#This Row],[Sub Acción Específica
&lt;&lt; Seleccionar&gt;&gt;]])</f>
        <v>#N/A</v>
      </c>
      <c r="D680" s="328" t="e">
        <f>VLOOKUP(Tabla18[[#This Row],[Aux_01]],TablaSubAccionEspecifica[[#All],[Concat]:[Cod_Sub_acción_especifica]],2,0)</f>
        <v>#N/A</v>
      </c>
      <c r="E680" s="328" t="e">
        <f>Tabla18[[#This Row],[Bus_03]]&amp;"_"&amp;Tabla5[[#This Row],[Tipo de Agente
&lt;&lt; Seleccionar&gt;&gt;]]</f>
        <v>#N/A</v>
      </c>
      <c r="F680" s="328" t="e">
        <f>VLOOKUP(Tabla18[[#This Row],[Concat2]],TablaPOA[[#All],[Concat]:[ConcatEspecial]],3,0)</f>
        <v>#N/A</v>
      </c>
      <c r="G680" s="65" t="str">
        <f>CONCATENATE(Registro!$A$6,"_",Tabla5[[#This Row],[Zona (Provincia)
&lt;&lt; Seleccionar&gt;&gt;]])</f>
        <v>Huánuco_</v>
      </c>
      <c r="H680" s="60" t="e">
        <f>VLOOKUP(Tabla18[[#This Row],[Concatenado***]],Tabla2[[#All],[Concatenado]:[Simbología*]],2,0)</f>
        <v>#N/A</v>
      </c>
      <c r="I680" s="65" t="str">
        <f>CONCATENATE(Tabla18[[#This Row],[Concatenado***]],"_",Tabla5[[#This Row],[Zona (Distrito)
&lt;&lt; Seleccionar&gt;&gt;]])</f>
        <v>Huánuco__</v>
      </c>
      <c r="J6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0" s="72" t="e">
        <f>VLOOKUP(Tabla5[[#This Row],[Tipo de Transporte Empleado
&lt;&lt; Seleccionar&gt;&gt;]],Tabla8[#All],2,0)</f>
        <v>#N/A</v>
      </c>
      <c r="L680" s="71" t="e">
        <f>#REF!+(#REF!*2)+#REF!</f>
        <v>#REF!</v>
      </c>
    </row>
    <row r="681" spans="1:12" x14ac:dyDescent="0.25">
      <c r="A681" s="328" t="e">
        <f>VLOOKUP(Tabla5[[#This Row],[Acción
&lt;&lt; Seleccionar&gt;&gt;]],TablaAccion[[#All],[Nombre_Abreviado]:[Codigo_Plan_Acción]],3,0)</f>
        <v>#N/A</v>
      </c>
      <c r="B681" s="328" t="e">
        <f>VLOOKUP(Tabla5[[#This Row],[Acción Especifica
&lt;&lt; Seleccionar&gt;&gt;]],TablaAccionEspecifica[[#All],[Nombre_Abreviado]:[Codigo_Acción]],3,0)</f>
        <v>#N/A</v>
      </c>
      <c r="C681" s="328" t="e">
        <f>CONCATENATE(Tabla18[[#This Row],[Bus_02]],"_",Tabla5[[#This Row],[Sub Acción Específica
&lt;&lt; Seleccionar&gt;&gt;]])</f>
        <v>#N/A</v>
      </c>
      <c r="D681" s="328" t="e">
        <f>VLOOKUP(Tabla18[[#This Row],[Aux_01]],TablaSubAccionEspecifica[[#All],[Concat]:[Cod_Sub_acción_especifica]],2,0)</f>
        <v>#N/A</v>
      </c>
      <c r="E681" s="328" t="e">
        <f>Tabla18[[#This Row],[Bus_03]]&amp;"_"&amp;Tabla5[[#This Row],[Tipo de Agente
&lt;&lt; Seleccionar&gt;&gt;]]</f>
        <v>#N/A</v>
      </c>
      <c r="F681" s="328" t="e">
        <f>VLOOKUP(Tabla18[[#This Row],[Concat2]],TablaPOA[[#All],[Concat]:[ConcatEspecial]],3,0)</f>
        <v>#N/A</v>
      </c>
      <c r="G681" s="65" t="str">
        <f>CONCATENATE(Registro!$A$6,"_",Tabla5[[#This Row],[Zona (Provincia)
&lt;&lt; Seleccionar&gt;&gt;]])</f>
        <v>Huánuco_</v>
      </c>
      <c r="H681" s="60" t="e">
        <f>VLOOKUP(Tabla18[[#This Row],[Concatenado***]],Tabla2[[#All],[Concatenado]:[Simbología*]],2,0)</f>
        <v>#N/A</v>
      </c>
      <c r="I681" s="65" t="str">
        <f>CONCATENATE(Tabla18[[#This Row],[Concatenado***]],"_",Tabla5[[#This Row],[Zona (Distrito)
&lt;&lt; Seleccionar&gt;&gt;]])</f>
        <v>Huánuco__</v>
      </c>
      <c r="J6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1" s="72" t="e">
        <f>VLOOKUP(Tabla5[[#This Row],[Tipo de Transporte Empleado
&lt;&lt; Seleccionar&gt;&gt;]],Tabla8[#All],2,0)</f>
        <v>#N/A</v>
      </c>
      <c r="L681" s="71" t="e">
        <f>#REF!+(#REF!*2)+#REF!</f>
        <v>#REF!</v>
      </c>
    </row>
    <row r="682" spans="1:12" x14ac:dyDescent="0.25">
      <c r="A682" s="328" t="e">
        <f>VLOOKUP(Tabla5[[#This Row],[Acción
&lt;&lt; Seleccionar&gt;&gt;]],TablaAccion[[#All],[Nombre_Abreviado]:[Codigo_Plan_Acción]],3,0)</f>
        <v>#N/A</v>
      </c>
      <c r="B682" s="328" t="e">
        <f>VLOOKUP(Tabla5[[#This Row],[Acción Especifica
&lt;&lt; Seleccionar&gt;&gt;]],TablaAccionEspecifica[[#All],[Nombre_Abreviado]:[Codigo_Acción]],3,0)</f>
        <v>#N/A</v>
      </c>
      <c r="C682" s="328" t="e">
        <f>CONCATENATE(Tabla18[[#This Row],[Bus_02]],"_",Tabla5[[#This Row],[Sub Acción Específica
&lt;&lt; Seleccionar&gt;&gt;]])</f>
        <v>#N/A</v>
      </c>
      <c r="D682" s="328" t="e">
        <f>VLOOKUP(Tabla18[[#This Row],[Aux_01]],TablaSubAccionEspecifica[[#All],[Concat]:[Cod_Sub_acción_especifica]],2,0)</f>
        <v>#N/A</v>
      </c>
      <c r="E682" s="328" t="e">
        <f>Tabla18[[#This Row],[Bus_03]]&amp;"_"&amp;Tabla5[[#This Row],[Tipo de Agente
&lt;&lt; Seleccionar&gt;&gt;]]</f>
        <v>#N/A</v>
      </c>
      <c r="F682" s="328" t="e">
        <f>VLOOKUP(Tabla18[[#This Row],[Concat2]],TablaPOA[[#All],[Concat]:[ConcatEspecial]],3,0)</f>
        <v>#N/A</v>
      </c>
      <c r="G682" s="65" t="str">
        <f>CONCATENATE(Registro!$A$6,"_",Tabla5[[#This Row],[Zona (Provincia)
&lt;&lt; Seleccionar&gt;&gt;]])</f>
        <v>Huánuco_</v>
      </c>
      <c r="H682" s="60" t="e">
        <f>VLOOKUP(Tabla18[[#This Row],[Concatenado***]],Tabla2[[#All],[Concatenado]:[Simbología*]],2,0)</f>
        <v>#N/A</v>
      </c>
      <c r="I682" s="65" t="str">
        <f>CONCATENATE(Tabla18[[#This Row],[Concatenado***]],"_",Tabla5[[#This Row],[Zona (Distrito)
&lt;&lt; Seleccionar&gt;&gt;]])</f>
        <v>Huánuco__</v>
      </c>
      <c r="J6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2" s="72" t="e">
        <f>VLOOKUP(Tabla5[[#This Row],[Tipo de Transporte Empleado
&lt;&lt; Seleccionar&gt;&gt;]],Tabla8[#All],2,0)</f>
        <v>#N/A</v>
      </c>
      <c r="L682" s="71" t="e">
        <f>#REF!+(#REF!*2)+#REF!</f>
        <v>#REF!</v>
      </c>
    </row>
    <row r="683" spans="1:12" x14ac:dyDescent="0.25">
      <c r="A683" s="328" t="e">
        <f>VLOOKUP(Tabla5[[#This Row],[Acción
&lt;&lt; Seleccionar&gt;&gt;]],TablaAccion[[#All],[Nombre_Abreviado]:[Codigo_Plan_Acción]],3,0)</f>
        <v>#N/A</v>
      </c>
      <c r="B683" s="328" t="e">
        <f>VLOOKUP(Tabla5[[#This Row],[Acción Especifica
&lt;&lt; Seleccionar&gt;&gt;]],TablaAccionEspecifica[[#All],[Nombre_Abreviado]:[Codigo_Acción]],3,0)</f>
        <v>#N/A</v>
      </c>
      <c r="C683" s="328" t="e">
        <f>CONCATENATE(Tabla18[[#This Row],[Bus_02]],"_",Tabla5[[#This Row],[Sub Acción Específica
&lt;&lt; Seleccionar&gt;&gt;]])</f>
        <v>#N/A</v>
      </c>
      <c r="D683" s="328" t="e">
        <f>VLOOKUP(Tabla18[[#This Row],[Aux_01]],TablaSubAccionEspecifica[[#All],[Concat]:[Cod_Sub_acción_especifica]],2,0)</f>
        <v>#N/A</v>
      </c>
      <c r="E683" s="328" t="e">
        <f>Tabla18[[#This Row],[Bus_03]]&amp;"_"&amp;Tabla5[[#This Row],[Tipo de Agente
&lt;&lt; Seleccionar&gt;&gt;]]</f>
        <v>#N/A</v>
      </c>
      <c r="F683" s="328" t="e">
        <f>VLOOKUP(Tabla18[[#This Row],[Concat2]],TablaPOA[[#All],[Concat]:[ConcatEspecial]],3,0)</f>
        <v>#N/A</v>
      </c>
      <c r="G683" s="65" t="str">
        <f>CONCATENATE(Registro!$A$6,"_",Tabla5[[#This Row],[Zona (Provincia)
&lt;&lt; Seleccionar&gt;&gt;]])</f>
        <v>Huánuco_</v>
      </c>
      <c r="H683" s="60" t="e">
        <f>VLOOKUP(Tabla18[[#This Row],[Concatenado***]],Tabla2[[#All],[Concatenado]:[Simbología*]],2,0)</f>
        <v>#N/A</v>
      </c>
      <c r="I683" s="65" t="str">
        <f>CONCATENATE(Tabla18[[#This Row],[Concatenado***]],"_",Tabla5[[#This Row],[Zona (Distrito)
&lt;&lt; Seleccionar&gt;&gt;]])</f>
        <v>Huánuco__</v>
      </c>
      <c r="J6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3" s="72" t="e">
        <f>VLOOKUP(Tabla5[[#This Row],[Tipo de Transporte Empleado
&lt;&lt; Seleccionar&gt;&gt;]],Tabla8[#All],2,0)</f>
        <v>#N/A</v>
      </c>
      <c r="L683" s="71" t="e">
        <f>#REF!+(#REF!*2)+#REF!</f>
        <v>#REF!</v>
      </c>
    </row>
    <row r="684" spans="1:12" x14ac:dyDescent="0.25">
      <c r="A684" s="328" t="e">
        <f>VLOOKUP(Tabla5[[#This Row],[Acción
&lt;&lt; Seleccionar&gt;&gt;]],TablaAccion[[#All],[Nombre_Abreviado]:[Codigo_Plan_Acción]],3,0)</f>
        <v>#N/A</v>
      </c>
      <c r="B684" s="328" t="e">
        <f>VLOOKUP(Tabla5[[#This Row],[Acción Especifica
&lt;&lt; Seleccionar&gt;&gt;]],TablaAccionEspecifica[[#All],[Nombre_Abreviado]:[Codigo_Acción]],3,0)</f>
        <v>#N/A</v>
      </c>
      <c r="C684" s="328" t="e">
        <f>CONCATENATE(Tabla18[[#This Row],[Bus_02]],"_",Tabla5[[#This Row],[Sub Acción Específica
&lt;&lt; Seleccionar&gt;&gt;]])</f>
        <v>#N/A</v>
      </c>
      <c r="D684" s="328" t="e">
        <f>VLOOKUP(Tabla18[[#This Row],[Aux_01]],TablaSubAccionEspecifica[[#All],[Concat]:[Cod_Sub_acción_especifica]],2,0)</f>
        <v>#N/A</v>
      </c>
      <c r="E684" s="328" t="e">
        <f>Tabla18[[#This Row],[Bus_03]]&amp;"_"&amp;Tabla5[[#This Row],[Tipo de Agente
&lt;&lt; Seleccionar&gt;&gt;]]</f>
        <v>#N/A</v>
      </c>
      <c r="F684" s="328" t="e">
        <f>VLOOKUP(Tabla18[[#This Row],[Concat2]],TablaPOA[[#All],[Concat]:[ConcatEspecial]],3,0)</f>
        <v>#N/A</v>
      </c>
      <c r="G684" s="65" t="str">
        <f>CONCATENATE(Registro!$A$6,"_",Tabla5[[#This Row],[Zona (Provincia)
&lt;&lt; Seleccionar&gt;&gt;]])</f>
        <v>Huánuco_</v>
      </c>
      <c r="H684" s="60" t="e">
        <f>VLOOKUP(Tabla18[[#This Row],[Concatenado***]],Tabla2[[#All],[Concatenado]:[Simbología*]],2,0)</f>
        <v>#N/A</v>
      </c>
      <c r="I684" s="65" t="str">
        <f>CONCATENATE(Tabla18[[#This Row],[Concatenado***]],"_",Tabla5[[#This Row],[Zona (Distrito)
&lt;&lt; Seleccionar&gt;&gt;]])</f>
        <v>Huánuco__</v>
      </c>
      <c r="J6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4" s="72" t="e">
        <f>VLOOKUP(Tabla5[[#This Row],[Tipo de Transporte Empleado
&lt;&lt; Seleccionar&gt;&gt;]],Tabla8[#All],2,0)</f>
        <v>#N/A</v>
      </c>
      <c r="L684" s="71" t="e">
        <f>#REF!+(#REF!*2)+#REF!</f>
        <v>#REF!</v>
      </c>
    </row>
    <row r="685" spans="1:12" x14ac:dyDescent="0.25">
      <c r="A685" s="328" t="e">
        <f>VLOOKUP(Tabla5[[#This Row],[Acción
&lt;&lt; Seleccionar&gt;&gt;]],TablaAccion[[#All],[Nombre_Abreviado]:[Codigo_Plan_Acción]],3,0)</f>
        <v>#N/A</v>
      </c>
      <c r="B685" s="328" t="e">
        <f>VLOOKUP(Tabla5[[#This Row],[Acción Especifica
&lt;&lt; Seleccionar&gt;&gt;]],TablaAccionEspecifica[[#All],[Nombre_Abreviado]:[Codigo_Acción]],3,0)</f>
        <v>#N/A</v>
      </c>
      <c r="C685" s="328" t="e">
        <f>CONCATENATE(Tabla18[[#This Row],[Bus_02]],"_",Tabla5[[#This Row],[Sub Acción Específica
&lt;&lt; Seleccionar&gt;&gt;]])</f>
        <v>#N/A</v>
      </c>
      <c r="D685" s="328" t="e">
        <f>VLOOKUP(Tabla18[[#This Row],[Aux_01]],TablaSubAccionEspecifica[[#All],[Concat]:[Cod_Sub_acción_especifica]],2,0)</f>
        <v>#N/A</v>
      </c>
      <c r="E685" s="328" t="e">
        <f>Tabla18[[#This Row],[Bus_03]]&amp;"_"&amp;Tabla5[[#This Row],[Tipo de Agente
&lt;&lt; Seleccionar&gt;&gt;]]</f>
        <v>#N/A</v>
      </c>
      <c r="F685" s="328" t="e">
        <f>VLOOKUP(Tabla18[[#This Row],[Concat2]],TablaPOA[[#All],[Concat]:[ConcatEspecial]],3,0)</f>
        <v>#N/A</v>
      </c>
      <c r="G685" s="65" t="str">
        <f>CONCATENATE(Registro!$A$6,"_",Tabla5[[#This Row],[Zona (Provincia)
&lt;&lt; Seleccionar&gt;&gt;]])</f>
        <v>Huánuco_</v>
      </c>
      <c r="H685" s="60" t="e">
        <f>VLOOKUP(Tabla18[[#This Row],[Concatenado***]],Tabla2[[#All],[Concatenado]:[Simbología*]],2,0)</f>
        <v>#N/A</v>
      </c>
      <c r="I685" s="65" t="str">
        <f>CONCATENATE(Tabla18[[#This Row],[Concatenado***]],"_",Tabla5[[#This Row],[Zona (Distrito)
&lt;&lt; Seleccionar&gt;&gt;]])</f>
        <v>Huánuco__</v>
      </c>
      <c r="J6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5" s="72" t="e">
        <f>VLOOKUP(Tabla5[[#This Row],[Tipo de Transporte Empleado
&lt;&lt; Seleccionar&gt;&gt;]],Tabla8[#All],2,0)</f>
        <v>#N/A</v>
      </c>
      <c r="L685" s="71" t="e">
        <f>#REF!+(#REF!*2)+#REF!</f>
        <v>#REF!</v>
      </c>
    </row>
    <row r="686" spans="1:12" x14ac:dyDescent="0.25">
      <c r="A686" s="328" t="e">
        <f>VLOOKUP(Tabla5[[#This Row],[Acción
&lt;&lt; Seleccionar&gt;&gt;]],TablaAccion[[#All],[Nombre_Abreviado]:[Codigo_Plan_Acción]],3,0)</f>
        <v>#N/A</v>
      </c>
      <c r="B686" s="328" t="e">
        <f>VLOOKUP(Tabla5[[#This Row],[Acción Especifica
&lt;&lt; Seleccionar&gt;&gt;]],TablaAccionEspecifica[[#All],[Nombre_Abreviado]:[Codigo_Acción]],3,0)</f>
        <v>#N/A</v>
      </c>
      <c r="C686" s="328" t="e">
        <f>CONCATENATE(Tabla18[[#This Row],[Bus_02]],"_",Tabla5[[#This Row],[Sub Acción Específica
&lt;&lt; Seleccionar&gt;&gt;]])</f>
        <v>#N/A</v>
      </c>
      <c r="D686" s="328" t="e">
        <f>VLOOKUP(Tabla18[[#This Row],[Aux_01]],TablaSubAccionEspecifica[[#All],[Concat]:[Cod_Sub_acción_especifica]],2,0)</f>
        <v>#N/A</v>
      </c>
      <c r="E686" s="328" t="e">
        <f>Tabla18[[#This Row],[Bus_03]]&amp;"_"&amp;Tabla5[[#This Row],[Tipo de Agente
&lt;&lt; Seleccionar&gt;&gt;]]</f>
        <v>#N/A</v>
      </c>
      <c r="F686" s="328" t="e">
        <f>VLOOKUP(Tabla18[[#This Row],[Concat2]],TablaPOA[[#All],[Concat]:[ConcatEspecial]],3,0)</f>
        <v>#N/A</v>
      </c>
      <c r="G686" s="65" t="str">
        <f>CONCATENATE(Registro!$A$6,"_",Tabla5[[#This Row],[Zona (Provincia)
&lt;&lt; Seleccionar&gt;&gt;]])</f>
        <v>Huánuco_</v>
      </c>
      <c r="H686" s="60" t="e">
        <f>VLOOKUP(Tabla18[[#This Row],[Concatenado***]],Tabla2[[#All],[Concatenado]:[Simbología*]],2,0)</f>
        <v>#N/A</v>
      </c>
      <c r="I686" s="65" t="str">
        <f>CONCATENATE(Tabla18[[#This Row],[Concatenado***]],"_",Tabla5[[#This Row],[Zona (Distrito)
&lt;&lt; Seleccionar&gt;&gt;]])</f>
        <v>Huánuco__</v>
      </c>
      <c r="J6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6" s="72" t="e">
        <f>VLOOKUP(Tabla5[[#This Row],[Tipo de Transporte Empleado
&lt;&lt; Seleccionar&gt;&gt;]],Tabla8[#All],2,0)</f>
        <v>#N/A</v>
      </c>
      <c r="L686" s="71" t="e">
        <f>#REF!+(#REF!*2)+#REF!</f>
        <v>#REF!</v>
      </c>
    </row>
    <row r="687" spans="1:12" x14ac:dyDescent="0.25">
      <c r="A687" s="328" t="e">
        <f>VLOOKUP(Tabla5[[#This Row],[Acción
&lt;&lt; Seleccionar&gt;&gt;]],TablaAccion[[#All],[Nombre_Abreviado]:[Codigo_Plan_Acción]],3,0)</f>
        <v>#N/A</v>
      </c>
      <c r="B687" s="328" t="e">
        <f>VLOOKUP(Tabla5[[#This Row],[Acción Especifica
&lt;&lt; Seleccionar&gt;&gt;]],TablaAccionEspecifica[[#All],[Nombre_Abreviado]:[Codigo_Acción]],3,0)</f>
        <v>#N/A</v>
      </c>
      <c r="C687" s="328" t="e">
        <f>CONCATENATE(Tabla18[[#This Row],[Bus_02]],"_",Tabla5[[#This Row],[Sub Acción Específica
&lt;&lt; Seleccionar&gt;&gt;]])</f>
        <v>#N/A</v>
      </c>
      <c r="D687" s="328" t="e">
        <f>VLOOKUP(Tabla18[[#This Row],[Aux_01]],TablaSubAccionEspecifica[[#All],[Concat]:[Cod_Sub_acción_especifica]],2,0)</f>
        <v>#N/A</v>
      </c>
      <c r="E687" s="328" t="e">
        <f>Tabla18[[#This Row],[Bus_03]]&amp;"_"&amp;Tabla5[[#This Row],[Tipo de Agente
&lt;&lt; Seleccionar&gt;&gt;]]</f>
        <v>#N/A</v>
      </c>
      <c r="F687" s="328" t="e">
        <f>VLOOKUP(Tabla18[[#This Row],[Concat2]],TablaPOA[[#All],[Concat]:[ConcatEspecial]],3,0)</f>
        <v>#N/A</v>
      </c>
      <c r="G687" s="65" t="str">
        <f>CONCATENATE(Registro!$A$6,"_",Tabla5[[#This Row],[Zona (Provincia)
&lt;&lt; Seleccionar&gt;&gt;]])</f>
        <v>Huánuco_</v>
      </c>
      <c r="H687" s="60" t="e">
        <f>VLOOKUP(Tabla18[[#This Row],[Concatenado***]],Tabla2[[#All],[Concatenado]:[Simbología*]],2,0)</f>
        <v>#N/A</v>
      </c>
      <c r="I687" s="65" t="str">
        <f>CONCATENATE(Tabla18[[#This Row],[Concatenado***]],"_",Tabla5[[#This Row],[Zona (Distrito)
&lt;&lt; Seleccionar&gt;&gt;]])</f>
        <v>Huánuco__</v>
      </c>
      <c r="J6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7" s="72" t="e">
        <f>VLOOKUP(Tabla5[[#This Row],[Tipo de Transporte Empleado
&lt;&lt; Seleccionar&gt;&gt;]],Tabla8[#All],2,0)</f>
        <v>#N/A</v>
      </c>
      <c r="L687" s="71" t="e">
        <f>#REF!+(#REF!*2)+#REF!</f>
        <v>#REF!</v>
      </c>
    </row>
    <row r="688" spans="1:12" x14ac:dyDescent="0.25">
      <c r="A688" s="328" t="e">
        <f>VLOOKUP(Tabla5[[#This Row],[Acción
&lt;&lt; Seleccionar&gt;&gt;]],TablaAccion[[#All],[Nombre_Abreviado]:[Codigo_Plan_Acción]],3,0)</f>
        <v>#N/A</v>
      </c>
      <c r="B688" s="328" t="e">
        <f>VLOOKUP(Tabla5[[#This Row],[Acción Especifica
&lt;&lt; Seleccionar&gt;&gt;]],TablaAccionEspecifica[[#All],[Nombre_Abreviado]:[Codigo_Acción]],3,0)</f>
        <v>#N/A</v>
      </c>
      <c r="C688" s="328" t="e">
        <f>CONCATENATE(Tabla18[[#This Row],[Bus_02]],"_",Tabla5[[#This Row],[Sub Acción Específica
&lt;&lt; Seleccionar&gt;&gt;]])</f>
        <v>#N/A</v>
      </c>
      <c r="D688" s="328" t="e">
        <f>VLOOKUP(Tabla18[[#This Row],[Aux_01]],TablaSubAccionEspecifica[[#All],[Concat]:[Cod_Sub_acción_especifica]],2,0)</f>
        <v>#N/A</v>
      </c>
      <c r="E688" s="328" t="e">
        <f>Tabla18[[#This Row],[Bus_03]]&amp;"_"&amp;Tabla5[[#This Row],[Tipo de Agente
&lt;&lt; Seleccionar&gt;&gt;]]</f>
        <v>#N/A</v>
      </c>
      <c r="F688" s="328" t="e">
        <f>VLOOKUP(Tabla18[[#This Row],[Concat2]],TablaPOA[[#All],[Concat]:[ConcatEspecial]],3,0)</f>
        <v>#N/A</v>
      </c>
      <c r="G688" s="65" t="str">
        <f>CONCATENATE(Registro!$A$6,"_",Tabla5[[#This Row],[Zona (Provincia)
&lt;&lt; Seleccionar&gt;&gt;]])</f>
        <v>Huánuco_</v>
      </c>
      <c r="H688" s="60" t="e">
        <f>VLOOKUP(Tabla18[[#This Row],[Concatenado***]],Tabla2[[#All],[Concatenado]:[Simbología*]],2,0)</f>
        <v>#N/A</v>
      </c>
      <c r="I688" s="65" t="str">
        <f>CONCATENATE(Tabla18[[#This Row],[Concatenado***]],"_",Tabla5[[#This Row],[Zona (Distrito)
&lt;&lt; Seleccionar&gt;&gt;]])</f>
        <v>Huánuco__</v>
      </c>
      <c r="J6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8" s="72" t="e">
        <f>VLOOKUP(Tabla5[[#This Row],[Tipo de Transporte Empleado
&lt;&lt; Seleccionar&gt;&gt;]],Tabla8[#All],2,0)</f>
        <v>#N/A</v>
      </c>
      <c r="L688" s="71" t="e">
        <f>#REF!+(#REF!*2)+#REF!</f>
        <v>#REF!</v>
      </c>
    </row>
    <row r="689" spans="1:12" x14ac:dyDescent="0.25">
      <c r="A689" s="328" t="e">
        <f>VLOOKUP(Tabla5[[#This Row],[Acción
&lt;&lt; Seleccionar&gt;&gt;]],TablaAccion[[#All],[Nombre_Abreviado]:[Codigo_Plan_Acción]],3,0)</f>
        <v>#N/A</v>
      </c>
      <c r="B689" s="328" t="e">
        <f>VLOOKUP(Tabla5[[#This Row],[Acción Especifica
&lt;&lt; Seleccionar&gt;&gt;]],TablaAccionEspecifica[[#All],[Nombre_Abreviado]:[Codigo_Acción]],3,0)</f>
        <v>#N/A</v>
      </c>
      <c r="C689" s="328" t="e">
        <f>CONCATENATE(Tabla18[[#This Row],[Bus_02]],"_",Tabla5[[#This Row],[Sub Acción Específica
&lt;&lt; Seleccionar&gt;&gt;]])</f>
        <v>#N/A</v>
      </c>
      <c r="D689" s="328" t="e">
        <f>VLOOKUP(Tabla18[[#This Row],[Aux_01]],TablaSubAccionEspecifica[[#All],[Concat]:[Cod_Sub_acción_especifica]],2,0)</f>
        <v>#N/A</v>
      </c>
      <c r="E689" s="328" t="e">
        <f>Tabla18[[#This Row],[Bus_03]]&amp;"_"&amp;Tabla5[[#This Row],[Tipo de Agente
&lt;&lt; Seleccionar&gt;&gt;]]</f>
        <v>#N/A</v>
      </c>
      <c r="F689" s="328" t="e">
        <f>VLOOKUP(Tabla18[[#This Row],[Concat2]],TablaPOA[[#All],[Concat]:[ConcatEspecial]],3,0)</f>
        <v>#N/A</v>
      </c>
      <c r="G689" s="65" t="str">
        <f>CONCATENATE(Registro!$A$6,"_",Tabla5[[#This Row],[Zona (Provincia)
&lt;&lt; Seleccionar&gt;&gt;]])</f>
        <v>Huánuco_</v>
      </c>
      <c r="H689" s="60" t="e">
        <f>VLOOKUP(Tabla18[[#This Row],[Concatenado***]],Tabla2[[#All],[Concatenado]:[Simbología*]],2,0)</f>
        <v>#N/A</v>
      </c>
      <c r="I689" s="65" t="str">
        <f>CONCATENATE(Tabla18[[#This Row],[Concatenado***]],"_",Tabla5[[#This Row],[Zona (Distrito)
&lt;&lt; Seleccionar&gt;&gt;]])</f>
        <v>Huánuco__</v>
      </c>
      <c r="J6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9" s="72" t="e">
        <f>VLOOKUP(Tabla5[[#This Row],[Tipo de Transporte Empleado
&lt;&lt; Seleccionar&gt;&gt;]],Tabla8[#All],2,0)</f>
        <v>#N/A</v>
      </c>
      <c r="L689" s="71" t="e">
        <f>#REF!+(#REF!*2)+#REF!</f>
        <v>#REF!</v>
      </c>
    </row>
    <row r="690" spans="1:12" x14ac:dyDescent="0.25">
      <c r="A690" s="328" t="e">
        <f>VLOOKUP(Tabla5[[#This Row],[Acción
&lt;&lt; Seleccionar&gt;&gt;]],TablaAccion[[#All],[Nombre_Abreviado]:[Codigo_Plan_Acción]],3,0)</f>
        <v>#N/A</v>
      </c>
      <c r="B690" s="328" t="e">
        <f>VLOOKUP(Tabla5[[#This Row],[Acción Especifica
&lt;&lt; Seleccionar&gt;&gt;]],TablaAccionEspecifica[[#All],[Nombre_Abreviado]:[Codigo_Acción]],3,0)</f>
        <v>#N/A</v>
      </c>
      <c r="C690" s="328" t="e">
        <f>CONCATENATE(Tabla18[[#This Row],[Bus_02]],"_",Tabla5[[#This Row],[Sub Acción Específica
&lt;&lt; Seleccionar&gt;&gt;]])</f>
        <v>#N/A</v>
      </c>
      <c r="D690" s="328" t="e">
        <f>VLOOKUP(Tabla18[[#This Row],[Aux_01]],TablaSubAccionEspecifica[[#All],[Concat]:[Cod_Sub_acción_especifica]],2,0)</f>
        <v>#N/A</v>
      </c>
      <c r="E690" s="328" t="e">
        <f>Tabla18[[#This Row],[Bus_03]]&amp;"_"&amp;Tabla5[[#This Row],[Tipo de Agente
&lt;&lt; Seleccionar&gt;&gt;]]</f>
        <v>#N/A</v>
      </c>
      <c r="F690" s="328" t="e">
        <f>VLOOKUP(Tabla18[[#This Row],[Concat2]],TablaPOA[[#All],[Concat]:[ConcatEspecial]],3,0)</f>
        <v>#N/A</v>
      </c>
      <c r="G690" s="65" t="str">
        <f>CONCATENATE(Registro!$A$6,"_",Tabla5[[#This Row],[Zona (Provincia)
&lt;&lt; Seleccionar&gt;&gt;]])</f>
        <v>Huánuco_</v>
      </c>
      <c r="H690" s="60" t="e">
        <f>VLOOKUP(Tabla18[[#This Row],[Concatenado***]],Tabla2[[#All],[Concatenado]:[Simbología*]],2,0)</f>
        <v>#N/A</v>
      </c>
      <c r="I690" s="65" t="str">
        <f>CONCATENATE(Tabla18[[#This Row],[Concatenado***]],"_",Tabla5[[#This Row],[Zona (Distrito)
&lt;&lt; Seleccionar&gt;&gt;]])</f>
        <v>Huánuco__</v>
      </c>
      <c r="J6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0" s="72" t="e">
        <f>VLOOKUP(Tabla5[[#This Row],[Tipo de Transporte Empleado
&lt;&lt; Seleccionar&gt;&gt;]],Tabla8[#All],2,0)</f>
        <v>#N/A</v>
      </c>
      <c r="L690" s="71" t="e">
        <f>#REF!+(#REF!*2)+#REF!</f>
        <v>#REF!</v>
      </c>
    </row>
    <row r="691" spans="1:12" x14ac:dyDescent="0.25">
      <c r="A691" s="328" t="e">
        <f>VLOOKUP(Tabla5[[#This Row],[Acción
&lt;&lt; Seleccionar&gt;&gt;]],TablaAccion[[#All],[Nombre_Abreviado]:[Codigo_Plan_Acción]],3,0)</f>
        <v>#N/A</v>
      </c>
      <c r="B691" s="328" t="e">
        <f>VLOOKUP(Tabla5[[#This Row],[Acción Especifica
&lt;&lt; Seleccionar&gt;&gt;]],TablaAccionEspecifica[[#All],[Nombre_Abreviado]:[Codigo_Acción]],3,0)</f>
        <v>#N/A</v>
      </c>
      <c r="C691" s="328" t="e">
        <f>CONCATENATE(Tabla18[[#This Row],[Bus_02]],"_",Tabla5[[#This Row],[Sub Acción Específica
&lt;&lt; Seleccionar&gt;&gt;]])</f>
        <v>#N/A</v>
      </c>
      <c r="D691" s="328" t="e">
        <f>VLOOKUP(Tabla18[[#This Row],[Aux_01]],TablaSubAccionEspecifica[[#All],[Concat]:[Cod_Sub_acción_especifica]],2,0)</f>
        <v>#N/A</v>
      </c>
      <c r="E691" s="328" t="e">
        <f>Tabla18[[#This Row],[Bus_03]]&amp;"_"&amp;Tabla5[[#This Row],[Tipo de Agente
&lt;&lt; Seleccionar&gt;&gt;]]</f>
        <v>#N/A</v>
      </c>
      <c r="F691" s="328" t="e">
        <f>VLOOKUP(Tabla18[[#This Row],[Concat2]],TablaPOA[[#All],[Concat]:[ConcatEspecial]],3,0)</f>
        <v>#N/A</v>
      </c>
      <c r="G691" s="65" t="str">
        <f>CONCATENATE(Registro!$A$6,"_",Tabla5[[#This Row],[Zona (Provincia)
&lt;&lt; Seleccionar&gt;&gt;]])</f>
        <v>Huánuco_</v>
      </c>
      <c r="H691" s="60" t="e">
        <f>VLOOKUP(Tabla18[[#This Row],[Concatenado***]],Tabla2[[#All],[Concatenado]:[Simbología*]],2,0)</f>
        <v>#N/A</v>
      </c>
      <c r="I691" s="65" t="str">
        <f>CONCATENATE(Tabla18[[#This Row],[Concatenado***]],"_",Tabla5[[#This Row],[Zona (Distrito)
&lt;&lt; Seleccionar&gt;&gt;]])</f>
        <v>Huánuco__</v>
      </c>
      <c r="J6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1" s="72" t="e">
        <f>VLOOKUP(Tabla5[[#This Row],[Tipo de Transporte Empleado
&lt;&lt; Seleccionar&gt;&gt;]],Tabla8[#All],2,0)</f>
        <v>#N/A</v>
      </c>
      <c r="L691" s="71" t="e">
        <f>#REF!+(#REF!*2)+#REF!</f>
        <v>#REF!</v>
      </c>
    </row>
    <row r="692" spans="1:12" x14ac:dyDescent="0.25">
      <c r="A692" s="328" t="e">
        <f>VLOOKUP(Tabla5[[#This Row],[Acción
&lt;&lt; Seleccionar&gt;&gt;]],TablaAccion[[#All],[Nombre_Abreviado]:[Codigo_Plan_Acción]],3,0)</f>
        <v>#N/A</v>
      </c>
      <c r="B692" s="328" t="e">
        <f>VLOOKUP(Tabla5[[#This Row],[Acción Especifica
&lt;&lt; Seleccionar&gt;&gt;]],TablaAccionEspecifica[[#All],[Nombre_Abreviado]:[Codigo_Acción]],3,0)</f>
        <v>#N/A</v>
      </c>
      <c r="C692" s="328" t="e">
        <f>CONCATENATE(Tabla18[[#This Row],[Bus_02]],"_",Tabla5[[#This Row],[Sub Acción Específica
&lt;&lt; Seleccionar&gt;&gt;]])</f>
        <v>#N/A</v>
      </c>
      <c r="D692" s="328" t="e">
        <f>VLOOKUP(Tabla18[[#This Row],[Aux_01]],TablaSubAccionEspecifica[[#All],[Concat]:[Cod_Sub_acción_especifica]],2,0)</f>
        <v>#N/A</v>
      </c>
      <c r="E692" s="328" t="e">
        <f>Tabla18[[#This Row],[Bus_03]]&amp;"_"&amp;Tabla5[[#This Row],[Tipo de Agente
&lt;&lt; Seleccionar&gt;&gt;]]</f>
        <v>#N/A</v>
      </c>
      <c r="F692" s="328" t="e">
        <f>VLOOKUP(Tabla18[[#This Row],[Concat2]],TablaPOA[[#All],[Concat]:[ConcatEspecial]],3,0)</f>
        <v>#N/A</v>
      </c>
      <c r="G692" s="65" t="str">
        <f>CONCATENATE(Registro!$A$6,"_",Tabla5[[#This Row],[Zona (Provincia)
&lt;&lt; Seleccionar&gt;&gt;]])</f>
        <v>Huánuco_</v>
      </c>
      <c r="H692" s="60" t="e">
        <f>VLOOKUP(Tabla18[[#This Row],[Concatenado***]],Tabla2[[#All],[Concatenado]:[Simbología*]],2,0)</f>
        <v>#N/A</v>
      </c>
      <c r="I692" s="65" t="str">
        <f>CONCATENATE(Tabla18[[#This Row],[Concatenado***]],"_",Tabla5[[#This Row],[Zona (Distrito)
&lt;&lt; Seleccionar&gt;&gt;]])</f>
        <v>Huánuco__</v>
      </c>
      <c r="J6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2" s="72" t="e">
        <f>VLOOKUP(Tabla5[[#This Row],[Tipo de Transporte Empleado
&lt;&lt; Seleccionar&gt;&gt;]],Tabla8[#All],2,0)</f>
        <v>#N/A</v>
      </c>
      <c r="L692" s="71" t="e">
        <f>#REF!+(#REF!*2)+#REF!</f>
        <v>#REF!</v>
      </c>
    </row>
    <row r="693" spans="1:12" x14ac:dyDescent="0.25">
      <c r="A693" s="328" t="e">
        <f>VLOOKUP(Tabla5[[#This Row],[Acción
&lt;&lt; Seleccionar&gt;&gt;]],TablaAccion[[#All],[Nombre_Abreviado]:[Codigo_Plan_Acción]],3,0)</f>
        <v>#N/A</v>
      </c>
      <c r="B693" s="328" t="e">
        <f>VLOOKUP(Tabla5[[#This Row],[Acción Especifica
&lt;&lt; Seleccionar&gt;&gt;]],TablaAccionEspecifica[[#All],[Nombre_Abreviado]:[Codigo_Acción]],3,0)</f>
        <v>#N/A</v>
      </c>
      <c r="C693" s="328" t="e">
        <f>CONCATENATE(Tabla18[[#This Row],[Bus_02]],"_",Tabla5[[#This Row],[Sub Acción Específica
&lt;&lt; Seleccionar&gt;&gt;]])</f>
        <v>#N/A</v>
      </c>
      <c r="D693" s="328" t="e">
        <f>VLOOKUP(Tabla18[[#This Row],[Aux_01]],TablaSubAccionEspecifica[[#All],[Concat]:[Cod_Sub_acción_especifica]],2,0)</f>
        <v>#N/A</v>
      </c>
      <c r="E693" s="328" t="e">
        <f>Tabla18[[#This Row],[Bus_03]]&amp;"_"&amp;Tabla5[[#This Row],[Tipo de Agente
&lt;&lt; Seleccionar&gt;&gt;]]</f>
        <v>#N/A</v>
      </c>
      <c r="F693" s="328" t="e">
        <f>VLOOKUP(Tabla18[[#This Row],[Concat2]],TablaPOA[[#All],[Concat]:[ConcatEspecial]],3,0)</f>
        <v>#N/A</v>
      </c>
      <c r="G693" s="65" t="str">
        <f>CONCATENATE(Registro!$A$6,"_",Tabla5[[#This Row],[Zona (Provincia)
&lt;&lt; Seleccionar&gt;&gt;]])</f>
        <v>Huánuco_</v>
      </c>
      <c r="H693" s="60" t="e">
        <f>VLOOKUP(Tabla18[[#This Row],[Concatenado***]],Tabla2[[#All],[Concatenado]:[Simbología*]],2,0)</f>
        <v>#N/A</v>
      </c>
      <c r="I693" s="65" t="str">
        <f>CONCATENATE(Tabla18[[#This Row],[Concatenado***]],"_",Tabla5[[#This Row],[Zona (Distrito)
&lt;&lt; Seleccionar&gt;&gt;]])</f>
        <v>Huánuco__</v>
      </c>
      <c r="J6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3" s="72" t="e">
        <f>VLOOKUP(Tabla5[[#This Row],[Tipo de Transporte Empleado
&lt;&lt; Seleccionar&gt;&gt;]],Tabla8[#All],2,0)</f>
        <v>#N/A</v>
      </c>
      <c r="L693" s="71" t="e">
        <f>#REF!+(#REF!*2)+#REF!</f>
        <v>#REF!</v>
      </c>
    </row>
    <row r="694" spans="1:12" x14ac:dyDescent="0.25">
      <c r="A694" s="328" t="e">
        <f>VLOOKUP(Tabla5[[#This Row],[Acción
&lt;&lt; Seleccionar&gt;&gt;]],TablaAccion[[#All],[Nombre_Abreviado]:[Codigo_Plan_Acción]],3,0)</f>
        <v>#N/A</v>
      </c>
      <c r="B694" s="328" t="e">
        <f>VLOOKUP(Tabla5[[#This Row],[Acción Especifica
&lt;&lt; Seleccionar&gt;&gt;]],TablaAccionEspecifica[[#All],[Nombre_Abreviado]:[Codigo_Acción]],3,0)</f>
        <v>#N/A</v>
      </c>
      <c r="C694" s="328" t="e">
        <f>CONCATENATE(Tabla18[[#This Row],[Bus_02]],"_",Tabla5[[#This Row],[Sub Acción Específica
&lt;&lt; Seleccionar&gt;&gt;]])</f>
        <v>#N/A</v>
      </c>
      <c r="D694" s="328" t="e">
        <f>VLOOKUP(Tabla18[[#This Row],[Aux_01]],TablaSubAccionEspecifica[[#All],[Concat]:[Cod_Sub_acción_especifica]],2,0)</f>
        <v>#N/A</v>
      </c>
      <c r="E694" s="328" t="e">
        <f>Tabla18[[#This Row],[Bus_03]]&amp;"_"&amp;Tabla5[[#This Row],[Tipo de Agente
&lt;&lt; Seleccionar&gt;&gt;]]</f>
        <v>#N/A</v>
      </c>
      <c r="F694" s="328" t="e">
        <f>VLOOKUP(Tabla18[[#This Row],[Concat2]],TablaPOA[[#All],[Concat]:[ConcatEspecial]],3,0)</f>
        <v>#N/A</v>
      </c>
      <c r="G694" s="65" t="str">
        <f>CONCATENATE(Registro!$A$6,"_",Tabla5[[#This Row],[Zona (Provincia)
&lt;&lt; Seleccionar&gt;&gt;]])</f>
        <v>Huánuco_</v>
      </c>
      <c r="H694" s="60" t="e">
        <f>VLOOKUP(Tabla18[[#This Row],[Concatenado***]],Tabla2[[#All],[Concatenado]:[Simbología*]],2,0)</f>
        <v>#N/A</v>
      </c>
      <c r="I694" s="65" t="str">
        <f>CONCATENATE(Tabla18[[#This Row],[Concatenado***]],"_",Tabla5[[#This Row],[Zona (Distrito)
&lt;&lt; Seleccionar&gt;&gt;]])</f>
        <v>Huánuco__</v>
      </c>
      <c r="J6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4" s="72" t="e">
        <f>VLOOKUP(Tabla5[[#This Row],[Tipo de Transporte Empleado
&lt;&lt; Seleccionar&gt;&gt;]],Tabla8[#All],2,0)</f>
        <v>#N/A</v>
      </c>
      <c r="L694" s="71" t="e">
        <f>#REF!+(#REF!*2)+#REF!</f>
        <v>#REF!</v>
      </c>
    </row>
    <row r="695" spans="1:12" x14ac:dyDescent="0.25">
      <c r="A695" s="328" t="e">
        <f>VLOOKUP(Tabla5[[#This Row],[Acción
&lt;&lt; Seleccionar&gt;&gt;]],TablaAccion[[#All],[Nombre_Abreviado]:[Codigo_Plan_Acción]],3,0)</f>
        <v>#N/A</v>
      </c>
      <c r="B695" s="328" t="e">
        <f>VLOOKUP(Tabla5[[#This Row],[Acción Especifica
&lt;&lt; Seleccionar&gt;&gt;]],TablaAccionEspecifica[[#All],[Nombre_Abreviado]:[Codigo_Acción]],3,0)</f>
        <v>#N/A</v>
      </c>
      <c r="C695" s="328" t="e">
        <f>CONCATENATE(Tabla18[[#This Row],[Bus_02]],"_",Tabla5[[#This Row],[Sub Acción Específica
&lt;&lt; Seleccionar&gt;&gt;]])</f>
        <v>#N/A</v>
      </c>
      <c r="D695" s="328" t="e">
        <f>VLOOKUP(Tabla18[[#This Row],[Aux_01]],TablaSubAccionEspecifica[[#All],[Concat]:[Cod_Sub_acción_especifica]],2,0)</f>
        <v>#N/A</v>
      </c>
      <c r="E695" s="328" t="e">
        <f>Tabla18[[#This Row],[Bus_03]]&amp;"_"&amp;Tabla5[[#This Row],[Tipo de Agente
&lt;&lt; Seleccionar&gt;&gt;]]</f>
        <v>#N/A</v>
      </c>
      <c r="F695" s="328" t="e">
        <f>VLOOKUP(Tabla18[[#This Row],[Concat2]],TablaPOA[[#All],[Concat]:[ConcatEspecial]],3,0)</f>
        <v>#N/A</v>
      </c>
      <c r="G695" s="65" t="str">
        <f>CONCATENATE(Registro!$A$6,"_",Tabla5[[#This Row],[Zona (Provincia)
&lt;&lt; Seleccionar&gt;&gt;]])</f>
        <v>Huánuco_</v>
      </c>
      <c r="H695" s="60" t="e">
        <f>VLOOKUP(Tabla18[[#This Row],[Concatenado***]],Tabla2[[#All],[Concatenado]:[Simbología*]],2,0)</f>
        <v>#N/A</v>
      </c>
      <c r="I695" s="65" t="str">
        <f>CONCATENATE(Tabla18[[#This Row],[Concatenado***]],"_",Tabla5[[#This Row],[Zona (Distrito)
&lt;&lt; Seleccionar&gt;&gt;]])</f>
        <v>Huánuco__</v>
      </c>
      <c r="J6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5" s="72" t="e">
        <f>VLOOKUP(Tabla5[[#This Row],[Tipo de Transporte Empleado
&lt;&lt; Seleccionar&gt;&gt;]],Tabla8[#All],2,0)</f>
        <v>#N/A</v>
      </c>
      <c r="L695" s="71" t="e">
        <f>#REF!+(#REF!*2)+#REF!</f>
        <v>#REF!</v>
      </c>
    </row>
    <row r="696" spans="1:12" x14ac:dyDescent="0.25">
      <c r="A696" s="328" t="e">
        <f>VLOOKUP(Tabla5[[#This Row],[Acción
&lt;&lt; Seleccionar&gt;&gt;]],TablaAccion[[#All],[Nombre_Abreviado]:[Codigo_Plan_Acción]],3,0)</f>
        <v>#N/A</v>
      </c>
      <c r="B696" s="328" t="e">
        <f>VLOOKUP(Tabla5[[#This Row],[Acción Especifica
&lt;&lt; Seleccionar&gt;&gt;]],TablaAccionEspecifica[[#All],[Nombre_Abreviado]:[Codigo_Acción]],3,0)</f>
        <v>#N/A</v>
      </c>
      <c r="C696" s="328" t="e">
        <f>CONCATENATE(Tabla18[[#This Row],[Bus_02]],"_",Tabla5[[#This Row],[Sub Acción Específica
&lt;&lt; Seleccionar&gt;&gt;]])</f>
        <v>#N/A</v>
      </c>
      <c r="D696" s="328" t="e">
        <f>VLOOKUP(Tabla18[[#This Row],[Aux_01]],TablaSubAccionEspecifica[[#All],[Concat]:[Cod_Sub_acción_especifica]],2,0)</f>
        <v>#N/A</v>
      </c>
      <c r="E696" s="328" t="e">
        <f>Tabla18[[#This Row],[Bus_03]]&amp;"_"&amp;Tabla5[[#This Row],[Tipo de Agente
&lt;&lt; Seleccionar&gt;&gt;]]</f>
        <v>#N/A</v>
      </c>
      <c r="F696" s="328" t="e">
        <f>VLOOKUP(Tabla18[[#This Row],[Concat2]],TablaPOA[[#All],[Concat]:[ConcatEspecial]],3,0)</f>
        <v>#N/A</v>
      </c>
      <c r="G696" s="65" t="str">
        <f>CONCATENATE(Registro!$A$6,"_",Tabla5[[#This Row],[Zona (Provincia)
&lt;&lt; Seleccionar&gt;&gt;]])</f>
        <v>Huánuco_</v>
      </c>
      <c r="H696" s="60" t="e">
        <f>VLOOKUP(Tabla18[[#This Row],[Concatenado***]],Tabla2[[#All],[Concatenado]:[Simbología*]],2,0)</f>
        <v>#N/A</v>
      </c>
      <c r="I696" s="65" t="str">
        <f>CONCATENATE(Tabla18[[#This Row],[Concatenado***]],"_",Tabla5[[#This Row],[Zona (Distrito)
&lt;&lt; Seleccionar&gt;&gt;]])</f>
        <v>Huánuco__</v>
      </c>
      <c r="J6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6" s="72" t="e">
        <f>VLOOKUP(Tabla5[[#This Row],[Tipo de Transporte Empleado
&lt;&lt; Seleccionar&gt;&gt;]],Tabla8[#All],2,0)</f>
        <v>#N/A</v>
      </c>
      <c r="L696" s="71" t="e">
        <f>#REF!+(#REF!*2)+#REF!</f>
        <v>#REF!</v>
      </c>
    </row>
    <row r="697" spans="1:12" x14ac:dyDescent="0.25">
      <c r="A697" s="328" t="e">
        <f>VLOOKUP(Tabla5[[#This Row],[Acción
&lt;&lt; Seleccionar&gt;&gt;]],TablaAccion[[#All],[Nombre_Abreviado]:[Codigo_Plan_Acción]],3,0)</f>
        <v>#N/A</v>
      </c>
      <c r="B697" s="328" t="e">
        <f>VLOOKUP(Tabla5[[#This Row],[Acción Especifica
&lt;&lt; Seleccionar&gt;&gt;]],TablaAccionEspecifica[[#All],[Nombre_Abreviado]:[Codigo_Acción]],3,0)</f>
        <v>#N/A</v>
      </c>
      <c r="C697" s="328" t="e">
        <f>CONCATENATE(Tabla18[[#This Row],[Bus_02]],"_",Tabla5[[#This Row],[Sub Acción Específica
&lt;&lt; Seleccionar&gt;&gt;]])</f>
        <v>#N/A</v>
      </c>
      <c r="D697" s="328" t="e">
        <f>VLOOKUP(Tabla18[[#This Row],[Aux_01]],TablaSubAccionEspecifica[[#All],[Concat]:[Cod_Sub_acción_especifica]],2,0)</f>
        <v>#N/A</v>
      </c>
      <c r="E697" s="328" t="e">
        <f>Tabla18[[#This Row],[Bus_03]]&amp;"_"&amp;Tabla5[[#This Row],[Tipo de Agente
&lt;&lt; Seleccionar&gt;&gt;]]</f>
        <v>#N/A</v>
      </c>
      <c r="F697" s="328" t="e">
        <f>VLOOKUP(Tabla18[[#This Row],[Concat2]],TablaPOA[[#All],[Concat]:[ConcatEspecial]],3,0)</f>
        <v>#N/A</v>
      </c>
      <c r="G697" s="65" t="str">
        <f>CONCATENATE(Registro!$A$6,"_",Tabla5[[#This Row],[Zona (Provincia)
&lt;&lt; Seleccionar&gt;&gt;]])</f>
        <v>Huánuco_</v>
      </c>
      <c r="H697" s="60" t="e">
        <f>VLOOKUP(Tabla18[[#This Row],[Concatenado***]],Tabla2[[#All],[Concatenado]:[Simbología*]],2,0)</f>
        <v>#N/A</v>
      </c>
      <c r="I697" s="65" t="str">
        <f>CONCATENATE(Tabla18[[#This Row],[Concatenado***]],"_",Tabla5[[#This Row],[Zona (Distrito)
&lt;&lt; Seleccionar&gt;&gt;]])</f>
        <v>Huánuco__</v>
      </c>
      <c r="J6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7" s="72" t="e">
        <f>VLOOKUP(Tabla5[[#This Row],[Tipo de Transporte Empleado
&lt;&lt; Seleccionar&gt;&gt;]],Tabla8[#All],2,0)</f>
        <v>#N/A</v>
      </c>
      <c r="L697" s="71" t="e">
        <f>#REF!+(#REF!*2)+#REF!</f>
        <v>#REF!</v>
      </c>
    </row>
    <row r="698" spans="1:12" x14ac:dyDescent="0.25">
      <c r="A698" s="328" t="e">
        <f>VLOOKUP(Tabla5[[#This Row],[Acción
&lt;&lt; Seleccionar&gt;&gt;]],TablaAccion[[#All],[Nombre_Abreviado]:[Codigo_Plan_Acción]],3,0)</f>
        <v>#N/A</v>
      </c>
      <c r="B698" s="328" t="e">
        <f>VLOOKUP(Tabla5[[#This Row],[Acción Especifica
&lt;&lt; Seleccionar&gt;&gt;]],TablaAccionEspecifica[[#All],[Nombre_Abreviado]:[Codigo_Acción]],3,0)</f>
        <v>#N/A</v>
      </c>
      <c r="C698" s="328" t="e">
        <f>CONCATENATE(Tabla18[[#This Row],[Bus_02]],"_",Tabla5[[#This Row],[Sub Acción Específica
&lt;&lt; Seleccionar&gt;&gt;]])</f>
        <v>#N/A</v>
      </c>
      <c r="D698" s="328" t="e">
        <f>VLOOKUP(Tabla18[[#This Row],[Aux_01]],TablaSubAccionEspecifica[[#All],[Concat]:[Cod_Sub_acción_especifica]],2,0)</f>
        <v>#N/A</v>
      </c>
      <c r="E698" s="328" t="e">
        <f>Tabla18[[#This Row],[Bus_03]]&amp;"_"&amp;Tabla5[[#This Row],[Tipo de Agente
&lt;&lt; Seleccionar&gt;&gt;]]</f>
        <v>#N/A</v>
      </c>
      <c r="F698" s="328" t="e">
        <f>VLOOKUP(Tabla18[[#This Row],[Concat2]],TablaPOA[[#All],[Concat]:[ConcatEspecial]],3,0)</f>
        <v>#N/A</v>
      </c>
      <c r="G698" s="65" t="str">
        <f>CONCATENATE(Registro!$A$6,"_",Tabla5[[#This Row],[Zona (Provincia)
&lt;&lt; Seleccionar&gt;&gt;]])</f>
        <v>Huánuco_</v>
      </c>
      <c r="H698" s="60" t="e">
        <f>VLOOKUP(Tabla18[[#This Row],[Concatenado***]],Tabla2[[#All],[Concatenado]:[Simbología*]],2,0)</f>
        <v>#N/A</v>
      </c>
      <c r="I698" s="65" t="str">
        <f>CONCATENATE(Tabla18[[#This Row],[Concatenado***]],"_",Tabla5[[#This Row],[Zona (Distrito)
&lt;&lt; Seleccionar&gt;&gt;]])</f>
        <v>Huánuco__</v>
      </c>
      <c r="J6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8" s="72" t="e">
        <f>VLOOKUP(Tabla5[[#This Row],[Tipo de Transporte Empleado
&lt;&lt; Seleccionar&gt;&gt;]],Tabla8[#All],2,0)</f>
        <v>#N/A</v>
      </c>
      <c r="L698" s="71" t="e">
        <f>#REF!+(#REF!*2)+#REF!</f>
        <v>#REF!</v>
      </c>
    </row>
    <row r="699" spans="1:12" x14ac:dyDescent="0.25">
      <c r="A699" s="328" t="e">
        <f>VLOOKUP(Tabla5[[#This Row],[Acción
&lt;&lt; Seleccionar&gt;&gt;]],TablaAccion[[#All],[Nombre_Abreviado]:[Codigo_Plan_Acción]],3,0)</f>
        <v>#N/A</v>
      </c>
      <c r="B699" s="328" t="e">
        <f>VLOOKUP(Tabla5[[#This Row],[Acción Especifica
&lt;&lt; Seleccionar&gt;&gt;]],TablaAccionEspecifica[[#All],[Nombre_Abreviado]:[Codigo_Acción]],3,0)</f>
        <v>#N/A</v>
      </c>
      <c r="C699" s="328" t="e">
        <f>CONCATENATE(Tabla18[[#This Row],[Bus_02]],"_",Tabla5[[#This Row],[Sub Acción Específica
&lt;&lt; Seleccionar&gt;&gt;]])</f>
        <v>#N/A</v>
      </c>
      <c r="D699" s="328" t="e">
        <f>VLOOKUP(Tabla18[[#This Row],[Aux_01]],TablaSubAccionEspecifica[[#All],[Concat]:[Cod_Sub_acción_especifica]],2,0)</f>
        <v>#N/A</v>
      </c>
      <c r="E699" s="328" t="e">
        <f>Tabla18[[#This Row],[Bus_03]]&amp;"_"&amp;Tabla5[[#This Row],[Tipo de Agente
&lt;&lt; Seleccionar&gt;&gt;]]</f>
        <v>#N/A</v>
      </c>
      <c r="F699" s="328" t="e">
        <f>VLOOKUP(Tabla18[[#This Row],[Concat2]],TablaPOA[[#All],[Concat]:[ConcatEspecial]],3,0)</f>
        <v>#N/A</v>
      </c>
      <c r="G699" s="65" t="str">
        <f>CONCATENATE(Registro!$A$6,"_",Tabla5[[#This Row],[Zona (Provincia)
&lt;&lt; Seleccionar&gt;&gt;]])</f>
        <v>Huánuco_</v>
      </c>
      <c r="H699" s="60" t="e">
        <f>VLOOKUP(Tabla18[[#This Row],[Concatenado***]],Tabla2[[#All],[Concatenado]:[Simbología*]],2,0)</f>
        <v>#N/A</v>
      </c>
      <c r="I699" s="65" t="str">
        <f>CONCATENATE(Tabla18[[#This Row],[Concatenado***]],"_",Tabla5[[#This Row],[Zona (Distrito)
&lt;&lt; Seleccionar&gt;&gt;]])</f>
        <v>Huánuco__</v>
      </c>
      <c r="J6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9" s="72" t="e">
        <f>VLOOKUP(Tabla5[[#This Row],[Tipo de Transporte Empleado
&lt;&lt; Seleccionar&gt;&gt;]],Tabla8[#All],2,0)</f>
        <v>#N/A</v>
      </c>
      <c r="L699" s="71" t="e">
        <f>#REF!+(#REF!*2)+#REF!</f>
        <v>#REF!</v>
      </c>
    </row>
    <row r="700" spans="1:12" x14ac:dyDescent="0.25">
      <c r="A700" s="328" t="e">
        <f>VLOOKUP(Tabla5[[#This Row],[Acción
&lt;&lt; Seleccionar&gt;&gt;]],TablaAccion[[#All],[Nombre_Abreviado]:[Codigo_Plan_Acción]],3,0)</f>
        <v>#N/A</v>
      </c>
      <c r="B700" s="328" t="e">
        <f>VLOOKUP(Tabla5[[#This Row],[Acción Especifica
&lt;&lt; Seleccionar&gt;&gt;]],TablaAccionEspecifica[[#All],[Nombre_Abreviado]:[Codigo_Acción]],3,0)</f>
        <v>#N/A</v>
      </c>
      <c r="C700" s="328" t="e">
        <f>CONCATENATE(Tabla18[[#This Row],[Bus_02]],"_",Tabla5[[#This Row],[Sub Acción Específica
&lt;&lt; Seleccionar&gt;&gt;]])</f>
        <v>#N/A</v>
      </c>
      <c r="D700" s="328" t="e">
        <f>VLOOKUP(Tabla18[[#This Row],[Aux_01]],TablaSubAccionEspecifica[[#All],[Concat]:[Cod_Sub_acción_especifica]],2,0)</f>
        <v>#N/A</v>
      </c>
      <c r="E700" s="328" t="e">
        <f>Tabla18[[#This Row],[Bus_03]]&amp;"_"&amp;Tabla5[[#This Row],[Tipo de Agente
&lt;&lt; Seleccionar&gt;&gt;]]</f>
        <v>#N/A</v>
      </c>
      <c r="F700" s="328" t="e">
        <f>VLOOKUP(Tabla18[[#This Row],[Concat2]],TablaPOA[[#All],[Concat]:[ConcatEspecial]],3,0)</f>
        <v>#N/A</v>
      </c>
      <c r="G700" s="65" t="str">
        <f>CONCATENATE(Registro!$A$6,"_",Tabla5[[#This Row],[Zona (Provincia)
&lt;&lt; Seleccionar&gt;&gt;]])</f>
        <v>Huánuco_</v>
      </c>
      <c r="H700" s="60" t="e">
        <f>VLOOKUP(Tabla18[[#This Row],[Concatenado***]],Tabla2[[#All],[Concatenado]:[Simbología*]],2,0)</f>
        <v>#N/A</v>
      </c>
      <c r="I700" s="65" t="str">
        <f>CONCATENATE(Tabla18[[#This Row],[Concatenado***]],"_",Tabla5[[#This Row],[Zona (Distrito)
&lt;&lt; Seleccionar&gt;&gt;]])</f>
        <v>Huánuco__</v>
      </c>
      <c r="J7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0" s="72" t="e">
        <f>VLOOKUP(Tabla5[[#This Row],[Tipo de Transporte Empleado
&lt;&lt; Seleccionar&gt;&gt;]],Tabla8[#All],2,0)</f>
        <v>#N/A</v>
      </c>
      <c r="L700" s="71" t="e">
        <f>#REF!+(#REF!*2)+#REF!</f>
        <v>#REF!</v>
      </c>
    </row>
    <row r="701" spans="1:12" x14ac:dyDescent="0.25">
      <c r="A701" s="328" t="e">
        <f>VLOOKUP(Tabla5[[#This Row],[Acción
&lt;&lt; Seleccionar&gt;&gt;]],TablaAccion[[#All],[Nombre_Abreviado]:[Codigo_Plan_Acción]],3,0)</f>
        <v>#N/A</v>
      </c>
      <c r="B701" s="328" t="e">
        <f>VLOOKUP(Tabla5[[#This Row],[Acción Especifica
&lt;&lt; Seleccionar&gt;&gt;]],TablaAccionEspecifica[[#All],[Nombre_Abreviado]:[Codigo_Acción]],3,0)</f>
        <v>#N/A</v>
      </c>
      <c r="C701" s="328" t="e">
        <f>CONCATENATE(Tabla18[[#This Row],[Bus_02]],"_",Tabla5[[#This Row],[Sub Acción Específica
&lt;&lt; Seleccionar&gt;&gt;]])</f>
        <v>#N/A</v>
      </c>
      <c r="D701" s="328" t="e">
        <f>VLOOKUP(Tabla18[[#This Row],[Aux_01]],TablaSubAccionEspecifica[[#All],[Concat]:[Cod_Sub_acción_especifica]],2,0)</f>
        <v>#N/A</v>
      </c>
      <c r="E701" s="328" t="e">
        <f>Tabla18[[#This Row],[Bus_03]]&amp;"_"&amp;Tabla5[[#This Row],[Tipo de Agente
&lt;&lt; Seleccionar&gt;&gt;]]</f>
        <v>#N/A</v>
      </c>
      <c r="F701" s="328" t="e">
        <f>VLOOKUP(Tabla18[[#This Row],[Concat2]],TablaPOA[[#All],[Concat]:[ConcatEspecial]],3,0)</f>
        <v>#N/A</v>
      </c>
      <c r="G701" s="65" t="str">
        <f>CONCATENATE(Registro!$A$6,"_",Tabla5[[#This Row],[Zona (Provincia)
&lt;&lt; Seleccionar&gt;&gt;]])</f>
        <v>Huánuco_</v>
      </c>
      <c r="H701" s="60" t="e">
        <f>VLOOKUP(Tabla18[[#This Row],[Concatenado***]],Tabla2[[#All],[Concatenado]:[Simbología*]],2,0)</f>
        <v>#N/A</v>
      </c>
      <c r="I701" s="65" t="str">
        <f>CONCATENATE(Tabla18[[#This Row],[Concatenado***]],"_",Tabla5[[#This Row],[Zona (Distrito)
&lt;&lt; Seleccionar&gt;&gt;]])</f>
        <v>Huánuco__</v>
      </c>
      <c r="J7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1" s="72" t="e">
        <f>VLOOKUP(Tabla5[[#This Row],[Tipo de Transporte Empleado
&lt;&lt; Seleccionar&gt;&gt;]],Tabla8[#All],2,0)</f>
        <v>#N/A</v>
      </c>
      <c r="L701" s="71" t="e">
        <f>#REF!+(#REF!*2)+#REF!</f>
        <v>#REF!</v>
      </c>
    </row>
    <row r="702" spans="1:12" x14ac:dyDescent="0.25">
      <c r="A702" s="328" t="e">
        <f>VLOOKUP(Tabla5[[#This Row],[Acción
&lt;&lt; Seleccionar&gt;&gt;]],TablaAccion[[#All],[Nombre_Abreviado]:[Codigo_Plan_Acción]],3,0)</f>
        <v>#N/A</v>
      </c>
      <c r="B702" s="328" t="e">
        <f>VLOOKUP(Tabla5[[#This Row],[Acción Especifica
&lt;&lt; Seleccionar&gt;&gt;]],TablaAccionEspecifica[[#All],[Nombre_Abreviado]:[Codigo_Acción]],3,0)</f>
        <v>#N/A</v>
      </c>
      <c r="C702" s="328" t="e">
        <f>CONCATENATE(Tabla18[[#This Row],[Bus_02]],"_",Tabla5[[#This Row],[Sub Acción Específica
&lt;&lt; Seleccionar&gt;&gt;]])</f>
        <v>#N/A</v>
      </c>
      <c r="D702" s="328" t="e">
        <f>VLOOKUP(Tabla18[[#This Row],[Aux_01]],TablaSubAccionEspecifica[[#All],[Concat]:[Cod_Sub_acción_especifica]],2,0)</f>
        <v>#N/A</v>
      </c>
      <c r="E702" s="328" t="e">
        <f>Tabla18[[#This Row],[Bus_03]]&amp;"_"&amp;Tabla5[[#This Row],[Tipo de Agente
&lt;&lt; Seleccionar&gt;&gt;]]</f>
        <v>#N/A</v>
      </c>
      <c r="F702" s="328" t="e">
        <f>VLOOKUP(Tabla18[[#This Row],[Concat2]],TablaPOA[[#All],[Concat]:[ConcatEspecial]],3,0)</f>
        <v>#N/A</v>
      </c>
      <c r="G702" s="65" t="str">
        <f>CONCATENATE(Registro!$A$6,"_",Tabla5[[#This Row],[Zona (Provincia)
&lt;&lt; Seleccionar&gt;&gt;]])</f>
        <v>Huánuco_</v>
      </c>
      <c r="H702" s="60" t="e">
        <f>VLOOKUP(Tabla18[[#This Row],[Concatenado***]],Tabla2[[#All],[Concatenado]:[Simbología*]],2,0)</f>
        <v>#N/A</v>
      </c>
      <c r="I702" s="65" t="str">
        <f>CONCATENATE(Tabla18[[#This Row],[Concatenado***]],"_",Tabla5[[#This Row],[Zona (Distrito)
&lt;&lt; Seleccionar&gt;&gt;]])</f>
        <v>Huánuco__</v>
      </c>
      <c r="J7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2" s="72" t="e">
        <f>VLOOKUP(Tabla5[[#This Row],[Tipo de Transporte Empleado
&lt;&lt; Seleccionar&gt;&gt;]],Tabla8[#All],2,0)</f>
        <v>#N/A</v>
      </c>
      <c r="L702" s="71" t="e">
        <f>#REF!+(#REF!*2)+#REF!</f>
        <v>#REF!</v>
      </c>
    </row>
    <row r="703" spans="1:12" x14ac:dyDescent="0.25">
      <c r="A703" s="328" t="e">
        <f>VLOOKUP(Tabla5[[#This Row],[Acción
&lt;&lt; Seleccionar&gt;&gt;]],TablaAccion[[#All],[Nombre_Abreviado]:[Codigo_Plan_Acción]],3,0)</f>
        <v>#N/A</v>
      </c>
      <c r="B703" s="328" t="e">
        <f>VLOOKUP(Tabla5[[#This Row],[Acción Especifica
&lt;&lt; Seleccionar&gt;&gt;]],TablaAccionEspecifica[[#All],[Nombre_Abreviado]:[Codigo_Acción]],3,0)</f>
        <v>#N/A</v>
      </c>
      <c r="C703" s="328" t="e">
        <f>CONCATENATE(Tabla18[[#This Row],[Bus_02]],"_",Tabla5[[#This Row],[Sub Acción Específica
&lt;&lt; Seleccionar&gt;&gt;]])</f>
        <v>#N/A</v>
      </c>
      <c r="D703" s="328" t="e">
        <f>VLOOKUP(Tabla18[[#This Row],[Aux_01]],TablaSubAccionEspecifica[[#All],[Concat]:[Cod_Sub_acción_especifica]],2,0)</f>
        <v>#N/A</v>
      </c>
      <c r="E703" s="328" t="e">
        <f>Tabla18[[#This Row],[Bus_03]]&amp;"_"&amp;Tabla5[[#This Row],[Tipo de Agente
&lt;&lt; Seleccionar&gt;&gt;]]</f>
        <v>#N/A</v>
      </c>
      <c r="F703" s="328" t="e">
        <f>VLOOKUP(Tabla18[[#This Row],[Concat2]],TablaPOA[[#All],[Concat]:[ConcatEspecial]],3,0)</f>
        <v>#N/A</v>
      </c>
      <c r="G703" s="65" t="str">
        <f>CONCATENATE(Registro!$A$6,"_",Tabla5[[#This Row],[Zona (Provincia)
&lt;&lt; Seleccionar&gt;&gt;]])</f>
        <v>Huánuco_</v>
      </c>
      <c r="H703" s="60" t="e">
        <f>VLOOKUP(Tabla18[[#This Row],[Concatenado***]],Tabla2[[#All],[Concatenado]:[Simbología*]],2,0)</f>
        <v>#N/A</v>
      </c>
      <c r="I703" s="65" t="str">
        <f>CONCATENATE(Tabla18[[#This Row],[Concatenado***]],"_",Tabla5[[#This Row],[Zona (Distrito)
&lt;&lt; Seleccionar&gt;&gt;]])</f>
        <v>Huánuco__</v>
      </c>
      <c r="J7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3" s="72" t="e">
        <f>VLOOKUP(Tabla5[[#This Row],[Tipo de Transporte Empleado
&lt;&lt; Seleccionar&gt;&gt;]],Tabla8[#All],2,0)</f>
        <v>#N/A</v>
      </c>
      <c r="L703" s="71" t="e">
        <f>#REF!+(#REF!*2)+#REF!</f>
        <v>#REF!</v>
      </c>
    </row>
    <row r="704" spans="1:12" x14ac:dyDescent="0.25">
      <c r="A704" s="328" t="e">
        <f>VLOOKUP(Tabla5[[#This Row],[Acción
&lt;&lt; Seleccionar&gt;&gt;]],TablaAccion[[#All],[Nombre_Abreviado]:[Codigo_Plan_Acción]],3,0)</f>
        <v>#N/A</v>
      </c>
      <c r="B704" s="328" t="e">
        <f>VLOOKUP(Tabla5[[#This Row],[Acción Especifica
&lt;&lt; Seleccionar&gt;&gt;]],TablaAccionEspecifica[[#All],[Nombre_Abreviado]:[Codigo_Acción]],3,0)</f>
        <v>#N/A</v>
      </c>
      <c r="C704" s="328" t="e">
        <f>CONCATENATE(Tabla18[[#This Row],[Bus_02]],"_",Tabla5[[#This Row],[Sub Acción Específica
&lt;&lt; Seleccionar&gt;&gt;]])</f>
        <v>#N/A</v>
      </c>
      <c r="D704" s="328" t="e">
        <f>VLOOKUP(Tabla18[[#This Row],[Aux_01]],TablaSubAccionEspecifica[[#All],[Concat]:[Cod_Sub_acción_especifica]],2,0)</f>
        <v>#N/A</v>
      </c>
      <c r="E704" s="328" t="e">
        <f>Tabla18[[#This Row],[Bus_03]]&amp;"_"&amp;Tabla5[[#This Row],[Tipo de Agente
&lt;&lt; Seleccionar&gt;&gt;]]</f>
        <v>#N/A</v>
      </c>
      <c r="F704" s="328" t="e">
        <f>VLOOKUP(Tabla18[[#This Row],[Concat2]],TablaPOA[[#All],[Concat]:[ConcatEspecial]],3,0)</f>
        <v>#N/A</v>
      </c>
      <c r="G704" s="65" t="str">
        <f>CONCATENATE(Registro!$A$6,"_",Tabla5[[#This Row],[Zona (Provincia)
&lt;&lt; Seleccionar&gt;&gt;]])</f>
        <v>Huánuco_</v>
      </c>
      <c r="H704" s="60" t="e">
        <f>VLOOKUP(Tabla18[[#This Row],[Concatenado***]],Tabla2[[#All],[Concatenado]:[Simbología*]],2,0)</f>
        <v>#N/A</v>
      </c>
      <c r="I704" s="65" t="str">
        <f>CONCATENATE(Tabla18[[#This Row],[Concatenado***]],"_",Tabla5[[#This Row],[Zona (Distrito)
&lt;&lt; Seleccionar&gt;&gt;]])</f>
        <v>Huánuco__</v>
      </c>
      <c r="J7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4" s="72" t="e">
        <f>VLOOKUP(Tabla5[[#This Row],[Tipo de Transporte Empleado
&lt;&lt; Seleccionar&gt;&gt;]],Tabla8[#All],2,0)</f>
        <v>#N/A</v>
      </c>
      <c r="L704" s="71" t="e">
        <f>#REF!+(#REF!*2)+#REF!</f>
        <v>#REF!</v>
      </c>
    </row>
    <row r="705" spans="1:12" x14ac:dyDescent="0.25">
      <c r="A705" s="328" t="e">
        <f>VLOOKUP(Tabla5[[#This Row],[Acción
&lt;&lt; Seleccionar&gt;&gt;]],TablaAccion[[#All],[Nombre_Abreviado]:[Codigo_Plan_Acción]],3,0)</f>
        <v>#N/A</v>
      </c>
      <c r="B705" s="328" t="e">
        <f>VLOOKUP(Tabla5[[#This Row],[Acción Especifica
&lt;&lt; Seleccionar&gt;&gt;]],TablaAccionEspecifica[[#All],[Nombre_Abreviado]:[Codigo_Acción]],3,0)</f>
        <v>#N/A</v>
      </c>
      <c r="C705" s="328" t="e">
        <f>CONCATENATE(Tabla18[[#This Row],[Bus_02]],"_",Tabla5[[#This Row],[Sub Acción Específica
&lt;&lt; Seleccionar&gt;&gt;]])</f>
        <v>#N/A</v>
      </c>
      <c r="D705" s="328" t="e">
        <f>VLOOKUP(Tabla18[[#This Row],[Aux_01]],TablaSubAccionEspecifica[[#All],[Concat]:[Cod_Sub_acción_especifica]],2,0)</f>
        <v>#N/A</v>
      </c>
      <c r="E705" s="328" t="e">
        <f>Tabla18[[#This Row],[Bus_03]]&amp;"_"&amp;Tabla5[[#This Row],[Tipo de Agente
&lt;&lt; Seleccionar&gt;&gt;]]</f>
        <v>#N/A</v>
      </c>
      <c r="F705" s="328" t="e">
        <f>VLOOKUP(Tabla18[[#This Row],[Concat2]],TablaPOA[[#All],[Concat]:[ConcatEspecial]],3,0)</f>
        <v>#N/A</v>
      </c>
      <c r="G705" s="65" t="str">
        <f>CONCATENATE(Registro!$A$6,"_",Tabla5[[#This Row],[Zona (Provincia)
&lt;&lt; Seleccionar&gt;&gt;]])</f>
        <v>Huánuco_</v>
      </c>
      <c r="H705" s="60" t="e">
        <f>VLOOKUP(Tabla18[[#This Row],[Concatenado***]],Tabla2[[#All],[Concatenado]:[Simbología*]],2,0)</f>
        <v>#N/A</v>
      </c>
      <c r="I705" s="65" t="str">
        <f>CONCATENATE(Tabla18[[#This Row],[Concatenado***]],"_",Tabla5[[#This Row],[Zona (Distrito)
&lt;&lt; Seleccionar&gt;&gt;]])</f>
        <v>Huánuco__</v>
      </c>
      <c r="J7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5" s="72" t="e">
        <f>VLOOKUP(Tabla5[[#This Row],[Tipo de Transporte Empleado
&lt;&lt; Seleccionar&gt;&gt;]],Tabla8[#All],2,0)</f>
        <v>#N/A</v>
      </c>
      <c r="L705" s="71" t="e">
        <f>#REF!+(#REF!*2)+#REF!</f>
        <v>#REF!</v>
      </c>
    </row>
    <row r="706" spans="1:12" x14ac:dyDescent="0.25">
      <c r="A706" s="328" t="e">
        <f>VLOOKUP(Tabla5[[#This Row],[Acción
&lt;&lt; Seleccionar&gt;&gt;]],TablaAccion[[#All],[Nombre_Abreviado]:[Codigo_Plan_Acción]],3,0)</f>
        <v>#N/A</v>
      </c>
      <c r="B706" s="328" t="e">
        <f>VLOOKUP(Tabla5[[#This Row],[Acción Especifica
&lt;&lt; Seleccionar&gt;&gt;]],TablaAccionEspecifica[[#All],[Nombre_Abreviado]:[Codigo_Acción]],3,0)</f>
        <v>#N/A</v>
      </c>
      <c r="C706" s="328" t="e">
        <f>CONCATENATE(Tabla18[[#This Row],[Bus_02]],"_",Tabla5[[#This Row],[Sub Acción Específica
&lt;&lt; Seleccionar&gt;&gt;]])</f>
        <v>#N/A</v>
      </c>
      <c r="D706" s="328" t="e">
        <f>VLOOKUP(Tabla18[[#This Row],[Aux_01]],TablaSubAccionEspecifica[[#All],[Concat]:[Cod_Sub_acción_especifica]],2,0)</f>
        <v>#N/A</v>
      </c>
      <c r="E706" s="328" t="e">
        <f>Tabla18[[#This Row],[Bus_03]]&amp;"_"&amp;Tabla5[[#This Row],[Tipo de Agente
&lt;&lt; Seleccionar&gt;&gt;]]</f>
        <v>#N/A</v>
      </c>
      <c r="F706" s="328" t="e">
        <f>VLOOKUP(Tabla18[[#This Row],[Concat2]],TablaPOA[[#All],[Concat]:[ConcatEspecial]],3,0)</f>
        <v>#N/A</v>
      </c>
      <c r="G706" s="65" t="str">
        <f>CONCATENATE(Registro!$A$6,"_",Tabla5[[#This Row],[Zona (Provincia)
&lt;&lt; Seleccionar&gt;&gt;]])</f>
        <v>Huánuco_</v>
      </c>
      <c r="H706" s="60" t="e">
        <f>VLOOKUP(Tabla18[[#This Row],[Concatenado***]],Tabla2[[#All],[Concatenado]:[Simbología*]],2,0)</f>
        <v>#N/A</v>
      </c>
      <c r="I706" s="65" t="str">
        <f>CONCATENATE(Tabla18[[#This Row],[Concatenado***]],"_",Tabla5[[#This Row],[Zona (Distrito)
&lt;&lt; Seleccionar&gt;&gt;]])</f>
        <v>Huánuco__</v>
      </c>
      <c r="J7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6" s="72" t="e">
        <f>VLOOKUP(Tabla5[[#This Row],[Tipo de Transporte Empleado
&lt;&lt; Seleccionar&gt;&gt;]],Tabla8[#All],2,0)</f>
        <v>#N/A</v>
      </c>
      <c r="L706" s="71" t="e">
        <f>#REF!+(#REF!*2)+#REF!</f>
        <v>#REF!</v>
      </c>
    </row>
    <row r="707" spans="1:12" x14ac:dyDescent="0.25">
      <c r="A707" s="328" t="e">
        <f>VLOOKUP(Tabla5[[#This Row],[Acción
&lt;&lt; Seleccionar&gt;&gt;]],TablaAccion[[#All],[Nombre_Abreviado]:[Codigo_Plan_Acción]],3,0)</f>
        <v>#N/A</v>
      </c>
      <c r="B707" s="328" t="e">
        <f>VLOOKUP(Tabla5[[#This Row],[Acción Especifica
&lt;&lt; Seleccionar&gt;&gt;]],TablaAccionEspecifica[[#All],[Nombre_Abreviado]:[Codigo_Acción]],3,0)</f>
        <v>#N/A</v>
      </c>
      <c r="C707" s="328" t="e">
        <f>CONCATENATE(Tabla18[[#This Row],[Bus_02]],"_",Tabla5[[#This Row],[Sub Acción Específica
&lt;&lt; Seleccionar&gt;&gt;]])</f>
        <v>#N/A</v>
      </c>
      <c r="D707" s="328" t="e">
        <f>VLOOKUP(Tabla18[[#This Row],[Aux_01]],TablaSubAccionEspecifica[[#All],[Concat]:[Cod_Sub_acción_especifica]],2,0)</f>
        <v>#N/A</v>
      </c>
      <c r="E707" s="328" t="e">
        <f>Tabla18[[#This Row],[Bus_03]]&amp;"_"&amp;Tabla5[[#This Row],[Tipo de Agente
&lt;&lt; Seleccionar&gt;&gt;]]</f>
        <v>#N/A</v>
      </c>
      <c r="F707" s="328" t="e">
        <f>VLOOKUP(Tabla18[[#This Row],[Concat2]],TablaPOA[[#All],[Concat]:[ConcatEspecial]],3,0)</f>
        <v>#N/A</v>
      </c>
      <c r="G707" s="65" t="str">
        <f>CONCATENATE(Registro!$A$6,"_",Tabla5[[#This Row],[Zona (Provincia)
&lt;&lt; Seleccionar&gt;&gt;]])</f>
        <v>Huánuco_</v>
      </c>
      <c r="H707" s="60" t="e">
        <f>VLOOKUP(Tabla18[[#This Row],[Concatenado***]],Tabla2[[#All],[Concatenado]:[Simbología*]],2,0)</f>
        <v>#N/A</v>
      </c>
      <c r="I707" s="65" t="str">
        <f>CONCATENATE(Tabla18[[#This Row],[Concatenado***]],"_",Tabla5[[#This Row],[Zona (Distrito)
&lt;&lt; Seleccionar&gt;&gt;]])</f>
        <v>Huánuco__</v>
      </c>
      <c r="J7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7" s="72" t="e">
        <f>VLOOKUP(Tabla5[[#This Row],[Tipo de Transporte Empleado
&lt;&lt; Seleccionar&gt;&gt;]],Tabla8[#All],2,0)</f>
        <v>#N/A</v>
      </c>
      <c r="L707" s="71" t="e">
        <f>#REF!+(#REF!*2)+#REF!</f>
        <v>#REF!</v>
      </c>
    </row>
    <row r="708" spans="1:12" x14ac:dyDescent="0.25">
      <c r="A708" s="328" t="e">
        <f>VLOOKUP(Tabla5[[#This Row],[Acción
&lt;&lt; Seleccionar&gt;&gt;]],TablaAccion[[#All],[Nombre_Abreviado]:[Codigo_Plan_Acción]],3,0)</f>
        <v>#N/A</v>
      </c>
      <c r="B708" s="328" t="e">
        <f>VLOOKUP(Tabla5[[#This Row],[Acción Especifica
&lt;&lt; Seleccionar&gt;&gt;]],TablaAccionEspecifica[[#All],[Nombre_Abreviado]:[Codigo_Acción]],3,0)</f>
        <v>#N/A</v>
      </c>
      <c r="C708" s="328" t="e">
        <f>CONCATENATE(Tabla18[[#This Row],[Bus_02]],"_",Tabla5[[#This Row],[Sub Acción Específica
&lt;&lt; Seleccionar&gt;&gt;]])</f>
        <v>#N/A</v>
      </c>
      <c r="D708" s="328" t="e">
        <f>VLOOKUP(Tabla18[[#This Row],[Aux_01]],TablaSubAccionEspecifica[[#All],[Concat]:[Cod_Sub_acción_especifica]],2,0)</f>
        <v>#N/A</v>
      </c>
      <c r="E708" s="328" t="e">
        <f>Tabla18[[#This Row],[Bus_03]]&amp;"_"&amp;Tabla5[[#This Row],[Tipo de Agente
&lt;&lt; Seleccionar&gt;&gt;]]</f>
        <v>#N/A</v>
      </c>
      <c r="F708" s="328" t="e">
        <f>VLOOKUP(Tabla18[[#This Row],[Concat2]],TablaPOA[[#All],[Concat]:[ConcatEspecial]],3,0)</f>
        <v>#N/A</v>
      </c>
      <c r="G708" s="65" t="str">
        <f>CONCATENATE(Registro!$A$6,"_",Tabla5[[#This Row],[Zona (Provincia)
&lt;&lt; Seleccionar&gt;&gt;]])</f>
        <v>Huánuco_</v>
      </c>
      <c r="H708" s="60" t="e">
        <f>VLOOKUP(Tabla18[[#This Row],[Concatenado***]],Tabla2[[#All],[Concatenado]:[Simbología*]],2,0)</f>
        <v>#N/A</v>
      </c>
      <c r="I708" s="65" t="str">
        <f>CONCATENATE(Tabla18[[#This Row],[Concatenado***]],"_",Tabla5[[#This Row],[Zona (Distrito)
&lt;&lt; Seleccionar&gt;&gt;]])</f>
        <v>Huánuco__</v>
      </c>
      <c r="J7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8" s="72" t="e">
        <f>VLOOKUP(Tabla5[[#This Row],[Tipo de Transporte Empleado
&lt;&lt; Seleccionar&gt;&gt;]],Tabla8[#All],2,0)</f>
        <v>#N/A</v>
      </c>
      <c r="L708" s="71" t="e">
        <f>#REF!+(#REF!*2)+#REF!</f>
        <v>#REF!</v>
      </c>
    </row>
    <row r="709" spans="1:12" x14ac:dyDescent="0.25">
      <c r="A709" s="328" t="e">
        <f>VLOOKUP(Tabla5[[#This Row],[Acción
&lt;&lt; Seleccionar&gt;&gt;]],TablaAccion[[#All],[Nombre_Abreviado]:[Codigo_Plan_Acción]],3,0)</f>
        <v>#N/A</v>
      </c>
      <c r="B709" s="328" t="e">
        <f>VLOOKUP(Tabla5[[#This Row],[Acción Especifica
&lt;&lt; Seleccionar&gt;&gt;]],TablaAccionEspecifica[[#All],[Nombre_Abreviado]:[Codigo_Acción]],3,0)</f>
        <v>#N/A</v>
      </c>
      <c r="C709" s="328" t="e">
        <f>CONCATENATE(Tabla18[[#This Row],[Bus_02]],"_",Tabla5[[#This Row],[Sub Acción Específica
&lt;&lt; Seleccionar&gt;&gt;]])</f>
        <v>#N/A</v>
      </c>
      <c r="D709" s="328" t="e">
        <f>VLOOKUP(Tabla18[[#This Row],[Aux_01]],TablaSubAccionEspecifica[[#All],[Concat]:[Cod_Sub_acción_especifica]],2,0)</f>
        <v>#N/A</v>
      </c>
      <c r="E709" s="328" t="e">
        <f>Tabla18[[#This Row],[Bus_03]]&amp;"_"&amp;Tabla5[[#This Row],[Tipo de Agente
&lt;&lt; Seleccionar&gt;&gt;]]</f>
        <v>#N/A</v>
      </c>
      <c r="F709" s="328" t="e">
        <f>VLOOKUP(Tabla18[[#This Row],[Concat2]],TablaPOA[[#All],[Concat]:[ConcatEspecial]],3,0)</f>
        <v>#N/A</v>
      </c>
      <c r="G709" s="65" t="str">
        <f>CONCATENATE(Registro!$A$6,"_",Tabla5[[#This Row],[Zona (Provincia)
&lt;&lt; Seleccionar&gt;&gt;]])</f>
        <v>Huánuco_</v>
      </c>
      <c r="H709" s="60" t="e">
        <f>VLOOKUP(Tabla18[[#This Row],[Concatenado***]],Tabla2[[#All],[Concatenado]:[Simbología*]],2,0)</f>
        <v>#N/A</v>
      </c>
      <c r="I709" s="65" t="str">
        <f>CONCATENATE(Tabla18[[#This Row],[Concatenado***]],"_",Tabla5[[#This Row],[Zona (Distrito)
&lt;&lt; Seleccionar&gt;&gt;]])</f>
        <v>Huánuco__</v>
      </c>
      <c r="J7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9" s="72" t="e">
        <f>VLOOKUP(Tabla5[[#This Row],[Tipo de Transporte Empleado
&lt;&lt; Seleccionar&gt;&gt;]],Tabla8[#All],2,0)</f>
        <v>#N/A</v>
      </c>
      <c r="L709" s="71" t="e">
        <f>#REF!+(#REF!*2)+#REF!</f>
        <v>#REF!</v>
      </c>
    </row>
    <row r="710" spans="1:12" x14ac:dyDescent="0.25">
      <c r="A710" s="328" t="e">
        <f>VLOOKUP(Tabla5[[#This Row],[Acción
&lt;&lt; Seleccionar&gt;&gt;]],TablaAccion[[#All],[Nombre_Abreviado]:[Codigo_Plan_Acción]],3,0)</f>
        <v>#N/A</v>
      </c>
      <c r="B710" s="328" t="e">
        <f>VLOOKUP(Tabla5[[#This Row],[Acción Especifica
&lt;&lt; Seleccionar&gt;&gt;]],TablaAccionEspecifica[[#All],[Nombre_Abreviado]:[Codigo_Acción]],3,0)</f>
        <v>#N/A</v>
      </c>
      <c r="C710" s="328" t="e">
        <f>CONCATENATE(Tabla18[[#This Row],[Bus_02]],"_",Tabla5[[#This Row],[Sub Acción Específica
&lt;&lt; Seleccionar&gt;&gt;]])</f>
        <v>#N/A</v>
      </c>
      <c r="D710" s="328" t="e">
        <f>VLOOKUP(Tabla18[[#This Row],[Aux_01]],TablaSubAccionEspecifica[[#All],[Concat]:[Cod_Sub_acción_especifica]],2,0)</f>
        <v>#N/A</v>
      </c>
      <c r="E710" s="328" t="e">
        <f>Tabla18[[#This Row],[Bus_03]]&amp;"_"&amp;Tabla5[[#This Row],[Tipo de Agente
&lt;&lt; Seleccionar&gt;&gt;]]</f>
        <v>#N/A</v>
      </c>
      <c r="F710" s="328" t="e">
        <f>VLOOKUP(Tabla18[[#This Row],[Concat2]],TablaPOA[[#All],[Concat]:[ConcatEspecial]],3,0)</f>
        <v>#N/A</v>
      </c>
      <c r="G710" s="65" t="str">
        <f>CONCATENATE(Registro!$A$6,"_",Tabla5[[#This Row],[Zona (Provincia)
&lt;&lt; Seleccionar&gt;&gt;]])</f>
        <v>Huánuco_</v>
      </c>
      <c r="H710" s="60" t="e">
        <f>VLOOKUP(Tabla18[[#This Row],[Concatenado***]],Tabla2[[#All],[Concatenado]:[Simbología*]],2,0)</f>
        <v>#N/A</v>
      </c>
      <c r="I710" s="65" t="str">
        <f>CONCATENATE(Tabla18[[#This Row],[Concatenado***]],"_",Tabla5[[#This Row],[Zona (Distrito)
&lt;&lt; Seleccionar&gt;&gt;]])</f>
        <v>Huánuco__</v>
      </c>
      <c r="J7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0" s="72" t="e">
        <f>VLOOKUP(Tabla5[[#This Row],[Tipo de Transporte Empleado
&lt;&lt; Seleccionar&gt;&gt;]],Tabla8[#All],2,0)</f>
        <v>#N/A</v>
      </c>
      <c r="L710" s="71" t="e">
        <f>#REF!+(#REF!*2)+#REF!</f>
        <v>#REF!</v>
      </c>
    </row>
    <row r="711" spans="1:12" x14ac:dyDescent="0.25">
      <c r="A711" s="328" t="e">
        <f>VLOOKUP(Tabla5[[#This Row],[Acción
&lt;&lt; Seleccionar&gt;&gt;]],TablaAccion[[#All],[Nombre_Abreviado]:[Codigo_Plan_Acción]],3,0)</f>
        <v>#N/A</v>
      </c>
      <c r="B711" s="328" t="e">
        <f>VLOOKUP(Tabla5[[#This Row],[Acción Especifica
&lt;&lt; Seleccionar&gt;&gt;]],TablaAccionEspecifica[[#All],[Nombre_Abreviado]:[Codigo_Acción]],3,0)</f>
        <v>#N/A</v>
      </c>
      <c r="C711" s="328" t="e">
        <f>CONCATENATE(Tabla18[[#This Row],[Bus_02]],"_",Tabla5[[#This Row],[Sub Acción Específica
&lt;&lt; Seleccionar&gt;&gt;]])</f>
        <v>#N/A</v>
      </c>
      <c r="D711" s="328" t="e">
        <f>VLOOKUP(Tabla18[[#This Row],[Aux_01]],TablaSubAccionEspecifica[[#All],[Concat]:[Cod_Sub_acción_especifica]],2,0)</f>
        <v>#N/A</v>
      </c>
      <c r="E711" s="328" t="e">
        <f>Tabla18[[#This Row],[Bus_03]]&amp;"_"&amp;Tabla5[[#This Row],[Tipo de Agente
&lt;&lt; Seleccionar&gt;&gt;]]</f>
        <v>#N/A</v>
      </c>
      <c r="F711" s="328" t="e">
        <f>VLOOKUP(Tabla18[[#This Row],[Concat2]],TablaPOA[[#All],[Concat]:[ConcatEspecial]],3,0)</f>
        <v>#N/A</v>
      </c>
      <c r="G711" s="65" t="str">
        <f>CONCATENATE(Registro!$A$6,"_",Tabla5[[#This Row],[Zona (Provincia)
&lt;&lt; Seleccionar&gt;&gt;]])</f>
        <v>Huánuco_</v>
      </c>
      <c r="H711" s="60" t="e">
        <f>VLOOKUP(Tabla18[[#This Row],[Concatenado***]],Tabla2[[#All],[Concatenado]:[Simbología*]],2,0)</f>
        <v>#N/A</v>
      </c>
      <c r="I711" s="65" t="str">
        <f>CONCATENATE(Tabla18[[#This Row],[Concatenado***]],"_",Tabla5[[#This Row],[Zona (Distrito)
&lt;&lt; Seleccionar&gt;&gt;]])</f>
        <v>Huánuco__</v>
      </c>
      <c r="J7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1" s="72" t="e">
        <f>VLOOKUP(Tabla5[[#This Row],[Tipo de Transporte Empleado
&lt;&lt; Seleccionar&gt;&gt;]],Tabla8[#All],2,0)</f>
        <v>#N/A</v>
      </c>
      <c r="L711" s="71" t="e">
        <f>#REF!+(#REF!*2)+#REF!</f>
        <v>#REF!</v>
      </c>
    </row>
    <row r="712" spans="1:12" x14ac:dyDescent="0.25">
      <c r="A712" s="328" t="e">
        <f>VLOOKUP(Tabla5[[#This Row],[Acción
&lt;&lt; Seleccionar&gt;&gt;]],TablaAccion[[#All],[Nombre_Abreviado]:[Codigo_Plan_Acción]],3,0)</f>
        <v>#N/A</v>
      </c>
      <c r="B712" s="328" t="e">
        <f>VLOOKUP(Tabla5[[#This Row],[Acción Especifica
&lt;&lt; Seleccionar&gt;&gt;]],TablaAccionEspecifica[[#All],[Nombre_Abreviado]:[Codigo_Acción]],3,0)</f>
        <v>#N/A</v>
      </c>
      <c r="C712" s="328" t="e">
        <f>CONCATENATE(Tabla18[[#This Row],[Bus_02]],"_",Tabla5[[#This Row],[Sub Acción Específica
&lt;&lt; Seleccionar&gt;&gt;]])</f>
        <v>#N/A</v>
      </c>
      <c r="D712" s="328" t="e">
        <f>VLOOKUP(Tabla18[[#This Row],[Aux_01]],TablaSubAccionEspecifica[[#All],[Concat]:[Cod_Sub_acción_especifica]],2,0)</f>
        <v>#N/A</v>
      </c>
      <c r="E712" s="328" t="e">
        <f>Tabla18[[#This Row],[Bus_03]]&amp;"_"&amp;Tabla5[[#This Row],[Tipo de Agente
&lt;&lt; Seleccionar&gt;&gt;]]</f>
        <v>#N/A</v>
      </c>
      <c r="F712" s="328" t="e">
        <f>VLOOKUP(Tabla18[[#This Row],[Concat2]],TablaPOA[[#All],[Concat]:[ConcatEspecial]],3,0)</f>
        <v>#N/A</v>
      </c>
      <c r="G712" s="65" t="str">
        <f>CONCATENATE(Registro!$A$6,"_",Tabla5[[#This Row],[Zona (Provincia)
&lt;&lt; Seleccionar&gt;&gt;]])</f>
        <v>Huánuco_</v>
      </c>
      <c r="H712" s="60" t="e">
        <f>VLOOKUP(Tabla18[[#This Row],[Concatenado***]],Tabla2[[#All],[Concatenado]:[Simbología*]],2,0)</f>
        <v>#N/A</v>
      </c>
      <c r="I712" s="65" t="str">
        <f>CONCATENATE(Tabla18[[#This Row],[Concatenado***]],"_",Tabla5[[#This Row],[Zona (Distrito)
&lt;&lt; Seleccionar&gt;&gt;]])</f>
        <v>Huánuco__</v>
      </c>
      <c r="J7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2" s="72" t="e">
        <f>VLOOKUP(Tabla5[[#This Row],[Tipo de Transporte Empleado
&lt;&lt; Seleccionar&gt;&gt;]],Tabla8[#All],2,0)</f>
        <v>#N/A</v>
      </c>
      <c r="L712" s="71" t="e">
        <f>#REF!+(#REF!*2)+#REF!</f>
        <v>#REF!</v>
      </c>
    </row>
    <row r="713" spans="1:12" x14ac:dyDescent="0.25">
      <c r="A713" s="328" t="e">
        <f>VLOOKUP(Tabla5[[#This Row],[Acción
&lt;&lt; Seleccionar&gt;&gt;]],TablaAccion[[#All],[Nombre_Abreviado]:[Codigo_Plan_Acción]],3,0)</f>
        <v>#N/A</v>
      </c>
      <c r="B713" s="328" t="e">
        <f>VLOOKUP(Tabla5[[#This Row],[Acción Especifica
&lt;&lt; Seleccionar&gt;&gt;]],TablaAccionEspecifica[[#All],[Nombre_Abreviado]:[Codigo_Acción]],3,0)</f>
        <v>#N/A</v>
      </c>
      <c r="C713" s="328" t="e">
        <f>CONCATENATE(Tabla18[[#This Row],[Bus_02]],"_",Tabla5[[#This Row],[Sub Acción Específica
&lt;&lt; Seleccionar&gt;&gt;]])</f>
        <v>#N/A</v>
      </c>
      <c r="D713" s="328" t="e">
        <f>VLOOKUP(Tabla18[[#This Row],[Aux_01]],TablaSubAccionEspecifica[[#All],[Concat]:[Cod_Sub_acción_especifica]],2,0)</f>
        <v>#N/A</v>
      </c>
      <c r="E713" s="328" t="e">
        <f>Tabla18[[#This Row],[Bus_03]]&amp;"_"&amp;Tabla5[[#This Row],[Tipo de Agente
&lt;&lt; Seleccionar&gt;&gt;]]</f>
        <v>#N/A</v>
      </c>
      <c r="F713" s="328" t="e">
        <f>VLOOKUP(Tabla18[[#This Row],[Concat2]],TablaPOA[[#All],[Concat]:[ConcatEspecial]],3,0)</f>
        <v>#N/A</v>
      </c>
      <c r="G713" s="65" t="str">
        <f>CONCATENATE(Registro!$A$6,"_",Tabla5[[#This Row],[Zona (Provincia)
&lt;&lt; Seleccionar&gt;&gt;]])</f>
        <v>Huánuco_</v>
      </c>
      <c r="H713" s="60" t="e">
        <f>VLOOKUP(Tabla18[[#This Row],[Concatenado***]],Tabla2[[#All],[Concatenado]:[Simbología*]],2,0)</f>
        <v>#N/A</v>
      </c>
      <c r="I713" s="65" t="str">
        <f>CONCATENATE(Tabla18[[#This Row],[Concatenado***]],"_",Tabla5[[#This Row],[Zona (Distrito)
&lt;&lt; Seleccionar&gt;&gt;]])</f>
        <v>Huánuco__</v>
      </c>
      <c r="J7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3" s="72" t="e">
        <f>VLOOKUP(Tabla5[[#This Row],[Tipo de Transporte Empleado
&lt;&lt; Seleccionar&gt;&gt;]],Tabla8[#All],2,0)</f>
        <v>#N/A</v>
      </c>
      <c r="L713" s="71" t="e">
        <f>#REF!+(#REF!*2)+#REF!</f>
        <v>#REF!</v>
      </c>
    </row>
    <row r="714" spans="1:12" x14ac:dyDescent="0.25">
      <c r="A714" s="328" t="e">
        <f>VLOOKUP(Tabla5[[#This Row],[Acción
&lt;&lt; Seleccionar&gt;&gt;]],TablaAccion[[#All],[Nombre_Abreviado]:[Codigo_Plan_Acción]],3,0)</f>
        <v>#N/A</v>
      </c>
      <c r="B714" s="328" t="e">
        <f>VLOOKUP(Tabla5[[#This Row],[Acción Especifica
&lt;&lt; Seleccionar&gt;&gt;]],TablaAccionEspecifica[[#All],[Nombre_Abreviado]:[Codigo_Acción]],3,0)</f>
        <v>#N/A</v>
      </c>
      <c r="C714" s="328" t="e">
        <f>CONCATENATE(Tabla18[[#This Row],[Bus_02]],"_",Tabla5[[#This Row],[Sub Acción Específica
&lt;&lt; Seleccionar&gt;&gt;]])</f>
        <v>#N/A</v>
      </c>
      <c r="D714" s="328" t="e">
        <f>VLOOKUP(Tabla18[[#This Row],[Aux_01]],TablaSubAccionEspecifica[[#All],[Concat]:[Cod_Sub_acción_especifica]],2,0)</f>
        <v>#N/A</v>
      </c>
      <c r="E714" s="328" t="e">
        <f>Tabla18[[#This Row],[Bus_03]]&amp;"_"&amp;Tabla5[[#This Row],[Tipo de Agente
&lt;&lt; Seleccionar&gt;&gt;]]</f>
        <v>#N/A</v>
      </c>
      <c r="F714" s="328" t="e">
        <f>VLOOKUP(Tabla18[[#This Row],[Concat2]],TablaPOA[[#All],[Concat]:[ConcatEspecial]],3,0)</f>
        <v>#N/A</v>
      </c>
      <c r="G714" s="65" t="str">
        <f>CONCATENATE(Registro!$A$6,"_",Tabla5[[#This Row],[Zona (Provincia)
&lt;&lt; Seleccionar&gt;&gt;]])</f>
        <v>Huánuco_</v>
      </c>
      <c r="H714" s="60" t="e">
        <f>VLOOKUP(Tabla18[[#This Row],[Concatenado***]],Tabla2[[#All],[Concatenado]:[Simbología*]],2,0)</f>
        <v>#N/A</v>
      </c>
      <c r="I714" s="65" t="str">
        <f>CONCATENATE(Tabla18[[#This Row],[Concatenado***]],"_",Tabla5[[#This Row],[Zona (Distrito)
&lt;&lt; Seleccionar&gt;&gt;]])</f>
        <v>Huánuco__</v>
      </c>
      <c r="J7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4" s="72" t="e">
        <f>VLOOKUP(Tabla5[[#This Row],[Tipo de Transporte Empleado
&lt;&lt; Seleccionar&gt;&gt;]],Tabla8[#All],2,0)</f>
        <v>#N/A</v>
      </c>
      <c r="L714" s="71" t="e">
        <f>#REF!+(#REF!*2)+#REF!</f>
        <v>#REF!</v>
      </c>
    </row>
    <row r="715" spans="1:12" x14ac:dyDescent="0.25">
      <c r="A715" s="328" t="e">
        <f>VLOOKUP(Tabla5[[#This Row],[Acción
&lt;&lt; Seleccionar&gt;&gt;]],TablaAccion[[#All],[Nombre_Abreviado]:[Codigo_Plan_Acción]],3,0)</f>
        <v>#N/A</v>
      </c>
      <c r="B715" s="328" t="e">
        <f>VLOOKUP(Tabla5[[#This Row],[Acción Especifica
&lt;&lt; Seleccionar&gt;&gt;]],TablaAccionEspecifica[[#All],[Nombre_Abreviado]:[Codigo_Acción]],3,0)</f>
        <v>#N/A</v>
      </c>
      <c r="C715" s="328" t="e">
        <f>CONCATENATE(Tabla18[[#This Row],[Bus_02]],"_",Tabla5[[#This Row],[Sub Acción Específica
&lt;&lt; Seleccionar&gt;&gt;]])</f>
        <v>#N/A</v>
      </c>
      <c r="D715" s="328" t="e">
        <f>VLOOKUP(Tabla18[[#This Row],[Aux_01]],TablaSubAccionEspecifica[[#All],[Concat]:[Cod_Sub_acción_especifica]],2,0)</f>
        <v>#N/A</v>
      </c>
      <c r="E715" s="328" t="e">
        <f>Tabla18[[#This Row],[Bus_03]]&amp;"_"&amp;Tabla5[[#This Row],[Tipo de Agente
&lt;&lt; Seleccionar&gt;&gt;]]</f>
        <v>#N/A</v>
      </c>
      <c r="F715" s="328" t="e">
        <f>VLOOKUP(Tabla18[[#This Row],[Concat2]],TablaPOA[[#All],[Concat]:[ConcatEspecial]],3,0)</f>
        <v>#N/A</v>
      </c>
      <c r="G715" s="65" t="str">
        <f>CONCATENATE(Registro!$A$6,"_",Tabla5[[#This Row],[Zona (Provincia)
&lt;&lt; Seleccionar&gt;&gt;]])</f>
        <v>Huánuco_</v>
      </c>
      <c r="H715" s="60" t="e">
        <f>VLOOKUP(Tabla18[[#This Row],[Concatenado***]],Tabla2[[#All],[Concatenado]:[Simbología*]],2,0)</f>
        <v>#N/A</v>
      </c>
      <c r="I715" s="65" t="str">
        <f>CONCATENATE(Tabla18[[#This Row],[Concatenado***]],"_",Tabla5[[#This Row],[Zona (Distrito)
&lt;&lt; Seleccionar&gt;&gt;]])</f>
        <v>Huánuco__</v>
      </c>
      <c r="J7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5" s="72" t="e">
        <f>VLOOKUP(Tabla5[[#This Row],[Tipo de Transporte Empleado
&lt;&lt; Seleccionar&gt;&gt;]],Tabla8[#All],2,0)</f>
        <v>#N/A</v>
      </c>
      <c r="L715" s="71" t="e">
        <f>#REF!+(#REF!*2)+#REF!</f>
        <v>#REF!</v>
      </c>
    </row>
    <row r="716" spans="1:12" x14ac:dyDescent="0.25">
      <c r="A716" s="328" t="e">
        <f>VLOOKUP(Tabla5[[#This Row],[Acción
&lt;&lt; Seleccionar&gt;&gt;]],TablaAccion[[#All],[Nombre_Abreviado]:[Codigo_Plan_Acción]],3,0)</f>
        <v>#N/A</v>
      </c>
      <c r="B716" s="328" t="e">
        <f>VLOOKUP(Tabla5[[#This Row],[Acción Especifica
&lt;&lt; Seleccionar&gt;&gt;]],TablaAccionEspecifica[[#All],[Nombre_Abreviado]:[Codigo_Acción]],3,0)</f>
        <v>#N/A</v>
      </c>
      <c r="C716" s="328" t="e">
        <f>CONCATENATE(Tabla18[[#This Row],[Bus_02]],"_",Tabla5[[#This Row],[Sub Acción Específica
&lt;&lt; Seleccionar&gt;&gt;]])</f>
        <v>#N/A</v>
      </c>
      <c r="D716" s="328" t="e">
        <f>VLOOKUP(Tabla18[[#This Row],[Aux_01]],TablaSubAccionEspecifica[[#All],[Concat]:[Cod_Sub_acción_especifica]],2,0)</f>
        <v>#N/A</v>
      </c>
      <c r="E716" s="328" t="e">
        <f>Tabla18[[#This Row],[Bus_03]]&amp;"_"&amp;Tabla5[[#This Row],[Tipo de Agente
&lt;&lt; Seleccionar&gt;&gt;]]</f>
        <v>#N/A</v>
      </c>
      <c r="F716" s="328" t="e">
        <f>VLOOKUP(Tabla18[[#This Row],[Concat2]],TablaPOA[[#All],[Concat]:[ConcatEspecial]],3,0)</f>
        <v>#N/A</v>
      </c>
      <c r="G716" s="65" t="str">
        <f>CONCATENATE(Registro!$A$6,"_",Tabla5[[#This Row],[Zona (Provincia)
&lt;&lt; Seleccionar&gt;&gt;]])</f>
        <v>Huánuco_</v>
      </c>
      <c r="H716" s="60" t="e">
        <f>VLOOKUP(Tabla18[[#This Row],[Concatenado***]],Tabla2[[#All],[Concatenado]:[Simbología*]],2,0)</f>
        <v>#N/A</v>
      </c>
      <c r="I716" s="65" t="str">
        <f>CONCATENATE(Tabla18[[#This Row],[Concatenado***]],"_",Tabla5[[#This Row],[Zona (Distrito)
&lt;&lt; Seleccionar&gt;&gt;]])</f>
        <v>Huánuco__</v>
      </c>
      <c r="J7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6" s="72" t="e">
        <f>VLOOKUP(Tabla5[[#This Row],[Tipo de Transporte Empleado
&lt;&lt; Seleccionar&gt;&gt;]],Tabla8[#All],2,0)</f>
        <v>#N/A</v>
      </c>
      <c r="L716" s="71" t="e">
        <f>#REF!+(#REF!*2)+#REF!</f>
        <v>#REF!</v>
      </c>
    </row>
    <row r="717" spans="1:12" x14ac:dyDescent="0.25">
      <c r="A717" s="328" t="e">
        <f>VLOOKUP(Tabla5[[#This Row],[Acción
&lt;&lt; Seleccionar&gt;&gt;]],TablaAccion[[#All],[Nombre_Abreviado]:[Codigo_Plan_Acción]],3,0)</f>
        <v>#N/A</v>
      </c>
      <c r="B717" s="328" t="e">
        <f>VLOOKUP(Tabla5[[#This Row],[Acción Especifica
&lt;&lt; Seleccionar&gt;&gt;]],TablaAccionEspecifica[[#All],[Nombre_Abreviado]:[Codigo_Acción]],3,0)</f>
        <v>#N/A</v>
      </c>
      <c r="C717" s="328" t="e">
        <f>CONCATENATE(Tabla18[[#This Row],[Bus_02]],"_",Tabla5[[#This Row],[Sub Acción Específica
&lt;&lt; Seleccionar&gt;&gt;]])</f>
        <v>#N/A</v>
      </c>
      <c r="D717" s="328" t="e">
        <f>VLOOKUP(Tabla18[[#This Row],[Aux_01]],TablaSubAccionEspecifica[[#All],[Concat]:[Cod_Sub_acción_especifica]],2,0)</f>
        <v>#N/A</v>
      </c>
      <c r="E717" s="328" t="e">
        <f>Tabla18[[#This Row],[Bus_03]]&amp;"_"&amp;Tabla5[[#This Row],[Tipo de Agente
&lt;&lt; Seleccionar&gt;&gt;]]</f>
        <v>#N/A</v>
      </c>
      <c r="F717" s="328" t="e">
        <f>VLOOKUP(Tabla18[[#This Row],[Concat2]],TablaPOA[[#All],[Concat]:[ConcatEspecial]],3,0)</f>
        <v>#N/A</v>
      </c>
      <c r="G717" s="65" t="str">
        <f>CONCATENATE(Registro!$A$6,"_",Tabla5[[#This Row],[Zona (Provincia)
&lt;&lt; Seleccionar&gt;&gt;]])</f>
        <v>Huánuco_</v>
      </c>
      <c r="H717" s="60" t="e">
        <f>VLOOKUP(Tabla18[[#This Row],[Concatenado***]],Tabla2[[#All],[Concatenado]:[Simbología*]],2,0)</f>
        <v>#N/A</v>
      </c>
      <c r="I717" s="65" t="str">
        <f>CONCATENATE(Tabla18[[#This Row],[Concatenado***]],"_",Tabla5[[#This Row],[Zona (Distrito)
&lt;&lt; Seleccionar&gt;&gt;]])</f>
        <v>Huánuco__</v>
      </c>
      <c r="J7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7" s="72" t="e">
        <f>VLOOKUP(Tabla5[[#This Row],[Tipo de Transporte Empleado
&lt;&lt; Seleccionar&gt;&gt;]],Tabla8[#All],2,0)</f>
        <v>#N/A</v>
      </c>
      <c r="L717" s="71" t="e">
        <f>#REF!+(#REF!*2)+#REF!</f>
        <v>#REF!</v>
      </c>
    </row>
    <row r="718" spans="1:12" x14ac:dyDescent="0.25">
      <c r="A718" s="328" t="e">
        <f>VLOOKUP(Tabla5[[#This Row],[Acción
&lt;&lt; Seleccionar&gt;&gt;]],TablaAccion[[#All],[Nombre_Abreviado]:[Codigo_Plan_Acción]],3,0)</f>
        <v>#N/A</v>
      </c>
      <c r="B718" s="328" t="e">
        <f>VLOOKUP(Tabla5[[#This Row],[Acción Especifica
&lt;&lt; Seleccionar&gt;&gt;]],TablaAccionEspecifica[[#All],[Nombre_Abreviado]:[Codigo_Acción]],3,0)</f>
        <v>#N/A</v>
      </c>
      <c r="C718" s="328" t="e">
        <f>CONCATENATE(Tabla18[[#This Row],[Bus_02]],"_",Tabla5[[#This Row],[Sub Acción Específica
&lt;&lt; Seleccionar&gt;&gt;]])</f>
        <v>#N/A</v>
      </c>
      <c r="D718" s="328" t="e">
        <f>VLOOKUP(Tabla18[[#This Row],[Aux_01]],TablaSubAccionEspecifica[[#All],[Concat]:[Cod_Sub_acción_especifica]],2,0)</f>
        <v>#N/A</v>
      </c>
      <c r="E718" s="328" t="e">
        <f>Tabla18[[#This Row],[Bus_03]]&amp;"_"&amp;Tabla5[[#This Row],[Tipo de Agente
&lt;&lt; Seleccionar&gt;&gt;]]</f>
        <v>#N/A</v>
      </c>
      <c r="F718" s="328" t="e">
        <f>VLOOKUP(Tabla18[[#This Row],[Concat2]],TablaPOA[[#All],[Concat]:[ConcatEspecial]],3,0)</f>
        <v>#N/A</v>
      </c>
      <c r="G718" s="65" t="str">
        <f>CONCATENATE(Registro!$A$6,"_",Tabla5[[#This Row],[Zona (Provincia)
&lt;&lt; Seleccionar&gt;&gt;]])</f>
        <v>Huánuco_</v>
      </c>
      <c r="H718" s="60" t="e">
        <f>VLOOKUP(Tabla18[[#This Row],[Concatenado***]],Tabla2[[#All],[Concatenado]:[Simbología*]],2,0)</f>
        <v>#N/A</v>
      </c>
      <c r="I718" s="65" t="str">
        <f>CONCATENATE(Tabla18[[#This Row],[Concatenado***]],"_",Tabla5[[#This Row],[Zona (Distrito)
&lt;&lt; Seleccionar&gt;&gt;]])</f>
        <v>Huánuco__</v>
      </c>
      <c r="J7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8" s="72" t="e">
        <f>VLOOKUP(Tabla5[[#This Row],[Tipo de Transporte Empleado
&lt;&lt; Seleccionar&gt;&gt;]],Tabla8[#All],2,0)</f>
        <v>#N/A</v>
      </c>
      <c r="L718" s="71" t="e">
        <f>#REF!+(#REF!*2)+#REF!</f>
        <v>#REF!</v>
      </c>
    </row>
    <row r="719" spans="1:12" x14ac:dyDescent="0.25">
      <c r="A719" s="328" t="e">
        <f>VLOOKUP(Tabla5[[#This Row],[Acción
&lt;&lt; Seleccionar&gt;&gt;]],TablaAccion[[#All],[Nombre_Abreviado]:[Codigo_Plan_Acción]],3,0)</f>
        <v>#N/A</v>
      </c>
      <c r="B719" s="328" t="e">
        <f>VLOOKUP(Tabla5[[#This Row],[Acción Especifica
&lt;&lt; Seleccionar&gt;&gt;]],TablaAccionEspecifica[[#All],[Nombre_Abreviado]:[Codigo_Acción]],3,0)</f>
        <v>#N/A</v>
      </c>
      <c r="C719" s="328" t="e">
        <f>CONCATENATE(Tabla18[[#This Row],[Bus_02]],"_",Tabla5[[#This Row],[Sub Acción Específica
&lt;&lt; Seleccionar&gt;&gt;]])</f>
        <v>#N/A</v>
      </c>
      <c r="D719" s="328" t="e">
        <f>VLOOKUP(Tabla18[[#This Row],[Aux_01]],TablaSubAccionEspecifica[[#All],[Concat]:[Cod_Sub_acción_especifica]],2,0)</f>
        <v>#N/A</v>
      </c>
      <c r="E719" s="328" t="e">
        <f>Tabla18[[#This Row],[Bus_03]]&amp;"_"&amp;Tabla5[[#This Row],[Tipo de Agente
&lt;&lt; Seleccionar&gt;&gt;]]</f>
        <v>#N/A</v>
      </c>
      <c r="F719" s="328" t="e">
        <f>VLOOKUP(Tabla18[[#This Row],[Concat2]],TablaPOA[[#All],[Concat]:[ConcatEspecial]],3,0)</f>
        <v>#N/A</v>
      </c>
      <c r="G719" s="65" t="str">
        <f>CONCATENATE(Registro!$A$6,"_",Tabla5[[#This Row],[Zona (Provincia)
&lt;&lt; Seleccionar&gt;&gt;]])</f>
        <v>Huánuco_</v>
      </c>
      <c r="H719" s="60" t="e">
        <f>VLOOKUP(Tabla18[[#This Row],[Concatenado***]],Tabla2[[#All],[Concatenado]:[Simbología*]],2,0)</f>
        <v>#N/A</v>
      </c>
      <c r="I719" s="65" t="str">
        <f>CONCATENATE(Tabla18[[#This Row],[Concatenado***]],"_",Tabla5[[#This Row],[Zona (Distrito)
&lt;&lt; Seleccionar&gt;&gt;]])</f>
        <v>Huánuco__</v>
      </c>
      <c r="J7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9" s="72" t="e">
        <f>VLOOKUP(Tabla5[[#This Row],[Tipo de Transporte Empleado
&lt;&lt; Seleccionar&gt;&gt;]],Tabla8[#All],2,0)</f>
        <v>#N/A</v>
      </c>
      <c r="L719" s="71" t="e">
        <f>#REF!+(#REF!*2)+#REF!</f>
        <v>#REF!</v>
      </c>
    </row>
    <row r="720" spans="1:12" x14ac:dyDescent="0.25">
      <c r="A720" s="328" t="e">
        <f>VLOOKUP(Tabla5[[#This Row],[Acción
&lt;&lt; Seleccionar&gt;&gt;]],TablaAccion[[#All],[Nombre_Abreviado]:[Codigo_Plan_Acción]],3,0)</f>
        <v>#N/A</v>
      </c>
      <c r="B720" s="328" t="e">
        <f>VLOOKUP(Tabla5[[#This Row],[Acción Especifica
&lt;&lt; Seleccionar&gt;&gt;]],TablaAccionEspecifica[[#All],[Nombre_Abreviado]:[Codigo_Acción]],3,0)</f>
        <v>#N/A</v>
      </c>
      <c r="C720" s="328" t="e">
        <f>CONCATENATE(Tabla18[[#This Row],[Bus_02]],"_",Tabla5[[#This Row],[Sub Acción Específica
&lt;&lt; Seleccionar&gt;&gt;]])</f>
        <v>#N/A</v>
      </c>
      <c r="D720" s="328" t="e">
        <f>VLOOKUP(Tabla18[[#This Row],[Aux_01]],TablaSubAccionEspecifica[[#All],[Concat]:[Cod_Sub_acción_especifica]],2,0)</f>
        <v>#N/A</v>
      </c>
      <c r="E720" s="328" t="e">
        <f>Tabla18[[#This Row],[Bus_03]]&amp;"_"&amp;Tabla5[[#This Row],[Tipo de Agente
&lt;&lt; Seleccionar&gt;&gt;]]</f>
        <v>#N/A</v>
      </c>
      <c r="F720" s="328" t="e">
        <f>VLOOKUP(Tabla18[[#This Row],[Concat2]],TablaPOA[[#All],[Concat]:[ConcatEspecial]],3,0)</f>
        <v>#N/A</v>
      </c>
      <c r="G720" s="65" t="str">
        <f>CONCATENATE(Registro!$A$6,"_",Tabla5[[#This Row],[Zona (Provincia)
&lt;&lt; Seleccionar&gt;&gt;]])</f>
        <v>Huánuco_</v>
      </c>
      <c r="H720" s="60" t="e">
        <f>VLOOKUP(Tabla18[[#This Row],[Concatenado***]],Tabla2[[#All],[Concatenado]:[Simbología*]],2,0)</f>
        <v>#N/A</v>
      </c>
      <c r="I720" s="65" t="str">
        <f>CONCATENATE(Tabla18[[#This Row],[Concatenado***]],"_",Tabla5[[#This Row],[Zona (Distrito)
&lt;&lt; Seleccionar&gt;&gt;]])</f>
        <v>Huánuco__</v>
      </c>
      <c r="J7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0" s="72" t="e">
        <f>VLOOKUP(Tabla5[[#This Row],[Tipo de Transporte Empleado
&lt;&lt; Seleccionar&gt;&gt;]],Tabla8[#All],2,0)</f>
        <v>#N/A</v>
      </c>
      <c r="L720" s="71" t="e">
        <f>#REF!+(#REF!*2)+#REF!</f>
        <v>#REF!</v>
      </c>
    </row>
    <row r="721" spans="1:12" x14ac:dyDescent="0.25">
      <c r="A721" s="328" t="e">
        <f>VLOOKUP(Tabla5[[#This Row],[Acción
&lt;&lt; Seleccionar&gt;&gt;]],TablaAccion[[#All],[Nombre_Abreviado]:[Codigo_Plan_Acción]],3,0)</f>
        <v>#N/A</v>
      </c>
      <c r="B721" s="328" t="e">
        <f>VLOOKUP(Tabla5[[#This Row],[Acción Especifica
&lt;&lt; Seleccionar&gt;&gt;]],TablaAccionEspecifica[[#All],[Nombre_Abreviado]:[Codigo_Acción]],3,0)</f>
        <v>#N/A</v>
      </c>
      <c r="C721" s="328" t="e">
        <f>CONCATENATE(Tabla18[[#This Row],[Bus_02]],"_",Tabla5[[#This Row],[Sub Acción Específica
&lt;&lt; Seleccionar&gt;&gt;]])</f>
        <v>#N/A</v>
      </c>
      <c r="D721" s="328" t="e">
        <f>VLOOKUP(Tabla18[[#This Row],[Aux_01]],TablaSubAccionEspecifica[[#All],[Concat]:[Cod_Sub_acción_especifica]],2,0)</f>
        <v>#N/A</v>
      </c>
      <c r="E721" s="328" t="e">
        <f>Tabla18[[#This Row],[Bus_03]]&amp;"_"&amp;Tabla5[[#This Row],[Tipo de Agente
&lt;&lt; Seleccionar&gt;&gt;]]</f>
        <v>#N/A</v>
      </c>
      <c r="F721" s="328" t="e">
        <f>VLOOKUP(Tabla18[[#This Row],[Concat2]],TablaPOA[[#All],[Concat]:[ConcatEspecial]],3,0)</f>
        <v>#N/A</v>
      </c>
      <c r="G721" s="65" t="str">
        <f>CONCATENATE(Registro!$A$6,"_",Tabla5[[#This Row],[Zona (Provincia)
&lt;&lt; Seleccionar&gt;&gt;]])</f>
        <v>Huánuco_</v>
      </c>
      <c r="H721" s="60" t="e">
        <f>VLOOKUP(Tabla18[[#This Row],[Concatenado***]],Tabla2[[#All],[Concatenado]:[Simbología*]],2,0)</f>
        <v>#N/A</v>
      </c>
      <c r="I721" s="65" t="str">
        <f>CONCATENATE(Tabla18[[#This Row],[Concatenado***]],"_",Tabla5[[#This Row],[Zona (Distrito)
&lt;&lt; Seleccionar&gt;&gt;]])</f>
        <v>Huánuco__</v>
      </c>
      <c r="J7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1" s="72" t="e">
        <f>VLOOKUP(Tabla5[[#This Row],[Tipo de Transporte Empleado
&lt;&lt; Seleccionar&gt;&gt;]],Tabla8[#All],2,0)</f>
        <v>#N/A</v>
      </c>
      <c r="L721" s="71" t="e">
        <f>#REF!+(#REF!*2)+#REF!</f>
        <v>#REF!</v>
      </c>
    </row>
    <row r="722" spans="1:12" x14ac:dyDescent="0.25">
      <c r="A722" s="328" t="e">
        <f>VLOOKUP(Tabla5[[#This Row],[Acción
&lt;&lt; Seleccionar&gt;&gt;]],TablaAccion[[#All],[Nombre_Abreviado]:[Codigo_Plan_Acción]],3,0)</f>
        <v>#N/A</v>
      </c>
      <c r="B722" s="328" t="e">
        <f>VLOOKUP(Tabla5[[#This Row],[Acción Especifica
&lt;&lt; Seleccionar&gt;&gt;]],TablaAccionEspecifica[[#All],[Nombre_Abreviado]:[Codigo_Acción]],3,0)</f>
        <v>#N/A</v>
      </c>
      <c r="C722" s="328" t="e">
        <f>CONCATENATE(Tabla18[[#This Row],[Bus_02]],"_",Tabla5[[#This Row],[Sub Acción Específica
&lt;&lt; Seleccionar&gt;&gt;]])</f>
        <v>#N/A</v>
      </c>
      <c r="D722" s="328" t="e">
        <f>VLOOKUP(Tabla18[[#This Row],[Aux_01]],TablaSubAccionEspecifica[[#All],[Concat]:[Cod_Sub_acción_especifica]],2,0)</f>
        <v>#N/A</v>
      </c>
      <c r="E722" s="328" t="e">
        <f>Tabla18[[#This Row],[Bus_03]]&amp;"_"&amp;Tabla5[[#This Row],[Tipo de Agente
&lt;&lt; Seleccionar&gt;&gt;]]</f>
        <v>#N/A</v>
      </c>
      <c r="F722" s="328" t="e">
        <f>VLOOKUP(Tabla18[[#This Row],[Concat2]],TablaPOA[[#All],[Concat]:[ConcatEspecial]],3,0)</f>
        <v>#N/A</v>
      </c>
      <c r="G722" s="65" t="str">
        <f>CONCATENATE(Registro!$A$6,"_",Tabla5[[#This Row],[Zona (Provincia)
&lt;&lt; Seleccionar&gt;&gt;]])</f>
        <v>Huánuco_</v>
      </c>
      <c r="H722" s="60" t="e">
        <f>VLOOKUP(Tabla18[[#This Row],[Concatenado***]],Tabla2[[#All],[Concatenado]:[Simbología*]],2,0)</f>
        <v>#N/A</v>
      </c>
      <c r="I722" s="65" t="str">
        <f>CONCATENATE(Tabla18[[#This Row],[Concatenado***]],"_",Tabla5[[#This Row],[Zona (Distrito)
&lt;&lt; Seleccionar&gt;&gt;]])</f>
        <v>Huánuco__</v>
      </c>
      <c r="J7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2" s="72" t="e">
        <f>VLOOKUP(Tabla5[[#This Row],[Tipo de Transporte Empleado
&lt;&lt; Seleccionar&gt;&gt;]],Tabla8[#All],2,0)</f>
        <v>#N/A</v>
      </c>
      <c r="L722" s="71" t="e">
        <f>#REF!+(#REF!*2)+#REF!</f>
        <v>#REF!</v>
      </c>
    </row>
    <row r="723" spans="1:12" x14ac:dyDescent="0.25">
      <c r="A723" s="328" t="e">
        <f>VLOOKUP(Tabla5[[#This Row],[Acción
&lt;&lt; Seleccionar&gt;&gt;]],TablaAccion[[#All],[Nombre_Abreviado]:[Codigo_Plan_Acción]],3,0)</f>
        <v>#N/A</v>
      </c>
      <c r="B723" s="328" t="e">
        <f>VLOOKUP(Tabla5[[#This Row],[Acción Especifica
&lt;&lt; Seleccionar&gt;&gt;]],TablaAccionEspecifica[[#All],[Nombre_Abreviado]:[Codigo_Acción]],3,0)</f>
        <v>#N/A</v>
      </c>
      <c r="C723" s="328" t="e">
        <f>CONCATENATE(Tabla18[[#This Row],[Bus_02]],"_",Tabla5[[#This Row],[Sub Acción Específica
&lt;&lt; Seleccionar&gt;&gt;]])</f>
        <v>#N/A</v>
      </c>
      <c r="D723" s="328" t="e">
        <f>VLOOKUP(Tabla18[[#This Row],[Aux_01]],TablaSubAccionEspecifica[[#All],[Concat]:[Cod_Sub_acción_especifica]],2,0)</f>
        <v>#N/A</v>
      </c>
      <c r="E723" s="328" t="e">
        <f>Tabla18[[#This Row],[Bus_03]]&amp;"_"&amp;Tabla5[[#This Row],[Tipo de Agente
&lt;&lt; Seleccionar&gt;&gt;]]</f>
        <v>#N/A</v>
      </c>
      <c r="F723" s="328" t="e">
        <f>VLOOKUP(Tabla18[[#This Row],[Concat2]],TablaPOA[[#All],[Concat]:[ConcatEspecial]],3,0)</f>
        <v>#N/A</v>
      </c>
      <c r="G723" s="65" t="str">
        <f>CONCATENATE(Registro!$A$6,"_",Tabla5[[#This Row],[Zona (Provincia)
&lt;&lt; Seleccionar&gt;&gt;]])</f>
        <v>Huánuco_</v>
      </c>
      <c r="H723" s="60" t="e">
        <f>VLOOKUP(Tabla18[[#This Row],[Concatenado***]],Tabla2[[#All],[Concatenado]:[Simbología*]],2,0)</f>
        <v>#N/A</v>
      </c>
      <c r="I723" s="65" t="str">
        <f>CONCATENATE(Tabla18[[#This Row],[Concatenado***]],"_",Tabla5[[#This Row],[Zona (Distrito)
&lt;&lt; Seleccionar&gt;&gt;]])</f>
        <v>Huánuco__</v>
      </c>
      <c r="J7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3" s="72" t="e">
        <f>VLOOKUP(Tabla5[[#This Row],[Tipo de Transporte Empleado
&lt;&lt; Seleccionar&gt;&gt;]],Tabla8[#All],2,0)</f>
        <v>#N/A</v>
      </c>
      <c r="L723" s="71" t="e">
        <f>#REF!+(#REF!*2)+#REF!</f>
        <v>#REF!</v>
      </c>
    </row>
    <row r="724" spans="1:12" x14ac:dyDescent="0.25">
      <c r="A724" s="328" t="e">
        <f>VLOOKUP(Tabla5[[#This Row],[Acción
&lt;&lt; Seleccionar&gt;&gt;]],TablaAccion[[#All],[Nombre_Abreviado]:[Codigo_Plan_Acción]],3,0)</f>
        <v>#N/A</v>
      </c>
      <c r="B724" s="328" t="e">
        <f>VLOOKUP(Tabla5[[#This Row],[Acción Especifica
&lt;&lt; Seleccionar&gt;&gt;]],TablaAccionEspecifica[[#All],[Nombre_Abreviado]:[Codigo_Acción]],3,0)</f>
        <v>#N/A</v>
      </c>
      <c r="C724" s="328" t="e">
        <f>CONCATENATE(Tabla18[[#This Row],[Bus_02]],"_",Tabla5[[#This Row],[Sub Acción Específica
&lt;&lt; Seleccionar&gt;&gt;]])</f>
        <v>#N/A</v>
      </c>
      <c r="D724" s="328" t="e">
        <f>VLOOKUP(Tabla18[[#This Row],[Aux_01]],TablaSubAccionEspecifica[[#All],[Concat]:[Cod_Sub_acción_especifica]],2,0)</f>
        <v>#N/A</v>
      </c>
      <c r="E724" s="328" t="e">
        <f>Tabla18[[#This Row],[Bus_03]]&amp;"_"&amp;Tabla5[[#This Row],[Tipo de Agente
&lt;&lt; Seleccionar&gt;&gt;]]</f>
        <v>#N/A</v>
      </c>
      <c r="F724" s="328" t="e">
        <f>VLOOKUP(Tabla18[[#This Row],[Concat2]],TablaPOA[[#All],[Concat]:[ConcatEspecial]],3,0)</f>
        <v>#N/A</v>
      </c>
      <c r="G724" s="65" t="str">
        <f>CONCATENATE(Registro!$A$6,"_",Tabla5[[#This Row],[Zona (Provincia)
&lt;&lt; Seleccionar&gt;&gt;]])</f>
        <v>Huánuco_</v>
      </c>
      <c r="H724" s="60" t="e">
        <f>VLOOKUP(Tabla18[[#This Row],[Concatenado***]],Tabla2[[#All],[Concatenado]:[Simbología*]],2,0)</f>
        <v>#N/A</v>
      </c>
      <c r="I724" s="65" t="str">
        <f>CONCATENATE(Tabla18[[#This Row],[Concatenado***]],"_",Tabla5[[#This Row],[Zona (Distrito)
&lt;&lt; Seleccionar&gt;&gt;]])</f>
        <v>Huánuco__</v>
      </c>
      <c r="J7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4" s="72" t="e">
        <f>VLOOKUP(Tabla5[[#This Row],[Tipo de Transporte Empleado
&lt;&lt; Seleccionar&gt;&gt;]],Tabla8[#All],2,0)</f>
        <v>#N/A</v>
      </c>
      <c r="L724" s="71" t="e">
        <f>#REF!+(#REF!*2)+#REF!</f>
        <v>#REF!</v>
      </c>
    </row>
    <row r="725" spans="1:12" x14ac:dyDescent="0.25">
      <c r="A725" s="328" t="e">
        <f>VLOOKUP(Tabla5[[#This Row],[Acción
&lt;&lt; Seleccionar&gt;&gt;]],TablaAccion[[#All],[Nombre_Abreviado]:[Codigo_Plan_Acción]],3,0)</f>
        <v>#N/A</v>
      </c>
      <c r="B725" s="328" t="e">
        <f>VLOOKUP(Tabla5[[#This Row],[Acción Especifica
&lt;&lt; Seleccionar&gt;&gt;]],TablaAccionEspecifica[[#All],[Nombre_Abreviado]:[Codigo_Acción]],3,0)</f>
        <v>#N/A</v>
      </c>
      <c r="C725" s="328" t="e">
        <f>CONCATENATE(Tabla18[[#This Row],[Bus_02]],"_",Tabla5[[#This Row],[Sub Acción Específica
&lt;&lt; Seleccionar&gt;&gt;]])</f>
        <v>#N/A</v>
      </c>
      <c r="D725" s="328" t="e">
        <f>VLOOKUP(Tabla18[[#This Row],[Aux_01]],TablaSubAccionEspecifica[[#All],[Concat]:[Cod_Sub_acción_especifica]],2,0)</f>
        <v>#N/A</v>
      </c>
      <c r="E725" s="328" t="e">
        <f>Tabla18[[#This Row],[Bus_03]]&amp;"_"&amp;Tabla5[[#This Row],[Tipo de Agente
&lt;&lt; Seleccionar&gt;&gt;]]</f>
        <v>#N/A</v>
      </c>
      <c r="F725" s="328" t="e">
        <f>VLOOKUP(Tabla18[[#This Row],[Concat2]],TablaPOA[[#All],[Concat]:[ConcatEspecial]],3,0)</f>
        <v>#N/A</v>
      </c>
      <c r="G725" s="65" t="str">
        <f>CONCATENATE(Registro!$A$6,"_",Tabla5[[#This Row],[Zona (Provincia)
&lt;&lt; Seleccionar&gt;&gt;]])</f>
        <v>Huánuco_</v>
      </c>
      <c r="H725" s="60" t="e">
        <f>VLOOKUP(Tabla18[[#This Row],[Concatenado***]],Tabla2[[#All],[Concatenado]:[Simbología*]],2,0)</f>
        <v>#N/A</v>
      </c>
      <c r="I725" s="65" t="str">
        <f>CONCATENATE(Tabla18[[#This Row],[Concatenado***]],"_",Tabla5[[#This Row],[Zona (Distrito)
&lt;&lt; Seleccionar&gt;&gt;]])</f>
        <v>Huánuco__</v>
      </c>
      <c r="J7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5" s="72" t="e">
        <f>VLOOKUP(Tabla5[[#This Row],[Tipo de Transporte Empleado
&lt;&lt; Seleccionar&gt;&gt;]],Tabla8[#All],2,0)</f>
        <v>#N/A</v>
      </c>
      <c r="L725" s="71" t="e">
        <f>#REF!+(#REF!*2)+#REF!</f>
        <v>#REF!</v>
      </c>
    </row>
    <row r="726" spans="1:12" x14ac:dyDescent="0.25">
      <c r="A726" s="328" t="e">
        <f>VLOOKUP(Tabla5[[#This Row],[Acción
&lt;&lt; Seleccionar&gt;&gt;]],TablaAccion[[#All],[Nombre_Abreviado]:[Codigo_Plan_Acción]],3,0)</f>
        <v>#N/A</v>
      </c>
      <c r="B726" s="328" t="e">
        <f>VLOOKUP(Tabla5[[#This Row],[Acción Especifica
&lt;&lt; Seleccionar&gt;&gt;]],TablaAccionEspecifica[[#All],[Nombre_Abreviado]:[Codigo_Acción]],3,0)</f>
        <v>#N/A</v>
      </c>
      <c r="C726" s="328" t="e">
        <f>CONCATENATE(Tabla18[[#This Row],[Bus_02]],"_",Tabla5[[#This Row],[Sub Acción Específica
&lt;&lt; Seleccionar&gt;&gt;]])</f>
        <v>#N/A</v>
      </c>
      <c r="D726" s="328" t="e">
        <f>VLOOKUP(Tabla18[[#This Row],[Aux_01]],TablaSubAccionEspecifica[[#All],[Concat]:[Cod_Sub_acción_especifica]],2,0)</f>
        <v>#N/A</v>
      </c>
      <c r="E726" s="328" t="e">
        <f>Tabla18[[#This Row],[Bus_03]]&amp;"_"&amp;Tabla5[[#This Row],[Tipo de Agente
&lt;&lt; Seleccionar&gt;&gt;]]</f>
        <v>#N/A</v>
      </c>
      <c r="F726" s="328" t="e">
        <f>VLOOKUP(Tabla18[[#This Row],[Concat2]],TablaPOA[[#All],[Concat]:[ConcatEspecial]],3,0)</f>
        <v>#N/A</v>
      </c>
      <c r="G726" s="65" t="str">
        <f>CONCATENATE(Registro!$A$6,"_",Tabla5[[#This Row],[Zona (Provincia)
&lt;&lt; Seleccionar&gt;&gt;]])</f>
        <v>Huánuco_</v>
      </c>
      <c r="H726" s="60" t="e">
        <f>VLOOKUP(Tabla18[[#This Row],[Concatenado***]],Tabla2[[#All],[Concatenado]:[Simbología*]],2,0)</f>
        <v>#N/A</v>
      </c>
      <c r="I726" s="65" t="str">
        <f>CONCATENATE(Tabla18[[#This Row],[Concatenado***]],"_",Tabla5[[#This Row],[Zona (Distrito)
&lt;&lt; Seleccionar&gt;&gt;]])</f>
        <v>Huánuco__</v>
      </c>
      <c r="J7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6" s="72" t="e">
        <f>VLOOKUP(Tabla5[[#This Row],[Tipo de Transporte Empleado
&lt;&lt; Seleccionar&gt;&gt;]],Tabla8[#All],2,0)</f>
        <v>#N/A</v>
      </c>
      <c r="L726" s="71" t="e">
        <f>#REF!+(#REF!*2)+#REF!</f>
        <v>#REF!</v>
      </c>
    </row>
    <row r="727" spans="1:12" x14ac:dyDescent="0.25">
      <c r="A727" s="328" t="e">
        <f>VLOOKUP(Tabla5[[#This Row],[Acción
&lt;&lt; Seleccionar&gt;&gt;]],TablaAccion[[#All],[Nombre_Abreviado]:[Codigo_Plan_Acción]],3,0)</f>
        <v>#N/A</v>
      </c>
      <c r="B727" s="328" t="e">
        <f>VLOOKUP(Tabla5[[#This Row],[Acción Especifica
&lt;&lt; Seleccionar&gt;&gt;]],TablaAccionEspecifica[[#All],[Nombre_Abreviado]:[Codigo_Acción]],3,0)</f>
        <v>#N/A</v>
      </c>
      <c r="C727" s="328" t="e">
        <f>CONCATENATE(Tabla18[[#This Row],[Bus_02]],"_",Tabla5[[#This Row],[Sub Acción Específica
&lt;&lt; Seleccionar&gt;&gt;]])</f>
        <v>#N/A</v>
      </c>
      <c r="D727" s="328" t="e">
        <f>VLOOKUP(Tabla18[[#This Row],[Aux_01]],TablaSubAccionEspecifica[[#All],[Concat]:[Cod_Sub_acción_especifica]],2,0)</f>
        <v>#N/A</v>
      </c>
      <c r="E727" s="328" t="e">
        <f>Tabla18[[#This Row],[Bus_03]]&amp;"_"&amp;Tabla5[[#This Row],[Tipo de Agente
&lt;&lt; Seleccionar&gt;&gt;]]</f>
        <v>#N/A</v>
      </c>
      <c r="F727" s="328" t="e">
        <f>VLOOKUP(Tabla18[[#This Row],[Concat2]],TablaPOA[[#All],[Concat]:[ConcatEspecial]],3,0)</f>
        <v>#N/A</v>
      </c>
      <c r="G727" s="65" t="str">
        <f>CONCATENATE(Registro!$A$6,"_",Tabla5[[#This Row],[Zona (Provincia)
&lt;&lt; Seleccionar&gt;&gt;]])</f>
        <v>Huánuco_</v>
      </c>
      <c r="H727" s="60" t="e">
        <f>VLOOKUP(Tabla18[[#This Row],[Concatenado***]],Tabla2[[#All],[Concatenado]:[Simbología*]],2,0)</f>
        <v>#N/A</v>
      </c>
      <c r="I727" s="65" t="str">
        <f>CONCATENATE(Tabla18[[#This Row],[Concatenado***]],"_",Tabla5[[#This Row],[Zona (Distrito)
&lt;&lt; Seleccionar&gt;&gt;]])</f>
        <v>Huánuco__</v>
      </c>
      <c r="J7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7" s="72" t="e">
        <f>VLOOKUP(Tabla5[[#This Row],[Tipo de Transporte Empleado
&lt;&lt; Seleccionar&gt;&gt;]],Tabla8[#All],2,0)</f>
        <v>#N/A</v>
      </c>
      <c r="L727" s="71" t="e">
        <f>#REF!+(#REF!*2)+#REF!</f>
        <v>#REF!</v>
      </c>
    </row>
    <row r="728" spans="1:12" x14ac:dyDescent="0.25">
      <c r="A728" s="328" t="e">
        <f>VLOOKUP(Tabla5[[#This Row],[Acción
&lt;&lt; Seleccionar&gt;&gt;]],TablaAccion[[#All],[Nombre_Abreviado]:[Codigo_Plan_Acción]],3,0)</f>
        <v>#N/A</v>
      </c>
      <c r="B728" s="328" t="e">
        <f>VLOOKUP(Tabla5[[#This Row],[Acción Especifica
&lt;&lt; Seleccionar&gt;&gt;]],TablaAccionEspecifica[[#All],[Nombre_Abreviado]:[Codigo_Acción]],3,0)</f>
        <v>#N/A</v>
      </c>
      <c r="C728" s="328" t="e">
        <f>CONCATENATE(Tabla18[[#This Row],[Bus_02]],"_",Tabla5[[#This Row],[Sub Acción Específica
&lt;&lt; Seleccionar&gt;&gt;]])</f>
        <v>#N/A</v>
      </c>
      <c r="D728" s="328" t="e">
        <f>VLOOKUP(Tabla18[[#This Row],[Aux_01]],TablaSubAccionEspecifica[[#All],[Concat]:[Cod_Sub_acción_especifica]],2,0)</f>
        <v>#N/A</v>
      </c>
      <c r="E728" s="328" t="e">
        <f>Tabla18[[#This Row],[Bus_03]]&amp;"_"&amp;Tabla5[[#This Row],[Tipo de Agente
&lt;&lt; Seleccionar&gt;&gt;]]</f>
        <v>#N/A</v>
      </c>
      <c r="F728" s="328" t="e">
        <f>VLOOKUP(Tabla18[[#This Row],[Concat2]],TablaPOA[[#All],[Concat]:[ConcatEspecial]],3,0)</f>
        <v>#N/A</v>
      </c>
      <c r="G728" s="65" t="str">
        <f>CONCATENATE(Registro!$A$6,"_",Tabla5[[#This Row],[Zona (Provincia)
&lt;&lt; Seleccionar&gt;&gt;]])</f>
        <v>Huánuco_</v>
      </c>
      <c r="H728" s="60" t="e">
        <f>VLOOKUP(Tabla18[[#This Row],[Concatenado***]],Tabla2[[#All],[Concatenado]:[Simbología*]],2,0)</f>
        <v>#N/A</v>
      </c>
      <c r="I728" s="65" t="str">
        <f>CONCATENATE(Tabla18[[#This Row],[Concatenado***]],"_",Tabla5[[#This Row],[Zona (Distrito)
&lt;&lt; Seleccionar&gt;&gt;]])</f>
        <v>Huánuco__</v>
      </c>
      <c r="J7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8" s="72" t="e">
        <f>VLOOKUP(Tabla5[[#This Row],[Tipo de Transporte Empleado
&lt;&lt; Seleccionar&gt;&gt;]],Tabla8[#All],2,0)</f>
        <v>#N/A</v>
      </c>
      <c r="L728" s="71" t="e">
        <f>#REF!+(#REF!*2)+#REF!</f>
        <v>#REF!</v>
      </c>
    </row>
    <row r="729" spans="1:12" x14ac:dyDescent="0.25">
      <c r="A729" s="328" t="e">
        <f>VLOOKUP(Tabla5[[#This Row],[Acción
&lt;&lt; Seleccionar&gt;&gt;]],TablaAccion[[#All],[Nombre_Abreviado]:[Codigo_Plan_Acción]],3,0)</f>
        <v>#N/A</v>
      </c>
      <c r="B729" s="328" t="e">
        <f>VLOOKUP(Tabla5[[#This Row],[Acción Especifica
&lt;&lt; Seleccionar&gt;&gt;]],TablaAccionEspecifica[[#All],[Nombre_Abreviado]:[Codigo_Acción]],3,0)</f>
        <v>#N/A</v>
      </c>
      <c r="C729" s="328" t="e">
        <f>CONCATENATE(Tabla18[[#This Row],[Bus_02]],"_",Tabla5[[#This Row],[Sub Acción Específica
&lt;&lt; Seleccionar&gt;&gt;]])</f>
        <v>#N/A</v>
      </c>
      <c r="D729" s="328" t="e">
        <f>VLOOKUP(Tabla18[[#This Row],[Aux_01]],TablaSubAccionEspecifica[[#All],[Concat]:[Cod_Sub_acción_especifica]],2,0)</f>
        <v>#N/A</v>
      </c>
      <c r="E729" s="328" t="e">
        <f>Tabla18[[#This Row],[Bus_03]]&amp;"_"&amp;Tabla5[[#This Row],[Tipo de Agente
&lt;&lt; Seleccionar&gt;&gt;]]</f>
        <v>#N/A</v>
      </c>
      <c r="F729" s="328" t="e">
        <f>VLOOKUP(Tabla18[[#This Row],[Concat2]],TablaPOA[[#All],[Concat]:[ConcatEspecial]],3,0)</f>
        <v>#N/A</v>
      </c>
      <c r="G729" s="65" t="str">
        <f>CONCATENATE(Registro!$A$6,"_",Tabla5[[#This Row],[Zona (Provincia)
&lt;&lt; Seleccionar&gt;&gt;]])</f>
        <v>Huánuco_</v>
      </c>
      <c r="H729" s="60" t="e">
        <f>VLOOKUP(Tabla18[[#This Row],[Concatenado***]],Tabla2[[#All],[Concatenado]:[Simbología*]],2,0)</f>
        <v>#N/A</v>
      </c>
      <c r="I729" s="65" t="str">
        <f>CONCATENATE(Tabla18[[#This Row],[Concatenado***]],"_",Tabla5[[#This Row],[Zona (Distrito)
&lt;&lt; Seleccionar&gt;&gt;]])</f>
        <v>Huánuco__</v>
      </c>
      <c r="J7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9" s="72" t="e">
        <f>VLOOKUP(Tabla5[[#This Row],[Tipo de Transporte Empleado
&lt;&lt; Seleccionar&gt;&gt;]],Tabla8[#All],2,0)</f>
        <v>#N/A</v>
      </c>
      <c r="L729" s="71" t="e">
        <f>#REF!+(#REF!*2)+#REF!</f>
        <v>#REF!</v>
      </c>
    </row>
    <row r="730" spans="1:12" x14ac:dyDescent="0.25">
      <c r="A730" s="328" t="e">
        <f>VLOOKUP(Tabla5[[#This Row],[Acción
&lt;&lt; Seleccionar&gt;&gt;]],TablaAccion[[#All],[Nombre_Abreviado]:[Codigo_Plan_Acción]],3,0)</f>
        <v>#N/A</v>
      </c>
      <c r="B730" s="328" t="e">
        <f>VLOOKUP(Tabla5[[#This Row],[Acción Especifica
&lt;&lt; Seleccionar&gt;&gt;]],TablaAccionEspecifica[[#All],[Nombre_Abreviado]:[Codigo_Acción]],3,0)</f>
        <v>#N/A</v>
      </c>
      <c r="C730" s="328" t="e">
        <f>CONCATENATE(Tabla18[[#This Row],[Bus_02]],"_",Tabla5[[#This Row],[Sub Acción Específica
&lt;&lt; Seleccionar&gt;&gt;]])</f>
        <v>#N/A</v>
      </c>
      <c r="D730" s="328" t="e">
        <f>VLOOKUP(Tabla18[[#This Row],[Aux_01]],TablaSubAccionEspecifica[[#All],[Concat]:[Cod_Sub_acción_especifica]],2,0)</f>
        <v>#N/A</v>
      </c>
      <c r="E730" s="328" t="e">
        <f>Tabla18[[#This Row],[Bus_03]]&amp;"_"&amp;Tabla5[[#This Row],[Tipo de Agente
&lt;&lt; Seleccionar&gt;&gt;]]</f>
        <v>#N/A</v>
      </c>
      <c r="F730" s="328" t="e">
        <f>VLOOKUP(Tabla18[[#This Row],[Concat2]],TablaPOA[[#All],[Concat]:[ConcatEspecial]],3,0)</f>
        <v>#N/A</v>
      </c>
      <c r="G730" s="65" t="str">
        <f>CONCATENATE(Registro!$A$6,"_",Tabla5[[#This Row],[Zona (Provincia)
&lt;&lt; Seleccionar&gt;&gt;]])</f>
        <v>Huánuco_</v>
      </c>
      <c r="H730" s="60" t="e">
        <f>VLOOKUP(Tabla18[[#This Row],[Concatenado***]],Tabla2[[#All],[Concatenado]:[Simbología*]],2,0)</f>
        <v>#N/A</v>
      </c>
      <c r="I730" s="65" t="str">
        <f>CONCATENATE(Tabla18[[#This Row],[Concatenado***]],"_",Tabla5[[#This Row],[Zona (Distrito)
&lt;&lt; Seleccionar&gt;&gt;]])</f>
        <v>Huánuco__</v>
      </c>
      <c r="J7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0" s="72" t="e">
        <f>VLOOKUP(Tabla5[[#This Row],[Tipo de Transporte Empleado
&lt;&lt; Seleccionar&gt;&gt;]],Tabla8[#All],2,0)</f>
        <v>#N/A</v>
      </c>
      <c r="L730" s="71" t="e">
        <f>#REF!+(#REF!*2)+#REF!</f>
        <v>#REF!</v>
      </c>
    </row>
    <row r="731" spans="1:12" x14ac:dyDescent="0.25">
      <c r="A731" s="328" t="e">
        <f>VLOOKUP(Tabla5[[#This Row],[Acción
&lt;&lt; Seleccionar&gt;&gt;]],TablaAccion[[#All],[Nombre_Abreviado]:[Codigo_Plan_Acción]],3,0)</f>
        <v>#N/A</v>
      </c>
      <c r="B731" s="328" t="e">
        <f>VLOOKUP(Tabla5[[#This Row],[Acción Especifica
&lt;&lt; Seleccionar&gt;&gt;]],TablaAccionEspecifica[[#All],[Nombre_Abreviado]:[Codigo_Acción]],3,0)</f>
        <v>#N/A</v>
      </c>
      <c r="C731" s="328" t="e">
        <f>CONCATENATE(Tabla18[[#This Row],[Bus_02]],"_",Tabla5[[#This Row],[Sub Acción Específica
&lt;&lt; Seleccionar&gt;&gt;]])</f>
        <v>#N/A</v>
      </c>
      <c r="D731" s="328" t="e">
        <f>VLOOKUP(Tabla18[[#This Row],[Aux_01]],TablaSubAccionEspecifica[[#All],[Concat]:[Cod_Sub_acción_especifica]],2,0)</f>
        <v>#N/A</v>
      </c>
      <c r="E731" s="328" t="e">
        <f>Tabla18[[#This Row],[Bus_03]]&amp;"_"&amp;Tabla5[[#This Row],[Tipo de Agente
&lt;&lt; Seleccionar&gt;&gt;]]</f>
        <v>#N/A</v>
      </c>
      <c r="F731" s="328" t="e">
        <f>VLOOKUP(Tabla18[[#This Row],[Concat2]],TablaPOA[[#All],[Concat]:[ConcatEspecial]],3,0)</f>
        <v>#N/A</v>
      </c>
      <c r="G731" s="65" t="str">
        <f>CONCATENATE(Registro!$A$6,"_",Tabla5[[#This Row],[Zona (Provincia)
&lt;&lt; Seleccionar&gt;&gt;]])</f>
        <v>Huánuco_</v>
      </c>
      <c r="H731" s="60" t="e">
        <f>VLOOKUP(Tabla18[[#This Row],[Concatenado***]],Tabla2[[#All],[Concatenado]:[Simbología*]],2,0)</f>
        <v>#N/A</v>
      </c>
      <c r="I731" s="65" t="str">
        <f>CONCATENATE(Tabla18[[#This Row],[Concatenado***]],"_",Tabla5[[#This Row],[Zona (Distrito)
&lt;&lt; Seleccionar&gt;&gt;]])</f>
        <v>Huánuco__</v>
      </c>
      <c r="J7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1" s="72" t="e">
        <f>VLOOKUP(Tabla5[[#This Row],[Tipo de Transporte Empleado
&lt;&lt; Seleccionar&gt;&gt;]],Tabla8[#All],2,0)</f>
        <v>#N/A</v>
      </c>
      <c r="L731" s="71" t="e">
        <f>#REF!+(#REF!*2)+#REF!</f>
        <v>#REF!</v>
      </c>
    </row>
    <row r="732" spans="1:12" x14ac:dyDescent="0.25">
      <c r="A732" s="328" t="e">
        <f>VLOOKUP(Tabla5[[#This Row],[Acción
&lt;&lt; Seleccionar&gt;&gt;]],TablaAccion[[#All],[Nombre_Abreviado]:[Codigo_Plan_Acción]],3,0)</f>
        <v>#N/A</v>
      </c>
      <c r="B732" s="328" t="e">
        <f>VLOOKUP(Tabla5[[#This Row],[Acción Especifica
&lt;&lt; Seleccionar&gt;&gt;]],TablaAccionEspecifica[[#All],[Nombre_Abreviado]:[Codigo_Acción]],3,0)</f>
        <v>#N/A</v>
      </c>
      <c r="C732" s="328" t="e">
        <f>CONCATENATE(Tabla18[[#This Row],[Bus_02]],"_",Tabla5[[#This Row],[Sub Acción Específica
&lt;&lt; Seleccionar&gt;&gt;]])</f>
        <v>#N/A</v>
      </c>
      <c r="D732" s="328" t="e">
        <f>VLOOKUP(Tabla18[[#This Row],[Aux_01]],TablaSubAccionEspecifica[[#All],[Concat]:[Cod_Sub_acción_especifica]],2,0)</f>
        <v>#N/A</v>
      </c>
      <c r="E732" s="328" t="e">
        <f>Tabla18[[#This Row],[Bus_03]]&amp;"_"&amp;Tabla5[[#This Row],[Tipo de Agente
&lt;&lt; Seleccionar&gt;&gt;]]</f>
        <v>#N/A</v>
      </c>
      <c r="F732" s="328" t="e">
        <f>VLOOKUP(Tabla18[[#This Row],[Concat2]],TablaPOA[[#All],[Concat]:[ConcatEspecial]],3,0)</f>
        <v>#N/A</v>
      </c>
      <c r="G732" s="65" t="str">
        <f>CONCATENATE(Registro!$A$6,"_",Tabla5[[#This Row],[Zona (Provincia)
&lt;&lt; Seleccionar&gt;&gt;]])</f>
        <v>Huánuco_</v>
      </c>
      <c r="H732" s="60" t="e">
        <f>VLOOKUP(Tabla18[[#This Row],[Concatenado***]],Tabla2[[#All],[Concatenado]:[Simbología*]],2,0)</f>
        <v>#N/A</v>
      </c>
      <c r="I732" s="65" t="str">
        <f>CONCATENATE(Tabla18[[#This Row],[Concatenado***]],"_",Tabla5[[#This Row],[Zona (Distrito)
&lt;&lt; Seleccionar&gt;&gt;]])</f>
        <v>Huánuco__</v>
      </c>
      <c r="J7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2" s="72" t="e">
        <f>VLOOKUP(Tabla5[[#This Row],[Tipo de Transporte Empleado
&lt;&lt; Seleccionar&gt;&gt;]],Tabla8[#All],2,0)</f>
        <v>#N/A</v>
      </c>
      <c r="L732" s="71" t="e">
        <f>#REF!+(#REF!*2)+#REF!</f>
        <v>#REF!</v>
      </c>
    </row>
    <row r="733" spans="1:12" x14ac:dyDescent="0.25">
      <c r="A733" s="328" t="e">
        <f>VLOOKUP(Tabla5[[#This Row],[Acción
&lt;&lt; Seleccionar&gt;&gt;]],TablaAccion[[#All],[Nombre_Abreviado]:[Codigo_Plan_Acción]],3,0)</f>
        <v>#N/A</v>
      </c>
      <c r="B733" s="328" t="e">
        <f>VLOOKUP(Tabla5[[#This Row],[Acción Especifica
&lt;&lt; Seleccionar&gt;&gt;]],TablaAccionEspecifica[[#All],[Nombre_Abreviado]:[Codigo_Acción]],3,0)</f>
        <v>#N/A</v>
      </c>
      <c r="C733" s="328" t="e">
        <f>CONCATENATE(Tabla18[[#This Row],[Bus_02]],"_",Tabla5[[#This Row],[Sub Acción Específica
&lt;&lt; Seleccionar&gt;&gt;]])</f>
        <v>#N/A</v>
      </c>
      <c r="D733" s="328" t="e">
        <f>VLOOKUP(Tabla18[[#This Row],[Aux_01]],TablaSubAccionEspecifica[[#All],[Concat]:[Cod_Sub_acción_especifica]],2,0)</f>
        <v>#N/A</v>
      </c>
      <c r="E733" s="328" t="e">
        <f>Tabla18[[#This Row],[Bus_03]]&amp;"_"&amp;Tabla5[[#This Row],[Tipo de Agente
&lt;&lt; Seleccionar&gt;&gt;]]</f>
        <v>#N/A</v>
      </c>
      <c r="F733" s="328" t="e">
        <f>VLOOKUP(Tabla18[[#This Row],[Concat2]],TablaPOA[[#All],[Concat]:[ConcatEspecial]],3,0)</f>
        <v>#N/A</v>
      </c>
      <c r="G733" s="65" t="str">
        <f>CONCATENATE(Registro!$A$6,"_",Tabla5[[#This Row],[Zona (Provincia)
&lt;&lt; Seleccionar&gt;&gt;]])</f>
        <v>Huánuco_</v>
      </c>
      <c r="H733" s="60" t="e">
        <f>VLOOKUP(Tabla18[[#This Row],[Concatenado***]],Tabla2[[#All],[Concatenado]:[Simbología*]],2,0)</f>
        <v>#N/A</v>
      </c>
      <c r="I733" s="65" t="str">
        <f>CONCATENATE(Tabla18[[#This Row],[Concatenado***]],"_",Tabla5[[#This Row],[Zona (Distrito)
&lt;&lt; Seleccionar&gt;&gt;]])</f>
        <v>Huánuco__</v>
      </c>
      <c r="J7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3" s="72" t="e">
        <f>VLOOKUP(Tabla5[[#This Row],[Tipo de Transporte Empleado
&lt;&lt; Seleccionar&gt;&gt;]],Tabla8[#All],2,0)</f>
        <v>#N/A</v>
      </c>
      <c r="L733" s="71" t="e">
        <f>#REF!+(#REF!*2)+#REF!</f>
        <v>#REF!</v>
      </c>
    </row>
    <row r="734" spans="1:12" x14ac:dyDescent="0.25">
      <c r="A734" s="328" t="e">
        <f>VLOOKUP(Tabla5[[#This Row],[Acción
&lt;&lt; Seleccionar&gt;&gt;]],TablaAccion[[#All],[Nombre_Abreviado]:[Codigo_Plan_Acción]],3,0)</f>
        <v>#N/A</v>
      </c>
      <c r="B734" s="328" t="e">
        <f>VLOOKUP(Tabla5[[#This Row],[Acción Especifica
&lt;&lt; Seleccionar&gt;&gt;]],TablaAccionEspecifica[[#All],[Nombre_Abreviado]:[Codigo_Acción]],3,0)</f>
        <v>#N/A</v>
      </c>
      <c r="C734" s="328" t="e">
        <f>CONCATENATE(Tabla18[[#This Row],[Bus_02]],"_",Tabla5[[#This Row],[Sub Acción Específica
&lt;&lt; Seleccionar&gt;&gt;]])</f>
        <v>#N/A</v>
      </c>
      <c r="D734" s="328" t="e">
        <f>VLOOKUP(Tabla18[[#This Row],[Aux_01]],TablaSubAccionEspecifica[[#All],[Concat]:[Cod_Sub_acción_especifica]],2,0)</f>
        <v>#N/A</v>
      </c>
      <c r="E734" s="328" t="e">
        <f>Tabla18[[#This Row],[Bus_03]]&amp;"_"&amp;Tabla5[[#This Row],[Tipo de Agente
&lt;&lt; Seleccionar&gt;&gt;]]</f>
        <v>#N/A</v>
      </c>
      <c r="F734" s="328" t="e">
        <f>VLOOKUP(Tabla18[[#This Row],[Concat2]],TablaPOA[[#All],[Concat]:[ConcatEspecial]],3,0)</f>
        <v>#N/A</v>
      </c>
      <c r="G734" s="65" t="str">
        <f>CONCATENATE(Registro!$A$6,"_",Tabla5[[#This Row],[Zona (Provincia)
&lt;&lt; Seleccionar&gt;&gt;]])</f>
        <v>Huánuco_</v>
      </c>
      <c r="H734" s="60" t="e">
        <f>VLOOKUP(Tabla18[[#This Row],[Concatenado***]],Tabla2[[#All],[Concatenado]:[Simbología*]],2,0)</f>
        <v>#N/A</v>
      </c>
      <c r="I734" s="65" t="str">
        <f>CONCATENATE(Tabla18[[#This Row],[Concatenado***]],"_",Tabla5[[#This Row],[Zona (Distrito)
&lt;&lt; Seleccionar&gt;&gt;]])</f>
        <v>Huánuco__</v>
      </c>
      <c r="J7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4" s="72" t="e">
        <f>VLOOKUP(Tabla5[[#This Row],[Tipo de Transporte Empleado
&lt;&lt; Seleccionar&gt;&gt;]],Tabla8[#All],2,0)</f>
        <v>#N/A</v>
      </c>
      <c r="L734" s="71" t="e">
        <f>#REF!+(#REF!*2)+#REF!</f>
        <v>#REF!</v>
      </c>
    </row>
    <row r="735" spans="1:12" x14ac:dyDescent="0.25">
      <c r="A735" s="328" t="e">
        <f>VLOOKUP(Tabla5[[#This Row],[Acción
&lt;&lt; Seleccionar&gt;&gt;]],TablaAccion[[#All],[Nombre_Abreviado]:[Codigo_Plan_Acción]],3,0)</f>
        <v>#N/A</v>
      </c>
      <c r="B735" s="328" t="e">
        <f>VLOOKUP(Tabla5[[#This Row],[Acción Especifica
&lt;&lt; Seleccionar&gt;&gt;]],TablaAccionEspecifica[[#All],[Nombre_Abreviado]:[Codigo_Acción]],3,0)</f>
        <v>#N/A</v>
      </c>
      <c r="C735" s="328" t="e">
        <f>CONCATENATE(Tabla18[[#This Row],[Bus_02]],"_",Tabla5[[#This Row],[Sub Acción Específica
&lt;&lt; Seleccionar&gt;&gt;]])</f>
        <v>#N/A</v>
      </c>
      <c r="D735" s="328" t="e">
        <f>VLOOKUP(Tabla18[[#This Row],[Aux_01]],TablaSubAccionEspecifica[[#All],[Concat]:[Cod_Sub_acción_especifica]],2,0)</f>
        <v>#N/A</v>
      </c>
      <c r="E735" s="328" t="e">
        <f>Tabla18[[#This Row],[Bus_03]]&amp;"_"&amp;Tabla5[[#This Row],[Tipo de Agente
&lt;&lt; Seleccionar&gt;&gt;]]</f>
        <v>#N/A</v>
      </c>
      <c r="F735" s="328" t="e">
        <f>VLOOKUP(Tabla18[[#This Row],[Concat2]],TablaPOA[[#All],[Concat]:[ConcatEspecial]],3,0)</f>
        <v>#N/A</v>
      </c>
      <c r="G735" s="65" t="str">
        <f>CONCATENATE(Registro!$A$6,"_",Tabla5[[#This Row],[Zona (Provincia)
&lt;&lt; Seleccionar&gt;&gt;]])</f>
        <v>Huánuco_</v>
      </c>
      <c r="H735" s="60" t="e">
        <f>VLOOKUP(Tabla18[[#This Row],[Concatenado***]],Tabla2[[#All],[Concatenado]:[Simbología*]],2,0)</f>
        <v>#N/A</v>
      </c>
      <c r="I735" s="65" t="str">
        <f>CONCATENATE(Tabla18[[#This Row],[Concatenado***]],"_",Tabla5[[#This Row],[Zona (Distrito)
&lt;&lt; Seleccionar&gt;&gt;]])</f>
        <v>Huánuco__</v>
      </c>
      <c r="J7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5" s="72" t="e">
        <f>VLOOKUP(Tabla5[[#This Row],[Tipo de Transporte Empleado
&lt;&lt; Seleccionar&gt;&gt;]],Tabla8[#All],2,0)</f>
        <v>#N/A</v>
      </c>
      <c r="L735" s="71" t="e">
        <f>#REF!+(#REF!*2)+#REF!</f>
        <v>#REF!</v>
      </c>
    </row>
    <row r="736" spans="1:12" x14ac:dyDescent="0.25">
      <c r="A736" s="328" t="e">
        <f>VLOOKUP(Tabla5[[#This Row],[Acción
&lt;&lt; Seleccionar&gt;&gt;]],TablaAccion[[#All],[Nombre_Abreviado]:[Codigo_Plan_Acción]],3,0)</f>
        <v>#N/A</v>
      </c>
      <c r="B736" s="328" t="e">
        <f>VLOOKUP(Tabla5[[#This Row],[Acción Especifica
&lt;&lt; Seleccionar&gt;&gt;]],TablaAccionEspecifica[[#All],[Nombre_Abreviado]:[Codigo_Acción]],3,0)</f>
        <v>#N/A</v>
      </c>
      <c r="C736" s="328" t="e">
        <f>CONCATENATE(Tabla18[[#This Row],[Bus_02]],"_",Tabla5[[#This Row],[Sub Acción Específica
&lt;&lt; Seleccionar&gt;&gt;]])</f>
        <v>#N/A</v>
      </c>
      <c r="D736" s="328" t="e">
        <f>VLOOKUP(Tabla18[[#This Row],[Aux_01]],TablaSubAccionEspecifica[[#All],[Concat]:[Cod_Sub_acción_especifica]],2,0)</f>
        <v>#N/A</v>
      </c>
      <c r="E736" s="328" t="e">
        <f>Tabla18[[#This Row],[Bus_03]]&amp;"_"&amp;Tabla5[[#This Row],[Tipo de Agente
&lt;&lt; Seleccionar&gt;&gt;]]</f>
        <v>#N/A</v>
      </c>
      <c r="F736" s="328" t="e">
        <f>VLOOKUP(Tabla18[[#This Row],[Concat2]],TablaPOA[[#All],[Concat]:[ConcatEspecial]],3,0)</f>
        <v>#N/A</v>
      </c>
      <c r="G736" s="65" t="str">
        <f>CONCATENATE(Registro!$A$6,"_",Tabla5[[#This Row],[Zona (Provincia)
&lt;&lt; Seleccionar&gt;&gt;]])</f>
        <v>Huánuco_</v>
      </c>
      <c r="H736" s="60" t="e">
        <f>VLOOKUP(Tabla18[[#This Row],[Concatenado***]],Tabla2[[#All],[Concatenado]:[Simbología*]],2,0)</f>
        <v>#N/A</v>
      </c>
      <c r="I736" s="65" t="str">
        <f>CONCATENATE(Tabla18[[#This Row],[Concatenado***]],"_",Tabla5[[#This Row],[Zona (Distrito)
&lt;&lt; Seleccionar&gt;&gt;]])</f>
        <v>Huánuco__</v>
      </c>
      <c r="J7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6" s="72" t="e">
        <f>VLOOKUP(Tabla5[[#This Row],[Tipo de Transporte Empleado
&lt;&lt; Seleccionar&gt;&gt;]],Tabla8[#All],2,0)</f>
        <v>#N/A</v>
      </c>
      <c r="L736" s="71" t="e">
        <f>#REF!+(#REF!*2)+#REF!</f>
        <v>#REF!</v>
      </c>
    </row>
    <row r="737" spans="1:12" x14ac:dyDescent="0.25">
      <c r="A737" s="328" t="e">
        <f>VLOOKUP(Tabla5[[#This Row],[Acción
&lt;&lt; Seleccionar&gt;&gt;]],TablaAccion[[#All],[Nombre_Abreviado]:[Codigo_Plan_Acción]],3,0)</f>
        <v>#N/A</v>
      </c>
      <c r="B737" s="328" t="e">
        <f>VLOOKUP(Tabla5[[#This Row],[Acción Especifica
&lt;&lt; Seleccionar&gt;&gt;]],TablaAccionEspecifica[[#All],[Nombre_Abreviado]:[Codigo_Acción]],3,0)</f>
        <v>#N/A</v>
      </c>
      <c r="C737" s="328" t="e">
        <f>CONCATENATE(Tabla18[[#This Row],[Bus_02]],"_",Tabla5[[#This Row],[Sub Acción Específica
&lt;&lt; Seleccionar&gt;&gt;]])</f>
        <v>#N/A</v>
      </c>
      <c r="D737" s="328" t="e">
        <f>VLOOKUP(Tabla18[[#This Row],[Aux_01]],TablaSubAccionEspecifica[[#All],[Concat]:[Cod_Sub_acción_especifica]],2,0)</f>
        <v>#N/A</v>
      </c>
      <c r="E737" s="328" t="e">
        <f>Tabla18[[#This Row],[Bus_03]]&amp;"_"&amp;Tabla5[[#This Row],[Tipo de Agente
&lt;&lt; Seleccionar&gt;&gt;]]</f>
        <v>#N/A</v>
      </c>
      <c r="F737" s="328" t="e">
        <f>VLOOKUP(Tabla18[[#This Row],[Concat2]],TablaPOA[[#All],[Concat]:[ConcatEspecial]],3,0)</f>
        <v>#N/A</v>
      </c>
      <c r="G737" s="65" t="str">
        <f>CONCATENATE(Registro!$A$6,"_",Tabla5[[#This Row],[Zona (Provincia)
&lt;&lt; Seleccionar&gt;&gt;]])</f>
        <v>Huánuco_</v>
      </c>
      <c r="H737" s="60" t="e">
        <f>VLOOKUP(Tabla18[[#This Row],[Concatenado***]],Tabla2[[#All],[Concatenado]:[Simbología*]],2,0)</f>
        <v>#N/A</v>
      </c>
      <c r="I737" s="65" t="str">
        <f>CONCATENATE(Tabla18[[#This Row],[Concatenado***]],"_",Tabla5[[#This Row],[Zona (Distrito)
&lt;&lt; Seleccionar&gt;&gt;]])</f>
        <v>Huánuco__</v>
      </c>
      <c r="J7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7" s="72" t="e">
        <f>VLOOKUP(Tabla5[[#This Row],[Tipo de Transporte Empleado
&lt;&lt; Seleccionar&gt;&gt;]],Tabla8[#All],2,0)</f>
        <v>#N/A</v>
      </c>
      <c r="L737" s="71" t="e">
        <f>#REF!+(#REF!*2)+#REF!</f>
        <v>#REF!</v>
      </c>
    </row>
    <row r="738" spans="1:12" x14ac:dyDescent="0.25">
      <c r="A738" s="328" t="e">
        <f>VLOOKUP(Tabla5[[#This Row],[Acción
&lt;&lt; Seleccionar&gt;&gt;]],TablaAccion[[#All],[Nombre_Abreviado]:[Codigo_Plan_Acción]],3,0)</f>
        <v>#N/A</v>
      </c>
      <c r="B738" s="328" t="e">
        <f>VLOOKUP(Tabla5[[#This Row],[Acción Especifica
&lt;&lt; Seleccionar&gt;&gt;]],TablaAccionEspecifica[[#All],[Nombre_Abreviado]:[Codigo_Acción]],3,0)</f>
        <v>#N/A</v>
      </c>
      <c r="C738" s="328" t="e">
        <f>CONCATENATE(Tabla18[[#This Row],[Bus_02]],"_",Tabla5[[#This Row],[Sub Acción Específica
&lt;&lt; Seleccionar&gt;&gt;]])</f>
        <v>#N/A</v>
      </c>
      <c r="D738" s="328" t="e">
        <f>VLOOKUP(Tabla18[[#This Row],[Aux_01]],TablaSubAccionEspecifica[[#All],[Concat]:[Cod_Sub_acción_especifica]],2,0)</f>
        <v>#N/A</v>
      </c>
      <c r="E738" s="328" t="e">
        <f>Tabla18[[#This Row],[Bus_03]]&amp;"_"&amp;Tabla5[[#This Row],[Tipo de Agente
&lt;&lt; Seleccionar&gt;&gt;]]</f>
        <v>#N/A</v>
      </c>
      <c r="F738" s="328" t="e">
        <f>VLOOKUP(Tabla18[[#This Row],[Concat2]],TablaPOA[[#All],[Concat]:[ConcatEspecial]],3,0)</f>
        <v>#N/A</v>
      </c>
      <c r="G738" s="65" t="str">
        <f>CONCATENATE(Registro!$A$6,"_",Tabla5[[#This Row],[Zona (Provincia)
&lt;&lt; Seleccionar&gt;&gt;]])</f>
        <v>Huánuco_</v>
      </c>
      <c r="H738" s="60" t="e">
        <f>VLOOKUP(Tabla18[[#This Row],[Concatenado***]],Tabla2[[#All],[Concatenado]:[Simbología*]],2,0)</f>
        <v>#N/A</v>
      </c>
      <c r="I738" s="65" t="str">
        <f>CONCATENATE(Tabla18[[#This Row],[Concatenado***]],"_",Tabla5[[#This Row],[Zona (Distrito)
&lt;&lt; Seleccionar&gt;&gt;]])</f>
        <v>Huánuco__</v>
      </c>
      <c r="J7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8" s="72" t="e">
        <f>VLOOKUP(Tabla5[[#This Row],[Tipo de Transporte Empleado
&lt;&lt; Seleccionar&gt;&gt;]],Tabla8[#All],2,0)</f>
        <v>#N/A</v>
      </c>
      <c r="L738" s="71" t="e">
        <f>#REF!+(#REF!*2)+#REF!</f>
        <v>#REF!</v>
      </c>
    </row>
    <row r="739" spans="1:12" x14ac:dyDescent="0.25">
      <c r="A739" s="328" t="e">
        <f>VLOOKUP(Tabla5[[#This Row],[Acción
&lt;&lt; Seleccionar&gt;&gt;]],TablaAccion[[#All],[Nombre_Abreviado]:[Codigo_Plan_Acción]],3,0)</f>
        <v>#N/A</v>
      </c>
      <c r="B739" s="328" t="e">
        <f>VLOOKUP(Tabla5[[#This Row],[Acción Especifica
&lt;&lt; Seleccionar&gt;&gt;]],TablaAccionEspecifica[[#All],[Nombre_Abreviado]:[Codigo_Acción]],3,0)</f>
        <v>#N/A</v>
      </c>
      <c r="C739" s="328" t="e">
        <f>CONCATENATE(Tabla18[[#This Row],[Bus_02]],"_",Tabla5[[#This Row],[Sub Acción Específica
&lt;&lt; Seleccionar&gt;&gt;]])</f>
        <v>#N/A</v>
      </c>
      <c r="D739" s="328" t="e">
        <f>VLOOKUP(Tabla18[[#This Row],[Aux_01]],TablaSubAccionEspecifica[[#All],[Concat]:[Cod_Sub_acción_especifica]],2,0)</f>
        <v>#N/A</v>
      </c>
      <c r="E739" s="328" t="e">
        <f>Tabla18[[#This Row],[Bus_03]]&amp;"_"&amp;Tabla5[[#This Row],[Tipo de Agente
&lt;&lt; Seleccionar&gt;&gt;]]</f>
        <v>#N/A</v>
      </c>
      <c r="F739" s="328" t="e">
        <f>VLOOKUP(Tabla18[[#This Row],[Concat2]],TablaPOA[[#All],[Concat]:[ConcatEspecial]],3,0)</f>
        <v>#N/A</v>
      </c>
      <c r="G739" s="65" t="str">
        <f>CONCATENATE(Registro!$A$6,"_",Tabla5[[#This Row],[Zona (Provincia)
&lt;&lt; Seleccionar&gt;&gt;]])</f>
        <v>Huánuco_</v>
      </c>
      <c r="H739" s="60" t="e">
        <f>VLOOKUP(Tabla18[[#This Row],[Concatenado***]],Tabla2[[#All],[Concatenado]:[Simbología*]],2,0)</f>
        <v>#N/A</v>
      </c>
      <c r="I739" s="65" t="str">
        <f>CONCATENATE(Tabla18[[#This Row],[Concatenado***]],"_",Tabla5[[#This Row],[Zona (Distrito)
&lt;&lt; Seleccionar&gt;&gt;]])</f>
        <v>Huánuco__</v>
      </c>
      <c r="J7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9" s="72" t="e">
        <f>VLOOKUP(Tabla5[[#This Row],[Tipo de Transporte Empleado
&lt;&lt; Seleccionar&gt;&gt;]],Tabla8[#All],2,0)</f>
        <v>#N/A</v>
      </c>
      <c r="L739" s="71" t="e">
        <f>#REF!+(#REF!*2)+#REF!</f>
        <v>#REF!</v>
      </c>
    </row>
    <row r="740" spans="1:12" x14ac:dyDescent="0.25">
      <c r="A740" s="328" t="e">
        <f>VLOOKUP(Tabla5[[#This Row],[Acción
&lt;&lt; Seleccionar&gt;&gt;]],TablaAccion[[#All],[Nombre_Abreviado]:[Codigo_Plan_Acción]],3,0)</f>
        <v>#N/A</v>
      </c>
      <c r="B740" s="328" t="e">
        <f>VLOOKUP(Tabla5[[#This Row],[Acción Especifica
&lt;&lt; Seleccionar&gt;&gt;]],TablaAccionEspecifica[[#All],[Nombre_Abreviado]:[Codigo_Acción]],3,0)</f>
        <v>#N/A</v>
      </c>
      <c r="C740" s="328" t="e">
        <f>CONCATENATE(Tabla18[[#This Row],[Bus_02]],"_",Tabla5[[#This Row],[Sub Acción Específica
&lt;&lt; Seleccionar&gt;&gt;]])</f>
        <v>#N/A</v>
      </c>
      <c r="D740" s="328" t="e">
        <f>VLOOKUP(Tabla18[[#This Row],[Aux_01]],TablaSubAccionEspecifica[[#All],[Concat]:[Cod_Sub_acción_especifica]],2,0)</f>
        <v>#N/A</v>
      </c>
      <c r="E740" s="328" t="e">
        <f>Tabla18[[#This Row],[Bus_03]]&amp;"_"&amp;Tabla5[[#This Row],[Tipo de Agente
&lt;&lt; Seleccionar&gt;&gt;]]</f>
        <v>#N/A</v>
      </c>
      <c r="F740" s="328" t="e">
        <f>VLOOKUP(Tabla18[[#This Row],[Concat2]],TablaPOA[[#All],[Concat]:[ConcatEspecial]],3,0)</f>
        <v>#N/A</v>
      </c>
      <c r="G740" s="65" t="str">
        <f>CONCATENATE(Registro!$A$6,"_",Tabla5[[#This Row],[Zona (Provincia)
&lt;&lt; Seleccionar&gt;&gt;]])</f>
        <v>Huánuco_</v>
      </c>
      <c r="H740" s="60" t="e">
        <f>VLOOKUP(Tabla18[[#This Row],[Concatenado***]],Tabla2[[#All],[Concatenado]:[Simbología*]],2,0)</f>
        <v>#N/A</v>
      </c>
      <c r="I740" s="65" t="str">
        <f>CONCATENATE(Tabla18[[#This Row],[Concatenado***]],"_",Tabla5[[#This Row],[Zona (Distrito)
&lt;&lt; Seleccionar&gt;&gt;]])</f>
        <v>Huánuco__</v>
      </c>
      <c r="J7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0" s="72" t="e">
        <f>VLOOKUP(Tabla5[[#This Row],[Tipo de Transporte Empleado
&lt;&lt; Seleccionar&gt;&gt;]],Tabla8[#All],2,0)</f>
        <v>#N/A</v>
      </c>
      <c r="L740" s="71" t="e">
        <f>#REF!+(#REF!*2)+#REF!</f>
        <v>#REF!</v>
      </c>
    </row>
    <row r="741" spans="1:12" x14ac:dyDescent="0.25">
      <c r="A741" s="328" t="e">
        <f>VLOOKUP(Tabla5[[#This Row],[Acción
&lt;&lt; Seleccionar&gt;&gt;]],TablaAccion[[#All],[Nombre_Abreviado]:[Codigo_Plan_Acción]],3,0)</f>
        <v>#N/A</v>
      </c>
      <c r="B741" s="328" t="e">
        <f>VLOOKUP(Tabla5[[#This Row],[Acción Especifica
&lt;&lt; Seleccionar&gt;&gt;]],TablaAccionEspecifica[[#All],[Nombre_Abreviado]:[Codigo_Acción]],3,0)</f>
        <v>#N/A</v>
      </c>
      <c r="C741" s="328" t="e">
        <f>CONCATENATE(Tabla18[[#This Row],[Bus_02]],"_",Tabla5[[#This Row],[Sub Acción Específica
&lt;&lt; Seleccionar&gt;&gt;]])</f>
        <v>#N/A</v>
      </c>
      <c r="D741" s="328" t="e">
        <f>VLOOKUP(Tabla18[[#This Row],[Aux_01]],TablaSubAccionEspecifica[[#All],[Concat]:[Cod_Sub_acción_especifica]],2,0)</f>
        <v>#N/A</v>
      </c>
      <c r="E741" s="328" t="e">
        <f>Tabla18[[#This Row],[Bus_03]]&amp;"_"&amp;Tabla5[[#This Row],[Tipo de Agente
&lt;&lt; Seleccionar&gt;&gt;]]</f>
        <v>#N/A</v>
      </c>
      <c r="F741" s="328" t="e">
        <f>VLOOKUP(Tabla18[[#This Row],[Concat2]],TablaPOA[[#All],[Concat]:[ConcatEspecial]],3,0)</f>
        <v>#N/A</v>
      </c>
      <c r="G741" s="65" t="str">
        <f>CONCATENATE(Registro!$A$6,"_",Tabla5[[#This Row],[Zona (Provincia)
&lt;&lt; Seleccionar&gt;&gt;]])</f>
        <v>Huánuco_</v>
      </c>
      <c r="H741" s="60" t="e">
        <f>VLOOKUP(Tabla18[[#This Row],[Concatenado***]],Tabla2[[#All],[Concatenado]:[Simbología*]],2,0)</f>
        <v>#N/A</v>
      </c>
      <c r="I741" s="65" t="str">
        <f>CONCATENATE(Tabla18[[#This Row],[Concatenado***]],"_",Tabla5[[#This Row],[Zona (Distrito)
&lt;&lt; Seleccionar&gt;&gt;]])</f>
        <v>Huánuco__</v>
      </c>
      <c r="J7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1" s="72" t="e">
        <f>VLOOKUP(Tabla5[[#This Row],[Tipo de Transporte Empleado
&lt;&lt; Seleccionar&gt;&gt;]],Tabla8[#All],2,0)</f>
        <v>#N/A</v>
      </c>
      <c r="L741" s="71" t="e">
        <f>#REF!+(#REF!*2)+#REF!</f>
        <v>#REF!</v>
      </c>
    </row>
    <row r="742" spans="1:12" x14ac:dyDescent="0.25">
      <c r="A742" s="328" t="e">
        <f>VLOOKUP(Tabla5[[#This Row],[Acción
&lt;&lt; Seleccionar&gt;&gt;]],TablaAccion[[#All],[Nombre_Abreviado]:[Codigo_Plan_Acción]],3,0)</f>
        <v>#N/A</v>
      </c>
      <c r="B742" s="328" t="e">
        <f>VLOOKUP(Tabla5[[#This Row],[Acción Especifica
&lt;&lt; Seleccionar&gt;&gt;]],TablaAccionEspecifica[[#All],[Nombre_Abreviado]:[Codigo_Acción]],3,0)</f>
        <v>#N/A</v>
      </c>
      <c r="C742" s="328" t="e">
        <f>CONCATENATE(Tabla18[[#This Row],[Bus_02]],"_",Tabla5[[#This Row],[Sub Acción Específica
&lt;&lt; Seleccionar&gt;&gt;]])</f>
        <v>#N/A</v>
      </c>
      <c r="D742" s="328" t="e">
        <f>VLOOKUP(Tabla18[[#This Row],[Aux_01]],TablaSubAccionEspecifica[[#All],[Concat]:[Cod_Sub_acción_especifica]],2,0)</f>
        <v>#N/A</v>
      </c>
      <c r="E742" s="328" t="e">
        <f>Tabla18[[#This Row],[Bus_03]]&amp;"_"&amp;Tabla5[[#This Row],[Tipo de Agente
&lt;&lt; Seleccionar&gt;&gt;]]</f>
        <v>#N/A</v>
      </c>
      <c r="F742" s="328" t="e">
        <f>VLOOKUP(Tabla18[[#This Row],[Concat2]],TablaPOA[[#All],[Concat]:[ConcatEspecial]],3,0)</f>
        <v>#N/A</v>
      </c>
      <c r="G742" s="65" t="str">
        <f>CONCATENATE(Registro!$A$6,"_",Tabla5[[#This Row],[Zona (Provincia)
&lt;&lt; Seleccionar&gt;&gt;]])</f>
        <v>Huánuco_</v>
      </c>
      <c r="H742" s="60" t="e">
        <f>VLOOKUP(Tabla18[[#This Row],[Concatenado***]],Tabla2[[#All],[Concatenado]:[Simbología*]],2,0)</f>
        <v>#N/A</v>
      </c>
      <c r="I742" s="65" t="str">
        <f>CONCATENATE(Tabla18[[#This Row],[Concatenado***]],"_",Tabla5[[#This Row],[Zona (Distrito)
&lt;&lt; Seleccionar&gt;&gt;]])</f>
        <v>Huánuco__</v>
      </c>
      <c r="J7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2" s="72" t="e">
        <f>VLOOKUP(Tabla5[[#This Row],[Tipo de Transporte Empleado
&lt;&lt; Seleccionar&gt;&gt;]],Tabla8[#All],2,0)</f>
        <v>#N/A</v>
      </c>
      <c r="L742" s="71" t="e">
        <f>#REF!+(#REF!*2)+#REF!</f>
        <v>#REF!</v>
      </c>
    </row>
    <row r="743" spans="1:12" x14ac:dyDescent="0.25">
      <c r="A743" s="328" t="e">
        <f>VLOOKUP(Tabla5[[#This Row],[Acción
&lt;&lt; Seleccionar&gt;&gt;]],TablaAccion[[#All],[Nombre_Abreviado]:[Codigo_Plan_Acción]],3,0)</f>
        <v>#N/A</v>
      </c>
      <c r="B743" s="328" t="e">
        <f>VLOOKUP(Tabla5[[#This Row],[Acción Especifica
&lt;&lt; Seleccionar&gt;&gt;]],TablaAccionEspecifica[[#All],[Nombre_Abreviado]:[Codigo_Acción]],3,0)</f>
        <v>#N/A</v>
      </c>
      <c r="C743" s="328" t="e">
        <f>CONCATENATE(Tabla18[[#This Row],[Bus_02]],"_",Tabla5[[#This Row],[Sub Acción Específica
&lt;&lt; Seleccionar&gt;&gt;]])</f>
        <v>#N/A</v>
      </c>
      <c r="D743" s="328" t="e">
        <f>VLOOKUP(Tabla18[[#This Row],[Aux_01]],TablaSubAccionEspecifica[[#All],[Concat]:[Cod_Sub_acción_especifica]],2,0)</f>
        <v>#N/A</v>
      </c>
      <c r="E743" s="328" t="e">
        <f>Tabla18[[#This Row],[Bus_03]]&amp;"_"&amp;Tabla5[[#This Row],[Tipo de Agente
&lt;&lt; Seleccionar&gt;&gt;]]</f>
        <v>#N/A</v>
      </c>
      <c r="F743" s="328" t="e">
        <f>VLOOKUP(Tabla18[[#This Row],[Concat2]],TablaPOA[[#All],[Concat]:[ConcatEspecial]],3,0)</f>
        <v>#N/A</v>
      </c>
      <c r="G743" s="65" t="str">
        <f>CONCATENATE(Registro!$A$6,"_",Tabla5[[#This Row],[Zona (Provincia)
&lt;&lt; Seleccionar&gt;&gt;]])</f>
        <v>Huánuco_</v>
      </c>
      <c r="H743" s="60" t="e">
        <f>VLOOKUP(Tabla18[[#This Row],[Concatenado***]],Tabla2[[#All],[Concatenado]:[Simbología*]],2,0)</f>
        <v>#N/A</v>
      </c>
      <c r="I743" s="65" t="str">
        <f>CONCATENATE(Tabla18[[#This Row],[Concatenado***]],"_",Tabla5[[#This Row],[Zona (Distrito)
&lt;&lt; Seleccionar&gt;&gt;]])</f>
        <v>Huánuco__</v>
      </c>
      <c r="J7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3" s="72" t="e">
        <f>VLOOKUP(Tabla5[[#This Row],[Tipo de Transporte Empleado
&lt;&lt; Seleccionar&gt;&gt;]],Tabla8[#All],2,0)</f>
        <v>#N/A</v>
      </c>
      <c r="L743" s="71" t="e">
        <f>#REF!+(#REF!*2)+#REF!</f>
        <v>#REF!</v>
      </c>
    </row>
    <row r="744" spans="1:12" x14ac:dyDescent="0.25">
      <c r="A744" s="328" t="e">
        <f>VLOOKUP(Tabla5[[#This Row],[Acción
&lt;&lt; Seleccionar&gt;&gt;]],TablaAccion[[#All],[Nombre_Abreviado]:[Codigo_Plan_Acción]],3,0)</f>
        <v>#N/A</v>
      </c>
      <c r="B744" s="328" t="e">
        <f>VLOOKUP(Tabla5[[#This Row],[Acción Especifica
&lt;&lt; Seleccionar&gt;&gt;]],TablaAccionEspecifica[[#All],[Nombre_Abreviado]:[Codigo_Acción]],3,0)</f>
        <v>#N/A</v>
      </c>
      <c r="C744" s="328" t="e">
        <f>CONCATENATE(Tabla18[[#This Row],[Bus_02]],"_",Tabla5[[#This Row],[Sub Acción Específica
&lt;&lt; Seleccionar&gt;&gt;]])</f>
        <v>#N/A</v>
      </c>
      <c r="D744" s="328" t="e">
        <f>VLOOKUP(Tabla18[[#This Row],[Aux_01]],TablaSubAccionEspecifica[[#All],[Concat]:[Cod_Sub_acción_especifica]],2,0)</f>
        <v>#N/A</v>
      </c>
      <c r="E744" s="328" t="e">
        <f>Tabla18[[#This Row],[Bus_03]]&amp;"_"&amp;Tabla5[[#This Row],[Tipo de Agente
&lt;&lt; Seleccionar&gt;&gt;]]</f>
        <v>#N/A</v>
      </c>
      <c r="F744" s="328" t="e">
        <f>VLOOKUP(Tabla18[[#This Row],[Concat2]],TablaPOA[[#All],[Concat]:[ConcatEspecial]],3,0)</f>
        <v>#N/A</v>
      </c>
      <c r="G744" s="65" t="str">
        <f>CONCATENATE(Registro!$A$6,"_",Tabla5[[#This Row],[Zona (Provincia)
&lt;&lt; Seleccionar&gt;&gt;]])</f>
        <v>Huánuco_</v>
      </c>
      <c r="H744" s="60" t="e">
        <f>VLOOKUP(Tabla18[[#This Row],[Concatenado***]],Tabla2[[#All],[Concatenado]:[Simbología*]],2,0)</f>
        <v>#N/A</v>
      </c>
      <c r="I744" s="65" t="str">
        <f>CONCATENATE(Tabla18[[#This Row],[Concatenado***]],"_",Tabla5[[#This Row],[Zona (Distrito)
&lt;&lt; Seleccionar&gt;&gt;]])</f>
        <v>Huánuco__</v>
      </c>
      <c r="J7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4" s="72" t="e">
        <f>VLOOKUP(Tabla5[[#This Row],[Tipo de Transporte Empleado
&lt;&lt; Seleccionar&gt;&gt;]],Tabla8[#All],2,0)</f>
        <v>#N/A</v>
      </c>
      <c r="L744" s="71" t="e">
        <f>#REF!+(#REF!*2)+#REF!</f>
        <v>#REF!</v>
      </c>
    </row>
    <row r="745" spans="1:12" x14ac:dyDescent="0.25">
      <c r="A745" s="328" t="e">
        <f>VLOOKUP(Tabla5[[#This Row],[Acción
&lt;&lt; Seleccionar&gt;&gt;]],TablaAccion[[#All],[Nombre_Abreviado]:[Codigo_Plan_Acción]],3,0)</f>
        <v>#N/A</v>
      </c>
      <c r="B745" s="328" t="e">
        <f>VLOOKUP(Tabla5[[#This Row],[Acción Especifica
&lt;&lt; Seleccionar&gt;&gt;]],TablaAccionEspecifica[[#All],[Nombre_Abreviado]:[Codigo_Acción]],3,0)</f>
        <v>#N/A</v>
      </c>
      <c r="C745" s="328" t="e">
        <f>CONCATENATE(Tabla18[[#This Row],[Bus_02]],"_",Tabla5[[#This Row],[Sub Acción Específica
&lt;&lt; Seleccionar&gt;&gt;]])</f>
        <v>#N/A</v>
      </c>
      <c r="D745" s="328" t="e">
        <f>VLOOKUP(Tabla18[[#This Row],[Aux_01]],TablaSubAccionEspecifica[[#All],[Concat]:[Cod_Sub_acción_especifica]],2,0)</f>
        <v>#N/A</v>
      </c>
      <c r="E745" s="328" t="e">
        <f>Tabla18[[#This Row],[Bus_03]]&amp;"_"&amp;Tabla5[[#This Row],[Tipo de Agente
&lt;&lt; Seleccionar&gt;&gt;]]</f>
        <v>#N/A</v>
      </c>
      <c r="F745" s="328" t="e">
        <f>VLOOKUP(Tabla18[[#This Row],[Concat2]],TablaPOA[[#All],[Concat]:[ConcatEspecial]],3,0)</f>
        <v>#N/A</v>
      </c>
      <c r="G745" s="65" t="str">
        <f>CONCATENATE(Registro!$A$6,"_",Tabla5[[#This Row],[Zona (Provincia)
&lt;&lt; Seleccionar&gt;&gt;]])</f>
        <v>Huánuco_</v>
      </c>
      <c r="H745" s="60" t="e">
        <f>VLOOKUP(Tabla18[[#This Row],[Concatenado***]],Tabla2[[#All],[Concatenado]:[Simbología*]],2,0)</f>
        <v>#N/A</v>
      </c>
      <c r="I745" s="65" t="str">
        <f>CONCATENATE(Tabla18[[#This Row],[Concatenado***]],"_",Tabla5[[#This Row],[Zona (Distrito)
&lt;&lt; Seleccionar&gt;&gt;]])</f>
        <v>Huánuco__</v>
      </c>
      <c r="J7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5" s="72" t="e">
        <f>VLOOKUP(Tabla5[[#This Row],[Tipo de Transporte Empleado
&lt;&lt; Seleccionar&gt;&gt;]],Tabla8[#All],2,0)</f>
        <v>#N/A</v>
      </c>
      <c r="L745" s="71" t="e">
        <f>#REF!+(#REF!*2)+#REF!</f>
        <v>#REF!</v>
      </c>
    </row>
    <row r="746" spans="1:12" x14ac:dyDescent="0.25">
      <c r="A746" s="328" t="e">
        <f>VLOOKUP(Tabla5[[#This Row],[Acción
&lt;&lt; Seleccionar&gt;&gt;]],TablaAccion[[#All],[Nombre_Abreviado]:[Codigo_Plan_Acción]],3,0)</f>
        <v>#N/A</v>
      </c>
      <c r="B746" s="328" t="e">
        <f>VLOOKUP(Tabla5[[#This Row],[Acción Especifica
&lt;&lt; Seleccionar&gt;&gt;]],TablaAccionEspecifica[[#All],[Nombre_Abreviado]:[Codigo_Acción]],3,0)</f>
        <v>#N/A</v>
      </c>
      <c r="C746" s="328" t="e">
        <f>CONCATENATE(Tabla18[[#This Row],[Bus_02]],"_",Tabla5[[#This Row],[Sub Acción Específica
&lt;&lt; Seleccionar&gt;&gt;]])</f>
        <v>#N/A</v>
      </c>
      <c r="D746" s="328" t="e">
        <f>VLOOKUP(Tabla18[[#This Row],[Aux_01]],TablaSubAccionEspecifica[[#All],[Concat]:[Cod_Sub_acción_especifica]],2,0)</f>
        <v>#N/A</v>
      </c>
      <c r="E746" s="328" t="e">
        <f>Tabla18[[#This Row],[Bus_03]]&amp;"_"&amp;Tabla5[[#This Row],[Tipo de Agente
&lt;&lt; Seleccionar&gt;&gt;]]</f>
        <v>#N/A</v>
      </c>
      <c r="F746" s="328" t="e">
        <f>VLOOKUP(Tabla18[[#This Row],[Concat2]],TablaPOA[[#All],[Concat]:[ConcatEspecial]],3,0)</f>
        <v>#N/A</v>
      </c>
      <c r="G746" s="65" t="str">
        <f>CONCATENATE(Registro!$A$6,"_",Tabla5[[#This Row],[Zona (Provincia)
&lt;&lt; Seleccionar&gt;&gt;]])</f>
        <v>Huánuco_</v>
      </c>
      <c r="H746" s="60" t="e">
        <f>VLOOKUP(Tabla18[[#This Row],[Concatenado***]],Tabla2[[#All],[Concatenado]:[Simbología*]],2,0)</f>
        <v>#N/A</v>
      </c>
      <c r="I746" s="65" t="str">
        <f>CONCATENATE(Tabla18[[#This Row],[Concatenado***]],"_",Tabla5[[#This Row],[Zona (Distrito)
&lt;&lt; Seleccionar&gt;&gt;]])</f>
        <v>Huánuco__</v>
      </c>
      <c r="J7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6" s="72" t="e">
        <f>VLOOKUP(Tabla5[[#This Row],[Tipo de Transporte Empleado
&lt;&lt; Seleccionar&gt;&gt;]],Tabla8[#All],2,0)</f>
        <v>#N/A</v>
      </c>
      <c r="L746" s="71" t="e">
        <f>#REF!+(#REF!*2)+#REF!</f>
        <v>#REF!</v>
      </c>
    </row>
    <row r="747" spans="1:12" x14ac:dyDescent="0.25">
      <c r="A747" s="328" t="e">
        <f>VLOOKUP(Tabla5[[#This Row],[Acción
&lt;&lt; Seleccionar&gt;&gt;]],TablaAccion[[#All],[Nombre_Abreviado]:[Codigo_Plan_Acción]],3,0)</f>
        <v>#N/A</v>
      </c>
      <c r="B747" s="328" t="e">
        <f>VLOOKUP(Tabla5[[#This Row],[Acción Especifica
&lt;&lt; Seleccionar&gt;&gt;]],TablaAccionEspecifica[[#All],[Nombre_Abreviado]:[Codigo_Acción]],3,0)</f>
        <v>#N/A</v>
      </c>
      <c r="C747" s="328" t="e">
        <f>CONCATENATE(Tabla18[[#This Row],[Bus_02]],"_",Tabla5[[#This Row],[Sub Acción Específica
&lt;&lt; Seleccionar&gt;&gt;]])</f>
        <v>#N/A</v>
      </c>
      <c r="D747" s="328" t="e">
        <f>VLOOKUP(Tabla18[[#This Row],[Aux_01]],TablaSubAccionEspecifica[[#All],[Concat]:[Cod_Sub_acción_especifica]],2,0)</f>
        <v>#N/A</v>
      </c>
      <c r="E747" s="328" t="e">
        <f>Tabla18[[#This Row],[Bus_03]]&amp;"_"&amp;Tabla5[[#This Row],[Tipo de Agente
&lt;&lt; Seleccionar&gt;&gt;]]</f>
        <v>#N/A</v>
      </c>
      <c r="F747" s="328" t="e">
        <f>VLOOKUP(Tabla18[[#This Row],[Concat2]],TablaPOA[[#All],[Concat]:[ConcatEspecial]],3,0)</f>
        <v>#N/A</v>
      </c>
      <c r="G747" s="65" t="str">
        <f>CONCATENATE(Registro!$A$6,"_",Tabla5[[#This Row],[Zona (Provincia)
&lt;&lt; Seleccionar&gt;&gt;]])</f>
        <v>Huánuco_</v>
      </c>
      <c r="H747" s="60" t="e">
        <f>VLOOKUP(Tabla18[[#This Row],[Concatenado***]],Tabla2[[#All],[Concatenado]:[Simbología*]],2,0)</f>
        <v>#N/A</v>
      </c>
      <c r="I747" s="65" t="str">
        <f>CONCATENATE(Tabla18[[#This Row],[Concatenado***]],"_",Tabla5[[#This Row],[Zona (Distrito)
&lt;&lt; Seleccionar&gt;&gt;]])</f>
        <v>Huánuco__</v>
      </c>
      <c r="J7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7" s="72" t="e">
        <f>VLOOKUP(Tabla5[[#This Row],[Tipo de Transporte Empleado
&lt;&lt; Seleccionar&gt;&gt;]],Tabla8[#All],2,0)</f>
        <v>#N/A</v>
      </c>
      <c r="L747" s="71" t="e">
        <f>#REF!+(#REF!*2)+#REF!</f>
        <v>#REF!</v>
      </c>
    </row>
    <row r="748" spans="1:12" x14ac:dyDescent="0.25">
      <c r="A748" s="328" t="e">
        <f>VLOOKUP(Tabla5[[#This Row],[Acción
&lt;&lt; Seleccionar&gt;&gt;]],TablaAccion[[#All],[Nombre_Abreviado]:[Codigo_Plan_Acción]],3,0)</f>
        <v>#N/A</v>
      </c>
      <c r="B748" s="328" t="e">
        <f>VLOOKUP(Tabla5[[#This Row],[Acción Especifica
&lt;&lt; Seleccionar&gt;&gt;]],TablaAccionEspecifica[[#All],[Nombre_Abreviado]:[Codigo_Acción]],3,0)</f>
        <v>#N/A</v>
      </c>
      <c r="C748" s="328" t="e">
        <f>CONCATENATE(Tabla18[[#This Row],[Bus_02]],"_",Tabla5[[#This Row],[Sub Acción Específica
&lt;&lt; Seleccionar&gt;&gt;]])</f>
        <v>#N/A</v>
      </c>
      <c r="D748" s="328" t="e">
        <f>VLOOKUP(Tabla18[[#This Row],[Aux_01]],TablaSubAccionEspecifica[[#All],[Concat]:[Cod_Sub_acción_especifica]],2,0)</f>
        <v>#N/A</v>
      </c>
      <c r="E748" s="328" t="e">
        <f>Tabla18[[#This Row],[Bus_03]]&amp;"_"&amp;Tabla5[[#This Row],[Tipo de Agente
&lt;&lt; Seleccionar&gt;&gt;]]</f>
        <v>#N/A</v>
      </c>
      <c r="F748" s="328" t="e">
        <f>VLOOKUP(Tabla18[[#This Row],[Concat2]],TablaPOA[[#All],[Concat]:[ConcatEspecial]],3,0)</f>
        <v>#N/A</v>
      </c>
      <c r="G748" s="65" t="str">
        <f>CONCATENATE(Registro!$A$6,"_",Tabla5[[#This Row],[Zona (Provincia)
&lt;&lt; Seleccionar&gt;&gt;]])</f>
        <v>Huánuco_</v>
      </c>
      <c r="H748" s="60" t="e">
        <f>VLOOKUP(Tabla18[[#This Row],[Concatenado***]],Tabla2[[#All],[Concatenado]:[Simbología*]],2,0)</f>
        <v>#N/A</v>
      </c>
      <c r="I748" s="65" t="str">
        <f>CONCATENATE(Tabla18[[#This Row],[Concatenado***]],"_",Tabla5[[#This Row],[Zona (Distrito)
&lt;&lt; Seleccionar&gt;&gt;]])</f>
        <v>Huánuco__</v>
      </c>
      <c r="J7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8" s="72" t="e">
        <f>VLOOKUP(Tabla5[[#This Row],[Tipo de Transporte Empleado
&lt;&lt; Seleccionar&gt;&gt;]],Tabla8[#All],2,0)</f>
        <v>#N/A</v>
      </c>
      <c r="L748" s="71" t="e">
        <f>#REF!+(#REF!*2)+#REF!</f>
        <v>#REF!</v>
      </c>
    </row>
    <row r="749" spans="1:12" x14ac:dyDescent="0.25">
      <c r="A749" s="328" t="e">
        <f>VLOOKUP(Tabla5[[#This Row],[Acción
&lt;&lt; Seleccionar&gt;&gt;]],TablaAccion[[#All],[Nombre_Abreviado]:[Codigo_Plan_Acción]],3,0)</f>
        <v>#N/A</v>
      </c>
      <c r="B749" s="328" t="e">
        <f>VLOOKUP(Tabla5[[#This Row],[Acción Especifica
&lt;&lt; Seleccionar&gt;&gt;]],TablaAccionEspecifica[[#All],[Nombre_Abreviado]:[Codigo_Acción]],3,0)</f>
        <v>#N/A</v>
      </c>
      <c r="C749" s="328" t="e">
        <f>CONCATENATE(Tabla18[[#This Row],[Bus_02]],"_",Tabla5[[#This Row],[Sub Acción Específica
&lt;&lt; Seleccionar&gt;&gt;]])</f>
        <v>#N/A</v>
      </c>
      <c r="D749" s="328" t="e">
        <f>VLOOKUP(Tabla18[[#This Row],[Aux_01]],TablaSubAccionEspecifica[[#All],[Concat]:[Cod_Sub_acción_especifica]],2,0)</f>
        <v>#N/A</v>
      </c>
      <c r="E749" s="328" t="e">
        <f>Tabla18[[#This Row],[Bus_03]]&amp;"_"&amp;Tabla5[[#This Row],[Tipo de Agente
&lt;&lt; Seleccionar&gt;&gt;]]</f>
        <v>#N/A</v>
      </c>
      <c r="F749" s="328" t="e">
        <f>VLOOKUP(Tabla18[[#This Row],[Concat2]],TablaPOA[[#All],[Concat]:[ConcatEspecial]],3,0)</f>
        <v>#N/A</v>
      </c>
      <c r="G749" s="65" t="str">
        <f>CONCATENATE(Registro!$A$6,"_",Tabla5[[#This Row],[Zona (Provincia)
&lt;&lt; Seleccionar&gt;&gt;]])</f>
        <v>Huánuco_</v>
      </c>
      <c r="H749" s="60" t="e">
        <f>VLOOKUP(Tabla18[[#This Row],[Concatenado***]],Tabla2[[#All],[Concatenado]:[Simbología*]],2,0)</f>
        <v>#N/A</v>
      </c>
      <c r="I749" s="65" t="str">
        <f>CONCATENATE(Tabla18[[#This Row],[Concatenado***]],"_",Tabla5[[#This Row],[Zona (Distrito)
&lt;&lt; Seleccionar&gt;&gt;]])</f>
        <v>Huánuco__</v>
      </c>
      <c r="J7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9" s="72" t="e">
        <f>VLOOKUP(Tabla5[[#This Row],[Tipo de Transporte Empleado
&lt;&lt; Seleccionar&gt;&gt;]],Tabla8[#All],2,0)</f>
        <v>#N/A</v>
      </c>
      <c r="L749" s="71" t="e">
        <f>#REF!+(#REF!*2)+#REF!</f>
        <v>#REF!</v>
      </c>
    </row>
    <row r="750" spans="1:12" x14ac:dyDescent="0.25">
      <c r="A750" s="328" t="e">
        <f>VLOOKUP(Tabla5[[#This Row],[Acción
&lt;&lt; Seleccionar&gt;&gt;]],TablaAccion[[#All],[Nombre_Abreviado]:[Codigo_Plan_Acción]],3,0)</f>
        <v>#N/A</v>
      </c>
      <c r="B750" s="328" t="e">
        <f>VLOOKUP(Tabla5[[#This Row],[Acción Especifica
&lt;&lt; Seleccionar&gt;&gt;]],TablaAccionEspecifica[[#All],[Nombre_Abreviado]:[Codigo_Acción]],3,0)</f>
        <v>#N/A</v>
      </c>
      <c r="C750" s="328" t="e">
        <f>CONCATENATE(Tabla18[[#This Row],[Bus_02]],"_",Tabla5[[#This Row],[Sub Acción Específica
&lt;&lt; Seleccionar&gt;&gt;]])</f>
        <v>#N/A</v>
      </c>
      <c r="D750" s="328" t="e">
        <f>VLOOKUP(Tabla18[[#This Row],[Aux_01]],TablaSubAccionEspecifica[[#All],[Concat]:[Cod_Sub_acción_especifica]],2,0)</f>
        <v>#N/A</v>
      </c>
      <c r="E750" s="328" t="e">
        <f>Tabla18[[#This Row],[Bus_03]]&amp;"_"&amp;Tabla5[[#This Row],[Tipo de Agente
&lt;&lt; Seleccionar&gt;&gt;]]</f>
        <v>#N/A</v>
      </c>
      <c r="F750" s="328" t="e">
        <f>VLOOKUP(Tabla18[[#This Row],[Concat2]],TablaPOA[[#All],[Concat]:[ConcatEspecial]],3,0)</f>
        <v>#N/A</v>
      </c>
      <c r="G750" s="65" t="str">
        <f>CONCATENATE(Registro!$A$6,"_",Tabla5[[#This Row],[Zona (Provincia)
&lt;&lt; Seleccionar&gt;&gt;]])</f>
        <v>Huánuco_</v>
      </c>
      <c r="H750" s="60" t="e">
        <f>VLOOKUP(Tabla18[[#This Row],[Concatenado***]],Tabla2[[#All],[Concatenado]:[Simbología*]],2,0)</f>
        <v>#N/A</v>
      </c>
      <c r="I750" s="65" t="str">
        <f>CONCATENATE(Tabla18[[#This Row],[Concatenado***]],"_",Tabla5[[#This Row],[Zona (Distrito)
&lt;&lt; Seleccionar&gt;&gt;]])</f>
        <v>Huánuco__</v>
      </c>
      <c r="J7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0" s="72" t="e">
        <f>VLOOKUP(Tabla5[[#This Row],[Tipo de Transporte Empleado
&lt;&lt; Seleccionar&gt;&gt;]],Tabla8[#All],2,0)</f>
        <v>#N/A</v>
      </c>
      <c r="L750" s="71" t="e">
        <f>#REF!+(#REF!*2)+#REF!</f>
        <v>#REF!</v>
      </c>
    </row>
    <row r="751" spans="1:12" x14ac:dyDescent="0.25">
      <c r="A751" s="328" t="e">
        <f>VLOOKUP(Tabla5[[#This Row],[Acción
&lt;&lt; Seleccionar&gt;&gt;]],TablaAccion[[#All],[Nombre_Abreviado]:[Codigo_Plan_Acción]],3,0)</f>
        <v>#N/A</v>
      </c>
      <c r="B751" s="328" t="e">
        <f>VLOOKUP(Tabla5[[#This Row],[Acción Especifica
&lt;&lt; Seleccionar&gt;&gt;]],TablaAccionEspecifica[[#All],[Nombre_Abreviado]:[Codigo_Acción]],3,0)</f>
        <v>#N/A</v>
      </c>
      <c r="C751" s="328" t="e">
        <f>CONCATENATE(Tabla18[[#This Row],[Bus_02]],"_",Tabla5[[#This Row],[Sub Acción Específica
&lt;&lt; Seleccionar&gt;&gt;]])</f>
        <v>#N/A</v>
      </c>
      <c r="D751" s="328" t="e">
        <f>VLOOKUP(Tabla18[[#This Row],[Aux_01]],TablaSubAccionEspecifica[[#All],[Concat]:[Cod_Sub_acción_especifica]],2,0)</f>
        <v>#N/A</v>
      </c>
      <c r="E751" s="328" t="e">
        <f>Tabla18[[#This Row],[Bus_03]]&amp;"_"&amp;Tabla5[[#This Row],[Tipo de Agente
&lt;&lt; Seleccionar&gt;&gt;]]</f>
        <v>#N/A</v>
      </c>
      <c r="F751" s="328" t="e">
        <f>VLOOKUP(Tabla18[[#This Row],[Concat2]],TablaPOA[[#All],[Concat]:[ConcatEspecial]],3,0)</f>
        <v>#N/A</v>
      </c>
      <c r="G751" s="65" t="str">
        <f>CONCATENATE(Registro!$A$6,"_",Tabla5[[#This Row],[Zona (Provincia)
&lt;&lt; Seleccionar&gt;&gt;]])</f>
        <v>Huánuco_</v>
      </c>
      <c r="H751" s="60" t="e">
        <f>VLOOKUP(Tabla18[[#This Row],[Concatenado***]],Tabla2[[#All],[Concatenado]:[Simbología*]],2,0)</f>
        <v>#N/A</v>
      </c>
      <c r="I751" s="65" t="str">
        <f>CONCATENATE(Tabla18[[#This Row],[Concatenado***]],"_",Tabla5[[#This Row],[Zona (Distrito)
&lt;&lt; Seleccionar&gt;&gt;]])</f>
        <v>Huánuco__</v>
      </c>
      <c r="J7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1" s="72" t="e">
        <f>VLOOKUP(Tabla5[[#This Row],[Tipo de Transporte Empleado
&lt;&lt; Seleccionar&gt;&gt;]],Tabla8[#All],2,0)</f>
        <v>#N/A</v>
      </c>
      <c r="L751" s="71" t="e">
        <f>#REF!+(#REF!*2)+#REF!</f>
        <v>#REF!</v>
      </c>
    </row>
    <row r="752" spans="1:12" x14ac:dyDescent="0.25">
      <c r="A752" s="328" t="e">
        <f>VLOOKUP(Tabla5[[#This Row],[Acción
&lt;&lt; Seleccionar&gt;&gt;]],TablaAccion[[#All],[Nombre_Abreviado]:[Codigo_Plan_Acción]],3,0)</f>
        <v>#N/A</v>
      </c>
      <c r="B752" s="328" t="e">
        <f>VLOOKUP(Tabla5[[#This Row],[Acción Especifica
&lt;&lt; Seleccionar&gt;&gt;]],TablaAccionEspecifica[[#All],[Nombre_Abreviado]:[Codigo_Acción]],3,0)</f>
        <v>#N/A</v>
      </c>
      <c r="C752" s="328" t="e">
        <f>CONCATENATE(Tabla18[[#This Row],[Bus_02]],"_",Tabla5[[#This Row],[Sub Acción Específica
&lt;&lt; Seleccionar&gt;&gt;]])</f>
        <v>#N/A</v>
      </c>
      <c r="D752" s="328" t="e">
        <f>VLOOKUP(Tabla18[[#This Row],[Aux_01]],TablaSubAccionEspecifica[[#All],[Concat]:[Cod_Sub_acción_especifica]],2,0)</f>
        <v>#N/A</v>
      </c>
      <c r="E752" s="328" t="e">
        <f>Tabla18[[#This Row],[Bus_03]]&amp;"_"&amp;Tabla5[[#This Row],[Tipo de Agente
&lt;&lt; Seleccionar&gt;&gt;]]</f>
        <v>#N/A</v>
      </c>
      <c r="F752" s="328" t="e">
        <f>VLOOKUP(Tabla18[[#This Row],[Concat2]],TablaPOA[[#All],[Concat]:[ConcatEspecial]],3,0)</f>
        <v>#N/A</v>
      </c>
      <c r="G752" s="65" t="str">
        <f>CONCATENATE(Registro!$A$6,"_",Tabla5[[#This Row],[Zona (Provincia)
&lt;&lt; Seleccionar&gt;&gt;]])</f>
        <v>Huánuco_</v>
      </c>
      <c r="H752" s="60" t="e">
        <f>VLOOKUP(Tabla18[[#This Row],[Concatenado***]],Tabla2[[#All],[Concatenado]:[Simbología*]],2,0)</f>
        <v>#N/A</v>
      </c>
      <c r="I752" s="65" t="str">
        <f>CONCATENATE(Tabla18[[#This Row],[Concatenado***]],"_",Tabla5[[#This Row],[Zona (Distrito)
&lt;&lt; Seleccionar&gt;&gt;]])</f>
        <v>Huánuco__</v>
      </c>
      <c r="J7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2" s="72" t="e">
        <f>VLOOKUP(Tabla5[[#This Row],[Tipo de Transporte Empleado
&lt;&lt; Seleccionar&gt;&gt;]],Tabla8[#All],2,0)</f>
        <v>#N/A</v>
      </c>
      <c r="L752" s="71" t="e">
        <f>#REF!+(#REF!*2)+#REF!</f>
        <v>#REF!</v>
      </c>
    </row>
    <row r="753" spans="1:12" x14ac:dyDescent="0.25">
      <c r="A753" s="328" t="e">
        <f>VLOOKUP(Tabla5[[#This Row],[Acción
&lt;&lt; Seleccionar&gt;&gt;]],TablaAccion[[#All],[Nombre_Abreviado]:[Codigo_Plan_Acción]],3,0)</f>
        <v>#N/A</v>
      </c>
      <c r="B753" s="328" t="e">
        <f>VLOOKUP(Tabla5[[#This Row],[Acción Especifica
&lt;&lt; Seleccionar&gt;&gt;]],TablaAccionEspecifica[[#All],[Nombre_Abreviado]:[Codigo_Acción]],3,0)</f>
        <v>#N/A</v>
      </c>
      <c r="C753" s="328" t="e">
        <f>CONCATENATE(Tabla18[[#This Row],[Bus_02]],"_",Tabla5[[#This Row],[Sub Acción Específica
&lt;&lt; Seleccionar&gt;&gt;]])</f>
        <v>#N/A</v>
      </c>
      <c r="D753" s="328" t="e">
        <f>VLOOKUP(Tabla18[[#This Row],[Aux_01]],TablaSubAccionEspecifica[[#All],[Concat]:[Cod_Sub_acción_especifica]],2,0)</f>
        <v>#N/A</v>
      </c>
      <c r="E753" s="328" t="e">
        <f>Tabla18[[#This Row],[Bus_03]]&amp;"_"&amp;Tabla5[[#This Row],[Tipo de Agente
&lt;&lt; Seleccionar&gt;&gt;]]</f>
        <v>#N/A</v>
      </c>
      <c r="F753" s="328" t="e">
        <f>VLOOKUP(Tabla18[[#This Row],[Concat2]],TablaPOA[[#All],[Concat]:[ConcatEspecial]],3,0)</f>
        <v>#N/A</v>
      </c>
      <c r="G753" s="65" t="str">
        <f>CONCATENATE(Registro!$A$6,"_",Tabla5[[#This Row],[Zona (Provincia)
&lt;&lt; Seleccionar&gt;&gt;]])</f>
        <v>Huánuco_</v>
      </c>
      <c r="H753" s="60" t="e">
        <f>VLOOKUP(Tabla18[[#This Row],[Concatenado***]],Tabla2[[#All],[Concatenado]:[Simbología*]],2,0)</f>
        <v>#N/A</v>
      </c>
      <c r="I753" s="65" t="str">
        <f>CONCATENATE(Tabla18[[#This Row],[Concatenado***]],"_",Tabla5[[#This Row],[Zona (Distrito)
&lt;&lt; Seleccionar&gt;&gt;]])</f>
        <v>Huánuco__</v>
      </c>
      <c r="J7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3" s="72" t="e">
        <f>VLOOKUP(Tabla5[[#This Row],[Tipo de Transporte Empleado
&lt;&lt; Seleccionar&gt;&gt;]],Tabla8[#All],2,0)</f>
        <v>#N/A</v>
      </c>
      <c r="L753" s="71" t="e">
        <f>#REF!+(#REF!*2)+#REF!</f>
        <v>#REF!</v>
      </c>
    </row>
    <row r="754" spans="1:12" x14ac:dyDescent="0.25">
      <c r="A754" s="328" t="e">
        <f>VLOOKUP(Tabla5[[#This Row],[Acción
&lt;&lt; Seleccionar&gt;&gt;]],TablaAccion[[#All],[Nombre_Abreviado]:[Codigo_Plan_Acción]],3,0)</f>
        <v>#N/A</v>
      </c>
      <c r="B754" s="328" t="e">
        <f>VLOOKUP(Tabla5[[#This Row],[Acción Especifica
&lt;&lt; Seleccionar&gt;&gt;]],TablaAccionEspecifica[[#All],[Nombre_Abreviado]:[Codigo_Acción]],3,0)</f>
        <v>#N/A</v>
      </c>
      <c r="C754" s="328" t="e">
        <f>CONCATENATE(Tabla18[[#This Row],[Bus_02]],"_",Tabla5[[#This Row],[Sub Acción Específica
&lt;&lt; Seleccionar&gt;&gt;]])</f>
        <v>#N/A</v>
      </c>
      <c r="D754" s="328" t="e">
        <f>VLOOKUP(Tabla18[[#This Row],[Aux_01]],TablaSubAccionEspecifica[[#All],[Concat]:[Cod_Sub_acción_especifica]],2,0)</f>
        <v>#N/A</v>
      </c>
      <c r="E754" s="328" t="e">
        <f>Tabla18[[#This Row],[Bus_03]]&amp;"_"&amp;Tabla5[[#This Row],[Tipo de Agente
&lt;&lt; Seleccionar&gt;&gt;]]</f>
        <v>#N/A</v>
      </c>
      <c r="F754" s="328" t="e">
        <f>VLOOKUP(Tabla18[[#This Row],[Concat2]],TablaPOA[[#All],[Concat]:[ConcatEspecial]],3,0)</f>
        <v>#N/A</v>
      </c>
      <c r="G754" s="65" t="str">
        <f>CONCATENATE(Registro!$A$6,"_",Tabla5[[#This Row],[Zona (Provincia)
&lt;&lt; Seleccionar&gt;&gt;]])</f>
        <v>Huánuco_</v>
      </c>
      <c r="H754" s="60" t="e">
        <f>VLOOKUP(Tabla18[[#This Row],[Concatenado***]],Tabla2[[#All],[Concatenado]:[Simbología*]],2,0)</f>
        <v>#N/A</v>
      </c>
      <c r="I754" s="65" t="str">
        <f>CONCATENATE(Tabla18[[#This Row],[Concatenado***]],"_",Tabla5[[#This Row],[Zona (Distrito)
&lt;&lt; Seleccionar&gt;&gt;]])</f>
        <v>Huánuco__</v>
      </c>
      <c r="J7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4" s="72" t="e">
        <f>VLOOKUP(Tabla5[[#This Row],[Tipo de Transporte Empleado
&lt;&lt; Seleccionar&gt;&gt;]],Tabla8[#All],2,0)</f>
        <v>#N/A</v>
      </c>
      <c r="L754" s="71" t="e">
        <f>#REF!+(#REF!*2)+#REF!</f>
        <v>#REF!</v>
      </c>
    </row>
    <row r="755" spans="1:12" x14ac:dyDescent="0.25">
      <c r="A755" s="328" t="e">
        <f>VLOOKUP(Tabla5[[#This Row],[Acción
&lt;&lt; Seleccionar&gt;&gt;]],TablaAccion[[#All],[Nombre_Abreviado]:[Codigo_Plan_Acción]],3,0)</f>
        <v>#N/A</v>
      </c>
      <c r="B755" s="328" t="e">
        <f>VLOOKUP(Tabla5[[#This Row],[Acción Especifica
&lt;&lt; Seleccionar&gt;&gt;]],TablaAccionEspecifica[[#All],[Nombre_Abreviado]:[Codigo_Acción]],3,0)</f>
        <v>#N/A</v>
      </c>
      <c r="C755" s="328" t="e">
        <f>CONCATENATE(Tabla18[[#This Row],[Bus_02]],"_",Tabla5[[#This Row],[Sub Acción Específica
&lt;&lt; Seleccionar&gt;&gt;]])</f>
        <v>#N/A</v>
      </c>
      <c r="D755" s="328" t="e">
        <f>VLOOKUP(Tabla18[[#This Row],[Aux_01]],TablaSubAccionEspecifica[[#All],[Concat]:[Cod_Sub_acción_especifica]],2,0)</f>
        <v>#N/A</v>
      </c>
      <c r="E755" s="328" t="e">
        <f>Tabla18[[#This Row],[Bus_03]]&amp;"_"&amp;Tabla5[[#This Row],[Tipo de Agente
&lt;&lt; Seleccionar&gt;&gt;]]</f>
        <v>#N/A</v>
      </c>
      <c r="F755" s="328" t="e">
        <f>VLOOKUP(Tabla18[[#This Row],[Concat2]],TablaPOA[[#All],[Concat]:[ConcatEspecial]],3,0)</f>
        <v>#N/A</v>
      </c>
      <c r="G755" s="65" t="str">
        <f>CONCATENATE(Registro!$A$6,"_",Tabla5[[#This Row],[Zona (Provincia)
&lt;&lt; Seleccionar&gt;&gt;]])</f>
        <v>Huánuco_</v>
      </c>
      <c r="H755" s="60" t="e">
        <f>VLOOKUP(Tabla18[[#This Row],[Concatenado***]],Tabla2[[#All],[Concatenado]:[Simbología*]],2,0)</f>
        <v>#N/A</v>
      </c>
      <c r="I755" s="65" t="str">
        <f>CONCATENATE(Tabla18[[#This Row],[Concatenado***]],"_",Tabla5[[#This Row],[Zona (Distrito)
&lt;&lt; Seleccionar&gt;&gt;]])</f>
        <v>Huánuco__</v>
      </c>
      <c r="J7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5" s="72" t="e">
        <f>VLOOKUP(Tabla5[[#This Row],[Tipo de Transporte Empleado
&lt;&lt; Seleccionar&gt;&gt;]],Tabla8[#All],2,0)</f>
        <v>#N/A</v>
      </c>
      <c r="L755" s="71" t="e">
        <f>#REF!+(#REF!*2)+#REF!</f>
        <v>#REF!</v>
      </c>
    </row>
    <row r="756" spans="1:12" x14ac:dyDescent="0.25">
      <c r="A756" s="328" t="e">
        <f>VLOOKUP(Tabla5[[#This Row],[Acción
&lt;&lt; Seleccionar&gt;&gt;]],TablaAccion[[#All],[Nombre_Abreviado]:[Codigo_Plan_Acción]],3,0)</f>
        <v>#N/A</v>
      </c>
      <c r="B756" s="328" t="e">
        <f>VLOOKUP(Tabla5[[#This Row],[Acción Especifica
&lt;&lt; Seleccionar&gt;&gt;]],TablaAccionEspecifica[[#All],[Nombre_Abreviado]:[Codigo_Acción]],3,0)</f>
        <v>#N/A</v>
      </c>
      <c r="C756" s="328" t="e">
        <f>CONCATENATE(Tabla18[[#This Row],[Bus_02]],"_",Tabla5[[#This Row],[Sub Acción Específica
&lt;&lt; Seleccionar&gt;&gt;]])</f>
        <v>#N/A</v>
      </c>
      <c r="D756" s="328" t="e">
        <f>VLOOKUP(Tabla18[[#This Row],[Aux_01]],TablaSubAccionEspecifica[[#All],[Concat]:[Cod_Sub_acción_especifica]],2,0)</f>
        <v>#N/A</v>
      </c>
      <c r="E756" s="328" t="e">
        <f>Tabla18[[#This Row],[Bus_03]]&amp;"_"&amp;Tabla5[[#This Row],[Tipo de Agente
&lt;&lt; Seleccionar&gt;&gt;]]</f>
        <v>#N/A</v>
      </c>
      <c r="F756" s="328" t="e">
        <f>VLOOKUP(Tabla18[[#This Row],[Concat2]],TablaPOA[[#All],[Concat]:[ConcatEspecial]],3,0)</f>
        <v>#N/A</v>
      </c>
      <c r="G756" s="65" t="str">
        <f>CONCATENATE(Registro!$A$6,"_",Tabla5[[#This Row],[Zona (Provincia)
&lt;&lt; Seleccionar&gt;&gt;]])</f>
        <v>Huánuco_</v>
      </c>
      <c r="H756" s="60" t="e">
        <f>VLOOKUP(Tabla18[[#This Row],[Concatenado***]],Tabla2[[#All],[Concatenado]:[Simbología*]],2,0)</f>
        <v>#N/A</v>
      </c>
      <c r="I756" s="65" t="str">
        <f>CONCATENATE(Tabla18[[#This Row],[Concatenado***]],"_",Tabla5[[#This Row],[Zona (Distrito)
&lt;&lt; Seleccionar&gt;&gt;]])</f>
        <v>Huánuco__</v>
      </c>
      <c r="J7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6" s="72" t="e">
        <f>VLOOKUP(Tabla5[[#This Row],[Tipo de Transporte Empleado
&lt;&lt; Seleccionar&gt;&gt;]],Tabla8[#All],2,0)</f>
        <v>#N/A</v>
      </c>
      <c r="L756" s="71" t="e">
        <f>#REF!+(#REF!*2)+#REF!</f>
        <v>#REF!</v>
      </c>
    </row>
    <row r="757" spans="1:12" x14ac:dyDescent="0.25">
      <c r="A757" s="328" t="e">
        <f>VLOOKUP(Tabla5[[#This Row],[Acción
&lt;&lt; Seleccionar&gt;&gt;]],TablaAccion[[#All],[Nombre_Abreviado]:[Codigo_Plan_Acción]],3,0)</f>
        <v>#N/A</v>
      </c>
      <c r="B757" s="328" t="e">
        <f>VLOOKUP(Tabla5[[#This Row],[Acción Especifica
&lt;&lt; Seleccionar&gt;&gt;]],TablaAccionEspecifica[[#All],[Nombre_Abreviado]:[Codigo_Acción]],3,0)</f>
        <v>#N/A</v>
      </c>
      <c r="C757" s="328" t="e">
        <f>CONCATENATE(Tabla18[[#This Row],[Bus_02]],"_",Tabla5[[#This Row],[Sub Acción Específica
&lt;&lt; Seleccionar&gt;&gt;]])</f>
        <v>#N/A</v>
      </c>
      <c r="D757" s="328" t="e">
        <f>VLOOKUP(Tabla18[[#This Row],[Aux_01]],TablaSubAccionEspecifica[[#All],[Concat]:[Cod_Sub_acción_especifica]],2,0)</f>
        <v>#N/A</v>
      </c>
      <c r="E757" s="328" t="e">
        <f>Tabla18[[#This Row],[Bus_03]]&amp;"_"&amp;Tabla5[[#This Row],[Tipo de Agente
&lt;&lt; Seleccionar&gt;&gt;]]</f>
        <v>#N/A</v>
      </c>
      <c r="F757" s="328" t="e">
        <f>VLOOKUP(Tabla18[[#This Row],[Concat2]],TablaPOA[[#All],[Concat]:[ConcatEspecial]],3,0)</f>
        <v>#N/A</v>
      </c>
      <c r="G757" s="65" t="str">
        <f>CONCATENATE(Registro!$A$6,"_",Tabla5[[#This Row],[Zona (Provincia)
&lt;&lt; Seleccionar&gt;&gt;]])</f>
        <v>Huánuco_</v>
      </c>
      <c r="H757" s="60" t="e">
        <f>VLOOKUP(Tabla18[[#This Row],[Concatenado***]],Tabla2[[#All],[Concatenado]:[Simbología*]],2,0)</f>
        <v>#N/A</v>
      </c>
      <c r="I757" s="65" t="str">
        <f>CONCATENATE(Tabla18[[#This Row],[Concatenado***]],"_",Tabla5[[#This Row],[Zona (Distrito)
&lt;&lt; Seleccionar&gt;&gt;]])</f>
        <v>Huánuco__</v>
      </c>
      <c r="J7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7" s="72" t="e">
        <f>VLOOKUP(Tabla5[[#This Row],[Tipo de Transporte Empleado
&lt;&lt; Seleccionar&gt;&gt;]],Tabla8[#All],2,0)</f>
        <v>#N/A</v>
      </c>
      <c r="L757" s="71" t="e">
        <f>#REF!+(#REF!*2)+#REF!</f>
        <v>#REF!</v>
      </c>
    </row>
    <row r="758" spans="1:12" x14ac:dyDescent="0.25">
      <c r="A758" s="328" t="e">
        <f>VLOOKUP(Tabla5[[#This Row],[Acción
&lt;&lt; Seleccionar&gt;&gt;]],TablaAccion[[#All],[Nombre_Abreviado]:[Codigo_Plan_Acción]],3,0)</f>
        <v>#N/A</v>
      </c>
      <c r="B758" s="328" t="e">
        <f>VLOOKUP(Tabla5[[#This Row],[Acción Especifica
&lt;&lt; Seleccionar&gt;&gt;]],TablaAccionEspecifica[[#All],[Nombre_Abreviado]:[Codigo_Acción]],3,0)</f>
        <v>#N/A</v>
      </c>
      <c r="C758" s="328" t="e">
        <f>CONCATENATE(Tabla18[[#This Row],[Bus_02]],"_",Tabla5[[#This Row],[Sub Acción Específica
&lt;&lt; Seleccionar&gt;&gt;]])</f>
        <v>#N/A</v>
      </c>
      <c r="D758" s="328" t="e">
        <f>VLOOKUP(Tabla18[[#This Row],[Aux_01]],TablaSubAccionEspecifica[[#All],[Concat]:[Cod_Sub_acción_especifica]],2,0)</f>
        <v>#N/A</v>
      </c>
      <c r="E758" s="328" t="e">
        <f>Tabla18[[#This Row],[Bus_03]]&amp;"_"&amp;Tabla5[[#This Row],[Tipo de Agente
&lt;&lt; Seleccionar&gt;&gt;]]</f>
        <v>#N/A</v>
      </c>
      <c r="F758" s="328" t="e">
        <f>VLOOKUP(Tabla18[[#This Row],[Concat2]],TablaPOA[[#All],[Concat]:[ConcatEspecial]],3,0)</f>
        <v>#N/A</v>
      </c>
      <c r="G758" s="65" t="str">
        <f>CONCATENATE(Registro!$A$6,"_",Tabla5[[#This Row],[Zona (Provincia)
&lt;&lt; Seleccionar&gt;&gt;]])</f>
        <v>Huánuco_</v>
      </c>
      <c r="H758" s="60" t="e">
        <f>VLOOKUP(Tabla18[[#This Row],[Concatenado***]],Tabla2[[#All],[Concatenado]:[Simbología*]],2,0)</f>
        <v>#N/A</v>
      </c>
      <c r="I758" s="65" t="str">
        <f>CONCATENATE(Tabla18[[#This Row],[Concatenado***]],"_",Tabla5[[#This Row],[Zona (Distrito)
&lt;&lt; Seleccionar&gt;&gt;]])</f>
        <v>Huánuco__</v>
      </c>
      <c r="J7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8" s="72" t="e">
        <f>VLOOKUP(Tabla5[[#This Row],[Tipo de Transporte Empleado
&lt;&lt; Seleccionar&gt;&gt;]],Tabla8[#All],2,0)</f>
        <v>#N/A</v>
      </c>
      <c r="L758" s="71" t="e">
        <f>#REF!+(#REF!*2)+#REF!</f>
        <v>#REF!</v>
      </c>
    </row>
    <row r="759" spans="1:12" x14ac:dyDescent="0.25">
      <c r="A759" s="328" t="e">
        <f>VLOOKUP(Tabla5[[#This Row],[Acción
&lt;&lt; Seleccionar&gt;&gt;]],TablaAccion[[#All],[Nombre_Abreviado]:[Codigo_Plan_Acción]],3,0)</f>
        <v>#N/A</v>
      </c>
      <c r="B759" s="328" t="e">
        <f>VLOOKUP(Tabla5[[#This Row],[Acción Especifica
&lt;&lt; Seleccionar&gt;&gt;]],TablaAccionEspecifica[[#All],[Nombre_Abreviado]:[Codigo_Acción]],3,0)</f>
        <v>#N/A</v>
      </c>
      <c r="C759" s="328" t="e">
        <f>CONCATENATE(Tabla18[[#This Row],[Bus_02]],"_",Tabla5[[#This Row],[Sub Acción Específica
&lt;&lt; Seleccionar&gt;&gt;]])</f>
        <v>#N/A</v>
      </c>
      <c r="D759" s="328" t="e">
        <f>VLOOKUP(Tabla18[[#This Row],[Aux_01]],TablaSubAccionEspecifica[[#All],[Concat]:[Cod_Sub_acción_especifica]],2,0)</f>
        <v>#N/A</v>
      </c>
      <c r="E759" s="328" t="e">
        <f>Tabla18[[#This Row],[Bus_03]]&amp;"_"&amp;Tabla5[[#This Row],[Tipo de Agente
&lt;&lt; Seleccionar&gt;&gt;]]</f>
        <v>#N/A</v>
      </c>
      <c r="F759" s="328" t="e">
        <f>VLOOKUP(Tabla18[[#This Row],[Concat2]],TablaPOA[[#All],[Concat]:[ConcatEspecial]],3,0)</f>
        <v>#N/A</v>
      </c>
      <c r="G759" s="65" t="str">
        <f>CONCATENATE(Registro!$A$6,"_",Tabla5[[#This Row],[Zona (Provincia)
&lt;&lt; Seleccionar&gt;&gt;]])</f>
        <v>Huánuco_</v>
      </c>
      <c r="H759" s="60" t="e">
        <f>VLOOKUP(Tabla18[[#This Row],[Concatenado***]],Tabla2[[#All],[Concatenado]:[Simbología*]],2,0)</f>
        <v>#N/A</v>
      </c>
      <c r="I759" s="65" t="str">
        <f>CONCATENATE(Tabla18[[#This Row],[Concatenado***]],"_",Tabla5[[#This Row],[Zona (Distrito)
&lt;&lt; Seleccionar&gt;&gt;]])</f>
        <v>Huánuco__</v>
      </c>
      <c r="J7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9" s="72" t="e">
        <f>VLOOKUP(Tabla5[[#This Row],[Tipo de Transporte Empleado
&lt;&lt; Seleccionar&gt;&gt;]],Tabla8[#All],2,0)</f>
        <v>#N/A</v>
      </c>
      <c r="L759" s="71" t="e">
        <f>#REF!+(#REF!*2)+#REF!</f>
        <v>#REF!</v>
      </c>
    </row>
    <row r="760" spans="1:12" x14ac:dyDescent="0.25">
      <c r="A760" s="328" t="e">
        <f>VLOOKUP(Tabla5[[#This Row],[Acción
&lt;&lt; Seleccionar&gt;&gt;]],TablaAccion[[#All],[Nombre_Abreviado]:[Codigo_Plan_Acción]],3,0)</f>
        <v>#N/A</v>
      </c>
      <c r="B760" s="328" t="e">
        <f>VLOOKUP(Tabla5[[#This Row],[Acción Especifica
&lt;&lt; Seleccionar&gt;&gt;]],TablaAccionEspecifica[[#All],[Nombre_Abreviado]:[Codigo_Acción]],3,0)</f>
        <v>#N/A</v>
      </c>
      <c r="C760" s="328" t="e">
        <f>CONCATENATE(Tabla18[[#This Row],[Bus_02]],"_",Tabla5[[#This Row],[Sub Acción Específica
&lt;&lt; Seleccionar&gt;&gt;]])</f>
        <v>#N/A</v>
      </c>
      <c r="D760" s="328" t="e">
        <f>VLOOKUP(Tabla18[[#This Row],[Aux_01]],TablaSubAccionEspecifica[[#All],[Concat]:[Cod_Sub_acción_especifica]],2,0)</f>
        <v>#N/A</v>
      </c>
      <c r="E760" s="328" t="e">
        <f>Tabla18[[#This Row],[Bus_03]]&amp;"_"&amp;Tabla5[[#This Row],[Tipo de Agente
&lt;&lt; Seleccionar&gt;&gt;]]</f>
        <v>#N/A</v>
      </c>
      <c r="F760" s="328" t="e">
        <f>VLOOKUP(Tabla18[[#This Row],[Concat2]],TablaPOA[[#All],[Concat]:[ConcatEspecial]],3,0)</f>
        <v>#N/A</v>
      </c>
      <c r="G760" s="65" t="str">
        <f>CONCATENATE(Registro!$A$6,"_",Tabla5[[#This Row],[Zona (Provincia)
&lt;&lt; Seleccionar&gt;&gt;]])</f>
        <v>Huánuco_</v>
      </c>
      <c r="H760" s="60" t="e">
        <f>VLOOKUP(Tabla18[[#This Row],[Concatenado***]],Tabla2[[#All],[Concatenado]:[Simbología*]],2,0)</f>
        <v>#N/A</v>
      </c>
      <c r="I760" s="65" t="str">
        <f>CONCATENATE(Tabla18[[#This Row],[Concatenado***]],"_",Tabla5[[#This Row],[Zona (Distrito)
&lt;&lt; Seleccionar&gt;&gt;]])</f>
        <v>Huánuco__</v>
      </c>
      <c r="J7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0" s="72" t="e">
        <f>VLOOKUP(Tabla5[[#This Row],[Tipo de Transporte Empleado
&lt;&lt; Seleccionar&gt;&gt;]],Tabla8[#All],2,0)</f>
        <v>#N/A</v>
      </c>
      <c r="L760" s="71" t="e">
        <f>#REF!+(#REF!*2)+#REF!</f>
        <v>#REF!</v>
      </c>
    </row>
    <row r="761" spans="1:12" x14ac:dyDescent="0.25">
      <c r="A761" s="328" t="e">
        <f>VLOOKUP(Tabla5[[#This Row],[Acción
&lt;&lt; Seleccionar&gt;&gt;]],TablaAccion[[#All],[Nombre_Abreviado]:[Codigo_Plan_Acción]],3,0)</f>
        <v>#N/A</v>
      </c>
      <c r="B761" s="328" t="e">
        <f>VLOOKUP(Tabla5[[#This Row],[Acción Especifica
&lt;&lt; Seleccionar&gt;&gt;]],TablaAccionEspecifica[[#All],[Nombre_Abreviado]:[Codigo_Acción]],3,0)</f>
        <v>#N/A</v>
      </c>
      <c r="C761" s="328" t="e">
        <f>CONCATENATE(Tabla18[[#This Row],[Bus_02]],"_",Tabla5[[#This Row],[Sub Acción Específica
&lt;&lt; Seleccionar&gt;&gt;]])</f>
        <v>#N/A</v>
      </c>
      <c r="D761" s="328" t="e">
        <f>VLOOKUP(Tabla18[[#This Row],[Aux_01]],TablaSubAccionEspecifica[[#All],[Concat]:[Cod_Sub_acción_especifica]],2,0)</f>
        <v>#N/A</v>
      </c>
      <c r="E761" s="328" t="e">
        <f>Tabla18[[#This Row],[Bus_03]]&amp;"_"&amp;Tabla5[[#This Row],[Tipo de Agente
&lt;&lt; Seleccionar&gt;&gt;]]</f>
        <v>#N/A</v>
      </c>
      <c r="F761" s="328" t="e">
        <f>VLOOKUP(Tabla18[[#This Row],[Concat2]],TablaPOA[[#All],[Concat]:[ConcatEspecial]],3,0)</f>
        <v>#N/A</v>
      </c>
      <c r="G761" s="65" t="str">
        <f>CONCATENATE(Registro!$A$6,"_",Tabla5[[#This Row],[Zona (Provincia)
&lt;&lt; Seleccionar&gt;&gt;]])</f>
        <v>Huánuco_</v>
      </c>
      <c r="H761" s="60" t="e">
        <f>VLOOKUP(Tabla18[[#This Row],[Concatenado***]],Tabla2[[#All],[Concatenado]:[Simbología*]],2,0)</f>
        <v>#N/A</v>
      </c>
      <c r="I761" s="65" t="str">
        <f>CONCATENATE(Tabla18[[#This Row],[Concatenado***]],"_",Tabla5[[#This Row],[Zona (Distrito)
&lt;&lt; Seleccionar&gt;&gt;]])</f>
        <v>Huánuco__</v>
      </c>
      <c r="J7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1" s="72" t="e">
        <f>VLOOKUP(Tabla5[[#This Row],[Tipo de Transporte Empleado
&lt;&lt; Seleccionar&gt;&gt;]],Tabla8[#All],2,0)</f>
        <v>#N/A</v>
      </c>
      <c r="L761" s="71" t="e">
        <f>#REF!+(#REF!*2)+#REF!</f>
        <v>#REF!</v>
      </c>
    </row>
    <row r="762" spans="1:12" x14ac:dyDescent="0.25">
      <c r="A762" s="328" t="e">
        <f>VLOOKUP(Tabla5[[#This Row],[Acción
&lt;&lt; Seleccionar&gt;&gt;]],TablaAccion[[#All],[Nombre_Abreviado]:[Codigo_Plan_Acción]],3,0)</f>
        <v>#N/A</v>
      </c>
      <c r="B762" s="328" t="e">
        <f>VLOOKUP(Tabla5[[#This Row],[Acción Especifica
&lt;&lt; Seleccionar&gt;&gt;]],TablaAccionEspecifica[[#All],[Nombre_Abreviado]:[Codigo_Acción]],3,0)</f>
        <v>#N/A</v>
      </c>
      <c r="C762" s="328" t="e">
        <f>CONCATENATE(Tabla18[[#This Row],[Bus_02]],"_",Tabla5[[#This Row],[Sub Acción Específica
&lt;&lt; Seleccionar&gt;&gt;]])</f>
        <v>#N/A</v>
      </c>
      <c r="D762" s="328" t="e">
        <f>VLOOKUP(Tabla18[[#This Row],[Aux_01]],TablaSubAccionEspecifica[[#All],[Concat]:[Cod_Sub_acción_especifica]],2,0)</f>
        <v>#N/A</v>
      </c>
      <c r="E762" s="328" t="e">
        <f>Tabla18[[#This Row],[Bus_03]]&amp;"_"&amp;Tabla5[[#This Row],[Tipo de Agente
&lt;&lt; Seleccionar&gt;&gt;]]</f>
        <v>#N/A</v>
      </c>
      <c r="F762" s="328" t="e">
        <f>VLOOKUP(Tabla18[[#This Row],[Concat2]],TablaPOA[[#All],[Concat]:[ConcatEspecial]],3,0)</f>
        <v>#N/A</v>
      </c>
      <c r="G762" s="65" t="str">
        <f>CONCATENATE(Registro!$A$6,"_",Tabla5[[#This Row],[Zona (Provincia)
&lt;&lt; Seleccionar&gt;&gt;]])</f>
        <v>Huánuco_</v>
      </c>
      <c r="H762" s="60" t="e">
        <f>VLOOKUP(Tabla18[[#This Row],[Concatenado***]],Tabla2[[#All],[Concatenado]:[Simbología*]],2,0)</f>
        <v>#N/A</v>
      </c>
      <c r="I762" s="65" t="str">
        <f>CONCATENATE(Tabla18[[#This Row],[Concatenado***]],"_",Tabla5[[#This Row],[Zona (Distrito)
&lt;&lt; Seleccionar&gt;&gt;]])</f>
        <v>Huánuco__</v>
      </c>
      <c r="J7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2" s="72" t="e">
        <f>VLOOKUP(Tabla5[[#This Row],[Tipo de Transporte Empleado
&lt;&lt; Seleccionar&gt;&gt;]],Tabla8[#All],2,0)</f>
        <v>#N/A</v>
      </c>
      <c r="L762" s="71" t="e">
        <f>#REF!+(#REF!*2)+#REF!</f>
        <v>#REF!</v>
      </c>
    </row>
    <row r="763" spans="1:12" x14ac:dyDescent="0.25">
      <c r="A763" s="328" t="e">
        <f>VLOOKUP(Tabla5[[#This Row],[Acción
&lt;&lt; Seleccionar&gt;&gt;]],TablaAccion[[#All],[Nombre_Abreviado]:[Codigo_Plan_Acción]],3,0)</f>
        <v>#N/A</v>
      </c>
      <c r="B763" s="328" t="e">
        <f>VLOOKUP(Tabla5[[#This Row],[Acción Especifica
&lt;&lt; Seleccionar&gt;&gt;]],TablaAccionEspecifica[[#All],[Nombre_Abreviado]:[Codigo_Acción]],3,0)</f>
        <v>#N/A</v>
      </c>
      <c r="C763" s="328" t="e">
        <f>CONCATENATE(Tabla18[[#This Row],[Bus_02]],"_",Tabla5[[#This Row],[Sub Acción Específica
&lt;&lt; Seleccionar&gt;&gt;]])</f>
        <v>#N/A</v>
      </c>
      <c r="D763" s="328" t="e">
        <f>VLOOKUP(Tabla18[[#This Row],[Aux_01]],TablaSubAccionEspecifica[[#All],[Concat]:[Cod_Sub_acción_especifica]],2,0)</f>
        <v>#N/A</v>
      </c>
      <c r="E763" s="328" t="e">
        <f>Tabla18[[#This Row],[Bus_03]]&amp;"_"&amp;Tabla5[[#This Row],[Tipo de Agente
&lt;&lt; Seleccionar&gt;&gt;]]</f>
        <v>#N/A</v>
      </c>
      <c r="F763" s="328" t="e">
        <f>VLOOKUP(Tabla18[[#This Row],[Concat2]],TablaPOA[[#All],[Concat]:[ConcatEspecial]],3,0)</f>
        <v>#N/A</v>
      </c>
      <c r="G763" s="65" t="str">
        <f>CONCATENATE(Registro!$A$6,"_",Tabla5[[#This Row],[Zona (Provincia)
&lt;&lt; Seleccionar&gt;&gt;]])</f>
        <v>Huánuco_</v>
      </c>
      <c r="H763" s="60" t="e">
        <f>VLOOKUP(Tabla18[[#This Row],[Concatenado***]],Tabla2[[#All],[Concatenado]:[Simbología*]],2,0)</f>
        <v>#N/A</v>
      </c>
      <c r="I763" s="65" t="str">
        <f>CONCATENATE(Tabla18[[#This Row],[Concatenado***]],"_",Tabla5[[#This Row],[Zona (Distrito)
&lt;&lt; Seleccionar&gt;&gt;]])</f>
        <v>Huánuco__</v>
      </c>
      <c r="J7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3" s="72" t="e">
        <f>VLOOKUP(Tabla5[[#This Row],[Tipo de Transporte Empleado
&lt;&lt; Seleccionar&gt;&gt;]],Tabla8[#All],2,0)</f>
        <v>#N/A</v>
      </c>
      <c r="L763" s="71" t="e">
        <f>#REF!+(#REF!*2)+#REF!</f>
        <v>#REF!</v>
      </c>
    </row>
    <row r="764" spans="1:12" x14ac:dyDescent="0.25">
      <c r="A764" s="328" t="e">
        <f>VLOOKUP(Tabla5[[#This Row],[Acción
&lt;&lt; Seleccionar&gt;&gt;]],TablaAccion[[#All],[Nombre_Abreviado]:[Codigo_Plan_Acción]],3,0)</f>
        <v>#N/A</v>
      </c>
      <c r="B764" s="328" t="e">
        <f>VLOOKUP(Tabla5[[#This Row],[Acción Especifica
&lt;&lt; Seleccionar&gt;&gt;]],TablaAccionEspecifica[[#All],[Nombre_Abreviado]:[Codigo_Acción]],3,0)</f>
        <v>#N/A</v>
      </c>
      <c r="C764" s="328" t="e">
        <f>CONCATENATE(Tabla18[[#This Row],[Bus_02]],"_",Tabla5[[#This Row],[Sub Acción Específica
&lt;&lt; Seleccionar&gt;&gt;]])</f>
        <v>#N/A</v>
      </c>
      <c r="D764" s="328" t="e">
        <f>VLOOKUP(Tabla18[[#This Row],[Aux_01]],TablaSubAccionEspecifica[[#All],[Concat]:[Cod_Sub_acción_especifica]],2,0)</f>
        <v>#N/A</v>
      </c>
      <c r="E764" s="328" t="e">
        <f>Tabla18[[#This Row],[Bus_03]]&amp;"_"&amp;Tabla5[[#This Row],[Tipo de Agente
&lt;&lt; Seleccionar&gt;&gt;]]</f>
        <v>#N/A</v>
      </c>
      <c r="F764" s="328" t="e">
        <f>VLOOKUP(Tabla18[[#This Row],[Concat2]],TablaPOA[[#All],[Concat]:[ConcatEspecial]],3,0)</f>
        <v>#N/A</v>
      </c>
      <c r="G764" s="65" t="str">
        <f>CONCATENATE(Registro!$A$6,"_",Tabla5[[#This Row],[Zona (Provincia)
&lt;&lt; Seleccionar&gt;&gt;]])</f>
        <v>Huánuco_</v>
      </c>
      <c r="H764" s="60" t="e">
        <f>VLOOKUP(Tabla18[[#This Row],[Concatenado***]],Tabla2[[#All],[Concatenado]:[Simbología*]],2,0)</f>
        <v>#N/A</v>
      </c>
      <c r="I764" s="65" t="str">
        <f>CONCATENATE(Tabla18[[#This Row],[Concatenado***]],"_",Tabla5[[#This Row],[Zona (Distrito)
&lt;&lt; Seleccionar&gt;&gt;]])</f>
        <v>Huánuco__</v>
      </c>
      <c r="J7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4" s="72" t="e">
        <f>VLOOKUP(Tabla5[[#This Row],[Tipo de Transporte Empleado
&lt;&lt; Seleccionar&gt;&gt;]],Tabla8[#All],2,0)</f>
        <v>#N/A</v>
      </c>
      <c r="L764" s="71" t="e">
        <f>#REF!+(#REF!*2)+#REF!</f>
        <v>#REF!</v>
      </c>
    </row>
    <row r="765" spans="1:12" x14ac:dyDescent="0.25">
      <c r="A765" s="328" t="e">
        <f>VLOOKUP(Tabla5[[#This Row],[Acción
&lt;&lt; Seleccionar&gt;&gt;]],TablaAccion[[#All],[Nombre_Abreviado]:[Codigo_Plan_Acción]],3,0)</f>
        <v>#N/A</v>
      </c>
      <c r="B765" s="328" t="e">
        <f>VLOOKUP(Tabla5[[#This Row],[Acción Especifica
&lt;&lt; Seleccionar&gt;&gt;]],TablaAccionEspecifica[[#All],[Nombre_Abreviado]:[Codigo_Acción]],3,0)</f>
        <v>#N/A</v>
      </c>
      <c r="C765" s="328" t="e">
        <f>CONCATENATE(Tabla18[[#This Row],[Bus_02]],"_",Tabla5[[#This Row],[Sub Acción Específica
&lt;&lt; Seleccionar&gt;&gt;]])</f>
        <v>#N/A</v>
      </c>
      <c r="D765" s="328" t="e">
        <f>VLOOKUP(Tabla18[[#This Row],[Aux_01]],TablaSubAccionEspecifica[[#All],[Concat]:[Cod_Sub_acción_especifica]],2,0)</f>
        <v>#N/A</v>
      </c>
      <c r="E765" s="328" t="e">
        <f>Tabla18[[#This Row],[Bus_03]]&amp;"_"&amp;Tabla5[[#This Row],[Tipo de Agente
&lt;&lt; Seleccionar&gt;&gt;]]</f>
        <v>#N/A</v>
      </c>
      <c r="F765" s="328" t="e">
        <f>VLOOKUP(Tabla18[[#This Row],[Concat2]],TablaPOA[[#All],[Concat]:[ConcatEspecial]],3,0)</f>
        <v>#N/A</v>
      </c>
      <c r="G765" s="65" t="str">
        <f>CONCATENATE(Registro!$A$6,"_",Tabla5[[#This Row],[Zona (Provincia)
&lt;&lt; Seleccionar&gt;&gt;]])</f>
        <v>Huánuco_</v>
      </c>
      <c r="H765" s="60" t="e">
        <f>VLOOKUP(Tabla18[[#This Row],[Concatenado***]],Tabla2[[#All],[Concatenado]:[Simbología*]],2,0)</f>
        <v>#N/A</v>
      </c>
      <c r="I765" s="65" t="str">
        <f>CONCATENATE(Tabla18[[#This Row],[Concatenado***]],"_",Tabla5[[#This Row],[Zona (Distrito)
&lt;&lt; Seleccionar&gt;&gt;]])</f>
        <v>Huánuco__</v>
      </c>
      <c r="J7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5" s="72" t="e">
        <f>VLOOKUP(Tabla5[[#This Row],[Tipo de Transporte Empleado
&lt;&lt; Seleccionar&gt;&gt;]],Tabla8[#All],2,0)</f>
        <v>#N/A</v>
      </c>
      <c r="L765" s="71" t="e">
        <f>#REF!+(#REF!*2)+#REF!</f>
        <v>#REF!</v>
      </c>
    </row>
    <row r="766" spans="1:12" x14ac:dyDescent="0.25">
      <c r="A766" s="328" t="e">
        <f>VLOOKUP(Tabla5[[#This Row],[Acción
&lt;&lt; Seleccionar&gt;&gt;]],TablaAccion[[#All],[Nombre_Abreviado]:[Codigo_Plan_Acción]],3,0)</f>
        <v>#N/A</v>
      </c>
      <c r="B766" s="328" t="e">
        <f>VLOOKUP(Tabla5[[#This Row],[Acción Especifica
&lt;&lt; Seleccionar&gt;&gt;]],TablaAccionEspecifica[[#All],[Nombre_Abreviado]:[Codigo_Acción]],3,0)</f>
        <v>#N/A</v>
      </c>
      <c r="C766" s="328" t="e">
        <f>CONCATENATE(Tabla18[[#This Row],[Bus_02]],"_",Tabla5[[#This Row],[Sub Acción Específica
&lt;&lt; Seleccionar&gt;&gt;]])</f>
        <v>#N/A</v>
      </c>
      <c r="D766" s="328" t="e">
        <f>VLOOKUP(Tabla18[[#This Row],[Aux_01]],TablaSubAccionEspecifica[[#All],[Concat]:[Cod_Sub_acción_especifica]],2,0)</f>
        <v>#N/A</v>
      </c>
      <c r="E766" s="328" t="e">
        <f>Tabla18[[#This Row],[Bus_03]]&amp;"_"&amp;Tabla5[[#This Row],[Tipo de Agente
&lt;&lt; Seleccionar&gt;&gt;]]</f>
        <v>#N/A</v>
      </c>
      <c r="F766" s="328" t="e">
        <f>VLOOKUP(Tabla18[[#This Row],[Concat2]],TablaPOA[[#All],[Concat]:[ConcatEspecial]],3,0)</f>
        <v>#N/A</v>
      </c>
      <c r="G766" s="65" t="str">
        <f>CONCATENATE(Registro!$A$6,"_",Tabla5[[#This Row],[Zona (Provincia)
&lt;&lt; Seleccionar&gt;&gt;]])</f>
        <v>Huánuco_</v>
      </c>
      <c r="H766" s="60" t="e">
        <f>VLOOKUP(Tabla18[[#This Row],[Concatenado***]],Tabla2[[#All],[Concatenado]:[Simbología*]],2,0)</f>
        <v>#N/A</v>
      </c>
      <c r="I766" s="65" t="str">
        <f>CONCATENATE(Tabla18[[#This Row],[Concatenado***]],"_",Tabla5[[#This Row],[Zona (Distrito)
&lt;&lt; Seleccionar&gt;&gt;]])</f>
        <v>Huánuco__</v>
      </c>
      <c r="J7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6" s="72" t="e">
        <f>VLOOKUP(Tabla5[[#This Row],[Tipo de Transporte Empleado
&lt;&lt; Seleccionar&gt;&gt;]],Tabla8[#All],2,0)</f>
        <v>#N/A</v>
      </c>
      <c r="L766" s="71" t="e">
        <f>#REF!+(#REF!*2)+#REF!</f>
        <v>#REF!</v>
      </c>
    </row>
    <row r="767" spans="1:12" x14ac:dyDescent="0.25">
      <c r="A767" s="328" t="e">
        <f>VLOOKUP(Tabla5[[#This Row],[Acción
&lt;&lt; Seleccionar&gt;&gt;]],TablaAccion[[#All],[Nombre_Abreviado]:[Codigo_Plan_Acción]],3,0)</f>
        <v>#N/A</v>
      </c>
      <c r="B767" s="328" t="e">
        <f>VLOOKUP(Tabla5[[#This Row],[Acción Especifica
&lt;&lt; Seleccionar&gt;&gt;]],TablaAccionEspecifica[[#All],[Nombre_Abreviado]:[Codigo_Acción]],3,0)</f>
        <v>#N/A</v>
      </c>
      <c r="C767" s="328" t="e">
        <f>CONCATENATE(Tabla18[[#This Row],[Bus_02]],"_",Tabla5[[#This Row],[Sub Acción Específica
&lt;&lt; Seleccionar&gt;&gt;]])</f>
        <v>#N/A</v>
      </c>
      <c r="D767" s="328" t="e">
        <f>VLOOKUP(Tabla18[[#This Row],[Aux_01]],TablaSubAccionEspecifica[[#All],[Concat]:[Cod_Sub_acción_especifica]],2,0)</f>
        <v>#N/A</v>
      </c>
      <c r="E767" s="328" t="e">
        <f>Tabla18[[#This Row],[Bus_03]]&amp;"_"&amp;Tabla5[[#This Row],[Tipo de Agente
&lt;&lt; Seleccionar&gt;&gt;]]</f>
        <v>#N/A</v>
      </c>
      <c r="F767" s="328" t="e">
        <f>VLOOKUP(Tabla18[[#This Row],[Concat2]],TablaPOA[[#All],[Concat]:[ConcatEspecial]],3,0)</f>
        <v>#N/A</v>
      </c>
      <c r="G767" s="65" t="str">
        <f>CONCATENATE(Registro!$A$6,"_",Tabla5[[#This Row],[Zona (Provincia)
&lt;&lt; Seleccionar&gt;&gt;]])</f>
        <v>Huánuco_</v>
      </c>
      <c r="H767" s="60" t="e">
        <f>VLOOKUP(Tabla18[[#This Row],[Concatenado***]],Tabla2[[#All],[Concatenado]:[Simbología*]],2,0)</f>
        <v>#N/A</v>
      </c>
      <c r="I767" s="65" t="str">
        <f>CONCATENATE(Tabla18[[#This Row],[Concatenado***]],"_",Tabla5[[#This Row],[Zona (Distrito)
&lt;&lt; Seleccionar&gt;&gt;]])</f>
        <v>Huánuco__</v>
      </c>
      <c r="J7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7" s="72" t="e">
        <f>VLOOKUP(Tabla5[[#This Row],[Tipo de Transporte Empleado
&lt;&lt; Seleccionar&gt;&gt;]],Tabla8[#All],2,0)</f>
        <v>#N/A</v>
      </c>
      <c r="L767" s="71" t="e">
        <f>#REF!+(#REF!*2)+#REF!</f>
        <v>#REF!</v>
      </c>
    </row>
    <row r="768" spans="1:12" x14ac:dyDescent="0.25">
      <c r="A768" s="328" t="e">
        <f>VLOOKUP(Tabla5[[#This Row],[Acción
&lt;&lt; Seleccionar&gt;&gt;]],TablaAccion[[#All],[Nombre_Abreviado]:[Codigo_Plan_Acción]],3,0)</f>
        <v>#N/A</v>
      </c>
      <c r="B768" s="328" t="e">
        <f>VLOOKUP(Tabla5[[#This Row],[Acción Especifica
&lt;&lt; Seleccionar&gt;&gt;]],TablaAccionEspecifica[[#All],[Nombre_Abreviado]:[Codigo_Acción]],3,0)</f>
        <v>#N/A</v>
      </c>
      <c r="C768" s="328" t="e">
        <f>CONCATENATE(Tabla18[[#This Row],[Bus_02]],"_",Tabla5[[#This Row],[Sub Acción Específica
&lt;&lt; Seleccionar&gt;&gt;]])</f>
        <v>#N/A</v>
      </c>
      <c r="D768" s="328" t="e">
        <f>VLOOKUP(Tabla18[[#This Row],[Aux_01]],TablaSubAccionEspecifica[[#All],[Concat]:[Cod_Sub_acción_especifica]],2,0)</f>
        <v>#N/A</v>
      </c>
      <c r="E768" s="328" t="e">
        <f>Tabla18[[#This Row],[Bus_03]]&amp;"_"&amp;Tabla5[[#This Row],[Tipo de Agente
&lt;&lt; Seleccionar&gt;&gt;]]</f>
        <v>#N/A</v>
      </c>
      <c r="F768" s="328" t="e">
        <f>VLOOKUP(Tabla18[[#This Row],[Concat2]],TablaPOA[[#All],[Concat]:[ConcatEspecial]],3,0)</f>
        <v>#N/A</v>
      </c>
      <c r="G768" s="65" t="str">
        <f>CONCATENATE(Registro!$A$6,"_",Tabla5[[#This Row],[Zona (Provincia)
&lt;&lt; Seleccionar&gt;&gt;]])</f>
        <v>Huánuco_</v>
      </c>
      <c r="H768" s="60" t="e">
        <f>VLOOKUP(Tabla18[[#This Row],[Concatenado***]],Tabla2[[#All],[Concatenado]:[Simbología*]],2,0)</f>
        <v>#N/A</v>
      </c>
      <c r="I768" s="65" t="str">
        <f>CONCATENATE(Tabla18[[#This Row],[Concatenado***]],"_",Tabla5[[#This Row],[Zona (Distrito)
&lt;&lt; Seleccionar&gt;&gt;]])</f>
        <v>Huánuco__</v>
      </c>
      <c r="J7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8" s="72" t="e">
        <f>VLOOKUP(Tabla5[[#This Row],[Tipo de Transporte Empleado
&lt;&lt; Seleccionar&gt;&gt;]],Tabla8[#All],2,0)</f>
        <v>#N/A</v>
      </c>
      <c r="L768" s="71" t="e">
        <f>#REF!+(#REF!*2)+#REF!</f>
        <v>#REF!</v>
      </c>
    </row>
    <row r="769" spans="1:12" x14ac:dyDescent="0.25">
      <c r="A769" s="328" t="e">
        <f>VLOOKUP(Tabla5[[#This Row],[Acción
&lt;&lt; Seleccionar&gt;&gt;]],TablaAccion[[#All],[Nombre_Abreviado]:[Codigo_Plan_Acción]],3,0)</f>
        <v>#N/A</v>
      </c>
      <c r="B769" s="328" t="e">
        <f>VLOOKUP(Tabla5[[#This Row],[Acción Especifica
&lt;&lt; Seleccionar&gt;&gt;]],TablaAccionEspecifica[[#All],[Nombre_Abreviado]:[Codigo_Acción]],3,0)</f>
        <v>#N/A</v>
      </c>
      <c r="C769" s="328" t="e">
        <f>CONCATENATE(Tabla18[[#This Row],[Bus_02]],"_",Tabla5[[#This Row],[Sub Acción Específica
&lt;&lt; Seleccionar&gt;&gt;]])</f>
        <v>#N/A</v>
      </c>
      <c r="D769" s="328" t="e">
        <f>VLOOKUP(Tabla18[[#This Row],[Aux_01]],TablaSubAccionEspecifica[[#All],[Concat]:[Cod_Sub_acción_especifica]],2,0)</f>
        <v>#N/A</v>
      </c>
      <c r="E769" s="328" t="e">
        <f>Tabla18[[#This Row],[Bus_03]]&amp;"_"&amp;Tabla5[[#This Row],[Tipo de Agente
&lt;&lt; Seleccionar&gt;&gt;]]</f>
        <v>#N/A</v>
      </c>
      <c r="F769" s="328" t="e">
        <f>VLOOKUP(Tabla18[[#This Row],[Concat2]],TablaPOA[[#All],[Concat]:[ConcatEspecial]],3,0)</f>
        <v>#N/A</v>
      </c>
      <c r="G769" s="65" t="str">
        <f>CONCATENATE(Registro!$A$6,"_",Tabla5[[#This Row],[Zona (Provincia)
&lt;&lt; Seleccionar&gt;&gt;]])</f>
        <v>Huánuco_</v>
      </c>
      <c r="H769" s="60" t="e">
        <f>VLOOKUP(Tabla18[[#This Row],[Concatenado***]],Tabla2[[#All],[Concatenado]:[Simbología*]],2,0)</f>
        <v>#N/A</v>
      </c>
      <c r="I769" s="65" t="str">
        <f>CONCATENATE(Tabla18[[#This Row],[Concatenado***]],"_",Tabla5[[#This Row],[Zona (Distrito)
&lt;&lt; Seleccionar&gt;&gt;]])</f>
        <v>Huánuco__</v>
      </c>
      <c r="J7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9" s="72" t="e">
        <f>VLOOKUP(Tabla5[[#This Row],[Tipo de Transporte Empleado
&lt;&lt; Seleccionar&gt;&gt;]],Tabla8[#All],2,0)</f>
        <v>#N/A</v>
      </c>
      <c r="L769" s="71" t="e">
        <f>#REF!+(#REF!*2)+#REF!</f>
        <v>#REF!</v>
      </c>
    </row>
    <row r="770" spans="1:12" x14ac:dyDescent="0.25">
      <c r="A770" s="328" t="e">
        <f>VLOOKUP(Tabla5[[#This Row],[Acción
&lt;&lt; Seleccionar&gt;&gt;]],TablaAccion[[#All],[Nombre_Abreviado]:[Codigo_Plan_Acción]],3,0)</f>
        <v>#N/A</v>
      </c>
      <c r="B770" s="328" t="e">
        <f>VLOOKUP(Tabla5[[#This Row],[Acción Especifica
&lt;&lt; Seleccionar&gt;&gt;]],TablaAccionEspecifica[[#All],[Nombre_Abreviado]:[Codigo_Acción]],3,0)</f>
        <v>#N/A</v>
      </c>
      <c r="C770" s="328" t="e">
        <f>CONCATENATE(Tabla18[[#This Row],[Bus_02]],"_",Tabla5[[#This Row],[Sub Acción Específica
&lt;&lt; Seleccionar&gt;&gt;]])</f>
        <v>#N/A</v>
      </c>
      <c r="D770" s="328" t="e">
        <f>VLOOKUP(Tabla18[[#This Row],[Aux_01]],TablaSubAccionEspecifica[[#All],[Concat]:[Cod_Sub_acción_especifica]],2,0)</f>
        <v>#N/A</v>
      </c>
      <c r="E770" s="328" t="e">
        <f>Tabla18[[#This Row],[Bus_03]]&amp;"_"&amp;Tabla5[[#This Row],[Tipo de Agente
&lt;&lt; Seleccionar&gt;&gt;]]</f>
        <v>#N/A</v>
      </c>
      <c r="F770" s="328" t="e">
        <f>VLOOKUP(Tabla18[[#This Row],[Concat2]],TablaPOA[[#All],[Concat]:[ConcatEspecial]],3,0)</f>
        <v>#N/A</v>
      </c>
      <c r="G770" s="65" t="str">
        <f>CONCATENATE(Registro!$A$6,"_",Tabla5[[#This Row],[Zona (Provincia)
&lt;&lt; Seleccionar&gt;&gt;]])</f>
        <v>Huánuco_</v>
      </c>
      <c r="H770" s="60" t="e">
        <f>VLOOKUP(Tabla18[[#This Row],[Concatenado***]],Tabla2[[#All],[Concatenado]:[Simbología*]],2,0)</f>
        <v>#N/A</v>
      </c>
      <c r="I770" s="65" t="str">
        <f>CONCATENATE(Tabla18[[#This Row],[Concatenado***]],"_",Tabla5[[#This Row],[Zona (Distrito)
&lt;&lt; Seleccionar&gt;&gt;]])</f>
        <v>Huánuco__</v>
      </c>
      <c r="J7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0" s="72" t="e">
        <f>VLOOKUP(Tabla5[[#This Row],[Tipo de Transporte Empleado
&lt;&lt; Seleccionar&gt;&gt;]],Tabla8[#All],2,0)</f>
        <v>#N/A</v>
      </c>
      <c r="L770" s="71" t="e">
        <f>#REF!+(#REF!*2)+#REF!</f>
        <v>#REF!</v>
      </c>
    </row>
    <row r="771" spans="1:12" x14ac:dyDescent="0.25">
      <c r="A771" s="328" t="e">
        <f>VLOOKUP(Tabla5[[#This Row],[Acción
&lt;&lt; Seleccionar&gt;&gt;]],TablaAccion[[#All],[Nombre_Abreviado]:[Codigo_Plan_Acción]],3,0)</f>
        <v>#N/A</v>
      </c>
      <c r="B771" s="328" t="e">
        <f>VLOOKUP(Tabla5[[#This Row],[Acción Especifica
&lt;&lt; Seleccionar&gt;&gt;]],TablaAccionEspecifica[[#All],[Nombre_Abreviado]:[Codigo_Acción]],3,0)</f>
        <v>#N/A</v>
      </c>
      <c r="C771" s="328" t="e">
        <f>CONCATENATE(Tabla18[[#This Row],[Bus_02]],"_",Tabla5[[#This Row],[Sub Acción Específica
&lt;&lt; Seleccionar&gt;&gt;]])</f>
        <v>#N/A</v>
      </c>
      <c r="D771" s="328" t="e">
        <f>VLOOKUP(Tabla18[[#This Row],[Aux_01]],TablaSubAccionEspecifica[[#All],[Concat]:[Cod_Sub_acción_especifica]],2,0)</f>
        <v>#N/A</v>
      </c>
      <c r="E771" s="328" t="e">
        <f>Tabla18[[#This Row],[Bus_03]]&amp;"_"&amp;Tabla5[[#This Row],[Tipo de Agente
&lt;&lt; Seleccionar&gt;&gt;]]</f>
        <v>#N/A</v>
      </c>
      <c r="F771" s="328" t="e">
        <f>VLOOKUP(Tabla18[[#This Row],[Concat2]],TablaPOA[[#All],[Concat]:[ConcatEspecial]],3,0)</f>
        <v>#N/A</v>
      </c>
      <c r="G771" s="65" t="str">
        <f>CONCATENATE(Registro!$A$6,"_",Tabla5[[#This Row],[Zona (Provincia)
&lt;&lt; Seleccionar&gt;&gt;]])</f>
        <v>Huánuco_</v>
      </c>
      <c r="H771" s="60" t="e">
        <f>VLOOKUP(Tabla18[[#This Row],[Concatenado***]],Tabla2[[#All],[Concatenado]:[Simbología*]],2,0)</f>
        <v>#N/A</v>
      </c>
      <c r="I771" s="65" t="str">
        <f>CONCATENATE(Tabla18[[#This Row],[Concatenado***]],"_",Tabla5[[#This Row],[Zona (Distrito)
&lt;&lt; Seleccionar&gt;&gt;]])</f>
        <v>Huánuco__</v>
      </c>
      <c r="J7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1" s="72" t="e">
        <f>VLOOKUP(Tabla5[[#This Row],[Tipo de Transporte Empleado
&lt;&lt; Seleccionar&gt;&gt;]],Tabla8[#All],2,0)</f>
        <v>#N/A</v>
      </c>
      <c r="L771" s="71" t="e">
        <f>#REF!+(#REF!*2)+#REF!</f>
        <v>#REF!</v>
      </c>
    </row>
    <row r="772" spans="1:12" x14ac:dyDescent="0.25">
      <c r="A772" s="328" t="e">
        <f>VLOOKUP(Tabla5[[#This Row],[Acción
&lt;&lt; Seleccionar&gt;&gt;]],TablaAccion[[#All],[Nombre_Abreviado]:[Codigo_Plan_Acción]],3,0)</f>
        <v>#N/A</v>
      </c>
      <c r="B772" s="328" t="e">
        <f>VLOOKUP(Tabla5[[#This Row],[Acción Especifica
&lt;&lt; Seleccionar&gt;&gt;]],TablaAccionEspecifica[[#All],[Nombre_Abreviado]:[Codigo_Acción]],3,0)</f>
        <v>#N/A</v>
      </c>
      <c r="C772" s="328" t="e">
        <f>CONCATENATE(Tabla18[[#This Row],[Bus_02]],"_",Tabla5[[#This Row],[Sub Acción Específica
&lt;&lt; Seleccionar&gt;&gt;]])</f>
        <v>#N/A</v>
      </c>
      <c r="D772" s="328" t="e">
        <f>VLOOKUP(Tabla18[[#This Row],[Aux_01]],TablaSubAccionEspecifica[[#All],[Concat]:[Cod_Sub_acción_especifica]],2,0)</f>
        <v>#N/A</v>
      </c>
      <c r="E772" s="328" t="e">
        <f>Tabla18[[#This Row],[Bus_03]]&amp;"_"&amp;Tabla5[[#This Row],[Tipo de Agente
&lt;&lt; Seleccionar&gt;&gt;]]</f>
        <v>#N/A</v>
      </c>
      <c r="F772" s="328" t="e">
        <f>VLOOKUP(Tabla18[[#This Row],[Concat2]],TablaPOA[[#All],[Concat]:[ConcatEspecial]],3,0)</f>
        <v>#N/A</v>
      </c>
      <c r="G772" s="65" t="str">
        <f>CONCATENATE(Registro!$A$6,"_",Tabla5[[#This Row],[Zona (Provincia)
&lt;&lt; Seleccionar&gt;&gt;]])</f>
        <v>Huánuco_</v>
      </c>
      <c r="H772" s="60" t="e">
        <f>VLOOKUP(Tabla18[[#This Row],[Concatenado***]],Tabla2[[#All],[Concatenado]:[Simbología*]],2,0)</f>
        <v>#N/A</v>
      </c>
      <c r="I772" s="65" t="str">
        <f>CONCATENATE(Tabla18[[#This Row],[Concatenado***]],"_",Tabla5[[#This Row],[Zona (Distrito)
&lt;&lt; Seleccionar&gt;&gt;]])</f>
        <v>Huánuco__</v>
      </c>
      <c r="J7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2" s="72" t="e">
        <f>VLOOKUP(Tabla5[[#This Row],[Tipo de Transporte Empleado
&lt;&lt; Seleccionar&gt;&gt;]],Tabla8[#All],2,0)</f>
        <v>#N/A</v>
      </c>
      <c r="L772" s="71" t="e">
        <f>#REF!+(#REF!*2)+#REF!</f>
        <v>#REF!</v>
      </c>
    </row>
    <row r="773" spans="1:12" x14ac:dyDescent="0.25">
      <c r="A773" s="328" t="e">
        <f>VLOOKUP(Tabla5[[#This Row],[Acción
&lt;&lt; Seleccionar&gt;&gt;]],TablaAccion[[#All],[Nombre_Abreviado]:[Codigo_Plan_Acción]],3,0)</f>
        <v>#N/A</v>
      </c>
      <c r="B773" s="328" t="e">
        <f>VLOOKUP(Tabla5[[#This Row],[Acción Especifica
&lt;&lt; Seleccionar&gt;&gt;]],TablaAccionEspecifica[[#All],[Nombre_Abreviado]:[Codigo_Acción]],3,0)</f>
        <v>#N/A</v>
      </c>
      <c r="C773" s="328" t="e">
        <f>CONCATENATE(Tabla18[[#This Row],[Bus_02]],"_",Tabla5[[#This Row],[Sub Acción Específica
&lt;&lt; Seleccionar&gt;&gt;]])</f>
        <v>#N/A</v>
      </c>
      <c r="D773" s="328" t="e">
        <f>VLOOKUP(Tabla18[[#This Row],[Aux_01]],TablaSubAccionEspecifica[[#All],[Concat]:[Cod_Sub_acción_especifica]],2,0)</f>
        <v>#N/A</v>
      </c>
      <c r="E773" s="328" t="e">
        <f>Tabla18[[#This Row],[Bus_03]]&amp;"_"&amp;Tabla5[[#This Row],[Tipo de Agente
&lt;&lt; Seleccionar&gt;&gt;]]</f>
        <v>#N/A</v>
      </c>
      <c r="F773" s="328" t="e">
        <f>VLOOKUP(Tabla18[[#This Row],[Concat2]],TablaPOA[[#All],[Concat]:[ConcatEspecial]],3,0)</f>
        <v>#N/A</v>
      </c>
      <c r="G773" s="65" t="str">
        <f>CONCATENATE(Registro!$A$6,"_",Tabla5[[#This Row],[Zona (Provincia)
&lt;&lt; Seleccionar&gt;&gt;]])</f>
        <v>Huánuco_</v>
      </c>
      <c r="H773" s="60" t="e">
        <f>VLOOKUP(Tabla18[[#This Row],[Concatenado***]],Tabla2[[#All],[Concatenado]:[Simbología*]],2,0)</f>
        <v>#N/A</v>
      </c>
      <c r="I773" s="65" t="str">
        <f>CONCATENATE(Tabla18[[#This Row],[Concatenado***]],"_",Tabla5[[#This Row],[Zona (Distrito)
&lt;&lt; Seleccionar&gt;&gt;]])</f>
        <v>Huánuco__</v>
      </c>
      <c r="J7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3" s="72" t="e">
        <f>VLOOKUP(Tabla5[[#This Row],[Tipo de Transporte Empleado
&lt;&lt; Seleccionar&gt;&gt;]],Tabla8[#All],2,0)</f>
        <v>#N/A</v>
      </c>
      <c r="L773" s="71" t="e">
        <f>#REF!+(#REF!*2)+#REF!</f>
        <v>#REF!</v>
      </c>
    </row>
    <row r="774" spans="1:12" x14ac:dyDescent="0.25">
      <c r="A774" s="328" t="e">
        <f>VLOOKUP(Tabla5[[#This Row],[Acción
&lt;&lt; Seleccionar&gt;&gt;]],TablaAccion[[#All],[Nombre_Abreviado]:[Codigo_Plan_Acción]],3,0)</f>
        <v>#N/A</v>
      </c>
      <c r="B774" s="328" t="e">
        <f>VLOOKUP(Tabla5[[#This Row],[Acción Especifica
&lt;&lt; Seleccionar&gt;&gt;]],TablaAccionEspecifica[[#All],[Nombre_Abreviado]:[Codigo_Acción]],3,0)</f>
        <v>#N/A</v>
      </c>
      <c r="C774" s="328" t="e">
        <f>CONCATENATE(Tabla18[[#This Row],[Bus_02]],"_",Tabla5[[#This Row],[Sub Acción Específica
&lt;&lt; Seleccionar&gt;&gt;]])</f>
        <v>#N/A</v>
      </c>
      <c r="D774" s="328" t="e">
        <f>VLOOKUP(Tabla18[[#This Row],[Aux_01]],TablaSubAccionEspecifica[[#All],[Concat]:[Cod_Sub_acción_especifica]],2,0)</f>
        <v>#N/A</v>
      </c>
      <c r="E774" s="328" t="e">
        <f>Tabla18[[#This Row],[Bus_03]]&amp;"_"&amp;Tabla5[[#This Row],[Tipo de Agente
&lt;&lt; Seleccionar&gt;&gt;]]</f>
        <v>#N/A</v>
      </c>
      <c r="F774" s="328" t="e">
        <f>VLOOKUP(Tabla18[[#This Row],[Concat2]],TablaPOA[[#All],[Concat]:[ConcatEspecial]],3,0)</f>
        <v>#N/A</v>
      </c>
      <c r="G774" s="65" t="str">
        <f>CONCATENATE(Registro!$A$6,"_",Tabla5[[#This Row],[Zona (Provincia)
&lt;&lt; Seleccionar&gt;&gt;]])</f>
        <v>Huánuco_</v>
      </c>
      <c r="H774" s="60" t="e">
        <f>VLOOKUP(Tabla18[[#This Row],[Concatenado***]],Tabla2[[#All],[Concatenado]:[Simbología*]],2,0)</f>
        <v>#N/A</v>
      </c>
      <c r="I774" s="65" t="str">
        <f>CONCATENATE(Tabla18[[#This Row],[Concatenado***]],"_",Tabla5[[#This Row],[Zona (Distrito)
&lt;&lt; Seleccionar&gt;&gt;]])</f>
        <v>Huánuco__</v>
      </c>
      <c r="J7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4" s="72" t="e">
        <f>VLOOKUP(Tabla5[[#This Row],[Tipo de Transporte Empleado
&lt;&lt; Seleccionar&gt;&gt;]],Tabla8[#All],2,0)</f>
        <v>#N/A</v>
      </c>
      <c r="L774" s="71" t="e">
        <f>#REF!+(#REF!*2)+#REF!</f>
        <v>#REF!</v>
      </c>
    </row>
    <row r="775" spans="1:12" x14ac:dyDescent="0.25">
      <c r="A775" s="328" t="e">
        <f>VLOOKUP(Tabla5[[#This Row],[Acción
&lt;&lt; Seleccionar&gt;&gt;]],TablaAccion[[#All],[Nombre_Abreviado]:[Codigo_Plan_Acción]],3,0)</f>
        <v>#N/A</v>
      </c>
      <c r="B775" s="328" t="e">
        <f>VLOOKUP(Tabla5[[#This Row],[Acción Especifica
&lt;&lt; Seleccionar&gt;&gt;]],TablaAccionEspecifica[[#All],[Nombre_Abreviado]:[Codigo_Acción]],3,0)</f>
        <v>#N/A</v>
      </c>
      <c r="C775" s="328" t="e">
        <f>CONCATENATE(Tabla18[[#This Row],[Bus_02]],"_",Tabla5[[#This Row],[Sub Acción Específica
&lt;&lt; Seleccionar&gt;&gt;]])</f>
        <v>#N/A</v>
      </c>
      <c r="D775" s="328" t="e">
        <f>VLOOKUP(Tabla18[[#This Row],[Aux_01]],TablaSubAccionEspecifica[[#All],[Concat]:[Cod_Sub_acción_especifica]],2,0)</f>
        <v>#N/A</v>
      </c>
      <c r="E775" s="328" t="e">
        <f>Tabla18[[#This Row],[Bus_03]]&amp;"_"&amp;Tabla5[[#This Row],[Tipo de Agente
&lt;&lt; Seleccionar&gt;&gt;]]</f>
        <v>#N/A</v>
      </c>
      <c r="F775" s="328" t="e">
        <f>VLOOKUP(Tabla18[[#This Row],[Concat2]],TablaPOA[[#All],[Concat]:[ConcatEspecial]],3,0)</f>
        <v>#N/A</v>
      </c>
      <c r="G775" s="65" t="str">
        <f>CONCATENATE(Registro!$A$6,"_",Tabla5[[#This Row],[Zona (Provincia)
&lt;&lt; Seleccionar&gt;&gt;]])</f>
        <v>Huánuco_</v>
      </c>
      <c r="H775" s="60" t="e">
        <f>VLOOKUP(Tabla18[[#This Row],[Concatenado***]],Tabla2[[#All],[Concatenado]:[Simbología*]],2,0)</f>
        <v>#N/A</v>
      </c>
      <c r="I775" s="65" t="str">
        <f>CONCATENATE(Tabla18[[#This Row],[Concatenado***]],"_",Tabla5[[#This Row],[Zona (Distrito)
&lt;&lt; Seleccionar&gt;&gt;]])</f>
        <v>Huánuco__</v>
      </c>
      <c r="J7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5" s="72" t="e">
        <f>VLOOKUP(Tabla5[[#This Row],[Tipo de Transporte Empleado
&lt;&lt; Seleccionar&gt;&gt;]],Tabla8[#All],2,0)</f>
        <v>#N/A</v>
      </c>
      <c r="L775" s="71" t="e">
        <f>#REF!+(#REF!*2)+#REF!</f>
        <v>#REF!</v>
      </c>
    </row>
    <row r="776" spans="1:12" x14ac:dyDescent="0.25">
      <c r="A776" s="328" t="e">
        <f>VLOOKUP(Tabla5[[#This Row],[Acción
&lt;&lt; Seleccionar&gt;&gt;]],TablaAccion[[#All],[Nombre_Abreviado]:[Codigo_Plan_Acción]],3,0)</f>
        <v>#N/A</v>
      </c>
      <c r="B776" s="328" t="e">
        <f>VLOOKUP(Tabla5[[#This Row],[Acción Especifica
&lt;&lt; Seleccionar&gt;&gt;]],TablaAccionEspecifica[[#All],[Nombre_Abreviado]:[Codigo_Acción]],3,0)</f>
        <v>#N/A</v>
      </c>
      <c r="C776" s="328" t="e">
        <f>CONCATENATE(Tabla18[[#This Row],[Bus_02]],"_",Tabla5[[#This Row],[Sub Acción Específica
&lt;&lt; Seleccionar&gt;&gt;]])</f>
        <v>#N/A</v>
      </c>
      <c r="D776" s="328" t="e">
        <f>VLOOKUP(Tabla18[[#This Row],[Aux_01]],TablaSubAccionEspecifica[[#All],[Concat]:[Cod_Sub_acción_especifica]],2,0)</f>
        <v>#N/A</v>
      </c>
      <c r="E776" s="328" t="e">
        <f>Tabla18[[#This Row],[Bus_03]]&amp;"_"&amp;Tabla5[[#This Row],[Tipo de Agente
&lt;&lt; Seleccionar&gt;&gt;]]</f>
        <v>#N/A</v>
      </c>
      <c r="F776" s="328" t="e">
        <f>VLOOKUP(Tabla18[[#This Row],[Concat2]],TablaPOA[[#All],[Concat]:[ConcatEspecial]],3,0)</f>
        <v>#N/A</v>
      </c>
      <c r="G776" s="65" t="str">
        <f>CONCATENATE(Registro!$A$6,"_",Tabla5[[#This Row],[Zona (Provincia)
&lt;&lt; Seleccionar&gt;&gt;]])</f>
        <v>Huánuco_</v>
      </c>
      <c r="H776" s="60" t="e">
        <f>VLOOKUP(Tabla18[[#This Row],[Concatenado***]],Tabla2[[#All],[Concatenado]:[Simbología*]],2,0)</f>
        <v>#N/A</v>
      </c>
      <c r="I776" s="65" t="str">
        <f>CONCATENATE(Tabla18[[#This Row],[Concatenado***]],"_",Tabla5[[#This Row],[Zona (Distrito)
&lt;&lt; Seleccionar&gt;&gt;]])</f>
        <v>Huánuco__</v>
      </c>
      <c r="J7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6" s="72" t="e">
        <f>VLOOKUP(Tabla5[[#This Row],[Tipo de Transporte Empleado
&lt;&lt; Seleccionar&gt;&gt;]],Tabla8[#All],2,0)</f>
        <v>#N/A</v>
      </c>
      <c r="L776" s="71" t="e">
        <f>#REF!+(#REF!*2)+#REF!</f>
        <v>#REF!</v>
      </c>
    </row>
    <row r="777" spans="1:12" x14ac:dyDescent="0.25">
      <c r="A777" s="328" t="e">
        <f>VLOOKUP(Tabla5[[#This Row],[Acción
&lt;&lt; Seleccionar&gt;&gt;]],TablaAccion[[#All],[Nombre_Abreviado]:[Codigo_Plan_Acción]],3,0)</f>
        <v>#N/A</v>
      </c>
      <c r="B777" s="328" t="e">
        <f>VLOOKUP(Tabla5[[#This Row],[Acción Especifica
&lt;&lt; Seleccionar&gt;&gt;]],TablaAccionEspecifica[[#All],[Nombre_Abreviado]:[Codigo_Acción]],3,0)</f>
        <v>#N/A</v>
      </c>
      <c r="C777" s="328" t="e">
        <f>CONCATENATE(Tabla18[[#This Row],[Bus_02]],"_",Tabla5[[#This Row],[Sub Acción Específica
&lt;&lt; Seleccionar&gt;&gt;]])</f>
        <v>#N/A</v>
      </c>
      <c r="D777" s="328" t="e">
        <f>VLOOKUP(Tabla18[[#This Row],[Aux_01]],TablaSubAccionEspecifica[[#All],[Concat]:[Cod_Sub_acción_especifica]],2,0)</f>
        <v>#N/A</v>
      </c>
      <c r="E777" s="328" t="e">
        <f>Tabla18[[#This Row],[Bus_03]]&amp;"_"&amp;Tabla5[[#This Row],[Tipo de Agente
&lt;&lt; Seleccionar&gt;&gt;]]</f>
        <v>#N/A</v>
      </c>
      <c r="F777" s="328" t="e">
        <f>VLOOKUP(Tabla18[[#This Row],[Concat2]],TablaPOA[[#All],[Concat]:[ConcatEspecial]],3,0)</f>
        <v>#N/A</v>
      </c>
      <c r="G777" s="65" t="str">
        <f>CONCATENATE(Registro!$A$6,"_",Tabla5[[#This Row],[Zona (Provincia)
&lt;&lt; Seleccionar&gt;&gt;]])</f>
        <v>Huánuco_</v>
      </c>
      <c r="H777" s="60" t="e">
        <f>VLOOKUP(Tabla18[[#This Row],[Concatenado***]],Tabla2[[#All],[Concatenado]:[Simbología*]],2,0)</f>
        <v>#N/A</v>
      </c>
      <c r="I777" s="65" t="str">
        <f>CONCATENATE(Tabla18[[#This Row],[Concatenado***]],"_",Tabla5[[#This Row],[Zona (Distrito)
&lt;&lt; Seleccionar&gt;&gt;]])</f>
        <v>Huánuco__</v>
      </c>
      <c r="J7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7" s="72" t="e">
        <f>VLOOKUP(Tabla5[[#This Row],[Tipo de Transporte Empleado
&lt;&lt; Seleccionar&gt;&gt;]],Tabla8[#All],2,0)</f>
        <v>#N/A</v>
      </c>
      <c r="L777" s="71" t="e">
        <f>#REF!+(#REF!*2)+#REF!</f>
        <v>#REF!</v>
      </c>
    </row>
    <row r="778" spans="1:12" x14ac:dyDescent="0.25">
      <c r="A778" s="328" t="e">
        <f>VLOOKUP(Tabla5[[#This Row],[Acción
&lt;&lt; Seleccionar&gt;&gt;]],TablaAccion[[#All],[Nombre_Abreviado]:[Codigo_Plan_Acción]],3,0)</f>
        <v>#N/A</v>
      </c>
      <c r="B778" s="328" t="e">
        <f>VLOOKUP(Tabla5[[#This Row],[Acción Especifica
&lt;&lt; Seleccionar&gt;&gt;]],TablaAccionEspecifica[[#All],[Nombre_Abreviado]:[Codigo_Acción]],3,0)</f>
        <v>#N/A</v>
      </c>
      <c r="C778" s="328" t="e">
        <f>CONCATENATE(Tabla18[[#This Row],[Bus_02]],"_",Tabla5[[#This Row],[Sub Acción Específica
&lt;&lt; Seleccionar&gt;&gt;]])</f>
        <v>#N/A</v>
      </c>
      <c r="D778" s="328" t="e">
        <f>VLOOKUP(Tabla18[[#This Row],[Aux_01]],TablaSubAccionEspecifica[[#All],[Concat]:[Cod_Sub_acción_especifica]],2,0)</f>
        <v>#N/A</v>
      </c>
      <c r="E778" s="328" t="e">
        <f>Tabla18[[#This Row],[Bus_03]]&amp;"_"&amp;Tabla5[[#This Row],[Tipo de Agente
&lt;&lt; Seleccionar&gt;&gt;]]</f>
        <v>#N/A</v>
      </c>
      <c r="F778" s="328" t="e">
        <f>VLOOKUP(Tabla18[[#This Row],[Concat2]],TablaPOA[[#All],[Concat]:[ConcatEspecial]],3,0)</f>
        <v>#N/A</v>
      </c>
      <c r="G778" s="65" t="str">
        <f>CONCATENATE(Registro!$A$6,"_",Tabla5[[#This Row],[Zona (Provincia)
&lt;&lt; Seleccionar&gt;&gt;]])</f>
        <v>Huánuco_</v>
      </c>
      <c r="H778" s="60" t="e">
        <f>VLOOKUP(Tabla18[[#This Row],[Concatenado***]],Tabla2[[#All],[Concatenado]:[Simbología*]],2,0)</f>
        <v>#N/A</v>
      </c>
      <c r="I778" s="65" t="str">
        <f>CONCATENATE(Tabla18[[#This Row],[Concatenado***]],"_",Tabla5[[#This Row],[Zona (Distrito)
&lt;&lt; Seleccionar&gt;&gt;]])</f>
        <v>Huánuco__</v>
      </c>
      <c r="J7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8" s="72" t="e">
        <f>VLOOKUP(Tabla5[[#This Row],[Tipo de Transporte Empleado
&lt;&lt; Seleccionar&gt;&gt;]],Tabla8[#All],2,0)</f>
        <v>#N/A</v>
      </c>
      <c r="L778" s="71" t="e">
        <f>#REF!+(#REF!*2)+#REF!</f>
        <v>#REF!</v>
      </c>
    </row>
    <row r="779" spans="1:12" x14ac:dyDescent="0.25">
      <c r="A779" s="328" t="e">
        <f>VLOOKUP(Tabla5[[#This Row],[Acción
&lt;&lt; Seleccionar&gt;&gt;]],TablaAccion[[#All],[Nombre_Abreviado]:[Codigo_Plan_Acción]],3,0)</f>
        <v>#N/A</v>
      </c>
      <c r="B779" s="328" t="e">
        <f>VLOOKUP(Tabla5[[#This Row],[Acción Especifica
&lt;&lt; Seleccionar&gt;&gt;]],TablaAccionEspecifica[[#All],[Nombre_Abreviado]:[Codigo_Acción]],3,0)</f>
        <v>#N/A</v>
      </c>
      <c r="C779" s="328" t="e">
        <f>CONCATENATE(Tabla18[[#This Row],[Bus_02]],"_",Tabla5[[#This Row],[Sub Acción Específica
&lt;&lt; Seleccionar&gt;&gt;]])</f>
        <v>#N/A</v>
      </c>
      <c r="D779" s="328" t="e">
        <f>VLOOKUP(Tabla18[[#This Row],[Aux_01]],TablaSubAccionEspecifica[[#All],[Concat]:[Cod_Sub_acción_especifica]],2,0)</f>
        <v>#N/A</v>
      </c>
      <c r="E779" s="328" t="e">
        <f>Tabla18[[#This Row],[Bus_03]]&amp;"_"&amp;Tabla5[[#This Row],[Tipo de Agente
&lt;&lt; Seleccionar&gt;&gt;]]</f>
        <v>#N/A</v>
      </c>
      <c r="F779" s="328" t="e">
        <f>VLOOKUP(Tabla18[[#This Row],[Concat2]],TablaPOA[[#All],[Concat]:[ConcatEspecial]],3,0)</f>
        <v>#N/A</v>
      </c>
      <c r="G779" s="65" t="str">
        <f>CONCATENATE(Registro!$A$6,"_",Tabla5[[#This Row],[Zona (Provincia)
&lt;&lt; Seleccionar&gt;&gt;]])</f>
        <v>Huánuco_</v>
      </c>
      <c r="H779" s="60" t="e">
        <f>VLOOKUP(Tabla18[[#This Row],[Concatenado***]],Tabla2[[#All],[Concatenado]:[Simbología*]],2,0)</f>
        <v>#N/A</v>
      </c>
      <c r="I779" s="65" t="str">
        <f>CONCATENATE(Tabla18[[#This Row],[Concatenado***]],"_",Tabla5[[#This Row],[Zona (Distrito)
&lt;&lt; Seleccionar&gt;&gt;]])</f>
        <v>Huánuco__</v>
      </c>
      <c r="J7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9" s="72" t="e">
        <f>VLOOKUP(Tabla5[[#This Row],[Tipo de Transporte Empleado
&lt;&lt; Seleccionar&gt;&gt;]],Tabla8[#All],2,0)</f>
        <v>#N/A</v>
      </c>
      <c r="L779" s="71" t="e">
        <f>#REF!+(#REF!*2)+#REF!</f>
        <v>#REF!</v>
      </c>
    </row>
    <row r="780" spans="1:12" x14ac:dyDescent="0.25">
      <c r="A780" s="328" t="e">
        <f>VLOOKUP(Tabla5[[#This Row],[Acción
&lt;&lt; Seleccionar&gt;&gt;]],TablaAccion[[#All],[Nombre_Abreviado]:[Codigo_Plan_Acción]],3,0)</f>
        <v>#N/A</v>
      </c>
      <c r="B780" s="328" t="e">
        <f>VLOOKUP(Tabla5[[#This Row],[Acción Especifica
&lt;&lt; Seleccionar&gt;&gt;]],TablaAccionEspecifica[[#All],[Nombre_Abreviado]:[Codigo_Acción]],3,0)</f>
        <v>#N/A</v>
      </c>
      <c r="C780" s="328" t="e">
        <f>CONCATENATE(Tabla18[[#This Row],[Bus_02]],"_",Tabla5[[#This Row],[Sub Acción Específica
&lt;&lt; Seleccionar&gt;&gt;]])</f>
        <v>#N/A</v>
      </c>
      <c r="D780" s="328" t="e">
        <f>VLOOKUP(Tabla18[[#This Row],[Aux_01]],TablaSubAccionEspecifica[[#All],[Concat]:[Cod_Sub_acción_especifica]],2,0)</f>
        <v>#N/A</v>
      </c>
      <c r="E780" s="328" t="e">
        <f>Tabla18[[#This Row],[Bus_03]]&amp;"_"&amp;Tabla5[[#This Row],[Tipo de Agente
&lt;&lt; Seleccionar&gt;&gt;]]</f>
        <v>#N/A</v>
      </c>
      <c r="F780" s="328" t="e">
        <f>VLOOKUP(Tabla18[[#This Row],[Concat2]],TablaPOA[[#All],[Concat]:[ConcatEspecial]],3,0)</f>
        <v>#N/A</v>
      </c>
      <c r="G780" s="65" t="str">
        <f>CONCATENATE(Registro!$A$6,"_",Tabla5[[#This Row],[Zona (Provincia)
&lt;&lt; Seleccionar&gt;&gt;]])</f>
        <v>Huánuco_</v>
      </c>
      <c r="H780" s="60" t="e">
        <f>VLOOKUP(Tabla18[[#This Row],[Concatenado***]],Tabla2[[#All],[Concatenado]:[Simbología*]],2,0)</f>
        <v>#N/A</v>
      </c>
      <c r="I780" s="65" t="str">
        <f>CONCATENATE(Tabla18[[#This Row],[Concatenado***]],"_",Tabla5[[#This Row],[Zona (Distrito)
&lt;&lt; Seleccionar&gt;&gt;]])</f>
        <v>Huánuco__</v>
      </c>
      <c r="J7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0" s="72" t="e">
        <f>VLOOKUP(Tabla5[[#This Row],[Tipo de Transporte Empleado
&lt;&lt; Seleccionar&gt;&gt;]],Tabla8[#All],2,0)</f>
        <v>#N/A</v>
      </c>
      <c r="L780" s="71" t="e">
        <f>#REF!+(#REF!*2)+#REF!</f>
        <v>#REF!</v>
      </c>
    </row>
    <row r="781" spans="1:12" x14ac:dyDescent="0.25">
      <c r="A781" s="328" t="e">
        <f>VLOOKUP(Tabla5[[#This Row],[Acción
&lt;&lt; Seleccionar&gt;&gt;]],TablaAccion[[#All],[Nombre_Abreviado]:[Codigo_Plan_Acción]],3,0)</f>
        <v>#N/A</v>
      </c>
      <c r="B781" s="328" t="e">
        <f>VLOOKUP(Tabla5[[#This Row],[Acción Especifica
&lt;&lt; Seleccionar&gt;&gt;]],TablaAccionEspecifica[[#All],[Nombre_Abreviado]:[Codigo_Acción]],3,0)</f>
        <v>#N/A</v>
      </c>
      <c r="C781" s="328" t="e">
        <f>CONCATENATE(Tabla18[[#This Row],[Bus_02]],"_",Tabla5[[#This Row],[Sub Acción Específica
&lt;&lt; Seleccionar&gt;&gt;]])</f>
        <v>#N/A</v>
      </c>
      <c r="D781" s="328" t="e">
        <f>VLOOKUP(Tabla18[[#This Row],[Aux_01]],TablaSubAccionEspecifica[[#All],[Concat]:[Cod_Sub_acción_especifica]],2,0)</f>
        <v>#N/A</v>
      </c>
      <c r="E781" s="328" t="e">
        <f>Tabla18[[#This Row],[Bus_03]]&amp;"_"&amp;Tabla5[[#This Row],[Tipo de Agente
&lt;&lt; Seleccionar&gt;&gt;]]</f>
        <v>#N/A</v>
      </c>
      <c r="F781" s="328" t="e">
        <f>VLOOKUP(Tabla18[[#This Row],[Concat2]],TablaPOA[[#All],[Concat]:[ConcatEspecial]],3,0)</f>
        <v>#N/A</v>
      </c>
      <c r="G781" s="65" t="str">
        <f>CONCATENATE(Registro!$A$6,"_",Tabla5[[#This Row],[Zona (Provincia)
&lt;&lt; Seleccionar&gt;&gt;]])</f>
        <v>Huánuco_</v>
      </c>
      <c r="H781" s="60" t="e">
        <f>VLOOKUP(Tabla18[[#This Row],[Concatenado***]],Tabla2[[#All],[Concatenado]:[Simbología*]],2,0)</f>
        <v>#N/A</v>
      </c>
      <c r="I781" s="65" t="str">
        <f>CONCATENATE(Tabla18[[#This Row],[Concatenado***]],"_",Tabla5[[#This Row],[Zona (Distrito)
&lt;&lt; Seleccionar&gt;&gt;]])</f>
        <v>Huánuco__</v>
      </c>
      <c r="J7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1" s="72" t="e">
        <f>VLOOKUP(Tabla5[[#This Row],[Tipo de Transporte Empleado
&lt;&lt; Seleccionar&gt;&gt;]],Tabla8[#All],2,0)</f>
        <v>#N/A</v>
      </c>
      <c r="L781" s="71" t="e">
        <f>#REF!+(#REF!*2)+#REF!</f>
        <v>#REF!</v>
      </c>
    </row>
    <row r="782" spans="1:12" x14ac:dyDescent="0.25">
      <c r="A782" s="328" t="e">
        <f>VLOOKUP(Tabla5[[#This Row],[Acción
&lt;&lt; Seleccionar&gt;&gt;]],TablaAccion[[#All],[Nombre_Abreviado]:[Codigo_Plan_Acción]],3,0)</f>
        <v>#N/A</v>
      </c>
      <c r="B782" s="328" t="e">
        <f>VLOOKUP(Tabla5[[#This Row],[Acción Especifica
&lt;&lt; Seleccionar&gt;&gt;]],TablaAccionEspecifica[[#All],[Nombre_Abreviado]:[Codigo_Acción]],3,0)</f>
        <v>#N/A</v>
      </c>
      <c r="C782" s="328" t="e">
        <f>CONCATENATE(Tabla18[[#This Row],[Bus_02]],"_",Tabla5[[#This Row],[Sub Acción Específica
&lt;&lt; Seleccionar&gt;&gt;]])</f>
        <v>#N/A</v>
      </c>
      <c r="D782" s="328" t="e">
        <f>VLOOKUP(Tabla18[[#This Row],[Aux_01]],TablaSubAccionEspecifica[[#All],[Concat]:[Cod_Sub_acción_especifica]],2,0)</f>
        <v>#N/A</v>
      </c>
      <c r="E782" s="328" t="e">
        <f>Tabla18[[#This Row],[Bus_03]]&amp;"_"&amp;Tabla5[[#This Row],[Tipo de Agente
&lt;&lt; Seleccionar&gt;&gt;]]</f>
        <v>#N/A</v>
      </c>
      <c r="F782" s="328" t="e">
        <f>VLOOKUP(Tabla18[[#This Row],[Concat2]],TablaPOA[[#All],[Concat]:[ConcatEspecial]],3,0)</f>
        <v>#N/A</v>
      </c>
      <c r="G782" s="65" t="str">
        <f>CONCATENATE(Registro!$A$6,"_",Tabla5[[#This Row],[Zona (Provincia)
&lt;&lt; Seleccionar&gt;&gt;]])</f>
        <v>Huánuco_</v>
      </c>
      <c r="H782" s="60" t="e">
        <f>VLOOKUP(Tabla18[[#This Row],[Concatenado***]],Tabla2[[#All],[Concatenado]:[Simbología*]],2,0)</f>
        <v>#N/A</v>
      </c>
      <c r="I782" s="65" t="str">
        <f>CONCATENATE(Tabla18[[#This Row],[Concatenado***]],"_",Tabla5[[#This Row],[Zona (Distrito)
&lt;&lt; Seleccionar&gt;&gt;]])</f>
        <v>Huánuco__</v>
      </c>
      <c r="J7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2" s="72" t="e">
        <f>VLOOKUP(Tabla5[[#This Row],[Tipo de Transporte Empleado
&lt;&lt; Seleccionar&gt;&gt;]],Tabla8[#All],2,0)</f>
        <v>#N/A</v>
      </c>
      <c r="L782" s="71" t="e">
        <f>#REF!+(#REF!*2)+#REF!</f>
        <v>#REF!</v>
      </c>
    </row>
    <row r="783" spans="1:12" x14ac:dyDescent="0.25">
      <c r="A783" s="328" t="e">
        <f>VLOOKUP(Tabla5[[#This Row],[Acción
&lt;&lt; Seleccionar&gt;&gt;]],TablaAccion[[#All],[Nombre_Abreviado]:[Codigo_Plan_Acción]],3,0)</f>
        <v>#N/A</v>
      </c>
      <c r="B783" s="328" t="e">
        <f>VLOOKUP(Tabla5[[#This Row],[Acción Especifica
&lt;&lt; Seleccionar&gt;&gt;]],TablaAccionEspecifica[[#All],[Nombre_Abreviado]:[Codigo_Acción]],3,0)</f>
        <v>#N/A</v>
      </c>
      <c r="C783" s="328" t="e">
        <f>CONCATENATE(Tabla18[[#This Row],[Bus_02]],"_",Tabla5[[#This Row],[Sub Acción Específica
&lt;&lt; Seleccionar&gt;&gt;]])</f>
        <v>#N/A</v>
      </c>
      <c r="D783" s="328" t="e">
        <f>VLOOKUP(Tabla18[[#This Row],[Aux_01]],TablaSubAccionEspecifica[[#All],[Concat]:[Cod_Sub_acción_especifica]],2,0)</f>
        <v>#N/A</v>
      </c>
      <c r="E783" s="328" t="e">
        <f>Tabla18[[#This Row],[Bus_03]]&amp;"_"&amp;Tabla5[[#This Row],[Tipo de Agente
&lt;&lt; Seleccionar&gt;&gt;]]</f>
        <v>#N/A</v>
      </c>
      <c r="F783" s="328" t="e">
        <f>VLOOKUP(Tabla18[[#This Row],[Concat2]],TablaPOA[[#All],[Concat]:[ConcatEspecial]],3,0)</f>
        <v>#N/A</v>
      </c>
      <c r="G783" s="65" t="str">
        <f>CONCATENATE(Registro!$A$6,"_",Tabla5[[#This Row],[Zona (Provincia)
&lt;&lt; Seleccionar&gt;&gt;]])</f>
        <v>Huánuco_</v>
      </c>
      <c r="H783" s="60" t="e">
        <f>VLOOKUP(Tabla18[[#This Row],[Concatenado***]],Tabla2[[#All],[Concatenado]:[Simbología*]],2,0)</f>
        <v>#N/A</v>
      </c>
      <c r="I783" s="65" t="str">
        <f>CONCATENATE(Tabla18[[#This Row],[Concatenado***]],"_",Tabla5[[#This Row],[Zona (Distrito)
&lt;&lt; Seleccionar&gt;&gt;]])</f>
        <v>Huánuco__</v>
      </c>
      <c r="J7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3" s="72" t="e">
        <f>VLOOKUP(Tabla5[[#This Row],[Tipo de Transporte Empleado
&lt;&lt; Seleccionar&gt;&gt;]],Tabla8[#All],2,0)</f>
        <v>#N/A</v>
      </c>
      <c r="L783" s="71" t="e">
        <f>#REF!+(#REF!*2)+#REF!</f>
        <v>#REF!</v>
      </c>
    </row>
    <row r="784" spans="1:12" x14ac:dyDescent="0.25">
      <c r="A784" s="328" t="e">
        <f>VLOOKUP(Tabla5[[#This Row],[Acción
&lt;&lt; Seleccionar&gt;&gt;]],TablaAccion[[#All],[Nombre_Abreviado]:[Codigo_Plan_Acción]],3,0)</f>
        <v>#N/A</v>
      </c>
      <c r="B784" s="328" t="e">
        <f>VLOOKUP(Tabla5[[#This Row],[Acción Especifica
&lt;&lt; Seleccionar&gt;&gt;]],TablaAccionEspecifica[[#All],[Nombre_Abreviado]:[Codigo_Acción]],3,0)</f>
        <v>#N/A</v>
      </c>
      <c r="C784" s="328" t="e">
        <f>CONCATENATE(Tabla18[[#This Row],[Bus_02]],"_",Tabla5[[#This Row],[Sub Acción Específica
&lt;&lt; Seleccionar&gt;&gt;]])</f>
        <v>#N/A</v>
      </c>
      <c r="D784" s="328" t="e">
        <f>VLOOKUP(Tabla18[[#This Row],[Aux_01]],TablaSubAccionEspecifica[[#All],[Concat]:[Cod_Sub_acción_especifica]],2,0)</f>
        <v>#N/A</v>
      </c>
      <c r="E784" s="328" t="e">
        <f>Tabla18[[#This Row],[Bus_03]]&amp;"_"&amp;Tabla5[[#This Row],[Tipo de Agente
&lt;&lt; Seleccionar&gt;&gt;]]</f>
        <v>#N/A</v>
      </c>
      <c r="F784" s="328" t="e">
        <f>VLOOKUP(Tabla18[[#This Row],[Concat2]],TablaPOA[[#All],[Concat]:[ConcatEspecial]],3,0)</f>
        <v>#N/A</v>
      </c>
      <c r="G784" s="65" t="str">
        <f>CONCATENATE(Registro!$A$6,"_",Tabla5[[#This Row],[Zona (Provincia)
&lt;&lt; Seleccionar&gt;&gt;]])</f>
        <v>Huánuco_</v>
      </c>
      <c r="H784" s="60" t="e">
        <f>VLOOKUP(Tabla18[[#This Row],[Concatenado***]],Tabla2[[#All],[Concatenado]:[Simbología*]],2,0)</f>
        <v>#N/A</v>
      </c>
      <c r="I784" s="65" t="str">
        <f>CONCATENATE(Tabla18[[#This Row],[Concatenado***]],"_",Tabla5[[#This Row],[Zona (Distrito)
&lt;&lt; Seleccionar&gt;&gt;]])</f>
        <v>Huánuco__</v>
      </c>
      <c r="J7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4" s="72" t="e">
        <f>VLOOKUP(Tabla5[[#This Row],[Tipo de Transporte Empleado
&lt;&lt; Seleccionar&gt;&gt;]],Tabla8[#All],2,0)</f>
        <v>#N/A</v>
      </c>
      <c r="L784" s="71" t="e">
        <f>#REF!+(#REF!*2)+#REF!</f>
        <v>#REF!</v>
      </c>
    </row>
    <row r="785" spans="1:12" x14ac:dyDescent="0.25">
      <c r="A785" s="328" t="e">
        <f>VLOOKUP(Tabla5[[#This Row],[Acción
&lt;&lt; Seleccionar&gt;&gt;]],TablaAccion[[#All],[Nombre_Abreviado]:[Codigo_Plan_Acción]],3,0)</f>
        <v>#N/A</v>
      </c>
      <c r="B785" s="328" t="e">
        <f>VLOOKUP(Tabla5[[#This Row],[Acción Especifica
&lt;&lt; Seleccionar&gt;&gt;]],TablaAccionEspecifica[[#All],[Nombre_Abreviado]:[Codigo_Acción]],3,0)</f>
        <v>#N/A</v>
      </c>
      <c r="C785" s="328" t="e">
        <f>CONCATENATE(Tabla18[[#This Row],[Bus_02]],"_",Tabla5[[#This Row],[Sub Acción Específica
&lt;&lt; Seleccionar&gt;&gt;]])</f>
        <v>#N/A</v>
      </c>
      <c r="D785" s="328" t="e">
        <f>VLOOKUP(Tabla18[[#This Row],[Aux_01]],TablaSubAccionEspecifica[[#All],[Concat]:[Cod_Sub_acción_especifica]],2,0)</f>
        <v>#N/A</v>
      </c>
      <c r="E785" s="328" t="e">
        <f>Tabla18[[#This Row],[Bus_03]]&amp;"_"&amp;Tabla5[[#This Row],[Tipo de Agente
&lt;&lt; Seleccionar&gt;&gt;]]</f>
        <v>#N/A</v>
      </c>
      <c r="F785" s="328" t="e">
        <f>VLOOKUP(Tabla18[[#This Row],[Concat2]],TablaPOA[[#All],[Concat]:[ConcatEspecial]],3,0)</f>
        <v>#N/A</v>
      </c>
      <c r="G785" s="65" t="str">
        <f>CONCATENATE(Registro!$A$6,"_",Tabla5[[#This Row],[Zona (Provincia)
&lt;&lt; Seleccionar&gt;&gt;]])</f>
        <v>Huánuco_</v>
      </c>
      <c r="H785" s="60" t="e">
        <f>VLOOKUP(Tabla18[[#This Row],[Concatenado***]],Tabla2[[#All],[Concatenado]:[Simbología*]],2,0)</f>
        <v>#N/A</v>
      </c>
      <c r="I785" s="65" t="str">
        <f>CONCATENATE(Tabla18[[#This Row],[Concatenado***]],"_",Tabla5[[#This Row],[Zona (Distrito)
&lt;&lt; Seleccionar&gt;&gt;]])</f>
        <v>Huánuco__</v>
      </c>
      <c r="J7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5" s="72" t="e">
        <f>VLOOKUP(Tabla5[[#This Row],[Tipo de Transporte Empleado
&lt;&lt; Seleccionar&gt;&gt;]],Tabla8[#All],2,0)</f>
        <v>#N/A</v>
      </c>
      <c r="L785" s="71" t="e">
        <f>#REF!+(#REF!*2)+#REF!</f>
        <v>#REF!</v>
      </c>
    </row>
    <row r="786" spans="1:12" x14ac:dyDescent="0.25">
      <c r="A786" s="328" t="e">
        <f>VLOOKUP(Tabla5[[#This Row],[Acción
&lt;&lt; Seleccionar&gt;&gt;]],TablaAccion[[#All],[Nombre_Abreviado]:[Codigo_Plan_Acción]],3,0)</f>
        <v>#N/A</v>
      </c>
      <c r="B786" s="328" t="e">
        <f>VLOOKUP(Tabla5[[#This Row],[Acción Especifica
&lt;&lt; Seleccionar&gt;&gt;]],TablaAccionEspecifica[[#All],[Nombre_Abreviado]:[Codigo_Acción]],3,0)</f>
        <v>#N/A</v>
      </c>
      <c r="C786" s="328" t="e">
        <f>CONCATENATE(Tabla18[[#This Row],[Bus_02]],"_",Tabla5[[#This Row],[Sub Acción Específica
&lt;&lt; Seleccionar&gt;&gt;]])</f>
        <v>#N/A</v>
      </c>
      <c r="D786" s="328" t="e">
        <f>VLOOKUP(Tabla18[[#This Row],[Aux_01]],TablaSubAccionEspecifica[[#All],[Concat]:[Cod_Sub_acción_especifica]],2,0)</f>
        <v>#N/A</v>
      </c>
      <c r="E786" s="328" t="e">
        <f>Tabla18[[#This Row],[Bus_03]]&amp;"_"&amp;Tabla5[[#This Row],[Tipo de Agente
&lt;&lt; Seleccionar&gt;&gt;]]</f>
        <v>#N/A</v>
      </c>
      <c r="F786" s="328" t="e">
        <f>VLOOKUP(Tabla18[[#This Row],[Concat2]],TablaPOA[[#All],[Concat]:[ConcatEspecial]],3,0)</f>
        <v>#N/A</v>
      </c>
      <c r="G786" s="65" t="str">
        <f>CONCATENATE(Registro!$A$6,"_",Tabla5[[#This Row],[Zona (Provincia)
&lt;&lt; Seleccionar&gt;&gt;]])</f>
        <v>Huánuco_</v>
      </c>
      <c r="H786" s="60" t="e">
        <f>VLOOKUP(Tabla18[[#This Row],[Concatenado***]],Tabla2[[#All],[Concatenado]:[Simbología*]],2,0)</f>
        <v>#N/A</v>
      </c>
      <c r="I786" s="65" t="str">
        <f>CONCATENATE(Tabla18[[#This Row],[Concatenado***]],"_",Tabla5[[#This Row],[Zona (Distrito)
&lt;&lt; Seleccionar&gt;&gt;]])</f>
        <v>Huánuco__</v>
      </c>
      <c r="J7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6" s="72" t="e">
        <f>VLOOKUP(Tabla5[[#This Row],[Tipo de Transporte Empleado
&lt;&lt; Seleccionar&gt;&gt;]],Tabla8[#All],2,0)</f>
        <v>#N/A</v>
      </c>
      <c r="L786" s="71" t="e">
        <f>#REF!+(#REF!*2)+#REF!</f>
        <v>#REF!</v>
      </c>
    </row>
    <row r="787" spans="1:12" x14ac:dyDescent="0.25">
      <c r="A787" s="328" t="e">
        <f>VLOOKUP(Tabla5[[#This Row],[Acción
&lt;&lt; Seleccionar&gt;&gt;]],TablaAccion[[#All],[Nombre_Abreviado]:[Codigo_Plan_Acción]],3,0)</f>
        <v>#N/A</v>
      </c>
      <c r="B787" s="328" t="e">
        <f>VLOOKUP(Tabla5[[#This Row],[Acción Especifica
&lt;&lt; Seleccionar&gt;&gt;]],TablaAccionEspecifica[[#All],[Nombre_Abreviado]:[Codigo_Acción]],3,0)</f>
        <v>#N/A</v>
      </c>
      <c r="C787" s="328" t="e">
        <f>CONCATENATE(Tabla18[[#This Row],[Bus_02]],"_",Tabla5[[#This Row],[Sub Acción Específica
&lt;&lt; Seleccionar&gt;&gt;]])</f>
        <v>#N/A</v>
      </c>
      <c r="D787" s="328" t="e">
        <f>VLOOKUP(Tabla18[[#This Row],[Aux_01]],TablaSubAccionEspecifica[[#All],[Concat]:[Cod_Sub_acción_especifica]],2,0)</f>
        <v>#N/A</v>
      </c>
      <c r="E787" s="328" t="e">
        <f>Tabla18[[#This Row],[Bus_03]]&amp;"_"&amp;Tabla5[[#This Row],[Tipo de Agente
&lt;&lt; Seleccionar&gt;&gt;]]</f>
        <v>#N/A</v>
      </c>
      <c r="F787" s="328" t="e">
        <f>VLOOKUP(Tabla18[[#This Row],[Concat2]],TablaPOA[[#All],[Concat]:[ConcatEspecial]],3,0)</f>
        <v>#N/A</v>
      </c>
      <c r="G787" s="65" t="str">
        <f>CONCATENATE(Registro!$A$6,"_",Tabla5[[#This Row],[Zona (Provincia)
&lt;&lt; Seleccionar&gt;&gt;]])</f>
        <v>Huánuco_</v>
      </c>
      <c r="H787" s="60" t="e">
        <f>VLOOKUP(Tabla18[[#This Row],[Concatenado***]],Tabla2[[#All],[Concatenado]:[Simbología*]],2,0)</f>
        <v>#N/A</v>
      </c>
      <c r="I787" s="65" t="str">
        <f>CONCATENATE(Tabla18[[#This Row],[Concatenado***]],"_",Tabla5[[#This Row],[Zona (Distrito)
&lt;&lt; Seleccionar&gt;&gt;]])</f>
        <v>Huánuco__</v>
      </c>
      <c r="J7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7" s="72" t="e">
        <f>VLOOKUP(Tabla5[[#This Row],[Tipo de Transporte Empleado
&lt;&lt; Seleccionar&gt;&gt;]],Tabla8[#All],2,0)</f>
        <v>#N/A</v>
      </c>
      <c r="L787" s="71" t="e">
        <f>#REF!+(#REF!*2)+#REF!</f>
        <v>#REF!</v>
      </c>
    </row>
    <row r="788" spans="1:12" x14ac:dyDescent="0.25">
      <c r="A788" s="328" t="e">
        <f>VLOOKUP(Tabla5[[#This Row],[Acción
&lt;&lt; Seleccionar&gt;&gt;]],TablaAccion[[#All],[Nombre_Abreviado]:[Codigo_Plan_Acción]],3,0)</f>
        <v>#N/A</v>
      </c>
      <c r="B788" s="328" t="e">
        <f>VLOOKUP(Tabla5[[#This Row],[Acción Especifica
&lt;&lt; Seleccionar&gt;&gt;]],TablaAccionEspecifica[[#All],[Nombre_Abreviado]:[Codigo_Acción]],3,0)</f>
        <v>#N/A</v>
      </c>
      <c r="C788" s="328" t="e">
        <f>CONCATENATE(Tabla18[[#This Row],[Bus_02]],"_",Tabla5[[#This Row],[Sub Acción Específica
&lt;&lt; Seleccionar&gt;&gt;]])</f>
        <v>#N/A</v>
      </c>
      <c r="D788" s="328" t="e">
        <f>VLOOKUP(Tabla18[[#This Row],[Aux_01]],TablaSubAccionEspecifica[[#All],[Concat]:[Cod_Sub_acción_especifica]],2,0)</f>
        <v>#N/A</v>
      </c>
      <c r="E788" s="328" t="e">
        <f>Tabla18[[#This Row],[Bus_03]]&amp;"_"&amp;Tabla5[[#This Row],[Tipo de Agente
&lt;&lt; Seleccionar&gt;&gt;]]</f>
        <v>#N/A</v>
      </c>
      <c r="F788" s="328" t="e">
        <f>VLOOKUP(Tabla18[[#This Row],[Concat2]],TablaPOA[[#All],[Concat]:[ConcatEspecial]],3,0)</f>
        <v>#N/A</v>
      </c>
      <c r="G788" s="65" t="str">
        <f>CONCATENATE(Registro!$A$6,"_",Tabla5[[#This Row],[Zona (Provincia)
&lt;&lt; Seleccionar&gt;&gt;]])</f>
        <v>Huánuco_</v>
      </c>
      <c r="H788" s="60" t="e">
        <f>VLOOKUP(Tabla18[[#This Row],[Concatenado***]],Tabla2[[#All],[Concatenado]:[Simbología*]],2,0)</f>
        <v>#N/A</v>
      </c>
      <c r="I788" s="65" t="str">
        <f>CONCATENATE(Tabla18[[#This Row],[Concatenado***]],"_",Tabla5[[#This Row],[Zona (Distrito)
&lt;&lt; Seleccionar&gt;&gt;]])</f>
        <v>Huánuco__</v>
      </c>
      <c r="J7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8" s="72" t="e">
        <f>VLOOKUP(Tabla5[[#This Row],[Tipo de Transporte Empleado
&lt;&lt; Seleccionar&gt;&gt;]],Tabla8[#All],2,0)</f>
        <v>#N/A</v>
      </c>
      <c r="L788" s="71" t="e">
        <f>#REF!+(#REF!*2)+#REF!</f>
        <v>#REF!</v>
      </c>
    </row>
    <row r="789" spans="1:12" x14ac:dyDescent="0.25">
      <c r="A789" s="328" t="e">
        <f>VLOOKUP(Tabla5[[#This Row],[Acción
&lt;&lt; Seleccionar&gt;&gt;]],TablaAccion[[#All],[Nombre_Abreviado]:[Codigo_Plan_Acción]],3,0)</f>
        <v>#N/A</v>
      </c>
      <c r="B789" s="328" t="e">
        <f>VLOOKUP(Tabla5[[#This Row],[Acción Especifica
&lt;&lt; Seleccionar&gt;&gt;]],TablaAccionEspecifica[[#All],[Nombre_Abreviado]:[Codigo_Acción]],3,0)</f>
        <v>#N/A</v>
      </c>
      <c r="C789" s="328" t="e">
        <f>CONCATENATE(Tabla18[[#This Row],[Bus_02]],"_",Tabla5[[#This Row],[Sub Acción Específica
&lt;&lt; Seleccionar&gt;&gt;]])</f>
        <v>#N/A</v>
      </c>
      <c r="D789" s="328" t="e">
        <f>VLOOKUP(Tabla18[[#This Row],[Aux_01]],TablaSubAccionEspecifica[[#All],[Concat]:[Cod_Sub_acción_especifica]],2,0)</f>
        <v>#N/A</v>
      </c>
      <c r="E789" s="328" t="e">
        <f>Tabla18[[#This Row],[Bus_03]]&amp;"_"&amp;Tabla5[[#This Row],[Tipo de Agente
&lt;&lt; Seleccionar&gt;&gt;]]</f>
        <v>#N/A</v>
      </c>
      <c r="F789" s="328" t="e">
        <f>VLOOKUP(Tabla18[[#This Row],[Concat2]],TablaPOA[[#All],[Concat]:[ConcatEspecial]],3,0)</f>
        <v>#N/A</v>
      </c>
      <c r="G789" s="65" t="str">
        <f>CONCATENATE(Registro!$A$6,"_",Tabla5[[#This Row],[Zona (Provincia)
&lt;&lt; Seleccionar&gt;&gt;]])</f>
        <v>Huánuco_</v>
      </c>
      <c r="H789" s="60" t="e">
        <f>VLOOKUP(Tabla18[[#This Row],[Concatenado***]],Tabla2[[#All],[Concatenado]:[Simbología*]],2,0)</f>
        <v>#N/A</v>
      </c>
      <c r="I789" s="65" t="str">
        <f>CONCATENATE(Tabla18[[#This Row],[Concatenado***]],"_",Tabla5[[#This Row],[Zona (Distrito)
&lt;&lt; Seleccionar&gt;&gt;]])</f>
        <v>Huánuco__</v>
      </c>
      <c r="J7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9" s="72" t="e">
        <f>VLOOKUP(Tabla5[[#This Row],[Tipo de Transporte Empleado
&lt;&lt; Seleccionar&gt;&gt;]],Tabla8[#All],2,0)</f>
        <v>#N/A</v>
      </c>
      <c r="L789" s="71" t="e">
        <f>#REF!+(#REF!*2)+#REF!</f>
        <v>#REF!</v>
      </c>
    </row>
    <row r="790" spans="1:12" x14ac:dyDescent="0.25">
      <c r="A790" s="328" t="e">
        <f>VLOOKUP(Tabla5[[#This Row],[Acción
&lt;&lt; Seleccionar&gt;&gt;]],TablaAccion[[#All],[Nombre_Abreviado]:[Codigo_Plan_Acción]],3,0)</f>
        <v>#N/A</v>
      </c>
      <c r="B790" s="328" t="e">
        <f>VLOOKUP(Tabla5[[#This Row],[Acción Especifica
&lt;&lt; Seleccionar&gt;&gt;]],TablaAccionEspecifica[[#All],[Nombre_Abreviado]:[Codigo_Acción]],3,0)</f>
        <v>#N/A</v>
      </c>
      <c r="C790" s="328" t="e">
        <f>CONCATENATE(Tabla18[[#This Row],[Bus_02]],"_",Tabla5[[#This Row],[Sub Acción Específica
&lt;&lt; Seleccionar&gt;&gt;]])</f>
        <v>#N/A</v>
      </c>
      <c r="D790" s="328" t="e">
        <f>VLOOKUP(Tabla18[[#This Row],[Aux_01]],TablaSubAccionEspecifica[[#All],[Concat]:[Cod_Sub_acción_especifica]],2,0)</f>
        <v>#N/A</v>
      </c>
      <c r="E790" s="328" t="e">
        <f>Tabla18[[#This Row],[Bus_03]]&amp;"_"&amp;Tabla5[[#This Row],[Tipo de Agente
&lt;&lt; Seleccionar&gt;&gt;]]</f>
        <v>#N/A</v>
      </c>
      <c r="F790" s="328" t="e">
        <f>VLOOKUP(Tabla18[[#This Row],[Concat2]],TablaPOA[[#All],[Concat]:[ConcatEspecial]],3,0)</f>
        <v>#N/A</v>
      </c>
      <c r="G790" s="65" t="str">
        <f>CONCATENATE(Registro!$A$6,"_",Tabla5[[#This Row],[Zona (Provincia)
&lt;&lt; Seleccionar&gt;&gt;]])</f>
        <v>Huánuco_</v>
      </c>
      <c r="H790" s="60" t="e">
        <f>VLOOKUP(Tabla18[[#This Row],[Concatenado***]],Tabla2[[#All],[Concatenado]:[Simbología*]],2,0)</f>
        <v>#N/A</v>
      </c>
      <c r="I790" s="65" t="str">
        <f>CONCATENATE(Tabla18[[#This Row],[Concatenado***]],"_",Tabla5[[#This Row],[Zona (Distrito)
&lt;&lt; Seleccionar&gt;&gt;]])</f>
        <v>Huánuco__</v>
      </c>
      <c r="J7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0" s="72" t="e">
        <f>VLOOKUP(Tabla5[[#This Row],[Tipo de Transporte Empleado
&lt;&lt; Seleccionar&gt;&gt;]],Tabla8[#All],2,0)</f>
        <v>#N/A</v>
      </c>
      <c r="L790" s="71" t="e">
        <f>#REF!+(#REF!*2)+#REF!</f>
        <v>#REF!</v>
      </c>
    </row>
    <row r="791" spans="1:12" x14ac:dyDescent="0.25">
      <c r="A791" s="328" t="e">
        <f>VLOOKUP(Tabla5[[#This Row],[Acción
&lt;&lt; Seleccionar&gt;&gt;]],TablaAccion[[#All],[Nombre_Abreviado]:[Codigo_Plan_Acción]],3,0)</f>
        <v>#N/A</v>
      </c>
      <c r="B791" s="328" t="e">
        <f>VLOOKUP(Tabla5[[#This Row],[Acción Especifica
&lt;&lt; Seleccionar&gt;&gt;]],TablaAccionEspecifica[[#All],[Nombre_Abreviado]:[Codigo_Acción]],3,0)</f>
        <v>#N/A</v>
      </c>
      <c r="C791" s="328" t="e">
        <f>CONCATENATE(Tabla18[[#This Row],[Bus_02]],"_",Tabla5[[#This Row],[Sub Acción Específica
&lt;&lt; Seleccionar&gt;&gt;]])</f>
        <v>#N/A</v>
      </c>
      <c r="D791" s="328" t="e">
        <f>VLOOKUP(Tabla18[[#This Row],[Aux_01]],TablaSubAccionEspecifica[[#All],[Concat]:[Cod_Sub_acción_especifica]],2,0)</f>
        <v>#N/A</v>
      </c>
      <c r="E791" s="328" t="e">
        <f>Tabla18[[#This Row],[Bus_03]]&amp;"_"&amp;Tabla5[[#This Row],[Tipo de Agente
&lt;&lt; Seleccionar&gt;&gt;]]</f>
        <v>#N/A</v>
      </c>
      <c r="F791" s="328" t="e">
        <f>VLOOKUP(Tabla18[[#This Row],[Concat2]],TablaPOA[[#All],[Concat]:[ConcatEspecial]],3,0)</f>
        <v>#N/A</v>
      </c>
      <c r="G791" s="65" t="str">
        <f>CONCATENATE(Registro!$A$6,"_",Tabla5[[#This Row],[Zona (Provincia)
&lt;&lt; Seleccionar&gt;&gt;]])</f>
        <v>Huánuco_</v>
      </c>
      <c r="H791" s="60" t="e">
        <f>VLOOKUP(Tabla18[[#This Row],[Concatenado***]],Tabla2[[#All],[Concatenado]:[Simbología*]],2,0)</f>
        <v>#N/A</v>
      </c>
      <c r="I791" s="65" t="str">
        <f>CONCATENATE(Tabla18[[#This Row],[Concatenado***]],"_",Tabla5[[#This Row],[Zona (Distrito)
&lt;&lt; Seleccionar&gt;&gt;]])</f>
        <v>Huánuco__</v>
      </c>
      <c r="J7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1" s="72" t="e">
        <f>VLOOKUP(Tabla5[[#This Row],[Tipo de Transporte Empleado
&lt;&lt; Seleccionar&gt;&gt;]],Tabla8[#All],2,0)</f>
        <v>#N/A</v>
      </c>
      <c r="L791" s="71" t="e">
        <f>#REF!+(#REF!*2)+#REF!</f>
        <v>#REF!</v>
      </c>
    </row>
    <row r="792" spans="1:12" x14ac:dyDescent="0.25">
      <c r="A792" s="328" t="e">
        <f>VLOOKUP(Tabla5[[#This Row],[Acción
&lt;&lt; Seleccionar&gt;&gt;]],TablaAccion[[#All],[Nombre_Abreviado]:[Codigo_Plan_Acción]],3,0)</f>
        <v>#N/A</v>
      </c>
      <c r="B792" s="328" t="e">
        <f>VLOOKUP(Tabla5[[#This Row],[Acción Especifica
&lt;&lt; Seleccionar&gt;&gt;]],TablaAccionEspecifica[[#All],[Nombre_Abreviado]:[Codigo_Acción]],3,0)</f>
        <v>#N/A</v>
      </c>
      <c r="C792" s="328" t="e">
        <f>CONCATENATE(Tabla18[[#This Row],[Bus_02]],"_",Tabla5[[#This Row],[Sub Acción Específica
&lt;&lt; Seleccionar&gt;&gt;]])</f>
        <v>#N/A</v>
      </c>
      <c r="D792" s="328" t="e">
        <f>VLOOKUP(Tabla18[[#This Row],[Aux_01]],TablaSubAccionEspecifica[[#All],[Concat]:[Cod_Sub_acción_especifica]],2,0)</f>
        <v>#N/A</v>
      </c>
      <c r="E792" s="328" t="e">
        <f>Tabla18[[#This Row],[Bus_03]]&amp;"_"&amp;Tabla5[[#This Row],[Tipo de Agente
&lt;&lt; Seleccionar&gt;&gt;]]</f>
        <v>#N/A</v>
      </c>
      <c r="F792" s="328" t="e">
        <f>VLOOKUP(Tabla18[[#This Row],[Concat2]],TablaPOA[[#All],[Concat]:[ConcatEspecial]],3,0)</f>
        <v>#N/A</v>
      </c>
      <c r="G792" s="65" t="str">
        <f>CONCATENATE(Registro!$A$6,"_",Tabla5[[#This Row],[Zona (Provincia)
&lt;&lt; Seleccionar&gt;&gt;]])</f>
        <v>Huánuco_</v>
      </c>
      <c r="H792" s="60" t="e">
        <f>VLOOKUP(Tabla18[[#This Row],[Concatenado***]],Tabla2[[#All],[Concatenado]:[Simbología*]],2,0)</f>
        <v>#N/A</v>
      </c>
      <c r="I792" s="65" t="str">
        <f>CONCATENATE(Tabla18[[#This Row],[Concatenado***]],"_",Tabla5[[#This Row],[Zona (Distrito)
&lt;&lt; Seleccionar&gt;&gt;]])</f>
        <v>Huánuco__</v>
      </c>
      <c r="J7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2" s="72" t="e">
        <f>VLOOKUP(Tabla5[[#This Row],[Tipo de Transporte Empleado
&lt;&lt; Seleccionar&gt;&gt;]],Tabla8[#All],2,0)</f>
        <v>#N/A</v>
      </c>
      <c r="L792" s="71" t="e">
        <f>#REF!+(#REF!*2)+#REF!</f>
        <v>#REF!</v>
      </c>
    </row>
    <row r="793" spans="1:12" x14ac:dyDescent="0.25">
      <c r="A793" s="328" t="e">
        <f>VLOOKUP(Tabla5[[#This Row],[Acción
&lt;&lt; Seleccionar&gt;&gt;]],TablaAccion[[#All],[Nombre_Abreviado]:[Codigo_Plan_Acción]],3,0)</f>
        <v>#N/A</v>
      </c>
      <c r="B793" s="328" t="e">
        <f>VLOOKUP(Tabla5[[#This Row],[Acción Especifica
&lt;&lt; Seleccionar&gt;&gt;]],TablaAccionEspecifica[[#All],[Nombre_Abreviado]:[Codigo_Acción]],3,0)</f>
        <v>#N/A</v>
      </c>
      <c r="C793" s="328" t="e">
        <f>CONCATENATE(Tabla18[[#This Row],[Bus_02]],"_",Tabla5[[#This Row],[Sub Acción Específica
&lt;&lt; Seleccionar&gt;&gt;]])</f>
        <v>#N/A</v>
      </c>
      <c r="D793" s="328" t="e">
        <f>VLOOKUP(Tabla18[[#This Row],[Aux_01]],TablaSubAccionEspecifica[[#All],[Concat]:[Cod_Sub_acción_especifica]],2,0)</f>
        <v>#N/A</v>
      </c>
      <c r="E793" s="328" t="e">
        <f>Tabla18[[#This Row],[Bus_03]]&amp;"_"&amp;Tabla5[[#This Row],[Tipo de Agente
&lt;&lt; Seleccionar&gt;&gt;]]</f>
        <v>#N/A</v>
      </c>
      <c r="F793" s="328" t="e">
        <f>VLOOKUP(Tabla18[[#This Row],[Concat2]],TablaPOA[[#All],[Concat]:[ConcatEspecial]],3,0)</f>
        <v>#N/A</v>
      </c>
      <c r="G793" s="65" t="str">
        <f>CONCATENATE(Registro!$A$6,"_",Tabla5[[#This Row],[Zona (Provincia)
&lt;&lt; Seleccionar&gt;&gt;]])</f>
        <v>Huánuco_</v>
      </c>
      <c r="H793" s="60" t="e">
        <f>VLOOKUP(Tabla18[[#This Row],[Concatenado***]],Tabla2[[#All],[Concatenado]:[Simbología*]],2,0)</f>
        <v>#N/A</v>
      </c>
      <c r="I793" s="65" t="str">
        <f>CONCATENATE(Tabla18[[#This Row],[Concatenado***]],"_",Tabla5[[#This Row],[Zona (Distrito)
&lt;&lt; Seleccionar&gt;&gt;]])</f>
        <v>Huánuco__</v>
      </c>
      <c r="J7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3" s="72" t="e">
        <f>VLOOKUP(Tabla5[[#This Row],[Tipo de Transporte Empleado
&lt;&lt; Seleccionar&gt;&gt;]],Tabla8[#All],2,0)</f>
        <v>#N/A</v>
      </c>
      <c r="L793" s="71" t="e">
        <f>#REF!+(#REF!*2)+#REF!</f>
        <v>#REF!</v>
      </c>
    </row>
    <row r="794" spans="1:12" x14ac:dyDescent="0.25">
      <c r="A794" s="328" t="e">
        <f>VLOOKUP(Tabla5[[#This Row],[Acción
&lt;&lt; Seleccionar&gt;&gt;]],TablaAccion[[#All],[Nombre_Abreviado]:[Codigo_Plan_Acción]],3,0)</f>
        <v>#N/A</v>
      </c>
      <c r="B794" s="328" t="e">
        <f>VLOOKUP(Tabla5[[#This Row],[Acción Especifica
&lt;&lt; Seleccionar&gt;&gt;]],TablaAccionEspecifica[[#All],[Nombre_Abreviado]:[Codigo_Acción]],3,0)</f>
        <v>#N/A</v>
      </c>
      <c r="C794" s="328" t="e">
        <f>CONCATENATE(Tabla18[[#This Row],[Bus_02]],"_",Tabla5[[#This Row],[Sub Acción Específica
&lt;&lt; Seleccionar&gt;&gt;]])</f>
        <v>#N/A</v>
      </c>
      <c r="D794" s="328" t="e">
        <f>VLOOKUP(Tabla18[[#This Row],[Aux_01]],TablaSubAccionEspecifica[[#All],[Concat]:[Cod_Sub_acción_especifica]],2,0)</f>
        <v>#N/A</v>
      </c>
      <c r="E794" s="328" t="e">
        <f>Tabla18[[#This Row],[Bus_03]]&amp;"_"&amp;Tabla5[[#This Row],[Tipo de Agente
&lt;&lt; Seleccionar&gt;&gt;]]</f>
        <v>#N/A</v>
      </c>
      <c r="F794" s="328" t="e">
        <f>VLOOKUP(Tabla18[[#This Row],[Concat2]],TablaPOA[[#All],[Concat]:[ConcatEspecial]],3,0)</f>
        <v>#N/A</v>
      </c>
      <c r="G794" s="65" t="str">
        <f>CONCATENATE(Registro!$A$6,"_",Tabla5[[#This Row],[Zona (Provincia)
&lt;&lt; Seleccionar&gt;&gt;]])</f>
        <v>Huánuco_</v>
      </c>
      <c r="H794" s="60" t="e">
        <f>VLOOKUP(Tabla18[[#This Row],[Concatenado***]],Tabla2[[#All],[Concatenado]:[Simbología*]],2,0)</f>
        <v>#N/A</v>
      </c>
      <c r="I794" s="65" t="str">
        <f>CONCATENATE(Tabla18[[#This Row],[Concatenado***]],"_",Tabla5[[#This Row],[Zona (Distrito)
&lt;&lt; Seleccionar&gt;&gt;]])</f>
        <v>Huánuco__</v>
      </c>
      <c r="J7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4" s="72" t="e">
        <f>VLOOKUP(Tabla5[[#This Row],[Tipo de Transporte Empleado
&lt;&lt; Seleccionar&gt;&gt;]],Tabla8[#All],2,0)</f>
        <v>#N/A</v>
      </c>
      <c r="L794" s="71" t="e">
        <f>#REF!+(#REF!*2)+#REF!</f>
        <v>#REF!</v>
      </c>
    </row>
    <row r="795" spans="1:12" x14ac:dyDescent="0.25">
      <c r="A795" s="328" t="e">
        <f>VLOOKUP(Tabla5[[#This Row],[Acción
&lt;&lt; Seleccionar&gt;&gt;]],TablaAccion[[#All],[Nombre_Abreviado]:[Codigo_Plan_Acción]],3,0)</f>
        <v>#N/A</v>
      </c>
      <c r="B795" s="328" t="e">
        <f>VLOOKUP(Tabla5[[#This Row],[Acción Especifica
&lt;&lt; Seleccionar&gt;&gt;]],TablaAccionEspecifica[[#All],[Nombre_Abreviado]:[Codigo_Acción]],3,0)</f>
        <v>#N/A</v>
      </c>
      <c r="C795" s="328" t="e">
        <f>CONCATENATE(Tabla18[[#This Row],[Bus_02]],"_",Tabla5[[#This Row],[Sub Acción Específica
&lt;&lt; Seleccionar&gt;&gt;]])</f>
        <v>#N/A</v>
      </c>
      <c r="D795" s="328" t="e">
        <f>VLOOKUP(Tabla18[[#This Row],[Aux_01]],TablaSubAccionEspecifica[[#All],[Concat]:[Cod_Sub_acción_especifica]],2,0)</f>
        <v>#N/A</v>
      </c>
      <c r="E795" s="328" t="e">
        <f>Tabla18[[#This Row],[Bus_03]]&amp;"_"&amp;Tabla5[[#This Row],[Tipo de Agente
&lt;&lt; Seleccionar&gt;&gt;]]</f>
        <v>#N/A</v>
      </c>
      <c r="F795" s="328" t="e">
        <f>VLOOKUP(Tabla18[[#This Row],[Concat2]],TablaPOA[[#All],[Concat]:[ConcatEspecial]],3,0)</f>
        <v>#N/A</v>
      </c>
      <c r="G795" s="65" t="str">
        <f>CONCATENATE(Registro!$A$6,"_",Tabla5[[#This Row],[Zona (Provincia)
&lt;&lt; Seleccionar&gt;&gt;]])</f>
        <v>Huánuco_</v>
      </c>
      <c r="H795" s="60" t="e">
        <f>VLOOKUP(Tabla18[[#This Row],[Concatenado***]],Tabla2[[#All],[Concatenado]:[Simbología*]],2,0)</f>
        <v>#N/A</v>
      </c>
      <c r="I795" s="65" t="str">
        <f>CONCATENATE(Tabla18[[#This Row],[Concatenado***]],"_",Tabla5[[#This Row],[Zona (Distrito)
&lt;&lt; Seleccionar&gt;&gt;]])</f>
        <v>Huánuco__</v>
      </c>
      <c r="J7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5" s="72" t="e">
        <f>VLOOKUP(Tabla5[[#This Row],[Tipo de Transporte Empleado
&lt;&lt; Seleccionar&gt;&gt;]],Tabla8[#All],2,0)</f>
        <v>#N/A</v>
      </c>
      <c r="L795" s="71" t="e">
        <f>#REF!+(#REF!*2)+#REF!</f>
        <v>#REF!</v>
      </c>
    </row>
    <row r="796" spans="1:12" x14ac:dyDescent="0.25">
      <c r="A796" s="328" t="e">
        <f>VLOOKUP(Tabla5[[#This Row],[Acción
&lt;&lt; Seleccionar&gt;&gt;]],TablaAccion[[#All],[Nombre_Abreviado]:[Codigo_Plan_Acción]],3,0)</f>
        <v>#N/A</v>
      </c>
      <c r="B796" s="328" t="e">
        <f>VLOOKUP(Tabla5[[#This Row],[Acción Especifica
&lt;&lt; Seleccionar&gt;&gt;]],TablaAccionEspecifica[[#All],[Nombre_Abreviado]:[Codigo_Acción]],3,0)</f>
        <v>#N/A</v>
      </c>
      <c r="C796" s="328" t="e">
        <f>CONCATENATE(Tabla18[[#This Row],[Bus_02]],"_",Tabla5[[#This Row],[Sub Acción Específica
&lt;&lt; Seleccionar&gt;&gt;]])</f>
        <v>#N/A</v>
      </c>
      <c r="D796" s="328" t="e">
        <f>VLOOKUP(Tabla18[[#This Row],[Aux_01]],TablaSubAccionEspecifica[[#All],[Concat]:[Cod_Sub_acción_especifica]],2,0)</f>
        <v>#N/A</v>
      </c>
      <c r="E796" s="328" t="e">
        <f>Tabla18[[#This Row],[Bus_03]]&amp;"_"&amp;Tabla5[[#This Row],[Tipo de Agente
&lt;&lt; Seleccionar&gt;&gt;]]</f>
        <v>#N/A</v>
      </c>
      <c r="F796" s="328" t="e">
        <f>VLOOKUP(Tabla18[[#This Row],[Concat2]],TablaPOA[[#All],[Concat]:[ConcatEspecial]],3,0)</f>
        <v>#N/A</v>
      </c>
      <c r="G796" s="65" t="str">
        <f>CONCATENATE(Registro!$A$6,"_",Tabla5[[#This Row],[Zona (Provincia)
&lt;&lt; Seleccionar&gt;&gt;]])</f>
        <v>Huánuco_</v>
      </c>
      <c r="H796" s="60" t="e">
        <f>VLOOKUP(Tabla18[[#This Row],[Concatenado***]],Tabla2[[#All],[Concatenado]:[Simbología*]],2,0)</f>
        <v>#N/A</v>
      </c>
      <c r="I796" s="65" t="str">
        <f>CONCATENATE(Tabla18[[#This Row],[Concatenado***]],"_",Tabla5[[#This Row],[Zona (Distrito)
&lt;&lt; Seleccionar&gt;&gt;]])</f>
        <v>Huánuco__</v>
      </c>
      <c r="J7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6" s="72" t="e">
        <f>VLOOKUP(Tabla5[[#This Row],[Tipo de Transporte Empleado
&lt;&lt; Seleccionar&gt;&gt;]],Tabla8[#All],2,0)</f>
        <v>#N/A</v>
      </c>
      <c r="L796" s="71" t="e">
        <f>#REF!+(#REF!*2)+#REF!</f>
        <v>#REF!</v>
      </c>
    </row>
    <row r="797" spans="1:12" x14ac:dyDescent="0.25">
      <c r="A797" s="328" t="e">
        <f>VLOOKUP(Tabla5[[#This Row],[Acción
&lt;&lt; Seleccionar&gt;&gt;]],TablaAccion[[#All],[Nombre_Abreviado]:[Codigo_Plan_Acción]],3,0)</f>
        <v>#N/A</v>
      </c>
      <c r="B797" s="328" t="e">
        <f>VLOOKUP(Tabla5[[#This Row],[Acción Especifica
&lt;&lt; Seleccionar&gt;&gt;]],TablaAccionEspecifica[[#All],[Nombre_Abreviado]:[Codigo_Acción]],3,0)</f>
        <v>#N/A</v>
      </c>
      <c r="C797" s="328" t="e">
        <f>CONCATENATE(Tabla18[[#This Row],[Bus_02]],"_",Tabla5[[#This Row],[Sub Acción Específica
&lt;&lt; Seleccionar&gt;&gt;]])</f>
        <v>#N/A</v>
      </c>
      <c r="D797" s="328" t="e">
        <f>VLOOKUP(Tabla18[[#This Row],[Aux_01]],TablaSubAccionEspecifica[[#All],[Concat]:[Cod_Sub_acción_especifica]],2,0)</f>
        <v>#N/A</v>
      </c>
      <c r="E797" s="328" t="e">
        <f>Tabla18[[#This Row],[Bus_03]]&amp;"_"&amp;Tabla5[[#This Row],[Tipo de Agente
&lt;&lt; Seleccionar&gt;&gt;]]</f>
        <v>#N/A</v>
      </c>
      <c r="F797" s="328" t="e">
        <f>VLOOKUP(Tabla18[[#This Row],[Concat2]],TablaPOA[[#All],[Concat]:[ConcatEspecial]],3,0)</f>
        <v>#N/A</v>
      </c>
      <c r="G797" s="65" t="str">
        <f>CONCATENATE(Registro!$A$6,"_",Tabla5[[#This Row],[Zona (Provincia)
&lt;&lt; Seleccionar&gt;&gt;]])</f>
        <v>Huánuco_</v>
      </c>
      <c r="H797" s="60" t="e">
        <f>VLOOKUP(Tabla18[[#This Row],[Concatenado***]],Tabla2[[#All],[Concatenado]:[Simbología*]],2,0)</f>
        <v>#N/A</v>
      </c>
      <c r="I797" s="65" t="str">
        <f>CONCATENATE(Tabla18[[#This Row],[Concatenado***]],"_",Tabla5[[#This Row],[Zona (Distrito)
&lt;&lt; Seleccionar&gt;&gt;]])</f>
        <v>Huánuco__</v>
      </c>
      <c r="J7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7" s="72" t="e">
        <f>VLOOKUP(Tabla5[[#This Row],[Tipo de Transporte Empleado
&lt;&lt; Seleccionar&gt;&gt;]],Tabla8[#All],2,0)</f>
        <v>#N/A</v>
      </c>
      <c r="L797" s="71" t="e">
        <f>#REF!+(#REF!*2)+#REF!</f>
        <v>#REF!</v>
      </c>
    </row>
    <row r="798" spans="1:12" x14ac:dyDescent="0.25">
      <c r="A798" s="328" t="e">
        <f>VLOOKUP(Tabla5[[#This Row],[Acción
&lt;&lt; Seleccionar&gt;&gt;]],TablaAccion[[#All],[Nombre_Abreviado]:[Codigo_Plan_Acción]],3,0)</f>
        <v>#N/A</v>
      </c>
      <c r="B798" s="328" t="e">
        <f>VLOOKUP(Tabla5[[#This Row],[Acción Especifica
&lt;&lt; Seleccionar&gt;&gt;]],TablaAccionEspecifica[[#All],[Nombre_Abreviado]:[Codigo_Acción]],3,0)</f>
        <v>#N/A</v>
      </c>
      <c r="C798" s="328" t="e">
        <f>CONCATENATE(Tabla18[[#This Row],[Bus_02]],"_",Tabla5[[#This Row],[Sub Acción Específica
&lt;&lt; Seleccionar&gt;&gt;]])</f>
        <v>#N/A</v>
      </c>
      <c r="D798" s="328" t="e">
        <f>VLOOKUP(Tabla18[[#This Row],[Aux_01]],TablaSubAccionEspecifica[[#All],[Concat]:[Cod_Sub_acción_especifica]],2,0)</f>
        <v>#N/A</v>
      </c>
      <c r="E798" s="328" t="e">
        <f>Tabla18[[#This Row],[Bus_03]]&amp;"_"&amp;Tabla5[[#This Row],[Tipo de Agente
&lt;&lt; Seleccionar&gt;&gt;]]</f>
        <v>#N/A</v>
      </c>
      <c r="F798" s="328" t="e">
        <f>VLOOKUP(Tabla18[[#This Row],[Concat2]],TablaPOA[[#All],[Concat]:[ConcatEspecial]],3,0)</f>
        <v>#N/A</v>
      </c>
      <c r="G798" s="65" t="str">
        <f>CONCATENATE(Registro!$A$6,"_",Tabla5[[#This Row],[Zona (Provincia)
&lt;&lt; Seleccionar&gt;&gt;]])</f>
        <v>Huánuco_</v>
      </c>
      <c r="H798" s="60" t="e">
        <f>VLOOKUP(Tabla18[[#This Row],[Concatenado***]],Tabla2[[#All],[Concatenado]:[Simbología*]],2,0)</f>
        <v>#N/A</v>
      </c>
      <c r="I798" s="65" t="str">
        <f>CONCATENATE(Tabla18[[#This Row],[Concatenado***]],"_",Tabla5[[#This Row],[Zona (Distrito)
&lt;&lt; Seleccionar&gt;&gt;]])</f>
        <v>Huánuco__</v>
      </c>
      <c r="J7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8" s="72" t="e">
        <f>VLOOKUP(Tabla5[[#This Row],[Tipo de Transporte Empleado
&lt;&lt; Seleccionar&gt;&gt;]],Tabla8[#All],2,0)</f>
        <v>#N/A</v>
      </c>
      <c r="L798" s="71" t="e">
        <f>#REF!+(#REF!*2)+#REF!</f>
        <v>#REF!</v>
      </c>
    </row>
    <row r="799" spans="1:12" x14ac:dyDescent="0.25">
      <c r="A799" s="328" t="e">
        <f>VLOOKUP(Tabla5[[#This Row],[Acción
&lt;&lt; Seleccionar&gt;&gt;]],TablaAccion[[#All],[Nombre_Abreviado]:[Codigo_Plan_Acción]],3,0)</f>
        <v>#N/A</v>
      </c>
      <c r="B799" s="328" t="e">
        <f>VLOOKUP(Tabla5[[#This Row],[Acción Especifica
&lt;&lt; Seleccionar&gt;&gt;]],TablaAccionEspecifica[[#All],[Nombre_Abreviado]:[Codigo_Acción]],3,0)</f>
        <v>#N/A</v>
      </c>
      <c r="C799" s="328" t="e">
        <f>CONCATENATE(Tabla18[[#This Row],[Bus_02]],"_",Tabla5[[#This Row],[Sub Acción Específica
&lt;&lt; Seleccionar&gt;&gt;]])</f>
        <v>#N/A</v>
      </c>
      <c r="D799" s="328" t="e">
        <f>VLOOKUP(Tabla18[[#This Row],[Aux_01]],TablaSubAccionEspecifica[[#All],[Concat]:[Cod_Sub_acción_especifica]],2,0)</f>
        <v>#N/A</v>
      </c>
      <c r="E799" s="328" t="e">
        <f>Tabla18[[#This Row],[Bus_03]]&amp;"_"&amp;Tabla5[[#This Row],[Tipo de Agente
&lt;&lt; Seleccionar&gt;&gt;]]</f>
        <v>#N/A</v>
      </c>
      <c r="F799" s="328" t="e">
        <f>VLOOKUP(Tabla18[[#This Row],[Concat2]],TablaPOA[[#All],[Concat]:[ConcatEspecial]],3,0)</f>
        <v>#N/A</v>
      </c>
      <c r="G799" s="65" t="str">
        <f>CONCATENATE(Registro!$A$6,"_",Tabla5[[#This Row],[Zona (Provincia)
&lt;&lt; Seleccionar&gt;&gt;]])</f>
        <v>Huánuco_</v>
      </c>
      <c r="H799" s="60" t="e">
        <f>VLOOKUP(Tabla18[[#This Row],[Concatenado***]],Tabla2[[#All],[Concatenado]:[Simbología*]],2,0)</f>
        <v>#N/A</v>
      </c>
      <c r="I799" s="65" t="str">
        <f>CONCATENATE(Tabla18[[#This Row],[Concatenado***]],"_",Tabla5[[#This Row],[Zona (Distrito)
&lt;&lt; Seleccionar&gt;&gt;]])</f>
        <v>Huánuco__</v>
      </c>
      <c r="J7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9" s="72" t="e">
        <f>VLOOKUP(Tabla5[[#This Row],[Tipo de Transporte Empleado
&lt;&lt; Seleccionar&gt;&gt;]],Tabla8[#All],2,0)</f>
        <v>#N/A</v>
      </c>
      <c r="L799" s="71" t="e">
        <f>#REF!+(#REF!*2)+#REF!</f>
        <v>#REF!</v>
      </c>
    </row>
    <row r="800" spans="1:12" x14ac:dyDescent="0.25">
      <c r="A800" s="328" t="e">
        <f>VLOOKUP(Tabla5[[#This Row],[Acción
&lt;&lt; Seleccionar&gt;&gt;]],TablaAccion[[#All],[Nombre_Abreviado]:[Codigo_Plan_Acción]],3,0)</f>
        <v>#N/A</v>
      </c>
      <c r="B800" s="328" t="e">
        <f>VLOOKUP(Tabla5[[#This Row],[Acción Especifica
&lt;&lt; Seleccionar&gt;&gt;]],TablaAccionEspecifica[[#All],[Nombre_Abreviado]:[Codigo_Acción]],3,0)</f>
        <v>#N/A</v>
      </c>
      <c r="C800" s="328" t="e">
        <f>CONCATENATE(Tabla18[[#This Row],[Bus_02]],"_",Tabla5[[#This Row],[Sub Acción Específica
&lt;&lt; Seleccionar&gt;&gt;]])</f>
        <v>#N/A</v>
      </c>
      <c r="D800" s="328" t="e">
        <f>VLOOKUP(Tabla18[[#This Row],[Aux_01]],TablaSubAccionEspecifica[[#All],[Concat]:[Cod_Sub_acción_especifica]],2,0)</f>
        <v>#N/A</v>
      </c>
      <c r="E800" s="328" t="e">
        <f>Tabla18[[#This Row],[Bus_03]]&amp;"_"&amp;Tabla5[[#This Row],[Tipo de Agente
&lt;&lt; Seleccionar&gt;&gt;]]</f>
        <v>#N/A</v>
      </c>
      <c r="F800" s="328" t="e">
        <f>VLOOKUP(Tabla18[[#This Row],[Concat2]],TablaPOA[[#All],[Concat]:[ConcatEspecial]],3,0)</f>
        <v>#N/A</v>
      </c>
      <c r="G800" s="65" t="str">
        <f>CONCATENATE(Registro!$A$6,"_",Tabla5[[#This Row],[Zona (Provincia)
&lt;&lt; Seleccionar&gt;&gt;]])</f>
        <v>Huánuco_</v>
      </c>
      <c r="H800" s="60" t="e">
        <f>VLOOKUP(Tabla18[[#This Row],[Concatenado***]],Tabla2[[#All],[Concatenado]:[Simbología*]],2,0)</f>
        <v>#N/A</v>
      </c>
      <c r="I800" s="65" t="str">
        <f>CONCATENATE(Tabla18[[#This Row],[Concatenado***]],"_",Tabla5[[#This Row],[Zona (Distrito)
&lt;&lt; Seleccionar&gt;&gt;]])</f>
        <v>Huánuco__</v>
      </c>
      <c r="J8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0" s="72" t="e">
        <f>VLOOKUP(Tabla5[[#This Row],[Tipo de Transporte Empleado
&lt;&lt; Seleccionar&gt;&gt;]],Tabla8[#All],2,0)</f>
        <v>#N/A</v>
      </c>
      <c r="L800" s="71" t="e">
        <f>#REF!+(#REF!*2)+#REF!</f>
        <v>#REF!</v>
      </c>
    </row>
    <row r="801" spans="1:12" x14ac:dyDescent="0.25">
      <c r="A801" s="328" t="e">
        <f>VLOOKUP(Tabla5[[#This Row],[Acción
&lt;&lt; Seleccionar&gt;&gt;]],TablaAccion[[#All],[Nombre_Abreviado]:[Codigo_Plan_Acción]],3,0)</f>
        <v>#N/A</v>
      </c>
      <c r="B801" s="328" t="e">
        <f>VLOOKUP(Tabla5[[#This Row],[Acción Especifica
&lt;&lt; Seleccionar&gt;&gt;]],TablaAccionEspecifica[[#All],[Nombre_Abreviado]:[Codigo_Acción]],3,0)</f>
        <v>#N/A</v>
      </c>
      <c r="C801" s="328" t="e">
        <f>CONCATENATE(Tabla18[[#This Row],[Bus_02]],"_",Tabla5[[#This Row],[Sub Acción Específica
&lt;&lt; Seleccionar&gt;&gt;]])</f>
        <v>#N/A</v>
      </c>
      <c r="D801" s="328" t="e">
        <f>VLOOKUP(Tabla18[[#This Row],[Aux_01]],TablaSubAccionEspecifica[[#All],[Concat]:[Cod_Sub_acción_especifica]],2,0)</f>
        <v>#N/A</v>
      </c>
      <c r="E801" s="328" t="e">
        <f>Tabla18[[#This Row],[Bus_03]]&amp;"_"&amp;Tabla5[[#This Row],[Tipo de Agente
&lt;&lt; Seleccionar&gt;&gt;]]</f>
        <v>#N/A</v>
      </c>
      <c r="F801" s="328" t="e">
        <f>VLOOKUP(Tabla18[[#This Row],[Concat2]],TablaPOA[[#All],[Concat]:[ConcatEspecial]],3,0)</f>
        <v>#N/A</v>
      </c>
      <c r="G801" s="65" t="str">
        <f>CONCATENATE(Registro!$A$6,"_",Tabla5[[#This Row],[Zona (Provincia)
&lt;&lt; Seleccionar&gt;&gt;]])</f>
        <v>Huánuco_</v>
      </c>
      <c r="H801" s="60" t="e">
        <f>VLOOKUP(Tabla18[[#This Row],[Concatenado***]],Tabla2[[#All],[Concatenado]:[Simbología*]],2,0)</f>
        <v>#N/A</v>
      </c>
      <c r="I801" s="65" t="str">
        <f>CONCATENATE(Tabla18[[#This Row],[Concatenado***]],"_",Tabla5[[#This Row],[Zona (Distrito)
&lt;&lt; Seleccionar&gt;&gt;]])</f>
        <v>Huánuco__</v>
      </c>
      <c r="J8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1" s="72" t="e">
        <f>VLOOKUP(Tabla5[[#This Row],[Tipo de Transporte Empleado
&lt;&lt; Seleccionar&gt;&gt;]],Tabla8[#All],2,0)</f>
        <v>#N/A</v>
      </c>
      <c r="L801" s="71" t="e">
        <f>#REF!+(#REF!*2)+#REF!</f>
        <v>#REF!</v>
      </c>
    </row>
    <row r="802" spans="1:12" x14ac:dyDescent="0.25">
      <c r="A802" s="328" t="e">
        <f>VLOOKUP(Tabla5[[#This Row],[Acción
&lt;&lt; Seleccionar&gt;&gt;]],TablaAccion[[#All],[Nombre_Abreviado]:[Codigo_Plan_Acción]],3,0)</f>
        <v>#N/A</v>
      </c>
      <c r="B802" s="328" t="e">
        <f>VLOOKUP(Tabla5[[#This Row],[Acción Especifica
&lt;&lt; Seleccionar&gt;&gt;]],TablaAccionEspecifica[[#All],[Nombre_Abreviado]:[Codigo_Acción]],3,0)</f>
        <v>#N/A</v>
      </c>
      <c r="C802" s="328" t="e">
        <f>CONCATENATE(Tabla18[[#This Row],[Bus_02]],"_",Tabla5[[#This Row],[Sub Acción Específica
&lt;&lt; Seleccionar&gt;&gt;]])</f>
        <v>#N/A</v>
      </c>
      <c r="D802" s="328" t="e">
        <f>VLOOKUP(Tabla18[[#This Row],[Aux_01]],TablaSubAccionEspecifica[[#All],[Concat]:[Cod_Sub_acción_especifica]],2,0)</f>
        <v>#N/A</v>
      </c>
      <c r="E802" s="328" t="e">
        <f>Tabla18[[#This Row],[Bus_03]]&amp;"_"&amp;Tabla5[[#This Row],[Tipo de Agente
&lt;&lt; Seleccionar&gt;&gt;]]</f>
        <v>#N/A</v>
      </c>
      <c r="F802" s="328" t="e">
        <f>VLOOKUP(Tabla18[[#This Row],[Concat2]],TablaPOA[[#All],[Concat]:[ConcatEspecial]],3,0)</f>
        <v>#N/A</v>
      </c>
      <c r="G802" s="65" t="str">
        <f>CONCATENATE(Registro!$A$6,"_",Tabla5[[#This Row],[Zona (Provincia)
&lt;&lt; Seleccionar&gt;&gt;]])</f>
        <v>Huánuco_</v>
      </c>
      <c r="H802" s="60" t="e">
        <f>VLOOKUP(Tabla18[[#This Row],[Concatenado***]],Tabla2[[#All],[Concatenado]:[Simbología*]],2,0)</f>
        <v>#N/A</v>
      </c>
      <c r="I802" s="65" t="str">
        <f>CONCATENATE(Tabla18[[#This Row],[Concatenado***]],"_",Tabla5[[#This Row],[Zona (Distrito)
&lt;&lt; Seleccionar&gt;&gt;]])</f>
        <v>Huánuco__</v>
      </c>
      <c r="J8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2" s="72" t="e">
        <f>VLOOKUP(Tabla5[[#This Row],[Tipo de Transporte Empleado
&lt;&lt; Seleccionar&gt;&gt;]],Tabla8[#All],2,0)</f>
        <v>#N/A</v>
      </c>
      <c r="L802" s="71" t="e">
        <f>#REF!+(#REF!*2)+#REF!</f>
        <v>#REF!</v>
      </c>
    </row>
    <row r="803" spans="1:12" x14ac:dyDescent="0.25">
      <c r="A803" s="328" t="e">
        <f>VLOOKUP(Tabla5[[#This Row],[Acción
&lt;&lt; Seleccionar&gt;&gt;]],TablaAccion[[#All],[Nombre_Abreviado]:[Codigo_Plan_Acción]],3,0)</f>
        <v>#N/A</v>
      </c>
      <c r="B803" s="328" t="e">
        <f>VLOOKUP(Tabla5[[#This Row],[Acción Especifica
&lt;&lt; Seleccionar&gt;&gt;]],TablaAccionEspecifica[[#All],[Nombre_Abreviado]:[Codigo_Acción]],3,0)</f>
        <v>#N/A</v>
      </c>
      <c r="C803" s="328" t="e">
        <f>CONCATENATE(Tabla18[[#This Row],[Bus_02]],"_",Tabla5[[#This Row],[Sub Acción Específica
&lt;&lt; Seleccionar&gt;&gt;]])</f>
        <v>#N/A</v>
      </c>
      <c r="D803" s="328" t="e">
        <f>VLOOKUP(Tabla18[[#This Row],[Aux_01]],TablaSubAccionEspecifica[[#All],[Concat]:[Cod_Sub_acción_especifica]],2,0)</f>
        <v>#N/A</v>
      </c>
      <c r="E803" s="328" t="e">
        <f>Tabla18[[#This Row],[Bus_03]]&amp;"_"&amp;Tabla5[[#This Row],[Tipo de Agente
&lt;&lt; Seleccionar&gt;&gt;]]</f>
        <v>#N/A</v>
      </c>
      <c r="F803" s="328" t="e">
        <f>VLOOKUP(Tabla18[[#This Row],[Concat2]],TablaPOA[[#All],[Concat]:[ConcatEspecial]],3,0)</f>
        <v>#N/A</v>
      </c>
      <c r="G803" s="65" t="str">
        <f>CONCATENATE(Registro!$A$6,"_",Tabla5[[#This Row],[Zona (Provincia)
&lt;&lt; Seleccionar&gt;&gt;]])</f>
        <v>Huánuco_</v>
      </c>
      <c r="H803" s="60" t="e">
        <f>VLOOKUP(Tabla18[[#This Row],[Concatenado***]],Tabla2[[#All],[Concatenado]:[Simbología*]],2,0)</f>
        <v>#N/A</v>
      </c>
      <c r="I803" s="65" t="str">
        <f>CONCATENATE(Tabla18[[#This Row],[Concatenado***]],"_",Tabla5[[#This Row],[Zona (Distrito)
&lt;&lt; Seleccionar&gt;&gt;]])</f>
        <v>Huánuco__</v>
      </c>
      <c r="J8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3" s="72" t="e">
        <f>VLOOKUP(Tabla5[[#This Row],[Tipo de Transporte Empleado
&lt;&lt; Seleccionar&gt;&gt;]],Tabla8[#All],2,0)</f>
        <v>#N/A</v>
      </c>
      <c r="L803" s="71" t="e">
        <f>#REF!+(#REF!*2)+#REF!</f>
        <v>#REF!</v>
      </c>
    </row>
    <row r="804" spans="1:12" x14ac:dyDescent="0.25">
      <c r="A804" s="328" t="e">
        <f>VLOOKUP(Tabla5[[#This Row],[Acción
&lt;&lt; Seleccionar&gt;&gt;]],TablaAccion[[#All],[Nombre_Abreviado]:[Codigo_Plan_Acción]],3,0)</f>
        <v>#N/A</v>
      </c>
      <c r="B804" s="328" t="e">
        <f>VLOOKUP(Tabla5[[#This Row],[Acción Especifica
&lt;&lt; Seleccionar&gt;&gt;]],TablaAccionEspecifica[[#All],[Nombre_Abreviado]:[Codigo_Acción]],3,0)</f>
        <v>#N/A</v>
      </c>
      <c r="C804" s="328" t="e">
        <f>CONCATENATE(Tabla18[[#This Row],[Bus_02]],"_",Tabla5[[#This Row],[Sub Acción Específica
&lt;&lt; Seleccionar&gt;&gt;]])</f>
        <v>#N/A</v>
      </c>
      <c r="D804" s="328" t="e">
        <f>VLOOKUP(Tabla18[[#This Row],[Aux_01]],TablaSubAccionEspecifica[[#All],[Concat]:[Cod_Sub_acción_especifica]],2,0)</f>
        <v>#N/A</v>
      </c>
      <c r="E804" s="328" t="e">
        <f>Tabla18[[#This Row],[Bus_03]]&amp;"_"&amp;Tabla5[[#This Row],[Tipo de Agente
&lt;&lt; Seleccionar&gt;&gt;]]</f>
        <v>#N/A</v>
      </c>
      <c r="F804" s="328" t="e">
        <f>VLOOKUP(Tabla18[[#This Row],[Concat2]],TablaPOA[[#All],[Concat]:[ConcatEspecial]],3,0)</f>
        <v>#N/A</v>
      </c>
      <c r="G804" s="65" t="str">
        <f>CONCATENATE(Registro!$A$6,"_",Tabla5[[#This Row],[Zona (Provincia)
&lt;&lt; Seleccionar&gt;&gt;]])</f>
        <v>Huánuco_</v>
      </c>
      <c r="H804" s="60" t="e">
        <f>VLOOKUP(Tabla18[[#This Row],[Concatenado***]],Tabla2[[#All],[Concatenado]:[Simbología*]],2,0)</f>
        <v>#N/A</v>
      </c>
      <c r="I804" s="65" t="str">
        <f>CONCATENATE(Tabla18[[#This Row],[Concatenado***]],"_",Tabla5[[#This Row],[Zona (Distrito)
&lt;&lt; Seleccionar&gt;&gt;]])</f>
        <v>Huánuco__</v>
      </c>
      <c r="J8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4" s="72" t="e">
        <f>VLOOKUP(Tabla5[[#This Row],[Tipo de Transporte Empleado
&lt;&lt; Seleccionar&gt;&gt;]],Tabla8[#All],2,0)</f>
        <v>#N/A</v>
      </c>
      <c r="L804" s="71" t="e">
        <f>#REF!+(#REF!*2)+#REF!</f>
        <v>#REF!</v>
      </c>
    </row>
    <row r="805" spans="1:12" x14ac:dyDescent="0.25">
      <c r="A805" s="328" t="e">
        <f>VLOOKUP(Tabla5[[#This Row],[Acción
&lt;&lt; Seleccionar&gt;&gt;]],TablaAccion[[#All],[Nombre_Abreviado]:[Codigo_Plan_Acción]],3,0)</f>
        <v>#N/A</v>
      </c>
      <c r="B805" s="328" t="e">
        <f>VLOOKUP(Tabla5[[#This Row],[Acción Especifica
&lt;&lt; Seleccionar&gt;&gt;]],TablaAccionEspecifica[[#All],[Nombre_Abreviado]:[Codigo_Acción]],3,0)</f>
        <v>#N/A</v>
      </c>
      <c r="C805" s="328" t="e">
        <f>CONCATENATE(Tabla18[[#This Row],[Bus_02]],"_",Tabla5[[#This Row],[Sub Acción Específica
&lt;&lt; Seleccionar&gt;&gt;]])</f>
        <v>#N/A</v>
      </c>
      <c r="D805" s="328" t="e">
        <f>VLOOKUP(Tabla18[[#This Row],[Aux_01]],TablaSubAccionEspecifica[[#All],[Concat]:[Cod_Sub_acción_especifica]],2,0)</f>
        <v>#N/A</v>
      </c>
      <c r="E805" s="328" t="e">
        <f>Tabla18[[#This Row],[Bus_03]]&amp;"_"&amp;Tabla5[[#This Row],[Tipo de Agente
&lt;&lt; Seleccionar&gt;&gt;]]</f>
        <v>#N/A</v>
      </c>
      <c r="F805" s="328" t="e">
        <f>VLOOKUP(Tabla18[[#This Row],[Concat2]],TablaPOA[[#All],[Concat]:[ConcatEspecial]],3,0)</f>
        <v>#N/A</v>
      </c>
      <c r="G805" s="65" t="str">
        <f>CONCATENATE(Registro!$A$6,"_",Tabla5[[#This Row],[Zona (Provincia)
&lt;&lt; Seleccionar&gt;&gt;]])</f>
        <v>Huánuco_</v>
      </c>
      <c r="H805" s="60" t="e">
        <f>VLOOKUP(Tabla18[[#This Row],[Concatenado***]],Tabla2[[#All],[Concatenado]:[Simbología*]],2,0)</f>
        <v>#N/A</v>
      </c>
      <c r="I805" s="65" t="str">
        <f>CONCATENATE(Tabla18[[#This Row],[Concatenado***]],"_",Tabla5[[#This Row],[Zona (Distrito)
&lt;&lt; Seleccionar&gt;&gt;]])</f>
        <v>Huánuco__</v>
      </c>
      <c r="J8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5" s="72" t="e">
        <f>VLOOKUP(Tabla5[[#This Row],[Tipo de Transporte Empleado
&lt;&lt; Seleccionar&gt;&gt;]],Tabla8[#All],2,0)</f>
        <v>#N/A</v>
      </c>
      <c r="L805" s="71" t="e">
        <f>#REF!+(#REF!*2)+#REF!</f>
        <v>#REF!</v>
      </c>
    </row>
    <row r="806" spans="1:12" x14ac:dyDescent="0.25">
      <c r="A806" s="328" t="e">
        <f>VLOOKUP(Tabla5[[#This Row],[Acción
&lt;&lt; Seleccionar&gt;&gt;]],TablaAccion[[#All],[Nombre_Abreviado]:[Codigo_Plan_Acción]],3,0)</f>
        <v>#N/A</v>
      </c>
      <c r="B806" s="328" t="e">
        <f>VLOOKUP(Tabla5[[#This Row],[Acción Especifica
&lt;&lt; Seleccionar&gt;&gt;]],TablaAccionEspecifica[[#All],[Nombre_Abreviado]:[Codigo_Acción]],3,0)</f>
        <v>#N/A</v>
      </c>
      <c r="C806" s="328" t="e">
        <f>CONCATENATE(Tabla18[[#This Row],[Bus_02]],"_",Tabla5[[#This Row],[Sub Acción Específica
&lt;&lt; Seleccionar&gt;&gt;]])</f>
        <v>#N/A</v>
      </c>
      <c r="D806" s="328" t="e">
        <f>VLOOKUP(Tabla18[[#This Row],[Aux_01]],TablaSubAccionEspecifica[[#All],[Concat]:[Cod_Sub_acción_especifica]],2,0)</f>
        <v>#N/A</v>
      </c>
      <c r="E806" s="328" t="e">
        <f>Tabla18[[#This Row],[Bus_03]]&amp;"_"&amp;Tabla5[[#This Row],[Tipo de Agente
&lt;&lt; Seleccionar&gt;&gt;]]</f>
        <v>#N/A</v>
      </c>
      <c r="F806" s="328" t="e">
        <f>VLOOKUP(Tabla18[[#This Row],[Concat2]],TablaPOA[[#All],[Concat]:[ConcatEspecial]],3,0)</f>
        <v>#N/A</v>
      </c>
      <c r="G806" s="65" t="str">
        <f>CONCATENATE(Registro!$A$6,"_",Tabla5[[#This Row],[Zona (Provincia)
&lt;&lt; Seleccionar&gt;&gt;]])</f>
        <v>Huánuco_</v>
      </c>
      <c r="H806" s="60" t="e">
        <f>VLOOKUP(Tabla18[[#This Row],[Concatenado***]],Tabla2[[#All],[Concatenado]:[Simbología*]],2,0)</f>
        <v>#N/A</v>
      </c>
      <c r="I806" s="65" t="str">
        <f>CONCATENATE(Tabla18[[#This Row],[Concatenado***]],"_",Tabla5[[#This Row],[Zona (Distrito)
&lt;&lt; Seleccionar&gt;&gt;]])</f>
        <v>Huánuco__</v>
      </c>
      <c r="J8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6" s="72" t="e">
        <f>VLOOKUP(Tabla5[[#This Row],[Tipo de Transporte Empleado
&lt;&lt; Seleccionar&gt;&gt;]],Tabla8[#All],2,0)</f>
        <v>#N/A</v>
      </c>
      <c r="L806" s="71" t="e">
        <f>#REF!+(#REF!*2)+#REF!</f>
        <v>#REF!</v>
      </c>
    </row>
    <row r="807" spans="1:12" x14ac:dyDescent="0.25">
      <c r="A807" s="328" t="e">
        <f>VLOOKUP(Tabla5[[#This Row],[Acción
&lt;&lt; Seleccionar&gt;&gt;]],TablaAccion[[#All],[Nombre_Abreviado]:[Codigo_Plan_Acción]],3,0)</f>
        <v>#N/A</v>
      </c>
      <c r="B807" s="328" t="e">
        <f>VLOOKUP(Tabla5[[#This Row],[Acción Especifica
&lt;&lt; Seleccionar&gt;&gt;]],TablaAccionEspecifica[[#All],[Nombre_Abreviado]:[Codigo_Acción]],3,0)</f>
        <v>#N/A</v>
      </c>
      <c r="C807" s="328" t="e">
        <f>CONCATENATE(Tabla18[[#This Row],[Bus_02]],"_",Tabla5[[#This Row],[Sub Acción Específica
&lt;&lt; Seleccionar&gt;&gt;]])</f>
        <v>#N/A</v>
      </c>
      <c r="D807" s="328" t="e">
        <f>VLOOKUP(Tabla18[[#This Row],[Aux_01]],TablaSubAccionEspecifica[[#All],[Concat]:[Cod_Sub_acción_especifica]],2,0)</f>
        <v>#N/A</v>
      </c>
      <c r="E807" s="328" t="e">
        <f>Tabla18[[#This Row],[Bus_03]]&amp;"_"&amp;Tabla5[[#This Row],[Tipo de Agente
&lt;&lt; Seleccionar&gt;&gt;]]</f>
        <v>#N/A</v>
      </c>
      <c r="F807" s="328" t="e">
        <f>VLOOKUP(Tabla18[[#This Row],[Concat2]],TablaPOA[[#All],[Concat]:[ConcatEspecial]],3,0)</f>
        <v>#N/A</v>
      </c>
      <c r="G807" s="65" t="str">
        <f>CONCATENATE(Registro!$A$6,"_",Tabla5[[#This Row],[Zona (Provincia)
&lt;&lt; Seleccionar&gt;&gt;]])</f>
        <v>Huánuco_</v>
      </c>
      <c r="H807" s="60" t="e">
        <f>VLOOKUP(Tabla18[[#This Row],[Concatenado***]],Tabla2[[#All],[Concatenado]:[Simbología*]],2,0)</f>
        <v>#N/A</v>
      </c>
      <c r="I807" s="65" t="str">
        <f>CONCATENATE(Tabla18[[#This Row],[Concatenado***]],"_",Tabla5[[#This Row],[Zona (Distrito)
&lt;&lt; Seleccionar&gt;&gt;]])</f>
        <v>Huánuco__</v>
      </c>
      <c r="J8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7" s="72" t="e">
        <f>VLOOKUP(Tabla5[[#This Row],[Tipo de Transporte Empleado
&lt;&lt; Seleccionar&gt;&gt;]],Tabla8[#All],2,0)</f>
        <v>#N/A</v>
      </c>
      <c r="L807" s="71" t="e">
        <f>#REF!+(#REF!*2)+#REF!</f>
        <v>#REF!</v>
      </c>
    </row>
    <row r="808" spans="1:12" x14ac:dyDescent="0.25">
      <c r="A808" s="328" t="e">
        <f>VLOOKUP(Tabla5[[#This Row],[Acción
&lt;&lt; Seleccionar&gt;&gt;]],TablaAccion[[#All],[Nombre_Abreviado]:[Codigo_Plan_Acción]],3,0)</f>
        <v>#N/A</v>
      </c>
      <c r="B808" s="328" t="e">
        <f>VLOOKUP(Tabla5[[#This Row],[Acción Especifica
&lt;&lt; Seleccionar&gt;&gt;]],TablaAccionEspecifica[[#All],[Nombre_Abreviado]:[Codigo_Acción]],3,0)</f>
        <v>#N/A</v>
      </c>
      <c r="C808" s="328" t="e">
        <f>CONCATENATE(Tabla18[[#This Row],[Bus_02]],"_",Tabla5[[#This Row],[Sub Acción Específica
&lt;&lt; Seleccionar&gt;&gt;]])</f>
        <v>#N/A</v>
      </c>
      <c r="D808" s="328" t="e">
        <f>VLOOKUP(Tabla18[[#This Row],[Aux_01]],TablaSubAccionEspecifica[[#All],[Concat]:[Cod_Sub_acción_especifica]],2,0)</f>
        <v>#N/A</v>
      </c>
      <c r="E808" s="328" t="e">
        <f>Tabla18[[#This Row],[Bus_03]]&amp;"_"&amp;Tabla5[[#This Row],[Tipo de Agente
&lt;&lt; Seleccionar&gt;&gt;]]</f>
        <v>#N/A</v>
      </c>
      <c r="F808" s="328" t="e">
        <f>VLOOKUP(Tabla18[[#This Row],[Concat2]],TablaPOA[[#All],[Concat]:[ConcatEspecial]],3,0)</f>
        <v>#N/A</v>
      </c>
      <c r="G808" s="65" t="str">
        <f>CONCATENATE(Registro!$A$6,"_",Tabla5[[#This Row],[Zona (Provincia)
&lt;&lt; Seleccionar&gt;&gt;]])</f>
        <v>Huánuco_</v>
      </c>
      <c r="H808" s="60" t="e">
        <f>VLOOKUP(Tabla18[[#This Row],[Concatenado***]],Tabla2[[#All],[Concatenado]:[Simbología*]],2,0)</f>
        <v>#N/A</v>
      </c>
      <c r="I808" s="65" t="str">
        <f>CONCATENATE(Tabla18[[#This Row],[Concatenado***]],"_",Tabla5[[#This Row],[Zona (Distrito)
&lt;&lt; Seleccionar&gt;&gt;]])</f>
        <v>Huánuco__</v>
      </c>
      <c r="J8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8" s="72" t="e">
        <f>VLOOKUP(Tabla5[[#This Row],[Tipo de Transporte Empleado
&lt;&lt; Seleccionar&gt;&gt;]],Tabla8[#All],2,0)</f>
        <v>#N/A</v>
      </c>
      <c r="L808" s="71" t="e">
        <f>#REF!+(#REF!*2)+#REF!</f>
        <v>#REF!</v>
      </c>
    </row>
    <row r="809" spans="1:12" x14ac:dyDescent="0.25">
      <c r="A809" s="328" t="e">
        <f>VLOOKUP(Tabla5[[#This Row],[Acción
&lt;&lt; Seleccionar&gt;&gt;]],TablaAccion[[#All],[Nombre_Abreviado]:[Codigo_Plan_Acción]],3,0)</f>
        <v>#N/A</v>
      </c>
      <c r="B809" s="328" t="e">
        <f>VLOOKUP(Tabla5[[#This Row],[Acción Especifica
&lt;&lt; Seleccionar&gt;&gt;]],TablaAccionEspecifica[[#All],[Nombre_Abreviado]:[Codigo_Acción]],3,0)</f>
        <v>#N/A</v>
      </c>
      <c r="C809" s="328" t="e">
        <f>CONCATENATE(Tabla18[[#This Row],[Bus_02]],"_",Tabla5[[#This Row],[Sub Acción Específica
&lt;&lt; Seleccionar&gt;&gt;]])</f>
        <v>#N/A</v>
      </c>
      <c r="D809" s="328" t="e">
        <f>VLOOKUP(Tabla18[[#This Row],[Aux_01]],TablaSubAccionEspecifica[[#All],[Concat]:[Cod_Sub_acción_especifica]],2,0)</f>
        <v>#N/A</v>
      </c>
      <c r="E809" s="328" t="e">
        <f>Tabla18[[#This Row],[Bus_03]]&amp;"_"&amp;Tabla5[[#This Row],[Tipo de Agente
&lt;&lt; Seleccionar&gt;&gt;]]</f>
        <v>#N/A</v>
      </c>
      <c r="F809" s="328" t="e">
        <f>VLOOKUP(Tabla18[[#This Row],[Concat2]],TablaPOA[[#All],[Concat]:[ConcatEspecial]],3,0)</f>
        <v>#N/A</v>
      </c>
      <c r="G809" s="65" t="str">
        <f>CONCATENATE(Registro!$A$6,"_",Tabla5[[#This Row],[Zona (Provincia)
&lt;&lt; Seleccionar&gt;&gt;]])</f>
        <v>Huánuco_</v>
      </c>
      <c r="H809" s="60" t="e">
        <f>VLOOKUP(Tabla18[[#This Row],[Concatenado***]],Tabla2[[#All],[Concatenado]:[Simbología*]],2,0)</f>
        <v>#N/A</v>
      </c>
      <c r="I809" s="65" t="str">
        <f>CONCATENATE(Tabla18[[#This Row],[Concatenado***]],"_",Tabla5[[#This Row],[Zona (Distrito)
&lt;&lt; Seleccionar&gt;&gt;]])</f>
        <v>Huánuco__</v>
      </c>
      <c r="J8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9" s="72" t="e">
        <f>VLOOKUP(Tabla5[[#This Row],[Tipo de Transporte Empleado
&lt;&lt; Seleccionar&gt;&gt;]],Tabla8[#All],2,0)</f>
        <v>#N/A</v>
      </c>
      <c r="L809" s="71" t="e">
        <f>#REF!+(#REF!*2)+#REF!</f>
        <v>#REF!</v>
      </c>
    </row>
    <row r="810" spans="1:12" x14ac:dyDescent="0.25">
      <c r="A810" s="328" t="e">
        <f>VLOOKUP(Tabla5[[#This Row],[Acción
&lt;&lt; Seleccionar&gt;&gt;]],TablaAccion[[#All],[Nombre_Abreviado]:[Codigo_Plan_Acción]],3,0)</f>
        <v>#N/A</v>
      </c>
      <c r="B810" s="328" t="e">
        <f>VLOOKUP(Tabla5[[#This Row],[Acción Especifica
&lt;&lt; Seleccionar&gt;&gt;]],TablaAccionEspecifica[[#All],[Nombre_Abreviado]:[Codigo_Acción]],3,0)</f>
        <v>#N/A</v>
      </c>
      <c r="C810" s="328" t="e">
        <f>CONCATENATE(Tabla18[[#This Row],[Bus_02]],"_",Tabla5[[#This Row],[Sub Acción Específica
&lt;&lt; Seleccionar&gt;&gt;]])</f>
        <v>#N/A</v>
      </c>
      <c r="D810" s="328" t="e">
        <f>VLOOKUP(Tabla18[[#This Row],[Aux_01]],TablaSubAccionEspecifica[[#All],[Concat]:[Cod_Sub_acción_especifica]],2,0)</f>
        <v>#N/A</v>
      </c>
      <c r="E810" s="328" t="e">
        <f>Tabla18[[#This Row],[Bus_03]]&amp;"_"&amp;Tabla5[[#This Row],[Tipo de Agente
&lt;&lt; Seleccionar&gt;&gt;]]</f>
        <v>#N/A</v>
      </c>
      <c r="F810" s="328" t="e">
        <f>VLOOKUP(Tabla18[[#This Row],[Concat2]],TablaPOA[[#All],[Concat]:[ConcatEspecial]],3,0)</f>
        <v>#N/A</v>
      </c>
      <c r="G810" s="65" t="str">
        <f>CONCATENATE(Registro!$A$6,"_",Tabla5[[#This Row],[Zona (Provincia)
&lt;&lt; Seleccionar&gt;&gt;]])</f>
        <v>Huánuco_</v>
      </c>
      <c r="H810" s="60" t="e">
        <f>VLOOKUP(Tabla18[[#This Row],[Concatenado***]],Tabla2[[#All],[Concatenado]:[Simbología*]],2,0)</f>
        <v>#N/A</v>
      </c>
      <c r="I810" s="65" t="str">
        <f>CONCATENATE(Tabla18[[#This Row],[Concatenado***]],"_",Tabla5[[#This Row],[Zona (Distrito)
&lt;&lt; Seleccionar&gt;&gt;]])</f>
        <v>Huánuco__</v>
      </c>
      <c r="J8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0" s="72" t="e">
        <f>VLOOKUP(Tabla5[[#This Row],[Tipo de Transporte Empleado
&lt;&lt; Seleccionar&gt;&gt;]],Tabla8[#All],2,0)</f>
        <v>#N/A</v>
      </c>
      <c r="L810" s="71" t="e">
        <f>#REF!+(#REF!*2)+#REF!</f>
        <v>#REF!</v>
      </c>
    </row>
    <row r="811" spans="1:12" x14ac:dyDescent="0.25">
      <c r="A811" s="328" t="e">
        <f>VLOOKUP(Tabla5[[#This Row],[Acción
&lt;&lt; Seleccionar&gt;&gt;]],TablaAccion[[#All],[Nombre_Abreviado]:[Codigo_Plan_Acción]],3,0)</f>
        <v>#N/A</v>
      </c>
      <c r="B811" s="328" t="e">
        <f>VLOOKUP(Tabla5[[#This Row],[Acción Especifica
&lt;&lt; Seleccionar&gt;&gt;]],TablaAccionEspecifica[[#All],[Nombre_Abreviado]:[Codigo_Acción]],3,0)</f>
        <v>#N/A</v>
      </c>
      <c r="C811" s="328" t="e">
        <f>CONCATENATE(Tabla18[[#This Row],[Bus_02]],"_",Tabla5[[#This Row],[Sub Acción Específica
&lt;&lt; Seleccionar&gt;&gt;]])</f>
        <v>#N/A</v>
      </c>
      <c r="D811" s="328" t="e">
        <f>VLOOKUP(Tabla18[[#This Row],[Aux_01]],TablaSubAccionEspecifica[[#All],[Concat]:[Cod_Sub_acción_especifica]],2,0)</f>
        <v>#N/A</v>
      </c>
      <c r="E811" s="328" t="e">
        <f>Tabla18[[#This Row],[Bus_03]]&amp;"_"&amp;Tabla5[[#This Row],[Tipo de Agente
&lt;&lt; Seleccionar&gt;&gt;]]</f>
        <v>#N/A</v>
      </c>
      <c r="F811" s="328" t="e">
        <f>VLOOKUP(Tabla18[[#This Row],[Concat2]],TablaPOA[[#All],[Concat]:[ConcatEspecial]],3,0)</f>
        <v>#N/A</v>
      </c>
      <c r="G811" s="65" t="str">
        <f>CONCATENATE(Registro!$A$6,"_",Tabla5[[#This Row],[Zona (Provincia)
&lt;&lt; Seleccionar&gt;&gt;]])</f>
        <v>Huánuco_</v>
      </c>
      <c r="H811" s="60" t="e">
        <f>VLOOKUP(Tabla18[[#This Row],[Concatenado***]],Tabla2[[#All],[Concatenado]:[Simbología*]],2,0)</f>
        <v>#N/A</v>
      </c>
      <c r="I811" s="65" t="str">
        <f>CONCATENATE(Tabla18[[#This Row],[Concatenado***]],"_",Tabla5[[#This Row],[Zona (Distrito)
&lt;&lt; Seleccionar&gt;&gt;]])</f>
        <v>Huánuco__</v>
      </c>
      <c r="J8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1" s="72" t="e">
        <f>VLOOKUP(Tabla5[[#This Row],[Tipo de Transporte Empleado
&lt;&lt; Seleccionar&gt;&gt;]],Tabla8[#All],2,0)</f>
        <v>#N/A</v>
      </c>
      <c r="L811" s="71" t="e">
        <f>#REF!+(#REF!*2)+#REF!</f>
        <v>#REF!</v>
      </c>
    </row>
    <row r="812" spans="1:12" x14ac:dyDescent="0.25">
      <c r="A812" s="328" t="e">
        <f>VLOOKUP(Tabla5[[#This Row],[Acción
&lt;&lt; Seleccionar&gt;&gt;]],TablaAccion[[#All],[Nombre_Abreviado]:[Codigo_Plan_Acción]],3,0)</f>
        <v>#N/A</v>
      </c>
      <c r="B812" s="328" t="e">
        <f>VLOOKUP(Tabla5[[#This Row],[Acción Especifica
&lt;&lt; Seleccionar&gt;&gt;]],TablaAccionEspecifica[[#All],[Nombre_Abreviado]:[Codigo_Acción]],3,0)</f>
        <v>#N/A</v>
      </c>
      <c r="C812" s="328" t="e">
        <f>CONCATENATE(Tabla18[[#This Row],[Bus_02]],"_",Tabla5[[#This Row],[Sub Acción Específica
&lt;&lt; Seleccionar&gt;&gt;]])</f>
        <v>#N/A</v>
      </c>
      <c r="D812" s="328" t="e">
        <f>VLOOKUP(Tabla18[[#This Row],[Aux_01]],TablaSubAccionEspecifica[[#All],[Concat]:[Cod_Sub_acción_especifica]],2,0)</f>
        <v>#N/A</v>
      </c>
      <c r="E812" s="328" t="e">
        <f>Tabla18[[#This Row],[Bus_03]]&amp;"_"&amp;Tabla5[[#This Row],[Tipo de Agente
&lt;&lt; Seleccionar&gt;&gt;]]</f>
        <v>#N/A</v>
      </c>
      <c r="F812" s="328" t="e">
        <f>VLOOKUP(Tabla18[[#This Row],[Concat2]],TablaPOA[[#All],[Concat]:[ConcatEspecial]],3,0)</f>
        <v>#N/A</v>
      </c>
      <c r="G812" s="65" t="str">
        <f>CONCATENATE(Registro!$A$6,"_",Tabla5[[#This Row],[Zona (Provincia)
&lt;&lt; Seleccionar&gt;&gt;]])</f>
        <v>Huánuco_</v>
      </c>
      <c r="H812" s="60" t="e">
        <f>VLOOKUP(Tabla18[[#This Row],[Concatenado***]],Tabla2[[#All],[Concatenado]:[Simbología*]],2,0)</f>
        <v>#N/A</v>
      </c>
      <c r="I812" s="65" t="str">
        <f>CONCATENATE(Tabla18[[#This Row],[Concatenado***]],"_",Tabla5[[#This Row],[Zona (Distrito)
&lt;&lt; Seleccionar&gt;&gt;]])</f>
        <v>Huánuco__</v>
      </c>
      <c r="J8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2" s="72" t="e">
        <f>VLOOKUP(Tabla5[[#This Row],[Tipo de Transporte Empleado
&lt;&lt; Seleccionar&gt;&gt;]],Tabla8[#All],2,0)</f>
        <v>#N/A</v>
      </c>
      <c r="L812" s="71" t="e">
        <f>#REF!+(#REF!*2)+#REF!</f>
        <v>#REF!</v>
      </c>
    </row>
    <row r="813" spans="1:12" x14ac:dyDescent="0.25">
      <c r="A813" s="328" t="e">
        <f>VLOOKUP(Tabla5[[#This Row],[Acción
&lt;&lt; Seleccionar&gt;&gt;]],TablaAccion[[#All],[Nombre_Abreviado]:[Codigo_Plan_Acción]],3,0)</f>
        <v>#N/A</v>
      </c>
      <c r="B813" s="328" t="e">
        <f>VLOOKUP(Tabla5[[#This Row],[Acción Especifica
&lt;&lt; Seleccionar&gt;&gt;]],TablaAccionEspecifica[[#All],[Nombre_Abreviado]:[Codigo_Acción]],3,0)</f>
        <v>#N/A</v>
      </c>
      <c r="C813" s="328" t="e">
        <f>CONCATENATE(Tabla18[[#This Row],[Bus_02]],"_",Tabla5[[#This Row],[Sub Acción Específica
&lt;&lt; Seleccionar&gt;&gt;]])</f>
        <v>#N/A</v>
      </c>
      <c r="D813" s="328" t="e">
        <f>VLOOKUP(Tabla18[[#This Row],[Aux_01]],TablaSubAccionEspecifica[[#All],[Concat]:[Cod_Sub_acción_especifica]],2,0)</f>
        <v>#N/A</v>
      </c>
      <c r="E813" s="328" t="e">
        <f>Tabla18[[#This Row],[Bus_03]]&amp;"_"&amp;Tabla5[[#This Row],[Tipo de Agente
&lt;&lt; Seleccionar&gt;&gt;]]</f>
        <v>#N/A</v>
      </c>
      <c r="F813" s="328" t="e">
        <f>VLOOKUP(Tabla18[[#This Row],[Concat2]],TablaPOA[[#All],[Concat]:[ConcatEspecial]],3,0)</f>
        <v>#N/A</v>
      </c>
      <c r="G813" s="65" t="str">
        <f>CONCATENATE(Registro!$A$6,"_",Tabla5[[#This Row],[Zona (Provincia)
&lt;&lt; Seleccionar&gt;&gt;]])</f>
        <v>Huánuco_</v>
      </c>
      <c r="H813" s="60" t="e">
        <f>VLOOKUP(Tabla18[[#This Row],[Concatenado***]],Tabla2[[#All],[Concatenado]:[Simbología*]],2,0)</f>
        <v>#N/A</v>
      </c>
      <c r="I813" s="65" t="str">
        <f>CONCATENATE(Tabla18[[#This Row],[Concatenado***]],"_",Tabla5[[#This Row],[Zona (Distrito)
&lt;&lt; Seleccionar&gt;&gt;]])</f>
        <v>Huánuco__</v>
      </c>
      <c r="J8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3" s="72" t="e">
        <f>VLOOKUP(Tabla5[[#This Row],[Tipo de Transporte Empleado
&lt;&lt; Seleccionar&gt;&gt;]],Tabla8[#All],2,0)</f>
        <v>#N/A</v>
      </c>
      <c r="L813" s="71" t="e">
        <f>#REF!+(#REF!*2)+#REF!</f>
        <v>#REF!</v>
      </c>
    </row>
    <row r="814" spans="1:12" x14ac:dyDescent="0.25">
      <c r="A814" s="328" t="e">
        <f>VLOOKUP(Tabla5[[#This Row],[Acción
&lt;&lt; Seleccionar&gt;&gt;]],TablaAccion[[#All],[Nombre_Abreviado]:[Codigo_Plan_Acción]],3,0)</f>
        <v>#N/A</v>
      </c>
      <c r="B814" s="328" t="e">
        <f>VLOOKUP(Tabla5[[#This Row],[Acción Especifica
&lt;&lt; Seleccionar&gt;&gt;]],TablaAccionEspecifica[[#All],[Nombre_Abreviado]:[Codigo_Acción]],3,0)</f>
        <v>#N/A</v>
      </c>
      <c r="C814" s="328" t="e">
        <f>CONCATENATE(Tabla18[[#This Row],[Bus_02]],"_",Tabla5[[#This Row],[Sub Acción Específica
&lt;&lt; Seleccionar&gt;&gt;]])</f>
        <v>#N/A</v>
      </c>
      <c r="D814" s="328" t="e">
        <f>VLOOKUP(Tabla18[[#This Row],[Aux_01]],TablaSubAccionEspecifica[[#All],[Concat]:[Cod_Sub_acción_especifica]],2,0)</f>
        <v>#N/A</v>
      </c>
      <c r="E814" s="328" t="e">
        <f>Tabla18[[#This Row],[Bus_03]]&amp;"_"&amp;Tabla5[[#This Row],[Tipo de Agente
&lt;&lt; Seleccionar&gt;&gt;]]</f>
        <v>#N/A</v>
      </c>
      <c r="F814" s="328" t="e">
        <f>VLOOKUP(Tabla18[[#This Row],[Concat2]],TablaPOA[[#All],[Concat]:[ConcatEspecial]],3,0)</f>
        <v>#N/A</v>
      </c>
      <c r="G814" s="65" t="str">
        <f>CONCATENATE(Registro!$A$6,"_",Tabla5[[#This Row],[Zona (Provincia)
&lt;&lt; Seleccionar&gt;&gt;]])</f>
        <v>Huánuco_</v>
      </c>
      <c r="H814" s="60" t="e">
        <f>VLOOKUP(Tabla18[[#This Row],[Concatenado***]],Tabla2[[#All],[Concatenado]:[Simbología*]],2,0)</f>
        <v>#N/A</v>
      </c>
      <c r="I814" s="65" t="str">
        <f>CONCATENATE(Tabla18[[#This Row],[Concatenado***]],"_",Tabla5[[#This Row],[Zona (Distrito)
&lt;&lt; Seleccionar&gt;&gt;]])</f>
        <v>Huánuco__</v>
      </c>
      <c r="J8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4" s="72" t="e">
        <f>VLOOKUP(Tabla5[[#This Row],[Tipo de Transporte Empleado
&lt;&lt; Seleccionar&gt;&gt;]],Tabla8[#All],2,0)</f>
        <v>#N/A</v>
      </c>
      <c r="L814" s="71" t="e">
        <f>#REF!+(#REF!*2)+#REF!</f>
        <v>#REF!</v>
      </c>
    </row>
    <row r="815" spans="1:12" x14ac:dyDescent="0.25">
      <c r="A815" s="328" t="e">
        <f>VLOOKUP(Tabla5[[#This Row],[Acción
&lt;&lt; Seleccionar&gt;&gt;]],TablaAccion[[#All],[Nombre_Abreviado]:[Codigo_Plan_Acción]],3,0)</f>
        <v>#N/A</v>
      </c>
      <c r="B815" s="328" t="e">
        <f>VLOOKUP(Tabla5[[#This Row],[Acción Especifica
&lt;&lt; Seleccionar&gt;&gt;]],TablaAccionEspecifica[[#All],[Nombre_Abreviado]:[Codigo_Acción]],3,0)</f>
        <v>#N/A</v>
      </c>
      <c r="C815" s="328" t="e">
        <f>CONCATENATE(Tabla18[[#This Row],[Bus_02]],"_",Tabla5[[#This Row],[Sub Acción Específica
&lt;&lt; Seleccionar&gt;&gt;]])</f>
        <v>#N/A</v>
      </c>
      <c r="D815" s="328" t="e">
        <f>VLOOKUP(Tabla18[[#This Row],[Aux_01]],TablaSubAccionEspecifica[[#All],[Concat]:[Cod_Sub_acción_especifica]],2,0)</f>
        <v>#N/A</v>
      </c>
      <c r="E815" s="328" t="e">
        <f>Tabla18[[#This Row],[Bus_03]]&amp;"_"&amp;Tabla5[[#This Row],[Tipo de Agente
&lt;&lt; Seleccionar&gt;&gt;]]</f>
        <v>#N/A</v>
      </c>
      <c r="F815" s="328" t="e">
        <f>VLOOKUP(Tabla18[[#This Row],[Concat2]],TablaPOA[[#All],[Concat]:[ConcatEspecial]],3,0)</f>
        <v>#N/A</v>
      </c>
      <c r="G815" s="65" t="str">
        <f>CONCATENATE(Registro!$A$6,"_",Tabla5[[#This Row],[Zona (Provincia)
&lt;&lt; Seleccionar&gt;&gt;]])</f>
        <v>Huánuco_</v>
      </c>
      <c r="H815" s="60" t="e">
        <f>VLOOKUP(Tabla18[[#This Row],[Concatenado***]],Tabla2[[#All],[Concatenado]:[Simbología*]],2,0)</f>
        <v>#N/A</v>
      </c>
      <c r="I815" s="65" t="str">
        <f>CONCATENATE(Tabla18[[#This Row],[Concatenado***]],"_",Tabla5[[#This Row],[Zona (Distrito)
&lt;&lt; Seleccionar&gt;&gt;]])</f>
        <v>Huánuco__</v>
      </c>
      <c r="J8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5" s="72" t="e">
        <f>VLOOKUP(Tabla5[[#This Row],[Tipo de Transporte Empleado
&lt;&lt; Seleccionar&gt;&gt;]],Tabla8[#All],2,0)</f>
        <v>#N/A</v>
      </c>
      <c r="L815" s="71" t="e">
        <f>#REF!+(#REF!*2)+#REF!</f>
        <v>#REF!</v>
      </c>
    </row>
    <row r="816" spans="1:12" x14ac:dyDescent="0.25">
      <c r="A816" s="328" t="e">
        <f>VLOOKUP(Tabla5[[#This Row],[Acción
&lt;&lt; Seleccionar&gt;&gt;]],TablaAccion[[#All],[Nombre_Abreviado]:[Codigo_Plan_Acción]],3,0)</f>
        <v>#N/A</v>
      </c>
      <c r="B816" s="328" t="e">
        <f>VLOOKUP(Tabla5[[#This Row],[Acción Especifica
&lt;&lt; Seleccionar&gt;&gt;]],TablaAccionEspecifica[[#All],[Nombre_Abreviado]:[Codigo_Acción]],3,0)</f>
        <v>#N/A</v>
      </c>
      <c r="C816" s="328" t="e">
        <f>CONCATENATE(Tabla18[[#This Row],[Bus_02]],"_",Tabla5[[#This Row],[Sub Acción Específica
&lt;&lt; Seleccionar&gt;&gt;]])</f>
        <v>#N/A</v>
      </c>
      <c r="D816" s="328" t="e">
        <f>VLOOKUP(Tabla18[[#This Row],[Aux_01]],TablaSubAccionEspecifica[[#All],[Concat]:[Cod_Sub_acción_especifica]],2,0)</f>
        <v>#N/A</v>
      </c>
      <c r="E816" s="328" t="e">
        <f>Tabla18[[#This Row],[Bus_03]]&amp;"_"&amp;Tabla5[[#This Row],[Tipo de Agente
&lt;&lt; Seleccionar&gt;&gt;]]</f>
        <v>#N/A</v>
      </c>
      <c r="F816" s="328" t="e">
        <f>VLOOKUP(Tabla18[[#This Row],[Concat2]],TablaPOA[[#All],[Concat]:[ConcatEspecial]],3,0)</f>
        <v>#N/A</v>
      </c>
      <c r="G816" s="65" t="str">
        <f>CONCATENATE(Registro!$A$6,"_",Tabla5[[#This Row],[Zona (Provincia)
&lt;&lt; Seleccionar&gt;&gt;]])</f>
        <v>Huánuco_</v>
      </c>
      <c r="H816" s="60" t="e">
        <f>VLOOKUP(Tabla18[[#This Row],[Concatenado***]],Tabla2[[#All],[Concatenado]:[Simbología*]],2,0)</f>
        <v>#N/A</v>
      </c>
      <c r="I816" s="65" t="str">
        <f>CONCATENATE(Tabla18[[#This Row],[Concatenado***]],"_",Tabla5[[#This Row],[Zona (Distrito)
&lt;&lt; Seleccionar&gt;&gt;]])</f>
        <v>Huánuco__</v>
      </c>
      <c r="J8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6" s="72" t="e">
        <f>VLOOKUP(Tabla5[[#This Row],[Tipo de Transporte Empleado
&lt;&lt; Seleccionar&gt;&gt;]],Tabla8[#All],2,0)</f>
        <v>#N/A</v>
      </c>
      <c r="L816" s="71" t="e">
        <f>#REF!+(#REF!*2)+#REF!</f>
        <v>#REF!</v>
      </c>
    </row>
    <row r="817" spans="1:12" x14ac:dyDescent="0.25">
      <c r="A817" s="328" t="e">
        <f>VLOOKUP(Tabla5[[#This Row],[Acción
&lt;&lt; Seleccionar&gt;&gt;]],TablaAccion[[#All],[Nombre_Abreviado]:[Codigo_Plan_Acción]],3,0)</f>
        <v>#N/A</v>
      </c>
      <c r="B817" s="328" t="e">
        <f>VLOOKUP(Tabla5[[#This Row],[Acción Especifica
&lt;&lt; Seleccionar&gt;&gt;]],TablaAccionEspecifica[[#All],[Nombre_Abreviado]:[Codigo_Acción]],3,0)</f>
        <v>#N/A</v>
      </c>
      <c r="C817" s="328" t="e">
        <f>CONCATENATE(Tabla18[[#This Row],[Bus_02]],"_",Tabla5[[#This Row],[Sub Acción Específica
&lt;&lt; Seleccionar&gt;&gt;]])</f>
        <v>#N/A</v>
      </c>
      <c r="D817" s="328" t="e">
        <f>VLOOKUP(Tabla18[[#This Row],[Aux_01]],TablaSubAccionEspecifica[[#All],[Concat]:[Cod_Sub_acción_especifica]],2,0)</f>
        <v>#N/A</v>
      </c>
      <c r="E817" s="328" t="e">
        <f>Tabla18[[#This Row],[Bus_03]]&amp;"_"&amp;Tabla5[[#This Row],[Tipo de Agente
&lt;&lt; Seleccionar&gt;&gt;]]</f>
        <v>#N/A</v>
      </c>
      <c r="F817" s="328" t="e">
        <f>VLOOKUP(Tabla18[[#This Row],[Concat2]],TablaPOA[[#All],[Concat]:[ConcatEspecial]],3,0)</f>
        <v>#N/A</v>
      </c>
      <c r="G817" s="65" t="str">
        <f>CONCATENATE(Registro!$A$6,"_",Tabla5[[#This Row],[Zona (Provincia)
&lt;&lt; Seleccionar&gt;&gt;]])</f>
        <v>Huánuco_</v>
      </c>
      <c r="H817" s="60" t="e">
        <f>VLOOKUP(Tabla18[[#This Row],[Concatenado***]],Tabla2[[#All],[Concatenado]:[Simbología*]],2,0)</f>
        <v>#N/A</v>
      </c>
      <c r="I817" s="65" t="str">
        <f>CONCATENATE(Tabla18[[#This Row],[Concatenado***]],"_",Tabla5[[#This Row],[Zona (Distrito)
&lt;&lt; Seleccionar&gt;&gt;]])</f>
        <v>Huánuco__</v>
      </c>
      <c r="J8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7" s="72" t="e">
        <f>VLOOKUP(Tabla5[[#This Row],[Tipo de Transporte Empleado
&lt;&lt; Seleccionar&gt;&gt;]],Tabla8[#All],2,0)</f>
        <v>#N/A</v>
      </c>
      <c r="L817" s="71" t="e">
        <f>#REF!+(#REF!*2)+#REF!</f>
        <v>#REF!</v>
      </c>
    </row>
    <row r="818" spans="1:12" x14ac:dyDescent="0.25">
      <c r="A818" s="328" t="e">
        <f>VLOOKUP(Tabla5[[#This Row],[Acción
&lt;&lt; Seleccionar&gt;&gt;]],TablaAccion[[#All],[Nombre_Abreviado]:[Codigo_Plan_Acción]],3,0)</f>
        <v>#N/A</v>
      </c>
      <c r="B818" s="328" t="e">
        <f>VLOOKUP(Tabla5[[#This Row],[Acción Especifica
&lt;&lt; Seleccionar&gt;&gt;]],TablaAccionEspecifica[[#All],[Nombre_Abreviado]:[Codigo_Acción]],3,0)</f>
        <v>#N/A</v>
      </c>
      <c r="C818" s="328" t="e">
        <f>CONCATENATE(Tabla18[[#This Row],[Bus_02]],"_",Tabla5[[#This Row],[Sub Acción Específica
&lt;&lt; Seleccionar&gt;&gt;]])</f>
        <v>#N/A</v>
      </c>
      <c r="D818" s="328" t="e">
        <f>VLOOKUP(Tabla18[[#This Row],[Aux_01]],TablaSubAccionEspecifica[[#All],[Concat]:[Cod_Sub_acción_especifica]],2,0)</f>
        <v>#N/A</v>
      </c>
      <c r="E818" s="328" t="e">
        <f>Tabla18[[#This Row],[Bus_03]]&amp;"_"&amp;Tabla5[[#This Row],[Tipo de Agente
&lt;&lt; Seleccionar&gt;&gt;]]</f>
        <v>#N/A</v>
      </c>
      <c r="F818" s="328" t="e">
        <f>VLOOKUP(Tabla18[[#This Row],[Concat2]],TablaPOA[[#All],[Concat]:[ConcatEspecial]],3,0)</f>
        <v>#N/A</v>
      </c>
      <c r="G818" s="65" t="str">
        <f>CONCATENATE(Registro!$A$6,"_",Tabla5[[#This Row],[Zona (Provincia)
&lt;&lt; Seleccionar&gt;&gt;]])</f>
        <v>Huánuco_</v>
      </c>
      <c r="H818" s="60" t="e">
        <f>VLOOKUP(Tabla18[[#This Row],[Concatenado***]],Tabla2[[#All],[Concatenado]:[Simbología*]],2,0)</f>
        <v>#N/A</v>
      </c>
      <c r="I818" s="65" t="str">
        <f>CONCATENATE(Tabla18[[#This Row],[Concatenado***]],"_",Tabla5[[#This Row],[Zona (Distrito)
&lt;&lt; Seleccionar&gt;&gt;]])</f>
        <v>Huánuco__</v>
      </c>
      <c r="J8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8" s="72" t="e">
        <f>VLOOKUP(Tabla5[[#This Row],[Tipo de Transporte Empleado
&lt;&lt; Seleccionar&gt;&gt;]],Tabla8[#All],2,0)</f>
        <v>#N/A</v>
      </c>
      <c r="L818" s="71" t="e">
        <f>#REF!+(#REF!*2)+#REF!</f>
        <v>#REF!</v>
      </c>
    </row>
    <row r="819" spans="1:12" x14ac:dyDescent="0.25">
      <c r="A819" s="328" t="e">
        <f>VLOOKUP(Tabla5[[#This Row],[Acción
&lt;&lt; Seleccionar&gt;&gt;]],TablaAccion[[#All],[Nombre_Abreviado]:[Codigo_Plan_Acción]],3,0)</f>
        <v>#N/A</v>
      </c>
      <c r="B819" s="328" t="e">
        <f>VLOOKUP(Tabla5[[#This Row],[Acción Especifica
&lt;&lt; Seleccionar&gt;&gt;]],TablaAccionEspecifica[[#All],[Nombre_Abreviado]:[Codigo_Acción]],3,0)</f>
        <v>#N/A</v>
      </c>
      <c r="C819" s="328" t="e">
        <f>CONCATENATE(Tabla18[[#This Row],[Bus_02]],"_",Tabla5[[#This Row],[Sub Acción Específica
&lt;&lt; Seleccionar&gt;&gt;]])</f>
        <v>#N/A</v>
      </c>
      <c r="D819" s="328" t="e">
        <f>VLOOKUP(Tabla18[[#This Row],[Aux_01]],TablaSubAccionEspecifica[[#All],[Concat]:[Cod_Sub_acción_especifica]],2,0)</f>
        <v>#N/A</v>
      </c>
      <c r="E819" s="328" t="e">
        <f>Tabla18[[#This Row],[Bus_03]]&amp;"_"&amp;Tabla5[[#This Row],[Tipo de Agente
&lt;&lt; Seleccionar&gt;&gt;]]</f>
        <v>#N/A</v>
      </c>
      <c r="F819" s="328" t="e">
        <f>VLOOKUP(Tabla18[[#This Row],[Concat2]],TablaPOA[[#All],[Concat]:[ConcatEspecial]],3,0)</f>
        <v>#N/A</v>
      </c>
      <c r="G819" s="65" t="str">
        <f>CONCATENATE(Registro!$A$6,"_",Tabla5[[#This Row],[Zona (Provincia)
&lt;&lt; Seleccionar&gt;&gt;]])</f>
        <v>Huánuco_</v>
      </c>
      <c r="H819" s="60" t="e">
        <f>VLOOKUP(Tabla18[[#This Row],[Concatenado***]],Tabla2[[#All],[Concatenado]:[Simbología*]],2,0)</f>
        <v>#N/A</v>
      </c>
      <c r="I819" s="65" t="str">
        <f>CONCATENATE(Tabla18[[#This Row],[Concatenado***]],"_",Tabla5[[#This Row],[Zona (Distrito)
&lt;&lt; Seleccionar&gt;&gt;]])</f>
        <v>Huánuco__</v>
      </c>
      <c r="J8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9" s="72" t="e">
        <f>VLOOKUP(Tabla5[[#This Row],[Tipo de Transporte Empleado
&lt;&lt; Seleccionar&gt;&gt;]],Tabla8[#All],2,0)</f>
        <v>#N/A</v>
      </c>
      <c r="L819" s="71" t="e">
        <f>#REF!+(#REF!*2)+#REF!</f>
        <v>#REF!</v>
      </c>
    </row>
    <row r="820" spans="1:12" x14ac:dyDescent="0.25">
      <c r="A820" s="328" t="e">
        <f>VLOOKUP(Tabla5[[#This Row],[Acción
&lt;&lt; Seleccionar&gt;&gt;]],TablaAccion[[#All],[Nombre_Abreviado]:[Codigo_Plan_Acción]],3,0)</f>
        <v>#N/A</v>
      </c>
      <c r="B820" s="328" t="e">
        <f>VLOOKUP(Tabla5[[#This Row],[Acción Especifica
&lt;&lt; Seleccionar&gt;&gt;]],TablaAccionEspecifica[[#All],[Nombre_Abreviado]:[Codigo_Acción]],3,0)</f>
        <v>#N/A</v>
      </c>
      <c r="C820" s="328" t="e">
        <f>CONCATENATE(Tabla18[[#This Row],[Bus_02]],"_",Tabla5[[#This Row],[Sub Acción Específica
&lt;&lt; Seleccionar&gt;&gt;]])</f>
        <v>#N/A</v>
      </c>
      <c r="D820" s="328" t="e">
        <f>VLOOKUP(Tabla18[[#This Row],[Aux_01]],TablaSubAccionEspecifica[[#All],[Concat]:[Cod_Sub_acción_especifica]],2,0)</f>
        <v>#N/A</v>
      </c>
      <c r="E820" s="328" t="e">
        <f>Tabla18[[#This Row],[Bus_03]]&amp;"_"&amp;Tabla5[[#This Row],[Tipo de Agente
&lt;&lt; Seleccionar&gt;&gt;]]</f>
        <v>#N/A</v>
      </c>
      <c r="F820" s="328" t="e">
        <f>VLOOKUP(Tabla18[[#This Row],[Concat2]],TablaPOA[[#All],[Concat]:[ConcatEspecial]],3,0)</f>
        <v>#N/A</v>
      </c>
      <c r="G820" s="65" t="str">
        <f>CONCATENATE(Registro!$A$6,"_",Tabla5[[#This Row],[Zona (Provincia)
&lt;&lt; Seleccionar&gt;&gt;]])</f>
        <v>Huánuco_</v>
      </c>
      <c r="H820" s="60" t="e">
        <f>VLOOKUP(Tabla18[[#This Row],[Concatenado***]],Tabla2[[#All],[Concatenado]:[Simbología*]],2,0)</f>
        <v>#N/A</v>
      </c>
      <c r="I820" s="65" t="str">
        <f>CONCATENATE(Tabla18[[#This Row],[Concatenado***]],"_",Tabla5[[#This Row],[Zona (Distrito)
&lt;&lt; Seleccionar&gt;&gt;]])</f>
        <v>Huánuco__</v>
      </c>
      <c r="J8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0" s="72" t="e">
        <f>VLOOKUP(Tabla5[[#This Row],[Tipo de Transporte Empleado
&lt;&lt; Seleccionar&gt;&gt;]],Tabla8[#All],2,0)</f>
        <v>#N/A</v>
      </c>
      <c r="L820" s="71" t="e">
        <f>#REF!+(#REF!*2)+#REF!</f>
        <v>#REF!</v>
      </c>
    </row>
    <row r="821" spans="1:12" x14ac:dyDescent="0.25">
      <c r="A821" s="328" t="e">
        <f>VLOOKUP(Tabla5[[#This Row],[Acción
&lt;&lt; Seleccionar&gt;&gt;]],TablaAccion[[#All],[Nombre_Abreviado]:[Codigo_Plan_Acción]],3,0)</f>
        <v>#N/A</v>
      </c>
      <c r="B821" s="328" t="e">
        <f>VLOOKUP(Tabla5[[#This Row],[Acción Especifica
&lt;&lt; Seleccionar&gt;&gt;]],TablaAccionEspecifica[[#All],[Nombre_Abreviado]:[Codigo_Acción]],3,0)</f>
        <v>#N/A</v>
      </c>
      <c r="C821" s="328" t="e">
        <f>CONCATENATE(Tabla18[[#This Row],[Bus_02]],"_",Tabla5[[#This Row],[Sub Acción Específica
&lt;&lt; Seleccionar&gt;&gt;]])</f>
        <v>#N/A</v>
      </c>
      <c r="D821" s="328" t="e">
        <f>VLOOKUP(Tabla18[[#This Row],[Aux_01]],TablaSubAccionEspecifica[[#All],[Concat]:[Cod_Sub_acción_especifica]],2,0)</f>
        <v>#N/A</v>
      </c>
      <c r="E821" s="328" t="e">
        <f>Tabla18[[#This Row],[Bus_03]]&amp;"_"&amp;Tabla5[[#This Row],[Tipo de Agente
&lt;&lt; Seleccionar&gt;&gt;]]</f>
        <v>#N/A</v>
      </c>
      <c r="F821" s="328" t="e">
        <f>VLOOKUP(Tabla18[[#This Row],[Concat2]],TablaPOA[[#All],[Concat]:[ConcatEspecial]],3,0)</f>
        <v>#N/A</v>
      </c>
      <c r="G821" s="65" t="str">
        <f>CONCATENATE(Registro!$A$6,"_",Tabla5[[#This Row],[Zona (Provincia)
&lt;&lt; Seleccionar&gt;&gt;]])</f>
        <v>Huánuco_</v>
      </c>
      <c r="H821" s="60" t="e">
        <f>VLOOKUP(Tabla18[[#This Row],[Concatenado***]],Tabla2[[#All],[Concatenado]:[Simbología*]],2,0)</f>
        <v>#N/A</v>
      </c>
      <c r="I821" s="65" t="str">
        <f>CONCATENATE(Tabla18[[#This Row],[Concatenado***]],"_",Tabla5[[#This Row],[Zona (Distrito)
&lt;&lt; Seleccionar&gt;&gt;]])</f>
        <v>Huánuco__</v>
      </c>
      <c r="J8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1" s="72" t="e">
        <f>VLOOKUP(Tabla5[[#This Row],[Tipo de Transporte Empleado
&lt;&lt; Seleccionar&gt;&gt;]],Tabla8[#All],2,0)</f>
        <v>#N/A</v>
      </c>
      <c r="L821" s="71" t="e">
        <f>#REF!+(#REF!*2)+#REF!</f>
        <v>#REF!</v>
      </c>
    </row>
    <row r="822" spans="1:12" x14ac:dyDescent="0.25">
      <c r="A822" s="328" t="e">
        <f>VLOOKUP(Tabla5[[#This Row],[Acción
&lt;&lt; Seleccionar&gt;&gt;]],TablaAccion[[#All],[Nombre_Abreviado]:[Codigo_Plan_Acción]],3,0)</f>
        <v>#N/A</v>
      </c>
      <c r="B822" s="328" t="e">
        <f>VLOOKUP(Tabla5[[#This Row],[Acción Especifica
&lt;&lt; Seleccionar&gt;&gt;]],TablaAccionEspecifica[[#All],[Nombre_Abreviado]:[Codigo_Acción]],3,0)</f>
        <v>#N/A</v>
      </c>
      <c r="C822" s="328" t="e">
        <f>CONCATENATE(Tabla18[[#This Row],[Bus_02]],"_",Tabla5[[#This Row],[Sub Acción Específica
&lt;&lt; Seleccionar&gt;&gt;]])</f>
        <v>#N/A</v>
      </c>
      <c r="D822" s="328" t="e">
        <f>VLOOKUP(Tabla18[[#This Row],[Aux_01]],TablaSubAccionEspecifica[[#All],[Concat]:[Cod_Sub_acción_especifica]],2,0)</f>
        <v>#N/A</v>
      </c>
      <c r="E822" s="328" t="e">
        <f>Tabla18[[#This Row],[Bus_03]]&amp;"_"&amp;Tabla5[[#This Row],[Tipo de Agente
&lt;&lt; Seleccionar&gt;&gt;]]</f>
        <v>#N/A</v>
      </c>
      <c r="F822" s="328" t="e">
        <f>VLOOKUP(Tabla18[[#This Row],[Concat2]],TablaPOA[[#All],[Concat]:[ConcatEspecial]],3,0)</f>
        <v>#N/A</v>
      </c>
      <c r="G822" s="65" t="str">
        <f>CONCATENATE(Registro!$A$6,"_",Tabla5[[#This Row],[Zona (Provincia)
&lt;&lt; Seleccionar&gt;&gt;]])</f>
        <v>Huánuco_</v>
      </c>
      <c r="H822" s="60" t="e">
        <f>VLOOKUP(Tabla18[[#This Row],[Concatenado***]],Tabla2[[#All],[Concatenado]:[Simbología*]],2,0)</f>
        <v>#N/A</v>
      </c>
      <c r="I822" s="65" t="str">
        <f>CONCATENATE(Tabla18[[#This Row],[Concatenado***]],"_",Tabla5[[#This Row],[Zona (Distrito)
&lt;&lt; Seleccionar&gt;&gt;]])</f>
        <v>Huánuco__</v>
      </c>
      <c r="J8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2" s="72" t="e">
        <f>VLOOKUP(Tabla5[[#This Row],[Tipo de Transporte Empleado
&lt;&lt; Seleccionar&gt;&gt;]],Tabla8[#All],2,0)</f>
        <v>#N/A</v>
      </c>
      <c r="L822" s="71" t="e">
        <f>#REF!+(#REF!*2)+#REF!</f>
        <v>#REF!</v>
      </c>
    </row>
    <row r="823" spans="1:12" x14ac:dyDescent="0.25">
      <c r="A823" s="328" t="e">
        <f>VLOOKUP(Tabla5[[#This Row],[Acción
&lt;&lt; Seleccionar&gt;&gt;]],TablaAccion[[#All],[Nombre_Abreviado]:[Codigo_Plan_Acción]],3,0)</f>
        <v>#N/A</v>
      </c>
      <c r="B823" s="328" t="e">
        <f>VLOOKUP(Tabla5[[#This Row],[Acción Especifica
&lt;&lt; Seleccionar&gt;&gt;]],TablaAccionEspecifica[[#All],[Nombre_Abreviado]:[Codigo_Acción]],3,0)</f>
        <v>#N/A</v>
      </c>
      <c r="C823" s="328" t="e">
        <f>CONCATENATE(Tabla18[[#This Row],[Bus_02]],"_",Tabla5[[#This Row],[Sub Acción Específica
&lt;&lt; Seleccionar&gt;&gt;]])</f>
        <v>#N/A</v>
      </c>
      <c r="D823" s="328" t="e">
        <f>VLOOKUP(Tabla18[[#This Row],[Aux_01]],TablaSubAccionEspecifica[[#All],[Concat]:[Cod_Sub_acción_especifica]],2,0)</f>
        <v>#N/A</v>
      </c>
      <c r="E823" s="328" t="e">
        <f>Tabla18[[#This Row],[Bus_03]]&amp;"_"&amp;Tabla5[[#This Row],[Tipo de Agente
&lt;&lt; Seleccionar&gt;&gt;]]</f>
        <v>#N/A</v>
      </c>
      <c r="F823" s="328" t="e">
        <f>VLOOKUP(Tabla18[[#This Row],[Concat2]],TablaPOA[[#All],[Concat]:[ConcatEspecial]],3,0)</f>
        <v>#N/A</v>
      </c>
      <c r="G823" s="65" t="str">
        <f>CONCATENATE(Registro!$A$6,"_",Tabla5[[#This Row],[Zona (Provincia)
&lt;&lt; Seleccionar&gt;&gt;]])</f>
        <v>Huánuco_</v>
      </c>
      <c r="H823" s="60" t="e">
        <f>VLOOKUP(Tabla18[[#This Row],[Concatenado***]],Tabla2[[#All],[Concatenado]:[Simbología*]],2,0)</f>
        <v>#N/A</v>
      </c>
      <c r="I823" s="65" t="str">
        <f>CONCATENATE(Tabla18[[#This Row],[Concatenado***]],"_",Tabla5[[#This Row],[Zona (Distrito)
&lt;&lt; Seleccionar&gt;&gt;]])</f>
        <v>Huánuco__</v>
      </c>
      <c r="J8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3" s="72" t="e">
        <f>VLOOKUP(Tabla5[[#This Row],[Tipo de Transporte Empleado
&lt;&lt; Seleccionar&gt;&gt;]],Tabla8[#All],2,0)</f>
        <v>#N/A</v>
      </c>
      <c r="L823" s="71" t="e">
        <f>#REF!+(#REF!*2)+#REF!</f>
        <v>#REF!</v>
      </c>
    </row>
    <row r="824" spans="1:12" x14ac:dyDescent="0.25">
      <c r="A824" s="328" t="e">
        <f>VLOOKUP(Tabla5[[#This Row],[Acción
&lt;&lt; Seleccionar&gt;&gt;]],TablaAccion[[#All],[Nombre_Abreviado]:[Codigo_Plan_Acción]],3,0)</f>
        <v>#N/A</v>
      </c>
      <c r="B824" s="328" t="e">
        <f>VLOOKUP(Tabla5[[#This Row],[Acción Especifica
&lt;&lt; Seleccionar&gt;&gt;]],TablaAccionEspecifica[[#All],[Nombre_Abreviado]:[Codigo_Acción]],3,0)</f>
        <v>#N/A</v>
      </c>
      <c r="C824" s="328" t="e">
        <f>CONCATENATE(Tabla18[[#This Row],[Bus_02]],"_",Tabla5[[#This Row],[Sub Acción Específica
&lt;&lt; Seleccionar&gt;&gt;]])</f>
        <v>#N/A</v>
      </c>
      <c r="D824" s="328" t="e">
        <f>VLOOKUP(Tabla18[[#This Row],[Aux_01]],TablaSubAccionEspecifica[[#All],[Concat]:[Cod_Sub_acción_especifica]],2,0)</f>
        <v>#N/A</v>
      </c>
      <c r="E824" s="328" t="e">
        <f>Tabla18[[#This Row],[Bus_03]]&amp;"_"&amp;Tabla5[[#This Row],[Tipo de Agente
&lt;&lt; Seleccionar&gt;&gt;]]</f>
        <v>#N/A</v>
      </c>
      <c r="F824" s="328" t="e">
        <f>VLOOKUP(Tabla18[[#This Row],[Concat2]],TablaPOA[[#All],[Concat]:[ConcatEspecial]],3,0)</f>
        <v>#N/A</v>
      </c>
      <c r="G824" s="65" t="str">
        <f>CONCATENATE(Registro!$A$6,"_",Tabla5[[#This Row],[Zona (Provincia)
&lt;&lt; Seleccionar&gt;&gt;]])</f>
        <v>Huánuco_</v>
      </c>
      <c r="H824" s="60" t="e">
        <f>VLOOKUP(Tabla18[[#This Row],[Concatenado***]],Tabla2[[#All],[Concatenado]:[Simbología*]],2,0)</f>
        <v>#N/A</v>
      </c>
      <c r="I824" s="65" t="str">
        <f>CONCATENATE(Tabla18[[#This Row],[Concatenado***]],"_",Tabla5[[#This Row],[Zona (Distrito)
&lt;&lt; Seleccionar&gt;&gt;]])</f>
        <v>Huánuco__</v>
      </c>
      <c r="J8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4" s="72" t="e">
        <f>VLOOKUP(Tabla5[[#This Row],[Tipo de Transporte Empleado
&lt;&lt; Seleccionar&gt;&gt;]],Tabla8[#All],2,0)</f>
        <v>#N/A</v>
      </c>
      <c r="L824" s="71" t="e">
        <f>#REF!+(#REF!*2)+#REF!</f>
        <v>#REF!</v>
      </c>
    </row>
    <row r="825" spans="1:12" x14ac:dyDescent="0.25">
      <c r="A825" s="329" t="e">
        <f>VLOOKUP(Tabla5[[#This Row],[Acción
&lt;&lt; Seleccionar&gt;&gt;]],TablaAccion[[#All],[Nombre_Abreviado]:[Codigo_Plan_Acción]],3,0)</f>
        <v>#N/A</v>
      </c>
      <c r="B825" s="329" t="e">
        <f>VLOOKUP(Tabla5[[#This Row],[Acción Especifica
&lt;&lt; Seleccionar&gt;&gt;]],TablaAccionEspecifica[[#All],[Nombre_Abreviado]:[Codigo_Acción]],3,0)</f>
        <v>#N/A</v>
      </c>
      <c r="C825" s="329" t="e">
        <f>CONCATENATE(Tabla18[[#This Row],[Bus_02]],"_",Tabla5[[#This Row],[Sub Acción Específica
&lt;&lt; Seleccionar&gt;&gt;]])</f>
        <v>#N/A</v>
      </c>
      <c r="D825" s="328" t="e">
        <f>VLOOKUP(Tabla18[[#This Row],[Aux_01]],TablaSubAccionEspecifica[[#All],[Concat]:[Cod_Sub_acción_especifica]],2,0)</f>
        <v>#N/A</v>
      </c>
      <c r="E825" s="328" t="e">
        <f>Tabla18[[#This Row],[Bus_03]]&amp;"_"&amp;Tabla5[[#This Row],[Tipo de Agente
&lt;&lt; Seleccionar&gt;&gt;]]</f>
        <v>#N/A</v>
      </c>
      <c r="F825" s="328" t="e">
        <f>VLOOKUP(Tabla18[[#This Row],[Concat2]],TablaPOA[[#All],[Concat]:[ConcatEspecial]],3,0)</f>
        <v>#N/A</v>
      </c>
      <c r="G825" s="65" t="str">
        <f>CONCATENATE(Registro!$A$6,"_",Tabla5[[#This Row],[Zona (Provincia)
&lt;&lt; Seleccionar&gt;&gt;]])</f>
        <v>Huánuco_</v>
      </c>
      <c r="H825" s="60" t="e">
        <f>VLOOKUP(Tabla18[[#This Row],[Concatenado***]],Tabla2[[#All],[Concatenado]:[Simbología*]],2,0)</f>
        <v>#N/A</v>
      </c>
      <c r="I825" s="65" t="str">
        <f>CONCATENATE(Tabla18[[#This Row],[Concatenado***]],"_",Tabla5[[#This Row],[Zona (Distrito)
&lt;&lt; Seleccionar&gt;&gt;]])</f>
        <v>Huánuco__</v>
      </c>
      <c r="J8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5" s="72" t="e">
        <f>VLOOKUP(Tabla5[[#This Row],[Tipo de Transporte Empleado
&lt;&lt; Seleccionar&gt;&gt;]],Tabla8[#All],2,0)</f>
        <v>#N/A</v>
      </c>
      <c r="L825" s="71" t="e">
        <f>#REF!+(#REF!*2)+#REF!</f>
        <v>#REF!</v>
      </c>
    </row>
    <row r="826" spans="1:12" x14ac:dyDescent="0.25">
      <c r="A826" s="328" t="e">
        <f>VLOOKUP(Tabla5[[#This Row],[Acción
&lt;&lt; Seleccionar&gt;&gt;]],TablaAccion[[#All],[Nombre_Abreviado]:[Codigo_Plan_Acción]],3,0)</f>
        <v>#N/A</v>
      </c>
      <c r="B826" s="328" t="e">
        <f>VLOOKUP(Tabla5[[#This Row],[Acción Especifica
&lt;&lt; Seleccionar&gt;&gt;]],TablaAccionEspecifica[[#All],[Nombre_Abreviado]:[Codigo_Acción]],3,0)</f>
        <v>#N/A</v>
      </c>
      <c r="C826" s="328" t="e">
        <f>CONCATENATE(Tabla18[[#This Row],[Bus_02]],"_",Tabla5[[#This Row],[Sub Acción Específica
&lt;&lt; Seleccionar&gt;&gt;]])</f>
        <v>#N/A</v>
      </c>
      <c r="D826" s="328" t="e">
        <f>VLOOKUP(Tabla18[[#This Row],[Aux_01]],TablaSubAccionEspecifica[[#All],[Concat]:[Cod_Sub_acción_especifica]],2,0)</f>
        <v>#N/A</v>
      </c>
      <c r="E826" s="328" t="e">
        <f>Tabla18[[#This Row],[Bus_03]]&amp;"_"&amp;Tabla5[[#This Row],[Tipo de Agente
&lt;&lt; Seleccionar&gt;&gt;]]</f>
        <v>#N/A</v>
      </c>
      <c r="F826" s="328" t="e">
        <f>VLOOKUP(Tabla18[[#This Row],[Concat2]],TablaPOA[[#All],[Concat]:[ConcatEspecial]],3,0)</f>
        <v>#N/A</v>
      </c>
      <c r="G826" s="65" t="str">
        <f>CONCATENATE(Registro!$A$6,"_",Tabla5[[#This Row],[Zona (Provincia)
&lt;&lt; Seleccionar&gt;&gt;]])</f>
        <v>Huánuco_</v>
      </c>
      <c r="H826" s="60" t="e">
        <f>VLOOKUP(Tabla18[[#This Row],[Concatenado***]],Tabla2[[#All],[Concatenado]:[Simbología*]],2,0)</f>
        <v>#N/A</v>
      </c>
      <c r="I826" s="65" t="str">
        <f>CONCATENATE(Tabla18[[#This Row],[Concatenado***]],"_",Tabla5[[#This Row],[Zona (Distrito)
&lt;&lt; Seleccionar&gt;&gt;]])</f>
        <v>Huánuco__</v>
      </c>
      <c r="J8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6" s="72" t="e">
        <f>VLOOKUP(Tabla5[[#This Row],[Tipo de Transporte Empleado
&lt;&lt; Seleccionar&gt;&gt;]],Tabla8[#All],2,0)</f>
        <v>#N/A</v>
      </c>
      <c r="L826" s="71" t="e">
        <f>#REF!+(#REF!*2)+#REF!</f>
        <v>#REF!</v>
      </c>
    </row>
    <row r="827" spans="1:12" x14ac:dyDescent="0.25">
      <c r="A827" s="328" t="e">
        <f>VLOOKUP(Tabla5[[#This Row],[Acción
&lt;&lt; Seleccionar&gt;&gt;]],TablaAccion[[#All],[Nombre_Abreviado]:[Codigo_Plan_Acción]],3,0)</f>
        <v>#N/A</v>
      </c>
      <c r="B827" s="328" t="e">
        <f>VLOOKUP(Tabla5[[#This Row],[Acción Especifica
&lt;&lt; Seleccionar&gt;&gt;]],TablaAccionEspecifica[[#All],[Nombre_Abreviado]:[Codigo_Acción]],3,0)</f>
        <v>#N/A</v>
      </c>
      <c r="C827" s="328" t="e">
        <f>CONCATENATE(Tabla18[[#This Row],[Bus_02]],"_",Tabla5[[#This Row],[Sub Acción Específica
&lt;&lt; Seleccionar&gt;&gt;]])</f>
        <v>#N/A</v>
      </c>
      <c r="D827" s="328" t="e">
        <f>VLOOKUP(Tabla18[[#This Row],[Aux_01]],TablaSubAccionEspecifica[[#All],[Concat]:[Cod_Sub_acción_especifica]],2,0)</f>
        <v>#N/A</v>
      </c>
      <c r="E827" s="328" t="e">
        <f>Tabla18[[#This Row],[Bus_03]]&amp;"_"&amp;Tabla5[[#This Row],[Tipo de Agente
&lt;&lt; Seleccionar&gt;&gt;]]</f>
        <v>#N/A</v>
      </c>
      <c r="F827" s="328" t="e">
        <f>VLOOKUP(Tabla18[[#This Row],[Concat2]],TablaPOA[[#All],[Concat]:[ConcatEspecial]],3,0)</f>
        <v>#N/A</v>
      </c>
      <c r="G827" s="65" t="str">
        <f>CONCATENATE(Registro!$A$6,"_",Tabla5[[#This Row],[Zona (Provincia)
&lt;&lt; Seleccionar&gt;&gt;]])</f>
        <v>Huánuco_</v>
      </c>
      <c r="H827" s="60" t="e">
        <f>VLOOKUP(Tabla18[[#This Row],[Concatenado***]],Tabla2[[#All],[Concatenado]:[Simbología*]],2,0)</f>
        <v>#N/A</v>
      </c>
      <c r="I827" s="65" t="str">
        <f>CONCATENATE(Tabla18[[#This Row],[Concatenado***]],"_",Tabla5[[#This Row],[Zona (Distrito)
&lt;&lt; Seleccionar&gt;&gt;]])</f>
        <v>Huánuco__</v>
      </c>
      <c r="J8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7" s="72" t="e">
        <f>VLOOKUP(Tabla5[[#This Row],[Tipo de Transporte Empleado
&lt;&lt; Seleccionar&gt;&gt;]],Tabla8[#All],2,0)</f>
        <v>#N/A</v>
      </c>
      <c r="L827" s="71" t="e">
        <f>#REF!+(#REF!*2)+#REF!</f>
        <v>#REF!</v>
      </c>
    </row>
    <row r="828" spans="1:12" x14ac:dyDescent="0.25">
      <c r="A828" s="328" t="e">
        <f>VLOOKUP(Tabla5[[#This Row],[Acción
&lt;&lt; Seleccionar&gt;&gt;]],TablaAccion[[#All],[Nombre_Abreviado]:[Codigo_Plan_Acción]],3,0)</f>
        <v>#N/A</v>
      </c>
      <c r="B828" s="328" t="e">
        <f>VLOOKUP(Tabla5[[#This Row],[Acción Especifica
&lt;&lt; Seleccionar&gt;&gt;]],TablaAccionEspecifica[[#All],[Nombre_Abreviado]:[Codigo_Acción]],3,0)</f>
        <v>#N/A</v>
      </c>
      <c r="C828" s="328" t="e">
        <f>CONCATENATE(Tabla18[[#This Row],[Bus_02]],"_",Tabla5[[#This Row],[Sub Acción Específica
&lt;&lt; Seleccionar&gt;&gt;]])</f>
        <v>#N/A</v>
      </c>
      <c r="D828" s="328" t="e">
        <f>VLOOKUP(Tabla18[[#This Row],[Aux_01]],TablaSubAccionEspecifica[[#All],[Concat]:[Cod_Sub_acción_especifica]],2,0)</f>
        <v>#N/A</v>
      </c>
      <c r="E828" s="328" t="e">
        <f>Tabla18[[#This Row],[Bus_03]]&amp;"_"&amp;Tabla5[[#This Row],[Tipo de Agente
&lt;&lt; Seleccionar&gt;&gt;]]</f>
        <v>#N/A</v>
      </c>
      <c r="F828" s="328" t="e">
        <f>VLOOKUP(Tabla18[[#This Row],[Concat2]],TablaPOA[[#All],[Concat]:[ConcatEspecial]],3,0)</f>
        <v>#N/A</v>
      </c>
      <c r="G828" s="65" t="str">
        <f>CONCATENATE(Registro!$A$6,"_",Tabla5[[#This Row],[Zona (Provincia)
&lt;&lt; Seleccionar&gt;&gt;]])</f>
        <v>Huánuco_</v>
      </c>
      <c r="H828" s="60" t="e">
        <f>VLOOKUP(Tabla18[[#This Row],[Concatenado***]],Tabla2[[#All],[Concatenado]:[Simbología*]],2,0)</f>
        <v>#N/A</v>
      </c>
      <c r="I828" s="65" t="str">
        <f>CONCATENATE(Tabla18[[#This Row],[Concatenado***]],"_",Tabla5[[#This Row],[Zona (Distrito)
&lt;&lt; Seleccionar&gt;&gt;]])</f>
        <v>Huánuco__</v>
      </c>
      <c r="J8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8" s="72" t="e">
        <f>VLOOKUP(Tabla5[[#This Row],[Tipo de Transporte Empleado
&lt;&lt; Seleccionar&gt;&gt;]],Tabla8[#All],2,0)</f>
        <v>#N/A</v>
      </c>
      <c r="L828" s="71" t="e">
        <f>#REF!+(#REF!*2)+#REF!</f>
        <v>#REF!</v>
      </c>
    </row>
    <row r="829" spans="1:12" x14ac:dyDescent="0.25">
      <c r="A829" s="328" t="e">
        <f>VLOOKUP(Tabla5[[#This Row],[Acción
&lt;&lt; Seleccionar&gt;&gt;]],TablaAccion[[#All],[Nombre_Abreviado]:[Codigo_Plan_Acción]],3,0)</f>
        <v>#N/A</v>
      </c>
      <c r="B829" s="328" t="e">
        <f>VLOOKUP(Tabla5[[#This Row],[Acción Especifica
&lt;&lt; Seleccionar&gt;&gt;]],TablaAccionEspecifica[[#All],[Nombre_Abreviado]:[Codigo_Acción]],3,0)</f>
        <v>#N/A</v>
      </c>
      <c r="C829" s="328" t="e">
        <f>CONCATENATE(Tabla18[[#This Row],[Bus_02]],"_",Tabla5[[#This Row],[Sub Acción Específica
&lt;&lt; Seleccionar&gt;&gt;]])</f>
        <v>#N/A</v>
      </c>
      <c r="D829" s="328" t="e">
        <f>VLOOKUP(Tabla18[[#This Row],[Aux_01]],TablaSubAccionEspecifica[[#All],[Concat]:[Cod_Sub_acción_especifica]],2,0)</f>
        <v>#N/A</v>
      </c>
      <c r="E829" s="328" t="e">
        <f>Tabla18[[#This Row],[Bus_03]]&amp;"_"&amp;Tabla5[[#This Row],[Tipo de Agente
&lt;&lt; Seleccionar&gt;&gt;]]</f>
        <v>#N/A</v>
      </c>
      <c r="F829" s="328" t="e">
        <f>VLOOKUP(Tabla18[[#This Row],[Concat2]],TablaPOA[[#All],[Concat]:[ConcatEspecial]],3,0)</f>
        <v>#N/A</v>
      </c>
      <c r="G829" s="65" t="str">
        <f>CONCATENATE(Registro!$A$6,"_",Tabla5[[#This Row],[Zona (Provincia)
&lt;&lt; Seleccionar&gt;&gt;]])</f>
        <v>Huánuco_</v>
      </c>
      <c r="H829" s="60" t="e">
        <f>VLOOKUP(Tabla18[[#This Row],[Concatenado***]],Tabla2[[#All],[Concatenado]:[Simbología*]],2,0)</f>
        <v>#N/A</v>
      </c>
      <c r="I829" s="65" t="str">
        <f>CONCATENATE(Tabla18[[#This Row],[Concatenado***]],"_",Tabla5[[#This Row],[Zona (Distrito)
&lt;&lt; Seleccionar&gt;&gt;]])</f>
        <v>Huánuco__</v>
      </c>
      <c r="J8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9" s="72" t="e">
        <f>VLOOKUP(Tabla5[[#This Row],[Tipo de Transporte Empleado
&lt;&lt; Seleccionar&gt;&gt;]],Tabla8[#All],2,0)</f>
        <v>#N/A</v>
      </c>
      <c r="L829" s="71" t="e">
        <f>#REF!+(#REF!*2)+#REF!</f>
        <v>#REF!</v>
      </c>
    </row>
    <row r="830" spans="1:12" x14ac:dyDescent="0.25">
      <c r="A830" s="328" t="e">
        <f>VLOOKUP(Tabla5[[#This Row],[Acción
&lt;&lt; Seleccionar&gt;&gt;]],TablaAccion[[#All],[Nombre_Abreviado]:[Codigo_Plan_Acción]],3,0)</f>
        <v>#N/A</v>
      </c>
      <c r="B830" s="328" t="e">
        <f>VLOOKUP(Tabla5[[#This Row],[Acción Especifica
&lt;&lt; Seleccionar&gt;&gt;]],TablaAccionEspecifica[[#All],[Nombre_Abreviado]:[Codigo_Acción]],3,0)</f>
        <v>#N/A</v>
      </c>
      <c r="C830" s="328" t="e">
        <f>CONCATENATE(Tabla18[[#This Row],[Bus_02]],"_",Tabla5[[#This Row],[Sub Acción Específica
&lt;&lt; Seleccionar&gt;&gt;]])</f>
        <v>#N/A</v>
      </c>
      <c r="D830" s="328" t="e">
        <f>VLOOKUP(Tabla18[[#This Row],[Aux_01]],TablaSubAccionEspecifica[[#All],[Concat]:[Cod_Sub_acción_especifica]],2,0)</f>
        <v>#N/A</v>
      </c>
      <c r="E830" s="328" t="e">
        <f>Tabla18[[#This Row],[Bus_03]]&amp;"_"&amp;Tabla5[[#This Row],[Tipo de Agente
&lt;&lt; Seleccionar&gt;&gt;]]</f>
        <v>#N/A</v>
      </c>
      <c r="F830" s="328" t="e">
        <f>VLOOKUP(Tabla18[[#This Row],[Concat2]],TablaPOA[[#All],[Concat]:[ConcatEspecial]],3,0)</f>
        <v>#N/A</v>
      </c>
      <c r="G830" s="65" t="str">
        <f>CONCATENATE(Registro!$A$6,"_",Tabla5[[#This Row],[Zona (Provincia)
&lt;&lt; Seleccionar&gt;&gt;]])</f>
        <v>Huánuco_</v>
      </c>
      <c r="H830" s="60" t="e">
        <f>VLOOKUP(Tabla18[[#This Row],[Concatenado***]],Tabla2[[#All],[Concatenado]:[Simbología*]],2,0)</f>
        <v>#N/A</v>
      </c>
      <c r="I830" s="65" t="str">
        <f>CONCATENATE(Tabla18[[#This Row],[Concatenado***]],"_",Tabla5[[#This Row],[Zona (Distrito)
&lt;&lt; Seleccionar&gt;&gt;]])</f>
        <v>Huánuco__</v>
      </c>
      <c r="J8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0" s="72" t="e">
        <f>VLOOKUP(Tabla5[[#This Row],[Tipo de Transporte Empleado
&lt;&lt; Seleccionar&gt;&gt;]],Tabla8[#All],2,0)</f>
        <v>#N/A</v>
      </c>
      <c r="L830" s="71" t="e">
        <f>#REF!+(#REF!*2)+#REF!</f>
        <v>#REF!</v>
      </c>
    </row>
    <row r="831" spans="1:12" x14ac:dyDescent="0.25">
      <c r="A831" s="328" t="e">
        <f>VLOOKUP(Tabla5[[#This Row],[Acción
&lt;&lt; Seleccionar&gt;&gt;]],TablaAccion[[#All],[Nombre_Abreviado]:[Codigo_Plan_Acción]],3,0)</f>
        <v>#N/A</v>
      </c>
      <c r="B831" s="328" t="e">
        <f>VLOOKUP(Tabla5[[#This Row],[Acción Especifica
&lt;&lt; Seleccionar&gt;&gt;]],TablaAccionEspecifica[[#All],[Nombre_Abreviado]:[Codigo_Acción]],3,0)</f>
        <v>#N/A</v>
      </c>
      <c r="C831" s="328" t="e">
        <f>CONCATENATE(Tabla18[[#This Row],[Bus_02]],"_",Tabla5[[#This Row],[Sub Acción Específica
&lt;&lt; Seleccionar&gt;&gt;]])</f>
        <v>#N/A</v>
      </c>
      <c r="D831" s="328" t="e">
        <f>VLOOKUP(Tabla18[[#This Row],[Aux_01]],TablaSubAccionEspecifica[[#All],[Concat]:[Cod_Sub_acción_especifica]],2,0)</f>
        <v>#N/A</v>
      </c>
      <c r="E831" s="328" t="e">
        <f>Tabla18[[#This Row],[Bus_03]]&amp;"_"&amp;Tabla5[[#This Row],[Tipo de Agente
&lt;&lt; Seleccionar&gt;&gt;]]</f>
        <v>#N/A</v>
      </c>
      <c r="F831" s="328" t="e">
        <f>VLOOKUP(Tabla18[[#This Row],[Concat2]],TablaPOA[[#All],[Concat]:[ConcatEspecial]],3,0)</f>
        <v>#N/A</v>
      </c>
      <c r="G831" s="65" t="str">
        <f>CONCATENATE(Registro!$A$6,"_",Tabla5[[#This Row],[Zona (Provincia)
&lt;&lt; Seleccionar&gt;&gt;]])</f>
        <v>Huánuco_</v>
      </c>
      <c r="H831" s="60" t="e">
        <f>VLOOKUP(Tabla18[[#This Row],[Concatenado***]],Tabla2[[#All],[Concatenado]:[Simbología*]],2,0)</f>
        <v>#N/A</v>
      </c>
      <c r="I831" s="65" t="str">
        <f>CONCATENATE(Tabla18[[#This Row],[Concatenado***]],"_",Tabla5[[#This Row],[Zona (Distrito)
&lt;&lt; Seleccionar&gt;&gt;]])</f>
        <v>Huánuco__</v>
      </c>
      <c r="J8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1" s="72" t="e">
        <f>VLOOKUP(Tabla5[[#This Row],[Tipo de Transporte Empleado
&lt;&lt; Seleccionar&gt;&gt;]],Tabla8[#All],2,0)</f>
        <v>#N/A</v>
      </c>
      <c r="L831" s="71" t="e">
        <f>#REF!+(#REF!*2)+#REF!</f>
        <v>#REF!</v>
      </c>
    </row>
    <row r="832" spans="1:12" x14ac:dyDescent="0.25">
      <c r="A832" s="328" t="e">
        <f>VLOOKUP(Tabla5[[#This Row],[Acción
&lt;&lt; Seleccionar&gt;&gt;]],TablaAccion[[#All],[Nombre_Abreviado]:[Codigo_Plan_Acción]],3,0)</f>
        <v>#N/A</v>
      </c>
      <c r="B832" s="328" t="e">
        <f>VLOOKUP(Tabla5[[#This Row],[Acción Especifica
&lt;&lt; Seleccionar&gt;&gt;]],TablaAccionEspecifica[[#All],[Nombre_Abreviado]:[Codigo_Acción]],3,0)</f>
        <v>#N/A</v>
      </c>
      <c r="C832" s="328" t="e">
        <f>CONCATENATE(Tabla18[[#This Row],[Bus_02]],"_",Tabla5[[#This Row],[Sub Acción Específica
&lt;&lt; Seleccionar&gt;&gt;]])</f>
        <v>#N/A</v>
      </c>
      <c r="D832" s="328" t="e">
        <f>VLOOKUP(Tabla18[[#This Row],[Aux_01]],TablaSubAccionEspecifica[[#All],[Concat]:[Cod_Sub_acción_especifica]],2,0)</f>
        <v>#N/A</v>
      </c>
      <c r="E832" s="328" t="e">
        <f>Tabla18[[#This Row],[Bus_03]]&amp;"_"&amp;Tabla5[[#This Row],[Tipo de Agente
&lt;&lt; Seleccionar&gt;&gt;]]</f>
        <v>#N/A</v>
      </c>
      <c r="F832" s="328" t="e">
        <f>VLOOKUP(Tabla18[[#This Row],[Concat2]],TablaPOA[[#All],[Concat]:[ConcatEspecial]],3,0)</f>
        <v>#N/A</v>
      </c>
      <c r="G832" s="65" t="str">
        <f>CONCATENATE(Registro!$A$6,"_",Tabla5[[#This Row],[Zona (Provincia)
&lt;&lt; Seleccionar&gt;&gt;]])</f>
        <v>Huánuco_</v>
      </c>
      <c r="H832" s="60" t="e">
        <f>VLOOKUP(Tabla18[[#This Row],[Concatenado***]],Tabla2[[#All],[Concatenado]:[Simbología*]],2,0)</f>
        <v>#N/A</v>
      </c>
      <c r="I832" s="65" t="str">
        <f>CONCATENATE(Tabla18[[#This Row],[Concatenado***]],"_",Tabla5[[#This Row],[Zona (Distrito)
&lt;&lt; Seleccionar&gt;&gt;]])</f>
        <v>Huánuco__</v>
      </c>
      <c r="J8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2" s="72" t="e">
        <f>VLOOKUP(Tabla5[[#This Row],[Tipo de Transporte Empleado
&lt;&lt; Seleccionar&gt;&gt;]],Tabla8[#All],2,0)</f>
        <v>#N/A</v>
      </c>
      <c r="L832" s="71" t="e">
        <f>#REF!+(#REF!*2)+#REF!</f>
        <v>#REF!</v>
      </c>
    </row>
    <row r="833" spans="1:12" x14ac:dyDescent="0.25">
      <c r="A833" s="328" t="e">
        <f>VLOOKUP(Tabla5[[#This Row],[Acción
&lt;&lt; Seleccionar&gt;&gt;]],TablaAccion[[#All],[Nombre_Abreviado]:[Codigo_Plan_Acción]],3,0)</f>
        <v>#N/A</v>
      </c>
      <c r="B833" s="328" t="e">
        <f>VLOOKUP(Tabla5[[#This Row],[Acción Especifica
&lt;&lt; Seleccionar&gt;&gt;]],TablaAccionEspecifica[[#All],[Nombre_Abreviado]:[Codigo_Acción]],3,0)</f>
        <v>#N/A</v>
      </c>
      <c r="C833" s="328" t="e">
        <f>CONCATENATE(Tabla18[[#This Row],[Bus_02]],"_",Tabla5[[#This Row],[Sub Acción Específica
&lt;&lt; Seleccionar&gt;&gt;]])</f>
        <v>#N/A</v>
      </c>
      <c r="D833" s="328" t="e">
        <f>VLOOKUP(Tabla18[[#This Row],[Aux_01]],TablaSubAccionEspecifica[[#All],[Concat]:[Cod_Sub_acción_especifica]],2,0)</f>
        <v>#N/A</v>
      </c>
      <c r="E833" s="328" t="e">
        <f>Tabla18[[#This Row],[Bus_03]]&amp;"_"&amp;Tabla5[[#This Row],[Tipo de Agente
&lt;&lt; Seleccionar&gt;&gt;]]</f>
        <v>#N/A</v>
      </c>
      <c r="F833" s="328" t="e">
        <f>VLOOKUP(Tabla18[[#This Row],[Concat2]],TablaPOA[[#All],[Concat]:[ConcatEspecial]],3,0)</f>
        <v>#N/A</v>
      </c>
      <c r="G833" s="65" t="str">
        <f>CONCATENATE(Registro!$A$6,"_",Tabla5[[#This Row],[Zona (Provincia)
&lt;&lt; Seleccionar&gt;&gt;]])</f>
        <v>Huánuco_</v>
      </c>
      <c r="H833" s="60" t="e">
        <f>VLOOKUP(Tabla18[[#This Row],[Concatenado***]],Tabla2[[#All],[Concatenado]:[Simbología*]],2,0)</f>
        <v>#N/A</v>
      </c>
      <c r="I833" s="65" t="str">
        <f>CONCATENATE(Tabla18[[#This Row],[Concatenado***]],"_",Tabla5[[#This Row],[Zona (Distrito)
&lt;&lt; Seleccionar&gt;&gt;]])</f>
        <v>Huánuco__</v>
      </c>
      <c r="J8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3" s="72" t="e">
        <f>VLOOKUP(Tabla5[[#This Row],[Tipo de Transporte Empleado
&lt;&lt; Seleccionar&gt;&gt;]],Tabla8[#All],2,0)</f>
        <v>#N/A</v>
      </c>
      <c r="L833" s="71" t="e">
        <f>#REF!+(#REF!*2)+#REF!</f>
        <v>#REF!</v>
      </c>
    </row>
    <row r="834" spans="1:12" x14ac:dyDescent="0.25">
      <c r="A834" s="328" t="e">
        <f>VLOOKUP(Tabla5[[#This Row],[Acción
&lt;&lt; Seleccionar&gt;&gt;]],TablaAccion[[#All],[Nombre_Abreviado]:[Codigo_Plan_Acción]],3,0)</f>
        <v>#N/A</v>
      </c>
      <c r="B834" s="328" t="e">
        <f>VLOOKUP(Tabla5[[#This Row],[Acción Especifica
&lt;&lt; Seleccionar&gt;&gt;]],TablaAccionEspecifica[[#All],[Nombre_Abreviado]:[Codigo_Acción]],3,0)</f>
        <v>#N/A</v>
      </c>
      <c r="C834" s="328" t="e">
        <f>CONCATENATE(Tabla18[[#This Row],[Bus_02]],"_",Tabla5[[#This Row],[Sub Acción Específica
&lt;&lt; Seleccionar&gt;&gt;]])</f>
        <v>#N/A</v>
      </c>
      <c r="D834" s="328" t="e">
        <f>VLOOKUP(Tabla18[[#This Row],[Aux_01]],TablaSubAccionEspecifica[[#All],[Concat]:[Cod_Sub_acción_especifica]],2,0)</f>
        <v>#N/A</v>
      </c>
      <c r="E834" s="328" t="e">
        <f>Tabla18[[#This Row],[Bus_03]]&amp;"_"&amp;Tabla5[[#This Row],[Tipo de Agente
&lt;&lt; Seleccionar&gt;&gt;]]</f>
        <v>#N/A</v>
      </c>
      <c r="F834" s="328" t="e">
        <f>VLOOKUP(Tabla18[[#This Row],[Concat2]],TablaPOA[[#All],[Concat]:[ConcatEspecial]],3,0)</f>
        <v>#N/A</v>
      </c>
      <c r="G834" s="65" t="str">
        <f>CONCATENATE(Registro!$A$6,"_",Tabla5[[#This Row],[Zona (Provincia)
&lt;&lt; Seleccionar&gt;&gt;]])</f>
        <v>Huánuco_</v>
      </c>
      <c r="H834" s="60" t="e">
        <f>VLOOKUP(Tabla18[[#This Row],[Concatenado***]],Tabla2[[#All],[Concatenado]:[Simbología*]],2,0)</f>
        <v>#N/A</v>
      </c>
      <c r="I834" s="65" t="str">
        <f>CONCATENATE(Tabla18[[#This Row],[Concatenado***]],"_",Tabla5[[#This Row],[Zona (Distrito)
&lt;&lt; Seleccionar&gt;&gt;]])</f>
        <v>Huánuco__</v>
      </c>
      <c r="J8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4" s="72" t="e">
        <f>VLOOKUP(Tabla5[[#This Row],[Tipo de Transporte Empleado
&lt;&lt; Seleccionar&gt;&gt;]],Tabla8[#All],2,0)</f>
        <v>#N/A</v>
      </c>
      <c r="L834" s="71" t="e">
        <f>#REF!+(#REF!*2)+#REF!</f>
        <v>#REF!</v>
      </c>
    </row>
    <row r="835" spans="1:12" x14ac:dyDescent="0.25">
      <c r="A835" s="328" t="e">
        <f>VLOOKUP(Tabla5[[#This Row],[Acción
&lt;&lt; Seleccionar&gt;&gt;]],TablaAccion[[#All],[Nombre_Abreviado]:[Codigo_Plan_Acción]],3,0)</f>
        <v>#N/A</v>
      </c>
      <c r="B835" s="328" t="e">
        <f>VLOOKUP(Tabla5[[#This Row],[Acción Especifica
&lt;&lt; Seleccionar&gt;&gt;]],TablaAccionEspecifica[[#All],[Nombre_Abreviado]:[Codigo_Acción]],3,0)</f>
        <v>#N/A</v>
      </c>
      <c r="C835" s="328" t="e">
        <f>CONCATENATE(Tabla18[[#This Row],[Bus_02]],"_",Tabla5[[#This Row],[Sub Acción Específica
&lt;&lt; Seleccionar&gt;&gt;]])</f>
        <v>#N/A</v>
      </c>
      <c r="D835" s="328" t="e">
        <f>VLOOKUP(Tabla18[[#This Row],[Aux_01]],TablaSubAccionEspecifica[[#All],[Concat]:[Cod_Sub_acción_especifica]],2,0)</f>
        <v>#N/A</v>
      </c>
      <c r="E835" s="328" t="e">
        <f>Tabla18[[#This Row],[Bus_03]]&amp;"_"&amp;Tabla5[[#This Row],[Tipo de Agente
&lt;&lt; Seleccionar&gt;&gt;]]</f>
        <v>#N/A</v>
      </c>
      <c r="F835" s="328" t="e">
        <f>VLOOKUP(Tabla18[[#This Row],[Concat2]],TablaPOA[[#All],[Concat]:[ConcatEspecial]],3,0)</f>
        <v>#N/A</v>
      </c>
      <c r="G835" s="65" t="str">
        <f>CONCATENATE(Registro!$A$6,"_",Tabla5[[#This Row],[Zona (Provincia)
&lt;&lt; Seleccionar&gt;&gt;]])</f>
        <v>Huánuco_</v>
      </c>
      <c r="H835" s="60" t="e">
        <f>VLOOKUP(Tabla18[[#This Row],[Concatenado***]],Tabla2[[#All],[Concatenado]:[Simbología*]],2,0)</f>
        <v>#N/A</v>
      </c>
      <c r="I835" s="65" t="str">
        <f>CONCATENATE(Tabla18[[#This Row],[Concatenado***]],"_",Tabla5[[#This Row],[Zona (Distrito)
&lt;&lt; Seleccionar&gt;&gt;]])</f>
        <v>Huánuco__</v>
      </c>
      <c r="J8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5" s="72" t="e">
        <f>VLOOKUP(Tabla5[[#This Row],[Tipo de Transporte Empleado
&lt;&lt; Seleccionar&gt;&gt;]],Tabla8[#All],2,0)</f>
        <v>#N/A</v>
      </c>
      <c r="L835" s="71" t="e">
        <f>#REF!+(#REF!*2)+#REF!</f>
        <v>#REF!</v>
      </c>
    </row>
    <row r="836" spans="1:12" x14ac:dyDescent="0.25">
      <c r="A836" s="328" t="e">
        <f>VLOOKUP(Tabla5[[#This Row],[Acción
&lt;&lt; Seleccionar&gt;&gt;]],TablaAccion[[#All],[Nombre_Abreviado]:[Codigo_Plan_Acción]],3,0)</f>
        <v>#N/A</v>
      </c>
      <c r="B836" s="328" t="e">
        <f>VLOOKUP(Tabla5[[#This Row],[Acción Especifica
&lt;&lt; Seleccionar&gt;&gt;]],TablaAccionEspecifica[[#All],[Nombre_Abreviado]:[Codigo_Acción]],3,0)</f>
        <v>#N/A</v>
      </c>
      <c r="C836" s="328" t="e">
        <f>CONCATENATE(Tabla18[[#This Row],[Bus_02]],"_",Tabla5[[#This Row],[Sub Acción Específica
&lt;&lt; Seleccionar&gt;&gt;]])</f>
        <v>#N/A</v>
      </c>
      <c r="D836" s="328" t="e">
        <f>VLOOKUP(Tabla18[[#This Row],[Aux_01]],TablaSubAccionEspecifica[[#All],[Concat]:[Cod_Sub_acción_especifica]],2,0)</f>
        <v>#N/A</v>
      </c>
      <c r="E836" s="328" t="e">
        <f>Tabla18[[#This Row],[Bus_03]]&amp;"_"&amp;Tabla5[[#This Row],[Tipo de Agente
&lt;&lt; Seleccionar&gt;&gt;]]</f>
        <v>#N/A</v>
      </c>
      <c r="F836" s="328" t="e">
        <f>VLOOKUP(Tabla18[[#This Row],[Concat2]],TablaPOA[[#All],[Concat]:[ConcatEspecial]],3,0)</f>
        <v>#N/A</v>
      </c>
      <c r="G836" s="65" t="str">
        <f>CONCATENATE(Registro!$A$6,"_",Tabla5[[#This Row],[Zona (Provincia)
&lt;&lt; Seleccionar&gt;&gt;]])</f>
        <v>Huánuco_</v>
      </c>
      <c r="H836" s="60" t="e">
        <f>VLOOKUP(Tabla18[[#This Row],[Concatenado***]],Tabla2[[#All],[Concatenado]:[Simbología*]],2,0)</f>
        <v>#N/A</v>
      </c>
      <c r="I836" s="65" t="str">
        <f>CONCATENATE(Tabla18[[#This Row],[Concatenado***]],"_",Tabla5[[#This Row],[Zona (Distrito)
&lt;&lt; Seleccionar&gt;&gt;]])</f>
        <v>Huánuco__</v>
      </c>
      <c r="J8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6" s="72" t="e">
        <f>VLOOKUP(Tabla5[[#This Row],[Tipo de Transporte Empleado
&lt;&lt; Seleccionar&gt;&gt;]],Tabla8[#All],2,0)</f>
        <v>#N/A</v>
      </c>
      <c r="L836" s="71" t="e">
        <f>#REF!+(#REF!*2)+#REF!</f>
        <v>#REF!</v>
      </c>
    </row>
    <row r="837" spans="1:12" x14ac:dyDescent="0.25">
      <c r="A837" s="328" t="e">
        <f>VLOOKUP(Tabla5[[#This Row],[Acción
&lt;&lt; Seleccionar&gt;&gt;]],TablaAccion[[#All],[Nombre_Abreviado]:[Codigo_Plan_Acción]],3,0)</f>
        <v>#N/A</v>
      </c>
      <c r="B837" s="328" t="e">
        <f>VLOOKUP(Tabla5[[#This Row],[Acción Especifica
&lt;&lt; Seleccionar&gt;&gt;]],TablaAccionEspecifica[[#All],[Nombre_Abreviado]:[Codigo_Acción]],3,0)</f>
        <v>#N/A</v>
      </c>
      <c r="C837" s="328" t="e">
        <f>CONCATENATE(Tabla18[[#This Row],[Bus_02]],"_",Tabla5[[#This Row],[Sub Acción Específica
&lt;&lt; Seleccionar&gt;&gt;]])</f>
        <v>#N/A</v>
      </c>
      <c r="D837" s="328" t="e">
        <f>VLOOKUP(Tabla18[[#This Row],[Aux_01]],TablaSubAccionEspecifica[[#All],[Concat]:[Cod_Sub_acción_especifica]],2,0)</f>
        <v>#N/A</v>
      </c>
      <c r="E837" s="328" t="e">
        <f>Tabla18[[#This Row],[Bus_03]]&amp;"_"&amp;Tabla5[[#This Row],[Tipo de Agente
&lt;&lt; Seleccionar&gt;&gt;]]</f>
        <v>#N/A</v>
      </c>
      <c r="F837" s="328" t="e">
        <f>VLOOKUP(Tabla18[[#This Row],[Concat2]],TablaPOA[[#All],[Concat]:[ConcatEspecial]],3,0)</f>
        <v>#N/A</v>
      </c>
      <c r="G837" s="65" t="str">
        <f>CONCATENATE(Registro!$A$6,"_",Tabla5[[#This Row],[Zona (Provincia)
&lt;&lt; Seleccionar&gt;&gt;]])</f>
        <v>Huánuco_</v>
      </c>
      <c r="H837" s="60" t="e">
        <f>VLOOKUP(Tabla18[[#This Row],[Concatenado***]],Tabla2[[#All],[Concatenado]:[Simbología*]],2,0)</f>
        <v>#N/A</v>
      </c>
      <c r="I837" s="65" t="str">
        <f>CONCATENATE(Tabla18[[#This Row],[Concatenado***]],"_",Tabla5[[#This Row],[Zona (Distrito)
&lt;&lt; Seleccionar&gt;&gt;]])</f>
        <v>Huánuco__</v>
      </c>
      <c r="J8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7" s="72" t="e">
        <f>VLOOKUP(Tabla5[[#This Row],[Tipo de Transporte Empleado
&lt;&lt; Seleccionar&gt;&gt;]],Tabla8[#All],2,0)</f>
        <v>#N/A</v>
      </c>
      <c r="L837" s="71" t="e">
        <f>#REF!+(#REF!*2)+#REF!</f>
        <v>#REF!</v>
      </c>
    </row>
    <row r="838" spans="1:12" x14ac:dyDescent="0.25">
      <c r="A838" s="328" t="e">
        <f>VLOOKUP(Tabla5[[#This Row],[Acción
&lt;&lt; Seleccionar&gt;&gt;]],TablaAccion[[#All],[Nombre_Abreviado]:[Codigo_Plan_Acción]],3,0)</f>
        <v>#N/A</v>
      </c>
      <c r="B838" s="328" t="e">
        <f>VLOOKUP(Tabla5[[#This Row],[Acción Especifica
&lt;&lt; Seleccionar&gt;&gt;]],TablaAccionEspecifica[[#All],[Nombre_Abreviado]:[Codigo_Acción]],3,0)</f>
        <v>#N/A</v>
      </c>
      <c r="C838" s="328" t="e">
        <f>CONCATENATE(Tabla18[[#This Row],[Bus_02]],"_",Tabla5[[#This Row],[Sub Acción Específica
&lt;&lt; Seleccionar&gt;&gt;]])</f>
        <v>#N/A</v>
      </c>
      <c r="D838" s="328" t="e">
        <f>VLOOKUP(Tabla18[[#This Row],[Aux_01]],TablaSubAccionEspecifica[[#All],[Concat]:[Cod_Sub_acción_especifica]],2,0)</f>
        <v>#N/A</v>
      </c>
      <c r="E838" s="328" t="e">
        <f>Tabla18[[#This Row],[Bus_03]]&amp;"_"&amp;Tabla5[[#This Row],[Tipo de Agente
&lt;&lt; Seleccionar&gt;&gt;]]</f>
        <v>#N/A</v>
      </c>
      <c r="F838" s="328" t="e">
        <f>VLOOKUP(Tabla18[[#This Row],[Concat2]],TablaPOA[[#All],[Concat]:[ConcatEspecial]],3,0)</f>
        <v>#N/A</v>
      </c>
      <c r="G838" s="65" t="str">
        <f>CONCATENATE(Registro!$A$6,"_",Tabla5[[#This Row],[Zona (Provincia)
&lt;&lt; Seleccionar&gt;&gt;]])</f>
        <v>Huánuco_</v>
      </c>
      <c r="H838" s="60" t="e">
        <f>VLOOKUP(Tabla18[[#This Row],[Concatenado***]],Tabla2[[#All],[Concatenado]:[Simbología*]],2,0)</f>
        <v>#N/A</v>
      </c>
      <c r="I838" s="65" t="str">
        <f>CONCATENATE(Tabla18[[#This Row],[Concatenado***]],"_",Tabla5[[#This Row],[Zona (Distrito)
&lt;&lt; Seleccionar&gt;&gt;]])</f>
        <v>Huánuco__</v>
      </c>
      <c r="J8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8" s="72" t="e">
        <f>VLOOKUP(Tabla5[[#This Row],[Tipo de Transporte Empleado
&lt;&lt; Seleccionar&gt;&gt;]],Tabla8[#All],2,0)</f>
        <v>#N/A</v>
      </c>
      <c r="L838" s="71" t="e">
        <f>#REF!+(#REF!*2)+#REF!</f>
        <v>#REF!</v>
      </c>
    </row>
    <row r="839" spans="1:12" x14ac:dyDescent="0.25">
      <c r="A839" s="328" t="e">
        <f>VLOOKUP(Tabla5[[#This Row],[Acción
&lt;&lt; Seleccionar&gt;&gt;]],TablaAccion[[#All],[Nombre_Abreviado]:[Codigo_Plan_Acción]],3,0)</f>
        <v>#N/A</v>
      </c>
      <c r="B839" s="328" t="e">
        <f>VLOOKUP(Tabla5[[#This Row],[Acción Especifica
&lt;&lt; Seleccionar&gt;&gt;]],TablaAccionEspecifica[[#All],[Nombre_Abreviado]:[Codigo_Acción]],3,0)</f>
        <v>#N/A</v>
      </c>
      <c r="C839" s="328" t="e">
        <f>CONCATENATE(Tabla18[[#This Row],[Bus_02]],"_",Tabla5[[#This Row],[Sub Acción Específica
&lt;&lt; Seleccionar&gt;&gt;]])</f>
        <v>#N/A</v>
      </c>
      <c r="D839" s="328" t="e">
        <f>VLOOKUP(Tabla18[[#This Row],[Aux_01]],TablaSubAccionEspecifica[[#All],[Concat]:[Cod_Sub_acción_especifica]],2,0)</f>
        <v>#N/A</v>
      </c>
      <c r="E839" s="328" t="e">
        <f>Tabla18[[#This Row],[Bus_03]]&amp;"_"&amp;Tabla5[[#This Row],[Tipo de Agente
&lt;&lt; Seleccionar&gt;&gt;]]</f>
        <v>#N/A</v>
      </c>
      <c r="F839" s="328" t="e">
        <f>VLOOKUP(Tabla18[[#This Row],[Concat2]],TablaPOA[[#All],[Concat]:[ConcatEspecial]],3,0)</f>
        <v>#N/A</v>
      </c>
      <c r="G839" s="65" t="str">
        <f>CONCATENATE(Registro!$A$6,"_",Tabla5[[#This Row],[Zona (Provincia)
&lt;&lt; Seleccionar&gt;&gt;]])</f>
        <v>Huánuco_</v>
      </c>
      <c r="H839" s="60" t="e">
        <f>VLOOKUP(Tabla18[[#This Row],[Concatenado***]],Tabla2[[#All],[Concatenado]:[Simbología*]],2,0)</f>
        <v>#N/A</v>
      </c>
      <c r="I839" s="65" t="str">
        <f>CONCATENATE(Tabla18[[#This Row],[Concatenado***]],"_",Tabla5[[#This Row],[Zona (Distrito)
&lt;&lt; Seleccionar&gt;&gt;]])</f>
        <v>Huánuco__</v>
      </c>
      <c r="J8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9" s="72" t="e">
        <f>VLOOKUP(Tabla5[[#This Row],[Tipo de Transporte Empleado
&lt;&lt; Seleccionar&gt;&gt;]],Tabla8[#All],2,0)</f>
        <v>#N/A</v>
      </c>
      <c r="L839" s="71" t="e">
        <f>#REF!+(#REF!*2)+#REF!</f>
        <v>#REF!</v>
      </c>
    </row>
    <row r="840" spans="1:12" x14ac:dyDescent="0.25">
      <c r="A840" s="328" t="e">
        <f>VLOOKUP(Tabla5[[#This Row],[Acción
&lt;&lt; Seleccionar&gt;&gt;]],TablaAccion[[#All],[Nombre_Abreviado]:[Codigo_Plan_Acción]],3,0)</f>
        <v>#N/A</v>
      </c>
      <c r="B840" s="328" t="e">
        <f>VLOOKUP(Tabla5[[#This Row],[Acción Especifica
&lt;&lt; Seleccionar&gt;&gt;]],TablaAccionEspecifica[[#All],[Nombre_Abreviado]:[Codigo_Acción]],3,0)</f>
        <v>#N/A</v>
      </c>
      <c r="C840" s="328" t="e">
        <f>CONCATENATE(Tabla18[[#This Row],[Bus_02]],"_",Tabla5[[#This Row],[Sub Acción Específica
&lt;&lt; Seleccionar&gt;&gt;]])</f>
        <v>#N/A</v>
      </c>
      <c r="D840" s="328" t="e">
        <f>VLOOKUP(Tabla18[[#This Row],[Aux_01]],TablaSubAccionEspecifica[[#All],[Concat]:[Cod_Sub_acción_especifica]],2,0)</f>
        <v>#N/A</v>
      </c>
      <c r="E840" s="328" t="e">
        <f>Tabla18[[#This Row],[Bus_03]]&amp;"_"&amp;Tabla5[[#This Row],[Tipo de Agente
&lt;&lt; Seleccionar&gt;&gt;]]</f>
        <v>#N/A</v>
      </c>
      <c r="F840" s="328" t="e">
        <f>VLOOKUP(Tabla18[[#This Row],[Concat2]],TablaPOA[[#All],[Concat]:[ConcatEspecial]],3,0)</f>
        <v>#N/A</v>
      </c>
      <c r="G840" s="65" t="str">
        <f>CONCATENATE(Registro!$A$6,"_",Tabla5[[#This Row],[Zona (Provincia)
&lt;&lt; Seleccionar&gt;&gt;]])</f>
        <v>Huánuco_</v>
      </c>
      <c r="H840" s="60" t="e">
        <f>VLOOKUP(Tabla18[[#This Row],[Concatenado***]],Tabla2[[#All],[Concatenado]:[Simbología*]],2,0)</f>
        <v>#N/A</v>
      </c>
      <c r="I840" s="65" t="str">
        <f>CONCATENATE(Tabla18[[#This Row],[Concatenado***]],"_",Tabla5[[#This Row],[Zona (Distrito)
&lt;&lt; Seleccionar&gt;&gt;]])</f>
        <v>Huánuco__</v>
      </c>
      <c r="J8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0" s="72" t="e">
        <f>VLOOKUP(Tabla5[[#This Row],[Tipo de Transporte Empleado
&lt;&lt; Seleccionar&gt;&gt;]],Tabla8[#All],2,0)</f>
        <v>#N/A</v>
      </c>
      <c r="L840" s="71" t="e">
        <f>#REF!+(#REF!*2)+#REF!</f>
        <v>#REF!</v>
      </c>
    </row>
    <row r="841" spans="1:12" x14ac:dyDescent="0.25">
      <c r="A841" s="328" t="e">
        <f>VLOOKUP(Tabla5[[#This Row],[Acción
&lt;&lt; Seleccionar&gt;&gt;]],TablaAccion[[#All],[Nombre_Abreviado]:[Codigo_Plan_Acción]],3,0)</f>
        <v>#N/A</v>
      </c>
      <c r="B841" s="328" t="e">
        <f>VLOOKUP(Tabla5[[#This Row],[Acción Especifica
&lt;&lt; Seleccionar&gt;&gt;]],TablaAccionEspecifica[[#All],[Nombre_Abreviado]:[Codigo_Acción]],3,0)</f>
        <v>#N/A</v>
      </c>
      <c r="C841" s="328" t="e">
        <f>CONCATENATE(Tabla18[[#This Row],[Bus_02]],"_",Tabla5[[#This Row],[Sub Acción Específica
&lt;&lt; Seleccionar&gt;&gt;]])</f>
        <v>#N/A</v>
      </c>
      <c r="D841" s="328" t="e">
        <f>VLOOKUP(Tabla18[[#This Row],[Aux_01]],TablaSubAccionEspecifica[[#All],[Concat]:[Cod_Sub_acción_especifica]],2,0)</f>
        <v>#N/A</v>
      </c>
      <c r="E841" s="328" t="e">
        <f>Tabla18[[#This Row],[Bus_03]]&amp;"_"&amp;Tabla5[[#This Row],[Tipo de Agente
&lt;&lt; Seleccionar&gt;&gt;]]</f>
        <v>#N/A</v>
      </c>
      <c r="F841" s="328" t="e">
        <f>VLOOKUP(Tabla18[[#This Row],[Concat2]],TablaPOA[[#All],[Concat]:[ConcatEspecial]],3,0)</f>
        <v>#N/A</v>
      </c>
      <c r="G841" s="65" t="str">
        <f>CONCATENATE(Registro!$A$6,"_",Tabla5[[#This Row],[Zona (Provincia)
&lt;&lt; Seleccionar&gt;&gt;]])</f>
        <v>Huánuco_</v>
      </c>
      <c r="H841" s="60" t="e">
        <f>VLOOKUP(Tabla18[[#This Row],[Concatenado***]],Tabla2[[#All],[Concatenado]:[Simbología*]],2,0)</f>
        <v>#N/A</v>
      </c>
      <c r="I841" s="65" t="str">
        <f>CONCATENATE(Tabla18[[#This Row],[Concatenado***]],"_",Tabla5[[#This Row],[Zona (Distrito)
&lt;&lt; Seleccionar&gt;&gt;]])</f>
        <v>Huánuco__</v>
      </c>
      <c r="J8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1" s="72" t="e">
        <f>VLOOKUP(Tabla5[[#This Row],[Tipo de Transporte Empleado
&lt;&lt; Seleccionar&gt;&gt;]],Tabla8[#All],2,0)</f>
        <v>#N/A</v>
      </c>
      <c r="L841" s="71" t="e">
        <f>#REF!+(#REF!*2)+#REF!</f>
        <v>#REF!</v>
      </c>
    </row>
    <row r="842" spans="1:12" x14ac:dyDescent="0.25">
      <c r="A842" s="328" t="e">
        <f>VLOOKUP(Tabla5[[#This Row],[Acción
&lt;&lt; Seleccionar&gt;&gt;]],TablaAccion[[#All],[Nombre_Abreviado]:[Codigo_Plan_Acción]],3,0)</f>
        <v>#N/A</v>
      </c>
      <c r="B842" s="328" t="e">
        <f>VLOOKUP(Tabla5[[#This Row],[Acción Especifica
&lt;&lt; Seleccionar&gt;&gt;]],TablaAccionEspecifica[[#All],[Nombre_Abreviado]:[Codigo_Acción]],3,0)</f>
        <v>#N/A</v>
      </c>
      <c r="C842" s="328" t="e">
        <f>CONCATENATE(Tabla18[[#This Row],[Bus_02]],"_",Tabla5[[#This Row],[Sub Acción Específica
&lt;&lt; Seleccionar&gt;&gt;]])</f>
        <v>#N/A</v>
      </c>
      <c r="D842" s="328" t="e">
        <f>VLOOKUP(Tabla18[[#This Row],[Aux_01]],TablaSubAccionEspecifica[[#All],[Concat]:[Cod_Sub_acción_especifica]],2,0)</f>
        <v>#N/A</v>
      </c>
      <c r="E842" s="328" t="e">
        <f>Tabla18[[#This Row],[Bus_03]]&amp;"_"&amp;Tabla5[[#This Row],[Tipo de Agente
&lt;&lt; Seleccionar&gt;&gt;]]</f>
        <v>#N/A</v>
      </c>
      <c r="F842" s="328" t="e">
        <f>VLOOKUP(Tabla18[[#This Row],[Concat2]],TablaPOA[[#All],[Concat]:[ConcatEspecial]],3,0)</f>
        <v>#N/A</v>
      </c>
      <c r="G842" s="65" t="str">
        <f>CONCATENATE(Registro!$A$6,"_",Tabla5[[#This Row],[Zona (Provincia)
&lt;&lt; Seleccionar&gt;&gt;]])</f>
        <v>Huánuco_</v>
      </c>
      <c r="H842" s="60" t="e">
        <f>VLOOKUP(Tabla18[[#This Row],[Concatenado***]],Tabla2[[#All],[Concatenado]:[Simbología*]],2,0)</f>
        <v>#N/A</v>
      </c>
      <c r="I842" s="65" t="str">
        <f>CONCATENATE(Tabla18[[#This Row],[Concatenado***]],"_",Tabla5[[#This Row],[Zona (Distrito)
&lt;&lt; Seleccionar&gt;&gt;]])</f>
        <v>Huánuco__</v>
      </c>
      <c r="J8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2" s="72" t="e">
        <f>VLOOKUP(Tabla5[[#This Row],[Tipo de Transporte Empleado
&lt;&lt; Seleccionar&gt;&gt;]],Tabla8[#All],2,0)</f>
        <v>#N/A</v>
      </c>
      <c r="L842" s="71" t="e">
        <f>#REF!+(#REF!*2)+#REF!</f>
        <v>#REF!</v>
      </c>
    </row>
    <row r="843" spans="1:12" x14ac:dyDescent="0.25">
      <c r="A843" s="328" t="e">
        <f>VLOOKUP(Tabla5[[#This Row],[Acción
&lt;&lt; Seleccionar&gt;&gt;]],TablaAccion[[#All],[Nombre_Abreviado]:[Codigo_Plan_Acción]],3,0)</f>
        <v>#N/A</v>
      </c>
      <c r="B843" s="328" t="e">
        <f>VLOOKUP(Tabla5[[#This Row],[Acción Especifica
&lt;&lt; Seleccionar&gt;&gt;]],TablaAccionEspecifica[[#All],[Nombre_Abreviado]:[Codigo_Acción]],3,0)</f>
        <v>#N/A</v>
      </c>
      <c r="C843" s="328" t="e">
        <f>CONCATENATE(Tabla18[[#This Row],[Bus_02]],"_",Tabla5[[#This Row],[Sub Acción Específica
&lt;&lt; Seleccionar&gt;&gt;]])</f>
        <v>#N/A</v>
      </c>
      <c r="D843" s="328" t="e">
        <f>VLOOKUP(Tabla18[[#This Row],[Aux_01]],TablaSubAccionEspecifica[[#All],[Concat]:[Cod_Sub_acción_especifica]],2,0)</f>
        <v>#N/A</v>
      </c>
      <c r="E843" s="328" t="e">
        <f>Tabla18[[#This Row],[Bus_03]]&amp;"_"&amp;Tabla5[[#This Row],[Tipo de Agente
&lt;&lt; Seleccionar&gt;&gt;]]</f>
        <v>#N/A</v>
      </c>
      <c r="F843" s="328" t="e">
        <f>VLOOKUP(Tabla18[[#This Row],[Concat2]],TablaPOA[[#All],[Concat]:[ConcatEspecial]],3,0)</f>
        <v>#N/A</v>
      </c>
      <c r="G843" s="65" t="str">
        <f>CONCATENATE(Registro!$A$6,"_",Tabla5[[#This Row],[Zona (Provincia)
&lt;&lt; Seleccionar&gt;&gt;]])</f>
        <v>Huánuco_</v>
      </c>
      <c r="H843" s="60" t="e">
        <f>VLOOKUP(Tabla18[[#This Row],[Concatenado***]],Tabla2[[#All],[Concatenado]:[Simbología*]],2,0)</f>
        <v>#N/A</v>
      </c>
      <c r="I843" s="65" t="str">
        <f>CONCATENATE(Tabla18[[#This Row],[Concatenado***]],"_",Tabla5[[#This Row],[Zona (Distrito)
&lt;&lt; Seleccionar&gt;&gt;]])</f>
        <v>Huánuco__</v>
      </c>
      <c r="J8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3" s="72" t="e">
        <f>VLOOKUP(Tabla5[[#This Row],[Tipo de Transporte Empleado
&lt;&lt; Seleccionar&gt;&gt;]],Tabla8[#All],2,0)</f>
        <v>#N/A</v>
      </c>
      <c r="L843" s="71" t="e">
        <f>#REF!+(#REF!*2)+#REF!</f>
        <v>#REF!</v>
      </c>
    </row>
    <row r="844" spans="1:12" x14ac:dyDescent="0.25">
      <c r="A844" s="328" t="e">
        <f>VLOOKUP(Tabla5[[#This Row],[Acción
&lt;&lt; Seleccionar&gt;&gt;]],TablaAccion[[#All],[Nombre_Abreviado]:[Codigo_Plan_Acción]],3,0)</f>
        <v>#N/A</v>
      </c>
      <c r="B844" s="328" t="e">
        <f>VLOOKUP(Tabla5[[#This Row],[Acción Especifica
&lt;&lt; Seleccionar&gt;&gt;]],TablaAccionEspecifica[[#All],[Nombre_Abreviado]:[Codigo_Acción]],3,0)</f>
        <v>#N/A</v>
      </c>
      <c r="C844" s="328" t="e">
        <f>CONCATENATE(Tabla18[[#This Row],[Bus_02]],"_",Tabla5[[#This Row],[Sub Acción Específica
&lt;&lt; Seleccionar&gt;&gt;]])</f>
        <v>#N/A</v>
      </c>
      <c r="D844" s="328" t="e">
        <f>VLOOKUP(Tabla18[[#This Row],[Aux_01]],TablaSubAccionEspecifica[[#All],[Concat]:[Cod_Sub_acción_especifica]],2,0)</f>
        <v>#N/A</v>
      </c>
      <c r="E844" s="328" t="e">
        <f>Tabla18[[#This Row],[Bus_03]]&amp;"_"&amp;Tabla5[[#This Row],[Tipo de Agente
&lt;&lt; Seleccionar&gt;&gt;]]</f>
        <v>#N/A</v>
      </c>
      <c r="F844" s="328" t="e">
        <f>VLOOKUP(Tabla18[[#This Row],[Concat2]],TablaPOA[[#All],[Concat]:[ConcatEspecial]],3,0)</f>
        <v>#N/A</v>
      </c>
      <c r="G844" s="65" t="str">
        <f>CONCATENATE(Registro!$A$6,"_",Tabla5[[#This Row],[Zona (Provincia)
&lt;&lt; Seleccionar&gt;&gt;]])</f>
        <v>Huánuco_</v>
      </c>
      <c r="H844" s="60" t="e">
        <f>VLOOKUP(Tabla18[[#This Row],[Concatenado***]],Tabla2[[#All],[Concatenado]:[Simbología*]],2,0)</f>
        <v>#N/A</v>
      </c>
      <c r="I844" s="65" t="str">
        <f>CONCATENATE(Tabla18[[#This Row],[Concatenado***]],"_",Tabla5[[#This Row],[Zona (Distrito)
&lt;&lt; Seleccionar&gt;&gt;]])</f>
        <v>Huánuco__</v>
      </c>
      <c r="J8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4" s="72" t="e">
        <f>VLOOKUP(Tabla5[[#This Row],[Tipo de Transporte Empleado
&lt;&lt; Seleccionar&gt;&gt;]],Tabla8[#All],2,0)</f>
        <v>#N/A</v>
      </c>
      <c r="L844" s="71" t="e">
        <f>#REF!+(#REF!*2)+#REF!</f>
        <v>#REF!</v>
      </c>
    </row>
    <row r="845" spans="1:12" x14ac:dyDescent="0.25">
      <c r="A845" s="328" t="e">
        <f>VLOOKUP(Tabla5[[#This Row],[Acción
&lt;&lt; Seleccionar&gt;&gt;]],TablaAccion[[#All],[Nombre_Abreviado]:[Codigo_Plan_Acción]],3,0)</f>
        <v>#N/A</v>
      </c>
      <c r="B845" s="328" t="e">
        <f>VLOOKUP(Tabla5[[#This Row],[Acción Especifica
&lt;&lt; Seleccionar&gt;&gt;]],TablaAccionEspecifica[[#All],[Nombre_Abreviado]:[Codigo_Acción]],3,0)</f>
        <v>#N/A</v>
      </c>
      <c r="C845" s="328" t="e">
        <f>CONCATENATE(Tabla18[[#This Row],[Bus_02]],"_",Tabla5[[#This Row],[Sub Acción Específica
&lt;&lt; Seleccionar&gt;&gt;]])</f>
        <v>#N/A</v>
      </c>
      <c r="D845" s="328" t="e">
        <f>VLOOKUP(Tabla18[[#This Row],[Aux_01]],TablaSubAccionEspecifica[[#All],[Concat]:[Cod_Sub_acción_especifica]],2,0)</f>
        <v>#N/A</v>
      </c>
      <c r="E845" s="328" t="e">
        <f>Tabla18[[#This Row],[Bus_03]]&amp;"_"&amp;Tabla5[[#This Row],[Tipo de Agente
&lt;&lt; Seleccionar&gt;&gt;]]</f>
        <v>#N/A</v>
      </c>
      <c r="F845" s="328" t="e">
        <f>VLOOKUP(Tabla18[[#This Row],[Concat2]],TablaPOA[[#All],[Concat]:[ConcatEspecial]],3,0)</f>
        <v>#N/A</v>
      </c>
      <c r="G845" s="65" t="str">
        <f>CONCATENATE(Registro!$A$6,"_",Tabla5[[#This Row],[Zona (Provincia)
&lt;&lt; Seleccionar&gt;&gt;]])</f>
        <v>Huánuco_</v>
      </c>
      <c r="H845" s="60" t="e">
        <f>VLOOKUP(Tabla18[[#This Row],[Concatenado***]],Tabla2[[#All],[Concatenado]:[Simbología*]],2,0)</f>
        <v>#N/A</v>
      </c>
      <c r="I845" s="65" t="str">
        <f>CONCATENATE(Tabla18[[#This Row],[Concatenado***]],"_",Tabla5[[#This Row],[Zona (Distrito)
&lt;&lt; Seleccionar&gt;&gt;]])</f>
        <v>Huánuco__</v>
      </c>
      <c r="J8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5" s="72" t="e">
        <f>VLOOKUP(Tabla5[[#This Row],[Tipo de Transporte Empleado
&lt;&lt; Seleccionar&gt;&gt;]],Tabla8[#All],2,0)</f>
        <v>#N/A</v>
      </c>
      <c r="L845" s="71" t="e">
        <f>#REF!+(#REF!*2)+#REF!</f>
        <v>#REF!</v>
      </c>
    </row>
    <row r="846" spans="1:12" x14ac:dyDescent="0.25">
      <c r="A846" s="328" t="e">
        <f>VLOOKUP(Tabla5[[#This Row],[Acción
&lt;&lt; Seleccionar&gt;&gt;]],TablaAccion[[#All],[Nombre_Abreviado]:[Codigo_Plan_Acción]],3,0)</f>
        <v>#N/A</v>
      </c>
      <c r="B846" s="328" t="e">
        <f>VLOOKUP(Tabla5[[#This Row],[Acción Especifica
&lt;&lt; Seleccionar&gt;&gt;]],TablaAccionEspecifica[[#All],[Nombre_Abreviado]:[Codigo_Acción]],3,0)</f>
        <v>#N/A</v>
      </c>
      <c r="C846" s="328" t="e">
        <f>CONCATENATE(Tabla18[[#This Row],[Bus_02]],"_",Tabla5[[#This Row],[Sub Acción Específica
&lt;&lt; Seleccionar&gt;&gt;]])</f>
        <v>#N/A</v>
      </c>
      <c r="D846" s="328" t="e">
        <f>VLOOKUP(Tabla18[[#This Row],[Aux_01]],TablaSubAccionEspecifica[[#All],[Concat]:[Cod_Sub_acción_especifica]],2,0)</f>
        <v>#N/A</v>
      </c>
      <c r="E846" s="328" t="e">
        <f>Tabla18[[#This Row],[Bus_03]]&amp;"_"&amp;Tabla5[[#This Row],[Tipo de Agente
&lt;&lt; Seleccionar&gt;&gt;]]</f>
        <v>#N/A</v>
      </c>
      <c r="F846" s="328" t="e">
        <f>VLOOKUP(Tabla18[[#This Row],[Concat2]],TablaPOA[[#All],[Concat]:[ConcatEspecial]],3,0)</f>
        <v>#N/A</v>
      </c>
      <c r="G846" s="65" t="str">
        <f>CONCATENATE(Registro!$A$6,"_",Tabla5[[#This Row],[Zona (Provincia)
&lt;&lt; Seleccionar&gt;&gt;]])</f>
        <v>Huánuco_</v>
      </c>
      <c r="H846" s="60" t="e">
        <f>VLOOKUP(Tabla18[[#This Row],[Concatenado***]],Tabla2[[#All],[Concatenado]:[Simbología*]],2,0)</f>
        <v>#N/A</v>
      </c>
      <c r="I846" s="65" t="str">
        <f>CONCATENATE(Tabla18[[#This Row],[Concatenado***]],"_",Tabla5[[#This Row],[Zona (Distrito)
&lt;&lt; Seleccionar&gt;&gt;]])</f>
        <v>Huánuco__</v>
      </c>
      <c r="J8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6" s="72" t="e">
        <f>VLOOKUP(Tabla5[[#This Row],[Tipo de Transporte Empleado
&lt;&lt; Seleccionar&gt;&gt;]],Tabla8[#All],2,0)</f>
        <v>#N/A</v>
      </c>
      <c r="L846" s="71" t="e">
        <f>#REF!+(#REF!*2)+#REF!</f>
        <v>#REF!</v>
      </c>
    </row>
    <row r="847" spans="1:12" x14ac:dyDescent="0.25">
      <c r="A847" s="328" t="e">
        <f>VLOOKUP(Tabla5[[#This Row],[Acción
&lt;&lt; Seleccionar&gt;&gt;]],TablaAccion[[#All],[Nombre_Abreviado]:[Codigo_Plan_Acción]],3,0)</f>
        <v>#N/A</v>
      </c>
      <c r="B847" s="328" t="e">
        <f>VLOOKUP(Tabla5[[#This Row],[Acción Especifica
&lt;&lt; Seleccionar&gt;&gt;]],TablaAccionEspecifica[[#All],[Nombre_Abreviado]:[Codigo_Acción]],3,0)</f>
        <v>#N/A</v>
      </c>
      <c r="C847" s="328" t="e">
        <f>CONCATENATE(Tabla18[[#This Row],[Bus_02]],"_",Tabla5[[#This Row],[Sub Acción Específica
&lt;&lt; Seleccionar&gt;&gt;]])</f>
        <v>#N/A</v>
      </c>
      <c r="D847" s="328" t="e">
        <f>VLOOKUP(Tabla18[[#This Row],[Aux_01]],TablaSubAccionEspecifica[[#All],[Concat]:[Cod_Sub_acción_especifica]],2,0)</f>
        <v>#N/A</v>
      </c>
      <c r="E847" s="328" t="e">
        <f>Tabla18[[#This Row],[Bus_03]]&amp;"_"&amp;Tabla5[[#This Row],[Tipo de Agente
&lt;&lt; Seleccionar&gt;&gt;]]</f>
        <v>#N/A</v>
      </c>
      <c r="F847" s="328" t="e">
        <f>VLOOKUP(Tabla18[[#This Row],[Concat2]],TablaPOA[[#All],[Concat]:[ConcatEspecial]],3,0)</f>
        <v>#N/A</v>
      </c>
      <c r="G847" s="65" t="str">
        <f>CONCATENATE(Registro!$A$6,"_",Tabla5[[#This Row],[Zona (Provincia)
&lt;&lt; Seleccionar&gt;&gt;]])</f>
        <v>Huánuco_</v>
      </c>
      <c r="H847" s="60" t="e">
        <f>VLOOKUP(Tabla18[[#This Row],[Concatenado***]],Tabla2[[#All],[Concatenado]:[Simbología*]],2,0)</f>
        <v>#N/A</v>
      </c>
      <c r="I847" s="65" t="str">
        <f>CONCATENATE(Tabla18[[#This Row],[Concatenado***]],"_",Tabla5[[#This Row],[Zona (Distrito)
&lt;&lt; Seleccionar&gt;&gt;]])</f>
        <v>Huánuco__</v>
      </c>
      <c r="J8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7" s="72" t="e">
        <f>VLOOKUP(Tabla5[[#This Row],[Tipo de Transporte Empleado
&lt;&lt; Seleccionar&gt;&gt;]],Tabla8[#All],2,0)</f>
        <v>#N/A</v>
      </c>
      <c r="L847" s="71" t="e">
        <f>#REF!+(#REF!*2)+#REF!</f>
        <v>#REF!</v>
      </c>
    </row>
    <row r="848" spans="1:12" x14ac:dyDescent="0.25">
      <c r="A848" s="328" t="e">
        <f>VLOOKUP(Tabla5[[#This Row],[Acción
&lt;&lt; Seleccionar&gt;&gt;]],TablaAccion[[#All],[Nombre_Abreviado]:[Codigo_Plan_Acción]],3,0)</f>
        <v>#N/A</v>
      </c>
      <c r="B848" s="328" t="e">
        <f>VLOOKUP(Tabla5[[#This Row],[Acción Especifica
&lt;&lt; Seleccionar&gt;&gt;]],TablaAccionEspecifica[[#All],[Nombre_Abreviado]:[Codigo_Acción]],3,0)</f>
        <v>#N/A</v>
      </c>
      <c r="C848" s="328" t="e">
        <f>CONCATENATE(Tabla18[[#This Row],[Bus_02]],"_",Tabla5[[#This Row],[Sub Acción Específica
&lt;&lt; Seleccionar&gt;&gt;]])</f>
        <v>#N/A</v>
      </c>
      <c r="D848" s="328" t="e">
        <f>VLOOKUP(Tabla18[[#This Row],[Aux_01]],TablaSubAccionEspecifica[[#All],[Concat]:[Cod_Sub_acción_especifica]],2,0)</f>
        <v>#N/A</v>
      </c>
      <c r="E848" s="328" t="e">
        <f>Tabla18[[#This Row],[Bus_03]]&amp;"_"&amp;Tabla5[[#This Row],[Tipo de Agente
&lt;&lt; Seleccionar&gt;&gt;]]</f>
        <v>#N/A</v>
      </c>
      <c r="F848" s="328" t="e">
        <f>VLOOKUP(Tabla18[[#This Row],[Concat2]],TablaPOA[[#All],[Concat]:[ConcatEspecial]],3,0)</f>
        <v>#N/A</v>
      </c>
      <c r="G848" s="65" t="str">
        <f>CONCATENATE(Registro!$A$6,"_",Tabla5[[#This Row],[Zona (Provincia)
&lt;&lt; Seleccionar&gt;&gt;]])</f>
        <v>Huánuco_</v>
      </c>
      <c r="H848" s="60" t="e">
        <f>VLOOKUP(Tabla18[[#This Row],[Concatenado***]],Tabla2[[#All],[Concatenado]:[Simbología*]],2,0)</f>
        <v>#N/A</v>
      </c>
      <c r="I848" s="65" t="str">
        <f>CONCATENATE(Tabla18[[#This Row],[Concatenado***]],"_",Tabla5[[#This Row],[Zona (Distrito)
&lt;&lt; Seleccionar&gt;&gt;]])</f>
        <v>Huánuco__</v>
      </c>
      <c r="J8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8" s="72" t="e">
        <f>VLOOKUP(Tabla5[[#This Row],[Tipo de Transporte Empleado
&lt;&lt; Seleccionar&gt;&gt;]],Tabla8[#All],2,0)</f>
        <v>#N/A</v>
      </c>
      <c r="L848" s="71" t="e">
        <f>#REF!+(#REF!*2)+#REF!</f>
        <v>#REF!</v>
      </c>
    </row>
    <row r="849" spans="1:12" x14ac:dyDescent="0.25">
      <c r="A849" s="328" t="e">
        <f>VLOOKUP(Tabla5[[#This Row],[Acción
&lt;&lt; Seleccionar&gt;&gt;]],TablaAccion[[#All],[Nombre_Abreviado]:[Codigo_Plan_Acción]],3,0)</f>
        <v>#N/A</v>
      </c>
      <c r="B849" s="328" t="e">
        <f>VLOOKUP(Tabla5[[#This Row],[Acción Especifica
&lt;&lt; Seleccionar&gt;&gt;]],TablaAccionEspecifica[[#All],[Nombre_Abreviado]:[Codigo_Acción]],3,0)</f>
        <v>#N/A</v>
      </c>
      <c r="C849" s="328" t="e">
        <f>CONCATENATE(Tabla18[[#This Row],[Bus_02]],"_",Tabla5[[#This Row],[Sub Acción Específica
&lt;&lt; Seleccionar&gt;&gt;]])</f>
        <v>#N/A</v>
      </c>
      <c r="D849" s="328" t="e">
        <f>VLOOKUP(Tabla18[[#This Row],[Aux_01]],TablaSubAccionEspecifica[[#All],[Concat]:[Cod_Sub_acción_especifica]],2,0)</f>
        <v>#N/A</v>
      </c>
      <c r="E849" s="328" t="e">
        <f>Tabla18[[#This Row],[Bus_03]]&amp;"_"&amp;Tabla5[[#This Row],[Tipo de Agente
&lt;&lt; Seleccionar&gt;&gt;]]</f>
        <v>#N/A</v>
      </c>
      <c r="F849" s="328" t="e">
        <f>VLOOKUP(Tabla18[[#This Row],[Concat2]],TablaPOA[[#All],[Concat]:[ConcatEspecial]],3,0)</f>
        <v>#N/A</v>
      </c>
      <c r="G849" s="65" t="str">
        <f>CONCATENATE(Registro!$A$6,"_",Tabla5[[#This Row],[Zona (Provincia)
&lt;&lt; Seleccionar&gt;&gt;]])</f>
        <v>Huánuco_</v>
      </c>
      <c r="H849" s="60" t="e">
        <f>VLOOKUP(Tabla18[[#This Row],[Concatenado***]],Tabla2[[#All],[Concatenado]:[Simbología*]],2,0)</f>
        <v>#N/A</v>
      </c>
      <c r="I849" s="65" t="str">
        <f>CONCATENATE(Tabla18[[#This Row],[Concatenado***]],"_",Tabla5[[#This Row],[Zona (Distrito)
&lt;&lt; Seleccionar&gt;&gt;]])</f>
        <v>Huánuco__</v>
      </c>
      <c r="J8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9" s="72" t="e">
        <f>VLOOKUP(Tabla5[[#This Row],[Tipo de Transporte Empleado
&lt;&lt; Seleccionar&gt;&gt;]],Tabla8[#All],2,0)</f>
        <v>#N/A</v>
      </c>
      <c r="L849" s="71" t="e">
        <f>#REF!+(#REF!*2)+#REF!</f>
        <v>#REF!</v>
      </c>
    </row>
    <row r="850" spans="1:12" x14ac:dyDescent="0.25">
      <c r="A850" s="328" t="e">
        <f>VLOOKUP(Tabla5[[#This Row],[Acción
&lt;&lt; Seleccionar&gt;&gt;]],TablaAccion[[#All],[Nombre_Abreviado]:[Codigo_Plan_Acción]],3,0)</f>
        <v>#N/A</v>
      </c>
      <c r="B850" s="328" t="e">
        <f>VLOOKUP(Tabla5[[#This Row],[Acción Especifica
&lt;&lt; Seleccionar&gt;&gt;]],TablaAccionEspecifica[[#All],[Nombre_Abreviado]:[Codigo_Acción]],3,0)</f>
        <v>#N/A</v>
      </c>
      <c r="C850" s="328" t="e">
        <f>CONCATENATE(Tabla18[[#This Row],[Bus_02]],"_",Tabla5[[#This Row],[Sub Acción Específica
&lt;&lt; Seleccionar&gt;&gt;]])</f>
        <v>#N/A</v>
      </c>
      <c r="D850" s="328" t="e">
        <f>VLOOKUP(Tabla18[[#This Row],[Aux_01]],TablaSubAccionEspecifica[[#All],[Concat]:[Cod_Sub_acción_especifica]],2,0)</f>
        <v>#N/A</v>
      </c>
      <c r="E850" s="328" t="e">
        <f>Tabla18[[#This Row],[Bus_03]]&amp;"_"&amp;Tabla5[[#This Row],[Tipo de Agente
&lt;&lt; Seleccionar&gt;&gt;]]</f>
        <v>#N/A</v>
      </c>
      <c r="F850" s="328" t="e">
        <f>VLOOKUP(Tabla18[[#This Row],[Concat2]],TablaPOA[[#All],[Concat]:[ConcatEspecial]],3,0)</f>
        <v>#N/A</v>
      </c>
      <c r="G850" s="65" t="str">
        <f>CONCATENATE(Registro!$A$6,"_",Tabla5[[#This Row],[Zona (Provincia)
&lt;&lt; Seleccionar&gt;&gt;]])</f>
        <v>Huánuco_</v>
      </c>
      <c r="H850" s="60" t="e">
        <f>VLOOKUP(Tabla18[[#This Row],[Concatenado***]],Tabla2[[#All],[Concatenado]:[Simbología*]],2,0)</f>
        <v>#N/A</v>
      </c>
      <c r="I850" s="65" t="str">
        <f>CONCATENATE(Tabla18[[#This Row],[Concatenado***]],"_",Tabla5[[#This Row],[Zona (Distrito)
&lt;&lt; Seleccionar&gt;&gt;]])</f>
        <v>Huánuco__</v>
      </c>
      <c r="J8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0" s="72" t="e">
        <f>VLOOKUP(Tabla5[[#This Row],[Tipo de Transporte Empleado
&lt;&lt; Seleccionar&gt;&gt;]],Tabla8[#All],2,0)</f>
        <v>#N/A</v>
      </c>
      <c r="L850" s="71" t="e">
        <f>#REF!+(#REF!*2)+#REF!</f>
        <v>#REF!</v>
      </c>
    </row>
    <row r="851" spans="1:12" x14ac:dyDescent="0.25">
      <c r="A851" s="328" t="e">
        <f>VLOOKUP(Tabla5[[#This Row],[Acción
&lt;&lt; Seleccionar&gt;&gt;]],TablaAccion[[#All],[Nombre_Abreviado]:[Codigo_Plan_Acción]],3,0)</f>
        <v>#N/A</v>
      </c>
      <c r="B851" s="328" t="e">
        <f>VLOOKUP(Tabla5[[#This Row],[Acción Especifica
&lt;&lt; Seleccionar&gt;&gt;]],TablaAccionEspecifica[[#All],[Nombre_Abreviado]:[Codigo_Acción]],3,0)</f>
        <v>#N/A</v>
      </c>
      <c r="C851" s="328" t="e">
        <f>CONCATENATE(Tabla18[[#This Row],[Bus_02]],"_",Tabla5[[#This Row],[Sub Acción Específica
&lt;&lt; Seleccionar&gt;&gt;]])</f>
        <v>#N/A</v>
      </c>
      <c r="D851" s="328" t="e">
        <f>VLOOKUP(Tabla18[[#This Row],[Aux_01]],TablaSubAccionEspecifica[[#All],[Concat]:[Cod_Sub_acción_especifica]],2,0)</f>
        <v>#N/A</v>
      </c>
      <c r="E851" s="328" t="e">
        <f>Tabla18[[#This Row],[Bus_03]]&amp;"_"&amp;Tabla5[[#This Row],[Tipo de Agente
&lt;&lt; Seleccionar&gt;&gt;]]</f>
        <v>#N/A</v>
      </c>
      <c r="F851" s="328" t="e">
        <f>VLOOKUP(Tabla18[[#This Row],[Concat2]],TablaPOA[[#All],[Concat]:[ConcatEspecial]],3,0)</f>
        <v>#N/A</v>
      </c>
      <c r="G851" s="65" t="str">
        <f>CONCATENATE(Registro!$A$6,"_",Tabla5[[#This Row],[Zona (Provincia)
&lt;&lt; Seleccionar&gt;&gt;]])</f>
        <v>Huánuco_</v>
      </c>
      <c r="H851" s="60" t="e">
        <f>VLOOKUP(Tabla18[[#This Row],[Concatenado***]],Tabla2[[#All],[Concatenado]:[Simbología*]],2,0)</f>
        <v>#N/A</v>
      </c>
      <c r="I851" s="65" t="str">
        <f>CONCATENATE(Tabla18[[#This Row],[Concatenado***]],"_",Tabla5[[#This Row],[Zona (Distrito)
&lt;&lt; Seleccionar&gt;&gt;]])</f>
        <v>Huánuco__</v>
      </c>
      <c r="J8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1" s="72" t="e">
        <f>VLOOKUP(Tabla5[[#This Row],[Tipo de Transporte Empleado
&lt;&lt; Seleccionar&gt;&gt;]],Tabla8[#All],2,0)</f>
        <v>#N/A</v>
      </c>
      <c r="L851" s="71" t="e">
        <f>#REF!+(#REF!*2)+#REF!</f>
        <v>#REF!</v>
      </c>
    </row>
    <row r="852" spans="1:12" x14ac:dyDescent="0.25">
      <c r="A852" s="328" t="e">
        <f>VLOOKUP(Tabla5[[#This Row],[Acción
&lt;&lt; Seleccionar&gt;&gt;]],TablaAccion[[#All],[Nombre_Abreviado]:[Codigo_Plan_Acción]],3,0)</f>
        <v>#N/A</v>
      </c>
      <c r="B852" s="328" t="e">
        <f>VLOOKUP(Tabla5[[#This Row],[Acción Especifica
&lt;&lt; Seleccionar&gt;&gt;]],TablaAccionEspecifica[[#All],[Nombre_Abreviado]:[Codigo_Acción]],3,0)</f>
        <v>#N/A</v>
      </c>
      <c r="C852" s="328" t="e">
        <f>CONCATENATE(Tabla18[[#This Row],[Bus_02]],"_",Tabla5[[#This Row],[Sub Acción Específica
&lt;&lt; Seleccionar&gt;&gt;]])</f>
        <v>#N/A</v>
      </c>
      <c r="D852" s="328" t="e">
        <f>VLOOKUP(Tabla18[[#This Row],[Aux_01]],TablaSubAccionEspecifica[[#All],[Concat]:[Cod_Sub_acción_especifica]],2,0)</f>
        <v>#N/A</v>
      </c>
      <c r="E852" s="328" t="e">
        <f>Tabla18[[#This Row],[Bus_03]]&amp;"_"&amp;Tabla5[[#This Row],[Tipo de Agente
&lt;&lt; Seleccionar&gt;&gt;]]</f>
        <v>#N/A</v>
      </c>
      <c r="F852" s="328" t="e">
        <f>VLOOKUP(Tabla18[[#This Row],[Concat2]],TablaPOA[[#All],[Concat]:[ConcatEspecial]],3,0)</f>
        <v>#N/A</v>
      </c>
      <c r="G852" s="65" t="str">
        <f>CONCATENATE(Registro!$A$6,"_",Tabla5[[#This Row],[Zona (Provincia)
&lt;&lt; Seleccionar&gt;&gt;]])</f>
        <v>Huánuco_</v>
      </c>
      <c r="H852" s="60" t="e">
        <f>VLOOKUP(Tabla18[[#This Row],[Concatenado***]],Tabla2[[#All],[Concatenado]:[Simbología*]],2,0)</f>
        <v>#N/A</v>
      </c>
      <c r="I852" s="65" t="str">
        <f>CONCATENATE(Tabla18[[#This Row],[Concatenado***]],"_",Tabla5[[#This Row],[Zona (Distrito)
&lt;&lt; Seleccionar&gt;&gt;]])</f>
        <v>Huánuco__</v>
      </c>
      <c r="J8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2" s="72" t="e">
        <f>VLOOKUP(Tabla5[[#This Row],[Tipo de Transporte Empleado
&lt;&lt; Seleccionar&gt;&gt;]],Tabla8[#All],2,0)</f>
        <v>#N/A</v>
      </c>
      <c r="L852" s="71" t="e">
        <f>#REF!+(#REF!*2)+#REF!</f>
        <v>#REF!</v>
      </c>
    </row>
    <row r="853" spans="1:12" x14ac:dyDescent="0.25">
      <c r="A853" s="328" t="e">
        <f>VLOOKUP(Tabla5[[#This Row],[Acción
&lt;&lt; Seleccionar&gt;&gt;]],TablaAccion[[#All],[Nombre_Abreviado]:[Codigo_Plan_Acción]],3,0)</f>
        <v>#N/A</v>
      </c>
      <c r="B853" s="328" t="e">
        <f>VLOOKUP(Tabla5[[#This Row],[Acción Especifica
&lt;&lt; Seleccionar&gt;&gt;]],TablaAccionEspecifica[[#All],[Nombre_Abreviado]:[Codigo_Acción]],3,0)</f>
        <v>#N/A</v>
      </c>
      <c r="C853" s="328" t="e">
        <f>CONCATENATE(Tabla18[[#This Row],[Bus_02]],"_",Tabla5[[#This Row],[Sub Acción Específica
&lt;&lt; Seleccionar&gt;&gt;]])</f>
        <v>#N/A</v>
      </c>
      <c r="D853" s="328" t="e">
        <f>VLOOKUP(Tabla18[[#This Row],[Aux_01]],TablaSubAccionEspecifica[[#All],[Concat]:[Cod_Sub_acción_especifica]],2,0)</f>
        <v>#N/A</v>
      </c>
      <c r="E853" s="328" t="e">
        <f>Tabla18[[#This Row],[Bus_03]]&amp;"_"&amp;Tabla5[[#This Row],[Tipo de Agente
&lt;&lt; Seleccionar&gt;&gt;]]</f>
        <v>#N/A</v>
      </c>
      <c r="F853" s="328" t="e">
        <f>VLOOKUP(Tabla18[[#This Row],[Concat2]],TablaPOA[[#All],[Concat]:[ConcatEspecial]],3,0)</f>
        <v>#N/A</v>
      </c>
      <c r="G853" s="65" t="str">
        <f>CONCATENATE(Registro!$A$6,"_",Tabla5[[#This Row],[Zona (Provincia)
&lt;&lt; Seleccionar&gt;&gt;]])</f>
        <v>Huánuco_</v>
      </c>
      <c r="H853" s="60" t="e">
        <f>VLOOKUP(Tabla18[[#This Row],[Concatenado***]],Tabla2[[#All],[Concatenado]:[Simbología*]],2,0)</f>
        <v>#N/A</v>
      </c>
      <c r="I853" s="65" t="str">
        <f>CONCATENATE(Tabla18[[#This Row],[Concatenado***]],"_",Tabla5[[#This Row],[Zona (Distrito)
&lt;&lt; Seleccionar&gt;&gt;]])</f>
        <v>Huánuco__</v>
      </c>
      <c r="J8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3" s="72" t="e">
        <f>VLOOKUP(Tabla5[[#This Row],[Tipo de Transporte Empleado
&lt;&lt; Seleccionar&gt;&gt;]],Tabla8[#All],2,0)</f>
        <v>#N/A</v>
      </c>
      <c r="L853" s="71" t="e">
        <f>#REF!+(#REF!*2)+#REF!</f>
        <v>#REF!</v>
      </c>
    </row>
    <row r="854" spans="1:12" x14ac:dyDescent="0.25">
      <c r="A854" s="328" t="e">
        <f>VLOOKUP(Tabla5[[#This Row],[Acción
&lt;&lt; Seleccionar&gt;&gt;]],TablaAccion[[#All],[Nombre_Abreviado]:[Codigo_Plan_Acción]],3,0)</f>
        <v>#N/A</v>
      </c>
      <c r="B854" s="328" t="e">
        <f>VLOOKUP(Tabla5[[#This Row],[Acción Especifica
&lt;&lt; Seleccionar&gt;&gt;]],TablaAccionEspecifica[[#All],[Nombre_Abreviado]:[Codigo_Acción]],3,0)</f>
        <v>#N/A</v>
      </c>
      <c r="C854" s="328" t="e">
        <f>CONCATENATE(Tabla18[[#This Row],[Bus_02]],"_",Tabla5[[#This Row],[Sub Acción Específica
&lt;&lt; Seleccionar&gt;&gt;]])</f>
        <v>#N/A</v>
      </c>
      <c r="D854" s="328" t="e">
        <f>VLOOKUP(Tabla18[[#This Row],[Aux_01]],TablaSubAccionEspecifica[[#All],[Concat]:[Cod_Sub_acción_especifica]],2,0)</f>
        <v>#N/A</v>
      </c>
      <c r="E854" s="328" t="e">
        <f>Tabla18[[#This Row],[Bus_03]]&amp;"_"&amp;Tabla5[[#This Row],[Tipo de Agente
&lt;&lt; Seleccionar&gt;&gt;]]</f>
        <v>#N/A</v>
      </c>
      <c r="F854" s="328" t="e">
        <f>VLOOKUP(Tabla18[[#This Row],[Concat2]],TablaPOA[[#All],[Concat]:[ConcatEspecial]],3,0)</f>
        <v>#N/A</v>
      </c>
      <c r="G854" s="65" t="str">
        <f>CONCATENATE(Registro!$A$6,"_",Tabla5[[#This Row],[Zona (Provincia)
&lt;&lt; Seleccionar&gt;&gt;]])</f>
        <v>Huánuco_</v>
      </c>
      <c r="H854" s="60" t="e">
        <f>VLOOKUP(Tabla18[[#This Row],[Concatenado***]],Tabla2[[#All],[Concatenado]:[Simbología*]],2,0)</f>
        <v>#N/A</v>
      </c>
      <c r="I854" s="65" t="str">
        <f>CONCATENATE(Tabla18[[#This Row],[Concatenado***]],"_",Tabla5[[#This Row],[Zona (Distrito)
&lt;&lt; Seleccionar&gt;&gt;]])</f>
        <v>Huánuco__</v>
      </c>
      <c r="J8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4" s="72" t="e">
        <f>VLOOKUP(Tabla5[[#This Row],[Tipo de Transporte Empleado
&lt;&lt; Seleccionar&gt;&gt;]],Tabla8[#All],2,0)</f>
        <v>#N/A</v>
      </c>
      <c r="L854" s="71" t="e">
        <f>#REF!+(#REF!*2)+#REF!</f>
        <v>#REF!</v>
      </c>
    </row>
    <row r="855" spans="1:12" x14ac:dyDescent="0.25">
      <c r="A855" s="328" t="e">
        <f>VLOOKUP(Tabla5[[#This Row],[Acción
&lt;&lt; Seleccionar&gt;&gt;]],TablaAccion[[#All],[Nombre_Abreviado]:[Codigo_Plan_Acción]],3,0)</f>
        <v>#N/A</v>
      </c>
      <c r="B855" s="328" t="e">
        <f>VLOOKUP(Tabla5[[#This Row],[Acción Especifica
&lt;&lt; Seleccionar&gt;&gt;]],TablaAccionEspecifica[[#All],[Nombre_Abreviado]:[Codigo_Acción]],3,0)</f>
        <v>#N/A</v>
      </c>
      <c r="C855" s="328" t="e">
        <f>CONCATENATE(Tabla18[[#This Row],[Bus_02]],"_",Tabla5[[#This Row],[Sub Acción Específica
&lt;&lt; Seleccionar&gt;&gt;]])</f>
        <v>#N/A</v>
      </c>
      <c r="D855" s="328" t="e">
        <f>VLOOKUP(Tabla18[[#This Row],[Aux_01]],TablaSubAccionEspecifica[[#All],[Concat]:[Cod_Sub_acción_especifica]],2,0)</f>
        <v>#N/A</v>
      </c>
      <c r="E855" s="328" t="e">
        <f>Tabla18[[#This Row],[Bus_03]]&amp;"_"&amp;Tabla5[[#This Row],[Tipo de Agente
&lt;&lt; Seleccionar&gt;&gt;]]</f>
        <v>#N/A</v>
      </c>
      <c r="F855" s="328" t="e">
        <f>VLOOKUP(Tabla18[[#This Row],[Concat2]],TablaPOA[[#All],[Concat]:[ConcatEspecial]],3,0)</f>
        <v>#N/A</v>
      </c>
      <c r="G855" s="65" t="str">
        <f>CONCATENATE(Registro!$A$6,"_",Tabla5[[#This Row],[Zona (Provincia)
&lt;&lt; Seleccionar&gt;&gt;]])</f>
        <v>Huánuco_</v>
      </c>
      <c r="H855" s="60" t="e">
        <f>VLOOKUP(Tabla18[[#This Row],[Concatenado***]],Tabla2[[#All],[Concatenado]:[Simbología*]],2,0)</f>
        <v>#N/A</v>
      </c>
      <c r="I855" s="65" t="str">
        <f>CONCATENATE(Tabla18[[#This Row],[Concatenado***]],"_",Tabla5[[#This Row],[Zona (Distrito)
&lt;&lt; Seleccionar&gt;&gt;]])</f>
        <v>Huánuco__</v>
      </c>
      <c r="J8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5" s="72" t="e">
        <f>VLOOKUP(Tabla5[[#This Row],[Tipo de Transporte Empleado
&lt;&lt; Seleccionar&gt;&gt;]],Tabla8[#All],2,0)</f>
        <v>#N/A</v>
      </c>
      <c r="L855" s="71" t="e">
        <f>#REF!+(#REF!*2)+#REF!</f>
        <v>#REF!</v>
      </c>
    </row>
    <row r="856" spans="1:12" x14ac:dyDescent="0.25">
      <c r="A856" s="328" t="e">
        <f>VLOOKUP(Tabla5[[#This Row],[Acción
&lt;&lt; Seleccionar&gt;&gt;]],TablaAccion[[#All],[Nombre_Abreviado]:[Codigo_Plan_Acción]],3,0)</f>
        <v>#N/A</v>
      </c>
      <c r="B856" s="328" t="e">
        <f>VLOOKUP(Tabla5[[#This Row],[Acción Especifica
&lt;&lt; Seleccionar&gt;&gt;]],TablaAccionEspecifica[[#All],[Nombre_Abreviado]:[Codigo_Acción]],3,0)</f>
        <v>#N/A</v>
      </c>
      <c r="C856" s="328" t="e">
        <f>CONCATENATE(Tabla18[[#This Row],[Bus_02]],"_",Tabla5[[#This Row],[Sub Acción Específica
&lt;&lt; Seleccionar&gt;&gt;]])</f>
        <v>#N/A</v>
      </c>
      <c r="D856" s="328" t="e">
        <f>VLOOKUP(Tabla18[[#This Row],[Aux_01]],TablaSubAccionEspecifica[[#All],[Concat]:[Cod_Sub_acción_especifica]],2,0)</f>
        <v>#N/A</v>
      </c>
      <c r="E856" s="328" t="e">
        <f>Tabla18[[#This Row],[Bus_03]]&amp;"_"&amp;Tabla5[[#This Row],[Tipo de Agente
&lt;&lt; Seleccionar&gt;&gt;]]</f>
        <v>#N/A</v>
      </c>
      <c r="F856" s="328" t="e">
        <f>VLOOKUP(Tabla18[[#This Row],[Concat2]],TablaPOA[[#All],[Concat]:[ConcatEspecial]],3,0)</f>
        <v>#N/A</v>
      </c>
      <c r="G856" s="65" t="str">
        <f>CONCATENATE(Registro!$A$6,"_",Tabla5[[#This Row],[Zona (Provincia)
&lt;&lt; Seleccionar&gt;&gt;]])</f>
        <v>Huánuco_</v>
      </c>
      <c r="H856" s="60" t="e">
        <f>VLOOKUP(Tabla18[[#This Row],[Concatenado***]],Tabla2[[#All],[Concatenado]:[Simbología*]],2,0)</f>
        <v>#N/A</v>
      </c>
      <c r="I856" s="65" t="str">
        <f>CONCATENATE(Tabla18[[#This Row],[Concatenado***]],"_",Tabla5[[#This Row],[Zona (Distrito)
&lt;&lt; Seleccionar&gt;&gt;]])</f>
        <v>Huánuco__</v>
      </c>
      <c r="J8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6" s="72" t="e">
        <f>VLOOKUP(Tabla5[[#This Row],[Tipo de Transporte Empleado
&lt;&lt; Seleccionar&gt;&gt;]],Tabla8[#All],2,0)</f>
        <v>#N/A</v>
      </c>
      <c r="L856" s="71" t="e">
        <f>#REF!+(#REF!*2)+#REF!</f>
        <v>#REF!</v>
      </c>
    </row>
    <row r="857" spans="1:12" x14ac:dyDescent="0.25">
      <c r="A857" s="328" t="e">
        <f>VLOOKUP(Tabla5[[#This Row],[Acción
&lt;&lt; Seleccionar&gt;&gt;]],TablaAccion[[#All],[Nombre_Abreviado]:[Codigo_Plan_Acción]],3,0)</f>
        <v>#N/A</v>
      </c>
      <c r="B857" s="328" t="e">
        <f>VLOOKUP(Tabla5[[#This Row],[Acción Especifica
&lt;&lt; Seleccionar&gt;&gt;]],TablaAccionEspecifica[[#All],[Nombre_Abreviado]:[Codigo_Acción]],3,0)</f>
        <v>#N/A</v>
      </c>
      <c r="C857" s="328" t="e">
        <f>CONCATENATE(Tabla18[[#This Row],[Bus_02]],"_",Tabla5[[#This Row],[Sub Acción Específica
&lt;&lt; Seleccionar&gt;&gt;]])</f>
        <v>#N/A</v>
      </c>
      <c r="D857" s="328" t="e">
        <f>VLOOKUP(Tabla18[[#This Row],[Aux_01]],TablaSubAccionEspecifica[[#All],[Concat]:[Cod_Sub_acción_especifica]],2,0)</f>
        <v>#N/A</v>
      </c>
      <c r="E857" s="328" t="e">
        <f>Tabla18[[#This Row],[Bus_03]]&amp;"_"&amp;Tabla5[[#This Row],[Tipo de Agente
&lt;&lt; Seleccionar&gt;&gt;]]</f>
        <v>#N/A</v>
      </c>
      <c r="F857" s="328" t="e">
        <f>VLOOKUP(Tabla18[[#This Row],[Concat2]],TablaPOA[[#All],[Concat]:[ConcatEspecial]],3,0)</f>
        <v>#N/A</v>
      </c>
      <c r="G857" s="65" t="str">
        <f>CONCATENATE(Registro!$A$6,"_",Tabla5[[#This Row],[Zona (Provincia)
&lt;&lt; Seleccionar&gt;&gt;]])</f>
        <v>Huánuco_</v>
      </c>
      <c r="H857" s="60" t="e">
        <f>VLOOKUP(Tabla18[[#This Row],[Concatenado***]],Tabla2[[#All],[Concatenado]:[Simbología*]],2,0)</f>
        <v>#N/A</v>
      </c>
      <c r="I857" s="65" t="str">
        <f>CONCATENATE(Tabla18[[#This Row],[Concatenado***]],"_",Tabla5[[#This Row],[Zona (Distrito)
&lt;&lt; Seleccionar&gt;&gt;]])</f>
        <v>Huánuco__</v>
      </c>
      <c r="J8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7" s="72" t="e">
        <f>VLOOKUP(Tabla5[[#This Row],[Tipo de Transporte Empleado
&lt;&lt; Seleccionar&gt;&gt;]],Tabla8[#All],2,0)</f>
        <v>#N/A</v>
      </c>
      <c r="L857" s="71" t="e">
        <f>#REF!+(#REF!*2)+#REF!</f>
        <v>#REF!</v>
      </c>
    </row>
    <row r="858" spans="1:12" x14ac:dyDescent="0.25">
      <c r="A858" s="328" t="e">
        <f>VLOOKUP(Tabla5[[#This Row],[Acción
&lt;&lt; Seleccionar&gt;&gt;]],TablaAccion[[#All],[Nombre_Abreviado]:[Codigo_Plan_Acción]],3,0)</f>
        <v>#N/A</v>
      </c>
      <c r="B858" s="328" t="e">
        <f>VLOOKUP(Tabla5[[#This Row],[Acción Especifica
&lt;&lt; Seleccionar&gt;&gt;]],TablaAccionEspecifica[[#All],[Nombre_Abreviado]:[Codigo_Acción]],3,0)</f>
        <v>#N/A</v>
      </c>
      <c r="C858" s="328" t="e">
        <f>CONCATENATE(Tabla18[[#This Row],[Bus_02]],"_",Tabla5[[#This Row],[Sub Acción Específica
&lt;&lt; Seleccionar&gt;&gt;]])</f>
        <v>#N/A</v>
      </c>
      <c r="D858" s="328" t="e">
        <f>VLOOKUP(Tabla18[[#This Row],[Aux_01]],TablaSubAccionEspecifica[[#All],[Concat]:[Cod_Sub_acción_especifica]],2,0)</f>
        <v>#N/A</v>
      </c>
      <c r="E858" s="328" t="e">
        <f>Tabla18[[#This Row],[Bus_03]]&amp;"_"&amp;Tabla5[[#This Row],[Tipo de Agente
&lt;&lt; Seleccionar&gt;&gt;]]</f>
        <v>#N/A</v>
      </c>
      <c r="F858" s="328" t="e">
        <f>VLOOKUP(Tabla18[[#This Row],[Concat2]],TablaPOA[[#All],[Concat]:[ConcatEspecial]],3,0)</f>
        <v>#N/A</v>
      </c>
      <c r="G858" s="65" t="str">
        <f>CONCATENATE(Registro!$A$6,"_",Tabla5[[#This Row],[Zona (Provincia)
&lt;&lt; Seleccionar&gt;&gt;]])</f>
        <v>Huánuco_</v>
      </c>
      <c r="H858" s="60" t="e">
        <f>VLOOKUP(Tabla18[[#This Row],[Concatenado***]],Tabla2[[#All],[Concatenado]:[Simbología*]],2,0)</f>
        <v>#N/A</v>
      </c>
      <c r="I858" s="65" t="str">
        <f>CONCATENATE(Tabla18[[#This Row],[Concatenado***]],"_",Tabla5[[#This Row],[Zona (Distrito)
&lt;&lt; Seleccionar&gt;&gt;]])</f>
        <v>Huánuco__</v>
      </c>
      <c r="J8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8" s="72" t="e">
        <f>VLOOKUP(Tabla5[[#This Row],[Tipo de Transporte Empleado
&lt;&lt; Seleccionar&gt;&gt;]],Tabla8[#All],2,0)</f>
        <v>#N/A</v>
      </c>
      <c r="L858" s="71" t="e">
        <f>#REF!+(#REF!*2)+#REF!</f>
        <v>#REF!</v>
      </c>
    </row>
    <row r="859" spans="1:12" x14ac:dyDescent="0.25">
      <c r="A859" s="328" t="e">
        <f>VLOOKUP(Tabla5[[#This Row],[Acción
&lt;&lt; Seleccionar&gt;&gt;]],TablaAccion[[#All],[Nombre_Abreviado]:[Codigo_Plan_Acción]],3,0)</f>
        <v>#N/A</v>
      </c>
      <c r="B859" s="328" t="e">
        <f>VLOOKUP(Tabla5[[#This Row],[Acción Especifica
&lt;&lt; Seleccionar&gt;&gt;]],TablaAccionEspecifica[[#All],[Nombre_Abreviado]:[Codigo_Acción]],3,0)</f>
        <v>#N/A</v>
      </c>
      <c r="C859" s="328" t="e">
        <f>CONCATENATE(Tabla18[[#This Row],[Bus_02]],"_",Tabla5[[#This Row],[Sub Acción Específica
&lt;&lt; Seleccionar&gt;&gt;]])</f>
        <v>#N/A</v>
      </c>
      <c r="D859" s="328" t="e">
        <f>VLOOKUP(Tabla18[[#This Row],[Aux_01]],TablaSubAccionEspecifica[[#All],[Concat]:[Cod_Sub_acción_especifica]],2,0)</f>
        <v>#N/A</v>
      </c>
      <c r="E859" s="328" t="e">
        <f>Tabla18[[#This Row],[Bus_03]]&amp;"_"&amp;Tabla5[[#This Row],[Tipo de Agente
&lt;&lt; Seleccionar&gt;&gt;]]</f>
        <v>#N/A</v>
      </c>
      <c r="F859" s="328" t="e">
        <f>VLOOKUP(Tabla18[[#This Row],[Concat2]],TablaPOA[[#All],[Concat]:[ConcatEspecial]],3,0)</f>
        <v>#N/A</v>
      </c>
      <c r="G859" s="65" t="str">
        <f>CONCATENATE(Registro!$A$6,"_",Tabla5[[#This Row],[Zona (Provincia)
&lt;&lt; Seleccionar&gt;&gt;]])</f>
        <v>Huánuco_</v>
      </c>
      <c r="H859" s="60" t="e">
        <f>VLOOKUP(Tabla18[[#This Row],[Concatenado***]],Tabla2[[#All],[Concatenado]:[Simbología*]],2,0)</f>
        <v>#N/A</v>
      </c>
      <c r="I859" s="65" t="str">
        <f>CONCATENATE(Tabla18[[#This Row],[Concatenado***]],"_",Tabla5[[#This Row],[Zona (Distrito)
&lt;&lt; Seleccionar&gt;&gt;]])</f>
        <v>Huánuco__</v>
      </c>
      <c r="J8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9" s="72" t="e">
        <f>VLOOKUP(Tabla5[[#This Row],[Tipo de Transporte Empleado
&lt;&lt; Seleccionar&gt;&gt;]],Tabla8[#All],2,0)</f>
        <v>#N/A</v>
      </c>
      <c r="L859" s="71" t="e">
        <f>#REF!+(#REF!*2)+#REF!</f>
        <v>#REF!</v>
      </c>
    </row>
    <row r="860" spans="1:12" x14ac:dyDescent="0.25">
      <c r="A860" s="328" t="e">
        <f>VLOOKUP(Tabla5[[#This Row],[Acción
&lt;&lt; Seleccionar&gt;&gt;]],TablaAccion[[#All],[Nombre_Abreviado]:[Codigo_Plan_Acción]],3,0)</f>
        <v>#N/A</v>
      </c>
      <c r="B860" s="328" t="e">
        <f>VLOOKUP(Tabla5[[#This Row],[Acción Especifica
&lt;&lt; Seleccionar&gt;&gt;]],TablaAccionEspecifica[[#All],[Nombre_Abreviado]:[Codigo_Acción]],3,0)</f>
        <v>#N/A</v>
      </c>
      <c r="C860" s="328" t="e">
        <f>CONCATENATE(Tabla18[[#This Row],[Bus_02]],"_",Tabla5[[#This Row],[Sub Acción Específica
&lt;&lt; Seleccionar&gt;&gt;]])</f>
        <v>#N/A</v>
      </c>
      <c r="D860" s="328" t="e">
        <f>VLOOKUP(Tabla18[[#This Row],[Aux_01]],TablaSubAccionEspecifica[[#All],[Concat]:[Cod_Sub_acción_especifica]],2,0)</f>
        <v>#N/A</v>
      </c>
      <c r="E860" s="328" t="e">
        <f>Tabla18[[#This Row],[Bus_03]]&amp;"_"&amp;Tabla5[[#This Row],[Tipo de Agente
&lt;&lt; Seleccionar&gt;&gt;]]</f>
        <v>#N/A</v>
      </c>
      <c r="F860" s="328" t="e">
        <f>VLOOKUP(Tabla18[[#This Row],[Concat2]],TablaPOA[[#All],[Concat]:[ConcatEspecial]],3,0)</f>
        <v>#N/A</v>
      </c>
      <c r="G860" s="65" t="str">
        <f>CONCATENATE(Registro!$A$6,"_",Tabla5[[#This Row],[Zona (Provincia)
&lt;&lt; Seleccionar&gt;&gt;]])</f>
        <v>Huánuco_</v>
      </c>
      <c r="H860" s="60" t="e">
        <f>VLOOKUP(Tabla18[[#This Row],[Concatenado***]],Tabla2[[#All],[Concatenado]:[Simbología*]],2,0)</f>
        <v>#N/A</v>
      </c>
      <c r="I860" s="65" t="str">
        <f>CONCATENATE(Tabla18[[#This Row],[Concatenado***]],"_",Tabla5[[#This Row],[Zona (Distrito)
&lt;&lt; Seleccionar&gt;&gt;]])</f>
        <v>Huánuco__</v>
      </c>
      <c r="J8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0" s="72" t="e">
        <f>VLOOKUP(Tabla5[[#This Row],[Tipo de Transporte Empleado
&lt;&lt; Seleccionar&gt;&gt;]],Tabla8[#All],2,0)</f>
        <v>#N/A</v>
      </c>
      <c r="L860" s="71" t="e">
        <f>#REF!+(#REF!*2)+#REF!</f>
        <v>#REF!</v>
      </c>
    </row>
    <row r="861" spans="1:12" x14ac:dyDescent="0.25">
      <c r="A861" s="328" t="e">
        <f>VLOOKUP(Tabla5[[#This Row],[Acción
&lt;&lt; Seleccionar&gt;&gt;]],TablaAccion[[#All],[Nombre_Abreviado]:[Codigo_Plan_Acción]],3,0)</f>
        <v>#N/A</v>
      </c>
      <c r="B861" s="328" t="e">
        <f>VLOOKUP(Tabla5[[#This Row],[Acción Especifica
&lt;&lt; Seleccionar&gt;&gt;]],TablaAccionEspecifica[[#All],[Nombre_Abreviado]:[Codigo_Acción]],3,0)</f>
        <v>#N/A</v>
      </c>
      <c r="C861" s="328" t="e">
        <f>CONCATENATE(Tabla18[[#This Row],[Bus_02]],"_",Tabla5[[#This Row],[Sub Acción Específica
&lt;&lt; Seleccionar&gt;&gt;]])</f>
        <v>#N/A</v>
      </c>
      <c r="D861" s="328" t="e">
        <f>VLOOKUP(Tabla18[[#This Row],[Aux_01]],TablaSubAccionEspecifica[[#All],[Concat]:[Cod_Sub_acción_especifica]],2,0)</f>
        <v>#N/A</v>
      </c>
      <c r="E861" s="328" t="e">
        <f>Tabla18[[#This Row],[Bus_03]]&amp;"_"&amp;Tabla5[[#This Row],[Tipo de Agente
&lt;&lt; Seleccionar&gt;&gt;]]</f>
        <v>#N/A</v>
      </c>
      <c r="F861" s="328" t="e">
        <f>VLOOKUP(Tabla18[[#This Row],[Concat2]],TablaPOA[[#All],[Concat]:[ConcatEspecial]],3,0)</f>
        <v>#N/A</v>
      </c>
      <c r="G861" s="65" t="str">
        <f>CONCATENATE(Registro!$A$6,"_",Tabla5[[#This Row],[Zona (Provincia)
&lt;&lt; Seleccionar&gt;&gt;]])</f>
        <v>Huánuco_</v>
      </c>
      <c r="H861" s="60" t="e">
        <f>VLOOKUP(Tabla18[[#This Row],[Concatenado***]],Tabla2[[#All],[Concatenado]:[Simbología*]],2,0)</f>
        <v>#N/A</v>
      </c>
      <c r="I861" s="65" t="str">
        <f>CONCATENATE(Tabla18[[#This Row],[Concatenado***]],"_",Tabla5[[#This Row],[Zona (Distrito)
&lt;&lt; Seleccionar&gt;&gt;]])</f>
        <v>Huánuco__</v>
      </c>
      <c r="J8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1" s="72" t="e">
        <f>VLOOKUP(Tabla5[[#This Row],[Tipo de Transporte Empleado
&lt;&lt; Seleccionar&gt;&gt;]],Tabla8[#All],2,0)</f>
        <v>#N/A</v>
      </c>
      <c r="L861" s="71" t="e">
        <f>#REF!+(#REF!*2)+#REF!</f>
        <v>#REF!</v>
      </c>
    </row>
    <row r="862" spans="1:12" x14ac:dyDescent="0.25">
      <c r="A862" s="328" t="e">
        <f>VLOOKUP(Tabla5[[#This Row],[Acción
&lt;&lt; Seleccionar&gt;&gt;]],TablaAccion[[#All],[Nombre_Abreviado]:[Codigo_Plan_Acción]],3,0)</f>
        <v>#N/A</v>
      </c>
      <c r="B862" s="328" t="e">
        <f>VLOOKUP(Tabla5[[#This Row],[Acción Especifica
&lt;&lt; Seleccionar&gt;&gt;]],TablaAccionEspecifica[[#All],[Nombre_Abreviado]:[Codigo_Acción]],3,0)</f>
        <v>#N/A</v>
      </c>
      <c r="C862" s="328" t="e">
        <f>CONCATENATE(Tabla18[[#This Row],[Bus_02]],"_",Tabla5[[#This Row],[Sub Acción Específica
&lt;&lt; Seleccionar&gt;&gt;]])</f>
        <v>#N/A</v>
      </c>
      <c r="D862" s="328" t="e">
        <f>VLOOKUP(Tabla18[[#This Row],[Aux_01]],TablaSubAccionEspecifica[[#All],[Concat]:[Cod_Sub_acción_especifica]],2,0)</f>
        <v>#N/A</v>
      </c>
      <c r="E862" s="328" t="e">
        <f>Tabla18[[#This Row],[Bus_03]]&amp;"_"&amp;Tabla5[[#This Row],[Tipo de Agente
&lt;&lt; Seleccionar&gt;&gt;]]</f>
        <v>#N/A</v>
      </c>
      <c r="F862" s="328" t="e">
        <f>VLOOKUP(Tabla18[[#This Row],[Concat2]],TablaPOA[[#All],[Concat]:[ConcatEspecial]],3,0)</f>
        <v>#N/A</v>
      </c>
      <c r="G862" s="65" t="str">
        <f>CONCATENATE(Registro!$A$6,"_",Tabla5[[#This Row],[Zona (Provincia)
&lt;&lt; Seleccionar&gt;&gt;]])</f>
        <v>Huánuco_</v>
      </c>
      <c r="H862" s="60" t="e">
        <f>VLOOKUP(Tabla18[[#This Row],[Concatenado***]],Tabla2[[#All],[Concatenado]:[Simbología*]],2,0)</f>
        <v>#N/A</v>
      </c>
      <c r="I862" s="65" t="str">
        <f>CONCATENATE(Tabla18[[#This Row],[Concatenado***]],"_",Tabla5[[#This Row],[Zona (Distrito)
&lt;&lt; Seleccionar&gt;&gt;]])</f>
        <v>Huánuco__</v>
      </c>
      <c r="J8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2" s="72" t="e">
        <f>VLOOKUP(Tabla5[[#This Row],[Tipo de Transporte Empleado
&lt;&lt; Seleccionar&gt;&gt;]],Tabla8[#All],2,0)</f>
        <v>#N/A</v>
      </c>
      <c r="L862" s="71" t="e">
        <f>#REF!+(#REF!*2)+#REF!</f>
        <v>#REF!</v>
      </c>
    </row>
    <row r="863" spans="1:12" x14ac:dyDescent="0.25">
      <c r="A863" s="328" t="e">
        <f>VLOOKUP(Tabla5[[#This Row],[Acción
&lt;&lt; Seleccionar&gt;&gt;]],TablaAccion[[#All],[Nombre_Abreviado]:[Codigo_Plan_Acción]],3,0)</f>
        <v>#N/A</v>
      </c>
      <c r="B863" s="328" t="e">
        <f>VLOOKUP(Tabla5[[#This Row],[Acción Especifica
&lt;&lt; Seleccionar&gt;&gt;]],TablaAccionEspecifica[[#All],[Nombre_Abreviado]:[Codigo_Acción]],3,0)</f>
        <v>#N/A</v>
      </c>
      <c r="C863" s="328" t="e">
        <f>CONCATENATE(Tabla18[[#This Row],[Bus_02]],"_",Tabla5[[#This Row],[Sub Acción Específica
&lt;&lt; Seleccionar&gt;&gt;]])</f>
        <v>#N/A</v>
      </c>
      <c r="D863" s="328" t="e">
        <f>VLOOKUP(Tabla18[[#This Row],[Aux_01]],TablaSubAccionEspecifica[[#All],[Concat]:[Cod_Sub_acción_especifica]],2,0)</f>
        <v>#N/A</v>
      </c>
      <c r="E863" s="328" t="e">
        <f>Tabla18[[#This Row],[Bus_03]]&amp;"_"&amp;Tabla5[[#This Row],[Tipo de Agente
&lt;&lt; Seleccionar&gt;&gt;]]</f>
        <v>#N/A</v>
      </c>
      <c r="F863" s="328" t="e">
        <f>VLOOKUP(Tabla18[[#This Row],[Concat2]],TablaPOA[[#All],[Concat]:[ConcatEspecial]],3,0)</f>
        <v>#N/A</v>
      </c>
      <c r="G863" s="65" t="str">
        <f>CONCATENATE(Registro!$A$6,"_",Tabla5[[#This Row],[Zona (Provincia)
&lt;&lt; Seleccionar&gt;&gt;]])</f>
        <v>Huánuco_</v>
      </c>
      <c r="H863" s="60" t="e">
        <f>VLOOKUP(Tabla18[[#This Row],[Concatenado***]],Tabla2[[#All],[Concatenado]:[Simbología*]],2,0)</f>
        <v>#N/A</v>
      </c>
      <c r="I863" s="65" t="str">
        <f>CONCATENATE(Tabla18[[#This Row],[Concatenado***]],"_",Tabla5[[#This Row],[Zona (Distrito)
&lt;&lt; Seleccionar&gt;&gt;]])</f>
        <v>Huánuco__</v>
      </c>
      <c r="J8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3" s="72" t="e">
        <f>VLOOKUP(Tabla5[[#This Row],[Tipo de Transporte Empleado
&lt;&lt; Seleccionar&gt;&gt;]],Tabla8[#All],2,0)</f>
        <v>#N/A</v>
      </c>
      <c r="L863" s="71" t="e">
        <f>#REF!+(#REF!*2)+#REF!</f>
        <v>#REF!</v>
      </c>
    </row>
    <row r="864" spans="1:12" x14ac:dyDescent="0.25">
      <c r="A864" s="328" t="e">
        <f>VLOOKUP(Tabla5[[#This Row],[Acción
&lt;&lt; Seleccionar&gt;&gt;]],TablaAccion[[#All],[Nombre_Abreviado]:[Codigo_Plan_Acción]],3,0)</f>
        <v>#N/A</v>
      </c>
      <c r="B864" s="328" t="e">
        <f>VLOOKUP(Tabla5[[#This Row],[Acción Especifica
&lt;&lt; Seleccionar&gt;&gt;]],TablaAccionEspecifica[[#All],[Nombre_Abreviado]:[Codigo_Acción]],3,0)</f>
        <v>#N/A</v>
      </c>
      <c r="C864" s="328" t="e">
        <f>CONCATENATE(Tabla18[[#This Row],[Bus_02]],"_",Tabla5[[#This Row],[Sub Acción Específica
&lt;&lt; Seleccionar&gt;&gt;]])</f>
        <v>#N/A</v>
      </c>
      <c r="D864" s="328" t="e">
        <f>VLOOKUP(Tabla18[[#This Row],[Aux_01]],TablaSubAccionEspecifica[[#All],[Concat]:[Cod_Sub_acción_especifica]],2,0)</f>
        <v>#N/A</v>
      </c>
      <c r="E864" s="328" t="e">
        <f>Tabla18[[#This Row],[Bus_03]]&amp;"_"&amp;Tabla5[[#This Row],[Tipo de Agente
&lt;&lt; Seleccionar&gt;&gt;]]</f>
        <v>#N/A</v>
      </c>
      <c r="F864" s="328" t="e">
        <f>VLOOKUP(Tabla18[[#This Row],[Concat2]],TablaPOA[[#All],[Concat]:[ConcatEspecial]],3,0)</f>
        <v>#N/A</v>
      </c>
      <c r="G864" s="65" t="str">
        <f>CONCATENATE(Registro!$A$6,"_",Tabla5[[#This Row],[Zona (Provincia)
&lt;&lt; Seleccionar&gt;&gt;]])</f>
        <v>Huánuco_</v>
      </c>
      <c r="H864" s="60" t="e">
        <f>VLOOKUP(Tabla18[[#This Row],[Concatenado***]],Tabla2[[#All],[Concatenado]:[Simbología*]],2,0)</f>
        <v>#N/A</v>
      </c>
      <c r="I864" s="65" t="str">
        <f>CONCATENATE(Tabla18[[#This Row],[Concatenado***]],"_",Tabla5[[#This Row],[Zona (Distrito)
&lt;&lt; Seleccionar&gt;&gt;]])</f>
        <v>Huánuco__</v>
      </c>
      <c r="J8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4" s="72" t="e">
        <f>VLOOKUP(Tabla5[[#This Row],[Tipo de Transporte Empleado
&lt;&lt; Seleccionar&gt;&gt;]],Tabla8[#All],2,0)</f>
        <v>#N/A</v>
      </c>
      <c r="L864" s="71" t="e">
        <f>#REF!+(#REF!*2)+#REF!</f>
        <v>#REF!</v>
      </c>
    </row>
    <row r="865" spans="1:12" x14ac:dyDescent="0.25">
      <c r="A865" s="328" t="e">
        <f>VLOOKUP(Tabla5[[#This Row],[Acción
&lt;&lt; Seleccionar&gt;&gt;]],TablaAccion[[#All],[Nombre_Abreviado]:[Codigo_Plan_Acción]],3,0)</f>
        <v>#N/A</v>
      </c>
      <c r="B865" s="328" t="e">
        <f>VLOOKUP(Tabla5[[#This Row],[Acción Especifica
&lt;&lt; Seleccionar&gt;&gt;]],TablaAccionEspecifica[[#All],[Nombre_Abreviado]:[Codigo_Acción]],3,0)</f>
        <v>#N/A</v>
      </c>
      <c r="C865" s="328" t="e">
        <f>CONCATENATE(Tabla18[[#This Row],[Bus_02]],"_",Tabla5[[#This Row],[Sub Acción Específica
&lt;&lt; Seleccionar&gt;&gt;]])</f>
        <v>#N/A</v>
      </c>
      <c r="D865" s="328" t="e">
        <f>VLOOKUP(Tabla18[[#This Row],[Aux_01]],TablaSubAccionEspecifica[[#All],[Concat]:[Cod_Sub_acción_especifica]],2,0)</f>
        <v>#N/A</v>
      </c>
      <c r="E865" s="328" t="e">
        <f>Tabla18[[#This Row],[Bus_03]]&amp;"_"&amp;Tabla5[[#This Row],[Tipo de Agente
&lt;&lt; Seleccionar&gt;&gt;]]</f>
        <v>#N/A</v>
      </c>
      <c r="F865" s="328" t="e">
        <f>VLOOKUP(Tabla18[[#This Row],[Concat2]],TablaPOA[[#All],[Concat]:[ConcatEspecial]],3,0)</f>
        <v>#N/A</v>
      </c>
      <c r="G865" s="65" t="str">
        <f>CONCATENATE(Registro!$A$6,"_",Tabla5[[#This Row],[Zona (Provincia)
&lt;&lt; Seleccionar&gt;&gt;]])</f>
        <v>Huánuco_</v>
      </c>
      <c r="H865" s="60" t="e">
        <f>VLOOKUP(Tabla18[[#This Row],[Concatenado***]],Tabla2[[#All],[Concatenado]:[Simbología*]],2,0)</f>
        <v>#N/A</v>
      </c>
      <c r="I865" s="65" t="str">
        <f>CONCATENATE(Tabla18[[#This Row],[Concatenado***]],"_",Tabla5[[#This Row],[Zona (Distrito)
&lt;&lt; Seleccionar&gt;&gt;]])</f>
        <v>Huánuco__</v>
      </c>
      <c r="J8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5" s="72" t="e">
        <f>VLOOKUP(Tabla5[[#This Row],[Tipo de Transporte Empleado
&lt;&lt; Seleccionar&gt;&gt;]],Tabla8[#All],2,0)</f>
        <v>#N/A</v>
      </c>
      <c r="L865" s="71" t="e">
        <f>#REF!+(#REF!*2)+#REF!</f>
        <v>#REF!</v>
      </c>
    </row>
    <row r="866" spans="1:12" x14ac:dyDescent="0.25">
      <c r="A866" s="328" t="e">
        <f>VLOOKUP(Tabla5[[#This Row],[Acción
&lt;&lt; Seleccionar&gt;&gt;]],TablaAccion[[#All],[Nombre_Abreviado]:[Codigo_Plan_Acción]],3,0)</f>
        <v>#N/A</v>
      </c>
      <c r="B866" s="328" t="e">
        <f>VLOOKUP(Tabla5[[#This Row],[Acción Especifica
&lt;&lt; Seleccionar&gt;&gt;]],TablaAccionEspecifica[[#All],[Nombre_Abreviado]:[Codigo_Acción]],3,0)</f>
        <v>#N/A</v>
      </c>
      <c r="C866" s="328" t="e">
        <f>CONCATENATE(Tabla18[[#This Row],[Bus_02]],"_",Tabla5[[#This Row],[Sub Acción Específica
&lt;&lt; Seleccionar&gt;&gt;]])</f>
        <v>#N/A</v>
      </c>
      <c r="D866" s="328" t="e">
        <f>VLOOKUP(Tabla18[[#This Row],[Aux_01]],TablaSubAccionEspecifica[[#All],[Concat]:[Cod_Sub_acción_especifica]],2,0)</f>
        <v>#N/A</v>
      </c>
      <c r="E866" s="328" t="e">
        <f>Tabla18[[#This Row],[Bus_03]]&amp;"_"&amp;Tabla5[[#This Row],[Tipo de Agente
&lt;&lt; Seleccionar&gt;&gt;]]</f>
        <v>#N/A</v>
      </c>
      <c r="F866" s="328" t="e">
        <f>VLOOKUP(Tabla18[[#This Row],[Concat2]],TablaPOA[[#All],[Concat]:[ConcatEspecial]],3,0)</f>
        <v>#N/A</v>
      </c>
      <c r="G866" s="65" t="str">
        <f>CONCATENATE(Registro!$A$6,"_",Tabla5[[#This Row],[Zona (Provincia)
&lt;&lt; Seleccionar&gt;&gt;]])</f>
        <v>Huánuco_</v>
      </c>
      <c r="H866" s="60" t="e">
        <f>VLOOKUP(Tabla18[[#This Row],[Concatenado***]],Tabla2[[#All],[Concatenado]:[Simbología*]],2,0)</f>
        <v>#N/A</v>
      </c>
      <c r="I866" s="65" t="str">
        <f>CONCATENATE(Tabla18[[#This Row],[Concatenado***]],"_",Tabla5[[#This Row],[Zona (Distrito)
&lt;&lt; Seleccionar&gt;&gt;]])</f>
        <v>Huánuco__</v>
      </c>
      <c r="J8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6" s="72" t="e">
        <f>VLOOKUP(Tabla5[[#This Row],[Tipo de Transporte Empleado
&lt;&lt; Seleccionar&gt;&gt;]],Tabla8[#All],2,0)</f>
        <v>#N/A</v>
      </c>
      <c r="L866" s="71" t="e">
        <f>#REF!+(#REF!*2)+#REF!</f>
        <v>#REF!</v>
      </c>
    </row>
    <row r="867" spans="1:12" x14ac:dyDescent="0.25">
      <c r="A867" s="328" t="e">
        <f>VLOOKUP(Tabla5[[#This Row],[Acción
&lt;&lt; Seleccionar&gt;&gt;]],TablaAccion[[#All],[Nombre_Abreviado]:[Codigo_Plan_Acción]],3,0)</f>
        <v>#N/A</v>
      </c>
      <c r="B867" s="328" t="e">
        <f>VLOOKUP(Tabla5[[#This Row],[Acción Especifica
&lt;&lt; Seleccionar&gt;&gt;]],TablaAccionEspecifica[[#All],[Nombre_Abreviado]:[Codigo_Acción]],3,0)</f>
        <v>#N/A</v>
      </c>
      <c r="C867" s="328" t="e">
        <f>CONCATENATE(Tabla18[[#This Row],[Bus_02]],"_",Tabla5[[#This Row],[Sub Acción Específica
&lt;&lt; Seleccionar&gt;&gt;]])</f>
        <v>#N/A</v>
      </c>
      <c r="D867" s="328" t="e">
        <f>VLOOKUP(Tabla18[[#This Row],[Aux_01]],TablaSubAccionEspecifica[[#All],[Concat]:[Cod_Sub_acción_especifica]],2,0)</f>
        <v>#N/A</v>
      </c>
      <c r="E867" s="328" t="e">
        <f>Tabla18[[#This Row],[Bus_03]]&amp;"_"&amp;Tabla5[[#This Row],[Tipo de Agente
&lt;&lt; Seleccionar&gt;&gt;]]</f>
        <v>#N/A</v>
      </c>
      <c r="F867" s="328" t="e">
        <f>VLOOKUP(Tabla18[[#This Row],[Concat2]],TablaPOA[[#All],[Concat]:[ConcatEspecial]],3,0)</f>
        <v>#N/A</v>
      </c>
      <c r="G867" s="65" t="str">
        <f>CONCATENATE(Registro!$A$6,"_",Tabla5[[#This Row],[Zona (Provincia)
&lt;&lt; Seleccionar&gt;&gt;]])</f>
        <v>Huánuco_</v>
      </c>
      <c r="H867" s="60" t="e">
        <f>VLOOKUP(Tabla18[[#This Row],[Concatenado***]],Tabla2[[#All],[Concatenado]:[Simbología*]],2,0)</f>
        <v>#N/A</v>
      </c>
      <c r="I867" s="65" t="str">
        <f>CONCATENATE(Tabla18[[#This Row],[Concatenado***]],"_",Tabla5[[#This Row],[Zona (Distrito)
&lt;&lt; Seleccionar&gt;&gt;]])</f>
        <v>Huánuco__</v>
      </c>
      <c r="J8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7" s="72" t="e">
        <f>VLOOKUP(Tabla5[[#This Row],[Tipo de Transporte Empleado
&lt;&lt; Seleccionar&gt;&gt;]],Tabla8[#All],2,0)</f>
        <v>#N/A</v>
      </c>
      <c r="L867" s="71" t="e">
        <f>#REF!+(#REF!*2)+#REF!</f>
        <v>#REF!</v>
      </c>
    </row>
    <row r="868" spans="1:12" x14ac:dyDescent="0.25">
      <c r="A868" s="328" t="e">
        <f>VLOOKUP(Tabla5[[#This Row],[Acción
&lt;&lt; Seleccionar&gt;&gt;]],TablaAccion[[#All],[Nombre_Abreviado]:[Codigo_Plan_Acción]],3,0)</f>
        <v>#N/A</v>
      </c>
      <c r="B868" s="328" t="e">
        <f>VLOOKUP(Tabla5[[#This Row],[Acción Especifica
&lt;&lt; Seleccionar&gt;&gt;]],TablaAccionEspecifica[[#All],[Nombre_Abreviado]:[Codigo_Acción]],3,0)</f>
        <v>#N/A</v>
      </c>
      <c r="C868" s="328" t="e">
        <f>CONCATENATE(Tabla18[[#This Row],[Bus_02]],"_",Tabla5[[#This Row],[Sub Acción Específica
&lt;&lt; Seleccionar&gt;&gt;]])</f>
        <v>#N/A</v>
      </c>
      <c r="D868" s="328" t="e">
        <f>VLOOKUP(Tabla18[[#This Row],[Aux_01]],TablaSubAccionEspecifica[[#All],[Concat]:[Cod_Sub_acción_especifica]],2,0)</f>
        <v>#N/A</v>
      </c>
      <c r="E868" s="328" t="e">
        <f>Tabla18[[#This Row],[Bus_03]]&amp;"_"&amp;Tabla5[[#This Row],[Tipo de Agente
&lt;&lt; Seleccionar&gt;&gt;]]</f>
        <v>#N/A</v>
      </c>
      <c r="F868" s="328" t="e">
        <f>VLOOKUP(Tabla18[[#This Row],[Concat2]],TablaPOA[[#All],[Concat]:[ConcatEspecial]],3,0)</f>
        <v>#N/A</v>
      </c>
      <c r="G868" s="65" t="str">
        <f>CONCATENATE(Registro!$A$6,"_",Tabla5[[#This Row],[Zona (Provincia)
&lt;&lt; Seleccionar&gt;&gt;]])</f>
        <v>Huánuco_</v>
      </c>
      <c r="H868" s="60" t="e">
        <f>VLOOKUP(Tabla18[[#This Row],[Concatenado***]],Tabla2[[#All],[Concatenado]:[Simbología*]],2,0)</f>
        <v>#N/A</v>
      </c>
      <c r="I868" s="65" t="str">
        <f>CONCATENATE(Tabla18[[#This Row],[Concatenado***]],"_",Tabla5[[#This Row],[Zona (Distrito)
&lt;&lt; Seleccionar&gt;&gt;]])</f>
        <v>Huánuco__</v>
      </c>
      <c r="J8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8" s="72" t="e">
        <f>VLOOKUP(Tabla5[[#This Row],[Tipo de Transporte Empleado
&lt;&lt; Seleccionar&gt;&gt;]],Tabla8[#All],2,0)</f>
        <v>#N/A</v>
      </c>
      <c r="L868" s="71" t="e">
        <f>#REF!+(#REF!*2)+#REF!</f>
        <v>#REF!</v>
      </c>
    </row>
    <row r="869" spans="1:12" x14ac:dyDescent="0.25">
      <c r="A869" s="328" t="e">
        <f>VLOOKUP(Tabla5[[#This Row],[Acción
&lt;&lt; Seleccionar&gt;&gt;]],TablaAccion[[#All],[Nombre_Abreviado]:[Codigo_Plan_Acción]],3,0)</f>
        <v>#N/A</v>
      </c>
      <c r="B869" s="328" t="e">
        <f>VLOOKUP(Tabla5[[#This Row],[Acción Especifica
&lt;&lt; Seleccionar&gt;&gt;]],TablaAccionEspecifica[[#All],[Nombre_Abreviado]:[Codigo_Acción]],3,0)</f>
        <v>#N/A</v>
      </c>
      <c r="C869" s="328" t="e">
        <f>CONCATENATE(Tabla18[[#This Row],[Bus_02]],"_",Tabla5[[#This Row],[Sub Acción Específica
&lt;&lt; Seleccionar&gt;&gt;]])</f>
        <v>#N/A</v>
      </c>
      <c r="D869" s="328" t="e">
        <f>VLOOKUP(Tabla18[[#This Row],[Aux_01]],TablaSubAccionEspecifica[[#All],[Concat]:[Cod_Sub_acción_especifica]],2,0)</f>
        <v>#N/A</v>
      </c>
      <c r="E869" s="328" t="e">
        <f>Tabla18[[#This Row],[Bus_03]]&amp;"_"&amp;Tabla5[[#This Row],[Tipo de Agente
&lt;&lt; Seleccionar&gt;&gt;]]</f>
        <v>#N/A</v>
      </c>
      <c r="F869" s="328" t="e">
        <f>VLOOKUP(Tabla18[[#This Row],[Concat2]],TablaPOA[[#All],[Concat]:[ConcatEspecial]],3,0)</f>
        <v>#N/A</v>
      </c>
      <c r="G869" s="65" t="str">
        <f>CONCATENATE(Registro!$A$6,"_",Tabla5[[#This Row],[Zona (Provincia)
&lt;&lt; Seleccionar&gt;&gt;]])</f>
        <v>Huánuco_</v>
      </c>
      <c r="H869" s="60" t="e">
        <f>VLOOKUP(Tabla18[[#This Row],[Concatenado***]],Tabla2[[#All],[Concatenado]:[Simbología*]],2,0)</f>
        <v>#N/A</v>
      </c>
      <c r="I869" s="65" t="str">
        <f>CONCATENATE(Tabla18[[#This Row],[Concatenado***]],"_",Tabla5[[#This Row],[Zona (Distrito)
&lt;&lt; Seleccionar&gt;&gt;]])</f>
        <v>Huánuco__</v>
      </c>
      <c r="J8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9" s="72" t="e">
        <f>VLOOKUP(Tabla5[[#This Row],[Tipo de Transporte Empleado
&lt;&lt; Seleccionar&gt;&gt;]],Tabla8[#All],2,0)</f>
        <v>#N/A</v>
      </c>
      <c r="L869" s="71" t="e">
        <f>#REF!+(#REF!*2)+#REF!</f>
        <v>#REF!</v>
      </c>
    </row>
    <row r="870" spans="1:12" x14ac:dyDescent="0.25">
      <c r="A870" s="328" t="e">
        <f>VLOOKUP(Tabla5[[#This Row],[Acción
&lt;&lt; Seleccionar&gt;&gt;]],TablaAccion[[#All],[Nombre_Abreviado]:[Codigo_Plan_Acción]],3,0)</f>
        <v>#N/A</v>
      </c>
      <c r="B870" s="328" t="e">
        <f>VLOOKUP(Tabla5[[#This Row],[Acción Especifica
&lt;&lt; Seleccionar&gt;&gt;]],TablaAccionEspecifica[[#All],[Nombre_Abreviado]:[Codigo_Acción]],3,0)</f>
        <v>#N/A</v>
      </c>
      <c r="C870" s="328" t="e">
        <f>CONCATENATE(Tabla18[[#This Row],[Bus_02]],"_",Tabla5[[#This Row],[Sub Acción Específica
&lt;&lt; Seleccionar&gt;&gt;]])</f>
        <v>#N/A</v>
      </c>
      <c r="D870" s="328" t="e">
        <f>VLOOKUP(Tabla18[[#This Row],[Aux_01]],TablaSubAccionEspecifica[[#All],[Concat]:[Cod_Sub_acción_especifica]],2,0)</f>
        <v>#N/A</v>
      </c>
      <c r="E870" s="328" t="e">
        <f>Tabla18[[#This Row],[Bus_03]]&amp;"_"&amp;Tabla5[[#This Row],[Tipo de Agente
&lt;&lt; Seleccionar&gt;&gt;]]</f>
        <v>#N/A</v>
      </c>
      <c r="F870" s="328" t="e">
        <f>VLOOKUP(Tabla18[[#This Row],[Concat2]],TablaPOA[[#All],[Concat]:[ConcatEspecial]],3,0)</f>
        <v>#N/A</v>
      </c>
      <c r="G870" s="65" t="str">
        <f>CONCATENATE(Registro!$A$6,"_",Tabla5[[#This Row],[Zona (Provincia)
&lt;&lt; Seleccionar&gt;&gt;]])</f>
        <v>Huánuco_</v>
      </c>
      <c r="H870" s="60" t="e">
        <f>VLOOKUP(Tabla18[[#This Row],[Concatenado***]],Tabla2[[#All],[Concatenado]:[Simbología*]],2,0)</f>
        <v>#N/A</v>
      </c>
      <c r="I870" s="65" t="str">
        <f>CONCATENATE(Tabla18[[#This Row],[Concatenado***]],"_",Tabla5[[#This Row],[Zona (Distrito)
&lt;&lt; Seleccionar&gt;&gt;]])</f>
        <v>Huánuco__</v>
      </c>
      <c r="J8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0" s="72" t="e">
        <f>VLOOKUP(Tabla5[[#This Row],[Tipo de Transporte Empleado
&lt;&lt; Seleccionar&gt;&gt;]],Tabla8[#All],2,0)</f>
        <v>#N/A</v>
      </c>
      <c r="L870" s="71" t="e">
        <f>#REF!+(#REF!*2)+#REF!</f>
        <v>#REF!</v>
      </c>
    </row>
    <row r="871" spans="1:12" x14ac:dyDescent="0.25">
      <c r="A871" s="328" t="e">
        <f>VLOOKUP(Tabla5[[#This Row],[Acción
&lt;&lt; Seleccionar&gt;&gt;]],TablaAccion[[#All],[Nombre_Abreviado]:[Codigo_Plan_Acción]],3,0)</f>
        <v>#N/A</v>
      </c>
      <c r="B871" s="328" t="e">
        <f>VLOOKUP(Tabla5[[#This Row],[Acción Especifica
&lt;&lt; Seleccionar&gt;&gt;]],TablaAccionEspecifica[[#All],[Nombre_Abreviado]:[Codigo_Acción]],3,0)</f>
        <v>#N/A</v>
      </c>
      <c r="C871" s="328" t="e">
        <f>CONCATENATE(Tabla18[[#This Row],[Bus_02]],"_",Tabla5[[#This Row],[Sub Acción Específica
&lt;&lt; Seleccionar&gt;&gt;]])</f>
        <v>#N/A</v>
      </c>
      <c r="D871" s="328" t="e">
        <f>VLOOKUP(Tabla18[[#This Row],[Aux_01]],TablaSubAccionEspecifica[[#All],[Concat]:[Cod_Sub_acción_especifica]],2,0)</f>
        <v>#N/A</v>
      </c>
      <c r="E871" s="328" t="e">
        <f>Tabla18[[#This Row],[Bus_03]]&amp;"_"&amp;Tabla5[[#This Row],[Tipo de Agente
&lt;&lt; Seleccionar&gt;&gt;]]</f>
        <v>#N/A</v>
      </c>
      <c r="F871" s="328" t="e">
        <f>VLOOKUP(Tabla18[[#This Row],[Concat2]],TablaPOA[[#All],[Concat]:[ConcatEspecial]],3,0)</f>
        <v>#N/A</v>
      </c>
      <c r="G871" s="65" t="str">
        <f>CONCATENATE(Registro!$A$6,"_",Tabla5[[#This Row],[Zona (Provincia)
&lt;&lt; Seleccionar&gt;&gt;]])</f>
        <v>Huánuco_</v>
      </c>
      <c r="H871" s="60" t="e">
        <f>VLOOKUP(Tabla18[[#This Row],[Concatenado***]],Tabla2[[#All],[Concatenado]:[Simbología*]],2,0)</f>
        <v>#N/A</v>
      </c>
      <c r="I871" s="65" t="str">
        <f>CONCATENATE(Tabla18[[#This Row],[Concatenado***]],"_",Tabla5[[#This Row],[Zona (Distrito)
&lt;&lt; Seleccionar&gt;&gt;]])</f>
        <v>Huánuco__</v>
      </c>
      <c r="J8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1" s="72" t="e">
        <f>VLOOKUP(Tabla5[[#This Row],[Tipo de Transporte Empleado
&lt;&lt; Seleccionar&gt;&gt;]],Tabla8[#All],2,0)</f>
        <v>#N/A</v>
      </c>
      <c r="L871" s="71" t="e">
        <f>#REF!+(#REF!*2)+#REF!</f>
        <v>#REF!</v>
      </c>
    </row>
    <row r="872" spans="1:12" x14ac:dyDescent="0.25">
      <c r="A872" s="328" t="e">
        <f>VLOOKUP(Tabla5[[#This Row],[Acción
&lt;&lt; Seleccionar&gt;&gt;]],TablaAccion[[#All],[Nombre_Abreviado]:[Codigo_Plan_Acción]],3,0)</f>
        <v>#N/A</v>
      </c>
      <c r="B872" s="328" t="e">
        <f>VLOOKUP(Tabla5[[#This Row],[Acción Especifica
&lt;&lt; Seleccionar&gt;&gt;]],TablaAccionEspecifica[[#All],[Nombre_Abreviado]:[Codigo_Acción]],3,0)</f>
        <v>#N/A</v>
      </c>
      <c r="C872" s="328" t="e">
        <f>CONCATENATE(Tabla18[[#This Row],[Bus_02]],"_",Tabla5[[#This Row],[Sub Acción Específica
&lt;&lt; Seleccionar&gt;&gt;]])</f>
        <v>#N/A</v>
      </c>
      <c r="D872" s="328" t="e">
        <f>VLOOKUP(Tabla18[[#This Row],[Aux_01]],TablaSubAccionEspecifica[[#All],[Concat]:[Cod_Sub_acción_especifica]],2,0)</f>
        <v>#N/A</v>
      </c>
      <c r="E872" s="328" t="e">
        <f>Tabla18[[#This Row],[Bus_03]]&amp;"_"&amp;Tabla5[[#This Row],[Tipo de Agente
&lt;&lt; Seleccionar&gt;&gt;]]</f>
        <v>#N/A</v>
      </c>
      <c r="F872" s="328" t="e">
        <f>VLOOKUP(Tabla18[[#This Row],[Concat2]],TablaPOA[[#All],[Concat]:[ConcatEspecial]],3,0)</f>
        <v>#N/A</v>
      </c>
      <c r="G872" s="65" t="str">
        <f>CONCATENATE(Registro!$A$6,"_",Tabla5[[#This Row],[Zona (Provincia)
&lt;&lt; Seleccionar&gt;&gt;]])</f>
        <v>Huánuco_</v>
      </c>
      <c r="H872" s="60" t="e">
        <f>VLOOKUP(Tabla18[[#This Row],[Concatenado***]],Tabla2[[#All],[Concatenado]:[Simbología*]],2,0)</f>
        <v>#N/A</v>
      </c>
      <c r="I872" s="65" t="str">
        <f>CONCATENATE(Tabla18[[#This Row],[Concatenado***]],"_",Tabla5[[#This Row],[Zona (Distrito)
&lt;&lt; Seleccionar&gt;&gt;]])</f>
        <v>Huánuco__</v>
      </c>
      <c r="J8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2" s="72" t="e">
        <f>VLOOKUP(Tabla5[[#This Row],[Tipo de Transporte Empleado
&lt;&lt; Seleccionar&gt;&gt;]],Tabla8[#All],2,0)</f>
        <v>#N/A</v>
      </c>
      <c r="L872" s="71" t="e">
        <f>#REF!+(#REF!*2)+#REF!</f>
        <v>#REF!</v>
      </c>
    </row>
    <row r="873" spans="1:12" x14ac:dyDescent="0.25">
      <c r="A873" s="328" t="e">
        <f>VLOOKUP(Tabla5[[#This Row],[Acción
&lt;&lt; Seleccionar&gt;&gt;]],TablaAccion[[#All],[Nombre_Abreviado]:[Codigo_Plan_Acción]],3,0)</f>
        <v>#N/A</v>
      </c>
      <c r="B873" s="328" t="e">
        <f>VLOOKUP(Tabla5[[#This Row],[Acción Especifica
&lt;&lt; Seleccionar&gt;&gt;]],TablaAccionEspecifica[[#All],[Nombre_Abreviado]:[Codigo_Acción]],3,0)</f>
        <v>#N/A</v>
      </c>
      <c r="C873" s="328" t="e">
        <f>CONCATENATE(Tabla18[[#This Row],[Bus_02]],"_",Tabla5[[#This Row],[Sub Acción Específica
&lt;&lt; Seleccionar&gt;&gt;]])</f>
        <v>#N/A</v>
      </c>
      <c r="D873" s="328" t="e">
        <f>VLOOKUP(Tabla18[[#This Row],[Aux_01]],TablaSubAccionEspecifica[[#All],[Concat]:[Cod_Sub_acción_especifica]],2,0)</f>
        <v>#N/A</v>
      </c>
      <c r="E873" s="328" t="e">
        <f>Tabla18[[#This Row],[Bus_03]]&amp;"_"&amp;Tabla5[[#This Row],[Tipo de Agente
&lt;&lt; Seleccionar&gt;&gt;]]</f>
        <v>#N/A</v>
      </c>
      <c r="F873" s="328" t="e">
        <f>VLOOKUP(Tabla18[[#This Row],[Concat2]],TablaPOA[[#All],[Concat]:[ConcatEspecial]],3,0)</f>
        <v>#N/A</v>
      </c>
      <c r="G873" s="65" t="str">
        <f>CONCATENATE(Registro!$A$6,"_",Tabla5[[#This Row],[Zona (Provincia)
&lt;&lt; Seleccionar&gt;&gt;]])</f>
        <v>Huánuco_</v>
      </c>
      <c r="H873" s="60" t="e">
        <f>VLOOKUP(Tabla18[[#This Row],[Concatenado***]],Tabla2[[#All],[Concatenado]:[Simbología*]],2,0)</f>
        <v>#N/A</v>
      </c>
      <c r="I873" s="65" t="str">
        <f>CONCATENATE(Tabla18[[#This Row],[Concatenado***]],"_",Tabla5[[#This Row],[Zona (Distrito)
&lt;&lt; Seleccionar&gt;&gt;]])</f>
        <v>Huánuco__</v>
      </c>
      <c r="J8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3" s="72" t="e">
        <f>VLOOKUP(Tabla5[[#This Row],[Tipo de Transporte Empleado
&lt;&lt; Seleccionar&gt;&gt;]],Tabla8[#All],2,0)</f>
        <v>#N/A</v>
      </c>
      <c r="L873" s="71" t="e">
        <f>#REF!+(#REF!*2)+#REF!</f>
        <v>#REF!</v>
      </c>
    </row>
    <row r="874" spans="1:12" x14ac:dyDescent="0.25">
      <c r="A874" s="328" t="e">
        <f>VLOOKUP(Tabla5[[#This Row],[Acción
&lt;&lt; Seleccionar&gt;&gt;]],TablaAccion[[#All],[Nombre_Abreviado]:[Codigo_Plan_Acción]],3,0)</f>
        <v>#N/A</v>
      </c>
      <c r="B874" s="328" t="e">
        <f>VLOOKUP(Tabla5[[#This Row],[Acción Especifica
&lt;&lt; Seleccionar&gt;&gt;]],TablaAccionEspecifica[[#All],[Nombre_Abreviado]:[Codigo_Acción]],3,0)</f>
        <v>#N/A</v>
      </c>
      <c r="C874" s="328" t="e">
        <f>CONCATENATE(Tabla18[[#This Row],[Bus_02]],"_",Tabla5[[#This Row],[Sub Acción Específica
&lt;&lt; Seleccionar&gt;&gt;]])</f>
        <v>#N/A</v>
      </c>
      <c r="D874" s="328" t="e">
        <f>VLOOKUP(Tabla18[[#This Row],[Aux_01]],TablaSubAccionEspecifica[[#All],[Concat]:[Cod_Sub_acción_especifica]],2,0)</f>
        <v>#N/A</v>
      </c>
      <c r="E874" s="328" t="e">
        <f>Tabla18[[#This Row],[Bus_03]]&amp;"_"&amp;Tabla5[[#This Row],[Tipo de Agente
&lt;&lt; Seleccionar&gt;&gt;]]</f>
        <v>#N/A</v>
      </c>
      <c r="F874" s="328" t="e">
        <f>VLOOKUP(Tabla18[[#This Row],[Concat2]],TablaPOA[[#All],[Concat]:[ConcatEspecial]],3,0)</f>
        <v>#N/A</v>
      </c>
      <c r="G874" s="65" t="str">
        <f>CONCATENATE(Registro!$A$6,"_",Tabla5[[#This Row],[Zona (Provincia)
&lt;&lt; Seleccionar&gt;&gt;]])</f>
        <v>Huánuco_</v>
      </c>
      <c r="H874" s="60" t="e">
        <f>VLOOKUP(Tabla18[[#This Row],[Concatenado***]],Tabla2[[#All],[Concatenado]:[Simbología*]],2,0)</f>
        <v>#N/A</v>
      </c>
      <c r="I874" s="65" t="str">
        <f>CONCATENATE(Tabla18[[#This Row],[Concatenado***]],"_",Tabla5[[#This Row],[Zona (Distrito)
&lt;&lt; Seleccionar&gt;&gt;]])</f>
        <v>Huánuco__</v>
      </c>
      <c r="J8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4" s="72" t="e">
        <f>VLOOKUP(Tabla5[[#This Row],[Tipo de Transporte Empleado
&lt;&lt; Seleccionar&gt;&gt;]],Tabla8[#All],2,0)</f>
        <v>#N/A</v>
      </c>
      <c r="L874" s="71" t="e">
        <f>#REF!+(#REF!*2)+#REF!</f>
        <v>#REF!</v>
      </c>
    </row>
    <row r="875" spans="1:12" x14ac:dyDescent="0.25">
      <c r="A875" s="328" t="e">
        <f>VLOOKUP(Tabla5[[#This Row],[Acción
&lt;&lt; Seleccionar&gt;&gt;]],TablaAccion[[#All],[Nombre_Abreviado]:[Codigo_Plan_Acción]],3,0)</f>
        <v>#N/A</v>
      </c>
      <c r="B875" s="328" t="e">
        <f>VLOOKUP(Tabla5[[#This Row],[Acción Especifica
&lt;&lt; Seleccionar&gt;&gt;]],TablaAccionEspecifica[[#All],[Nombre_Abreviado]:[Codigo_Acción]],3,0)</f>
        <v>#N/A</v>
      </c>
      <c r="C875" s="328" t="e">
        <f>CONCATENATE(Tabla18[[#This Row],[Bus_02]],"_",Tabla5[[#This Row],[Sub Acción Específica
&lt;&lt; Seleccionar&gt;&gt;]])</f>
        <v>#N/A</v>
      </c>
      <c r="D875" s="328" t="e">
        <f>VLOOKUP(Tabla18[[#This Row],[Aux_01]],TablaSubAccionEspecifica[[#All],[Concat]:[Cod_Sub_acción_especifica]],2,0)</f>
        <v>#N/A</v>
      </c>
      <c r="E875" s="328" t="e">
        <f>Tabla18[[#This Row],[Bus_03]]&amp;"_"&amp;Tabla5[[#This Row],[Tipo de Agente
&lt;&lt; Seleccionar&gt;&gt;]]</f>
        <v>#N/A</v>
      </c>
      <c r="F875" s="328" t="e">
        <f>VLOOKUP(Tabla18[[#This Row],[Concat2]],TablaPOA[[#All],[Concat]:[ConcatEspecial]],3,0)</f>
        <v>#N/A</v>
      </c>
      <c r="G875" s="65" t="str">
        <f>CONCATENATE(Registro!$A$6,"_",Tabla5[[#This Row],[Zona (Provincia)
&lt;&lt; Seleccionar&gt;&gt;]])</f>
        <v>Huánuco_</v>
      </c>
      <c r="H875" s="60" t="e">
        <f>VLOOKUP(Tabla18[[#This Row],[Concatenado***]],Tabla2[[#All],[Concatenado]:[Simbología*]],2,0)</f>
        <v>#N/A</v>
      </c>
      <c r="I875" s="65" t="str">
        <f>CONCATENATE(Tabla18[[#This Row],[Concatenado***]],"_",Tabla5[[#This Row],[Zona (Distrito)
&lt;&lt; Seleccionar&gt;&gt;]])</f>
        <v>Huánuco__</v>
      </c>
      <c r="J8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5" s="72" t="e">
        <f>VLOOKUP(Tabla5[[#This Row],[Tipo de Transporte Empleado
&lt;&lt; Seleccionar&gt;&gt;]],Tabla8[#All],2,0)</f>
        <v>#N/A</v>
      </c>
      <c r="L875" s="71" t="e">
        <f>#REF!+(#REF!*2)+#REF!</f>
        <v>#REF!</v>
      </c>
    </row>
    <row r="876" spans="1:12" x14ac:dyDescent="0.25">
      <c r="A876" s="328" t="e">
        <f>VLOOKUP(Tabla5[[#This Row],[Acción
&lt;&lt; Seleccionar&gt;&gt;]],TablaAccion[[#All],[Nombre_Abreviado]:[Codigo_Plan_Acción]],3,0)</f>
        <v>#N/A</v>
      </c>
      <c r="B876" s="328" t="e">
        <f>VLOOKUP(Tabla5[[#This Row],[Acción Especifica
&lt;&lt; Seleccionar&gt;&gt;]],TablaAccionEspecifica[[#All],[Nombre_Abreviado]:[Codigo_Acción]],3,0)</f>
        <v>#N/A</v>
      </c>
      <c r="C876" s="328" t="e">
        <f>CONCATENATE(Tabla18[[#This Row],[Bus_02]],"_",Tabla5[[#This Row],[Sub Acción Específica
&lt;&lt; Seleccionar&gt;&gt;]])</f>
        <v>#N/A</v>
      </c>
      <c r="D876" s="328" t="e">
        <f>VLOOKUP(Tabla18[[#This Row],[Aux_01]],TablaSubAccionEspecifica[[#All],[Concat]:[Cod_Sub_acción_especifica]],2,0)</f>
        <v>#N/A</v>
      </c>
      <c r="E876" s="328" t="e">
        <f>Tabla18[[#This Row],[Bus_03]]&amp;"_"&amp;Tabla5[[#This Row],[Tipo de Agente
&lt;&lt; Seleccionar&gt;&gt;]]</f>
        <v>#N/A</v>
      </c>
      <c r="F876" s="328" t="e">
        <f>VLOOKUP(Tabla18[[#This Row],[Concat2]],TablaPOA[[#All],[Concat]:[ConcatEspecial]],3,0)</f>
        <v>#N/A</v>
      </c>
      <c r="G876" s="65" t="str">
        <f>CONCATENATE(Registro!$A$6,"_",Tabla5[[#This Row],[Zona (Provincia)
&lt;&lt; Seleccionar&gt;&gt;]])</f>
        <v>Huánuco_</v>
      </c>
      <c r="H876" s="60" t="e">
        <f>VLOOKUP(Tabla18[[#This Row],[Concatenado***]],Tabla2[[#All],[Concatenado]:[Simbología*]],2,0)</f>
        <v>#N/A</v>
      </c>
      <c r="I876" s="65" t="str">
        <f>CONCATENATE(Tabla18[[#This Row],[Concatenado***]],"_",Tabla5[[#This Row],[Zona (Distrito)
&lt;&lt; Seleccionar&gt;&gt;]])</f>
        <v>Huánuco__</v>
      </c>
      <c r="J8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6" s="72" t="e">
        <f>VLOOKUP(Tabla5[[#This Row],[Tipo de Transporte Empleado
&lt;&lt; Seleccionar&gt;&gt;]],Tabla8[#All],2,0)</f>
        <v>#N/A</v>
      </c>
      <c r="L876" s="71" t="e">
        <f>#REF!+(#REF!*2)+#REF!</f>
        <v>#REF!</v>
      </c>
    </row>
    <row r="877" spans="1:12" x14ac:dyDescent="0.25">
      <c r="A877" s="328" t="e">
        <f>VLOOKUP(Tabla5[[#This Row],[Acción
&lt;&lt; Seleccionar&gt;&gt;]],TablaAccion[[#All],[Nombre_Abreviado]:[Codigo_Plan_Acción]],3,0)</f>
        <v>#N/A</v>
      </c>
      <c r="B877" s="328" t="e">
        <f>VLOOKUP(Tabla5[[#This Row],[Acción Especifica
&lt;&lt; Seleccionar&gt;&gt;]],TablaAccionEspecifica[[#All],[Nombre_Abreviado]:[Codigo_Acción]],3,0)</f>
        <v>#N/A</v>
      </c>
      <c r="C877" s="328" t="e">
        <f>CONCATENATE(Tabla18[[#This Row],[Bus_02]],"_",Tabla5[[#This Row],[Sub Acción Específica
&lt;&lt; Seleccionar&gt;&gt;]])</f>
        <v>#N/A</v>
      </c>
      <c r="D877" s="328" t="e">
        <f>VLOOKUP(Tabla18[[#This Row],[Aux_01]],TablaSubAccionEspecifica[[#All],[Concat]:[Cod_Sub_acción_especifica]],2,0)</f>
        <v>#N/A</v>
      </c>
      <c r="E877" s="328" t="e">
        <f>Tabla18[[#This Row],[Bus_03]]&amp;"_"&amp;Tabla5[[#This Row],[Tipo de Agente
&lt;&lt; Seleccionar&gt;&gt;]]</f>
        <v>#N/A</v>
      </c>
      <c r="F877" s="328" t="e">
        <f>VLOOKUP(Tabla18[[#This Row],[Concat2]],TablaPOA[[#All],[Concat]:[ConcatEspecial]],3,0)</f>
        <v>#N/A</v>
      </c>
      <c r="G877" s="65" t="str">
        <f>CONCATENATE(Registro!$A$6,"_",Tabla5[[#This Row],[Zona (Provincia)
&lt;&lt; Seleccionar&gt;&gt;]])</f>
        <v>Huánuco_</v>
      </c>
      <c r="H877" s="60" t="e">
        <f>VLOOKUP(Tabla18[[#This Row],[Concatenado***]],Tabla2[[#All],[Concatenado]:[Simbología*]],2,0)</f>
        <v>#N/A</v>
      </c>
      <c r="I877" s="65" t="str">
        <f>CONCATENATE(Tabla18[[#This Row],[Concatenado***]],"_",Tabla5[[#This Row],[Zona (Distrito)
&lt;&lt; Seleccionar&gt;&gt;]])</f>
        <v>Huánuco__</v>
      </c>
      <c r="J8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7" s="72" t="e">
        <f>VLOOKUP(Tabla5[[#This Row],[Tipo de Transporte Empleado
&lt;&lt; Seleccionar&gt;&gt;]],Tabla8[#All],2,0)</f>
        <v>#N/A</v>
      </c>
      <c r="L877" s="71" t="e">
        <f>#REF!+(#REF!*2)+#REF!</f>
        <v>#REF!</v>
      </c>
    </row>
    <row r="878" spans="1:12" x14ac:dyDescent="0.25">
      <c r="A878" s="328" t="e">
        <f>VLOOKUP(Tabla5[[#This Row],[Acción
&lt;&lt; Seleccionar&gt;&gt;]],TablaAccion[[#All],[Nombre_Abreviado]:[Codigo_Plan_Acción]],3,0)</f>
        <v>#N/A</v>
      </c>
      <c r="B878" s="328" t="e">
        <f>VLOOKUP(Tabla5[[#This Row],[Acción Especifica
&lt;&lt; Seleccionar&gt;&gt;]],TablaAccionEspecifica[[#All],[Nombre_Abreviado]:[Codigo_Acción]],3,0)</f>
        <v>#N/A</v>
      </c>
      <c r="C878" s="328" t="e">
        <f>CONCATENATE(Tabla18[[#This Row],[Bus_02]],"_",Tabla5[[#This Row],[Sub Acción Específica
&lt;&lt; Seleccionar&gt;&gt;]])</f>
        <v>#N/A</v>
      </c>
      <c r="D878" s="328" t="e">
        <f>VLOOKUP(Tabla18[[#This Row],[Aux_01]],TablaSubAccionEspecifica[[#All],[Concat]:[Cod_Sub_acción_especifica]],2,0)</f>
        <v>#N/A</v>
      </c>
      <c r="E878" s="328" t="e">
        <f>Tabla18[[#This Row],[Bus_03]]&amp;"_"&amp;Tabla5[[#This Row],[Tipo de Agente
&lt;&lt; Seleccionar&gt;&gt;]]</f>
        <v>#N/A</v>
      </c>
      <c r="F878" s="328" t="e">
        <f>VLOOKUP(Tabla18[[#This Row],[Concat2]],TablaPOA[[#All],[Concat]:[ConcatEspecial]],3,0)</f>
        <v>#N/A</v>
      </c>
      <c r="G878" s="65" t="str">
        <f>CONCATENATE(Registro!$A$6,"_",Tabla5[[#This Row],[Zona (Provincia)
&lt;&lt; Seleccionar&gt;&gt;]])</f>
        <v>Huánuco_</v>
      </c>
      <c r="H878" s="60" t="e">
        <f>VLOOKUP(Tabla18[[#This Row],[Concatenado***]],Tabla2[[#All],[Concatenado]:[Simbología*]],2,0)</f>
        <v>#N/A</v>
      </c>
      <c r="I878" s="65" t="str">
        <f>CONCATENATE(Tabla18[[#This Row],[Concatenado***]],"_",Tabla5[[#This Row],[Zona (Distrito)
&lt;&lt; Seleccionar&gt;&gt;]])</f>
        <v>Huánuco__</v>
      </c>
      <c r="J8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8" s="72" t="e">
        <f>VLOOKUP(Tabla5[[#This Row],[Tipo de Transporte Empleado
&lt;&lt; Seleccionar&gt;&gt;]],Tabla8[#All],2,0)</f>
        <v>#N/A</v>
      </c>
      <c r="L878" s="71" t="e">
        <f>#REF!+(#REF!*2)+#REF!</f>
        <v>#REF!</v>
      </c>
    </row>
    <row r="879" spans="1:12" x14ac:dyDescent="0.25">
      <c r="A879" s="328" t="e">
        <f>VLOOKUP(Tabla5[[#This Row],[Acción
&lt;&lt; Seleccionar&gt;&gt;]],TablaAccion[[#All],[Nombre_Abreviado]:[Codigo_Plan_Acción]],3,0)</f>
        <v>#N/A</v>
      </c>
      <c r="B879" s="328" t="e">
        <f>VLOOKUP(Tabla5[[#This Row],[Acción Especifica
&lt;&lt; Seleccionar&gt;&gt;]],TablaAccionEspecifica[[#All],[Nombre_Abreviado]:[Codigo_Acción]],3,0)</f>
        <v>#N/A</v>
      </c>
      <c r="C879" s="328" t="e">
        <f>CONCATENATE(Tabla18[[#This Row],[Bus_02]],"_",Tabla5[[#This Row],[Sub Acción Específica
&lt;&lt; Seleccionar&gt;&gt;]])</f>
        <v>#N/A</v>
      </c>
      <c r="D879" s="328" t="e">
        <f>VLOOKUP(Tabla18[[#This Row],[Aux_01]],TablaSubAccionEspecifica[[#All],[Concat]:[Cod_Sub_acción_especifica]],2,0)</f>
        <v>#N/A</v>
      </c>
      <c r="E879" s="328" t="e">
        <f>Tabla18[[#This Row],[Bus_03]]&amp;"_"&amp;Tabla5[[#This Row],[Tipo de Agente
&lt;&lt; Seleccionar&gt;&gt;]]</f>
        <v>#N/A</v>
      </c>
      <c r="F879" s="328" t="e">
        <f>VLOOKUP(Tabla18[[#This Row],[Concat2]],TablaPOA[[#All],[Concat]:[ConcatEspecial]],3,0)</f>
        <v>#N/A</v>
      </c>
      <c r="G879" s="65" t="str">
        <f>CONCATENATE(Registro!$A$6,"_",Tabla5[[#This Row],[Zona (Provincia)
&lt;&lt; Seleccionar&gt;&gt;]])</f>
        <v>Huánuco_</v>
      </c>
      <c r="H879" s="60" t="e">
        <f>VLOOKUP(Tabla18[[#This Row],[Concatenado***]],Tabla2[[#All],[Concatenado]:[Simbología*]],2,0)</f>
        <v>#N/A</v>
      </c>
      <c r="I879" s="65" t="str">
        <f>CONCATENATE(Tabla18[[#This Row],[Concatenado***]],"_",Tabla5[[#This Row],[Zona (Distrito)
&lt;&lt; Seleccionar&gt;&gt;]])</f>
        <v>Huánuco__</v>
      </c>
      <c r="J8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9" s="72" t="e">
        <f>VLOOKUP(Tabla5[[#This Row],[Tipo de Transporte Empleado
&lt;&lt; Seleccionar&gt;&gt;]],Tabla8[#All],2,0)</f>
        <v>#N/A</v>
      </c>
      <c r="L879" s="71" t="e">
        <f>#REF!+(#REF!*2)+#REF!</f>
        <v>#REF!</v>
      </c>
    </row>
    <row r="880" spans="1:12" x14ac:dyDescent="0.25">
      <c r="A880" s="328" t="e">
        <f>VLOOKUP(Tabla5[[#This Row],[Acción
&lt;&lt; Seleccionar&gt;&gt;]],TablaAccion[[#All],[Nombre_Abreviado]:[Codigo_Plan_Acción]],3,0)</f>
        <v>#N/A</v>
      </c>
      <c r="B880" s="328" t="e">
        <f>VLOOKUP(Tabla5[[#This Row],[Acción Especifica
&lt;&lt; Seleccionar&gt;&gt;]],TablaAccionEspecifica[[#All],[Nombre_Abreviado]:[Codigo_Acción]],3,0)</f>
        <v>#N/A</v>
      </c>
      <c r="C880" s="328" t="e">
        <f>CONCATENATE(Tabla18[[#This Row],[Bus_02]],"_",Tabla5[[#This Row],[Sub Acción Específica
&lt;&lt; Seleccionar&gt;&gt;]])</f>
        <v>#N/A</v>
      </c>
      <c r="D880" s="328" t="e">
        <f>VLOOKUP(Tabla18[[#This Row],[Aux_01]],TablaSubAccionEspecifica[[#All],[Concat]:[Cod_Sub_acción_especifica]],2,0)</f>
        <v>#N/A</v>
      </c>
      <c r="E880" s="328" t="e">
        <f>Tabla18[[#This Row],[Bus_03]]&amp;"_"&amp;Tabla5[[#This Row],[Tipo de Agente
&lt;&lt; Seleccionar&gt;&gt;]]</f>
        <v>#N/A</v>
      </c>
      <c r="F880" s="328" t="e">
        <f>VLOOKUP(Tabla18[[#This Row],[Concat2]],TablaPOA[[#All],[Concat]:[ConcatEspecial]],3,0)</f>
        <v>#N/A</v>
      </c>
      <c r="G880" s="65" t="str">
        <f>CONCATENATE(Registro!$A$6,"_",Tabla5[[#This Row],[Zona (Provincia)
&lt;&lt; Seleccionar&gt;&gt;]])</f>
        <v>Huánuco_</v>
      </c>
      <c r="H880" s="60" t="e">
        <f>VLOOKUP(Tabla18[[#This Row],[Concatenado***]],Tabla2[[#All],[Concatenado]:[Simbología*]],2,0)</f>
        <v>#N/A</v>
      </c>
      <c r="I880" s="65" t="str">
        <f>CONCATENATE(Tabla18[[#This Row],[Concatenado***]],"_",Tabla5[[#This Row],[Zona (Distrito)
&lt;&lt; Seleccionar&gt;&gt;]])</f>
        <v>Huánuco__</v>
      </c>
      <c r="J8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0" s="72" t="e">
        <f>VLOOKUP(Tabla5[[#This Row],[Tipo de Transporte Empleado
&lt;&lt; Seleccionar&gt;&gt;]],Tabla8[#All],2,0)</f>
        <v>#N/A</v>
      </c>
      <c r="L880" s="71" t="e">
        <f>#REF!+(#REF!*2)+#REF!</f>
        <v>#REF!</v>
      </c>
    </row>
    <row r="881" spans="1:12" x14ac:dyDescent="0.25">
      <c r="A881" s="328" t="e">
        <f>VLOOKUP(Tabla5[[#This Row],[Acción
&lt;&lt; Seleccionar&gt;&gt;]],TablaAccion[[#All],[Nombre_Abreviado]:[Codigo_Plan_Acción]],3,0)</f>
        <v>#N/A</v>
      </c>
      <c r="B881" s="328" t="e">
        <f>VLOOKUP(Tabla5[[#This Row],[Acción Especifica
&lt;&lt; Seleccionar&gt;&gt;]],TablaAccionEspecifica[[#All],[Nombre_Abreviado]:[Codigo_Acción]],3,0)</f>
        <v>#N/A</v>
      </c>
      <c r="C881" s="328" t="e">
        <f>CONCATENATE(Tabla18[[#This Row],[Bus_02]],"_",Tabla5[[#This Row],[Sub Acción Específica
&lt;&lt; Seleccionar&gt;&gt;]])</f>
        <v>#N/A</v>
      </c>
      <c r="D881" s="328" t="e">
        <f>VLOOKUP(Tabla18[[#This Row],[Aux_01]],TablaSubAccionEspecifica[[#All],[Concat]:[Cod_Sub_acción_especifica]],2,0)</f>
        <v>#N/A</v>
      </c>
      <c r="E881" s="328" t="e">
        <f>Tabla18[[#This Row],[Bus_03]]&amp;"_"&amp;Tabla5[[#This Row],[Tipo de Agente
&lt;&lt; Seleccionar&gt;&gt;]]</f>
        <v>#N/A</v>
      </c>
      <c r="F881" s="328" t="e">
        <f>VLOOKUP(Tabla18[[#This Row],[Concat2]],TablaPOA[[#All],[Concat]:[ConcatEspecial]],3,0)</f>
        <v>#N/A</v>
      </c>
      <c r="G881" s="65" t="str">
        <f>CONCATENATE(Registro!$A$6,"_",Tabla5[[#This Row],[Zona (Provincia)
&lt;&lt; Seleccionar&gt;&gt;]])</f>
        <v>Huánuco_</v>
      </c>
      <c r="H881" s="60" t="e">
        <f>VLOOKUP(Tabla18[[#This Row],[Concatenado***]],Tabla2[[#All],[Concatenado]:[Simbología*]],2,0)</f>
        <v>#N/A</v>
      </c>
      <c r="I881" s="65" t="str">
        <f>CONCATENATE(Tabla18[[#This Row],[Concatenado***]],"_",Tabla5[[#This Row],[Zona (Distrito)
&lt;&lt; Seleccionar&gt;&gt;]])</f>
        <v>Huánuco__</v>
      </c>
      <c r="J8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1" s="72" t="e">
        <f>VLOOKUP(Tabla5[[#This Row],[Tipo de Transporte Empleado
&lt;&lt; Seleccionar&gt;&gt;]],Tabla8[#All],2,0)</f>
        <v>#N/A</v>
      </c>
      <c r="L881" s="71" t="e">
        <f>#REF!+(#REF!*2)+#REF!</f>
        <v>#REF!</v>
      </c>
    </row>
    <row r="882" spans="1:12" x14ac:dyDescent="0.25">
      <c r="A882" s="328" t="e">
        <f>VLOOKUP(Tabla5[[#This Row],[Acción
&lt;&lt; Seleccionar&gt;&gt;]],TablaAccion[[#All],[Nombre_Abreviado]:[Codigo_Plan_Acción]],3,0)</f>
        <v>#N/A</v>
      </c>
      <c r="B882" s="328" t="e">
        <f>VLOOKUP(Tabla5[[#This Row],[Acción Especifica
&lt;&lt; Seleccionar&gt;&gt;]],TablaAccionEspecifica[[#All],[Nombre_Abreviado]:[Codigo_Acción]],3,0)</f>
        <v>#N/A</v>
      </c>
      <c r="C882" s="328" t="e">
        <f>CONCATENATE(Tabla18[[#This Row],[Bus_02]],"_",Tabla5[[#This Row],[Sub Acción Específica
&lt;&lt; Seleccionar&gt;&gt;]])</f>
        <v>#N/A</v>
      </c>
      <c r="D882" s="328" t="e">
        <f>VLOOKUP(Tabla18[[#This Row],[Aux_01]],TablaSubAccionEspecifica[[#All],[Concat]:[Cod_Sub_acción_especifica]],2,0)</f>
        <v>#N/A</v>
      </c>
      <c r="E882" s="328" t="e">
        <f>Tabla18[[#This Row],[Bus_03]]&amp;"_"&amp;Tabla5[[#This Row],[Tipo de Agente
&lt;&lt; Seleccionar&gt;&gt;]]</f>
        <v>#N/A</v>
      </c>
      <c r="F882" s="328" t="e">
        <f>VLOOKUP(Tabla18[[#This Row],[Concat2]],TablaPOA[[#All],[Concat]:[ConcatEspecial]],3,0)</f>
        <v>#N/A</v>
      </c>
      <c r="G882" s="65" t="str">
        <f>CONCATENATE(Registro!$A$6,"_",Tabla5[[#This Row],[Zona (Provincia)
&lt;&lt; Seleccionar&gt;&gt;]])</f>
        <v>Huánuco_</v>
      </c>
      <c r="H882" s="60" t="e">
        <f>VLOOKUP(Tabla18[[#This Row],[Concatenado***]],Tabla2[[#All],[Concatenado]:[Simbología*]],2,0)</f>
        <v>#N/A</v>
      </c>
      <c r="I882" s="65" t="str">
        <f>CONCATENATE(Tabla18[[#This Row],[Concatenado***]],"_",Tabla5[[#This Row],[Zona (Distrito)
&lt;&lt; Seleccionar&gt;&gt;]])</f>
        <v>Huánuco__</v>
      </c>
      <c r="J8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2" s="72" t="e">
        <f>VLOOKUP(Tabla5[[#This Row],[Tipo de Transporte Empleado
&lt;&lt; Seleccionar&gt;&gt;]],Tabla8[#All],2,0)</f>
        <v>#N/A</v>
      </c>
      <c r="L882" s="71" t="e">
        <f>#REF!+(#REF!*2)+#REF!</f>
        <v>#REF!</v>
      </c>
    </row>
    <row r="883" spans="1:12" x14ac:dyDescent="0.25">
      <c r="A883" s="328" t="e">
        <f>VLOOKUP(Tabla5[[#This Row],[Acción
&lt;&lt; Seleccionar&gt;&gt;]],TablaAccion[[#All],[Nombre_Abreviado]:[Codigo_Plan_Acción]],3,0)</f>
        <v>#N/A</v>
      </c>
      <c r="B883" s="328" t="e">
        <f>VLOOKUP(Tabla5[[#This Row],[Acción Especifica
&lt;&lt; Seleccionar&gt;&gt;]],TablaAccionEspecifica[[#All],[Nombre_Abreviado]:[Codigo_Acción]],3,0)</f>
        <v>#N/A</v>
      </c>
      <c r="C883" s="328" t="e">
        <f>CONCATENATE(Tabla18[[#This Row],[Bus_02]],"_",Tabla5[[#This Row],[Sub Acción Específica
&lt;&lt; Seleccionar&gt;&gt;]])</f>
        <v>#N/A</v>
      </c>
      <c r="D883" s="328" t="e">
        <f>VLOOKUP(Tabla18[[#This Row],[Aux_01]],TablaSubAccionEspecifica[[#All],[Concat]:[Cod_Sub_acción_especifica]],2,0)</f>
        <v>#N/A</v>
      </c>
      <c r="E883" s="328" t="e">
        <f>Tabla18[[#This Row],[Bus_03]]&amp;"_"&amp;Tabla5[[#This Row],[Tipo de Agente
&lt;&lt; Seleccionar&gt;&gt;]]</f>
        <v>#N/A</v>
      </c>
      <c r="F883" s="328" t="e">
        <f>VLOOKUP(Tabla18[[#This Row],[Concat2]],TablaPOA[[#All],[Concat]:[ConcatEspecial]],3,0)</f>
        <v>#N/A</v>
      </c>
      <c r="G883" s="65" t="str">
        <f>CONCATENATE(Registro!$A$6,"_",Tabla5[[#This Row],[Zona (Provincia)
&lt;&lt; Seleccionar&gt;&gt;]])</f>
        <v>Huánuco_</v>
      </c>
      <c r="H883" s="60" t="e">
        <f>VLOOKUP(Tabla18[[#This Row],[Concatenado***]],Tabla2[[#All],[Concatenado]:[Simbología*]],2,0)</f>
        <v>#N/A</v>
      </c>
      <c r="I883" s="65" t="str">
        <f>CONCATENATE(Tabla18[[#This Row],[Concatenado***]],"_",Tabla5[[#This Row],[Zona (Distrito)
&lt;&lt; Seleccionar&gt;&gt;]])</f>
        <v>Huánuco__</v>
      </c>
      <c r="J8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3" s="72" t="e">
        <f>VLOOKUP(Tabla5[[#This Row],[Tipo de Transporte Empleado
&lt;&lt; Seleccionar&gt;&gt;]],Tabla8[#All],2,0)</f>
        <v>#N/A</v>
      </c>
      <c r="L883" s="71" t="e">
        <f>#REF!+(#REF!*2)+#REF!</f>
        <v>#REF!</v>
      </c>
    </row>
    <row r="884" spans="1:12" x14ac:dyDescent="0.25">
      <c r="A884" s="328" t="e">
        <f>VLOOKUP(Tabla5[[#This Row],[Acción
&lt;&lt; Seleccionar&gt;&gt;]],TablaAccion[[#All],[Nombre_Abreviado]:[Codigo_Plan_Acción]],3,0)</f>
        <v>#N/A</v>
      </c>
      <c r="B884" s="328" t="e">
        <f>VLOOKUP(Tabla5[[#This Row],[Acción Especifica
&lt;&lt; Seleccionar&gt;&gt;]],TablaAccionEspecifica[[#All],[Nombre_Abreviado]:[Codigo_Acción]],3,0)</f>
        <v>#N/A</v>
      </c>
      <c r="C884" s="328" t="e">
        <f>CONCATENATE(Tabla18[[#This Row],[Bus_02]],"_",Tabla5[[#This Row],[Sub Acción Específica
&lt;&lt; Seleccionar&gt;&gt;]])</f>
        <v>#N/A</v>
      </c>
      <c r="D884" s="328" t="e">
        <f>VLOOKUP(Tabla18[[#This Row],[Aux_01]],TablaSubAccionEspecifica[[#All],[Concat]:[Cod_Sub_acción_especifica]],2,0)</f>
        <v>#N/A</v>
      </c>
      <c r="E884" s="328" t="e">
        <f>Tabla18[[#This Row],[Bus_03]]&amp;"_"&amp;Tabla5[[#This Row],[Tipo de Agente
&lt;&lt; Seleccionar&gt;&gt;]]</f>
        <v>#N/A</v>
      </c>
      <c r="F884" s="328" t="e">
        <f>VLOOKUP(Tabla18[[#This Row],[Concat2]],TablaPOA[[#All],[Concat]:[ConcatEspecial]],3,0)</f>
        <v>#N/A</v>
      </c>
      <c r="G884" s="65" t="str">
        <f>CONCATENATE(Registro!$A$6,"_",Tabla5[[#This Row],[Zona (Provincia)
&lt;&lt; Seleccionar&gt;&gt;]])</f>
        <v>Huánuco_</v>
      </c>
      <c r="H884" s="60" t="e">
        <f>VLOOKUP(Tabla18[[#This Row],[Concatenado***]],Tabla2[[#All],[Concatenado]:[Simbología*]],2,0)</f>
        <v>#N/A</v>
      </c>
      <c r="I884" s="65" t="str">
        <f>CONCATENATE(Tabla18[[#This Row],[Concatenado***]],"_",Tabla5[[#This Row],[Zona (Distrito)
&lt;&lt; Seleccionar&gt;&gt;]])</f>
        <v>Huánuco__</v>
      </c>
      <c r="J8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4" s="72" t="e">
        <f>VLOOKUP(Tabla5[[#This Row],[Tipo de Transporte Empleado
&lt;&lt; Seleccionar&gt;&gt;]],Tabla8[#All],2,0)</f>
        <v>#N/A</v>
      </c>
      <c r="L884" s="71" t="e">
        <f>#REF!+(#REF!*2)+#REF!</f>
        <v>#REF!</v>
      </c>
    </row>
    <row r="885" spans="1:12" x14ac:dyDescent="0.25">
      <c r="A885" s="328" t="e">
        <f>VLOOKUP(Tabla5[[#This Row],[Acción
&lt;&lt; Seleccionar&gt;&gt;]],TablaAccion[[#All],[Nombre_Abreviado]:[Codigo_Plan_Acción]],3,0)</f>
        <v>#N/A</v>
      </c>
      <c r="B885" s="328" t="e">
        <f>VLOOKUP(Tabla5[[#This Row],[Acción Especifica
&lt;&lt; Seleccionar&gt;&gt;]],TablaAccionEspecifica[[#All],[Nombre_Abreviado]:[Codigo_Acción]],3,0)</f>
        <v>#N/A</v>
      </c>
      <c r="C885" s="328" t="e">
        <f>CONCATENATE(Tabla18[[#This Row],[Bus_02]],"_",Tabla5[[#This Row],[Sub Acción Específica
&lt;&lt; Seleccionar&gt;&gt;]])</f>
        <v>#N/A</v>
      </c>
      <c r="D885" s="328" t="e">
        <f>VLOOKUP(Tabla18[[#This Row],[Aux_01]],TablaSubAccionEspecifica[[#All],[Concat]:[Cod_Sub_acción_especifica]],2,0)</f>
        <v>#N/A</v>
      </c>
      <c r="E885" s="328" t="e">
        <f>Tabla18[[#This Row],[Bus_03]]&amp;"_"&amp;Tabla5[[#This Row],[Tipo de Agente
&lt;&lt; Seleccionar&gt;&gt;]]</f>
        <v>#N/A</v>
      </c>
      <c r="F885" s="328" t="e">
        <f>VLOOKUP(Tabla18[[#This Row],[Concat2]],TablaPOA[[#All],[Concat]:[ConcatEspecial]],3,0)</f>
        <v>#N/A</v>
      </c>
      <c r="G885" s="65" t="str">
        <f>CONCATENATE(Registro!$A$6,"_",Tabla5[[#This Row],[Zona (Provincia)
&lt;&lt; Seleccionar&gt;&gt;]])</f>
        <v>Huánuco_</v>
      </c>
      <c r="H885" s="60" t="e">
        <f>VLOOKUP(Tabla18[[#This Row],[Concatenado***]],Tabla2[[#All],[Concatenado]:[Simbología*]],2,0)</f>
        <v>#N/A</v>
      </c>
      <c r="I885" s="65" t="str">
        <f>CONCATENATE(Tabla18[[#This Row],[Concatenado***]],"_",Tabla5[[#This Row],[Zona (Distrito)
&lt;&lt; Seleccionar&gt;&gt;]])</f>
        <v>Huánuco__</v>
      </c>
      <c r="J8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5" s="72" t="e">
        <f>VLOOKUP(Tabla5[[#This Row],[Tipo de Transporte Empleado
&lt;&lt; Seleccionar&gt;&gt;]],Tabla8[#All],2,0)</f>
        <v>#N/A</v>
      </c>
      <c r="L885" s="71" t="e">
        <f>#REF!+(#REF!*2)+#REF!</f>
        <v>#REF!</v>
      </c>
    </row>
    <row r="886" spans="1:12" x14ac:dyDescent="0.25">
      <c r="A886" s="328" t="e">
        <f>VLOOKUP(Tabla5[[#This Row],[Acción
&lt;&lt; Seleccionar&gt;&gt;]],TablaAccion[[#All],[Nombre_Abreviado]:[Codigo_Plan_Acción]],3,0)</f>
        <v>#N/A</v>
      </c>
      <c r="B886" s="328" t="e">
        <f>VLOOKUP(Tabla5[[#This Row],[Acción Especifica
&lt;&lt; Seleccionar&gt;&gt;]],TablaAccionEspecifica[[#All],[Nombre_Abreviado]:[Codigo_Acción]],3,0)</f>
        <v>#N/A</v>
      </c>
      <c r="C886" s="328" t="e">
        <f>CONCATENATE(Tabla18[[#This Row],[Bus_02]],"_",Tabla5[[#This Row],[Sub Acción Específica
&lt;&lt; Seleccionar&gt;&gt;]])</f>
        <v>#N/A</v>
      </c>
      <c r="D886" s="328" t="e">
        <f>VLOOKUP(Tabla18[[#This Row],[Aux_01]],TablaSubAccionEspecifica[[#All],[Concat]:[Cod_Sub_acción_especifica]],2,0)</f>
        <v>#N/A</v>
      </c>
      <c r="E886" s="328" t="e">
        <f>Tabla18[[#This Row],[Bus_03]]&amp;"_"&amp;Tabla5[[#This Row],[Tipo de Agente
&lt;&lt; Seleccionar&gt;&gt;]]</f>
        <v>#N/A</v>
      </c>
      <c r="F886" s="328" t="e">
        <f>VLOOKUP(Tabla18[[#This Row],[Concat2]],TablaPOA[[#All],[Concat]:[ConcatEspecial]],3,0)</f>
        <v>#N/A</v>
      </c>
      <c r="G886" s="65" t="str">
        <f>CONCATENATE(Registro!$A$6,"_",Tabla5[[#This Row],[Zona (Provincia)
&lt;&lt; Seleccionar&gt;&gt;]])</f>
        <v>Huánuco_</v>
      </c>
      <c r="H886" s="60" t="e">
        <f>VLOOKUP(Tabla18[[#This Row],[Concatenado***]],Tabla2[[#All],[Concatenado]:[Simbología*]],2,0)</f>
        <v>#N/A</v>
      </c>
      <c r="I886" s="65" t="str">
        <f>CONCATENATE(Tabla18[[#This Row],[Concatenado***]],"_",Tabla5[[#This Row],[Zona (Distrito)
&lt;&lt; Seleccionar&gt;&gt;]])</f>
        <v>Huánuco__</v>
      </c>
      <c r="J8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6" s="72" t="e">
        <f>VLOOKUP(Tabla5[[#This Row],[Tipo de Transporte Empleado
&lt;&lt; Seleccionar&gt;&gt;]],Tabla8[#All],2,0)</f>
        <v>#N/A</v>
      </c>
      <c r="L886" s="71" t="e">
        <f>#REF!+(#REF!*2)+#REF!</f>
        <v>#REF!</v>
      </c>
    </row>
    <row r="887" spans="1:12" x14ac:dyDescent="0.25">
      <c r="A887" s="328" t="e">
        <f>VLOOKUP(Tabla5[[#This Row],[Acción
&lt;&lt; Seleccionar&gt;&gt;]],TablaAccion[[#All],[Nombre_Abreviado]:[Codigo_Plan_Acción]],3,0)</f>
        <v>#N/A</v>
      </c>
      <c r="B887" s="328" t="e">
        <f>VLOOKUP(Tabla5[[#This Row],[Acción Especifica
&lt;&lt; Seleccionar&gt;&gt;]],TablaAccionEspecifica[[#All],[Nombre_Abreviado]:[Codigo_Acción]],3,0)</f>
        <v>#N/A</v>
      </c>
      <c r="C887" s="328" t="e">
        <f>CONCATENATE(Tabla18[[#This Row],[Bus_02]],"_",Tabla5[[#This Row],[Sub Acción Específica
&lt;&lt; Seleccionar&gt;&gt;]])</f>
        <v>#N/A</v>
      </c>
      <c r="D887" s="328" t="e">
        <f>VLOOKUP(Tabla18[[#This Row],[Aux_01]],TablaSubAccionEspecifica[[#All],[Concat]:[Cod_Sub_acción_especifica]],2,0)</f>
        <v>#N/A</v>
      </c>
      <c r="E887" s="328" t="e">
        <f>Tabla18[[#This Row],[Bus_03]]&amp;"_"&amp;Tabla5[[#This Row],[Tipo de Agente
&lt;&lt; Seleccionar&gt;&gt;]]</f>
        <v>#N/A</v>
      </c>
      <c r="F887" s="328" t="e">
        <f>VLOOKUP(Tabla18[[#This Row],[Concat2]],TablaPOA[[#All],[Concat]:[ConcatEspecial]],3,0)</f>
        <v>#N/A</v>
      </c>
      <c r="G887" s="65" t="str">
        <f>CONCATENATE(Registro!$A$6,"_",Tabla5[[#This Row],[Zona (Provincia)
&lt;&lt; Seleccionar&gt;&gt;]])</f>
        <v>Huánuco_</v>
      </c>
      <c r="H887" s="60" t="e">
        <f>VLOOKUP(Tabla18[[#This Row],[Concatenado***]],Tabla2[[#All],[Concatenado]:[Simbología*]],2,0)</f>
        <v>#N/A</v>
      </c>
      <c r="I887" s="65" t="str">
        <f>CONCATENATE(Tabla18[[#This Row],[Concatenado***]],"_",Tabla5[[#This Row],[Zona (Distrito)
&lt;&lt; Seleccionar&gt;&gt;]])</f>
        <v>Huánuco__</v>
      </c>
      <c r="J8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7" s="72" t="e">
        <f>VLOOKUP(Tabla5[[#This Row],[Tipo de Transporte Empleado
&lt;&lt; Seleccionar&gt;&gt;]],Tabla8[#All],2,0)</f>
        <v>#N/A</v>
      </c>
      <c r="L887" s="71" t="e">
        <f>#REF!+(#REF!*2)+#REF!</f>
        <v>#REF!</v>
      </c>
    </row>
    <row r="888" spans="1:12" x14ac:dyDescent="0.25">
      <c r="A888" s="328" t="e">
        <f>VLOOKUP(Tabla5[[#This Row],[Acción
&lt;&lt; Seleccionar&gt;&gt;]],TablaAccion[[#All],[Nombre_Abreviado]:[Codigo_Plan_Acción]],3,0)</f>
        <v>#N/A</v>
      </c>
      <c r="B888" s="328" t="e">
        <f>VLOOKUP(Tabla5[[#This Row],[Acción Especifica
&lt;&lt; Seleccionar&gt;&gt;]],TablaAccionEspecifica[[#All],[Nombre_Abreviado]:[Codigo_Acción]],3,0)</f>
        <v>#N/A</v>
      </c>
      <c r="C888" s="328" t="e">
        <f>CONCATENATE(Tabla18[[#This Row],[Bus_02]],"_",Tabla5[[#This Row],[Sub Acción Específica
&lt;&lt; Seleccionar&gt;&gt;]])</f>
        <v>#N/A</v>
      </c>
      <c r="D888" s="328" t="e">
        <f>VLOOKUP(Tabla18[[#This Row],[Aux_01]],TablaSubAccionEspecifica[[#All],[Concat]:[Cod_Sub_acción_especifica]],2,0)</f>
        <v>#N/A</v>
      </c>
      <c r="E888" s="328" t="e">
        <f>Tabla18[[#This Row],[Bus_03]]&amp;"_"&amp;Tabla5[[#This Row],[Tipo de Agente
&lt;&lt; Seleccionar&gt;&gt;]]</f>
        <v>#N/A</v>
      </c>
      <c r="F888" s="328" t="e">
        <f>VLOOKUP(Tabla18[[#This Row],[Concat2]],TablaPOA[[#All],[Concat]:[ConcatEspecial]],3,0)</f>
        <v>#N/A</v>
      </c>
      <c r="G888" s="65" t="str">
        <f>CONCATENATE(Registro!$A$6,"_",Tabla5[[#This Row],[Zona (Provincia)
&lt;&lt; Seleccionar&gt;&gt;]])</f>
        <v>Huánuco_</v>
      </c>
      <c r="H888" s="60" t="e">
        <f>VLOOKUP(Tabla18[[#This Row],[Concatenado***]],Tabla2[[#All],[Concatenado]:[Simbología*]],2,0)</f>
        <v>#N/A</v>
      </c>
      <c r="I888" s="65" t="str">
        <f>CONCATENATE(Tabla18[[#This Row],[Concatenado***]],"_",Tabla5[[#This Row],[Zona (Distrito)
&lt;&lt; Seleccionar&gt;&gt;]])</f>
        <v>Huánuco__</v>
      </c>
      <c r="J8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8" s="72" t="e">
        <f>VLOOKUP(Tabla5[[#This Row],[Tipo de Transporte Empleado
&lt;&lt; Seleccionar&gt;&gt;]],Tabla8[#All],2,0)</f>
        <v>#N/A</v>
      </c>
      <c r="L888" s="71" t="e">
        <f>#REF!+(#REF!*2)+#REF!</f>
        <v>#REF!</v>
      </c>
    </row>
    <row r="889" spans="1:12" x14ac:dyDescent="0.25">
      <c r="A889" s="328" t="e">
        <f>VLOOKUP(Tabla5[[#This Row],[Acción
&lt;&lt; Seleccionar&gt;&gt;]],TablaAccion[[#All],[Nombre_Abreviado]:[Codigo_Plan_Acción]],3,0)</f>
        <v>#N/A</v>
      </c>
      <c r="B889" s="328" t="e">
        <f>VLOOKUP(Tabla5[[#This Row],[Acción Especifica
&lt;&lt; Seleccionar&gt;&gt;]],TablaAccionEspecifica[[#All],[Nombre_Abreviado]:[Codigo_Acción]],3,0)</f>
        <v>#N/A</v>
      </c>
      <c r="C889" s="328" t="e">
        <f>CONCATENATE(Tabla18[[#This Row],[Bus_02]],"_",Tabla5[[#This Row],[Sub Acción Específica
&lt;&lt; Seleccionar&gt;&gt;]])</f>
        <v>#N/A</v>
      </c>
      <c r="D889" s="328" t="e">
        <f>VLOOKUP(Tabla18[[#This Row],[Aux_01]],TablaSubAccionEspecifica[[#All],[Concat]:[Cod_Sub_acción_especifica]],2,0)</f>
        <v>#N/A</v>
      </c>
      <c r="E889" s="328" t="e">
        <f>Tabla18[[#This Row],[Bus_03]]&amp;"_"&amp;Tabla5[[#This Row],[Tipo de Agente
&lt;&lt; Seleccionar&gt;&gt;]]</f>
        <v>#N/A</v>
      </c>
      <c r="F889" s="328" t="e">
        <f>VLOOKUP(Tabla18[[#This Row],[Concat2]],TablaPOA[[#All],[Concat]:[ConcatEspecial]],3,0)</f>
        <v>#N/A</v>
      </c>
      <c r="G889" s="65" t="str">
        <f>CONCATENATE(Registro!$A$6,"_",Tabla5[[#This Row],[Zona (Provincia)
&lt;&lt; Seleccionar&gt;&gt;]])</f>
        <v>Huánuco_</v>
      </c>
      <c r="H889" s="60" t="e">
        <f>VLOOKUP(Tabla18[[#This Row],[Concatenado***]],Tabla2[[#All],[Concatenado]:[Simbología*]],2,0)</f>
        <v>#N/A</v>
      </c>
      <c r="I889" s="65" t="str">
        <f>CONCATENATE(Tabla18[[#This Row],[Concatenado***]],"_",Tabla5[[#This Row],[Zona (Distrito)
&lt;&lt; Seleccionar&gt;&gt;]])</f>
        <v>Huánuco__</v>
      </c>
      <c r="J8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9" s="72" t="e">
        <f>VLOOKUP(Tabla5[[#This Row],[Tipo de Transporte Empleado
&lt;&lt; Seleccionar&gt;&gt;]],Tabla8[#All],2,0)</f>
        <v>#N/A</v>
      </c>
      <c r="L889" s="71" t="e">
        <f>#REF!+(#REF!*2)+#REF!</f>
        <v>#REF!</v>
      </c>
    </row>
    <row r="890" spans="1:12" x14ac:dyDescent="0.25">
      <c r="A890" s="328" t="e">
        <f>VLOOKUP(Tabla5[[#This Row],[Acción
&lt;&lt; Seleccionar&gt;&gt;]],TablaAccion[[#All],[Nombre_Abreviado]:[Codigo_Plan_Acción]],3,0)</f>
        <v>#N/A</v>
      </c>
      <c r="B890" s="328" t="e">
        <f>VLOOKUP(Tabla5[[#This Row],[Acción Especifica
&lt;&lt; Seleccionar&gt;&gt;]],TablaAccionEspecifica[[#All],[Nombre_Abreviado]:[Codigo_Acción]],3,0)</f>
        <v>#N/A</v>
      </c>
      <c r="C890" s="328" t="e">
        <f>CONCATENATE(Tabla18[[#This Row],[Bus_02]],"_",Tabla5[[#This Row],[Sub Acción Específica
&lt;&lt; Seleccionar&gt;&gt;]])</f>
        <v>#N/A</v>
      </c>
      <c r="D890" s="328" t="e">
        <f>VLOOKUP(Tabla18[[#This Row],[Aux_01]],TablaSubAccionEspecifica[[#All],[Concat]:[Cod_Sub_acción_especifica]],2,0)</f>
        <v>#N/A</v>
      </c>
      <c r="E890" s="328" t="e">
        <f>Tabla18[[#This Row],[Bus_03]]&amp;"_"&amp;Tabla5[[#This Row],[Tipo de Agente
&lt;&lt; Seleccionar&gt;&gt;]]</f>
        <v>#N/A</v>
      </c>
      <c r="F890" s="328" t="e">
        <f>VLOOKUP(Tabla18[[#This Row],[Concat2]],TablaPOA[[#All],[Concat]:[ConcatEspecial]],3,0)</f>
        <v>#N/A</v>
      </c>
      <c r="G890" s="65" t="str">
        <f>CONCATENATE(Registro!$A$6,"_",Tabla5[[#This Row],[Zona (Provincia)
&lt;&lt; Seleccionar&gt;&gt;]])</f>
        <v>Huánuco_</v>
      </c>
      <c r="H890" s="60" t="e">
        <f>VLOOKUP(Tabla18[[#This Row],[Concatenado***]],Tabla2[[#All],[Concatenado]:[Simbología*]],2,0)</f>
        <v>#N/A</v>
      </c>
      <c r="I890" s="65" t="str">
        <f>CONCATENATE(Tabla18[[#This Row],[Concatenado***]],"_",Tabla5[[#This Row],[Zona (Distrito)
&lt;&lt; Seleccionar&gt;&gt;]])</f>
        <v>Huánuco__</v>
      </c>
      <c r="J8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0" s="72" t="e">
        <f>VLOOKUP(Tabla5[[#This Row],[Tipo de Transporte Empleado
&lt;&lt; Seleccionar&gt;&gt;]],Tabla8[#All],2,0)</f>
        <v>#N/A</v>
      </c>
      <c r="L890" s="71" t="e">
        <f>#REF!+(#REF!*2)+#REF!</f>
        <v>#REF!</v>
      </c>
    </row>
    <row r="891" spans="1:12" x14ac:dyDescent="0.25">
      <c r="A891" s="328" t="e">
        <f>VLOOKUP(Tabla5[[#This Row],[Acción
&lt;&lt; Seleccionar&gt;&gt;]],TablaAccion[[#All],[Nombre_Abreviado]:[Codigo_Plan_Acción]],3,0)</f>
        <v>#N/A</v>
      </c>
      <c r="B891" s="328" t="e">
        <f>VLOOKUP(Tabla5[[#This Row],[Acción Especifica
&lt;&lt; Seleccionar&gt;&gt;]],TablaAccionEspecifica[[#All],[Nombre_Abreviado]:[Codigo_Acción]],3,0)</f>
        <v>#N/A</v>
      </c>
      <c r="C891" s="328" t="e">
        <f>CONCATENATE(Tabla18[[#This Row],[Bus_02]],"_",Tabla5[[#This Row],[Sub Acción Específica
&lt;&lt; Seleccionar&gt;&gt;]])</f>
        <v>#N/A</v>
      </c>
      <c r="D891" s="328" t="e">
        <f>VLOOKUP(Tabla18[[#This Row],[Aux_01]],TablaSubAccionEspecifica[[#All],[Concat]:[Cod_Sub_acción_especifica]],2,0)</f>
        <v>#N/A</v>
      </c>
      <c r="E891" s="328" t="e">
        <f>Tabla18[[#This Row],[Bus_03]]&amp;"_"&amp;Tabla5[[#This Row],[Tipo de Agente
&lt;&lt; Seleccionar&gt;&gt;]]</f>
        <v>#N/A</v>
      </c>
      <c r="F891" s="328" t="e">
        <f>VLOOKUP(Tabla18[[#This Row],[Concat2]],TablaPOA[[#All],[Concat]:[ConcatEspecial]],3,0)</f>
        <v>#N/A</v>
      </c>
      <c r="G891" s="65" t="str">
        <f>CONCATENATE(Registro!$A$6,"_",Tabla5[[#This Row],[Zona (Provincia)
&lt;&lt; Seleccionar&gt;&gt;]])</f>
        <v>Huánuco_</v>
      </c>
      <c r="H891" s="60" t="e">
        <f>VLOOKUP(Tabla18[[#This Row],[Concatenado***]],Tabla2[[#All],[Concatenado]:[Simbología*]],2,0)</f>
        <v>#N/A</v>
      </c>
      <c r="I891" s="65" t="str">
        <f>CONCATENATE(Tabla18[[#This Row],[Concatenado***]],"_",Tabla5[[#This Row],[Zona (Distrito)
&lt;&lt; Seleccionar&gt;&gt;]])</f>
        <v>Huánuco__</v>
      </c>
      <c r="J8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1" s="72" t="e">
        <f>VLOOKUP(Tabla5[[#This Row],[Tipo de Transporte Empleado
&lt;&lt; Seleccionar&gt;&gt;]],Tabla8[#All],2,0)</f>
        <v>#N/A</v>
      </c>
      <c r="L891" s="71" t="e">
        <f>#REF!+(#REF!*2)+#REF!</f>
        <v>#REF!</v>
      </c>
    </row>
    <row r="892" spans="1:12" x14ac:dyDescent="0.25">
      <c r="A892" s="328" t="e">
        <f>VLOOKUP(Tabla5[[#This Row],[Acción
&lt;&lt; Seleccionar&gt;&gt;]],TablaAccion[[#All],[Nombre_Abreviado]:[Codigo_Plan_Acción]],3,0)</f>
        <v>#N/A</v>
      </c>
      <c r="B892" s="328" t="e">
        <f>VLOOKUP(Tabla5[[#This Row],[Acción Especifica
&lt;&lt; Seleccionar&gt;&gt;]],TablaAccionEspecifica[[#All],[Nombre_Abreviado]:[Codigo_Acción]],3,0)</f>
        <v>#N/A</v>
      </c>
      <c r="C892" s="328" t="e">
        <f>CONCATENATE(Tabla18[[#This Row],[Bus_02]],"_",Tabla5[[#This Row],[Sub Acción Específica
&lt;&lt; Seleccionar&gt;&gt;]])</f>
        <v>#N/A</v>
      </c>
      <c r="D892" s="328" t="e">
        <f>VLOOKUP(Tabla18[[#This Row],[Aux_01]],TablaSubAccionEspecifica[[#All],[Concat]:[Cod_Sub_acción_especifica]],2,0)</f>
        <v>#N/A</v>
      </c>
      <c r="E892" s="328" t="e">
        <f>Tabla18[[#This Row],[Bus_03]]&amp;"_"&amp;Tabla5[[#This Row],[Tipo de Agente
&lt;&lt; Seleccionar&gt;&gt;]]</f>
        <v>#N/A</v>
      </c>
      <c r="F892" s="328" t="e">
        <f>VLOOKUP(Tabla18[[#This Row],[Concat2]],TablaPOA[[#All],[Concat]:[ConcatEspecial]],3,0)</f>
        <v>#N/A</v>
      </c>
      <c r="G892" s="65" t="str">
        <f>CONCATENATE(Registro!$A$6,"_",Tabla5[[#This Row],[Zona (Provincia)
&lt;&lt; Seleccionar&gt;&gt;]])</f>
        <v>Huánuco_</v>
      </c>
      <c r="H892" s="60" t="e">
        <f>VLOOKUP(Tabla18[[#This Row],[Concatenado***]],Tabla2[[#All],[Concatenado]:[Simbología*]],2,0)</f>
        <v>#N/A</v>
      </c>
      <c r="I892" s="65" t="str">
        <f>CONCATENATE(Tabla18[[#This Row],[Concatenado***]],"_",Tabla5[[#This Row],[Zona (Distrito)
&lt;&lt; Seleccionar&gt;&gt;]])</f>
        <v>Huánuco__</v>
      </c>
      <c r="J8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2" s="72" t="e">
        <f>VLOOKUP(Tabla5[[#This Row],[Tipo de Transporte Empleado
&lt;&lt; Seleccionar&gt;&gt;]],Tabla8[#All],2,0)</f>
        <v>#N/A</v>
      </c>
      <c r="L892" s="71" t="e">
        <f>#REF!+(#REF!*2)+#REF!</f>
        <v>#REF!</v>
      </c>
    </row>
    <row r="893" spans="1:12" x14ac:dyDescent="0.25">
      <c r="A893" s="328" t="e">
        <f>VLOOKUP(Tabla5[[#This Row],[Acción
&lt;&lt; Seleccionar&gt;&gt;]],TablaAccion[[#All],[Nombre_Abreviado]:[Codigo_Plan_Acción]],3,0)</f>
        <v>#N/A</v>
      </c>
      <c r="B893" s="328" t="e">
        <f>VLOOKUP(Tabla5[[#This Row],[Acción Especifica
&lt;&lt; Seleccionar&gt;&gt;]],TablaAccionEspecifica[[#All],[Nombre_Abreviado]:[Codigo_Acción]],3,0)</f>
        <v>#N/A</v>
      </c>
      <c r="C893" s="328" t="e">
        <f>CONCATENATE(Tabla18[[#This Row],[Bus_02]],"_",Tabla5[[#This Row],[Sub Acción Específica
&lt;&lt; Seleccionar&gt;&gt;]])</f>
        <v>#N/A</v>
      </c>
      <c r="D893" s="328" t="e">
        <f>VLOOKUP(Tabla18[[#This Row],[Aux_01]],TablaSubAccionEspecifica[[#All],[Concat]:[Cod_Sub_acción_especifica]],2,0)</f>
        <v>#N/A</v>
      </c>
      <c r="E893" s="328" t="e">
        <f>Tabla18[[#This Row],[Bus_03]]&amp;"_"&amp;Tabla5[[#This Row],[Tipo de Agente
&lt;&lt; Seleccionar&gt;&gt;]]</f>
        <v>#N/A</v>
      </c>
      <c r="F893" s="328" t="e">
        <f>VLOOKUP(Tabla18[[#This Row],[Concat2]],TablaPOA[[#All],[Concat]:[ConcatEspecial]],3,0)</f>
        <v>#N/A</v>
      </c>
      <c r="G893" s="65" t="str">
        <f>CONCATENATE(Registro!$A$6,"_",Tabla5[[#This Row],[Zona (Provincia)
&lt;&lt; Seleccionar&gt;&gt;]])</f>
        <v>Huánuco_</v>
      </c>
      <c r="H893" s="60" t="e">
        <f>VLOOKUP(Tabla18[[#This Row],[Concatenado***]],Tabla2[[#All],[Concatenado]:[Simbología*]],2,0)</f>
        <v>#N/A</v>
      </c>
      <c r="I893" s="65" t="str">
        <f>CONCATENATE(Tabla18[[#This Row],[Concatenado***]],"_",Tabla5[[#This Row],[Zona (Distrito)
&lt;&lt; Seleccionar&gt;&gt;]])</f>
        <v>Huánuco__</v>
      </c>
      <c r="J8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3" s="72" t="e">
        <f>VLOOKUP(Tabla5[[#This Row],[Tipo de Transporte Empleado
&lt;&lt; Seleccionar&gt;&gt;]],Tabla8[#All],2,0)</f>
        <v>#N/A</v>
      </c>
      <c r="L893" s="71" t="e">
        <f>#REF!+(#REF!*2)+#REF!</f>
        <v>#REF!</v>
      </c>
    </row>
    <row r="894" spans="1:12" x14ac:dyDescent="0.25">
      <c r="A894" s="328" t="e">
        <f>VLOOKUP(Tabla5[[#This Row],[Acción
&lt;&lt; Seleccionar&gt;&gt;]],TablaAccion[[#All],[Nombre_Abreviado]:[Codigo_Plan_Acción]],3,0)</f>
        <v>#N/A</v>
      </c>
      <c r="B894" s="328" t="e">
        <f>VLOOKUP(Tabla5[[#This Row],[Acción Especifica
&lt;&lt; Seleccionar&gt;&gt;]],TablaAccionEspecifica[[#All],[Nombre_Abreviado]:[Codigo_Acción]],3,0)</f>
        <v>#N/A</v>
      </c>
      <c r="C894" s="328" t="e">
        <f>CONCATENATE(Tabla18[[#This Row],[Bus_02]],"_",Tabla5[[#This Row],[Sub Acción Específica
&lt;&lt; Seleccionar&gt;&gt;]])</f>
        <v>#N/A</v>
      </c>
      <c r="D894" s="328" t="e">
        <f>VLOOKUP(Tabla18[[#This Row],[Aux_01]],TablaSubAccionEspecifica[[#All],[Concat]:[Cod_Sub_acción_especifica]],2,0)</f>
        <v>#N/A</v>
      </c>
      <c r="E894" s="328" t="e">
        <f>Tabla18[[#This Row],[Bus_03]]&amp;"_"&amp;Tabla5[[#This Row],[Tipo de Agente
&lt;&lt; Seleccionar&gt;&gt;]]</f>
        <v>#N/A</v>
      </c>
      <c r="F894" s="328" t="e">
        <f>VLOOKUP(Tabla18[[#This Row],[Concat2]],TablaPOA[[#All],[Concat]:[ConcatEspecial]],3,0)</f>
        <v>#N/A</v>
      </c>
      <c r="G894" s="65" t="str">
        <f>CONCATENATE(Registro!$A$6,"_",Tabla5[[#This Row],[Zona (Provincia)
&lt;&lt; Seleccionar&gt;&gt;]])</f>
        <v>Huánuco_</v>
      </c>
      <c r="H894" s="60" t="e">
        <f>VLOOKUP(Tabla18[[#This Row],[Concatenado***]],Tabla2[[#All],[Concatenado]:[Simbología*]],2,0)</f>
        <v>#N/A</v>
      </c>
      <c r="I894" s="65" t="str">
        <f>CONCATENATE(Tabla18[[#This Row],[Concatenado***]],"_",Tabla5[[#This Row],[Zona (Distrito)
&lt;&lt; Seleccionar&gt;&gt;]])</f>
        <v>Huánuco__</v>
      </c>
      <c r="J8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4" s="72" t="e">
        <f>VLOOKUP(Tabla5[[#This Row],[Tipo de Transporte Empleado
&lt;&lt; Seleccionar&gt;&gt;]],Tabla8[#All],2,0)</f>
        <v>#N/A</v>
      </c>
      <c r="L894" s="71" t="e">
        <f>#REF!+(#REF!*2)+#REF!</f>
        <v>#REF!</v>
      </c>
    </row>
    <row r="895" spans="1:12" x14ac:dyDescent="0.25">
      <c r="A895" s="328" t="e">
        <f>VLOOKUP(Tabla5[[#This Row],[Acción
&lt;&lt; Seleccionar&gt;&gt;]],TablaAccion[[#All],[Nombre_Abreviado]:[Codigo_Plan_Acción]],3,0)</f>
        <v>#N/A</v>
      </c>
      <c r="B895" s="328" t="e">
        <f>VLOOKUP(Tabla5[[#This Row],[Acción Especifica
&lt;&lt; Seleccionar&gt;&gt;]],TablaAccionEspecifica[[#All],[Nombre_Abreviado]:[Codigo_Acción]],3,0)</f>
        <v>#N/A</v>
      </c>
      <c r="C895" s="328" t="e">
        <f>CONCATENATE(Tabla18[[#This Row],[Bus_02]],"_",Tabla5[[#This Row],[Sub Acción Específica
&lt;&lt; Seleccionar&gt;&gt;]])</f>
        <v>#N/A</v>
      </c>
      <c r="D895" s="328" t="e">
        <f>VLOOKUP(Tabla18[[#This Row],[Aux_01]],TablaSubAccionEspecifica[[#All],[Concat]:[Cod_Sub_acción_especifica]],2,0)</f>
        <v>#N/A</v>
      </c>
      <c r="E895" s="328" t="e">
        <f>Tabla18[[#This Row],[Bus_03]]&amp;"_"&amp;Tabla5[[#This Row],[Tipo de Agente
&lt;&lt; Seleccionar&gt;&gt;]]</f>
        <v>#N/A</v>
      </c>
      <c r="F895" s="328" t="e">
        <f>VLOOKUP(Tabla18[[#This Row],[Concat2]],TablaPOA[[#All],[Concat]:[ConcatEspecial]],3,0)</f>
        <v>#N/A</v>
      </c>
      <c r="G895" s="65" t="str">
        <f>CONCATENATE(Registro!$A$6,"_",Tabla5[[#This Row],[Zona (Provincia)
&lt;&lt; Seleccionar&gt;&gt;]])</f>
        <v>Huánuco_</v>
      </c>
      <c r="H895" s="60" t="e">
        <f>VLOOKUP(Tabla18[[#This Row],[Concatenado***]],Tabla2[[#All],[Concatenado]:[Simbología*]],2,0)</f>
        <v>#N/A</v>
      </c>
      <c r="I895" s="65" t="str">
        <f>CONCATENATE(Tabla18[[#This Row],[Concatenado***]],"_",Tabla5[[#This Row],[Zona (Distrito)
&lt;&lt; Seleccionar&gt;&gt;]])</f>
        <v>Huánuco__</v>
      </c>
      <c r="J8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5" s="72" t="e">
        <f>VLOOKUP(Tabla5[[#This Row],[Tipo de Transporte Empleado
&lt;&lt; Seleccionar&gt;&gt;]],Tabla8[#All],2,0)</f>
        <v>#N/A</v>
      </c>
      <c r="L895" s="71" t="e">
        <f>#REF!+(#REF!*2)+#REF!</f>
        <v>#REF!</v>
      </c>
    </row>
    <row r="896" spans="1:12" x14ac:dyDescent="0.25">
      <c r="A896" s="328" t="e">
        <f>VLOOKUP(Tabla5[[#This Row],[Acción
&lt;&lt; Seleccionar&gt;&gt;]],TablaAccion[[#All],[Nombre_Abreviado]:[Codigo_Plan_Acción]],3,0)</f>
        <v>#N/A</v>
      </c>
      <c r="B896" s="328" t="e">
        <f>VLOOKUP(Tabla5[[#This Row],[Acción Especifica
&lt;&lt; Seleccionar&gt;&gt;]],TablaAccionEspecifica[[#All],[Nombre_Abreviado]:[Codigo_Acción]],3,0)</f>
        <v>#N/A</v>
      </c>
      <c r="C896" s="328" t="e">
        <f>CONCATENATE(Tabla18[[#This Row],[Bus_02]],"_",Tabla5[[#This Row],[Sub Acción Específica
&lt;&lt; Seleccionar&gt;&gt;]])</f>
        <v>#N/A</v>
      </c>
      <c r="D896" s="328" t="e">
        <f>VLOOKUP(Tabla18[[#This Row],[Aux_01]],TablaSubAccionEspecifica[[#All],[Concat]:[Cod_Sub_acción_especifica]],2,0)</f>
        <v>#N/A</v>
      </c>
      <c r="E896" s="328" t="e">
        <f>Tabla18[[#This Row],[Bus_03]]&amp;"_"&amp;Tabla5[[#This Row],[Tipo de Agente
&lt;&lt; Seleccionar&gt;&gt;]]</f>
        <v>#N/A</v>
      </c>
      <c r="F896" s="328" t="e">
        <f>VLOOKUP(Tabla18[[#This Row],[Concat2]],TablaPOA[[#All],[Concat]:[ConcatEspecial]],3,0)</f>
        <v>#N/A</v>
      </c>
      <c r="G896" s="65" t="str">
        <f>CONCATENATE(Registro!$A$6,"_",Tabla5[[#This Row],[Zona (Provincia)
&lt;&lt; Seleccionar&gt;&gt;]])</f>
        <v>Huánuco_</v>
      </c>
      <c r="H896" s="60" t="e">
        <f>VLOOKUP(Tabla18[[#This Row],[Concatenado***]],Tabla2[[#All],[Concatenado]:[Simbología*]],2,0)</f>
        <v>#N/A</v>
      </c>
      <c r="I896" s="65" t="str">
        <f>CONCATENATE(Tabla18[[#This Row],[Concatenado***]],"_",Tabla5[[#This Row],[Zona (Distrito)
&lt;&lt; Seleccionar&gt;&gt;]])</f>
        <v>Huánuco__</v>
      </c>
      <c r="J8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6" s="72" t="e">
        <f>VLOOKUP(Tabla5[[#This Row],[Tipo de Transporte Empleado
&lt;&lt; Seleccionar&gt;&gt;]],Tabla8[#All],2,0)</f>
        <v>#N/A</v>
      </c>
      <c r="L896" s="71" t="e">
        <f>#REF!+(#REF!*2)+#REF!</f>
        <v>#REF!</v>
      </c>
    </row>
    <row r="897" spans="1:12" x14ac:dyDescent="0.25">
      <c r="A897" s="328" t="e">
        <f>VLOOKUP(Tabla5[[#This Row],[Acción
&lt;&lt; Seleccionar&gt;&gt;]],TablaAccion[[#All],[Nombre_Abreviado]:[Codigo_Plan_Acción]],3,0)</f>
        <v>#N/A</v>
      </c>
      <c r="B897" s="328" t="e">
        <f>VLOOKUP(Tabla5[[#This Row],[Acción Especifica
&lt;&lt; Seleccionar&gt;&gt;]],TablaAccionEspecifica[[#All],[Nombre_Abreviado]:[Codigo_Acción]],3,0)</f>
        <v>#N/A</v>
      </c>
      <c r="C897" s="328" t="e">
        <f>CONCATENATE(Tabla18[[#This Row],[Bus_02]],"_",Tabla5[[#This Row],[Sub Acción Específica
&lt;&lt; Seleccionar&gt;&gt;]])</f>
        <v>#N/A</v>
      </c>
      <c r="D897" s="328" t="e">
        <f>VLOOKUP(Tabla18[[#This Row],[Aux_01]],TablaSubAccionEspecifica[[#All],[Concat]:[Cod_Sub_acción_especifica]],2,0)</f>
        <v>#N/A</v>
      </c>
      <c r="E897" s="328" t="e">
        <f>Tabla18[[#This Row],[Bus_03]]&amp;"_"&amp;Tabla5[[#This Row],[Tipo de Agente
&lt;&lt; Seleccionar&gt;&gt;]]</f>
        <v>#N/A</v>
      </c>
      <c r="F897" s="328" t="e">
        <f>VLOOKUP(Tabla18[[#This Row],[Concat2]],TablaPOA[[#All],[Concat]:[ConcatEspecial]],3,0)</f>
        <v>#N/A</v>
      </c>
      <c r="G897" s="65" t="str">
        <f>CONCATENATE(Registro!$A$6,"_",Tabla5[[#This Row],[Zona (Provincia)
&lt;&lt; Seleccionar&gt;&gt;]])</f>
        <v>Huánuco_</v>
      </c>
      <c r="H897" s="60" t="e">
        <f>VLOOKUP(Tabla18[[#This Row],[Concatenado***]],Tabla2[[#All],[Concatenado]:[Simbología*]],2,0)</f>
        <v>#N/A</v>
      </c>
      <c r="I897" s="65" t="str">
        <f>CONCATENATE(Tabla18[[#This Row],[Concatenado***]],"_",Tabla5[[#This Row],[Zona (Distrito)
&lt;&lt; Seleccionar&gt;&gt;]])</f>
        <v>Huánuco__</v>
      </c>
      <c r="J8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7" s="72" t="e">
        <f>VLOOKUP(Tabla5[[#This Row],[Tipo de Transporte Empleado
&lt;&lt; Seleccionar&gt;&gt;]],Tabla8[#All],2,0)</f>
        <v>#N/A</v>
      </c>
      <c r="L897" s="71" t="e">
        <f>#REF!+(#REF!*2)+#REF!</f>
        <v>#REF!</v>
      </c>
    </row>
    <row r="898" spans="1:12" x14ac:dyDescent="0.25">
      <c r="A898" s="328" t="e">
        <f>VLOOKUP(Tabla5[[#This Row],[Acción
&lt;&lt; Seleccionar&gt;&gt;]],TablaAccion[[#All],[Nombre_Abreviado]:[Codigo_Plan_Acción]],3,0)</f>
        <v>#N/A</v>
      </c>
      <c r="B898" s="328" t="e">
        <f>VLOOKUP(Tabla5[[#This Row],[Acción Especifica
&lt;&lt; Seleccionar&gt;&gt;]],TablaAccionEspecifica[[#All],[Nombre_Abreviado]:[Codigo_Acción]],3,0)</f>
        <v>#N/A</v>
      </c>
      <c r="C898" s="328" t="e">
        <f>CONCATENATE(Tabla18[[#This Row],[Bus_02]],"_",Tabla5[[#This Row],[Sub Acción Específica
&lt;&lt; Seleccionar&gt;&gt;]])</f>
        <v>#N/A</v>
      </c>
      <c r="D898" s="328" t="e">
        <f>VLOOKUP(Tabla18[[#This Row],[Aux_01]],TablaSubAccionEspecifica[[#All],[Concat]:[Cod_Sub_acción_especifica]],2,0)</f>
        <v>#N/A</v>
      </c>
      <c r="E898" s="328" t="e">
        <f>Tabla18[[#This Row],[Bus_03]]&amp;"_"&amp;Tabla5[[#This Row],[Tipo de Agente
&lt;&lt; Seleccionar&gt;&gt;]]</f>
        <v>#N/A</v>
      </c>
      <c r="F898" s="328" t="e">
        <f>VLOOKUP(Tabla18[[#This Row],[Concat2]],TablaPOA[[#All],[Concat]:[ConcatEspecial]],3,0)</f>
        <v>#N/A</v>
      </c>
      <c r="G898" s="65" t="str">
        <f>CONCATENATE(Registro!$A$6,"_",Tabla5[[#This Row],[Zona (Provincia)
&lt;&lt; Seleccionar&gt;&gt;]])</f>
        <v>Huánuco_</v>
      </c>
      <c r="H898" s="60" t="e">
        <f>VLOOKUP(Tabla18[[#This Row],[Concatenado***]],Tabla2[[#All],[Concatenado]:[Simbología*]],2,0)</f>
        <v>#N/A</v>
      </c>
      <c r="I898" s="65" t="str">
        <f>CONCATENATE(Tabla18[[#This Row],[Concatenado***]],"_",Tabla5[[#This Row],[Zona (Distrito)
&lt;&lt; Seleccionar&gt;&gt;]])</f>
        <v>Huánuco__</v>
      </c>
      <c r="J8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8" s="72" t="e">
        <f>VLOOKUP(Tabla5[[#This Row],[Tipo de Transporte Empleado
&lt;&lt; Seleccionar&gt;&gt;]],Tabla8[#All],2,0)</f>
        <v>#N/A</v>
      </c>
      <c r="L898" s="71" t="e">
        <f>#REF!+(#REF!*2)+#REF!</f>
        <v>#REF!</v>
      </c>
    </row>
    <row r="899" spans="1:12" x14ac:dyDescent="0.25">
      <c r="A899" s="328" t="e">
        <f>VLOOKUP(Tabla5[[#This Row],[Acción
&lt;&lt; Seleccionar&gt;&gt;]],TablaAccion[[#All],[Nombre_Abreviado]:[Codigo_Plan_Acción]],3,0)</f>
        <v>#N/A</v>
      </c>
      <c r="B899" s="328" t="e">
        <f>VLOOKUP(Tabla5[[#This Row],[Acción Especifica
&lt;&lt; Seleccionar&gt;&gt;]],TablaAccionEspecifica[[#All],[Nombre_Abreviado]:[Codigo_Acción]],3,0)</f>
        <v>#N/A</v>
      </c>
      <c r="C899" s="328" t="e">
        <f>CONCATENATE(Tabla18[[#This Row],[Bus_02]],"_",Tabla5[[#This Row],[Sub Acción Específica
&lt;&lt; Seleccionar&gt;&gt;]])</f>
        <v>#N/A</v>
      </c>
      <c r="D899" s="328" t="e">
        <f>VLOOKUP(Tabla18[[#This Row],[Aux_01]],TablaSubAccionEspecifica[[#All],[Concat]:[Cod_Sub_acción_especifica]],2,0)</f>
        <v>#N/A</v>
      </c>
      <c r="E899" s="328" t="e">
        <f>Tabla18[[#This Row],[Bus_03]]&amp;"_"&amp;Tabla5[[#This Row],[Tipo de Agente
&lt;&lt; Seleccionar&gt;&gt;]]</f>
        <v>#N/A</v>
      </c>
      <c r="F899" s="328" t="e">
        <f>VLOOKUP(Tabla18[[#This Row],[Concat2]],TablaPOA[[#All],[Concat]:[ConcatEspecial]],3,0)</f>
        <v>#N/A</v>
      </c>
      <c r="G899" s="65" t="str">
        <f>CONCATENATE(Registro!$A$6,"_",Tabla5[[#This Row],[Zona (Provincia)
&lt;&lt; Seleccionar&gt;&gt;]])</f>
        <v>Huánuco_</v>
      </c>
      <c r="H899" s="60" t="e">
        <f>VLOOKUP(Tabla18[[#This Row],[Concatenado***]],Tabla2[[#All],[Concatenado]:[Simbología*]],2,0)</f>
        <v>#N/A</v>
      </c>
      <c r="I899" s="65" t="str">
        <f>CONCATENATE(Tabla18[[#This Row],[Concatenado***]],"_",Tabla5[[#This Row],[Zona (Distrito)
&lt;&lt; Seleccionar&gt;&gt;]])</f>
        <v>Huánuco__</v>
      </c>
      <c r="J8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9" s="72" t="e">
        <f>VLOOKUP(Tabla5[[#This Row],[Tipo de Transporte Empleado
&lt;&lt; Seleccionar&gt;&gt;]],Tabla8[#All],2,0)</f>
        <v>#N/A</v>
      </c>
      <c r="L899" s="71" t="e">
        <f>#REF!+(#REF!*2)+#REF!</f>
        <v>#REF!</v>
      </c>
    </row>
    <row r="900" spans="1:12" x14ac:dyDescent="0.25">
      <c r="A900" s="328" t="e">
        <f>VLOOKUP(Tabla5[[#This Row],[Acción
&lt;&lt; Seleccionar&gt;&gt;]],TablaAccion[[#All],[Nombre_Abreviado]:[Codigo_Plan_Acción]],3,0)</f>
        <v>#N/A</v>
      </c>
      <c r="B900" s="328" t="e">
        <f>VLOOKUP(Tabla5[[#This Row],[Acción Especifica
&lt;&lt; Seleccionar&gt;&gt;]],TablaAccionEspecifica[[#All],[Nombre_Abreviado]:[Codigo_Acción]],3,0)</f>
        <v>#N/A</v>
      </c>
      <c r="C900" s="328" t="e">
        <f>CONCATENATE(Tabla18[[#This Row],[Bus_02]],"_",Tabla5[[#This Row],[Sub Acción Específica
&lt;&lt; Seleccionar&gt;&gt;]])</f>
        <v>#N/A</v>
      </c>
      <c r="D900" s="328" t="e">
        <f>VLOOKUP(Tabla18[[#This Row],[Aux_01]],TablaSubAccionEspecifica[[#All],[Concat]:[Cod_Sub_acción_especifica]],2,0)</f>
        <v>#N/A</v>
      </c>
      <c r="E900" s="328" t="e">
        <f>Tabla18[[#This Row],[Bus_03]]&amp;"_"&amp;Tabla5[[#This Row],[Tipo de Agente
&lt;&lt; Seleccionar&gt;&gt;]]</f>
        <v>#N/A</v>
      </c>
      <c r="F900" s="328" t="e">
        <f>VLOOKUP(Tabla18[[#This Row],[Concat2]],TablaPOA[[#All],[Concat]:[ConcatEspecial]],3,0)</f>
        <v>#N/A</v>
      </c>
      <c r="G900" s="65" t="str">
        <f>CONCATENATE(Registro!$A$6,"_",Tabla5[[#This Row],[Zona (Provincia)
&lt;&lt; Seleccionar&gt;&gt;]])</f>
        <v>Huánuco_</v>
      </c>
      <c r="H900" s="60" t="e">
        <f>VLOOKUP(Tabla18[[#This Row],[Concatenado***]],Tabla2[[#All],[Concatenado]:[Simbología*]],2,0)</f>
        <v>#N/A</v>
      </c>
      <c r="I900" s="65" t="str">
        <f>CONCATENATE(Tabla18[[#This Row],[Concatenado***]],"_",Tabla5[[#This Row],[Zona (Distrito)
&lt;&lt; Seleccionar&gt;&gt;]])</f>
        <v>Huánuco__</v>
      </c>
      <c r="J9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0" s="72" t="e">
        <f>VLOOKUP(Tabla5[[#This Row],[Tipo de Transporte Empleado
&lt;&lt; Seleccionar&gt;&gt;]],Tabla8[#All],2,0)</f>
        <v>#N/A</v>
      </c>
      <c r="L900" s="71" t="e">
        <f>#REF!+(#REF!*2)+#REF!</f>
        <v>#REF!</v>
      </c>
    </row>
    <row r="901" spans="1:12" x14ac:dyDescent="0.25">
      <c r="A901" s="328" t="e">
        <f>VLOOKUP(Tabla5[[#This Row],[Acción
&lt;&lt; Seleccionar&gt;&gt;]],TablaAccion[[#All],[Nombre_Abreviado]:[Codigo_Plan_Acción]],3,0)</f>
        <v>#N/A</v>
      </c>
      <c r="B901" s="328" t="e">
        <f>VLOOKUP(Tabla5[[#This Row],[Acción Especifica
&lt;&lt; Seleccionar&gt;&gt;]],TablaAccionEspecifica[[#All],[Nombre_Abreviado]:[Codigo_Acción]],3,0)</f>
        <v>#N/A</v>
      </c>
      <c r="C901" s="328" t="e">
        <f>CONCATENATE(Tabla18[[#This Row],[Bus_02]],"_",Tabla5[[#This Row],[Sub Acción Específica
&lt;&lt; Seleccionar&gt;&gt;]])</f>
        <v>#N/A</v>
      </c>
      <c r="D901" s="328" t="e">
        <f>VLOOKUP(Tabla18[[#This Row],[Aux_01]],TablaSubAccionEspecifica[[#All],[Concat]:[Cod_Sub_acción_especifica]],2,0)</f>
        <v>#N/A</v>
      </c>
      <c r="E901" s="328" t="e">
        <f>Tabla18[[#This Row],[Bus_03]]&amp;"_"&amp;Tabla5[[#This Row],[Tipo de Agente
&lt;&lt; Seleccionar&gt;&gt;]]</f>
        <v>#N/A</v>
      </c>
      <c r="F901" s="328" t="e">
        <f>VLOOKUP(Tabla18[[#This Row],[Concat2]],TablaPOA[[#All],[Concat]:[ConcatEspecial]],3,0)</f>
        <v>#N/A</v>
      </c>
      <c r="G901" s="65" t="str">
        <f>CONCATENATE(Registro!$A$6,"_",Tabla5[[#This Row],[Zona (Provincia)
&lt;&lt; Seleccionar&gt;&gt;]])</f>
        <v>Huánuco_</v>
      </c>
      <c r="H901" s="60" t="e">
        <f>VLOOKUP(Tabla18[[#This Row],[Concatenado***]],Tabla2[[#All],[Concatenado]:[Simbología*]],2,0)</f>
        <v>#N/A</v>
      </c>
      <c r="I901" s="65" t="str">
        <f>CONCATENATE(Tabla18[[#This Row],[Concatenado***]],"_",Tabla5[[#This Row],[Zona (Distrito)
&lt;&lt; Seleccionar&gt;&gt;]])</f>
        <v>Huánuco__</v>
      </c>
      <c r="J9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1" s="72" t="e">
        <f>VLOOKUP(Tabla5[[#This Row],[Tipo de Transporte Empleado
&lt;&lt; Seleccionar&gt;&gt;]],Tabla8[#All],2,0)</f>
        <v>#N/A</v>
      </c>
      <c r="L901" s="71" t="e">
        <f>#REF!+(#REF!*2)+#REF!</f>
        <v>#REF!</v>
      </c>
    </row>
    <row r="902" spans="1:12" x14ac:dyDescent="0.25">
      <c r="A902" s="328" t="e">
        <f>VLOOKUP(Tabla5[[#This Row],[Acción
&lt;&lt; Seleccionar&gt;&gt;]],TablaAccion[[#All],[Nombre_Abreviado]:[Codigo_Plan_Acción]],3,0)</f>
        <v>#N/A</v>
      </c>
      <c r="B902" s="328" t="e">
        <f>VLOOKUP(Tabla5[[#This Row],[Acción Especifica
&lt;&lt; Seleccionar&gt;&gt;]],TablaAccionEspecifica[[#All],[Nombre_Abreviado]:[Codigo_Acción]],3,0)</f>
        <v>#N/A</v>
      </c>
      <c r="C902" s="328" t="e">
        <f>CONCATENATE(Tabla18[[#This Row],[Bus_02]],"_",Tabla5[[#This Row],[Sub Acción Específica
&lt;&lt; Seleccionar&gt;&gt;]])</f>
        <v>#N/A</v>
      </c>
      <c r="D902" s="328" t="e">
        <f>VLOOKUP(Tabla18[[#This Row],[Aux_01]],TablaSubAccionEspecifica[[#All],[Concat]:[Cod_Sub_acción_especifica]],2,0)</f>
        <v>#N/A</v>
      </c>
      <c r="E902" s="328" t="e">
        <f>Tabla18[[#This Row],[Bus_03]]&amp;"_"&amp;Tabla5[[#This Row],[Tipo de Agente
&lt;&lt; Seleccionar&gt;&gt;]]</f>
        <v>#N/A</v>
      </c>
      <c r="F902" s="328" t="e">
        <f>VLOOKUP(Tabla18[[#This Row],[Concat2]],TablaPOA[[#All],[Concat]:[ConcatEspecial]],3,0)</f>
        <v>#N/A</v>
      </c>
      <c r="G902" s="65" t="str">
        <f>CONCATENATE(Registro!$A$6,"_",Tabla5[[#This Row],[Zona (Provincia)
&lt;&lt; Seleccionar&gt;&gt;]])</f>
        <v>Huánuco_</v>
      </c>
      <c r="H902" s="60" t="e">
        <f>VLOOKUP(Tabla18[[#This Row],[Concatenado***]],Tabla2[[#All],[Concatenado]:[Simbología*]],2,0)</f>
        <v>#N/A</v>
      </c>
      <c r="I902" s="65" t="str">
        <f>CONCATENATE(Tabla18[[#This Row],[Concatenado***]],"_",Tabla5[[#This Row],[Zona (Distrito)
&lt;&lt; Seleccionar&gt;&gt;]])</f>
        <v>Huánuco__</v>
      </c>
      <c r="J9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2" s="72" t="e">
        <f>VLOOKUP(Tabla5[[#This Row],[Tipo de Transporte Empleado
&lt;&lt; Seleccionar&gt;&gt;]],Tabla8[#All],2,0)</f>
        <v>#N/A</v>
      </c>
      <c r="L902" s="71" t="e">
        <f>#REF!+(#REF!*2)+#REF!</f>
        <v>#REF!</v>
      </c>
    </row>
    <row r="903" spans="1:12" x14ac:dyDescent="0.25">
      <c r="A903" s="328" t="e">
        <f>VLOOKUP(Tabla5[[#This Row],[Acción
&lt;&lt; Seleccionar&gt;&gt;]],TablaAccion[[#All],[Nombre_Abreviado]:[Codigo_Plan_Acción]],3,0)</f>
        <v>#N/A</v>
      </c>
      <c r="B903" s="328" t="e">
        <f>VLOOKUP(Tabla5[[#This Row],[Acción Especifica
&lt;&lt; Seleccionar&gt;&gt;]],TablaAccionEspecifica[[#All],[Nombre_Abreviado]:[Codigo_Acción]],3,0)</f>
        <v>#N/A</v>
      </c>
      <c r="C903" s="328" t="e">
        <f>CONCATENATE(Tabla18[[#This Row],[Bus_02]],"_",Tabla5[[#This Row],[Sub Acción Específica
&lt;&lt; Seleccionar&gt;&gt;]])</f>
        <v>#N/A</v>
      </c>
      <c r="D903" s="328" t="e">
        <f>VLOOKUP(Tabla18[[#This Row],[Aux_01]],TablaSubAccionEspecifica[[#All],[Concat]:[Cod_Sub_acción_especifica]],2,0)</f>
        <v>#N/A</v>
      </c>
      <c r="E903" s="328" t="e">
        <f>Tabla18[[#This Row],[Bus_03]]&amp;"_"&amp;Tabla5[[#This Row],[Tipo de Agente
&lt;&lt; Seleccionar&gt;&gt;]]</f>
        <v>#N/A</v>
      </c>
      <c r="F903" s="328" t="e">
        <f>VLOOKUP(Tabla18[[#This Row],[Concat2]],TablaPOA[[#All],[Concat]:[ConcatEspecial]],3,0)</f>
        <v>#N/A</v>
      </c>
      <c r="G903" s="65" t="str">
        <f>CONCATENATE(Registro!$A$6,"_",Tabla5[[#This Row],[Zona (Provincia)
&lt;&lt; Seleccionar&gt;&gt;]])</f>
        <v>Huánuco_</v>
      </c>
      <c r="H903" s="60" t="e">
        <f>VLOOKUP(Tabla18[[#This Row],[Concatenado***]],Tabla2[[#All],[Concatenado]:[Simbología*]],2,0)</f>
        <v>#N/A</v>
      </c>
      <c r="I903" s="65" t="str">
        <f>CONCATENATE(Tabla18[[#This Row],[Concatenado***]],"_",Tabla5[[#This Row],[Zona (Distrito)
&lt;&lt; Seleccionar&gt;&gt;]])</f>
        <v>Huánuco__</v>
      </c>
      <c r="J9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3" s="72" t="e">
        <f>VLOOKUP(Tabla5[[#This Row],[Tipo de Transporte Empleado
&lt;&lt; Seleccionar&gt;&gt;]],Tabla8[#All],2,0)</f>
        <v>#N/A</v>
      </c>
      <c r="L903" s="71" t="e">
        <f>#REF!+(#REF!*2)+#REF!</f>
        <v>#REF!</v>
      </c>
    </row>
    <row r="904" spans="1:12" x14ac:dyDescent="0.25">
      <c r="A904" s="328" t="e">
        <f>VLOOKUP(Tabla5[[#This Row],[Acción
&lt;&lt; Seleccionar&gt;&gt;]],TablaAccion[[#All],[Nombre_Abreviado]:[Codigo_Plan_Acción]],3,0)</f>
        <v>#N/A</v>
      </c>
      <c r="B904" s="328" t="e">
        <f>VLOOKUP(Tabla5[[#This Row],[Acción Especifica
&lt;&lt; Seleccionar&gt;&gt;]],TablaAccionEspecifica[[#All],[Nombre_Abreviado]:[Codigo_Acción]],3,0)</f>
        <v>#N/A</v>
      </c>
      <c r="C904" s="328" t="e">
        <f>CONCATENATE(Tabla18[[#This Row],[Bus_02]],"_",Tabla5[[#This Row],[Sub Acción Específica
&lt;&lt; Seleccionar&gt;&gt;]])</f>
        <v>#N/A</v>
      </c>
      <c r="D904" s="328" t="e">
        <f>VLOOKUP(Tabla18[[#This Row],[Aux_01]],TablaSubAccionEspecifica[[#All],[Concat]:[Cod_Sub_acción_especifica]],2,0)</f>
        <v>#N/A</v>
      </c>
      <c r="E904" s="328" t="e">
        <f>Tabla18[[#This Row],[Bus_03]]&amp;"_"&amp;Tabla5[[#This Row],[Tipo de Agente
&lt;&lt; Seleccionar&gt;&gt;]]</f>
        <v>#N/A</v>
      </c>
      <c r="F904" s="328" t="e">
        <f>VLOOKUP(Tabla18[[#This Row],[Concat2]],TablaPOA[[#All],[Concat]:[ConcatEspecial]],3,0)</f>
        <v>#N/A</v>
      </c>
      <c r="G904" s="65" t="str">
        <f>CONCATENATE(Registro!$A$6,"_",Tabla5[[#This Row],[Zona (Provincia)
&lt;&lt; Seleccionar&gt;&gt;]])</f>
        <v>Huánuco_</v>
      </c>
      <c r="H904" s="60" t="e">
        <f>VLOOKUP(Tabla18[[#This Row],[Concatenado***]],Tabla2[[#All],[Concatenado]:[Simbología*]],2,0)</f>
        <v>#N/A</v>
      </c>
      <c r="I904" s="65" t="str">
        <f>CONCATENATE(Tabla18[[#This Row],[Concatenado***]],"_",Tabla5[[#This Row],[Zona (Distrito)
&lt;&lt; Seleccionar&gt;&gt;]])</f>
        <v>Huánuco__</v>
      </c>
      <c r="J9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4" s="72" t="e">
        <f>VLOOKUP(Tabla5[[#This Row],[Tipo de Transporte Empleado
&lt;&lt; Seleccionar&gt;&gt;]],Tabla8[#All],2,0)</f>
        <v>#N/A</v>
      </c>
      <c r="L904" s="71" t="e">
        <f>#REF!+(#REF!*2)+#REF!</f>
        <v>#REF!</v>
      </c>
    </row>
    <row r="905" spans="1:12" x14ac:dyDescent="0.25">
      <c r="A905" s="328" t="e">
        <f>VLOOKUP(Tabla5[[#This Row],[Acción
&lt;&lt; Seleccionar&gt;&gt;]],TablaAccion[[#All],[Nombre_Abreviado]:[Codigo_Plan_Acción]],3,0)</f>
        <v>#N/A</v>
      </c>
      <c r="B905" s="328" t="e">
        <f>VLOOKUP(Tabla5[[#This Row],[Acción Especifica
&lt;&lt; Seleccionar&gt;&gt;]],TablaAccionEspecifica[[#All],[Nombre_Abreviado]:[Codigo_Acción]],3,0)</f>
        <v>#N/A</v>
      </c>
      <c r="C905" s="328" t="e">
        <f>CONCATENATE(Tabla18[[#This Row],[Bus_02]],"_",Tabla5[[#This Row],[Sub Acción Específica
&lt;&lt; Seleccionar&gt;&gt;]])</f>
        <v>#N/A</v>
      </c>
      <c r="D905" s="328" t="e">
        <f>VLOOKUP(Tabla18[[#This Row],[Aux_01]],TablaSubAccionEspecifica[[#All],[Concat]:[Cod_Sub_acción_especifica]],2,0)</f>
        <v>#N/A</v>
      </c>
      <c r="E905" s="328" t="e">
        <f>Tabla18[[#This Row],[Bus_03]]&amp;"_"&amp;Tabla5[[#This Row],[Tipo de Agente
&lt;&lt; Seleccionar&gt;&gt;]]</f>
        <v>#N/A</v>
      </c>
      <c r="F905" s="328" t="e">
        <f>VLOOKUP(Tabla18[[#This Row],[Concat2]],TablaPOA[[#All],[Concat]:[ConcatEspecial]],3,0)</f>
        <v>#N/A</v>
      </c>
      <c r="G905" s="65" t="str">
        <f>CONCATENATE(Registro!$A$6,"_",Tabla5[[#This Row],[Zona (Provincia)
&lt;&lt; Seleccionar&gt;&gt;]])</f>
        <v>Huánuco_</v>
      </c>
      <c r="H905" s="60" t="e">
        <f>VLOOKUP(Tabla18[[#This Row],[Concatenado***]],Tabla2[[#All],[Concatenado]:[Simbología*]],2,0)</f>
        <v>#N/A</v>
      </c>
      <c r="I905" s="65" t="str">
        <f>CONCATENATE(Tabla18[[#This Row],[Concatenado***]],"_",Tabla5[[#This Row],[Zona (Distrito)
&lt;&lt; Seleccionar&gt;&gt;]])</f>
        <v>Huánuco__</v>
      </c>
      <c r="J9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5" s="72" t="e">
        <f>VLOOKUP(Tabla5[[#This Row],[Tipo de Transporte Empleado
&lt;&lt; Seleccionar&gt;&gt;]],Tabla8[#All],2,0)</f>
        <v>#N/A</v>
      </c>
      <c r="L905" s="71" t="e">
        <f>#REF!+(#REF!*2)+#REF!</f>
        <v>#REF!</v>
      </c>
    </row>
    <row r="906" spans="1:12" x14ac:dyDescent="0.25">
      <c r="A906" s="328" t="e">
        <f>VLOOKUP(Tabla5[[#This Row],[Acción
&lt;&lt; Seleccionar&gt;&gt;]],TablaAccion[[#All],[Nombre_Abreviado]:[Codigo_Plan_Acción]],3,0)</f>
        <v>#N/A</v>
      </c>
      <c r="B906" s="328" t="e">
        <f>VLOOKUP(Tabla5[[#This Row],[Acción Especifica
&lt;&lt; Seleccionar&gt;&gt;]],TablaAccionEspecifica[[#All],[Nombre_Abreviado]:[Codigo_Acción]],3,0)</f>
        <v>#N/A</v>
      </c>
      <c r="C906" s="328" t="e">
        <f>CONCATENATE(Tabla18[[#This Row],[Bus_02]],"_",Tabla5[[#This Row],[Sub Acción Específica
&lt;&lt; Seleccionar&gt;&gt;]])</f>
        <v>#N/A</v>
      </c>
      <c r="D906" s="328" t="e">
        <f>VLOOKUP(Tabla18[[#This Row],[Aux_01]],TablaSubAccionEspecifica[[#All],[Concat]:[Cod_Sub_acción_especifica]],2,0)</f>
        <v>#N/A</v>
      </c>
      <c r="E906" s="328" t="e">
        <f>Tabla18[[#This Row],[Bus_03]]&amp;"_"&amp;Tabla5[[#This Row],[Tipo de Agente
&lt;&lt; Seleccionar&gt;&gt;]]</f>
        <v>#N/A</v>
      </c>
      <c r="F906" s="328" t="e">
        <f>VLOOKUP(Tabla18[[#This Row],[Concat2]],TablaPOA[[#All],[Concat]:[ConcatEspecial]],3,0)</f>
        <v>#N/A</v>
      </c>
      <c r="G906" s="65" t="str">
        <f>CONCATENATE(Registro!$A$6,"_",Tabla5[[#This Row],[Zona (Provincia)
&lt;&lt; Seleccionar&gt;&gt;]])</f>
        <v>Huánuco_</v>
      </c>
      <c r="H906" s="60" t="e">
        <f>VLOOKUP(Tabla18[[#This Row],[Concatenado***]],Tabla2[[#All],[Concatenado]:[Simbología*]],2,0)</f>
        <v>#N/A</v>
      </c>
      <c r="I906" s="65" t="str">
        <f>CONCATENATE(Tabla18[[#This Row],[Concatenado***]],"_",Tabla5[[#This Row],[Zona (Distrito)
&lt;&lt; Seleccionar&gt;&gt;]])</f>
        <v>Huánuco__</v>
      </c>
      <c r="J9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6" s="72" t="e">
        <f>VLOOKUP(Tabla5[[#This Row],[Tipo de Transporte Empleado
&lt;&lt; Seleccionar&gt;&gt;]],Tabla8[#All],2,0)</f>
        <v>#N/A</v>
      </c>
      <c r="L906" s="71" t="e">
        <f>#REF!+(#REF!*2)+#REF!</f>
        <v>#REF!</v>
      </c>
    </row>
    <row r="907" spans="1:12" x14ac:dyDescent="0.25">
      <c r="A907" s="328" t="e">
        <f>VLOOKUP(Tabla5[[#This Row],[Acción
&lt;&lt; Seleccionar&gt;&gt;]],TablaAccion[[#All],[Nombre_Abreviado]:[Codigo_Plan_Acción]],3,0)</f>
        <v>#N/A</v>
      </c>
      <c r="B907" s="328" t="e">
        <f>VLOOKUP(Tabla5[[#This Row],[Acción Especifica
&lt;&lt; Seleccionar&gt;&gt;]],TablaAccionEspecifica[[#All],[Nombre_Abreviado]:[Codigo_Acción]],3,0)</f>
        <v>#N/A</v>
      </c>
      <c r="C907" s="328" t="e">
        <f>CONCATENATE(Tabla18[[#This Row],[Bus_02]],"_",Tabla5[[#This Row],[Sub Acción Específica
&lt;&lt; Seleccionar&gt;&gt;]])</f>
        <v>#N/A</v>
      </c>
      <c r="D907" s="328" t="e">
        <f>VLOOKUP(Tabla18[[#This Row],[Aux_01]],TablaSubAccionEspecifica[[#All],[Concat]:[Cod_Sub_acción_especifica]],2,0)</f>
        <v>#N/A</v>
      </c>
      <c r="E907" s="328" t="e">
        <f>Tabla18[[#This Row],[Bus_03]]&amp;"_"&amp;Tabla5[[#This Row],[Tipo de Agente
&lt;&lt; Seleccionar&gt;&gt;]]</f>
        <v>#N/A</v>
      </c>
      <c r="F907" s="328" t="e">
        <f>VLOOKUP(Tabla18[[#This Row],[Concat2]],TablaPOA[[#All],[Concat]:[ConcatEspecial]],3,0)</f>
        <v>#N/A</v>
      </c>
      <c r="G907" s="65" t="str">
        <f>CONCATENATE(Registro!$A$6,"_",Tabla5[[#This Row],[Zona (Provincia)
&lt;&lt; Seleccionar&gt;&gt;]])</f>
        <v>Huánuco_</v>
      </c>
      <c r="H907" s="60" t="e">
        <f>VLOOKUP(Tabla18[[#This Row],[Concatenado***]],Tabla2[[#All],[Concatenado]:[Simbología*]],2,0)</f>
        <v>#N/A</v>
      </c>
      <c r="I907" s="65" t="str">
        <f>CONCATENATE(Tabla18[[#This Row],[Concatenado***]],"_",Tabla5[[#This Row],[Zona (Distrito)
&lt;&lt; Seleccionar&gt;&gt;]])</f>
        <v>Huánuco__</v>
      </c>
      <c r="J9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7" s="72" t="e">
        <f>VLOOKUP(Tabla5[[#This Row],[Tipo de Transporte Empleado
&lt;&lt; Seleccionar&gt;&gt;]],Tabla8[#All],2,0)</f>
        <v>#N/A</v>
      </c>
      <c r="L907" s="71" t="e">
        <f>#REF!+(#REF!*2)+#REF!</f>
        <v>#REF!</v>
      </c>
    </row>
    <row r="908" spans="1:12" x14ac:dyDescent="0.25">
      <c r="A908" s="328" t="e">
        <f>VLOOKUP(Tabla5[[#This Row],[Acción
&lt;&lt; Seleccionar&gt;&gt;]],TablaAccion[[#All],[Nombre_Abreviado]:[Codigo_Plan_Acción]],3,0)</f>
        <v>#N/A</v>
      </c>
      <c r="B908" s="328" t="e">
        <f>VLOOKUP(Tabla5[[#This Row],[Acción Especifica
&lt;&lt; Seleccionar&gt;&gt;]],TablaAccionEspecifica[[#All],[Nombre_Abreviado]:[Codigo_Acción]],3,0)</f>
        <v>#N/A</v>
      </c>
      <c r="C908" s="328" t="e">
        <f>CONCATENATE(Tabla18[[#This Row],[Bus_02]],"_",Tabla5[[#This Row],[Sub Acción Específica
&lt;&lt; Seleccionar&gt;&gt;]])</f>
        <v>#N/A</v>
      </c>
      <c r="D908" s="328" t="e">
        <f>VLOOKUP(Tabla18[[#This Row],[Aux_01]],TablaSubAccionEspecifica[[#All],[Concat]:[Cod_Sub_acción_especifica]],2,0)</f>
        <v>#N/A</v>
      </c>
      <c r="E908" s="328" t="e">
        <f>Tabla18[[#This Row],[Bus_03]]&amp;"_"&amp;Tabla5[[#This Row],[Tipo de Agente
&lt;&lt; Seleccionar&gt;&gt;]]</f>
        <v>#N/A</v>
      </c>
      <c r="F908" s="328" t="e">
        <f>VLOOKUP(Tabla18[[#This Row],[Concat2]],TablaPOA[[#All],[Concat]:[ConcatEspecial]],3,0)</f>
        <v>#N/A</v>
      </c>
      <c r="G908" s="65" t="str">
        <f>CONCATENATE(Registro!$A$6,"_",Tabla5[[#This Row],[Zona (Provincia)
&lt;&lt; Seleccionar&gt;&gt;]])</f>
        <v>Huánuco_</v>
      </c>
      <c r="H908" s="60" t="e">
        <f>VLOOKUP(Tabla18[[#This Row],[Concatenado***]],Tabla2[[#All],[Concatenado]:[Simbología*]],2,0)</f>
        <v>#N/A</v>
      </c>
      <c r="I908" s="65" t="str">
        <f>CONCATENATE(Tabla18[[#This Row],[Concatenado***]],"_",Tabla5[[#This Row],[Zona (Distrito)
&lt;&lt; Seleccionar&gt;&gt;]])</f>
        <v>Huánuco__</v>
      </c>
      <c r="J9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8" s="72" t="e">
        <f>VLOOKUP(Tabla5[[#This Row],[Tipo de Transporte Empleado
&lt;&lt; Seleccionar&gt;&gt;]],Tabla8[#All],2,0)</f>
        <v>#N/A</v>
      </c>
      <c r="L908" s="71" t="e">
        <f>#REF!+(#REF!*2)+#REF!</f>
        <v>#REF!</v>
      </c>
    </row>
    <row r="909" spans="1:12" x14ac:dyDescent="0.25">
      <c r="A909" s="328" t="e">
        <f>VLOOKUP(Tabla5[[#This Row],[Acción
&lt;&lt; Seleccionar&gt;&gt;]],TablaAccion[[#All],[Nombre_Abreviado]:[Codigo_Plan_Acción]],3,0)</f>
        <v>#N/A</v>
      </c>
      <c r="B909" s="328" t="e">
        <f>VLOOKUP(Tabla5[[#This Row],[Acción Especifica
&lt;&lt; Seleccionar&gt;&gt;]],TablaAccionEspecifica[[#All],[Nombre_Abreviado]:[Codigo_Acción]],3,0)</f>
        <v>#N/A</v>
      </c>
      <c r="C909" s="328" t="e">
        <f>CONCATENATE(Tabla18[[#This Row],[Bus_02]],"_",Tabla5[[#This Row],[Sub Acción Específica
&lt;&lt; Seleccionar&gt;&gt;]])</f>
        <v>#N/A</v>
      </c>
      <c r="D909" s="328" t="e">
        <f>VLOOKUP(Tabla18[[#This Row],[Aux_01]],TablaSubAccionEspecifica[[#All],[Concat]:[Cod_Sub_acción_especifica]],2,0)</f>
        <v>#N/A</v>
      </c>
      <c r="E909" s="328" t="e">
        <f>Tabla18[[#This Row],[Bus_03]]&amp;"_"&amp;Tabla5[[#This Row],[Tipo de Agente
&lt;&lt; Seleccionar&gt;&gt;]]</f>
        <v>#N/A</v>
      </c>
      <c r="F909" s="328" t="e">
        <f>VLOOKUP(Tabla18[[#This Row],[Concat2]],TablaPOA[[#All],[Concat]:[ConcatEspecial]],3,0)</f>
        <v>#N/A</v>
      </c>
      <c r="G909" s="65" t="str">
        <f>CONCATENATE(Registro!$A$6,"_",Tabla5[[#This Row],[Zona (Provincia)
&lt;&lt; Seleccionar&gt;&gt;]])</f>
        <v>Huánuco_</v>
      </c>
      <c r="H909" s="60" t="e">
        <f>VLOOKUP(Tabla18[[#This Row],[Concatenado***]],Tabla2[[#All],[Concatenado]:[Simbología*]],2,0)</f>
        <v>#N/A</v>
      </c>
      <c r="I909" s="65" t="str">
        <f>CONCATENATE(Tabla18[[#This Row],[Concatenado***]],"_",Tabla5[[#This Row],[Zona (Distrito)
&lt;&lt; Seleccionar&gt;&gt;]])</f>
        <v>Huánuco__</v>
      </c>
      <c r="J9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9" s="72" t="e">
        <f>VLOOKUP(Tabla5[[#This Row],[Tipo de Transporte Empleado
&lt;&lt; Seleccionar&gt;&gt;]],Tabla8[#All],2,0)</f>
        <v>#N/A</v>
      </c>
      <c r="L909" s="71" t="e">
        <f>#REF!+(#REF!*2)+#REF!</f>
        <v>#REF!</v>
      </c>
    </row>
    <row r="910" spans="1:12" x14ac:dyDescent="0.25">
      <c r="A910" s="328" t="e">
        <f>VLOOKUP(Tabla5[[#This Row],[Acción
&lt;&lt; Seleccionar&gt;&gt;]],TablaAccion[[#All],[Nombre_Abreviado]:[Codigo_Plan_Acción]],3,0)</f>
        <v>#N/A</v>
      </c>
      <c r="B910" s="328" t="e">
        <f>VLOOKUP(Tabla5[[#This Row],[Acción Especifica
&lt;&lt; Seleccionar&gt;&gt;]],TablaAccionEspecifica[[#All],[Nombre_Abreviado]:[Codigo_Acción]],3,0)</f>
        <v>#N/A</v>
      </c>
      <c r="C910" s="328" t="e">
        <f>CONCATENATE(Tabla18[[#This Row],[Bus_02]],"_",Tabla5[[#This Row],[Sub Acción Específica
&lt;&lt; Seleccionar&gt;&gt;]])</f>
        <v>#N/A</v>
      </c>
      <c r="D910" s="328" t="e">
        <f>VLOOKUP(Tabla18[[#This Row],[Aux_01]],TablaSubAccionEspecifica[[#All],[Concat]:[Cod_Sub_acción_especifica]],2,0)</f>
        <v>#N/A</v>
      </c>
      <c r="E910" s="328" t="e">
        <f>Tabla18[[#This Row],[Bus_03]]&amp;"_"&amp;Tabla5[[#This Row],[Tipo de Agente
&lt;&lt; Seleccionar&gt;&gt;]]</f>
        <v>#N/A</v>
      </c>
      <c r="F910" s="328" t="e">
        <f>VLOOKUP(Tabla18[[#This Row],[Concat2]],TablaPOA[[#All],[Concat]:[ConcatEspecial]],3,0)</f>
        <v>#N/A</v>
      </c>
      <c r="G910" s="65" t="str">
        <f>CONCATENATE(Registro!$A$6,"_",Tabla5[[#This Row],[Zona (Provincia)
&lt;&lt; Seleccionar&gt;&gt;]])</f>
        <v>Huánuco_</v>
      </c>
      <c r="H910" s="60" t="e">
        <f>VLOOKUP(Tabla18[[#This Row],[Concatenado***]],Tabla2[[#All],[Concatenado]:[Simbología*]],2,0)</f>
        <v>#N/A</v>
      </c>
      <c r="I910" s="65" t="str">
        <f>CONCATENATE(Tabla18[[#This Row],[Concatenado***]],"_",Tabla5[[#This Row],[Zona (Distrito)
&lt;&lt; Seleccionar&gt;&gt;]])</f>
        <v>Huánuco__</v>
      </c>
      <c r="J9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0" s="72" t="e">
        <f>VLOOKUP(Tabla5[[#This Row],[Tipo de Transporte Empleado
&lt;&lt; Seleccionar&gt;&gt;]],Tabla8[#All],2,0)</f>
        <v>#N/A</v>
      </c>
      <c r="L910" s="71" t="e">
        <f>#REF!+(#REF!*2)+#REF!</f>
        <v>#REF!</v>
      </c>
    </row>
    <row r="911" spans="1:12" x14ac:dyDescent="0.25">
      <c r="A911" s="328" t="e">
        <f>VLOOKUP(Tabla5[[#This Row],[Acción
&lt;&lt; Seleccionar&gt;&gt;]],TablaAccion[[#All],[Nombre_Abreviado]:[Codigo_Plan_Acción]],3,0)</f>
        <v>#N/A</v>
      </c>
      <c r="B911" s="328" t="e">
        <f>VLOOKUP(Tabla5[[#This Row],[Acción Especifica
&lt;&lt; Seleccionar&gt;&gt;]],TablaAccionEspecifica[[#All],[Nombre_Abreviado]:[Codigo_Acción]],3,0)</f>
        <v>#N/A</v>
      </c>
      <c r="C911" s="328" t="e">
        <f>CONCATENATE(Tabla18[[#This Row],[Bus_02]],"_",Tabla5[[#This Row],[Sub Acción Específica
&lt;&lt; Seleccionar&gt;&gt;]])</f>
        <v>#N/A</v>
      </c>
      <c r="D911" s="328" t="e">
        <f>VLOOKUP(Tabla18[[#This Row],[Aux_01]],TablaSubAccionEspecifica[[#All],[Concat]:[Cod_Sub_acción_especifica]],2,0)</f>
        <v>#N/A</v>
      </c>
      <c r="E911" s="328" t="e">
        <f>Tabla18[[#This Row],[Bus_03]]&amp;"_"&amp;Tabla5[[#This Row],[Tipo de Agente
&lt;&lt; Seleccionar&gt;&gt;]]</f>
        <v>#N/A</v>
      </c>
      <c r="F911" s="328" t="e">
        <f>VLOOKUP(Tabla18[[#This Row],[Concat2]],TablaPOA[[#All],[Concat]:[ConcatEspecial]],3,0)</f>
        <v>#N/A</v>
      </c>
      <c r="G911" s="65" t="str">
        <f>CONCATENATE(Registro!$A$6,"_",Tabla5[[#This Row],[Zona (Provincia)
&lt;&lt; Seleccionar&gt;&gt;]])</f>
        <v>Huánuco_</v>
      </c>
      <c r="H911" s="60" t="e">
        <f>VLOOKUP(Tabla18[[#This Row],[Concatenado***]],Tabla2[[#All],[Concatenado]:[Simbología*]],2,0)</f>
        <v>#N/A</v>
      </c>
      <c r="I911" s="65" t="str">
        <f>CONCATENATE(Tabla18[[#This Row],[Concatenado***]],"_",Tabla5[[#This Row],[Zona (Distrito)
&lt;&lt; Seleccionar&gt;&gt;]])</f>
        <v>Huánuco__</v>
      </c>
      <c r="J9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1" s="72" t="e">
        <f>VLOOKUP(Tabla5[[#This Row],[Tipo de Transporte Empleado
&lt;&lt; Seleccionar&gt;&gt;]],Tabla8[#All],2,0)</f>
        <v>#N/A</v>
      </c>
      <c r="L911" s="71" t="e">
        <f>#REF!+(#REF!*2)+#REF!</f>
        <v>#REF!</v>
      </c>
    </row>
    <row r="912" spans="1:12" x14ac:dyDescent="0.25">
      <c r="A912" s="328" t="e">
        <f>VLOOKUP(Tabla5[[#This Row],[Acción
&lt;&lt; Seleccionar&gt;&gt;]],TablaAccion[[#All],[Nombre_Abreviado]:[Codigo_Plan_Acción]],3,0)</f>
        <v>#N/A</v>
      </c>
      <c r="B912" s="328" t="e">
        <f>VLOOKUP(Tabla5[[#This Row],[Acción Especifica
&lt;&lt; Seleccionar&gt;&gt;]],TablaAccionEspecifica[[#All],[Nombre_Abreviado]:[Codigo_Acción]],3,0)</f>
        <v>#N/A</v>
      </c>
      <c r="C912" s="328" t="e">
        <f>CONCATENATE(Tabla18[[#This Row],[Bus_02]],"_",Tabla5[[#This Row],[Sub Acción Específica
&lt;&lt; Seleccionar&gt;&gt;]])</f>
        <v>#N/A</v>
      </c>
      <c r="D912" s="328" t="e">
        <f>VLOOKUP(Tabla18[[#This Row],[Aux_01]],TablaSubAccionEspecifica[[#All],[Concat]:[Cod_Sub_acción_especifica]],2,0)</f>
        <v>#N/A</v>
      </c>
      <c r="E912" s="328" t="e">
        <f>Tabla18[[#This Row],[Bus_03]]&amp;"_"&amp;Tabla5[[#This Row],[Tipo de Agente
&lt;&lt; Seleccionar&gt;&gt;]]</f>
        <v>#N/A</v>
      </c>
      <c r="F912" s="328" t="e">
        <f>VLOOKUP(Tabla18[[#This Row],[Concat2]],TablaPOA[[#All],[Concat]:[ConcatEspecial]],3,0)</f>
        <v>#N/A</v>
      </c>
      <c r="G912" s="65" t="str">
        <f>CONCATENATE(Registro!$A$6,"_",Tabla5[[#This Row],[Zona (Provincia)
&lt;&lt; Seleccionar&gt;&gt;]])</f>
        <v>Huánuco_</v>
      </c>
      <c r="H912" s="60" t="e">
        <f>VLOOKUP(Tabla18[[#This Row],[Concatenado***]],Tabla2[[#All],[Concatenado]:[Simbología*]],2,0)</f>
        <v>#N/A</v>
      </c>
      <c r="I912" s="65" t="str">
        <f>CONCATENATE(Tabla18[[#This Row],[Concatenado***]],"_",Tabla5[[#This Row],[Zona (Distrito)
&lt;&lt; Seleccionar&gt;&gt;]])</f>
        <v>Huánuco__</v>
      </c>
      <c r="J9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2" s="72" t="e">
        <f>VLOOKUP(Tabla5[[#This Row],[Tipo de Transporte Empleado
&lt;&lt; Seleccionar&gt;&gt;]],Tabla8[#All],2,0)</f>
        <v>#N/A</v>
      </c>
      <c r="L912" s="71" t="e">
        <f>#REF!+(#REF!*2)+#REF!</f>
        <v>#REF!</v>
      </c>
    </row>
    <row r="913" spans="1:12" x14ac:dyDescent="0.25">
      <c r="A913" s="328" t="e">
        <f>VLOOKUP(Tabla5[[#This Row],[Acción
&lt;&lt; Seleccionar&gt;&gt;]],TablaAccion[[#All],[Nombre_Abreviado]:[Codigo_Plan_Acción]],3,0)</f>
        <v>#N/A</v>
      </c>
      <c r="B913" s="328" t="e">
        <f>VLOOKUP(Tabla5[[#This Row],[Acción Especifica
&lt;&lt; Seleccionar&gt;&gt;]],TablaAccionEspecifica[[#All],[Nombre_Abreviado]:[Codigo_Acción]],3,0)</f>
        <v>#N/A</v>
      </c>
      <c r="C913" s="328" t="e">
        <f>CONCATENATE(Tabla18[[#This Row],[Bus_02]],"_",Tabla5[[#This Row],[Sub Acción Específica
&lt;&lt; Seleccionar&gt;&gt;]])</f>
        <v>#N/A</v>
      </c>
      <c r="D913" s="328" t="e">
        <f>VLOOKUP(Tabla18[[#This Row],[Aux_01]],TablaSubAccionEspecifica[[#All],[Concat]:[Cod_Sub_acción_especifica]],2,0)</f>
        <v>#N/A</v>
      </c>
      <c r="E913" s="328" t="e">
        <f>Tabla18[[#This Row],[Bus_03]]&amp;"_"&amp;Tabla5[[#This Row],[Tipo de Agente
&lt;&lt; Seleccionar&gt;&gt;]]</f>
        <v>#N/A</v>
      </c>
      <c r="F913" s="328" t="e">
        <f>VLOOKUP(Tabla18[[#This Row],[Concat2]],TablaPOA[[#All],[Concat]:[ConcatEspecial]],3,0)</f>
        <v>#N/A</v>
      </c>
      <c r="G913" s="65" t="str">
        <f>CONCATENATE(Registro!$A$6,"_",Tabla5[[#This Row],[Zona (Provincia)
&lt;&lt; Seleccionar&gt;&gt;]])</f>
        <v>Huánuco_</v>
      </c>
      <c r="H913" s="60" t="e">
        <f>VLOOKUP(Tabla18[[#This Row],[Concatenado***]],Tabla2[[#All],[Concatenado]:[Simbología*]],2,0)</f>
        <v>#N/A</v>
      </c>
      <c r="I913" s="65" t="str">
        <f>CONCATENATE(Tabla18[[#This Row],[Concatenado***]],"_",Tabla5[[#This Row],[Zona (Distrito)
&lt;&lt; Seleccionar&gt;&gt;]])</f>
        <v>Huánuco__</v>
      </c>
      <c r="J9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3" s="72" t="e">
        <f>VLOOKUP(Tabla5[[#This Row],[Tipo de Transporte Empleado
&lt;&lt; Seleccionar&gt;&gt;]],Tabla8[#All],2,0)</f>
        <v>#N/A</v>
      </c>
      <c r="L913" s="71" t="e">
        <f>#REF!+(#REF!*2)+#REF!</f>
        <v>#REF!</v>
      </c>
    </row>
    <row r="914" spans="1:12" x14ac:dyDescent="0.25">
      <c r="A914" s="328" t="e">
        <f>VLOOKUP(Tabla5[[#This Row],[Acción
&lt;&lt; Seleccionar&gt;&gt;]],TablaAccion[[#All],[Nombre_Abreviado]:[Codigo_Plan_Acción]],3,0)</f>
        <v>#N/A</v>
      </c>
      <c r="B914" s="328" t="e">
        <f>VLOOKUP(Tabla5[[#This Row],[Acción Especifica
&lt;&lt; Seleccionar&gt;&gt;]],TablaAccionEspecifica[[#All],[Nombre_Abreviado]:[Codigo_Acción]],3,0)</f>
        <v>#N/A</v>
      </c>
      <c r="C914" s="328" t="e">
        <f>CONCATENATE(Tabla18[[#This Row],[Bus_02]],"_",Tabla5[[#This Row],[Sub Acción Específica
&lt;&lt; Seleccionar&gt;&gt;]])</f>
        <v>#N/A</v>
      </c>
      <c r="D914" s="328" t="e">
        <f>VLOOKUP(Tabla18[[#This Row],[Aux_01]],TablaSubAccionEspecifica[[#All],[Concat]:[Cod_Sub_acción_especifica]],2,0)</f>
        <v>#N/A</v>
      </c>
      <c r="E914" s="328" t="e">
        <f>Tabla18[[#This Row],[Bus_03]]&amp;"_"&amp;Tabla5[[#This Row],[Tipo de Agente
&lt;&lt; Seleccionar&gt;&gt;]]</f>
        <v>#N/A</v>
      </c>
      <c r="F914" s="328" t="e">
        <f>VLOOKUP(Tabla18[[#This Row],[Concat2]],TablaPOA[[#All],[Concat]:[ConcatEspecial]],3,0)</f>
        <v>#N/A</v>
      </c>
      <c r="G914" s="65" t="str">
        <f>CONCATENATE(Registro!$A$6,"_",Tabla5[[#This Row],[Zona (Provincia)
&lt;&lt; Seleccionar&gt;&gt;]])</f>
        <v>Huánuco_</v>
      </c>
      <c r="H914" s="60" t="e">
        <f>VLOOKUP(Tabla18[[#This Row],[Concatenado***]],Tabla2[[#All],[Concatenado]:[Simbología*]],2,0)</f>
        <v>#N/A</v>
      </c>
      <c r="I914" s="65" t="str">
        <f>CONCATENATE(Tabla18[[#This Row],[Concatenado***]],"_",Tabla5[[#This Row],[Zona (Distrito)
&lt;&lt; Seleccionar&gt;&gt;]])</f>
        <v>Huánuco__</v>
      </c>
      <c r="J9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4" s="72" t="e">
        <f>VLOOKUP(Tabla5[[#This Row],[Tipo de Transporte Empleado
&lt;&lt; Seleccionar&gt;&gt;]],Tabla8[#All],2,0)</f>
        <v>#N/A</v>
      </c>
      <c r="L914" s="71" t="e">
        <f>#REF!+(#REF!*2)+#REF!</f>
        <v>#REF!</v>
      </c>
    </row>
    <row r="915" spans="1:12" x14ac:dyDescent="0.25">
      <c r="A915" s="328" t="e">
        <f>VLOOKUP(Tabla5[[#This Row],[Acción
&lt;&lt; Seleccionar&gt;&gt;]],TablaAccion[[#All],[Nombre_Abreviado]:[Codigo_Plan_Acción]],3,0)</f>
        <v>#N/A</v>
      </c>
      <c r="B915" s="328" t="e">
        <f>VLOOKUP(Tabla5[[#This Row],[Acción Especifica
&lt;&lt; Seleccionar&gt;&gt;]],TablaAccionEspecifica[[#All],[Nombre_Abreviado]:[Codigo_Acción]],3,0)</f>
        <v>#N/A</v>
      </c>
      <c r="C915" s="328" t="e">
        <f>CONCATENATE(Tabla18[[#This Row],[Bus_02]],"_",Tabla5[[#This Row],[Sub Acción Específica
&lt;&lt; Seleccionar&gt;&gt;]])</f>
        <v>#N/A</v>
      </c>
      <c r="D915" s="328" t="e">
        <f>VLOOKUP(Tabla18[[#This Row],[Aux_01]],TablaSubAccionEspecifica[[#All],[Concat]:[Cod_Sub_acción_especifica]],2,0)</f>
        <v>#N/A</v>
      </c>
      <c r="E915" s="328" t="e">
        <f>Tabla18[[#This Row],[Bus_03]]&amp;"_"&amp;Tabla5[[#This Row],[Tipo de Agente
&lt;&lt; Seleccionar&gt;&gt;]]</f>
        <v>#N/A</v>
      </c>
      <c r="F915" s="328" t="e">
        <f>VLOOKUP(Tabla18[[#This Row],[Concat2]],TablaPOA[[#All],[Concat]:[ConcatEspecial]],3,0)</f>
        <v>#N/A</v>
      </c>
      <c r="G915" s="65" t="str">
        <f>CONCATENATE(Registro!$A$6,"_",Tabla5[[#This Row],[Zona (Provincia)
&lt;&lt; Seleccionar&gt;&gt;]])</f>
        <v>Huánuco_</v>
      </c>
      <c r="H915" s="60" t="e">
        <f>VLOOKUP(Tabla18[[#This Row],[Concatenado***]],Tabla2[[#All],[Concatenado]:[Simbología*]],2,0)</f>
        <v>#N/A</v>
      </c>
      <c r="I915" s="65" t="str">
        <f>CONCATENATE(Tabla18[[#This Row],[Concatenado***]],"_",Tabla5[[#This Row],[Zona (Distrito)
&lt;&lt; Seleccionar&gt;&gt;]])</f>
        <v>Huánuco__</v>
      </c>
      <c r="J9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5" s="72" t="e">
        <f>VLOOKUP(Tabla5[[#This Row],[Tipo de Transporte Empleado
&lt;&lt; Seleccionar&gt;&gt;]],Tabla8[#All],2,0)</f>
        <v>#N/A</v>
      </c>
      <c r="L915" s="71" t="e">
        <f>#REF!+(#REF!*2)+#REF!</f>
        <v>#REF!</v>
      </c>
    </row>
    <row r="916" spans="1:12" x14ac:dyDescent="0.25">
      <c r="A916" s="328" t="e">
        <f>VLOOKUP(Tabla5[[#This Row],[Acción
&lt;&lt; Seleccionar&gt;&gt;]],TablaAccion[[#All],[Nombre_Abreviado]:[Codigo_Plan_Acción]],3,0)</f>
        <v>#N/A</v>
      </c>
      <c r="B916" s="328" t="e">
        <f>VLOOKUP(Tabla5[[#This Row],[Acción Especifica
&lt;&lt; Seleccionar&gt;&gt;]],TablaAccionEspecifica[[#All],[Nombre_Abreviado]:[Codigo_Acción]],3,0)</f>
        <v>#N/A</v>
      </c>
      <c r="C916" s="328" t="e">
        <f>CONCATENATE(Tabla18[[#This Row],[Bus_02]],"_",Tabla5[[#This Row],[Sub Acción Específica
&lt;&lt; Seleccionar&gt;&gt;]])</f>
        <v>#N/A</v>
      </c>
      <c r="D916" s="328" t="e">
        <f>VLOOKUP(Tabla18[[#This Row],[Aux_01]],TablaSubAccionEspecifica[[#All],[Concat]:[Cod_Sub_acción_especifica]],2,0)</f>
        <v>#N/A</v>
      </c>
      <c r="E916" s="328" t="e">
        <f>Tabla18[[#This Row],[Bus_03]]&amp;"_"&amp;Tabla5[[#This Row],[Tipo de Agente
&lt;&lt; Seleccionar&gt;&gt;]]</f>
        <v>#N/A</v>
      </c>
      <c r="F916" s="328" t="e">
        <f>VLOOKUP(Tabla18[[#This Row],[Concat2]],TablaPOA[[#All],[Concat]:[ConcatEspecial]],3,0)</f>
        <v>#N/A</v>
      </c>
      <c r="G916" s="65" t="str">
        <f>CONCATENATE(Registro!$A$6,"_",Tabla5[[#This Row],[Zona (Provincia)
&lt;&lt; Seleccionar&gt;&gt;]])</f>
        <v>Huánuco_</v>
      </c>
      <c r="H916" s="60" t="e">
        <f>VLOOKUP(Tabla18[[#This Row],[Concatenado***]],Tabla2[[#All],[Concatenado]:[Simbología*]],2,0)</f>
        <v>#N/A</v>
      </c>
      <c r="I916" s="65" t="str">
        <f>CONCATENATE(Tabla18[[#This Row],[Concatenado***]],"_",Tabla5[[#This Row],[Zona (Distrito)
&lt;&lt; Seleccionar&gt;&gt;]])</f>
        <v>Huánuco__</v>
      </c>
      <c r="J9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6" s="72" t="e">
        <f>VLOOKUP(Tabla5[[#This Row],[Tipo de Transporte Empleado
&lt;&lt; Seleccionar&gt;&gt;]],Tabla8[#All],2,0)</f>
        <v>#N/A</v>
      </c>
      <c r="L916" s="71" t="e">
        <f>#REF!+(#REF!*2)+#REF!</f>
        <v>#REF!</v>
      </c>
    </row>
    <row r="917" spans="1:12" x14ac:dyDescent="0.25">
      <c r="A917" s="328" t="e">
        <f>VLOOKUP(Tabla5[[#This Row],[Acción
&lt;&lt; Seleccionar&gt;&gt;]],TablaAccion[[#All],[Nombre_Abreviado]:[Codigo_Plan_Acción]],3,0)</f>
        <v>#N/A</v>
      </c>
      <c r="B917" s="328" t="e">
        <f>VLOOKUP(Tabla5[[#This Row],[Acción Especifica
&lt;&lt; Seleccionar&gt;&gt;]],TablaAccionEspecifica[[#All],[Nombre_Abreviado]:[Codigo_Acción]],3,0)</f>
        <v>#N/A</v>
      </c>
      <c r="C917" s="328" t="e">
        <f>CONCATENATE(Tabla18[[#This Row],[Bus_02]],"_",Tabla5[[#This Row],[Sub Acción Específica
&lt;&lt; Seleccionar&gt;&gt;]])</f>
        <v>#N/A</v>
      </c>
      <c r="D917" s="328" t="e">
        <f>VLOOKUP(Tabla18[[#This Row],[Aux_01]],TablaSubAccionEspecifica[[#All],[Concat]:[Cod_Sub_acción_especifica]],2,0)</f>
        <v>#N/A</v>
      </c>
      <c r="E917" s="328" t="e">
        <f>Tabla18[[#This Row],[Bus_03]]&amp;"_"&amp;Tabla5[[#This Row],[Tipo de Agente
&lt;&lt; Seleccionar&gt;&gt;]]</f>
        <v>#N/A</v>
      </c>
      <c r="F917" s="328" t="e">
        <f>VLOOKUP(Tabla18[[#This Row],[Concat2]],TablaPOA[[#All],[Concat]:[ConcatEspecial]],3,0)</f>
        <v>#N/A</v>
      </c>
      <c r="G917" s="65" t="str">
        <f>CONCATENATE(Registro!$A$6,"_",Tabla5[[#This Row],[Zona (Provincia)
&lt;&lt; Seleccionar&gt;&gt;]])</f>
        <v>Huánuco_</v>
      </c>
      <c r="H917" s="60" t="e">
        <f>VLOOKUP(Tabla18[[#This Row],[Concatenado***]],Tabla2[[#All],[Concatenado]:[Simbología*]],2,0)</f>
        <v>#N/A</v>
      </c>
      <c r="I917" s="65" t="str">
        <f>CONCATENATE(Tabla18[[#This Row],[Concatenado***]],"_",Tabla5[[#This Row],[Zona (Distrito)
&lt;&lt; Seleccionar&gt;&gt;]])</f>
        <v>Huánuco__</v>
      </c>
      <c r="J9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7" s="72" t="e">
        <f>VLOOKUP(Tabla5[[#This Row],[Tipo de Transporte Empleado
&lt;&lt; Seleccionar&gt;&gt;]],Tabla8[#All],2,0)</f>
        <v>#N/A</v>
      </c>
      <c r="L917" s="71" t="e">
        <f>#REF!+(#REF!*2)+#REF!</f>
        <v>#REF!</v>
      </c>
    </row>
    <row r="918" spans="1:12" x14ac:dyDescent="0.25">
      <c r="A918" s="328" t="e">
        <f>VLOOKUP(Tabla5[[#This Row],[Acción
&lt;&lt; Seleccionar&gt;&gt;]],TablaAccion[[#All],[Nombre_Abreviado]:[Codigo_Plan_Acción]],3,0)</f>
        <v>#N/A</v>
      </c>
      <c r="B918" s="328" t="e">
        <f>VLOOKUP(Tabla5[[#This Row],[Acción Especifica
&lt;&lt; Seleccionar&gt;&gt;]],TablaAccionEspecifica[[#All],[Nombre_Abreviado]:[Codigo_Acción]],3,0)</f>
        <v>#N/A</v>
      </c>
      <c r="C918" s="328" t="e">
        <f>CONCATENATE(Tabla18[[#This Row],[Bus_02]],"_",Tabla5[[#This Row],[Sub Acción Específica
&lt;&lt; Seleccionar&gt;&gt;]])</f>
        <v>#N/A</v>
      </c>
      <c r="D918" s="328" t="e">
        <f>VLOOKUP(Tabla18[[#This Row],[Aux_01]],TablaSubAccionEspecifica[[#All],[Concat]:[Cod_Sub_acción_especifica]],2,0)</f>
        <v>#N/A</v>
      </c>
      <c r="E918" s="328" t="e">
        <f>Tabla18[[#This Row],[Bus_03]]&amp;"_"&amp;Tabla5[[#This Row],[Tipo de Agente
&lt;&lt; Seleccionar&gt;&gt;]]</f>
        <v>#N/A</v>
      </c>
      <c r="F918" s="328" t="e">
        <f>VLOOKUP(Tabla18[[#This Row],[Concat2]],TablaPOA[[#All],[Concat]:[ConcatEspecial]],3,0)</f>
        <v>#N/A</v>
      </c>
      <c r="G918" s="65" t="str">
        <f>CONCATENATE(Registro!$A$6,"_",Tabla5[[#This Row],[Zona (Provincia)
&lt;&lt; Seleccionar&gt;&gt;]])</f>
        <v>Huánuco_</v>
      </c>
      <c r="H918" s="60" t="e">
        <f>VLOOKUP(Tabla18[[#This Row],[Concatenado***]],Tabla2[[#All],[Concatenado]:[Simbología*]],2,0)</f>
        <v>#N/A</v>
      </c>
      <c r="I918" s="65" t="str">
        <f>CONCATENATE(Tabla18[[#This Row],[Concatenado***]],"_",Tabla5[[#This Row],[Zona (Distrito)
&lt;&lt; Seleccionar&gt;&gt;]])</f>
        <v>Huánuco__</v>
      </c>
      <c r="J9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8" s="72" t="e">
        <f>VLOOKUP(Tabla5[[#This Row],[Tipo de Transporte Empleado
&lt;&lt; Seleccionar&gt;&gt;]],Tabla8[#All],2,0)</f>
        <v>#N/A</v>
      </c>
      <c r="L918" s="71" t="e">
        <f>#REF!+(#REF!*2)+#REF!</f>
        <v>#REF!</v>
      </c>
    </row>
    <row r="919" spans="1:12" x14ac:dyDescent="0.25">
      <c r="A919" s="328" t="e">
        <f>VLOOKUP(Tabla5[[#This Row],[Acción
&lt;&lt; Seleccionar&gt;&gt;]],TablaAccion[[#All],[Nombre_Abreviado]:[Codigo_Plan_Acción]],3,0)</f>
        <v>#N/A</v>
      </c>
      <c r="B919" s="328" t="e">
        <f>VLOOKUP(Tabla5[[#This Row],[Acción Especifica
&lt;&lt; Seleccionar&gt;&gt;]],TablaAccionEspecifica[[#All],[Nombre_Abreviado]:[Codigo_Acción]],3,0)</f>
        <v>#N/A</v>
      </c>
      <c r="C919" s="328" t="e">
        <f>CONCATENATE(Tabla18[[#This Row],[Bus_02]],"_",Tabla5[[#This Row],[Sub Acción Específica
&lt;&lt; Seleccionar&gt;&gt;]])</f>
        <v>#N/A</v>
      </c>
      <c r="D919" s="328" t="e">
        <f>VLOOKUP(Tabla18[[#This Row],[Aux_01]],TablaSubAccionEspecifica[[#All],[Concat]:[Cod_Sub_acción_especifica]],2,0)</f>
        <v>#N/A</v>
      </c>
      <c r="E919" s="328" t="e">
        <f>Tabla18[[#This Row],[Bus_03]]&amp;"_"&amp;Tabla5[[#This Row],[Tipo de Agente
&lt;&lt; Seleccionar&gt;&gt;]]</f>
        <v>#N/A</v>
      </c>
      <c r="F919" s="328" t="e">
        <f>VLOOKUP(Tabla18[[#This Row],[Concat2]],TablaPOA[[#All],[Concat]:[ConcatEspecial]],3,0)</f>
        <v>#N/A</v>
      </c>
      <c r="G919" s="65" t="str">
        <f>CONCATENATE(Registro!$A$6,"_",Tabla5[[#This Row],[Zona (Provincia)
&lt;&lt; Seleccionar&gt;&gt;]])</f>
        <v>Huánuco_</v>
      </c>
      <c r="H919" s="60" t="e">
        <f>VLOOKUP(Tabla18[[#This Row],[Concatenado***]],Tabla2[[#All],[Concatenado]:[Simbología*]],2,0)</f>
        <v>#N/A</v>
      </c>
      <c r="I919" s="65" t="str">
        <f>CONCATENATE(Tabla18[[#This Row],[Concatenado***]],"_",Tabla5[[#This Row],[Zona (Distrito)
&lt;&lt; Seleccionar&gt;&gt;]])</f>
        <v>Huánuco__</v>
      </c>
      <c r="J9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9" s="72" t="e">
        <f>VLOOKUP(Tabla5[[#This Row],[Tipo de Transporte Empleado
&lt;&lt; Seleccionar&gt;&gt;]],Tabla8[#All],2,0)</f>
        <v>#N/A</v>
      </c>
      <c r="L919" s="71" t="e">
        <f>#REF!+(#REF!*2)+#REF!</f>
        <v>#REF!</v>
      </c>
    </row>
    <row r="920" spans="1:12" x14ac:dyDescent="0.25">
      <c r="A920" s="328" t="e">
        <f>VLOOKUP(Tabla5[[#This Row],[Acción
&lt;&lt; Seleccionar&gt;&gt;]],TablaAccion[[#All],[Nombre_Abreviado]:[Codigo_Plan_Acción]],3,0)</f>
        <v>#N/A</v>
      </c>
      <c r="B920" s="328" t="e">
        <f>VLOOKUP(Tabla5[[#This Row],[Acción Especifica
&lt;&lt; Seleccionar&gt;&gt;]],TablaAccionEspecifica[[#All],[Nombre_Abreviado]:[Codigo_Acción]],3,0)</f>
        <v>#N/A</v>
      </c>
      <c r="C920" s="328" t="e">
        <f>CONCATENATE(Tabla18[[#This Row],[Bus_02]],"_",Tabla5[[#This Row],[Sub Acción Específica
&lt;&lt; Seleccionar&gt;&gt;]])</f>
        <v>#N/A</v>
      </c>
      <c r="D920" s="328" t="e">
        <f>VLOOKUP(Tabla18[[#This Row],[Aux_01]],TablaSubAccionEspecifica[[#All],[Concat]:[Cod_Sub_acción_especifica]],2,0)</f>
        <v>#N/A</v>
      </c>
      <c r="E920" s="328" t="e">
        <f>Tabla18[[#This Row],[Bus_03]]&amp;"_"&amp;Tabla5[[#This Row],[Tipo de Agente
&lt;&lt; Seleccionar&gt;&gt;]]</f>
        <v>#N/A</v>
      </c>
      <c r="F920" s="328" t="e">
        <f>VLOOKUP(Tabla18[[#This Row],[Concat2]],TablaPOA[[#All],[Concat]:[ConcatEspecial]],3,0)</f>
        <v>#N/A</v>
      </c>
      <c r="G920" s="65" t="str">
        <f>CONCATENATE(Registro!$A$6,"_",Tabla5[[#This Row],[Zona (Provincia)
&lt;&lt; Seleccionar&gt;&gt;]])</f>
        <v>Huánuco_</v>
      </c>
      <c r="H920" s="60" t="e">
        <f>VLOOKUP(Tabla18[[#This Row],[Concatenado***]],Tabla2[[#All],[Concatenado]:[Simbología*]],2,0)</f>
        <v>#N/A</v>
      </c>
      <c r="I920" s="65" t="str">
        <f>CONCATENATE(Tabla18[[#This Row],[Concatenado***]],"_",Tabla5[[#This Row],[Zona (Distrito)
&lt;&lt; Seleccionar&gt;&gt;]])</f>
        <v>Huánuco__</v>
      </c>
      <c r="J9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0" s="72" t="e">
        <f>VLOOKUP(Tabla5[[#This Row],[Tipo de Transporte Empleado
&lt;&lt; Seleccionar&gt;&gt;]],Tabla8[#All],2,0)</f>
        <v>#N/A</v>
      </c>
      <c r="L920" s="71" t="e">
        <f>#REF!+(#REF!*2)+#REF!</f>
        <v>#REF!</v>
      </c>
    </row>
    <row r="921" spans="1:12" x14ac:dyDescent="0.25">
      <c r="A921" s="328" t="e">
        <f>VLOOKUP(Tabla5[[#This Row],[Acción
&lt;&lt; Seleccionar&gt;&gt;]],TablaAccion[[#All],[Nombre_Abreviado]:[Codigo_Plan_Acción]],3,0)</f>
        <v>#N/A</v>
      </c>
      <c r="B921" s="328" t="e">
        <f>VLOOKUP(Tabla5[[#This Row],[Acción Especifica
&lt;&lt; Seleccionar&gt;&gt;]],TablaAccionEspecifica[[#All],[Nombre_Abreviado]:[Codigo_Acción]],3,0)</f>
        <v>#N/A</v>
      </c>
      <c r="C921" s="328" t="e">
        <f>CONCATENATE(Tabla18[[#This Row],[Bus_02]],"_",Tabla5[[#This Row],[Sub Acción Específica
&lt;&lt; Seleccionar&gt;&gt;]])</f>
        <v>#N/A</v>
      </c>
      <c r="D921" s="328" t="e">
        <f>VLOOKUP(Tabla18[[#This Row],[Aux_01]],TablaSubAccionEspecifica[[#All],[Concat]:[Cod_Sub_acción_especifica]],2,0)</f>
        <v>#N/A</v>
      </c>
      <c r="E921" s="328" t="e">
        <f>Tabla18[[#This Row],[Bus_03]]&amp;"_"&amp;Tabla5[[#This Row],[Tipo de Agente
&lt;&lt; Seleccionar&gt;&gt;]]</f>
        <v>#N/A</v>
      </c>
      <c r="F921" s="328" t="e">
        <f>VLOOKUP(Tabla18[[#This Row],[Concat2]],TablaPOA[[#All],[Concat]:[ConcatEspecial]],3,0)</f>
        <v>#N/A</v>
      </c>
      <c r="G921" s="65" t="str">
        <f>CONCATENATE(Registro!$A$6,"_",Tabla5[[#This Row],[Zona (Provincia)
&lt;&lt; Seleccionar&gt;&gt;]])</f>
        <v>Huánuco_</v>
      </c>
      <c r="H921" s="60" t="e">
        <f>VLOOKUP(Tabla18[[#This Row],[Concatenado***]],Tabla2[[#All],[Concatenado]:[Simbología*]],2,0)</f>
        <v>#N/A</v>
      </c>
      <c r="I921" s="65" t="str">
        <f>CONCATENATE(Tabla18[[#This Row],[Concatenado***]],"_",Tabla5[[#This Row],[Zona (Distrito)
&lt;&lt; Seleccionar&gt;&gt;]])</f>
        <v>Huánuco__</v>
      </c>
      <c r="J9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1" s="72" t="e">
        <f>VLOOKUP(Tabla5[[#This Row],[Tipo de Transporte Empleado
&lt;&lt; Seleccionar&gt;&gt;]],Tabla8[#All],2,0)</f>
        <v>#N/A</v>
      </c>
      <c r="L921" s="71" t="e">
        <f>#REF!+(#REF!*2)+#REF!</f>
        <v>#REF!</v>
      </c>
    </row>
    <row r="922" spans="1:12" x14ac:dyDescent="0.25">
      <c r="A922" s="328" t="e">
        <f>VLOOKUP(Tabla5[[#This Row],[Acción
&lt;&lt; Seleccionar&gt;&gt;]],TablaAccion[[#All],[Nombre_Abreviado]:[Codigo_Plan_Acción]],3,0)</f>
        <v>#N/A</v>
      </c>
      <c r="B922" s="328" t="e">
        <f>VLOOKUP(Tabla5[[#This Row],[Acción Especifica
&lt;&lt; Seleccionar&gt;&gt;]],TablaAccionEspecifica[[#All],[Nombre_Abreviado]:[Codigo_Acción]],3,0)</f>
        <v>#N/A</v>
      </c>
      <c r="C922" s="328" t="e">
        <f>CONCATENATE(Tabla18[[#This Row],[Bus_02]],"_",Tabla5[[#This Row],[Sub Acción Específica
&lt;&lt; Seleccionar&gt;&gt;]])</f>
        <v>#N/A</v>
      </c>
      <c r="D922" s="328" t="e">
        <f>VLOOKUP(Tabla18[[#This Row],[Aux_01]],TablaSubAccionEspecifica[[#All],[Concat]:[Cod_Sub_acción_especifica]],2,0)</f>
        <v>#N/A</v>
      </c>
      <c r="E922" s="328" t="e">
        <f>Tabla18[[#This Row],[Bus_03]]&amp;"_"&amp;Tabla5[[#This Row],[Tipo de Agente
&lt;&lt; Seleccionar&gt;&gt;]]</f>
        <v>#N/A</v>
      </c>
      <c r="F922" s="328" t="e">
        <f>VLOOKUP(Tabla18[[#This Row],[Concat2]],TablaPOA[[#All],[Concat]:[ConcatEspecial]],3,0)</f>
        <v>#N/A</v>
      </c>
      <c r="G922" s="65" t="str">
        <f>CONCATENATE(Registro!$A$6,"_",Tabla5[[#This Row],[Zona (Provincia)
&lt;&lt; Seleccionar&gt;&gt;]])</f>
        <v>Huánuco_</v>
      </c>
      <c r="H922" s="60" t="e">
        <f>VLOOKUP(Tabla18[[#This Row],[Concatenado***]],Tabla2[[#All],[Concatenado]:[Simbología*]],2,0)</f>
        <v>#N/A</v>
      </c>
      <c r="I922" s="65" t="str">
        <f>CONCATENATE(Tabla18[[#This Row],[Concatenado***]],"_",Tabla5[[#This Row],[Zona (Distrito)
&lt;&lt; Seleccionar&gt;&gt;]])</f>
        <v>Huánuco__</v>
      </c>
      <c r="J9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2" s="72" t="e">
        <f>VLOOKUP(Tabla5[[#This Row],[Tipo de Transporte Empleado
&lt;&lt; Seleccionar&gt;&gt;]],Tabla8[#All],2,0)</f>
        <v>#N/A</v>
      </c>
      <c r="L922" s="71" t="e">
        <f>#REF!+(#REF!*2)+#REF!</f>
        <v>#REF!</v>
      </c>
    </row>
    <row r="923" spans="1:12" x14ac:dyDescent="0.25">
      <c r="A923" s="328" t="e">
        <f>VLOOKUP(Tabla5[[#This Row],[Acción
&lt;&lt; Seleccionar&gt;&gt;]],TablaAccion[[#All],[Nombre_Abreviado]:[Codigo_Plan_Acción]],3,0)</f>
        <v>#N/A</v>
      </c>
      <c r="B923" s="328" t="e">
        <f>VLOOKUP(Tabla5[[#This Row],[Acción Especifica
&lt;&lt; Seleccionar&gt;&gt;]],TablaAccionEspecifica[[#All],[Nombre_Abreviado]:[Codigo_Acción]],3,0)</f>
        <v>#N/A</v>
      </c>
      <c r="C923" s="328" t="e">
        <f>CONCATENATE(Tabla18[[#This Row],[Bus_02]],"_",Tabla5[[#This Row],[Sub Acción Específica
&lt;&lt; Seleccionar&gt;&gt;]])</f>
        <v>#N/A</v>
      </c>
      <c r="D923" s="328" t="e">
        <f>VLOOKUP(Tabla18[[#This Row],[Aux_01]],TablaSubAccionEspecifica[[#All],[Concat]:[Cod_Sub_acción_especifica]],2,0)</f>
        <v>#N/A</v>
      </c>
      <c r="E923" s="328" t="e">
        <f>Tabla18[[#This Row],[Bus_03]]&amp;"_"&amp;Tabla5[[#This Row],[Tipo de Agente
&lt;&lt; Seleccionar&gt;&gt;]]</f>
        <v>#N/A</v>
      </c>
      <c r="F923" s="328" t="e">
        <f>VLOOKUP(Tabla18[[#This Row],[Concat2]],TablaPOA[[#All],[Concat]:[ConcatEspecial]],3,0)</f>
        <v>#N/A</v>
      </c>
      <c r="G923" s="65" t="str">
        <f>CONCATENATE(Registro!$A$6,"_",Tabla5[[#This Row],[Zona (Provincia)
&lt;&lt; Seleccionar&gt;&gt;]])</f>
        <v>Huánuco_</v>
      </c>
      <c r="H923" s="60" t="e">
        <f>VLOOKUP(Tabla18[[#This Row],[Concatenado***]],Tabla2[[#All],[Concatenado]:[Simbología*]],2,0)</f>
        <v>#N/A</v>
      </c>
      <c r="I923" s="65" t="str">
        <f>CONCATENATE(Tabla18[[#This Row],[Concatenado***]],"_",Tabla5[[#This Row],[Zona (Distrito)
&lt;&lt; Seleccionar&gt;&gt;]])</f>
        <v>Huánuco__</v>
      </c>
      <c r="J9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3" s="72" t="e">
        <f>VLOOKUP(Tabla5[[#This Row],[Tipo de Transporte Empleado
&lt;&lt; Seleccionar&gt;&gt;]],Tabla8[#All],2,0)</f>
        <v>#N/A</v>
      </c>
      <c r="L923" s="71" t="e">
        <f>#REF!+(#REF!*2)+#REF!</f>
        <v>#REF!</v>
      </c>
    </row>
    <row r="924" spans="1:12" x14ac:dyDescent="0.25">
      <c r="A924" s="328" t="e">
        <f>VLOOKUP(Tabla5[[#This Row],[Acción
&lt;&lt; Seleccionar&gt;&gt;]],TablaAccion[[#All],[Nombre_Abreviado]:[Codigo_Plan_Acción]],3,0)</f>
        <v>#N/A</v>
      </c>
      <c r="B924" s="328" t="e">
        <f>VLOOKUP(Tabla5[[#This Row],[Acción Especifica
&lt;&lt; Seleccionar&gt;&gt;]],TablaAccionEspecifica[[#All],[Nombre_Abreviado]:[Codigo_Acción]],3,0)</f>
        <v>#N/A</v>
      </c>
      <c r="C924" s="328" t="e">
        <f>CONCATENATE(Tabla18[[#This Row],[Bus_02]],"_",Tabla5[[#This Row],[Sub Acción Específica
&lt;&lt; Seleccionar&gt;&gt;]])</f>
        <v>#N/A</v>
      </c>
      <c r="D924" s="328" t="e">
        <f>VLOOKUP(Tabla18[[#This Row],[Aux_01]],TablaSubAccionEspecifica[[#All],[Concat]:[Cod_Sub_acción_especifica]],2,0)</f>
        <v>#N/A</v>
      </c>
      <c r="E924" s="328" t="e">
        <f>Tabla18[[#This Row],[Bus_03]]&amp;"_"&amp;Tabla5[[#This Row],[Tipo de Agente
&lt;&lt; Seleccionar&gt;&gt;]]</f>
        <v>#N/A</v>
      </c>
      <c r="F924" s="328" t="e">
        <f>VLOOKUP(Tabla18[[#This Row],[Concat2]],TablaPOA[[#All],[Concat]:[ConcatEspecial]],3,0)</f>
        <v>#N/A</v>
      </c>
      <c r="G924" s="65" t="str">
        <f>CONCATENATE(Registro!$A$6,"_",Tabla5[[#This Row],[Zona (Provincia)
&lt;&lt; Seleccionar&gt;&gt;]])</f>
        <v>Huánuco_</v>
      </c>
      <c r="H924" s="60" t="e">
        <f>VLOOKUP(Tabla18[[#This Row],[Concatenado***]],Tabla2[[#All],[Concatenado]:[Simbología*]],2,0)</f>
        <v>#N/A</v>
      </c>
      <c r="I924" s="65" t="str">
        <f>CONCATENATE(Tabla18[[#This Row],[Concatenado***]],"_",Tabla5[[#This Row],[Zona (Distrito)
&lt;&lt; Seleccionar&gt;&gt;]])</f>
        <v>Huánuco__</v>
      </c>
      <c r="J9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4" s="72" t="e">
        <f>VLOOKUP(Tabla5[[#This Row],[Tipo de Transporte Empleado
&lt;&lt; Seleccionar&gt;&gt;]],Tabla8[#All],2,0)</f>
        <v>#N/A</v>
      </c>
      <c r="L924" s="71" t="e">
        <f>#REF!+(#REF!*2)+#REF!</f>
        <v>#REF!</v>
      </c>
    </row>
    <row r="925" spans="1:12" x14ac:dyDescent="0.25">
      <c r="A925" s="328" t="e">
        <f>VLOOKUP(Tabla5[[#This Row],[Acción
&lt;&lt; Seleccionar&gt;&gt;]],TablaAccion[[#All],[Nombre_Abreviado]:[Codigo_Plan_Acción]],3,0)</f>
        <v>#N/A</v>
      </c>
      <c r="B925" s="328" t="e">
        <f>VLOOKUP(Tabla5[[#This Row],[Acción Especifica
&lt;&lt; Seleccionar&gt;&gt;]],TablaAccionEspecifica[[#All],[Nombre_Abreviado]:[Codigo_Acción]],3,0)</f>
        <v>#N/A</v>
      </c>
      <c r="C925" s="328" t="e">
        <f>CONCATENATE(Tabla18[[#This Row],[Bus_02]],"_",Tabla5[[#This Row],[Sub Acción Específica
&lt;&lt; Seleccionar&gt;&gt;]])</f>
        <v>#N/A</v>
      </c>
      <c r="D925" s="328" t="e">
        <f>VLOOKUP(Tabla18[[#This Row],[Aux_01]],TablaSubAccionEspecifica[[#All],[Concat]:[Cod_Sub_acción_especifica]],2,0)</f>
        <v>#N/A</v>
      </c>
      <c r="E925" s="328" t="e">
        <f>Tabla18[[#This Row],[Bus_03]]&amp;"_"&amp;Tabla5[[#This Row],[Tipo de Agente
&lt;&lt; Seleccionar&gt;&gt;]]</f>
        <v>#N/A</v>
      </c>
      <c r="F925" s="328" t="e">
        <f>VLOOKUP(Tabla18[[#This Row],[Concat2]],TablaPOA[[#All],[Concat]:[ConcatEspecial]],3,0)</f>
        <v>#N/A</v>
      </c>
      <c r="G925" s="65" t="str">
        <f>CONCATENATE(Registro!$A$6,"_",Tabla5[[#This Row],[Zona (Provincia)
&lt;&lt; Seleccionar&gt;&gt;]])</f>
        <v>Huánuco_</v>
      </c>
      <c r="H925" s="60" t="e">
        <f>VLOOKUP(Tabla18[[#This Row],[Concatenado***]],Tabla2[[#All],[Concatenado]:[Simbología*]],2,0)</f>
        <v>#N/A</v>
      </c>
      <c r="I925" s="65" t="str">
        <f>CONCATENATE(Tabla18[[#This Row],[Concatenado***]],"_",Tabla5[[#This Row],[Zona (Distrito)
&lt;&lt; Seleccionar&gt;&gt;]])</f>
        <v>Huánuco__</v>
      </c>
      <c r="J9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5" s="72" t="e">
        <f>VLOOKUP(Tabla5[[#This Row],[Tipo de Transporte Empleado
&lt;&lt; Seleccionar&gt;&gt;]],Tabla8[#All],2,0)</f>
        <v>#N/A</v>
      </c>
      <c r="L925" s="71" t="e">
        <f>#REF!+(#REF!*2)+#REF!</f>
        <v>#REF!</v>
      </c>
    </row>
    <row r="926" spans="1:12" x14ac:dyDescent="0.25">
      <c r="A926" s="328" t="e">
        <f>VLOOKUP(Tabla5[[#This Row],[Acción
&lt;&lt; Seleccionar&gt;&gt;]],TablaAccion[[#All],[Nombre_Abreviado]:[Codigo_Plan_Acción]],3,0)</f>
        <v>#N/A</v>
      </c>
      <c r="B926" s="328" t="e">
        <f>VLOOKUP(Tabla5[[#This Row],[Acción Especifica
&lt;&lt; Seleccionar&gt;&gt;]],TablaAccionEspecifica[[#All],[Nombre_Abreviado]:[Codigo_Acción]],3,0)</f>
        <v>#N/A</v>
      </c>
      <c r="C926" s="328" t="e">
        <f>CONCATENATE(Tabla18[[#This Row],[Bus_02]],"_",Tabla5[[#This Row],[Sub Acción Específica
&lt;&lt; Seleccionar&gt;&gt;]])</f>
        <v>#N/A</v>
      </c>
      <c r="D926" s="328" t="e">
        <f>VLOOKUP(Tabla18[[#This Row],[Aux_01]],TablaSubAccionEspecifica[[#All],[Concat]:[Cod_Sub_acción_especifica]],2,0)</f>
        <v>#N/A</v>
      </c>
      <c r="E926" s="328" t="e">
        <f>Tabla18[[#This Row],[Bus_03]]&amp;"_"&amp;Tabla5[[#This Row],[Tipo de Agente
&lt;&lt; Seleccionar&gt;&gt;]]</f>
        <v>#N/A</v>
      </c>
      <c r="F926" s="328" t="e">
        <f>VLOOKUP(Tabla18[[#This Row],[Concat2]],TablaPOA[[#All],[Concat]:[ConcatEspecial]],3,0)</f>
        <v>#N/A</v>
      </c>
      <c r="G926" s="65" t="str">
        <f>CONCATENATE(Registro!$A$6,"_",Tabla5[[#This Row],[Zona (Provincia)
&lt;&lt; Seleccionar&gt;&gt;]])</f>
        <v>Huánuco_</v>
      </c>
      <c r="H926" s="60" t="e">
        <f>VLOOKUP(Tabla18[[#This Row],[Concatenado***]],Tabla2[[#All],[Concatenado]:[Simbología*]],2,0)</f>
        <v>#N/A</v>
      </c>
      <c r="I926" s="65" t="str">
        <f>CONCATENATE(Tabla18[[#This Row],[Concatenado***]],"_",Tabla5[[#This Row],[Zona (Distrito)
&lt;&lt; Seleccionar&gt;&gt;]])</f>
        <v>Huánuco__</v>
      </c>
      <c r="J9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6" s="72" t="e">
        <f>VLOOKUP(Tabla5[[#This Row],[Tipo de Transporte Empleado
&lt;&lt; Seleccionar&gt;&gt;]],Tabla8[#All],2,0)</f>
        <v>#N/A</v>
      </c>
      <c r="L926" s="71" t="e">
        <f>#REF!+(#REF!*2)+#REF!</f>
        <v>#REF!</v>
      </c>
    </row>
    <row r="927" spans="1:12" x14ac:dyDescent="0.25">
      <c r="A927" s="328" t="e">
        <f>VLOOKUP(Tabla5[[#This Row],[Acción
&lt;&lt; Seleccionar&gt;&gt;]],TablaAccion[[#All],[Nombre_Abreviado]:[Codigo_Plan_Acción]],3,0)</f>
        <v>#N/A</v>
      </c>
      <c r="B927" s="328" t="e">
        <f>VLOOKUP(Tabla5[[#This Row],[Acción Especifica
&lt;&lt; Seleccionar&gt;&gt;]],TablaAccionEspecifica[[#All],[Nombre_Abreviado]:[Codigo_Acción]],3,0)</f>
        <v>#N/A</v>
      </c>
      <c r="C927" s="328" t="e">
        <f>CONCATENATE(Tabla18[[#This Row],[Bus_02]],"_",Tabla5[[#This Row],[Sub Acción Específica
&lt;&lt; Seleccionar&gt;&gt;]])</f>
        <v>#N/A</v>
      </c>
      <c r="D927" s="328" t="e">
        <f>VLOOKUP(Tabla18[[#This Row],[Aux_01]],TablaSubAccionEspecifica[[#All],[Concat]:[Cod_Sub_acción_especifica]],2,0)</f>
        <v>#N/A</v>
      </c>
      <c r="E927" s="328" t="e">
        <f>Tabla18[[#This Row],[Bus_03]]&amp;"_"&amp;Tabla5[[#This Row],[Tipo de Agente
&lt;&lt; Seleccionar&gt;&gt;]]</f>
        <v>#N/A</v>
      </c>
      <c r="F927" s="328" t="e">
        <f>VLOOKUP(Tabla18[[#This Row],[Concat2]],TablaPOA[[#All],[Concat]:[ConcatEspecial]],3,0)</f>
        <v>#N/A</v>
      </c>
      <c r="G927" s="65" t="str">
        <f>CONCATENATE(Registro!$A$6,"_",Tabla5[[#This Row],[Zona (Provincia)
&lt;&lt; Seleccionar&gt;&gt;]])</f>
        <v>Huánuco_</v>
      </c>
      <c r="H927" s="60" t="e">
        <f>VLOOKUP(Tabla18[[#This Row],[Concatenado***]],Tabla2[[#All],[Concatenado]:[Simbología*]],2,0)</f>
        <v>#N/A</v>
      </c>
      <c r="I927" s="65" t="str">
        <f>CONCATENATE(Tabla18[[#This Row],[Concatenado***]],"_",Tabla5[[#This Row],[Zona (Distrito)
&lt;&lt; Seleccionar&gt;&gt;]])</f>
        <v>Huánuco__</v>
      </c>
      <c r="J9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7" s="72" t="e">
        <f>VLOOKUP(Tabla5[[#This Row],[Tipo de Transporte Empleado
&lt;&lt; Seleccionar&gt;&gt;]],Tabla8[#All],2,0)</f>
        <v>#N/A</v>
      </c>
      <c r="L927" s="71" t="e">
        <f>#REF!+(#REF!*2)+#REF!</f>
        <v>#REF!</v>
      </c>
    </row>
    <row r="928" spans="1:12" x14ac:dyDescent="0.25">
      <c r="A928" s="328" t="e">
        <f>VLOOKUP(Tabla5[[#This Row],[Acción
&lt;&lt; Seleccionar&gt;&gt;]],TablaAccion[[#All],[Nombre_Abreviado]:[Codigo_Plan_Acción]],3,0)</f>
        <v>#N/A</v>
      </c>
      <c r="B928" s="328" t="e">
        <f>VLOOKUP(Tabla5[[#This Row],[Acción Especifica
&lt;&lt; Seleccionar&gt;&gt;]],TablaAccionEspecifica[[#All],[Nombre_Abreviado]:[Codigo_Acción]],3,0)</f>
        <v>#N/A</v>
      </c>
      <c r="C928" s="328" t="e">
        <f>CONCATENATE(Tabla18[[#This Row],[Bus_02]],"_",Tabla5[[#This Row],[Sub Acción Específica
&lt;&lt; Seleccionar&gt;&gt;]])</f>
        <v>#N/A</v>
      </c>
      <c r="D928" s="328" t="e">
        <f>VLOOKUP(Tabla18[[#This Row],[Aux_01]],TablaSubAccionEspecifica[[#All],[Concat]:[Cod_Sub_acción_especifica]],2,0)</f>
        <v>#N/A</v>
      </c>
      <c r="E928" s="328" t="e">
        <f>Tabla18[[#This Row],[Bus_03]]&amp;"_"&amp;Tabla5[[#This Row],[Tipo de Agente
&lt;&lt; Seleccionar&gt;&gt;]]</f>
        <v>#N/A</v>
      </c>
      <c r="F928" s="328" t="e">
        <f>VLOOKUP(Tabla18[[#This Row],[Concat2]],TablaPOA[[#All],[Concat]:[ConcatEspecial]],3,0)</f>
        <v>#N/A</v>
      </c>
      <c r="G928" s="65" t="str">
        <f>CONCATENATE(Registro!$A$6,"_",Tabla5[[#This Row],[Zona (Provincia)
&lt;&lt; Seleccionar&gt;&gt;]])</f>
        <v>Huánuco_</v>
      </c>
      <c r="H928" s="60" t="e">
        <f>VLOOKUP(Tabla18[[#This Row],[Concatenado***]],Tabla2[[#All],[Concatenado]:[Simbología*]],2,0)</f>
        <v>#N/A</v>
      </c>
      <c r="I928" s="65" t="str">
        <f>CONCATENATE(Tabla18[[#This Row],[Concatenado***]],"_",Tabla5[[#This Row],[Zona (Distrito)
&lt;&lt; Seleccionar&gt;&gt;]])</f>
        <v>Huánuco__</v>
      </c>
      <c r="J9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8" s="72" t="e">
        <f>VLOOKUP(Tabla5[[#This Row],[Tipo de Transporte Empleado
&lt;&lt; Seleccionar&gt;&gt;]],Tabla8[#All],2,0)</f>
        <v>#N/A</v>
      </c>
      <c r="L928" s="71" t="e">
        <f>#REF!+(#REF!*2)+#REF!</f>
        <v>#REF!</v>
      </c>
    </row>
    <row r="929" spans="1:12" x14ac:dyDescent="0.25">
      <c r="A929" s="328" t="e">
        <f>VLOOKUP(Tabla5[[#This Row],[Acción
&lt;&lt; Seleccionar&gt;&gt;]],TablaAccion[[#All],[Nombre_Abreviado]:[Codigo_Plan_Acción]],3,0)</f>
        <v>#N/A</v>
      </c>
      <c r="B929" s="328" t="e">
        <f>VLOOKUP(Tabla5[[#This Row],[Acción Especifica
&lt;&lt; Seleccionar&gt;&gt;]],TablaAccionEspecifica[[#All],[Nombre_Abreviado]:[Codigo_Acción]],3,0)</f>
        <v>#N/A</v>
      </c>
      <c r="C929" s="328" t="e">
        <f>CONCATENATE(Tabla18[[#This Row],[Bus_02]],"_",Tabla5[[#This Row],[Sub Acción Específica
&lt;&lt; Seleccionar&gt;&gt;]])</f>
        <v>#N/A</v>
      </c>
      <c r="D929" s="328" t="e">
        <f>VLOOKUP(Tabla18[[#This Row],[Aux_01]],TablaSubAccionEspecifica[[#All],[Concat]:[Cod_Sub_acción_especifica]],2,0)</f>
        <v>#N/A</v>
      </c>
      <c r="E929" s="328" t="e">
        <f>Tabla18[[#This Row],[Bus_03]]&amp;"_"&amp;Tabla5[[#This Row],[Tipo de Agente
&lt;&lt; Seleccionar&gt;&gt;]]</f>
        <v>#N/A</v>
      </c>
      <c r="F929" s="328" t="e">
        <f>VLOOKUP(Tabla18[[#This Row],[Concat2]],TablaPOA[[#All],[Concat]:[ConcatEspecial]],3,0)</f>
        <v>#N/A</v>
      </c>
      <c r="G929" s="65" t="str">
        <f>CONCATENATE(Registro!$A$6,"_",Tabla5[[#This Row],[Zona (Provincia)
&lt;&lt; Seleccionar&gt;&gt;]])</f>
        <v>Huánuco_</v>
      </c>
      <c r="H929" s="60" t="e">
        <f>VLOOKUP(Tabla18[[#This Row],[Concatenado***]],Tabla2[[#All],[Concatenado]:[Simbología*]],2,0)</f>
        <v>#N/A</v>
      </c>
      <c r="I929" s="65" t="str">
        <f>CONCATENATE(Tabla18[[#This Row],[Concatenado***]],"_",Tabla5[[#This Row],[Zona (Distrito)
&lt;&lt; Seleccionar&gt;&gt;]])</f>
        <v>Huánuco__</v>
      </c>
      <c r="J9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9" s="72" t="e">
        <f>VLOOKUP(Tabla5[[#This Row],[Tipo de Transporte Empleado
&lt;&lt; Seleccionar&gt;&gt;]],Tabla8[#All],2,0)</f>
        <v>#N/A</v>
      </c>
      <c r="L929" s="71" t="e">
        <f>#REF!+(#REF!*2)+#REF!</f>
        <v>#REF!</v>
      </c>
    </row>
    <row r="930" spans="1:12" x14ac:dyDescent="0.25">
      <c r="A930" s="328" t="e">
        <f>VLOOKUP(Tabla5[[#This Row],[Acción
&lt;&lt; Seleccionar&gt;&gt;]],TablaAccion[[#All],[Nombre_Abreviado]:[Codigo_Plan_Acción]],3,0)</f>
        <v>#N/A</v>
      </c>
      <c r="B930" s="328" t="e">
        <f>VLOOKUP(Tabla5[[#This Row],[Acción Especifica
&lt;&lt; Seleccionar&gt;&gt;]],TablaAccionEspecifica[[#All],[Nombre_Abreviado]:[Codigo_Acción]],3,0)</f>
        <v>#N/A</v>
      </c>
      <c r="C930" s="328" t="e">
        <f>CONCATENATE(Tabla18[[#This Row],[Bus_02]],"_",Tabla5[[#This Row],[Sub Acción Específica
&lt;&lt; Seleccionar&gt;&gt;]])</f>
        <v>#N/A</v>
      </c>
      <c r="D930" s="328" t="e">
        <f>VLOOKUP(Tabla18[[#This Row],[Aux_01]],TablaSubAccionEspecifica[[#All],[Concat]:[Cod_Sub_acción_especifica]],2,0)</f>
        <v>#N/A</v>
      </c>
      <c r="E930" s="328" t="e">
        <f>Tabla18[[#This Row],[Bus_03]]&amp;"_"&amp;Tabla5[[#This Row],[Tipo de Agente
&lt;&lt; Seleccionar&gt;&gt;]]</f>
        <v>#N/A</v>
      </c>
      <c r="F930" s="328" t="e">
        <f>VLOOKUP(Tabla18[[#This Row],[Concat2]],TablaPOA[[#All],[Concat]:[ConcatEspecial]],3,0)</f>
        <v>#N/A</v>
      </c>
      <c r="G930" s="65" t="str">
        <f>CONCATENATE(Registro!$A$6,"_",Tabla5[[#This Row],[Zona (Provincia)
&lt;&lt; Seleccionar&gt;&gt;]])</f>
        <v>Huánuco_</v>
      </c>
      <c r="H930" s="60" t="e">
        <f>VLOOKUP(Tabla18[[#This Row],[Concatenado***]],Tabla2[[#All],[Concatenado]:[Simbología*]],2,0)</f>
        <v>#N/A</v>
      </c>
      <c r="I930" s="65" t="str">
        <f>CONCATENATE(Tabla18[[#This Row],[Concatenado***]],"_",Tabla5[[#This Row],[Zona (Distrito)
&lt;&lt; Seleccionar&gt;&gt;]])</f>
        <v>Huánuco__</v>
      </c>
      <c r="J9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0" s="72" t="e">
        <f>VLOOKUP(Tabla5[[#This Row],[Tipo de Transporte Empleado
&lt;&lt; Seleccionar&gt;&gt;]],Tabla8[#All],2,0)</f>
        <v>#N/A</v>
      </c>
      <c r="L930" s="71" t="e">
        <f>#REF!+(#REF!*2)+#REF!</f>
        <v>#REF!</v>
      </c>
    </row>
    <row r="931" spans="1:12" x14ac:dyDescent="0.25">
      <c r="A931" s="328" t="e">
        <f>VLOOKUP(Tabla5[[#This Row],[Acción
&lt;&lt; Seleccionar&gt;&gt;]],TablaAccion[[#All],[Nombre_Abreviado]:[Codigo_Plan_Acción]],3,0)</f>
        <v>#N/A</v>
      </c>
      <c r="B931" s="328" t="e">
        <f>VLOOKUP(Tabla5[[#This Row],[Acción Especifica
&lt;&lt; Seleccionar&gt;&gt;]],TablaAccionEspecifica[[#All],[Nombre_Abreviado]:[Codigo_Acción]],3,0)</f>
        <v>#N/A</v>
      </c>
      <c r="C931" s="328" t="e">
        <f>CONCATENATE(Tabla18[[#This Row],[Bus_02]],"_",Tabla5[[#This Row],[Sub Acción Específica
&lt;&lt; Seleccionar&gt;&gt;]])</f>
        <v>#N/A</v>
      </c>
      <c r="D931" s="328" t="e">
        <f>VLOOKUP(Tabla18[[#This Row],[Aux_01]],TablaSubAccionEspecifica[[#All],[Concat]:[Cod_Sub_acción_especifica]],2,0)</f>
        <v>#N/A</v>
      </c>
      <c r="E931" s="328" t="e">
        <f>Tabla18[[#This Row],[Bus_03]]&amp;"_"&amp;Tabla5[[#This Row],[Tipo de Agente
&lt;&lt; Seleccionar&gt;&gt;]]</f>
        <v>#N/A</v>
      </c>
      <c r="F931" s="328" t="e">
        <f>VLOOKUP(Tabla18[[#This Row],[Concat2]],TablaPOA[[#All],[Concat]:[ConcatEspecial]],3,0)</f>
        <v>#N/A</v>
      </c>
      <c r="G931" s="65" t="str">
        <f>CONCATENATE(Registro!$A$6,"_",Tabla5[[#This Row],[Zona (Provincia)
&lt;&lt; Seleccionar&gt;&gt;]])</f>
        <v>Huánuco_</v>
      </c>
      <c r="H931" s="60" t="e">
        <f>VLOOKUP(Tabla18[[#This Row],[Concatenado***]],Tabla2[[#All],[Concatenado]:[Simbología*]],2,0)</f>
        <v>#N/A</v>
      </c>
      <c r="I931" s="65" t="str">
        <f>CONCATENATE(Tabla18[[#This Row],[Concatenado***]],"_",Tabla5[[#This Row],[Zona (Distrito)
&lt;&lt; Seleccionar&gt;&gt;]])</f>
        <v>Huánuco__</v>
      </c>
      <c r="J9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1" s="72" t="e">
        <f>VLOOKUP(Tabla5[[#This Row],[Tipo de Transporte Empleado
&lt;&lt; Seleccionar&gt;&gt;]],Tabla8[#All],2,0)</f>
        <v>#N/A</v>
      </c>
      <c r="L931" s="71" t="e">
        <f>#REF!+(#REF!*2)+#REF!</f>
        <v>#REF!</v>
      </c>
    </row>
    <row r="932" spans="1:12" x14ac:dyDescent="0.25">
      <c r="A932" s="328" t="e">
        <f>VLOOKUP(Tabla5[[#This Row],[Acción
&lt;&lt; Seleccionar&gt;&gt;]],TablaAccion[[#All],[Nombre_Abreviado]:[Codigo_Plan_Acción]],3,0)</f>
        <v>#N/A</v>
      </c>
      <c r="B932" s="328" t="e">
        <f>VLOOKUP(Tabla5[[#This Row],[Acción Especifica
&lt;&lt; Seleccionar&gt;&gt;]],TablaAccionEspecifica[[#All],[Nombre_Abreviado]:[Codigo_Acción]],3,0)</f>
        <v>#N/A</v>
      </c>
      <c r="C932" s="328" t="e">
        <f>CONCATENATE(Tabla18[[#This Row],[Bus_02]],"_",Tabla5[[#This Row],[Sub Acción Específica
&lt;&lt; Seleccionar&gt;&gt;]])</f>
        <v>#N/A</v>
      </c>
      <c r="D932" s="328" t="e">
        <f>VLOOKUP(Tabla18[[#This Row],[Aux_01]],TablaSubAccionEspecifica[[#All],[Concat]:[Cod_Sub_acción_especifica]],2,0)</f>
        <v>#N/A</v>
      </c>
      <c r="E932" s="328" t="e">
        <f>Tabla18[[#This Row],[Bus_03]]&amp;"_"&amp;Tabla5[[#This Row],[Tipo de Agente
&lt;&lt; Seleccionar&gt;&gt;]]</f>
        <v>#N/A</v>
      </c>
      <c r="F932" s="328" t="e">
        <f>VLOOKUP(Tabla18[[#This Row],[Concat2]],TablaPOA[[#All],[Concat]:[ConcatEspecial]],3,0)</f>
        <v>#N/A</v>
      </c>
      <c r="G932" s="65" t="str">
        <f>CONCATENATE(Registro!$A$6,"_",Tabla5[[#This Row],[Zona (Provincia)
&lt;&lt; Seleccionar&gt;&gt;]])</f>
        <v>Huánuco_</v>
      </c>
      <c r="H932" s="60" t="e">
        <f>VLOOKUP(Tabla18[[#This Row],[Concatenado***]],Tabla2[[#All],[Concatenado]:[Simbología*]],2,0)</f>
        <v>#N/A</v>
      </c>
      <c r="I932" s="65" t="str">
        <f>CONCATENATE(Tabla18[[#This Row],[Concatenado***]],"_",Tabla5[[#This Row],[Zona (Distrito)
&lt;&lt; Seleccionar&gt;&gt;]])</f>
        <v>Huánuco__</v>
      </c>
      <c r="J9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2" s="72" t="e">
        <f>VLOOKUP(Tabla5[[#This Row],[Tipo de Transporte Empleado
&lt;&lt; Seleccionar&gt;&gt;]],Tabla8[#All],2,0)</f>
        <v>#N/A</v>
      </c>
      <c r="L932" s="71" t="e">
        <f>#REF!+(#REF!*2)+#REF!</f>
        <v>#REF!</v>
      </c>
    </row>
    <row r="933" spans="1:12" x14ac:dyDescent="0.25">
      <c r="A933" s="328" t="e">
        <f>VLOOKUP(Tabla5[[#This Row],[Acción
&lt;&lt; Seleccionar&gt;&gt;]],TablaAccion[[#All],[Nombre_Abreviado]:[Codigo_Plan_Acción]],3,0)</f>
        <v>#N/A</v>
      </c>
      <c r="B933" s="328" t="e">
        <f>VLOOKUP(Tabla5[[#This Row],[Acción Especifica
&lt;&lt; Seleccionar&gt;&gt;]],TablaAccionEspecifica[[#All],[Nombre_Abreviado]:[Codigo_Acción]],3,0)</f>
        <v>#N/A</v>
      </c>
      <c r="C933" s="328" t="e">
        <f>CONCATENATE(Tabla18[[#This Row],[Bus_02]],"_",Tabla5[[#This Row],[Sub Acción Específica
&lt;&lt; Seleccionar&gt;&gt;]])</f>
        <v>#N/A</v>
      </c>
      <c r="D933" s="328" t="e">
        <f>VLOOKUP(Tabla18[[#This Row],[Aux_01]],TablaSubAccionEspecifica[[#All],[Concat]:[Cod_Sub_acción_especifica]],2,0)</f>
        <v>#N/A</v>
      </c>
      <c r="E933" s="328" t="e">
        <f>Tabla18[[#This Row],[Bus_03]]&amp;"_"&amp;Tabla5[[#This Row],[Tipo de Agente
&lt;&lt; Seleccionar&gt;&gt;]]</f>
        <v>#N/A</v>
      </c>
      <c r="F933" s="328" t="e">
        <f>VLOOKUP(Tabla18[[#This Row],[Concat2]],TablaPOA[[#All],[Concat]:[ConcatEspecial]],3,0)</f>
        <v>#N/A</v>
      </c>
      <c r="G933" s="65" t="str">
        <f>CONCATENATE(Registro!$A$6,"_",Tabla5[[#This Row],[Zona (Provincia)
&lt;&lt; Seleccionar&gt;&gt;]])</f>
        <v>Huánuco_</v>
      </c>
      <c r="H933" s="60" t="e">
        <f>VLOOKUP(Tabla18[[#This Row],[Concatenado***]],Tabla2[[#All],[Concatenado]:[Simbología*]],2,0)</f>
        <v>#N/A</v>
      </c>
      <c r="I933" s="65" t="str">
        <f>CONCATENATE(Tabla18[[#This Row],[Concatenado***]],"_",Tabla5[[#This Row],[Zona (Distrito)
&lt;&lt; Seleccionar&gt;&gt;]])</f>
        <v>Huánuco__</v>
      </c>
      <c r="J9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3" s="72" t="e">
        <f>VLOOKUP(Tabla5[[#This Row],[Tipo de Transporte Empleado
&lt;&lt; Seleccionar&gt;&gt;]],Tabla8[#All],2,0)</f>
        <v>#N/A</v>
      </c>
      <c r="L933" s="71" t="e">
        <f>#REF!+(#REF!*2)+#REF!</f>
        <v>#REF!</v>
      </c>
    </row>
    <row r="934" spans="1:12" x14ac:dyDescent="0.25">
      <c r="A934" s="328" t="e">
        <f>VLOOKUP(Tabla5[[#This Row],[Acción
&lt;&lt; Seleccionar&gt;&gt;]],TablaAccion[[#All],[Nombre_Abreviado]:[Codigo_Plan_Acción]],3,0)</f>
        <v>#N/A</v>
      </c>
      <c r="B934" s="328" t="e">
        <f>VLOOKUP(Tabla5[[#This Row],[Acción Especifica
&lt;&lt; Seleccionar&gt;&gt;]],TablaAccionEspecifica[[#All],[Nombre_Abreviado]:[Codigo_Acción]],3,0)</f>
        <v>#N/A</v>
      </c>
      <c r="C934" s="328" t="e">
        <f>CONCATENATE(Tabla18[[#This Row],[Bus_02]],"_",Tabla5[[#This Row],[Sub Acción Específica
&lt;&lt; Seleccionar&gt;&gt;]])</f>
        <v>#N/A</v>
      </c>
      <c r="D934" s="328" t="e">
        <f>VLOOKUP(Tabla18[[#This Row],[Aux_01]],TablaSubAccionEspecifica[[#All],[Concat]:[Cod_Sub_acción_especifica]],2,0)</f>
        <v>#N/A</v>
      </c>
      <c r="E934" s="328" t="e">
        <f>Tabla18[[#This Row],[Bus_03]]&amp;"_"&amp;Tabla5[[#This Row],[Tipo de Agente
&lt;&lt; Seleccionar&gt;&gt;]]</f>
        <v>#N/A</v>
      </c>
      <c r="F934" s="328" t="e">
        <f>VLOOKUP(Tabla18[[#This Row],[Concat2]],TablaPOA[[#All],[Concat]:[ConcatEspecial]],3,0)</f>
        <v>#N/A</v>
      </c>
      <c r="G934" s="65" t="str">
        <f>CONCATENATE(Registro!$A$6,"_",Tabla5[[#This Row],[Zona (Provincia)
&lt;&lt; Seleccionar&gt;&gt;]])</f>
        <v>Huánuco_</v>
      </c>
      <c r="H934" s="60" t="e">
        <f>VLOOKUP(Tabla18[[#This Row],[Concatenado***]],Tabla2[[#All],[Concatenado]:[Simbología*]],2,0)</f>
        <v>#N/A</v>
      </c>
      <c r="I934" s="65" t="str">
        <f>CONCATENATE(Tabla18[[#This Row],[Concatenado***]],"_",Tabla5[[#This Row],[Zona (Distrito)
&lt;&lt; Seleccionar&gt;&gt;]])</f>
        <v>Huánuco__</v>
      </c>
      <c r="J9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4" s="72" t="e">
        <f>VLOOKUP(Tabla5[[#This Row],[Tipo de Transporte Empleado
&lt;&lt; Seleccionar&gt;&gt;]],Tabla8[#All],2,0)</f>
        <v>#N/A</v>
      </c>
      <c r="L934" s="71" t="e">
        <f>#REF!+(#REF!*2)+#REF!</f>
        <v>#REF!</v>
      </c>
    </row>
    <row r="935" spans="1:12" x14ac:dyDescent="0.25">
      <c r="A935" s="328" t="e">
        <f>VLOOKUP(Tabla5[[#This Row],[Acción
&lt;&lt; Seleccionar&gt;&gt;]],TablaAccion[[#All],[Nombre_Abreviado]:[Codigo_Plan_Acción]],3,0)</f>
        <v>#N/A</v>
      </c>
      <c r="B935" s="328" t="e">
        <f>VLOOKUP(Tabla5[[#This Row],[Acción Especifica
&lt;&lt; Seleccionar&gt;&gt;]],TablaAccionEspecifica[[#All],[Nombre_Abreviado]:[Codigo_Acción]],3,0)</f>
        <v>#N/A</v>
      </c>
      <c r="C935" s="328" t="e">
        <f>CONCATENATE(Tabla18[[#This Row],[Bus_02]],"_",Tabla5[[#This Row],[Sub Acción Específica
&lt;&lt; Seleccionar&gt;&gt;]])</f>
        <v>#N/A</v>
      </c>
      <c r="D935" s="328" t="e">
        <f>VLOOKUP(Tabla18[[#This Row],[Aux_01]],TablaSubAccionEspecifica[[#All],[Concat]:[Cod_Sub_acción_especifica]],2,0)</f>
        <v>#N/A</v>
      </c>
      <c r="E935" s="328" t="e">
        <f>Tabla18[[#This Row],[Bus_03]]&amp;"_"&amp;Tabla5[[#This Row],[Tipo de Agente
&lt;&lt; Seleccionar&gt;&gt;]]</f>
        <v>#N/A</v>
      </c>
      <c r="F935" s="328" t="e">
        <f>VLOOKUP(Tabla18[[#This Row],[Concat2]],TablaPOA[[#All],[Concat]:[ConcatEspecial]],3,0)</f>
        <v>#N/A</v>
      </c>
      <c r="G935" s="65" t="str">
        <f>CONCATENATE(Registro!$A$6,"_",Tabla5[[#This Row],[Zona (Provincia)
&lt;&lt; Seleccionar&gt;&gt;]])</f>
        <v>Huánuco_</v>
      </c>
      <c r="H935" s="60" t="e">
        <f>VLOOKUP(Tabla18[[#This Row],[Concatenado***]],Tabla2[[#All],[Concatenado]:[Simbología*]],2,0)</f>
        <v>#N/A</v>
      </c>
      <c r="I935" s="65" t="str">
        <f>CONCATENATE(Tabla18[[#This Row],[Concatenado***]],"_",Tabla5[[#This Row],[Zona (Distrito)
&lt;&lt; Seleccionar&gt;&gt;]])</f>
        <v>Huánuco__</v>
      </c>
      <c r="J9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5" s="72" t="e">
        <f>VLOOKUP(Tabla5[[#This Row],[Tipo de Transporte Empleado
&lt;&lt; Seleccionar&gt;&gt;]],Tabla8[#All],2,0)</f>
        <v>#N/A</v>
      </c>
      <c r="L935" s="71" t="e">
        <f>#REF!+(#REF!*2)+#REF!</f>
        <v>#REF!</v>
      </c>
    </row>
    <row r="936" spans="1:12" x14ac:dyDescent="0.25">
      <c r="A936" s="328" t="e">
        <f>VLOOKUP(Tabla5[[#This Row],[Acción
&lt;&lt; Seleccionar&gt;&gt;]],TablaAccion[[#All],[Nombre_Abreviado]:[Codigo_Plan_Acción]],3,0)</f>
        <v>#N/A</v>
      </c>
      <c r="B936" s="328" t="e">
        <f>VLOOKUP(Tabla5[[#This Row],[Acción Especifica
&lt;&lt; Seleccionar&gt;&gt;]],TablaAccionEspecifica[[#All],[Nombre_Abreviado]:[Codigo_Acción]],3,0)</f>
        <v>#N/A</v>
      </c>
      <c r="C936" s="328" t="e">
        <f>CONCATENATE(Tabla18[[#This Row],[Bus_02]],"_",Tabla5[[#This Row],[Sub Acción Específica
&lt;&lt; Seleccionar&gt;&gt;]])</f>
        <v>#N/A</v>
      </c>
      <c r="D936" s="328" t="e">
        <f>VLOOKUP(Tabla18[[#This Row],[Aux_01]],TablaSubAccionEspecifica[[#All],[Concat]:[Cod_Sub_acción_especifica]],2,0)</f>
        <v>#N/A</v>
      </c>
      <c r="E936" s="328" t="e">
        <f>Tabla18[[#This Row],[Bus_03]]&amp;"_"&amp;Tabla5[[#This Row],[Tipo de Agente
&lt;&lt; Seleccionar&gt;&gt;]]</f>
        <v>#N/A</v>
      </c>
      <c r="F936" s="328" t="e">
        <f>VLOOKUP(Tabla18[[#This Row],[Concat2]],TablaPOA[[#All],[Concat]:[ConcatEspecial]],3,0)</f>
        <v>#N/A</v>
      </c>
      <c r="G936" s="65" t="str">
        <f>CONCATENATE(Registro!$A$6,"_",Tabla5[[#This Row],[Zona (Provincia)
&lt;&lt; Seleccionar&gt;&gt;]])</f>
        <v>Huánuco_</v>
      </c>
      <c r="H936" s="60" t="e">
        <f>VLOOKUP(Tabla18[[#This Row],[Concatenado***]],Tabla2[[#All],[Concatenado]:[Simbología*]],2,0)</f>
        <v>#N/A</v>
      </c>
      <c r="I936" s="65" t="str">
        <f>CONCATENATE(Tabla18[[#This Row],[Concatenado***]],"_",Tabla5[[#This Row],[Zona (Distrito)
&lt;&lt; Seleccionar&gt;&gt;]])</f>
        <v>Huánuco__</v>
      </c>
      <c r="J9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6" s="72" t="e">
        <f>VLOOKUP(Tabla5[[#This Row],[Tipo de Transporte Empleado
&lt;&lt; Seleccionar&gt;&gt;]],Tabla8[#All],2,0)</f>
        <v>#N/A</v>
      </c>
      <c r="L936" s="71" t="e">
        <f>#REF!+(#REF!*2)+#REF!</f>
        <v>#REF!</v>
      </c>
    </row>
    <row r="937" spans="1:12" x14ac:dyDescent="0.25">
      <c r="A937" s="328" t="e">
        <f>VLOOKUP(Tabla5[[#This Row],[Acción
&lt;&lt; Seleccionar&gt;&gt;]],TablaAccion[[#All],[Nombre_Abreviado]:[Codigo_Plan_Acción]],3,0)</f>
        <v>#N/A</v>
      </c>
      <c r="B937" s="328" t="e">
        <f>VLOOKUP(Tabla5[[#This Row],[Acción Especifica
&lt;&lt; Seleccionar&gt;&gt;]],TablaAccionEspecifica[[#All],[Nombre_Abreviado]:[Codigo_Acción]],3,0)</f>
        <v>#N/A</v>
      </c>
      <c r="C937" s="328" t="e">
        <f>CONCATENATE(Tabla18[[#This Row],[Bus_02]],"_",Tabla5[[#This Row],[Sub Acción Específica
&lt;&lt; Seleccionar&gt;&gt;]])</f>
        <v>#N/A</v>
      </c>
      <c r="D937" s="328" t="e">
        <f>VLOOKUP(Tabla18[[#This Row],[Aux_01]],TablaSubAccionEspecifica[[#All],[Concat]:[Cod_Sub_acción_especifica]],2,0)</f>
        <v>#N/A</v>
      </c>
      <c r="E937" s="328" t="e">
        <f>Tabla18[[#This Row],[Bus_03]]&amp;"_"&amp;Tabla5[[#This Row],[Tipo de Agente
&lt;&lt; Seleccionar&gt;&gt;]]</f>
        <v>#N/A</v>
      </c>
      <c r="F937" s="328" t="e">
        <f>VLOOKUP(Tabla18[[#This Row],[Concat2]],TablaPOA[[#All],[Concat]:[ConcatEspecial]],3,0)</f>
        <v>#N/A</v>
      </c>
      <c r="G937" s="65" t="str">
        <f>CONCATENATE(Registro!$A$6,"_",Tabla5[[#This Row],[Zona (Provincia)
&lt;&lt; Seleccionar&gt;&gt;]])</f>
        <v>Huánuco_</v>
      </c>
      <c r="H937" s="60" t="e">
        <f>VLOOKUP(Tabla18[[#This Row],[Concatenado***]],Tabla2[[#All],[Concatenado]:[Simbología*]],2,0)</f>
        <v>#N/A</v>
      </c>
      <c r="I937" s="65" t="str">
        <f>CONCATENATE(Tabla18[[#This Row],[Concatenado***]],"_",Tabla5[[#This Row],[Zona (Distrito)
&lt;&lt; Seleccionar&gt;&gt;]])</f>
        <v>Huánuco__</v>
      </c>
      <c r="J9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7" s="72" t="e">
        <f>VLOOKUP(Tabla5[[#This Row],[Tipo de Transporte Empleado
&lt;&lt; Seleccionar&gt;&gt;]],Tabla8[#All],2,0)</f>
        <v>#N/A</v>
      </c>
      <c r="L937" s="71" t="e">
        <f>#REF!+(#REF!*2)+#REF!</f>
        <v>#REF!</v>
      </c>
    </row>
    <row r="938" spans="1:12" x14ac:dyDescent="0.25">
      <c r="A938" s="328" t="e">
        <f>VLOOKUP(Tabla5[[#This Row],[Acción
&lt;&lt; Seleccionar&gt;&gt;]],TablaAccion[[#All],[Nombre_Abreviado]:[Codigo_Plan_Acción]],3,0)</f>
        <v>#N/A</v>
      </c>
      <c r="B938" s="328" t="e">
        <f>VLOOKUP(Tabla5[[#This Row],[Acción Especifica
&lt;&lt; Seleccionar&gt;&gt;]],TablaAccionEspecifica[[#All],[Nombre_Abreviado]:[Codigo_Acción]],3,0)</f>
        <v>#N/A</v>
      </c>
      <c r="C938" s="328" t="e">
        <f>CONCATENATE(Tabla18[[#This Row],[Bus_02]],"_",Tabla5[[#This Row],[Sub Acción Específica
&lt;&lt; Seleccionar&gt;&gt;]])</f>
        <v>#N/A</v>
      </c>
      <c r="D938" s="328" t="e">
        <f>VLOOKUP(Tabla18[[#This Row],[Aux_01]],TablaSubAccionEspecifica[[#All],[Concat]:[Cod_Sub_acción_especifica]],2,0)</f>
        <v>#N/A</v>
      </c>
      <c r="E938" s="328" t="e">
        <f>Tabla18[[#This Row],[Bus_03]]&amp;"_"&amp;Tabla5[[#This Row],[Tipo de Agente
&lt;&lt; Seleccionar&gt;&gt;]]</f>
        <v>#N/A</v>
      </c>
      <c r="F938" s="328" t="e">
        <f>VLOOKUP(Tabla18[[#This Row],[Concat2]],TablaPOA[[#All],[Concat]:[ConcatEspecial]],3,0)</f>
        <v>#N/A</v>
      </c>
      <c r="G938" s="65" t="str">
        <f>CONCATENATE(Registro!$A$6,"_",Tabla5[[#This Row],[Zona (Provincia)
&lt;&lt; Seleccionar&gt;&gt;]])</f>
        <v>Huánuco_</v>
      </c>
      <c r="H938" s="60" t="e">
        <f>VLOOKUP(Tabla18[[#This Row],[Concatenado***]],Tabla2[[#All],[Concatenado]:[Simbología*]],2,0)</f>
        <v>#N/A</v>
      </c>
      <c r="I938" s="65" t="str">
        <f>CONCATENATE(Tabla18[[#This Row],[Concatenado***]],"_",Tabla5[[#This Row],[Zona (Distrito)
&lt;&lt; Seleccionar&gt;&gt;]])</f>
        <v>Huánuco__</v>
      </c>
      <c r="J9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8" s="72" t="e">
        <f>VLOOKUP(Tabla5[[#This Row],[Tipo de Transporte Empleado
&lt;&lt; Seleccionar&gt;&gt;]],Tabla8[#All],2,0)</f>
        <v>#N/A</v>
      </c>
      <c r="L938" s="71" t="e">
        <f>#REF!+(#REF!*2)+#REF!</f>
        <v>#REF!</v>
      </c>
    </row>
    <row r="939" spans="1:12" x14ac:dyDescent="0.25">
      <c r="A939" s="328" t="e">
        <f>VLOOKUP(Tabla5[[#This Row],[Acción
&lt;&lt; Seleccionar&gt;&gt;]],TablaAccion[[#All],[Nombre_Abreviado]:[Codigo_Plan_Acción]],3,0)</f>
        <v>#N/A</v>
      </c>
      <c r="B939" s="328" t="e">
        <f>VLOOKUP(Tabla5[[#This Row],[Acción Especifica
&lt;&lt; Seleccionar&gt;&gt;]],TablaAccionEspecifica[[#All],[Nombre_Abreviado]:[Codigo_Acción]],3,0)</f>
        <v>#N/A</v>
      </c>
      <c r="C939" s="328" t="e">
        <f>CONCATENATE(Tabla18[[#This Row],[Bus_02]],"_",Tabla5[[#This Row],[Sub Acción Específica
&lt;&lt; Seleccionar&gt;&gt;]])</f>
        <v>#N/A</v>
      </c>
      <c r="D939" s="328" t="e">
        <f>VLOOKUP(Tabla18[[#This Row],[Aux_01]],TablaSubAccionEspecifica[[#All],[Concat]:[Cod_Sub_acción_especifica]],2,0)</f>
        <v>#N/A</v>
      </c>
      <c r="E939" s="328" t="e">
        <f>Tabla18[[#This Row],[Bus_03]]&amp;"_"&amp;Tabla5[[#This Row],[Tipo de Agente
&lt;&lt; Seleccionar&gt;&gt;]]</f>
        <v>#N/A</v>
      </c>
      <c r="F939" s="328" t="e">
        <f>VLOOKUP(Tabla18[[#This Row],[Concat2]],TablaPOA[[#All],[Concat]:[ConcatEspecial]],3,0)</f>
        <v>#N/A</v>
      </c>
      <c r="G939" s="65" t="str">
        <f>CONCATENATE(Registro!$A$6,"_",Tabla5[[#This Row],[Zona (Provincia)
&lt;&lt; Seleccionar&gt;&gt;]])</f>
        <v>Huánuco_</v>
      </c>
      <c r="H939" s="60" t="e">
        <f>VLOOKUP(Tabla18[[#This Row],[Concatenado***]],Tabla2[[#All],[Concatenado]:[Simbología*]],2,0)</f>
        <v>#N/A</v>
      </c>
      <c r="I939" s="65" t="str">
        <f>CONCATENATE(Tabla18[[#This Row],[Concatenado***]],"_",Tabla5[[#This Row],[Zona (Distrito)
&lt;&lt; Seleccionar&gt;&gt;]])</f>
        <v>Huánuco__</v>
      </c>
      <c r="J9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9" s="72" t="e">
        <f>VLOOKUP(Tabla5[[#This Row],[Tipo de Transporte Empleado
&lt;&lt; Seleccionar&gt;&gt;]],Tabla8[#All],2,0)</f>
        <v>#N/A</v>
      </c>
      <c r="L939" s="71" t="e">
        <f>#REF!+(#REF!*2)+#REF!</f>
        <v>#REF!</v>
      </c>
    </row>
    <row r="940" spans="1:12" x14ac:dyDescent="0.25">
      <c r="A940" s="328" t="e">
        <f>VLOOKUP(Tabla5[[#This Row],[Acción
&lt;&lt; Seleccionar&gt;&gt;]],TablaAccion[[#All],[Nombre_Abreviado]:[Codigo_Plan_Acción]],3,0)</f>
        <v>#N/A</v>
      </c>
      <c r="B940" s="328" t="e">
        <f>VLOOKUP(Tabla5[[#This Row],[Acción Especifica
&lt;&lt; Seleccionar&gt;&gt;]],TablaAccionEspecifica[[#All],[Nombre_Abreviado]:[Codigo_Acción]],3,0)</f>
        <v>#N/A</v>
      </c>
      <c r="C940" s="328" t="e">
        <f>CONCATENATE(Tabla18[[#This Row],[Bus_02]],"_",Tabla5[[#This Row],[Sub Acción Específica
&lt;&lt; Seleccionar&gt;&gt;]])</f>
        <v>#N/A</v>
      </c>
      <c r="D940" s="328" t="e">
        <f>VLOOKUP(Tabla18[[#This Row],[Aux_01]],TablaSubAccionEspecifica[[#All],[Concat]:[Cod_Sub_acción_especifica]],2,0)</f>
        <v>#N/A</v>
      </c>
      <c r="E940" s="328" t="e">
        <f>Tabla18[[#This Row],[Bus_03]]&amp;"_"&amp;Tabla5[[#This Row],[Tipo de Agente
&lt;&lt; Seleccionar&gt;&gt;]]</f>
        <v>#N/A</v>
      </c>
      <c r="F940" s="328" t="e">
        <f>VLOOKUP(Tabla18[[#This Row],[Concat2]],TablaPOA[[#All],[Concat]:[ConcatEspecial]],3,0)</f>
        <v>#N/A</v>
      </c>
      <c r="G940" s="65" t="str">
        <f>CONCATENATE(Registro!$A$6,"_",Tabla5[[#This Row],[Zona (Provincia)
&lt;&lt; Seleccionar&gt;&gt;]])</f>
        <v>Huánuco_</v>
      </c>
      <c r="H940" s="60" t="e">
        <f>VLOOKUP(Tabla18[[#This Row],[Concatenado***]],Tabla2[[#All],[Concatenado]:[Simbología*]],2,0)</f>
        <v>#N/A</v>
      </c>
      <c r="I940" s="65" t="str">
        <f>CONCATENATE(Tabla18[[#This Row],[Concatenado***]],"_",Tabla5[[#This Row],[Zona (Distrito)
&lt;&lt; Seleccionar&gt;&gt;]])</f>
        <v>Huánuco__</v>
      </c>
      <c r="J9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0" s="72" t="e">
        <f>VLOOKUP(Tabla5[[#This Row],[Tipo de Transporte Empleado
&lt;&lt; Seleccionar&gt;&gt;]],Tabla8[#All],2,0)</f>
        <v>#N/A</v>
      </c>
      <c r="L940" s="71" t="e">
        <f>#REF!+(#REF!*2)+#REF!</f>
        <v>#REF!</v>
      </c>
    </row>
    <row r="941" spans="1:12" x14ac:dyDescent="0.25">
      <c r="A941" s="328" t="e">
        <f>VLOOKUP(Tabla5[[#This Row],[Acción
&lt;&lt; Seleccionar&gt;&gt;]],TablaAccion[[#All],[Nombre_Abreviado]:[Codigo_Plan_Acción]],3,0)</f>
        <v>#N/A</v>
      </c>
      <c r="B941" s="328" t="e">
        <f>VLOOKUP(Tabla5[[#This Row],[Acción Especifica
&lt;&lt; Seleccionar&gt;&gt;]],TablaAccionEspecifica[[#All],[Nombre_Abreviado]:[Codigo_Acción]],3,0)</f>
        <v>#N/A</v>
      </c>
      <c r="C941" s="328" t="e">
        <f>CONCATENATE(Tabla18[[#This Row],[Bus_02]],"_",Tabla5[[#This Row],[Sub Acción Específica
&lt;&lt; Seleccionar&gt;&gt;]])</f>
        <v>#N/A</v>
      </c>
      <c r="D941" s="328" t="e">
        <f>VLOOKUP(Tabla18[[#This Row],[Aux_01]],TablaSubAccionEspecifica[[#All],[Concat]:[Cod_Sub_acción_especifica]],2,0)</f>
        <v>#N/A</v>
      </c>
      <c r="E941" s="328" t="e">
        <f>Tabla18[[#This Row],[Bus_03]]&amp;"_"&amp;Tabla5[[#This Row],[Tipo de Agente
&lt;&lt; Seleccionar&gt;&gt;]]</f>
        <v>#N/A</v>
      </c>
      <c r="F941" s="328" t="e">
        <f>VLOOKUP(Tabla18[[#This Row],[Concat2]],TablaPOA[[#All],[Concat]:[ConcatEspecial]],3,0)</f>
        <v>#N/A</v>
      </c>
      <c r="G941" s="65" t="str">
        <f>CONCATENATE(Registro!$A$6,"_",Tabla5[[#This Row],[Zona (Provincia)
&lt;&lt; Seleccionar&gt;&gt;]])</f>
        <v>Huánuco_</v>
      </c>
      <c r="H941" s="60" t="e">
        <f>VLOOKUP(Tabla18[[#This Row],[Concatenado***]],Tabla2[[#All],[Concatenado]:[Simbología*]],2,0)</f>
        <v>#N/A</v>
      </c>
      <c r="I941" s="65" t="str">
        <f>CONCATENATE(Tabla18[[#This Row],[Concatenado***]],"_",Tabla5[[#This Row],[Zona (Distrito)
&lt;&lt; Seleccionar&gt;&gt;]])</f>
        <v>Huánuco__</v>
      </c>
      <c r="J9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1" s="72" t="e">
        <f>VLOOKUP(Tabla5[[#This Row],[Tipo de Transporte Empleado
&lt;&lt; Seleccionar&gt;&gt;]],Tabla8[#All],2,0)</f>
        <v>#N/A</v>
      </c>
      <c r="L941" s="71" t="e">
        <f>#REF!+(#REF!*2)+#REF!</f>
        <v>#REF!</v>
      </c>
    </row>
    <row r="942" spans="1:12" x14ac:dyDescent="0.25">
      <c r="A942" s="328" t="e">
        <f>VLOOKUP(Tabla5[[#This Row],[Acción
&lt;&lt; Seleccionar&gt;&gt;]],TablaAccion[[#All],[Nombre_Abreviado]:[Codigo_Plan_Acción]],3,0)</f>
        <v>#N/A</v>
      </c>
      <c r="B942" s="328" t="e">
        <f>VLOOKUP(Tabla5[[#This Row],[Acción Especifica
&lt;&lt; Seleccionar&gt;&gt;]],TablaAccionEspecifica[[#All],[Nombre_Abreviado]:[Codigo_Acción]],3,0)</f>
        <v>#N/A</v>
      </c>
      <c r="C942" s="328" t="e">
        <f>CONCATENATE(Tabla18[[#This Row],[Bus_02]],"_",Tabla5[[#This Row],[Sub Acción Específica
&lt;&lt; Seleccionar&gt;&gt;]])</f>
        <v>#N/A</v>
      </c>
      <c r="D942" s="328" t="e">
        <f>VLOOKUP(Tabla18[[#This Row],[Aux_01]],TablaSubAccionEspecifica[[#All],[Concat]:[Cod_Sub_acción_especifica]],2,0)</f>
        <v>#N/A</v>
      </c>
      <c r="E942" s="328" t="e">
        <f>Tabla18[[#This Row],[Bus_03]]&amp;"_"&amp;Tabla5[[#This Row],[Tipo de Agente
&lt;&lt; Seleccionar&gt;&gt;]]</f>
        <v>#N/A</v>
      </c>
      <c r="F942" s="328" t="e">
        <f>VLOOKUP(Tabla18[[#This Row],[Concat2]],TablaPOA[[#All],[Concat]:[ConcatEspecial]],3,0)</f>
        <v>#N/A</v>
      </c>
      <c r="G942" s="65" t="str">
        <f>CONCATENATE(Registro!$A$6,"_",Tabla5[[#This Row],[Zona (Provincia)
&lt;&lt; Seleccionar&gt;&gt;]])</f>
        <v>Huánuco_</v>
      </c>
      <c r="H942" s="60" t="e">
        <f>VLOOKUP(Tabla18[[#This Row],[Concatenado***]],Tabla2[[#All],[Concatenado]:[Simbología*]],2,0)</f>
        <v>#N/A</v>
      </c>
      <c r="I942" s="65" t="str">
        <f>CONCATENATE(Tabla18[[#This Row],[Concatenado***]],"_",Tabla5[[#This Row],[Zona (Distrito)
&lt;&lt; Seleccionar&gt;&gt;]])</f>
        <v>Huánuco__</v>
      </c>
      <c r="J9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2" s="72" t="e">
        <f>VLOOKUP(Tabla5[[#This Row],[Tipo de Transporte Empleado
&lt;&lt; Seleccionar&gt;&gt;]],Tabla8[#All],2,0)</f>
        <v>#N/A</v>
      </c>
      <c r="L942" s="71" t="e">
        <f>#REF!+(#REF!*2)+#REF!</f>
        <v>#REF!</v>
      </c>
    </row>
    <row r="943" spans="1:12" x14ac:dyDescent="0.25">
      <c r="A943" s="328" t="e">
        <f>VLOOKUP(Tabla5[[#This Row],[Acción
&lt;&lt; Seleccionar&gt;&gt;]],TablaAccion[[#All],[Nombre_Abreviado]:[Codigo_Plan_Acción]],3,0)</f>
        <v>#N/A</v>
      </c>
      <c r="B943" s="328" t="e">
        <f>VLOOKUP(Tabla5[[#This Row],[Acción Especifica
&lt;&lt; Seleccionar&gt;&gt;]],TablaAccionEspecifica[[#All],[Nombre_Abreviado]:[Codigo_Acción]],3,0)</f>
        <v>#N/A</v>
      </c>
      <c r="C943" s="328" t="e">
        <f>CONCATENATE(Tabla18[[#This Row],[Bus_02]],"_",Tabla5[[#This Row],[Sub Acción Específica
&lt;&lt; Seleccionar&gt;&gt;]])</f>
        <v>#N/A</v>
      </c>
      <c r="D943" s="328" t="e">
        <f>VLOOKUP(Tabla18[[#This Row],[Aux_01]],TablaSubAccionEspecifica[[#All],[Concat]:[Cod_Sub_acción_especifica]],2,0)</f>
        <v>#N/A</v>
      </c>
      <c r="E943" s="328" t="e">
        <f>Tabla18[[#This Row],[Bus_03]]&amp;"_"&amp;Tabla5[[#This Row],[Tipo de Agente
&lt;&lt; Seleccionar&gt;&gt;]]</f>
        <v>#N/A</v>
      </c>
      <c r="F943" s="328" t="e">
        <f>VLOOKUP(Tabla18[[#This Row],[Concat2]],TablaPOA[[#All],[Concat]:[ConcatEspecial]],3,0)</f>
        <v>#N/A</v>
      </c>
      <c r="G943" s="65" t="str">
        <f>CONCATENATE(Registro!$A$6,"_",Tabla5[[#This Row],[Zona (Provincia)
&lt;&lt; Seleccionar&gt;&gt;]])</f>
        <v>Huánuco_</v>
      </c>
      <c r="H943" s="60" t="e">
        <f>VLOOKUP(Tabla18[[#This Row],[Concatenado***]],Tabla2[[#All],[Concatenado]:[Simbología*]],2,0)</f>
        <v>#N/A</v>
      </c>
      <c r="I943" s="65" t="str">
        <f>CONCATENATE(Tabla18[[#This Row],[Concatenado***]],"_",Tabla5[[#This Row],[Zona (Distrito)
&lt;&lt; Seleccionar&gt;&gt;]])</f>
        <v>Huánuco__</v>
      </c>
      <c r="J9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3" s="72" t="e">
        <f>VLOOKUP(Tabla5[[#This Row],[Tipo de Transporte Empleado
&lt;&lt; Seleccionar&gt;&gt;]],Tabla8[#All],2,0)</f>
        <v>#N/A</v>
      </c>
      <c r="L943" s="71" t="e">
        <f>#REF!+(#REF!*2)+#REF!</f>
        <v>#REF!</v>
      </c>
    </row>
    <row r="944" spans="1:12" x14ac:dyDescent="0.25">
      <c r="A944" s="328" t="e">
        <f>VLOOKUP(Tabla5[[#This Row],[Acción
&lt;&lt; Seleccionar&gt;&gt;]],TablaAccion[[#All],[Nombre_Abreviado]:[Codigo_Plan_Acción]],3,0)</f>
        <v>#N/A</v>
      </c>
      <c r="B944" s="328" t="e">
        <f>VLOOKUP(Tabla5[[#This Row],[Acción Especifica
&lt;&lt; Seleccionar&gt;&gt;]],TablaAccionEspecifica[[#All],[Nombre_Abreviado]:[Codigo_Acción]],3,0)</f>
        <v>#N/A</v>
      </c>
      <c r="C944" s="328" t="e">
        <f>CONCATENATE(Tabla18[[#This Row],[Bus_02]],"_",Tabla5[[#This Row],[Sub Acción Específica
&lt;&lt; Seleccionar&gt;&gt;]])</f>
        <v>#N/A</v>
      </c>
      <c r="D944" s="328" t="e">
        <f>VLOOKUP(Tabla18[[#This Row],[Aux_01]],TablaSubAccionEspecifica[[#All],[Concat]:[Cod_Sub_acción_especifica]],2,0)</f>
        <v>#N/A</v>
      </c>
      <c r="E944" s="328" t="e">
        <f>Tabla18[[#This Row],[Bus_03]]&amp;"_"&amp;Tabla5[[#This Row],[Tipo de Agente
&lt;&lt; Seleccionar&gt;&gt;]]</f>
        <v>#N/A</v>
      </c>
      <c r="F944" s="328" t="e">
        <f>VLOOKUP(Tabla18[[#This Row],[Concat2]],TablaPOA[[#All],[Concat]:[ConcatEspecial]],3,0)</f>
        <v>#N/A</v>
      </c>
      <c r="G944" s="65" t="str">
        <f>CONCATENATE(Registro!$A$6,"_",Tabla5[[#This Row],[Zona (Provincia)
&lt;&lt; Seleccionar&gt;&gt;]])</f>
        <v>Huánuco_</v>
      </c>
      <c r="H944" s="60" t="e">
        <f>VLOOKUP(Tabla18[[#This Row],[Concatenado***]],Tabla2[[#All],[Concatenado]:[Simbología*]],2,0)</f>
        <v>#N/A</v>
      </c>
      <c r="I944" s="65" t="str">
        <f>CONCATENATE(Tabla18[[#This Row],[Concatenado***]],"_",Tabla5[[#This Row],[Zona (Distrito)
&lt;&lt; Seleccionar&gt;&gt;]])</f>
        <v>Huánuco__</v>
      </c>
      <c r="J9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4" s="72" t="e">
        <f>VLOOKUP(Tabla5[[#This Row],[Tipo de Transporte Empleado
&lt;&lt; Seleccionar&gt;&gt;]],Tabla8[#All],2,0)</f>
        <v>#N/A</v>
      </c>
      <c r="L944" s="71" t="e">
        <f>#REF!+(#REF!*2)+#REF!</f>
        <v>#REF!</v>
      </c>
    </row>
    <row r="945" spans="1:12" x14ac:dyDescent="0.25">
      <c r="A945" s="328" t="e">
        <f>VLOOKUP(Tabla5[[#This Row],[Acción
&lt;&lt; Seleccionar&gt;&gt;]],TablaAccion[[#All],[Nombre_Abreviado]:[Codigo_Plan_Acción]],3,0)</f>
        <v>#N/A</v>
      </c>
      <c r="B945" s="328" t="e">
        <f>VLOOKUP(Tabla5[[#This Row],[Acción Especifica
&lt;&lt; Seleccionar&gt;&gt;]],TablaAccionEspecifica[[#All],[Nombre_Abreviado]:[Codigo_Acción]],3,0)</f>
        <v>#N/A</v>
      </c>
      <c r="C945" s="328" t="e">
        <f>CONCATENATE(Tabla18[[#This Row],[Bus_02]],"_",Tabla5[[#This Row],[Sub Acción Específica
&lt;&lt; Seleccionar&gt;&gt;]])</f>
        <v>#N/A</v>
      </c>
      <c r="D945" s="328" t="e">
        <f>VLOOKUP(Tabla18[[#This Row],[Aux_01]],TablaSubAccionEspecifica[[#All],[Concat]:[Cod_Sub_acción_especifica]],2,0)</f>
        <v>#N/A</v>
      </c>
      <c r="E945" s="328" t="e">
        <f>Tabla18[[#This Row],[Bus_03]]&amp;"_"&amp;Tabla5[[#This Row],[Tipo de Agente
&lt;&lt; Seleccionar&gt;&gt;]]</f>
        <v>#N/A</v>
      </c>
      <c r="F945" s="328" t="e">
        <f>VLOOKUP(Tabla18[[#This Row],[Concat2]],TablaPOA[[#All],[Concat]:[ConcatEspecial]],3,0)</f>
        <v>#N/A</v>
      </c>
      <c r="G945" s="65" t="str">
        <f>CONCATENATE(Registro!$A$6,"_",Tabla5[[#This Row],[Zona (Provincia)
&lt;&lt; Seleccionar&gt;&gt;]])</f>
        <v>Huánuco_</v>
      </c>
      <c r="H945" s="60" t="e">
        <f>VLOOKUP(Tabla18[[#This Row],[Concatenado***]],Tabla2[[#All],[Concatenado]:[Simbología*]],2,0)</f>
        <v>#N/A</v>
      </c>
      <c r="I945" s="65" t="str">
        <f>CONCATENATE(Tabla18[[#This Row],[Concatenado***]],"_",Tabla5[[#This Row],[Zona (Distrito)
&lt;&lt; Seleccionar&gt;&gt;]])</f>
        <v>Huánuco__</v>
      </c>
      <c r="J9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5" s="72" t="e">
        <f>VLOOKUP(Tabla5[[#This Row],[Tipo de Transporte Empleado
&lt;&lt; Seleccionar&gt;&gt;]],Tabla8[#All],2,0)</f>
        <v>#N/A</v>
      </c>
      <c r="L945" s="71" t="e">
        <f>#REF!+(#REF!*2)+#REF!</f>
        <v>#REF!</v>
      </c>
    </row>
    <row r="946" spans="1:12" x14ac:dyDescent="0.25">
      <c r="A946" s="328" t="e">
        <f>VLOOKUP(Tabla5[[#This Row],[Acción
&lt;&lt; Seleccionar&gt;&gt;]],TablaAccion[[#All],[Nombre_Abreviado]:[Codigo_Plan_Acción]],3,0)</f>
        <v>#N/A</v>
      </c>
      <c r="B946" s="328" t="e">
        <f>VLOOKUP(Tabla5[[#This Row],[Acción Especifica
&lt;&lt; Seleccionar&gt;&gt;]],TablaAccionEspecifica[[#All],[Nombre_Abreviado]:[Codigo_Acción]],3,0)</f>
        <v>#N/A</v>
      </c>
      <c r="C946" s="328" t="e">
        <f>CONCATENATE(Tabla18[[#This Row],[Bus_02]],"_",Tabla5[[#This Row],[Sub Acción Específica
&lt;&lt; Seleccionar&gt;&gt;]])</f>
        <v>#N/A</v>
      </c>
      <c r="D946" s="328" t="e">
        <f>VLOOKUP(Tabla18[[#This Row],[Aux_01]],TablaSubAccionEspecifica[[#All],[Concat]:[Cod_Sub_acción_especifica]],2,0)</f>
        <v>#N/A</v>
      </c>
      <c r="E946" s="328" t="e">
        <f>Tabla18[[#This Row],[Bus_03]]&amp;"_"&amp;Tabla5[[#This Row],[Tipo de Agente
&lt;&lt; Seleccionar&gt;&gt;]]</f>
        <v>#N/A</v>
      </c>
      <c r="F946" s="328" t="e">
        <f>VLOOKUP(Tabla18[[#This Row],[Concat2]],TablaPOA[[#All],[Concat]:[ConcatEspecial]],3,0)</f>
        <v>#N/A</v>
      </c>
      <c r="G946" s="65" t="str">
        <f>CONCATENATE(Registro!$A$6,"_",Tabla5[[#This Row],[Zona (Provincia)
&lt;&lt; Seleccionar&gt;&gt;]])</f>
        <v>Huánuco_</v>
      </c>
      <c r="H946" s="60" t="e">
        <f>VLOOKUP(Tabla18[[#This Row],[Concatenado***]],Tabla2[[#All],[Concatenado]:[Simbología*]],2,0)</f>
        <v>#N/A</v>
      </c>
      <c r="I946" s="65" t="str">
        <f>CONCATENATE(Tabla18[[#This Row],[Concatenado***]],"_",Tabla5[[#This Row],[Zona (Distrito)
&lt;&lt; Seleccionar&gt;&gt;]])</f>
        <v>Huánuco__</v>
      </c>
      <c r="J9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6" s="72" t="e">
        <f>VLOOKUP(Tabla5[[#This Row],[Tipo de Transporte Empleado
&lt;&lt; Seleccionar&gt;&gt;]],Tabla8[#All],2,0)</f>
        <v>#N/A</v>
      </c>
      <c r="L946" s="71" t="e">
        <f>#REF!+(#REF!*2)+#REF!</f>
        <v>#REF!</v>
      </c>
    </row>
    <row r="947" spans="1:12" x14ac:dyDescent="0.25">
      <c r="A947" s="328" t="e">
        <f>VLOOKUP(Tabla5[[#This Row],[Acción
&lt;&lt; Seleccionar&gt;&gt;]],TablaAccion[[#All],[Nombre_Abreviado]:[Codigo_Plan_Acción]],3,0)</f>
        <v>#N/A</v>
      </c>
      <c r="B947" s="328" t="e">
        <f>VLOOKUP(Tabla5[[#This Row],[Acción Especifica
&lt;&lt; Seleccionar&gt;&gt;]],TablaAccionEspecifica[[#All],[Nombre_Abreviado]:[Codigo_Acción]],3,0)</f>
        <v>#N/A</v>
      </c>
      <c r="C947" s="328" t="e">
        <f>CONCATENATE(Tabla18[[#This Row],[Bus_02]],"_",Tabla5[[#This Row],[Sub Acción Específica
&lt;&lt; Seleccionar&gt;&gt;]])</f>
        <v>#N/A</v>
      </c>
      <c r="D947" s="328" t="e">
        <f>VLOOKUP(Tabla18[[#This Row],[Aux_01]],TablaSubAccionEspecifica[[#All],[Concat]:[Cod_Sub_acción_especifica]],2,0)</f>
        <v>#N/A</v>
      </c>
      <c r="E947" s="328" t="e">
        <f>Tabla18[[#This Row],[Bus_03]]&amp;"_"&amp;Tabla5[[#This Row],[Tipo de Agente
&lt;&lt; Seleccionar&gt;&gt;]]</f>
        <v>#N/A</v>
      </c>
      <c r="F947" s="328" t="e">
        <f>VLOOKUP(Tabla18[[#This Row],[Concat2]],TablaPOA[[#All],[Concat]:[ConcatEspecial]],3,0)</f>
        <v>#N/A</v>
      </c>
      <c r="G947" s="65" t="str">
        <f>CONCATENATE(Registro!$A$6,"_",Tabla5[[#This Row],[Zona (Provincia)
&lt;&lt; Seleccionar&gt;&gt;]])</f>
        <v>Huánuco_</v>
      </c>
      <c r="H947" s="60" t="e">
        <f>VLOOKUP(Tabla18[[#This Row],[Concatenado***]],Tabla2[[#All],[Concatenado]:[Simbología*]],2,0)</f>
        <v>#N/A</v>
      </c>
      <c r="I947" s="65" t="str">
        <f>CONCATENATE(Tabla18[[#This Row],[Concatenado***]],"_",Tabla5[[#This Row],[Zona (Distrito)
&lt;&lt; Seleccionar&gt;&gt;]])</f>
        <v>Huánuco__</v>
      </c>
      <c r="J9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7" s="72" t="e">
        <f>VLOOKUP(Tabla5[[#This Row],[Tipo de Transporte Empleado
&lt;&lt; Seleccionar&gt;&gt;]],Tabla8[#All],2,0)</f>
        <v>#N/A</v>
      </c>
      <c r="L947" s="71" t="e">
        <f>#REF!+(#REF!*2)+#REF!</f>
        <v>#REF!</v>
      </c>
    </row>
    <row r="948" spans="1:12" x14ac:dyDescent="0.25">
      <c r="A948" s="328" t="e">
        <f>VLOOKUP(Tabla5[[#This Row],[Acción
&lt;&lt; Seleccionar&gt;&gt;]],TablaAccion[[#All],[Nombre_Abreviado]:[Codigo_Plan_Acción]],3,0)</f>
        <v>#N/A</v>
      </c>
      <c r="B948" s="328" t="e">
        <f>VLOOKUP(Tabla5[[#This Row],[Acción Especifica
&lt;&lt; Seleccionar&gt;&gt;]],TablaAccionEspecifica[[#All],[Nombre_Abreviado]:[Codigo_Acción]],3,0)</f>
        <v>#N/A</v>
      </c>
      <c r="C948" s="328" t="e">
        <f>CONCATENATE(Tabla18[[#This Row],[Bus_02]],"_",Tabla5[[#This Row],[Sub Acción Específica
&lt;&lt; Seleccionar&gt;&gt;]])</f>
        <v>#N/A</v>
      </c>
      <c r="D948" s="328" t="e">
        <f>VLOOKUP(Tabla18[[#This Row],[Aux_01]],TablaSubAccionEspecifica[[#All],[Concat]:[Cod_Sub_acción_especifica]],2,0)</f>
        <v>#N/A</v>
      </c>
      <c r="E948" s="328" t="e">
        <f>Tabla18[[#This Row],[Bus_03]]&amp;"_"&amp;Tabla5[[#This Row],[Tipo de Agente
&lt;&lt; Seleccionar&gt;&gt;]]</f>
        <v>#N/A</v>
      </c>
      <c r="F948" s="328" t="e">
        <f>VLOOKUP(Tabla18[[#This Row],[Concat2]],TablaPOA[[#All],[Concat]:[ConcatEspecial]],3,0)</f>
        <v>#N/A</v>
      </c>
      <c r="G948" s="65" t="str">
        <f>CONCATENATE(Registro!$A$6,"_",Tabla5[[#This Row],[Zona (Provincia)
&lt;&lt; Seleccionar&gt;&gt;]])</f>
        <v>Huánuco_</v>
      </c>
      <c r="H948" s="60" t="e">
        <f>VLOOKUP(Tabla18[[#This Row],[Concatenado***]],Tabla2[[#All],[Concatenado]:[Simbología*]],2,0)</f>
        <v>#N/A</v>
      </c>
      <c r="I948" s="65" t="str">
        <f>CONCATENATE(Tabla18[[#This Row],[Concatenado***]],"_",Tabla5[[#This Row],[Zona (Distrito)
&lt;&lt; Seleccionar&gt;&gt;]])</f>
        <v>Huánuco__</v>
      </c>
      <c r="J9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8" s="72" t="e">
        <f>VLOOKUP(Tabla5[[#This Row],[Tipo de Transporte Empleado
&lt;&lt; Seleccionar&gt;&gt;]],Tabla8[#All],2,0)</f>
        <v>#N/A</v>
      </c>
      <c r="L948" s="71" t="e">
        <f>#REF!+(#REF!*2)+#REF!</f>
        <v>#REF!</v>
      </c>
    </row>
    <row r="949" spans="1:12" x14ac:dyDescent="0.25">
      <c r="A949" s="328" t="e">
        <f>VLOOKUP(Tabla5[[#This Row],[Acción
&lt;&lt; Seleccionar&gt;&gt;]],TablaAccion[[#All],[Nombre_Abreviado]:[Codigo_Plan_Acción]],3,0)</f>
        <v>#N/A</v>
      </c>
      <c r="B949" s="328" t="e">
        <f>VLOOKUP(Tabla5[[#This Row],[Acción Especifica
&lt;&lt; Seleccionar&gt;&gt;]],TablaAccionEspecifica[[#All],[Nombre_Abreviado]:[Codigo_Acción]],3,0)</f>
        <v>#N/A</v>
      </c>
      <c r="C949" s="328" t="e">
        <f>CONCATENATE(Tabla18[[#This Row],[Bus_02]],"_",Tabla5[[#This Row],[Sub Acción Específica
&lt;&lt; Seleccionar&gt;&gt;]])</f>
        <v>#N/A</v>
      </c>
      <c r="D949" s="328" t="e">
        <f>VLOOKUP(Tabla18[[#This Row],[Aux_01]],TablaSubAccionEspecifica[[#All],[Concat]:[Cod_Sub_acción_especifica]],2,0)</f>
        <v>#N/A</v>
      </c>
      <c r="E949" s="328" t="e">
        <f>Tabla18[[#This Row],[Bus_03]]&amp;"_"&amp;Tabla5[[#This Row],[Tipo de Agente
&lt;&lt; Seleccionar&gt;&gt;]]</f>
        <v>#N/A</v>
      </c>
      <c r="F949" s="328" t="e">
        <f>VLOOKUP(Tabla18[[#This Row],[Concat2]],TablaPOA[[#All],[Concat]:[ConcatEspecial]],3,0)</f>
        <v>#N/A</v>
      </c>
      <c r="G949" s="65" t="str">
        <f>CONCATENATE(Registro!$A$6,"_",Tabla5[[#This Row],[Zona (Provincia)
&lt;&lt; Seleccionar&gt;&gt;]])</f>
        <v>Huánuco_</v>
      </c>
      <c r="H949" s="60" t="e">
        <f>VLOOKUP(Tabla18[[#This Row],[Concatenado***]],Tabla2[[#All],[Concatenado]:[Simbología*]],2,0)</f>
        <v>#N/A</v>
      </c>
      <c r="I949" s="65" t="str">
        <f>CONCATENATE(Tabla18[[#This Row],[Concatenado***]],"_",Tabla5[[#This Row],[Zona (Distrito)
&lt;&lt; Seleccionar&gt;&gt;]])</f>
        <v>Huánuco__</v>
      </c>
      <c r="J9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9" s="72" t="e">
        <f>VLOOKUP(Tabla5[[#This Row],[Tipo de Transporte Empleado
&lt;&lt; Seleccionar&gt;&gt;]],Tabla8[#All],2,0)</f>
        <v>#N/A</v>
      </c>
      <c r="L949" s="71" t="e">
        <f>#REF!+(#REF!*2)+#REF!</f>
        <v>#REF!</v>
      </c>
    </row>
    <row r="950" spans="1:12" x14ac:dyDescent="0.25">
      <c r="A950" s="328" t="e">
        <f>VLOOKUP(Tabla5[[#This Row],[Acción
&lt;&lt; Seleccionar&gt;&gt;]],TablaAccion[[#All],[Nombre_Abreviado]:[Codigo_Plan_Acción]],3,0)</f>
        <v>#N/A</v>
      </c>
      <c r="B950" s="328" t="e">
        <f>VLOOKUP(Tabla5[[#This Row],[Acción Especifica
&lt;&lt; Seleccionar&gt;&gt;]],TablaAccionEspecifica[[#All],[Nombre_Abreviado]:[Codigo_Acción]],3,0)</f>
        <v>#N/A</v>
      </c>
      <c r="C950" s="328" t="e">
        <f>CONCATENATE(Tabla18[[#This Row],[Bus_02]],"_",Tabla5[[#This Row],[Sub Acción Específica
&lt;&lt; Seleccionar&gt;&gt;]])</f>
        <v>#N/A</v>
      </c>
      <c r="D950" s="328" t="e">
        <f>VLOOKUP(Tabla18[[#This Row],[Aux_01]],TablaSubAccionEspecifica[[#All],[Concat]:[Cod_Sub_acción_especifica]],2,0)</f>
        <v>#N/A</v>
      </c>
      <c r="E950" s="328" t="e">
        <f>Tabla18[[#This Row],[Bus_03]]&amp;"_"&amp;Tabla5[[#This Row],[Tipo de Agente
&lt;&lt; Seleccionar&gt;&gt;]]</f>
        <v>#N/A</v>
      </c>
      <c r="F950" s="328" t="e">
        <f>VLOOKUP(Tabla18[[#This Row],[Concat2]],TablaPOA[[#All],[Concat]:[ConcatEspecial]],3,0)</f>
        <v>#N/A</v>
      </c>
      <c r="G950" s="65" t="str">
        <f>CONCATENATE(Registro!$A$6,"_",Tabla5[[#This Row],[Zona (Provincia)
&lt;&lt; Seleccionar&gt;&gt;]])</f>
        <v>Huánuco_</v>
      </c>
      <c r="H950" s="60" t="e">
        <f>VLOOKUP(Tabla18[[#This Row],[Concatenado***]],Tabla2[[#All],[Concatenado]:[Simbología*]],2,0)</f>
        <v>#N/A</v>
      </c>
      <c r="I950" s="65" t="str">
        <f>CONCATENATE(Tabla18[[#This Row],[Concatenado***]],"_",Tabla5[[#This Row],[Zona (Distrito)
&lt;&lt; Seleccionar&gt;&gt;]])</f>
        <v>Huánuco__</v>
      </c>
      <c r="J9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50" s="72" t="e">
        <f>VLOOKUP(Tabla5[[#This Row],[Tipo de Transporte Empleado
&lt;&lt; Seleccionar&gt;&gt;]],Tabla8[#All],2,0)</f>
        <v>#N/A</v>
      </c>
      <c r="L950" s="71" t="e">
        <f>#REF!+(#REF!*2)+#REF!</f>
        <v>#REF!</v>
      </c>
    </row>
    <row r="951" spans="1:12" x14ac:dyDescent="0.25">
      <c r="A951" s="328" t="e">
        <f>VLOOKUP(Tabla5[[#This Row],[Acción
&lt;&lt; Seleccionar&gt;&gt;]],TablaAccion[[#All],[Nombre_Abreviado]:[Codigo_Plan_Acción]],3,0)</f>
        <v>#N/A</v>
      </c>
      <c r="B951" s="328" t="e">
        <f>VLOOKUP(Tabla5[[#This Row],[Acción Especifica
&lt;&lt; Seleccionar&gt;&gt;]],TablaAccionEspecifica[[#All],[Nombre_Abreviado]:[Codigo_Acción]],3,0)</f>
        <v>#N/A</v>
      </c>
      <c r="C951" s="328" t="e">
        <f>CONCATENATE(Tabla18[[#This Row],[Bus_02]],"_",Tabla5[[#This Row],[Sub Acción Específica
&lt;&lt; Seleccionar&gt;&gt;]])</f>
        <v>#N/A</v>
      </c>
      <c r="D951" s="328" t="e">
        <f>VLOOKUP(Tabla18[[#This Row],[Aux_01]],TablaSubAccionEspecifica[[#All],[Concat]:[Cod_Sub_acción_especifica]],2,0)</f>
        <v>#N/A</v>
      </c>
      <c r="E951" s="328" t="e">
        <f>Tabla18[[#This Row],[Bus_03]]&amp;"_"&amp;Tabla5[[#This Row],[Tipo de Agente
&lt;&lt; Seleccionar&gt;&gt;]]</f>
        <v>#N/A</v>
      </c>
      <c r="F951" s="328" t="e">
        <f>VLOOKUP(Tabla18[[#This Row],[Concat2]],TablaPOA[[#All],[Concat]:[ConcatEspecial]],3,0)</f>
        <v>#N/A</v>
      </c>
      <c r="G951" s="65" t="str">
        <f>CONCATENATE(Registro!$A$6,"_",Tabla5[[#This Row],[Zona (Provincia)
&lt;&lt; Seleccionar&gt;&gt;]])</f>
        <v>Huánuco_</v>
      </c>
      <c r="H951" s="60" t="e">
        <f>VLOOKUP(Tabla18[[#This Row],[Concatenado***]],Tabla2[[#All],[Concatenado]:[Simbología*]],2,0)</f>
        <v>#N/A</v>
      </c>
      <c r="I951" s="65" t="str">
        <f>CONCATENATE(Tabla18[[#This Row],[Concatenado***]],"_",Tabla5[[#This Row],[Zona (Distrito)
&lt;&lt; Seleccionar&gt;&gt;]])</f>
        <v>Huánuco__</v>
      </c>
      <c r="J9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51" s="72" t="e">
        <f>VLOOKUP(Tabla5[[#This Row],[Tipo de Transporte Empleado
&lt;&lt; Seleccionar&gt;&gt;]],Tabla8[#All],2,0)</f>
        <v>#N/A</v>
      </c>
      <c r="L951" s="71" t="e">
        <f>#REF!+(#REF!*2)+#REF!</f>
        <v>#REF!</v>
      </c>
    </row>
    <row r="952" spans="1:12" x14ac:dyDescent="0.25">
      <c r="A952" s="328" t="e">
        <f>VLOOKUP(Tabla5[[#This Row],[Acción
&lt;&lt; Seleccionar&gt;&gt;]],TablaAccion[[#All],[Nombre_Abreviado]:[Codigo_Plan_Acción]],3,0)</f>
        <v>#N/A</v>
      </c>
      <c r="B952" s="328" t="e">
        <f>VLOOKUP(Tabla5[[#This Row],[Acción Especifica
&lt;&lt; Seleccionar&gt;&gt;]],TablaAccionEspecifica[[#All],[Nombre_Abreviado]:[Codigo_Acción]],3,0)</f>
        <v>#N/A</v>
      </c>
      <c r="C952" s="328" t="e">
        <f>CONCATENATE(Tabla18[[#This Row],[Bus_02]],"_",Tabla5[[#This Row],[Sub Acción Específica
&lt;&lt; Seleccionar&gt;&gt;]])</f>
        <v>#N/A</v>
      </c>
      <c r="D952" s="328" t="e">
        <f>VLOOKUP(Tabla18[[#This Row],[Aux_01]],TablaSubAccionEspecifica[[#All],[Concat]:[Cod_Sub_acción_especifica]],2,0)</f>
        <v>#N/A</v>
      </c>
      <c r="E952" s="328" t="e">
        <f>Tabla18[[#This Row],[Bus_03]]&amp;"_"&amp;Tabla5[[#This Row],[Tipo de Agente
&lt;&lt; Seleccionar&gt;&gt;]]</f>
        <v>#N/A</v>
      </c>
      <c r="F952" s="328" t="e">
        <f>VLOOKUP(Tabla18[[#This Row],[Concat2]],TablaPOA[[#All],[Concat]:[ConcatEspecial]],3,0)</f>
        <v>#N/A</v>
      </c>
      <c r="G952" s="65" t="str">
        <f>CONCATENATE(Registro!$A$6,"_",Tabla5[[#This Row],[Zona (Provincia)
&lt;&lt; Seleccionar&gt;&gt;]])</f>
        <v>Huánuco_</v>
      </c>
      <c r="H952" s="60" t="e">
        <f>VLOOKUP(Tabla18[[#This Row],[Concatenado***]],Tabla2[[#All],[Concatenado]:[Simbología*]],2,0)</f>
        <v>#N/A</v>
      </c>
      <c r="I952" s="65" t="str">
        <f>CONCATENATE(Tabla18[[#This Row],[Concatenado***]],"_",Tabla5[[#This Row],[Zona (Distrito)
&lt;&lt; Seleccionar&gt;&gt;]])</f>
        <v>Huánuco__</v>
      </c>
      <c r="J9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52" s="72" t="e">
        <f>VLOOKUP(Tabla5[[#This Row],[Tipo de Transporte Empleado
&lt;&lt; Seleccionar&gt;&gt;]],Tabla8[#All],2,0)</f>
        <v>#N/A</v>
      </c>
      <c r="L952" s="71" t="e">
        <f>#REF!+(#REF!*2)+#REF!</f>
        <v>#REF!</v>
      </c>
    </row>
    <row r="953" spans="1:12" x14ac:dyDescent="0.25">
      <c r="A953" s="328" t="e">
        <f>VLOOKUP(Tabla5[[#This Row],[Acción
&lt;&lt; Seleccionar&gt;&gt;]],TablaAccion[[#All],[Nombre_Abreviado]:[Codigo_Plan_Acción]],3,0)</f>
        <v>#VALUE!</v>
      </c>
      <c r="B953" s="328" t="e">
        <f>VLOOKUP(Tabla5[[#This Row],[Acción Especifica
&lt;&lt; Seleccionar&gt;&gt;]],TablaAccionEspecifica[[#All],[Nombre_Abreviado]:[Codigo_Acción]],3,0)</f>
        <v>#VALUE!</v>
      </c>
      <c r="C953" s="328" t="e">
        <f>CONCATENATE(Tabla18[[#This Row],[Bus_02]],"_",Tabla5[[#This Row],[Sub Acción Específica
&lt;&lt; Seleccionar&gt;&gt;]])</f>
        <v>#VALUE!</v>
      </c>
      <c r="D953" s="328" t="e">
        <f>VLOOKUP(Tabla18[[#This Row],[Aux_01]],TablaSubAccionEspecifica[[#All],[Concat]:[Cod_Sub_acción_especifica]],2,0)</f>
        <v>#VALUE!</v>
      </c>
      <c r="E953" s="328" t="e">
        <f>Tabla18[[#This Row],[Bus_03]]&amp;"_"&amp;Tabla5[[#This Row],[Tipo de Agente
&lt;&lt; Seleccionar&gt;&gt;]]</f>
        <v>#VALUE!</v>
      </c>
      <c r="F953" s="328" t="e">
        <f>VLOOKUP(Tabla18[[#This Row],[Concat2]],TablaPOA[[#All],[Concat]:[ConcatEspecial]],3,0)</f>
        <v>#VALUE!</v>
      </c>
      <c r="G953" s="65" t="e">
        <f>CONCATENATE(Registro!$A$6,"_",Tabla5[[#This Row],[Zona (Provincia)
&lt;&lt; Seleccionar&gt;&gt;]])</f>
        <v>#VALUE!</v>
      </c>
      <c r="H953" s="60" t="e">
        <f>VLOOKUP(Tabla18[[#This Row],[Concatenado***]],Tabla2[[#All],[Concatenado]:[Simbología*]],2,0)</f>
        <v>#VALUE!</v>
      </c>
      <c r="I953" s="65" t="e">
        <f>CONCATENATE(Tabla18[[#This Row],[Concatenado***]],"_",Tabla5[[#This Row],[Zona (Distrito)
&lt;&lt; Seleccionar&gt;&gt;]])</f>
        <v>#VALUE!</v>
      </c>
      <c r="J9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3" s="72" t="e">
        <f>VLOOKUP(Tabla5[[#This Row],[Tipo de Transporte Empleado
&lt;&lt; Seleccionar&gt;&gt;]],Tabla8[#All],2,0)</f>
        <v>#VALUE!</v>
      </c>
      <c r="L953" s="71" t="e">
        <f>#REF!+(#REF!*2)+#REF!</f>
        <v>#REF!</v>
      </c>
    </row>
    <row r="954" spans="1:12" x14ac:dyDescent="0.25">
      <c r="A954" s="328" t="e">
        <f>VLOOKUP(Tabla5[[#This Row],[Acción
&lt;&lt; Seleccionar&gt;&gt;]],TablaAccion[[#All],[Nombre_Abreviado]:[Codigo_Plan_Acción]],3,0)</f>
        <v>#VALUE!</v>
      </c>
      <c r="B954" s="328" t="e">
        <f>VLOOKUP(Tabla5[[#This Row],[Acción Especifica
&lt;&lt; Seleccionar&gt;&gt;]],TablaAccionEspecifica[[#All],[Nombre_Abreviado]:[Codigo_Acción]],3,0)</f>
        <v>#VALUE!</v>
      </c>
      <c r="C954" s="328" t="e">
        <f>CONCATENATE(Tabla18[[#This Row],[Bus_02]],"_",Tabla5[[#This Row],[Sub Acción Específica
&lt;&lt; Seleccionar&gt;&gt;]])</f>
        <v>#VALUE!</v>
      </c>
      <c r="D954" s="328" t="e">
        <f>VLOOKUP(Tabla18[[#This Row],[Aux_01]],TablaSubAccionEspecifica[[#All],[Concat]:[Cod_Sub_acción_especifica]],2,0)</f>
        <v>#VALUE!</v>
      </c>
      <c r="E954" s="328" t="e">
        <f>Tabla18[[#This Row],[Bus_03]]&amp;"_"&amp;Tabla5[[#This Row],[Tipo de Agente
&lt;&lt; Seleccionar&gt;&gt;]]</f>
        <v>#VALUE!</v>
      </c>
      <c r="F954" s="328" t="e">
        <f>VLOOKUP(Tabla18[[#This Row],[Concat2]],TablaPOA[[#All],[Concat]:[ConcatEspecial]],3,0)</f>
        <v>#VALUE!</v>
      </c>
      <c r="G954" s="65" t="e">
        <f>CONCATENATE(Registro!$A$6,"_",Tabla5[[#This Row],[Zona (Provincia)
&lt;&lt; Seleccionar&gt;&gt;]])</f>
        <v>#VALUE!</v>
      </c>
      <c r="H954" s="60" t="e">
        <f>VLOOKUP(Tabla18[[#This Row],[Concatenado***]],Tabla2[[#All],[Concatenado]:[Simbología*]],2,0)</f>
        <v>#VALUE!</v>
      </c>
      <c r="I954" s="65" t="e">
        <f>CONCATENATE(Tabla18[[#This Row],[Concatenado***]],"_",Tabla5[[#This Row],[Zona (Distrito)
&lt;&lt; Seleccionar&gt;&gt;]])</f>
        <v>#VALUE!</v>
      </c>
      <c r="J9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4" s="72" t="e">
        <f>VLOOKUP(Tabla5[[#This Row],[Tipo de Transporte Empleado
&lt;&lt; Seleccionar&gt;&gt;]],Tabla8[#All],2,0)</f>
        <v>#VALUE!</v>
      </c>
      <c r="L954" s="71" t="e">
        <f>#REF!+(#REF!*2)+#REF!</f>
        <v>#REF!</v>
      </c>
    </row>
    <row r="955" spans="1:12" x14ac:dyDescent="0.25">
      <c r="A955" s="328" t="e">
        <f>VLOOKUP(Tabla5[[#This Row],[Acción
&lt;&lt; Seleccionar&gt;&gt;]],TablaAccion[[#All],[Nombre_Abreviado]:[Codigo_Plan_Acción]],3,0)</f>
        <v>#VALUE!</v>
      </c>
      <c r="B955" s="328" t="e">
        <f>VLOOKUP(Tabla5[[#This Row],[Acción Especifica
&lt;&lt; Seleccionar&gt;&gt;]],TablaAccionEspecifica[[#All],[Nombre_Abreviado]:[Codigo_Acción]],3,0)</f>
        <v>#VALUE!</v>
      </c>
      <c r="C955" s="328" t="e">
        <f>CONCATENATE(Tabla18[[#This Row],[Bus_02]],"_",Tabla5[[#This Row],[Sub Acción Específica
&lt;&lt; Seleccionar&gt;&gt;]])</f>
        <v>#VALUE!</v>
      </c>
      <c r="D955" s="328" t="e">
        <f>VLOOKUP(Tabla18[[#This Row],[Aux_01]],TablaSubAccionEspecifica[[#All],[Concat]:[Cod_Sub_acción_especifica]],2,0)</f>
        <v>#VALUE!</v>
      </c>
      <c r="E955" s="328" t="e">
        <f>Tabla18[[#This Row],[Bus_03]]&amp;"_"&amp;Tabla5[[#This Row],[Tipo de Agente
&lt;&lt; Seleccionar&gt;&gt;]]</f>
        <v>#VALUE!</v>
      </c>
      <c r="F955" s="328" t="e">
        <f>VLOOKUP(Tabla18[[#This Row],[Concat2]],TablaPOA[[#All],[Concat]:[ConcatEspecial]],3,0)</f>
        <v>#VALUE!</v>
      </c>
      <c r="G955" s="65" t="e">
        <f>CONCATENATE(Registro!$A$6,"_",Tabla5[[#This Row],[Zona (Provincia)
&lt;&lt; Seleccionar&gt;&gt;]])</f>
        <v>#VALUE!</v>
      </c>
      <c r="H955" s="60" t="e">
        <f>VLOOKUP(Tabla18[[#This Row],[Concatenado***]],Tabla2[[#All],[Concatenado]:[Simbología*]],2,0)</f>
        <v>#VALUE!</v>
      </c>
      <c r="I955" s="65" t="e">
        <f>CONCATENATE(Tabla18[[#This Row],[Concatenado***]],"_",Tabla5[[#This Row],[Zona (Distrito)
&lt;&lt; Seleccionar&gt;&gt;]])</f>
        <v>#VALUE!</v>
      </c>
      <c r="J9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5" s="72" t="e">
        <f>VLOOKUP(Tabla5[[#This Row],[Tipo de Transporte Empleado
&lt;&lt; Seleccionar&gt;&gt;]],Tabla8[#All],2,0)</f>
        <v>#VALUE!</v>
      </c>
      <c r="L955" s="71" t="e">
        <f>#REF!+(#REF!*2)+#REF!</f>
        <v>#REF!</v>
      </c>
    </row>
    <row r="956" spans="1:12" x14ac:dyDescent="0.25">
      <c r="A956" s="328" t="e">
        <f>VLOOKUP(Tabla5[[#This Row],[Acción
&lt;&lt; Seleccionar&gt;&gt;]],TablaAccion[[#All],[Nombre_Abreviado]:[Codigo_Plan_Acción]],3,0)</f>
        <v>#VALUE!</v>
      </c>
      <c r="B956" s="328" t="e">
        <f>VLOOKUP(Tabla5[[#This Row],[Acción Especifica
&lt;&lt; Seleccionar&gt;&gt;]],TablaAccionEspecifica[[#All],[Nombre_Abreviado]:[Codigo_Acción]],3,0)</f>
        <v>#VALUE!</v>
      </c>
      <c r="C956" s="328" t="e">
        <f>CONCATENATE(Tabla18[[#This Row],[Bus_02]],"_",Tabla5[[#This Row],[Sub Acción Específica
&lt;&lt; Seleccionar&gt;&gt;]])</f>
        <v>#VALUE!</v>
      </c>
      <c r="D956" s="328" t="e">
        <f>VLOOKUP(Tabla18[[#This Row],[Aux_01]],TablaSubAccionEspecifica[[#All],[Concat]:[Cod_Sub_acción_especifica]],2,0)</f>
        <v>#VALUE!</v>
      </c>
      <c r="E956" s="328" t="e">
        <f>Tabla18[[#This Row],[Bus_03]]&amp;"_"&amp;Tabla5[[#This Row],[Tipo de Agente
&lt;&lt; Seleccionar&gt;&gt;]]</f>
        <v>#VALUE!</v>
      </c>
      <c r="F956" s="328" t="e">
        <f>VLOOKUP(Tabla18[[#This Row],[Concat2]],TablaPOA[[#All],[Concat]:[ConcatEspecial]],3,0)</f>
        <v>#VALUE!</v>
      </c>
      <c r="G956" s="65" t="e">
        <f>CONCATENATE(Registro!$A$6,"_",Tabla5[[#This Row],[Zona (Provincia)
&lt;&lt; Seleccionar&gt;&gt;]])</f>
        <v>#VALUE!</v>
      </c>
      <c r="H956" s="60" t="e">
        <f>VLOOKUP(Tabla18[[#This Row],[Concatenado***]],Tabla2[[#All],[Concatenado]:[Simbología*]],2,0)</f>
        <v>#VALUE!</v>
      </c>
      <c r="I956" s="65" t="e">
        <f>CONCATENATE(Tabla18[[#This Row],[Concatenado***]],"_",Tabla5[[#This Row],[Zona (Distrito)
&lt;&lt; Seleccionar&gt;&gt;]])</f>
        <v>#VALUE!</v>
      </c>
      <c r="J9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6" s="72" t="e">
        <f>VLOOKUP(Tabla5[[#This Row],[Tipo de Transporte Empleado
&lt;&lt; Seleccionar&gt;&gt;]],Tabla8[#All],2,0)</f>
        <v>#VALUE!</v>
      </c>
      <c r="L956" s="71" t="e">
        <f>#REF!+(#REF!*2)+#REF!</f>
        <v>#REF!</v>
      </c>
    </row>
    <row r="957" spans="1:12" x14ac:dyDescent="0.25">
      <c r="A957" s="328" t="e">
        <f>VLOOKUP(Tabla5[[#This Row],[Acción
&lt;&lt; Seleccionar&gt;&gt;]],TablaAccion[[#All],[Nombre_Abreviado]:[Codigo_Plan_Acción]],3,0)</f>
        <v>#VALUE!</v>
      </c>
      <c r="B957" s="328" t="e">
        <f>VLOOKUP(Tabla5[[#This Row],[Acción Especifica
&lt;&lt; Seleccionar&gt;&gt;]],TablaAccionEspecifica[[#All],[Nombre_Abreviado]:[Codigo_Acción]],3,0)</f>
        <v>#VALUE!</v>
      </c>
      <c r="C957" s="328" t="e">
        <f>CONCATENATE(Tabla18[[#This Row],[Bus_02]],"_",Tabla5[[#This Row],[Sub Acción Específica
&lt;&lt; Seleccionar&gt;&gt;]])</f>
        <v>#VALUE!</v>
      </c>
      <c r="D957" s="328" t="e">
        <f>VLOOKUP(Tabla18[[#This Row],[Aux_01]],TablaSubAccionEspecifica[[#All],[Concat]:[Cod_Sub_acción_especifica]],2,0)</f>
        <v>#VALUE!</v>
      </c>
      <c r="E957" s="328" t="e">
        <f>Tabla18[[#This Row],[Bus_03]]&amp;"_"&amp;Tabla5[[#This Row],[Tipo de Agente
&lt;&lt; Seleccionar&gt;&gt;]]</f>
        <v>#VALUE!</v>
      </c>
      <c r="F957" s="328" t="e">
        <f>VLOOKUP(Tabla18[[#This Row],[Concat2]],TablaPOA[[#All],[Concat]:[ConcatEspecial]],3,0)</f>
        <v>#VALUE!</v>
      </c>
      <c r="G957" s="65" t="e">
        <f>CONCATENATE(Registro!$A$6,"_",Tabla5[[#This Row],[Zona (Provincia)
&lt;&lt; Seleccionar&gt;&gt;]])</f>
        <v>#VALUE!</v>
      </c>
      <c r="H957" s="60" t="e">
        <f>VLOOKUP(Tabla18[[#This Row],[Concatenado***]],Tabla2[[#All],[Concatenado]:[Simbología*]],2,0)</f>
        <v>#VALUE!</v>
      </c>
      <c r="I957" s="65" t="e">
        <f>CONCATENATE(Tabla18[[#This Row],[Concatenado***]],"_",Tabla5[[#This Row],[Zona (Distrito)
&lt;&lt; Seleccionar&gt;&gt;]])</f>
        <v>#VALUE!</v>
      </c>
      <c r="J9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7" s="72" t="e">
        <f>VLOOKUP(Tabla5[[#This Row],[Tipo de Transporte Empleado
&lt;&lt; Seleccionar&gt;&gt;]],Tabla8[#All],2,0)</f>
        <v>#VALUE!</v>
      </c>
      <c r="L957" s="71" t="e">
        <f>#REF!+(#REF!*2)+#REF!</f>
        <v>#REF!</v>
      </c>
    </row>
    <row r="958" spans="1:12" x14ac:dyDescent="0.25">
      <c r="A958" s="328" t="e">
        <f>VLOOKUP(Tabla5[[#This Row],[Acción
&lt;&lt; Seleccionar&gt;&gt;]],TablaAccion[[#All],[Nombre_Abreviado]:[Codigo_Plan_Acción]],3,0)</f>
        <v>#VALUE!</v>
      </c>
      <c r="B958" s="328" t="e">
        <f>VLOOKUP(Tabla5[[#This Row],[Acción Especifica
&lt;&lt; Seleccionar&gt;&gt;]],TablaAccionEspecifica[[#All],[Nombre_Abreviado]:[Codigo_Acción]],3,0)</f>
        <v>#VALUE!</v>
      </c>
      <c r="C958" s="328" t="e">
        <f>CONCATENATE(Tabla18[[#This Row],[Bus_02]],"_",Tabla5[[#This Row],[Sub Acción Específica
&lt;&lt; Seleccionar&gt;&gt;]])</f>
        <v>#VALUE!</v>
      </c>
      <c r="D958" s="328" t="e">
        <f>VLOOKUP(Tabla18[[#This Row],[Aux_01]],TablaSubAccionEspecifica[[#All],[Concat]:[Cod_Sub_acción_especifica]],2,0)</f>
        <v>#VALUE!</v>
      </c>
      <c r="E958" s="328" t="e">
        <f>Tabla18[[#This Row],[Bus_03]]&amp;"_"&amp;Tabla5[[#This Row],[Tipo de Agente
&lt;&lt; Seleccionar&gt;&gt;]]</f>
        <v>#VALUE!</v>
      </c>
      <c r="F958" s="328" t="e">
        <f>VLOOKUP(Tabla18[[#This Row],[Concat2]],TablaPOA[[#All],[Concat]:[ConcatEspecial]],3,0)</f>
        <v>#VALUE!</v>
      </c>
      <c r="G958" s="65" t="e">
        <f>CONCATENATE(Registro!$A$6,"_",Tabla5[[#This Row],[Zona (Provincia)
&lt;&lt; Seleccionar&gt;&gt;]])</f>
        <v>#VALUE!</v>
      </c>
      <c r="H958" s="60" t="e">
        <f>VLOOKUP(Tabla18[[#This Row],[Concatenado***]],Tabla2[[#All],[Concatenado]:[Simbología*]],2,0)</f>
        <v>#VALUE!</v>
      </c>
      <c r="I958" s="65" t="e">
        <f>CONCATENATE(Tabla18[[#This Row],[Concatenado***]],"_",Tabla5[[#This Row],[Zona (Distrito)
&lt;&lt; Seleccionar&gt;&gt;]])</f>
        <v>#VALUE!</v>
      </c>
      <c r="J9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8" s="72" t="e">
        <f>VLOOKUP(Tabla5[[#This Row],[Tipo de Transporte Empleado
&lt;&lt; Seleccionar&gt;&gt;]],Tabla8[#All],2,0)</f>
        <v>#VALUE!</v>
      </c>
      <c r="L958" s="71" t="e">
        <f>#REF!+(#REF!*2)+#REF!</f>
        <v>#REF!</v>
      </c>
    </row>
    <row r="959" spans="1:12" x14ac:dyDescent="0.25">
      <c r="A959" s="328" t="e">
        <f>VLOOKUP(Tabla5[[#This Row],[Acción
&lt;&lt; Seleccionar&gt;&gt;]],TablaAccion[[#All],[Nombre_Abreviado]:[Codigo_Plan_Acción]],3,0)</f>
        <v>#VALUE!</v>
      </c>
      <c r="B959" s="328" t="e">
        <f>VLOOKUP(Tabla5[[#This Row],[Acción Especifica
&lt;&lt; Seleccionar&gt;&gt;]],TablaAccionEspecifica[[#All],[Nombre_Abreviado]:[Codigo_Acción]],3,0)</f>
        <v>#VALUE!</v>
      </c>
      <c r="C959" s="328" t="e">
        <f>CONCATENATE(Tabla18[[#This Row],[Bus_02]],"_",Tabla5[[#This Row],[Sub Acción Específica
&lt;&lt; Seleccionar&gt;&gt;]])</f>
        <v>#VALUE!</v>
      </c>
      <c r="D959" s="328" t="e">
        <f>VLOOKUP(Tabla18[[#This Row],[Aux_01]],TablaSubAccionEspecifica[[#All],[Concat]:[Cod_Sub_acción_especifica]],2,0)</f>
        <v>#VALUE!</v>
      </c>
      <c r="E959" s="328" t="e">
        <f>Tabla18[[#This Row],[Bus_03]]&amp;"_"&amp;Tabla5[[#This Row],[Tipo de Agente
&lt;&lt; Seleccionar&gt;&gt;]]</f>
        <v>#VALUE!</v>
      </c>
      <c r="F959" s="328" t="e">
        <f>VLOOKUP(Tabla18[[#This Row],[Concat2]],TablaPOA[[#All],[Concat]:[ConcatEspecial]],3,0)</f>
        <v>#VALUE!</v>
      </c>
      <c r="G959" s="65" t="e">
        <f>CONCATENATE(Registro!$A$6,"_",Tabla5[[#This Row],[Zona (Provincia)
&lt;&lt; Seleccionar&gt;&gt;]])</f>
        <v>#VALUE!</v>
      </c>
      <c r="H959" s="60" t="e">
        <f>VLOOKUP(Tabla18[[#This Row],[Concatenado***]],Tabla2[[#All],[Concatenado]:[Simbología*]],2,0)</f>
        <v>#VALUE!</v>
      </c>
      <c r="I959" s="65" t="e">
        <f>CONCATENATE(Tabla18[[#This Row],[Concatenado***]],"_",Tabla5[[#This Row],[Zona (Distrito)
&lt;&lt; Seleccionar&gt;&gt;]])</f>
        <v>#VALUE!</v>
      </c>
      <c r="J9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9" s="72" t="e">
        <f>VLOOKUP(Tabla5[[#This Row],[Tipo de Transporte Empleado
&lt;&lt; Seleccionar&gt;&gt;]],Tabla8[#All],2,0)</f>
        <v>#VALUE!</v>
      </c>
      <c r="L959" s="71" t="e">
        <f>#REF!+(#REF!*2)+#REF!</f>
        <v>#REF!</v>
      </c>
    </row>
    <row r="960" spans="1:12" x14ac:dyDescent="0.25">
      <c r="A960" s="328" t="e">
        <f>VLOOKUP(Tabla5[[#This Row],[Acción
&lt;&lt; Seleccionar&gt;&gt;]],TablaAccion[[#All],[Nombre_Abreviado]:[Codigo_Plan_Acción]],3,0)</f>
        <v>#VALUE!</v>
      </c>
      <c r="B960" s="328" t="e">
        <f>VLOOKUP(Tabla5[[#This Row],[Acción Especifica
&lt;&lt; Seleccionar&gt;&gt;]],TablaAccionEspecifica[[#All],[Nombre_Abreviado]:[Codigo_Acción]],3,0)</f>
        <v>#VALUE!</v>
      </c>
      <c r="C960" s="328" t="e">
        <f>CONCATENATE(Tabla18[[#This Row],[Bus_02]],"_",Tabla5[[#This Row],[Sub Acción Específica
&lt;&lt; Seleccionar&gt;&gt;]])</f>
        <v>#VALUE!</v>
      </c>
      <c r="D960" s="328" t="e">
        <f>VLOOKUP(Tabla18[[#This Row],[Aux_01]],TablaSubAccionEspecifica[[#All],[Concat]:[Cod_Sub_acción_especifica]],2,0)</f>
        <v>#VALUE!</v>
      </c>
      <c r="E960" s="328" t="e">
        <f>Tabla18[[#This Row],[Bus_03]]&amp;"_"&amp;Tabla5[[#This Row],[Tipo de Agente
&lt;&lt; Seleccionar&gt;&gt;]]</f>
        <v>#VALUE!</v>
      </c>
      <c r="F960" s="328" t="e">
        <f>VLOOKUP(Tabla18[[#This Row],[Concat2]],TablaPOA[[#All],[Concat]:[ConcatEspecial]],3,0)</f>
        <v>#VALUE!</v>
      </c>
      <c r="G960" s="65" t="e">
        <f>CONCATENATE(Registro!$A$6,"_",Tabla5[[#This Row],[Zona (Provincia)
&lt;&lt; Seleccionar&gt;&gt;]])</f>
        <v>#VALUE!</v>
      </c>
      <c r="H960" s="60" t="e">
        <f>VLOOKUP(Tabla18[[#This Row],[Concatenado***]],Tabla2[[#All],[Concatenado]:[Simbología*]],2,0)</f>
        <v>#VALUE!</v>
      </c>
      <c r="I960" s="65" t="e">
        <f>CONCATENATE(Tabla18[[#This Row],[Concatenado***]],"_",Tabla5[[#This Row],[Zona (Distrito)
&lt;&lt; Seleccionar&gt;&gt;]])</f>
        <v>#VALUE!</v>
      </c>
      <c r="J9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0" s="72" t="e">
        <f>VLOOKUP(Tabla5[[#This Row],[Tipo de Transporte Empleado
&lt;&lt; Seleccionar&gt;&gt;]],Tabla8[#All],2,0)</f>
        <v>#VALUE!</v>
      </c>
      <c r="L960" s="71" t="e">
        <f>#REF!+(#REF!*2)+#REF!</f>
        <v>#REF!</v>
      </c>
    </row>
    <row r="961" spans="1:12" x14ac:dyDescent="0.25">
      <c r="A961" s="328" t="e">
        <f>VLOOKUP(Tabla5[[#This Row],[Acción
&lt;&lt; Seleccionar&gt;&gt;]],TablaAccion[[#All],[Nombre_Abreviado]:[Codigo_Plan_Acción]],3,0)</f>
        <v>#VALUE!</v>
      </c>
      <c r="B961" s="328" t="e">
        <f>VLOOKUP(Tabla5[[#This Row],[Acción Especifica
&lt;&lt; Seleccionar&gt;&gt;]],TablaAccionEspecifica[[#All],[Nombre_Abreviado]:[Codigo_Acción]],3,0)</f>
        <v>#VALUE!</v>
      </c>
      <c r="C961" s="328" t="e">
        <f>CONCATENATE(Tabla18[[#This Row],[Bus_02]],"_",Tabla5[[#This Row],[Sub Acción Específica
&lt;&lt; Seleccionar&gt;&gt;]])</f>
        <v>#VALUE!</v>
      </c>
      <c r="D961" s="328" t="e">
        <f>VLOOKUP(Tabla18[[#This Row],[Aux_01]],TablaSubAccionEspecifica[[#All],[Concat]:[Cod_Sub_acción_especifica]],2,0)</f>
        <v>#VALUE!</v>
      </c>
      <c r="E961" s="328" t="e">
        <f>Tabla18[[#This Row],[Bus_03]]&amp;"_"&amp;Tabla5[[#This Row],[Tipo de Agente
&lt;&lt; Seleccionar&gt;&gt;]]</f>
        <v>#VALUE!</v>
      </c>
      <c r="F961" s="328" t="e">
        <f>VLOOKUP(Tabla18[[#This Row],[Concat2]],TablaPOA[[#All],[Concat]:[ConcatEspecial]],3,0)</f>
        <v>#VALUE!</v>
      </c>
      <c r="G961" s="65" t="e">
        <f>CONCATENATE(Registro!$A$6,"_",Tabla5[[#This Row],[Zona (Provincia)
&lt;&lt; Seleccionar&gt;&gt;]])</f>
        <v>#VALUE!</v>
      </c>
      <c r="H961" s="60" t="e">
        <f>VLOOKUP(Tabla18[[#This Row],[Concatenado***]],Tabla2[[#All],[Concatenado]:[Simbología*]],2,0)</f>
        <v>#VALUE!</v>
      </c>
      <c r="I961" s="65" t="e">
        <f>CONCATENATE(Tabla18[[#This Row],[Concatenado***]],"_",Tabla5[[#This Row],[Zona (Distrito)
&lt;&lt; Seleccionar&gt;&gt;]])</f>
        <v>#VALUE!</v>
      </c>
      <c r="J9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1" s="72" t="e">
        <f>VLOOKUP(Tabla5[[#This Row],[Tipo de Transporte Empleado
&lt;&lt; Seleccionar&gt;&gt;]],Tabla8[#All],2,0)</f>
        <v>#VALUE!</v>
      </c>
      <c r="L961" s="71" t="e">
        <f>#REF!+(#REF!*2)+#REF!</f>
        <v>#REF!</v>
      </c>
    </row>
    <row r="962" spans="1:12" x14ac:dyDescent="0.25">
      <c r="A962" s="328" t="e">
        <f>VLOOKUP(Tabla5[[#This Row],[Acción
&lt;&lt; Seleccionar&gt;&gt;]],TablaAccion[[#All],[Nombre_Abreviado]:[Codigo_Plan_Acción]],3,0)</f>
        <v>#VALUE!</v>
      </c>
      <c r="B962" s="328" t="e">
        <f>VLOOKUP(Tabla5[[#This Row],[Acción Especifica
&lt;&lt; Seleccionar&gt;&gt;]],TablaAccionEspecifica[[#All],[Nombre_Abreviado]:[Codigo_Acción]],3,0)</f>
        <v>#VALUE!</v>
      </c>
      <c r="C962" s="328" t="e">
        <f>CONCATENATE(Tabla18[[#This Row],[Bus_02]],"_",Tabla5[[#This Row],[Sub Acción Específica
&lt;&lt; Seleccionar&gt;&gt;]])</f>
        <v>#VALUE!</v>
      </c>
      <c r="D962" s="328" t="e">
        <f>VLOOKUP(Tabla18[[#This Row],[Aux_01]],TablaSubAccionEspecifica[[#All],[Concat]:[Cod_Sub_acción_especifica]],2,0)</f>
        <v>#VALUE!</v>
      </c>
      <c r="E962" s="328" t="e">
        <f>Tabla18[[#This Row],[Bus_03]]&amp;"_"&amp;Tabla5[[#This Row],[Tipo de Agente
&lt;&lt; Seleccionar&gt;&gt;]]</f>
        <v>#VALUE!</v>
      </c>
      <c r="F962" s="328" t="e">
        <f>VLOOKUP(Tabla18[[#This Row],[Concat2]],TablaPOA[[#All],[Concat]:[ConcatEspecial]],3,0)</f>
        <v>#VALUE!</v>
      </c>
      <c r="G962" s="65" t="e">
        <f>CONCATENATE(Registro!$A$6,"_",Tabla5[[#This Row],[Zona (Provincia)
&lt;&lt; Seleccionar&gt;&gt;]])</f>
        <v>#VALUE!</v>
      </c>
      <c r="H962" s="60" t="e">
        <f>VLOOKUP(Tabla18[[#This Row],[Concatenado***]],Tabla2[[#All],[Concatenado]:[Simbología*]],2,0)</f>
        <v>#VALUE!</v>
      </c>
      <c r="I962" s="65" t="e">
        <f>CONCATENATE(Tabla18[[#This Row],[Concatenado***]],"_",Tabla5[[#This Row],[Zona (Distrito)
&lt;&lt; Seleccionar&gt;&gt;]])</f>
        <v>#VALUE!</v>
      </c>
      <c r="J9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2" s="72" t="e">
        <f>VLOOKUP(Tabla5[[#This Row],[Tipo de Transporte Empleado
&lt;&lt; Seleccionar&gt;&gt;]],Tabla8[#All],2,0)</f>
        <v>#VALUE!</v>
      </c>
      <c r="L962" s="71" t="e">
        <f>#REF!+(#REF!*2)+#REF!</f>
        <v>#REF!</v>
      </c>
    </row>
    <row r="963" spans="1:12" x14ac:dyDescent="0.25">
      <c r="A963" s="328" t="e">
        <f>VLOOKUP(Tabla5[[#This Row],[Acción
&lt;&lt; Seleccionar&gt;&gt;]],TablaAccion[[#All],[Nombre_Abreviado]:[Codigo_Plan_Acción]],3,0)</f>
        <v>#VALUE!</v>
      </c>
      <c r="B963" s="328" t="e">
        <f>VLOOKUP(Tabla5[[#This Row],[Acción Especifica
&lt;&lt; Seleccionar&gt;&gt;]],TablaAccionEspecifica[[#All],[Nombre_Abreviado]:[Codigo_Acción]],3,0)</f>
        <v>#VALUE!</v>
      </c>
      <c r="C963" s="328" t="e">
        <f>CONCATENATE(Tabla18[[#This Row],[Bus_02]],"_",Tabla5[[#This Row],[Sub Acción Específica
&lt;&lt; Seleccionar&gt;&gt;]])</f>
        <v>#VALUE!</v>
      </c>
      <c r="D963" s="328" t="e">
        <f>VLOOKUP(Tabla18[[#This Row],[Aux_01]],TablaSubAccionEspecifica[[#All],[Concat]:[Cod_Sub_acción_especifica]],2,0)</f>
        <v>#VALUE!</v>
      </c>
      <c r="E963" s="328" t="e">
        <f>Tabla18[[#This Row],[Bus_03]]&amp;"_"&amp;Tabla5[[#This Row],[Tipo de Agente
&lt;&lt; Seleccionar&gt;&gt;]]</f>
        <v>#VALUE!</v>
      </c>
      <c r="F963" s="328" t="e">
        <f>VLOOKUP(Tabla18[[#This Row],[Concat2]],TablaPOA[[#All],[Concat]:[ConcatEspecial]],3,0)</f>
        <v>#VALUE!</v>
      </c>
      <c r="G963" s="65" t="e">
        <f>CONCATENATE(Registro!$A$6,"_",Tabla5[[#This Row],[Zona (Provincia)
&lt;&lt; Seleccionar&gt;&gt;]])</f>
        <v>#VALUE!</v>
      </c>
      <c r="H963" s="60" t="e">
        <f>VLOOKUP(Tabla18[[#This Row],[Concatenado***]],Tabla2[[#All],[Concatenado]:[Simbología*]],2,0)</f>
        <v>#VALUE!</v>
      </c>
      <c r="I963" s="65" t="e">
        <f>CONCATENATE(Tabla18[[#This Row],[Concatenado***]],"_",Tabla5[[#This Row],[Zona (Distrito)
&lt;&lt; Seleccionar&gt;&gt;]])</f>
        <v>#VALUE!</v>
      </c>
      <c r="J9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3" s="72" t="e">
        <f>VLOOKUP(Tabla5[[#This Row],[Tipo de Transporte Empleado
&lt;&lt; Seleccionar&gt;&gt;]],Tabla8[#All],2,0)</f>
        <v>#VALUE!</v>
      </c>
      <c r="L963" s="71" t="e">
        <f>#REF!+(#REF!*2)+#REF!</f>
        <v>#REF!</v>
      </c>
    </row>
    <row r="964" spans="1:12" x14ac:dyDescent="0.25">
      <c r="A964" s="328" t="e">
        <f>VLOOKUP(Tabla5[[#This Row],[Acción
&lt;&lt; Seleccionar&gt;&gt;]],TablaAccion[[#All],[Nombre_Abreviado]:[Codigo_Plan_Acción]],3,0)</f>
        <v>#VALUE!</v>
      </c>
      <c r="B964" s="328" t="e">
        <f>VLOOKUP(Tabla5[[#This Row],[Acción Especifica
&lt;&lt; Seleccionar&gt;&gt;]],TablaAccionEspecifica[[#All],[Nombre_Abreviado]:[Codigo_Acción]],3,0)</f>
        <v>#VALUE!</v>
      </c>
      <c r="C964" s="328" t="e">
        <f>CONCATENATE(Tabla18[[#This Row],[Bus_02]],"_",Tabla5[[#This Row],[Sub Acción Específica
&lt;&lt; Seleccionar&gt;&gt;]])</f>
        <v>#VALUE!</v>
      </c>
      <c r="D964" s="328" t="e">
        <f>VLOOKUP(Tabla18[[#This Row],[Aux_01]],TablaSubAccionEspecifica[[#All],[Concat]:[Cod_Sub_acción_especifica]],2,0)</f>
        <v>#VALUE!</v>
      </c>
      <c r="E964" s="328" t="e">
        <f>Tabla18[[#This Row],[Bus_03]]&amp;"_"&amp;Tabla5[[#This Row],[Tipo de Agente
&lt;&lt; Seleccionar&gt;&gt;]]</f>
        <v>#VALUE!</v>
      </c>
      <c r="F964" s="328" t="e">
        <f>VLOOKUP(Tabla18[[#This Row],[Concat2]],TablaPOA[[#All],[Concat]:[ConcatEspecial]],3,0)</f>
        <v>#VALUE!</v>
      </c>
      <c r="G964" s="65" t="e">
        <f>CONCATENATE(Registro!$A$6,"_",Tabla5[[#This Row],[Zona (Provincia)
&lt;&lt; Seleccionar&gt;&gt;]])</f>
        <v>#VALUE!</v>
      </c>
      <c r="H964" s="60" t="e">
        <f>VLOOKUP(Tabla18[[#This Row],[Concatenado***]],Tabla2[[#All],[Concatenado]:[Simbología*]],2,0)</f>
        <v>#VALUE!</v>
      </c>
      <c r="I964" s="65" t="e">
        <f>CONCATENATE(Tabla18[[#This Row],[Concatenado***]],"_",Tabla5[[#This Row],[Zona (Distrito)
&lt;&lt; Seleccionar&gt;&gt;]])</f>
        <v>#VALUE!</v>
      </c>
      <c r="J9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4" s="72" t="e">
        <f>VLOOKUP(Tabla5[[#This Row],[Tipo de Transporte Empleado
&lt;&lt; Seleccionar&gt;&gt;]],Tabla8[#All],2,0)</f>
        <v>#VALUE!</v>
      </c>
      <c r="L964" s="71" t="e">
        <f>#REF!+(#REF!*2)+#REF!</f>
        <v>#REF!</v>
      </c>
    </row>
    <row r="965" spans="1:12" x14ac:dyDescent="0.25">
      <c r="A965" s="328" t="e">
        <f>VLOOKUP(Tabla5[[#This Row],[Acción
&lt;&lt; Seleccionar&gt;&gt;]],TablaAccion[[#All],[Nombre_Abreviado]:[Codigo_Plan_Acción]],3,0)</f>
        <v>#VALUE!</v>
      </c>
      <c r="B965" s="328" t="e">
        <f>VLOOKUP(Tabla5[[#This Row],[Acción Especifica
&lt;&lt; Seleccionar&gt;&gt;]],TablaAccionEspecifica[[#All],[Nombre_Abreviado]:[Codigo_Acción]],3,0)</f>
        <v>#VALUE!</v>
      </c>
      <c r="C965" s="328" t="e">
        <f>CONCATENATE(Tabla18[[#This Row],[Bus_02]],"_",Tabla5[[#This Row],[Sub Acción Específica
&lt;&lt; Seleccionar&gt;&gt;]])</f>
        <v>#VALUE!</v>
      </c>
      <c r="D965" s="328" t="e">
        <f>VLOOKUP(Tabla18[[#This Row],[Aux_01]],TablaSubAccionEspecifica[[#All],[Concat]:[Cod_Sub_acción_especifica]],2,0)</f>
        <v>#VALUE!</v>
      </c>
      <c r="E965" s="328" t="e">
        <f>Tabla18[[#This Row],[Bus_03]]&amp;"_"&amp;Tabla5[[#This Row],[Tipo de Agente
&lt;&lt; Seleccionar&gt;&gt;]]</f>
        <v>#VALUE!</v>
      </c>
      <c r="F965" s="328" t="e">
        <f>VLOOKUP(Tabla18[[#This Row],[Concat2]],TablaPOA[[#All],[Concat]:[ConcatEspecial]],3,0)</f>
        <v>#VALUE!</v>
      </c>
      <c r="G965" s="65" t="e">
        <f>CONCATENATE(Registro!$A$6,"_",Tabla5[[#This Row],[Zona (Provincia)
&lt;&lt; Seleccionar&gt;&gt;]])</f>
        <v>#VALUE!</v>
      </c>
      <c r="H965" s="60" t="e">
        <f>VLOOKUP(Tabla18[[#This Row],[Concatenado***]],Tabla2[[#All],[Concatenado]:[Simbología*]],2,0)</f>
        <v>#VALUE!</v>
      </c>
      <c r="I965" s="65" t="e">
        <f>CONCATENATE(Tabla18[[#This Row],[Concatenado***]],"_",Tabla5[[#This Row],[Zona (Distrito)
&lt;&lt; Seleccionar&gt;&gt;]])</f>
        <v>#VALUE!</v>
      </c>
      <c r="J9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5" s="72" t="e">
        <f>VLOOKUP(Tabla5[[#This Row],[Tipo de Transporte Empleado
&lt;&lt; Seleccionar&gt;&gt;]],Tabla8[#All],2,0)</f>
        <v>#VALUE!</v>
      </c>
      <c r="L965" s="71" t="e">
        <f>#REF!+(#REF!*2)+#REF!</f>
        <v>#REF!</v>
      </c>
    </row>
    <row r="966" spans="1:12" x14ac:dyDescent="0.25">
      <c r="A966" s="328" t="e">
        <f>VLOOKUP(Tabla5[[#This Row],[Acción
&lt;&lt; Seleccionar&gt;&gt;]],TablaAccion[[#All],[Nombre_Abreviado]:[Codigo_Plan_Acción]],3,0)</f>
        <v>#VALUE!</v>
      </c>
      <c r="B966" s="328" t="e">
        <f>VLOOKUP(Tabla5[[#This Row],[Acción Especifica
&lt;&lt; Seleccionar&gt;&gt;]],TablaAccionEspecifica[[#All],[Nombre_Abreviado]:[Codigo_Acción]],3,0)</f>
        <v>#VALUE!</v>
      </c>
      <c r="C966" s="328" t="e">
        <f>CONCATENATE(Tabla18[[#This Row],[Bus_02]],"_",Tabla5[[#This Row],[Sub Acción Específica
&lt;&lt; Seleccionar&gt;&gt;]])</f>
        <v>#VALUE!</v>
      </c>
      <c r="D966" s="328" t="e">
        <f>VLOOKUP(Tabla18[[#This Row],[Aux_01]],TablaSubAccionEspecifica[[#All],[Concat]:[Cod_Sub_acción_especifica]],2,0)</f>
        <v>#VALUE!</v>
      </c>
      <c r="E966" s="328" t="e">
        <f>Tabla18[[#This Row],[Bus_03]]&amp;"_"&amp;Tabla5[[#This Row],[Tipo de Agente
&lt;&lt; Seleccionar&gt;&gt;]]</f>
        <v>#VALUE!</v>
      </c>
      <c r="F966" s="328" t="e">
        <f>VLOOKUP(Tabla18[[#This Row],[Concat2]],TablaPOA[[#All],[Concat]:[ConcatEspecial]],3,0)</f>
        <v>#VALUE!</v>
      </c>
      <c r="G966" s="65" t="e">
        <f>CONCATENATE(Registro!$A$6,"_",Tabla5[[#This Row],[Zona (Provincia)
&lt;&lt; Seleccionar&gt;&gt;]])</f>
        <v>#VALUE!</v>
      </c>
      <c r="H966" s="60" t="e">
        <f>VLOOKUP(Tabla18[[#This Row],[Concatenado***]],Tabla2[[#All],[Concatenado]:[Simbología*]],2,0)</f>
        <v>#VALUE!</v>
      </c>
      <c r="I966" s="65" t="e">
        <f>CONCATENATE(Tabla18[[#This Row],[Concatenado***]],"_",Tabla5[[#This Row],[Zona (Distrito)
&lt;&lt; Seleccionar&gt;&gt;]])</f>
        <v>#VALUE!</v>
      </c>
      <c r="J9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6" s="72" t="e">
        <f>VLOOKUP(Tabla5[[#This Row],[Tipo de Transporte Empleado
&lt;&lt; Seleccionar&gt;&gt;]],Tabla8[#All],2,0)</f>
        <v>#VALUE!</v>
      </c>
      <c r="L966" s="71" t="e">
        <f>#REF!+(#REF!*2)+#REF!</f>
        <v>#REF!</v>
      </c>
    </row>
    <row r="967" spans="1:12" x14ac:dyDescent="0.25">
      <c r="A967" s="328" t="e">
        <f>VLOOKUP(Tabla5[[#This Row],[Acción
&lt;&lt; Seleccionar&gt;&gt;]],TablaAccion[[#All],[Nombre_Abreviado]:[Codigo_Plan_Acción]],3,0)</f>
        <v>#VALUE!</v>
      </c>
      <c r="B967" s="328" t="e">
        <f>VLOOKUP(Tabla5[[#This Row],[Acción Especifica
&lt;&lt; Seleccionar&gt;&gt;]],TablaAccionEspecifica[[#All],[Nombre_Abreviado]:[Codigo_Acción]],3,0)</f>
        <v>#VALUE!</v>
      </c>
      <c r="C967" s="328" t="e">
        <f>CONCATENATE(Tabla18[[#This Row],[Bus_02]],"_",Tabla5[[#This Row],[Sub Acción Específica
&lt;&lt; Seleccionar&gt;&gt;]])</f>
        <v>#VALUE!</v>
      </c>
      <c r="D967" s="328" t="e">
        <f>VLOOKUP(Tabla18[[#This Row],[Aux_01]],TablaSubAccionEspecifica[[#All],[Concat]:[Cod_Sub_acción_especifica]],2,0)</f>
        <v>#VALUE!</v>
      </c>
      <c r="E967" s="328" t="e">
        <f>Tabla18[[#This Row],[Bus_03]]&amp;"_"&amp;Tabla5[[#This Row],[Tipo de Agente
&lt;&lt; Seleccionar&gt;&gt;]]</f>
        <v>#VALUE!</v>
      </c>
      <c r="F967" s="328" t="e">
        <f>VLOOKUP(Tabla18[[#This Row],[Concat2]],TablaPOA[[#All],[Concat]:[ConcatEspecial]],3,0)</f>
        <v>#VALUE!</v>
      </c>
      <c r="G967" s="65" t="e">
        <f>CONCATENATE(Registro!$A$6,"_",Tabla5[[#This Row],[Zona (Provincia)
&lt;&lt; Seleccionar&gt;&gt;]])</f>
        <v>#VALUE!</v>
      </c>
      <c r="H967" s="60" t="e">
        <f>VLOOKUP(Tabla18[[#This Row],[Concatenado***]],Tabla2[[#All],[Concatenado]:[Simbología*]],2,0)</f>
        <v>#VALUE!</v>
      </c>
      <c r="I967" s="65" t="e">
        <f>CONCATENATE(Tabla18[[#This Row],[Concatenado***]],"_",Tabla5[[#This Row],[Zona (Distrito)
&lt;&lt; Seleccionar&gt;&gt;]])</f>
        <v>#VALUE!</v>
      </c>
      <c r="J9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7" s="72" t="e">
        <f>VLOOKUP(Tabla5[[#This Row],[Tipo de Transporte Empleado
&lt;&lt; Seleccionar&gt;&gt;]],Tabla8[#All],2,0)</f>
        <v>#VALUE!</v>
      </c>
      <c r="L967" s="71" t="e">
        <f>#REF!+(#REF!*2)+#REF!</f>
        <v>#REF!</v>
      </c>
    </row>
    <row r="968" spans="1:12" x14ac:dyDescent="0.25">
      <c r="A968" s="328" t="e">
        <f>VLOOKUP(Tabla5[[#This Row],[Acción
&lt;&lt; Seleccionar&gt;&gt;]],TablaAccion[[#All],[Nombre_Abreviado]:[Codigo_Plan_Acción]],3,0)</f>
        <v>#VALUE!</v>
      </c>
      <c r="B968" s="328" t="e">
        <f>VLOOKUP(Tabla5[[#This Row],[Acción Especifica
&lt;&lt; Seleccionar&gt;&gt;]],TablaAccionEspecifica[[#All],[Nombre_Abreviado]:[Codigo_Acción]],3,0)</f>
        <v>#VALUE!</v>
      </c>
      <c r="C968" s="328" t="e">
        <f>CONCATENATE(Tabla18[[#This Row],[Bus_02]],"_",Tabla5[[#This Row],[Sub Acción Específica
&lt;&lt; Seleccionar&gt;&gt;]])</f>
        <v>#VALUE!</v>
      </c>
      <c r="D968" s="328" t="e">
        <f>VLOOKUP(Tabla18[[#This Row],[Aux_01]],TablaSubAccionEspecifica[[#All],[Concat]:[Cod_Sub_acción_especifica]],2,0)</f>
        <v>#VALUE!</v>
      </c>
      <c r="E968" s="328" t="e">
        <f>Tabla18[[#This Row],[Bus_03]]&amp;"_"&amp;Tabla5[[#This Row],[Tipo de Agente
&lt;&lt; Seleccionar&gt;&gt;]]</f>
        <v>#VALUE!</v>
      </c>
      <c r="F968" s="328" t="e">
        <f>VLOOKUP(Tabla18[[#This Row],[Concat2]],TablaPOA[[#All],[Concat]:[ConcatEspecial]],3,0)</f>
        <v>#VALUE!</v>
      </c>
      <c r="G968" s="65" t="e">
        <f>CONCATENATE(Registro!$A$6,"_",Tabla5[[#This Row],[Zona (Provincia)
&lt;&lt; Seleccionar&gt;&gt;]])</f>
        <v>#VALUE!</v>
      </c>
      <c r="H968" s="60" t="e">
        <f>VLOOKUP(Tabla18[[#This Row],[Concatenado***]],Tabla2[[#All],[Concatenado]:[Simbología*]],2,0)</f>
        <v>#VALUE!</v>
      </c>
      <c r="I968" s="65" t="e">
        <f>CONCATENATE(Tabla18[[#This Row],[Concatenado***]],"_",Tabla5[[#This Row],[Zona (Distrito)
&lt;&lt; Seleccionar&gt;&gt;]])</f>
        <v>#VALUE!</v>
      </c>
      <c r="J9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8" s="72" t="e">
        <f>VLOOKUP(Tabla5[[#This Row],[Tipo de Transporte Empleado
&lt;&lt; Seleccionar&gt;&gt;]],Tabla8[#All],2,0)</f>
        <v>#VALUE!</v>
      </c>
      <c r="L968" s="71" t="e">
        <f>#REF!+(#REF!*2)+#REF!</f>
        <v>#REF!</v>
      </c>
    </row>
    <row r="969" spans="1:12" x14ac:dyDescent="0.25">
      <c r="A969" s="328" t="e">
        <f>VLOOKUP(Tabla5[[#This Row],[Acción
&lt;&lt; Seleccionar&gt;&gt;]],TablaAccion[[#All],[Nombre_Abreviado]:[Codigo_Plan_Acción]],3,0)</f>
        <v>#VALUE!</v>
      </c>
      <c r="B969" s="328" t="e">
        <f>VLOOKUP(Tabla5[[#This Row],[Acción Especifica
&lt;&lt; Seleccionar&gt;&gt;]],TablaAccionEspecifica[[#All],[Nombre_Abreviado]:[Codigo_Acción]],3,0)</f>
        <v>#VALUE!</v>
      </c>
      <c r="C969" s="328" t="e">
        <f>CONCATENATE(Tabla18[[#This Row],[Bus_02]],"_",Tabla5[[#This Row],[Sub Acción Específica
&lt;&lt; Seleccionar&gt;&gt;]])</f>
        <v>#VALUE!</v>
      </c>
      <c r="D969" s="328" t="e">
        <f>VLOOKUP(Tabla18[[#This Row],[Aux_01]],TablaSubAccionEspecifica[[#All],[Concat]:[Cod_Sub_acción_especifica]],2,0)</f>
        <v>#VALUE!</v>
      </c>
      <c r="E969" s="328" t="e">
        <f>Tabla18[[#This Row],[Bus_03]]&amp;"_"&amp;Tabla5[[#This Row],[Tipo de Agente
&lt;&lt; Seleccionar&gt;&gt;]]</f>
        <v>#VALUE!</v>
      </c>
      <c r="F969" s="328" t="e">
        <f>VLOOKUP(Tabla18[[#This Row],[Concat2]],TablaPOA[[#All],[Concat]:[ConcatEspecial]],3,0)</f>
        <v>#VALUE!</v>
      </c>
      <c r="G969" s="65" t="e">
        <f>CONCATENATE(Registro!$A$6,"_",Tabla5[[#This Row],[Zona (Provincia)
&lt;&lt; Seleccionar&gt;&gt;]])</f>
        <v>#VALUE!</v>
      </c>
      <c r="H969" s="60" t="e">
        <f>VLOOKUP(Tabla18[[#This Row],[Concatenado***]],Tabla2[[#All],[Concatenado]:[Simbología*]],2,0)</f>
        <v>#VALUE!</v>
      </c>
      <c r="I969" s="65" t="e">
        <f>CONCATENATE(Tabla18[[#This Row],[Concatenado***]],"_",Tabla5[[#This Row],[Zona (Distrito)
&lt;&lt; Seleccionar&gt;&gt;]])</f>
        <v>#VALUE!</v>
      </c>
      <c r="J9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9" s="72" t="e">
        <f>VLOOKUP(Tabla5[[#This Row],[Tipo de Transporte Empleado
&lt;&lt; Seleccionar&gt;&gt;]],Tabla8[#All],2,0)</f>
        <v>#VALUE!</v>
      </c>
      <c r="L969" s="71" t="e">
        <f>#REF!+(#REF!*2)+#REF!</f>
        <v>#REF!</v>
      </c>
    </row>
    <row r="970" spans="1:12" x14ac:dyDescent="0.25">
      <c r="A970" s="328" t="e">
        <f>VLOOKUP(Tabla5[[#This Row],[Acción
&lt;&lt; Seleccionar&gt;&gt;]],TablaAccion[[#All],[Nombre_Abreviado]:[Codigo_Plan_Acción]],3,0)</f>
        <v>#VALUE!</v>
      </c>
      <c r="B970" s="328" t="e">
        <f>VLOOKUP(Tabla5[[#This Row],[Acción Especifica
&lt;&lt; Seleccionar&gt;&gt;]],TablaAccionEspecifica[[#All],[Nombre_Abreviado]:[Codigo_Acción]],3,0)</f>
        <v>#VALUE!</v>
      </c>
      <c r="C970" s="328" t="e">
        <f>CONCATENATE(Tabla18[[#This Row],[Bus_02]],"_",Tabla5[[#This Row],[Sub Acción Específica
&lt;&lt; Seleccionar&gt;&gt;]])</f>
        <v>#VALUE!</v>
      </c>
      <c r="D970" s="328" t="e">
        <f>VLOOKUP(Tabla18[[#This Row],[Aux_01]],TablaSubAccionEspecifica[[#All],[Concat]:[Cod_Sub_acción_especifica]],2,0)</f>
        <v>#VALUE!</v>
      </c>
      <c r="E970" s="328" t="e">
        <f>Tabla18[[#This Row],[Bus_03]]&amp;"_"&amp;Tabla5[[#This Row],[Tipo de Agente
&lt;&lt; Seleccionar&gt;&gt;]]</f>
        <v>#VALUE!</v>
      </c>
      <c r="F970" s="328" t="e">
        <f>VLOOKUP(Tabla18[[#This Row],[Concat2]],TablaPOA[[#All],[Concat]:[ConcatEspecial]],3,0)</f>
        <v>#VALUE!</v>
      </c>
      <c r="G970" s="65" t="e">
        <f>CONCATENATE(Registro!$A$6,"_",Tabla5[[#This Row],[Zona (Provincia)
&lt;&lt; Seleccionar&gt;&gt;]])</f>
        <v>#VALUE!</v>
      </c>
      <c r="H970" s="60" t="e">
        <f>VLOOKUP(Tabla18[[#This Row],[Concatenado***]],Tabla2[[#All],[Concatenado]:[Simbología*]],2,0)</f>
        <v>#VALUE!</v>
      </c>
      <c r="I970" s="65" t="e">
        <f>CONCATENATE(Tabla18[[#This Row],[Concatenado***]],"_",Tabla5[[#This Row],[Zona (Distrito)
&lt;&lt; Seleccionar&gt;&gt;]])</f>
        <v>#VALUE!</v>
      </c>
      <c r="J9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0" s="72" t="e">
        <f>VLOOKUP(Tabla5[[#This Row],[Tipo de Transporte Empleado
&lt;&lt; Seleccionar&gt;&gt;]],Tabla8[#All],2,0)</f>
        <v>#VALUE!</v>
      </c>
      <c r="L970" s="71" t="e">
        <f>#REF!+(#REF!*2)+#REF!</f>
        <v>#REF!</v>
      </c>
    </row>
    <row r="971" spans="1:12" x14ac:dyDescent="0.25">
      <c r="A971" s="328" t="e">
        <f>VLOOKUP(Tabla5[[#This Row],[Acción
&lt;&lt; Seleccionar&gt;&gt;]],TablaAccion[[#All],[Nombre_Abreviado]:[Codigo_Plan_Acción]],3,0)</f>
        <v>#VALUE!</v>
      </c>
      <c r="B971" s="328" t="e">
        <f>VLOOKUP(Tabla5[[#This Row],[Acción Especifica
&lt;&lt; Seleccionar&gt;&gt;]],TablaAccionEspecifica[[#All],[Nombre_Abreviado]:[Codigo_Acción]],3,0)</f>
        <v>#VALUE!</v>
      </c>
      <c r="C971" s="328" t="e">
        <f>CONCATENATE(Tabla18[[#This Row],[Bus_02]],"_",Tabla5[[#This Row],[Sub Acción Específica
&lt;&lt; Seleccionar&gt;&gt;]])</f>
        <v>#VALUE!</v>
      </c>
      <c r="D971" s="328" t="e">
        <f>VLOOKUP(Tabla18[[#This Row],[Aux_01]],TablaSubAccionEspecifica[[#All],[Concat]:[Cod_Sub_acción_especifica]],2,0)</f>
        <v>#VALUE!</v>
      </c>
      <c r="E971" s="328" t="e">
        <f>Tabla18[[#This Row],[Bus_03]]&amp;"_"&amp;Tabla5[[#This Row],[Tipo de Agente
&lt;&lt; Seleccionar&gt;&gt;]]</f>
        <v>#VALUE!</v>
      </c>
      <c r="F971" s="328" t="e">
        <f>VLOOKUP(Tabla18[[#This Row],[Concat2]],TablaPOA[[#All],[Concat]:[ConcatEspecial]],3,0)</f>
        <v>#VALUE!</v>
      </c>
      <c r="G971" s="65" t="e">
        <f>CONCATENATE(Registro!$A$6,"_",Tabla5[[#This Row],[Zona (Provincia)
&lt;&lt; Seleccionar&gt;&gt;]])</f>
        <v>#VALUE!</v>
      </c>
      <c r="H971" s="60" t="e">
        <f>VLOOKUP(Tabla18[[#This Row],[Concatenado***]],Tabla2[[#All],[Concatenado]:[Simbología*]],2,0)</f>
        <v>#VALUE!</v>
      </c>
      <c r="I971" s="65" t="e">
        <f>CONCATENATE(Tabla18[[#This Row],[Concatenado***]],"_",Tabla5[[#This Row],[Zona (Distrito)
&lt;&lt; Seleccionar&gt;&gt;]])</f>
        <v>#VALUE!</v>
      </c>
      <c r="J9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1" s="72" t="e">
        <f>VLOOKUP(Tabla5[[#This Row],[Tipo de Transporte Empleado
&lt;&lt; Seleccionar&gt;&gt;]],Tabla8[#All],2,0)</f>
        <v>#VALUE!</v>
      </c>
      <c r="L971" s="71" t="e">
        <f>#REF!+(#REF!*2)+#REF!</f>
        <v>#REF!</v>
      </c>
    </row>
    <row r="972" spans="1:12" x14ac:dyDescent="0.25">
      <c r="A972" s="328" t="e">
        <f>VLOOKUP(Tabla5[[#This Row],[Acción
&lt;&lt; Seleccionar&gt;&gt;]],TablaAccion[[#All],[Nombre_Abreviado]:[Codigo_Plan_Acción]],3,0)</f>
        <v>#VALUE!</v>
      </c>
      <c r="B972" s="328" t="e">
        <f>VLOOKUP(Tabla5[[#This Row],[Acción Especifica
&lt;&lt; Seleccionar&gt;&gt;]],TablaAccionEspecifica[[#All],[Nombre_Abreviado]:[Codigo_Acción]],3,0)</f>
        <v>#VALUE!</v>
      </c>
      <c r="C972" s="328" t="e">
        <f>CONCATENATE(Tabla18[[#This Row],[Bus_02]],"_",Tabla5[[#This Row],[Sub Acción Específica
&lt;&lt; Seleccionar&gt;&gt;]])</f>
        <v>#VALUE!</v>
      </c>
      <c r="D972" s="328" t="e">
        <f>VLOOKUP(Tabla18[[#This Row],[Aux_01]],TablaSubAccionEspecifica[[#All],[Concat]:[Cod_Sub_acción_especifica]],2,0)</f>
        <v>#VALUE!</v>
      </c>
      <c r="E972" s="328" t="e">
        <f>Tabla18[[#This Row],[Bus_03]]&amp;"_"&amp;Tabla5[[#This Row],[Tipo de Agente
&lt;&lt; Seleccionar&gt;&gt;]]</f>
        <v>#VALUE!</v>
      </c>
      <c r="F972" s="328" t="e">
        <f>VLOOKUP(Tabla18[[#This Row],[Concat2]],TablaPOA[[#All],[Concat]:[ConcatEspecial]],3,0)</f>
        <v>#VALUE!</v>
      </c>
      <c r="G972" s="65" t="e">
        <f>CONCATENATE(Registro!$A$6,"_",Tabla5[[#This Row],[Zona (Provincia)
&lt;&lt; Seleccionar&gt;&gt;]])</f>
        <v>#VALUE!</v>
      </c>
      <c r="H972" s="60" t="e">
        <f>VLOOKUP(Tabla18[[#This Row],[Concatenado***]],Tabla2[[#All],[Concatenado]:[Simbología*]],2,0)</f>
        <v>#VALUE!</v>
      </c>
      <c r="I972" s="65" t="e">
        <f>CONCATENATE(Tabla18[[#This Row],[Concatenado***]],"_",Tabla5[[#This Row],[Zona (Distrito)
&lt;&lt; Seleccionar&gt;&gt;]])</f>
        <v>#VALUE!</v>
      </c>
      <c r="J9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2" s="72" t="e">
        <f>VLOOKUP(Tabla5[[#This Row],[Tipo de Transporte Empleado
&lt;&lt; Seleccionar&gt;&gt;]],Tabla8[#All],2,0)</f>
        <v>#VALUE!</v>
      </c>
      <c r="L972" s="71" t="e">
        <f>#REF!+(#REF!*2)+#REF!</f>
        <v>#REF!</v>
      </c>
    </row>
    <row r="973" spans="1:12" x14ac:dyDescent="0.25">
      <c r="A973" s="328" t="e">
        <f>VLOOKUP(Tabla5[[#This Row],[Acción
&lt;&lt; Seleccionar&gt;&gt;]],TablaAccion[[#All],[Nombre_Abreviado]:[Codigo_Plan_Acción]],3,0)</f>
        <v>#VALUE!</v>
      </c>
      <c r="B973" s="328" t="e">
        <f>VLOOKUP(Tabla5[[#This Row],[Acción Especifica
&lt;&lt; Seleccionar&gt;&gt;]],TablaAccionEspecifica[[#All],[Nombre_Abreviado]:[Codigo_Acción]],3,0)</f>
        <v>#VALUE!</v>
      </c>
      <c r="C973" s="328" t="e">
        <f>CONCATENATE(Tabla18[[#This Row],[Bus_02]],"_",Tabla5[[#This Row],[Sub Acción Específica
&lt;&lt; Seleccionar&gt;&gt;]])</f>
        <v>#VALUE!</v>
      </c>
      <c r="D973" s="328" t="e">
        <f>VLOOKUP(Tabla18[[#This Row],[Aux_01]],TablaSubAccionEspecifica[[#All],[Concat]:[Cod_Sub_acción_especifica]],2,0)</f>
        <v>#VALUE!</v>
      </c>
      <c r="E973" s="328" t="e">
        <f>Tabla18[[#This Row],[Bus_03]]&amp;"_"&amp;Tabla5[[#This Row],[Tipo de Agente
&lt;&lt; Seleccionar&gt;&gt;]]</f>
        <v>#VALUE!</v>
      </c>
      <c r="F973" s="328" t="e">
        <f>VLOOKUP(Tabla18[[#This Row],[Concat2]],TablaPOA[[#All],[Concat]:[ConcatEspecial]],3,0)</f>
        <v>#VALUE!</v>
      </c>
      <c r="G973" s="65" t="e">
        <f>CONCATENATE(Registro!$A$6,"_",Tabla5[[#This Row],[Zona (Provincia)
&lt;&lt; Seleccionar&gt;&gt;]])</f>
        <v>#VALUE!</v>
      </c>
      <c r="H973" s="60" t="e">
        <f>VLOOKUP(Tabla18[[#This Row],[Concatenado***]],Tabla2[[#All],[Concatenado]:[Simbología*]],2,0)</f>
        <v>#VALUE!</v>
      </c>
      <c r="I973" s="65" t="e">
        <f>CONCATENATE(Tabla18[[#This Row],[Concatenado***]],"_",Tabla5[[#This Row],[Zona (Distrito)
&lt;&lt; Seleccionar&gt;&gt;]])</f>
        <v>#VALUE!</v>
      </c>
      <c r="J9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3" s="72" t="e">
        <f>VLOOKUP(Tabla5[[#This Row],[Tipo de Transporte Empleado
&lt;&lt; Seleccionar&gt;&gt;]],Tabla8[#All],2,0)</f>
        <v>#VALUE!</v>
      </c>
      <c r="L973" s="71" t="e">
        <f>#REF!+(#REF!*2)+#REF!</f>
        <v>#REF!</v>
      </c>
    </row>
    <row r="974" spans="1:12" x14ac:dyDescent="0.25">
      <c r="A974" s="328" t="e">
        <f>VLOOKUP(Tabla5[[#This Row],[Acción
&lt;&lt; Seleccionar&gt;&gt;]],TablaAccion[[#All],[Nombre_Abreviado]:[Codigo_Plan_Acción]],3,0)</f>
        <v>#VALUE!</v>
      </c>
      <c r="B974" s="328" t="e">
        <f>VLOOKUP(Tabla5[[#This Row],[Acción Especifica
&lt;&lt; Seleccionar&gt;&gt;]],TablaAccionEspecifica[[#All],[Nombre_Abreviado]:[Codigo_Acción]],3,0)</f>
        <v>#VALUE!</v>
      </c>
      <c r="C974" s="328" t="e">
        <f>CONCATENATE(Tabla18[[#This Row],[Bus_02]],"_",Tabla5[[#This Row],[Sub Acción Específica
&lt;&lt; Seleccionar&gt;&gt;]])</f>
        <v>#VALUE!</v>
      </c>
      <c r="D974" s="328" t="e">
        <f>VLOOKUP(Tabla18[[#This Row],[Aux_01]],TablaSubAccionEspecifica[[#All],[Concat]:[Cod_Sub_acción_especifica]],2,0)</f>
        <v>#VALUE!</v>
      </c>
      <c r="E974" s="328" t="e">
        <f>Tabla18[[#This Row],[Bus_03]]&amp;"_"&amp;Tabla5[[#This Row],[Tipo de Agente
&lt;&lt; Seleccionar&gt;&gt;]]</f>
        <v>#VALUE!</v>
      </c>
      <c r="F974" s="328" t="e">
        <f>VLOOKUP(Tabla18[[#This Row],[Concat2]],TablaPOA[[#All],[Concat]:[ConcatEspecial]],3,0)</f>
        <v>#VALUE!</v>
      </c>
      <c r="G974" s="65" t="e">
        <f>CONCATENATE(Registro!$A$6,"_",Tabla5[[#This Row],[Zona (Provincia)
&lt;&lt; Seleccionar&gt;&gt;]])</f>
        <v>#VALUE!</v>
      </c>
      <c r="H974" s="60" t="e">
        <f>VLOOKUP(Tabla18[[#This Row],[Concatenado***]],Tabla2[[#All],[Concatenado]:[Simbología*]],2,0)</f>
        <v>#VALUE!</v>
      </c>
      <c r="I974" s="65" t="e">
        <f>CONCATENATE(Tabla18[[#This Row],[Concatenado***]],"_",Tabla5[[#This Row],[Zona (Distrito)
&lt;&lt; Seleccionar&gt;&gt;]])</f>
        <v>#VALUE!</v>
      </c>
      <c r="J9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4" s="72" t="e">
        <f>VLOOKUP(Tabla5[[#This Row],[Tipo de Transporte Empleado
&lt;&lt; Seleccionar&gt;&gt;]],Tabla8[#All],2,0)</f>
        <v>#VALUE!</v>
      </c>
      <c r="L974" s="71" t="e">
        <f>#REF!+(#REF!*2)+#REF!</f>
        <v>#REF!</v>
      </c>
    </row>
    <row r="975" spans="1:12" x14ac:dyDescent="0.25">
      <c r="A975" s="328" t="e">
        <f>VLOOKUP(Tabla5[[#This Row],[Acción
&lt;&lt; Seleccionar&gt;&gt;]],TablaAccion[[#All],[Nombre_Abreviado]:[Codigo_Plan_Acción]],3,0)</f>
        <v>#VALUE!</v>
      </c>
      <c r="B975" s="328" t="e">
        <f>VLOOKUP(Tabla5[[#This Row],[Acción Especifica
&lt;&lt; Seleccionar&gt;&gt;]],TablaAccionEspecifica[[#All],[Nombre_Abreviado]:[Codigo_Acción]],3,0)</f>
        <v>#VALUE!</v>
      </c>
      <c r="C975" s="328" t="e">
        <f>CONCATENATE(Tabla18[[#This Row],[Bus_02]],"_",Tabla5[[#This Row],[Sub Acción Específica
&lt;&lt; Seleccionar&gt;&gt;]])</f>
        <v>#VALUE!</v>
      </c>
      <c r="D975" s="328" t="e">
        <f>VLOOKUP(Tabla18[[#This Row],[Aux_01]],TablaSubAccionEspecifica[[#All],[Concat]:[Cod_Sub_acción_especifica]],2,0)</f>
        <v>#VALUE!</v>
      </c>
      <c r="E975" s="328" t="e">
        <f>Tabla18[[#This Row],[Bus_03]]&amp;"_"&amp;Tabla5[[#This Row],[Tipo de Agente
&lt;&lt; Seleccionar&gt;&gt;]]</f>
        <v>#VALUE!</v>
      </c>
      <c r="F975" s="328" t="e">
        <f>VLOOKUP(Tabla18[[#This Row],[Concat2]],TablaPOA[[#All],[Concat]:[ConcatEspecial]],3,0)</f>
        <v>#VALUE!</v>
      </c>
      <c r="G975" s="65" t="e">
        <f>CONCATENATE(Registro!$A$6,"_",Tabla5[[#This Row],[Zona (Provincia)
&lt;&lt; Seleccionar&gt;&gt;]])</f>
        <v>#VALUE!</v>
      </c>
      <c r="H975" s="60" t="e">
        <f>VLOOKUP(Tabla18[[#This Row],[Concatenado***]],Tabla2[[#All],[Concatenado]:[Simbología*]],2,0)</f>
        <v>#VALUE!</v>
      </c>
      <c r="I975" s="65" t="e">
        <f>CONCATENATE(Tabla18[[#This Row],[Concatenado***]],"_",Tabla5[[#This Row],[Zona (Distrito)
&lt;&lt; Seleccionar&gt;&gt;]])</f>
        <v>#VALUE!</v>
      </c>
      <c r="J9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5" s="72" t="e">
        <f>VLOOKUP(Tabla5[[#This Row],[Tipo de Transporte Empleado
&lt;&lt; Seleccionar&gt;&gt;]],Tabla8[#All],2,0)</f>
        <v>#VALUE!</v>
      </c>
      <c r="L975" s="71" t="e">
        <f>#REF!+(#REF!*2)+#REF!</f>
        <v>#REF!</v>
      </c>
    </row>
    <row r="976" spans="1:12" x14ac:dyDescent="0.25">
      <c r="A976" s="328" t="e">
        <f>VLOOKUP(Tabla5[[#This Row],[Acción
&lt;&lt; Seleccionar&gt;&gt;]],TablaAccion[[#All],[Nombre_Abreviado]:[Codigo_Plan_Acción]],3,0)</f>
        <v>#VALUE!</v>
      </c>
      <c r="B976" s="328" t="e">
        <f>VLOOKUP(Tabla5[[#This Row],[Acción Especifica
&lt;&lt; Seleccionar&gt;&gt;]],TablaAccionEspecifica[[#All],[Nombre_Abreviado]:[Codigo_Acción]],3,0)</f>
        <v>#VALUE!</v>
      </c>
      <c r="C976" s="328" t="e">
        <f>CONCATENATE(Tabla18[[#This Row],[Bus_02]],"_",Tabla5[[#This Row],[Sub Acción Específica
&lt;&lt; Seleccionar&gt;&gt;]])</f>
        <v>#VALUE!</v>
      </c>
      <c r="D976" s="328" t="e">
        <f>VLOOKUP(Tabla18[[#This Row],[Aux_01]],TablaSubAccionEspecifica[[#All],[Concat]:[Cod_Sub_acción_especifica]],2,0)</f>
        <v>#VALUE!</v>
      </c>
      <c r="E976" s="328" t="e">
        <f>Tabla18[[#This Row],[Bus_03]]&amp;"_"&amp;Tabla5[[#This Row],[Tipo de Agente
&lt;&lt; Seleccionar&gt;&gt;]]</f>
        <v>#VALUE!</v>
      </c>
      <c r="F976" s="328" t="e">
        <f>VLOOKUP(Tabla18[[#This Row],[Concat2]],TablaPOA[[#All],[Concat]:[ConcatEspecial]],3,0)</f>
        <v>#VALUE!</v>
      </c>
      <c r="G976" s="65" t="e">
        <f>CONCATENATE(Registro!$A$6,"_",Tabla5[[#This Row],[Zona (Provincia)
&lt;&lt; Seleccionar&gt;&gt;]])</f>
        <v>#VALUE!</v>
      </c>
      <c r="H976" s="60" t="e">
        <f>VLOOKUP(Tabla18[[#This Row],[Concatenado***]],Tabla2[[#All],[Concatenado]:[Simbología*]],2,0)</f>
        <v>#VALUE!</v>
      </c>
      <c r="I976" s="65" t="e">
        <f>CONCATENATE(Tabla18[[#This Row],[Concatenado***]],"_",Tabla5[[#This Row],[Zona (Distrito)
&lt;&lt; Seleccionar&gt;&gt;]])</f>
        <v>#VALUE!</v>
      </c>
      <c r="J9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6" s="72" t="e">
        <f>VLOOKUP(Tabla5[[#This Row],[Tipo de Transporte Empleado
&lt;&lt; Seleccionar&gt;&gt;]],Tabla8[#All],2,0)</f>
        <v>#VALUE!</v>
      </c>
      <c r="L976" s="71" t="e">
        <f>#REF!+(#REF!*2)+#REF!</f>
        <v>#REF!</v>
      </c>
    </row>
    <row r="977" spans="1:12" x14ac:dyDescent="0.25">
      <c r="A977" s="328" t="e">
        <f>VLOOKUP(Tabla5[[#This Row],[Acción
&lt;&lt; Seleccionar&gt;&gt;]],TablaAccion[[#All],[Nombre_Abreviado]:[Codigo_Plan_Acción]],3,0)</f>
        <v>#VALUE!</v>
      </c>
      <c r="B977" s="328" t="e">
        <f>VLOOKUP(Tabla5[[#This Row],[Acción Especifica
&lt;&lt; Seleccionar&gt;&gt;]],TablaAccionEspecifica[[#All],[Nombre_Abreviado]:[Codigo_Acción]],3,0)</f>
        <v>#VALUE!</v>
      </c>
      <c r="C977" s="328" t="e">
        <f>CONCATENATE(Tabla18[[#This Row],[Bus_02]],"_",Tabla5[[#This Row],[Sub Acción Específica
&lt;&lt; Seleccionar&gt;&gt;]])</f>
        <v>#VALUE!</v>
      </c>
      <c r="D977" s="328" t="e">
        <f>VLOOKUP(Tabla18[[#This Row],[Aux_01]],TablaSubAccionEspecifica[[#All],[Concat]:[Cod_Sub_acción_especifica]],2,0)</f>
        <v>#VALUE!</v>
      </c>
      <c r="E977" s="328" t="e">
        <f>Tabla18[[#This Row],[Bus_03]]&amp;"_"&amp;Tabla5[[#This Row],[Tipo de Agente
&lt;&lt; Seleccionar&gt;&gt;]]</f>
        <v>#VALUE!</v>
      </c>
      <c r="F977" s="328" t="e">
        <f>VLOOKUP(Tabla18[[#This Row],[Concat2]],TablaPOA[[#All],[Concat]:[ConcatEspecial]],3,0)</f>
        <v>#VALUE!</v>
      </c>
      <c r="G977" s="65" t="e">
        <f>CONCATENATE(Registro!$A$6,"_",Tabla5[[#This Row],[Zona (Provincia)
&lt;&lt; Seleccionar&gt;&gt;]])</f>
        <v>#VALUE!</v>
      </c>
      <c r="H977" s="60" t="e">
        <f>VLOOKUP(Tabla18[[#This Row],[Concatenado***]],Tabla2[[#All],[Concatenado]:[Simbología*]],2,0)</f>
        <v>#VALUE!</v>
      </c>
      <c r="I977" s="65" t="e">
        <f>CONCATENATE(Tabla18[[#This Row],[Concatenado***]],"_",Tabla5[[#This Row],[Zona (Distrito)
&lt;&lt; Seleccionar&gt;&gt;]])</f>
        <v>#VALUE!</v>
      </c>
      <c r="J9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7" s="72" t="e">
        <f>VLOOKUP(Tabla5[[#This Row],[Tipo de Transporte Empleado
&lt;&lt; Seleccionar&gt;&gt;]],Tabla8[#All],2,0)</f>
        <v>#VALUE!</v>
      </c>
      <c r="L977" s="71" t="e">
        <f>#REF!+(#REF!*2)+#REF!</f>
        <v>#REF!</v>
      </c>
    </row>
    <row r="978" spans="1:12" x14ac:dyDescent="0.25">
      <c r="A978" s="328" t="e">
        <f>VLOOKUP(Tabla5[[#This Row],[Acción
&lt;&lt; Seleccionar&gt;&gt;]],TablaAccion[[#All],[Nombre_Abreviado]:[Codigo_Plan_Acción]],3,0)</f>
        <v>#VALUE!</v>
      </c>
      <c r="B978" s="328" t="e">
        <f>VLOOKUP(Tabla5[[#This Row],[Acción Especifica
&lt;&lt; Seleccionar&gt;&gt;]],TablaAccionEspecifica[[#All],[Nombre_Abreviado]:[Codigo_Acción]],3,0)</f>
        <v>#VALUE!</v>
      </c>
      <c r="C978" s="328" t="e">
        <f>CONCATENATE(Tabla18[[#This Row],[Bus_02]],"_",Tabla5[[#This Row],[Sub Acción Específica
&lt;&lt; Seleccionar&gt;&gt;]])</f>
        <v>#VALUE!</v>
      </c>
      <c r="D978" s="328" t="e">
        <f>VLOOKUP(Tabla18[[#This Row],[Aux_01]],TablaSubAccionEspecifica[[#All],[Concat]:[Cod_Sub_acción_especifica]],2,0)</f>
        <v>#VALUE!</v>
      </c>
      <c r="E978" s="328" t="e">
        <f>Tabla18[[#This Row],[Bus_03]]&amp;"_"&amp;Tabla5[[#This Row],[Tipo de Agente
&lt;&lt; Seleccionar&gt;&gt;]]</f>
        <v>#VALUE!</v>
      </c>
      <c r="F978" s="328" t="e">
        <f>VLOOKUP(Tabla18[[#This Row],[Concat2]],TablaPOA[[#All],[Concat]:[ConcatEspecial]],3,0)</f>
        <v>#VALUE!</v>
      </c>
      <c r="G978" s="65" t="e">
        <f>CONCATENATE(Registro!$A$6,"_",Tabla5[[#This Row],[Zona (Provincia)
&lt;&lt; Seleccionar&gt;&gt;]])</f>
        <v>#VALUE!</v>
      </c>
      <c r="H978" s="60" t="e">
        <f>VLOOKUP(Tabla18[[#This Row],[Concatenado***]],Tabla2[[#All],[Concatenado]:[Simbología*]],2,0)</f>
        <v>#VALUE!</v>
      </c>
      <c r="I978" s="65" t="e">
        <f>CONCATENATE(Tabla18[[#This Row],[Concatenado***]],"_",Tabla5[[#This Row],[Zona (Distrito)
&lt;&lt; Seleccionar&gt;&gt;]])</f>
        <v>#VALUE!</v>
      </c>
      <c r="J9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8" s="72" t="e">
        <f>VLOOKUP(Tabla5[[#This Row],[Tipo de Transporte Empleado
&lt;&lt; Seleccionar&gt;&gt;]],Tabla8[#All],2,0)</f>
        <v>#VALUE!</v>
      </c>
      <c r="L978" s="71" t="e">
        <f>#REF!+(#REF!*2)+#REF!</f>
        <v>#REF!</v>
      </c>
    </row>
    <row r="979" spans="1:12" x14ac:dyDescent="0.25">
      <c r="A979" s="328" t="e">
        <f>VLOOKUP(Tabla5[[#This Row],[Acción
&lt;&lt; Seleccionar&gt;&gt;]],TablaAccion[[#All],[Nombre_Abreviado]:[Codigo_Plan_Acción]],3,0)</f>
        <v>#VALUE!</v>
      </c>
      <c r="B979" s="328" t="e">
        <f>VLOOKUP(Tabla5[[#This Row],[Acción Especifica
&lt;&lt; Seleccionar&gt;&gt;]],TablaAccionEspecifica[[#All],[Nombre_Abreviado]:[Codigo_Acción]],3,0)</f>
        <v>#VALUE!</v>
      </c>
      <c r="C979" s="328" t="e">
        <f>CONCATENATE(Tabla18[[#This Row],[Bus_02]],"_",Tabla5[[#This Row],[Sub Acción Específica
&lt;&lt; Seleccionar&gt;&gt;]])</f>
        <v>#VALUE!</v>
      </c>
      <c r="D979" s="328" t="e">
        <f>VLOOKUP(Tabla18[[#This Row],[Aux_01]],TablaSubAccionEspecifica[[#All],[Concat]:[Cod_Sub_acción_especifica]],2,0)</f>
        <v>#VALUE!</v>
      </c>
      <c r="E979" s="328" t="e">
        <f>Tabla18[[#This Row],[Bus_03]]&amp;"_"&amp;Tabla5[[#This Row],[Tipo de Agente
&lt;&lt; Seleccionar&gt;&gt;]]</f>
        <v>#VALUE!</v>
      </c>
      <c r="F979" s="328" t="e">
        <f>VLOOKUP(Tabla18[[#This Row],[Concat2]],TablaPOA[[#All],[Concat]:[ConcatEspecial]],3,0)</f>
        <v>#VALUE!</v>
      </c>
      <c r="G979" s="65" t="e">
        <f>CONCATENATE(Registro!$A$6,"_",Tabla5[[#This Row],[Zona (Provincia)
&lt;&lt; Seleccionar&gt;&gt;]])</f>
        <v>#VALUE!</v>
      </c>
      <c r="H979" s="60" t="e">
        <f>VLOOKUP(Tabla18[[#This Row],[Concatenado***]],Tabla2[[#All],[Concatenado]:[Simbología*]],2,0)</f>
        <v>#VALUE!</v>
      </c>
      <c r="I979" s="65" t="e">
        <f>CONCATENATE(Tabla18[[#This Row],[Concatenado***]],"_",Tabla5[[#This Row],[Zona (Distrito)
&lt;&lt; Seleccionar&gt;&gt;]])</f>
        <v>#VALUE!</v>
      </c>
      <c r="J9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9" s="72" t="e">
        <f>VLOOKUP(Tabla5[[#This Row],[Tipo de Transporte Empleado
&lt;&lt; Seleccionar&gt;&gt;]],Tabla8[#All],2,0)</f>
        <v>#VALUE!</v>
      </c>
      <c r="L979" s="71" t="e">
        <f>#REF!+(#REF!*2)+#REF!</f>
        <v>#REF!</v>
      </c>
    </row>
    <row r="980" spans="1:12" x14ac:dyDescent="0.25">
      <c r="A980" s="328" t="e">
        <f>VLOOKUP(Tabla5[[#This Row],[Acción
&lt;&lt; Seleccionar&gt;&gt;]],TablaAccion[[#All],[Nombre_Abreviado]:[Codigo_Plan_Acción]],3,0)</f>
        <v>#VALUE!</v>
      </c>
      <c r="B980" s="328" t="e">
        <f>VLOOKUP(Tabla5[[#This Row],[Acción Especifica
&lt;&lt; Seleccionar&gt;&gt;]],TablaAccionEspecifica[[#All],[Nombre_Abreviado]:[Codigo_Acción]],3,0)</f>
        <v>#VALUE!</v>
      </c>
      <c r="C980" s="328" t="e">
        <f>CONCATENATE(Tabla18[[#This Row],[Bus_02]],"_",Tabla5[[#This Row],[Sub Acción Específica
&lt;&lt; Seleccionar&gt;&gt;]])</f>
        <v>#VALUE!</v>
      </c>
      <c r="D980" s="328" t="e">
        <f>VLOOKUP(Tabla18[[#This Row],[Aux_01]],TablaSubAccionEspecifica[[#All],[Concat]:[Cod_Sub_acción_especifica]],2,0)</f>
        <v>#VALUE!</v>
      </c>
      <c r="E980" s="328" t="e">
        <f>Tabla18[[#This Row],[Bus_03]]&amp;"_"&amp;Tabla5[[#This Row],[Tipo de Agente
&lt;&lt; Seleccionar&gt;&gt;]]</f>
        <v>#VALUE!</v>
      </c>
      <c r="F980" s="328" t="e">
        <f>VLOOKUP(Tabla18[[#This Row],[Concat2]],TablaPOA[[#All],[Concat]:[ConcatEspecial]],3,0)</f>
        <v>#VALUE!</v>
      </c>
      <c r="G980" s="65" t="e">
        <f>CONCATENATE(Registro!$A$6,"_",Tabla5[[#This Row],[Zona (Provincia)
&lt;&lt; Seleccionar&gt;&gt;]])</f>
        <v>#VALUE!</v>
      </c>
      <c r="H980" s="60" t="e">
        <f>VLOOKUP(Tabla18[[#This Row],[Concatenado***]],Tabla2[[#All],[Concatenado]:[Simbología*]],2,0)</f>
        <v>#VALUE!</v>
      </c>
      <c r="I980" s="65" t="e">
        <f>CONCATENATE(Tabla18[[#This Row],[Concatenado***]],"_",Tabla5[[#This Row],[Zona (Distrito)
&lt;&lt; Seleccionar&gt;&gt;]])</f>
        <v>#VALUE!</v>
      </c>
      <c r="J9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0" s="72" t="e">
        <f>VLOOKUP(Tabla5[[#This Row],[Tipo de Transporte Empleado
&lt;&lt; Seleccionar&gt;&gt;]],Tabla8[#All],2,0)</f>
        <v>#VALUE!</v>
      </c>
      <c r="L980" s="71" t="e">
        <f>#REF!+(#REF!*2)+#REF!</f>
        <v>#REF!</v>
      </c>
    </row>
    <row r="981" spans="1:12" x14ac:dyDescent="0.25">
      <c r="A981" s="328" t="e">
        <f>VLOOKUP(Tabla5[[#This Row],[Acción
&lt;&lt; Seleccionar&gt;&gt;]],TablaAccion[[#All],[Nombre_Abreviado]:[Codigo_Plan_Acción]],3,0)</f>
        <v>#VALUE!</v>
      </c>
      <c r="B981" s="328" t="e">
        <f>VLOOKUP(Tabla5[[#This Row],[Acción Especifica
&lt;&lt; Seleccionar&gt;&gt;]],TablaAccionEspecifica[[#All],[Nombre_Abreviado]:[Codigo_Acción]],3,0)</f>
        <v>#VALUE!</v>
      </c>
      <c r="C981" s="328" t="e">
        <f>CONCATENATE(Tabla18[[#This Row],[Bus_02]],"_",Tabla5[[#This Row],[Sub Acción Específica
&lt;&lt; Seleccionar&gt;&gt;]])</f>
        <v>#VALUE!</v>
      </c>
      <c r="D981" s="328" t="e">
        <f>VLOOKUP(Tabla18[[#This Row],[Aux_01]],TablaSubAccionEspecifica[[#All],[Concat]:[Cod_Sub_acción_especifica]],2,0)</f>
        <v>#VALUE!</v>
      </c>
      <c r="E981" s="328" t="e">
        <f>Tabla18[[#This Row],[Bus_03]]&amp;"_"&amp;Tabla5[[#This Row],[Tipo de Agente
&lt;&lt; Seleccionar&gt;&gt;]]</f>
        <v>#VALUE!</v>
      </c>
      <c r="F981" s="328" t="e">
        <f>VLOOKUP(Tabla18[[#This Row],[Concat2]],TablaPOA[[#All],[Concat]:[ConcatEspecial]],3,0)</f>
        <v>#VALUE!</v>
      </c>
      <c r="G981" s="65" t="e">
        <f>CONCATENATE(Registro!$A$6,"_",Tabla5[[#This Row],[Zona (Provincia)
&lt;&lt; Seleccionar&gt;&gt;]])</f>
        <v>#VALUE!</v>
      </c>
      <c r="H981" s="60" t="e">
        <f>VLOOKUP(Tabla18[[#This Row],[Concatenado***]],Tabla2[[#All],[Concatenado]:[Simbología*]],2,0)</f>
        <v>#VALUE!</v>
      </c>
      <c r="I981" s="65" t="e">
        <f>CONCATENATE(Tabla18[[#This Row],[Concatenado***]],"_",Tabla5[[#This Row],[Zona (Distrito)
&lt;&lt; Seleccionar&gt;&gt;]])</f>
        <v>#VALUE!</v>
      </c>
      <c r="J9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1" s="72" t="e">
        <f>VLOOKUP(Tabla5[[#This Row],[Tipo de Transporte Empleado
&lt;&lt; Seleccionar&gt;&gt;]],Tabla8[#All],2,0)</f>
        <v>#VALUE!</v>
      </c>
      <c r="L981" s="71" t="e">
        <f>#REF!+(#REF!*2)+#REF!</f>
        <v>#REF!</v>
      </c>
    </row>
    <row r="982" spans="1:12" x14ac:dyDescent="0.25">
      <c r="A982" s="328" t="e">
        <f>VLOOKUP(Tabla5[[#This Row],[Acción
&lt;&lt; Seleccionar&gt;&gt;]],TablaAccion[[#All],[Nombre_Abreviado]:[Codigo_Plan_Acción]],3,0)</f>
        <v>#VALUE!</v>
      </c>
      <c r="B982" s="328" t="e">
        <f>VLOOKUP(Tabla5[[#This Row],[Acción Especifica
&lt;&lt; Seleccionar&gt;&gt;]],TablaAccionEspecifica[[#All],[Nombre_Abreviado]:[Codigo_Acción]],3,0)</f>
        <v>#VALUE!</v>
      </c>
      <c r="C982" s="328" t="e">
        <f>CONCATENATE(Tabla18[[#This Row],[Bus_02]],"_",Tabla5[[#This Row],[Sub Acción Específica
&lt;&lt; Seleccionar&gt;&gt;]])</f>
        <v>#VALUE!</v>
      </c>
      <c r="D982" s="328" t="e">
        <f>VLOOKUP(Tabla18[[#This Row],[Aux_01]],TablaSubAccionEspecifica[[#All],[Concat]:[Cod_Sub_acción_especifica]],2,0)</f>
        <v>#VALUE!</v>
      </c>
      <c r="E982" s="328" t="e">
        <f>Tabla18[[#This Row],[Bus_03]]&amp;"_"&amp;Tabla5[[#This Row],[Tipo de Agente
&lt;&lt; Seleccionar&gt;&gt;]]</f>
        <v>#VALUE!</v>
      </c>
      <c r="F982" s="328" t="e">
        <f>VLOOKUP(Tabla18[[#This Row],[Concat2]],TablaPOA[[#All],[Concat]:[ConcatEspecial]],3,0)</f>
        <v>#VALUE!</v>
      </c>
      <c r="G982" s="65" t="e">
        <f>CONCATENATE(Registro!$A$6,"_",Tabla5[[#This Row],[Zona (Provincia)
&lt;&lt; Seleccionar&gt;&gt;]])</f>
        <v>#VALUE!</v>
      </c>
      <c r="H982" s="60" t="e">
        <f>VLOOKUP(Tabla18[[#This Row],[Concatenado***]],Tabla2[[#All],[Concatenado]:[Simbología*]],2,0)</f>
        <v>#VALUE!</v>
      </c>
      <c r="I982" s="65" t="e">
        <f>CONCATENATE(Tabla18[[#This Row],[Concatenado***]],"_",Tabla5[[#This Row],[Zona (Distrito)
&lt;&lt; Seleccionar&gt;&gt;]])</f>
        <v>#VALUE!</v>
      </c>
      <c r="J9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2" s="72" t="e">
        <f>VLOOKUP(Tabla5[[#This Row],[Tipo de Transporte Empleado
&lt;&lt; Seleccionar&gt;&gt;]],Tabla8[#All],2,0)</f>
        <v>#VALUE!</v>
      </c>
      <c r="L982" s="71" t="e">
        <f>#REF!+(#REF!*2)+#REF!</f>
        <v>#REF!</v>
      </c>
    </row>
    <row r="983" spans="1:12" x14ac:dyDescent="0.25">
      <c r="A983" s="328" t="e">
        <f>VLOOKUP(Tabla5[[#This Row],[Acción
&lt;&lt; Seleccionar&gt;&gt;]],TablaAccion[[#All],[Nombre_Abreviado]:[Codigo_Plan_Acción]],3,0)</f>
        <v>#VALUE!</v>
      </c>
      <c r="B983" s="328" t="e">
        <f>VLOOKUP(Tabla5[[#This Row],[Acción Especifica
&lt;&lt; Seleccionar&gt;&gt;]],TablaAccionEspecifica[[#All],[Nombre_Abreviado]:[Codigo_Acción]],3,0)</f>
        <v>#VALUE!</v>
      </c>
      <c r="C983" s="328" t="e">
        <f>CONCATENATE(Tabla18[[#This Row],[Bus_02]],"_",Tabla5[[#This Row],[Sub Acción Específica
&lt;&lt; Seleccionar&gt;&gt;]])</f>
        <v>#VALUE!</v>
      </c>
      <c r="D983" s="328" t="e">
        <f>VLOOKUP(Tabla18[[#This Row],[Aux_01]],TablaSubAccionEspecifica[[#All],[Concat]:[Cod_Sub_acción_especifica]],2,0)</f>
        <v>#VALUE!</v>
      </c>
      <c r="E983" s="328" t="e">
        <f>Tabla18[[#This Row],[Bus_03]]&amp;"_"&amp;Tabla5[[#This Row],[Tipo de Agente
&lt;&lt; Seleccionar&gt;&gt;]]</f>
        <v>#VALUE!</v>
      </c>
      <c r="F983" s="328" t="e">
        <f>VLOOKUP(Tabla18[[#This Row],[Concat2]],TablaPOA[[#All],[Concat]:[ConcatEspecial]],3,0)</f>
        <v>#VALUE!</v>
      </c>
      <c r="G983" s="65" t="e">
        <f>CONCATENATE(Registro!$A$6,"_",Tabla5[[#This Row],[Zona (Provincia)
&lt;&lt; Seleccionar&gt;&gt;]])</f>
        <v>#VALUE!</v>
      </c>
      <c r="H983" s="60" t="e">
        <f>VLOOKUP(Tabla18[[#This Row],[Concatenado***]],Tabla2[[#All],[Concatenado]:[Simbología*]],2,0)</f>
        <v>#VALUE!</v>
      </c>
      <c r="I983" s="65" t="e">
        <f>CONCATENATE(Tabla18[[#This Row],[Concatenado***]],"_",Tabla5[[#This Row],[Zona (Distrito)
&lt;&lt; Seleccionar&gt;&gt;]])</f>
        <v>#VALUE!</v>
      </c>
      <c r="J9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3" s="72" t="e">
        <f>VLOOKUP(Tabla5[[#This Row],[Tipo de Transporte Empleado
&lt;&lt; Seleccionar&gt;&gt;]],Tabla8[#All],2,0)</f>
        <v>#VALUE!</v>
      </c>
      <c r="L983" s="71" t="e">
        <f>#REF!+(#REF!*2)+#REF!</f>
        <v>#REF!</v>
      </c>
    </row>
    <row r="984" spans="1:12" x14ac:dyDescent="0.25">
      <c r="A984" s="328" t="e">
        <f>VLOOKUP(Tabla5[[#This Row],[Acción
&lt;&lt; Seleccionar&gt;&gt;]],TablaAccion[[#All],[Nombre_Abreviado]:[Codigo_Plan_Acción]],3,0)</f>
        <v>#VALUE!</v>
      </c>
      <c r="B984" s="328" t="e">
        <f>VLOOKUP(Tabla5[[#This Row],[Acción Especifica
&lt;&lt; Seleccionar&gt;&gt;]],TablaAccionEspecifica[[#All],[Nombre_Abreviado]:[Codigo_Acción]],3,0)</f>
        <v>#VALUE!</v>
      </c>
      <c r="C984" s="328" t="e">
        <f>CONCATENATE(Tabla18[[#This Row],[Bus_02]],"_",Tabla5[[#This Row],[Sub Acción Específica
&lt;&lt; Seleccionar&gt;&gt;]])</f>
        <v>#VALUE!</v>
      </c>
      <c r="D984" s="328" t="e">
        <f>VLOOKUP(Tabla18[[#This Row],[Aux_01]],TablaSubAccionEspecifica[[#All],[Concat]:[Cod_Sub_acción_especifica]],2,0)</f>
        <v>#VALUE!</v>
      </c>
      <c r="E984" s="328" t="e">
        <f>Tabla18[[#This Row],[Bus_03]]&amp;"_"&amp;Tabla5[[#This Row],[Tipo de Agente
&lt;&lt; Seleccionar&gt;&gt;]]</f>
        <v>#VALUE!</v>
      </c>
      <c r="F984" s="328" t="e">
        <f>VLOOKUP(Tabla18[[#This Row],[Concat2]],TablaPOA[[#All],[Concat]:[ConcatEspecial]],3,0)</f>
        <v>#VALUE!</v>
      </c>
      <c r="G984" s="65" t="e">
        <f>CONCATENATE(Registro!$A$6,"_",Tabla5[[#This Row],[Zona (Provincia)
&lt;&lt; Seleccionar&gt;&gt;]])</f>
        <v>#VALUE!</v>
      </c>
      <c r="H984" s="60" t="e">
        <f>VLOOKUP(Tabla18[[#This Row],[Concatenado***]],Tabla2[[#All],[Concatenado]:[Simbología*]],2,0)</f>
        <v>#VALUE!</v>
      </c>
      <c r="I984" s="65" t="e">
        <f>CONCATENATE(Tabla18[[#This Row],[Concatenado***]],"_",Tabla5[[#This Row],[Zona (Distrito)
&lt;&lt; Seleccionar&gt;&gt;]])</f>
        <v>#VALUE!</v>
      </c>
      <c r="J9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4" s="72" t="e">
        <f>VLOOKUP(Tabla5[[#This Row],[Tipo de Transporte Empleado
&lt;&lt; Seleccionar&gt;&gt;]],Tabla8[#All],2,0)</f>
        <v>#VALUE!</v>
      </c>
      <c r="L984" s="71" t="e">
        <f>#REF!+(#REF!*2)+#REF!</f>
        <v>#REF!</v>
      </c>
    </row>
    <row r="985" spans="1:12" x14ac:dyDescent="0.25">
      <c r="A985" s="328" t="e">
        <f>VLOOKUP(Tabla5[[#This Row],[Acción
&lt;&lt; Seleccionar&gt;&gt;]],TablaAccion[[#All],[Nombre_Abreviado]:[Codigo_Plan_Acción]],3,0)</f>
        <v>#VALUE!</v>
      </c>
      <c r="B985" s="328" t="e">
        <f>VLOOKUP(Tabla5[[#This Row],[Acción Especifica
&lt;&lt; Seleccionar&gt;&gt;]],TablaAccionEspecifica[[#All],[Nombre_Abreviado]:[Codigo_Acción]],3,0)</f>
        <v>#VALUE!</v>
      </c>
      <c r="C985" s="328" t="e">
        <f>CONCATENATE(Tabla18[[#This Row],[Bus_02]],"_",Tabla5[[#This Row],[Sub Acción Específica
&lt;&lt; Seleccionar&gt;&gt;]])</f>
        <v>#VALUE!</v>
      </c>
      <c r="D985" s="328" t="e">
        <f>VLOOKUP(Tabla18[[#This Row],[Aux_01]],TablaSubAccionEspecifica[[#All],[Concat]:[Cod_Sub_acción_especifica]],2,0)</f>
        <v>#VALUE!</v>
      </c>
      <c r="E985" s="328" t="e">
        <f>Tabla18[[#This Row],[Bus_03]]&amp;"_"&amp;Tabla5[[#This Row],[Tipo de Agente
&lt;&lt; Seleccionar&gt;&gt;]]</f>
        <v>#VALUE!</v>
      </c>
      <c r="F985" s="328" t="e">
        <f>VLOOKUP(Tabla18[[#This Row],[Concat2]],TablaPOA[[#All],[Concat]:[ConcatEspecial]],3,0)</f>
        <v>#VALUE!</v>
      </c>
      <c r="G985" s="65" t="e">
        <f>CONCATENATE(Registro!$A$6,"_",Tabla5[[#This Row],[Zona (Provincia)
&lt;&lt; Seleccionar&gt;&gt;]])</f>
        <v>#VALUE!</v>
      </c>
      <c r="H985" s="60" t="e">
        <f>VLOOKUP(Tabla18[[#This Row],[Concatenado***]],Tabla2[[#All],[Concatenado]:[Simbología*]],2,0)</f>
        <v>#VALUE!</v>
      </c>
      <c r="I985" s="65" t="e">
        <f>CONCATENATE(Tabla18[[#This Row],[Concatenado***]],"_",Tabla5[[#This Row],[Zona (Distrito)
&lt;&lt; Seleccionar&gt;&gt;]])</f>
        <v>#VALUE!</v>
      </c>
      <c r="J9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5" s="72" t="e">
        <f>VLOOKUP(Tabla5[[#This Row],[Tipo de Transporte Empleado
&lt;&lt; Seleccionar&gt;&gt;]],Tabla8[#All],2,0)</f>
        <v>#VALUE!</v>
      </c>
      <c r="L985" s="71" t="e">
        <f>#REF!+(#REF!*2)+#REF!</f>
        <v>#REF!</v>
      </c>
    </row>
    <row r="986" spans="1:12" x14ac:dyDescent="0.25">
      <c r="A986" s="328" t="e">
        <f>VLOOKUP(Tabla5[[#This Row],[Acción
&lt;&lt; Seleccionar&gt;&gt;]],TablaAccion[[#All],[Nombre_Abreviado]:[Codigo_Plan_Acción]],3,0)</f>
        <v>#VALUE!</v>
      </c>
      <c r="B986" s="328" t="e">
        <f>VLOOKUP(Tabla5[[#This Row],[Acción Especifica
&lt;&lt; Seleccionar&gt;&gt;]],TablaAccionEspecifica[[#All],[Nombre_Abreviado]:[Codigo_Acción]],3,0)</f>
        <v>#VALUE!</v>
      </c>
      <c r="C986" s="328" t="e">
        <f>CONCATENATE(Tabla18[[#This Row],[Bus_02]],"_",Tabla5[[#This Row],[Sub Acción Específica
&lt;&lt; Seleccionar&gt;&gt;]])</f>
        <v>#VALUE!</v>
      </c>
      <c r="D986" s="328" t="e">
        <f>VLOOKUP(Tabla18[[#This Row],[Aux_01]],TablaSubAccionEspecifica[[#All],[Concat]:[Cod_Sub_acción_especifica]],2,0)</f>
        <v>#VALUE!</v>
      </c>
      <c r="E986" s="328" t="e">
        <f>Tabla18[[#This Row],[Bus_03]]&amp;"_"&amp;Tabla5[[#This Row],[Tipo de Agente
&lt;&lt; Seleccionar&gt;&gt;]]</f>
        <v>#VALUE!</v>
      </c>
      <c r="F986" s="328" t="e">
        <f>VLOOKUP(Tabla18[[#This Row],[Concat2]],TablaPOA[[#All],[Concat]:[ConcatEspecial]],3,0)</f>
        <v>#VALUE!</v>
      </c>
      <c r="G986" s="65" t="e">
        <f>CONCATENATE(Registro!$A$6,"_",Tabla5[[#This Row],[Zona (Provincia)
&lt;&lt; Seleccionar&gt;&gt;]])</f>
        <v>#VALUE!</v>
      </c>
      <c r="H986" s="60" t="e">
        <f>VLOOKUP(Tabla18[[#This Row],[Concatenado***]],Tabla2[[#All],[Concatenado]:[Simbología*]],2,0)</f>
        <v>#VALUE!</v>
      </c>
      <c r="I986" s="65" t="e">
        <f>CONCATENATE(Tabla18[[#This Row],[Concatenado***]],"_",Tabla5[[#This Row],[Zona (Distrito)
&lt;&lt; Seleccionar&gt;&gt;]])</f>
        <v>#VALUE!</v>
      </c>
      <c r="J9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6" s="72" t="e">
        <f>VLOOKUP(Tabla5[[#This Row],[Tipo de Transporte Empleado
&lt;&lt; Seleccionar&gt;&gt;]],Tabla8[#All],2,0)</f>
        <v>#VALUE!</v>
      </c>
      <c r="L986" s="71" t="e">
        <f>#REF!+(#REF!*2)+#REF!</f>
        <v>#REF!</v>
      </c>
    </row>
    <row r="987" spans="1:12" x14ac:dyDescent="0.25">
      <c r="A987" s="328" t="e">
        <f>VLOOKUP(Tabla5[[#This Row],[Acción
&lt;&lt; Seleccionar&gt;&gt;]],TablaAccion[[#All],[Nombre_Abreviado]:[Codigo_Plan_Acción]],3,0)</f>
        <v>#VALUE!</v>
      </c>
      <c r="B987" s="328" t="e">
        <f>VLOOKUP(Tabla5[[#This Row],[Acción Especifica
&lt;&lt; Seleccionar&gt;&gt;]],TablaAccionEspecifica[[#All],[Nombre_Abreviado]:[Codigo_Acción]],3,0)</f>
        <v>#VALUE!</v>
      </c>
      <c r="C987" s="328" t="e">
        <f>CONCATENATE(Tabla18[[#This Row],[Bus_02]],"_",Tabla5[[#This Row],[Sub Acción Específica
&lt;&lt; Seleccionar&gt;&gt;]])</f>
        <v>#VALUE!</v>
      </c>
      <c r="D987" s="328" t="e">
        <f>VLOOKUP(Tabla18[[#This Row],[Aux_01]],TablaSubAccionEspecifica[[#All],[Concat]:[Cod_Sub_acción_especifica]],2,0)</f>
        <v>#VALUE!</v>
      </c>
      <c r="E987" s="328" t="e">
        <f>Tabla18[[#This Row],[Bus_03]]&amp;"_"&amp;Tabla5[[#This Row],[Tipo de Agente
&lt;&lt; Seleccionar&gt;&gt;]]</f>
        <v>#VALUE!</v>
      </c>
      <c r="F987" s="328" t="e">
        <f>VLOOKUP(Tabla18[[#This Row],[Concat2]],TablaPOA[[#All],[Concat]:[ConcatEspecial]],3,0)</f>
        <v>#VALUE!</v>
      </c>
      <c r="G987" s="65" t="e">
        <f>CONCATENATE(Registro!$A$6,"_",Tabla5[[#This Row],[Zona (Provincia)
&lt;&lt; Seleccionar&gt;&gt;]])</f>
        <v>#VALUE!</v>
      </c>
      <c r="H987" s="60" t="e">
        <f>VLOOKUP(Tabla18[[#This Row],[Concatenado***]],Tabla2[[#All],[Concatenado]:[Simbología*]],2,0)</f>
        <v>#VALUE!</v>
      </c>
      <c r="I987" s="65" t="e">
        <f>CONCATENATE(Tabla18[[#This Row],[Concatenado***]],"_",Tabla5[[#This Row],[Zona (Distrito)
&lt;&lt; Seleccionar&gt;&gt;]])</f>
        <v>#VALUE!</v>
      </c>
      <c r="J9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7" s="72" t="e">
        <f>VLOOKUP(Tabla5[[#This Row],[Tipo de Transporte Empleado
&lt;&lt; Seleccionar&gt;&gt;]],Tabla8[#All],2,0)</f>
        <v>#VALUE!</v>
      </c>
      <c r="L987" s="71" t="e">
        <f>#REF!+(#REF!*2)+#REF!</f>
        <v>#REF!</v>
      </c>
    </row>
    <row r="988" spans="1:12" x14ac:dyDescent="0.25">
      <c r="A988" s="328" t="e">
        <f>VLOOKUP(Tabla5[[#This Row],[Acción
&lt;&lt; Seleccionar&gt;&gt;]],TablaAccion[[#All],[Nombre_Abreviado]:[Codigo_Plan_Acción]],3,0)</f>
        <v>#VALUE!</v>
      </c>
      <c r="B988" s="328" t="e">
        <f>VLOOKUP(Tabla5[[#This Row],[Acción Especifica
&lt;&lt; Seleccionar&gt;&gt;]],TablaAccionEspecifica[[#All],[Nombre_Abreviado]:[Codigo_Acción]],3,0)</f>
        <v>#VALUE!</v>
      </c>
      <c r="C988" s="328" t="e">
        <f>CONCATENATE(Tabla18[[#This Row],[Bus_02]],"_",Tabla5[[#This Row],[Sub Acción Específica
&lt;&lt; Seleccionar&gt;&gt;]])</f>
        <v>#VALUE!</v>
      </c>
      <c r="D988" s="328" t="e">
        <f>VLOOKUP(Tabla18[[#This Row],[Aux_01]],TablaSubAccionEspecifica[[#All],[Concat]:[Cod_Sub_acción_especifica]],2,0)</f>
        <v>#VALUE!</v>
      </c>
      <c r="E988" s="328" t="e">
        <f>Tabla18[[#This Row],[Bus_03]]&amp;"_"&amp;Tabla5[[#This Row],[Tipo de Agente
&lt;&lt; Seleccionar&gt;&gt;]]</f>
        <v>#VALUE!</v>
      </c>
      <c r="F988" s="328" t="e">
        <f>VLOOKUP(Tabla18[[#This Row],[Concat2]],TablaPOA[[#All],[Concat]:[ConcatEspecial]],3,0)</f>
        <v>#VALUE!</v>
      </c>
      <c r="G988" s="65" t="e">
        <f>CONCATENATE(Registro!$A$6,"_",Tabla5[[#This Row],[Zona (Provincia)
&lt;&lt; Seleccionar&gt;&gt;]])</f>
        <v>#VALUE!</v>
      </c>
      <c r="H988" s="60" t="e">
        <f>VLOOKUP(Tabla18[[#This Row],[Concatenado***]],Tabla2[[#All],[Concatenado]:[Simbología*]],2,0)</f>
        <v>#VALUE!</v>
      </c>
      <c r="I988" s="65" t="e">
        <f>CONCATENATE(Tabla18[[#This Row],[Concatenado***]],"_",Tabla5[[#This Row],[Zona (Distrito)
&lt;&lt; Seleccionar&gt;&gt;]])</f>
        <v>#VALUE!</v>
      </c>
      <c r="J9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8" s="72" t="e">
        <f>VLOOKUP(Tabla5[[#This Row],[Tipo de Transporte Empleado
&lt;&lt; Seleccionar&gt;&gt;]],Tabla8[#All],2,0)</f>
        <v>#VALUE!</v>
      </c>
      <c r="L988" s="71" t="e">
        <f>#REF!+(#REF!*2)+#REF!</f>
        <v>#REF!</v>
      </c>
    </row>
    <row r="989" spans="1:12" x14ac:dyDescent="0.25">
      <c r="A989" s="328" t="e">
        <f>VLOOKUP(Tabla5[[#This Row],[Acción
&lt;&lt; Seleccionar&gt;&gt;]],TablaAccion[[#All],[Nombre_Abreviado]:[Codigo_Plan_Acción]],3,0)</f>
        <v>#VALUE!</v>
      </c>
      <c r="B989" s="328" t="e">
        <f>VLOOKUP(Tabla5[[#This Row],[Acción Especifica
&lt;&lt; Seleccionar&gt;&gt;]],TablaAccionEspecifica[[#All],[Nombre_Abreviado]:[Codigo_Acción]],3,0)</f>
        <v>#VALUE!</v>
      </c>
      <c r="C989" s="328" t="e">
        <f>CONCATENATE(Tabla18[[#This Row],[Bus_02]],"_",Tabla5[[#This Row],[Sub Acción Específica
&lt;&lt; Seleccionar&gt;&gt;]])</f>
        <v>#VALUE!</v>
      </c>
      <c r="D989" s="328" t="e">
        <f>VLOOKUP(Tabla18[[#This Row],[Aux_01]],TablaSubAccionEspecifica[[#All],[Concat]:[Cod_Sub_acción_especifica]],2,0)</f>
        <v>#VALUE!</v>
      </c>
      <c r="E989" s="328" t="e">
        <f>Tabla18[[#This Row],[Bus_03]]&amp;"_"&amp;Tabla5[[#This Row],[Tipo de Agente
&lt;&lt; Seleccionar&gt;&gt;]]</f>
        <v>#VALUE!</v>
      </c>
      <c r="F989" s="328" t="e">
        <f>VLOOKUP(Tabla18[[#This Row],[Concat2]],TablaPOA[[#All],[Concat]:[ConcatEspecial]],3,0)</f>
        <v>#VALUE!</v>
      </c>
      <c r="G989" s="65" t="e">
        <f>CONCATENATE(Registro!$A$6,"_",Tabla5[[#This Row],[Zona (Provincia)
&lt;&lt; Seleccionar&gt;&gt;]])</f>
        <v>#VALUE!</v>
      </c>
      <c r="H989" s="60" t="e">
        <f>VLOOKUP(Tabla18[[#This Row],[Concatenado***]],Tabla2[[#All],[Concatenado]:[Simbología*]],2,0)</f>
        <v>#VALUE!</v>
      </c>
      <c r="I989" s="65" t="e">
        <f>CONCATENATE(Tabla18[[#This Row],[Concatenado***]],"_",Tabla5[[#This Row],[Zona (Distrito)
&lt;&lt; Seleccionar&gt;&gt;]])</f>
        <v>#VALUE!</v>
      </c>
      <c r="J9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9" s="72" t="e">
        <f>VLOOKUP(Tabla5[[#This Row],[Tipo de Transporte Empleado
&lt;&lt; Seleccionar&gt;&gt;]],Tabla8[#All],2,0)</f>
        <v>#VALUE!</v>
      </c>
      <c r="L989" s="71" t="e">
        <f>#REF!+(#REF!*2)+#REF!</f>
        <v>#REF!</v>
      </c>
    </row>
    <row r="990" spans="1:12" x14ac:dyDescent="0.25">
      <c r="A990" s="328" t="e">
        <f>VLOOKUP(Tabla5[[#This Row],[Acción
&lt;&lt; Seleccionar&gt;&gt;]],TablaAccion[[#All],[Nombre_Abreviado]:[Codigo_Plan_Acción]],3,0)</f>
        <v>#VALUE!</v>
      </c>
      <c r="B990" s="328" t="e">
        <f>VLOOKUP(Tabla5[[#This Row],[Acción Especifica
&lt;&lt; Seleccionar&gt;&gt;]],TablaAccionEspecifica[[#All],[Nombre_Abreviado]:[Codigo_Acción]],3,0)</f>
        <v>#VALUE!</v>
      </c>
      <c r="C990" s="328" t="e">
        <f>CONCATENATE(Tabla18[[#This Row],[Bus_02]],"_",Tabla5[[#This Row],[Sub Acción Específica
&lt;&lt; Seleccionar&gt;&gt;]])</f>
        <v>#VALUE!</v>
      </c>
      <c r="D990" s="328" t="e">
        <f>VLOOKUP(Tabla18[[#This Row],[Aux_01]],TablaSubAccionEspecifica[[#All],[Concat]:[Cod_Sub_acción_especifica]],2,0)</f>
        <v>#VALUE!</v>
      </c>
      <c r="E990" s="328" t="e">
        <f>Tabla18[[#This Row],[Bus_03]]&amp;"_"&amp;Tabla5[[#This Row],[Tipo de Agente
&lt;&lt; Seleccionar&gt;&gt;]]</f>
        <v>#VALUE!</v>
      </c>
      <c r="F990" s="328" t="e">
        <f>VLOOKUP(Tabla18[[#This Row],[Concat2]],TablaPOA[[#All],[Concat]:[ConcatEspecial]],3,0)</f>
        <v>#VALUE!</v>
      </c>
      <c r="G990" s="65" t="e">
        <f>CONCATENATE(Registro!$A$6,"_",Tabla5[[#This Row],[Zona (Provincia)
&lt;&lt; Seleccionar&gt;&gt;]])</f>
        <v>#VALUE!</v>
      </c>
      <c r="H990" s="60" t="e">
        <f>VLOOKUP(Tabla18[[#This Row],[Concatenado***]],Tabla2[[#All],[Concatenado]:[Simbología*]],2,0)</f>
        <v>#VALUE!</v>
      </c>
      <c r="I990" s="65" t="e">
        <f>CONCATENATE(Tabla18[[#This Row],[Concatenado***]],"_",Tabla5[[#This Row],[Zona (Distrito)
&lt;&lt; Seleccionar&gt;&gt;]])</f>
        <v>#VALUE!</v>
      </c>
      <c r="J9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0" s="72" t="e">
        <f>VLOOKUP(Tabla5[[#This Row],[Tipo de Transporte Empleado
&lt;&lt; Seleccionar&gt;&gt;]],Tabla8[#All],2,0)</f>
        <v>#VALUE!</v>
      </c>
      <c r="L990" s="71" t="e">
        <f>#REF!+(#REF!*2)+#REF!</f>
        <v>#REF!</v>
      </c>
    </row>
    <row r="991" spans="1:12" x14ac:dyDescent="0.25">
      <c r="A991" s="328" t="e">
        <f>VLOOKUP(Tabla5[[#This Row],[Acción
&lt;&lt; Seleccionar&gt;&gt;]],TablaAccion[[#All],[Nombre_Abreviado]:[Codigo_Plan_Acción]],3,0)</f>
        <v>#VALUE!</v>
      </c>
      <c r="B991" s="328" t="e">
        <f>VLOOKUP(Tabla5[[#This Row],[Acción Especifica
&lt;&lt; Seleccionar&gt;&gt;]],TablaAccionEspecifica[[#All],[Nombre_Abreviado]:[Codigo_Acción]],3,0)</f>
        <v>#VALUE!</v>
      </c>
      <c r="C991" s="328" t="e">
        <f>CONCATENATE(Tabla18[[#This Row],[Bus_02]],"_",Tabla5[[#This Row],[Sub Acción Específica
&lt;&lt; Seleccionar&gt;&gt;]])</f>
        <v>#VALUE!</v>
      </c>
      <c r="D991" s="328" t="e">
        <f>VLOOKUP(Tabla18[[#This Row],[Aux_01]],TablaSubAccionEspecifica[[#All],[Concat]:[Cod_Sub_acción_especifica]],2,0)</f>
        <v>#VALUE!</v>
      </c>
      <c r="E991" s="328" t="e">
        <f>Tabla18[[#This Row],[Bus_03]]&amp;"_"&amp;Tabla5[[#This Row],[Tipo de Agente
&lt;&lt; Seleccionar&gt;&gt;]]</f>
        <v>#VALUE!</v>
      </c>
      <c r="F991" s="328" t="e">
        <f>VLOOKUP(Tabla18[[#This Row],[Concat2]],TablaPOA[[#All],[Concat]:[ConcatEspecial]],3,0)</f>
        <v>#VALUE!</v>
      </c>
      <c r="G991" s="65" t="e">
        <f>CONCATENATE(Registro!$A$6,"_",Tabla5[[#This Row],[Zona (Provincia)
&lt;&lt; Seleccionar&gt;&gt;]])</f>
        <v>#VALUE!</v>
      </c>
      <c r="H991" s="60" t="e">
        <f>VLOOKUP(Tabla18[[#This Row],[Concatenado***]],Tabla2[[#All],[Concatenado]:[Simbología*]],2,0)</f>
        <v>#VALUE!</v>
      </c>
      <c r="I991" s="65" t="e">
        <f>CONCATENATE(Tabla18[[#This Row],[Concatenado***]],"_",Tabla5[[#This Row],[Zona (Distrito)
&lt;&lt; Seleccionar&gt;&gt;]])</f>
        <v>#VALUE!</v>
      </c>
      <c r="J9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1" s="72" t="e">
        <f>VLOOKUP(Tabla5[[#This Row],[Tipo de Transporte Empleado
&lt;&lt; Seleccionar&gt;&gt;]],Tabla8[#All],2,0)</f>
        <v>#VALUE!</v>
      </c>
      <c r="L991" s="71" t="e">
        <f>#REF!+(#REF!*2)+#REF!</f>
        <v>#REF!</v>
      </c>
    </row>
    <row r="992" spans="1:12" x14ac:dyDescent="0.25">
      <c r="A992" s="328" t="e">
        <f>VLOOKUP(Tabla5[[#This Row],[Acción
&lt;&lt; Seleccionar&gt;&gt;]],TablaAccion[[#All],[Nombre_Abreviado]:[Codigo_Plan_Acción]],3,0)</f>
        <v>#VALUE!</v>
      </c>
      <c r="B992" s="328" t="e">
        <f>VLOOKUP(Tabla5[[#This Row],[Acción Especifica
&lt;&lt; Seleccionar&gt;&gt;]],TablaAccionEspecifica[[#All],[Nombre_Abreviado]:[Codigo_Acción]],3,0)</f>
        <v>#VALUE!</v>
      </c>
      <c r="C992" s="328" t="e">
        <f>CONCATENATE(Tabla18[[#This Row],[Bus_02]],"_",Tabla5[[#This Row],[Sub Acción Específica
&lt;&lt; Seleccionar&gt;&gt;]])</f>
        <v>#VALUE!</v>
      </c>
      <c r="D992" s="328" t="e">
        <f>VLOOKUP(Tabla18[[#This Row],[Aux_01]],TablaSubAccionEspecifica[[#All],[Concat]:[Cod_Sub_acción_especifica]],2,0)</f>
        <v>#VALUE!</v>
      </c>
      <c r="E992" s="328" t="e">
        <f>Tabla18[[#This Row],[Bus_03]]&amp;"_"&amp;Tabla5[[#This Row],[Tipo de Agente
&lt;&lt; Seleccionar&gt;&gt;]]</f>
        <v>#VALUE!</v>
      </c>
      <c r="F992" s="328" t="e">
        <f>VLOOKUP(Tabla18[[#This Row],[Concat2]],TablaPOA[[#All],[Concat]:[ConcatEspecial]],3,0)</f>
        <v>#VALUE!</v>
      </c>
      <c r="G992" s="65" t="e">
        <f>CONCATENATE(Registro!$A$6,"_",Tabla5[[#This Row],[Zona (Provincia)
&lt;&lt; Seleccionar&gt;&gt;]])</f>
        <v>#VALUE!</v>
      </c>
      <c r="H992" s="60" t="e">
        <f>VLOOKUP(Tabla18[[#This Row],[Concatenado***]],Tabla2[[#All],[Concatenado]:[Simbología*]],2,0)</f>
        <v>#VALUE!</v>
      </c>
      <c r="I992" s="65" t="e">
        <f>CONCATENATE(Tabla18[[#This Row],[Concatenado***]],"_",Tabla5[[#This Row],[Zona (Distrito)
&lt;&lt; Seleccionar&gt;&gt;]])</f>
        <v>#VALUE!</v>
      </c>
      <c r="J9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2" s="72" t="e">
        <f>VLOOKUP(Tabla5[[#This Row],[Tipo de Transporte Empleado
&lt;&lt; Seleccionar&gt;&gt;]],Tabla8[#All],2,0)</f>
        <v>#VALUE!</v>
      </c>
      <c r="L992" s="71" t="e">
        <f>#REF!+(#REF!*2)+#REF!</f>
        <v>#REF!</v>
      </c>
    </row>
    <row r="993" spans="1:12" x14ac:dyDescent="0.25">
      <c r="A993" s="328" t="e">
        <f>VLOOKUP(Tabla5[[#This Row],[Acción
&lt;&lt; Seleccionar&gt;&gt;]],TablaAccion[[#All],[Nombre_Abreviado]:[Codigo_Plan_Acción]],3,0)</f>
        <v>#VALUE!</v>
      </c>
      <c r="B993" s="328" t="e">
        <f>VLOOKUP(Tabla5[[#This Row],[Acción Especifica
&lt;&lt; Seleccionar&gt;&gt;]],TablaAccionEspecifica[[#All],[Nombre_Abreviado]:[Codigo_Acción]],3,0)</f>
        <v>#VALUE!</v>
      </c>
      <c r="C993" s="328" t="e">
        <f>CONCATENATE(Tabla18[[#This Row],[Bus_02]],"_",Tabla5[[#This Row],[Sub Acción Específica
&lt;&lt; Seleccionar&gt;&gt;]])</f>
        <v>#VALUE!</v>
      </c>
      <c r="D993" s="328" t="e">
        <f>VLOOKUP(Tabla18[[#This Row],[Aux_01]],TablaSubAccionEspecifica[[#All],[Concat]:[Cod_Sub_acción_especifica]],2,0)</f>
        <v>#VALUE!</v>
      </c>
      <c r="E993" s="328" t="e">
        <f>Tabla18[[#This Row],[Bus_03]]&amp;"_"&amp;Tabla5[[#This Row],[Tipo de Agente
&lt;&lt; Seleccionar&gt;&gt;]]</f>
        <v>#VALUE!</v>
      </c>
      <c r="F993" s="328" t="e">
        <f>VLOOKUP(Tabla18[[#This Row],[Concat2]],TablaPOA[[#All],[Concat]:[ConcatEspecial]],3,0)</f>
        <v>#VALUE!</v>
      </c>
      <c r="G993" s="65" t="e">
        <f>CONCATENATE(Registro!$A$6,"_",Tabla5[[#This Row],[Zona (Provincia)
&lt;&lt; Seleccionar&gt;&gt;]])</f>
        <v>#VALUE!</v>
      </c>
      <c r="H993" s="60" t="e">
        <f>VLOOKUP(Tabla18[[#This Row],[Concatenado***]],Tabla2[[#All],[Concatenado]:[Simbología*]],2,0)</f>
        <v>#VALUE!</v>
      </c>
      <c r="I993" s="65" t="e">
        <f>CONCATENATE(Tabla18[[#This Row],[Concatenado***]],"_",Tabla5[[#This Row],[Zona (Distrito)
&lt;&lt; Seleccionar&gt;&gt;]])</f>
        <v>#VALUE!</v>
      </c>
      <c r="J9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3" s="72" t="e">
        <f>VLOOKUP(Tabla5[[#This Row],[Tipo de Transporte Empleado
&lt;&lt; Seleccionar&gt;&gt;]],Tabla8[#All],2,0)</f>
        <v>#VALUE!</v>
      </c>
      <c r="L993" s="71" t="e">
        <f>#REF!+(#REF!*2)+#REF!</f>
        <v>#REF!</v>
      </c>
    </row>
    <row r="994" spans="1:12" x14ac:dyDescent="0.25">
      <c r="A994" s="328" t="e">
        <f>VLOOKUP(Tabla5[[#This Row],[Acción
&lt;&lt; Seleccionar&gt;&gt;]],TablaAccion[[#All],[Nombre_Abreviado]:[Codigo_Plan_Acción]],3,0)</f>
        <v>#VALUE!</v>
      </c>
      <c r="B994" s="328" t="e">
        <f>VLOOKUP(Tabla5[[#This Row],[Acción Especifica
&lt;&lt; Seleccionar&gt;&gt;]],TablaAccionEspecifica[[#All],[Nombre_Abreviado]:[Codigo_Acción]],3,0)</f>
        <v>#VALUE!</v>
      </c>
      <c r="C994" s="328" t="e">
        <f>CONCATENATE(Tabla18[[#This Row],[Bus_02]],"_",Tabla5[[#This Row],[Sub Acción Específica
&lt;&lt; Seleccionar&gt;&gt;]])</f>
        <v>#VALUE!</v>
      </c>
      <c r="D994" s="328" t="e">
        <f>VLOOKUP(Tabla18[[#This Row],[Aux_01]],TablaSubAccionEspecifica[[#All],[Concat]:[Cod_Sub_acción_especifica]],2,0)</f>
        <v>#VALUE!</v>
      </c>
      <c r="E994" s="328" t="e">
        <f>Tabla18[[#This Row],[Bus_03]]&amp;"_"&amp;Tabla5[[#This Row],[Tipo de Agente
&lt;&lt; Seleccionar&gt;&gt;]]</f>
        <v>#VALUE!</v>
      </c>
      <c r="F994" s="328" t="e">
        <f>VLOOKUP(Tabla18[[#This Row],[Concat2]],TablaPOA[[#All],[Concat]:[ConcatEspecial]],3,0)</f>
        <v>#VALUE!</v>
      </c>
      <c r="G994" s="65" t="e">
        <f>CONCATENATE(Registro!$A$6,"_",Tabla5[[#This Row],[Zona (Provincia)
&lt;&lt; Seleccionar&gt;&gt;]])</f>
        <v>#VALUE!</v>
      </c>
      <c r="H994" s="60" t="e">
        <f>VLOOKUP(Tabla18[[#This Row],[Concatenado***]],Tabla2[[#All],[Concatenado]:[Simbología*]],2,0)</f>
        <v>#VALUE!</v>
      </c>
      <c r="I994" s="65" t="e">
        <f>CONCATENATE(Tabla18[[#This Row],[Concatenado***]],"_",Tabla5[[#This Row],[Zona (Distrito)
&lt;&lt; Seleccionar&gt;&gt;]])</f>
        <v>#VALUE!</v>
      </c>
      <c r="J9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4" s="72" t="e">
        <f>VLOOKUP(Tabla5[[#This Row],[Tipo de Transporte Empleado
&lt;&lt; Seleccionar&gt;&gt;]],Tabla8[#All],2,0)</f>
        <v>#VALUE!</v>
      </c>
      <c r="L994" s="71" t="e">
        <f>#REF!+(#REF!*2)+#REF!</f>
        <v>#REF!</v>
      </c>
    </row>
    <row r="995" spans="1:12" x14ac:dyDescent="0.25">
      <c r="A995" s="328" t="e">
        <f>VLOOKUP(Tabla5[[#This Row],[Acción
&lt;&lt; Seleccionar&gt;&gt;]],TablaAccion[[#All],[Nombre_Abreviado]:[Codigo_Plan_Acción]],3,0)</f>
        <v>#VALUE!</v>
      </c>
      <c r="B995" s="328" t="e">
        <f>VLOOKUP(Tabla5[[#This Row],[Acción Especifica
&lt;&lt; Seleccionar&gt;&gt;]],TablaAccionEspecifica[[#All],[Nombre_Abreviado]:[Codigo_Acción]],3,0)</f>
        <v>#VALUE!</v>
      </c>
      <c r="C995" s="328" t="e">
        <f>CONCATENATE(Tabla18[[#This Row],[Bus_02]],"_",Tabla5[[#This Row],[Sub Acción Específica
&lt;&lt; Seleccionar&gt;&gt;]])</f>
        <v>#VALUE!</v>
      </c>
      <c r="D995" s="328" t="e">
        <f>VLOOKUP(Tabla18[[#This Row],[Aux_01]],TablaSubAccionEspecifica[[#All],[Concat]:[Cod_Sub_acción_especifica]],2,0)</f>
        <v>#VALUE!</v>
      </c>
      <c r="E995" s="328" t="e">
        <f>Tabla18[[#This Row],[Bus_03]]&amp;"_"&amp;Tabla5[[#This Row],[Tipo de Agente
&lt;&lt; Seleccionar&gt;&gt;]]</f>
        <v>#VALUE!</v>
      </c>
      <c r="F995" s="328" t="e">
        <f>VLOOKUP(Tabla18[[#This Row],[Concat2]],TablaPOA[[#All],[Concat]:[ConcatEspecial]],3,0)</f>
        <v>#VALUE!</v>
      </c>
      <c r="G995" s="65" t="e">
        <f>CONCATENATE(Registro!$A$6,"_",Tabla5[[#This Row],[Zona (Provincia)
&lt;&lt; Seleccionar&gt;&gt;]])</f>
        <v>#VALUE!</v>
      </c>
      <c r="H995" s="60" t="e">
        <f>VLOOKUP(Tabla18[[#This Row],[Concatenado***]],Tabla2[[#All],[Concatenado]:[Simbología*]],2,0)</f>
        <v>#VALUE!</v>
      </c>
      <c r="I995" s="65" t="e">
        <f>CONCATENATE(Tabla18[[#This Row],[Concatenado***]],"_",Tabla5[[#This Row],[Zona (Distrito)
&lt;&lt; Seleccionar&gt;&gt;]])</f>
        <v>#VALUE!</v>
      </c>
      <c r="J9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5" s="72" t="e">
        <f>VLOOKUP(Tabla5[[#This Row],[Tipo de Transporte Empleado
&lt;&lt; Seleccionar&gt;&gt;]],Tabla8[#All],2,0)</f>
        <v>#VALUE!</v>
      </c>
      <c r="L995" s="71" t="e">
        <f>#REF!+(#REF!*2)+#REF!</f>
        <v>#REF!</v>
      </c>
    </row>
    <row r="996" spans="1:12" x14ac:dyDescent="0.25">
      <c r="A996" s="328" t="e">
        <f>VLOOKUP(Tabla5[[#This Row],[Acción
&lt;&lt; Seleccionar&gt;&gt;]],TablaAccion[[#All],[Nombre_Abreviado]:[Codigo_Plan_Acción]],3,0)</f>
        <v>#VALUE!</v>
      </c>
      <c r="B996" s="328" t="e">
        <f>VLOOKUP(Tabla5[[#This Row],[Acción Especifica
&lt;&lt; Seleccionar&gt;&gt;]],TablaAccionEspecifica[[#All],[Nombre_Abreviado]:[Codigo_Acción]],3,0)</f>
        <v>#VALUE!</v>
      </c>
      <c r="C996" s="328" t="e">
        <f>CONCATENATE(Tabla18[[#This Row],[Bus_02]],"_",Tabla5[[#This Row],[Sub Acción Específica
&lt;&lt; Seleccionar&gt;&gt;]])</f>
        <v>#VALUE!</v>
      </c>
      <c r="D996" s="328" t="e">
        <f>VLOOKUP(Tabla18[[#This Row],[Aux_01]],TablaSubAccionEspecifica[[#All],[Concat]:[Cod_Sub_acción_especifica]],2,0)</f>
        <v>#VALUE!</v>
      </c>
      <c r="E996" s="328" t="e">
        <f>Tabla18[[#This Row],[Bus_03]]&amp;"_"&amp;Tabla5[[#This Row],[Tipo de Agente
&lt;&lt; Seleccionar&gt;&gt;]]</f>
        <v>#VALUE!</v>
      </c>
      <c r="F996" s="328" t="e">
        <f>VLOOKUP(Tabla18[[#This Row],[Concat2]],TablaPOA[[#All],[Concat]:[ConcatEspecial]],3,0)</f>
        <v>#VALUE!</v>
      </c>
      <c r="G996" s="65" t="e">
        <f>CONCATENATE(Registro!$A$6,"_",Tabla5[[#This Row],[Zona (Provincia)
&lt;&lt; Seleccionar&gt;&gt;]])</f>
        <v>#VALUE!</v>
      </c>
      <c r="H996" s="60" t="e">
        <f>VLOOKUP(Tabla18[[#This Row],[Concatenado***]],Tabla2[[#All],[Concatenado]:[Simbología*]],2,0)</f>
        <v>#VALUE!</v>
      </c>
      <c r="I996" s="65" t="e">
        <f>CONCATENATE(Tabla18[[#This Row],[Concatenado***]],"_",Tabla5[[#This Row],[Zona (Distrito)
&lt;&lt; Seleccionar&gt;&gt;]])</f>
        <v>#VALUE!</v>
      </c>
      <c r="J9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6" s="72" t="e">
        <f>VLOOKUP(Tabla5[[#This Row],[Tipo de Transporte Empleado
&lt;&lt; Seleccionar&gt;&gt;]],Tabla8[#All],2,0)</f>
        <v>#VALUE!</v>
      </c>
      <c r="L996" s="71" t="e">
        <f>#REF!+(#REF!*2)+#REF!</f>
        <v>#REF!</v>
      </c>
    </row>
    <row r="997" spans="1:12" x14ac:dyDescent="0.25">
      <c r="A997" s="328" t="e">
        <f>VLOOKUP(Tabla5[[#This Row],[Acción
&lt;&lt; Seleccionar&gt;&gt;]],TablaAccion[[#All],[Nombre_Abreviado]:[Codigo_Plan_Acción]],3,0)</f>
        <v>#VALUE!</v>
      </c>
      <c r="B997" s="328" t="e">
        <f>VLOOKUP(Tabla5[[#This Row],[Acción Especifica
&lt;&lt; Seleccionar&gt;&gt;]],TablaAccionEspecifica[[#All],[Nombre_Abreviado]:[Codigo_Acción]],3,0)</f>
        <v>#VALUE!</v>
      </c>
      <c r="C997" s="328" t="e">
        <f>CONCATENATE(Tabla18[[#This Row],[Bus_02]],"_",Tabla5[[#This Row],[Sub Acción Específica
&lt;&lt; Seleccionar&gt;&gt;]])</f>
        <v>#VALUE!</v>
      </c>
      <c r="D997" s="328" t="e">
        <f>VLOOKUP(Tabla18[[#This Row],[Aux_01]],TablaSubAccionEspecifica[[#All],[Concat]:[Cod_Sub_acción_especifica]],2,0)</f>
        <v>#VALUE!</v>
      </c>
      <c r="E997" s="328" t="e">
        <f>Tabla18[[#This Row],[Bus_03]]&amp;"_"&amp;Tabla5[[#This Row],[Tipo de Agente
&lt;&lt; Seleccionar&gt;&gt;]]</f>
        <v>#VALUE!</v>
      </c>
      <c r="F997" s="328" t="e">
        <f>VLOOKUP(Tabla18[[#This Row],[Concat2]],TablaPOA[[#All],[Concat]:[ConcatEspecial]],3,0)</f>
        <v>#VALUE!</v>
      </c>
      <c r="G997" s="65" t="e">
        <f>CONCATENATE(Registro!$A$6,"_",Tabla5[[#This Row],[Zona (Provincia)
&lt;&lt; Seleccionar&gt;&gt;]])</f>
        <v>#VALUE!</v>
      </c>
      <c r="H997" s="60" t="e">
        <f>VLOOKUP(Tabla18[[#This Row],[Concatenado***]],Tabla2[[#All],[Concatenado]:[Simbología*]],2,0)</f>
        <v>#VALUE!</v>
      </c>
      <c r="I997" s="65" t="e">
        <f>CONCATENATE(Tabla18[[#This Row],[Concatenado***]],"_",Tabla5[[#This Row],[Zona (Distrito)
&lt;&lt; Seleccionar&gt;&gt;]])</f>
        <v>#VALUE!</v>
      </c>
      <c r="J9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7" s="72" t="e">
        <f>VLOOKUP(Tabla5[[#This Row],[Tipo de Transporte Empleado
&lt;&lt; Seleccionar&gt;&gt;]],Tabla8[#All],2,0)</f>
        <v>#VALUE!</v>
      </c>
      <c r="L997" s="71" t="e">
        <f>#REF!+(#REF!*2)+#REF!</f>
        <v>#REF!</v>
      </c>
    </row>
    <row r="998" spans="1:12" x14ac:dyDescent="0.25">
      <c r="A998" s="328" t="e">
        <f>VLOOKUP(Tabla5[[#This Row],[Acción
&lt;&lt; Seleccionar&gt;&gt;]],TablaAccion[[#All],[Nombre_Abreviado]:[Codigo_Plan_Acción]],3,0)</f>
        <v>#VALUE!</v>
      </c>
      <c r="B998" s="328" t="e">
        <f>VLOOKUP(Tabla5[[#This Row],[Acción Especifica
&lt;&lt; Seleccionar&gt;&gt;]],TablaAccionEspecifica[[#All],[Nombre_Abreviado]:[Codigo_Acción]],3,0)</f>
        <v>#VALUE!</v>
      </c>
      <c r="C998" s="328" t="e">
        <f>CONCATENATE(Tabla18[[#This Row],[Bus_02]],"_",Tabla5[[#This Row],[Sub Acción Específica
&lt;&lt; Seleccionar&gt;&gt;]])</f>
        <v>#VALUE!</v>
      </c>
      <c r="D998" s="328" t="e">
        <f>VLOOKUP(Tabla18[[#This Row],[Aux_01]],TablaSubAccionEspecifica[[#All],[Concat]:[Cod_Sub_acción_especifica]],2,0)</f>
        <v>#VALUE!</v>
      </c>
      <c r="E998" s="328" t="e">
        <f>Tabla18[[#This Row],[Bus_03]]&amp;"_"&amp;Tabla5[[#This Row],[Tipo de Agente
&lt;&lt; Seleccionar&gt;&gt;]]</f>
        <v>#VALUE!</v>
      </c>
      <c r="F998" s="328" t="e">
        <f>VLOOKUP(Tabla18[[#This Row],[Concat2]],TablaPOA[[#All],[Concat]:[ConcatEspecial]],3,0)</f>
        <v>#VALUE!</v>
      </c>
      <c r="G998" s="65" t="e">
        <f>CONCATENATE(Registro!$A$6,"_",Tabla5[[#This Row],[Zona (Provincia)
&lt;&lt; Seleccionar&gt;&gt;]])</f>
        <v>#VALUE!</v>
      </c>
      <c r="H998" s="60" t="e">
        <f>VLOOKUP(Tabla18[[#This Row],[Concatenado***]],Tabla2[[#All],[Concatenado]:[Simbología*]],2,0)</f>
        <v>#VALUE!</v>
      </c>
      <c r="I998" s="65" t="e">
        <f>CONCATENATE(Tabla18[[#This Row],[Concatenado***]],"_",Tabla5[[#This Row],[Zona (Distrito)
&lt;&lt; Seleccionar&gt;&gt;]])</f>
        <v>#VALUE!</v>
      </c>
      <c r="J9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8" s="72" t="e">
        <f>VLOOKUP(Tabla5[[#This Row],[Tipo de Transporte Empleado
&lt;&lt; Seleccionar&gt;&gt;]],Tabla8[#All],2,0)</f>
        <v>#VALUE!</v>
      </c>
      <c r="L998" s="71" t="e">
        <f>#REF!+(#REF!*2)+#REF!</f>
        <v>#REF!</v>
      </c>
    </row>
    <row r="999" spans="1:12" x14ac:dyDescent="0.25">
      <c r="A999" s="328" t="e">
        <f>VLOOKUP(Tabla5[[#This Row],[Acción
&lt;&lt; Seleccionar&gt;&gt;]],TablaAccion[[#All],[Nombre_Abreviado]:[Codigo_Plan_Acción]],3,0)</f>
        <v>#VALUE!</v>
      </c>
      <c r="B999" s="328" t="e">
        <f>VLOOKUP(Tabla5[[#This Row],[Acción Especifica
&lt;&lt; Seleccionar&gt;&gt;]],TablaAccionEspecifica[[#All],[Nombre_Abreviado]:[Codigo_Acción]],3,0)</f>
        <v>#VALUE!</v>
      </c>
      <c r="C999" s="328" t="e">
        <f>CONCATENATE(Tabla18[[#This Row],[Bus_02]],"_",Tabla5[[#This Row],[Sub Acción Específica
&lt;&lt; Seleccionar&gt;&gt;]])</f>
        <v>#VALUE!</v>
      </c>
      <c r="D999" s="328" t="e">
        <f>VLOOKUP(Tabla18[[#This Row],[Aux_01]],TablaSubAccionEspecifica[[#All],[Concat]:[Cod_Sub_acción_especifica]],2,0)</f>
        <v>#VALUE!</v>
      </c>
      <c r="E999" s="328" t="e">
        <f>Tabla18[[#This Row],[Bus_03]]&amp;"_"&amp;Tabla5[[#This Row],[Tipo de Agente
&lt;&lt; Seleccionar&gt;&gt;]]</f>
        <v>#VALUE!</v>
      </c>
      <c r="F999" s="328" t="e">
        <f>VLOOKUP(Tabla18[[#This Row],[Concat2]],TablaPOA[[#All],[Concat]:[ConcatEspecial]],3,0)</f>
        <v>#VALUE!</v>
      </c>
      <c r="G999" s="65" t="e">
        <f>CONCATENATE(Registro!$A$6,"_",Tabla5[[#This Row],[Zona (Provincia)
&lt;&lt; Seleccionar&gt;&gt;]])</f>
        <v>#VALUE!</v>
      </c>
      <c r="H999" s="60" t="e">
        <f>VLOOKUP(Tabla18[[#This Row],[Concatenado***]],Tabla2[[#All],[Concatenado]:[Simbología*]],2,0)</f>
        <v>#VALUE!</v>
      </c>
      <c r="I999" s="65" t="e">
        <f>CONCATENATE(Tabla18[[#This Row],[Concatenado***]],"_",Tabla5[[#This Row],[Zona (Distrito)
&lt;&lt; Seleccionar&gt;&gt;]])</f>
        <v>#VALUE!</v>
      </c>
      <c r="J9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9" s="72" t="e">
        <f>VLOOKUP(Tabla5[[#This Row],[Tipo de Transporte Empleado
&lt;&lt; Seleccionar&gt;&gt;]],Tabla8[#All],2,0)</f>
        <v>#VALUE!</v>
      </c>
      <c r="L999" s="71" t="e">
        <f>#REF!+(#REF!*2)+#REF!</f>
        <v>#REF!</v>
      </c>
    </row>
    <row r="1000" spans="1:12" x14ac:dyDescent="0.25">
      <c r="A1000" s="328" t="e">
        <f>VLOOKUP(Tabla5[[#This Row],[Acción
&lt;&lt; Seleccionar&gt;&gt;]],TablaAccion[[#All],[Nombre_Abreviado]:[Codigo_Plan_Acción]],3,0)</f>
        <v>#VALUE!</v>
      </c>
      <c r="B1000" s="328" t="e">
        <f>VLOOKUP(Tabla5[[#This Row],[Acción Especifica
&lt;&lt; Seleccionar&gt;&gt;]],TablaAccionEspecifica[[#All],[Nombre_Abreviado]:[Codigo_Acción]],3,0)</f>
        <v>#VALUE!</v>
      </c>
      <c r="C1000" s="328" t="e">
        <f>CONCATENATE(Tabla18[[#This Row],[Bus_02]],"_",Tabla5[[#This Row],[Sub Acción Específica
&lt;&lt; Seleccionar&gt;&gt;]])</f>
        <v>#VALUE!</v>
      </c>
      <c r="D1000" s="328" t="e">
        <f>VLOOKUP(Tabla18[[#This Row],[Aux_01]],TablaSubAccionEspecifica[[#All],[Concat]:[Cod_Sub_acción_especifica]],2,0)</f>
        <v>#VALUE!</v>
      </c>
      <c r="E1000" s="328" t="e">
        <f>Tabla18[[#This Row],[Bus_03]]&amp;"_"&amp;Tabla5[[#This Row],[Tipo de Agente
&lt;&lt; Seleccionar&gt;&gt;]]</f>
        <v>#VALUE!</v>
      </c>
      <c r="F1000" s="328" t="e">
        <f>VLOOKUP(Tabla18[[#This Row],[Concat2]],TablaPOA[[#All],[Concat]:[ConcatEspecial]],3,0)</f>
        <v>#VALUE!</v>
      </c>
      <c r="G1000" s="65" t="e">
        <f>CONCATENATE(Registro!$A$6,"_",Tabla5[[#This Row],[Zona (Provincia)
&lt;&lt; Seleccionar&gt;&gt;]])</f>
        <v>#VALUE!</v>
      </c>
      <c r="H1000" s="60" t="e">
        <f>VLOOKUP(Tabla18[[#This Row],[Concatenado***]],Tabla2[[#All],[Concatenado]:[Simbología*]],2,0)</f>
        <v>#VALUE!</v>
      </c>
      <c r="I1000" s="65" t="e">
        <f>CONCATENATE(Tabla18[[#This Row],[Concatenado***]],"_",Tabla5[[#This Row],[Zona (Distrito)
&lt;&lt; Seleccionar&gt;&gt;]])</f>
        <v>#VALUE!</v>
      </c>
      <c r="J10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1000" s="72" t="e">
        <f>VLOOKUP(Tabla5[[#This Row],[Tipo de Transporte Empleado
&lt;&lt; Seleccionar&gt;&gt;]],Tabla8[#All],2,0)</f>
        <v>#VALUE!</v>
      </c>
      <c r="L1000" s="71" t="e">
        <f>#REF!+(#REF!*2)+#REF!</f>
        <v>#REF!</v>
      </c>
    </row>
    <row r="1001" spans="1:12" x14ac:dyDescent="0.25">
      <c r="A1001" s="328" t="e">
        <f>VLOOKUP(Tabla5[[#This Row],[Acción
&lt;&lt; Seleccionar&gt;&gt;]],TablaAccion[[#All],[Nombre_Abreviado]:[Codigo_Plan_Acción]],3,0)</f>
        <v>#VALUE!</v>
      </c>
      <c r="B1001" s="328" t="e">
        <f>VLOOKUP(Tabla5[[#This Row],[Acción Especifica
&lt;&lt; Seleccionar&gt;&gt;]],TablaAccionEspecifica[[#All],[Nombre_Abreviado]:[Codigo_Acción]],3,0)</f>
        <v>#VALUE!</v>
      </c>
      <c r="C1001" s="328" t="e">
        <f>CONCATENATE(Tabla18[[#This Row],[Bus_02]],"_",Tabla5[[#This Row],[Sub Acción Específica
&lt;&lt; Seleccionar&gt;&gt;]])</f>
        <v>#VALUE!</v>
      </c>
      <c r="D1001" s="328" t="e">
        <f>VLOOKUP(Tabla18[[#This Row],[Aux_01]],TablaSubAccionEspecifica[[#All],[Concat]:[Cod_Sub_acción_especifica]],2,0)</f>
        <v>#VALUE!</v>
      </c>
      <c r="E1001" s="328" t="e">
        <f>Tabla18[[#This Row],[Bus_03]]&amp;"_"&amp;Tabla5[[#This Row],[Tipo de Agente
&lt;&lt; Seleccionar&gt;&gt;]]</f>
        <v>#VALUE!</v>
      </c>
      <c r="F1001" s="328" t="e">
        <f>VLOOKUP(Tabla18[[#This Row],[Concat2]],TablaPOA[[#All],[Concat]:[ConcatEspecial]],3,0)</f>
        <v>#VALUE!</v>
      </c>
      <c r="G1001" s="65" t="e">
        <f>CONCATENATE(Registro!$A$6,"_",Tabla5[[#This Row],[Zona (Provincia)
&lt;&lt; Seleccionar&gt;&gt;]])</f>
        <v>#VALUE!</v>
      </c>
      <c r="H1001" s="60" t="e">
        <f>VLOOKUP(Tabla18[[#This Row],[Concatenado***]],Tabla2[[#All],[Concatenado]:[Simbología*]],2,0)</f>
        <v>#VALUE!</v>
      </c>
      <c r="I1001" s="65" t="e">
        <f>CONCATENATE(Tabla18[[#This Row],[Concatenado***]],"_",Tabla5[[#This Row],[Zona (Distrito)
&lt;&lt; Seleccionar&gt;&gt;]])</f>
        <v>#VALUE!</v>
      </c>
      <c r="J10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1001" s="72" t="e">
        <f>VLOOKUP(Tabla5[[#This Row],[Tipo de Transporte Empleado
&lt;&lt; Seleccionar&gt;&gt;]],Tabla8[#All],2,0)</f>
        <v>#VALUE!</v>
      </c>
      <c r="L1001" s="71" t="e">
        <f>#REF!+(#REF!*2)+#REF!</f>
        <v>#REF!</v>
      </c>
    </row>
    <row r="1002" spans="1:12" x14ac:dyDescent="0.25">
      <c r="A1002" s="328" t="e">
        <f>VLOOKUP(Tabla5[[#This Row],[Acción
&lt;&lt; Seleccionar&gt;&gt;]],TablaAccion[[#All],[Nombre_Abreviado]:[Codigo_Plan_Acción]],3,0)</f>
        <v>#VALUE!</v>
      </c>
      <c r="B1002" s="328" t="e">
        <f>VLOOKUP(Tabla5[[#This Row],[Acción Especifica
&lt;&lt; Seleccionar&gt;&gt;]],TablaAccionEspecifica[[#All],[Nombre_Abreviado]:[Codigo_Acción]],3,0)</f>
        <v>#VALUE!</v>
      </c>
      <c r="C1002" s="328" t="e">
        <f>CONCATENATE(Tabla18[[#This Row],[Bus_02]],"_",Tabla5[[#This Row],[Sub Acción Específica
&lt;&lt; Seleccionar&gt;&gt;]])</f>
        <v>#VALUE!</v>
      </c>
      <c r="D1002" s="328" t="e">
        <f>VLOOKUP(Tabla18[[#This Row],[Aux_01]],TablaSubAccionEspecifica[[#All],[Concat]:[Cod_Sub_acción_especifica]],2,0)</f>
        <v>#VALUE!</v>
      </c>
      <c r="E1002" s="328" t="e">
        <f>Tabla18[[#This Row],[Bus_03]]&amp;"_"&amp;Tabla5[[#This Row],[Tipo de Agente
&lt;&lt; Seleccionar&gt;&gt;]]</f>
        <v>#VALUE!</v>
      </c>
      <c r="F1002" s="328" t="e">
        <f>VLOOKUP(Tabla18[[#This Row],[Concat2]],TablaPOA[[#All],[Concat]:[ConcatEspecial]],3,0)</f>
        <v>#VALUE!</v>
      </c>
      <c r="G1002" s="65" t="e">
        <f>CONCATENATE(Registro!$A$6,"_",Tabla5[[#This Row],[Zona (Provincia)
&lt;&lt; Seleccionar&gt;&gt;]])</f>
        <v>#VALUE!</v>
      </c>
      <c r="H1002" s="60" t="e">
        <f>VLOOKUP(Tabla18[[#This Row],[Concatenado***]],Tabla2[[#All],[Concatenado]:[Simbología*]],2,0)</f>
        <v>#VALUE!</v>
      </c>
      <c r="I1002" s="65" t="e">
        <f>CONCATENATE(Tabla18[[#This Row],[Concatenado***]],"_",Tabla5[[#This Row],[Zona (Distrito)
&lt;&lt; Seleccionar&gt;&gt;]])</f>
        <v>#VALUE!</v>
      </c>
      <c r="J10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1002" s="72" t="e">
        <f>VLOOKUP(Tabla5[[#This Row],[Tipo de Transporte Empleado
&lt;&lt; Seleccionar&gt;&gt;]],Tabla8[#All],2,0)</f>
        <v>#VALUE!</v>
      </c>
      <c r="L1002" s="71" t="e">
        <f>#REF!+(#REF!*2)+#REF!</f>
        <v>#REF!</v>
      </c>
    </row>
  </sheetData>
  <dataValidations count="2">
    <dataValidation allowBlank="1" showInputMessage="1" showErrorMessage="1" promptTitle="ATENCIÓN!" prompt="Solo ingrese valores, que se encuentren dentro de la lista desplegable." sqref="A22:B1002" xr:uid="{00000000-0002-0000-0100-000000000000}"/>
    <dataValidation allowBlank="1" showInputMessage="1" showErrorMessage="1" promptTitle="Atención!" prompt="Solo ingrese valores, que se encuentren dentro de la lista desplegable." sqref="C22:C1002" xr:uid="{00000000-0002-0000-0100-000001000000}"/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D5"/>
  <sheetViews>
    <sheetView zoomScaleNormal="100" zoomScaleSheetLayoutView="130" workbookViewId="0">
      <selection activeCell="C12" sqref="C12"/>
    </sheetView>
  </sheetViews>
  <sheetFormatPr baseColWidth="10" defaultRowHeight="15" x14ac:dyDescent="0.25"/>
  <cols>
    <col min="1" max="1" width="24.5703125" bestFit="1" customWidth="1"/>
    <col min="2" max="2" width="68.7109375" bestFit="1" customWidth="1"/>
    <col min="3" max="3" width="12.28515625" bestFit="1" customWidth="1"/>
    <col min="4" max="5" width="16.42578125" bestFit="1" customWidth="1"/>
  </cols>
  <sheetData>
    <row r="1" spans="1:4" x14ac:dyDescent="0.25">
      <c r="A1" s="287" t="s">
        <v>3031</v>
      </c>
      <c r="B1" s="213" t="s">
        <v>2484</v>
      </c>
      <c r="C1" s="213" t="s">
        <v>2692</v>
      </c>
      <c r="D1" s="213" t="s">
        <v>2688</v>
      </c>
    </row>
    <row r="2" spans="1:4" x14ac:dyDescent="0.25">
      <c r="A2" s="339" t="s">
        <v>3217</v>
      </c>
      <c r="B2" s="215" t="s">
        <v>3221</v>
      </c>
      <c r="C2" s="214" t="s">
        <v>3032</v>
      </c>
      <c r="D2" s="214">
        <v>31</v>
      </c>
    </row>
    <row r="3" spans="1:4" x14ac:dyDescent="0.25">
      <c r="A3" s="339" t="s">
        <v>3218</v>
      </c>
      <c r="B3" s="215" t="s">
        <v>3222</v>
      </c>
      <c r="C3" s="214" t="s">
        <v>3033</v>
      </c>
      <c r="D3" s="214">
        <v>31</v>
      </c>
    </row>
    <row r="4" spans="1:4" x14ac:dyDescent="0.25">
      <c r="A4" s="339" t="s">
        <v>3219</v>
      </c>
      <c r="B4" s="215" t="s">
        <v>3223</v>
      </c>
      <c r="C4" s="214" t="s">
        <v>3034</v>
      </c>
      <c r="D4" s="214">
        <v>31</v>
      </c>
    </row>
    <row r="5" spans="1:4" s="443" customFormat="1" x14ac:dyDescent="0.25">
      <c r="A5" s="444" t="s">
        <v>3220</v>
      </c>
      <c r="B5" s="445" t="s">
        <v>3224</v>
      </c>
      <c r="C5" s="446" t="s">
        <v>3035</v>
      </c>
      <c r="D5" s="446">
        <v>31</v>
      </c>
    </row>
  </sheetData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D43"/>
  <sheetViews>
    <sheetView zoomScale="80" zoomScaleNormal="80" zoomScaleSheetLayoutView="85" workbookViewId="0">
      <selection activeCell="A34" sqref="A34:A41"/>
    </sheetView>
  </sheetViews>
  <sheetFormatPr baseColWidth="10" defaultRowHeight="15" x14ac:dyDescent="0.25"/>
  <cols>
    <col min="1" max="1" width="65.7109375" bestFit="1" customWidth="1"/>
    <col min="2" max="2" width="194.7109375" customWidth="1"/>
    <col min="3" max="3" width="21.28515625" bestFit="1" customWidth="1"/>
    <col min="4" max="4" width="12.28515625" bestFit="1" customWidth="1"/>
  </cols>
  <sheetData>
    <row r="1" spans="1:4" ht="15.75" thickBot="1" x14ac:dyDescent="0.3">
      <c r="A1" s="287" t="s">
        <v>3031</v>
      </c>
      <c r="B1" s="213" t="s">
        <v>2700</v>
      </c>
      <c r="C1" s="213" t="s">
        <v>2698</v>
      </c>
      <c r="D1" s="213" t="s">
        <v>2692</v>
      </c>
    </row>
    <row r="2" spans="1:4" x14ac:dyDescent="0.25">
      <c r="A2" s="340" t="s">
        <v>3304</v>
      </c>
      <c r="B2" s="345" t="s">
        <v>3225</v>
      </c>
      <c r="C2" s="346" t="s">
        <v>3036</v>
      </c>
      <c r="D2" s="347" t="s">
        <v>3032</v>
      </c>
    </row>
    <row r="3" spans="1:4" x14ac:dyDescent="0.25">
      <c r="A3" s="341" t="s">
        <v>3305</v>
      </c>
      <c r="B3" s="348" t="s">
        <v>3226</v>
      </c>
      <c r="C3" s="214" t="s">
        <v>3037</v>
      </c>
      <c r="D3" s="349" t="s">
        <v>3032</v>
      </c>
    </row>
    <row r="4" spans="1:4" x14ac:dyDescent="0.25">
      <c r="A4" s="342" t="s">
        <v>3306</v>
      </c>
      <c r="B4" s="348" t="s">
        <v>3227</v>
      </c>
      <c r="C4" s="214" t="s">
        <v>3038</v>
      </c>
      <c r="D4" s="349" t="s">
        <v>3032</v>
      </c>
    </row>
    <row r="5" spans="1:4" x14ac:dyDescent="0.25">
      <c r="A5" s="342" t="s">
        <v>3307</v>
      </c>
      <c r="B5" s="348" t="s">
        <v>3228</v>
      </c>
      <c r="C5" s="214" t="s">
        <v>3039</v>
      </c>
      <c r="D5" s="349" t="s">
        <v>3032</v>
      </c>
    </row>
    <row r="6" spans="1:4" ht="15.75" thickBot="1" x14ac:dyDescent="0.3">
      <c r="A6" s="343" t="s">
        <v>3308</v>
      </c>
      <c r="B6" s="350" t="s">
        <v>3229</v>
      </c>
      <c r="C6" s="351" t="s">
        <v>3040</v>
      </c>
      <c r="D6" s="352" t="s">
        <v>3032</v>
      </c>
    </row>
    <row r="7" spans="1:4" x14ac:dyDescent="0.25">
      <c r="A7" s="405" t="s">
        <v>3230</v>
      </c>
      <c r="B7" s="345" t="s">
        <v>3255</v>
      </c>
      <c r="C7" s="346" t="s">
        <v>3041</v>
      </c>
      <c r="D7" s="347" t="s">
        <v>3033</v>
      </c>
    </row>
    <row r="8" spans="1:4" x14ac:dyDescent="0.25">
      <c r="A8" s="406" t="s">
        <v>3231</v>
      </c>
      <c r="B8" s="348" t="s">
        <v>3256</v>
      </c>
      <c r="C8" s="214" t="s">
        <v>3042</v>
      </c>
      <c r="D8" s="349" t="s">
        <v>3033</v>
      </c>
    </row>
    <row r="9" spans="1:4" x14ac:dyDescent="0.25">
      <c r="A9" s="406" t="s">
        <v>3232</v>
      </c>
      <c r="B9" s="348" t="s">
        <v>3257</v>
      </c>
      <c r="C9" s="214" t="s">
        <v>3043</v>
      </c>
      <c r="D9" s="349" t="s">
        <v>3033</v>
      </c>
    </row>
    <row r="10" spans="1:4" x14ac:dyDescent="0.25">
      <c r="A10" s="406" t="s">
        <v>3233</v>
      </c>
      <c r="B10" s="348" t="s">
        <v>3258</v>
      </c>
      <c r="C10" s="214" t="s">
        <v>3044</v>
      </c>
      <c r="D10" s="349" t="s">
        <v>3033</v>
      </c>
    </row>
    <row r="11" spans="1:4" x14ac:dyDescent="0.25">
      <c r="A11" s="406" t="s">
        <v>3234</v>
      </c>
      <c r="B11" s="348" t="s">
        <v>3259</v>
      </c>
      <c r="C11" s="214" t="s">
        <v>3045</v>
      </c>
      <c r="D11" s="349" t="s">
        <v>3033</v>
      </c>
    </row>
    <row r="12" spans="1:4" x14ac:dyDescent="0.25">
      <c r="A12" s="406" t="s">
        <v>3235</v>
      </c>
      <c r="B12" s="348" t="s">
        <v>3260</v>
      </c>
      <c r="C12" s="214" t="s">
        <v>3046</v>
      </c>
      <c r="D12" s="349" t="s">
        <v>3033</v>
      </c>
    </row>
    <row r="13" spans="1:4" x14ac:dyDescent="0.25">
      <c r="A13" s="406" t="s">
        <v>3316</v>
      </c>
      <c r="B13" s="348" t="s">
        <v>3261</v>
      </c>
      <c r="C13" s="214" t="s">
        <v>3047</v>
      </c>
      <c r="D13" s="349" t="s">
        <v>3033</v>
      </c>
    </row>
    <row r="14" spans="1:4" x14ac:dyDescent="0.25">
      <c r="A14" s="406" t="s">
        <v>3236</v>
      </c>
      <c r="B14" s="348" t="s">
        <v>3262</v>
      </c>
      <c r="C14" s="214" t="s">
        <v>3048</v>
      </c>
      <c r="D14" s="349" t="s">
        <v>3033</v>
      </c>
    </row>
    <row r="15" spans="1:4" x14ac:dyDescent="0.25">
      <c r="A15" s="406" t="s">
        <v>3317</v>
      </c>
      <c r="B15" s="348" t="s">
        <v>3263</v>
      </c>
      <c r="C15" s="214" t="s">
        <v>3049</v>
      </c>
      <c r="D15" s="349" t="s">
        <v>3033</v>
      </c>
    </row>
    <row r="16" spans="1:4" x14ac:dyDescent="0.25">
      <c r="A16" s="406" t="s">
        <v>3318</v>
      </c>
      <c r="B16" s="348" t="s">
        <v>3264</v>
      </c>
      <c r="C16" s="214" t="s">
        <v>3050</v>
      </c>
      <c r="D16" s="349" t="s">
        <v>3033</v>
      </c>
    </row>
    <row r="17" spans="1:4" x14ac:dyDescent="0.25">
      <c r="A17" s="406" t="s">
        <v>3237</v>
      </c>
      <c r="B17" s="348" t="s">
        <v>3265</v>
      </c>
      <c r="C17" s="214" t="s">
        <v>3051</v>
      </c>
      <c r="D17" s="349" t="s">
        <v>3033</v>
      </c>
    </row>
    <row r="18" spans="1:4" x14ac:dyDescent="0.25">
      <c r="A18" s="406" t="s">
        <v>3238</v>
      </c>
      <c r="B18" s="348" t="s">
        <v>3266</v>
      </c>
      <c r="C18" s="214" t="s">
        <v>3052</v>
      </c>
      <c r="D18" s="349" t="s">
        <v>3033</v>
      </c>
    </row>
    <row r="19" spans="1:4" ht="15.75" thickBot="1" x14ac:dyDescent="0.3">
      <c r="A19" s="404" t="s">
        <v>3324</v>
      </c>
      <c r="B19" s="350" t="s">
        <v>3325</v>
      </c>
      <c r="C19" s="351" t="s">
        <v>3326</v>
      </c>
      <c r="D19" s="352" t="s">
        <v>3034</v>
      </c>
    </row>
    <row r="20" spans="1:4" x14ac:dyDescent="0.25">
      <c r="A20" s="344" t="s">
        <v>3319</v>
      </c>
      <c r="B20" s="348" t="s">
        <v>3267</v>
      </c>
      <c r="C20" s="214" t="s">
        <v>3053</v>
      </c>
      <c r="D20" s="349" t="s">
        <v>3034</v>
      </c>
    </row>
    <row r="21" spans="1:4" x14ac:dyDescent="0.25">
      <c r="A21" s="438" t="s">
        <v>3246</v>
      </c>
      <c r="B21" s="348" t="s">
        <v>3268</v>
      </c>
      <c r="C21" s="214" t="s">
        <v>3054</v>
      </c>
      <c r="D21" s="349" t="s">
        <v>3034</v>
      </c>
    </row>
    <row r="22" spans="1:4" x14ac:dyDescent="0.25">
      <c r="A22" s="438" t="s">
        <v>3247</v>
      </c>
      <c r="B22" s="348" t="s">
        <v>3269</v>
      </c>
      <c r="C22" s="214" t="s">
        <v>3055</v>
      </c>
      <c r="D22" s="349" t="s">
        <v>3034</v>
      </c>
    </row>
    <row r="23" spans="1:4" x14ac:dyDescent="0.25">
      <c r="A23" s="438" t="s">
        <v>3248</v>
      </c>
      <c r="B23" s="348" t="s">
        <v>3270</v>
      </c>
      <c r="C23" s="214" t="s">
        <v>3056</v>
      </c>
      <c r="D23" s="349" t="s">
        <v>3034</v>
      </c>
    </row>
    <row r="24" spans="1:4" x14ac:dyDescent="0.25">
      <c r="A24" s="438" t="s">
        <v>3320</v>
      </c>
      <c r="B24" s="348" t="s">
        <v>3271</v>
      </c>
      <c r="C24" s="214" t="s">
        <v>3057</v>
      </c>
      <c r="D24" s="349" t="s">
        <v>3034</v>
      </c>
    </row>
    <row r="25" spans="1:4" x14ac:dyDescent="0.25">
      <c r="A25" s="438" t="s">
        <v>3249</v>
      </c>
      <c r="B25" s="348" t="s">
        <v>3272</v>
      </c>
      <c r="C25" s="214" t="s">
        <v>3058</v>
      </c>
      <c r="D25" s="349" t="s">
        <v>3034</v>
      </c>
    </row>
    <row r="26" spans="1:4" x14ac:dyDescent="0.25">
      <c r="A26" s="438" t="s">
        <v>3250</v>
      </c>
      <c r="B26" s="348" t="s">
        <v>3273</v>
      </c>
      <c r="C26" s="214" t="s">
        <v>3059</v>
      </c>
      <c r="D26" s="349" t="s">
        <v>3034</v>
      </c>
    </row>
    <row r="27" spans="1:4" x14ac:dyDescent="0.25">
      <c r="A27" s="438" t="s">
        <v>3251</v>
      </c>
      <c r="B27" s="348" t="s">
        <v>3274</v>
      </c>
      <c r="C27" s="214" t="s">
        <v>3239</v>
      </c>
      <c r="D27" s="349" t="s">
        <v>3034</v>
      </c>
    </row>
    <row r="28" spans="1:4" x14ac:dyDescent="0.25">
      <c r="A28" s="438" t="s">
        <v>3321</v>
      </c>
      <c r="B28" s="348" t="s">
        <v>3275</v>
      </c>
      <c r="C28" s="214" t="s">
        <v>3240</v>
      </c>
      <c r="D28" s="349" t="s">
        <v>3034</v>
      </c>
    </row>
    <row r="29" spans="1:4" x14ac:dyDescent="0.25">
      <c r="A29" s="342" t="s">
        <v>3322</v>
      </c>
      <c r="B29" s="348" t="s">
        <v>3276</v>
      </c>
      <c r="C29" s="214" t="s">
        <v>3241</v>
      </c>
      <c r="D29" s="349" t="s">
        <v>3034</v>
      </c>
    </row>
    <row r="30" spans="1:4" x14ac:dyDescent="0.25">
      <c r="A30" s="342" t="s">
        <v>3252</v>
      </c>
      <c r="B30" s="348" t="s">
        <v>3277</v>
      </c>
      <c r="C30" s="214" t="s">
        <v>3242</v>
      </c>
      <c r="D30" s="349" t="s">
        <v>3034</v>
      </c>
    </row>
    <row r="31" spans="1:4" x14ac:dyDescent="0.25">
      <c r="A31" s="342" t="s">
        <v>3323</v>
      </c>
      <c r="B31" s="348" t="s">
        <v>3278</v>
      </c>
      <c r="C31" s="214" t="s">
        <v>3243</v>
      </c>
      <c r="D31" s="349" t="s">
        <v>3034</v>
      </c>
    </row>
    <row r="32" spans="1:4" x14ac:dyDescent="0.25">
      <c r="A32" s="342" t="s">
        <v>3253</v>
      </c>
      <c r="B32" s="348" t="s">
        <v>3279</v>
      </c>
      <c r="C32" s="214" t="s">
        <v>3244</v>
      </c>
      <c r="D32" s="349" t="s">
        <v>3034</v>
      </c>
    </row>
    <row r="33" spans="1:4" ht="15.75" thickBot="1" x14ac:dyDescent="0.3">
      <c r="A33" s="343" t="s">
        <v>3254</v>
      </c>
      <c r="B33" s="350" t="s">
        <v>3280</v>
      </c>
      <c r="C33" s="351" t="s">
        <v>3245</v>
      </c>
      <c r="D33" s="352" t="s">
        <v>3034</v>
      </c>
    </row>
    <row r="34" spans="1:4" s="443" customFormat="1" x14ac:dyDescent="0.25">
      <c r="A34" s="439" t="s">
        <v>3309</v>
      </c>
      <c r="B34" s="440" t="s">
        <v>3281</v>
      </c>
      <c r="C34" s="441" t="s">
        <v>3060</v>
      </c>
      <c r="D34" s="442" t="s">
        <v>3035</v>
      </c>
    </row>
    <row r="35" spans="1:4" x14ac:dyDescent="0.25">
      <c r="A35" s="342" t="s">
        <v>3310</v>
      </c>
      <c r="B35" s="348" t="s">
        <v>3282</v>
      </c>
      <c r="C35" s="214" t="s">
        <v>3061</v>
      </c>
      <c r="D35" s="349" t="s">
        <v>3035</v>
      </c>
    </row>
    <row r="36" spans="1:4" x14ac:dyDescent="0.25">
      <c r="A36" s="342" t="s">
        <v>3311</v>
      </c>
      <c r="B36" s="348" t="s">
        <v>3283</v>
      </c>
      <c r="C36" s="214" t="s">
        <v>3062</v>
      </c>
      <c r="D36" s="349" t="s">
        <v>3035</v>
      </c>
    </row>
    <row r="37" spans="1:4" x14ac:dyDescent="0.25">
      <c r="A37" s="342" t="s">
        <v>3312</v>
      </c>
      <c r="B37" s="348" t="s">
        <v>3284</v>
      </c>
      <c r="C37" s="214" t="s">
        <v>3063</v>
      </c>
      <c r="D37" s="349" t="s">
        <v>3035</v>
      </c>
    </row>
    <row r="38" spans="1:4" x14ac:dyDescent="0.25">
      <c r="A38" s="342" t="s">
        <v>3313</v>
      </c>
      <c r="B38" s="348" t="s">
        <v>3285</v>
      </c>
      <c r="C38" s="214" t="s">
        <v>3288</v>
      </c>
      <c r="D38" s="349" t="s">
        <v>3035</v>
      </c>
    </row>
    <row r="39" spans="1:4" x14ac:dyDescent="0.25">
      <c r="A39" s="342" t="s">
        <v>3314</v>
      </c>
      <c r="B39" s="348" t="s">
        <v>3286</v>
      </c>
      <c r="C39" s="214" t="s">
        <v>3289</v>
      </c>
      <c r="D39" s="349" t="s">
        <v>3035</v>
      </c>
    </row>
    <row r="40" spans="1:4" x14ac:dyDescent="0.25">
      <c r="A40" s="342" t="s">
        <v>3315</v>
      </c>
      <c r="B40" s="348" t="s">
        <v>3287</v>
      </c>
      <c r="C40" s="214" t="s">
        <v>3290</v>
      </c>
      <c r="D40" s="349" t="s">
        <v>3035</v>
      </c>
    </row>
    <row r="41" spans="1:4" s="462" customFormat="1" ht="15.75" thickBot="1" x14ac:dyDescent="0.3">
      <c r="A41" s="458" t="s">
        <v>3343</v>
      </c>
      <c r="B41" s="459" t="s">
        <v>3342</v>
      </c>
      <c r="C41" s="460" t="s">
        <v>3341</v>
      </c>
      <c r="D41" s="461" t="s">
        <v>3035</v>
      </c>
    </row>
    <row r="42" spans="1:4" x14ac:dyDescent="0.25">
      <c r="A42" s="431"/>
      <c r="B42" s="215"/>
      <c r="C42" s="214"/>
      <c r="D42" s="214"/>
    </row>
    <row r="43" spans="1:4" x14ac:dyDescent="0.25">
      <c r="A43" s="431"/>
      <c r="B43" s="215"/>
      <c r="C43" s="214"/>
      <c r="D43" s="214"/>
    </row>
  </sheetData>
  <phoneticPr fontId="48" type="noConversion"/>
  <pageMargins left="0.7" right="0.7" top="0.75" bottom="0.75" header="0.3" footer="0.3"/>
  <pageSetup paperSize="9" scale="34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E73"/>
  <sheetViews>
    <sheetView view="pageBreakPreview" topLeftCell="A44" zoomScaleNormal="100" zoomScaleSheetLayoutView="100" workbookViewId="0">
      <selection activeCell="A73" sqref="A73"/>
    </sheetView>
  </sheetViews>
  <sheetFormatPr baseColWidth="10" defaultRowHeight="15" x14ac:dyDescent="0.25"/>
  <cols>
    <col min="1" max="1" width="62" customWidth="1"/>
    <col min="2" max="2" width="101.42578125" customWidth="1"/>
    <col min="3" max="3" width="71.5703125" customWidth="1"/>
    <col min="4" max="4" width="22.7109375" bestFit="1" customWidth="1"/>
    <col min="5" max="5" width="19.28515625" bestFit="1" customWidth="1"/>
  </cols>
  <sheetData>
    <row r="1" spans="1:5" ht="15.75" thickBot="1" x14ac:dyDescent="0.3">
      <c r="A1" s="216" t="s">
        <v>3031</v>
      </c>
      <c r="B1" s="216" t="s">
        <v>2753</v>
      </c>
      <c r="C1" s="216" t="s">
        <v>3146</v>
      </c>
      <c r="D1" s="216" t="s">
        <v>2752</v>
      </c>
      <c r="E1" s="216" t="s">
        <v>2754</v>
      </c>
    </row>
    <row r="2" spans="1:5" x14ac:dyDescent="0.25">
      <c r="A2" s="358" t="s">
        <v>2794</v>
      </c>
      <c r="B2" s="356" t="s">
        <v>2795</v>
      </c>
      <c r="C2" s="289" t="str">
        <f>TablaSubAccionEspecifica[[#This Row],[Cod_Acción_especifica]]&amp;"_"&amp;TablaSubAccionEspecifica[[#This Row],[Nombre_Abreviado]]</f>
        <v>K31.1.1_Inscripción</v>
      </c>
      <c r="D2" s="217" t="s">
        <v>3129</v>
      </c>
      <c r="E2" s="219" t="s">
        <v>3036</v>
      </c>
    </row>
    <row r="3" spans="1:5" x14ac:dyDescent="0.25">
      <c r="A3" s="359" t="s">
        <v>3303</v>
      </c>
      <c r="B3" s="357" t="s">
        <v>2797</v>
      </c>
      <c r="C3" s="289" t="str">
        <f>TablaSubAccionEspecifica[[#This Row],[Cod_Acción_especifica]]&amp;"_"&amp;TablaSubAccionEspecifica[[#This Row],[Nombre_Abreviado]]</f>
        <v>K31.1.1_Modificación de Registro</v>
      </c>
      <c r="D3" s="217" t="s">
        <v>3130</v>
      </c>
      <c r="E3" s="219" t="s">
        <v>3036</v>
      </c>
    </row>
    <row r="4" spans="1:5" x14ac:dyDescent="0.25">
      <c r="A4" s="359" t="s">
        <v>2802</v>
      </c>
      <c r="B4" s="357" t="s">
        <v>2803</v>
      </c>
      <c r="C4" s="289" t="str">
        <f>TablaSubAccionEspecifica[[#This Row],[Cod_Acción_especifica]]&amp;"_"&amp;TablaSubAccionEspecifica[[#This Row],[Nombre_Abreviado]]</f>
        <v>K31.1.1_Modificación de Datos</v>
      </c>
      <c r="D4" s="217" t="s">
        <v>3130</v>
      </c>
      <c r="E4" s="219" t="s">
        <v>3036</v>
      </c>
    </row>
    <row r="5" spans="1:5" x14ac:dyDescent="0.25">
      <c r="A5" s="359" t="s">
        <v>2798</v>
      </c>
      <c r="B5" s="357" t="s">
        <v>2369</v>
      </c>
      <c r="C5" s="289" t="str">
        <f>TablaSubAccionEspecifica[[#This Row],[Cod_Acción_especifica]]&amp;"_"&amp;TablaSubAccionEspecifica[[#This Row],[Nombre_Abreviado]]</f>
        <v>K31.1.1_Suspensión</v>
      </c>
      <c r="D5" s="225" t="s">
        <v>3131</v>
      </c>
      <c r="E5" s="226" t="s">
        <v>3036</v>
      </c>
    </row>
    <row r="6" spans="1:5" x14ac:dyDescent="0.25">
      <c r="A6" s="359" t="s">
        <v>2799</v>
      </c>
      <c r="B6" s="357" t="s">
        <v>2370</v>
      </c>
      <c r="C6" s="289" t="str">
        <f>TablaSubAccionEspecifica[[#This Row],[Cod_Acción_especifica]]&amp;"_"&amp;TablaSubAccionEspecifica[[#This Row],[Nombre_Abreviado]]</f>
        <v>K31.1.1_Habilitación</v>
      </c>
      <c r="D6" s="225" t="s">
        <v>3132</v>
      </c>
      <c r="E6" s="226" t="s">
        <v>3036</v>
      </c>
    </row>
    <row r="7" spans="1:5" x14ac:dyDescent="0.25">
      <c r="A7" s="359" t="s">
        <v>2800</v>
      </c>
      <c r="B7" s="357" t="s">
        <v>2371</v>
      </c>
      <c r="C7" s="289" t="str">
        <f>TablaSubAccionEspecifica[[#This Row],[Cod_Acción_especifica]]&amp;"_"&amp;TablaSubAccionEspecifica[[#This Row],[Nombre_Abreviado]]</f>
        <v>K31.1.1_Cancelación</v>
      </c>
      <c r="D7" s="225" t="s">
        <v>3133</v>
      </c>
      <c r="E7" s="226" t="s">
        <v>3036</v>
      </c>
    </row>
    <row r="8" spans="1:5" x14ac:dyDescent="0.25">
      <c r="A8" s="360" t="s">
        <v>5</v>
      </c>
      <c r="B8" s="218" t="s">
        <v>5</v>
      </c>
      <c r="C8" s="289" t="str">
        <f>TablaSubAccionEspecifica[[#This Row],[Cod_Acción_especifica]]&amp;"_"&amp;TablaSubAccionEspecifica[[#This Row],[Nombre_Abreviado]]</f>
        <v>K31.1.2_Instalación</v>
      </c>
      <c r="D8" s="217" t="s">
        <v>3077</v>
      </c>
      <c r="E8" s="219" t="s">
        <v>3037</v>
      </c>
    </row>
    <row r="9" spans="1:5" x14ac:dyDescent="0.25">
      <c r="A9" s="360" t="s">
        <v>9</v>
      </c>
      <c r="B9" s="218" t="s">
        <v>9</v>
      </c>
      <c r="C9" s="289" t="str">
        <f>TablaSubAccionEspecifica[[#This Row],[Cod_Acción_especifica]]&amp;"_"&amp;TablaSubAccionEspecifica[[#This Row],[Nombre_Abreviado]]</f>
        <v>K31.1.2_Modificación de instalación</v>
      </c>
      <c r="D9" s="217" t="s">
        <v>3078</v>
      </c>
      <c r="E9" s="219" t="s">
        <v>3037</v>
      </c>
    </row>
    <row r="10" spans="1:5" x14ac:dyDescent="0.25">
      <c r="A10" s="360" t="s">
        <v>2760</v>
      </c>
      <c r="B10" s="218" t="s">
        <v>2760</v>
      </c>
      <c r="C10" s="289" t="str">
        <f>TablaSubAccionEspecifica[[#This Row],[Cod_Acción_especifica]]&amp;"_"&amp;TablaSubAccionEspecifica[[#This Row],[Nombre_Abreviado]]</f>
        <v>K31.1.3_Diseño</v>
      </c>
      <c r="D10" s="217" t="s">
        <v>3079</v>
      </c>
      <c r="E10" s="219" t="s">
        <v>3038</v>
      </c>
    </row>
    <row r="11" spans="1:5" x14ac:dyDescent="0.25">
      <c r="A11" s="360" t="s">
        <v>2761</v>
      </c>
      <c r="B11" s="218" t="s">
        <v>2761</v>
      </c>
      <c r="C11" s="289" t="str">
        <f>TablaSubAccionEspecifica[[#This Row],[Cod_Acción_especifica]]&amp;"_"&amp;TablaSubAccionEspecifica[[#This Row],[Nombre_Abreviado]]</f>
        <v>K31.1.3_Fin de construcción</v>
      </c>
      <c r="D11" s="217" t="s">
        <v>3080</v>
      </c>
      <c r="E11" s="219" t="s">
        <v>3038</v>
      </c>
    </row>
    <row r="12" spans="1:5" x14ac:dyDescent="0.25">
      <c r="A12" s="360" t="s">
        <v>2762</v>
      </c>
      <c r="B12" s="218" t="s">
        <v>2762</v>
      </c>
      <c r="C12" s="289" t="str">
        <f>TablaSubAccionEspecifica[[#This Row],[Cod_Acción_especifica]]&amp;"_"&amp;TablaSubAccionEspecifica[[#This Row],[Nombre_Abreviado]]</f>
        <v>K31.1.3_Modificación de diseño</v>
      </c>
      <c r="D12" s="217" t="s">
        <v>3081</v>
      </c>
      <c r="E12" s="219" t="s">
        <v>3038</v>
      </c>
    </row>
    <row r="13" spans="1:5" x14ac:dyDescent="0.25">
      <c r="A13" s="360" t="s">
        <v>2763</v>
      </c>
      <c r="B13" s="218" t="s">
        <v>2763</v>
      </c>
      <c r="C13" s="289" t="str">
        <f>TablaSubAccionEspecifica[[#This Row],[Cod_Acción_especifica]]&amp;"_"&amp;TablaSubAccionEspecifica[[#This Row],[Nombre_Abreviado]]</f>
        <v>K31.1.3_Funcionamiento</v>
      </c>
      <c r="D13" s="217" t="s">
        <v>3082</v>
      </c>
      <c r="E13" s="219" t="s">
        <v>3038</v>
      </c>
    </row>
    <row r="14" spans="1:5" x14ac:dyDescent="0.25">
      <c r="A14" s="360" t="s">
        <v>2764</v>
      </c>
      <c r="B14" s="218" t="s">
        <v>2764</v>
      </c>
      <c r="C14" s="289" t="str">
        <f>TablaSubAccionEspecifica[[#This Row],[Cod_Acción_especifica]]&amp;"_"&amp;TablaSubAccionEspecifica[[#This Row],[Nombre_Abreviado]]</f>
        <v>K31.1.3_Modificación de funcionamiento</v>
      </c>
      <c r="D14" s="217" t="s">
        <v>3083</v>
      </c>
      <c r="E14" s="219" t="s">
        <v>3038</v>
      </c>
    </row>
    <row r="15" spans="1:5" x14ac:dyDescent="0.25">
      <c r="A15" s="360" t="s">
        <v>2765</v>
      </c>
      <c r="B15" s="353" t="s">
        <v>2765</v>
      </c>
      <c r="C15" s="354" t="str">
        <f>TablaSubAccionEspecifica[[#This Row],[Cod_Acción_especifica]]&amp;"_"&amp;TablaSubAccionEspecifica[[#This Row],[Nombre_Abreviado]]</f>
        <v>K31.1.4_VPH tuberías</v>
      </c>
      <c r="D15" s="236" t="s">
        <v>3084</v>
      </c>
      <c r="E15" s="361" t="s">
        <v>3039</v>
      </c>
    </row>
    <row r="16" spans="1:5" x14ac:dyDescent="0.25">
      <c r="A16" s="360" t="s">
        <v>2766</v>
      </c>
      <c r="B16" s="353" t="s">
        <v>2766</v>
      </c>
      <c r="C16" s="354" t="str">
        <f>TablaSubAccionEspecifica[[#This Row],[Cod_Acción_especifica]]&amp;"_"&amp;TablaSubAccionEspecifica[[#This Row],[Nombre_Abreviado]]</f>
        <v>K31.1.4_VPH tanques</v>
      </c>
      <c r="D16" s="236" t="s">
        <v>3085</v>
      </c>
      <c r="E16" s="361" t="s">
        <v>3039</v>
      </c>
    </row>
    <row r="17" spans="1:5" x14ac:dyDescent="0.25">
      <c r="A17" s="360" t="s">
        <v>2785</v>
      </c>
      <c r="B17" s="218" t="s">
        <v>2785</v>
      </c>
      <c r="C17" s="289" t="str">
        <f>TablaSubAccionEspecifica[[#This Row],[Cod_Acción_especifica]]&amp;"_"&amp;TablaSubAccionEspecifica[[#This Row],[Nombre_Abreviado]]</f>
        <v>K31.1.5_Agentes formales</v>
      </c>
      <c r="D17" s="217" t="s">
        <v>3113</v>
      </c>
      <c r="E17" s="219" t="s">
        <v>3040</v>
      </c>
    </row>
    <row r="18" spans="1:5" x14ac:dyDescent="0.25">
      <c r="A18" s="204" t="s">
        <v>2767</v>
      </c>
      <c r="B18" s="221" t="s">
        <v>2786</v>
      </c>
      <c r="C18" s="289" t="str">
        <f>TablaSubAccionEspecifica[[#This Row],[Cod_Acción_especifica]]&amp;"_"&amp;TablaSubAccionEspecifica[[#This Row],[Nombre_Abreviado]]</f>
        <v>K31.1.5_Medidas de seguridad</v>
      </c>
      <c r="D18" s="220" t="s">
        <v>3114</v>
      </c>
      <c r="E18" s="219" t="s">
        <v>3040</v>
      </c>
    </row>
    <row r="19" spans="1:5" x14ac:dyDescent="0.25">
      <c r="A19" s="360" t="s">
        <v>2787</v>
      </c>
      <c r="B19" s="218" t="s">
        <v>2787</v>
      </c>
      <c r="C19" s="289" t="str">
        <f>TablaSubAccionEspecifica[[#This Row],[Cod_Acción_especifica]]&amp;"_"&amp;TablaSubAccionEspecifica[[#This Row],[Nombre_Abreviado]]</f>
        <v>K31.1.5_Informalidad</v>
      </c>
      <c r="D19" s="217" t="s">
        <v>3115</v>
      </c>
      <c r="E19" s="219" t="s">
        <v>3040</v>
      </c>
    </row>
    <row r="20" spans="1:5" x14ac:dyDescent="0.25">
      <c r="A20" s="360" t="s">
        <v>2701</v>
      </c>
      <c r="B20" s="218" t="s">
        <v>30</v>
      </c>
      <c r="C20" s="289" t="str">
        <f>TablaSubAccionEspecifica[[#This Row],[Cod_Acción_especifica]]&amp;"_"&amp;TablaSubAccionEspecifica[[#This Row],[Nombre_Abreviado]]</f>
        <v>K31.2.1_Price</v>
      </c>
      <c r="D20" s="217" t="s">
        <v>3064</v>
      </c>
      <c r="E20" s="219" t="s">
        <v>3041</v>
      </c>
    </row>
    <row r="21" spans="1:5" x14ac:dyDescent="0.25">
      <c r="A21" s="360" t="s">
        <v>2561</v>
      </c>
      <c r="B21" s="218" t="s">
        <v>2561</v>
      </c>
      <c r="C21" s="289" t="str">
        <f>TablaSubAccionEspecifica[[#This Row],[Cod_Acción_especifica]]&amp;"_"&amp;TablaSubAccionEspecifica[[#This Row],[Nombre_Abreviado]]</f>
        <v>K31.2.2_RIC</v>
      </c>
      <c r="D21" s="217" t="s">
        <v>3065</v>
      </c>
      <c r="E21" s="219" t="s">
        <v>3042</v>
      </c>
    </row>
    <row r="22" spans="1:5" x14ac:dyDescent="0.25">
      <c r="A22" s="360" t="s">
        <v>2702</v>
      </c>
      <c r="B22" s="218" t="s">
        <v>2702</v>
      </c>
      <c r="C22" s="289" t="str">
        <f>TablaSubAccionEspecifica[[#This Row],[Cod_Acción_especifica]]&amp;"_"&amp;TablaSubAccionEspecifica[[#This Row],[Nombre_Abreviado]]</f>
        <v>K31.2.3_Control volumétrico</v>
      </c>
      <c r="D22" s="217" t="s">
        <v>3066</v>
      </c>
      <c r="E22" s="219" t="s">
        <v>3043</v>
      </c>
    </row>
    <row r="23" spans="1:5" x14ac:dyDescent="0.25">
      <c r="A23" s="360" t="s">
        <v>32</v>
      </c>
      <c r="B23" s="218" t="s">
        <v>32</v>
      </c>
      <c r="C23" s="289" t="str">
        <f>TablaSubAccionEspecifica[[#This Row],[Cod_Acción_especifica]]&amp;"_"&amp;TablaSubAccionEspecifica[[#This Row],[Nombre_Abreviado]]</f>
        <v>K31.2.4_GPS</v>
      </c>
      <c r="D23" s="217" t="s">
        <v>3067</v>
      </c>
      <c r="E23" s="219" t="s">
        <v>3044</v>
      </c>
    </row>
    <row r="24" spans="1:5" x14ac:dyDescent="0.25">
      <c r="A24" s="218" t="s">
        <v>3333</v>
      </c>
      <c r="B24" s="218" t="s">
        <v>3327</v>
      </c>
      <c r="C24" s="407" t="str">
        <f>TablaSubAccionEspecifica[[#This Row],[Cod_Acción_especifica]]&amp;"_"&amp;TablaSubAccionEspecifica[[#This Row],[Nombre_Abreviado]]</f>
        <v>K31.2.13_Fiscalización por empadronamiento de transporte con GPS-PD</v>
      </c>
      <c r="D24" s="408" t="s">
        <v>3103</v>
      </c>
      <c r="E24" s="227" t="s">
        <v>3326</v>
      </c>
    </row>
    <row r="25" spans="1:5" x14ac:dyDescent="0.25">
      <c r="A25" s="360" t="s">
        <v>37</v>
      </c>
      <c r="B25" s="218" t="s">
        <v>37</v>
      </c>
      <c r="C25" s="289" t="str">
        <f>TablaSubAccionEspecifica[[#This Row],[Cod_Acción_especifica]]&amp;"_"&amp;TablaSubAccionEspecifica[[#This Row],[Nombre_Abreviado]]</f>
        <v>K31.2.5_SCOP</v>
      </c>
      <c r="D25" s="217" t="s">
        <v>3068</v>
      </c>
      <c r="E25" s="219" t="s">
        <v>3045</v>
      </c>
    </row>
    <row r="26" spans="1:5" x14ac:dyDescent="0.25">
      <c r="A26" s="360" t="s">
        <v>2564</v>
      </c>
      <c r="B26" s="218" t="s">
        <v>2564</v>
      </c>
      <c r="C26" s="289" t="str">
        <f>TablaSubAccionEspecifica[[#This Row],[Cod_Acción_especifica]]&amp;"_"&amp;TablaSubAccionEspecifica[[#This Row],[Nombre_Abreviado]]</f>
        <v>K31.2.6_SPIC</v>
      </c>
      <c r="D26" s="217" t="s">
        <v>3069</v>
      </c>
      <c r="E26" s="219" t="s">
        <v>3046</v>
      </c>
    </row>
    <row r="27" spans="1:5" x14ac:dyDescent="0.25">
      <c r="A27" s="360" t="s">
        <v>2755</v>
      </c>
      <c r="B27" s="218" t="s">
        <v>2755</v>
      </c>
      <c r="C27" s="289" t="str">
        <f>TablaSubAccionEspecifica[[#This Row],[Cod_Acción_especifica]]&amp;"_"&amp;TablaSubAccionEspecifica[[#This Row],[Nombre_Abreviado]]</f>
        <v>K31.2.7_Envasado de cilindros de GLP</v>
      </c>
      <c r="D27" s="217" t="s">
        <v>3070</v>
      </c>
      <c r="E27" s="219" t="s">
        <v>3047</v>
      </c>
    </row>
    <row r="28" spans="1:5" x14ac:dyDescent="0.25">
      <c r="A28" s="360" t="s">
        <v>2756</v>
      </c>
      <c r="B28" s="218" t="s">
        <v>2756</v>
      </c>
      <c r="C28" s="289" t="str">
        <f>TablaSubAccionEspecifica[[#This Row],[Cod_Acción_especifica]]&amp;"_"&amp;TablaSubAccionEspecifica[[#This Row],[Nombre_Abreviado]]</f>
        <v>K31.2.7_Pintado de cilindros de GLP</v>
      </c>
      <c r="D28" s="217" t="s">
        <v>3071</v>
      </c>
      <c r="E28" s="219" t="s">
        <v>3047</v>
      </c>
    </row>
    <row r="29" spans="1:5" x14ac:dyDescent="0.25">
      <c r="A29" s="360" t="s">
        <v>2757</v>
      </c>
      <c r="B29" s="218" t="s">
        <v>2757</v>
      </c>
      <c r="C29" s="289" t="str">
        <f>TablaSubAccionEspecifica[[#This Row],[Cod_Acción_especifica]]&amp;"_"&amp;TablaSubAccionEspecifica[[#This Row],[Nombre_Abreviado]]</f>
        <v>K31.2.7_Canje de cilindros de GLP</v>
      </c>
      <c r="D29" s="217" t="s">
        <v>3072</v>
      </c>
      <c r="E29" s="219" t="s">
        <v>3047</v>
      </c>
    </row>
    <row r="30" spans="1:5" x14ac:dyDescent="0.25">
      <c r="A30" s="360" t="s">
        <v>2758</v>
      </c>
      <c r="B30" s="218" t="s">
        <v>2758</v>
      </c>
      <c r="C30" s="289" t="str">
        <f>TablaSubAccionEspecifica[[#This Row],[Cod_Acción_especifica]]&amp;"_"&amp;TablaSubAccionEspecifica[[#This Row],[Nombre_Abreviado]]</f>
        <v>K31.2.7_Integridad de cilindro de GLP</v>
      </c>
      <c r="D30" s="217" t="s">
        <v>3073</v>
      </c>
      <c r="E30" s="219" t="s">
        <v>3047</v>
      </c>
    </row>
    <row r="31" spans="1:5" x14ac:dyDescent="0.25">
      <c r="A31" s="360" t="s">
        <v>2705</v>
      </c>
      <c r="B31" s="218" t="s">
        <v>2705</v>
      </c>
      <c r="C31" s="289" t="str">
        <f>TablaSubAccionEspecifica[[#This Row],[Cod_Acción_especifica]]&amp;"_"&amp;TablaSubAccionEspecifica[[#This Row],[Nombre_Abreviado]]</f>
        <v>K31.2.8_Informalidad de oficio</v>
      </c>
      <c r="D31" s="217" t="s">
        <v>3074</v>
      </c>
      <c r="E31" s="219" t="s">
        <v>3048</v>
      </c>
    </row>
    <row r="32" spans="1:5" x14ac:dyDescent="0.25">
      <c r="A32" s="360" t="s">
        <v>2759</v>
      </c>
      <c r="B32" s="218" t="s">
        <v>2759</v>
      </c>
      <c r="C32" s="289" t="str">
        <f>TablaSubAccionEspecifica[[#This Row],[Cod_Acción_especifica]]&amp;"_"&amp;TablaSubAccionEspecifica[[#This Row],[Nombre_Abreviado]]</f>
        <v>K31.2.9_Comiso</v>
      </c>
      <c r="D32" s="217" t="s">
        <v>3075</v>
      </c>
      <c r="E32" s="219" t="s">
        <v>3049</v>
      </c>
    </row>
    <row r="33" spans="1:5" x14ac:dyDescent="0.25">
      <c r="A33" s="360" t="s">
        <v>2736</v>
      </c>
      <c r="B33" s="218" t="s">
        <v>2736</v>
      </c>
      <c r="C33" s="289" t="str">
        <f>TablaSubAccionEspecifica[[#This Row],[Cod_Acción_especifica]]&amp;"_"&amp;TablaSubAccionEspecifica[[#This Row],[Nombre_Abreviado]]</f>
        <v>K31.2.10_Minería ilegal</v>
      </c>
      <c r="D33" s="217" t="s">
        <v>3119</v>
      </c>
      <c r="E33" s="219" t="s">
        <v>3050</v>
      </c>
    </row>
    <row r="34" spans="1:5" x14ac:dyDescent="0.25">
      <c r="A34" s="204" t="s">
        <v>2767</v>
      </c>
      <c r="B34" s="221" t="s">
        <v>2789</v>
      </c>
      <c r="C34" s="289" t="str">
        <f>TablaSubAccionEspecifica[[#This Row],[Cod_Acción_especifica]]&amp;"_"&amp;TablaSubAccionEspecifica[[#This Row],[Nombre_Abreviado]]</f>
        <v>K31.2.10_Medidas de seguridad</v>
      </c>
      <c r="D34" s="220" t="s">
        <v>3120</v>
      </c>
      <c r="E34" s="219" t="s">
        <v>3050</v>
      </c>
    </row>
    <row r="35" spans="1:5" x14ac:dyDescent="0.25">
      <c r="A35" s="360" t="s">
        <v>2502</v>
      </c>
      <c r="B35" s="218" t="s">
        <v>2502</v>
      </c>
      <c r="C35" s="289" t="str">
        <f>TablaSubAccionEspecifica[[#This Row],[Cod_Acción_especifica]]&amp;"_"&amp;TablaSubAccionEspecifica[[#This Row],[Nombre_Abreviado]]</f>
        <v>K31.2.11_Orientativa SCOP</v>
      </c>
      <c r="D35" s="217" t="s">
        <v>3076</v>
      </c>
      <c r="E35" s="219" t="s">
        <v>3051</v>
      </c>
    </row>
    <row r="36" spans="1:5" x14ac:dyDescent="0.25">
      <c r="A36" s="360" t="s">
        <v>3207</v>
      </c>
      <c r="B36" s="218" t="s">
        <v>3207</v>
      </c>
      <c r="C36" s="289" t="str">
        <f>TablaSubAccionEspecifica[[#This Row],[Cod_Acción_especifica]]&amp;"_"&amp;TablaSubAccionEspecifica[[#This Row],[Nombre_Abreviado]]</f>
        <v>K31.2.12_Verificación de pólizas en el módulo de Pólizas</v>
      </c>
      <c r="D36" s="217" t="s">
        <v>3208</v>
      </c>
      <c r="E36" s="219" t="s">
        <v>3052</v>
      </c>
    </row>
    <row r="37" spans="1:5" x14ac:dyDescent="0.25">
      <c r="A37" s="360" t="s">
        <v>2713</v>
      </c>
      <c r="B37" s="218" t="s">
        <v>2713</v>
      </c>
      <c r="C37" s="289" t="str">
        <f>TablaSubAccionEspecifica[[#This Row],[Cod_Acción_especifica]]&amp;"_"&amp;TablaSubAccionEspecifica[[#This Row],[Nombre_Abreviado]]</f>
        <v>K31.3.1_Criticidad de instalaciones</v>
      </c>
      <c r="D37" s="217" t="s">
        <v>3086</v>
      </c>
      <c r="E37" s="219" t="s">
        <v>3053</v>
      </c>
    </row>
    <row r="38" spans="1:5" x14ac:dyDescent="0.25">
      <c r="A38" s="204" t="s">
        <v>2767</v>
      </c>
      <c r="B38" s="221" t="s">
        <v>2768</v>
      </c>
      <c r="C38" s="289" t="str">
        <f>TablaSubAccionEspecifica[[#This Row],[Cod_Acción_especifica]]&amp;"_"&amp;TablaSubAccionEspecifica[[#This Row],[Nombre_Abreviado]]</f>
        <v>K31.3.1_Medidas de seguridad</v>
      </c>
      <c r="D38" s="220" t="s">
        <v>3087</v>
      </c>
      <c r="E38" s="219" t="s">
        <v>3053</v>
      </c>
    </row>
    <row r="39" spans="1:5" x14ac:dyDescent="0.25">
      <c r="A39" s="363" t="s">
        <v>2714</v>
      </c>
      <c r="B39" s="222" t="s">
        <v>2714</v>
      </c>
      <c r="C39" s="289" t="str">
        <f>TablaSubAccionEspecifica[[#This Row],[Cod_Acción_especifica]]&amp;"_"&amp;TablaSubAccionEspecifica[[#This Row],[Nombre_Abreviado]]</f>
        <v>K31.3.2_Seguridad de LV GLP</v>
      </c>
      <c r="D39" s="217" t="s">
        <v>3088</v>
      </c>
      <c r="E39" s="219" t="s">
        <v>3054</v>
      </c>
    </row>
    <row r="40" spans="1:5" x14ac:dyDescent="0.25">
      <c r="A40" s="204" t="s">
        <v>2767</v>
      </c>
      <c r="B40" s="221" t="s">
        <v>2769</v>
      </c>
      <c r="C40" s="289" t="str">
        <f>TablaSubAccionEspecifica[[#This Row],[Cod_Acción_especifica]]&amp;"_"&amp;TablaSubAccionEspecifica[[#This Row],[Nombre_Abreviado]]</f>
        <v>K31.3.2_Medidas de seguridad</v>
      </c>
      <c r="D40" s="220" t="s">
        <v>3089</v>
      </c>
      <c r="E40" s="219" t="s">
        <v>3054</v>
      </c>
    </row>
    <row r="41" spans="1:5" x14ac:dyDescent="0.25">
      <c r="A41" s="363" t="s">
        <v>2716</v>
      </c>
      <c r="B41" s="222" t="s">
        <v>2716</v>
      </c>
      <c r="C41" s="289" t="str">
        <f>TablaSubAccionEspecifica[[#This Row],[Cod_Acción_especifica]]&amp;"_"&amp;TablaSubAccionEspecifica[[#This Row],[Nombre_Abreviado]]</f>
        <v>K31.3.3_Seguridad de CD ó RD de GLP</v>
      </c>
      <c r="D41" s="217" t="s">
        <v>3090</v>
      </c>
      <c r="E41" s="219" t="s">
        <v>3055</v>
      </c>
    </row>
    <row r="42" spans="1:5" x14ac:dyDescent="0.25">
      <c r="A42" s="204" t="s">
        <v>2767</v>
      </c>
      <c r="B42" s="221" t="s">
        <v>2770</v>
      </c>
      <c r="C42" s="289" t="str">
        <f>TablaSubAccionEspecifica[[#This Row],[Cod_Acción_especifica]]&amp;"_"&amp;TablaSubAccionEspecifica[[#This Row],[Nombre_Abreviado]]</f>
        <v>K31.3.3_Medidas de seguridad</v>
      </c>
      <c r="D42" s="220" t="s">
        <v>3091</v>
      </c>
      <c r="E42" s="219" t="s">
        <v>3055</v>
      </c>
    </row>
    <row r="43" spans="1:5" x14ac:dyDescent="0.25">
      <c r="A43" s="362" t="s">
        <v>2771</v>
      </c>
      <c r="B43" s="223" t="s">
        <v>2771</v>
      </c>
      <c r="C43" s="289" t="str">
        <f>TablaSubAccionEspecifica[[#This Row],[Cod_Acción_especifica]]&amp;"_"&amp;TablaSubAccionEspecifica[[#This Row],[Nombre_Abreviado]]</f>
        <v>K31.3.4_Certific.PE ó Distribuidor a granel de GLP</v>
      </c>
      <c r="D43" s="217" t="s">
        <v>3092</v>
      </c>
      <c r="E43" s="219" t="s">
        <v>3056</v>
      </c>
    </row>
    <row r="44" spans="1:5" x14ac:dyDescent="0.25">
      <c r="A44" s="363" t="s">
        <v>2510</v>
      </c>
      <c r="B44" s="222" t="s">
        <v>2510</v>
      </c>
      <c r="C44" s="289" t="str">
        <f>TablaSubAccionEspecifica[[#This Row],[Cod_Acción_especifica]]&amp;"_"&amp;TablaSubAccionEspecifica[[#This Row],[Nombre_Abreviado]]</f>
        <v>K31.3.5_Criticidad de cilindros de GLP</v>
      </c>
      <c r="D44" s="217" t="s">
        <v>3093</v>
      </c>
      <c r="E44" s="219" t="s">
        <v>3057</v>
      </c>
    </row>
    <row r="45" spans="1:5" x14ac:dyDescent="0.25">
      <c r="A45" s="204" t="s">
        <v>2767</v>
      </c>
      <c r="B45" s="221" t="s">
        <v>2772</v>
      </c>
      <c r="C45" s="289" t="str">
        <f>TablaSubAccionEspecifica[[#This Row],[Cod_Acción_especifica]]&amp;"_"&amp;TablaSubAccionEspecifica[[#This Row],[Nombre_Abreviado]]</f>
        <v>K31.3.5_Medidas de seguridad</v>
      </c>
      <c r="D45" s="220" t="s">
        <v>3094</v>
      </c>
      <c r="E45" s="219" t="s">
        <v>3057</v>
      </c>
    </row>
    <row r="46" spans="1:5" x14ac:dyDescent="0.25">
      <c r="A46" s="362" t="s">
        <v>3302</v>
      </c>
      <c r="B46" s="223" t="s">
        <v>3302</v>
      </c>
      <c r="C46" s="289" t="str">
        <f>TablaSubAccionEspecifica[[#This Row],[Cod_Acción_especifica]]&amp;"_"&amp;TablaSubAccionEspecifica[[#This Row],[Nombre_Abreviado]]</f>
        <v>K31.3.6_Fiscalización operativa de los demás agentes</v>
      </c>
      <c r="D46" s="217" t="s">
        <v>3096</v>
      </c>
      <c r="E46" s="219" t="s">
        <v>3058</v>
      </c>
    </row>
    <row r="47" spans="1:5" x14ac:dyDescent="0.25">
      <c r="A47" s="360" t="s">
        <v>2721</v>
      </c>
      <c r="B47" s="222" t="s">
        <v>2721</v>
      </c>
      <c r="C47" s="289" t="str">
        <f>TablaSubAccionEspecifica[[#This Row],[Cod_Acción_especifica]]&amp;"_"&amp;TablaSubAccionEspecifica[[#This Row],[Nombre_Abreviado]]</f>
        <v>K31.3.7_Actos inseguros</v>
      </c>
      <c r="D47" s="217" t="s">
        <v>3098</v>
      </c>
      <c r="E47" s="219" t="s">
        <v>3059</v>
      </c>
    </row>
    <row r="48" spans="1:5" x14ac:dyDescent="0.25">
      <c r="A48" s="204" t="s">
        <v>2767</v>
      </c>
      <c r="B48" s="221" t="s">
        <v>2776</v>
      </c>
      <c r="C48" s="289" t="str">
        <f>TablaSubAccionEspecifica[[#This Row],[Cod_Acción_especifica]]&amp;"_"&amp;TablaSubAccionEspecifica[[#This Row],[Nombre_Abreviado]]</f>
        <v>K31.3.7_Medidas de seguridad</v>
      </c>
      <c r="D48" s="220" t="s">
        <v>3099</v>
      </c>
      <c r="E48" s="219" t="s">
        <v>3059</v>
      </c>
    </row>
    <row r="49" spans="1:5" x14ac:dyDescent="0.25">
      <c r="A49" s="360" t="s">
        <v>2722</v>
      </c>
      <c r="B49" s="218" t="s">
        <v>2722</v>
      </c>
      <c r="C49" s="289" t="str">
        <f>TablaSubAccionEspecifica[[#This Row],[Cod_Acción_especifica]]&amp;"_"&amp;TablaSubAccionEspecifica[[#This Row],[Nombre_Abreviado]]</f>
        <v>K31.3.8_PDJ</v>
      </c>
      <c r="D49" s="217" t="s">
        <v>3100</v>
      </c>
      <c r="E49" s="219" t="s">
        <v>3239</v>
      </c>
    </row>
    <row r="50" spans="1:5" x14ac:dyDescent="0.25">
      <c r="A50" s="360" t="s">
        <v>2777</v>
      </c>
      <c r="B50" s="218" t="s">
        <v>2777</v>
      </c>
      <c r="C50" s="289" t="str">
        <f>TablaSubAccionEspecifica[[#This Row],[Cod_Acción_especifica]]&amp;"_"&amp;TablaSubAccionEspecifica[[#This Row],[Nombre_Abreviado]]</f>
        <v>K31.3.8_Condiciones de seguridad con observaciones</v>
      </c>
      <c r="D50" s="217" t="s">
        <v>3101</v>
      </c>
      <c r="E50" s="219" t="s">
        <v>3239</v>
      </c>
    </row>
    <row r="51" spans="1:5" x14ac:dyDescent="0.25">
      <c r="A51" s="204" t="s">
        <v>2767</v>
      </c>
      <c r="B51" s="221" t="s">
        <v>2778</v>
      </c>
      <c r="C51" s="289" t="str">
        <f>TablaSubAccionEspecifica[[#This Row],[Cod_Acción_especifica]]&amp;"_"&amp;TablaSubAccionEspecifica[[#This Row],[Nombre_Abreviado]]</f>
        <v>K31.3.8_Medidas de seguridad</v>
      </c>
      <c r="D51" s="220" t="s">
        <v>3102</v>
      </c>
      <c r="E51" s="219" t="s">
        <v>3239</v>
      </c>
    </row>
    <row r="52" spans="1:5" x14ac:dyDescent="0.25">
      <c r="A52" s="363" t="s">
        <v>2724</v>
      </c>
      <c r="B52" s="222" t="s">
        <v>2724</v>
      </c>
      <c r="C52" s="289" t="str">
        <f>TablaSubAccionEspecifica[[#This Row],[Cod_Acción_especifica]]&amp;"_"&amp;TablaSubAccionEspecifica[[#This Row],[Nombre_Abreviado]]</f>
        <v>K31.3.9_MT líquidos</v>
      </c>
      <c r="D52" s="217" t="s">
        <v>3103</v>
      </c>
      <c r="E52" s="219" t="s">
        <v>3240</v>
      </c>
    </row>
    <row r="53" spans="1:5" x14ac:dyDescent="0.25">
      <c r="A53" s="204" t="s">
        <v>2767</v>
      </c>
      <c r="B53" s="221" t="s">
        <v>2779</v>
      </c>
      <c r="C53" s="289" t="str">
        <f>TablaSubAccionEspecifica[[#This Row],[Cod_Acción_especifica]]&amp;"_"&amp;TablaSubAccionEspecifica[[#This Row],[Nombre_Abreviado]]</f>
        <v>K31.3.9_Medidas de seguridad</v>
      </c>
      <c r="D53" s="220" t="s">
        <v>3104</v>
      </c>
      <c r="E53" s="219" t="s">
        <v>3240</v>
      </c>
    </row>
    <row r="54" spans="1:5" x14ac:dyDescent="0.25">
      <c r="A54" s="363" t="s">
        <v>2725</v>
      </c>
      <c r="B54" s="222" t="s">
        <v>2725</v>
      </c>
      <c r="C54" s="289" t="str">
        <f>TablaSubAccionEspecifica[[#This Row],[Cod_Acción_especifica]]&amp;"_"&amp;TablaSubAccionEspecifica[[#This Row],[Nombre_Abreviado]]</f>
        <v>K31.3.10_MT - GLP en cilindros</v>
      </c>
      <c r="D54" s="217" t="s">
        <v>3105</v>
      </c>
      <c r="E54" s="219" t="s">
        <v>3241</v>
      </c>
    </row>
    <row r="55" spans="1:5" x14ac:dyDescent="0.25">
      <c r="A55" s="204" t="s">
        <v>2767</v>
      </c>
      <c r="B55" s="221" t="s">
        <v>2780</v>
      </c>
      <c r="C55" s="289" t="str">
        <f>TablaSubAccionEspecifica[[#This Row],[Cod_Acción_especifica]]&amp;"_"&amp;TablaSubAccionEspecifica[[#This Row],[Nombre_Abreviado]]</f>
        <v>K31.3.10_Medidas de seguridad</v>
      </c>
      <c r="D55" s="220" t="s">
        <v>3106</v>
      </c>
      <c r="E55" s="219" t="s">
        <v>3241</v>
      </c>
    </row>
    <row r="56" spans="1:5" x14ac:dyDescent="0.25">
      <c r="A56" s="363" t="s">
        <v>2727</v>
      </c>
      <c r="B56" s="222" t="s">
        <v>2727</v>
      </c>
      <c r="C56" s="289" t="str">
        <f>TablaSubAccionEspecifica[[#This Row],[Cod_Acción_especifica]]&amp;"_"&amp;TablaSubAccionEspecifica[[#This Row],[Nombre_Abreviado]]</f>
        <v>K31.3.11_MT - GLP a granel</v>
      </c>
      <c r="D56" s="217" t="s">
        <v>3107</v>
      </c>
      <c r="E56" s="219" t="s">
        <v>3242</v>
      </c>
    </row>
    <row r="57" spans="1:5" x14ac:dyDescent="0.25">
      <c r="A57" s="204" t="s">
        <v>2767</v>
      </c>
      <c r="B57" s="221" t="s">
        <v>2781</v>
      </c>
      <c r="C57" s="289" t="str">
        <f>TablaSubAccionEspecifica[[#This Row],[Cod_Acción_especifica]]&amp;"_"&amp;TablaSubAccionEspecifica[[#This Row],[Nombre_Abreviado]]</f>
        <v>K31.3.11_Medidas de seguridad</v>
      </c>
      <c r="D57" s="220" t="s">
        <v>3108</v>
      </c>
      <c r="E57" s="219" t="s">
        <v>3242</v>
      </c>
    </row>
    <row r="58" spans="1:5" x14ac:dyDescent="0.25">
      <c r="A58" s="363" t="s">
        <v>2729</v>
      </c>
      <c r="B58" s="222" t="s">
        <v>2729</v>
      </c>
      <c r="C58" s="289" t="str">
        <f>TablaSubAccionEspecifica[[#This Row],[Cod_Acción_especifica]]&amp;"_"&amp;TablaSubAccionEspecifica[[#This Row],[Nombre_Abreviado]]</f>
        <v>K31.3.12_MT - GNC y GNL</v>
      </c>
      <c r="D58" s="217" t="s">
        <v>3109</v>
      </c>
      <c r="E58" s="219" t="s">
        <v>3243</v>
      </c>
    </row>
    <row r="59" spans="1:5" x14ac:dyDescent="0.25">
      <c r="A59" s="204" t="s">
        <v>2767</v>
      </c>
      <c r="B59" s="221" t="s">
        <v>2782</v>
      </c>
      <c r="C59" s="289" t="str">
        <f>TablaSubAccionEspecifica[[#This Row],[Cod_Acción_especifica]]&amp;"_"&amp;TablaSubAccionEspecifica[[#This Row],[Nombre_Abreviado]]</f>
        <v>K31.3.12_Medidas de seguridad</v>
      </c>
      <c r="D59" s="220" t="s">
        <v>3110</v>
      </c>
      <c r="E59" s="219" t="s">
        <v>3243</v>
      </c>
    </row>
    <row r="60" spans="1:5" x14ac:dyDescent="0.25">
      <c r="A60" s="360" t="s">
        <v>2783</v>
      </c>
      <c r="B60" s="218" t="s">
        <v>2783</v>
      </c>
      <c r="C60" s="289" t="str">
        <f>TablaSubAccionEspecifica[[#This Row],[Cod_Acción_especifica]]&amp;"_"&amp;TablaSubAccionEspecifica[[#This Row],[Nombre_Abreviado]]</f>
        <v>K31.3.13_Instalaciones fijas de GNV, GNC y GNL</v>
      </c>
      <c r="D60" s="217" t="s">
        <v>3111</v>
      </c>
      <c r="E60" s="219" t="s">
        <v>3244</v>
      </c>
    </row>
    <row r="61" spans="1:5" x14ac:dyDescent="0.25">
      <c r="A61" s="204" t="s">
        <v>2767</v>
      </c>
      <c r="B61" s="221" t="s">
        <v>2784</v>
      </c>
      <c r="C61" s="289" t="str">
        <f>TablaSubAccionEspecifica[[#This Row],[Cod_Acción_especifica]]&amp;"_"&amp;TablaSubAccionEspecifica[[#This Row],[Nombre_Abreviado]]</f>
        <v>K31.3.13_Medidas de seguridad</v>
      </c>
      <c r="D61" s="220" t="s">
        <v>3112</v>
      </c>
      <c r="E61" s="219" t="s">
        <v>3244</v>
      </c>
    </row>
    <row r="62" spans="1:5" x14ac:dyDescent="0.25">
      <c r="A62" s="360" t="s">
        <v>2785</v>
      </c>
      <c r="B62" s="218" t="s">
        <v>2785</v>
      </c>
      <c r="C62" s="289" t="str">
        <f>TablaSubAccionEspecifica[[#This Row],[Cod_Acción_especifica]]&amp;"_"&amp;TablaSubAccionEspecifica[[#This Row],[Nombre_Abreviado]]</f>
        <v>K31.3.14_Agentes formales</v>
      </c>
      <c r="D62" s="217" t="s">
        <v>3116</v>
      </c>
      <c r="E62" s="219" t="s">
        <v>3245</v>
      </c>
    </row>
    <row r="63" spans="1:5" x14ac:dyDescent="0.25">
      <c r="A63" s="204" t="s">
        <v>2767</v>
      </c>
      <c r="B63" s="221" t="s">
        <v>2788</v>
      </c>
      <c r="C63" s="289" t="str">
        <f>TablaSubAccionEspecifica[[#This Row],[Cod_Acción_especifica]]&amp;"_"&amp;TablaSubAccionEspecifica[[#This Row],[Nombre_Abreviado]]</f>
        <v>K31.3.14_Medidas de seguridad</v>
      </c>
      <c r="D63" s="220" t="s">
        <v>3117</v>
      </c>
      <c r="E63" s="219" t="s">
        <v>3245</v>
      </c>
    </row>
    <row r="64" spans="1:5" x14ac:dyDescent="0.25">
      <c r="A64" s="360" t="s">
        <v>2787</v>
      </c>
      <c r="B64" s="218" t="s">
        <v>2787</v>
      </c>
      <c r="C64" s="289" t="str">
        <f>TablaSubAccionEspecifica[[#This Row],[Cod_Acción_especifica]]&amp;"_"&amp;TablaSubAccionEspecifica[[#This Row],[Nombre_Abreviado]]</f>
        <v>K31.3.14_Informalidad</v>
      </c>
      <c r="D64" s="217" t="s">
        <v>3118</v>
      </c>
      <c r="E64" s="219" t="s">
        <v>3245</v>
      </c>
    </row>
    <row r="65" spans="1:5" s="443" customFormat="1" x14ac:dyDescent="0.25">
      <c r="A65" s="447" t="s">
        <v>2738</v>
      </c>
      <c r="B65" s="447" t="s">
        <v>2738</v>
      </c>
      <c r="C65" s="448" t="str">
        <f>TablaSubAccionEspecifica[[#This Row],[Cod_Acción_especifica]]&amp;"_"&amp;TablaSubAccionEspecifica[[#This Row],[Nombre_Abreviado]]</f>
        <v>K31.4.1_Calidad EVP (muestrales)</v>
      </c>
      <c r="D65" s="449" t="s">
        <v>3121</v>
      </c>
      <c r="E65" s="450" t="s">
        <v>3060</v>
      </c>
    </row>
    <row r="66" spans="1:5" x14ac:dyDescent="0.25">
      <c r="A66" s="362" t="s">
        <v>2739</v>
      </c>
      <c r="B66" s="223" t="s">
        <v>2739</v>
      </c>
      <c r="C66" s="289" t="str">
        <f>TablaSubAccionEspecifica[[#This Row],[Cod_Acción_especifica]]&amp;"_"&amp;TablaSubAccionEspecifica[[#This Row],[Nombre_Abreviado]]</f>
        <v>K31.4.2_Calidad plantas de abast. o refinerías (censales)</v>
      </c>
      <c r="D66" s="217" t="s">
        <v>3122</v>
      </c>
      <c r="E66" s="219" t="s">
        <v>3061</v>
      </c>
    </row>
    <row r="67" spans="1:5" x14ac:dyDescent="0.25">
      <c r="A67" s="362" t="s">
        <v>2740</v>
      </c>
      <c r="B67" s="223" t="s">
        <v>2740</v>
      </c>
      <c r="C67" s="289" t="str">
        <f>TablaSubAccionEspecifica[[#This Row],[Cod_Acción_especifica]]&amp;"_"&amp;TablaSubAccionEspecifica[[#This Row],[Nombre_Abreviado]]</f>
        <v>K31.4.3_Metrología EVP (muestrales / censales)</v>
      </c>
      <c r="D67" s="217" t="s">
        <v>3123</v>
      </c>
      <c r="E67" s="219" t="s">
        <v>3062</v>
      </c>
    </row>
    <row r="68" spans="1:5" x14ac:dyDescent="0.25">
      <c r="A68" s="362" t="s">
        <v>3291</v>
      </c>
      <c r="B68" s="223" t="s">
        <v>2741</v>
      </c>
      <c r="C68" s="289" t="str">
        <f>TablaSubAccionEspecifica[[#This Row],[Cod_Acción_especifica]]&amp;"_"&amp;TablaSubAccionEspecifica[[#This Row],[Nombre_Abreviado]]</f>
        <v>K31.4.4_Control Peso GLP envasado plantas u otros centros distrib. o comerc.</v>
      </c>
      <c r="D68" s="217" t="s">
        <v>3124</v>
      </c>
      <c r="E68" s="219" t="s">
        <v>3063</v>
      </c>
    </row>
    <row r="69" spans="1:5" x14ac:dyDescent="0.25">
      <c r="A69" s="363" t="s">
        <v>2742</v>
      </c>
      <c r="B69" s="222" t="s">
        <v>2742</v>
      </c>
      <c r="C69" s="289" t="str">
        <f>TablaSubAccionEspecifica[[#This Row],[Cod_Acción_especifica]]&amp;"_"&amp;TablaSubAccionEspecifica[[#This Row],[Nombre_Abreviado]]</f>
        <v>K31.4.5_Etiquetado cilindros de GLP</v>
      </c>
      <c r="D69" s="217" t="s">
        <v>3125</v>
      </c>
      <c r="E69" s="219" t="s">
        <v>3288</v>
      </c>
    </row>
    <row r="70" spans="1:5" x14ac:dyDescent="0.25">
      <c r="A70" s="362" t="s">
        <v>2744</v>
      </c>
      <c r="B70" s="223" t="s">
        <v>2744</v>
      </c>
      <c r="C70" s="289" t="str">
        <f>TablaSubAccionEspecifica[[#This Row],[Cod_Acción_especifica]]&amp;"_"&amp;TablaSubAccionEspecifica[[#This Row],[Nombre_Abreviado]]</f>
        <v>K31.4.6_Calidad en EVP, plantas de abast. o refinerías (espec. o de parte)</v>
      </c>
      <c r="D70" s="217" t="s">
        <v>3126</v>
      </c>
      <c r="E70" s="219" t="s">
        <v>3289</v>
      </c>
    </row>
    <row r="71" spans="1:5" x14ac:dyDescent="0.25">
      <c r="A71" s="364" t="s">
        <v>2790</v>
      </c>
      <c r="B71" s="224" t="s">
        <v>2791</v>
      </c>
      <c r="C71" s="289" t="str">
        <f>TablaSubAccionEspecifica[[#This Row],[Cod_Acción_especifica]]&amp;"_"&amp;TablaSubAccionEspecifica[[#This Row],[Nombre_Abreviado]]</f>
        <v>K31.4.7_Metrología en EVP o plantas u otros centros de comerc.(espec. o de parte)</v>
      </c>
      <c r="D71" s="217" t="s">
        <v>3127</v>
      </c>
      <c r="E71" s="219" t="s">
        <v>3290</v>
      </c>
    </row>
    <row r="72" spans="1:5" x14ac:dyDescent="0.25">
      <c r="A72" s="365" t="s">
        <v>2792</v>
      </c>
      <c r="B72" s="355" t="s">
        <v>2793</v>
      </c>
      <c r="C72" s="289" t="str">
        <f>TablaSubAccionEspecifica[[#This Row],[Cod_Acción_especifica]]&amp;"_"&amp;TablaSubAccionEspecifica[[#This Row],[Nombre_Abreviado]]</f>
        <v>K31.4.7_Control peso en EVP o plantas u otros centros de comerc. (espec. o de parte)</v>
      </c>
      <c r="D72" s="217" t="s">
        <v>3128</v>
      </c>
      <c r="E72" s="219" t="s">
        <v>3290</v>
      </c>
    </row>
    <row r="73" spans="1:5" s="462" customFormat="1" x14ac:dyDescent="0.25">
      <c r="A73" s="463" t="s">
        <v>3344</v>
      </c>
      <c r="B73" s="464" t="s">
        <v>3344</v>
      </c>
      <c r="C73" s="465" t="str">
        <f>TablaSubAccionEspecifica[[#This Row],[Cod_Acción_especifica]]&amp;"_"&amp;TablaSubAccionEspecifica[[#This Row],[Nombre_Abreviado]]</f>
        <v>K31.4.8_Calidad fuera del registro de hidrocarburos</v>
      </c>
      <c r="D73" s="466" t="s">
        <v>3345</v>
      </c>
      <c r="E73" s="467" t="s">
        <v>3341</v>
      </c>
    </row>
  </sheetData>
  <phoneticPr fontId="4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G84"/>
  <sheetViews>
    <sheetView view="pageBreakPreview" topLeftCell="A56" zoomScale="115" zoomScaleNormal="100" zoomScaleSheetLayoutView="115" workbookViewId="0">
      <selection activeCell="C83" sqref="C83"/>
    </sheetView>
  </sheetViews>
  <sheetFormatPr baseColWidth="10" defaultRowHeight="15" x14ac:dyDescent="0.25"/>
  <cols>
    <col min="1" max="1" width="29.42578125" bestFit="1" customWidth="1"/>
    <col min="2" max="2" width="63.5703125" customWidth="1"/>
    <col min="3" max="3" width="21.28515625" customWidth="1"/>
    <col min="4" max="4" width="82.7109375" bestFit="1" customWidth="1"/>
    <col min="5" max="5" width="12.28515625" customWidth="1"/>
    <col min="6" max="6" width="29.42578125" bestFit="1" customWidth="1"/>
    <col min="7" max="7" width="66.7109375" bestFit="1" customWidth="1"/>
  </cols>
  <sheetData>
    <row r="1" spans="1:7" x14ac:dyDescent="0.25">
      <c r="A1" s="241" t="s">
        <v>2804</v>
      </c>
      <c r="B1" s="242" t="s">
        <v>2805</v>
      </c>
      <c r="C1" s="242" t="s">
        <v>2806</v>
      </c>
      <c r="D1" s="243" t="s">
        <v>2807</v>
      </c>
      <c r="F1" s="241" t="s">
        <v>2804</v>
      </c>
      <c r="G1" s="243" t="s">
        <v>2805</v>
      </c>
    </row>
    <row r="2" spans="1:7" x14ac:dyDescent="0.25">
      <c r="A2" s="235" t="s">
        <v>2808</v>
      </c>
      <c r="B2" s="229" t="s">
        <v>2809</v>
      </c>
      <c r="C2" s="230" t="s">
        <v>2810</v>
      </c>
      <c r="D2" s="237" t="s">
        <v>2811</v>
      </c>
      <c r="F2" s="235" t="s">
        <v>2808</v>
      </c>
      <c r="G2" s="290" t="s">
        <v>2809</v>
      </c>
    </row>
    <row r="3" spans="1:7" x14ac:dyDescent="0.25">
      <c r="A3" s="235" t="s">
        <v>2808</v>
      </c>
      <c r="B3" s="229" t="s">
        <v>2809</v>
      </c>
      <c r="C3" s="228" t="s">
        <v>2812</v>
      </c>
      <c r="D3" s="237" t="s">
        <v>2813</v>
      </c>
      <c r="F3" s="236" t="s">
        <v>2830</v>
      </c>
      <c r="G3" s="291" t="s">
        <v>2831</v>
      </c>
    </row>
    <row r="4" spans="1:7" x14ac:dyDescent="0.25">
      <c r="A4" s="235" t="s">
        <v>2808</v>
      </c>
      <c r="B4" s="229" t="s">
        <v>2809</v>
      </c>
      <c r="C4" s="228" t="s">
        <v>2814</v>
      </c>
      <c r="D4" s="237" t="s">
        <v>2815</v>
      </c>
      <c r="F4" s="235" t="s">
        <v>2839</v>
      </c>
      <c r="G4" s="290" t="s">
        <v>2840</v>
      </c>
    </row>
    <row r="5" spans="1:7" x14ac:dyDescent="0.25">
      <c r="A5" s="235" t="s">
        <v>2808</v>
      </c>
      <c r="B5" s="229" t="s">
        <v>2809</v>
      </c>
      <c r="C5" s="228" t="s">
        <v>2816</v>
      </c>
      <c r="D5" s="237" t="s">
        <v>2817</v>
      </c>
      <c r="F5" s="236" t="s">
        <v>2852</v>
      </c>
      <c r="G5" s="291" t="s">
        <v>2853</v>
      </c>
    </row>
    <row r="6" spans="1:7" x14ac:dyDescent="0.25">
      <c r="A6" s="235" t="s">
        <v>2808</v>
      </c>
      <c r="B6" s="229" t="s">
        <v>2809</v>
      </c>
      <c r="C6" s="228" t="s">
        <v>2818</v>
      </c>
      <c r="D6" s="237" t="s">
        <v>2819</v>
      </c>
      <c r="F6" s="235" t="s">
        <v>2876</v>
      </c>
      <c r="G6" s="290" t="s">
        <v>2877</v>
      </c>
    </row>
    <row r="7" spans="1:7" x14ac:dyDescent="0.25">
      <c r="A7" s="235" t="s">
        <v>2808</v>
      </c>
      <c r="B7" s="229" t="s">
        <v>2809</v>
      </c>
      <c r="C7" s="228" t="s">
        <v>2820</v>
      </c>
      <c r="D7" s="237" t="s">
        <v>2821</v>
      </c>
      <c r="F7" s="449" t="s">
        <v>2882</v>
      </c>
      <c r="G7" s="452" t="s">
        <v>2883</v>
      </c>
    </row>
    <row r="8" spans="1:7" x14ac:dyDescent="0.25">
      <c r="A8" s="235" t="s">
        <v>2808</v>
      </c>
      <c r="B8" s="229" t="s">
        <v>2809</v>
      </c>
      <c r="C8" s="228" t="s">
        <v>2822</v>
      </c>
      <c r="D8" s="237" t="s">
        <v>2823</v>
      </c>
      <c r="F8" s="235" t="s">
        <v>2902</v>
      </c>
      <c r="G8" s="290" t="s">
        <v>2903</v>
      </c>
    </row>
    <row r="9" spans="1:7" x14ac:dyDescent="0.25">
      <c r="A9" s="235" t="s">
        <v>2808</v>
      </c>
      <c r="B9" s="229" t="s">
        <v>2809</v>
      </c>
      <c r="C9" s="228" t="s">
        <v>2824</v>
      </c>
      <c r="D9" s="237" t="s">
        <v>2825</v>
      </c>
      <c r="F9" s="236" t="s">
        <v>2912</v>
      </c>
      <c r="G9" s="291" t="s">
        <v>2913</v>
      </c>
    </row>
    <row r="10" spans="1:7" x14ac:dyDescent="0.25">
      <c r="A10" s="235" t="s">
        <v>2808</v>
      </c>
      <c r="B10" s="229" t="s">
        <v>2809</v>
      </c>
      <c r="C10" s="228" t="s">
        <v>2826</v>
      </c>
      <c r="D10" s="237" t="s">
        <v>2827</v>
      </c>
      <c r="F10" s="235" t="s">
        <v>2918</v>
      </c>
      <c r="G10" s="290" t="s">
        <v>2919</v>
      </c>
    </row>
    <row r="11" spans="1:7" x14ac:dyDescent="0.25">
      <c r="A11" s="235" t="s">
        <v>2808</v>
      </c>
      <c r="B11" s="229" t="s">
        <v>2809</v>
      </c>
      <c r="C11" s="228" t="s">
        <v>2828</v>
      </c>
      <c r="D11" s="237" t="s">
        <v>2829</v>
      </c>
      <c r="F11" s="236" t="s">
        <v>2950</v>
      </c>
      <c r="G11" s="291" t="s">
        <v>2951</v>
      </c>
    </row>
    <row r="12" spans="1:7" x14ac:dyDescent="0.25">
      <c r="A12" s="236" t="s">
        <v>2830</v>
      </c>
      <c r="B12" s="231" t="s">
        <v>2831</v>
      </c>
      <c r="C12" s="41">
        <v>101</v>
      </c>
      <c r="D12" s="238" t="s">
        <v>2832</v>
      </c>
      <c r="F12" s="235" t="s">
        <v>2962</v>
      </c>
      <c r="G12" s="290" t="s">
        <v>2963</v>
      </c>
    </row>
    <row r="13" spans="1:7" x14ac:dyDescent="0.25">
      <c r="A13" s="236" t="s">
        <v>2830</v>
      </c>
      <c r="B13" s="231" t="s">
        <v>2831</v>
      </c>
      <c r="C13" s="41" t="s">
        <v>2833</v>
      </c>
      <c r="D13" s="238" t="s">
        <v>2834</v>
      </c>
      <c r="F13" s="220" t="s">
        <v>2978</v>
      </c>
      <c r="G13" s="240" t="s">
        <v>2979</v>
      </c>
    </row>
    <row r="14" spans="1:7" x14ac:dyDescent="0.25">
      <c r="A14" s="236" t="s">
        <v>2830</v>
      </c>
      <c r="B14" s="231" t="s">
        <v>2831</v>
      </c>
      <c r="C14" s="41" t="s">
        <v>2835</v>
      </c>
      <c r="D14" s="238" t="s">
        <v>2836</v>
      </c>
      <c r="F14" s="220" t="s">
        <v>2978</v>
      </c>
      <c r="G14" s="240" t="s">
        <v>2981</v>
      </c>
    </row>
    <row r="15" spans="1:7" x14ac:dyDescent="0.25">
      <c r="A15" s="236" t="s">
        <v>2830</v>
      </c>
      <c r="B15" s="231" t="s">
        <v>2831</v>
      </c>
      <c r="C15" s="41" t="s">
        <v>2837</v>
      </c>
      <c r="D15" s="238" t="s">
        <v>2838</v>
      </c>
      <c r="F15" s="244" t="s">
        <v>2985</v>
      </c>
      <c r="G15" s="247" t="s">
        <v>2986</v>
      </c>
    </row>
    <row r="16" spans="1:7" x14ac:dyDescent="0.25">
      <c r="A16" s="235" t="s">
        <v>2839</v>
      </c>
      <c r="B16" s="229" t="s">
        <v>2840</v>
      </c>
      <c r="C16" s="228">
        <v>400</v>
      </c>
      <c r="D16" s="237" t="s">
        <v>2841</v>
      </c>
      <c r="F16" s="217" t="s">
        <v>3346</v>
      </c>
      <c r="G16" t="s">
        <v>3347</v>
      </c>
    </row>
    <row r="17" spans="1:7" x14ac:dyDescent="0.25">
      <c r="A17" s="235" t="s">
        <v>2839</v>
      </c>
      <c r="B17" s="229" t="s">
        <v>2840</v>
      </c>
      <c r="C17" s="228" t="s">
        <v>2842</v>
      </c>
      <c r="D17" s="237" t="s">
        <v>2843</v>
      </c>
      <c r="F17" s="468" t="s">
        <v>3350</v>
      </c>
      <c r="G17" s="462" t="s">
        <v>3351</v>
      </c>
    </row>
    <row r="18" spans="1:7" x14ac:dyDescent="0.25">
      <c r="A18" s="235" t="s">
        <v>2839</v>
      </c>
      <c r="B18" s="229" t="s">
        <v>2840</v>
      </c>
      <c r="C18" s="228" t="s">
        <v>2844</v>
      </c>
      <c r="D18" s="237" t="s">
        <v>2845</v>
      </c>
    </row>
    <row r="19" spans="1:7" x14ac:dyDescent="0.25">
      <c r="A19" s="235" t="s">
        <v>2839</v>
      </c>
      <c r="B19" s="229" t="s">
        <v>2840</v>
      </c>
      <c r="C19" s="228" t="s">
        <v>2846</v>
      </c>
      <c r="D19" s="237" t="s">
        <v>2847</v>
      </c>
    </row>
    <row r="20" spans="1:7" x14ac:dyDescent="0.25">
      <c r="A20" s="235" t="s">
        <v>2839</v>
      </c>
      <c r="B20" s="229" t="s">
        <v>2840</v>
      </c>
      <c r="C20" s="228" t="s">
        <v>2848</v>
      </c>
      <c r="D20" s="237" t="s">
        <v>2849</v>
      </c>
    </row>
    <row r="21" spans="1:7" x14ac:dyDescent="0.25">
      <c r="A21" s="235" t="s">
        <v>2839</v>
      </c>
      <c r="B21" s="229" t="s">
        <v>2840</v>
      </c>
      <c r="C21" s="228" t="s">
        <v>2850</v>
      </c>
      <c r="D21" s="237" t="s">
        <v>2851</v>
      </c>
    </row>
    <row r="22" spans="1:7" x14ac:dyDescent="0.25">
      <c r="A22" s="236" t="s">
        <v>2852</v>
      </c>
      <c r="B22" s="231" t="s">
        <v>2853</v>
      </c>
      <c r="C22" s="41" t="s">
        <v>2854</v>
      </c>
      <c r="D22" s="238" t="s">
        <v>2855</v>
      </c>
    </row>
    <row r="23" spans="1:7" x14ac:dyDescent="0.25">
      <c r="A23" s="236" t="s">
        <v>2852</v>
      </c>
      <c r="B23" s="231" t="s">
        <v>2853</v>
      </c>
      <c r="C23" s="41" t="s">
        <v>2856</v>
      </c>
      <c r="D23" s="238" t="s">
        <v>2857</v>
      </c>
    </row>
    <row r="24" spans="1:7" x14ac:dyDescent="0.25">
      <c r="A24" s="236" t="s">
        <v>2852</v>
      </c>
      <c r="B24" s="231" t="s">
        <v>2853</v>
      </c>
      <c r="C24" s="232" t="s">
        <v>2858</v>
      </c>
      <c r="D24" s="238" t="s">
        <v>2859</v>
      </c>
    </row>
    <row r="25" spans="1:7" x14ac:dyDescent="0.25">
      <c r="A25" s="236" t="s">
        <v>2852</v>
      </c>
      <c r="B25" s="231" t="s">
        <v>2853</v>
      </c>
      <c r="C25" s="41" t="s">
        <v>2860</v>
      </c>
      <c r="D25" s="238" t="s">
        <v>2861</v>
      </c>
    </row>
    <row r="26" spans="1:7" x14ac:dyDescent="0.25">
      <c r="A26" s="236" t="s">
        <v>2852</v>
      </c>
      <c r="B26" s="231" t="s">
        <v>2853</v>
      </c>
      <c r="C26" s="41" t="s">
        <v>2862</v>
      </c>
      <c r="D26" s="238" t="s">
        <v>2863</v>
      </c>
    </row>
    <row r="27" spans="1:7" x14ac:dyDescent="0.25">
      <c r="A27" s="236" t="s">
        <v>2852</v>
      </c>
      <c r="B27" s="231" t="s">
        <v>2853</v>
      </c>
      <c r="C27" s="41" t="s">
        <v>2864</v>
      </c>
      <c r="D27" s="238" t="s">
        <v>2865</v>
      </c>
    </row>
    <row r="28" spans="1:7" x14ac:dyDescent="0.25">
      <c r="A28" s="236" t="s">
        <v>2852</v>
      </c>
      <c r="B28" s="231" t="s">
        <v>2853</v>
      </c>
      <c r="C28" s="41" t="s">
        <v>2866</v>
      </c>
      <c r="D28" s="238" t="s">
        <v>2867</v>
      </c>
    </row>
    <row r="29" spans="1:7" x14ac:dyDescent="0.25">
      <c r="A29" s="236" t="s">
        <v>2852</v>
      </c>
      <c r="B29" s="231" t="s">
        <v>2853</v>
      </c>
      <c r="C29" s="41" t="s">
        <v>2868</v>
      </c>
      <c r="D29" s="238" t="s">
        <v>2869</v>
      </c>
    </row>
    <row r="30" spans="1:7" x14ac:dyDescent="0.25">
      <c r="A30" s="236" t="s">
        <v>2852</v>
      </c>
      <c r="B30" s="231" t="s">
        <v>2853</v>
      </c>
      <c r="C30" s="41" t="s">
        <v>2870</v>
      </c>
      <c r="D30" s="238" t="s">
        <v>2871</v>
      </c>
    </row>
    <row r="31" spans="1:7" x14ac:dyDescent="0.25">
      <c r="A31" s="236" t="s">
        <v>2852</v>
      </c>
      <c r="B31" s="231" t="s">
        <v>2853</v>
      </c>
      <c r="C31" s="41" t="s">
        <v>2872</v>
      </c>
      <c r="D31" s="238" t="s">
        <v>2873</v>
      </c>
    </row>
    <row r="32" spans="1:7" x14ac:dyDescent="0.25">
      <c r="A32" s="236" t="s">
        <v>2852</v>
      </c>
      <c r="B32" s="231" t="s">
        <v>2853</v>
      </c>
      <c r="C32" s="41" t="s">
        <v>2874</v>
      </c>
      <c r="D32" s="238" t="s">
        <v>2875</v>
      </c>
    </row>
    <row r="33" spans="1:4" x14ac:dyDescent="0.25">
      <c r="A33" s="235" t="s">
        <v>2876</v>
      </c>
      <c r="B33" s="229" t="s">
        <v>2877</v>
      </c>
      <c r="C33" s="228" t="s">
        <v>2878</v>
      </c>
      <c r="D33" s="237" t="s">
        <v>2879</v>
      </c>
    </row>
    <row r="34" spans="1:4" x14ac:dyDescent="0.25">
      <c r="A34" s="235" t="s">
        <v>2876</v>
      </c>
      <c r="B34" s="229" t="s">
        <v>2877</v>
      </c>
      <c r="C34" s="228" t="s">
        <v>2880</v>
      </c>
      <c r="D34" s="237" t="s">
        <v>2881</v>
      </c>
    </row>
    <row r="35" spans="1:4" x14ac:dyDescent="0.25">
      <c r="A35" s="236" t="s">
        <v>2882</v>
      </c>
      <c r="B35" s="451" t="s">
        <v>2883</v>
      </c>
      <c r="C35" s="41" t="s">
        <v>2884</v>
      </c>
      <c r="D35" s="238" t="s">
        <v>2885</v>
      </c>
    </row>
    <row r="36" spans="1:4" x14ac:dyDescent="0.25">
      <c r="A36" s="236" t="s">
        <v>2882</v>
      </c>
      <c r="B36" s="451" t="s">
        <v>2883</v>
      </c>
      <c r="C36" s="41" t="s">
        <v>2886</v>
      </c>
      <c r="D36" s="238" t="s">
        <v>2887</v>
      </c>
    </row>
    <row r="37" spans="1:4" x14ac:dyDescent="0.25">
      <c r="A37" s="236" t="s">
        <v>2882</v>
      </c>
      <c r="B37" s="451" t="s">
        <v>2883</v>
      </c>
      <c r="C37" s="41" t="s">
        <v>2888</v>
      </c>
      <c r="D37" s="238" t="s">
        <v>2889</v>
      </c>
    </row>
    <row r="38" spans="1:4" x14ac:dyDescent="0.25">
      <c r="A38" s="236" t="s">
        <v>2882</v>
      </c>
      <c r="B38" s="451" t="s">
        <v>2883</v>
      </c>
      <c r="C38" s="41" t="s">
        <v>2890</v>
      </c>
      <c r="D38" s="238" t="s">
        <v>2891</v>
      </c>
    </row>
    <row r="39" spans="1:4" x14ac:dyDescent="0.25">
      <c r="A39" s="236" t="s">
        <v>2882</v>
      </c>
      <c r="B39" s="451" t="s">
        <v>2883</v>
      </c>
      <c r="C39" s="41" t="s">
        <v>2892</v>
      </c>
      <c r="D39" s="238" t="s">
        <v>2893</v>
      </c>
    </row>
    <row r="40" spans="1:4" x14ac:dyDescent="0.25">
      <c r="A40" s="236" t="s">
        <v>2882</v>
      </c>
      <c r="B40" s="451" t="s">
        <v>2883</v>
      </c>
      <c r="C40" s="41" t="s">
        <v>2894</v>
      </c>
      <c r="D40" s="238" t="s">
        <v>2895</v>
      </c>
    </row>
    <row r="41" spans="1:4" x14ac:dyDescent="0.25">
      <c r="A41" s="236" t="s">
        <v>2882</v>
      </c>
      <c r="B41" s="451" t="s">
        <v>2883</v>
      </c>
      <c r="C41" s="41" t="s">
        <v>2896</v>
      </c>
      <c r="D41" s="238" t="s">
        <v>2897</v>
      </c>
    </row>
    <row r="42" spans="1:4" x14ac:dyDescent="0.25">
      <c r="A42" s="236" t="s">
        <v>2882</v>
      </c>
      <c r="B42" s="451" t="s">
        <v>2883</v>
      </c>
      <c r="C42" s="41" t="s">
        <v>2898</v>
      </c>
      <c r="D42" s="238" t="s">
        <v>2899</v>
      </c>
    </row>
    <row r="43" spans="1:4" x14ac:dyDescent="0.25">
      <c r="A43" s="236" t="s">
        <v>2882</v>
      </c>
      <c r="B43" s="451" t="s">
        <v>2883</v>
      </c>
      <c r="C43" s="41" t="s">
        <v>2900</v>
      </c>
      <c r="D43" s="238" t="s">
        <v>2901</v>
      </c>
    </row>
    <row r="44" spans="1:4" x14ac:dyDescent="0.25">
      <c r="A44" s="235" t="s">
        <v>2902</v>
      </c>
      <c r="B44" s="229" t="s">
        <v>2903</v>
      </c>
      <c r="C44" s="228" t="s">
        <v>2904</v>
      </c>
      <c r="D44" s="237" t="s">
        <v>2905</v>
      </c>
    </row>
    <row r="45" spans="1:4" x14ac:dyDescent="0.25">
      <c r="A45" s="235" t="s">
        <v>2902</v>
      </c>
      <c r="B45" s="229" t="s">
        <v>2903</v>
      </c>
      <c r="C45" s="228" t="s">
        <v>2906</v>
      </c>
      <c r="D45" s="237" t="s">
        <v>2907</v>
      </c>
    </row>
    <row r="46" spans="1:4" x14ac:dyDescent="0.25">
      <c r="A46" s="235" t="s">
        <v>2902</v>
      </c>
      <c r="B46" s="229" t="s">
        <v>2903</v>
      </c>
      <c r="C46" s="228" t="s">
        <v>2908</v>
      </c>
      <c r="D46" s="237" t="s">
        <v>2909</v>
      </c>
    </row>
    <row r="47" spans="1:4" x14ac:dyDescent="0.25">
      <c r="A47" s="235" t="s">
        <v>2902</v>
      </c>
      <c r="B47" s="229" t="s">
        <v>2903</v>
      </c>
      <c r="C47" s="228" t="s">
        <v>2910</v>
      </c>
      <c r="D47" s="237" t="s">
        <v>2911</v>
      </c>
    </row>
    <row r="48" spans="1:4" x14ac:dyDescent="0.25">
      <c r="A48" s="236" t="s">
        <v>2912</v>
      </c>
      <c r="B48" s="231" t="s">
        <v>2913</v>
      </c>
      <c r="C48" s="41" t="s">
        <v>2914</v>
      </c>
      <c r="D48" s="238" t="s">
        <v>2915</v>
      </c>
    </row>
    <row r="49" spans="1:4" x14ac:dyDescent="0.25">
      <c r="A49" s="236" t="s">
        <v>2912</v>
      </c>
      <c r="B49" s="231" t="s">
        <v>2913</v>
      </c>
      <c r="C49" s="41" t="s">
        <v>2916</v>
      </c>
      <c r="D49" s="238" t="s">
        <v>2917</v>
      </c>
    </row>
    <row r="50" spans="1:4" x14ac:dyDescent="0.25">
      <c r="A50" s="235" t="s">
        <v>2918</v>
      </c>
      <c r="B50" s="229" t="s">
        <v>2919</v>
      </c>
      <c r="C50" s="228" t="s">
        <v>2920</v>
      </c>
      <c r="D50" s="237" t="s">
        <v>2921</v>
      </c>
    </row>
    <row r="51" spans="1:4" x14ac:dyDescent="0.25">
      <c r="A51" s="235" t="s">
        <v>2918</v>
      </c>
      <c r="B51" s="229" t="s">
        <v>2919</v>
      </c>
      <c r="C51" s="230" t="s">
        <v>2922</v>
      </c>
      <c r="D51" s="239" t="s">
        <v>2923</v>
      </c>
    </row>
    <row r="52" spans="1:4" x14ac:dyDescent="0.25">
      <c r="A52" s="235" t="s">
        <v>2918</v>
      </c>
      <c r="B52" s="229" t="s">
        <v>2919</v>
      </c>
      <c r="C52" s="228" t="s">
        <v>2924</v>
      </c>
      <c r="D52" s="237" t="s">
        <v>2925</v>
      </c>
    </row>
    <row r="53" spans="1:4" x14ac:dyDescent="0.25">
      <c r="A53" s="235" t="s">
        <v>2918</v>
      </c>
      <c r="B53" s="229" t="s">
        <v>2919</v>
      </c>
      <c r="C53" s="228" t="s">
        <v>2926</v>
      </c>
      <c r="D53" s="239" t="s">
        <v>2927</v>
      </c>
    </row>
    <row r="54" spans="1:4" x14ac:dyDescent="0.25">
      <c r="A54" s="235" t="s">
        <v>2918</v>
      </c>
      <c r="B54" s="229" t="s">
        <v>2919</v>
      </c>
      <c r="C54" s="228" t="s">
        <v>2928</v>
      </c>
      <c r="D54" s="239" t="s">
        <v>2929</v>
      </c>
    </row>
    <row r="55" spans="1:4" x14ac:dyDescent="0.25">
      <c r="A55" s="235" t="s">
        <v>2918</v>
      </c>
      <c r="B55" s="229" t="s">
        <v>2919</v>
      </c>
      <c r="C55" s="228" t="s">
        <v>2930</v>
      </c>
      <c r="D55" s="239" t="s">
        <v>2931</v>
      </c>
    </row>
    <row r="56" spans="1:4" x14ac:dyDescent="0.25">
      <c r="A56" s="235" t="s">
        <v>2918</v>
      </c>
      <c r="B56" s="229" t="s">
        <v>2919</v>
      </c>
      <c r="C56" s="228" t="s">
        <v>2932</v>
      </c>
      <c r="D56" s="239" t="s">
        <v>2933</v>
      </c>
    </row>
    <row r="57" spans="1:4" x14ac:dyDescent="0.25">
      <c r="A57" s="235" t="s">
        <v>2918</v>
      </c>
      <c r="B57" s="229" t="s">
        <v>2919</v>
      </c>
      <c r="C57" s="228" t="s">
        <v>2934</v>
      </c>
      <c r="D57" s="237" t="s">
        <v>2935</v>
      </c>
    </row>
    <row r="58" spans="1:4" x14ac:dyDescent="0.25">
      <c r="A58" s="235" t="s">
        <v>2918</v>
      </c>
      <c r="B58" s="229" t="s">
        <v>2919</v>
      </c>
      <c r="C58" s="228" t="s">
        <v>2936</v>
      </c>
      <c r="D58" s="237" t="s">
        <v>2937</v>
      </c>
    </row>
    <row r="59" spans="1:4" x14ac:dyDescent="0.25">
      <c r="A59" s="235" t="s">
        <v>2918</v>
      </c>
      <c r="B59" s="229" t="s">
        <v>2919</v>
      </c>
      <c r="C59" s="228" t="s">
        <v>2938</v>
      </c>
      <c r="D59" s="237" t="s">
        <v>2939</v>
      </c>
    </row>
    <row r="60" spans="1:4" x14ac:dyDescent="0.25">
      <c r="A60" s="235" t="s">
        <v>2918</v>
      </c>
      <c r="B60" s="229" t="s">
        <v>2919</v>
      </c>
      <c r="C60" s="228" t="s">
        <v>2940</v>
      </c>
      <c r="D60" s="237" t="s">
        <v>2941</v>
      </c>
    </row>
    <row r="61" spans="1:4" x14ac:dyDescent="0.25">
      <c r="A61" s="235" t="s">
        <v>2918</v>
      </c>
      <c r="B61" s="229" t="s">
        <v>2919</v>
      </c>
      <c r="C61" s="228" t="s">
        <v>2942</v>
      </c>
      <c r="D61" s="237" t="s">
        <v>2943</v>
      </c>
    </row>
    <row r="62" spans="1:4" x14ac:dyDescent="0.25">
      <c r="A62" s="235" t="s">
        <v>2918</v>
      </c>
      <c r="B62" s="229" t="s">
        <v>2919</v>
      </c>
      <c r="C62" s="228" t="s">
        <v>2944</v>
      </c>
      <c r="D62" s="237" t="s">
        <v>2945</v>
      </c>
    </row>
    <row r="63" spans="1:4" x14ac:dyDescent="0.25">
      <c r="A63" s="235" t="s">
        <v>2918</v>
      </c>
      <c r="B63" s="229" t="s">
        <v>2919</v>
      </c>
      <c r="C63" s="228" t="s">
        <v>2946</v>
      </c>
      <c r="D63" s="237" t="s">
        <v>2947</v>
      </c>
    </row>
    <row r="64" spans="1:4" x14ac:dyDescent="0.25">
      <c r="A64" s="235" t="s">
        <v>2918</v>
      </c>
      <c r="B64" s="229" t="s">
        <v>2919</v>
      </c>
      <c r="C64" s="228" t="s">
        <v>2948</v>
      </c>
      <c r="D64" s="237" t="s">
        <v>2949</v>
      </c>
    </row>
    <row r="65" spans="1:4" x14ac:dyDescent="0.25">
      <c r="A65" s="236" t="s">
        <v>2950</v>
      </c>
      <c r="B65" s="231" t="s">
        <v>2951</v>
      </c>
      <c r="C65" s="41" t="s">
        <v>2952</v>
      </c>
      <c r="D65" s="238" t="s">
        <v>2953</v>
      </c>
    </row>
    <row r="66" spans="1:4" x14ac:dyDescent="0.25">
      <c r="A66" s="236" t="s">
        <v>2950</v>
      </c>
      <c r="B66" s="231" t="s">
        <v>2951</v>
      </c>
      <c r="C66" s="41" t="s">
        <v>2954</v>
      </c>
      <c r="D66" s="238" t="s">
        <v>2955</v>
      </c>
    </row>
    <row r="67" spans="1:4" x14ac:dyDescent="0.25">
      <c r="A67" s="236" t="s">
        <v>2950</v>
      </c>
      <c r="B67" s="231" t="s">
        <v>2951</v>
      </c>
      <c r="C67" s="41" t="s">
        <v>2956</v>
      </c>
      <c r="D67" s="238" t="s">
        <v>2957</v>
      </c>
    </row>
    <row r="68" spans="1:4" x14ac:dyDescent="0.25">
      <c r="A68" s="236" t="s">
        <v>2950</v>
      </c>
      <c r="B68" s="231" t="s">
        <v>2951</v>
      </c>
      <c r="C68" s="41" t="s">
        <v>2958</v>
      </c>
      <c r="D68" s="238" t="s">
        <v>2959</v>
      </c>
    </row>
    <row r="69" spans="1:4" x14ac:dyDescent="0.25">
      <c r="A69" s="236" t="s">
        <v>2950</v>
      </c>
      <c r="B69" s="231" t="s">
        <v>2951</v>
      </c>
      <c r="C69" s="41" t="s">
        <v>2960</v>
      </c>
      <c r="D69" s="238" t="s">
        <v>2961</v>
      </c>
    </row>
    <row r="70" spans="1:4" x14ac:dyDescent="0.25">
      <c r="A70" s="235" t="s">
        <v>2962</v>
      </c>
      <c r="B70" s="229" t="s">
        <v>2963</v>
      </c>
      <c r="C70" s="228" t="s">
        <v>2964</v>
      </c>
      <c r="D70" s="237" t="s">
        <v>2965</v>
      </c>
    </row>
    <row r="71" spans="1:4" x14ac:dyDescent="0.25">
      <c r="A71" s="235" t="s">
        <v>2962</v>
      </c>
      <c r="B71" s="229" t="s">
        <v>2963</v>
      </c>
      <c r="C71" s="228" t="s">
        <v>2966</v>
      </c>
      <c r="D71" s="237" t="s">
        <v>2967</v>
      </c>
    </row>
    <row r="72" spans="1:4" x14ac:dyDescent="0.25">
      <c r="A72" s="235" t="s">
        <v>2962</v>
      </c>
      <c r="B72" s="229" t="s">
        <v>2963</v>
      </c>
      <c r="C72" s="228" t="s">
        <v>2968</v>
      </c>
      <c r="D72" s="237" t="s">
        <v>2969</v>
      </c>
    </row>
    <row r="73" spans="1:4" x14ac:dyDescent="0.25">
      <c r="A73" s="235" t="s">
        <v>2962</v>
      </c>
      <c r="B73" s="229" t="s">
        <v>2963</v>
      </c>
      <c r="C73" s="228" t="s">
        <v>2970</v>
      </c>
      <c r="D73" s="237" t="s">
        <v>2971</v>
      </c>
    </row>
    <row r="74" spans="1:4" x14ac:dyDescent="0.25">
      <c r="A74" s="235" t="s">
        <v>2962</v>
      </c>
      <c r="B74" s="229" t="s">
        <v>2963</v>
      </c>
      <c r="C74" s="228" t="s">
        <v>2972</v>
      </c>
      <c r="D74" s="237" t="s">
        <v>2973</v>
      </c>
    </row>
    <row r="75" spans="1:4" x14ac:dyDescent="0.25">
      <c r="A75" s="235" t="s">
        <v>2962</v>
      </c>
      <c r="B75" s="229" t="s">
        <v>2963</v>
      </c>
      <c r="C75" s="228" t="s">
        <v>2974</v>
      </c>
      <c r="D75" s="237" t="s">
        <v>2975</v>
      </c>
    </row>
    <row r="76" spans="1:4" x14ac:dyDescent="0.25">
      <c r="A76" s="235" t="s">
        <v>2962</v>
      </c>
      <c r="B76" s="229" t="s">
        <v>2963</v>
      </c>
      <c r="C76" s="228" t="s">
        <v>2976</v>
      </c>
      <c r="D76" s="237" t="s">
        <v>2977</v>
      </c>
    </row>
    <row r="77" spans="1:4" x14ac:dyDescent="0.25">
      <c r="A77" s="220" t="s">
        <v>2978</v>
      </c>
      <c r="B77" s="234" t="s">
        <v>2979</v>
      </c>
      <c r="C77" s="233">
        <v>1001</v>
      </c>
      <c r="D77" s="240" t="s">
        <v>2980</v>
      </c>
    </row>
    <row r="78" spans="1:4" x14ac:dyDescent="0.25">
      <c r="A78" s="220" t="s">
        <v>2978</v>
      </c>
      <c r="B78" s="234" t="s">
        <v>2981</v>
      </c>
      <c r="C78" s="233">
        <v>1002</v>
      </c>
      <c r="D78" s="240" t="s">
        <v>2982</v>
      </c>
    </row>
    <row r="79" spans="1:4" x14ac:dyDescent="0.25">
      <c r="A79" s="220" t="s">
        <v>2978</v>
      </c>
      <c r="B79" s="234" t="s">
        <v>2979</v>
      </c>
      <c r="C79" s="233">
        <v>1003</v>
      </c>
      <c r="D79" s="240" t="s">
        <v>2983</v>
      </c>
    </row>
    <row r="80" spans="1:4" x14ac:dyDescent="0.25">
      <c r="A80" s="220" t="s">
        <v>2978</v>
      </c>
      <c r="B80" s="234" t="s">
        <v>2981</v>
      </c>
      <c r="C80" s="233">
        <v>1004</v>
      </c>
      <c r="D80" s="240" t="s">
        <v>2984</v>
      </c>
    </row>
    <row r="81" spans="1:4" x14ac:dyDescent="0.25">
      <c r="A81" s="244" t="s">
        <v>2985</v>
      </c>
      <c r="B81" s="245" t="s">
        <v>2986</v>
      </c>
      <c r="C81" s="246">
        <v>1005</v>
      </c>
      <c r="D81" s="247" t="s">
        <v>2987</v>
      </c>
    </row>
    <row r="82" spans="1:4" x14ac:dyDescent="0.25">
      <c r="A82" s="220" t="s">
        <v>3346</v>
      </c>
      <c r="B82" s="470" t="s">
        <v>3347</v>
      </c>
      <c r="C82" s="435">
        <v>456</v>
      </c>
      <c r="D82" s="436" t="s">
        <v>3348</v>
      </c>
    </row>
    <row r="83" spans="1:4" x14ac:dyDescent="0.25">
      <c r="A83" s="471" t="s">
        <v>3350</v>
      </c>
      <c r="B83" s="472" t="s">
        <v>3351</v>
      </c>
      <c r="C83" s="473">
        <v>10100</v>
      </c>
      <c r="D83" s="474" t="s">
        <v>3352</v>
      </c>
    </row>
    <row r="84" spans="1:4" x14ac:dyDescent="0.25">
      <c r="A84" s="469"/>
      <c r="B84" s="469"/>
      <c r="C84" s="469"/>
      <c r="D84" s="469"/>
    </row>
  </sheetData>
  <phoneticPr fontId="48" type="noConversion"/>
  <pageMargins left="0.7" right="0.7" top="0.75" bottom="0.75" header="0.3" footer="0.3"/>
  <pageSetup paperSize="9" orientation="portrait" r:id="rId1"/>
  <colBreaks count="1" manualBreakCount="1">
    <brk id="6" max="80" man="1"/>
  </colBreak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XFD1622"/>
  <sheetViews>
    <sheetView view="pageBreakPreview" topLeftCell="N1605" zoomScaleNormal="100" zoomScaleSheetLayoutView="100" workbookViewId="0">
      <selection activeCell="S1621" sqref="S1621"/>
    </sheetView>
  </sheetViews>
  <sheetFormatPr baseColWidth="10" defaultRowHeight="15" x14ac:dyDescent="0.25"/>
  <cols>
    <col min="1" max="1" width="14.5703125" bestFit="1" customWidth="1"/>
    <col min="2" max="2" width="18.28515625" bestFit="1" customWidth="1"/>
    <col min="3" max="3" width="20" bestFit="1" customWidth="1"/>
    <col min="4" max="4" width="36.28515625" bestFit="1" customWidth="1"/>
    <col min="5" max="5" width="14.42578125" bestFit="1" customWidth="1"/>
    <col min="6" max="6" width="15.7109375" bestFit="1" customWidth="1"/>
    <col min="7" max="7" width="35.7109375" bestFit="1" customWidth="1"/>
    <col min="8" max="8" width="22.7109375" bestFit="1" customWidth="1"/>
    <col min="9" max="9" width="34.28515625" bestFit="1" customWidth="1"/>
    <col min="10" max="10" width="81" bestFit="1" customWidth="1"/>
    <col min="11" max="11" width="26.42578125" customWidth="1"/>
    <col min="12" max="12" width="30.7109375" bestFit="1" customWidth="1"/>
    <col min="13" max="13" width="54.28515625" customWidth="1"/>
    <col min="14" max="15" width="36.5703125" style="297" customWidth="1"/>
    <col min="16" max="16" width="25.7109375" customWidth="1"/>
    <col min="17" max="17" width="25.7109375" style="297" customWidth="1"/>
    <col min="18" max="18" width="49" bestFit="1" customWidth="1"/>
    <col min="19" max="19" width="23" customWidth="1"/>
    <col min="20" max="20" width="63.42578125" customWidth="1"/>
    <col min="21" max="21" width="35.7109375" customWidth="1"/>
  </cols>
  <sheetData>
    <row r="1" spans="1:20" ht="38.25" x14ac:dyDescent="0.25">
      <c r="A1" s="277" t="s">
        <v>2485</v>
      </c>
      <c r="B1" s="216" t="s">
        <v>2989</v>
      </c>
      <c r="C1" s="278" t="s">
        <v>2689</v>
      </c>
      <c r="D1" s="216" t="s">
        <v>2690</v>
      </c>
      <c r="E1" s="216" t="s">
        <v>2990</v>
      </c>
      <c r="F1" s="278" t="s">
        <v>2693</v>
      </c>
      <c r="G1" s="216" t="s">
        <v>2484</v>
      </c>
      <c r="H1" s="216" t="s">
        <v>2754</v>
      </c>
      <c r="I1" s="278" t="s">
        <v>2699</v>
      </c>
      <c r="J1" s="216" t="s">
        <v>2700</v>
      </c>
      <c r="K1" s="216" t="s">
        <v>2752</v>
      </c>
      <c r="L1" s="278" t="s">
        <v>2991</v>
      </c>
      <c r="M1" s="216" t="s">
        <v>2992</v>
      </c>
      <c r="N1" s="216" t="s">
        <v>3194</v>
      </c>
      <c r="O1" s="216" t="s">
        <v>3146</v>
      </c>
      <c r="P1" s="216" t="s">
        <v>2804</v>
      </c>
      <c r="Q1" s="216" t="s">
        <v>3196</v>
      </c>
      <c r="R1" s="216" t="s">
        <v>2805</v>
      </c>
      <c r="S1" s="216" t="s">
        <v>2993</v>
      </c>
      <c r="T1" s="279" t="s">
        <v>2807</v>
      </c>
    </row>
    <row r="2" spans="1:20" ht="25.5" x14ac:dyDescent="0.25">
      <c r="A2" s="268" t="s">
        <v>2314</v>
      </c>
      <c r="B2" s="248">
        <v>31</v>
      </c>
      <c r="C2" s="248" t="s">
        <v>2691</v>
      </c>
      <c r="D2" s="248" t="s">
        <v>2988</v>
      </c>
      <c r="E2" s="248" t="s">
        <v>3149</v>
      </c>
      <c r="F2" s="248" t="s">
        <v>2694</v>
      </c>
      <c r="G2" s="248" t="s">
        <v>2483</v>
      </c>
      <c r="H2" s="249" t="s">
        <v>3150</v>
      </c>
      <c r="I2" s="249" t="s">
        <v>2701</v>
      </c>
      <c r="J2" s="248" t="s">
        <v>29</v>
      </c>
      <c r="K2" s="249" t="s">
        <v>3064</v>
      </c>
      <c r="L2" s="249" t="s">
        <v>2701</v>
      </c>
      <c r="M2" s="248" t="s">
        <v>30</v>
      </c>
      <c r="N2" s="299" t="s">
        <v>2883</v>
      </c>
      <c r="O2" s="292" t="str">
        <f>TablaPOA[[#This Row],[Cod_Sub_acción_especifica]]&amp;"_"&amp;TablaPOA[[#This Row],[Tipo de agente]]</f>
        <v>K31.1.1.1_EVP combustibles de uso automotor</v>
      </c>
      <c r="P2" s="250" t="s">
        <v>2882</v>
      </c>
      <c r="Q2" s="292" t="str">
        <f>TablaPOA[[#This Row],[Cod_Sub_acción_especifica]]&amp;"_"&amp;TablaPOA[[#This Row],[Cod_Tipo_agente]]</f>
        <v>K31.1.1.1_TA6</v>
      </c>
      <c r="R2" s="250" t="s">
        <v>2883</v>
      </c>
      <c r="S2" s="251" t="s">
        <v>2884</v>
      </c>
      <c r="T2" s="269" t="s">
        <v>2885</v>
      </c>
    </row>
    <row r="3" spans="1:20" ht="25.5" x14ac:dyDescent="0.25">
      <c r="A3" s="268" t="s">
        <v>2314</v>
      </c>
      <c r="B3" s="248">
        <v>31</v>
      </c>
      <c r="C3" s="248" t="s">
        <v>2691</v>
      </c>
      <c r="D3" s="248" t="s">
        <v>2988</v>
      </c>
      <c r="E3" s="248" t="s">
        <v>3149</v>
      </c>
      <c r="F3" s="248" t="s">
        <v>2694</v>
      </c>
      <c r="G3" s="248" t="s">
        <v>2483</v>
      </c>
      <c r="H3" s="249" t="s">
        <v>3150</v>
      </c>
      <c r="I3" s="249" t="s">
        <v>2701</v>
      </c>
      <c r="J3" s="248" t="s">
        <v>29</v>
      </c>
      <c r="K3" s="249" t="s">
        <v>3064</v>
      </c>
      <c r="L3" s="249" t="s">
        <v>2701</v>
      </c>
      <c r="M3" s="248" t="s">
        <v>30</v>
      </c>
      <c r="N3" s="299" t="s">
        <v>2913</v>
      </c>
      <c r="O3" s="292" t="str">
        <f>TablaPOA[[#This Row],[Cod_Sub_acción_especifica]]&amp;"_"&amp;TablaPOA[[#This Row],[Tipo de agente]]</f>
        <v>K31.1.1.1_EVP combustibles de uso automotor</v>
      </c>
      <c r="P3" s="250" t="s">
        <v>2882</v>
      </c>
      <c r="Q3" s="292" t="str">
        <f>TablaPOA[[#This Row],[Cod_Sub_acción_especifica]]&amp;"_"&amp;TablaPOA[[#This Row],[Cod_Tipo_agente]]</f>
        <v>K31.1.1.1_TA6</v>
      </c>
      <c r="R3" s="250" t="s">
        <v>2883</v>
      </c>
      <c r="S3" s="251" t="s">
        <v>2886</v>
      </c>
      <c r="T3" s="269" t="s">
        <v>2887</v>
      </c>
    </row>
    <row r="4" spans="1:20" ht="25.5" x14ac:dyDescent="0.25">
      <c r="A4" s="268" t="s">
        <v>2314</v>
      </c>
      <c r="B4" s="248">
        <v>31</v>
      </c>
      <c r="C4" s="248" t="s">
        <v>2691</v>
      </c>
      <c r="D4" s="248" t="s">
        <v>2988</v>
      </c>
      <c r="E4" s="248" t="s">
        <v>3149</v>
      </c>
      <c r="F4" s="248" t="s">
        <v>2694</v>
      </c>
      <c r="G4" s="248" t="s">
        <v>2483</v>
      </c>
      <c r="H4" s="249" t="s">
        <v>3150</v>
      </c>
      <c r="I4" s="249" t="s">
        <v>2701</v>
      </c>
      <c r="J4" s="248" t="s">
        <v>29</v>
      </c>
      <c r="K4" s="249" t="s">
        <v>3064</v>
      </c>
      <c r="L4" s="249" t="s">
        <v>2701</v>
      </c>
      <c r="M4" s="248" t="s">
        <v>30</v>
      </c>
      <c r="N4" s="299" t="s">
        <v>2919</v>
      </c>
      <c r="O4" s="292" t="str">
        <f>TablaPOA[[#This Row],[Cod_Sub_acción_especifica]]&amp;"_"&amp;TablaPOA[[#This Row],[Tipo de agente]]</f>
        <v>K31.1.1.1_EVP combustibles de uso automotor</v>
      </c>
      <c r="P4" s="250" t="s">
        <v>2882</v>
      </c>
      <c r="Q4" s="292" t="str">
        <f>TablaPOA[[#This Row],[Cod_Sub_acción_especifica]]&amp;"_"&amp;TablaPOA[[#This Row],[Cod_Tipo_agente]]</f>
        <v>K31.1.1.1_TA6</v>
      </c>
      <c r="R4" s="250" t="s">
        <v>2883</v>
      </c>
      <c r="S4" s="251" t="s">
        <v>2888</v>
      </c>
      <c r="T4" s="269" t="s">
        <v>2889</v>
      </c>
    </row>
    <row r="5" spans="1:20" ht="25.5" x14ac:dyDescent="0.25">
      <c r="A5" s="268" t="s">
        <v>2314</v>
      </c>
      <c r="B5" s="248">
        <v>31</v>
      </c>
      <c r="C5" s="248" t="s">
        <v>2691</v>
      </c>
      <c r="D5" s="248" t="s">
        <v>2988</v>
      </c>
      <c r="E5" s="248" t="s">
        <v>3149</v>
      </c>
      <c r="F5" s="248" t="s">
        <v>2694</v>
      </c>
      <c r="G5" s="248" t="s">
        <v>2483</v>
      </c>
      <c r="H5" s="249" t="s">
        <v>3150</v>
      </c>
      <c r="I5" s="249" t="s">
        <v>2701</v>
      </c>
      <c r="J5" s="248" t="s">
        <v>29</v>
      </c>
      <c r="K5" s="249" t="s">
        <v>3064</v>
      </c>
      <c r="L5" s="249" t="s">
        <v>2701</v>
      </c>
      <c r="M5" s="248" t="s">
        <v>30</v>
      </c>
      <c r="N5" s="293"/>
      <c r="O5" s="293" t="str">
        <f>TablaPOA[[#This Row],[Cod_Sub_acción_especifica]]&amp;"_"&amp;TablaPOA[[#This Row],[Tipo de agente]]</f>
        <v>K31.1.1.1_EVP combustibles de uso automotor</v>
      </c>
      <c r="P5" s="250" t="s">
        <v>2882</v>
      </c>
      <c r="Q5" s="292" t="str">
        <f>TablaPOA[[#This Row],[Cod_Sub_acción_especifica]]&amp;"_"&amp;TablaPOA[[#This Row],[Cod_Tipo_agente]]</f>
        <v>K31.1.1.1_TA6</v>
      </c>
      <c r="R5" s="250" t="s">
        <v>2883</v>
      </c>
      <c r="S5" s="251" t="s">
        <v>2890</v>
      </c>
      <c r="T5" s="269" t="s">
        <v>2891</v>
      </c>
    </row>
    <row r="6" spans="1:20" ht="25.5" x14ac:dyDescent="0.25">
      <c r="A6" s="268" t="s">
        <v>2314</v>
      </c>
      <c r="B6" s="248">
        <v>31</v>
      </c>
      <c r="C6" s="248" t="s">
        <v>2691</v>
      </c>
      <c r="D6" s="248" t="s">
        <v>2988</v>
      </c>
      <c r="E6" s="248" t="s">
        <v>3149</v>
      </c>
      <c r="F6" s="248" t="s">
        <v>2694</v>
      </c>
      <c r="G6" s="248" t="s">
        <v>2483</v>
      </c>
      <c r="H6" s="249" t="s">
        <v>3150</v>
      </c>
      <c r="I6" s="249" t="s">
        <v>2701</v>
      </c>
      <c r="J6" s="248" t="s">
        <v>29</v>
      </c>
      <c r="K6" s="249" t="s">
        <v>3064</v>
      </c>
      <c r="L6" s="249" t="s">
        <v>2701</v>
      </c>
      <c r="M6" s="248" t="s">
        <v>30</v>
      </c>
      <c r="N6" s="293"/>
      <c r="O6" s="293" t="str">
        <f>TablaPOA[[#This Row],[Cod_Sub_acción_especifica]]&amp;"_"&amp;TablaPOA[[#This Row],[Tipo de agente]]</f>
        <v>K31.1.1.1_EVP combustibles de uso automotor</v>
      </c>
      <c r="P6" s="250" t="s">
        <v>2882</v>
      </c>
      <c r="Q6" s="292" t="str">
        <f>TablaPOA[[#This Row],[Cod_Sub_acción_especifica]]&amp;"_"&amp;TablaPOA[[#This Row],[Cod_Tipo_agente]]</f>
        <v>K31.1.1.1_TA6</v>
      </c>
      <c r="R6" s="250" t="s">
        <v>2883</v>
      </c>
      <c r="S6" s="251" t="s">
        <v>2892</v>
      </c>
      <c r="T6" s="269" t="s">
        <v>2893</v>
      </c>
    </row>
    <row r="7" spans="1:20" ht="25.5" x14ac:dyDescent="0.25">
      <c r="A7" s="268" t="s">
        <v>2314</v>
      </c>
      <c r="B7" s="248">
        <v>31</v>
      </c>
      <c r="C7" s="248" t="s">
        <v>2691</v>
      </c>
      <c r="D7" s="248" t="s">
        <v>2988</v>
      </c>
      <c r="E7" s="248" t="s">
        <v>3149</v>
      </c>
      <c r="F7" s="248" t="s">
        <v>2694</v>
      </c>
      <c r="G7" s="248" t="s">
        <v>2483</v>
      </c>
      <c r="H7" s="249" t="s">
        <v>3150</v>
      </c>
      <c r="I7" s="249" t="s">
        <v>2701</v>
      </c>
      <c r="J7" s="248" t="s">
        <v>29</v>
      </c>
      <c r="K7" s="249" t="s">
        <v>3064</v>
      </c>
      <c r="L7" s="249" t="s">
        <v>2701</v>
      </c>
      <c r="M7" s="248" t="s">
        <v>30</v>
      </c>
      <c r="N7" s="293"/>
      <c r="O7" s="293" t="str">
        <f>TablaPOA[[#This Row],[Cod_Sub_acción_especifica]]&amp;"_"&amp;TablaPOA[[#This Row],[Tipo de agente]]</f>
        <v>K31.1.1.1_EVP combustibles de uso automotor</v>
      </c>
      <c r="P7" s="250" t="s">
        <v>2882</v>
      </c>
      <c r="Q7" s="292" t="str">
        <f>TablaPOA[[#This Row],[Cod_Sub_acción_especifica]]&amp;"_"&amp;TablaPOA[[#This Row],[Cod_Tipo_agente]]</f>
        <v>K31.1.1.1_TA6</v>
      </c>
      <c r="R7" s="250" t="s">
        <v>2883</v>
      </c>
      <c r="S7" s="251" t="s">
        <v>2894</v>
      </c>
      <c r="T7" s="269" t="s">
        <v>2895</v>
      </c>
    </row>
    <row r="8" spans="1:20" ht="25.5" x14ac:dyDescent="0.25">
      <c r="A8" s="268" t="s">
        <v>2314</v>
      </c>
      <c r="B8" s="248">
        <v>31</v>
      </c>
      <c r="C8" s="248" t="s">
        <v>2691</v>
      </c>
      <c r="D8" s="248" t="s">
        <v>2988</v>
      </c>
      <c r="E8" s="248" t="s">
        <v>3149</v>
      </c>
      <c r="F8" s="248" t="s">
        <v>2694</v>
      </c>
      <c r="G8" s="248" t="s">
        <v>2483</v>
      </c>
      <c r="H8" s="249" t="s">
        <v>3150</v>
      </c>
      <c r="I8" s="249" t="s">
        <v>2701</v>
      </c>
      <c r="J8" s="248" t="s">
        <v>29</v>
      </c>
      <c r="K8" s="249" t="s">
        <v>3064</v>
      </c>
      <c r="L8" s="249" t="s">
        <v>2701</v>
      </c>
      <c r="M8" s="248" t="s">
        <v>30</v>
      </c>
      <c r="N8" s="293"/>
      <c r="O8" s="293" t="str">
        <f>TablaPOA[[#This Row],[Cod_Sub_acción_especifica]]&amp;"_"&amp;TablaPOA[[#This Row],[Tipo de agente]]</f>
        <v>K31.1.1.1_EVP combustibles de uso automotor</v>
      </c>
      <c r="P8" s="250" t="s">
        <v>2882</v>
      </c>
      <c r="Q8" s="292" t="str">
        <f>TablaPOA[[#This Row],[Cod_Sub_acción_especifica]]&amp;"_"&amp;TablaPOA[[#This Row],[Cod_Tipo_agente]]</f>
        <v>K31.1.1.1_TA6</v>
      </c>
      <c r="R8" s="250" t="s">
        <v>2883</v>
      </c>
      <c r="S8" s="251" t="s">
        <v>2896</v>
      </c>
      <c r="T8" s="269" t="s">
        <v>2897</v>
      </c>
    </row>
    <row r="9" spans="1:20" ht="25.5" x14ac:dyDescent="0.25">
      <c r="A9" s="268" t="s">
        <v>2314</v>
      </c>
      <c r="B9" s="248">
        <v>31</v>
      </c>
      <c r="C9" s="248" t="s">
        <v>2691</v>
      </c>
      <c r="D9" s="248" t="s">
        <v>2988</v>
      </c>
      <c r="E9" s="248" t="s">
        <v>3149</v>
      </c>
      <c r="F9" s="248" t="s">
        <v>2694</v>
      </c>
      <c r="G9" s="248" t="s">
        <v>2483</v>
      </c>
      <c r="H9" s="249" t="s">
        <v>3150</v>
      </c>
      <c r="I9" s="249" t="s">
        <v>2701</v>
      </c>
      <c r="J9" s="248" t="s">
        <v>29</v>
      </c>
      <c r="K9" s="249" t="s">
        <v>3064</v>
      </c>
      <c r="L9" s="249" t="s">
        <v>2701</v>
      </c>
      <c r="M9" s="248" t="s">
        <v>30</v>
      </c>
      <c r="N9" s="293"/>
      <c r="O9" s="293" t="str">
        <f>TablaPOA[[#This Row],[Cod_Sub_acción_especifica]]&amp;"_"&amp;TablaPOA[[#This Row],[Tipo de agente]]</f>
        <v>K31.1.1.1_EVP combustibles de uso automotor</v>
      </c>
      <c r="P9" s="250" t="s">
        <v>2882</v>
      </c>
      <c r="Q9" s="292" t="str">
        <f>TablaPOA[[#This Row],[Cod_Sub_acción_especifica]]&amp;"_"&amp;TablaPOA[[#This Row],[Cod_Tipo_agente]]</f>
        <v>K31.1.1.1_TA6</v>
      </c>
      <c r="R9" s="250" t="s">
        <v>2883</v>
      </c>
      <c r="S9" s="251" t="s">
        <v>2898</v>
      </c>
      <c r="T9" s="269" t="s">
        <v>2899</v>
      </c>
    </row>
    <row r="10" spans="1:20" ht="25.5" x14ac:dyDescent="0.25">
      <c r="A10" s="268" t="s">
        <v>2314</v>
      </c>
      <c r="B10" s="248">
        <v>31</v>
      </c>
      <c r="C10" s="248" t="s">
        <v>2691</v>
      </c>
      <c r="D10" s="248" t="s">
        <v>2988</v>
      </c>
      <c r="E10" s="248" t="s">
        <v>3149</v>
      </c>
      <c r="F10" s="248" t="s">
        <v>2694</v>
      </c>
      <c r="G10" s="248" t="s">
        <v>2483</v>
      </c>
      <c r="H10" s="249" t="s">
        <v>3150</v>
      </c>
      <c r="I10" s="249" t="s">
        <v>2701</v>
      </c>
      <c r="J10" s="248" t="s">
        <v>29</v>
      </c>
      <c r="K10" s="249" t="s">
        <v>3064</v>
      </c>
      <c r="L10" s="249" t="s">
        <v>2701</v>
      </c>
      <c r="M10" s="248" t="s">
        <v>30</v>
      </c>
      <c r="N10" s="293"/>
      <c r="O10" s="293" t="str">
        <f>TablaPOA[[#This Row],[Cod_Sub_acción_especifica]]&amp;"_"&amp;TablaPOA[[#This Row],[Tipo de agente]]</f>
        <v>K31.1.1.1_EVP combustibles de uso automotor</v>
      </c>
      <c r="P10" s="250" t="s">
        <v>2882</v>
      </c>
      <c r="Q10" s="292" t="str">
        <f>TablaPOA[[#This Row],[Cod_Sub_acción_especifica]]&amp;"_"&amp;TablaPOA[[#This Row],[Cod_Tipo_agente]]</f>
        <v>K31.1.1.1_TA6</v>
      </c>
      <c r="R10" s="250" t="s">
        <v>2883</v>
      </c>
      <c r="S10" s="251" t="s">
        <v>2900</v>
      </c>
      <c r="T10" s="269" t="s">
        <v>2901</v>
      </c>
    </row>
    <row r="11" spans="1:20" ht="25.5" x14ac:dyDescent="0.25">
      <c r="A11" s="268" t="s">
        <v>2314</v>
      </c>
      <c r="B11" s="248">
        <v>31</v>
      </c>
      <c r="C11" s="248" t="s">
        <v>2691</v>
      </c>
      <c r="D11" s="248" t="s">
        <v>2988</v>
      </c>
      <c r="E11" s="248" t="s">
        <v>3149</v>
      </c>
      <c r="F11" s="248" t="s">
        <v>2694</v>
      </c>
      <c r="G11" s="248" t="s">
        <v>2483</v>
      </c>
      <c r="H11" s="249" t="s">
        <v>3150</v>
      </c>
      <c r="I11" s="249" t="s">
        <v>2701</v>
      </c>
      <c r="J11" s="248" t="s">
        <v>29</v>
      </c>
      <c r="K11" s="249" t="s">
        <v>3064</v>
      </c>
      <c r="L11" s="249" t="s">
        <v>2701</v>
      </c>
      <c r="M11" s="248" t="s">
        <v>30</v>
      </c>
      <c r="N11" s="293"/>
      <c r="O11" s="293" t="str">
        <f>TablaPOA[[#This Row],[Cod_Sub_acción_especifica]]&amp;"_"&amp;TablaPOA[[#This Row],[Tipo de agente]]</f>
        <v>K31.1.1.1_Locales de venta de GLP</v>
      </c>
      <c r="P11" s="250" t="s">
        <v>2912</v>
      </c>
      <c r="Q11" s="292" t="str">
        <f>TablaPOA[[#This Row],[Cod_Sub_acción_especifica]]&amp;"_"&amp;TablaPOA[[#This Row],[Cod_Tipo_agente]]</f>
        <v>K31.1.1.1_TA8</v>
      </c>
      <c r="R11" s="250" t="s">
        <v>2913</v>
      </c>
      <c r="S11" s="251" t="s">
        <v>2914</v>
      </c>
      <c r="T11" s="269" t="s">
        <v>2915</v>
      </c>
    </row>
    <row r="12" spans="1:20" ht="25.5" x14ac:dyDescent="0.25">
      <c r="A12" s="268" t="s">
        <v>2314</v>
      </c>
      <c r="B12" s="248">
        <v>31</v>
      </c>
      <c r="C12" s="248" t="s">
        <v>2691</v>
      </c>
      <c r="D12" s="248" t="s">
        <v>2988</v>
      </c>
      <c r="E12" s="248" t="s">
        <v>3149</v>
      </c>
      <c r="F12" s="248" t="s">
        <v>2694</v>
      </c>
      <c r="G12" s="248" t="s">
        <v>2483</v>
      </c>
      <c r="H12" s="249" t="s">
        <v>3150</v>
      </c>
      <c r="I12" s="249" t="s">
        <v>2701</v>
      </c>
      <c r="J12" s="248" t="s">
        <v>29</v>
      </c>
      <c r="K12" s="249" t="s">
        <v>3064</v>
      </c>
      <c r="L12" s="249" t="s">
        <v>2701</v>
      </c>
      <c r="M12" s="248" t="s">
        <v>30</v>
      </c>
      <c r="N12" s="293"/>
      <c r="O12" s="293" t="str">
        <f>TablaPOA[[#This Row],[Cod_Sub_acción_especifica]]&amp;"_"&amp;TablaPOA[[#This Row],[Tipo de agente]]</f>
        <v>K31.1.1.1_Locales de venta de GLP</v>
      </c>
      <c r="P12" s="250" t="s">
        <v>2912</v>
      </c>
      <c r="Q12" s="292" t="str">
        <f>TablaPOA[[#This Row],[Cod_Sub_acción_especifica]]&amp;"_"&amp;TablaPOA[[#This Row],[Cod_Tipo_agente]]</f>
        <v>K31.1.1.1_TA8</v>
      </c>
      <c r="R12" s="250" t="s">
        <v>2913</v>
      </c>
      <c r="S12" s="251" t="s">
        <v>2916</v>
      </c>
      <c r="T12" s="269" t="s">
        <v>2917</v>
      </c>
    </row>
    <row r="13" spans="1:20" ht="25.5" x14ac:dyDescent="0.25">
      <c r="A13" s="268" t="s">
        <v>2314</v>
      </c>
      <c r="B13" s="248">
        <v>31</v>
      </c>
      <c r="C13" s="248" t="s">
        <v>2691</v>
      </c>
      <c r="D13" s="248" t="s">
        <v>2988</v>
      </c>
      <c r="E13" s="248" t="s">
        <v>3149</v>
      </c>
      <c r="F13" s="248" t="s">
        <v>2694</v>
      </c>
      <c r="G13" s="248" t="s">
        <v>2483</v>
      </c>
      <c r="H13" s="249" t="s">
        <v>3150</v>
      </c>
      <c r="I13" s="249" t="s">
        <v>2701</v>
      </c>
      <c r="J13" s="248" t="s">
        <v>29</v>
      </c>
      <c r="K13" s="249" t="s">
        <v>3064</v>
      </c>
      <c r="L13" s="249" t="s">
        <v>2701</v>
      </c>
      <c r="M13" s="248" t="s">
        <v>30</v>
      </c>
      <c r="N13" s="293"/>
      <c r="O13" s="293" t="str">
        <f>TablaPOA[[#This Row],[Cod_Sub_acción_especifica]]&amp;"_"&amp;TablaPOA[[#This Row],[Tipo de agente]]</f>
        <v>K31.1.1.1_Medios de transporte</v>
      </c>
      <c r="P13" s="250" t="s">
        <v>2918</v>
      </c>
      <c r="Q13" s="292" t="str">
        <f>TablaPOA[[#This Row],[Cod_Sub_acción_especifica]]&amp;"_"&amp;TablaPOA[[#This Row],[Cod_Tipo_agente]]</f>
        <v>K31.1.1.1_TA9</v>
      </c>
      <c r="R13" s="250" t="s">
        <v>2919</v>
      </c>
      <c r="S13" s="251" t="s">
        <v>2920</v>
      </c>
      <c r="T13" s="269" t="s">
        <v>2921</v>
      </c>
    </row>
    <row r="14" spans="1:20" ht="25.5" x14ac:dyDescent="0.25">
      <c r="A14" s="268" t="s">
        <v>2314</v>
      </c>
      <c r="B14" s="248">
        <v>31</v>
      </c>
      <c r="C14" s="248" t="s">
        <v>2691</v>
      </c>
      <c r="D14" s="248" t="s">
        <v>2988</v>
      </c>
      <c r="E14" s="248" t="s">
        <v>3149</v>
      </c>
      <c r="F14" s="248" t="s">
        <v>2694</v>
      </c>
      <c r="G14" s="248" t="s">
        <v>2483</v>
      </c>
      <c r="H14" s="249" t="s">
        <v>3150</v>
      </c>
      <c r="I14" s="249" t="s">
        <v>2701</v>
      </c>
      <c r="J14" s="248" t="s">
        <v>29</v>
      </c>
      <c r="K14" s="249" t="s">
        <v>3064</v>
      </c>
      <c r="L14" s="249" t="s">
        <v>2701</v>
      </c>
      <c r="M14" s="248" t="s">
        <v>30</v>
      </c>
      <c r="N14" s="293"/>
      <c r="O14" s="293" t="str">
        <f>TablaPOA[[#This Row],[Cod_Sub_acción_especifica]]&amp;"_"&amp;TablaPOA[[#This Row],[Tipo de agente]]</f>
        <v>K31.1.1.1_Medios de transporte</v>
      </c>
      <c r="P14" s="250" t="s">
        <v>2918</v>
      </c>
      <c r="Q14" s="292" t="str">
        <f>TablaPOA[[#This Row],[Cod_Sub_acción_especifica]]&amp;"_"&amp;TablaPOA[[#This Row],[Cod_Tipo_agente]]</f>
        <v>K31.1.1.1_TA9</v>
      </c>
      <c r="R14" s="250" t="s">
        <v>2919</v>
      </c>
      <c r="S14" s="252">
        <v>202</v>
      </c>
      <c r="T14" s="270" t="s">
        <v>2933</v>
      </c>
    </row>
    <row r="15" spans="1:20" ht="25.5" x14ac:dyDescent="0.25">
      <c r="A15" s="219" t="s">
        <v>2314</v>
      </c>
      <c r="B15" s="227">
        <v>31</v>
      </c>
      <c r="C15" s="227" t="s">
        <v>2691</v>
      </c>
      <c r="D15" s="227" t="s">
        <v>2988</v>
      </c>
      <c r="E15" s="227" t="s">
        <v>3149</v>
      </c>
      <c r="F15" s="227" t="s">
        <v>2694</v>
      </c>
      <c r="G15" s="227" t="s">
        <v>2483</v>
      </c>
      <c r="H15" s="253" t="s">
        <v>3151</v>
      </c>
      <c r="I15" s="253" t="s">
        <v>2561</v>
      </c>
      <c r="J15" s="227" t="s">
        <v>2560</v>
      </c>
      <c r="K15" s="253" t="s">
        <v>3065</v>
      </c>
      <c r="L15" s="253" t="s">
        <v>2561</v>
      </c>
      <c r="M15" s="227" t="s">
        <v>2561</v>
      </c>
      <c r="N15" s="299" t="s">
        <v>2883</v>
      </c>
      <c r="O15" s="292" t="str">
        <f>TablaPOA[[#This Row],[Cod_Sub_acción_especifica]]&amp;"_"&amp;TablaPOA[[#This Row],[Tipo de agente]]</f>
        <v>K31.1.2.1_EVP combustibles de uso automotor</v>
      </c>
      <c r="P15" s="254" t="s">
        <v>2882</v>
      </c>
      <c r="Q15" s="292" t="str">
        <f>TablaPOA[[#This Row],[Cod_Sub_acción_especifica]]&amp;"_"&amp;TablaPOA[[#This Row],[Cod_Tipo_agente]]</f>
        <v>K31.1.2.1_TA6</v>
      </c>
      <c r="R15" s="254" t="s">
        <v>2883</v>
      </c>
      <c r="S15" s="255" t="s">
        <v>2884</v>
      </c>
      <c r="T15" s="271" t="s">
        <v>2885</v>
      </c>
    </row>
    <row r="16" spans="1:20" ht="25.5" x14ac:dyDescent="0.25">
      <c r="A16" s="219" t="s">
        <v>2314</v>
      </c>
      <c r="B16" s="227">
        <v>31</v>
      </c>
      <c r="C16" s="227" t="s">
        <v>2691</v>
      </c>
      <c r="D16" s="227" t="s">
        <v>2988</v>
      </c>
      <c r="E16" s="227" t="s">
        <v>3149</v>
      </c>
      <c r="F16" s="227" t="s">
        <v>2694</v>
      </c>
      <c r="G16" s="227" t="s">
        <v>2483</v>
      </c>
      <c r="H16" s="253" t="s">
        <v>3151</v>
      </c>
      <c r="I16" s="253" t="s">
        <v>2561</v>
      </c>
      <c r="J16" s="227" t="s">
        <v>2560</v>
      </c>
      <c r="K16" s="253" t="s">
        <v>3065</v>
      </c>
      <c r="L16" s="253" t="s">
        <v>2561</v>
      </c>
      <c r="M16" s="227" t="s">
        <v>2561</v>
      </c>
      <c r="N16" s="293"/>
      <c r="O16" s="293" t="str">
        <f>TablaPOA[[#This Row],[Cod_Sub_acción_especifica]]&amp;"_"&amp;TablaPOA[[#This Row],[Tipo de agente]]</f>
        <v>K31.1.2.1_EVP combustibles de uso automotor</v>
      </c>
      <c r="P16" s="254" t="s">
        <v>2882</v>
      </c>
      <c r="Q16" s="292" t="str">
        <f>TablaPOA[[#This Row],[Cod_Sub_acción_especifica]]&amp;"_"&amp;TablaPOA[[#This Row],[Cod_Tipo_agente]]</f>
        <v>K31.1.2.1_TA6</v>
      </c>
      <c r="R16" s="254" t="s">
        <v>2883</v>
      </c>
      <c r="S16" s="255" t="s">
        <v>2886</v>
      </c>
      <c r="T16" s="271" t="s">
        <v>2887</v>
      </c>
    </row>
    <row r="17" spans="1:20" ht="25.5" x14ac:dyDescent="0.25">
      <c r="A17" s="219" t="s">
        <v>2314</v>
      </c>
      <c r="B17" s="227">
        <v>31</v>
      </c>
      <c r="C17" s="227" t="s">
        <v>2691</v>
      </c>
      <c r="D17" s="227" t="s">
        <v>2988</v>
      </c>
      <c r="E17" s="227" t="s">
        <v>3149</v>
      </c>
      <c r="F17" s="227" t="s">
        <v>2694</v>
      </c>
      <c r="G17" s="227" t="s">
        <v>2483</v>
      </c>
      <c r="H17" s="253" t="s">
        <v>3151</v>
      </c>
      <c r="I17" s="253" t="s">
        <v>2561</v>
      </c>
      <c r="J17" s="227" t="s">
        <v>2560</v>
      </c>
      <c r="K17" s="253" t="s">
        <v>3065</v>
      </c>
      <c r="L17" s="253" t="s">
        <v>2561</v>
      </c>
      <c r="M17" s="227" t="s">
        <v>2561</v>
      </c>
      <c r="N17" s="293"/>
      <c r="O17" s="293" t="str">
        <f>TablaPOA[[#This Row],[Cod_Sub_acción_especifica]]&amp;"_"&amp;TablaPOA[[#This Row],[Tipo de agente]]</f>
        <v>K31.1.2.1_EVP combustibles de uso automotor</v>
      </c>
      <c r="P17" s="254" t="s">
        <v>2882</v>
      </c>
      <c r="Q17" s="292" t="str">
        <f>TablaPOA[[#This Row],[Cod_Sub_acción_especifica]]&amp;"_"&amp;TablaPOA[[#This Row],[Cod_Tipo_agente]]</f>
        <v>K31.1.2.1_TA6</v>
      </c>
      <c r="R17" s="254" t="s">
        <v>2883</v>
      </c>
      <c r="S17" s="255" t="s">
        <v>2890</v>
      </c>
      <c r="T17" s="271" t="s">
        <v>2891</v>
      </c>
    </row>
    <row r="18" spans="1:20" ht="25.5" x14ac:dyDescent="0.25">
      <c r="A18" s="219" t="s">
        <v>2314</v>
      </c>
      <c r="B18" s="227">
        <v>31</v>
      </c>
      <c r="C18" s="227" t="s">
        <v>2691</v>
      </c>
      <c r="D18" s="227" t="s">
        <v>2988</v>
      </c>
      <c r="E18" s="227" t="s">
        <v>3149</v>
      </c>
      <c r="F18" s="227" t="s">
        <v>2694</v>
      </c>
      <c r="G18" s="227" t="s">
        <v>2483</v>
      </c>
      <c r="H18" s="253" t="s">
        <v>3151</v>
      </c>
      <c r="I18" s="253" t="s">
        <v>2561</v>
      </c>
      <c r="J18" s="227" t="s">
        <v>2560</v>
      </c>
      <c r="K18" s="253" t="s">
        <v>3065</v>
      </c>
      <c r="L18" s="253" t="s">
        <v>2561</v>
      </c>
      <c r="M18" s="227" t="s">
        <v>2561</v>
      </c>
      <c r="N18" s="293"/>
      <c r="O18" s="293" t="str">
        <f>TablaPOA[[#This Row],[Cod_Sub_acción_especifica]]&amp;"_"&amp;TablaPOA[[#This Row],[Tipo de agente]]</f>
        <v>K31.1.2.1_EVP combustibles de uso automotor</v>
      </c>
      <c r="P18" s="254" t="s">
        <v>2882</v>
      </c>
      <c r="Q18" s="292" t="str">
        <f>TablaPOA[[#This Row],[Cod_Sub_acción_especifica]]&amp;"_"&amp;TablaPOA[[#This Row],[Cod_Tipo_agente]]</f>
        <v>K31.1.2.1_TA6</v>
      </c>
      <c r="R18" s="254" t="s">
        <v>2883</v>
      </c>
      <c r="S18" s="255" t="s">
        <v>2892</v>
      </c>
      <c r="T18" s="271" t="s">
        <v>2893</v>
      </c>
    </row>
    <row r="19" spans="1:20" ht="25.5" x14ac:dyDescent="0.25">
      <c r="A19" s="219" t="s">
        <v>2314</v>
      </c>
      <c r="B19" s="227">
        <v>31</v>
      </c>
      <c r="C19" s="227" t="s">
        <v>2691</v>
      </c>
      <c r="D19" s="227" t="s">
        <v>2988</v>
      </c>
      <c r="E19" s="227" t="s">
        <v>3149</v>
      </c>
      <c r="F19" s="227" t="s">
        <v>2694</v>
      </c>
      <c r="G19" s="227" t="s">
        <v>2483</v>
      </c>
      <c r="H19" s="253" t="s">
        <v>3151</v>
      </c>
      <c r="I19" s="253" t="s">
        <v>2561</v>
      </c>
      <c r="J19" s="227" t="s">
        <v>2560</v>
      </c>
      <c r="K19" s="253" t="s">
        <v>3065</v>
      </c>
      <c r="L19" s="253" t="s">
        <v>2561</v>
      </c>
      <c r="M19" s="227" t="s">
        <v>2561</v>
      </c>
      <c r="N19" s="293"/>
      <c r="O19" s="293" t="str">
        <f>TablaPOA[[#This Row],[Cod_Sub_acción_especifica]]&amp;"_"&amp;TablaPOA[[#This Row],[Tipo de agente]]</f>
        <v>K31.1.2.1_EVP combustibles de uso automotor</v>
      </c>
      <c r="P19" s="254" t="s">
        <v>2882</v>
      </c>
      <c r="Q19" s="292" t="str">
        <f>TablaPOA[[#This Row],[Cod_Sub_acción_especifica]]&amp;"_"&amp;TablaPOA[[#This Row],[Cod_Tipo_agente]]</f>
        <v>K31.1.2.1_TA6</v>
      </c>
      <c r="R19" s="254" t="s">
        <v>2883</v>
      </c>
      <c r="S19" s="255" t="s">
        <v>2894</v>
      </c>
      <c r="T19" s="271" t="s">
        <v>2895</v>
      </c>
    </row>
    <row r="20" spans="1:20" ht="25.5" x14ac:dyDescent="0.25">
      <c r="A20" s="219" t="s">
        <v>2314</v>
      </c>
      <c r="B20" s="227">
        <v>31</v>
      </c>
      <c r="C20" s="227" t="s">
        <v>2691</v>
      </c>
      <c r="D20" s="227" t="s">
        <v>2988</v>
      </c>
      <c r="E20" s="227" t="s">
        <v>3149</v>
      </c>
      <c r="F20" s="227" t="s">
        <v>2694</v>
      </c>
      <c r="G20" s="227" t="s">
        <v>2483</v>
      </c>
      <c r="H20" s="253" t="s">
        <v>3151</v>
      </c>
      <c r="I20" s="253" t="s">
        <v>2561</v>
      </c>
      <c r="J20" s="227" t="s">
        <v>2560</v>
      </c>
      <c r="K20" s="253" t="s">
        <v>3065</v>
      </c>
      <c r="L20" s="253" t="s">
        <v>2561</v>
      </c>
      <c r="M20" s="227" t="s">
        <v>2561</v>
      </c>
      <c r="N20" s="293"/>
      <c r="O20" s="293" t="str">
        <f>TablaPOA[[#This Row],[Cod_Sub_acción_especifica]]&amp;"_"&amp;TablaPOA[[#This Row],[Tipo de agente]]</f>
        <v>K31.1.2.1_EVP combustibles de uso automotor</v>
      </c>
      <c r="P20" s="254" t="s">
        <v>2882</v>
      </c>
      <c r="Q20" s="292" t="str">
        <f>TablaPOA[[#This Row],[Cod_Sub_acción_especifica]]&amp;"_"&amp;TablaPOA[[#This Row],[Cod_Tipo_agente]]</f>
        <v>K31.1.2.1_TA6</v>
      </c>
      <c r="R20" s="254" t="s">
        <v>2883</v>
      </c>
      <c r="S20" s="255" t="s">
        <v>2896</v>
      </c>
      <c r="T20" s="271" t="s">
        <v>2897</v>
      </c>
    </row>
    <row r="21" spans="1:20" ht="25.5" x14ac:dyDescent="0.25">
      <c r="A21" s="219" t="s">
        <v>2314</v>
      </c>
      <c r="B21" s="227">
        <v>31</v>
      </c>
      <c r="C21" s="227" t="s">
        <v>2691</v>
      </c>
      <c r="D21" s="227" t="s">
        <v>2988</v>
      </c>
      <c r="E21" s="227" t="s">
        <v>3149</v>
      </c>
      <c r="F21" s="227" t="s">
        <v>2694</v>
      </c>
      <c r="G21" s="227" t="s">
        <v>2483</v>
      </c>
      <c r="H21" s="253" t="s">
        <v>3151</v>
      </c>
      <c r="I21" s="253" t="s">
        <v>2561</v>
      </c>
      <c r="J21" s="227" t="s">
        <v>2560</v>
      </c>
      <c r="K21" s="253" t="s">
        <v>3065</v>
      </c>
      <c r="L21" s="253" t="s">
        <v>2561</v>
      </c>
      <c r="M21" s="227" t="s">
        <v>2561</v>
      </c>
      <c r="N21" s="293"/>
      <c r="O21" s="293" t="str">
        <f>TablaPOA[[#This Row],[Cod_Sub_acción_especifica]]&amp;"_"&amp;TablaPOA[[#This Row],[Tipo de agente]]</f>
        <v>K31.1.2.1_EVP combustibles de uso automotor</v>
      </c>
      <c r="P21" s="254" t="s">
        <v>2882</v>
      </c>
      <c r="Q21" s="292" t="str">
        <f>TablaPOA[[#This Row],[Cod_Sub_acción_especifica]]&amp;"_"&amp;TablaPOA[[#This Row],[Cod_Tipo_agente]]</f>
        <v>K31.1.2.1_TA6</v>
      </c>
      <c r="R21" s="254" t="s">
        <v>2883</v>
      </c>
      <c r="S21" s="255" t="s">
        <v>2898</v>
      </c>
      <c r="T21" s="271" t="s">
        <v>2899</v>
      </c>
    </row>
    <row r="22" spans="1:20" ht="25.5" x14ac:dyDescent="0.25">
      <c r="A22" s="219" t="s">
        <v>2314</v>
      </c>
      <c r="B22" s="227">
        <v>31</v>
      </c>
      <c r="C22" s="227" t="s">
        <v>2691</v>
      </c>
      <c r="D22" s="227" t="s">
        <v>2988</v>
      </c>
      <c r="E22" s="227" t="s">
        <v>3149</v>
      </c>
      <c r="F22" s="227" t="s">
        <v>2694</v>
      </c>
      <c r="G22" s="227" t="s">
        <v>2483</v>
      </c>
      <c r="H22" s="253" t="s">
        <v>3151</v>
      </c>
      <c r="I22" s="253" t="s">
        <v>2561</v>
      </c>
      <c r="J22" s="227" t="s">
        <v>2560</v>
      </c>
      <c r="K22" s="253" t="s">
        <v>3065</v>
      </c>
      <c r="L22" s="253" t="s">
        <v>2561</v>
      </c>
      <c r="M22" s="227" t="s">
        <v>2561</v>
      </c>
      <c r="N22" s="293"/>
      <c r="O22" s="293" t="str">
        <f>TablaPOA[[#This Row],[Cod_Sub_acción_especifica]]&amp;"_"&amp;TablaPOA[[#This Row],[Tipo de agente]]</f>
        <v>K31.1.2.1_EVP combustibles de uso automotor</v>
      </c>
      <c r="P22" s="254" t="s">
        <v>2882</v>
      </c>
      <c r="Q22" s="292" t="str">
        <f>TablaPOA[[#This Row],[Cod_Sub_acción_especifica]]&amp;"_"&amp;TablaPOA[[#This Row],[Cod_Tipo_agente]]</f>
        <v>K31.1.2.1_TA6</v>
      </c>
      <c r="R22" s="254" t="s">
        <v>2883</v>
      </c>
      <c r="S22" s="255" t="s">
        <v>2900</v>
      </c>
      <c r="T22" s="271" t="s">
        <v>2901</v>
      </c>
    </row>
    <row r="23" spans="1:20" ht="25.5" x14ac:dyDescent="0.25">
      <c r="A23" s="268" t="s">
        <v>2314</v>
      </c>
      <c r="B23" s="248">
        <v>31</v>
      </c>
      <c r="C23" s="248" t="s">
        <v>2691</v>
      </c>
      <c r="D23" s="248" t="s">
        <v>2988</v>
      </c>
      <c r="E23" s="248" t="s">
        <v>3149</v>
      </c>
      <c r="F23" s="248" t="s">
        <v>2694</v>
      </c>
      <c r="G23" s="248" t="s">
        <v>2483</v>
      </c>
      <c r="H23" s="249" t="s">
        <v>3152</v>
      </c>
      <c r="I23" s="249" t="s">
        <v>2702</v>
      </c>
      <c r="J23" s="248" t="s">
        <v>2703</v>
      </c>
      <c r="K23" s="249" t="s">
        <v>3066</v>
      </c>
      <c r="L23" s="249" t="s">
        <v>2702</v>
      </c>
      <c r="M23" s="248" t="s">
        <v>2702</v>
      </c>
      <c r="N23" s="299" t="s">
        <v>2883</v>
      </c>
      <c r="O23" s="292" t="str">
        <f>TablaPOA[[#This Row],[Cod_Sub_acción_especifica]]&amp;"_"&amp;TablaPOA[[#This Row],[Tipo de agente]]</f>
        <v>K31.1.3.1_EVP combustibles de uso automotor</v>
      </c>
      <c r="P23" s="250" t="s">
        <v>2882</v>
      </c>
      <c r="Q23" s="292" t="str">
        <f>TablaPOA[[#This Row],[Cod_Sub_acción_especifica]]&amp;"_"&amp;TablaPOA[[#This Row],[Cod_Tipo_agente]]</f>
        <v>K31.1.3.1_TA6</v>
      </c>
      <c r="R23" s="250" t="s">
        <v>2883</v>
      </c>
      <c r="S23" s="251" t="s">
        <v>2884</v>
      </c>
      <c r="T23" s="269" t="s">
        <v>2885</v>
      </c>
    </row>
    <row r="24" spans="1:20" ht="25.5" x14ac:dyDescent="0.25">
      <c r="A24" s="268" t="s">
        <v>2314</v>
      </c>
      <c r="B24" s="248">
        <v>31</v>
      </c>
      <c r="C24" s="248" t="s">
        <v>2691</v>
      </c>
      <c r="D24" s="248" t="s">
        <v>2988</v>
      </c>
      <c r="E24" s="248" t="s">
        <v>3149</v>
      </c>
      <c r="F24" s="248" t="s">
        <v>2694</v>
      </c>
      <c r="G24" s="248" t="s">
        <v>2483</v>
      </c>
      <c r="H24" s="249" t="s">
        <v>3152</v>
      </c>
      <c r="I24" s="249" t="s">
        <v>2702</v>
      </c>
      <c r="J24" s="248" t="s">
        <v>2703</v>
      </c>
      <c r="K24" s="249" t="s">
        <v>3066</v>
      </c>
      <c r="L24" s="249" t="s">
        <v>2702</v>
      </c>
      <c r="M24" s="248" t="s">
        <v>2702</v>
      </c>
      <c r="N24" s="293"/>
      <c r="O24" s="293" t="str">
        <f>TablaPOA[[#This Row],[Cod_Sub_acción_especifica]]&amp;"_"&amp;TablaPOA[[#This Row],[Tipo de agente]]</f>
        <v>K31.1.3.1_EVP combustibles de uso automotor</v>
      </c>
      <c r="P24" s="250" t="s">
        <v>2882</v>
      </c>
      <c r="Q24" s="292" t="str">
        <f>TablaPOA[[#This Row],[Cod_Sub_acción_especifica]]&amp;"_"&amp;TablaPOA[[#This Row],[Cod_Tipo_agente]]</f>
        <v>K31.1.3.1_TA6</v>
      </c>
      <c r="R24" s="250" t="s">
        <v>2883</v>
      </c>
      <c r="S24" s="251" t="s">
        <v>2886</v>
      </c>
      <c r="T24" s="269" t="s">
        <v>2887</v>
      </c>
    </row>
    <row r="25" spans="1:20" ht="25.5" x14ac:dyDescent="0.25">
      <c r="A25" s="268" t="s">
        <v>2314</v>
      </c>
      <c r="B25" s="248">
        <v>31</v>
      </c>
      <c r="C25" s="248" t="s">
        <v>2691</v>
      </c>
      <c r="D25" s="248" t="s">
        <v>2988</v>
      </c>
      <c r="E25" s="248" t="s">
        <v>3149</v>
      </c>
      <c r="F25" s="248" t="s">
        <v>2694</v>
      </c>
      <c r="G25" s="248" t="s">
        <v>2483</v>
      </c>
      <c r="H25" s="249" t="s">
        <v>3152</v>
      </c>
      <c r="I25" s="249" t="s">
        <v>2702</v>
      </c>
      <c r="J25" s="248" t="s">
        <v>2703</v>
      </c>
      <c r="K25" s="249" t="s">
        <v>3066</v>
      </c>
      <c r="L25" s="249" t="s">
        <v>2702</v>
      </c>
      <c r="M25" s="248" t="s">
        <v>2702</v>
      </c>
      <c r="N25" s="293"/>
      <c r="O25" s="293" t="str">
        <f>TablaPOA[[#This Row],[Cod_Sub_acción_especifica]]&amp;"_"&amp;TablaPOA[[#This Row],[Tipo de agente]]</f>
        <v>K31.1.3.1_EVP combustibles de uso automotor</v>
      </c>
      <c r="P25" s="250" t="s">
        <v>2882</v>
      </c>
      <c r="Q25" s="292" t="str">
        <f>TablaPOA[[#This Row],[Cod_Sub_acción_especifica]]&amp;"_"&amp;TablaPOA[[#This Row],[Cod_Tipo_agente]]</f>
        <v>K31.1.3.1_TA6</v>
      </c>
      <c r="R25" s="250" t="s">
        <v>2883</v>
      </c>
      <c r="S25" s="251" t="s">
        <v>2890</v>
      </c>
      <c r="T25" s="269" t="s">
        <v>2891</v>
      </c>
    </row>
    <row r="26" spans="1:20" ht="25.5" x14ac:dyDescent="0.25">
      <c r="A26" s="268" t="s">
        <v>2314</v>
      </c>
      <c r="B26" s="248">
        <v>31</v>
      </c>
      <c r="C26" s="248" t="s">
        <v>2691</v>
      </c>
      <c r="D26" s="248" t="s">
        <v>2988</v>
      </c>
      <c r="E26" s="248" t="s">
        <v>3149</v>
      </c>
      <c r="F26" s="248" t="s">
        <v>2694</v>
      </c>
      <c r="G26" s="248" t="s">
        <v>2483</v>
      </c>
      <c r="H26" s="249" t="s">
        <v>3152</v>
      </c>
      <c r="I26" s="249" t="s">
        <v>2702</v>
      </c>
      <c r="J26" s="248" t="s">
        <v>2703</v>
      </c>
      <c r="K26" s="249" t="s">
        <v>3066</v>
      </c>
      <c r="L26" s="249" t="s">
        <v>2702</v>
      </c>
      <c r="M26" s="248" t="s">
        <v>2702</v>
      </c>
      <c r="N26" s="293"/>
      <c r="O26" s="293" t="str">
        <f>TablaPOA[[#This Row],[Cod_Sub_acción_especifica]]&amp;"_"&amp;TablaPOA[[#This Row],[Tipo de agente]]</f>
        <v>K31.1.3.1_EVP combustibles de uso automotor</v>
      </c>
      <c r="P26" s="250" t="s">
        <v>2882</v>
      </c>
      <c r="Q26" s="292" t="str">
        <f>TablaPOA[[#This Row],[Cod_Sub_acción_especifica]]&amp;"_"&amp;TablaPOA[[#This Row],[Cod_Tipo_agente]]</f>
        <v>K31.1.3.1_TA6</v>
      </c>
      <c r="R26" s="250" t="s">
        <v>2883</v>
      </c>
      <c r="S26" s="251" t="s">
        <v>2892</v>
      </c>
      <c r="T26" s="269" t="s">
        <v>2893</v>
      </c>
    </row>
    <row r="27" spans="1:20" ht="25.5" x14ac:dyDescent="0.25">
      <c r="A27" s="268" t="s">
        <v>2314</v>
      </c>
      <c r="B27" s="248">
        <v>31</v>
      </c>
      <c r="C27" s="248" t="s">
        <v>2691</v>
      </c>
      <c r="D27" s="248" t="s">
        <v>2988</v>
      </c>
      <c r="E27" s="248" t="s">
        <v>3149</v>
      </c>
      <c r="F27" s="248" t="s">
        <v>2694</v>
      </c>
      <c r="G27" s="248" t="s">
        <v>2483</v>
      </c>
      <c r="H27" s="249" t="s">
        <v>3152</v>
      </c>
      <c r="I27" s="249" t="s">
        <v>2702</v>
      </c>
      <c r="J27" s="248" t="s">
        <v>2703</v>
      </c>
      <c r="K27" s="249" t="s">
        <v>3066</v>
      </c>
      <c r="L27" s="249" t="s">
        <v>2702</v>
      </c>
      <c r="M27" s="248" t="s">
        <v>2702</v>
      </c>
      <c r="N27" s="293"/>
      <c r="O27" s="293" t="str">
        <f>TablaPOA[[#This Row],[Cod_Sub_acción_especifica]]&amp;"_"&amp;TablaPOA[[#This Row],[Tipo de agente]]</f>
        <v>K31.1.3.1_EVP combustibles de uso automotor</v>
      </c>
      <c r="P27" s="250" t="s">
        <v>2882</v>
      </c>
      <c r="Q27" s="292" t="str">
        <f>TablaPOA[[#This Row],[Cod_Sub_acción_especifica]]&amp;"_"&amp;TablaPOA[[#This Row],[Cod_Tipo_agente]]</f>
        <v>K31.1.3.1_TA6</v>
      </c>
      <c r="R27" s="250" t="s">
        <v>2883</v>
      </c>
      <c r="S27" s="251" t="s">
        <v>2894</v>
      </c>
      <c r="T27" s="269" t="s">
        <v>2895</v>
      </c>
    </row>
    <row r="28" spans="1:20" ht="25.5" x14ac:dyDescent="0.25">
      <c r="A28" s="268" t="s">
        <v>2314</v>
      </c>
      <c r="B28" s="248">
        <v>31</v>
      </c>
      <c r="C28" s="248" t="s">
        <v>2691</v>
      </c>
      <c r="D28" s="248" t="s">
        <v>2988</v>
      </c>
      <c r="E28" s="248" t="s">
        <v>3149</v>
      </c>
      <c r="F28" s="248" t="s">
        <v>2694</v>
      </c>
      <c r="G28" s="248" t="s">
        <v>2483</v>
      </c>
      <c r="H28" s="249" t="s">
        <v>3152</v>
      </c>
      <c r="I28" s="249" t="s">
        <v>2702</v>
      </c>
      <c r="J28" s="248" t="s">
        <v>2703</v>
      </c>
      <c r="K28" s="249" t="s">
        <v>3066</v>
      </c>
      <c r="L28" s="249" t="s">
        <v>2702</v>
      </c>
      <c r="M28" s="248" t="s">
        <v>2702</v>
      </c>
      <c r="N28" s="293"/>
      <c r="O28" s="293" t="str">
        <f>TablaPOA[[#This Row],[Cod_Sub_acción_especifica]]&amp;"_"&amp;TablaPOA[[#This Row],[Tipo de agente]]</f>
        <v>K31.1.3.1_EVP combustibles de uso automotor</v>
      </c>
      <c r="P28" s="250" t="s">
        <v>2882</v>
      </c>
      <c r="Q28" s="292" t="str">
        <f>TablaPOA[[#This Row],[Cod_Sub_acción_especifica]]&amp;"_"&amp;TablaPOA[[#This Row],[Cod_Tipo_agente]]</f>
        <v>K31.1.3.1_TA6</v>
      </c>
      <c r="R28" s="250" t="s">
        <v>2883</v>
      </c>
      <c r="S28" s="251" t="s">
        <v>2896</v>
      </c>
      <c r="T28" s="269" t="s">
        <v>2897</v>
      </c>
    </row>
    <row r="29" spans="1:20" ht="25.5" x14ac:dyDescent="0.25">
      <c r="A29" s="268" t="s">
        <v>2314</v>
      </c>
      <c r="B29" s="248">
        <v>31</v>
      </c>
      <c r="C29" s="248" t="s">
        <v>2691</v>
      </c>
      <c r="D29" s="248" t="s">
        <v>2988</v>
      </c>
      <c r="E29" s="248" t="s">
        <v>3149</v>
      </c>
      <c r="F29" s="248" t="s">
        <v>2694</v>
      </c>
      <c r="G29" s="248" t="s">
        <v>2483</v>
      </c>
      <c r="H29" s="249" t="s">
        <v>3152</v>
      </c>
      <c r="I29" s="249" t="s">
        <v>2702</v>
      </c>
      <c r="J29" s="248" t="s">
        <v>2703</v>
      </c>
      <c r="K29" s="249" t="s">
        <v>3066</v>
      </c>
      <c r="L29" s="249" t="s">
        <v>2702</v>
      </c>
      <c r="M29" s="248" t="s">
        <v>2702</v>
      </c>
      <c r="N29" s="293"/>
      <c r="O29" s="293" t="str">
        <f>TablaPOA[[#This Row],[Cod_Sub_acción_especifica]]&amp;"_"&amp;TablaPOA[[#This Row],[Tipo de agente]]</f>
        <v>K31.1.3.1_EVP combustibles de uso automotor</v>
      </c>
      <c r="P29" s="250" t="s">
        <v>2882</v>
      </c>
      <c r="Q29" s="292" t="str">
        <f>TablaPOA[[#This Row],[Cod_Sub_acción_especifica]]&amp;"_"&amp;TablaPOA[[#This Row],[Cod_Tipo_agente]]</f>
        <v>K31.1.3.1_TA6</v>
      </c>
      <c r="R29" s="250" t="s">
        <v>2883</v>
      </c>
      <c r="S29" s="251" t="s">
        <v>2898</v>
      </c>
      <c r="T29" s="269" t="s">
        <v>2899</v>
      </c>
    </row>
    <row r="30" spans="1:20" ht="25.5" x14ac:dyDescent="0.25">
      <c r="A30" s="268" t="s">
        <v>2314</v>
      </c>
      <c r="B30" s="248">
        <v>31</v>
      </c>
      <c r="C30" s="248" t="s">
        <v>2691</v>
      </c>
      <c r="D30" s="248" t="s">
        <v>2988</v>
      </c>
      <c r="E30" s="248" t="s">
        <v>3149</v>
      </c>
      <c r="F30" s="248" t="s">
        <v>2694</v>
      </c>
      <c r="G30" s="248" t="s">
        <v>2483</v>
      </c>
      <c r="H30" s="249" t="s">
        <v>3152</v>
      </c>
      <c r="I30" s="249" t="s">
        <v>2702</v>
      </c>
      <c r="J30" s="248" t="s">
        <v>2703</v>
      </c>
      <c r="K30" s="249" t="s">
        <v>3066</v>
      </c>
      <c r="L30" s="249" t="s">
        <v>2702</v>
      </c>
      <c r="M30" s="248" t="s">
        <v>2702</v>
      </c>
      <c r="N30" s="293"/>
      <c r="O30" s="293" t="str">
        <f>TablaPOA[[#This Row],[Cod_Sub_acción_especifica]]&amp;"_"&amp;TablaPOA[[#This Row],[Tipo de agente]]</f>
        <v>K31.1.3.1_EVP combustibles de uso automotor</v>
      </c>
      <c r="P30" s="250" t="s">
        <v>2882</v>
      </c>
      <c r="Q30" s="292" t="str">
        <f>TablaPOA[[#This Row],[Cod_Sub_acción_especifica]]&amp;"_"&amp;TablaPOA[[#This Row],[Cod_Tipo_agente]]</f>
        <v>K31.1.3.1_TA6</v>
      </c>
      <c r="R30" s="250" t="s">
        <v>2883</v>
      </c>
      <c r="S30" s="251" t="s">
        <v>2900</v>
      </c>
      <c r="T30" s="269" t="s">
        <v>2901</v>
      </c>
    </row>
    <row r="31" spans="1:20" ht="25.5" x14ac:dyDescent="0.25">
      <c r="A31" s="219" t="s">
        <v>2314</v>
      </c>
      <c r="B31" s="227">
        <v>31</v>
      </c>
      <c r="C31" s="227" t="s">
        <v>2691</v>
      </c>
      <c r="D31" s="227" t="s">
        <v>2988</v>
      </c>
      <c r="E31" s="227" t="s">
        <v>3149</v>
      </c>
      <c r="F31" s="227" t="s">
        <v>2694</v>
      </c>
      <c r="G31" s="227" t="s">
        <v>2483</v>
      </c>
      <c r="H31" s="253" t="s">
        <v>3153</v>
      </c>
      <c r="I31" s="253" t="s">
        <v>32</v>
      </c>
      <c r="J31" s="227" t="s">
        <v>31</v>
      </c>
      <c r="K31" s="253" t="s">
        <v>3067</v>
      </c>
      <c r="L31" s="253" t="s">
        <v>32</v>
      </c>
      <c r="M31" s="227" t="s">
        <v>32</v>
      </c>
      <c r="N31" s="299" t="s">
        <v>2919</v>
      </c>
      <c r="O31" s="292" t="str">
        <f>TablaPOA[[#This Row],[Cod_Sub_acción_especifica]]&amp;"_"&amp;TablaPOA[[#This Row],[Tipo de agente]]</f>
        <v>K31.1.4.1_Medios de transporte</v>
      </c>
      <c r="P31" s="254" t="s">
        <v>2918</v>
      </c>
      <c r="Q31" s="292" t="str">
        <f>TablaPOA[[#This Row],[Cod_Sub_acción_especifica]]&amp;"_"&amp;TablaPOA[[#This Row],[Cod_Tipo_agente]]</f>
        <v>K31.1.4.1_TA9</v>
      </c>
      <c r="R31" s="254" t="s">
        <v>2919</v>
      </c>
      <c r="S31" s="255" t="s">
        <v>2920</v>
      </c>
      <c r="T31" s="271" t="s">
        <v>2921</v>
      </c>
    </row>
    <row r="32" spans="1:20" ht="25.5" x14ac:dyDescent="0.25">
      <c r="A32" s="219" t="s">
        <v>2314</v>
      </c>
      <c r="B32" s="227">
        <v>31</v>
      </c>
      <c r="C32" s="227" t="s">
        <v>2691</v>
      </c>
      <c r="D32" s="227" t="s">
        <v>2988</v>
      </c>
      <c r="E32" s="227" t="s">
        <v>3149</v>
      </c>
      <c r="F32" s="227" t="s">
        <v>2694</v>
      </c>
      <c r="G32" s="227" t="s">
        <v>2483</v>
      </c>
      <c r="H32" s="253" t="s">
        <v>3153</v>
      </c>
      <c r="I32" s="253" t="s">
        <v>32</v>
      </c>
      <c r="J32" s="227" t="s">
        <v>31</v>
      </c>
      <c r="K32" s="253" t="s">
        <v>3067</v>
      </c>
      <c r="L32" s="253" t="s">
        <v>32</v>
      </c>
      <c r="M32" s="227" t="s">
        <v>32</v>
      </c>
      <c r="N32" s="293"/>
      <c r="O32" s="293" t="str">
        <f>TablaPOA[[#This Row],[Cod_Sub_acción_especifica]]&amp;"_"&amp;TablaPOA[[#This Row],[Tipo de agente]]</f>
        <v>K31.1.4.1_Medios de transporte</v>
      </c>
      <c r="P32" s="254" t="s">
        <v>2918</v>
      </c>
      <c r="Q32" s="292" t="str">
        <f>TablaPOA[[#This Row],[Cod_Sub_acción_especifica]]&amp;"_"&amp;TablaPOA[[#This Row],[Cod_Tipo_agente]]</f>
        <v>K31.1.4.1_TA9</v>
      </c>
      <c r="R32" s="254" t="s">
        <v>2919</v>
      </c>
      <c r="S32" s="255" t="s">
        <v>2922</v>
      </c>
      <c r="T32" s="271" t="s">
        <v>2923</v>
      </c>
    </row>
    <row r="33" spans="1:20" ht="25.5" x14ac:dyDescent="0.25">
      <c r="A33" s="219" t="s">
        <v>2314</v>
      </c>
      <c r="B33" s="227">
        <v>31</v>
      </c>
      <c r="C33" s="227" t="s">
        <v>2691</v>
      </c>
      <c r="D33" s="227" t="s">
        <v>2988</v>
      </c>
      <c r="E33" s="227" t="s">
        <v>3149</v>
      </c>
      <c r="F33" s="227" t="s">
        <v>2694</v>
      </c>
      <c r="G33" s="227" t="s">
        <v>2483</v>
      </c>
      <c r="H33" s="253" t="s">
        <v>3153</v>
      </c>
      <c r="I33" s="253" t="s">
        <v>32</v>
      </c>
      <c r="J33" s="227" t="s">
        <v>31</v>
      </c>
      <c r="K33" s="253" t="s">
        <v>3067</v>
      </c>
      <c r="L33" s="253" t="s">
        <v>32</v>
      </c>
      <c r="M33" s="227" t="s">
        <v>32</v>
      </c>
      <c r="N33" s="293"/>
      <c r="O33" s="293" t="str">
        <f>TablaPOA[[#This Row],[Cod_Sub_acción_especifica]]&amp;"_"&amp;TablaPOA[[#This Row],[Tipo de agente]]</f>
        <v>K31.1.4.1_Medios de transporte</v>
      </c>
      <c r="P33" s="254" t="s">
        <v>2918</v>
      </c>
      <c r="Q33" s="292" t="str">
        <f>TablaPOA[[#This Row],[Cod_Sub_acción_especifica]]&amp;"_"&amp;TablaPOA[[#This Row],[Cod_Tipo_agente]]</f>
        <v>K31.1.4.1_TA9</v>
      </c>
      <c r="R33" s="254" t="s">
        <v>2919</v>
      </c>
      <c r="S33" s="255" t="s">
        <v>2924</v>
      </c>
      <c r="T33" s="271" t="s">
        <v>2925</v>
      </c>
    </row>
    <row r="34" spans="1:20" ht="25.5" x14ac:dyDescent="0.25">
      <c r="A34" s="219" t="s">
        <v>2314</v>
      </c>
      <c r="B34" s="227">
        <v>31</v>
      </c>
      <c r="C34" s="227" t="s">
        <v>2691</v>
      </c>
      <c r="D34" s="227" t="s">
        <v>2988</v>
      </c>
      <c r="E34" s="227" t="s">
        <v>3149</v>
      </c>
      <c r="F34" s="227" t="s">
        <v>2694</v>
      </c>
      <c r="G34" s="227" t="s">
        <v>2483</v>
      </c>
      <c r="H34" s="253" t="s">
        <v>3153</v>
      </c>
      <c r="I34" s="253" t="s">
        <v>32</v>
      </c>
      <c r="J34" s="227" t="s">
        <v>31</v>
      </c>
      <c r="K34" s="253" t="s">
        <v>3067</v>
      </c>
      <c r="L34" s="253" t="s">
        <v>32</v>
      </c>
      <c r="M34" s="227" t="s">
        <v>32</v>
      </c>
      <c r="N34" s="293"/>
      <c r="O34" s="293" t="str">
        <f>TablaPOA[[#This Row],[Cod_Sub_acción_especifica]]&amp;"_"&amp;TablaPOA[[#This Row],[Tipo de agente]]</f>
        <v>K31.1.4.1_Medios de transporte</v>
      </c>
      <c r="P34" s="254" t="s">
        <v>2918</v>
      </c>
      <c r="Q34" s="292" t="str">
        <f>TablaPOA[[#This Row],[Cod_Sub_acción_especifica]]&amp;"_"&amp;TablaPOA[[#This Row],[Cod_Tipo_agente]]</f>
        <v>K31.1.4.1_TA9</v>
      </c>
      <c r="R34" s="254" t="s">
        <v>2919</v>
      </c>
      <c r="S34" s="255" t="s">
        <v>2926</v>
      </c>
      <c r="T34" s="271" t="s">
        <v>2927</v>
      </c>
    </row>
    <row r="35" spans="1:20" ht="25.5" x14ac:dyDescent="0.25">
      <c r="A35" s="219" t="s">
        <v>2314</v>
      </c>
      <c r="B35" s="227">
        <v>31</v>
      </c>
      <c r="C35" s="227" t="s">
        <v>2691</v>
      </c>
      <c r="D35" s="227" t="s">
        <v>2988</v>
      </c>
      <c r="E35" s="227" t="s">
        <v>3149</v>
      </c>
      <c r="F35" s="227" t="s">
        <v>2694</v>
      </c>
      <c r="G35" s="227" t="s">
        <v>2483</v>
      </c>
      <c r="H35" s="253" t="s">
        <v>3153</v>
      </c>
      <c r="I35" s="253" t="s">
        <v>32</v>
      </c>
      <c r="J35" s="227" t="s">
        <v>31</v>
      </c>
      <c r="K35" s="253" t="s">
        <v>3067</v>
      </c>
      <c r="L35" s="253" t="s">
        <v>32</v>
      </c>
      <c r="M35" s="227" t="s">
        <v>32</v>
      </c>
      <c r="N35" s="293"/>
      <c r="O35" s="293" t="str">
        <f>TablaPOA[[#This Row],[Cod_Sub_acción_especifica]]&amp;"_"&amp;TablaPOA[[#This Row],[Tipo de agente]]</f>
        <v>K31.1.4.1_Medios de transporte</v>
      </c>
      <c r="P35" s="254" t="s">
        <v>2918</v>
      </c>
      <c r="Q35" s="292" t="str">
        <f>TablaPOA[[#This Row],[Cod_Sub_acción_especifica]]&amp;"_"&amp;TablaPOA[[#This Row],[Cod_Tipo_agente]]</f>
        <v>K31.1.4.1_TA9</v>
      </c>
      <c r="R35" s="254" t="s">
        <v>2919</v>
      </c>
      <c r="S35" s="255" t="s">
        <v>2928</v>
      </c>
      <c r="T35" s="271" t="s">
        <v>2929</v>
      </c>
    </row>
    <row r="36" spans="1:20" ht="25.5" x14ac:dyDescent="0.25">
      <c r="A36" s="219" t="s">
        <v>2314</v>
      </c>
      <c r="B36" s="227">
        <v>31</v>
      </c>
      <c r="C36" s="227" t="s">
        <v>2691</v>
      </c>
      <c r="D36" s="227" t="s">
        <v>2988</v>
      </c>
      <c r="E36" s="227" t="s">
        <v>3149</v>
      </c>
      <c r="F36" s="227" t="s">
        <v>2694</v>
      </c>
      <c r="G36" s="227" t="s">
        <v>2483</v>
      </c>
      <c r="H36" s="253" t="s">
        <v>3153</v>
      </c>
      <c r="I36" s="253" t="s">
        <v>32</v>
      </c>
      <c r="J36" s="227" t="s">
        <v>31</v>
      </c>
      <c r="K36" s="253" t="s">
        <v>3067</v>
      </c>
      <c r="L36" s="253" t="s">
        <v>32</v>
      </c>
      <c r="M36" s="227" t="s">
        <v>32</v>
      </c>
      <c r="N36" s="293"/>
      <c r="O36" s="293" t="str">
        <f>TablaPOA[[#This Row],[Cod_Sub_acción_especifica]]&amp;"_"&amp;TablaPOA[[#This Row],[Tipo de agente]]</f>
        <v>K31.1.4.1_Medios de transporte</v>
      </c>
      <c r="P36" s="254" t="s">
        <v>2918</v>
      </c>
      <c r="Q36" s="292" t="str">
        <f>TablaPOA[[#This Row],[Cod_Sub_acción_especifica]]&amp;"_"&amp;TablaPOA[[#This Row],[Cod_Tipo_agente]]</f>
        <v>K31.1.4.1_TA9</v>
      </c>
      <c r="R36" s="254" t="s">
        <v>2919</v>
      </c>
      <c r="S36" s="255" t="s">
        <v>2930</v>
      </c>
      <c r="T36" s="271" t="s">
        <v>2931</v>
      </c>
    </row>
    <row r="37" spans="1:20" ht="25.5" x14ac:dyDescent="0.25">
      <c r="A37" s="219" t="s">
        <v>2314</v>
      </c>
      <c r="B37" s="227">
        <v>31</v>
      </c>
      <c r="C37" s="227" t="s">
        <v>2691</v>
      </c>
      <c r="D37" s="227" t="s">
        <v>2988</v>
      </c>
      <c r="E37" s="227" t="s">
        <v>3149</v>
      </c>
      <c r="F37" s="227" t="s">
        <v>2694</v>
      </c>
      <c r="G37" s="227" t="s">
        <v>2483</v>
      </c>
      <c r="H37" s="253" t="s">
        <v>3153</v>
      </c>
      <c r="I37" s="253" t="s">
        <v>32</v>
      </c>
      <c r="J37" s="227" t="s">
        <v>31</v>
      </c>
      <c r="K37" s="253" t="s">
        <v>3067</v>
      </c>
      <c r="L37" s="253" t="s">
        <v>32</v>
      </c>
      <c r="M37" s="227" t="s">
        <v>32</v>
      </c>
      <c r="N37" s="293"/>
      <c r="O37" s="293" t="str">
        <f>TablaPOA[[#This Row],[Cod_Sub_acción_especifica]]&amp;"_"&amp;TablaPOA[[#This Row],[Tipo de agente]]</f>
        <v>K31.1.4.1_Medios de transporte</v>
      </c>
      <c r="P37" s="254" t="s">
        <v>2918</v>
      </c>
      <c r="Q37" s="292" t="str">
        <f>TablaPOA[[#This Row],[Cod_Sub_acción_especifica]]&amp;"_"&amp;TablaPOA[[#This Row],[Cod_Tipo_agente]]</f>
        <v>K31.1.4.1_TA9</v>
      </c>
      <c r="R37" s="254" t="s">
        <v>2919</v>
      </c>
      <c r="S37" s="255" t="s">
        <v>2932</v>
      </c>
      <c r="T37" s="271" t="s">
        <v>2933</v>
      </c>
    </row>
    <row r="38" spans="1:20" ht="25.5" x14ac:dyDescent="0.25">
      <c r="A38" s="219" t="s">
        <v>2314</v>
      </c>
      <c r="B38" s="227">
        <v>31</v>
      </c>
      <c r="C38" s="227" t="s">
        <v>2691</v>
      </c>
      <c r="D38" s="227" t="s">
        <v>2988</v>
      </c>
      <c r="E38" s="227" t="s">
        <v>3149</v>
      </c>
      <c r="F38" s="227" t="s">
        <v>2694</v>
      </c>
      <c r="G38" s="227" t="s">
        <v>2483</v>
      </c>
      <c r="H38" s="253" t="s">
        <v>3153</v>
      </c>
      <c r="I38" s="253" t="s">
        <v>32</v>
      </c>
      <c r="J38" s="227" t="s">
        <v>31</v>
      </c>
      <c r="K38" s="253" t="s">
        <v>3067</v>
      </c>
      <c r="L38" s="253" t="s">
        <v>32</v>
      </c>
      <c r="M38" s="227" t="s">
        <v>32</v>
      </c>
      <c r="N38" s="293"/>
      <c r="O38" s="293" t="str">
        <f>TablaPOA[[#This Row],[Cod_Sub_acción_especifica]]&amp;"_"&amp;TablaPOA[[#This Row],[Tipo de agente]]</f>
        <v>K31.1.4.1_Medios de transporte</v>
      </c>
      <c r="P38" s="254" t="s">
        <v>2918</v>
      </c>
      <c r="Q38" s="292" t="str">
        <f>TablaPOA[[#This Row],[Cod_Sub_acción_especifica]]&amp;"_"&amp;TablaPOA[[#This Row],[Cod_Tipo_agente]]</f>
        <v>K31.1.4.1_TA9</v>
      </c>
      <c r="R38" s="254" t="s">
        <v>2919</v>
      </c>
      <c r="S38" s="255" t="s">
        <v>2934</v>
      </c>
      <c r="T38" s="271" t="s">
        <v>2935</v>
      </c>
    </row>
    <row r="39" spans="1:20" ht="25.5" x14ac:dyDescent="0.25">
      <c r="A39" s="219" t="s">
        <v>2314</v>
      </c>
      <c r="B39" s="227">
        <v>31</v>
      </c>
      <c r="C39" s="227" t="s">
        <v>2691</v>
      </c>
      <c r="D39" s="227" t="s">
        <v>2988</v>
      </c>
      <c r="E39" s="227" t="s">
        <v>3149</v>
      </c>
      <c r="F39" s="227" t="s">
        <v>2694</v>
      </c>
      <c r="G39" s="227" t="s">
        <v>2483</v>
      </c>
      <c r="H39" s="253" t="s">
        <v>3153</v>
      </c>
      <c r="I39" s="253" t="s">
        <v>32</v>
      </c>
      <c r="J39" s="227" t="s">
        <v>31</v>
      </c>
      <c r="K39" s="253" t="s">
        <v>3067</v>
      </c>
      <c r="L39" s="253" t="s">
        <v>32</v>
      </c>
      <c r="M39" s="227" t="s">
        <v>32</v>
      </c>
      <c r="N39" s="293"/>
      <c r="O39" s="293" t="str">
        <f>TablaPOA[[#This Row],[Cod_Sub_acción_especifica]]&amp;"_"&amp;TablaPOA[[#This Row],[Tipo de agente]]</f>
        <v>K31.1.4.1_Medios de transporte</v>
      </c>
      <c r="P39" s="254" t="s">
        <v>2918</v>
      </c>
      <c r="Q39" s="292" t="str">
        <f>TablaPOA[[#This Row],[Cod_Sub_acción_especifica]]&amp;"_"&amp;TablaPOA[[#This Row],[Cod_Tipo_agente]]</f>
        <v>K31.1.4.1_TA9</v>
      </c>
      <c r="R39" s="254" t="s">
        <v>2919</v>
      </c>
      <c r="S39" s="255" t="s">
        <v>2936</v>
      </c>
      <c r="T39" s="271" t="s">
        <v>2937</v>
      </c>
    </row>
    <row r="40" spans="1:20" ht="25.5" x14ac:dyDescent="0.25">
      <c r="A40" s="219" t="s">
        <v>2314</v>
      </c>
      <c r="B40" s="227">
        <v>31</v>
      </c>
      <c r="C40" s="227" t="s">
        <v>2691</v>
      </c>
      <c r="D40" s="227" t="s">
        <v>2988</v>
      </c>
      <c r="E40" s="227" t="s">
        <v>3149</v>
      </c>
      <c r="F40" s="227" t="s">
        <v>2694</v>
      </c>
      <c r="G40" s="227" t="s">
        <v>2483</v>
      </c>
      <c r="H40" s="253" t="s">
        <v>3153</v>
      </c>
      <c r="I40" s="253" t="s">
        <v>32</v>
      </c>
      <c r="J40" s="227" t="s">
        <v>31</v>
      </c>
      <c r="K40" s="253" t="s">
        <v>3067</v>
      </c>
      <c r="L40" s="253" t="s">
        <v>32</v>
      </c>
      <c r="M40" s="227" t="s">
        <v>32</v>
      </c>
      <c r="N40" s="293"/>
      <c r="O40" s="293" t="str">
        <f>TablaPOA[[#This Row],[Cod_Sub_acción_especifica]]&amp;"_"&amp;TablaPOA[[#This Row],[Tipo de agente]]</f>
        <v>K31.1.4.1_Medios de transporte</v>
      </c>
      <c r="P40" s="254" t="s">
        <v>2918</v>
      </c>
      <c r="Q40" s="292" t="str">
        <f>TablaPOA[[#This Row],[Cod_Sub_acción_especifica]]&amp;"_"&amp;TablaPOA[[#This Row],[Cod_Tipo_agente]]</f>
        <v>K31.1.4.1_TA9</v>
      </c>
      <c r="R40" s="254" t="s">
        <v>2919</v>
      </c>
      <c r="S40" s="255" t="s">
        <v>2938</v>
      </c>
      <c r="T40" s="271" t="s">
        <v>2939</v>
      </c>
    </row>
    <row r="41" spans="1:20" ht="25.5" x14ac:dyDescent="0.25">
      <c r="A41" s="219" t="s">
        <v>2314</v>
      </c>
      <c r="B41" s="227">
        <v>31</v>
      </c>
      <c r="C41" s="227" t="s">
        <v>2691</v>
      </c>
      <c r="D41" s="227" t="s">
        <v>2988</v>
      </c>
      <c r="E41" s="227" t="s">
        <v>3149</v>
      </c>
      <c r="F41" s="227" t="s">
        <v>2694</v>
      </c>
      <c r="G41" s="227" t="s">
        <v>2483</v>
      </c>
      <c r="H41" s="253" t="s">
        <v>3153</v>
      </c>
      <c r="I41" s="253" t="s">
        <v>32</v>
      </c>
      <c r="J41" s="227" t="s">
        <v>31</v>
      </c>
      <c r="K41" s="253" t="s">
        <v>3067</v>
      </c>
      <c r="L41" s="253" t="s">
        <v>32</v>
      </c>
      <c r="M41" s="227" t="s">
        <v>32</v>
      </c>
      <c r="N41" s="293"/>
      <c r="O41" s="293" t="str">
        <f>TablaPOA[[#This Row],[Cod_Sub_acción_especifica]]&amp;"_"&amp;TablaPOA[[#This Row],[Tipo de agente]]</f>
        <v>K31.1.4.1_Medios de transporte</v>
      </c>
      <c r="P41" s="254" t="s">
        <v>2918</v>
      </c>
      <c r="Q41" s="292" t="str">
        <f>TablaPOA[[#This Row],[Cod_Sub_acción_especifica]]&amp;"_"&amp;TablaPOA[[#This Row],[Cod_Tipo_agente]]</f>
        <v>K31.1.4.1_TA9</v>
      </c>
      <c r="R41" s="254" t="s">
        <v>2919</v>
      </c>
      <c r="S41" s="255" t="s">
        <v>2940</v>
      </c>
      <c r="T41" s="271" t="s">
        <v>2941</v>
      </c>
    </row>
    <row r="42" spans="1:20" ht="25.5" x14ac:dyDescent="0.25">
      <c r="A42" s="219" t="s">
        <v>2314</v>
      </c>
      <c r="B42" s="227">
        <v>31</v>
      </c>
      <c r="C42" s="227" t="s">
        <v>2691</v>
      </c>
      <c r="D42" s="227" t="s">
        <v>2988</v>
      </c>
      <c r="E42" s="227" t="s">
        <v>3149</v>
      </c>
      <c r="F42" s="227" t="s">
        <v>2694</v>
      </c>
      <c r="G42" s="227" t="s">
        <v>2483</v>
      </c>
      <c r="H42" s="253" t="s">
        <v>3153</v>
      </c>
      <c r="I42" s="253" t="s">
        <v>32</v>
      </c>
      <c r="J42" s="227" t="s">
        <v>31</v>
      </c>
      <c r="K42" s="253" t="s">
        <v>3067</v>
      </c>
      <c r="L42" s="253" t="s">
        <v>32</v>
      </c>
      <c r="M42" s="227" t="s">
        <v>32</v>
      </c>
      <c r="N42" s="293"/>
      <c r="O42" s="293" t="str">
        <f>TablaPOA[[#This Row],[Cod_Sub_acción_especifica]]&amp;"_"&amp;TablaPOA[[#This Row],[Tipo de agente]]</f>
        <v>K31.1.4.1_Medios de transporte</v>
      </c>
      <c r="P42" s="254" t="s">
        <v>2918</v>
      </c>
      <c r="Q42" s="292" t="str">
        <f>TablaPOA[[#This Row],[Cod_Sub_acción_especifica]]&amp;"_"&amp;TablaPOA[[#This Row],[Cod_Tipo_agente]]</f>
        <v>K31.1.4.1_TA9</v>
      </c>
      <c r="R42" s="254" t="s">
        <v>2919</v>
      </c>
      <c r="S42" s="255" t="s">
        <v>2942</v>
      </c>
      <c r="T42" s="271" t="s">
        <v>2943</v>
      </c>
    </row>
    <row r="43" spans="1:20" ht="25.5" x14ac:dyDescent="0.25">
      <c r="A43" s="219" t="s">
        <v>2314</v>
      </c>
      <c r="B43" s="227">
        <v>31</v>
      </c>
      <c r="C43" s="227" t="s">
        <v>2691</v>
      </c>
      <c r="D43" s="227" t="s">
        <v>2988</v>
      </c>
      <c r="E43" s="227" t="s">
        <v>3149</v>
      </c>
      <c r="F43" s="227" t="s">
        <v>2694</v>
      </c>
      <c r="G43" s="227" t="s">
        <v>2483</v>
      </c>
      <c r="H43" s="253" t="s">
        <v>3153</v>
      </c>
      <c r="I43" s="253" t="s">
        <v>32</v>
      </c>
      <c r="J43" s="227" t="s">
        <v>31</v>
      </c>
      <c r="K43" s="253" t="s">
        <v>3067</v>
      </c>
      <c r="L43" s="253" t="s">
        <v>32</v>
      </c>
      <c r="M43" s="227" t="s">
        <v>32</v>
      </c>
      <c r="N43" s="293"/>
      <c r="O43" s="293" t="str">
        <f>TablaPOA[[#This Row],[Cod_Sub_acción_especifica]]&amp;"_"&amp;TablaPOA[[#This Row],[Tipo de agente]]</f>
        <v>K31.1.4.1_Medios de transporte</v>
      </c>
      <c r="P43" s="254" t="s">
        <v>2918</v>
      </c>
      <c r="Q43" s="292" t="str">
        <f>TablaPOA[[#This Row],[Cod_Sub_acción_especifica]]&amp;"_"&amp;TablaPOA[[#This Row],[Cod_Tipo_agente]]</f>
        <v>K31.1.4.1_TA9</v>
      </c>
      <c r="R43" s="254" t="s">
        <v>2919</v>
      </c>
      <c r="S43" s="255" t="s">
        <v>2944</v>
      </c>
      <c r="T43" s="271" t="s">
        <v>2945</v>
      </c>
    </row>
    <row r="44" spans="1:20" ht="25.5" x14ac:dyDescent="0.25">
      <c r="A44" s="219" t="s">
        <v>2314</v>
      </c>
      <c r="B44" s="227">
        <v>31</v>
      </c>
      <c r="C44" s="227" t="s">
        <v>2691</v>
      </c>
      <c r="D44" s="227" t="s">
        <v>2988</v>
      </c>
      <c r="E44" s="227" t="s">
        <v>3149</v>
      </c>
      <c r="F44" s="227" t="s">
        <v>2694</v>
      </c>
      <c r="G44" s="227" t="s">
        <v>2483</v>
      </c>
      <c r="H44" s="253" t="s">
        <v>3153</v>
      </c>
      <c r="I44" s="253" t="s">
        <v>32</v>
      </c>
      <c r="J44" s="227" t="s">
        <v>31</v>
      </c>
      <c r="K44" s="253" t="s">
        <v>3067</v>
      </c>
      <c r="L44" s="253" t="s">
        <v>32</v>
      </c>
      <c r="M44" s="227" t="s">
        <v>32</v>
      </c>
      <c r="N44" s="293"/>
      <c r="O44" s="293" t="str">
        <f>TablaPOA[[#This Row],[Cod_Sub_acción_especifica]]&amp;"_"&amp;TablaPOA[[#This Row],[Tipo de agente]]</f>
        <v>K31.1.4.1_Medios de transporte</v>
      </c>
      <c r="P44" s="254" t="s">
        <v>2918</v>
      </c>
      <c r="Q44" s="292" t="str">
        <f>TablaPOA[[#This Row],[Cod_Sub_acción_especifica]]&amp;"_"&amp;TablaPOA[[#This Row],[Cod_Tipo_agente]]</f>
        <v>K31.1.4.1_TA9</v>
      </c>
      <c r="R44" s="254" t="s">
        <v>2919</v>
      </c>
      <c r="S44" s="255" t="s">
        <v>2946</v>
      </c>
      <c r="T44" s="271" t="s">
        <v>2947</v>
      </c>
    </row>
    <row r="45" spans="1:20" ht="25.5" x14ac:dyDescent="0.25">
      <c r="A45" s="219" t="s">
        <v>2314</v>
      </c>
      <c r="B45" s="227">
        <v>31</v>
      </c>
      <c r="C45" s="227" t="s">
        <v>2691</v>
      </c>
      <c r="D45" s="227" t="s">
        <v>2988</v>
      </c>
      <c r="E45" s="227" t="s">
        <v>3149</v>
      </c>
      <c r="F45" s="227" t="s">
        <v>2694</v>
      </c>
      <c r="G45" s="227" t="s">
        <v>2483</v>
      </c>
      <c r="H45" s="253" t="s">
        <v>3153</v>
      </c>
      <c r="I45" s="253" t="s">
        <v>32</v>
      </c>
      <c r="J45" s="227" t="s">
        <v>31</v>
      </c>
      <c r="K45" s="253" t="s">
        <v>3067</v>
      </c>
      <c r="L45" s="253" t="s">
        <v>32</v>
      </c>
      <c r="M45" s="227" t="s">
        <v>32</v>
      </c>
      <c r="N45" s="293"/>
      <c r="O45" s="293" t="str">
        <f>TablaPOA[[#This Row],[Cod_Sub_acción_especifica]]&amp;"_"&amp;TablaPOA[[#This Row],[Tipo de agente]]</f>
        <v>K31.1.4.1_Medios de transporte</v>
      </c>
      <c r="P45" s="254" t="s">
        <v>2918</v>
      </c>
      <c r="Q45" s="292" t="str">
        <f>TablaPOA[[#This Row],[Cod_Sub_acción_especifica]]&amp;"_"&amp;TablaPOA[[#This Row],[Cod_Tipo_agente]]</f>
        <v>K31.1.4.1_TA9</v>
      </c>
      <c r="R45" s="254" t="s">
        <v>2919</v>
      </c>
      <c r="S45" s="255" t="s">
        <v>2948</v>
      </c>
      <c r="T45" s="271" t="s">
        <v>2949</v>
      </c>
    </row>
    <row r="46" spans="1:20" ht="25.5" x14ac:dyDescent="0.25">
      <c r="A46" s="268" t="s">
        <v>2314</v>
      </c>
      <c r="B46" s="248">
        <v>31</v>
      </c>
      <c r="C46" s="248" t="s">
        <v>2691</v>
      </c>
      <c r="D46" s="248" t="s">
        <v>2988</v>
      </c>
      <c r="E46" s="248" t="s">
        <v>3149</v>
      </c>
      <c r="F46" s="248" t="s">
        <v>2694</v>
      </c>
      <c r="G46" s="248" t="s">
        <v>2483</v>
      </c>
      <c r="H46" s="249" t="s">
        <v>3154</v>
      </c>
      <c r="I46" s="249" t="s">
        <v>37</v>
      </c>
      <c r="J46" s="248" t="s">
        <v>36</v>
      </c>
      <c r="K46" s="249" t="s">
        <v>3068</v>
      </c>
      <c r="L46" s="249" t="s">
        <v>37</v>
      </c>
      <c r="M46" s="248" t="s">
        <v>37</v>
      </c>
      <c r="N46" s="299" t="s">
        <v>2809</v>
      </c>
      <c r="O46" s="292" t="str">
        <f>TablaPOA[[#This Row],[Cod_Sub_acción_especifica]]&amp;"_"&amp;TablaPOA[[#This Row],[Tipo de agente]]</f>
        <v>K31.1.5.1_Consumidores directos de combustibles líquidos y OPDH</v>
      </c>
      <c r="P46" s="250" t="s">
        <v>2808</v>
      </c>
      <c r="Q46" s="292" t="str">
        <f>TablaPOA[[#This Row],[Cod_Sub_acción_especifica]]&amp;"_"&amp;TablaPOA[[#This Row],[Cod_Tipo_agente]]</f>
        <v>K31.1.5.1_TA1</v>
      </c>
      <c r="R46" s="250" t="s">
        <v>2809</v>
      </c>
      <c r="S46" s="251" t="s">
        <v>2810</v>
      </c>
      <c r="T46" s="269" t="s">
        <v>2811</v>
      </c>
    </row>
    <row r="47" spans="1:20" ht="25.5" x14ac:dyDescent="0.25">
      <c r="A47" s="268" t="s">
        <v>2314</v>
      </c>
      <c r="B47" s="248">
        <v>31</v>
      </c>
      <c r="C47" s="248" t="s">
        <v>2691</v>
      </c>
      <c r="D47" s="248" t="s">
        <v>2988</v>
      </c>
      <c r="E47" s="248" t="s">
        <v>3149</v>
      </c>
      <c r="F47" s="248" t="s">
        <v>2694</v>
      </c>
      <c r="G47" s="248" t="s">
        <v>2483</v>
      </c>
      <c r="H47" s="249" t="s">
        <v>3154</v>
      </c>
      <c r="I47" s="249" t="s">
        <v>37</v>
      </c>
      <c r="J47" s="248" t="s">
        <v>36</v>
      </c>
      <c r="K47" s="249" t="s">
        <v>3068</v>
      </c>
      <c r="L47" s="249" t="s">
        <v>37</v>
      </c>
      <c r="M47" s="248" t="s">
        <v>37</v>
      </c>
      <c r="N47" s="299" t="s">
        <v>2831</v>
      </c>
      <c r="O47" s="292" t="str">
        <f>TablaPOA[[#This Row],[Cod_Sub_acción_especifica]]&amp;"_"&amp;TablaPOA[[#This Row],[Tipo de agente]]</f>
        <v>K31.1.5.1_Consumidores directos de combustibles líquidos y OPDH</v>
      </c>
      <c r="P47" s="250" t="s">
        <v>2808</v>
      </c>
      <c r="Q47" s="292" t="str">
        <f>TablaPOA[[#This Row],[Cod_Sub_acción_especifica]]&amp;"_"&amp;TablaPOA[[#This Row],[Cod_Tipo_agente]]</f>
        <v>K31.1.5.1_TA1</v>
      </c>
      <c r="R47" s="250" t="s">
        <v>2809</v>
      </c>
      <c r="S47" s="251" t="s">
        <v>2812</v>
      </c>
      <c r="T47" s="269" t="s">
        <v>2813</v>
      </c>
    </row>
    <row r="48" spans="1:20" ht="25.5" x14ac:dyDescent="0.25">
      <c r="A48" s="268" t="s">
        <v>2314</v>
      </c>
      <c r="B48" s="248">
        <v>31</v>
      </c>
      <c r="C48" s="248" t="s">
        <v>2691</v>
      </c>
      <c r="D48" s="248" t="s">
        <v>2988</v>
      </c>
      <c r="E48" s="248" t="s">
        <v>3149</v>
      </c>
      <c r="F48" s="248" t="s">
        <v>2694</v>
      </c>
      <c r="G48" s="248" t="s">
        <v>2483</v>
      </c>
      <c r="H48" s="249" t="s">
        <v>3154</v>
      </c>
      <c r="I48" s="249" t="s">
        <v>37</v>
      </c>
      <c r="J48" s="248" t="s">
        <v>36</v>
      </c>
      <c r="K48" s="249" t="s">
        <v>3068</v>
      </c>
      <c r="L48" s="249" t="s">
        <v>37</v>
      </c>
      <c r="M48" s="248" t="s">
        <v>37</v>
      </c>
      <c r="N48" s="299" t="s">
        <v>2840</v>
      </c>
      <c r="O48" s="292" t="str">
        <f>TablaPOA[[#This Row],[Cod_Sub_acción_especifica]]&amp;"_"&amp;TablaPOA[[#This Row],[Tipo de agente]]</f>
        <v>K31.1.5.1_Consumidores directos de combustibles líquidos y OPDH</v>
      </c>
      <c r="P48" s="250" t="s">
        <v>2808</v>
      </c>
      <c r="Q48" s="292" t="str">
        <f>TablaPOA[[#This Row],[Cod_Sub_acción_especifica]]&amp;"_"&amp;TablaPOA[[#This Row],[Cod_Tipo_agente]]</f>
        <v>K31.1.5.1_TA1</v>
      </c>
      <c r="R48" s="250" t="s">
        <v>2809</v>
      </c>
      <c r="S48" s="251" t="s">
        <v>2814</v>
      </c>
      <c r="T48" s="269" t="s">
        <v>2815</v>
      </c>
    </row>
    <row r="49" spans="1:20" ht="25.5" x14ac:dyDescent="0.25">
      <c r="A49" s="268" t="s">
        <v>2314</v>
      </c>
      <c r="B49" s="248">
        <v>31</v>
      </c>
      <c r="C49" s="248" t="s">
        <v>2691</v>
      </c>
      <c r="D49" s="248" t="s">
        <v>2988</v>
      </c>
      <c r="E49" s="248" t="s">
        <v>3149</v>
      </c>
      <c r="F49" s="248" t="s">
        <v>2694</v>
      </c>
      <c r="G49" s="248" t="s">
        <v>2483</v>
      </c>
      <c r="H49" s="249" t="s">
        <v>3154</v>
      </c>
      <c r="I49" s="249" t="s">
        <v>37</v>
      </c>
      <c r="J49" s="248" t="s">
        <v>36</v>
      </c>
      <c r="K49" s="249" t="s">
        <v>3068</v>
      </c>
      <c r="L49" s="249" t="s">
        <v>37</v>
      </c>
      <c r="M49" s="248" t="s">
        <v>37</v>
      </c>
      <c r="N49" s="299" t="s">
        <v>2853</v>
      </c>
      <c r="O49" s="292" t="str">
        <f>TablaPOA[[#This Row],[Cod_Sub_acción_especifica]]&amp;"_"&amp;TablaPOA[[#This Row],[Tipo de agente]]</f>
        <v>K31.1.5.1_Consumidores directos de combustibles líquidos y OPDH</v>
      </c>
      <c r="P49" s="250" t="s">
        <v>2808</v>
      </c>
      <c r="Q49" s="292" t="str">
        <f>TablaPOA[[#This Row],[Cod_Sub_acción_especifica]]&amp;"_"&amp;TablaPOA[[#This Row],[Cod_Tipo_agente]]</f>
        <v>K31.1.5.1_TA1</v>
      </c>
      <c r="R49" s="250" t="s">
        <v>2809</v>
      </c>
      <c r="S49" s="251" t="s">
        <v>2816</v>
      </c>
      <c r="T49" s="269" t="s">
        <v>2817</v>
      </c>
    </row>
    <row r="50" spans="1:20" ht="25.5" x14ac:dyDescent="0.25">
      <c r="A50" s="268" t="s">
        <v>2314</v>
      </c>
      <c r="B50" s="248">
        <v>31</v>
      </c>
      <c r="C50" s="248" t="s">
        <v>2691</v>
      </c>
      <c r="D50" s="248" t="s">
        <v>2988</v>
      </c>
      <c r="E50" s="248" t="s">
        <v>3149</v>
      </c>
      <c r="F50" s="248" t="s">
        <v>2694</v>
      </c>
      <c r="G50" s="248" t="s">
        <v>2483</v>
      </c>
      <c r="H50" s="249" t="s">
        <v>3154</v>
      </c>
      <c r="I50" s="249" t="s">
        <v>37</v>
      </c>
      <c r="J50" s="248" t="s">
        <v>36</v>
      </c>
      <c r="K50" s="249" t="s">
        <v>3068</v>
      </c>
      <c r="L50" s="249" t="s">
        <v>37</v>
      </c>
      <c r="M50" s="248" t="s">
        <v>37</v>
      </c>
      <c r="N50" s="299" t="s">
        <v>2877</v>
      </c>
      <c r="O50" s="292" t="str">
        <f>TablaPOA[[#This Row],[Cod_Sub_acción_especifica]]&amp;"_"&amp;TablaPOA[[#This Row],[Tipo de agente]]</f>
        <v>K31.1.5.1_Consumidores directos de combustibles líquidos y OPDH</v>
      </c>
      <c r="P50" s="250" t="s">
        <v>2808</v>
      </c>
      <c r="Q50" s="292" t="str">
        <f>TablaPOA[[#This Row],[Cod_Sub_acción_especifica]]&amp;"_"&amp;TablaPOA[[#This Row],[Cod_Tipo_agente]]</f>
        <v>K31.1.5.1_TA1</v>
      </c>
      <c r="R50" s="250" t="s">
        <v>2809</v>
      </c>
      <c r="S50" s="251" t="s">
        <v>2818</v>
      </c>
      <c r="T50" s="269" t="s">
        <v>2819</v>
      </c>
    </row>
    <row r="51" spans="1:20" ht="25.5" x14ac:dyDescent="0.25">
      <c r="A51" s="268" t="s">
        <v>2314</v>
      </c>
      <c r="B51" s="248">
        <v>31</v>
      </c>
      <c r="C51" s="248" t="s">
        <v>2691</v>
      </c>
      <c r="D51" s="248" t="s">
        <v>2988</v>
      </c>
      <c r="E51" s="248" t="s">
        <v>3149</v>
      </c>
      <c r="F51" s="248" t="s">
        <v>2694</v>
      </c>
      <c r="G51" s="248" t="s">
        <v>2483</v>
      </c>
      <c r="H51" s="249" t="s">
        <v>3154</v>
      </c>
      <c r="I51" s="249" t="s">
        <v>37</v>
      </c>
      <c r="J51" s="248" t="s">
        <v>36</v>
      </c>
      <c r="K51" s="249" t="s">
        <v>3068</v>
      </c>
      <c r="L51" s="249" t="s">
        <v>37</v>
      </c>
      <c r="M51" s="248" t="s">
        <v>37</v>
      </c>
      <c r="N51" s="299" t="s">
        <v>2883</v>
      </c>
      <c r="O51" s="292" t="str">
        <f>TablaPOA[[#This Row],[Cod_Sub_acción_especifica]]&amp;"_"&amp;TablaPOA[[#This Row],[Tipo de agente]]</f>
        <v>K31.1.5.1_Consumidores directos de combustibles líquidos y OPDH</v>
      </c>
      <c r="P51" s="250" t="s">
        <v>2808</v>
      </c>
      <c r="Q51" s="292" t="str">
        <f>TablaPOA[[#This Row],[Cod_Sub_acción_especifica]]&amp;"_"&amp;TablaPOA[[#This Row],[Cod_Tipo_agente]]</f>
        <v>K31.1.5.1_TA1</v>
      </c>
      <c r="R51" s="250" t="s">
        <v>2809</v>
      </c>
      <c r="S51" s="251" t="s">
        <v>2820</v>
      </c>
      <c r="T51" s="269" t="s">
        <v>2821</v>
      </c>
    </row>
    <row r="52" spans="1:20" ht="25.5" x14ac:dyDescent="0.25">
      <c r="A52" s="268" t="s">
        <v>2314</v>
      </c>
      <c r="B52" s="248">
        <v>31</v>
      </c>
      <c r="C52" s="248" t="s">
        <v>2691</v>
      </c>
      <c r="D52" s="248" t="s">
        <v>2988</v>
      </c>
      <c r="E52" s="248" t="s">
        <v>3149</v>
      </c>
      <c r="F52" s="248" t="s">
        <v>2694</v>
      </c>
      <c r="G52" s="248" t="s">
        <v>2483</v>
      </c>
      <c r="H52" s="249" t="s">
        <v>3154</v>
      </c>
      <c r="I52" s="249" t="s">
        <v>37</v>
      </c>
      <c r="J52" s="248" t="s">
        <v>36</v>
      </c>
      <c r="K52" s="249" t="s">
        <v>3068</v>
      </c>
      <c r="L52" s="249" t="s">
        <v>37</v>
      </c>
      <c r="M52" s="248" t="s">
        <v>37</v>
      </c>
      <c r="N52" s="299" t="s">
        <v>2913</v>
      </c>
      <c r="O52" s="292" t="str">
        <f>TablaPOA[[#This Row],[Cod_Sub_acción_especifica]]&amp;"_"&amp;TablaPOA[[#This Row],[Tipo de agente]]</f>
        <v>K31.1.5.1_Consumidores directos de combustibles líquidos y OPDH</v>
      </c>
      <c r="P52" s="250" t="s">
        <v>2808</v>
      </c>
      <c r="Q52" s="292" t="str">
        <f>TablaPOA[[#This Row],[Cod_Sub_acción_especifica]]&amp;"_"&amp;TablaPOA[[#This Row],[Cod_Tipo_agente]]</f>
        <v>K31.1.5.1_TA1</v>
      </c>
      <c r="R52" s="250" t="s">
        <v>2809</v>
      </c>
      <c r="S52" s="251" t="s">
        <v>2822</v>
      </c>
      <c r="T52" s="269" t="s">
        <v>2823</v>
      </c>
    </row>
    <row r="53" spans="1:20" ht="25.5" x14ac:dyDescent="0.25">
      <c r="A53" s="268" t="s">
        <v>2314</v>
      </c>
      <c r="B53" s="248">
        <v>31</v>
      </c>
      <c r="C53" s="248" t="s">
        <v>2691</v>
      </c>
      <c r="D53" s="248" t="s">
        <v>2988</v>
      </c>
      <c r="E53" s="248" t="s">
        <v>3149</v>
      </c>
      <c r="F53" s="248" t="s">
        <v>2694</v>
      </c>
      <c r="G53" s="248" t="s">
        <v>2483</v>
      </c>
      <c r="H53" s="249" t="s">
        <v>3154</v>
      </c>
      <c r="I53" s="249" t="s">
        <v>37</v>
      </c>
      <c r="J53" s="248" t="s">
        <v>36</v>
      </c>
      <c r="K53" s="249" t="s">
        <v>3068</v>
      </c>
      <c r="L53" s="249" t="s">
        <v>37</v>
      </c>
      <c r="M53" s="248" t="s">
        <v>37</v>
      </c>
      <c r="N53" s="299" t="s">
        <v>2919</v>
      </c>
      <c r="O53" s="292" t="str">
        <f>TablaPOA[[#This Row],[Cod_Sub_acción_especifica]]&amp;"_"&amp;TablaPOA[[#This Row],[Tipo de agente]]</f>
        <v>K31.1.5.1_Consumidores directos de combustibles líquidos y OPDH</v>
      </c>
      <c r="P53" s="250" t="s">
        <v>2808</v>
      </c>
      <c r="Q53" s="292" t="str">
        <f>TablaPOA[[#This Row],[Cod_Sub_acción_especifica]]&amp;"_"&amp;TablaPOA[[#This Row],[Cod_Tipo_agente]]</f>
        <v>K31.1.5.1_TA1</v>
      </c>
      <c r="R53" s="250" t="s">
        <v>2809</v>
      </c>
      <c r="S53" s="251" t="s">
        <v>2824</v>
      </c>
      <c r="T53" s="269" t="s">
        <v>2825</v>
      </c>
    </row>
    <row r="54" spans="1:20" ht="25.5" x14ac:dyDescent="0.25">
      <c r="A54" s="268" t="s">
        <v>2314</v>
      </c>
      <c r="B54" s="248">
        <v>31</v>
      </c>
      <c r="C54" s="248" t="s">
        <v>2691</v>
      </c>
      <c r="D54" s="248" t="s">
        <v>2988</v>
      </c>
      <c r="E54" s="248" t="s">
        <v>3149</v>
      </c>
      <c r="F54" s="248" t="s">
        <v>2694</v>
      </c>
      <c r="G54" s="248" t="s">
        <v>2483</v>
      </c>
      <c r="H54" s="249" t="s">
        <v>3154</v>
      </c>
      <c r="I54" s="249" t="s">
        <v>37</v>
      </c>
      <c r="J54" s="248" t="s">
        <v>36</v>
      </c>
      <c r="K54" s="249" t="s">
        <v>3068</v>
      </c>
      <c r="L54" s="249" t="s">
        <v>37</v>
      </c>
      <c r="M54" s="248" t="s">
        <v>37</v>
      </c>
      <c r="N54" s="299" t="s">
        <v>2951</v>
      </c>
      <c r="O54" s="292" t="str">
        <f>TablaPOA[[#This Row],[Cod_Sub_acción_especifica]]&amp;"_"&amp;TablaPOA[[#This Row],[Tipo de agente]]</f>
        <v>K31.1.5.1_Consumidores directos de combustibles líquidos y OPDH</v>
      </c>
      <c r="P54" s="250" t="s">
        <v>2808</v>
      </c>
      <c r="Q54" s="292" t="str">
        <f>TablaPOA[[#This Row],[Cod_Sub_acción_especifica]]&amp;"_"&amp;TablaPOA[[#This Row],[Cod_Tipo_agente]]</f>
        <v>K31.1.5.1_TA1</v>
      </c>
      <c r="R54" s="250" t="s">
        <v>2809</v>
      </c>
      <c r="S54" s="251" t="s">
        <v>2826</v>
      </c>
      <c r="T54" s="269" t="s">
        <v>2827</v>
      </c>
    </row>
    <row r="55" spans="1:20" ht="25.5" x14ac:dyDescent="0.25">
      <c r="A55" s="268" t="s">
        <v>2314</v>
      </c>
      <c r="B55" s="248">
        <v>31</v>
      </c>
      <c r="C55" s="248" t="s">
        <v>2691</v>
      </c>
      <c r="D55" s="248" t="s">
        <v>2988</v>
      </c>
      <c r="E55" s="248" t="s">
        <v>3149</v>
      </c>
      <c r="F55" s="248" t="s">
        <v>2694</v>
      </c>
      <c r="G55" s="248" t="s">
        <v>2483</v>
      </c>
      <c r="H55" s="249" t="s">
        <v>3154</v>
      </c>
      <c r="I55" s="249" t="s">
        <v>37</v>
      </c>
      <c r="J55" s="248" t="s">
        <v>36</v>
      </c>
      <c r="K55" s="249" t="s">
        <v>3068</v>
      </c>
      <c r="L55" s="249" t="s">
        <v>37</v>
      </c>
      <c r="M55" s="248" t="s">
        <v>37</v>
      </c>
      <c r="N55" s="293"/>
      <c r="O55" s="293" t="str">
        <f>TablaPOA[[#This Row],[Cod_Sub_acción_especifica]]&amp;"_"&amp;TablaPOA[[#This Row],[Tipo de agente]]</f>
        <v>K31.1.5.1_Consumidores directos de combustibles líquidos y OPDH</v>
      </c>
      <c r="P55" s="250" t="s">
        <v>2808</v>
      </c>
      <c r="Q55" s="292" t="str">
        <f>TablaPOA[[#This Row],[Cod_Sub_acción_especifica]]&amp;"_"&amp;TablaPOA[[#This Row],[Cod_Tipo_agente]]</f>
        <v>K31.1.5.1_TA1</v>
      </c>
      <c r="R55" s="250" t="s">
        <v>2809</v>
      </c>
      <c r="S55" s="251" t="s">
        <v>2828</v>
      </c>
      <c r="T55" s="269" t="s">
        <v>2829</v>
      </c>
    </row>
    <row r="56" spans="1:20" ht="25.5" x14ac:dyDescent="0.25">
      <c r="A56" s="268" t="s">
        <v>2314</v>
      </c>
      <c r="B56" s="248">
        <v>31</v>
      </c>
      <c r="C56" s="248" t="s">
        <v>2691</v>
      </c>
      <c r="D56" s="248" t="s">
        <v>2988</v>
      </c>
      <c r="E56" s="248" t="s">
        <v>3149</v>
      </c>
      <c r="F56" s="248" t="s">
        <v>2694</v>
      </c>
      <c r="G56" s="248" t="s">
        <v>2483</v>
      </c>
      <c r="H56" s="249" t="s">
        <v>3154</v>
      </c>
      <c r="I56" s="249" t="s">
        <v>37</v>
      </c>
      <c r="J56" s="248" t="s">
        <v>36</v>
      </c>
      <c r="K56" s="249" t="s">
        <v>3068</v>
      </c>
      <c r="L56" s="249" t="s">
        <v>37</v>
      </c>
      <c r="M56" s="248" t="s">
        <v>37</v>
      </c>
      <c r="N56" s="293"/>
      <c r="O56" s="293" t="str">
        <f>TablaPOA[[#This Row],[Cod_Sub_acción_especifica]]&amp;"_"&amp;TablaPOA[[#This Row],[Tipo de agente]]</f>
        <v>K31.1.5.1_Consumidores directos de gas natural</v>
      </c>
      <c r="P56" s="250" t="s">
        <v>2830</v>
      </c>
      <c r="Q56" s="292" t="str">
        <f>TablaPOA[[#This Row],[Cod_Sub_acción_especifica]]&amp;"_"&amp;TablaPOA[[#This Row],[Cod_Tipo_agente]]</f>
        <v>K31.1.5.1_TA2</v>
      </c>
      <c r="R56" s="250" t="s">
        <v>2831</v>
      </c>
      <c r="S56" s="250">
        <v>101</v>
      </c>
      <c r="T56" s="269" t="s">
        <v>2832</v>
      </c>
    </row>
    <row r="57" spans="1:20" ht="25.5" x14ac:dyDescent="0.25">
      <c r="A57" s="268" t="s">
        <v>2314</v>
      </c>
      <c r="B57" s="248">
        <v>31</v>
      </c>
      <c r="C57" s="248" t="s">
        <v>2691</v>
      </c>
      <c r="D57" s="248" t="s">
        <v>2988</v>
      </c>
      <c r="E57" s="248" t="s">
        <v>3149</v>
      </c>
      <c r="F57" s="248" t="s">
        <v>2694</v>
      </c>
      <c r="G57" s="248" t="s">
        <v>2483</v>
      </c>
      <c r="H57" s="249" t="s">
        <v>3154</v>
      </c>
      <c r="I57" s="249" t="s">
        <v>37</v>
      </c>
      <c r="J57" s="248" t="s">
        <v>36</v>
      </c>
      <c r="K57" s="249" t="s">
        <v>3068</v>
      </c>
      <c r="L57" s="249" t="s">
        <v>37</v>
      </c>
      <c r="M57" s="248" t="s">
        <v>37</v>
      </c>
      <c r="N57" s="293"/>
      <c r="O57" s="293" t="str">
        <f>TablaPOA[[#This Row],[Cod_Sub_acción_especifica]]&amp;"_"&amp;TablaPOA[[#This Row],[Tipo de agente]]</f>
        <v>K31.1.5.1_Consumidores directos de gas natural</v>
      </c>
      <c r="P57" s="250" t="s">
        <v>2830</v>
      </c>
      <c r="Q57" s="292" t="str">
        <f>TablaPOA[[#This Row],[Cod_Sub_acción_especifica]]&amp;"_"&amp;TablaPOA[[#This Row],[Cod_Tipo_agente]]</f>
        <v>K31.1.5.1_TA2</v>
      </c>
      <c r="R57" s="250" t="s">
        <v>2831</v>
      </c>
      <c r="S57" s="250" t="s">
        <v>2833</v>
      </c>
      <c r="T57" s="269" t="s">
        <v>2834</v>
      </c>
    </row>
    <row r="58" spans="1:20" ht="25.5" x14ac:dyDescent="0.25">
      <c r="A58" s="268" t="s">
        <v>2314</v>
      </c>
      <c r="B58" s="248">
        <v>31</v>
      </c>
      <c r="C58" s="248" t="s">
        <v>2691</v>
      </c>
      <c r="D58" s="248" t="s">
        <v>2988</v>
      </c>
      <c r="E58" s="248" t="s">
        <v>3149</v>
      </c>
      <c r="F58" s="248" t="s">
        <v>2694</v>
      </c>
      <c r="G58" s="248" t="s">
        <v>2483</v>
      </c>
      <c r="H58" s="249" t="s">
        <v>3154</v>
      </c>
      <c r="I58" s="249" t="s">
        <v>37</v>
      </c>
      <c r="J58" s="248" t="s">
        <v>36</v>
      </c>
      <c r="K58" s="249" t="s">
        <v>3068</v>
      </c>
      <c r="L58" s="249" t="s">
        <v>37</v>
      </c>
      <c r="M58" s="248" t="s">
        <v>37</v>
      </c>
      <c r="N58" s="293"/>
      <c r="O58" s="293" t="str">
        <f>TablaPOA[[#This Row],[Cod_Sub_acción_especifica]]&amp;"_"&amp;TablaPOA[[#This Row],[Tipo de agente]]</f>
        <v>K31.1.5.1_Consumidores directos de gas natural</v>
      </c>
      <c r="P58" s="250" t="s">
        <v>2830</v>
      </c>
      <c r="Q58" s="292" t="str">
        <f>TablaPOA[[#This Row],[Cod_Sub_acción_especifica]]&amp;"_"&amp;TablaPOA[[#This Row],[Cod_Tipo_agente]]</f>
        <v>K31.1.5.1_TA2</v>
      </c>
      <c r="R58" s="250" t="s">
        <v>2831</v>
      </c>
      <c r="S58" s="250" t="s">
        <v>2835</v>
      </c>
      <c r="T58" s="269" t="s">
        <v>2836</v>
      </c>
    </row>
    <row r="59" spans="1:20" ht="25.5" x14ac:dyDescent="0.25">
      <c r="A59" s="268" t="s">
        <v>2314</v>
      </c>
      <c r="B59" s="248">
        <v>31</v>
      </c>
      <c r="C59" s="248" t="s">
        <v>2691</v>
      </c>
      <c r="D59" s="248" t="s">
        <v>2988</v>
      </c>
      <c r="E59" s="248" t="s">
        <v>3149</v>
      </c>
      <c r="F59" s="248" t="s">
        <v>2694</v>
      </c>
      <c r="G59" s="248" t="s">
        <v>2483</v>
      </c>
      <c r="H59" s="249" t="s">
        <v>3154</v>
      </c>
      <c r="I59" s="249" t="s">
        <v>37</v>
      </c>
      <c r="J59" s="248" t="s">
        <v>36</v>
      </c>
      <c r="K59" s="249" t="s">
        <v>3068</v>
      </c>
      <c r="L59" s="249" t="s">
        <v>37</v>
      </c>
      <c r="M59" s="248" t="s">
        <v>37</v>
      </c>
      <c r="N59" s="293"/>
      <c r="O59" s="293" t="str">
        <f>TablaPOA[[#This Row],[Cod_Sub_acción_especifica]]&amp;"_"&amp;TablaPOA[[#This Row],[Tipo de agente]]</f>
        <v>K31.1.5.1_Consumidores directos de gas natural</v>
      </c>
      <c r="P59" s="250" t="s">
        <v>2830</v>
      </c>
      <c r="Q59" s="292" t="str">
        <f>TablaPOA[[#This Row],[Cod_Sub_acción_especifica]]&amp;"_"&amp;TablaPOA[[#This Row],[Cod_Tipo_agente]]</f>
        <v>K31.1.5.1_TA2</v>
      </c>
      <c r="R59" s="250" t="s">
        <v>2831</v>
      </c>
      <c r="S59" s="250" t="s">
        <v>2837</v>
      </c>
      <c r="T59" s="269" t="s">
        <v>2838</v>
      </c>
    </row>
    <row r="60" spans="1:20" ht="25.5" x14ac:dyDescent="0.25">
      <c r="A60" s="268" t="s">
        <v>2314</v>
      </c>
      <c r="B60" s="248">
        <v>31</v>
      </c>
      <c r="C60" s="248" t="s">
        <v>2691</v>
      </c>
      <c r="D60" s="248" t="s">
        <v>2988</v>
      </c>
      <c r="E60" s="248" t="s">
        <v>3149</v>
      </c>
      <c r="F60" s="248" t="s">
        <v>2694</v>
      </c>
      <c r="G60" s="248" t="s">
        <v>2483</v>
      </c>
      <c r="H60" s="249" t="s">
        <v>3154</v>
      </c>
      <c r="I60" s="249" t="s">
        <v>37</v>
      </c>
      <c r="J60" s="248" t="s">
        <v>36</v>
      </c>
      <c r="K60" s="249" t="s">
        <v>3068</v>
      </c>
      <c r="L60" s="249" t="s">
        <v>37</v>
      </c>
      <c r="M60" s="248" t="s">
        <v>37</v>
      </c>
      <c r="N60" s="293"/>
      <c r="O60" s="293" t="str">
        <f>TablaPOA[[#This Row],[Cod_Sub_acción_especifica]]&amp;"_"&amp;TablaPOA[[#This Row],[Tipo de agente]]</f>
        <v>K31.1.5.1_Consumidores directos de GLP y redes de distribución</v>
      </c>
      <c r="P60" s="250" t="s">
        <v>2839</v>
      </c>
      <c r="Q60" s="292" t="str">
        <f>TablaPOA[[#This Row],[Cod_Sub_acción_especifica]]&amp;"_"&amp;TablaPOA[[#This Row],[Cod_Tipo_agente]]</f>
        <v>K31.1.5.1_TA3</v>
      </c>
      <c r="R60" s="250" t="s">
        <v>2840</v>
      </c>
      <c r="S60" s="250">
        <v>400</v>
      </c>
      <c r="T60" s="269" t="s">
        <v>2841</v>
      </c>
    </row>
    <row r="61" spans="1:20" ht="25.5" x14ac:dyDescent="0.25">
      <c r="A61" s="268" t="s">
        <v>2314</v>
      </c>
      <c r="B61" s="248">
        <v>31</v>
      </c>
      <c r="C61" s="248" t="s">
        <v>2691</v>
      </c>
      <c r="D61" s="248" t="s">
        <v>2988</v>
      </c>
      <c r="E61" s="248" t="s">
        <v>3149</v>
      </c>
      <c r="F61" s="248" t="s">
        <v>2694</v>
      </c>
      <c r="G61" s="248" t="s">
        <v>2483</v>
      </c>
      <c r="H61" s="249" t="s">
        <v>3154</v>
      </c>
      <c r="I61" s="249" t="s">
        <v>37</v>
      </c>
      <c r="J61" s="248" t="s">
        <v>36</v>
      </c>
      <c r="K61" s="249" t="s">
        <v>3068</v>
      </c>
      <c r="L61" s="249" t="s">
        <v>37</v>
      </c>
      <c r="M61" s="248" t="s">
        <v>37</v>
      </c>
      <c r="N61" s="293"/>
      <c r="O61" s="293" t="str">
        <f>TablaPOA[[#This Row],[Cod_Sub_acción_especifica]]&amp;"_"&amp;TablaPOA[[#This Row],[Tipo de agente]]</f>
        <v>K31.1.5.1_Consumidores directos de GLP y redes de distribución</v>
      </c>
      <c r="P61" s="250" t="s">
        <v>2839</v>
      </c>
      <c r="Q61" s="292" t="str">
        <f>TablaPOA[[#This Row],[Cod_Sub_acción_especifica]]&amp;"_"&amp;TablaPOA[[#This Row],[Cod_Tipo_agente]]</f>
        <v>K31.1.5.1_TA3</v>
      </c>
      <c r="R61" s="250" t="s">
        <v>2840</v>
      </c>
      <c r="S61" s="250" t="s">
        <v>2842</v>
      </c>
      <c r="T61" s="269" t="s">
        <v>2843</v>
      </c>
    </row>
    <row r="62" spans="1:20" ht="25.5" x14ac:dyDescent="0.25">
      <c r="A62" s="268" t="s">
        <v>2314</v>
      </c>
      <c r="B62" s="248">
        <v>31</v>
      </c>
      <c r="C62" s="248" t="s">
        <v>2691</v>
      </c>
      <c r="D62" s="248" t="s">
        <v>2988</v>
      </c>
      <c r="E62" s="248" t="s">
        <v>3149</v>
      </c>
      <c r="F62" s="248" t="s">
        <v>2694</v>
      </c>
      <c r="G62" s="248" t="s">
        <v>2483</v>
      </c>
      <c r="H62" s="249" t="s">
        <v>3154</v>
      </c>
      <c r="I62" s="249" t="s">
        <v>37</v>
      </c>
      <c r="J62" s="248" t="s">
        <v>36</v>
      </c>
      <c r="K62" s="249" t="s">
        <v>3068</v>
      </c>
      <c r="L62" s="249" t="s">
        <v>37</v>
      </c>
      <c r="M62" s="248" t="s">
        <v>37</v>
      </c>
      <c r="N62" s="293"/>
      <c r="O62" s="293" t="str">
        <f>TablaPOA[[#This Row],[Cod_Sub_acción_especifica]]&amp;"_"&amp;TablaPOA[[#This Row],[Tipo de agente]]</f>
        <v>K31.1.5.1_Consumidores directos de GLP y redes de distribución</v>
      </c>
      <c r="P62" s="250" t="s">
        <v>2839</v>
      </c>
      <c r="Q62" s="292" t="str">
        <f>TablaPOA[[#This Row],[Cod_Sub_acción_especifica]]&amp;"_"&amp;TablaPOA[[#This Row],[Cod_Tipo_agente]]</f>
        <v>K31.1.5.1_TA3</v>
      </c>
      <c r="R62" s="250" t="s">
        <v>2840</v>
      </c>
      <c r="S62" s="250" t="s">
        <v>2844</v>
      </c>
      <c r="T62" s="269" t="s">
        <v>2845</v>
      </c>
    </row>
    <row r="63" spans="1:20" ht="25.5" x14ac:dyDescent="0.25">
      <c r="A63" s="268" t="s">
        <v>2314</v>
      </c>
      <c r="B63" s="248">
        <v>31</v>
      </c>
      <c r="C63" s="248" t="s">
        <v>2691</v>
      </c>
      <c r="D63" s="248" t="s">
        <v>2988</v>
      </c>
      <c r="E63" s="248" t="s">
        <v>3149</v>
      </c>
      <c r="F63" s="248" t="s">
        <v>2694</v>
      </c>
      <c r="G63" s="248" t="s">
        <v>2483</v>
      </c>
      <c r="H63" s="249" t="s">
        <v>3154</v>
      </c>
      <c r="I63" s="249" t="s">
        <v>37</v>
      </c>
      <c r="J63" s="248" t="s">
        <v>36</v>
      </c>
      <c r="K63" s="249" t="s">
        <v>3068</v>
      </c>
      <c r="L63" s="249" t="s">
        <v>37</v>
      </c>
      <c r="M63" s="248" t="s">
        <v>37</v>
      </c>
      <c r="N63" s="293"/>
      <c r="O63" s="293" t="str">
        <f>TablaPOA[[#This Row],[Cod_Sub_acción_especifica]]&amp;"_"&amp;TablaPOA[[#This Row],[Tipo de agente]]</f>
        <v>K31.1.5.1_Consumidores directos de GLP y redes de distribución</v>
      </c>
      <c r="P63" s="250" t="s">
        <v>2839</v>
      </c>
      <c r="Q63" s="292" t="str">
        <f>TablaPOA[[#This Row],[Cod_Sub_acción_especifica]]&amp;"_"&amp;TablaPOA[[#This Row],[Cod_Tipo_agente]]</f>
        <v>K31.1.5.1_TA3</v>
      </c>
      <c r="R63" s="250" t="s">
        <v>2840</v>
      </c>
      <c r="S63" s="250" t="s">
        <v>2846</v>
      </c>
      <c r="T63" s="269" t="s">
        <v>2847</v>
      </c>
    </row>
    <row r="64" spans="1:20" ht="25.5" x14ac:dyDescent="0.25">
      <c r="A64" s="268" t="s">
        <v>2314</v>
      </c>
      <c r="B64" s="248">
        <v>31</v>
      </c>
      <c r="C64" s="248" t="s">
        <v>2691</v>
      </c>
      <c r="D64" s="248" t="s">
        <v>2988</v>
      </c>
      <c r="E64" s="248" t="s">
        <v>3149</v>
      </c>
      <c r="F64" s="248" t="s">
        <v>2694</v>
      </c>
      <c r="G64" s="248" t="s">
        <v>2483</v>
      </c>
      <c r="H64" s="249" t="s">
        <v>3154</v>
      </c>
      <c r="I64" s="249" t="s">
        <v>37</v>
      </c>
      <c r="J64" s="248" t="s">
        <v>36</v>
      </c>
      <c r="K64" s="249" t="s">
        <v>3068</v>
      </c>
      <c r="L64" s="249" t="s">
        <v>37</v>
      </c>
      <c r="M64" s="248" t="s">
        <v>37</v>
      </c>
      <c r="N64" s="293"/>
      <c r="O64" s="293" t="str">
        <f>TablaPOA[[#This Row],[Cod_Sub_acción_especifica]]&amp;"_"&amp;TablaPOA[[#This Row],[Tipo de agente]]</f>
        <v>K31.1.5.1_Consumidores directos de GLP y redes de distribución</v>
      </c>
      <c r="P64" s="250" t="s">
        <v>2839</v>
      </c>
      <c r="Q64" s="292" t="str">
        <f>TablaPOA[[#This Row],[Cod_Sub_acción_especifica]]&amp;"_"&amp;TablaPOA[[#This Row],[Cod_Tipo_agente]]</f>
        <v>K31.1.5.1_TA3</v>
      </c>
      <c r="R64" s="250" t="s">
        <v>2840</v>
      </c>
      <c r="S64" s="250" t="s">
        <v>2848</v>
      </c>
      <c r="T64" s="269" t="s">
        <v>2849</v>
      </c>
    </row>
    <row r="65" spans="1:20" ht="25.5" x14ac:dyDescent="0.25">
      <c r="A65" s="268" t="s">
        <v>2314</v>
      </c>
      <c r="B65" s="248">
        <v>31</v>
      </c>
      <c r="C65" s="248" t="s">
        <v>2691</v>
      </c>
      <c r="D65" s="248" t="s">
        <v>2988</v>
      </c>
      <c r="E65" s="248" t="s">
        <v>3149</v>
      </c>
      <c r="F65" s="248" t="s">
        <v>2694</v>
      </c>
      <c r="G65" s="248" t="s">
        <v>2483</v>
      </c>
      <c r="H65" s="249" t="s">
        <v>3154</v>
      </c>
      <c r="I65" s="249" t="s">
        <v>37</v>
      </c>
      <c r="J65" s="248" t="s">
        <v>36</v>
      </c>
      <c r="K65" s="249" t="s">
        <v>3068</v>
      </c>
      <c r="L65" s="249" t="s">
        <v>37</v>
      </c>
      <c r="M65" s="248" t="s">
        <v>37</v>
      </c>
      <c r="N65" s="293"/>
      <c r="O65" s="293" t="str">
        <f>TablaPOA[[#This Row],[Cod_Sub_acción_especifica]]&amp;"_"&amp;TablaPOA[[#This Row],[Tipo de agente]]</f>
        <v>K31.1.5.1_Consumidores directos de GLP y redes de distribución</v>
      </c>
      <c r="P65" s="250" t="s">
        <v>2839</v>
      </c>
      <c r="Q65" s="292" t="str">
        <f>TablaPOA[[#This Row],[Cod_Sub_acción_especifica]]&amp;"_"&amp;TablaPOA[[#This Row],[Cod_Tipo_agente]]</f>
        <v>K31.1.5.1_TA3</v>
      </c>
      <c r="R65" s="250" t="s">
        <v>2840</v>
      </c>
      <c r="S65" s="250" t="s">
        <v>2850</v>
      </c>
      <c r="T65" s="269" t="s">
        <v>2851</v>
      </c>
    </row>
    <row r="66" spans="1:20" ht="25.5" x14ac:dyDescent="0.25">
      <c r="A66" s="268" t="s">
        <v>2314</v>
      </c>
      <c r="B66" s="248">
        <v>31</v>
      </c>
      <c r="C66" s="248" t="s">
        <v>2691</v>
      </c>
      <c r="D66" s="248" t="s">
        <v>2988</v>
      </c>
      <c r="E66" s="248" t="s">
        <v>3149</v>
      </c>
      <c r="F66" s="248" t="s">
        <v>2694</v>
      </c>
      <c r="G66" s="248" t="s">
        <v>2483</v>
      </c>
      <c r="H66" s="249" t="s">
        <v>3154</v>
      </c>
      <c r="I66" s="249" t="s">
        <v>37</v>
      </c>
      <c r="J66" s="248" t="s">
        <v>36</v>
      </c>
      <c r="K66" s="249" t="s">
        <v>3068</v>
      </c>
      <c r="L66" s="249" t="s">
        <v>37</v>
      </c>
      <c r="M66" s="248" t="s">
        <v>37</v>
      </c>
      <c r="N66" s="293"/>
      <c r="O66" s="293" t="str">
        <f>TablaPOA[[#This Row],[Cod_Sub_acción_especifica]]&amp;"_"&amp;TablaPOA[[#This Row],[Tipo de agente]]</f>
        <v>K31.1.5.1_Distribuidores mayoristas, Importadores y Comercializadores</v>
      </c>
      <c r="P66" s="250" t="s">
        <v>2852</v>
      </c>
      <c r="Q66" s="292" t="str">
        <f>TablaPOA[[#This Row],[Cod_Sub_acción_especifica]]&amp;"_"&amp;TablaPOA[[#This Row],[Cod_Tipo_agente]]</f>
        <v>K31.1.5.1_TA4</v>
      </c>
      <c r="R66" s="250" t="s">
        <v>2853</v>
      </c>
      <c r="S66" s="251" t="s">
        <v>2854</v>
      </c>
      <c r="T66" s="269" t="s">
        <v>2855</v>
      </c>
    </row>
    <row r="67" spans="1:20" ht="25.5" x14ac:dyDescent="0.25">
      <c r="A67" s="268" t="s">
        <v>2314</v>
      </c>
      <c r="B67" s="248">
        <v>31</v>
      </c>
      <c r="C67" s="248" t="s">
        <v>2691</v>
      </c>
      <c r="D67" s="248" t="s">
        <v>2988</v>
      </c>
      <c r="E67" s="248" t="s">
        <v>3149</v>
      </c>
      <c r="F67" s="248" t="s">
        <v>2694</v>
      </c>
      <c r="G67" s="248" t="s">
        <v>2483</v>
      </c>
      <c r="H67" s="249" t="s">
        <v>3154</v>
      </c>
      <c r="I67" s="249" t="s">
        <v>37</v>
      </c>
      <c r="J67" s="248" t="s">
        <v>36</v>
      </c>
      <c r="K67" s="249" t="s">
        <v>3068</v>
      </c>
      <c r="L67" s="249" t="s">
        <v>37</v>
      </c>
      <c r="M67" s="248" t="s">
        <v>37</v>
      </c>
      <c r="N67" s="293"/>
      <c r="O67" s="293" t="str">
        <f>TablaPOA[[#This Row],[Cod_Sub_acción_especifica]]&amp;"_"&amp;TablaPOA[[#This Row],[Tipo de agente]]</f>
        <v>K31.1.5.1_Distribuidores mayoristas, Importadores y Comercializadores</v>
      </c>
      <c r="P67" s="250" t="s">
        <v>2852</v>
      </c>
      <c r="Q67" s="292" t="str">
        <f>TablaPOA[[#This Row],[Cod_Sub_acción_especifica]]&amp;"_"&amp;TablaPOA[[#This Row],[Cod_Tipo_agente]]</f>
        <v>K31.1.5.1_TA4</v>
      </c>
      <c r="R67" s="250" t="s">
        <v>2853</v>
      </c>
      <c r="S67" s="251" t="s">
        <v>2856</v>
      </c>
      <c r="T67" s="269" t="s">
        <v>2857</v>
      </c>
    </row>
    <row r="68" spans="1:20" ht="25.5" x14ac:dyDescent="0.25">
      <c r="A68" s="268" t="s">
        <v>2314</v>
      </c>
      <c r="B68" s="248">
        <v>31</v>
      </c>
      <c r="C68" s="248" t="s">
        <v>2691</v>
      </c>
      <c r="D68" s="248" t="s">
        <v>2988</v>
      </c>
      <c r="E68" s="248" t="s">
        <v>3149</v>
      </c>
      <c r="F68" s="248" t="s">
        <v>2694</v>
      </c>
      <c r="G68" s="248" t="s">
        <v>2483</v>
      </c>
      <c r="H68" s="249" t="s">
        <v>3154</v>
      </c>
      <c r="I68" s="249" t="s">
        <v>37</v>
      </c>
      <c r="J68" s="248" t="s">
        <v>36</v>
      </c>
      <c r="K68" s="249" t="s">
        <v>3068</v>
      </c>
      <c r="L68" s="249" t="s">
        <v>37</v>
      </c>
      <c r="M68" s="248" t="s">
        <v>37</v>
      </c>
      <c r="N68" s="293"/>
      <c r="O68" s="293" t="str">
        <f>TablaPOA[[#This Row],[Cod_Sub_acción_especifica]]&amp;"_"&amp;TablaPOA[[#This Row],[Tipo de agente]]</f>
        <v>K31.1.5.1_Distribuidores mayoristas, Importadores y Comercializadores</v>
      </c>
      <c r="P68" s="250" t="s">
        <v>2852</v>
      </c>
      <c r="Q68" s="292" t="str">
        <f>TablaPOA[[#This Row],[Cod_Sub_acción_especifica]]&amp;"_"&amp;TablaPOA[[#This Row],[Cod_Tipo_agente]]</f>
        <v>K31.1.5.1_TA4</v>
      </c>
      <c r="R68" s="250" t="s">
        <v>2853</v>
      </c>
      <c r="S68" s="251" t="s">
        <v>2858</v>
      </c>
      <c r="T68" s="269" t="s">
        <v>2859</v>
      </c>
    </row>
    <row r="69" spans="1:20" ht="25.5" x14ac:dyDescent="0.25">
      <c r="A69" s="268" t="s">
        <v>2314</v>
      </c>
      <c r="B69" s="248">
        <v>31</v>
      </c>
      <c r="C69" s="248" t="s">
        <v>2691</v>
      </c>
      <c r="D69" s="248" t="s">
        <v>2988</v>
      </c>
      <c r="E69" s="248" t="s">
        <v>3149</v>
      </c>
      <c r="F69" s="248" t="s">
        <v>2694</v>
      </c>
      <c r="G69" s="248" t="s">
        <v>2483</v>
      </c>
      <c r="H69" s="249" t="s">
        <v>3154</v>
      </c>
      <c r="I69" s="249" t="s">
        <v>37</v>
      </c>
      <c r="J69" s="248" t="s">
        <v>36</v>
      </c>
      <c r="K69" s="249" t="s">
        <v>3068</v>
      </c>
      <c r="L69" s="249" t="s">
        <v>37</v>
      </c>
      <c r="M69" s="248" t="s">
        <v>37</v>
      </c>
      <c r="N69" s="293"/>
      <c r="O69" s="293" t="str">
        <f>TablaPOA[[#This Row],[Cod_Sub_acción_especifica]]&amp;"_"&amp;TablaPOA[[#This Row],[Tipo de agente]]</f>
        <v>K31.1.5.1_Distribuidores mayoristas, Importadores y Comercializadores</v>
      </c>
      <c r="P69" s="250" t="s">
        <v>2852</v>
      </c>
      <c r="Q69" s="292" t="str">
        <f>TablaPOA[[#This Row],[Cod_Sub_acción_especifica]]&amp;"_"&amp;TablaPOA[[#This Row],[Cod_Tipo_agente]]</f>
        <v>K31.1.5.1_TA4</v>
      </c>
      <c r="R69" s="250" t="s">
        <v>2853</v>
      </c>
      <c r="S69" s="251" t="s">
        <v>2860</v>
      </c>
      <c r="T69" s="269" t="s">
        <v>2861</v>
      </c>
    </row>
    <row r="70" spans="1:20" ht="25.5" x14ac:dyDescent="0.25">
      <c r="A70" s="268" t="s">
        <v>2314</v>
      </c>
      <c r="B70" s="248">
        <v>31</v>
      </c>
      <c r="C70" s="248" t="s">
        <v>2691</v>
      </c>
      <c r="D70" s="248" t="s">
        <v>2988</v>
      </c>
      <c r="E70" s="248" t="s">
        <v>3149</v>
      </c>
      <c r="F70" s="248" t="s">
        <v>2694</v>
      </c>
      <c r="G70" s="248" t="s">
        <v>2483</v>
      </c>
      <c r="H70" s="249" t="s">
        <v>3154</v>
      </c>
      <c r="I70" s="249" t="s">
        <v>37</v>
      </c>
      <c r="J70" s="248" t="s">
        <v>36</v>
      </c>
      <c r="K70" s="249" t="s">
        <v>3068</v>
      </c>
      <c r="L70" s="249" t="s">
        <v>37</v>
      </c>
      <c r="M70" s="248" t="s">
        <v>37</v>
      </c>
      <c r="N70" s="293"/>
      <c r="O70" s="293" t="str">
        <f>TablaPOA[[#This Row],[Cod_Sub_acción_especifica]]&amp;"_"&amp;TablaPOA[[#This Row],[Tipo de agente]]</f>
        <v>K31.1.5.1_Distribuidores mayoristas, Importadores y Comercializadores</v>
      </c>
      <c r="P70" s="250" t="s">
        <v>2852</v>
      </c>
      <c r="Q70" s="292" t="str">
        <f>TablaPOA[[#This Row],[Cod_Sub_acción_especifica]]&amp;"_"&amp;TablaPOA[[#This Row],[Cod_Tipo_agente]]</f>
        <v>K31.1.5.1_TA4</v>
      </c>
      <c r="R70" s="250" t="s">
        <v>2853</v>
      </c>
      <c r="S70" s="251" t="s">
        <v>2862</v>
      </c>
      <c r="T70" s="269" t="s">
        <v>2863</v>
      </c>
    </row>
    <row r="71" spans="1:20" ht="25.5" x14ac:dyDescent="0.25">
      <c r="A71" s="268" t="s">
        <v>2314</v>
      </c>
      <c r="B71" s="248">
        <v>31</v>
      </c>
      <c r="C71" s="248" t="s">
        <v>2691</v>
      </c>
      <c r="D71" s="248" t="s">
        <v>2988</v>
      </c>
      <c r="E71" s="248" t="s">
        <v>3149</v>
      </c>
      <c r="F71" s="248" t="s">
        <v>2694</v>
      </c>
      <c r="G71" s="248" t="s">
        <v>2483</v>
      </c>
      <c r="H71" s="249" t="s">
        <v>3154</v>
      </c>
      <c r="I71" s="249" t="s">
        <v>37</v>
      </c>
      <c r="J71" s="248" t="s">
        <v>36</v>
      </c>
      <c r="K71" s="249" t="s">
        <v>3068</v>
      </c>
      <c r="L71" s="249" t="s">
        <v>37</v>
      </c>
      <c r="M71" s="248" t="s">
        <v>37</v>
      </c>
      <c r="N71" s="293"/>
      <c r="O71" s="293" t="str">
        <f>TablaPOA[[#This Row],[Cod_Sub_acción_especifica]]&amp;"_"&amp;TablaPOA[[#This Row],[Tipo de agente]]</f>
        <v>K31.1.5.1_Distribuidores mayoristas, Importadores y Comercializadores</v>
      </c>
      <c r="P71" s="250" t="s">
        <v>2852</v>
      </c>
      <c r="Q71" s="292" t="str">
        <f>TablaPOA[[#This Row],[Cod_Sub_acción_especifica]]&amp;"_"&amp;TablaPOA[[#This Row],[Cod_Tipo_agente]]</f>
        <v>K31.1.5.1_TA4</v>
      </c>
      <c r="R71" s="250" t="s">
        <v>2853</v>
      </c>
      <c r="S71" s="251" t="s">
        <v>2864</v>
      </c>
      <c r="T71" s="269" t="s">
        <v>2865</v>
      </c>
    </row>
    <row r="72" spans="1:20" ht="25.5" x14ac:dyDescent="0.25">
      <c r="A72" s="268" t="s">
        <v>2314</v>
      </c>
      <c r="B72" s="248">
        <v>31</v>
      </c>
      <c r="C72" s="248" t="s">
        <v>2691</v>
      </c>
      <c r="D72" s="248" t="s">
        <v>2988</v>
      </c>
      <c r="E72" s="248" t="s">
        <v>3149</v>
      </c>
      <c r="F72" s="248" t="s">
        <v>2694</v>
      </c>
      <c r="G72" s="248" t="s">
        <v>2483</v>
      </c>
      <c r="H72" s="249" t="s">
        <v>3154</v>
      </c>
      <c r="I72" s="249" t="s">
        <v>37</v>
      </c>
      <c r="J72" s="248" t="s">
        <v>36</v>
      </c>
      <c r="K72" s="249" t="s">
        <v>3068</v>
      </c>
      <c r="L72" s="249" t="s">
        <v>37</v>
      </c>
      <c r="M72" s="248" t="s">
        <v>37</v>
      </c>
      <c r="N72" s="293"/>
      <c r="O72" s="293" t="str">
        <f>TablaPOA[[#This Row],[Cod_Sub_acción_especifica]]&amp;"_"&amp;TablaPOA[[#This Row],[Tipo de agente]]</f>
        <v>K31.1.5.1_Distribuidores mayoristas, Importadores y Comercializadores</v>
      </c>
      <c r="P72" s="250" t="s">
        <v>2852</v>
      </c>
      <c r="Q72" s="292" t="str">
        <f>TablaPOA[[#This Row],[Cod_Sub_acción_especifica]]&amp;"_"&amp;TablaPOA[[#This Row],[Cod_Tipo_agente]]</f>
        <v>K31.1.5.1_TA4</v>
      </c>
      <c r="R72" s="250" t="s">
        <v>2853</v>
      </c>
      <c r="S72" s="251" t="s">
        <v>2866</v>
      </c>
      <c r="T72" s="269" t="s">
        <v>2867</v>
      </c>
    </row>
    <row r="73" spans="1:20" ht="25.5" x14ac:dyDescent="0.25">
      <c r="A73" s="268" t="s">
        <v>2314</v>
      </c>
      <c r="B73" s="248">
        <v>31</v>
      </c>
      <c r="C73" s="248" t="s">
        <v>2691</v>
      </c>
      <c r="D73" s="248" t="s">
        <v>2988</v>
      </c>
      <c r="E73" s="248" t="s">
        <v>3149</v>
      </c>
      <c r="F73" s="248" t="s">
        <v>2694</v>
      </c>
      <c r="G73" s="248" t="s">
        <v>2483</v>
      </c>
      <c r="H73" s="249" t="s">
        <v>3154</v>
      </c>
      <c r="I73" s="249" t="s">
        <v>37</v>
      </c>
      <c r="J73" s="248" t="s">
        <v>36</v>
      </c>
      <c r="K73" s="249" t="s">
        <v>3068</v>
      </c>
      <c r="L73" s="249" t="s">
        <v>37</v>
      </c>
      <c r="M73" s="248" t="s">
        <v>37</v>
      </c>
      <c r="N73" s="293"/>
      <c r="O73" s="293" t="str">
        <f>TablaPOA[[#This Row],[Cod_Sub_acción_especifica]]&amp;"_"&amp;TablaPOA[[#This Row],[Tipo de agente]]</f>
        <v>K31.1.5.1_Distribuidores mayoristas, Importadores y Comercializadores</v>
      </c>
      <c r="P73" s="250" t="s">
        <v>2852</v>
      </c>
      <c r="Q73" s="292" t="str">
        <f>TablaPOA[[#This Row],[Cod_Sub_acción_especifica]]&amp;"_"&amp;TablaPOA[[#This Row],[Cod_Tipo_agente]]</f>
        <v>K31.1.5.1_TA4</v>
      </c>
      <c r="R73" s="250" t="s">
        <v>2853</v>
      </c>
      <c r="S73" s="251" t="s">
        <v>2868</v>
      </c>
      <c r="T73" s="269" t="s">
        <v>2869</v>
      </c>
    </row>
    <row r="74" spans="1:20" ht="25.5" x14ac:dyDescent="0.25">
      <c r="A74" s="268" t="s">
        <v>2314</v>
      </c>
      <c r="B74" s="248">
        <v>31</v>
      </c>
      <c r="C74" s="248" t="s">
        <v>2691</v>
      </c>
      <c r="D74" s="248" t="s">
        <v>2988</v>
      </c>
      <c r="E74" s="248" t="s">
        <v>3149</v>
      </c>
      <c r="F74" s="248" t="s">
        <v>2694</v>
      </c>
      <c r="G74" s="248" t="s">
        <v>2483</v>
      </c>
      <c r="H74" s="249" t="s">
        <v>3154</v>
      </c>
      <c r="I74" s="249" t="s">
        <v>37</v>
      </c>
      <c r="J74" s="248" t="s">
        <v>36</v>
      </c>
      <c r="K74" s="249" t="s">
        <v>3068</v>
      </c>
      <c r="L74" s="249" t="s">
        <v>37</v>
      </c>
      <c r="M74" s="248" t="s">
        <v>37</v>
      </c>
      <c r="N74" s="293"/>
      <c r="O74" s="293" t="str">
        <f>TablaPOA[[#This Row],[Cod_Sub_acción_especifica]]&amp;"_"&amp;TablaPOA[[#This Row],[Tipo de agente]]</f>
        <v>K31.1.5.1_Distribuidores mayoristas, Importadores y Comercializadores</v>
      </c>
      <c r="P74" s="250" t="s">
        <v>2852</v>
      </c>
      <c r="Q74" s="292" t="str">
        <f>TablaPOA[[#This Row],[Cod_Sub_acción_especifica]]&amp;"_"&amp;TablaPOA[[#This Row],[Cod_Tipo_agente]]</f>
        <v>K31.1.5.1_TA4</v>
      </c>
      <c r="R74" s="250" t="s">
        <v>2853</v>
      </c>
      <c r="S74" s="251" t="s">
        <v>2870</v>
      </c>
      <c r="T74" s="269" t="s">
        <v>2871</v>
      </c>
    </row>
    <row r="75" spans="1:20" ht="25.5" x14ac:dyDescent="0.25">
      <c r="A75" s="268" t="s">
        <v>2314</v>
      </c>
      <c r="B75" s="248">
        <v>31</v>
      </c>
      <c r="C75" s="248" t="s">
        <v>2691</v>
      </c>
      <c r="D75" s="248" t="s">
        <v>2988</v>
      </c>
      <c r="E75" s="248" t="s">
        <v>3149</v>
      </c>
      <c r="F75" s="248" t="s">
        <v>2694</v>
      </c>
      <c r="G75" s="248" t="s">
        <v>2483</v>
      </c>
      <c r="H75" s="249" t="s">
        <v>3154</v>
      </c>
      <c r="I75" s="249" t="s">
        <v>37</v>
      </c>
      <c r="J75" s="248" t="s">
        <v>36</v>
      </c>
      <c r="K75" s="249" t="s">
        <v>3068</v>
      </c>
      <c r="L75" s="249" t="s">
        <v>37</v>
      </c>
      <c r="M75" s="248" t="s">
        <v>37</v>
      </c>
      <c r="N75" s="293"/>
      <c r="O75" s="293" t="str">
        <f>TablaPOA[[#This Row],[Cod_Sub_acción_especifica]]&amp;"_"&amp;TablaPOA[[#This Row],[Tipo de agente]]</f>
        <v>K31.1.5.1_Distribuidores mayoristas, Importadores y Comercializadores</v>
      </c>
      <c r="P75" s="250" t="s">
        <v>2852</v>
      </c>
      <c r="Q75" s="292" t="str">
        <f>TablaPOA[[#This Row],[Cod_Sub_acción_especifica]]&amp;"_"&amp;TablaPOA[[#This Row],[Cod_Tipo_agente]]</f>
        <v>K31.1.5.1_TA4</v>
      </c>
      <c r="R75" s="250" t="s">
        <v>2853</v>
      </c>
      <c r="S75" s="251" t="s">
        <v>2872</v>
      </c>
      <c r="T75" s="269" t="s">
        <v>2873</v>
      </c>
    </row>
    <row r="76" spans="1:20" ht="25.5" x14ac:dyDescent="0.25">
      <c r="A76" s="268" t="s">
        <v>2314</v>
      </c>
      <c r="B76" s="248">
        <v>31</v>
      </c>
      <c r="C76" s="248" t="s">
        <v>2691</v>
      </c>
      <c r="D76" s="248" t="s">
        <v>2988</v>
      </c>
      <c r="E76" s="248" t="s">
        <v>3149</v>
      </c>
      <c r="F76" s="248" t="s">
        <v>2694</v>
      </c>
      <c r="G76" s="248" t="s">
        <v>2483</v>
      </c>
      <c r="H76" s="249" t="s">
        <v>3154</v>
      </c>
      <c r="I76" s="249" t="s">
        <v>37</v>
      </c>
      <c r="J76" s="248" t="s">
        <v>36</v>
      </c>
      <c r="K76" s="249" t="s">
        <v>3068</v>
      </c>
      <c r="L76" s="249" t="s">
        <v>37</v>
      </c>
      <c r="M76" s="248" t="s">
        <v>37</v>
      </c>
      <c r="N76" s="293"/>
      <c r="O76" s="293" t="str">
        <f>TablaPOA[[#This Row],[Cod_Sub_acción_especifica]]&amp;"_"&amp;TablaPOA[[#This Row],[Tipo de agente]]</f>
        <v>K31.1.5.1_Distribuidores mayoristas, Importadores y Comercializadores</v>
      </c>
      <c r="P76" s="250" t="s">
        <v>2852</v>
      </c>
      <c r="Q76" s="292" t="str">
        <f>TablaPOA[[#This Row],[Cod_Sub_acción_especifica]]&amp;"_"&amp;TablaPOA[[#This Row],[Cod_Tipo_agente]]</f>
        <v>K31.1.5.1_TA4</v>
      </c>
      <c r="R76" s="250" t="s">
        <v>2853</v>
      </c>
      <c r="S76" s="251" t="s">
        <v>2874</v>
      </c>
      <c r="T76" s="269" t="s">
        <v>2875</v>
      </c>
    </row>
    <row r="77" spans="1:20" ht="25.5" x14ac:dyDescent="0.25">
      <c r="A77" s="268" t="s">
        <v>2314</v>
      </c>
      <c r="B77" s="248">
        <v>31</v>
      </c>
      <c r="C77" s="248" t="s">
        <v>2691</v>
      </c>
      <c r="D77" s="248" t="s">
        <v>2988</v>
      </c>
      <c r="E77" s="248" t="s">
        <v>3149</v>
      </c>
      <c r="F77" s="248" t="s">
        <v>2694</v>
      </c>
      <c r="G77" s="248" t="s">
        <v>2483</v>
      </c>
      <c r="H77" s="249" t="s">
        <v>3154</v>
      </c>
      <c r="I77" s="249" t="s">
        <v>37</v>
      </c>
      <c r="J77" s="248" t="s">
        <v>36</v>
      </c>
      <c r="K77" s="249" t="s">
        <v>3068</v>
      </c>
      <c r="L77" s="249" t="s">
        <v>37</v>
      </c>
      <c r="M77" s="248" t="s">
        <v>37</v>
      </c>
      <c r="N77" s="293"/>
      <c r="O77" s="293" t="str">
        <f>TablaPOA[[#This Row],[Cod_Sub_acción_especifica]]&amp;"_"&amp;TablaPOA[[#This Row],[Tipo de agente]]</f>
        <v>K31.1.5.1_Envasadoras de GLP</v>
      </c>
      <c r="P77" s="250" t="s">
        <v>2876</v>
      </c>
      <c r="Q77" s="292" t="str">
        <f>TablaPOA[[#This Row],[Cod_Sub_acción_especifica]]&amp;"_"&amp;TablaPOA[[#This Row],[Cod_Tipo_agente]]</f>
        <v>K31.1.5.1_TA5</v>
      </c>
      <c r="R77" s="250" t="s">
        <v>2877</v>
      </c>
      <c r="S77" s="251" t="s">
        <v>2878</v>
      </c>
      <c r="T77" s="269" t="s">
        <v>2879</v>
      </c>
    </row>
    <row r="78" spans="1:20" ht="25.5" x14ac:dyDescent="0.25">
      <c r="A78" s="268" t="s">
        <v>2314</v>
      </c>
      <c r="B78" s="248">
        <v>31</v>
      </c>
      <c r="C78" s="248" t="s">
        <v>2691</v>
      </c>
      <c r="D78" s="248" t="s">
        <v>2988</v>
      </c>
      <c r="E78" s="248" t="s">
        <v>3149</v>
      </c>
      <c r="F78" s="248" t="s">
        <v>2694</v>
      </c>
      <c r="G78" s="248" t="s">
        <v>2483</v>
      </c>
      <c r="H78" s="249" t="s">
        <v>3154</v>
      </c>
      <c r="I78" s="249" t="s">
        <v>37</v>
      </c>
      <c r="J78" s="248" t="s">
        <v>36</v>
      </c>
      <c r="K78" s="249" t="s">
        <v>3068</v>
      </c>
      <c r="L78" s="249" t="s">
        <v>37</v>
      </c>
      <c r="M78" s="248" t="s">
        <v>37</v>
      </c>
      <c r="N78" s="293"/>
      <c r="O78" s="293" t="str">
        <f>TablaPOA[[#This Row],[Cod_Sub_acción_especifica]]&amp;"_"&amp;TablaPOA[[#This Row],[Tipo de agente]]</f>
        <v>K31.1.5.1_Envasadoras de GLP</v>
      </c>
      <c r="P78" s="250" t="s">
        <v>2876</v>
      </c>
      <c r="Q78" s="292" t="str">
        <f>TablaPOA[[#This Row],[Cod_Sub_acción_especifica]]&amp;"_"&amp;TablaPOA[[#This Row],[Cod_Tipo_agente]]</f>
        <v>K31.1.5.1_TA5</v>
      </c>
      <c r="R78" s="250" t="s">
        <v>2877</v>
      </c>
      <c r="S78" s="251" t="s">
        <v>2880</v>
      </c>
      <c r="T78" s="269" t="s">
        <v>2881</v>
      </c>
    </row>
    <row r="79" spans="1:20" ht="25.5" x14ac:dyDescent="0.25">
      <c r="A79" s="268" t="s">
        <v>2314</v>
      </c>
      <c r="B79" s="248">
        <v>31</v>
      </c>
      <c r="C79" s="248" t="s">
        <v>2691</v>
      </c>
      <c r="D79" s="248" t="s">
        <v>2988</v>
      </c>
      <c r="E79" s="248" t="s">
        <v>3149</v>
      </c>
      <c r="F79" s="248" t="s">
        <v>2694</v>
      </c>
      <c r="G79" s="248" t="s">
        <v>2483</v>
      </c>
      <c r="H79" s="249" t="s">
        <v>3154</v>
      </c>
      <c r="I79" s="249" t="s">
        <v>37</v>
      </c>
      <c r="J79" s="248" t="s">
        <v>36</v>
      </c>
      <c r="K79" s="249" t="s">
        <v>3068</v>
      </c>
      <c r="L79" s="249" t="s">
        <v>37</v>
      </c>
      <c r="M79" s="248" t="s">
        <v>37</v>
      </c>
      <c r="N79" s="293"/>
      <c r="O79" s="293" t="str">
        <f>TablaPOA[[#This Row],[Cod_Sub_acción_especifica]]&amp;"_"&amp;TablaPOA[[#This Row],[Tipo de agente]]</f>
        <v>K31.1.5.1_EVP combustibles de uso automotor</v>
      </c>
      <c r="P79" s="250" t="s">
        <v>2882</v>
      </c>
      <c r="Q79" s="292" t="str">
        <f>TablaPOA[[#This Row],[Cod_Sub_acción_especifica]]&amp;"_"&amp;TablaPOA[[#This Row],[Cod_Tipo_agente]]</f>
        <v>K31.1.5.1_TA6</v>
      </c>
      <c r="R79" s="250" t="s">
        <v>2883</v>
      </c>
      <c r="S79" s="251" t="s">
        <v>2884</v>
      </c>
      <c r="T79" s="269" t="s">
        <v>2885</v>
      </c>
    </row>
    <row r="80" spans="1:20" ht="25.5" x14ac:dyDescent="0.25">
      <c r="A80" s="268" t="s">
        <v>2314</v>
      </c>
      <c r="B80" s="248">
        <v>31</v>
      </c>
      <c r="C80" s="248" t="s">
        <v>2691</v>
      </c>
      <c r="D80" s="248" t="s">
        <v>2988</v>
      </c>
      <c r="E80" s="248" t="s">
        <v>3149</v>
      </c>
      <c r="F80" s="248" t="s">
        <v>2694</v>
      </c>
      <c r="G80" s="248" t="s">
        <v>2483</v>
      </c>
      <c r="H80" s="249" t="s">
        <v>3154</v>
      </c>
      <c r="I80" s="249" t="s">
        <v>37</v>
      </c>
      <c r="J80" s="248" t="s">
        <v>36</v>
      </c>
      <c r="K80" s="249" t="s">
        <v>3068</v>
      </c>
      <c r="L80" s="249" t="s">
        <v>37</v>
      </c>
      <c r="M80" s="248" t="s">
        <v>37</v>
      </c>
      <c r="N80" s="293"/>
      <c r="O80" s="293" t="str">
        <f>TablaPOA[[#This Row],[Cod_Sub_acción_especifica]]&amp;"_"&amp;TablaPOA[[#This Row],[Tipo de agente]]</f>
        <v>K31.1.5.1_EVP combustibles de uso automotor</v>
      </c>
      <c r="P80" s="250" t="s">
        <v>2882</v>
      </c>
      <c r="Q80" s="292" t="str">
        <f>TablaPOA[[#This Row],[Cod_Sub_acción_especifica]]&amp;"_"&amp;TablaPOA[[#This Row],[Cod_Tipo_agente]]</f>
        <v>K31.1.5.1_TA6</v>
      </c>
      <c r="R80" s="250" t="s">
        <v>2883</v>
      </c>
      <c r="S80" s="251" t="s">
        <v>2886</v>
      </c>
      <c r="T80" s="269" t="s">
        <v>2887</v>
      </c>
    </row>
    <row r="81" spans="1:20" ht="25.5" x14ac:dyDescent="0.25">
      <c r="A81" s="268" t="s">
        <v>2314</v>
      </c>
      <c r="B81" s="248">
        <v>31</v>
      </c>
      <c r="C81" s="248" t="s">
        <v>2691</v>
      </c>
      <c r="D81" s="248" t="s">
        <v>2988</v>
      </c>
      <c r="E81" s="248" t="s">
        <v>3149</v>
      </c>
      <c r="F81" s="248" t="s">
        <v>2694</v>
      </c>
      <c r="G81" s="248" t="s">
        <v>2483</v>
      </c>
      <c r="H81" s="249" t="s">
        <v>3154</v>
      </c>
      <c r="I81" s="249" t="s">
        <v>37</v>
      </c>
      <c r="J81" s="248" t="s">
        <v>36</v>
      </c>
      <c r="K81" s="249" t="s">
        <v>3068</v>
      </c>
      <c r="L81" s="249" t="s">
        <v>37</v>
      </c>
      <c r="M81" s="248" t="s">
        <v>37</v>
      </c>
      <c r="N81" s="293"/>
      <c r="O81" s="293" t="str">
        <f>TablaPOA[[#This Row],[Cod_Sub_acción_especifica]]&amp;"_"&amp;TablaPOA[[#This Row],[Tipo de agente]]</f>
        <v>K31.1.5.1_EVP combustibles de uso automotor</v>
      </c>
      <c r="P81" s="250" t="s">
        <v>2882</v>
      </c>
      <c r="Q81" s="292" t="str">
        <f>TablaPOA[[#This Row],[Cod_Sub_acción_especifica]]&amp;"_"&amp;TablaPOA[[#This Row],[Cod_Tipo_agente]]</f>
        <v>K31.1.5.1_TA6</v>
      </c>
      <c r="R81" s="250" t="s">
        <v>2883</v>
      </c>
      <c r="S81" s="251" t="s">
        <v>2888</v>
      </c>
      <c r="T81" s="269" t="s">
        <v>2889</v>
      </c>
    </row>
    <row r="82" spans="1:20" ht="25.5" x14ac:dyDescent="0.25">
      <c r="A82" s="268" t="s">
        <v>2314</v>
      </c>
      <c r="B82" s="248">
        <v>31</v>
      </c>
      <c r="C82" s="248" t="s">
        <v>2691</v>
      </c>
      <c r="D82" s="248" t="s">
        <v>2988</v>
      </c>
      <c r="E82" s="248" t="s">
        <v>3149</v>
      </c>
      <c r="F82" s="248" t="s">
        <v>2694</v>
      </c>
      <c r="G82" s="248" t="s">
        <v>2483</v>
      </c>
      <c r="H82" s="249" t="s">
        <v>3154</v>
      </c>
      <c r="I82" s="249" t="s">
        <v>37</v>
      </c>
      <c r="J82" s="248" t="s">
        <v>36</v>
      </c>
      <c r="K82" s="249" t="s">
        <v>3068</v>
      </c>
      <c r="L82" s="249" t="s">
        <v>37</v>
      </c>
      <c r="M82" s="248" t="s">
        <v>37</v>
      </c>
      <c r="N82" s="293"/>
      <c r="O82" s="293" t="str">
        <f>TablaPOA[[#This Row],[Cod_Sub_acción_especifica]]&amp;"_"&amp;TablaPOA[[#This Row],[Tipo de agente]]</f>
        <v>K31.1.5.1_EVP combustibles de uso automotor</v>
      </c>
      <c r="P82" s="250" t="s">
        <v>2882</v>
      </c>
      <c r="Q82" s="292" t="str">
        <f>TablaPOA[[#This Row],[Cod_Sub_acción_especifica]]&amp;"_"&amp;TablaPOA[[#This Row],[Cod_Tipo_agente]]</f>
        <v>K31.1.5.1_TA6</v>
      </c>
      <c r="R82" s="250" t="s">
        <v>2883</v>
      </c>
      <c r="S82" s="251" t="s">
        <v>2890</v>
      </c>
      <c r="T82" s="269" t="s">
        <v>2891</v>
      </c>
    </row>
    <row r="83" spans="1:20" ht="25.5" x14ac:dyDescent="0.25">
      <c r="A83" s="268" t="s">
        <v>2314</v>
      </c>
      <c r="B83" s="248">
        <v>31</v>
      </c>
      <c r="C83" s="248" t="s">
        <v>2691</v>
      </c>
      <c r="D83" s="248" t="s">
        <v>2988</v>
      </c>
      <c r="E83" s="248" t="s">
        <v>3149</v>
      </c>
      <c r="F83" s="248" t="s">
        <v>2694</v>
      </c>
      <c r="G83" s="248" t="s">
        <v>2483</v>
      </c>
      <c r="H83" s="249" t="s">
        <v>3154</v>
      </c>
      <c r="I83" s="249" t="s">
        <v>37</v>
      </c>
      <c r="J83" s="248" t="s">
        <v>36</v>
      </c>
      <c r="K83" s="249" t="s">
        <v>3068</v>
      </c>
      <c r="L83" s="249" t="s">
        <v>37</v>
      </c>
      <c r="M83" s="248" t="s">
        <v>37</v>
      </c>
      <c r="N83" s="293"/>
      <c r="O83" s="293" t="str">
        <f>TablaPOA[[#This Row],[Cod_Sub_acción_especifica]]&amp;"_"&amp;TablaPOA[[#This Row],[Tipo de agente]]</f>
        <v>K31.1.5.1_EVP combustibles de uso automotor</v>
      </c>
      <c r="P83" s="250" t="s">
        <v>2882</v>
      </c>
      <c r="Q83" s="292" t="str">
        <f>TablaPOA[[#This Row],[Cod_Sub_acción_especifica]]&amp;"_"&amp;TablaPOA[[#This Row],[Cod_Tipo_agente]]</f>
        <v>K31.1.5.1_TA6</v>
      </c>
      <c r="R83" s="250" t="s">
        <v>2883</v>
      </c>
      <c r="S83" s="251" t="s">
        <v>2892</v>
      </c>
      <c r="T83" s="269" t="s">
        <v>2893</v>
      </c>
    </row>
    <row r="84" spans="1:20" ht="25.5" x14ac:dyDescent="0.25">
      <c r="A84" s="268" t="s">
        <v>2314</v>
      </c>
      <c r="B84" s="248">
        <v>31</v>
      </c>
      <c r="C84" s="248" t="s">
        <v>2691</v>
      </c>
      <c r="D84" s="248" t="s">
        <v>2988</v>
      </c>
      <c r="E84" s="248" t="s">
        <v>3149</v>
      </c>
      <c r="F84" s="248" t="s">
        <v>2694</v>
      </c>
      <c r="G84" s="248" t="s">
        <v>2483</v>
      </c>
      <c r="H84" s="249" t="s">
        <v>3154</v>
      </c>
      <c r="I84" s="249" t="s">
        <v>37</v>
      </c>
      <c r="J84" s="248" t="s">
        <v>36</v>
      </c>
      <c r="K84" s="249" t="s">
        <v>3068</v>
      </c>
      <c r="L84" s="249" t="s">
        <v>37</v>
      </c>
      <c r="M84" s="248" t="s">
        <v>37</v>
      </c>
      <c r="N84" s="293"/>
      <c r="O84" s="293" t="str">
        <f>TablaPOA[[#This Row],[Cod_Sub_acción_especifica]]&amp;"_"&amp;TablaPOA[[#This Row],[Tipo de agente]]</f>
        <v>K31.1.5.1_EVP combustibles de uso automotor</v>
      </c>
      <c r="P84" s="250" t="s">
        <v>2882</v>
      </c>
      <c r="Q84" s="292" t="str">
        <f>TablaPOA[[#This Row],[Cod_Sub_acción_especifica]]&amp;"_"&amp;TablaPOA[[#This Row],[Cod_Tipo_agente]]</f>
        <v>K31.1.5.1_TA6</v>
      </c>
      <c r="R84" s="250" t="s">
        <v>2883</v>
      </c>
      <c r="S84" s="251" t="s">
        <v>2894</v>
      </c>
      <c r="T84" s="269" t="s">
        <v>2895</v>
      </c>
    </row>
    <row r="85" spans="1:20" ht="25.5" x14ac:dyDescent="0.25">
      <c r="A85" s="268" t="s">
        <v>2314</v>
      </c>
      <c r="B85" s="248">
        <v>31</v>
      </c>
      <c r="C85" s="248" t="s">
        <v>2691</v>
      </c>
      <c r="D85" s="248" t="s">
        <v>2988</v>
      </c>
      <c r="E85" s="248" t="s">
        <v>3149</v>
      </c>
      <c r="F85" s="248" t="s">
        <v>2694</v>
      </c>
      <c r="G85" s="248" t="s">
        <v>2483</v>
      </c>
      <c r="H85" s="249" t="s">
        <v>3154</v>
      </c>
      <c r="I85" s="249" t="s">
        <v>37</v>
      </c>
      <c r="J85" s="248" t="s">
        <v>36</v>
      </c>
      <c r="K85" s="249" t="s">
        <v>3068</v>
      </c>
      <c r="L85" s="249" t="s">
        <v>37</v>
      </c>
      <c r="M85" s="248" t="s">
        <v>37</v>
      </c>
      <c r="N85" s="293"/>
      <c r="O85" s="293" t="str">
        <f>TablaPOA[[#This Row],[Cod_Sub_acción_especifica]]&amp;"_"&amp;TablaPOA[[#This Row],[Tipo de agente]]</f>
        <v>K31.1.5.1_EVP combustibles de uso automotor</v>
      </c>
      <c r="P85" s="250" t="s">
        <v>2882</v>
      </c>
      <c r="Q85" s="292" t="str">
        <f>TablaPOA[[#This Row],[Cod_Sub_acción_especifica]]&amp;"_"&amp;TablaPOA[[#This Row],[Cod_Tipo_agente]]</f>
        <v>K31.1.5.1_TA6</v>
      </c>
      <c r="R85" s="250" t="s">
        <v>2883</v>
      </c>
      <c r="S85" s="251" t="s">
        <v>2896</v>
      </c>
      <c r="T85" s="269" t="s">
        <v>2897</v>
      </c>
    </row>
    <row r="86" spans="1:20" ht="25.5" x14ac:dyDescent="0.25">
      <c r="A86" s="268" t="s">
        <v>2314</v>
      </c>
      <c r="B86" s="248">
        <v>31</v>
      </c>
      <c r="C86" s="248" t="s">
        <v>2691</v>
      </c>
      <c r="D86" s="248" t="s">
        <v>2988</v>
      </c>
      <c r="E86" s="248" t="s">
        <v>3149</v>
      </c>
      <c r="F86" s="248" t="s">
        <v>2694</v>
      </c>
      <c r="G86" s="248" t="s">
        <v>2483</v>
      </c>
      <c r="H86" s="249" t="s">
        <v>3154</v>
      </c>
      <c r="I86" s="249" t="s">
        <v>37</v>
      </c>
      <c r="J86" s="248" t="s">
        <v>36</v>
      </c>
      <c r="K86" s="249" t="s">
        <v>3068</v>
      </c>
      <c r="L86" s="249" t="s">
        <v>37</v>
      </c>
      <c r="M86" s="248" t="s">
        <v>37</v>
      </c>
      <c r="N86" s="293"/>
      <c r="O86" s="293" t="str">
        <f>TablaPOA[[#This Row],[Cod_Sub_acción_especifica]]&amp;"_"&amp;TablaPOA[[#This Row],[Tipo de agente]]</f>
        <v>K31.1.5.1_EVP combustibles de uso automotor</v>
      </c>
      <c r="P86" s="250" t="s">
        <v>2882</v>
      </c>
      <c r="Q86" s="292" t="str">
        <f>TablaPOA[[#This Row],[Cod_Sub_acción_especifica]]&amp;"_"&amp;TablaPOA[[#This Row],[Cod_Tipo_agente]]</f>
        <v>K31.1.5.1_TA6</v>
      </c>
      <c r="R86" s="250" t="s">
        <v>2883</v>
      </c>
      <c r="S86" s="251" t="s">
        <v>2898</v>
      </c>
      <c r="T86" s="269" t="s">
        <v>2899</v>
      </c>
    </row>
    <row r="87" spans="1:20" ht="25.5" x14ac:dyDescent="0.25">
      <c r="A87" s="268" t="s">
        <v>2314</v>
      </c>
      <c r="B87" s="248">
        <v>31</v>
      </c>
      <c r="C87" s="248" t="s">
        <v>2691</v>
      </c>
      <c r="D87" s="248" t="s">
        <v>2988</v>
      </c>
      <c r="E87" s="248" t="s">
        <v>3149</v>
      </c>
      <c r="F87" s="248" t="s">
        <v>2694</v>
      </c>
      <c r="G87" s="248" t="s">
        <v>2483</v>
      </c>
      <c r="H87" s="249" t="s">
        <v>3154</v>
      </c>
      <c r="I87" s="249" t="s">
        <v>37</v>
      </c>
      <c r="J87" s="248" t="s">
        <v>36</v>
      </c>
      <c r="K87" s="249" t="s">
        <v>3068</v>
      </c>
      <c r="L87" s="249" t="s">
        <v>37</v>
      </c>
      <c r="M87" s="248" t="s">
        <v>37</v>
      </c>
      <c r="N87" s="293"/>
      <c r="O87" s="293" t="str">
        <f>TablaPOA[[#This Row],[Cod_Sub_acción_especifica]]&amp;"_"&amp;TablaPOA[[#This Row],[Tipo de agente]]</f>
        <v>K31.1.5.1_EVP combustibles de uso automotor</v>
      </c>
      <c r="P87" s="250" t="s">
        <v>2882</v>
      </c>
      <c r="Q87" s="292" t="str">
        <f>TablaPOA[[#This Row],[Cod_Sub_acción_especifica]]&amp;"_"&amp;TablaPOA[[#This Row],[Cod_Tipo_agente]]</f>
        <v>K31.1.5.1_TA6</v>
      </c>
      <c r="R87" s="250" t="s">
        <v>2883</v>
      </c>
      <c r="S87" s="251" t="s">
        <v>2900</v>
      </c>
      <c r="T87" s="269" t="s">
        <v>2901</v>
      </c>
    </row>
    <row r="88" spans="1:20" ht="25.5" x14ac:dyDescent="0.25">
      <c r="A88" s="268" t="s">
        <v>2314</v>
      </c>
      <c r="B88" s="248">
        <v>31</v>
      </c>
      <c r="C88" s="248" t="s">
        <v>2691</v>
      </c>
      <c r="D88" s="248" t="s">
        <v>2988</v>
      </c>
      <c r="E88" s="248" t="s">
        <v>3149</v>
      </c>
      <c r="F88" s="248" t="s">
        <v>2694</v>
      </c>
      <c r="G88" s="248" t="s">
        <v>2483</v>
      </c>
      <c r="H88" s="249" t="s">
        <v>3154</v>
      </c>
      <c r="I88" s="249" t="s">
        <v>37</v>
      </c>
      <c r="J88" s="248" t="s">
        <v>36</v>
      </c>
      <c r="K88" s="249" t="s">
        <v>3068</v>
      </c>
      <c r="L88" s="249" t="s">
        <v>37</v>
      </c>
      <c r="M88" s="248" t="s">
        <v>37</v>
      </c>
      <c r="N88" s="293"/>
      <c r="O88" s="293" t="str">
        <f>TablaPOA[[#This Row],[Cod_Sub_acción_especifica]]&amp;"_"&amp;TablaPOA[[#This Row],[Tipo de agente]]</f>
        <v>K31.1.5.1_Locales de venta de GLP</v>
      </c>
      <c r="P88" s="250" t="s">
        <v>2912</v>
      </c>
      <c r="Q88" s="292" t="str">
        <f>TablaPOA[[#This Row],[Cod_Sub_acción_especifica]]&amp;"_"&amp;TablaPOA[[#This Row],[Cod_Tipo_agente]]</f>
        <v>K31.1.5.1_TA8</v>
      </c>
      <c r="R88" s="250" t="s">
        <v>2913</v>
      </c>
      <c r="S88" s="251" t="s">
        <v>2914</v>
      </c>
      <c r="T88" s="269" t="s">
        <v>2915</v>
      </c>
    </row>
    <row r="89" spans="1:20" ht="25.5" x14ac:dyDescent="0.25">
      <c r="A89" s="268" t="s">
        <v>2314</v>
      </c>
      <c r="B89" s="248">
        <v>31</v>
      </c>
      <c r="C89" s="248" t="s">
        <v>2691</v>
      </c>
      <c r="D89" s="248" t="s">
        <v>2988</v>
      </c>
      <c r="E89" s="248" t="s">
        <v>3149</v>
      </c>
      <c r="F89" s="248" t="s">
        <v>2694</v>
      </c>
      <c r="G89" s="248" t="s">
        <v>2483</v>
      </c>
      <c r="H89" s="249" t="s">
        <v>3154</v>
      </c>
      <c r="I89" s="249" t="s">
        <v>37</v>
      </c>
      <c r="J89" s="248" t="s">
        <v>36</v>
      </c>
      <c r="K89" s="249" t="s">
        <v>3068</v>
      </c>
      <c r="L89" s="249" t="s">
        <v>37</v>
      </c>
      <c r="M89" s="248" t="s">
        <v>37</v>
      </c>
      <c r="N89" s="293"/>
      <c r="O89" s="293" t="str">
        <f>TablaPOA[[#This Row],[Cod_Sub_acción_especifica]]&amp;"_"&amp;TablaPOA[[#This Row],[Tipo de agente]]</f>
        <v>K31.1.5.1_Locales de venta de GLP</v>
      </c>
      <c r="P89" s="250" t="s">
        <v>2912</v>
      </c>
      <c r="Q89" s="292" t="str">
        <f>TablaPOA[[#This Row],[Cod_Sub_acción_especifica]]&amp;"_"&amp;TablaPOA[[#This Row],[Cod_Tipo_agente]]</f>
        <v>K31.1.5.1_TA8</v>
      </c>
      <c r="R89" s="250" t="s">
        <v>2913</v>
      </c>
      <c r="S89" s="251" t="s">
        <v>2916</v>
      </c>
      <c r="T89" s="269" t="s">
        <v>2917</v>
      </c>
    </row>
    <row r="90" spans="1:20" ht="25.5" x14ac:dyDescent="0.25">
      <c r="A90" s="268" t="s">
        <v>2314</v>
      </c>
      <c r="B90" s="248">
        <v>31</v>
      </c>
      <c r="C90" s="248" t="s">
        <v>2691</v>
      </c>
      <c r="D90" s="248" t="s">
        <v>2988</v>
      </c>
      <c r="E90" s="248" t="s">
        <v>3149</v>
      </c>
      <c r="F90" s="248" t="s">
        <v>2694</v>
      </c>
      <c r="G90" s="248" t="s">
        <v>2483</v>
      </c>
      <c r="H90" s="249" t="s">
        <v>3154</v>
      </c>
      <c r="I90" s="249" t="s">
        <v>37</v>
      </c>
      <c r="J90" s="248" t="s">
        <v>36</v>
      </c>
      <c r="K90" s="249" t="s">
        <v>3068</v>
      </c>
      <c r="L90" s="249" t="s">
        <v>37</v>
      </c>
      <c r="M90" s="248" t="s">
        <v>37</v>
      </c>
      <c r="N90" s="293"/>
      <c r="O90" s="293" t="str">
        <f>TablaPOA[[#This Row],[Cod_Sub_acción_especifica]]&amp;"_"&amp;TablaPOA[[#This Row],[Tipo de agente]]</f>
        <v>K31.1.5.1_Medios de transporte</v>
      </c>
      <c r="P90" s="250" t="s">
        <v>2918</v>
      </c>
      <c r="Q90" s="292" t="str">
        <f>TablaPOA[[#This Row],[Cod_Sub_acción_especifica]]&amp;"_"&amp;TablaPOA[[#This Row],[Cod_Tipo_agente]]</f>
        <v>K31.1.5.1_TA9</v>
      </c>
      <c r="R90" s="250" t="s">
        <v>2919</v>
      </c>
      <c r="S90" s="251" t="s">
        <v>2920</v>
      </c>
      <c r="T90" s="269" t="s">
        <v>2921</v>
      </c>
    </row>
    <row r="91" spans="1:20" ht="25.5" x14ac:dyDescent="0.25">
      <c r="A91" s="268" t="s">
        <v>2314</v>
      </c>
      <c r="B91" s="248">
        <v>31</v>
      </c>
      <c r="C91" s="248" t="s">
        <v>2691</v>
      </c>
      <c r="D91" s="248" t="s">
        <v>2988</v>
      </c>
      <c r="E91" s="248" t="s">
        <v>3149</v>
      </c>
      <c r="F91" s="248" t="s">
        <v>2694</v>
      </c>
      <c r="G91" s="248" t="s">
        <v>2483</v>
      </c>
      <c r="H91" s="249" t="s">
        <v>3154</v>
      </c>
      <c r="I91" s="249" t="s">
        <v>37</v>
      </c>
      <c r="J91" s="248" t="s">
        <v>36</v>
      </c>
      <c r="K91" s="249" t="s">
        <v>3068</v>
      </c>
      <c r="L91" s="249" t="s">
        <v>37</v>
      </c>
      <c r="M91" s="248" t="s">
        <v>37</v>
      </c>
      <c r="N91" s="293"/>
      <c r="O91" s="293" t="str">
        <f>TablaPOA[[#This Row],[Cod_Sub_acción_especifica]]&amp;"_"&amp;TablaPOA[[#This Row],[Tipo de agente]]</f>
        <v>K31.1.5.1_Medios de transporte</v>
      </c>
      <c r="P91" s="250" t="s">
        <v>2918</v>
      </c>
      <c r="Q91" s="292" t="str">
        <f>TablaPOA[[#This Row],[Cod_Sub_acción_especifica]]&amp;"_"&amp;TablaPOA[[#This Row],[Cod_Tipo_agente]]</f>
        <v>K31.1.5.1_TA9</v>
      </c>
      <c r="R91" s="250" t="s">
        <v>2919</v>
      </c>
      <c r="S91" s="251" t="s">
        <v>2922</v>
      </c>
      <c r="T91" s="269" t="s">
        <v>2923</v>
      </c>
    </row>
    <row r="92" spans="1:20" ht="25.5" x14ac:dyDescent="0.25">
      <c r="A92" s="268" t="s">
        <v>2314</v>
      </c>
      <c r="B92" s="248">
        <v>31</v>
      </c>
      <c r="C92" s="248" t="s">
        <v>2691</v>
      </c>
      <c r="D92" s="248" t="s">
        <v>2988</v>
      </c>
      <c r="E92" s="248" t="s">
        <v>3149</v>
      </c>
      <c r="F92" s="248" t="s">
        <v>2694</v>
      </c>
      <c r="G92" s="248" t="s">
        <v>2483</v>
      </c>
      <c r="H92" s="249" t="s">
        <v>3154</v>
      </c>
      <c r="I92" s="249" t="s">
        <v>37</v>
      </c>
      <c r="J92" s="248" t="s">
        <v>36</v>
      </c>
      <c r="K92" s="249" t="s">
        <v>3068</v>
      </c>
      <c r="L92" s="249" t="s">
        <v>37</v>
      </c>
      <c r="M92" s="248" t="s">
        <v>37</v>
      </c>
      <c r="N92" s="293"/>
      <c r="O92" s="293" t="str">
        <f>TablaPOA[[#This Row],[Cod_Sub_acción_especifica]]&amp;"_"&amp;TablaPOA[[#This Row],[Tipo de agente]]</f>
        <v>K31.1.5.1_Medios de transporte</v>
      </c>
      <c r="P92" s="250" t="s">
        <v>2918</v>
      </c>
      <c r="Q92" s="292" t="str">
        <f>TablaPOA[[#This Row],[Cod_Sub_acción_especifica]]&amp;"_"&amp;TablaPOA[[#This Row],[Cod_Tipo_agente]]</f>
        <v>K31.1.5.1_TA9</v>
      </c>
      <c r="R92" s="250" t="s">
        <v>2919</v>
      </c>
      <c r="S92" s="251" t="s">
        <v>2924</v>
      </c>
      <c r="T92" s="269" t="s">
        <v>2925</v>
      </c>
    </row>
    <row r="93" spans="1:20" ht="25.5" x14ac:dyDescent="0.25">
      <c r="A93" s="268" t="s">
        <v>2314</v>
      </c>
      <c r="B93" s="248">
        <v>31</v>
      </c>
      <c r="C93" s="248" t="s">
        <v>2691</v>
      </c>
      <c r="D93" s="248" t="s">
        <v>2988</v>
      </c>
      <c r="E93" s="248" t="s">
        <v>3149</v>
      </c>
      <c r="F93" s="248" t="s">
        <v>2694</v>
      </c>
      <c r="G93" s="248" t="s">
        <v>2483</v>
      </c>
      <c r="H93" s="249" t="s">
        <v>3154</v>
      </c>
      <c r="I93" s="249" t="s">
        <v>37</v>
      </c>
      <c r="J93" s="248" t="s">
        <v>36</v>
      </c>
      <c r="K93" s="249" t="s">
        <v>3068</v>
      </c>
      <c r="L93" s="249" t="s">
        <v>37</v>
      </c>
      <c r="M93" s="248" t="s">
        <v>37</v>
      </c>
      <c r="N93" s="293"/>
      <c r="O93" s="293" t="str">
        <f>TablaPOA[[#This Row],[Cod_Sub_acción_especifica]]&amp;"_"&amp;TablaPOA[[#This Row],[Tipo de agente]]</f>
        <v>K31.1.5.1_Medios de transporte</v>
      </c>
      <c r="P93" s="250" t="s">
        <v>2918</v>
      </c>
      <c r="Q93" s="292" t="str">
        <f>TablaPOA[[#This Row],[Cod_Sub_acción_especifica]]&amp;"_"&amp;TablaPOA[[#This Row],[Cod_Tipo_agente]]</f>
        <v>K31.1.5.1_TA9</v>
      </c>
      <c r="R93" s="250" t="s">
        <v>2919</v>
      </c>
      <c r="S93" s="251" t="s">
        <v>2926</v>
      </c>
      <c r="T93" s="269" t="s">
        <v>2927</v>
      </c>
    </row>
    <row r="94" spans="1:20" ht="25.5" x14ac:dyDescent="0.25">
      <c r="A94" s="268" t="s">
        <v>2314</v>
      </c>
      <c r="B94" s="248">
        <v>31</v>
      </c>
      <c r="C94" s="248" t="s">
        <v>2691</v>
      </c>
      <c r="D94" s="248" t="s">
        <v>2988</v>
      </c>
      <c r="E94" s="248" t="s">
        <v>3149</v>
      </c>
      <c r="F94" s="248" t="s">
        <v>2694</v>
      </c>
      <c r="G94" s="248" t="s">
        <v>2483</v>
      </c>
      <c r="H94" s="249" t="s">
        <v>3154</v>
      </c>
      <c r="I94" s="249" t="s">
        <v>37</v>
      </c>
      <c r="J94" s="248" t="s">
        <v>36</v>
      </c>
      <c r="K94" s="249" t="s">
        <v>3068</v>
      </c>
      <c r="L94" s="249" t="s">
        <v>37</v>
      </c>
      <c r="M94" s="248" t="s">
        <v>37</v>
      </c>
      <c r="N94" s="293"/>
      <c r="O94" s="293" t="str">
        <f>TablaPOA[[#This Row],[Cod_Sub_acción_especifica]]&amp;"_"&amp;TablaPOA[[#This Row],[Tipo de agente]]</f>
        <v>K31.1.5.1_Medios de transporte</v>
      </c>
      <c r="P94" s="250" t="s">
        <v>2918</v>
      </c>
      <c r="Q94" s="292" t="str">
        <f>TablaPOA[[#This Row],[Cod_Sub_acción_especifica]]&amp;"_"&amp;TablaPOA[[#This Row],[Cod_Tipo_agente]]</f>
        <v>K31.1.5.1_TA9</v>
      </c>
      <c r="R94" s="250" t="s">
        <v>2919</v>
      </c>
      <c r="S94" s="251" t="s">
        <v>2928</v>
      </c>
      <c r="T94" s="269" t="s">
        <v>2929</v>
      </c>
    </row>
    <row r="95" spans="1:20" ht="25.5" x14ac:dyDescent="0.25">
      <c r="A95" s="268" t="s">
        <v>2314</v>
      </c>
      <c r="B95" s="248">
        <v>31</v>
      </c>
      <c r="C95" s="248" t="s">
        <v>2691</v>
      </c>
      <c r="D95" s="248" t="s">
        <v>2988</v>
      </c>
      <c r="E95" s="248" t="s">
        <v>3149</v>
      </c>
      <c r="F95" s="248" t="s">
        <v>2694</v>
      </c>
      <c r="G95" s="248" t="s">
        <v>2483</v>
      </c>
      <c r="H95" s="249" t="s">
        <v>3154</v>
      </c>
      <c r="I95" s="249" t="s">
        <v>37</v>
      </c>
      <c r="J95" s="248" t="s">
        <v>36</v>
      </c>
      <c r="K95" s="249" t="s">
        <v>3068</v>
      </c>
      <c r="L95" s="249" t="s">
        <v>37</v>
      </c>
      <c r="M95" s="248" t="s">
        <v>37</v>
      </c>
      <c r="N95" s="293"/>
      <c r="O95" s="293" t="str">
        <f>TablaPOA[[#This Row],[Cod_Sub_acción_especifica]]&amp;"_"&amp;TablaPOA[[#This Row],[Tipo de agente]]</f>
        <v>K31.1.5.1_Medios de transporte</v>
      </c>
      <c r="P95" s="250" t="s">
        <v>2918</v>
      </c>
      <c r="Q95" s="292" t="str">
        <f>TablaPOA[[#This Row],[Cod_Sub_acción_especifica]]&amp;"_"&amp;TablaPOA[[#This Row],[Cod_Tipo_agente]]</f>
        <v>K31.1.5.1_TA9</v>
      </c>
      <c r="R95" s="250" t="s">
        <v>2919</v>
      </c>
      <c r="S95" s="251" t="s">
        <v>2930</v>
      </c>
      <c r="T95" s="269" t="s">
        <v>2931</v>
      </c>
    </row>
    <row r="96" spans="1:20" ht="25.5" x14ac:dyDescent="0.25">
      <c r="A96" s="268" t="s">
        <v>2314</v>
      </c>
      <c r="B96" s="248">
        <v>31</v>
      </c>
      <c r="C96" s="248" t="s">
        <v>2691</v>
      </c>
      <c r="D96" s="248" t="s">
        <v>2988</v>
      </c>
      <c r="E96" s="248" t="s">
        <v>3149</v>
      </c>
      <c r="F96" s="248" t="s">
        <v>2694</v>
      </c>
      <c r="G96" s="248" t="s">
        <v>2483</v>
      </c>
      <c r="H96" s="249" t="s">
        <v>3154</v>
      </c>
      <c r="I96" s="249" t="s">
        <v>37</v>
      </c>
      <c r="J96" s="248" t="s">
        <v>36</v>
      </c>
      <c r="K96" s="249" t="s">
        <v>3068</v>
      </c>
      <c r="L96" s="249" t="s">
        <v>37</v>
      </c>
      <c r="M96" s="248" t="s">
        <v>37</v>
      </c>
      <c r="N96" s="293"/>
      <c r="O96" s="293" t="str">
        <f>TablaPOA[[#This Row],[Cod_Sub_acción_especifica]]&amp;"_"&amp;TablaPOA[[#This Row],[Tipo de agente]]</f>
        <v>K31.1.5.1_Medios de transporte</v>
      </c>
      <c r="P96" s="250" t="s">
        <v>2918</v>
      </c>
      <c r="Q96" s="292" t="str">
        <f>TablaPOA[[#This Row],[Cod_Sub_acción_especifica]]&amp;"_"&amp;TablaPOA[[#This Row],[Cod_Tipo_agente]]</f>
        <v>K31.1.5.1_TA9</v>
      </c>
      <c r="R96" s="250" t="s">
        <v>2919</v>
      </c>
      <c r="S96" s="251" t="s">
        <v>2932</v>
      </c>
      <c r="T96" s="269" t="s">
        <v>2933</v>
      </c>
    </row>
    <row r="97" spans="1:20" ht="25.5" x14ac:dyDescent="0.25">
      <c r="A97" s="268" t="s">
        <v>2314</v>
      </c>
      <c r="B97" s="248">
        <v>31</v>
      </c>
      <c r="C97" s="248" t="s">
        <v>2691</v>
      </c>
      <c r="D97" s="248" t="s">
        <v>2988</v>
      </c>
      <c r="E97" s="248" t="s">
        <v>3149</v>
      </c>
      <c r="F97" s="248" t="s">
        <v>2694</v>
      </c>
      <c r="G97" s="248" t="s">
        <v>2483</v>
      </c>
      <c r="H97" s="249" t="s">
        <v>3154</v>
      </c>
      <c r="I97" s="249" t="s">
        <v>37</v>
      </c>
      <c r="J97" s="248" t="s">
        <v>36</v>
      </c>
      <c r="K97" s="249" t="s">
        <v>3068</v>
      </c>
      <c r="L97" s="249" t="s">
        <v>37</v>
      </c>
      <c r="M97" s="248" t="s">
        <v>37</v>
      </c>
      <c r="N97" s="293"/>
      <c r="O97" s="293" t="str">
        <f>TablaPOA[[#This Row],[Cod_Sub_acción_especifica]]&amp;"_"&amp;TablaPOA[[#This Row],[Tipo de agente]]</f>
        <v>K31.1.5.1_Medios de transporte</v>
      </c>
      <c r="P97" s="250" t="s">
        <v>2918</v>
      </c>
      <c r="Q97" s="292" t="str">
        <f>TablaPOA[[#This Row],[Cod_Sub_acción_especifica]]&amp;"_"&amp;TablaPOA[[#This Row],[Cod_Tipo_agente]]</f>
        <v>K31.1.5.1_TA9</v>
      </c>
      <c r="R97" s="250" t="s">
        <v>2919</v>
      </c>
      <c r="S97" s="251" t="s">
        <v>2934</v>
      </c>
      <c r="T97" s="269" t="s">
        <v>2935</v>
      </c>
    </row>
    <row r="98" spans="1:20" ht="25.5" x14ac:dyDescent="0.25">
      <c r="A98" s="268" t="s">
        <v>2314</v>
      </c>
      <c r="B98" s="248">
        <v>31</v>
      </c>
      <c r="C98" s="248" t="s">
        <v>2691</v>
      </c>
      <c r="D98" s="248" t="s">
        <v>2988</v>
      </c>
      <c r="E98" s="248" t="s">
        <v>3149</v>
      </c>
      <c r="F98" s="248" t="s">
        <v>2694</v>
      </c>
      <c r="G98" s="248" t="s">
        <v>2483</v>
      </c>
      <c r="H98" s="249" t="s">
        <v>3154</v>
      </c>
      <c r="I98" s="249" t="s">
        <v>37</v>
      </c>
      <c r="J98" s="248" t="s">
        <v>36</v>
      </c>
      <c r="K98" s="249" t="s">
        <v>3068</v>
      </c>
      <c r="L98" s="249" t="s">
        <v>37</v>
      </c>
      <c r="M98" s="248" t="s">
        <v>37</v>
      </c>
      <c r="N98" s="293"/>
      <c r="O98" s="293" t="str">
        <f>TablaPOA[[#This Row],[Cod_Sub_acción_especifica]]&amp;"_"&amp;TablaPOA[[#This Row],[Tipo de agente]]</f>
        <v>K31.1.5.1_Medios de transporte</v>
      </c>
      <c r="P98" s="250" t="s">
        <v>2918</v>
      </c>
      <c r="Q98" s="292" t="str">
        <f>TablaPOA[[#This Row],[Cod_Sub_acción_especifica]]&amp;"_"&amp;TablaPOA[[#This Row],[Cod_Tipo_agente]]</f>
        <v>K31.1.5.1_TA9</v>
      </c>
      <c r="R98" s="250" t="s">
        <v>2919</v>
      </c>
      <c r="S98" s="251" t="s">
        <v>2936</v>
      </c>
      <c r="T98" s="269" t="s">
        <v>2937</v>
      </c>
    </row>
    <row r="99" spans="1:20" ht="25.5" x14ac:dyDescent="0.25">
      <c r="A99" s="268" t="s">
        <v>2314</v>
      </c>
      <c r="B99" s="248">
        <v>31</v>
      </c>
      <c r="C99" s="248" t="s">
        <v>2691</v>
      </c>
      <c r="D99" s="248" t="s">
        <v>2988</v>
      </c>
      <c r="E99" s="248" t="s">
        <v>3149</v>
      </c>
      <c r="F99" s="248" t="s">
        <v>2694</v>
      </c>
      <c r="G99" s="248" t="s">
        <v>2483</v>
      </c>
      <c r="H99" s="249" t="s">
        <v>3154</v>
      </c>
      <c r="I99" s="249" t="s">
        <v>37</v>
      </c>
      <c r="J99" s="248" t="s">
        <v>36</v>
      </c>
      <c r="K99" s="249" t="s">
        <v>3068</v>
      </c>
      <c r="L99" s="249" t="s">
        <v>37</v>
      </c>
      <c r="M99" s="248" t="s">
        <v>37</v>
      </c>
      <c r="N99" s="293"/>
      <c r="O99" s="293" t="str">
        <f>TablaPOA[[#This Row],[Cod_Sub_acción_especifica]]&amp;"_"&amp;TablaPOA[[#This Row],[Tipo de agente]]</f>
        <v>K31.1.5.1_Medios de transporte</v>
      </c>
      <c r="P99" s="250" t="s">
        <v>2918</v>
      </c>
      <c r="Q99" s="292" t="str">
        <f>TablaPOA[[#This Row],[Cod_Sub_acción_especifica]]&amp;"_"&amp;TablaPOA[[#This Row],[Cod_Tipo_agente]]</f>
        <v>K31.1.5.1_TA9</v>
      </c>
      <c r="R99" s="250" t="s">
        <v>2919</v>
      </c>
      <c r="S99" s="251" t="s">
        <v>2938</v>
      </c>
      <c r="T99" s="269" t="s">
        <v>2939</v>
      </c>
    </row>
    <row r="100" spans="1:20" ht="25.5" x14ac:dyDescent="0.25">
      <c r="A100" s="268" t="s">
        <v>2314</v>
      </c>
      <c r="B100" s="248">
        <v>31</v>
      </c>
      <c r="C100" s="248" t="s">
        <v>2691</v>
      </c>
      <c r="D100" s="248" t="s">
        <v>2988</v>
      </c>
      <c r="E100" s="248" t="s">
        <v>3149</v>
      </c>
      <c r="F100" s="248" t="s">
        <v>2694</v>
      </c>
      <c r="G100" s="248" t="s">
        <v>2483</v>
      </c>
      <c r="H100" s="249" t="s">
        <v>3154</v>
      </c>
      <c r="I100" s="249" t="s">
        <v>37</v>
      </c>
      <c r="J100" s="248" t="s">
        <v>36</v>
      </c>
      <c r="K100" s="249" t="s">
        <v>3068</v>
      </c>
      <c r="L100" s="249" t="s">
        <v>37</v>
      </c>
      <c r="M100" s="248" t="s">
        <v>37</v>
      </c>
      <c r="N100" s="293"/>
      <c r="O100" s="293" t="str">
        <f>TablaPOA[[#This Row],[Cod_Sub_acción_especifica]]&amp;"_"&amp;TablaPOA[[#This Row],[Tipo de agente]]</f>
        <v>K31.1.5.1_Medios de transporte</v>
      </c>
      <c r="P100" s="250" t="s">
        <v>2918</v>
      </c>
      <c r="Q100" s="292" t="str">
        <f>TablaPOA[[#This Row],[Cod_Sub_acción_especifica]]&amp;"_"&amp;TablaPOA[[#This Row],[Cod_Tipo_agente]]</f>
        <v>K31.1.5.1_TA9</v>
      </c>
      <c r="R100" s="250" t="s">
        <v>2919</v>
      </c>
      <c r="S100" s="251" t="s">
        <v>2940</v>
      </c>
      <c r="T100" s="269" t="s">
        <v>2941</v>
      </c>
    </row>
    <row r="101" spans="1:20" ht="25.5" x14ac:dyDescent="0.25">
      <c r="A101" s="268" t="s">
        <v>2314</v>
      </c>
      <c r="B101" s="248">
        <v>31</v>
      </c>
      <c r="C101" s="248" t="s">
        <v>2691</v>
      </c>
      <c r="D101" s="248" t="s">
        <v>2988</v>
      </c>
      <c r="E101" s="248" t="s">
        <v>3149</v>
      </c>
      <c r="F101" s="248" t="s">
        <v>2694</v>
      </c>
      <c r="G101" s="248" t="s">
        <v>2483</v>
      </c>
      <c r="H101" s="249" t="s">
        <v>3154</v>
      </c>
      <c r="I101" s="249" t="s">
        <v>37</v>
      </c>
      <c r="J101" s="248" t="s">
        <v>36</v>
      </c>
      <c r="K101" s="249" t="s">
        <v>3068</v>
      </c>
      <c r="L101" s="249" t="s">
        <v>37</v>
      </c>
      <c r="M101" s="248" t="s">
        <v>37</v>
      </c>
      <c r="N101" s="293"/>
      <c r="O101" s="293" t="str">
        <f>TablaPOA[[#This Row],[Cod_Sub_acción_especifica]]&amp;"_"&amp;TablaPOA[[#This Row],[Tipo de agente]]</f>
        <v>K31.1.5.1_Medios de transporte</v>
      </c>
      <c r="P101" s="250" t="s">
        <v>2918</v>
      </c>
      <c r="Q101" s="292" t="str">
        <f>TablaPOA[[#This Row],[Cod_Sub_acción_especifica]]&amp;"_"&amp;TablaPOA[[#This Row],[Cod_Tipo_agente]]</f>
        <v>K31.1.5.1_TA9</v>
      </c>
      <c r="R101" s="250" t="s">
        <v>2919</v>
      </c>
      <c r="S101" s="251" t="s">
        <v>2942</v>
      </c>
      <c r="T101" s="269" t="s">
        <v>2943</v>
      </c>
    </row>
    <row r="102" spans="1:20" ht="25.5" x14ac:dyDescent="0.25">
      <c r="A102" s="268" t="s">
        <v>2314</v>
      </c>
      <c r="B102" s="248">
        <v>31</v>
      </c>
      <c r="C102" s="248" t="s">
        <v>2691</v>
      </c>
      <c r="D102" s="248" t="s">
        <v>2988</v>
      </c>
      <c r="E102" s="248" t="s">
        <v>3149</v>
      </c>
      <c r="F102" s="248" t="s">
        <v>2694</v>
      </c>
      <c r="G102" s="248" t="s">
        <v>2483</v>
      </c>
      <c r="H102" s="249" t="s">
        <v>3154</v>
      </c>
      <c r="I102" s="249" t="s">
        <v>37</v>
      </c>
      <c r="J102" s="248" t="s">
        <v>36</v>
      </c>
      <c r="K102" s="249" t="s">
        <v>3068</v>
      </c>
      <c r="L102" s="249" t="s">
        <v>37</v>
      </c>
      <c r="M102" s="248" t="s">
        <v>37</v>
      </c>
      <c r="N102" s="293"/>
      <c r="O102" s="293" t="str">
        <f>TablaPOA[[#This Row],[Cod_Sub_acción_especifica]]&amp;"_"&amp;TablaPOA[[#This Row],[Tipo de agente]]</f>
        <v>K31.1.5.1_Medios de transporte</v>
      </c>
      <c r="P102" s="250" t="s">
        <v>2918</v>
      </c>
      <c r="Q102" s="292" t="str">
        <f>TablaPOA[[#This Row],[Cod_Sub_acción_especifica]]&amp;"_"&amp;TablaPOA[[#This Row],[Cod_Tipo_agente]]</f>
        <v>K31.1.5.1_TA9</v>
      </c>
      <c r="R102" s="250" t="s">
        <v>2919</v>
      </c>
      <c r="S102" s="251" t="s">
        <v>2944</v>
      </c>
      <c r="T102" s="269" t="s">
        <v>2945</v>
      </c>
    </row>
    <row r="103" spans="1:20" ht="25.5" x14ac:dyDescent="0.25">
      <c r="A103" s="268" t="s">
        <v>2314</v>
      </c>
      <c r="B103" s="248">
        <v>31</v>
      </c>
      <c r="C103" s="248" t="s">
        <v>2691</v>
      </c>
      <c r="D103" s="248" t="s">
        <v>2988</v>
      </c>
      <c r="E103" s="248" t="s">
        <v>3149</v>
      </c>
      <c r="F103" s="248" t="s">
        <v>2694</v>
      </c>
      <c r="G103" s="248" t="s">
        <v>2483</v>
      </c>
      <c r="H103" s="249" t="s">
        <v>3154</v>
      </c>
      <c r="I103" s="249" t="s">
        <v>37</v>
      </c>
      <c r="J103" s="248" t="s">
        <v>36</v>
      </c>
      <c r="K103" s="249" t="s">
        <v>3068</v>
      </c>
      <c r="L103" s="249" t="s">
        <v>37</v>
      </c>
      <c r="M103" s="248" t="s">
        <v>37</v>
      </c>
      <c r="N103" s="293"/>
      <c r="O103" s="293" t="str">
        <f>TablaPOA[[#This Row],[Cod_Sub_acción_especifica]]&amp;"_"&amp;TablaPOA[[#This Row],[Tipo de agente]]</f>
        <v>K31.1.5.1_Medios de transporte</v>
      </c>
      <c r="P103" s="250" t="s">
        <v>2918</v>
      </c>
      <c r="Q103" s="292" t="str">
        <f>TablaPOA[[#This Row],[Cod_Sub_acción_especifica]]&amp;"_"&amp;TablaPOA[[#This Row],[Cod_Tipo_agente]]</f>
        <v>K31.1.5.1_TA9</v>
      </c>
      <c r="R103" s="250" t="s">
        <v>2919</v>
      </c>
      <c r="S103" s="251" t="s">
        <v>2946</v>
      </c>
      <c r="T103" s="269" t="s">
        <v>2947</v>
      </c>
    </row>
    <row r="104" spans="1:20" ht="25.5" x14ac:dyDescent="0.25">
      <c r="A104" s="268" t="s">
        <v>2314</v>
      </c>
      <c r="B104" s="248">
        <v>31</v>
      </c>
      <c r="C104" s="248" t="s">
        <v>2691</v>
      </c>
      <c r="D104" s="248" t="s">
        <v>2988</v>
      </c>
      <c r="E104" s="248" t="s">
        <v>3149</v>
      </c>
      <c r="F104" s="248" t="s">
        <v>2694</v>
      </c>
      <c r="G104" s="248" t="s">
        <v>2483</v>
      </c>
      <c r="H104" s="249" t="s">
        <v>3154</v>
      </c>
      <c r="I104" s="249" t="s">
        <v>37</v>
      </c>
      <c r="J104" s="248" t="s">
        <v>36</v>
      </c>
      <c r="K104" s="249" t="s">
        <v>3068</v>
      </c>
      <c r="L104" s="249" t="s">
        <v>37</v>
      </c>
      <c r="M104" s="248" t="s">
        <v>37</v>
      </c>
      <c r="N104" s="293"/>
      <c r="O104" s="293" t="str">
        <f>TablaPOA[[#This Row],[Cod_Sub_acción_especifica]]&amp;"_"&amp;TablaPOA[[#This Row],[Tipo de agente]]</f>
        <v>K31.1.5.1_Medios de transporte</v>
      </c>
      <c r="P104" s="250" t="s">
        <v>2918</v>
      </c>
      <c r="Q104" s="292" t="str">
        <f>TablaPOA[[#This Row],[Cod_Sub_acción_especifica]]&amp;"_"&amp;TablaPOA[[#This Row],[Cod_Tipo_agente]]</f>
        <v>K31.1.5.1_TA9</v>
      </c>
      <c r="R104" s="250" t="s">
        <v>2919</v>
      </c>
      <c r="S104" s="251" t="s">
        <v>2948</v>
      </c>
      <c r="T104" s="269" t="s">
        <v>2949</v>
      </c>
    </row>
    <row r="105" spans="1:20" ht="25.5" x14ac:dyDescent="0.25">
      <c r="A105" s="268" t="s">
        <v>2314</v>
      </c>
      <c r="B105" s="248">
        <v>31</v>
      </c>
      <c r="C105" s="248" t="s">
        <v>2691</v>
      </c>
      <c r="D105" s="248" t="s">
        <v>2988</v>
      </c>
      <c r="E105" s="248" t="s">
        <v>3149</v>
      </c>
      <c r="F105" s="248" t="s">
        <v>2694</v>
      </c>
      <c r="G105" s="248" t="s">
        <v>2483</v>
      </c>
      <c r="H105" s="249" t="s">
        <v>3154</v>
      </c>
      <c r="I105" s="249" t="s">
        <v>37</v>
      </c>
      <c r="J105" s="248" t="s">
        <v>36</v>
      </c>
      <c r="K105" s="249" t="s">
        <v>3068</v>
      </c>
      <c r="L105" s="249" t="s">
        <v>37</v>
      </c>
      <c r="M105" s="248" t="s">
        <v>37</v>
      </c>
      <c r="N105" s="293"/>
      <c r="O105" s="293" t="str">
        <f>TablaPOA[[#This Row],[Cod_Sub_acción_especifica]]&amp;"_"&amp;TablaPOA[[#This Row],[Tipo de agente]]</f>
        <v>K31.1.5.1_Plantas de abastecimiento y despacho</v>
      </c>
      <c r="P105" s="250" t="s">
        <v>2950</v>
      </c>
      <c r="Q105" s="292" t="str">
        <f>TablaPOA[[#This Row],[Cod_Sub_acción_especifica]]&amp;"_"&amp;TablaPOA[[#This Row],[Cod_Tipo_agente]]</f>
        <v>K31.1.5.1_TA10</v>
      </c>
      <c r="R105" s="250" t="s">
        <v>2951</v>
      </c>
      <c r="S105" s="251" t="s">
        <v>2952</v>
      </c>
      <c r="T105" s="269" t="s">
        <v>2953</v>
      </c>
    </row>
    <row r="106" spans="1:20" ht="25.5" x14ac:dyDescent="0.25">
      <c r="A106" s="268" t="s">
        <v>2314</v>
      </c>
      <c r="B106" s="248">
        <v>31</v>
      </c>
      <c r="C106" s="248" t="s">
        <v>2691</v>
      </c>
      <c r="D106" s="248" t="s">
        <v>2988</v>
      </c>
      <c r="E106" s="248" t="s">
        <v>3149</v>
      </c>
      <c r="F106" s="248" t="s">
        <v>2694</v>
      </c>
      <c r="G106" s="248" t="s">
        <v>2483</v>
      </c>
      <c r="H106" s="249" t="s">
        <v>3154</v>
      </c>
      <c r="I106" s="249" t="s">
        <v>37</v>
      </c>
      <c r="J106" s="248" t="s">
        <v>36</v>
      </c>
      <c r="K106" s="249" t="s">
        <v>3068</v>
      </c>
      <c r="L106" s="249" t="s">
        <v>37</v>
      </c>
      <c r="M106" s="248" t="s">
        <v>37</v>
      </c>
      <c r="N106" s="293"/>
      <c r="O106" s="293" t="str">
        <f>TablaPOA[[#This Row],[Cod_Sub_acción_especifica]]&amp;"_"&amp;TablaPOA[[#This Row],[Tipo de agente]]</f>
        <v>K31.1.5.1_Plantas de abastecimiento y despacho</v>
      </c>
      <c r="P106" s="250" t="s">
        <v>2950</v>
      </c>
      <c r="Q106" s="292" t="str">
        <f>TablaPOA[[#This Row],[Cod_Sub_acción_especifica]]&amp;"_"&amp;TablaPOA[[#This Row],[Cod_Tipo_agente]]</f>
        <v>K31.1.5.1_TA10</v>
      </c>
      <c r="R106" s="250" t="s">
        <v>2951</v>
      </c>
      <c r="S106" s="251" t="s">
        <v>2954</v>
      </c>
      <c r="T106" s="269" t="s">
        <v>2955</v>
      </c>
    </row>
    <row r="107" spans="1:20" ht="25.5" x14ac:dyDescent="0.25">
      <c r="A107" s="268" t="s">
        <v>2314</v>
      </c>
      <c r="B107" s="248">
        <v>31</v>
      </c>
      <c r="C107" s="248" t="s">
        <v>2691</v>
      </c>
      <c r="D107" s="248" t="s">
        <v>2988</v>
      </c>
      <c r="E107" s="248" t="s">
        <v>3149</v>
      </c>
      <c r="F107" s="248" t="s">
        <v>2694</v>
      </c>
      <c r="G107" s="248" t="s">
        <v>2483</v>
      </c>
      <c r="H107" s="249" t="s">
        <v>3154</v>
      </c>
      <c r="I107" s="249" t="s">
        <v>37</v>
      </c>
      <c r="J107" s="248" t="s">
        <v>36</v>
      </c>
      <c r="K107" s="249" t="s">
        <v>3068</v>
      </c>
      <c r="L107" s="249" t="s">
        <v>37</v>
      </c>
      <c r="M107" s="248" t="s">
        <v>37</v>
      </c>
      <c r="N107" s="293"/>
      <c r="O107" s="293" t="str">
        <f>TablaPOA[[#This Row],[Cod_Sub_acción_especifica]]&amp;"_"&amp;TablaPOA[[#This Row],[Tipo de agente]]</f>
        <v>K31.1.5.1_Plantas de abastecimiento y despacho</v>
      </c>
      <c r="P107" s="250" t="s">
        <v>2950</v>
      </c>
      <c r="Q107" s="292" t="str">
        <f>TablaPOA[[#This Row],[Cod_Sub_acción_especifica]]&amp;"_"&amp;TablaPOA[[#This Row],[Cod_Tipo_agente]]</f>
        <v>K31.1.5.1_TA10</v>
      </c>
      <c r="R107" s="250" t="s">
        <v>2951</v>
      </c>
      <c r="S107" s="251" t="s">
        <v>2956</v>
      </c>
      <c r="T107" s="269" t="s">
        <v>2957</v>
      </c>
    </row>
    <row r="108" spans="1:20" ht="25.5" x14ac:dyDescent="0.25">
      <c r="A108" s="268" t="s">
        <v>2314</v>
      </c>
      <c r="B108" s="248">
        <v>31</v>
      </c>
      <c r="C108" s="248" t="s">
        <v>2691</v>
      </c>
      <c r="D108" s="248" t="s">
        <v>2988</v>
      </c>
      <c r="E108" s="248" t="s">
        <v>3149</v>
      </c>
      <c r="F108" s="248" t="s">
        <v>2694</v>
      </c>
      <c r="G108" s="248" t="s">
        <v>2483</v>
      </c>
      <c r="H108" s="249" t="s">
        <v>3154</v>
      </c>
      <c r="I108" s="249" t="s">
        <v>37</v>
      </c>
      <c r="J108" s="248" t="s">
        <v>36</v>
      </c>
      <c r="K108" s="249" t="s">
        <v>3068</v>
      </c>
      <c r="L108" s="249" t="s">
        <v>37</v>
      </c>
      <c r="M108" s="248" t="s">
        <v>37</v>
      </c>
      <c r="N108" s="293"/>
      <c r="O108" s="293" t="str">
        <f>TablaPOA[[#This Row],[Cod_Sub_acción_especifica]]&amp;"_"&amp;TablaPOA[[#This Row],[Tipo de agente]]</f>
        <v>K31.1.5.1_Plantas de abastecimiento y despacho</v>
      </c>
      <c r="P108" s="250" t="s">
        <v>2950</v>
      </c>
      <c r="Q108" s="292" t="str">
        <f>TablaPOA[[#This Row],[Cod_Sub_acción_especifica]]&amp;"_"&amp;TablaPOA[[#This Row],[Cod_Tipo_agente]]</f>
        <v>K31.1.5.1_TA10</v>
      </c>
      <c r="R108" s="250" t="s">
        <v>2951</v>
      </c>
      <c r="S108" s="251" t="s">
        <v>2958</v>
      </c>
      <c r="T108" s="269" t="s">
        <v>2959</v>
      </c>
    </row>
    <row r="109" spans="1:20" ht="25.5" x14ac:dyDescent="0.25">
      <c r="A109" s="268" t="s">
        <v>2314</v>
      </c>
      <c r="B109" s="248">
        <v>31</v>
      </c>
      <c r="C109" s="248" t="s">
        <v>2691</v>
      </c>
      <c r="D109" s="248" t="s">
        <v>2988</v>
      </c>
      <c r="E109" s="248" t="s">
        <v>3149</v>
      </c>
      <c r="F109" s="248" t="s">
        <v>2694</v>
      </c>
      <c r="G109" s="248" t="s">
        <v>2483</v>
      </c>
      <c r="H109" s="249" t="s">
        <v>3154</v>
      </c>
      <c r="I109" s="249" t="s">
        <v>37</v>
      </c>
      <c r="J109" s="248" t="s">
        <v>36</v>
      </c>
      <c r="K109" s="249" t="s">
        <v>3068</v>
      </c>
      <c r="L109" s="249" t="s">
        <v>37</v>
      </c>
      <c r="M109" s="248" t="s">
        <v>37</v>
      </c>
      <c r="N109" s="293"/>
      <c r="O109" s="293" t="str">
        <f>TablaPOA[[#This Row],[Cod_Sub_acción_especifica]]&amp;"_"&amp;TablaPOA[[#This Row],[Tipo de agente]]</f>
        <v>K31.1.5.1_Plantas de abastecimiento y despacho</v>
      </c>
      <c r="P109" s="250" t="s">
        <v>2950</v>
      </c>
      <c r="Q109" s="292" t="str">
        <f>TablaPOA[[#This Row],[Cod_Sub_acción_especifica]]&amp;"_"&amp;TablaPOA[[#This Row],[Cod_Tipo_agente]]</f>
        <v>K31.1.5.1_TA10</v>
      </c>
      <c r="R109" s="250" t="s">
        <v>2951</v>
      </c>
      <c r="S109" s="251" t="s">
        <v>2960</v>
      </c>
      <c r="T109" s="269" t="s">
        <v>2961</v>
      </c>
    </row>
    <row r="110" spans="1:20" ht="25.5" x14ac:dyDescent="0.25">
      <c r="A110" s="219" t="s">
        <v>2314</v>
      </c>
      <c r="B110" s="227">
        <v>31</v>
      </c>
      <c r="C110" s="227" t="s">
        <v>2691</v>
      </c>
      <c r="D110" s="227" t="s">
        <v>2988</v>
      </c>
      <c r="E110" s="227" t="s">
        <v>3149</v>
      </c>
      <c r="F110" s="227" t="s">
        <v>2694</v>
      </c>
      <c r="G110" s="227" t="s">
        <v>2483</v>
      </c>
      <c r="H110" s="253" t="s">
        <v>3155</v>
      </c>
      <c r="I110" s="253" t="s">
        <v>2564</v>
      </c>
      <c r="J110" s="227" t="s">
        <v>2470</v>
      </c>
      <c r="K110" s="253" t="s">
        <v>3069</v>
      </c>
      <c r="L110" s="253" t="s">
        <v>2564</v>
      </c>
      <c r="M110" s="227" t="s">
        <v>2564</v>
      </c>
      <c r="N110" s="299" t="s">
        <v>2853</v>
      </c>
      <c r="O110" s="292" t="str">
        <f>TablaPOA[[#This Row],[Cod_Sub_acción_especifica]]&amp;"_"&amp;TablaPOA[[#This Row],[Tipo de agente]]</f>
        <v>K31.1.6.1_Distribuidores mayoristas, Importadores y Comercializadores</v>
      </c>
      <c r="P110" s="254" t="s">
        <v>2852</v>
      </c>
      <c r="Q110" s="292" t="str">
        <f>TablaPOA[[#This Row],[Cod_Sub_acción_especifica]]&amp;"_"&amp;TablaPOA[[#This Row],[Cod_Tipo_agente]]</f>
        <v>K31.1.6.1_TA4</v>
      </c>
      <c r="R110" s="254" t="s">
        <v>2853</v>
      </c>
      <c r="S110" s="255" t="s">
        <v>2854</v>
      </c>
      <c r="T110" s="271" t="s">
        <v>2855</v>
      </c>
    </row>
    <row r="111" spans="1:20" ht="25.5" x14ac:dyDescent="0.25">
      <c r="A111" s="219" t="s">
        <v>2314</v>
      </c>
      <c r="B111" s="227">
        <v>31</v>
      </c>
      <c r="C111" s="227" t="s">
        <v>2691</v>
      </c>
      <c r="D111" s="227" t="s">
        <v>2988</v>
      </c>
      <c r="E111" s="227" t="s">
        <v>3149</v>
      </c>
      <c r="F111" s="227" t="s">
        <v>2694</v>
      </c>
      <c r="G111" s="227" t="s">
        <v>2483</v>
      </c>
      <c r="H111" s="253" t="s">
        <v>3155</v>
      </c>
      <c r="I111" s="253" t="s">
        <v>2564</v>
      </c>
      <c r="J111" s="227" t="s">
        <v>2470</v>
      </c>
      <c r="K111" s="253" t="s">
        <v>3069</v>
      </c>
      <c r="L111" s="253" t="s">
        <v>2564</v>
      </c>
      <c r="M111" s="227" t="s">
        <v>2564</v>
      </c>
      <c r="N111" s="293"/>
      <c r="O111" s="293" t="str">
        <f>TablaPOA[[#This Row],[Cod_Sub_acción_especifica]]&amp;"_"&amp;TablaPOA[[#This Row],[Tipo de agente]]</f>
        <v>K31.1.6.1_Distribuidores mayoristas, Importadores y Comercializadores</v>
      </c>
      <c r="P111" s="254" t="s">
        <v>2852</v>
      </c>
      <c r="Q111" s="292" t="str">
        <f>TablaPOA[[#This Row],[Cod_Sub_acción_especifica]]&amp;"_"&amp;TablaPOA[[#This Row],[Cod_Tipo_agente]]</f>
        <v>K31.1.6.1_TA4</v>
      </c>
      <c r="R111" s="254" t="s">
        <v>2853</v>
      </c>
      <c r="S111" s="255" t="s">
        <v>2856</v>
      </c>
      <c r="T111" s="271" t="s">
        <v>2857</v>
      </c>
    </row>
    <row r="112" spans="1:20" ht="25.5" x14ac:dyDescent="0.25">
      <c r="A112" s="268" t="s">
        <v>2314</v>
      </c>
      <c r="B112" s="248">
        <v>31</v>
      </c>
      <c r="C112" s="248" t="s">
        <v>2691</v>
      </c>
      <c r="D112" s="248" t="s">
        <v>2988</v>
      </c>
      <c r="E112" s="248" t="s">
        <v>3149</v>
      </c>
      <c r="F112" s="248" t="s">
        <v>2694</v>
      </c>
      <c r="G112" s="248" t="s">
        <v>2483</v>
      </c>
      <c r="H112" s="249" t="s">
        <v>3156</v>
      </c>
      <c r="I112" s="249" t="s">
        <v>2704</v>
      </c>
      <c r="J112" s="248" t="s">
        <v>2538</v>
      </c>
      <c r="K112" s="249" t="s">
        <v>3070</v>
      </c>
      <c r="L112" s="249" t="s">
        <v>2755</v>
      </c>
      <c r="M112" s="248" t="s">
        <v>2755</v>
      </c>
      <c r="N112" s="299" t="s">
        <v>2877</v>
      </c>
      <c r="O112" s="292" t="str">
        <f>TablaPOA[[#This Row],[Cod_Sub_acción_especifica]]&amp;"_"&amp;TablaPOA[[#This Row],[Tipo de agente]]</f>
        <v>K31.1.7.1_Envasadoras de GLP</v>
      </c>
      <c r="P112" s="250" t="s">
        <v>2876</v>
      </c>
      <c r="Q112" s="292" t="str">
        <f>TablaPOA[[#This Row],[Cod_Sub_acción_especifica]]&amp;"_"&amp;TablaPOA[[#This Row],[Cod_Tipo_agente]]</f>
        <v>K31.1.7.1_TA5</v>
      </c>
      <c r="R112" s="250" t="s">
        <v>2877</v>
      </c>
      <c r="S112" s="251" t="s">
        <v>2878</v>
      </c>
      <c r="T112" s="269" t="s">
        <v>2879</v>
      </c>
    </row>
    <row r="113" spans="1:20" ht="25.5" x14ac:dyDescent="0.25">
      <c r="A113" s="268" t="s">
        <v>2314</v>
      </c>
      <c r="B113" s="248">
        <v>31</v>
      </c>
      <c r="C113" s="248" t="s">
        <v>2691</v>
      </c>
      <c r="D113" s="248" t="s">
        <v>2988</v>
      </c>
      <c r="E113" s="248" t="s">
        <v>3149</v>
      </c>
      <c r="F113" s="248" t="s">
        <v>2694</v>
      </c>
      <c r="G113" s="248" t="s">
        <v>2483</v>
      </c>
      <c r="H113" s="249" t="s">
        <v>3156</v>
      </c>
      <c r="I113" s="249" t="s">
        <v>2704</v>
      </c>
      <c r="J113" s="248" t="s">
        <v>2538</v>
      </c>
      <c r="K113" s="249" t="s">
        <v>3070</v>
      </c>
      <c r="L113" s="249" t="s">
        <v>2755</v>
      </c>
      <c r="M113" s="248" t="s">
        <v>2755</v>
      </c>
      <c r="N113" s="293"/>
      <c r="O113" s="293" t="str">
        <f>TablaPOA[[#This Row],[Cod_Sub_acción_especifica]]&amp;"_"&amp;TablaPOA[[#This Row],[Tipo de agente]]</f>
        <v>K31.1.7.1_Envasadoras de GLP</v>
      </c>
      <c r="P113" s="250" t="s">
        <v>2876</v>
      </c>
      <c r="Q113" s="292" t="str">
        <f>TablaPOA[[#This Row],[Cod_Sub_acción_especifica]]&amp;"_"&amp;TablaPOA[[#This Row],[Cod_Tipo_agente]]</f>
        <v>K31.1.7.1_TA5</v>
      </c>
      <c r="R113" s="250" t="s">
        <v>2877</v>
      </c>
      <c r="S113" s="251" t="s">
        <v>2880</v>
      </c>
      <c r="T113" s="269" t="s">
        <v>2881</v>
      </c>
    </row>
    <row r="114" spans="1:20" ht="25.5" x14ac:dyDescent="0.25">
      <c r="A114" s="219" t="s">
        <v>2314</v>
      </c>
      <c r="B114" s="227">
        <v>31</v>
      </c>
      <c r="C114" s="227" t="s">
        <v>2691</v>
      </c>
      <c r="D114" s="227" t="s">
        <v>2988</v>
      </c>
      <c r="E114" s="227" t="s">
        <v>3149</v>
      </c>
      <c r="F114" s="227" t="s">
        <v>2694</v>
      </c>
      <c r="G114" s="227" t="s">
        <v>2483</v>
      </c>
      <c r="H114" s="253" t="s">
        <v>3156</v>
      </c>
      <c r="I114" s="253" t="s">
        <v>2704</v>
      </c>
      <c r="J114" s="227" t="s">
        <v>2538</v>
      </c>
      <c r="K114" s="253" t="s">
        <v>3071</v>
      </c>
      <c r="L114" s="253" t="s">
        <v>2756</v>
      </c>
      <c r="M114" s="227" t="s">
        <v>2756</v>
      </c>
      <c r="N114" s="299" t="s">
        <v>2877</v>
      </c>
      <c r="O114" s="292" t="str">
        <f>TablaPOA[[#This Row],[Cod_Sub_acción_especifica]]&amp;"_"&amp;TablaPOA[[#This Row],[Tipo de agente]]</f>
        <v>K31.1.7.2_Envasadoras de GLP</v>
      </c>
      <c r="P114" s="254" t="s">
        <v>2876</v>
      </c>
      <c r="Q114" s="292" t="str">
        <f>TablaPOA[[#This Row],[Cod_Sub_acción_especifica]]&amp;"_"&amp;TablaPOA[[#This Row],[Cod_Tipo_agente]]</f>
        <v>K31.1.7.2_TA5</v>
      </c>
      <c r="R114" s="254" t="s">
        <v>2877</v>
      </c>
      <c r="S114" s="255" t="s">
        <v>2878</v>
      </c>
      <c r="T114" s="271" t="s">
        <v>2879</v>
      </c>
    </row>
    <row r="115" spans="1:20" ht="25.5" x14ac:dyDescent="0.25">
      <c r="A115" s="219" t="s">
        <v>2314</v>
      </c>
      <c r="B115" s="227">
        <v>31</v>
      </c>
      <c r="C115" s="227" t="s">
        <v>2691</v>
      </c>
      <c r="D115" s="227" t="s">
        <v>2988</v>
      </c>
      <c r="E115" s="227" t="s">
        <v>3149</v>
      </c>
      <c r="F115" s="227" t="s">
        <v>2694</v>
      </c>
      <c r="G115" s="227" t="s">
        <v>2483</v>
      </c>
      <c r="H115" s="253" t="s">
        <v>3156</v>
      </c>
      <c r="I115" s="253" t="s">
        <v>2704</v>
      </c>
      <c r="J115" s="227" t="s">
        <v>2538</v>
      </c>
      <c r="K115" s="253" t="s">
        <v>3071</v>
      </c>
      <c r="L115" s="253" t="s">
        <v>2756</v>
      </c>
      <c r="M115" s="227" t="s">
        <v>2756</v>
      </c>
      <c r="N115" s="293"/>
      <c r="O115" s="293" t="str">
        <f>TablaPOA[[#This Row],[Cod_Sub_acción_especifica]]&amp;"_"&amp;TablaPOA[[#This Row],[Tipo de agente]]</f>
        <v>K31.1.7.2_Envasadoras de GLP</v>
      </c>
      <c r="P115" s="254" t="s">
        <v>2876</v>
      </c>
      <c r="Q115" s="292" t="str">
        <f>TablaPOA[[#This Row],[Cod_Sub_acción_especifica]]&amp;"_"&amp;TablaPOA[[#This Row],[Cod_Tipo_agente]]</f>
        <v>K31.1.7.2_TA5</v>
      </c>
      <c r="R115" s="254" t="s">
        <v>2877</v>
      </c>
      <c r="S115" s="255" t="s">
        <v>2880</v>
      </c>
      <c r="T115" s="271" t="s">
        <v>2881</v>
      </c>
    </row>
    <row r="116" spans="1:20" ht="25.5" x14ac:dyDescent="0.25">
      <c r="A116" s="268" t="s">
        <v>2314</v>
      </c>
      <c r="B116" s="248">
        <v>31</v>
      </c>
      <c r="C116" s="248" t="s">
        <v>2691</v>
      </c>
      <c r="D116" s="248" t="s">
        <v>2988</v>
      </c>
      <c r="E116" s="248" t="s">
        <v>3149</v>
      </c>
      <c r="F116" s="248" t="s">
        <v>2694</v>
      </c>
      <c r="G116" s="248" t="s">
        <v>2483</v>
      </c>
      <c r="H116" s="249" t="s">
        <v>3156</v>
      </c>
      <c r="I116" s="249" t="s">
        <v>2704</v>
      </c>
      <c r="J116" s="248" t="s">
        <v>2538</v>
      </c>
      <c r="K116" s="249" t="s">
        <v>3072</v>
      </c>
      <c r="L116" s="249" t="s">
        <v>2757</v>
      </c>
      <c r="M116" s="248" t="s">
        <v>2757</v>
      </c>
      <c r="N116" s="299" t="s">
        <v>2877</v>
      </c>
      <c r="O116" s="292" t="str">
        <f>TablaPOA[[#This Row],[Cod_Sub_acción_especifica]]&amp;"_"&amp;TablaPOA[[#This Row],[Tipo de agente]]</f>
        <v>K31.1.7.3_Envasadoras de GLP</v>
      </c>
      <c r="P116" s="250" t="s">
        <v>2876</v>
      </c>
      <c r="Q116" s="292" t="str">
        <f>TablaPOA[[#This Row],[Cod_Sub_acción_especifica]]&amp;"_"&amp;TablaPOA[[#This Row],[Cod_Tipo_agente]]</f>
        <v>K31.1.7.3_TA5</v>
      </c>
      <c r="R116" s="250" t="s">
        <v>2877</v>
      </c>
      <c r="S116" s="251" t="s">
        <v>2878</v>
      </c>
      <c r="T116" s="269" t="s">
        <v>2879</v>
      </c>
    </row>
    <row r="117" spans="1:20" ht="25.5" x14ac:dyDescent="0.25">
      <c r="A117" s="268" t="s">
        <v>2314</v>
      </c>
      <c r="B117" s="248">
        <v>31</v>
      </c>
      <c r="C117" s="248" t="s">
        <v>2691</v>
      </c>
      <c r="D117" s="248" t="s">
        <v>2988</v>
      </c>
      <c r="E117" s="248" t="s">
        <v>3149</v>
      </c>
      <c r="F117" s="248" t="s">
        <v>2694</v>
      </c>
      <c r="G117" s="248" t="s">
        <v>2483</v>
      </c>
      <c r="H117" s="249" t="s">
        <v>3156</v>
      </c>
      <c r="I117" s="249" t="s">
        <v>2704</v>
      </c>
      <c r="J117" s="248" t="s">
        <v>2538</v>
      </c>
      <c r="K117" s="249" t="s">
        <v>3072</v>
      </c>
      <c r="L117" s="249" t="s">
        <v>2757</v>
      </c>
      <c r="M117" s="248" t="s">
        <v>2757</v>
      </c>
      <c r="N117" s="299"/>
      <c r="O117" s="292" t="str">
        <f>TablaPOA[[#This Row],[Cod_Sub_acción_especifica]]&amp;"_"&amp;TablaPOA[[#This Row],[Tipo de agente]]</f>
        <v>K31.1.7.3_Envasadoras de GLP</v>
      </c>
      <c r="P117" s="250" t="s">
        <v>2876</v>
      </c>
      <c r="Q117" s="292" t="str">
        <f>TablaPOA[[#This Row],[Cod_Sub_acción_especifica]]&amp;"_"&amp;TablaPOA[[#This Row],[Cod_Tipo_agente]]</f>
        <v>K31.1.7.3_TA5</v>
      </c>
      <c r="R117" s="250" t="s">
        <v>2877</v>
      </c>
      <c r="S117" s="251" t="s">
        <v>2880</v>
      </c>
      <c r="T117" s="269" t="s">
        <v>2881</v>
      </c>
    </row>
    <row r="118" spans="1:20" ht="25.5" x14ac:dyDescent="0.25">
      <c r="A118" s="219" t="s">
        <v>2314</v>
      </c>
      <c r="B118" s="227">
        <v>31</v>
      </c>
      <c r="C118" s="227" t="s">
        <v>2691</v>
      </c>
      <c r="D118" s="227" t="s">
        <v>2988</v>
      </c>
      <c r="E118" s="227" t="s">
        <v>3149</v>
      </c>
      <c r="F118" s="227" t="s">
        <v>2694</v>
      </c>
      <c r="G118" s="227" t="s">
        <v>2483</v>
      </c>
      <c r="H118" s="253" t="s">
        <v>3156</v>
      </c>
      <c r="I118" s="253" t="s">
        <v>2704</v>
      </c>
      <c r="J118" s="227" t="s">
        <v>2538</v>
      </c>
      <c r="K118" s="253" t="s">
        <v>3073</v>
      </c>
      <c r="L118" s="253" t="s">
        <v>2758</v>
      </c>
      <c r="M118" s="227" t="s">
        <v>2758</v>
      </c>
      <c r="N118" s="299" t="s">
        <v>2877</v>
      </c>
      <c r="O118" s="292" t="str">
        <f>TablaPOA[[#This Row],[Cod_Sub_acción_especifica]]&amp;"_"&amp;TablaPOA[[#This Row],[Tipo de agente]]</f>
        <v>K31.1.7.4_Envasadoras de GLP</v>
      </c>
      <c r="P118" s="254" t="s">
        <v>2876</v>
      </c>
      <c r="Q118" s="292" t="str">
        <f>TablaPOA[[#This Row],[Cod_Sub_acción_especifica]]&amp;"_"&amp;TablaPOA[[#This Row],[Cod_Tipo_agente]]</f>
        <v>K31.1.7.4_TA5</v>
      </c>
      <c r="R118" s="254" t="s">
        <v>2877</v>
      </c>
      <c r="S118" s="255" t="s">
        <v>2878</v>
      </c>
      <c r="T118" s="271" t="s">
        <v>2879</v>
      </c>
    </row>
    <row r="119" spans="1:20" ht="25.5" x14ac:dyDescent="0.25">
      <c r="A119" s="219" t="s">
        <v>2314</v>
      </c>
      <c r="B119" s="227">
        <v>31</v>
      </c>
      <c r="C119" s="227" t="s">
        <v>2691</v>
      </c>
      <c r="D119" s="227" t="s">
        <v>2988</v>
      </c>
      <c r="E119" s="227" t="s">
        <v>3149</v>
      </c>
      <c r="F119" s="227" t="s">
        <v>2694</v>
      </c>
      <c r="G119" s="227" t="s">
        <v>2483</v>
      </c>
      <c r="H119" s="253" t="s">
        <v>3156</v>
      </c>
      <c r="I119" s="253" t="s">
        <v>2704</v>
      </c>
      <c r="J119" s="227" t="s">
        <v>2538</v>
      </c>
      <c r="K119" s="253" t="s">
        <v>3073</v>
      </c>
      <c r="L119" s="253" t="s">
        <v>2758</v>
      </c>
      <c r="M119" s="227" t="s">
        <v>2758</v>
      </c>
      <c r="N119" s="293"/>
      <c r="O119" s="293" t="str">
        <f>TablaPOA[[#This Row],[Cod_Sub_acción_especifica]]&amp;"_"&amp;TablaPOA[[#This Row],[Tipo de agente]]</f>
        <v>K31.1.7.4_Envasadoras de GLP</v>
      </c>
      <c r="P119" s="254" t="s">
        <v>2876</v>
      </c>
      <c r="Q119" s="292" t="str">
        <f>TablaPOA[[#This Row],[Cod_Sub_acción_especifica]]&amp;"_"&amp;TablaPOA[[#This Row],[Cod_Tipo_agente]]</f>
        <v>K31.1.7.4_TA5</v>
      </c>
      <c r="R119" s="254" t="s">
        <v>2877</v>
      </c>
      <c r="S119" s="255" t="s">
        <v>2880</v>
      </c>
      <c r="T119" s="271" t="s">
        <v>2881</v>
      </c>
    </row>
    <row r="120" spans="1:20" ht="25.5" x14ac:dyDescent="0.25">
      <c r="A120" s="219" t="s">
        <v>2314</v>
      </c>
      <c r="B120" s="227">
        <v>31</v>
      </c>
      <c r="C120" s="227" t="s">
        <v>2691</v>
      </c>
      <c r="D120" s="227" t="s">
        <v>2988</v>
      </c>
      <c r="E120" s="227" t="s">
        <v>3149</v>
      </c>
      <c r="F120" s="227" t="s">
        <v>2694</v>
      </c>
      <c r="G120" s="227" t="s">
        <v>2483</v>
      </c>
      <c r="H120" s="253" t="s">
        <v>3157</v>
      </c>
      <c r="I120" s="253" t="s">
        <v>2705</v>
      </c>
      <c r="J120" s="227" t="s">
        <v>2534</v>
      </c>
      <c r="K120" s="253" t="s">
        <v>3074</v>
      </c>
      <c r="L120" s="253" t="s">
        <v>2705</v>
      </c>
      <c r="M120" s="227" t="s">
        <v>2787</v>
      </c>
      <c r="N120" s="300" t="s">
        <v>2979</v>
      </c>
      <c r="O120" s="152" t="str">
        <f>TablaPOA[[#This Row],[Cod_Sub_acción_especifica]]&amp;"_"&amp;TablaPOA[[#This Row],[Tipo de agente]]</f>
        <v>K31.1.8.1_Informal</v>
      </c>
      <c r="P120" s="256" t="s">
        <v>2978</v>
      </c>
      <c r="Q120" s="152" t="str">
        <f>TablaPOA[[#This Row],[Cod_Sub_acción_especifica]]&amp;"_"&amp;TablaPOA[[#This Row],[Cod_Tipo_agente]]</f>
        <v>K31.1.8.1_TA12</v>
      </c>
      <c r="R120" s="256" t="s">
        <v>2979</v>
      </c>
      <c r="S120" s="256">
        <v>1001</v>
      </c>
      <c r="T120" s="272" t="s">
        <v>2980</v>
      </c>
    </row>
    <row r="121" spans="1:20" ht="25.5" x14ac:dyDescent="0.25">
      <c r="A121" s="219" t="s">
        <v>2314</v>
      </c>
      <c r="B121" s="227">
        <v>31</v>
      </c>
      <c r="C121" s="227" t="s">
        <v>2691</v>
      </c>
      <c r="D121" s="227" t="s">
        <v>2988</v>
      </c>
      <c r="E121" s="227" t="s">
        <v>3149</v>
      </c>
      <c r="F121" s="227" t="s">
        <v>2694</v>
      </c>
      <c r="G121" s="227" t="s">
        <v>2483</v>
      </c>
      <c r="H121" s="253" t="s">
        <v>3157</v>
      </c>
      <c r="I121" s="253" t="s">
        <v>2705</v>
      </c>
      <c r="J121" s="227" t="s">
        <v>2534</v>
      </c>
      <c r="K121" s="253" t="s">
        <v>3074</v>
      </c>
      <c r="L121" s="253" t="s">
        <v>2705</v>
      </c>
      <c r="M121" s="227" t="s">
        <v>2787</v>
      </c>
      <c r="N121" s="294"/>
      <c r="O121" s="294" t="str">
        <f>TablaPOA[[#This Row],[Cod_Sub_acción_especifica]]&amp;"_"&amp;TablaPOA[[#This Row],[Tipo de agente]]</f>
        <v>K31.1.8.1_Informal</v>
      </c>
      <c r="P121" s="256" t="s">
        <v>2978</v>
      </c>
      <c r="Q121" s="152" t="str">
        <f>TablaPOA[[#This Row],[Cod_Sub_acción_especifica]]&amp;"_"&amp;TablaPOA[[#This Row],[Cod_Tipo_agente]]</f>
        <v>K31.1.8.1_TA12</v>
      </c>
      <c r="R121" s="256" t="s">
        <v>2979</v>
      </c>
      <c r="S121" s="256">
        <v>1002</v>
      </c>
      <c r="T121" s="272" t="s">
        <v>2982</v>
      </c>
    </row>
    <row r="122" spans="1:20" ht="25.5" x14ac:dyDescent="0.25">
      <c r="A122" s="268" t="s">
        <v>2314</v>
      </c>
      <c r="B122" s="248">
        <v>31</v>
      </c>
      <c r="C122" s="248" t="s">
        <v>2691</v>
      </c>
      <c r="D122" s="248" t="s">
        <v>2988</v>
      </c>
      <c r="E122" s="248" t="s">
        <v>3149</v>
      </c>
      <c r="F122" s="248" t="s">
        <v>2694</v>
      </c>
      <c r="G122" s="248" t="s">
        <v>2483</v>
      </c>
      <c r="H122" s="249" t="s">
        <v>3158</v>
      </c>
      <c r="I122" s="249" t="s">
        <v>2706</v>
      </c>
      <c r="J122" s="248" t="s">
        <v>2533</v>
      </c>
      <c r="K122" s="249" t="s">
        <v>3075</v>
      </c>
      <c r="L122" s="249" t="s">
        <v>2759</v>
      </c>
      <c r="M122" s="248" t="s">
        <v>2994</v>
      </c>
      <c r="N122" s="300" t="s">
        <v>2979</v>
      </c>
      <c r="O122" s="152" t="str">
        <f>TablaPOA[[#This Row],[Cod_Sub_acción_especifica]]&amp;"_"&amp;TablaPOA[[#This Row],[Tipo de agente]]</f>
        <v>K31.1.9.1_Informal</v>
      </c>
      <c r="P122" s="257" t="s">
        <v>2978</v>
      </c>
      <c r="Q122" s="152" t="str">
        <f>TablaPOA[[#This Row],[Cod_Sub_acción_especifica]]&amp;"_"&amp;TablaPOA[[#This Row],[Cod_Tipo_agente]]</f>
        <v>K31.1.9.1_TA12</v>
      </c>
      <c r="R122" s="257" t="s">
        <v>2979</v>
      </c>
      <c r="S122" s="257">
        <v>1003</v>
      </c>
      <c r="T122" s="273" t="s">
        <v>2983</v>
      </c>
    </row>
    <row r="123" spans="1:20" ht="25.5" x14ac:dyDescent="0.25">
      <c r="A123" s="268" t="s">
        <v>2314</v>
      </c>
      <c r="B123" s="248">
        <v>31</v>
      </c>
      <c r="C123" s="248" t="s">
        <v>2691</v>
      </c>
      <c r="D123" s="248" t="s">
        <v>2988</v>
      </c>
      <c r="E123" s="248" t="s">
        <v>3149</v>
      </c>
      <c r="F123" s="248" t="s">
        <v>2694</v>
      </c>
      <c r="G123" s="248" t="s">
        <v>2483</v>
      </c>
      <c r="H123" s="249" t="s">
        <v>3158</v>
      </c>
      <c r="I123" s="249" t="s">
        <v>2706</v>
      </c>
      <c r="J123" s="248" t="s">
        <v>2533</v>
      </c>
      <c r="K123" s="249" t="s">
        <v>3075</v>
      </c>
      <c r="L123" s="249" t="s">
        <v>2759</v>
      </c>
      <c r="M123" s="248" t="s">
        <v>2994</v>
      </c>
      <c r="N123" s="294"/>
      <c r="O123" s="294" t="str">
        <f>TablaPOA[[#This Row],[Cod_Sub_acción_especifica]]&amp;"_"&amp;TablaPOA[[#This Row],[Tipo de agente]]</f>
        <v>K31.1.9.1_Informal</v>
      </c>
      <c r="P123" s="257" t="s">
        <v>2978</v>
      </c>
      <c r="Q123" s="152" t="str">
        <f>TablaPOA[[#This Row],[Cod_Sub_acción_especifica]]&amp;"_"&amp;TablaPOA[[#This Row],[Cod_Tipo_agente]]</f>
        <v>K31.1.9.1_TA12</v>
      </c>
      <c r="R123" s="257" t="s">
        <v>2979</v>
      </c>
      <c r="S123" s="257">
        <v>1004</v>
      </c>
      <c r="T123" s="273" t="s">
        <v>2984</v>
      </c>
    </row>
    <row r="124" spans="1:20" ht="25.5" x14ac:dyDescent="0.25">
      <c r="A124" s="219" t="s">
        <v>2314</v>
      </c>
      <c r="B124" s="227">
        <v>31</v>
      </c>
      <c r="C124" s="227" t="s">
        <v>2691</v>
      </c>
      <c r="D124" s="227" t="s">
        <v>2988</v>
      </c>
      <c r="E124" s="227" t="s">
        <v>3149</v>
      </c>
      <c r="F124" s="227" t="s">
        <v>2694</v>
      </c>
      <c r="G124" s="227" t="s">
        <v>2483</v>
      </c>
      <c r="H124" s="253" t="s">
        <v>3159</v>
      </c>
      <c r="I124" s="253" t="s">
        <v>2502</v>
      </c>
      <c r="J124" s="227" t="s">
        <v>2707</v>
      </c>
      <c r="K124" s="253" t="s">
        <v>3076</v>
      </c>
      <c r="L124" s="253" t="s">
        <v>2502</v>
      </c>
      <c r="M124" s="227" t="s">
        <v>2502</v>
      </c>
      <c r="N124" s="299" t="s">
        <v>2840</v>
      </c>
      <c r="O124" s="292" t="str">
        <f>TablaPOA[[#This Row],[Cod_Sub_acción_especifica]]&amp;"_"&amp;TablaPOA[[#This Row],[Tipo de agente]]</f>
        <v>K31.1.10.1_Consumidores directos de GLP y redes de distribución</v>
      </c>
      <c r="P124" s="254" t="s">
        <v>2839</v>
      </c>
      <c r="Q124" s="292" t="str">
        <f>TablaPOA[[#This Row],[Cod_Sub_acción_especifica]]&amp;"_"&amp;TablaPOA[[#This Row],[Cod_Tipo_agente]]</f>
        <v>K31.1.10.1_TA3</v>
      </c>
      <c r="R124" s="254" t="s">
        <v>2840</v>
      </c>
      <c r="S124" s="254">
        <v>400</v>
      </c>
      <c r="T124" s="271" t="s">
        <v>2841</v>
      </c>
    </row>
    <row r="125" spans="1:20" ht="25.5" x14ac:dyDescent="0.25">
      <c r="A125" s="219" t="s">
        <v>2314</v>
      </c>
      <c r="B125" s="227">
        <v>31</v>
      </c>
      <c r="C125" s="227" t="s">
        <v>2691</v>
      </c>
      <c r="D125" s="227" t="s">
        <v>2988</v>
      </c>
      <c r="E125" s="227" t="s">
        <v>3149</v>
      </c>
      <c r="F125" s="227" t="s">
        <v>2694</v>
      </c>
      <c r="G125" s="227" t="s">
        <v>2483</v>
      </c>
      <c r="H125" s="253" t="s">
        <v>3159</v>
      </c>
      <c r="I125" s="253" t="s">
        <v>2502</v>
      </c>
      <c r="J125" s="227" t="s">
        <v>2707</v>
      </c>
      <c r="K125" s="253" t="s">
        <v>3076</v>
      </c>
      <c r="L125" s="253" t="s">
        <v>2502</v>
      </c>
      <c r="M125" s="227" t="s">
        <v>2502</v>
      </c>
      <c r="N125" s="299" t="s">
        <v>2913</v>
      </c>
      <c r="O125" s="292" t="str">
        <f>TablaPOA[[#This Row],[Cod_Sub_acción_especifica]]&amp;"_"&amp;TablaPOA[[#This Row],[Tipo de agente]]</f>
        <v>K31.1.10.1_Consumidores directos de GLP y redes de distribución</v>
      </c>
      <c r="P125" s="254" t="s">
        <v>2839</v>
      </c>
      <c r="Q125" s="292" t="str">
        <f>TablaPOA[[#This Row],[Cod_Sub_acción_especifica]]&amp;"_"&amp;TablaPOA[[#This Row],[Cod_Tipo_agente]]</f>
        <v>K31.1.10.1_TA3</v>
      </c>
      <c r="R125" s="254" t="s">
        <v>2840</v>
      </c>
      <c r="S125" s="254" t="s">
        <v>2842</v>
      </c>
      <c r="T125" s="271" t="s">
        <v>2843</v>
      </c>
    </row>
    <row r="126" spans="1:20" ht="25.5" x14ac:dyDescent="0.25">
      <c r="A126" s="219" t="s">
        <v>2314</v>
      </c>
      <c r="B126" s="227">
        <v>31</v>
      </c>
      <c r="C126" s="227" t="s">
        <v>2691</v>
      </c>
      <c r="D126" s="227" t="s">
        <v>2988</v>
      </c>
      <c r="E126" s="227" t="s">
        <v>3149</v>
      </c>
      <c r="F126" s="227" t="s">
        <v>2694</v>
      </c>
      <c r="G126" s="227" t="s">
        <v>2483</v>
      </c>
      <c r="H126" s="253" t="s">
        <v>3159</v>
      </c>
      <c r="I126" s="253" t="s">
        <v>2502</v>
      </c>
      <c r="J126" s="227" t="s">
        <v>2707</v>
      </c>
      <c r="K126" s="253" t="s">
        <v>3076</v>
      </c>
      <c r="L126" s="253" t="s">
        <v>2502</v>
      </c>
      <c r="M126" s="227" t="s">
        <v>2502</v>
      </c>
      <c r="N126" s="299" t="s">
        <v>2919</v>
      </c>
      <c r="O126" s="292" t="str">
        <f>TablaPOA[[#This Row],[Cod_Sub_acción_especifica]]&amp;"_"&amp;TablaPOA[[#This Row],[Tipo de agente]]</f>
        <v>K31.1.10.1_Consumidores directos de GLP y redes de distribución</v>
      </c>
      <c r="P126" s="254" t="s">
        <v>2839</v>
      </c>
      <c r="Q126" s="292" t="str">
        <f>TablaPOA[[#This Row],[Cod_Sub_acción_especifica]]&amp;"_"&amp;TablaPOA[[#This Row],[Cod_Tipo_agente]]</f>
        <v>K31.1.10.1_TA3</v>
      </c>
      <c r="R126" s="254" t="s">
        <v>2840</v>
      </c>
      <c r="S126" s="254" t="s">
        <v>2844</v>
      </c>
      <c r="T126" s="271" t="s">
        <v>2845</v>
      </c>
    </row>
    <row r="127" spans="1:20" ht="25.5" x14ac:dyDescent="0.25">
      <c r="A127" s="219" t="s">
        <v>2314</v>
      </c>
      <c r="B127" s="227">
        <v>31</v>
      </c>
      <c r="C127" s="227" t="s">
        <v>2691</v>
      </c>
      <c r="D127" s="227" t="s">
        <v>2988</v>
      </c>
      <c r="E127" s="227" t="s">
        <v>3149</v>
      </c>
      <c r="F127" s="227" t="s">
        <v>2694</v>
      </c>
      <c r="G127" s="227" t="s">
        <v>2483</v>
      </c>
      <c r="H127" s="253" t="s">
        <v>3159</v>
      </c>
      <c r="I127" s="253" t="s">
        <v>2502</v>
      </c>
      <c r="J127" s="227" t="s">
        <v>2707</v>
      </c>
      <c r="K127" s="253" t="s">
        <v>3076</v>
      </c>
      <c r="L127" s="253" t="s">
        <v>2502</v>
      </c>
      <c r="M127" s="227" t="s">
        <v>2502</v>
      </c>
      <c r="N127" s="293"/>
      <c r="O127" s="293" t="str">
        <f>TablaPOA[[#This Row],[Cod_Sub_acción_especifica]]&amp;"_"&amp;TablaPOA[[#This Row],[Tipo de agente]]</f>
        <v>K31.1.10.1_Consumidores directos de GLP y redes de distribución</v>
      </c>
      <c r="P127" s="254" t="s">
        <v>2839</v>
      </c>
      <c r="Q127" s="292" t="str">
        <f>TablaPOA[[#This Row],[Cod_Sub_acción_especifica]]&amp;"_"&amp;TablaPOA[[#This Row],[Cod_Tipo_agente]]</f>
        <v>K31.1.10.1_TA3</v>
      </c>
      <c r="R127" s="254" t="s">
        <v>2840</v>
      </c>
      <c r="S127" s="254" t="s">
        <v>2846</v>
      </c>
      <c r="T127" s="271" t="s">
        <v>2847</v>
      </c>
    </row>
    <row r="128" spans="1:20" ht="25.5" x14ac:dyDescent="0.25">
      <c r="A128" s="219" t="s">
        <v>2314</v>
      </c>
      <c r="B128" s="227">
        <v>31</v>
      </c>
      <c r="C128" s="227" t="s">
        <v>2691</v>
      </c>
      <c r="D128" s="227" t="s">
        <v>2988</v>
      </c>
      <c r="E128" s="227" t="s">
        <v>3149</v>
      </c>
      <c r="F128" s="227" t="s">
        <v>2694</v>
      </c>
      <c r="G128" s="227" t="s">
        <v>2483</v>
      </c>
      <c r="H128" s="253" t="s">
        <v>3159</v>
      </c>
      <c r="I128" s="253" t="s">
        <v>2502</v>
      </c>
      <c r="J128" s="227" t="s">
        <v>2707</v>
      </c>
      <c r="K128" s="253" t="s">
        <v>3076</v>
      </c>
      <c r="L128" s="253" t="s">
        <v>2502</v>
      </c>
      <c r="M128" s="227" t="s">
        <v>2502</v>
      </c>
      <c r="N128" s="293"/>
      <c r="O128" s="293" t="str">
        <f>TablaPOA[[#This Row],[Cod_Sub_acción_especifica]]&amp;"_"&amp;TablaPOA[[#This Row],[Tipo de agente]]</f>
        <v>K31.1.10.1_Consumidores directos de GLP y redes de distribución</v>
      </c>
      <c r="P128" s="254" t="s">
        <v>2839</v>
      </c>
      <c r="Q128" s="292" t="str">
        <f>TablaPOA[[#This Row],[Cod_Sub_acción_especifica]]&amp;"_"&amp;TablaPOA[[#This Row],[Cod_Tipo_agente]]</f>
        <v>K31.1.10.1_TA3</v>
      </c>
      <c r="R128" s="254" t="s">
        <v>2840</v>
      </c>
      <c r="S128" s="254" t="s">
        <v>2848</v>
      </c>
      <c r="T128" s="271" t="s">
        <v>2849</v>
      </c>
    </row>
    <row r="129" spans="1:20" ht="25.5" x14ac:dyDescent="0.25">
      <c r="A129" s="219" t="s">
        <v>2314</v>
      </c>
      <c r="B129" s="227">
        <v>31</v>
      </c>
      <c r="C129" s="227" t="s">
        <v>2691</v>
      </c>
      <c r="D129" s="227" t="s">
        <v>2988</v>
      </c>
      <c r="E129" s="227" t="s">
        <v>3149</v>
      </c>
      <c r="F129" s="227" t="s">
        <v>2694</v>
      </c>
      <c r="G129" s="227" t="s">
        <v>2483</v>
      </c>
      <c r="H129" s="253" t="s">
        <v>3159</v>
      </c>
      <c r="I129" s="253" t="s">
        <v>2502</v>
      </c>
      <c r="J129" s="227" t="s">
        <v>2707</v>
      </c>
      <c r="K129" s="253" t="s">
        <v>3076</v>
      </c>
      <c r="L129" s="253" t="s">
        <v>2502</v>
      </c>
      <c r="M129" s="227" t="s">
        <v>2502</v>
      </c>
      <c r="N129" s="293"/>
      <c r="O129" s="293" t="str">
        <f>TablaPOA[[#This Row],[Cod_Sub_acción_especifica]]&amp;"_"&amp;TablaPOA[[#This Row],[Tipo de agente]]</f>
        <v>K31.1.10.1_Consumidores directos de GLP y redes de distribución</v>
      </c>
      <c r="P129" s="254" t="s">
        <v>2839</v>
      </c>
      <c r="Q129" s="292" t="str">
        <f>TablaPOA[[#This Row],[Cod_Sub_acción_especifica]]&amp;"_"&amp;TablaPOA[[#This Row],[Cod_Tipo_agente]]</f>
        <v>K31.1.10.1_TA3</v>
      </c>
      <c r="R129" s="254" t="s">
        <v>2840</v>
      </c>
      <c r="S129" s="254" t="s">
        <v>2850</v>
      </c>
      <c r="T129" s="271" t="s">
        <v>2851</v>
      </c>
    </row>
    <row r="130" spans="1:20" ht="25.5" x14ac:dyDescent="0.25">
      <c r="A130" s="219" t="s">
        <v>2314</v>
      </c>
      <c r="B130" s="227">
        <v>31</v>
      </c>
      <c r="C130" s="227" t="s">
        <v>2691</v>
      </c>
      <c r="D130" s="227" t="s">
        <v>2988</v>
      </c>
      <c r="E130" s="227" t="s">
        <v>3149</v>
      </c>
      <c r="F130" s="227" t="s">
        <v>2694</v>
      </c>
      <c r="G130" s="227" t="s">
        <v>2483</v>
      </c>
      <c r="H130" s="253" t="s">
        <v>3159</v>
      </c>
      <c r="I130" s="253" t="s">
        <v>2502</v>
      </c>
      <c r="J130" s="227" t="s">
        <v>2707</v>
      </c>
      <c r="K130" s="253" t="s">
        <v>3076</v>
      </c>
      <c r="L130" s="253" t="s">
        <v>2502</v>
      </c>
      <c r="M130" s="227" t="s">
        <v>2502</v>
      </c>
      <c r="N130" s="293"/>
      <c r="O130" s="293" t="str">
        <f>TablaPOA[[#This Row],[Cod_Sub_acción_especifica]]&amp;"_"&amp;TablaPOA[[#This Row],[Tipo de agente]]</f>
        <v>K31.1.10.1_Locales de venta de GLP</v>
      </c>
      <c r="P130" s="254" t="s">
        <v>2912</v>
      </c>
      <c r="Q130" s="292" t="str">
        <f>TablaPOA[[#This Row],[Cod_Sub_acción_especifica]]&amp;"_"&amp;TablaPOA[[#This Row],[Cod_Tipo_agente]]</f>
        <v>K31.1.10.1_TA8</v>
      </c>
      <c r="R130" s="254" t="s">
        <v>2913</v>
      </c>
      <c r="S130" s="255" t="s">
        <v>2914</v>
      </c>
      <c r="T130" s="271" t="s">
        <v>2915</v>
      </c>
    </row>
    <row r="131" spans="1:20" ht="25.5" x14ac:dyDescent="0.25">
      <c r="A131" s="219" t="s">
        <v>2314</v>
      </c>
      <c r="B131" s="227">
        <v>31</v>
      </c>
      <c r="C131" s="227" t="s">
        <v>2691</v>
      </c>
      <c r="D131" s="227" t="s">
        <v>2988</v>
      </c>
      <c r="E131" s="227" t="s">
        <v>3149</v>
      </c>
      <c r="F131" s="227" t="s">
        <v>2694</v>
      </c>
      <c r="G131" s="227" t="s">
        <v>2483</v>
      </c>
      <c r="H131" s="253" t="s">
        <v>3159</v>
      </c>
      <c r="I131" s="253" t="s">
        <v>2502</v>
      </c>
      <c r="J131" s="227" t="s">
        <v>2707</v>
      </c>
      <c r="K131" s="253" t="s">
        <v>3076</v>
      </c>
      <c r="L131" s="253" t="s">
        <v>2502</v>
      </c>
      <c r="M131" s="227" t="s">
        <v>2502</v>
      </c>
      <c r="N131" s="293"/>
      <c r="O131" s="293" t="str">
        <f>TablaPOA[[#This Row],[Cod_Sub_acción_especifica]]&amp;"_"&amp;TablaPOA[[#This Row],[Tipo de agente]]</f>
        <v>K31.1.10.1_Locales de venta de GLP</v>
      </c>
      <c r="P131" s="254" t="s">
        <v>2912</v>
      </c>
      <c r="Q131" s="292" t="str">
        <f>TablaPOA[[#This Row],[Cod_Sub_acción_especifica]]&amp;"_"&amp;TablaPOA[[#This Row],[Cod_Tipo_agente]]</f>
        <v>K31.1.10.1_TA8</v>
      </c>
      <c r="R131" s="254" t="s">
        <v>2913</v>
      </c>
      <c r="S131" s="255" t="s">
        <v>2916</v>
      </c>
      <c r="T131" s="271" t="s">
        <v>2917</v>
      </c>
    </row>
    <row r="132" spans="1:20" ht="25.5" x14ac:dyDescent="0.25">
      <c r="A132" s="219" t="s">
        <v>2314</v>
      </c>
      <c r="B132" s="227">
        <v>31</v>
      </c>
      <c r="C132" s="227" t="s">
        <v>2691</v>
      </c>
      <c r="D132" s="227" t="s">
        <v>2988</v>
      </c>
      <c r="E132" s="227" t="s">
        <v>3149</v>
      </c>
      <c r="F132" s="227" t="s">
        <v>2694</v>
      </c>
      <c r="G132" s="227" t="s">
        <v>2483</v>
      </c>
      <c r="H132" s="253" t="s">
        <v>3159</v>
      </c>
      <c r="I132" s="253" t="s">
        <v>2502</v>
      </c>
      <c r="J132" s="227" t="s">
        <v>2707</v>
      </c>
      <c r="K132" s="253" t="s">
        <v>3076</v>
      </c>
      <c r="L132" s="253" t="s">
        <v>2502</v>
      </c>
      <c r="M132" s="227" t="s">
        <v>2502</v>
      </c>
      <c r="N132" s="293"/>
      <c r="O132" s="293" t="str">
        <f>TablaPOA[[#This Row],[Cod_Sub_acción_especifica]]&amp;"_"&amp;TablaPOA[[#This Row],[Tipo de agente]]</f>
        <v>K31.1.10.1_Medios de transporte</v>
      </c>
      <c r="P132" s="254" t="s">
        <v>2918</v>
      </c>
      <c r="Q132" s="292" t="str">
        <f>TablaPOA[[#This Row],[Cod_Sub_acción_especifica]]&amp;"_"&amp;TablaPOA[[#This Row],[Cod_Tipo_agente]]</f>
        <v>K31.1.10.1_TA9</v>
      </c>
      <c r="R132" s="254" t="s">
        <v>2919</v>
      </c>
      <c r="S132" s="255" t="s">
        <v>2920</v>
      </c>
      <c r="T132" s="271" t="s">
        <v>2921</v>
      </c>
    </row>
    <row r="133" spans="1:20" ht="25.5" x14ac:dyDescent="0.25">
      <c r="A133" s="219" t="s">
        <v>2314</v>
      </c>
      <c r="B133" s="227">
        <v>31</v>
      </c>
      <c r="C133" s="227" t="s">
        <v>2691</v>
      </c>
      <c r="D133" s="227" t="s">
        <v>2988</v>
      </c>
      <c r="E133" s="227" t="s">
        <v>3149</v>
      </c>
      <c r="F133" s="227" t="s">
        <v>2694</v>
      </c>
      <c r="G133" s="227" t="s">
        <v>2483</v>
      </c>
      <c r="H133" s="253" t="s">
        <v>3159</v>
      </c>
      <c r="I133" s="253" t="s">
        <v>2502</v>
      </c>
      <c r="J133" s="227" t="s">
        <v>2707</v>
      </c>
      <c r="K133" s="253" t="s">
        <v>3076</v>
      </c>
      <c r="L133" s="253" t="s">
        <v>2502</v>
      </c>
      <c r="M133" s="227" t="s">
        <v>2502</v>
      </c>
      <c r="N133" s="293"/>
      <c r="O133" s="293" t="str">
        <f>TablaPOA[[#This Row],[Cod_Sub_acción_especifica]]&amp;"_"&amp;TablaPOA[[#This Row],[Tipo de agente]]</f>
        <v>K31.1.10.1_Medios de transporte</v>
      </c>
      <c r="P133" s="254" t="s">
        <v>2918</v>
      </c>
      <c r="Q133" s="292" t="str">
        <f>TablaPOA[[#This Row],[Cod_Sub_acción_especifica]]&amp;"_"&amp;TablaPOA[[#This Row],[Cod_Tipo_agente]]</f>
        <v>K31.1.10.1_TA9</v>
      </c>
      <c r="R133" s="254" t="s">
        <v>2919</v>
      </c>
      <c r="S133" s="255" t="s">
        <v>2922</v>
      </c>
      <c r="T133" s="271" t="s">
        <v>2923</v>
      </c>
    </row>
    <row r="134" spans="1:20" ht="25.5" x14ac:dyDescent="0.25">
      <c r="A134" s="219" t="s">
        <v>2314</v>
      </c>
      <c r="B134" s="227">
        <v>31</v>
      </c>
      <c r="C134" s="227" t="s">
        <v>2691</v>
      </c>
      <c r="D134" s="227" t="s">
        <v>2988</v>
      </c>
      <c r="E134" s="227" t="s">
        <v>3149</v>
      </c>
      <c r="F134" s="227" t="s">
        <v>2694</v>
      </c>
      <c r="G134" s="227" t="s">
        <v>2483</v>
      </c>
      <c r="H134" s="253" t="s">
        <v>3159</v>
      </c>
      <c r="I134" s="253" t="s">
        <v>2502</v>
      </c>
      <c r="J134" s="227" t="s">
        <v>2707</v>
      </c>
      <c r="K134" s="253" t="s">
        <v>3076</v>
      </c>
      <c r="L134" s="253" t="s">
        <v>2502</v>
      </c>
      <c r="M134" s="227" t="s">
        <v>2502</v>
      </c>
      <c r="N134" s="293"/>
      <c r="O134" s="293" t="str">
        <f>TablaPOA[[#This Row],[Cod_Sub_acción_especifica]]&amp;"_"&amp;TablaPOA[[#This Row],[Tipo de agente]]</f>
        <v>K31.1.10.1_Medios de transporte</v>
      </c>
      <c r="P134" s="254" t="s">
        <v>2918</v>
      </c>
      <c r="Q134" s="292" t="str">
        <f>TablaPOA[[#This Row],[Cod_Sub_acción_especifica]]&amp;"_"&amp;TablaPOA[[#This Row],[Cod_Tipo_agente]]</f>
        <v>K31.1.10.1_TA9</v>
      </c>
      <c r="R134" s="254" t="s">
        <v>2919</v>
      </c>
      <c r="S134" s="255" t="s">
        <v>2924</v>
      </c>
      <c r="T134" s="271" t="s">
        <v>2925</v>
      </c>
    </row>
    <row r="135" spans="1:20" ht="25.5" x14ac:dyDescent="0.25">
      <c r="A135" s="219" t="s">
        <v>2314</v>
      </c>
      <c r="B135" s="227">
        <v>31</v>
      </c>
      <c r="C135" s="227" t="s">
        <v>2691</v>
      </c>
      <c r="D135" s="227" t="s">
        <v>2988</v>
      </c>
      <c r="E135" s="227" t="s">
        <v>3149</v>
      </c>
      <c r="F135" s="227" t="s">
        <v>2694</v>
      </c>
      <c r="G135" s="227" t="s">
        <v>2483</v>
      </c>
      <c r="H135" s="253" t="s">
        <v>3159</v>
      </c>
      <c r="I135" s="253" t="s">
        <v>2502</v>
      </c>
      <c r="J135" s="227" t="s">
        <v>2707</v>
      </c>
      <c r="K135" s="253" t="s">
        <v>3076</v>
      </c>
      <c r="L135" s="253" t="s">
        <v>2502</v>
      </c>
      <c r="M135" s="227" t="s">
        <v>2502</v>
      </c>
      <c r="N135" s="293"/>
      <c r="O135" s="293" t="str">
        <f>TablaPOA[[#This Row],[Cod_Sub_acción_especifica]]&amp;"_"&amp;TablaPOA[[#This Row],[Tipo de agente]]</f>
        <v>K31.1.10.1_Medios de transporte</v>
      </c>
      <c r="P135" s="254" t="s">
        <v>2918</v>
      </c>
      <c r="Q135" s="292" t="str">
        <f>TablaPOA[[#This Row],[Cod_Sub_acción_especifica]]&amp;"_"&amp;TablaPOA[[#This Row],[Cod_Tipo_agente]]</f>
        <v>K31.1.10.1_TA9</v>
      </c>
      <c r="R135" s="254" t="s">
        <v>2919</v>
      </c>
      <c r="S135" s="255" t="s">
        <v>2926</v>
      </c>
      <c r="T135" s="271" t="s">
        <v>2927</v>
      </c>
    </row>
    <row r="136" spans="1:20" ht="25.5" x14ac:dyDescent="0.25">
      <c r="A136" s="219" t="s">
        <v>2314</v>
      </c>
      <c r="B136" s="227">
        <v>31</v>
      </c>
      <c r="C136" s="227" t="s">
        <v>2691</v>
      </c>
      <c r="D136" s="227" t="s">
        <v>2988</v>
      </c>
      <c r="E136" s="227" t="s">
        <v>3149</v>
      </c>
      <c r="F136" s="227" t="s">
        <v>2694</v>
      </c>
      <c r="G136" s="227" t="s">
        <v>2483</v>
      </c>
      <c r="H136" s="253" t="s">
        <v>3159</v>
      </c>
      <c r="I136" s="253" t="s">
        <v>2502</v>
      </c>
      <c r="J136" s="227" t="s">
        <v>2707</v>
      </c>
      <c r="K136" s="253" t="s">
        <v>3076</v>
      </c>
      <c r="L136" s="253" t="s">
        <v>2502</v>
      </c>
      <c r="M136" s="227" t="s">
        <v>2502</v>
      </c>
      <c r="N136" s="293"/>
      <c r="O136" s="293" t="str">
        <f>TablaPOA[[#This Row],[Cod_Sub_acción_especifica]]&amp;"_"&amp;TablaPOA[[#This Row],[Tipo de agente]]</f>
        <v>K31.1.10.1_Medios de transporte</v>
      </c>
      <c r="P136" s="254" t="s">
        <v>2918</v>
      </c>
      <c r="Q136" s="292" t="str">
        <f>TablaPOA[[#This Row],[Cod_Sub_acción_especifica]]&amp;"_"&amp;TablaPOA[[#This Row],[Cod_Tipo_agente]]</f>
        <v>K31.1.10.1_TA9</v>
      </c>
      <c r="R136" s="254" t="s">
        <v>2919</v>
      </c>
      <c r="S136" s="255" t="s">
        <v>2928</v>
      </c>
      <c r="T136" s="271" t="s">
        <v>2929</v>
      </c>
    </row>
    <row r="137" spans="1:20" ht="25.5" x14ac:dyDescent="0.25">
      <c r="A137" s="219" t="s">
        <v>2314</v>
      </c>
      <c r="B137" s="227">
        <v>31</v>
      </c>
      <c r="C137" s="227" t="s">
        <v>2691</v>
      </c>
      <c r="D137" s="227" t="s">
        <v>2988</v>
      </c>
      <c r="E137" s="227" t="s">
        <v>3149</v>
      </c>
      <c r="F137" s="227" t="s">
        <v>2694</v>
      </c>
      <c r="G137" s="227" t="s">
        <v>2483</v>
      </c>
      <c r="H137" s="253" t="s">
        <v>3159</v>
      </c>
      <c r="I137" s="253" t="s">
        <v>2502</v>
      </c>
      <c r="J137" s="227" t="s">
        <v>2707</v>
      </c>
      <c r="K137" s="253" t="s">
        <v>3076</v>
      </c>
      <c r="L137" s="253" t="s">
        <v>2502</v>
      </c>
      <c r="M137" s="227" t="s">
        <v>2502</v>
      </c>
      <c r="N137" s="293"/>
      <c r="O137" s="293" t="str">
        <f>TablaPOA[[#This Row],[Cod_Sub_acción_especifica]]&amp;"_"&amp;TablaPOA[[#This Row],[Tipo de agente]]</f>
        <v>K31.1.10.1_Medios de transporte</v>
      </c>
      <c r="P137" s="254" t="s">
        <v>2918</v>
      </c>
      <c r="Q137" s="292" t="str">
        <f>TablaPOA[[#This Row],[Cod_Sub_acción_especifica]]&amp;"_"&amp;TablaPOA[[#This Row],[Cod_Tipo_agente]]</f>
        <v>K31.1.10.1_TA9</v>
      </c>
      <c r="R137" s="254" t="s">
        <v>2919</v>
      </c>
      <c r="S137" s="255" t="s">
        <v>2930</v>
      </c>
      <c r="T137" s="271" t="s">
        <v>2931</v>
      </c>
    </row>
    <row r="138" spans="1:20" ht="25.5" x14ac:dyDescent="0.25">
      <c r="A138" s="219" t="s">
        <v>2314</v>
      </c>
      <c r="B138" s="227">
        <v>31</v>
      </c>
      <c r="C138" s="227" t="s">
        <v>2691</v>
      </c>
      <c r="D138" s="227" t="s">
        <v>2988</v>
      </c>
      <c r="E138" s="227" t="s">
        <v>3149</v>
      </c>
      <c r="F138" s="227" t="s">
        <v>2694</v>
      </c>
      <c r="G138" s="227" t="s">
        <v>2483</v>
      </c>
      <c r="H138" s="253" t="s">
        <v>3159</v>
      </c>
      <c r="I138" s="253" t="s">
        <v>2502</v>
      </c>
      <c r="J138" s="227" t="s">
        <v>2707</v>
      </c>
      <c r="K138" s="253" t="s">
        <v>3076</v>
      </c>
      <c r="L138" s="253" t="s">
        <v>2502</v>
      </c>
      <c r="M138" s="227" t="s">
        <v>2502</v>
      </c>
      <c r="N138" s="293"/>
      <c r="O138" s="293" t="str">
        <f>TablaPOA[[#This Row],[Cod_Sub_acción_especifica]]&amp;"_"&amp;TablaPOA[[#This Row],[Tipo de agente]]</f>
        <v>K31.1.10.1_Medios de transporte</v>
      </c>
      <c r="P138" s="254" t="s">
        <v>2918</v>
      </c>
      <c r="Q138" s="292" t="str">
        <f>TablaPOA[[#This Row],[Cod_Sub_acción_especifica]]&amp;"_"&amp;TablaPOA[[#This Row],[Cod_Tipo_agente]]</f>
        <v>K31.1.10.1_TA9</v>
      </c>
      <c r="R138" s="254" t="s">
        <v>2919</v>
      </c>
      <c r="S138" s="255" t="s">
        <v>2932</v>
      </c>
      <c r="T138" s="271" t="s">
        <v>2933</v>
      </c>
    </row>
    <row r="139" spans="1:20" ht="25.5" x14ac:dyDescent="0.25">
      <c r="A139" s="219" t="s">
        <v>2314</v>
      </c>
      <c r="B139" s="227">
        <v>31</v>
      </c>
      <c r="C139" s="227" t="s">
        <v>2691</v>
      </c>
      <c r="D139" s="227" t="s">
        <v>2988</v>
      </c>
      <c r="E139" s="227" t="s">
        <v>3149</v>
      </c>
      <c r="F139" s="227" t="s">
        <v>2694</v>
      </c>
      <c r="G139" s="227" t="s">
        <v>2483</v>
      </c>
      <c r="H139" s="253" t="s">
        <v>3159</v>
      </c>
      <c r="I139" s="253" t="s">
        <v>2502</v>
      </c>
      <c r="J139" s="227" t="s">
        <v>2707</v>
      </c>
      <c r="K139" s="253" t="s">
        <v>3076</v>
      </c>
      <c r="L139" s="253" t="s">
        <v>2502</v>
      </c>
      <c r="M139" s="227" t="s">
        <v>2502</v>
      </c>
      <c r="N139" s="293"/>
      <c r="O139" s="293" t="str">
        <f>TablaPOA[[#This Row],[Cod_Sub_acción_especifica]]&amp;"_"&amp;TablaPOA[[#This Row],[Tipo de agente]]</f>
        <v>K31.1.10.1_Medios de transporte</v>
      </c>
      <c r="P139" s="254" t="s">
        <v>2918</v>
      </c>
      <c r="Q139" s="292" t="str">
        <f>TablaPOA[[#This Row],[Cod_Sub_acción_especifica]]&amp;"_"&amp;TablaPOA[[#This Row],[Cod_Tipo_agente]]</f>
        <v>K31.1.10.1_TA9</v>
      </c>
      <c r="R139" s="254" t="s">
        <v>2919</v>
      </c>
      <c r="S139" s="255" t="s">
        <v>2934</v>
      </c>
      <c r="T139" s="271" t="s">
        <v>2935</v>
      </c>
    </row>
    <row r="140" spans="1:20" ht="25.5" x14ac:dyDescent="0.25">
      <c r="A140" s="219" t="s">
        <v>2314</v>
      </c>
      <c r="B140" s="227">
        <v>31</v>
      </c>
      <c r="C140" s="227" t="s">
        <v>2691</v>
      </c>
      <c r="D140" s="227" t="s">
        <v>2988</v>
      </c>
      <c r="E140" s="227" t="s">
        <v>3149</v>
      </c>
      <c r="F140" s="227" t="s">
        <v>2694</v>
      </c>
      <c r="G140" s="227" t="s">
        <v>2483</v>
      </c>
      <c r="H140" s="253" t="s">
        <v>3159</v>
      </c>
      <c r="I140" s="253" t="s">
        <v>2502</v>
      </c>
      <c r="J140" s="227" t="s">
        <v>2707</v>
      </c>
      <c r="K140" s="253" t="s">
        <v>3076</v>
      </c>
      <c r="L140" s="253" t="s">
        <v>2502</v>
      </c>
      <c r="M140" s="227" t="s">
        <v>2502</v>
      </c>
      <c r="N140" s="293"/>
      <c r="O140" s="293" t="str">
        <f>TablaPOA[[#This Row],[Cod_Sub_acción_especifica]]&amp;"_"&amp;TablaPOA[[#This Row],[Tipo de agente]]</f>
        <v>K31.1.10.1_Medios de transporte</v>
      </c>
      <c r="P140" s="254" t="s">
        <v>2918</v>
      </c>
      <c r="Q140" s="292" t="str">
        <f>TablaPOA[[#This Row],[Cod_Sub_acción_especifica]]&amp;"_"&amp;TablaPOA[[#This Row],[Cod_Tipo_agente]]</f>
        <v>K31.1.10.1_TA9</v>
      </c>
      <c r="R140" s="254" t="s">
        <v>2919</v>
      </c>
      <c r="S140" s="255" t="s">
        <v>2936</v>
      </c>
      <c r="T140" s="271" t="s">
        <v>2937</v>
      </c>
    </row>
    <row r="141" spans="1:20" ht="25.5" x14ac:dyDescent="0.25">
      <c r="A141" s="219" t="s">
        <v>2314</v>
      </c>
      <c r="B141" s="227">
        <v>31</v>
      </c>
      <c r="C141" s="227" t="s">
        <v>2691</v>
      </c>
      <c r="D141" s="227" t="s">
        <v>2988</v>
      </c>
      <c r="E141" s="227" t="s">
        <v>3149</v>
      </c>
      <c r="F141" s="227" t="s">
        <v>2694</v>
      </c>
      <c r="G141" s="227" t="s">
        <v>2483</v>
      </c>
      <c r="H141" s="253" t="s">
        <v>3159</v>
      </c>
      <c r="I141" s="253" t="s">
        <v>2502</v>
      </c>
      <c r="J141" s="227" t="s">
        <v>2707</v>
      </c>
      <c r="K141" s="253" t="s">
        <v>3076</v>
      </c>
      <c r="L141" s="253" t="s">
        <v>2502</v>
      </c>
      <c r="M141" s="227" t="s">
        <v>2502</v>
      </c>
      <c r="N141" s="293"/>
      <c r="O141" s="293" t="str">
        <f>TablaPOA[[#This Row],[Cod_Sub_acción_especifica]]&amp;"_"&amp;TablaPOA[[#This Row],[Tipo de agente]]</f>
        <v>K31.1.10.1_Medios de transporte</v>
      </c>
      <c r="P141" s="254" t="s">
        <v>2918</v>
      </c>
      <c r="Q141" s="292" t="str">
        <f>TablaPOA[[#This Row],[Cod_Sub_acción_especifica]]&amp;"_"&amp;TablaPOA[[#This Row],[Cod_Tipo_agente]]</f>
        <v>K31.1.10.1_TA9</v>
      </c>
      <c r="R141" s="254" t="s">
        <v>2919</v>
      </c>
      <c r="S141" s="255" t="s">
        <v>2938</v>
      </c>
      <c r="T141" s="271" t="s">
        <v>2939</v>
      </c>
    </row>
    <row r="142" spans="1:20" ht="25.5" x14ac:dyDescent="0.25">
      <c r="A142" s="219" t="s">
        <v>2314</v>
      </c>
      <c r="B142" s="227">
        <v>31</v>
      </c>
      <c r="C142" s="227" t="s">
        <v>2691</v>
      </c>
      <c r="D142" s="227" t="s">
        <v>2988</v>
      </c>
      <c r="E142" s="227" t="s">
        <v>3149</v>
      </c>
      <c r="F142" s="227" t="s">
        <v>2694</v>
      </c>
      <c r="G142" s="227" t="s">
        <v>2483</v>
      </c>
      <c r="H142" s="253" t="s">
        <v>3159</v>
      </c>
      <c r="I142" s="253" t="s">
        <v>2502</v>
      </c>
      <c r="J142" s="227" t="s">
        <v>2707</v>
      </c>
      <c r="K142" s="253" t="s">
        <v>3076</v>
      </c>
      <c r="L142" s="253" t="s">
        <v>2502</v>
      </c>
      <c r="M142" s="227" t="s">
        <v>2502</v>
      </c>
      <c r="N142" s="293"/>
      <c r="O142" s="293" t="str">
        <f>TablaPOA[[#This Row],[Cod_Sub_acción_especifica]]&amp;"_"&amp;TablaPOA[[#This Row],[Tipo de agente]]</f>
        <v>K31.1.10.1_Medios de transporte</v>
      </c>
      <c r="P142" s="254" t="s">
        <v>2918</v>
      </c>
      <c r="Q142" s="292" t="str">
        <f>TablaPOA[[#This Row],[Cod_Sub_acción_especifica]]&amp;"_"&amp;TablaPOA[[#This Row],[Cod_Tipo_agente]]</f>
        <v>K31.1.10.1_TA9</v>
      </c>
      <c r="R142" s="254" t="s">
        <v>2919</v>
      </c>
      <c r="S142" s="255" t="s">
        <v>2940</v>
      </c>
      <c r="T142" s="271" t="s">
        <v>2941</v>
      </c>
    </row>
    <row r="143" spans="1:20" ht="25.5" x14ac:dyDescent="0.25">
      <c r="A143" s="219" t="s">
        <v>2314</v>
      </c>
      <c r="B143" s="227">
        <v>31</v>
      </c>
      <c r="C143" s="227" t="s">
        <v>2691</v>
      </c>
      <c r="D143" s="227" t="s">
        <v>2988</v>
      </c>
      <c r="E143" s="227" t="s">
        <v>3149</v>
      </c>
      <c r="F143" s="227" t="s">
        <v>2694</v>
      </c>
      <c r="G143" s="227" t="s">
        <v>2483</v>
      </c>
      <c r="H143" s="253" t="s">
        <v>3159</v>
      </c>
      <c r="I143" s="253" t="s">
        <v>2502</v>
      </c>
      <c r="J143" s="227" t="s">
        <v>2707</v>
      </c>
      <c r="K143" s="253" t="s">
        <v>3076</v>
      </c>
      <c r="L143" s="253" t="s">
        <v>2502</v>
      </c>
      <c r="M143" s="227" t="s">
        <v>2502</v>
      </c>
      <c r="N143" s="293"/>
      <c r="O143" s="293" t="str">
        <f>TablaPOA[[#This Row],[Cod_Sub_acción_especifica]]&amp;"_"&amp;TablaPOA[[#This Row],[Tipo de agente]]</f>
        <v>K31.1.10.1_Medios de transporte</v>
      </c>
      <c r="P143" s="254" t="s">
        <v>2918</v>
      </c>
      <c r="Q143" s="292" t="str">
        <f>TablaPOA[[#This Row],[Cod_Sub_acción_especifica]]&amp;"_"&amp;TablaPOA[[#This Row],[Cod_Tipo_agente]]</f>
        <v>K31.1.10.1_TA9</v>
      </c>
      <c r="R143" s="254" t="s">
        <v>2919</v>
      </c>
      <c r="S143" s="255" t="s">
        <v>2942</v>
      </c>
      <c r="T143" s="271" t="s">
        <v>2943</v>
      </c>
    </row>
    <row r="144" spans="1:20" ht="25.5" x14ac:dyDescent="0.25">
      <c r="A144" s="219" t="s">
        <v>2314</v>
      </c>
      <c r="B144" s="227">
        <v>31</v>
      </c>
      <c r="C144" s="227" t="s">
        <v>2691</v>
      </c>
      <c r="D144" s="227" t="s">
        <v>2988</v>
      </c>
      <c r="E144" s="227" t="s">
        <v>3149</v>
      </c>
      <c r="F144" s="227" t="s">
        <v>2694</v>
      </c>
      <c r="G144" s="227" t="s">
        <v>2483</v>
      </c>
      <c r="H144" s="253" t="s">
        <v>3159</v>
      </c>
      <c r="I144" s="253" t="s">
        <v>2502</v>
      </c>
      <c r="J144" s="227" t="s">
        <v>2707</v>
      </c>
      <c r="K144" s="253" t="s">
        <v>3076</v>
      </c>
      <c r="L144" s="253" t="s">
        <v>2502</v>
      </c>
      <c r="M144" s="227" t="s">
        <v>2502</v>
      </c>
      <c r="N144" s="293"/>
      <c r="O144" s="293" t="str">
        <f>TablaPOA[[#This Row],[Cod_Sub_acción_especifica]]&amp;"_"&amp;TablaPOA[[#This Row],[Tipo de agente]]</f>
        <v>K31.1.10.1_Medios de transporte</v>
      </c>
      <c r="P144" s="254" t="s">
        <v>2918</v>
      </c>
      <c r="Q144" s="292" t="str">
        <f>TablaPOA[[#This Row],[Cod_Sub_acción_especifica]]&amp;"_"&amp;TablaPOA[[#This Row],[Cod_Tipo_agente]]</f>
        <v>K31.1.10.1_TA9</v>
      </c>
      <c r="R144" s="254" t="s">
        <v>2919</v>
      </c>
      <c r="S144" s="255" t="s">
        <v>2944</v>
      </c>
      <c r="T144" s="271" t="s">
        <v>2945</v>
      </c>
    </row>
    <row r="145" spans="1:20" ht="25.5" x14ac:dyDescent="0.25">
      <c r="A145" s="219" t="s">
        <v>2314</v>
      </c>
      <c r="B145" s="227">
        <v>31</v>
      </c>
      <c r="C145" s="227" t="s">
        <v>2691</v>
      </c>
      <c r="D145" s="227" t="s">
        <v>2988</v>
      </c>
      <c r="E145" s="227" t="s">
        <v>3149</v>
      </c>
      <c r="F145" s="227" t="s">
        <v>2694</v>
      </c>
      <c r="G145" s="227" t="s">
        <v>2483</v>
      </c>
      <c r="H145" s="253" t="s">
        <v>3159</v>
      </c>
      <c r="I145" s="253" t="s">
        <v>2502</v>
      </c>
      <c r="J145" s="227" t="s">
        <v>2707</v>
      </c>
      <c r="K145" s="253" t="s">
        <v>3076</v>
      </c>
      <c r="L145" s="253" t="s">
        <v>2502</v>
      </c>
      <c r="M145" s="227" t="s">
        <v>2502</v>
      </c>
      <c r="N145" s="293"/>
      <c r="O145" s="293" t="str">
        <f>TablaPOA[[#This Row],[Cod_Sub_acción_especifica]]&amp;"_"&amp;TablaPOA[[#This Row],[Tipo de agente]]</f>
        <v>K31.1.10.1_Medios de transporte</v>
      </c>
      <c r="P145" s="254" t="s">
        <v>2918</v>
      </c>
      <c r="Q145" s="292" t="str">
        <f>TablaPOA[[#This Row],[Cod_Sub_acción_especifica]]&amp;"_"&amp;TablaPOA[[#This Row],[Cod_Tipo_agente]]</f>
        <v>K31.1.10.1_TA9</v>
      </c>
      <c r="R145" s="254" t="s">
        <v>2919</v>
      </c>
      <c r="S145" s="255" t="s">
        <v>2946</v>
      </c>
      <c r="T145" s="271" t="s">
        <v>2947</v>
      </c>
    </row>
    <row r="146" spans="1:20" ht="26.25" thickBot="1" x14ac:dyDescent="0.3">
      <c r="A146" s="219" t="s">
        <v>2314</v>
      </c>
      <c r="B146" s="227">
        <v>31</v>
      </c>
      <c r="C146" s="227" t="s">
        <v>2691</v>
      </c>
      <c r="D146" s="227" t="s">
        <v>2988</v>
      </c>
      <c r="E146" s="227" t="s">
        <v>3149</v>
      </c>
      <c r="F146" s="227" t="s">
        <v>2694</v>
      </c>
      <c r="G146" s="227" t="s">
        <v>2483</v>
      </c>
      <c r="H146" s="253" t="s">
        <v>3159</v>
      </c>
      <c r="I146" s="253" t="s">
        <v>2502</v>
      </c>
      <c r="J146" s="227" t="s">
        <v>2707</v>
      </c>
      <c r="K146" s="253" t="s">
        <v>3076</v>
      </c>
      <c r="L146" s="253" t="s">
        <v>2502</v>
      </c>
      <c r="M146" s="227" t="s">
        <v>2502</v>
      </c>
      <c r="N146" s="296"/>
      <c r="O146" s="296" t="str">
        <f>TablaPOA[[#This Row],[Cod_Sub_acción_especifica]]&amp;"_"&amp;TablaPOA[[#This Row],[Tipo de agente]]</f>
        <v>K31.1.10.1_Medios de transporte</v>
      </c>
      <c r="P146" s="314" t="s">
        <v>2918</v>
      </c>
      <c r="Q146" s="298" t="str">
        <f>TablaPOA[[#This Row],[Cod_Sub_acción_especifica]]&amp;"_"&amp;TablaPOA[[#This Row],[Cod_Tipo_agente]]</f>
        <v>K31.1.10.1_TA9</v>
      </c>
      <c r="R146" s="314" t="s">
        <v>2919</v>
      </c>
      <c r="S146" s="315" t="s">
        <v>2948</v>
      </c>
      <c r="T146" s="316" t="s">
        <v>2949</v>
      </c>
    </row>
    <row r="147" spans="1:20" ht="25.5" x14ac:dyDescent="0.25">
      <c r="A147" s="219" t="s">
        <v>2314</v>
      </c>
      <c r="B147" s="227">
        <v>31</v>
      </c>
      <c r="C147" s="227" t="s">
        <v>2691</v>
      </c>
      <c r="D147" s="227" t="s">
        <v>2988</v>
      </c>
      <c r="E147" s="227" t="s">
        <v>3149</v>
      </c>
      <c r="F147" s="227" t="s">
        <v>2694</v>
      </c>
      <c r="G147" s="227" t="s">
        <v>2483</v>
      </c>
      <c r="H147" s="253" t="s">
        <v>3209</v>
      </c>
      <c r="I147" s="253" t="s">
        <v>3207</v>
      </c>
      <c r="J147" s="227" t="s">
        <v>3210</v>
      </c>
      <c r="K147" s="253" t="s">
        <v>3208</v>
      </c>
      <c r="L147" s="253" t="s">
        <v>3210</v>
      </c>
      <c r="M147" s="326" t="s">
        <v>3210</v>
      </c>
      <c r="N147" s="299" t="s">
        <v>2809</v>
      </c>
      <c r="O147" s="292" t="str">
        <f>TablaPOA[[#This Row],[Cod_Sub_acción_especifica]]&amp;"_"&amp;TablaPOA[[#This Row],[Tipo de agente]]</f>
        <v>K31.1.11.1_Consumidores directos de combustibles líquidos y OPDH</v>
      </c>
      <c r="P147" s="250" t="s">
        <v>2808</v>
      </c>
      <c r="Q147" s="321" t="str">
        <f>TablaPOA[[#This Row],[Cod_Sub_acción_especifica]]&amp;"_"&amp;TablaPOA[[#This Row],[Cod_Tipo_agente]]</f>
        <v>K31.1.11.1_TA1</v>
      </c>
      <c r="R147" s="250" t="s">
        <v>2809</v>
      </c>
      <c r="S147" s="322"/>
      <c r="T147" s="269" t="s">
        <v>2811</v>
      </c>
    </row>
    <row r="148" spans="1:20" ht="25.5" x14ac:dyDescent="0.25">
      <c r="A148" s="219" t="s">
        <v>2314</v>
      </c>
      <c r="B148" s="227">
        <v>31</v>
      </c>
      <c r="C148" s="227" t="s">
        <v>2691</v>
      </c>
      <c r="D148" s="227" t="s">
        <v>2988</v>
      </c>
      <c r="E148" s="227" t="s">
        <v>3149</v>
      </c>
      <c r="F148" s="227" t="s">
        <v>2694</v>
      </c>
      <c r="G148" s="227" t="s">
        <v>2483</v>
      </c>
      <c r="H148" s="253" t="s">
        <v>3209</v>
      </c>
      <c r="I148" s="253" t="s">
        <v>3207</v>
      </c>
      <c r="J148" s="227" t="s">
        <v>3210</v>
      </c>
      <c r="K148" s="253" t="s">
        <v>3208</v>
      </c>
      <c r="L148" s="253" t="s">
        <v>3210</v>
      </c>
      <c r="M148" s="326" t="s">
        <v>3210</v>
      </c>
      <c r="N148" s="299" t="s">
        <v>2831</v>
      </c>
      <c r="O148" s="292" t="str">
        <f>TablaPOA[[#This Row],[Cod_Sub_acción_especifica]]&amp;"_"&amp;TablaPOA[[#This Row],[Tipo de agente]]</f>
        <v>K31.1.11.1_Consumidores directos de combustibles líquidos y OPDH</v>
      </c>
      <c r="P148" s="250" t="s">
        <v>2808</v>
      </c>
      <c r="Q148" s="293" t="str">
        <f>TablaPOA[[#This Row],[Cod_Sub_acción_especifica]]&amp;"_"&amp;TablaPOA[[#This Row],[Cod_Tipo_agente]]</f>
        <v>K31.1.11.1_TA1</v>
      </c>
      <c r="R148" s="250" t="s">
        <v>2809</v>
      </c>
      <c r="S148" s="323"/>
      <c r="T148" s="269" t="s">
        <v>2813</v>
      </c>
    </row>
    <row r="149" spans="1:20" ht="25.5" x14ac:dyDescent="0.25">
      <c r="A149" s="219" t="s">
        <v>2314</v>
      </c>
      <c r="B149" s="227">
        <v>31</v>
      </c>
      <c r="C149" s="227" t="s">
        <v>2691</v>
      </c>
      <c r="D149" s="227" t="s">
        <v>2988</v>
      </c>
      <c r="E149" s="227" t="s">
        <v>3149</v>
      </c>
      <c r="F149" s="227" t="s">
        <v>2694</v>
      </c>
      <c r="G149" s="227" t="s">
        <v>2483</v>
      </c>
      <c r="H149" s="253" t="s">
        <v>3209</v>
      </c>
      <c r="I149" s="253" t="s">
        <v>3207</v>
      </c>
      <c r="J149" s="227" t="s">
        <v>3210</v>
      </c>
      <c r="K149" s="253" t="s">
        <v>3208</v>
      </c>
      <c r="L149" s="253" t="s">
        <v>3210</v>
      </c>
      <c r="M149" s="326" t="s">
        <v>3210</v>
      </c>
      <c r="N149" s="299" t="s">
        <v>2840</v>
      </c>
      <c r="O149" s="292" t="str">
        <f>TablaPOA[[#This Row],[Cod_Sub_acción_especifica]]&amp;"_"&amp;TablaPOA[[#This Row],[Tipo de agente]]</f>
        <v>K31.1.11.1_Consumidores directos de combustibles líquidos y OPDH</v>
      </c>
      <c r="P149" s="250" t="s">
        <v>2808</v>
      </c>
      <c r="Q149" s="293" t="str">
        <f>TablaPOA[[#This Row],[Cod_Sub_acción_especifica]]&amp;"_"&amp;TablaPOA[[#This Row],[Cod_Tipo_agente]]</f>
        <v>K31.1.11.1_TA1</v>
      </c>
      <c r="R149" s="250" t="s">
        <v>2809</v>
      </c>
      <c r="S149" s="323"/>
      <c r="T149" s="269" t="s">
        <v>2815</v>
      </c>
    </row>
    <row r="150" spans="1:20" ht="25.5" x14ac:dyDescent="0.25">
      <c r="A150" s="219" t="s">
        <v>2314</v>
      </c>
      <c r="B150" s="227">
        <v>31</v>
      </c>
      <c r="C150" s="227" t="s">
        <v>2691</v>
      </c>
      <c r="D150" s="227" t="s">
        <v>2988</v>
      </c>
      <c r="E150" s="227" t="s">
        <v>3149</v>
      </c>
      <c r="F150" s="227" t="s">
        <v>2694</v>
      </c>
      <c r="G150" s="227" t="s">
        <v>2483</v>
      </c>
      <c r="H150" s="253" t="s">
        <v>3209</v>
      </c>
      <c r="I150" s="253" t="s">
        <v>3207</v>
      </c>
      <c r="J150" s="227" t="s">
        <v>3210</v>
      </c>
      <c r="K150" s="253" t="s">
        <v>3208</v>
      </c>
      <c r="L150" s="253" t="s">
        <v>3210</v>
      </c>
      <c r="M150" s="326" t="s">
        <v>3210</v>
      </c>
      <c r="N150" s="299" t="s">
        <v>2853</v>
      </c>
      <c r="O150" s="292" t="str">
        <f>TablaPOA[[#This Row],[Cod_Sub_acción_especifica]]&amp;"_"&amp;TablaPOA[[#This Row],[Tipo de agente]]</f>
        <v>K31.1.11.1_Consumidores directos de combustibles líquidos y OPDH</v>
      </c>
      <c r="P150" s="250" t="s">
        <v>2808</v>
      </c>
      <c r="Q150" s="293" t="str">
        <f>TablaPOA[[#This Row],[Cod_Sub_acción_especifica]]&amp;"_"&amp;TablaPOA[[#This Row],[Cod_Tipo_agente]]</f>
        <v>K31.1.11.1_TA1</v>
      </c>
      <c r="R150" s="250" t="s">
        <v>2809</v>
      </c>
      <c r="S150" s="323"/>
      <c r="T150" s="269" t="s">
        <v>2817</v>
      </c>
    </row>
    <row r="151" spans="1:20" ht="25.5" x14ac:dyDescent="0.25">
      <c r="A151" s="219" t="s">
        <v>2314</v>
      </c>
      <c r="B151" s="227">
        <v>31</v>
      </c>
      <c r="C151" s="227" t="s">
        <v>2691</v>
      </c>
      <c r="D151" s="227" t="s">
        <v>2988</v>
      </c>
      <c r="E151" s="227" t="s">
        <v>3149</v>
      </c>
      <c r="F151" s="227" t="s">
        <v>2694</v>
      </c>
      <c r="G151" s="227" t="s">
        <v>2483</v>
      </c>
      <c r="H151" s="253" t="s">
        <v>3209</v>
      </c>
      <c r="I151" s="253" t="s">
        <v>3207</v>
      </c>
      <c r="J151" s="227" t="s">
        <v>3210</v>
      </c>
      <c r="K151" s="253" t="s">
        <v>3208</v>
      </c>
      <c r="L151" s="253" t="s">
        <v>3210</v>
      </c>
      <c r="M151" s="326" t="s">
        <v>3210</v>
      </c>
      <c r="N151" s="299" t="s">
        <v>2877</v>
      </c>
      <c r="O151" s="292" t="str">
        <f>TablaPOA[[#This Row],[Cod_Sub_acción_especifica]]&amp;"_"&amp;TablaPOA[[#This Row],[Tipo de agente]]</f>
        <v>K31.1.11.1_Consumidores directos de combustibles líquidos y OPDH</v>
      </c>
      <c r="P151" s="250" t="s">
        <v>2808</v>
      </c>
      <c r="Q151" s="293" t="str">
        <f>TablaPOA[[#This Row],[Cod_Sub_acción_especifica]]&amp;"_"&amp;TablaPOA[[#This Row],[Cod_Tipo_agente]]</f>
        <v>K31.1.11.1_TA1</v>
      </c>
      <c r="R151" s="250" t="s">
        <v>2809</v>
      </c>
      <c r="S151" s="323"/>
      <c r="T151" s="269" t="s">
        <v>2819</v>
      </c>
    </row>
    <row r="152" spans="1:20" ht="25.5" x14ac:dyDescent="0.25">
      <c r="A152" s="219" t="s">
        <v>2314</v>
      </c>
      <c r="B152" s="227">
        <v>31</v>
      </c>
      <c r="C152" s="227" t="s">
        <v>2691</v>
      </c>
      <c r="D152" s="227" t="s">
        <v>2988</v>
      </c>
      <c r="E152" s="227" t="s">
        <v>3149</v>
      </c>
      <c r="F152" s="227" t="s">
        <v>2694</v>
      </c>
      <c r="G152" s="227" t="s">
        <v>2483</v>
      </c>
      <c r="H152" s="253" t="s">
        <v>3209</v>
      </c>
      <c r="I152" s="253" t="s">
        <v>3207</v>
      </c>
      <c r="J152" s="227" t="s">
        <v>3210</v>
      </c>
      <c r="K152" s="253" t="s">
        <v>3208</v>
      </c>
      <c r="L152" s="253" t="s">
        <v>3210</v>
      </c>
      <c r="M152" s="326" t="s">
        <v>3210</v>
      </c>
      <c r="N152" s="299" t="s">
        <v>2883</v>
      </c>
      <c r="O152" s="292" t="str">
        <f>TablaPOA[[#This Row],[Cod_Sub_acción_especifica]]&amp;"_"&amp;TablaPOA[[#This Row],[Tipo de agente]]</f>
        <v>K31.1.11.1_Consumidores directos de combustibles líquidos y OPDH</v>
      </c>
      <c r="P152" s="250" t="s">
        <v>2808</v>
      </c>
      <c r="Q152" s="293" t="str">
        <f>TablaPOA[[#This Row],[Cod_Sub_acción_especifica]]&amp;"_"&amp;TablaPOA[[#This Row],[Cod_Tipo_agente]]</f>
        <v>K31.1.11.1_TA1</v>
      </c>
      <c r="R152" s="250" t="s">
        <v>2809</v>
      </c>
      <c r="S152" s="323"/>
      <c r="T152" s="269" t="s">
        <v>2821</v>
      </c>
    </row>
    <row r="153" spans="1:20" ht="25.5" x14ac:dyDescent="0.25">
      <c r="A153" s="219" t="s">
        <v>2314</v>
      </c>
      <c r="B153" s="227">
        <v>31</v>
      </c>
      <c r="C153" s="227" t="s">
        <v>2691</v>
      </c>
      <c r="D153" s="227" t="s">
        <v>2988</v>
      </c>
      <c r="E153" s="227" t="s">
        <v>3149</v>
      </c>
      <c r="F153" s="227" t="s">
        <v>2694</v>
      </c>
      <c r="G153" s="227" t="s">
        <v>2483</v>
      </c>
      <c r="H153" s="253" t="s">
        <v>3209</v>
      </c>
      <c r="I153" s="253" t="s">
        <v>3207</v>
      </c>
      <c r="J153" s="227" t="s">
        <v>3210</v>
      </c>
      <c r="K153" s="253" t="s">
        <v>3208</v>
      </c>
      <c r="L153" s="253" t="s">
        <v>3210</v>
      </c>
      <c r="M153" s="326" t="s">
        <v>3210</v>
      </c>
      <c r="N153" s="299" t="s">
        <v>2913</v>
      </c>
      <c r="O153" s="292" t="str">
        <f>TablaPOA[[#This Row],[Cod_Sub_acción_especifica]]&amp;"_"&amp;TablaPOA[[#This Row],[Tipo de agente]]</f>
        <v>K31.1.11.1_Consumidores directos de combustibles líquidos y OPDH</v>
      </c>
      <c r="P153" s="250" t="s">
        <v>2808</v>
      </c>
      <c r="Q153" s="293" t="str">
        <f>TablaPOA[[#This Row],[Cod_Sub_acción_especifica]]&amp;"_"&amp;TablaPOA[[#This Row],[Cod_Tipo_agente]]</f>
        <v>K31.1.11.1_TA1</v>
      </c>
      <c r="R153" s="250" t="s">
        <v>2809</v>
      </c>
      <c r="S153" s="323"/>
      <c r="T153" s="269" t="s">
        <v>2823</v>
      </c>
    </row>
    <row r="154" spans="1:20" ht="25.5" x14ac:dyDescent="0.25">
      <c r="A154" s="219" t="s">
        <v>2314</v>
      </c>
      <c r="B154" s="227">
        <v>31</v>
      </c>
      <c r="C154" s="227" t="s">
        <v>2691</v>
      </c>
      <c r="D154" s="227" t="s">
        <v>2988</v>
      </c>
      <c r="E154" s="227" t="s">
        <v>3149</v>
      </c>
      <c r="F154" s="227" t="s">
        <v>2694</v>
      </c>
      <c r="G154" s="227" t="s">
        <v>2483</v>
      </c>
      <c r="H154" s="253" t="s">
        <v>3209</v>
      </c>
      <c r="I154" s="253" t="s">
        <v>3207</v>
      </c>
      <c r="J154" s="227" t="s">
        <v>3210</v>
      </c>
      <c r="K154" s="253" t="s">
        <v>3208</v>
      </c>
      <c r="L154" s="253" t="s">
        <v>3210</v>
      </c>
      <c r="M154" s="326" t="s">
        <v>3210</v>
      </c>
      <c r="N154" s="299" t="s">
        <v>2919</v>
      </c>
      <c r="O154" s="292" t="str">
        <f>TablaPOA[[#This Row],[Cod_Sub_acción_especifica]]&amp;"_"&amp;TablaPOA[[#This Row],[Tipo de agente]]</f>
        <v>K31.1.11.1_Consumidores directos de combustibles líquidos y OPDH</v>
      </c>
      <c r="P154" s="250" t="s">
        <v>2808</v>
      </c>
      <c r="Q154" s="293" t="str">
        <f>TablaPOA[[#This Row],[Cod_Sub_acción_especifica]]&amp;"_"&amp;TablaPOA[[#This Row],[Cod_Tipo_agente]]</f>
        <v>K31.1.11.1_TA1</v>
      </c>
      <c r="R154" s="250" t="s">
        <v>2809</v>
      </c>
      <c r="S154" s="323"/>
      <c r="T154" s="269" t="s">
        <v>2825</v>
      </c>
    </row>
    <row r="155" spans="1:20" ht="25.5" x14ac:dyDescent="0.25">
      <c r="A155" s="219" t="s">
        <v>2314</v>
      </c>
      <c r="B155" s="227">
        <v>31</v>
      </c>
      <c r="C155" s="227" t="s">
        <v>2691</v>
      </c>
      <c r="D155" s="227" t="s">
        <v>2988</v>
      </c>
      <c r="E155" s="227" t="s">
        <v>3149</v>
      </c>
      <c r="F155" s="227" t="s">
        <v>2694</v>
      </c>
      <c r="G155" s="227" t="s">
        <v>2483</v>
      </c>
      <c r="H155" s="253" t="s">
        <v>3209</v>
      </c>
      <c r="I155" s="253" t="s">
        <v>3207</v>
      </c>
      <c r="J155" s="227" t="s">
        <v>3210</v>
      </c>
      <c r="K155" s="253" t="s">
        <v>3208</v>
      </c>
      <c r="L155" s="253" t="s">
        <v>3210</v>
      </c>
      <c r="M155" s="326" t="s">
        <v>3210</v>
      </c>
      <c r="N155" s="299" t="s">
        <v>2951</v>
      </c>
      <c r="O155" s="292" t="str">
        <f>TablaPOA[[#This Row],[Cod_Sub_acción_especifica]]&amp;"_"&amp;TablaPOA[[#This Row],[Tipo de agente]]</f>
        <v>K31.1.11.1_Consumidores directos de combustibles líquidos y OPDH</v>
      </c>
      <c r="P155" s="250" t="s">
        <v>2808</v>
      </c>
      <c r="Q155" s="293" t="str">
        <f>TablaPOA[[#This Row],[Cod_Sub_acción_especifica]]&amp;"_"&amp;TablaPOA[[#This Row],[Cod_Tipo_agente]]</f>
        <v>K31.1.11.1_TA1</v>
      </c>
      <c r="R155" s="250" t="s">
        <v>2809</v>
      </c>
      <c r="S155" s="323"/>
      <c r="T155" s="269" t="s">
        <v>2827</v>
      </c>
    </row>
    <row r="156" spans="1:20" ht="25.5" x14ac:dyDescent="0.25">
      <c r="A156" s="219" t="s">
        <v>2314</v>
      </c>
      <c r="B156" s="227">
        <v>31</v>
      </c>
      <c r="C156" s="227" t="s">
        <v>2691</v>
      </c>
      <c r="D156" s="227" t="s">
        <v>2988</v>
      </c>
      <c r="E156" s="227" t="s">
        <v>3149</v>
      </c>
      <c r="F156" s="227" t="s">
        <v>2694</v>
      </c>
      <c r="G156" s="227" t="s">
        <v>2483</v>
      </c>
      <c r="H156" s="253" t="s">
        <v>3209</v>
      </c>
      <c r="I156" s="253" t="s">
        <v>3207</v>
      </c>
      <c r="J156" s="227" t="s">
        <v>3210</v>
      </c>
      <c r="K156" s="253" t="s">
        <v>3208</v>
      </c>
      <c r="L156" s="253" t="s">
        <v>3210</v>
      </c>
      <c r="M156" s="326" t="s">
        <v>3210</v>
      </c>
      <c r="N156" s="299" t="s">
        <v>2903</v>
      </c>
      <c r="O156" s="292" t="str">
        <f>TablaPOA[[#This Row],[Cod_Sub_acción_especifica]]&amp;"_"&amp;TablaPOA[[#This Row],[Tipo de agente]]</f>
        <v>K31.1.11.1_Consumidores directos de combustibles líquidos y OPDH</v>
      </c>
      <c r="P156" s="250" t="s">
        <v>2808</v>
      </c>
      <c r="Q156" s="293" t="str">
        <f>TablaPOA[[#This Row],[Cod_Sub_acción_especifica]]&amp;"_"&amp;TablaPOA[[#This Row],[Cod_Tipo_agente]]</f>
        <v>K31.1.11.1_TA1</v>
      </c>
      <c r="R156" s="250" t="s">
        <v>2809</v>
      </c>
      <c r="S156" s="323"/>
      <c r="T156" s="269" t="s">
        <v>2829</v>
      </c>
    </row>
    <row r="157" spans="1:20" ht="25.5" x14ac:dyDescent="0.25">
      <c r="A157" s="219" t="s">
        <v>2314</v>
      </c>
      <c r="B157" s="227">
        <v>31</v>
      </c>
      <c r="C157" s="227" t="s">
        <v>2691</v>
      </c>
      <c r="D157" s="227" t="s">
        <v>2988</v>
      </c>
      <c r="E157" s="227" t="s">
        <v>3149</v>
      </c>
      <c r="F157" s="227" t="s">
        <v>2694</v>
      </c>
      <c r="G157" s="227" t="s">
        <v>2483</v>
      </c>
      <c r="H157" s="253" t="s">
        <v>3209</v>
      </c>
      <c r="I157" s="253" t="s">
        <v>3207</v>
      </c>
      <c r="J157" s="227" t="s">
        <v>3210</v>
      </c>
      <c r="K157" s="253" t="s">
        <v>3208</v>
      </c>
      <c r="L157" s="253" t="s">
        <v>3210</v>
      </c>
      <c r="M157" s="326" t="s">
        <v>3210</v>
      </c>
      <c r="N157" s="299" t="s">
        <v>2963</v>
      </c>
      <c r="O157" s="292" t="str">
        <f>TablaPOA[[#This Row],[Cod_Sub_acción_especifica]]&amp;"_"&amp;TablaPOA[[#This Row],[Tipo de agente]]</f>
        <v>K31.1.11.1_Consumidores directos de gas natural</v>
      </c>
      <c r="P157" s="250" t="s">
        <v>2830</v>
      </c>
      <c r="Q157" s="293" t="str">
        <f>TablaPOA[[#This Row],[Cod_Sub_acción_especifica]]&amp;"_"&amp;TablaPOA[[#This Row],[Cod_Tipo_agente]]</f>
        <v>K31.1.11.1_TA2</v>
      </c>
      <c r="R157" s="250" t="s">
        <v>2831</v>
      </c>
      <c r="S157" s="323"/>
      <c r="T157" s="269" t="s">
        <v>2832</v>
      </c>
    </row>
    <row r="158" spans="1:20" ht="25.5" x14ac:dyDescent="0.25">
      <c r="A158" s="219" t="s">
        <v>2314</v>
      </c>
      <c r="B158" s="227">
        <v>31</v>
      </c>
      <c r="C158" s="227" t="s">
        <v>2691</v>
      </c>
      <c r="D158" s="227" t="s">
        <v>2988</v>
      </c>
      <c r="E158" s="227" t="s">
        <v>3149</v>
      </c>
      <c r="F158" s="227" t="s">
        <v>2694</v>
      </c>
      <c r="G158" s="227" t="s">
        <v>2483</v>
      </c>
      <c r="H158" s="253" t="s">
        <v>3209</v>
      </c>
      <c r="I158" s="253" t="s">
        <v>3207</v>
      </c>
      <c r="J158" s="227" t="s">
        <v>3210</v>
      </c>
      <c r="K158" s="253" t="s">
        <v>3208</v>
      </c>
      <c r="L158" s="253" t="s">
        <v>3210</v>
      </c>
      <c r="M158" s="326" t="s">
        <v>3210</v>
      </c>
      <c r="N158" s="299"/>
      <c r="O158" s="293" t="str">
        <f>TablaPOA[[#This Row],[Cod_Sub_acción_especifica]]&amp;"_"&amp;TablaPOA[[#This Row],[Tipo de agente]]</f>
        <v>K31.1.11.1_Consumidores directos de gas natural</v>
      </c>
      <c r="P158" s="250" t="s">
        <v>2830</v>
      </c>
      <c r="Q158" s="293" t="str">
        <f>TablaPOA[[#This Row],[Cod_Sub_acción_especifica]]&amp;"_"&amp;TablaPOA[[#This Row],[Cod_Tipo_agente]]</f>
        <v>K31.1.11.1_TA2</v>
      </c>
      <c r="R158" s="250" t="s">
        <v>2831</v>
      </c>
      <c r="S158" s="323"/>
      <c r="T158" s="269" t="s">
        <v>2834</v>
      </c>
    </row>
    <row r="159" spans="1:20" ht="25.5" x14ac:dyDescent="0.25">
      <c r="A159" s="219" t="s">
        <v>2314</v>
      </c>
      <c r="B159" s="227">
        <v>31</v>
      </c>
      <c r="C159" s="227" t="s">
        <v>2691</v>
      </c>
      <c r="D159" s="227" t="s">
        <v>2988</v>
      </c>
      <c r="E159" s="227" t="s">
        <v>3149</v>
      </c>
      <c r="F159" s="227" t="s">
        <v>2694</v>
      </c>
      <c r="G159" s="227" t="s">
        <v>2483</v>
      </c>
      <c r="H159" s="253" t="s">
        <v>3209</v>
      </c>
      <c r="I159" s="253" t="s">
        <v>3207</v>
      </c>
      <c r="J159" s="227" t="s">
        <v>3210</v>
      </c>
      <c r="K159" s="253" t="s">
        <v>3208</v>
      </c>
      <c r="L159" s="253" t="s">
        <v>3210</v>
      </c>
      <c r="M159" s="326" t="s">
        <v>3210</v>
      </c>
      <c r="N159" s="299"/>
      <c r="O159" s="293" t="str">
        <f>TablaPOA[[#This Row],[Cod_Sub_acción_especifica]]&amp;"_"&amp;TablaPOA[[#This Row],[Tipo de agente]]</f>
        <v>K31.1.11.1_Consumidores directos de gas natural</v>
      </c>
      <c r="P159" s="250" t="s">
        <v>2830</v>
      </c>
      <c r="Q159" s="293" t="str">
        <f>TablaPOA[[#This Row],[Cod_Sub_acción_especifica]]&amp;"_"&amp;TablaPOA[[#This Row],[Cod_Tipo_agente]]</f>
        <v>K31.1.11.1_TA2</v>
      </c>
      <c r="R159" s="250" t="s">
        <v>2831</v>
      </c>
      <c r="S159" s="323"/>
      <c r="T159" s="269" t="s">
        <v>2836</v>
      </c>
    </row>
    <row r="160" spans="1:20" ht="25.5" x14ac:dyDescent="0.25">
      <c r="A160" s="219" t="s">
        <v>2314</v>
      </c>
      <c r="B160" s="227">
        <v>31</v>
      </c>
      <c r="C160" s="227" t="s">
        <v>2691</v>
      </c>
      <c r="D160" s="227" t="s">
        <v>2988</v>
      </c>
      <c r="E160" s="227" t="s">
        <v>3149</v>
      </c>
      <c r="F160" s="227" t="s">
        <v>2694</v>
      </c>
      <c r="G160" s="227" t="s">
        <v>2483</v>
      </c>
      <c r="H160" s="253" t="s">
        <v>3209</v>
      </c>
      <c r="I160" s="253" t="s">
        <v>3207</v>
      </c>
      <c r="J160" s="227" t="s">
        <v>3210</v>
      </c>
      <c r="K160" s="253" t="s">
        <v>3208</v>
      </c>
      <c r="L160" s="253" t="s">
        <v>3210</v>
      </c>
      <c r="M160" s="326" t="s">
        <v>3210</v>
      </c>
      <c r="N160" s="299"/>
      <c r="O160" s="293" t="str">
        <f>TablaPOA[[#This Row],[Cod_Sub_acción_especifica]]&amp;"_"&amp;TablaPOA[[#This Row],[Tipo de agente]]</f>
        <v>K31.1.11.1_Consumidores directos de gas natural</v>
      </c>
      <c r="P160" s="250" t="s">
        <v>2830</v>
      </c>
      <c r="Q160" s="293" t="str">
        <f>TablaPOA[[#This Row],[Cod_Sub_acción_especifica]]&amp;"_"&amp;TablaPOA[[#This Row],[Cod_Tipo_agente]]</f>
        <v>K31.1.11.1_TA2</v>
      </c>
      <c r="R160" s="250" t="s">
        <v>2831</v>
      </c>
      <c r="S160" s="323"/>
      <c r="T160" s="269" t="s">
        <v>2838</v>
      </c>
    </row>
    <row r="161" spans="1:20 16384:16384" ht="25.5" x14ac:dyDescent="0.25">
      <c r="A161" s="219" t="s">
        <v>2314</v>
      </c>
      <c r="B161" s="227">
        <v>31</v>
      </c>
      <c r="C161" s="227" t="s">
        <v>2691</v>
      </c>
      <c r="D161" s="227" t="s">
        <v>2988</v>
      </c>
      <c r="E161" s="227" t="s">
        <v>3149</v>
      </c>
      <c r="F161" s="227" t="s">
        <v>2694</v>
      </c>
      <c r="G161" s="227" t="s">
        <v>2483</v>
      </c>
      <c r="H161" s="253" t="s">
        <v>3209</v>
      </c>
      <c r="I161" s="253" t="s">
        <v>3207</v>
      </c>
      <c r="J161" s="227" t="s">
        <v>3210</v>
      </c>
      <c r="K161" s="253" t="s">
        <v>3208</v>
      </c>
      <c r="L161" s="253" t="s">
        <v>3210</v>
      </c>
      <c r="M161" s="326" t="s">
        <v>3210</v>
      </c>
      <c r="N161" s="299"/>
      <c r="O161" s="293" t="str">
        <f>TablaPOA[[#This Row],[Cod_Sub_acción_especifica]]&amp;"_"&amp;TablaPOA[[#This Row],[Tipo de agente]]</f>
        <v>K31.1.11.1_Consumidores directos de GLP y redes de distribución</v>
      </c>
      <c r="P161" s="250" t="s">
        <v>2839</v>
      </c>
      <c r="Q161" s="293" t="str">
        <f>TablaPOA[[#This Row],[Cod_Sub_acción_especifica]]&amp;"_"&amp;TablaPOA[[#This Row],[Cod_Tipo_agente]]</f>
        <v>K31.1.11.1_TA3</v>
      </c>
      <c r="R161" s="250" t="s">
        <v>2840</v>
      </c>
      <c r="S161" s="323"/>
      <c r="T161" s="269" t="s">
        <v>2841</v>
      </c>
    </row>
    <row r="162" spans="1:20 16384:16384" ht="25.5" x14ac:dyDescent="0.25">
      <c r="A162" s="219" t="s">
        <v>2314</v>
      </c>
      <c r="B162" s="227">
        <v>31</v>
      </c>
      <c r="C162" s="227" t="s">
        <v>2691</v>
      </c>
      <c r="D162" s="227" t="s">
        <v>2988</v>
      </c>
      <c r="E162" s="227" t="s">
        <v>3149</v>
      </c>
      <c r="F162" s="227" t="s">
        <v>2694</v>
      </c>
      <c r="G162" s="227" t="s">
        <v>2483</v>
      </c>
      <c r="H162" s="253" t="s">
        <v>3209</v>
      </c>
      <c r="I162" s="253" t="s">
        <v>3207</v>
      </c>
      <c r="J162" s="227" t="s">
        <v>3210</v>
      </c>
      <c r="K162" s="253" t="s">
        <v>3208</v>
      </c>
      <c r="L162" s="253" t="s">
        <v>3210</v>
      </c>
      <c r="M162" s="326" t="s">
        <v>3210</v>
      </c>
      <c r="N162" s="299"/>
      <c r="O162" s="293" t="str">
        <f>TablaPOA[[#This Row],[Cod_Sub_acción_especifica]]&amp;"_"&amp;TablaPOA[[#This Row],[Tipo de agente]]</f>
        <v>K31.1.11.1_Consumidores directos de GLP y redes de distribución</v>
      </c>
      <c r="P162" s="250" t="s">
        <v>2839</v>
      </c>
      <c r="Q162" s="293" t="str">
        <f>TablaPOA[[#This Row],[Cod_Sub_acción_especifica]]&amp;"_"&amp;TablaPOA[[#This Row],[Cod_Tipo_agente]]</f>
        <v>K31.1.11.1_TA3</v>
      </c>
      <c r="R162" s="250" t="s">
        <v>2840</v>
      </c>
      <c r="S162" s="323"/>
      <c r="T162" s="269" t="s">
        <v>2843</v>
      </c>
    </row>
    <row r="163" spans="1:20 16384:16384" ht="25.5" x14ac:dyDescent="0.25">
      <c r="A163" s="219" t="s">
        <v>2314</v>
      </c>
      <c r="B163" s="227">
        <v>31</v>
      </c>
      <c r="C163" s="227" t="s">
        <v>2691</v>
      </c>
      <c r="D163" s="227" t="s">
        <v>2988</v>
      </c>
      <c r="E163" s="227" t="s">
        <v>3149</v>
      </c>
      <c r="F163" s="227" t="s">
        <v>2694</v>
      </c>
      <c r="G163" s="227" t="s">
        <v>2483</v>
      </c>
      <c r="H163" s="253" t="s">
        <v>3209</v>
      </c>
      <c r="I163" s="253" t="s">
        <v>3207</v>
      </c>
      <c r="J163" s="227" t="s">
        <v>3210</v>
      </c>
      <c r="K163" s="253" t="s">
        <v>3208</v>
      </c>
      <c r="L163" s="253" t="s">
        <v>3210</v>
      </c>
      <c r="M163" s="326" t="s">
        <v>3210</v>
      </c>
      <c r="N163" s="299"/>
      <c r="O163" s="293" t="str">
        <f>TablaPOA[[#This Row],[Cod_Sub_acción_especifica]]&amp;"_"&amp;TablaPOA[[#This Row],[Tipo de agente]]</f>
        <v>K31.1.11.1_Consumidores directos de GLP y redes de distribución</v>
      </c>
      <c r="P163" s="250" t="s">
        <v>2839</v>
      </c>
      <c r="Q163" s="293" t="str">
        <f>TablaPOA[[#This Row],[Cod_Sub_acción_especifica]]&amp;"_"&amp;TablaPOA[[#This Row],[Cod_Tipo_agente]]</f>
        <v>K31.1.11.1_TA3</v>
      </c>
      <c r="R163" s="250" t="s">
        <v>2840</v>
      </c>
      <c r="S163" s="323"/>
      <c r="T163" s="269" t="s">
        <v>2845</v>
      </c>
    </row>
    <row r="164" spans="1:20 16384:16384" ht="25.5" x14ac:dyDescent="0.25">
      <c r="A164" s="219" t="s">
        <v>2314</v>
      </c>
      <c r="B164" s="227">
        <v>31</v>
      </c>
      <c r="C164" s="227" t="s">
        <v>2691</v>
      </c>
      <c r="D164" s="227" t="s">
        <v>2988</v>
      </c>
      <c r="E164" s="227" t="s">
        <v>3149</v>
      </c>
      <c r="F164" s="227" t="s">
        <v>2694</v>
      </c>
      <c r="G164" s="227" t="s">
        <v>2483</v>
      </c>
      <c r="H164" s="253" t="s">
        <v>3209</v>
      </c>
      <c r="I164" s="253" t="s">
        <v>3207</v>
      </c>
      <c r="J164" s="227" t="s">
        <v>3210</v>
      </c>
      <c r="K164" s="253" t="s">
        <v>3208</v>
      </c>
      <c r="L164" s="253" t="s">
        <v>3210</v>
      </c>
      <c r="M164" s="326" t="s">
        <v>3210</v>
      </c>
      <c r="N164" s="299"/>
      <c r="O164" s="293" t="str">
        <f>TablaPOA[[#This Row],[Cod_Sub_acción_especifica]]&amp;"_"&amp;TablaPOA[[#This Row],[Tipo de agente]]</f>
        <v>K31.1.11.1_Consumidores directos de GLP y redes de distribución</v>
      </c>
      <c r="P164" s="250" t="s">
        <v>2839</v>
      </c>
      <c r="Q164" s="293" t="str">
        <f>TablaPOA[[#This Row],[Cod_Sub_acción_especifica]]&amp;"_"&amp;TablaPOA[[#This Row],[Cod_Tipo_agente]]</f>
        <v>K31.1.11.1_TA3</v>
      </c>
      <c r="R164" s="250" t="s">
        <v>2840</v>
      </c>
      <c r="S164" s="323"/>
      <c r="T164" s="269" t="s">
        <v>2847</v>
      </c>
    </row>
    <row r="165" spans="1:20 16384:16384" ht="25.5" x14ac:dyDescent="0.25">
      <c r="A165" s="219" t="s">
        <v>2314</v>
      </c>
      <c r="B165" s="227">
        <v>31</v>
      </c>
      <c r="C165" s="227" t="s">
        <v>2691</v>
      </c>
      <c r="D165" s="227" t="s">
        <v>2988</v>
      </c>
      <c r="E165" s="227" t="s">
        <v>3149</v>
      </c>
      <c r="F165" s="227" t="s">
        <v>2694</v>
      </c>
      <c r="G165" s="227" t="s">
        <v>2483</v>
      </c>
      <c r="H165" s="253" t="s">
        <v>3209</v>
      </c>
      <c r="I165" s="253" t="s">
        <v>3207</v>
      </c>
      <c r="J165" s="227" t="s">
        <v>3210</v>
      </c>
      <c r="K165" s="253" t="s">
        <v>3208</v>
      </c>
      <c r="L165" s="253" t="s">
        <v>3210</v>
      </c>
      <c r="M165" s="326" t="s">
        <v>3210</v>
      </c>
      <c r="N165" s="299"/>
      <c r="O165" s="293" t="str">
        <f>TablaPOA[[#This Row],[Cod_Sub_acción_especifica]]&amp;"_"&amp;TablaPOA[[#This Row],[Tipo de agente]]</f>
        <v>K31.1.11.1_Consumidores directos de GLP y redes de distribución</v>
      </c>
      <c r="P165" s="250" t="s">
        <v>2839</v>
      </c>
      <c r="Q165" s="293" t="str">
        <f>TablaPOA[[#This Row],[Cod_Sub_acción_especifica]]&amp;"_"&amp;TablaPOA[[#This Row],[Cod_Tipo_agente]]</f>
        <v>K31.1.11.1_TA3</v>
      </c>
      <c r="R165" s="250" t="s">
        <v>2840</v>
      </c>
      <c r="S165" s="323"/>
      <c r="T165" s="269" t="s">
        <v>2849</v>
      </c>
    </row>
    <row r="166" spans="1:20 16384:16384" ht="25.5" x14ac:dyDescent="0.25">
      <c r="A166" s="219" t="s">
        <v>2314</v>
      </c>
      <c r="B166" s="227">
        <v>31</v>
      </c>
      <c r="C166" s="227" t="s">
        <v>2691</v>
      </c>
      <c r="D166" s="227" t="s">
        <v>2988</v>
      </c>
      <c r="E166" s="227" t="s">
        <v>3149</v>
      </c>
      <c r="F166" s="227" t="s">
        <v>2694</v>
      </c>
      <c r="G166" s="227" t="s">
        <v>2483</v>
      </c>
      <c r="H166" s="253" t="s">
        <v>3209</v>
      </c>
      <c r="I166" s="253" t="s">
        <v>3207</v>
      </c>
      <c r="J166" s="227" t="s">
        <v>3210</v>
      </c>
      <c r="K166" s="253" t="s">
        <v>3208</v>
      </c>
      <c r="L166" s="253" t="s">
        <v>3210</v>
      </c>
      <c r="M166" s="326" t="s">
        <v>3210</v>
      </c>
      <c r="N166" s="299"/>
      <c r="O166" s="293" t="str">
        <f>TablaPOA[[#This Row],[Cod_Sub_acción_especifica]]&amp;"_"&amp;TablaPOA[[#This Row],[Tipo de agente]]</f>
        <v>K31.1.11.1_Consumidores directos de GLP y redes de distribución</v>
      </c>
      <c r="P166" s="250" t="s">
        <v>2839</v>
      </c>
      <c r="Q166" s="293" t="str">
        <f>TablaPOA[[#This Row],[Cod_Sub_acción_especifica]]&amp;"_"&amp;TablaPOA[[#This Row],[Cod_Tipo_agente]]</f>
        <v>K31.1.11.1_TA3</v>
      </c>
      <c r="R166" s="250" t="s">
        <v>2840</v>
      </c>
      <c r="S166" s="323"/>
      <c r="T166" s="269" t="s">
        <v>2851</v>
      </c>
    </row>
    <row r="167" spans="1:20 16384:16384" ht="25.5" x14ac:dyDescent="0.25">
      <c r="A167" s="219" t="s">
        <v>2314</v>
      </c>
      <c r="B167" s="227">
        <v>31</v>
      </c>
      <c r="C167" s="227" t="s">
        <v>2691</v>
      </c>
      <c r="D167" s="227" t="s">
        <v>2988</v>
      </c>
      <c r="E167" s="227" t="s">
        <v>3149</v>
      </c>
      <c r="F167" s="227" t="s">
        <v>2694</v>
      </c>
      <c r="G167" s="227" t="s">
        <v>2483</v>
      </c>
      <c r="H167" s="253" t="s">
        <v>3209</v>
      </c>
      <c r="I167" s="253" t="s">
        <v>3207</v>
      </c>
      <c r="J167" s="227" t="s">
        <v>3210</v>
      </c>
      <c r="K167" s="253" t="s">
        <v>3208</v>
      </c>
      <c r="L167" s="253" t="s">
        <v>3210</v>
      </c>
      <c r="M167" s="326" t="s">
        <v>3210</v>
      </c>
      <c r="N167" s="299"/>
      <c r="O167" s="293" t="str">
        <f>TablaPOA[[#This Row],[Cod_Sub_acción_especifica]]&amp;"_"&amp;TablaPOA[[#This Row],[Tipo de agente]]</f>
        <v>K31.1.11.1_Distribuidores mayoristas, Importadores y Comercializadores</v>
      </c>
      <c r="P167" s="250" t="s">
        <v>2852</v>
      </c>
      <c r="Q167" s="293" t="str">
        <f>TablaPOA[[#This Row],[Cod_Sub_acción_especifica]]&amp;"_"&amp;TablaPOA[[#This Row],[Cod_Tipo_agente]]</f>
        <v>K31.1.11.1_TA4</v>
      </c>
      <c r="R167" s="250" t="s">
        <v>2853</v>
      </c>
      <c r="S167" s="323"/>
      <c r="T167" s="269" t="s">
        <v>2855</v>
      </c>
      <c r="XFD167" s="324"/>
    </row>
    <row r="168" spans="1:20 16384:16384" ht="25.5" x14ac:dyDescent="0.25">
      <c r="A168" s="219" t="s">
        <v>2314</v>
      </c>
      <c r="B168" s="227">
        <v>31</v>
      </c>
      <c r="C168" s="227" t="s">
        <v>2691</v>
      </c>
      <c r="D168" s="227" t="s">
        <v>2988</v>
      </c>
      <c r="E168" s="227" t="s">
        <v>3149</v>
      </c>
      <c r="F168" s="227" t="s">
        <v>2694</v>
      </c>
      <c r="G168" s="227" t="s">
        <v>2483</v>
      </c>
      <c r="H168" s="253" t="s">
        <v>3209</v>
      </c>
      <c r="I168" s="253" t="s">
        <v>3207</v>
      </c>
      <c r="J168" s="227" t="s">
        <v>3210</v>
      </c>
      <c r="K168" s="253" t="s">
        <v>3208</v>
      </c>
      <c r="L168" s="253" t="s">
        <v>3210</v>
      </c>
      <c r="M168" s="326" t="s">
        <v>3210</v>
      </c>
      <c r="N168" s="299"/>
      <c r="O168" s="293" t="str">
        <f>TablaPOA[[#This Row],[Cod_Sub_acción_especifica]]&amp;"_"&amp;TablaPOA[[#This Row],[Tipo de agente]]</f>
        <v>K31.1.11.1_Distribuidores mayoristas, Importadores y Comercializadores</v>
      </c>
      <c r="P168" s="250" t="s">
        <v>2852</v>
      </c>
      <c r="Q168" s="293" t="str">
        <f>TablaPOA[[#This Row],[Cod_Sub_acción_especifica]]&amp;"_"&amp;TablaPOA[[#This Row],[Cod_Tipo_agente]]</f>
        <v>K31.1.11.1_TA4</v>
      </c>
      <c r="R168" s="250" t="s">
        <v>2853</v>
      </c>
      <c r="S168" s="323"/>
      <c r="T168" s="269" t="s">
        <v>2857</v>
      </c>
    </row>
    <row r="169" spans="1:20 16384:16384" ht="25.5" x14ac:dyDescent="0.25">
      <c r="A169" s="219" t="s">
        <v>2314</v>
      </c>
      <c r="B169" s="227">
        <v>31</v>
      </c>
      <c r="C169" s="227" t="s">
        <v>2691</v>
      </c>
      <c r="D169" s="227" t="s">
        <v>2988</v>
      </c>
      <c r="E169" s="227" t="s">
        <v>3149</v>
      </c>
      <c r="F169" s="227" t="s">
        <v>2694</v>
      </c>
      <c r="G169" s="227" t="s">
        <v>2483</v>
      </c>
      <c r="H169" s="253" t="s">
        <v>3209</v>
      </c>
      <c r="I169" s="253" t="s">
        <v>3207</v>
      </c>
      <c r="J169" s="227" t="s">
        <v>3210</v>
      </c>
      <c r="K169" s="253" t="s">
        <v>3208</v>
      </c>
      <c r="L169" s="253" t="s">
        <v>3210</v>
      </c>
      <c r="M169" s="326" t="s">
        <v>3210</v>
      </c>
      <c r="N169" s="299"/>
      <c r="O169" s="293" t="str">
        <f>TablaPOA[[#This Row],[Cod_Sub_acción_especifica]]&amp;"_"&amp;TablaPOA[[#This Row],[Tipo de agente]]</f>
        <v>K31.1.11.1_Distribuidores mayoristas, Importadores y Comercializadores</v>
      </c>
      <c r="P169" s="250" t="s">
        <v>2852</v>
      </c>
      <c r="Q169" s="293" t="str">
        <f>TablaPOA[[#This Row],[Cod_Sub_acción_especifica]]&amp;"_"&amp;TablaPOA[[#This Row],[Cod_Tipo_agente]]</f>
        <v>K31.1.11.1_TA4</v>
      </c>
      <c r="R169" s="250" t="s">
        <v>2853</v>
      </c>
      <c r="S169" s="323"/>
      <c r="T169" s="269" t="s">
        <v>2859</v>
      </c>
    </row>
    <row r="170" spans="1:20 16384:16384" ht="25.5" x14ac:dyDescent="0.25">
      <c r="A170" s="219" t="s">
        <v>2314</v>
      </c>
      <c r="B170" s="227">
        <v>31</v>
      </c>
      <c r="C170" s="227" t="s">
        <v>2691</v>
      </c>
      <c r="D170" s="227" t="s">
        <v>2988</v>
      </c>
      <c r="E170" s="227" t="s">
        <v>3149</v>
      </c>
      <c r="F170" s="227" t="s">
        <v>2694</v>
      </c>
      <c r="G170" s="227" t="s">
        <v>2483</v>
      </c>
      <c r="H170" s="253" t="s">
        <v>3209</v>
      </c>
      <c r="I170" s="253" t="s">
        <v>3207</v>
      </c>
      <c r="J170" s="227" t="s">
        <v>3210</v>
      </c>
      <c r="K170" s="253" t="s">
        <v>3208</v>
      </c>
      <c r="L170" s="253" t="s">
        <v>3210</v>
      </c>
      <c r="M170" s="326" t="s">
        <v>3210</v>
      </c>
      <c r="N170" s="299"/>
      <c r="O170" s="293" t="str">
        <f>TablaPOA[[#This Row],[Cod_Sub_acción_especifica]]&amp;"_"&amp;TablaPOA[[#This Row],[Tipo de agente]]</f>
        <v>K31.1.11.1_Distribuidores mayoristas, Importadores y Comercializadores</v>
      </c>
      <c r="P170" s="250" t="s">
        <v>2852</v>
      </c>
      <c r="Q170" s="293" t="str">
        <f>TablaPOA[[#This Row],[Cod_Sub_acción_especifica]]&amp;"_"&amp;TablaPOA[[#This Row],[Cod_Tipo_agente]]</f>
        <v>K31.1.11.1_TA4</v>
      </c>
      <c r="R170" s="250" t="s">
        <v>2853</v>
      </c>
      <c r="S170" s="323"/>
      <c r="T170" s="269" t="s">
        <v>2861</v>
      </c>
    </row>
    <row r="171" spans="1:20 16384:16384" ht="25.5" x14ac:dyDescent="0.25">
      <c r="A171" s="219" t="s">
        <v>2314</v>
      </c>
      <c r="B171" s="227">
        <v>31</v>
      </c>
      <c r="C171" s="227" t="s">
        <v>2691</v>
      </c>
      <c r="D171" s="227" t="s">
        <v>2988</v>
      </c>
      <c r="E171" s="227" t="s">
        <v>3149</v>
      </c>
      <c r="F171" s="227" t="s">
        <v>2694</v>
      </c>
      <c r="G171" s="227" t="s">
        <v>2483</v>
      </c>
      <c r="H171" s="253" t="s">
        <v>3209</v>
      </c>
      <c r="I171" s="253" t="s">
        <v>3207</v>
      </c>
      <c r="J171" s="227" t="s">
        <v>3210</v>
      </c>
      <c r="K171" s="253" t="s">
        <v>3208</v>
      </c>
      <c r="L171" s="253" t="s">
        <v>3210</v>
      </c>
      <c r="M171" s="326" t="s">
        <v>3210</v>
      </c>
      <c r="N171" s="299"/>
      <c r="O171" s="293" t="str">
        <f>TablaPOA[[#This Row],[Cod_Sub_acción_especifica]]&amp;"_"&amp;TablaPOA[[#This Row],[Tipo de agente]]</f>
        <v>K31.1.11.1_Distribuidores mayoristas, Importadores y Comercializadores</v>
      </c>
      <c r="P171" s="250" t="s">
        <v>2852</v>
      </c>
      <c r="Q171" s="293" t="str">
        <f>TablaPOA[[#This Row],[Cod_Sub_acción_especifica]]&amp;"_"&amp;TablaPOA[[#This Row],[Cod_Tipo_agente]]</f>
        <v>K31.1.11.1_TA4</v>
      </c>
      <c r="R171" s="250" t="s">
        <v>2853</v>
      </c>
      <c r="S171" s="323"/>
      <c r="T171" s="269" t="s">
        <v>2863</v>
      </c>
    </row>
    <row r="172" spans="1:20 16384:16384" ht="25.5" x14ac:dyDescent="0.25">
      <c r="A172" s="219" t="s">
        <v>2314</v>
      </c>
      <c r="B172" s="227">
        <v>31</v>
      </c>
      <c r="C172" s="227" t="s">
        <v>2691</v>
      </c>
      <c r="D172" s="227" t="s">
        <v>2988</v>
      </c>
      <c r="E172" s="227" t="s">
        <v>3149</v>
      </c>
      <c r="F172" s="227" t="s">
        <v>2694</v>
      </c>
      <c r="G172" s="227" t="s">
        <v>2483</v>
      </c>
      <c r="H172" s="253" t="s">
        <v>3209</v>
      </c>
      <c r="I172" s="253" t="s">
        <v>3207</v>
      </c>
      <c r="J172" s="227" t="s">
        <v>3210</v>
      </c>
      <c r="K172" s="253" t="s">
        <v>3208</v>
      </c>
      <c r="L172" s="253" t="s">
        <v>3210</v>
      </c>
      <c r="M172" s="326" t="s">
        <v>3210</v>
      </c>
      <c r="N172" s="299"/>
      <c r="O172" s="293" t="str">
        <f>TablaPOA[[#This Row],[Cod_Sub_acción_especifica]]&amp;"_"&amp;TablaPOA[[#This Row],[Tipo de agente]]</f>
        <v>K31.1.11.1_Distribuidores mayoristas, Importadores y Comercializadores</v>
      </c>
      <c r="P172" s="250" t="s">
        <v>2852</v>
      </c>
      <c r="Q172" s="293" t="str">
        <f>TablaPOA[[#This Row],[Cod_Sub_acción_especifica]]&amp;"_"&amp;TablaPOA[[#This Row],[Cod_Tipo_agente]]</f>
        <v>K31.1.11.1_TA4</v>
      </c>
      <c r="R172" s="250" t="s">
        <v>2853</v>
      </c>
      <c r="S172" s="323"/>
      <c r="T172" s="269" t="s">
        <v>2865</v>
      </c>
    </row>
    <row r="173" spans="1:20 16384:16384" ht="25.5" x14ac:dyDescent="0.25">
      <c r="A173" s="219" t="s">
        <v>2314</v>
      </c>
      <c r="B173" s="227">
        <v>31</v>
      </c>
      <c r="C173" s="227" t="s">
        <v>2691</v>
      </c>
      <c r="D173" s="227" t="s">
        <v>2988</v>
      </c>
      <c r="E173" s="227" t="s">
        <v>3149</v>
      </c>
      <c r="F173" s="227" t="s">
        <v>2694</v>
      </c>
      <c r="G173" s="227" t="s">
        <v>2483</v>
      </c>
      <c r="H173" s="253" t="s">
        <v>3209</v>
      </c>
      <c r="I173" s="253" t="s">
        <v>3207</v>
      </c>
      <c r="J173" s="227" t="s">
        <v>3210</v>
      </c>
      <c r="K173" s="253" t="s">
        <v>3208</v>
      </c>
      <c r="L173" s="253" t="s">
        <v>3210</v>
      </c>
      <c r="M173" s="326" t="s">
        <v>3210</v>
      </c>
      <c r="N173" s="299"/>
      <c r="O173" s="293" t="str">
        <f>TablaPOA[[#This Row],[Cod_Sub_acción_especifica]]&amp;"_"&amp;TablaPOA[[#This Row],[Tipo de agente]]</f>
        <v>K31.1.11.1_Distribuidores mayoristas, Importadores y Comercializadores</v>
      </c>
      <c r="P173" s="250" t="s">
        <v>2852</v>
      </c>
      <c r="Q173" s="293" t="str">
        <f>TablaPOA[[#This Row],[Cod_Sub_acción_especifica]]&amp;"_"&amp;TablaPOA[[#This Row],[Cod_Tipo_agente]]</f>
        <v>K31.1.11.1_TA4</v>
      </c>
      <c r="R173" s="250" t="s">
        <v>2853</v>
      </c>
      <c r="S173" s="323"/>
      <c r="T173" s="269" t="s">
        <v>2867</v>
      </c>
    </row>
    <row r="174" spans="1:20 16384:16384" ht="25.5" x14ac:dyDescent="0.25">
      <c r="A174" s="219" t="s">
        <v>2314</v>
      </c>
      <c r="B174" s="227">
        <v>31</v>
      </c>
      <c r="C174" s="227" t="s">
        <v>2691</v>
      </c>
      <c r="D174" s="227" t="s">
        <v>2988</v>
      </c>
      <c r="E174" s="227" t="s">
        <v>3149</v>
      </c>
      <c r="F174" s="227" t="s">
        <v>2694</v>
      </c>
      <c r="G174" s="227" t="s">
        <v>2483</v>
      </c>
      <c r="H174" s="253" t="s">
        <v>3209</v>
      </c>
      <c r="I174" s="253" t="s">
        <v>3207</v>
      </c>
      <c r="J174" s="227" t="s">
        <v>3210</v>
      </c>
      <c r="K174" s="253" t="s">
        <v>3208</v>
      </c>
      <c r="L174" s="253" t="s">
        <v>3210</v>
      </c>
      <c r="M174" s="326" t="s">
        <v>3210</v>
      </c>
      <c r="N174" s="299"/>
      <c r="O174" s="293" t="str">
        <f>TablaPOA[[#This Row],[Cod_Sub_acción_especifica]]&amp;"_"&amp;TablaPOA[[#This Row],[Tipo de agente]]</f>
        <v>K31.1.11.1_Distribuidores mayoristas, Importadores y Comercializadores</v>
      </c>
      <c r="P174" s="250" t="s">
        <v>2852</v>
      </c>
      <c r="Q174" s="293" t="str">
        <f>TablaPOA[[#This Row],[Cod_Sub_acción_especifica]]&amp;"_"&amp;TablaPOA[[#This Row],[Cod_Tipo_agente]]</f>
        <v>K31.1.11.1_TA4</v>
      </c>
      <c r="R174" s="250" t="s">
        <v>2853</v>
      </c>
      <c r="S174" s="323"/>
      <c r="T174" s="269" t="s">
        <v>2869</v>
      </c>
    </row>
    <row r="175" spans="1:20 16384:16384" ht="25.5" x14ac:dyDescent="0.25">
      <c r="A175" s="219" t="s">
        <v>2314</v>
      </c>
      <c r="B175" s="227">
        <v>31</v>
      </c>
      <c r="C175" s="227" t="s">
        <v>2691</v>
      </c>
      <c r="D175" s="227" t="s">
        <v>2988</v>
      </c>
      <c r="E175" s="227" t="s">
        <v>3149</v>
      </c>
      <c r="F175" s="227" t="s">
        <v>2694</v>
      </c>
      <c r="G175" s="227" t="s">
        <v>2483</v>
      </c>
      <c r="H175" s="253" t="s">
        <v>3209</v>
      </c>
      <c r="I175" s="253" t="s">
        <v>3207</v>
      </c>
      <c r="J175" s="227" t="s">
        <v>3210</v>
      </c>
      <c r="K175" s="253" t="s">
        <v>3208</v>
      </c>
      <c r="L175" s="253" t="s">
        <v>3210</v>
      </c>
      <c r="M175" s="326" t="s">
        <v>3210</v>
      </c>
      <c r="N175" s="299"/>
      <c r="O175" s="293" t="str">
        <f>TablaPOA[[#This Row],[Cod_Sub_acción_especifica]]&amp;"_"&amp;TablaPOA[[#This Row],[Tipo de agente]]</f>
        <v>K31.1.11.1_Distribuidores mayoristas, Importadores y Comercializadores</v>
      </c>
      <c r="P175" s="250" t="s">
        <v>2852</v>
      </c>
      <c r="Q175" s="293" t="str">
        <f>TablaPOA[[#This Row],[Cod_Sub_acción_especifica]]&amp;"_"&amp;TablaPOA[[#This Row],[Cod_Tipo_agente]]</f>
        <v>K31.1.11.1_TA4</v>
      </c>
      <c r="R175" s="250" t="s">
        <v>2853</v>
      </c>
      <c r="S175" s="323"/>
      <c r="T175" s="269" t="s">
        <v>2871</v>
      </c>
    </row>
    <row r="176" spans="1:20 16384:16384" ht="25.5" x14ac:dyDescent="0.25">
      <c r="A176" s="219" t="s">
        <v>2314</v>
      </c>
      <c r="B176" s="227">
        <v>31</v>
      </c>
      <c r="C176" s="227" t="s">
        <v>2691</v>
      </c>
      <c r="D176" s="227" t="s">
        <v>2988</v>
      </c>
      <c r="E176" s="227" t="s">
        <v>3149</v>
      </c>
      <c r="F176" s="227" t="s">
        <v>2694</v>
      </c>
      <c r="G176" s="227" t="s">
        <v>2483</v>
      </c>
      <c r="H176" s="253" t="s">
        <v>3209</v>
      </c>
      <c r="I176" s="253" t="s">
        <v>3207</v>
      </c>
      <c r="J176" s="227" t="s">
        <v>3210</v>
      </c>
      <c r="K176" s="253" t="s">
        <v>3208</v>
      </c>
      <c r="L176" s="253" t="s">
        <v>3210</v>
      </c>
      <c r="M176" s="326" t="s">
        <v>3210</v>
      </c>
      <c r="N176" s="299"/>
      <c r="O176" s="293" t="str">
        <f>TablaPOA[[#This Row],[Cod_Sub_acción_especifica]]&amp;"_"&amp;TablaPOA[[#This Row],[Tipo de agente]]</f>
        <v>K31.1.11.1_Distribuidores mayoristas, Importadores y Comercializadores</v>
      </c>
      <c r="P176" s="250" t="s">
        <v>2852</v>
      </c>
      <c r="Q176" s="293" t="str">
        <f>TablaPOA[[#This Row],[Cod_Sub_acción_especifica]]&amp;"_"&amp;TablaPOA[[#This Row],[Cod_Tipo_agente]]</f>
        <v>K31.1.11.1_TA4</v>
      </c>
      <c r="R176" s="250" t="s">
        <v>2853</v>
      </c>
      <c r="S176" s="323"/>
      <c r="T176" s="269" t="s">
        <v>2873</v>
      </c>
    </row>
    <row r="177" spans="1:20" ht="25.5" x14ac:dyDescent="0.25">
      <c r="A177" s="219" t="s">
        <v>2314</v>
      </c>
      <c r="B177" s="227">
        <v>31</v>
      </c>
      <c r="C177" s="227" t="s">
        <v>2691</v>
      </c>
      <c r="D177" s="227" t="s">
        <v>2988</v>
      </c>
      <c r="E177" s="227" t="s">
        <v>3149</v>
      </c>
      <c r="F177" s="227" t="s">
        <v>2694</v>
      </c>
      <c r="G177" s="227" t="s">
        <v>2483</v>
      </c>
      <c r="H177" s="253" t="s">
        <v>3209</v>
      </c>
      <c r="I177" s="253" t="s">
        <v>3207</v>
      </c>
      <c r="J177" s="227" t="s">
        <v>3210</v>
      </c>
      <c r="K177" s="253" t="s">
        <v>3208</v>
      </c>
      <c r="L177" s="253" t="s">
        <v>3210</v>
      </c>
      <c r="M177" s="326" t="s">
        <v>3210</v>
      </c>
      <c r="N177" s="299"/>
      <c r="O177" s="293" t="str">
        <f>TablaPOA[[#This Row],[Cod_Sub_acción_especifica]]&amp;"_"&amp;TablaPOA[[#This Row],[Tipo de agente]]</f>
        <v>K31.1.11.1_Distribuidores mayoristas, Importadores y Comercializadores</v>
      </c>
      <c r="P177" s="250" t="s">
        <v>2852</v>
      </c>
      <c r="Q177" s="293" t="str">
        <f>TablaPOA[[#This Row],[Cod_Sub_acción_especifica]]&amp;"_"&amp;TablaPOA[[#This Row],[Cod_Tipo_agente]]</f>
        <v>K31.1.11.1_TA4</v>
      </c>
      <c r="R177" s="250" t="s">
        <v>2853</v>
      </c>
      <c r="S177" s="323"/>
      <c r="T177" s="269" t="s">
        <v>2875</v>
      </c>
    </row>
    <row r="178" spans="1:20" ht="25.5" x14ac:dyDescent="0.25">
      <c r="A178" s="219" t="s">
        <v>2314</v>
      </c>
      <c r="B178" s="227">
        <v>31</v>
      </c>
      <c r="C178" s="227" t="s">
        <v>2691</v>
      </c>
      <c r="D178" s="227" t="s">
        <v>2988</v>
      </c>
      <c r="E178" s="227" t="s">
        <v>3149</v>
      </c>
      <c r="F178" s="227" t="s">
        <v>2694</v>
      </c>
      <c r="G178" s="227" t="s">
        <v>2483</v>
      </c>
      <c r="H178" s="253" t="s">
        <v>3209</v>
      </c>
      <c r="I178" s="253" t="s">
        <v>3207</v>
      </c>
      <c r="J178" s="227" t="s">
        <v>3210</v>
      </c>
      <c r="K178" s="253" t="s">
        <v>3208</v>
      </c>
      <c r="L178" s="253" t="s">
        <v>3210</v>
      </c>
      <c r="M178" s="326" t="s">
        <v>3210</v>
      </c>
      <c r="N178" s="299"/>
      <c r="O178" s="293" t="str">
        <f>TablaPOA[[#This Row],[Cod_Sub_acción_especifica]]&amp;"_"&amp;TablaPOA[[#This Row],[Tipo de agente]]</f>
        <v>K31.1.11.1_Envasadoras de GLP</v>
      </c>
      <c r="P178" s="250" t="s">
        <v>2876</v>
      </c>
      <c r="Q178" s="293" t="str">
        <f>TablaPOA[[#This Row],[Cod_Sub_acción_especifica]]&amp;"_"&amp;TablaPOA[[#This Row],[Cod_Tipo_agente]]</f>
        <v>K31.1.11.1_TA5</v>
      </c>
      <c r="R178" s="250" t="s">
        <v>2877</v>
      </c>
      <c r="S178" s="323"/>
      <c r="T178" s="269" t="s">
        <v>2879</v>
      </c>
    </row>
    <row r="179" spans="1:20" ht="25.5" x14ac:dyDescent="0.25">
      <c r="A179" s="219" t="s">
        <v>2314</v>
      </c>
      <c r="B179" s="227">
        <v>31</v>
      </c>
      <c r="C179" s="227" t="s">
        <v>2691</v>
      </c>
      <c r="D179" s="227" t="s">
        <v>2988</v>
      </c>
      <c r="E179" s="227" t="s">
        <v>3149</v>
      </c>
      <c r="F179" s="227" t="s">
        <v>2694</v>
      </c>
      <c r="G179" s="227" t="s">
        <v>2483</v>
      </c>
      <c r="H179" s="253" t="s">
        <v>3209</v>
      </c>
      <c r="I179" s="253" t="s">
        <v>3207</v>
      </c>
      <c r="J179" s="227" t="s">
        <v>3210</v>
      </c>
      <c r="K179" s="253" t="s">
        <v>3208</v>
      </c>
      <c r="L179" s="253" t="s">
        <v>3210</v>
      </c>
      <c r="M179" s="326" t="s">
        <v>3210</v>
      </c>
      <c r="N179" s="299"/>
      <c r="O179" s="293" t="str">
        <f>TablaPOA[[#This Row],[Cod_Sub_acción_especifica]]&amp;"_"&amp;TablaPOA[[#This Row],[Tipo de agente]]</f>
        <v>K31.1.11.1_Envasadoras de GLP</v>
      </c>
      <c r="P179" s="250" t="s">
        <v>2876</v>
      </c>
      <c r="Q179" s="293" t="str">
        <f>TablaPOA[[#This Row],[Cod_Sub_acción_especifica]]&amp;"_"&amp;TablaPOA[[#This Row],[Cod_Tipo_agente]]</f>
        <v>K31.1.11.1_TA5</v>
      </c>
      <c r="R179" s="250" t="s">
        <v>2877</v>
      </c>
      <c r="S179" s="323"/>
      <c r="T179" s="269" t="s">
        <v>2881</v>
      </c>
    </row>
    <row r="180" spans="1:20" ht="25.5" x14ac:dyDescent="0.25">
      <c r="A180" s="219" t="s">
        <v>2314</v>
      </c>
      <c r="B180" s="227">
        <v>31</v>
      </c>
      <c r="C180" s="227" t="s">
        <v>2691</v>
      </c>
      <c r="D180" s="227" t="s">
        <v>2988</v>
      </c>
      <c r="E180" s="227" t="s">
        <v>3149</v>
      </c>
      <c r="F180" s="227" t="s">
        <v>2694</v>
      </c>
      <c r="G180" s="227" t="s">
        <v>2483</v>
      </c>
      <c r="H180" s="253" t="s">
        <v>3209</v>
      </c>
      <c r="I180" s="253" t="s">
        <v>3207</v>
      </c>
      <c r="J180" s="227" t="s">
        <v>3210</v>
      </c>
      <c r="K180" s="253" t="s">
        <v>3208</v>
      </c>
      <c r="L180" s="253" t="s">
        <v>3210</v>
      </c>
      <c r="M180" s="326" t="s">
        <v>3210</v>
      </c>
      <c r="N180" s="299"/>
      <c r="O180" s="293" t="str">
        <f>TablaPOA[[#This Row],[Cod_Sub_acción_especifica]]&amp;"_"&amp;TablaPOA[[#This Row],[Tipo de agente]]</f>
        <v>K31.1.11.1_EVP combustibles de uso automotor</v>
      </c>
      <c r="P180" s="250" t="s">
        <v>2882</v>
      </c>
      <c r="Q180" s="293" t="str">
        <f>TablaPOA[[#This Row],[Cod_Sub_acción_especifica]]&amp;"_"&amp;TablaPOA[[#This Row],[Cod_Tipo_agente]]</f>
        <v>K31.1.11.1_TA6</v>
      </c>
      <c r="R180" s="250" t="s">
        <v>2883</v>
      </c>
      <c r="S180" s="323"/>
      <c r="T180" s="269" t="s">
        <v>2885</v>
      </c>
    </row>
    <row r="181" spans="1:20" ht="25.5" x14ac:dyDescent="0.25">
      <c r="A181" s="219" t="s">
        <v>2314</v>
      </c>
      <c r="B181" s="227">
        <v>31</v>
      </c>
      <c r="C181" s="227" t="s">
        <v>2691</v>
      </c>
      <c r="D181" s="227" t="s">
        <v>2988</v>
      </c>
      <c r="E181" s="227" t="s">
        <v>3149</v>
      </c>
      <c r="F181" s="227" t="s">
        <v>2694</v>
      </c>
      <c r="G181" s="227" t="s">
        <v>2483</v>
      </c>
      <c r="H181" s="253" t="s">
        <v>3209</v>
      </c>
      <c r="I181" s="253" t="s">
        <v>3207</v>
      </c>
      <c r="J181" s="227" t="s">
        <v>3210</v>
      </c>
      <c r="K181" s="253" t="s">
        <v>3208</v>
      </c>
      <c r="L181" s="253" t="s">
        <v>3210</v>
      </c>
      <c r="M181" s="326" t="s">
        <v>3210</v>
      </c>
      <c r="N181" s="299"/>
      <c r="O181" s="293" t="str">
        <f>TablaPOA[[#This Row],[Cod_Sub_acción_especifica]]&amp;"_"&amp;TablaPOA[[#This Row],[Tipo de agente]]</f>
        <v>K31.1.11.1_EVP combustibles de uso automotor</v>
      </c>
      <c r="P181" s="250" t="s">
        <v>2882</v>
      </c>
      <c r="Q181" s="293" t="str">
        <f>TablaPOA[[#This Row],[Cod_Sub_acción_especifica]]&amp;"_"&amp;TablaPOA[[#This Row],[Cod_Tipo_agente]]</f>
        <v>K31.1.11.1_TA6</v>
      </c>
      <c r="R181" s="250" t="s">
        <v>2883</v>
      </c>
      <c r="S181" s="323"/>
      <c r="T181" s="269" t="s">
        <v>2887</v>
      </c>
    </row>
    <row r="182" spans="1:20" ht="25.5" x14ac:dyDescent="0.25">
      <c r="A182" s="219" t="s">
        <v>2314</v>
      </c>
      <c r="B182" s="227">
        <v>31</v>
      </c>
      <c r="C182" s="227" t="s">
        <v>2691</v>
      </c>
      <c r="D182" s="227" t="s">
        <v>2988</v>
      </c>
      <c r="E182" s="227" t="s">
        <v>3149</v>
      </c>
      <c r="F182" s="227" t="s">
        <v>2694</v>
      </c>
      <c r="G182" s="227" t="s">
        <v>2483</v>
      </c>
      <c r="H182" s="253" t="s">
        <v>3209</v>
      </c>
      <c r="I182" s="253" t="s">
        <v>3207</v>
      </c>
      <c r="J182" s="227" t="s">
        <v>3210</v>
      </c>
      <c r="K182" s="253" t="s">
        <v>3208</v>
      </c>
      <c r="L182" s="253" t="s">
        <v>3210</v>
      </c>
      <c r="M182" s="326" t="s">
        <v>3210</v>
      </c>
      <c r="N182" s="299"/>
      <c r="O182" s="293" t="str">
        <f>TablaPOA[[#This Row],[Cod_Sub_acción_especifica]]&amp;"_"&amp;TablaPOA[[#This Row],[Tipo de agente]]</f>
        <v>K31.1.11.1_EVP combustibles de uso automotor</v>
      </c>
      <c r="P182" s="250" t="s">
        <v>2882</v>
      </c>
      <c r="Q182" s="293" t="str">
        <f>TablaPOA[[#This Row],[Cod_Sub_acción_especifica]]&amp;"_"&amp;TablaPOA[[#This Row],[Cod_Tipo_agente]]</f>
        <v>K31.1.11.1_TA6</v>
      </c>
      <c r="R182" s="250" t="s">
        <v>2883</v>
      </c>
      <c r="S182" s="323"/>
      <c r="T182" s="269" t="s">
        <v>2889</v>
      </c>
    </row>
    <row r="183" spans="1:20" ht="25.5" x14ac:dyDescent="0.25">
      <c r="A183" s="219" t="s">
        <v>2314</v>
      </c>
      <c r="B183" s="227">
        <v>31</v>
      </c>
      <c r="C183" s="227" t="s">
        <v>2691</v>
      </c>
      <c r="D183" s="227" t="s">
        <v>2988</v>
      </c>
      <c r="E183" s="227" t="s">
        <v>3149</v>
      </c>
      <c r="F183" s="227" t="s">
        <v>2694</v>
      </c>
      <c r="G183" s="227" t="s">
        <v>2483</v>
      </c>
      <c r="H183" s="253" t="s">
        <v>3209</v>
      </c>
      <c r="I183" s="253" t="s">
        <v>3207</v>
      </c>
      <c r="J183" s="227" t="s">
        <v>3210</v>
      </c>
      <c r="K183" s="253" t="s">
        <v>3208</v>
      </c>
      <c r="L183" s="253" t="s">
        <v>3210</v>
      </c>
      <c r="M183" s="326" t="s">
        <v>3210</v>
      </c>
      <c r="N183" s="299"/>
      <c r="O183" s="293" t="str">
        <f>TablaPOA[[#This Row],[Cod_Sub_acción_especifica]]&amp;"_"&amp;TablaPOA[[#This Row],[Tipo de agente]]</f>
        <v>K31.1.11.1_EVP combustibles de uso automotor</v>
      </c>
      <c r="P183" s="250" t="s">
        <v>2882</v>
      </c>
      <c r="Q183" s="293" t="str">
        <f>TablaPOA[[#This Row],[Cod_Sub_acción_especifica]]&amp;"_"&amp;TablaPOA[[#This Row],[Cod_Tipo_agente]]</f>
        <v>K31.1.11.1_TA6</v>
      </c>
      <c r="R183" s="250" t="s">
        <v>2883</v>
      </c>
      <c r="S183" s="323"/>
      <c r="T183" s="269" t="s">
        <v>2891</v>
      </c>
    </row>
    <row r="184" spans="1:20" ht="25.5" x14ac:dyDescent="0.25">
      <c r="A184" s="219" t="s">
        <v>2314</v>
      </c>
      <c r="B184" s="227">
        <v>31</v>
      </c>
      <c r="C184" s="227" t="s">
        <v>2691</v>
      </c>
      <c r="D184" s="227" t="s">
        <v>2988</v>
      </c>
      <c r="E184" s="227" t="s">
        <v>3149</v>
      </c>
      <c r="F184" s="227" t="s">
        <v>2694</v>
      </c>
      <c r="G184" s="227" t="s">
        <v>2483</v>
      </c>
      <c r="H184" s="253" t="s">
        <v>3209</v>
      </c>
      <c r="I184" s="253" t="s">
        <v>3207</v>
      </c>
      <c r="J184" s="227" t="s">
        <v>3210</v>
      </c>
      <c r="K184" s="253" t="s">
        <v>3208</v>
      </c>
      <c r="L184" s="253" t="s">
        <v>3210</v>
      </c>
      <c r="M184" s="326" t="s">
        <v>3210</v>
      </c>
      <c r="N184" s="299"/>
      <c r="O184" s="293" t="str">
        <f>TablaPOA[[#This Row],[Cod_Sub_acción_especifica]]&amp;"_"&amp;TablaPOA[[#This Row],[Tipo de agente]]</f>
        <v>K31.1.11.1_EVP combustibles de uso automotor</v>
      </c>
      <c r="P184" s="250" t="s">
        <v>2882</v>
      </c>
      <c r="Q184" s="293" t="str">
        <f>TablaPOA[[#This Row],[Cod_Sub_acción_especifica]]&amp;"_"&amp;TablaPOA[[#This Row],[Cod_Tipo_agente]]</f>
        <v>K31.1.11.1_TA6</v>
      </c>
      <c r="R184" s="250" t="s">
        <v>2883</v>
      </c>
      <c r="S184" s="323"/>
      <c r="T184" s="269" t="s">
        <v>2893</v>
      </c>
    </row>
    <row r="185" spans="1:20" ht="25.5" x14ac:dyDescent="0.25">
      <c r="A185" s="219" t="s">
        <v>2314</v>
      </c>
      <c r="B185" s="227">
        <v>31</v>
      </c>
      <c r="C185" s="227" t="s">
        <v>2691</v>
      </c>
      <c r="D185" s="227" t="s">
        <v>2988</v>
      </c>
      <c r="E185" s="227" t="s">
        <v>3149</v>
      </c>
      <c r="F185" s="227" t="s">
        <v>2694</v>
      </c>
      <c r="G185" s="227" t="s">
        <v>2483</v>
      </c>
      <c r="H185" s="253" t="s">
        <v>3209</v>
      </c>
      <c r="I185" s="253" t="s">
        <v>3207</v>
      </c>
      <c r="J185" s="227" t="s">
        <v>3210</v>
      </c>
      <c r="K185" s="253" t="s">
        <v>3208</v>
      </c>
      <c r="L185" s="253" t="s">
        <v>3210</v>
      </c>
      <c r="M185" s="326" t="s">
        <v>3210</v>
      </c>
      <c r="N185" s="299"/>
      <c r="O185" s="293" t="str">
        <f>TablaPOA[[#This Row],[Cod_Sub_acción_especifica]]&amp;"_"&amp;TablaPOA[[#This Row],[Tipo de agente]]</f>
        <v>K31.1.11.1_EVP combustibles de uso automotor</v>
      </c>
      <c r="P185" s="250" t="s">
        <v>2882</v>
      </c>
      <c r="Q185" s="293" t="str">
        <f>TablaPOA[[#This Row],[Cod_Sub_acción_especifica]]&amp;"_"&amp;TablaPOA[[#This Row],[Cod_Tipo_agente]]</f>
        <v>K31.1.11.1_TA6</v>
      </c>
      <c r="R185" s="250" t="s">
        <v>2883</v>
      </c>
      <c r="S185" s="323"/>
      <c r="T185" s="269" t="s">
        <v>2895</v>
      </c>
    </row>
    <row r="186" spans="1:20" ht="25.5" x14ac:dyDescent="0.25">
      <c r="A186" s="219" t="s">
        <v>2314</v>
      </c>
      <c r="B186" s="227">
        <v>31</v>
      </c>
      <c r="C186" s="227" t="s">
        <v>2691</v>
      </c>
      <c r="D186" s="227" t="s">
        <v>2988</v>
      </c>
      <c r="E186" s="227" t="s">
        <v>3149</v>
      </c>
      <c r="F186" s="227" t="s">
        <v>2694</v>
      </c>
      <c r="G186" s="227" t="s">
        <v>2483</v>
      </c>
      <c r="H186" s="253" t="s">
        <v>3209</v>
      </c>
      <c r="I186" s="253" t="s">
        <v>3207</v>
      </c>
      <c r="J186" s="227" t="s">
        <v>3210</v>
      </c>
      <c r="K186" s="253" t="s">
        <v>3208</v>
      </c>
      <c r="L186" s="253" t="s">
        <v>3210</v>
      </c>
      <c r="M186" s="326" t="s">
        <v>3210</v>
      </c>
      <c r="N186" s="299"/>
      <c r="O186" s="293" t="str">
        <f>TablaPOA[[#This Row],[Cod_Sub_acción_especifica]]&amp;"_"&amp;TablaPOA[[#This Row],[Tipo de agente]]</f>
        <v>K31.1.11.1_EVP combustibles de uso automotor</v>
      </c>
      <c r="P186" s="250" t="s">
        <v>2882</v>
      </c>
      <c r="Q186" s="293" t="str">
        <f>TablaPOA[[#This Row],[Cod_Sub_acción_especifica]]&amp;"_"&amp;TablaPOA[[#This Row],[Cod_Tipo_agente]]</f>
        <v>K31.1.11.1_TA6</v>
      </c>
      <c r="R186" s="250" t="s">
        <v>2883</v>
      </c>
      <c r="S186" s="323"/>
      <c r="T186" s="269" t="s">
        <v>2897</v>
      </c>
    </row>
    <row r="187" spans="1:20" ht="25.5" x14ac:dyDescent="0.25">
      <c r="A187" s="219" t="s">
        <v>2314</v>
      </c>
      <c r="B187" s="227">
        <v>31</v>
      </c>
      <c r="C187" s="227" t="s">
        <v>2691</v>
      </c>
      <c r="D187" s="227" t="s">
        <v>2988</v>
      </c>
      <c r="E187" s="227" t="s">
        <v>3149</v>
      </c>
      <c r="F187" s="227" t="s">
        <v>2694</v>
      </c>
      <c r="G187" s="227" t="s">
        <v>2483</v>
      </c>
      <c r="H187" s="253" t="s">
        <v>3209</v>
      </c>
      <c r="I187" s="253" t="s">
        <v>3207</v>
      </c>
      <c r="J187" s="227" t="s">
        <v>3210</v>
      </c>
      <c r="K187" s="253" t="s">
        <v>3208</v>
      </c>
      <c r="L187" s="253" t="s">
        <v>3210</v>
      </c>
      <c r="M187" s="326" t="s">
        <v>3210</v>
      </c>
      <c r="N187" s="299"/>
      <c r="O187" s="293" t="str">
        <f>TablaPOA[[#This Row],[Cod_Sub_acción_especifica]]&amp;"_"&amp;TablaPOA[[#This Row],[Tipo de agente]]</f>
        <v>K31.1.11.1_EVP combustibles de uso automotor</v>
      </c>
      <c r="P187" s="250" t="s">
        <v>2882</v>
      </c>
      <c r="Q187" s="293" t="str">
        <f>TablaPOA[[#This Row],[Cod_Sub_acción_especifica]]&amp;"_"&amp;TablaPOA[[#This Row],[Cod_Tipo_agente]]</f>
        <v>K31.1.11.1_TA6</v>
      </c>
      <c r="R187" s="250" t="s">
        <v>2883</v>
      </c>
      <c r="S187" s="323"/>
      <c r="T187" s="269" t="s">
        <v>2899</v>
      </c>
    </row>
    <row r="188" spans="1:20" ht="25.5" x14ac:dyDescent="0.25">
      <c r="A188" s="219" t="s">
        <v>2314</v>
      </c>
      <c r="B188" s="227">
        <v>31</v>
      </c>
      <c r="C188" s="227" t="s">
        <v>2691</v>
      </c>
      <c r="D188" s="227" t="s">
        <v>2988</v>
      </c>
      <c r="E188" s="227" t="s">
        <v>3149</v>
      </c>
      <c r="F188" s="227" t="s">
        <v>2694</v>
      </c>
      <c r="G188" s="227" t="s">
        <v>2483</v>
      </c>
      <c r="H188" s="253" t="s">
        <v>3209</v>
      </c>
      <c r="I188" s="253" t="s">
        <v>3207</v>
      </c>
      <c r="J188" s="227" t="s">
        <v>3210</v>
      </c>
      <c r="K188" s="253" t="s">
        <v>3208</v>
      </c>
      <c r="L188" s="253" t="s">
        <v>3210</v>
      </c>
      <c r="M188" s="326" t="s">
        <v>3210</v>
      </c>
      <c r="N188" s="299"/>
      <c r="O188" s="293" t="str">
        <f>TablaPOA[[#This Row],[Cod_Sub_acción_especifica]]&amp;"_"&amp;TablaPOA[[#This Row],[Tipo de agente]]</f>
        <v>K31.1.11.1_EVP combustibles de uso automotor</v>
      </c>
      <c r="P188" s="250" t="s">
        <v>2882</v>
      </c>
      <c r="Q188" s="293" t="str">
        <f>TablaPOA[[#This Row],[Cod_Sub_acción_especifica]]&amp;"_"&amp;TablaPOA[[#This Row],[Cod_Tipo_agente]]</f>
        <v>K31.1.11.1_TA6</v>
      </c>
      <c r="R188" s="250" t="s">
        <v>2883</v>
      </c>
      <c r="S188" s="323"/>
      <c r="T188" s="269" t="s">
        <v>2901</v>
      </c>
    </row>
    <row r="189" spans="1:20" ht="25.5" x14ac:dyDescent="0.25">
      <c r="A189" s="219" t="s">
        <v>2314</v>
      </c>
      <c r="B189" s="227">
        <v>31</v>
      </c>
      <c r="C189" s="227" t="s">
        <v>2691</v>
      </c>
      <c r="D189" s="227" t="s">
        <v>2988</v>
      </c>
      <c r="E189" s="227" t="s">
        <v>3149</v>
      </c>
      <c r="F189" s="227" t="s">
        <v>2694</v>
      </c>
      <c r="G189" s="227" t="s">
        <v>2483</v>
      </c>
      <c r="H189" s="253" t="s">
        <v>3209</v>
      </c>
      <c r="I189" s="253" t="s">
        <v>3207</v>
      </c>
      <c r="J189" s="227" t="s">
        <v>3210</v>
      </c>
      <c r="K189" s="253" t="s">
        <v>3208</v>
      </c>
      <c r="L189" s="253" t="s">
        <v>3210</v>
      </c>
      <c r="M189" s="326" t="s">
        <v>3210</v>
      </c>
      <c r="N189" s="299"/>
      <c r="O189" s="293" t="str">
        <f>TablaPOA[[#This Row],[Cod_Sub_acción_especifica]]&amp;"_"&amp;TablaPOA[[#This Row],[Tipo de agente]]</f>
        <v>K31.1.11.1_Locales de venta de GLP</v>
      </c>
      <c r="P189" s="250" t="s">
        <v>2912</v>
      </c>
      <c r="Q189" s="293" t="str">
        <f>TablaPOA[[#This Row],[Cod_Sub_acción_especifica]]&amp;"_"&amp;TablaPOA[[#This Row],[Cod_Tipo_agente]]</f>
        <v>K31.1.11.1_TA8</v>
      </c>
      <c r="R189" s="250" t="s">
        <v>2913</v>
      </c>
      <c r="S189" s="323"/>
      <c r="T189" s="269" t="s">
        <v>2915</v>
      </c>
    </row>
    <row r="190" spans="1:20" ht="25.5" x14ac:dyDescent="0.25">
      <c r="A190" s="219" t="s">
        <v>2314</v>
      </c>
      <c r="B190" s="227">
        <v>31</v>
      </c>
      <c r="C190" s="227" t="s">
        <v>2691</v>
      </c>
      <c r="D190" s="227" t="s">
        <v>2988</v>
      </c>
      <c r="E190" s="227" t="s">
        <v>3149</v>
      </c>
      <c r="F190" s="227" t="s">
        <v>2694</v>
      </c>
      <c r="G190" s="227" t="s">
        <v>2483</v>
      </c>
      <c r="H190" s="253" t="s">
        <v>3209</v>
      </c>
      <c r="I190" s="253" t="s">
        <v>3207</v>
      </c>
      <c r="J190" s="227" t="s">
        <v>3210</v>
      </c>
      <c r="K190" s="253" t="s">
        <v>3208</v>
      </c>
      <c r="L190" s="253" t="s">
        <v>3210</v>
      </c>
      <c r="M190" s="326" t="s">
        <v>3210</v>
      </c>
      <c r="N190" s="299"/>
      <c r="O190" s="293" t="str">
        <f>TablaPOA[[#This Row],[Cod_Sub_acción_especifica]]&amp;"_"&amp;TablaPOA[[#This Row],[Tipo de agente]]</f>
        <v>K31.1.11.1_Locales de venta de GLP</v>
      </c>
      <c r="P190" s="250" t="s">
        <v>2912</v>
      </c>
      <c r="Q190" s="293" t="str">
        <f>TablaPOA[[#This Row],[Cod_Sub_acción_especifica]]&amp;"_"&amp;TablaPOA[[#This Row],[Cod_Tipo_agente]]</f>
        <v>K31.1.11.1_TA8</v>
      </c>
      <c r="R190" s="250" t="s">
        <v>2913</v>
      </c>
      <c r="S190" s="323"/>
      <c r="T190" s="269" t="s">
        <v>2917</v>
      </c>
    </row>
    <row r="191" spans="1:20" ht="25.5" x14ac:dyDescent="0.25">
      <c r="A191" s="219" t="s">
        <v>2314</v>
      </c>
      <c r="B191" s="227">
        <v>31</v>
      </c>
      <c r="C191" s="227" t="s">
        <v>2691</v>
      </c>
      <c r="D191" s="227" t="s">
        <v>2988</v>
      </c>
      <c r="E191" s="227" t="s">
        <v>3149</v>
      </c>
      <c r="F191" s="227" t="s">
        <v>2694</v>
      </c>
      <c r="G191" s="227" t="s">
        <v>2483</v>
      </c>
      <c r="H191" s="253" t="s">
        <v>3209</v>
      </c>
      <c r="I191" s="253" t="s">
        <v>3207</v>
      </c>
      <c r="J191" s="227" t="s">
        <v>3210</v>
      </c>
      <c r="K191" s="253" t="s">
        <v>3208</v>
      </c>
      <c r="L191" s="253" t="s">
        <v>3210</v>
      </c>
      <c r="M191" s="326" t="s">
        <v>3210</v>
      </c>
      <c r="N191" s="299"/>
      <c r="O191" s="293" t="str">
        <f>TablaPOA[[#This Row],[Cod_Sub_acción_especifica]]&amp;"_"&amp;TablaPOA[[#This Row],[Tipo de agente]]</f>
        <v>K31.1.11.1_Medios de transporte</v>
      </c>
      <c r="P191" s="250" t="s">
        <v>2918</v>
      </c>
      <c r="Q191" s="293" t="str">
        <f>TablaPOA[[#This Row],[Cod_Sub_acción_especifica]]&amp;"_"&amp;TablaPOA[[#This Row],[Cod_Tipo_agente]]</f>
        <v>K31.1.11.1_TA9</v>
      </c>
      <c r="R191" s="250" t="s">
        <v>2919</v>
      </c>
      <c r="S191" s="323"/>
      <c r="T191" s="269" t="s">
        <v>2921</v>
      </c>
    </row>
    <row r="192" spans="1:20" ht="25.5" x14ac:dyDescent="0.25">
      <c r="A192" s="219" t="s">
        <v>2314</v>
      </c>
      <c r="B192" s="227">
        <v>31</v>
      </c>
      <c r="C192" s="227" t="s">
        <v>2691</v>
      </c>
      <c r="D192" s="227" t="s">
        <v>2988</v>
      </c>
      <c r="E192" s="227" t="s">
        <v>3149</v>
      </c>
      <c r="F192" s="227" t="s">
        <v>2694</v>
      </c>
      <c r="G192" s="227" t="s">
        <v>2483</v>
      </c>
      <c r="H192" s="253" t="s">
        <v>3209</v>
      </c>
      <c r="I192" s="253" t="s">
        <v>3207</v>
      </c>
      <c r="J192" s="227" t="s">
        <v>3210</v>
      </c>
      <c r="K192" s="253" t="s">
        <v>3208</v>
      </c>
      <c r="L192" s="253" t="s">
        <v>3210</v>
      </c>
      <c r="M192" s="326" t="s">
        <v>3210</v>
      </c>
      <c r="N192" s="299"/>
      <c r="O192" s="293" t="str">
        <f>TablaPOA[[#This Row],[Cod_Sub_acción_especifica]]&amp;"_"&amp;TablaPOA[[#This Row],[Tipo de agente]]</f>
        <v>K31.1.11.1_Medios de transporte</v>
      </c>
      <c r="P192" s="250" t="s">
        <v>2918</v>
      </c>
      <c r="Q192" s="293" t="str">
        <f>TablaPOA[[#This Row],[Cod_Sub_acción_especifica]]&amp;"_"&amp;TablaPOA[[#This Row],[Cod_Tipo_agente]]</f>
        <v>K31.1.11.1_TA9</v>
      </c>
      <c r="R192" s="250" t="s">
        <v>2919</v>
      </c>
      <c r="S192" s="323"/>
      <c r="T192" s="269" t="s">
        <v>2923</v>
      </c>
    </row>
    <row r="193" spans="1:20" ht="25.5" x14ac:dyDescent="0.25">
      <c r="A193" s="219" t="s">
        <v>2314</v>
      </c>
      <c r="B193" s="227">
        <v>31</v>
      </c>
      <c r="C193" s="227" t="s">
        <v>2691</v>
      </c>
      <c r="D193" s="227" t="s">
        <v>2988</v>
      </c>
      <c r="E193" s="227" t="s">
        <v>3149</v>
      </c>
      <c r="F193" s="227" t="s">
        <v>2694</v>
      </c>
      <c r="G193" s="227" t="s">
        <v>2483</v>
      </c>
      <c r="H193" s="253" t="s">
        <v>3209</v>
      </c>
      <c r="I193" s="253" t="s">
        <v>3207</v>
      </c>
      <c r="J193" s="227" t="s">
        <v>3210</v>
      </c>
      <c r="K193" s="253" t="s">
        <v>3208</v>
      </c>
      <c r="L193" s="253" t="s">
        <v>3210</v>
      </c>
      <c r="M193" s="326" t="s">
        <v>3210</v>
      </c>
      <c r="N193" s="299"/>
      <c r="O193" s="293" t="str">
        <f>TablaPOA[[#This Row],[Cod_Sub_acción_especifica]]&amp;"_"&amp;TablaPOA[[#This Row],[Tipo de agente]]</f>
        <v>K31.1.11.1_Medios de transporte</v>
      </c>
      <c r="P193" s="250" t="s">
        <v>2918</v>
      </c>
      <c r="Q193" s="293" t="str">
        <f>TablaPOA[[#This Row],[Cod_Sub_acción_especifica]]&amp;"_"&amp;TablaPOA[[#This Row],[Cod_Tipo_agente]]</f>
        <v>K31.1.11.1_TA9</v>
      </c>
      <c r="R193" s="250" t="s">
        <v>2919</v>
      </c>
      <c r="S193" s="323"/>
      <c r="T193" s="269" t="s">
        <v>2925</v>
      </c>
    </row>
    <row r="194" spans="1:20" ht="25.5" x14ac:dyDescent="0.25">
      <c r="A194" s="219" t="s">
        <v>2314</v>
      </c>
      <c r="B194" s="227">
        <v>31</v>
      </c>
      <c r="C194" s="227" t="s">
        <v>2691</v>
      </c>
      <c r="D194" s="227" t="s">
        <v>2988</v>
      </c>
      <c r="E194" s="227" t="s">
        <v>3149</v>
      </c>
      <c r="F194" s="227" t="s">
        <v>2694</v>
      </c>
      <c r="G194" s="227" t="s">
        <v>2483</v>
      </c>
      <c r="H194" s="253" t="s">
        <v>3209</v>
      </c>
      <c r="I194" s="253" t="s">
        <v>3207</v>
      </c>
      <c r="J194" s="227" t="s">
        <v>3210</v>
      </c>
      <c r="K194" s="253" t="s">
        <v>3208</v>
      </c>
      <c r="L194" s="253" t="s">
        <v>3210</v>
      </c>
      <c r="M194" s="326" t="s">
        <v>3210</v>
      </c>
      <c r="N194" s="299"/>
      <c r="O194" s="293" t="str">
        <f>TablaPOA[[#This Row],[Cod_Sub_acción_especifica]]&amp;"_"&amp;TablaPOA[[#This Row],[Tipo de agente]]</f>
        <v>K31.1.11.1_Medios de transporte</v>
      </c>
      <c r="P194" s="250" t="s">
        <v>2918</v>
      </c>
      <c r="Q194" s="293" t="str">
        <f>TablaPOA[[#This Row],[Cod_Sub_acción_especifica]]&amp;"_"&amp;TablaPOA[[#This Row],[Cod_Tipo_agente]]</f>
        <v>K31.1.11.1_TA9</v>
      </c>
      <c r="R194" s="250" t="s">
        <v>2919</v>
      </c>
      <c r="S194" s="323"/>
      <c r="T194" s="269" t="s">
        <v>2927</v>
      </c>
    </row>
    <row r="195" spans="1:20" ht="25.5" x14ac:dyDescent="0.25">
      <c r="A195" s="219" t="s">
        <v>2314</v>
      </c>
      <c r="B195" s="227">
        <v>31</v>
      </c>
      <c r="C195" s="227" t="s">
        <v>2691</v>
      </c>
      <c r="D195" s="227" t="s">
        <v>2988</v>
      </c>
      <c r="E195" s="227" t="s">
        <v>3149</v>
      </c>
      <c r="F195" s="227" t="s">
        <v>2694</v>
      </c>
      <c r="G195" s="227" t="s">
        <v>2483</v>
      </c>
      <c r="H195" s="253" t="s">
        <v>3209</v>
      </c>
      <c r="I195" s="253" t="s">
        <v>3207</v>
      </c>
      <c r="J195" s="227" t="s">
        <v>3210</v>
      </c>
      <c r="K195" s="253" t="s">
        <v>3208</v>
      </c>
      <c r="L195" s="253" t="s">
        <v>3210</v>
      </c>
      <c r="M195" s="326" t="s">
        <v>3210</v>
      </c>
      <c r="N195" s="299"/>
      <c r="O195" s="293" t="str">
        <f>TablaPOA[[#This Row],[Cod_Sub_acción_especifica]]&amp;"_"&amp;TablaPOA[[#This Row],[Tipo de agente]]</f>
        <v>K31.1.11.1_Medios de transporte</v>
      </c>
      <c r="P195" s="250" t="s">
        <v>2918</v>
      </c>
      <c r="Q195" s="293" t="str">
        <f>TablaPOA[[#This Row],[Cod_Sub_acción_especifica]]&amp;"_"&amp;TablaPOA[[#This Row],[Cod_Tipo_agente]]</f>
        <v>K31.1.11.1_TA9</v>
      </c>
      <c r="R195" s="250" t="s">
        <v>2919</v>
      </c>
      <c r="S195" s="323"/>
      <c r="T195" s="269" t="s">
        <v>2929</v>
      </c>
    </row>
    <row r="196" spans="1:20" ht="25.5" x14ac:dyDescent="0.25">
      <c r="A196" s="219" t="s">
        <v>2314</v>
      </c>
      <c r="B196" s="227">
        <v>31</v>
      </c>
      <c r="C196" s="227" t="s">
        <v>2691</v>
      </c>
      <c r="D196" s="227" t="s">
        <v>2988</v>
      </c>
      <c r="E196" s="227" t="s">
        <v>3149</v>
      </c>
      <c r="F196" s="227" t="s">
        <v>2694</v>
      </c>
      <c r="G196" s="227" t="s">
        <v>2483</v>
      </c>
      <c r="H196" s="253" t="s">
        <v>3209</v>
      </c>
      <c r="I196" s="253" t="s">
        <v>3207</v>
      </c>
      <c r="J196" s="227" t="s">
        <v>3210</v>
      </c>
      <c r="K196" s="253" t="s">
        <v>3208</v>
      </c>
      <c r="L196" s="253" t="s">
        <v>3210</v>
      </c>
      <c r="M196" s="326" t="s">
        <v>3210</v>
      </c>
      <c r="N196" s="299"/>
      <c r="O196" s="293" t="str">
        <f>TablaPOA[[#This Row],[Cod_Sub_acción_especifica]]&amp;"_"&amp;TablaPOA[[#This Row],[Tipo de agente]]</f>
        <v>K31.1.11.1_Medios de transporte</v>
      </c>
      <c r="P196" s="250" t="s">
        <v>2918</v>
      </c>
      <c r="Q196" s="293" t="str">
        <f>TablaPOA[[#This Row],[Cod_Sub_acción_especifica]]&amp;"_"&amp;TablaPOA[[#This Row],[Cod_Tipo_agente]]</f>
        <v>K31.1.11.1_TA9</v>
      </c>
      <c r="R196" s="250" t="s">
        <v>2919</v>
      </c>
      <c r="S196" s="323"/>
      <c r="T196" s="269" t="s">
        <v>2931</v>
      </c>
    </row>
    <row r="197" spans="1:20" ht="25.5" x14ac:dyDescent="0.25">
      <c r="A197" s="219" t="s">
        <v>2314</v>
      </c>
      <c r="B197" s="227">
        <v>31</v>
      </c>
      <c r="C197" s="227" t="s">
        <v>2691</v>
      </c>
      <c r="D197" s="227" t="s">
        <v>2988</v>
      </c>
      <c r="E197" s="227" t="s">
        <v>3149</v>
      </c>
      <c r="F197" s="227" t="s">
        <v>2694</v>
      </c>
      <c r="G197" s="227" t="s">
        <v>2483</v>
      </c>
      <c r="H197" s="253" t="s">
        <v>3209</v>
      </c>
      <c r="I197" s="253" t="s">
        <v>3207</v>
      </c>
      <c r="J197" s="227" t="s">
        <v>3210</v>
      </c>
      <c r="K197" s="253" t="s">
        <v>3208</v>
      </c>
      <c r="L197" s="253" t="s">
        <v>3210</v>
      </c>
      <c r="M197" s="326" t="s">
        <v>3210</v>
      </c>
      <c r="N197" s="299"/>
      <c r="O197" s="293" t="str">
        <f>TablaPOA[[#This Row],[Cod_Sub_acción_especifica]]&amp;"_"&amp;TablaPOA[[#This Row],[Tipo de agente]]</f>
        <v>K31.1.11.1_Medios de transporte</v>
      </c>
      <c r="P197" s="250" t="s">
        <v>2918</v>
      </c>
      <c r="Q197" s="293" t="str">
        <f>TablaPOA[[#This Row],[Cod_Sub_acción_especifica]]&amp;"_"&amp;TablaPOA[[#This Row],[Cod_Tipo_agente]]</f>
        <v>K31.1.11.1_TA9</v>
      </c>
      <c r="R197" s="250" t="s">
        <v>2919</v>
      </c>
      <c r="S197" s="323"/>
      <c r="T197" s="269" t="s">
        <v>2933</v>
      </c>
    </row>
    <row r="198" spans="1:20" ht="25.5" x14ac:dyDescent="0.25">
      <c r="A198" s="219" t="s">
        <v>2314</v>
      </c>
      <c r="B198" s="227">
        <v>31</v>
      </c>
      <c r="C198" s="227" t="s">
        <v>2691</v>
      </c>
      <c r="D198" s="227" t="s">
        <v>2988</v>
      </c>
      <c r="E198" s="227" t="s">
        <v>3149</v>
      </c>
      <c r="F198" s="227" t="s">
        <v>2694</v>
      </c>
      <c r="G198" s="227" t="s">
        <v>2483</v>
      </c>
      <c r="H198" s="253" t="s">
        <v>3209</v>
      </c>
      <c r="I198" s="253" t="s">
        <v>3207</v>
      </c>
      <c r="J198" s="227" t="s">
        <v>3210</v>
      </c>
      <c r="K198" s="253" t="s">
        <v>3208</v>
      </c>
      <c r="L198" s="253" t="s">
        <v>3210</v>
      </c>
      <c r="M198" s="326" t="s">
        <v>3210</v>
      </c>
      <c r="N198" s="299"/>
      <c r="O198" s="293" t="str">
        <f>TablaPOA[[#This Row],[Cod_Sub_acción_especifica]]&amp;"_"&amp;TablaPOA[[#This Row],[Tipo de agente]]</f>
        <v>K31.1.11.1_Medios de transporte</v>
      </c>
      <c r="P198" s="250" t="s">
        <v>2918</v>
      </c>
      <c r="Q198" s="293" t="str">
        <f>TablaPOA[[#This Row],[Cod_Sub_acción_especifica]]&amp;"_"&amp;TablaPOA[[#This Row],[Cod_Tipo_agente]]</f>
        <v>K31.1.11.1_TA9</v>
      </c>
      <c r="R198" s="250" t="s">
        <v>2919</v>
      </c>
      <c r="S198" s="323"/>
      <c r="T198" s="269" t="s">
        <v>2935</v>
      </c>
    </row>
    <row r="199" spans="1:20" ht="25.5" x14ac:dyDescent="0.25">
      <c r="A199" s="219" t="s">
        <v>2314</v>
      </c>
      <c r="B199" s="227">
        <v>31</v>
      </c>
      <c r="C199" s="227" t="s">
        <v>2691</v>
      </c>
      <c r="D199" s="227" t="s">
        <v>2988</v>
      </c>
      <c r="E199" s="227" t="s">
        <v>3149</v>
      </c>
      <c r="F199" s="227" t="s">
        <v>2694</v>
      </c>
      <c r="G199" s="227" t="s">
        <v>2483</v>
      </c>
      <c r="H199" s="253" t="s">
        <v>3209</v>
      </c>
      <c r="I199" s="253" t="s">
        <v>3207</v>
      </c>
      <c r="J199" s="227" t="s">
        <v>3210</v>
      </c>
      <c r="K199" s="253" t="s">
        <v>3208</v>
      </c>
      <c r="L199" s="253" t="s">
        <v>3210</v>
      </c>
      <c r="M199" s="326" t="s">
        <v>3210</v>
      </c>
      <c r="N199" s="299"/>
      <c r="O199" s="293" t="str">
        <f>TablaPOA[[#This Row],[Cod_Sub_acción_especifica]]&amp;"_"&amp;TablaPOA[[#This Row],[Tipo de agente]]</f>
        <v>K31.1.11.1_Medios de transporte</v>
      </c>
      <c r="P199" s="250" t="s">
        <v>2918</v>
      </c>
      <c r="Q199" s="293" t="str">
        <f>TablaPOA[[#This Row],[Cod_Sub_acción_especifica]]&amp;"_"&amp;TablaPOA[[#This Row],[Cod_Tipo_agente]]</f>
        <v>K31.1.11.1_TA9</v>
      </c>
      <c r="R199" s="250" t="s">
        <v>2919</v>
      </c>
      <c r="S199" s="323"/>
      <c r="T199" s="269" t="s">
        <v>2937</v>
      </c>
    </row>
    <row r="200" spans="1:20" ht="25.5" x14ac:dyDescent="0.25">
      <c r="A200" s="219" t="s">
        <v>2314</v>
      </c>
      <c r="B200" s="227">
        <v>31</v>
      </c>
      <c r="C200" s="227" t="s">
        <v>2691</v>
      </c>
      <c r="D200" s="227" t="s">
        <v>2988</v>
      </c>
      <c r="E200" s="227" t="s">
        <v>3149</v>
      </c>
      <c r="F200" s="227" t="s">
        <v>2694</v>
      </c>
      <c r="G200" s="227" t="s">
        <v>2483</v>
      </c>
      <c r="H200" s="253" t="s">
        <v>3209</v>
      </c>
      <c r="I200" s="253" t="s">
        <v>3207</v>
      </c>
      <c r="J200" s="227" t="s">
        <v>3210</v>
      </c>
      <c r="K200" s="253" t="s">
        <v>3208</v>
      </c>
      <c r="L200" s="253" t="s">
        <v>3210</v>
      </c>
      <c r="M200" s="326" t="s">
        <v>3210</v>
      </c>
      <c r="N200" s="299"/>
      <c r="O200" s="293" t="str">
        <f>TablaPOA[[#This Row],[Cod_Sub_acción_especifica]]&amp;"_"&amp;TablaPOA[[#This Row],[Tipo de agente]]</f>
        <v>K31.1.11.1_Medios de transporte</v>
      </c>
      <c r="P200" s="250" t="s">
        <v>2918</v>
      </c>
      <c r="Q200" s="293" t="str">
        <f>TablaPOA[[#This Row],[Cod_Sub_acción_especifica]]&amp;"_"&amp;TablaPOA[[#This Row],[Cod_Tipo_agente]]</f>
        <v>K31.1.11.1_TA9</v>
      </c>
      <c r="R200" s="250" t="s">
        <v>2919</v>
      </c>
      <c r="S200" s="323"/>
      <c r="T200" s="269" t="s">
        <v>2939</v>
      </c>
    </row>
    <row r="201" spans="1:20" ht="25.5" x14ac:dyDescent="0.25">
      <c r="A201" s="219" t="s">
        <v>2314</v>
      </c>
      <c r="B201" s="227">
        <v>31</v>
      </c>
      <c r="C201" s="227" t="s">
        <v>2691</v>
      </c>
      <c r="D201" s="227" t="s">
        <v>2988</v>
      </c>
      <c r="E201" s="227" t="s">
        <v>3149</v>
      </c>
      <c r="F201" s="227" t="s">
        <v>2694</v>
      </c>
      <c r="G201" s="227" t="s">
        <v>2483</v>
      </c>
      <c r="H201" s="253" t="s">
        <v>3209</v>
      </c>
      <c r="I201" s="253" t="s">
        <v>3207</v>
      </c>
      <c r="J201" s="227" t="s">
        <v>3210</v>
      </c>
      <c r="K201" s="253" t="s">
        <v>3208</v>
      </c>
      <c r="L201" s="253" t="s">
        <v>3210</v>
      </c>
      <c r="M201" s="326" t="s">
        <v>3210</v>
      </c>
      <c r="N201" s="299"/>
      <c r="O201" s="293" t="str">
        <f>TablaPOA[[#This Row],[Cod_Sub_acción_especifica]]&amp;"_"&amp;TablaPOA[[#This Row],[Tipo de agente]]</f>
        <v>K31.1.11.1_Medios de transporte</v>
      </c>
      <c r="P201" s="250" t="s">
        <v>2918</v>
      </c>
      <c r="Q201" s="293" t="str">
        <f>TablaPOA[[#This Row],[Cod_Sub_acción_especifica]]&amp;"_"&amp;TablaPOA[[#This Row],[Cod_Tipo_agente]]</f>
        <v>K31.1.11.1_TA9</v>
      </c>
      <c r="R201" s="250" t="s">
        <v>2919</v>
      </c>
      <c r="S201" s="323"/>
      <c r="T201" s="269" t="s">
        <v>2941</v>
      </c>
    </row>
    <row r="202" spans="1:20" ht="25.5" x14ac:dyDescent="0.25">
      <c r="A202" s="219" t="s">
        <v>2314</v>
      </c>
      <c r="B202" s="227">
        <v>31</v>
      </c>
      <c r="C202" s="227" t="s">
        <v>2691</v>
      </c>
      <c r="D202" s="227" t="s">
        <v>2988</v>
      </c>
      <c r="E202" s="227" t="s">
        <v>3149</v>
      </c>
      <c r="F202" s="227" t="s">
        <v>2694</v>
      </c>
      <c r="G202" s="227" t="s">
        <v>2483</v>
      </c>
      <c r="H202" s="253" t="s">
        <v>3209</v>
      </c>
      <c r="I202" s="253" t="s">
        <v>3207</v>
      </c>
      <c r="J202" s="227" t="s">
        <v>3210</v>
      </c>
      <c r="K202" s="253" t="s">
        <v>3208</v>
      </c>
      <c r="L202" s="253" t="s">
        <v>3210</v>
      </c>
      <c r="M202" s="326" t="s">
        <v>3210</v>
      </c>
      <c r="N202" s="299"/>
      <c r="O202" s="293" t="str">
        <f>TablaPOA[[#This Row],[Cod_Sub_acción_especifica]]&amp;"_"&amp;TablaPOA[[#This Row],[Tipo de agente]]</f>
        <v>K31.1.11.1_Medios de transporte</v>
      </c>
      <c r="P202" s="250" t="s">
        <v>2918</v>
      </c>
      <c r="Q202" s="293" t="str">
        <f>TablaPOA[[#This Row],[Cod_Sub_acción_especifica]]&amp;"_"&amp;TablaPOA[[#This Row],[Cod_Tipo_agente]]</f>
        <v>K31.1.11.1_TA9</v>
      </c>
      <c r="R202" s="250" t="s">
        <v>2919</v>
      </c>
      <c r="S202" s="323"/>
      <c r="T202" s="269" t="s">
        <v>2943</v>
      </c>
    </row>
    <row r="203" spans="1:20" ht="25.5" x14ac:dyDescent="0.25">
      <c r="A203" s="219" t="s">
        <v>2314</v>
      </c>
      <c r="B203" s="227">
        <v>31</v>
      </c>
      <c r="C203" s="227" t="s">
        <v>2691</v>
      </c>
      <c r="D203" s="227" t="s">
        <v>2988</v>
      </c>
      <c r="E203" s="227" t="s">
        <v>3149</v>
      </c>
      <c r="F203" s="227" t="s">
        <v>2694</v>
      </c>
      <c r="G203" s="227" t="s">
        <v>2483</v>
      </c>
      <c r="H203" s="253" t="s">
        <v>3209</v>
      </c>
      <c r="I203" s="253" t="s">
        <v>3207</v>
      </c>
      <c r="J203" s="227" t="s">
        <v>3210</v>
      </c>
      <c r="K203" s="253" t="s">
        <v>3208</v>
      </c>
      <c r="L203" s="253" t="s">
        <v>3210</v>
      </c>
      <c r="M203" s="326" t="s">
        <v>3210</v>
      </c>
      <c r="N203" s="299"/>
      <c r="O203" s="293" t="str">
        <f>TablaPOA[[#This Row],[Cod_Sub_acción_especifica]]&amp;"_"&amp;TablaPOA[[#This Row],[Tipo de agente]]</f>
        <v>K31.1.11.1_Medios de transporte</v>
      </c>
      <c r="P203" s="250" t="s">
        <v>2918</v>
      </c>
      <c r="Q203" s="293" t="str">
        <f>TablaPOA[[#This Row],[Cod_Sub_acción_especifica]]&amp;"_"&amp;TablaPOA[[#This Row],[Cod_Tipo_agente]]</f>
        <v>K31.1.11.1_TA9</v>
      </c>
      <c r="R203" s="250" t="s">
        <v>2919</v>
      </c>
      <c r="S203" s="323"/>
      <c r="T203" s="269" t="s">
        <v>2945</v>
      </c>
    </row>
    <row r="204" spans="1:20" ht="25.5" x14ac:dyDescent="0.25">
      <c r="A204" s="219" t="s">
        <v>2314</v>
      </c>
      <c r="B204" s="227">
        <v>31</v>
      </c>
      <c r="C204" s="227" t="s">
        <v>2691</v>
      </c>
      <c r="D204" s="227" t="s">
        <v>2988</v>
      </c>
      <c r="E204" s="227" t="s">
        <v>3149</v>
      </c>
      <c r="F204" s="227" t="s">
        <v>2694</v>
      </c>
      <c r="G204" s="227" t="s">
        <v>2483</v>
      </c>
      <c r="H204" s="253" t="s">
        <v>3209</v>
      </c>
      <c r="I204" s="253" t="s">
        <v>3207</v>
      </c>
      <c r="J204" s="227" t="s">
        <v>3210</v>
      </c>
      <c r="K204" s="253" t="s">
        <v>3208</v>
      </c>
      <c r="L204" s="253" t="s">
        <v>3210</v>
      </c>
      <c r="M204" s="326" t="s">
        <v>3210</v>
      </c>
      <c r="N204" s="299"/>
      <c r="O204" s="293" t="str">
        <f>TablaPOA[[#This Row],[Cod_Sub_acción_especifica]]&amp;"_"&amp;TablaPOA[[#This Row],[Tipo de agente]]</f>
        <v>K31.1.11.1_Medios de transporte</v>
      </c>
      <c r="P204" s="250" t="s">
        <v>2918</v>
      </c>
      <c r="Q204" s="293" t="str">
        <f>TablaPOA[[#This Row],[Cod_Sub_acción_especifica]]&amp;"_"&amp;TablaPOA[[#This Row],[Cod_Tipo_agente]]</f>
        <v>K31.1.11.1_TA9</v>
      </c>
      <c r="R204" s="250" t="s">
        <v>2919</v>
      </c>
      <c r="S204" s="323"/>
      <c r="T204" s="269" t="s">
        <v>2947</v>
      </c>
    </row>
    <row r="205" spans="1:20" ht="25.5" x14ac:dyDescent="0.25">
      <c r="A205" s="219" t="s">
        <v>2314</v>
      </c>
      <c r="B205" s="227">
        <v>31</v>
      </c>
      <c r="C205" s="227" t="s">
        <v>2691</v>
      </c>
      <c r="D205" s="227" t="s">
        <v>2988</v>
      </c>
      <c r="E205" s="227" t="s">
        <v>3149</v>
      </c>
      <c r="F205" s="227" t="s">
        <v>2694</v>
      </c>
      <c r="G205" s="227" t="s">
        <v>2483</v>
      </c>
      <c r="H205" s="253" t="s">
        <v>3209</v>
      </c>
      <c r="I205" s="253" t="s">
        <v>3207</v>
      </c>
      <c r="J205" s="227" t="s">
        <v>3210</v>
      </c>
      <c r="K205" s="253" t="s">
        <v>3208</v>
      </c>
      <c r="L205" s="253" t="s">
        <v>3210</v>
      </c>
      <c r="M205" s="326" t="s">
        <v>3210</v>
      </c>
      <c r="N205" s="299"/>
      <c r="O205" s="293" t="str">
        <f>TablaPOA[[#This Row],[Cod_Sub_acción_especifica]]&amp;"_"&amp;TablaPOA[[#This Row],[Tipo de agente]]</f>
        <v>K31.1.11.1_Medios de transporte</v>
      </c>
      <c r="P205" s="250" t="s">
        <v>2918</v>
      </c>
      <c r="Q205" s="293" t="str">
        <f>TablaPOA[[#This Row],[Cod_Sub_acción_especifica]]&amp;"_"&amp;TablaPOA[[#This Row],[Cod_Tipo_agente]]</f>
        <v>K31.1.11.1_TA9</v>
      </c>
      <c r="R205" s="250" t="s">
        <v>2919</v>
      </c>
      <c r="S205" s="323"/>
      <c r="T205" s="269" t="s">
        <v>2949</v>
      </c>
    </row>
    <row r="206" spans="1:20" ht="25.5" x14ac:dyDescent="0.25">
      <c r="A206" s="219" t="s">
        <v>2314</v>
      </c>
      <c r="B206" s="227">
        <v>31</v>
      </c>
      <c r="C206" s="227" t="s">
        <v>2691</v>
      </c>
      <c r="D206" s="227" t="s">
        <v>2988</v>
      </c>
      <c r="E206" s="227" t="s">
        <v>3149</v>
      </c>
      <c r="F206" s="227" t="s">
        <v>2694</v>
      </c>
      <c r="G206" s="227" t="s">
        <v>2483</v>
      </c>
      <c r="H206" s="253" t="s">
        <v>3209</v>
      </c>
      <c r="I206" s="253" t="s">
        <v>3207</v>
      </c>
      <c r="J206" s="227" t="s">
        <v>3210</v>
      </c>
      <c r="K206" s="253" t="s">
        <v>3208</v>
      </c>
      <c r="L206" s="253" t="s">
        <v>3210</v>
      </c>
      <c r="M206" s="326" t="s">
        <v>3210</v>
      </c>
      <c r="N206" s="299"/>
      <c r="O206" s="293" t="str">
        <f>TablaPOA[[#This Row],[Cod_Sub_acción_especifica]]&amp;"_"&amp;TablaPOA[[#This Row],[Tipo de agente]]</f>
        <v>K31.1.11.1_Plantas de abastecimiento y despacho</v>
      </c>
      <c r="P206" s="250" t="s">
        <v>2950</v>
      </c>
      <c r="Q206" s="293" t="str">
        <f>TablaPOA[[#This Row],[Cod_Sub_acción_especifica]]&amp;"_"&amp;TablaPOA[[#This Row],[Cod_Tipo_agente]]</f>
        <v>K31.1.11.1_TA10</v>
      </c>
      <c r="R206" s="250" t="s">
        <v>2951</v>
      </c>
      <c r="S206" s="323"/>
      <c r="T206" s="269" t="s">
        <v>2953</v>
      </c>
    </row>
    <row r="207" spans="1:20" ht="25.5" x14ac:dyDescent="0.25">
      <c r="A207" s="219" t="s">
        <v>2314</v>
      </c>
      <c r="B207" s="227">
        <v>31</v>
      </c>
      <c r="C207" s="227" t="s">
        <v>2691</v>
      </c>
      <c r="D207" s="227" t="s">
        <v>2988</v>
      </c>
      <c r="E207" s="227" t="s">
        <v>3149</v>
      </c>
      <c r="F207" s="227" t="s">
        <v>2694</v>
      </c>
      <c r="G207" s="227" t="s">
        <v>2483</v>
      </c>
      <c r="H207" s="253" t="s">
        <v>3209</v>
      </c>
      <c r="I207" s="253" t="s">
        <v>3207</v>
      </c>
      <c r="J207" s="227" t="s">
        <v>3210</v>
      </c>
      <c r="K207" s="253" t="s">
        <v>3208</v>
      </c>
      <c r="L207" s="253" t="s">
        <v>3210</v>
      </c>
      <c r="M207" s="326" t="s">
        <v>3210</v>
      </c>
      <c r="N207" s="299"/>
      <c r="O207" s="293" t="str">
        <f>TablaPOA[[#This Row],[Cod_Sub_acción_especifica]]&amp;"_"&amp;TablaPOA[[#This Row],[Tipo de agente]]</f>
        <v>K31.1.11.1_Plantas de abastecimiento y despacho</v>
      </c>
      <c r="P207" s="250" t="s">
        <v>2950</v>
      </c>
      <c r="Q207" s="293" t="str">
        <f>TablaPOA[[#This Row],[Cod_Sub_acción_especifica]]&amp;"_"&amp;TablaPOA[[#This Row],[Cod_Tipo_agente]]</f>
        <v>K31.1.11.1_TA10</v>
      </c>
      <c r="R207" s="250" t="s">
        <v>2951</v>
      </c>
      <c r="S207" s="323"/>
      <c r="T207" s="269" t="s">
        <v>2955</v>
      </c>
    </row>
    <row r="208" spans="1:20" ht="25.5" x14ac:dyDescent="0.25">
      <c r="A208" s="219" t="s">
        <v>2314</v>
      </c>
      <c r="B208" s="227">
        <v>31</v>
      </c>
      <c r="C208" s="227" t="s">
        <v>2691</v>
      </c>
      <c r="D208" s="227" t="s">
        <v>2988</v>
      </c>
      <c r="E208" s="227" t="s">
        <v>3149</v>
      </c>
      <c r="F208" s="227" t="s">
        <v>2694</v>
      </c>
      <c r="G208" s="227" t="s">
        <v>2483</v>
      </c>
      <c r="H208" s="253" t="s">
        <v>3209</v>
      </c>
      <c r="I208" s="253" t="s">
        <v>3207</v>
      </c>
      <c r="J208" s="227" t="s">
        <v>3210</v>
      </c>
      <c r="K208" s="253" t="s">
        <v>3208</v>
      </c>
      <c r="L208" s="253" t="s">
        <v>3210</v>
      </c>
      <c r="M208" s="326" t="s">
        <v>3210</v>
      </c>
      <c r="N208" s="299"/>
      <c r="O208" s="293" t="str">
        <f>TablaPOA[[#This Row],[Cod_Sub_acción_especifica]]&amp;"_"&amp;TablaPOA[[#This Row],[Tipo de agente]]</f>
        <v>K31.1.11.1_Plantas de abastecimiento y despacho</v>
      </c>
      <c r="P208" s="250" t="s">
        <v>2950</v>
      </c>
      <c r="Q208" s="293" t="str">
        <f>TablaPOA[[#This Row],[Cod_Sub_acción_especifica]]&amp;"_"&amp;TablaPOA[[#This Row],[Cod_Tipo_agente]]</f>
        <v>K31.1.11.1_TA10</v>
      </c>
      <c r="R208" s="250" t="s">
        <v>2951</v>
      </c>
      <c r="S208" s="323"/>
      <c r="T208" s="269" t="s">
        <v>2957</v>
      </c>
    </row>
    <row r="209" spans="1:20" ht="25.5" x14ac:dyDescent="0.25">
      <c r="A209" s="219" t="s">
        <v>2314</v>
      </c>
      <c r="B209" s="227">
        <v>31</v>
      </c>
      <c r="C209" s="227" t="s">
        <v>2691</v>
      </c>
      <c r="D209" s="227" t="s">
        <v>2988</v>
      </c>
      <c r="E209" s="227" t="s">
        <v>3149</v>
      </c>
      <c r="F209" s="227" t="s">
        <v>2694</v>
      </c>
      <c r="G209" s="227" t="s">
        <v>2483</v>
      </c>
      <c r="H209" s="253" t="s">
        <v>3209</v>
      </c>
      <c r="I209" s="253" t="s">
        <v>3207</v>
      </c>
      <c r="J209" s="227" t="s">
        <v>3210</v>
      </c>
      <c r="K209" s="253" t="s">
        <v>3208</v>
      </c>
      <c r="L209" s="253" t="s">
        <v>3210</v>
      </c>
      <c r="M209" s="326" t="s">
        <v>3210</v>
      </c>
      <c r="N209" s="299"/>
      <c r="O209" s="293" t="str">
        <f>TablaPOA[[#This Row],[Cod_Sub_acción_especifica]]&amp;"_"&amp;TablaPOA[[#This Row],[Tipo de agente]]</f>
        <v>K31.1.11.1_Plantas de abastecimiento y despacho</v>
      </c>
      <c r="P209" s="250" t="s">
        <v>2950</v>
      </c>
      <c r="Q209" s="293" t="str">
        <f>TablaPOA[[#This Row],[Cod_Sub_acción_especifica]]&amp;"_"&amp;TablaPOA[[#This Row],[Cod_Tipo_agente]]</f>
        <v>K31.1.11.1_TA10</v>
      </c>
      <c r="R209" s="250" t="s">
        <v>2951</v>
      </c>
      <c r="S209" s="323"/>
      <c r="T209" s="269" t="s">
        <v>2959</v>
      </c>
    </row>
    <row r="210" spans="1:20" ht="25.5" x14ac:dyDescent="0.25">
      <c r="A210" s="219" t="s">
        <v>2314</v>
      </c>
      <c r="B210" s="227">
        <v>31</v>
      </c>
      <c r="C210" s="227" t="s">
        <v>2691</v>
      </c>
      <c r="D210" s="227" t="s">
        <v>2988</v>
      </c>
      <c r="E210" s="227" t="s">
        <v>3149</v>
      </c>
      <c r="F210" s="227" t="s">
        <v>2694</v>
      </c>
      <c r="G210" s="227" t="s">
        <v>2483</v>
      </c>
      <c r="H210" s="253" t="s">
        <v>3209</v>
      </c>
      <c r="I210" s="253" t="s">
        <v>3207</v>
      </c>
      <c r="J210" s="227" t="s">
        <v>3210</v>
      </c>
      <c r="K210" s="253" t="s">
        <v>3208</v>
      </c>
      <c r="L210" s="253" t="s">
        <v>3210</v>
      </c>
      <c r="M210" s="326" t="s">
        <v>3210</v>
      </c>
      <c r="N210" s="299"/>
      <c r="O210" s="293" t="str">
        <f>TablaPOA[[#This Row],[Cod_Sub_acción_especifica]]&amp;"_"&amp;TablaPOA[[#This Row],[Tipo de agente]]</f>
        <v>K31.1.11.1_Plantas de abastecimiento y despacho</v>
      </c>
      <c r="P210" s="250" t="s">
        <v>2950</v>
      </c>
      <c r="Q210" s="293" t="str">
        <f>TablaPOA[[#This Row],[Cod_Sub_acción_especifica]]&amp;"_"&amp;TablaPOA[[#This Row],[Cod_Tipo_agente]]</f>
        <v>K31.1.11.1_TA10</v>
      </c>
      <c r="R210" s="250" t="s">
        <v>2951</v>
      </c>
      <c r="S210" s="323"/>
      <c r="T210" s="269" t="s">
        <v>2961</v>
      </c>
    </row>
    <row r="211" spans="1:20" ht="38.25" x14ac:dyDescent="0.25">
      <c r="A211" s="219" t="s">
        <v>2314</v>
      </c>
      <c r="B211" s="227">
        <v>31</v>
      </c>
      <c r="C211" s="227" t="s">
        <v>2691</v>
      </c>
      <c r="D211" s="227" t="s">
        <v>2988</v>
      </c>
      <c r="E211" s="227" t="s">
        <v>3149</v>
      </c>
      <c r="F211" s="227" t="s">
        <v>2694</v>
      </c>
      <c r="G211" s="227" t="s">
        <v>2483</v>
      </c>
      <c r="H211" s="253" t="s">
        <v>3209</v>
      </c>
      <c r="I211" s="253" t="s">
        <v>3207</v>
      </c>
      <c r="J211" s="227" t="s">
        <v>3210</v>
      </c>
      <c r="K211" s="253" t="s">
        <v>3208</v>
      </c>
      <c r="L211" s="253" t="s">
        <v>3210</v>
      </c>
      <c r="M211" s="326" t="s">
        <v>3210</v>
      </c>
      <c r="N211" s="325"/>
      <c r="O211" s="293" t="str">
        <f>TablaPOA[[#This Row],[Cod_Sub_acción_especifica]]&amp;"_"&amp;TablaPOA[[#This Row],[Tipo de agente]]</f>
        <v>K31.1.11.1_Instalaciones de compresión, transferencia y descompresión de gas natural</v>
      </c>
      <c r="P211" s="250" t="s">
        <v>2902</v>
      </c>
      <c r="Q211" s="293" t="str">
        <f>TablaPOA[[#This Row],[Cod_Sub_acción_especifica]]&amp;"_"&amp;TablaPOA[[#This Row],[Cod_Tipo_agente]]</f>
        <v>K31.1.11.1_TA7</v>
      </c>
      <c r="R211" s="250" t="s">
        <v>2903</v>
      </c>
      <c r="S211" s="323"/>
      <c r="T211" s="274" t="s">
        <v>2905</v>
      </c>
    </row>
    <row r="212" spans="1:20" ht="38.25" x14ac:dyDescent="0.25">
      <c r="A212" s="219" t="s">
        <v>2314</v>
      </c>
      <c r="B212" s="227">
        <v>31</v>
      </c>
      <c r="C212" s="227" t="s">
        <v>2691</v>
      </c>
      <c r="D212" s="227" t="s">
        <v>2988</v>
      </c>
      <c r="E212" s="227" t="s">
        <v>3149</v>
      </c>
      <c r="F212" s="227" t="s">
        <v>2694</v>
      </c>
      <c r="G212" s="227" t="s">
        <v>2483</v>
      </c>
      <c r="H212" s="253" t="s">
        <v>3209</v>
      </c>
      <c r="I212" s="253" t="s">
        <v>3207</v>
      </c>
      <c r="J212" s="227" t="s">
        <v>3210</v>
      </c>
      <c r="K212" s="253" t="s">
        <v>3208</v>
      </c>
      <c r="L212" s="253" t="s">
        <v>3210</v>
      </c>
      <c r="M212" s="326" t="s">
        <v>3210</v>
      </c>
      <c r="N212" s="325"/>
      <c r="O212" s="293" t="str">
        <f>TablaPOA[[#This Row],[Cod_Sub_acción_especifica]]&amp;"_"&amp;TablaPOA[[#This Row],[Tipo de agente]]</f>
        <v>K31.1.11.1_Instalaciones de compresión, transferencia y descompresión de gas natural</v>
      </c>
      <c r="P212" s="250" t="s">
        <v>2902</v>
      </c>
      <c r="Q212" s="293" t="str">
        <f>TablaPOA[[#This Row],[Cod_Sub_acción_especifica]]&amp;"_"&amp;TablaPOA[[#This Row],[Cod_Tipo_agente]]</f>
        <v>K31.1.11.1_TA7</v>
      </c>
      <c r="R212" s="250" t="s">
        <v>2903</v>
      </c>
      <c r="S212" s="323"/>
      <c r="T212" s="274" t="s">
        <v>2907</v>
      </c>
    </row>
    <row r="213" spans="1:20" ht="38.25" x14ac:dyDescent="0.25">
      <c r="A213" s="219" t="s">
        <v>2314</v>
      </c>
      <c r="B213" s="227">
        <v>31</v>
      </c>
      <c r="C213" s="227" t="s">
        <v>2691</v>
      </c>
      <c r="D213" s="227" t="s">
        <v>2988</v>
      </c>
      <c r="E213" s="227" t="s">
        <v>3149</v>
      </c>
      <c r="F213" s="227" t="s">
        <v>2694</v>
      </c>
      <c r="G213" s="227" t="s">
        <v>2483</v>
      </c>
      <c r="H213" s="253" t="s">
        <v>3209</v>
      </c>
      <c r="I213" s="253" t="s">
        <v>3207</v>
      </c>
      <c r="J213" s="227" t="s">
        <v>3210</v>
      </c>
      <c r="K213" s="253" t="s">
        <v>3208</v>
      </c>
      <c r="L213" s="253" t="s">
        <v>3210</v>
      </c>
      <c r="M213" s="326" t="s">
        <v>3210</v>
      </c>
      <c r="N213" s="325"/>
      <c r="O213" s="293" t="str">
        <f>TablaPOA[[#This Row],[Cod_Sub_acción_especifica]]&amp;"_"&amp;TablaPOA[[#This Row],[Tipo de agente]]</f>
        <v>K31.1.11.1_Instalaciones de compresión, transferencia y descompresión de gas natural</v>
      </c>
      <c r="P213" s="250" t="s">
        <v>2902</v>
      </c>
      <c r="Q213" s="293" t="str">
        <f>TablaPOA[[#This Row],[Cod_Sub_acción_especifica]]&amp;"_"&amp;TablaPOA[[#This Row],[Cod_Tipo_agente]]</f>
        <v>K31.1.11.1_TA7</v>
      </c>
      <c r="R213" s="250" t="s">
        <v>2903</v>
      </c>
      <c r="S213" s="323"/>
      <c r="T213" s="274" t="s">
        <v>2909</v>
      </c>
    </row>
    <row r="214" spans="1:20" ht="38.25" x14ac:dyDescent="0.25">
      <c r="A214" s="219" t="s">
        <v>2314</v>
      </c>
      <c r="B214" s="227">
        <v>31</v>
      </c>
      <c r="C214" s="227" t="s">
        <v>2691</v>
      </c>
      <c r="D214" s="227" t="s">
        <v>2988</v>
      </c>
      <c r="E214" s="227" t="s">
        <v>3149</v>
      </c>
      <c r="F214" s="227" t="s">
        <v>2694</v>
      </c>
      <c r="G214" s="227" t="s">
        <v>2483</v>
      </c>
      <c r="H214" s="253" t="s">
        <v>3209</v>
      </c>
      <c r="I214" s="253" t="s">
        <v>3207</v>
      </c>
      <c r="J214" s="227" t="s">
        <v>3210</v>
      </c>
      <c r="K214" s="253" t="s">
        <v>3208</v>
      </c>
      <c r="L214" s="253" t="s">
        <v>3210</v>
      </c>
      <c r="M214" s="326" t="s">
        <v>3210</v>
      </c>
      <c r="N214" s="325"/>
      <c r="O214" s="293" t="str">
        <f>TablaPOA[[#This Row],[Cod_Sub_acción_especifica]]&amp;"_"&amp;TablaPOA[[#This Row],[Tipo de agente]]</f>
        <v>K31.1.11.1_Instalaciones de compresión, transferencia y descompresión de gas natural</v>
      </c>
      <c r="P214" s="250" t="s">
        <v>2902</v>
      </c>
      <c r="Q214" s="293" t="str">
        <f>TablaPOA[[#This Row],[Cod_Sub_acción_especifica]]&amp;"_"&amp;TablaPOA[[#This Row],[Cod_Tipo_agente]]</f>
        <v>K31.1.11.1_TA7</v>
      </c>
      <c r="R214" s="250" t="s">
        <v>2903</v>
      </c>
      <c r="S214" s="323"/>
      <c r="T214" s="274" t="s">
        <v>2911</v>
      </c>
    </row>
    <row r="215" spans="1:20" ht="25.5" x14ac:dyDescent="0.25">
      <c r="A215" s="219" t="s">
        <v>2314</v>
      </c>
      <c r="B215" s="227">
        <v>31</v>
      </c>
      <c r="C215" s="227" t="s">
        <v>2691</v>
      </c>
      <c r="D215" s="227" t="s">
        <v>2988</v>
      </c>
      <c r="E215" s="227" t="s">
        <v>3149</v>
      </c>
      <c r="F215" s="227" t="s">
        <v>2694</v>
      </c>
      <c r="G215" s="227" t="s">
        <v>2483</v>
      </c>
      <c r="H215" s="253" t="s">
        <v>3209</v>
      </c>
      <c r="I215" s="253" t="s">
        <v>3207</v>
      </c>
      <c r="J215" s="227" t="s">
        <v>3210</v>
      </c>
      <c r="K215" s="253" t="s">
        <v>3208</v>
      </c>
      <c r="L215" s="253" t="s">
        <v>3210</v>
      </c>
      <c r="M215" s="326" t="s">
        <v>3210</v>
      </c>
      <c r="N215" s="325"/>
      <c r="O215" s="293" t="str">
        <f>TablaPOA[[#This Row],[Cod_Sub_acción_especifica]]&amp;"_"&amp;TablaPOA[[#This Row],[Tipo de agente]]</f>
        <v>K31.1.11.1_Productores y Plantas de procesamiento</v>
      </c>
      <c r="P215" s="250" t="s">
        <v>2962</v>
      </c>
      <c r="Q215" s="293" t="str">
        <f>TablaPOA[[#This Row],[Cod_Sub_acción_especifica]]&amp;"_"&amp;TablaPOA[[#This Row],[Cod_Tipo_agente]]</f>
        <v>K31.1.11.1_TA11</v>
      </c>
      <c r="R215" s="250" t="s">
        <v>2963</v>
      </c>
      <c r="S215" s="323"/>
      <c r="T215" s="269" t="s">
        <v>2965</v>
      </c>
    </row>
    <row r="216" spans="1:20" ht="25.5" x14ac:dyDescent="0.25">
      <c r="A216" s="219" t="s">
        <v>2314</v>
      </c>
      <c r="B216" s="227">
        <v>31</v>
      </c>
      <c r="C216" s="227" t="s">
        <v>2691</v>
      </c>
      <c r="D216" s="227" t="s">
        <v>2988</v>
      </c>
      <c r="E216" s="227" t="s">
        <v>3149</v>
      </c>
      <c r="F216" s="227" t="s">
        <v>2694</v>
      </c>
      <c r="G216" s="227" t="s">
        <v>2483</v>
      </c>
      <c r="H216" s="253" t="s">
        <v>3209</v>
      </c>
      <c r="I216" s="253" t="s">
        <v>3207</v>
      </c>
      <c r="J216" s="227" t="s">
        <v>3210</v>
      </c>
      <c r="K216" s="253" t="s">
        <v>3208</v>
      </c>
      <c r="L216" s="253" t="s">
        <v>3210</v>
      </c>
      <c r="M216" s="326" t="s">
        <v>3210</v>
      </c>
      <c r="N216" s="325"/>
      <c r="O216" s="293" t="str">
        <f>TablaPOA[[#This Row],[Cod_Sub_acción_especifica]]&amp;"_"&amp;TablaPOA[[#This Row],[Tipo de agente]]</f>
        <v>K31.1.11.1_Productores y Plantas de procesamiento</v>
      </c>
      <c r="P216" s="250" t="s">
        <v>2962</v>
      </c>
      <c r="Q216" s="293" t="str">
        <f>TablaPOA[[#This Row],[Cod_Sub_acción_especifica]]&amp;"_"&amp;TablaPOA[[#This Row],[Cod_Tipo_agente]]</f>
        <v>K31.1.11.1_TA11</v>
      </c>
      <c r="R216" s="250" t="s">
        <v>2963</v>
      </c>
      <c r="S216" s="323"/>
      <c r="T216" s="269" t="s">
        <v>2967</v>
      </c>
    </row>
    <row r="217" spans="1:20" ht="25.5" x14ac:dyDescent="0.25">
      <c r="A217" s="219" t="s">
        <v>2314</v>
      </c>
      <c r="B217" s="227">
        <v>31</v>
      </c>
      <c r="C217" s="227" t="s">
        <v>2691</v>
      </c>
      <c r="D217" s="227" t="s">
        <v>2988</v>
      </c>
      <c r="E217" s="227" t="s">
        <v>3149</v>
      </c>
      <c r="F217" s="227" t="s">
        <v>2694</v>
      </c>
      <c r="G217" s="227" t="s">
        <v>2483</v>
      </c>
      <c r="H217" s="253" t="s">
        <v>3209</v>
      </c>
      <c r="I217" s="253" t="s">
        <v>3207</v>
      </c>
      <c r="J217" s="227" t="s">
        <v>3210</v>
      </c>
      <c r="K217" s="253" t="s">
        <v>3208</v>
      </c>
      <c r="L217" s="253" t="s">
        <v>3210</v>
      </c>
      <c r="M217" s="326" t="s">
        <v>3210</v>
      </c>
      <c r="N217" s="325"/>
      <c r="O217" s="293" t="str">
        <f>TablaPOA[[#This Row],[Cod_Sub_acción_especifica]]&amp;"_"&amp;TablaPOA[[#This Row],[Tipo de agente]]</f>
        <v>K31.1.11.1_Productores y Plantas de procesamiento</v>
      </c>
      <c r="P217" s="250" t="s">
        <v>2962</v>
      </c>
      <c r="Q217" s="293" t="str">
        <f>TablaPOA[[#This Row],[Cod_Sub_acción_especifica]]&amp;"_"&amp;TablaPOA[[#This Row],[Cod_Tipo_agente]]</f>
        <v>K31.1.11.1_TA11</v>
      </c>
      <c r="R217" s="250" t="s">
        <v>2963</v>
      </c>
      <c r="S217" s="323"/>
      <c r="T217" s="269" t="s">
        <v>2969</v>
      </c>
    </row>
    <row r="218" spans="1:20" ht="25.5" x14ac:dyDescent="0.25">
      <c r="A218" s="219" t="s">
        <v>2314</v>
      </c>
      <c r="B218" s="227">
        <v>31</v>
      </c>
      <c r="C218" s="227" t="s">
        <v>2691</v>
      </c>
      <c r="D218" s="227" t="s">
        <v>2988</v>
      </c>
      <c r="E218" s="227" t="s">
        <v>3149</v>
      </c>
      <c r="F218" s="227" t="s">
        <v>2694</v>
      </c>
      <c r="G218" s="227" t="s">
        <v>2483</v>
      </c>
      <c r="H218" s="253" t="s">
        <v>3209</v>
      </c>
      <c r="I218" s="253" t="s">
        <v>3207</v>
      </c>
      <c r="J218" s="227" t="s">
        <v>3210</v>
      </c>
      <c r="K218" s="253" t="s">
        <v>3208</v>
      </c>
      <c r="L218" s="253" t="s">
        <v>3210</v>
      </c>
      <c r="M218" s="326" t="s">
        <v>3210</v>
      </c>
      <c r="N218" s="325"/>
      <c r="O218" s="293" t="str">
        <f>TablaPOA[[#This Row],[Cod_Sub_acción_especifica]]&amp;"_"&amp;TablaPOA[[#This Row],[Tipo de agente]]</f>
        <v>K31.1.11.1_Productores y Plantas de procesamiento</v>
      </c>
      <c r="P218" s="250" t="s">
        <v>2962</v>
      </c>
      <c r="Q218" s="293" t="str">
        <f>TablaPOA[[#This Row],[Cod_Sub_acción_especifica]]&amp;"_"&amp;TablaPOA[[#This Row],[Cod_Tipo_agente]]</f>
        <v>K31.1.11.1_TA11</v>
      </c>
      <c r="R218" s="250" t="s">
        <v>2963</v>
      </c>
      <c r="S218" s="323"/>
      <c r="T218" s="269" t="s">
        <v>2971</v>
      </c>
    </row>
    <row r="219" spans="1:20" ht="25.5" x14ac:dyDescent="0.25">
      <c r="A219" s="219" t="s">
        <v>2314</v>
      </c>
      <c r="B219" s="227">
        <v>31</v>
      </c>
      <c r="C219" s="227" t="s">
        <v>2691</v>
      </c>
      <c r="D219" s="227" t="s">
        <v>2988</v>
      </c>
      <c r="E219" s="227" t="s">
        <v>3149</v>
      </c>
      <c r="F219" s="227" t="s">
        <v>2694</v>
      </c>
      <c r="G219" s="227" t="s">
        <v>2483</v>
      </c>
      <c r="H219" s="253" t="s">
        <v>3209</v>
      </c>
      <c r="I219" s="253" t="s">
        <v>3207</v>
      </c>
      <c r="J219" s="227" t="s">
        <v>3210</v>
      </c>
      <c r="K219" s="253" t="s">
        <v>3208</v>
      </c>
      <c r="L219" s="253" t="s">
        <v>3210</v>
      </c>
      <c r="M219" s="326" t="s">
        <v>3210</v>
      </c>
      <c r="N219" s="325"/>
      <c r="O219" s="293" t="str">
        <f>TablaPOA[[#This Row],[Cod_Sub_acción_especifica]]&amp;"_"&amp;TablaPOA[[#This Row],[Tipo de agente]]</f>
        <v>K31.1.11.1_Productores y Plantas de procesamiento</v>
      </c>
      <c r="P219" s="250" t="s">
        <v>2962</v>
      </c>
      <c r="Q219" s="293" t="str">
        <f>TablaPOA[[#This Row],[Cod_Sub_acción_especifica]]&amp;"_"&amp;TablaPOA[[#This Row],[Cod_Tipo_agente]]</f>
        <v>K31.1.11.1_TA11</v>
      </c>
      <c r="R219" s="250" t="s">
        <v>2963</v>
      </c>
      <c r="S219" s="323"/>
      <c r="T219" s="269" t="s">
        <v>2973</v>
      </c>
    </row>
    <row r="220" spans="1:20" ht="25.5" x14ac:dyDescent="0.25">
      <c r="A220" s="219" t="s">
        <v>2314</v>
      </c>
      <c r="B220" s="227">
        <v>31</v>
      </c>
      <c r="C220" s="227" t="s">
        <v>2691</v>
      </c>
      <c r="D220" s="227" t="s">
        <v>2988</v>
      </c>
      <c r="E220" s="227" t="s">
        <v>3149</v>
      </c>
      <c r="F220" s="227" t="s">
        <v>2694</v>
      </c>
      <c r="G220" s="227" t="s">
        <v>2483</v>
      </c>
      <c r="H220" s="253" t="s">
        <v>3209</v>
      </c>
      <c r="I220" s="253" t="s">
        <v>3207</v>
      </c>
      <c r="J220" s="227" t="s">
        <v>3210</v>
      </c>
      <c r="K220" s="253" t="s">
        <v>3208</v>
      </c>
      <c r="L220" s="253" t="s">
        <v>3210</v>
      </c>
      <c r="M220" s="326" t="s">
        <v>3210</v>
      </c>
      <c r="N220" s="325"/>
      <c r="O220" s="293" t="str">
        <f>TablaPOA[[#This Row],[Cod_Sub_acción_especifica]]&amp;"_"&amp;TablaPOA[[#This Row],[Tipo de agente]]</f>
        <v>K31.1.11.1_Productores y Plantas de procesamiento</v>
      </c>
      <c r="P220" s="250" t="s">
        <v>2962</v>
      </c>
      <c r="Q220" s="293" t="str">
        <f>TablaPOA[[#This Row],[Cod_Sub_acción_especifica]]&amp;"_"&amp;TablaPOA[[#This Row],[Cod_Tipo_agente]]</f>
        <v>K31.1.11.1_TA11</v>
      </c>
      <c r="R220" s="250" t="s">
        <v>2963</v>
      </c>
      <c r="S220" s="323"/>
      <c r="T220" s="269" t="s">
        <v>2975</v>
      </c>
    </row>
    <row r="221" spans="1:20" ht="25.5" x14ac:dyDescent="0.25">
      <c r="A221" s="219" t="s">
        <v>2314</v>
      </c>
      <c r="B221" s="227">
        <v>31</v>
      </c>
      <c r="C221" s="227" t="s">
        <v>2691</v>
      </c>
      <c r="D221" s="227" t="s">
        <v>2988</v>
      </c>
      <c r="E221" s="227" t="s">
        <v>3149</v>
      </c>
      <c r="F221" s="227" t="s">
        <v>2694</v>
      </c>
      <c r="G221" s="227" t="s">
        <v>2483</v>
      </c>
      <c r="H221" s="253" t="s">
        <v>3209</v>
      </c>
      <c r="I221" s="253" t="s">
        <v>3207</v>
      </c>
      <c r="J221" s="227" t="s">
        <v>3210</v>
      </c>
      <c r="K221" s="253" t="s">
        <v>3208</v>
      </c>
      <c r="L221" s="253" t="s">
        <v>3210</v>
      </c>
      <c r="M221" s="326" t="s">
        <v>3210</v>
      </c>
      <c r="N221" s="325"/>
      <c r="O221" s="293" t="str">
        <f>TablaPOA[[#This Row],[Cod_Sub_acción_especifica]]&amp;"_"&amp;TablaPOA[[#This Row],[Tipo de agente]]</f>
        <v>K31.1.11.1_Productores y Plantas de procesamiento</v>
      </c>
      <c r="P221" s="250" t="s">
        <v>2962</v>
      </c>
      <c r="Q221" s="292" t="str">
        <f>TablaPOA[[#This Row],[Cod_Sub_acción_especifica]]&amp;"_"&amp;TablaPOA[[#This Row],[Cod_Tipo_agente]]</f>
        <v>K31.1.11.1_TA11</v>
      </c>
      <c r="R221" s="250" t="s">
        <v>2963</v>
      </c>
      <c r="S221" s="255"/>
      <c r="T221" s="269" t="s">
        <v>2977</v>
      </c>
    </row>
    <row r="222" spans="1:20" ht="25.5" x14ac:dyDescent="0.25">
      <c r="A222" s="268" t="s">
        <v>2314</v>
      </c>
      <c r="B222" s="248">
        <v>31</v>
      </c>
      <c r="C222" s="248" t="s">
        <v>2691</v>
      </c>
      <c r="D222" s="248" t="s">
        <v>2988</v>
      </c>
      <c r="E222" s="248" t="s">
        <v>3160</v>
      </c>
      <c r="F222" s="248" t="s">
        <v>2695</v>
      </c>
      <c r="G222" s="248" t="s">
        <v>2490</v>
      </c>
      <c r="H222" s="249" t="s">
        <v>3161</v>
      </c>
      <c r="I222" s="249" t="s">
        <v>2708</v>
      </c>
      <c r="J222" s="258" t="s">
        <v>2709</v>
      </c>
      <c r="K222" s="249" t="s">
        <v>3077</v>
      </c>
      <c r="L222" s="249" t="s">
        <v>5</v>
      </c>
      <c r="M222" s="248" t="s">
        <v>2995</v>
      </c>
      <c r="N222" s="317" t="s">
        <v>2809</v>
      </c>
      <c r="O222" s="293" t="str">
        <f>TablaPOA[[#This Row],[Cod_Sub_acción_especifica]]&amp;"_"&amp;TablaPOA[[#This Row],[Tipo de agente]]</f>
        <v>K31.2.1.1_Consumidores directos de combustibles líquidos y OPDH</v>
      </c>
      <c r="P222" s="318" t="s">
        <v>2808</v>
      </c>
      <c r="Q222" s="293" t="str">
        <f>TablaPOA[[#This Row],[Cod_Sub_acción_especifica]]&amp;"_"&amp;TablaPOA[[#This Row],[Cod_Tipo_agente]]</f>
        <v>K31.2.1.1_TA1</v>
      </c>
      <c r="R222" s="318" t="s">
        <v>2809</v>
      </c>
      <c r="S222" s="319" t="s">
        <v>2810</v>
      </c>
      <c r="T222" s="320" t="s">
        <v>2811</v>
      </c>
    </row>
    <row r="223" spans="1:20" ht="25.5" x14ac:dyDescent="0.25">
      <c r="A223" s="268" t="s">
        <v>2314</v>
      </c>
      <c r="B223" s="248">
        <v>31</v>
      </c>
      <c r="C223" s="248" t="s">
        <v>2691</v>
      </c>
      <c r="D223" s="248" t="s">
        <v>2988</v>
      </c>
      <c r="E223" s="248" t="s">
        <v>3160</v>
      </c>
      <c r="F223" s="248" t="s">
        <v>2695</v>
      </c>
      <c r="G223" s="248" t="s">
        <v>2490</v>
      </c>
      <c r="H223" s="249" t="s">
        <v>3161</v>
      </c>
      <c r="I223" s="249" t="s">
        <v>2708</v>
      </c>
      <c r="J223" s="258" t="s">
        <v>2709</v>
      </c>
      <c r="K223" s="249" t="s">
        <v>3077</v>
      </c>
      <c r="L223" s="249" t="s">
        <v>5</v>
      </c>
      <c r="M223" s="248" t="s">
        <v>2995</v>
      </c>
      <c r="N223" s="299" t="s">
        <v>2883</v>
      </c>
      <c r="O223" s="292" t="str">
        <f>TablaPOA[[#This Row],[Cod_Sub_acción_especifica]]&amp;"_"&amp;TablaPOA[[#This Row],[Tipo de agente]]</f>
        <v>K31.2.1.1_Consumidores directos de combustibles líquidos y OPDH</v>
      </c>
      <c r="P223" s="250" t="s">
        <v>2808</v>
      </c>
      <c r="Q223" s="292" t="str">
        <f>TablaPOA[[#This Row],[Cod_Sub_acción_especifica]]&amp;"_"&amp;TablaPOA[[#This Row],[Cod_Tipo_agente]]</f>
        <v>K31.2.1.1_TA1</v>
      </c>
      <c r="R223" s="250" t="s">
        <v>2809</v>
      </c>
      <c r="S223" s="251" t="s">
        <v>2812</v>
      </c>
      <c r="T223" s="269" t="s">
        <v>2813</v>
      </c>
    </row>
    <row r="224" spans="1:20" ht="25.5" x14ac:dyDescent="0.25">
      <c r="A224" s="268" t="s">
        <v>2314</v>
      </c>
      <c r="B224" s="248">
        <v>31</v>
      </c>
      <c r="C224" s="248" t="s">
        <v>2691</v>
      </c>
      <c r="D224" s="248" t="s">
        <v>2988</v>
      </c>
      <c r="E224" s="248" t="s">
        <v>3160</v>
      </c>
      <c r="F224" s="248" t="s">
        <v>2695</v>
      </c>
      <c r="G224" s="248" t="s">
        <v>2490</v>
      </c>
      <c r="H224" s="249" t="s">
        <v>3161</v>
      </c>
      <c r="I224" s="249" t="s">
        <v>2708</v>
      </c>
      <c r="J224" s="258" t="s">
        <v>2709</v>
      </c>
      <c r="K224" s="249" t="s">
        <v>3077</v>
      </c>
      <c r="L224" s="249" t="s">
        <v>5</v>
      </c>
      <c r="M224" s="248" t="s">
        <v>2995</v>
      </c>
      <c r="N224" s="293"/>
      <c r="O224" s="293" t="str">
        <f>TablaPOA[[#This Row],[Cod_Sub_acción_especifica]]&amp;"_"&amp;TablaPOA[[#This Row],[Tipo de agente]]</f>
        <v>K31.2.1.1_Consumidores directos de combustibles líquidos y OPDH</v>
      </c>
      <c r="P224" s="250" t="s">
        <v>2808</v>
      </c>
      <c r="Q224" s="292" t="str">
        <f>TablaPOA[[#This Row],[Cod_Sub_acción_especifica]]&amp;"_"&amp;TablaPOA[[#This Row],[Cod_Tipo_agente]]</f>
        <v>K31.2.1.1_TA1</v>
      </c>
      <c r="R224" s="250" t="s">
        <v>2809</v>
      </c>
      <c r="S224" s="251" t="s">
        <v>2814</v>
      </c>
      <c r="T224" s="269" t="s">
        <v>2815</v>
      </c>
    </row>
    <row r="225" spans="1:20" ht="25.5" x14ac:dyDescent="0.25">
      <c r="A225" s="268" t="s">
        <v>2314</v>
      </c>
      <c r="B225" s="248">
        <v>31</v>
      </c>
      <c r="C225" s="248" t="s">
        <v>2691</v>
      </c>
      <c r="D225" s="248" t="s">
        <v>2988</v>
      </c>
      <c r="E225" s="248" t="s">
        <v>3160</v>
      </c>
      <c r="F225" s="248" t="s">
        <v>2695</v>
      </c>
      <c r="G225" s="248" t="s">
        <v>2490</v>
      </c>
      <c r="H225" s="249" t="s">
        <v>3161</v>
      </c>
      <c r="I225" s="249" t="s">
        <v>2708</v>
      </c>
      <c r="J225" s="258" t="s">
        <v>2709</v>
      </c>
      <c r="K225" s="249" t="s">
        <v>3077</v>
      </c>
      <c r="L225" s="249" t="s">
        <v>5</v>
      </c>
      <c r="M225" s="248" t="s">
        <v>2995</v>
      </c>
      <c r="N225" s="293"/>
      <c r="O225" s="293" t="str">
        <f>TablaPOA[[#This Row],[Cod_Sub_acción_especifica]]&amp;"_"&amp;TablaPOA[[#This Row],[Tipo de agente]]</f>
        <v>K31.2.1.1_Consumidores directos de combustibles líquidos y OPDH</v>
      </c>
      <c r="P225" s="250" t="s">
        <v>2808</v>
      </c>
      <c r="Q225" s="292" t="str">
        <f>TablaPOA[[#This Row],[Cod_Sub_acción_especifica]]&amp;"_"&amp;TablaPOA[[#This Row],[Cod_Tipo_agente]]</f>
        <v>K31.2.1.1_TA1</v>
      </c>
      <c r="R225" s="250" t="s">
        <v>2809</v>
      </c>
      <c r="S225" s="251" t="s">
        <v>2816</v>
      </c>
      <c r="T225" s="269" t="s">
        <v>2817</v>
      </c>
    </row>
    <row r="226" spans="1:20" ht="25.5" x14ac:dyDescent="0.25">
      <c r="A226" s="268" t="s">
        <v>2314</v>
      </c>
      <c r="B226" s="248">
        <v>31</v>
      </c>
      <c r="C226" s="248" t="s">
        <v>2691</v>
      </c>
      <c r="D226" s="248" t="s">
        <v>2988</v>
      </c>
      <c r="E226" s="248" t="s">
        <v>3160</v>
      </c>
      <c r="F226" s="248" t="s">
        <v>2695</v>
      </c>
      <c r="G226" s="248" t="s">
        <v>2490</v>
      </c>
      <c r="H226" s="249" t="s">
        <v>3161</v>
      </c>
      <c r="I226" s="249" t="s">
        <v>2708</v>
      </c>
      <c r="J226" s="258" t="s">
        <v>2709</v>
      </c>
      <c r="K226" s="249" t="s">
        <v>3077</v>
      </c>
      <c r="L226" s="249" t="s">
        <v>5</v>
      </c>
      <c r="M226" s="248" t="s">
        <v>2995</v>
      </c>
      <c r="N226" s="293"/>
      <c r="O226" s="293" t="str">
        <f>TablaPOA[[#This Row],[Cod_Sub_acción_especifica]]&amp;"_"&amp;TablaPOA[[#This Row],[Tipo de agente]]</f>
        <v>K31.2.1.1_Consumidores directos de combustibles líquidos y OPDH</v>
      </c>
      <c r="P226" s="250" t="s">
        <v>2808</v>
      </c>
      <c r="Q226" s="292" t="str">
        <f>TablaPOA[[#This Row],[Cod_Sub_acción_especifica]]&amp;"_"&amp;TablaPOA[[#This Row],[Cod_Tipo_agente]]</f>
        <v>K31.2.1.1_TA1</v>
      </c>
      <c r="R226" s="250" t="s">
        <v>2809</v>
      </c>
      <c r="S226" s="251" t="s">
        <v>2818</v>
      </c>
      <c r="T226" s="269" t="s">
        <v>2819</v>
      </c>
    </row>
    <row r="227" spans="1:20" ht="25.5" x14ac:dyDescent="0.25">
      <c r="A227" s="268" t="s">
        <v>2314</v>
      </c>
      <c r="B227" s="248">
        <v>31</v>
      </c>
      <c r="C227" s="248" t="s">
        <v>2691</v>
      </c>
      <c r="D227" s="248" t="s">
        <v>2988</v>
      </c>
      <c r="E227" s="248" t="s">
        <v>3160</v>
      </c>
      <c r="F227" s="248" t="s">
        <v>2695</v>
      </c>
      <c r="G227" s="248" t="s">
        <v>2490</v>
      </c>
      <c r="H227" s="249" t="s">
        <v>3161</v>
      </c>
      <c r="I227" s="249" t="s">
        <v>2708</v>
      </c>
      <c r="J227" s="258" t="s">
        <v>2709</v>
      </c>
      <c r="K227" s="249" t="s">
        <v>3077</v>
      </c>
      <c r="L227" s="249" t="s">
        <v>5</v>
      </c>
      <c r="M227" s="248" t="s">
        <v>2995</v>
      </c>
      <c r="N227" s="293"/>
      <c r="O227" s="293" t="str">
        <f>TablaPOA[[#This Row],[Cod_Sub_acción_especifica]]&amp;"_"&amp;TablaPOA[[#This Row],[Tipo de agente]]</f>
        <v>K31.2.1.1_Consumidores directos de combustibles líquidos y OPDH</v>
      </c>
      <c r="P227" s="250" t="s">
        <v>2808</v>
      </c>
      <c r="Q227" s="292" t="str">
        <f>TablaPOA[[#This Row],[Cod_Sub_acción_especifica]]&amp;"_"&amp;TablaPOA[[#This Row],[Cod_Tipo_agente]]</f>
        <v>K31.2.1.1_TA1</v>
      </c>
      <c r="R227" s="250" t="s">
        <v>2809</v>
      </c>
      <c r="S227" s="251" t="s">
        <v>2820</v>
      </c>
      <c r="T227" s="269" t="s">
        <v>2821</v>
      </c>
    </row>
    <row r="228" spans="1:20" ht="25.5" x14ac:dyDescent="0.25">
      <c r="A228" s="268" t="s">
        <v>2314</v>
      </c>
      <c r="B228" s="248">
        <v>31</v>
      </c>
      <c r="C228" s="248" t="s">
        <v>2691</v>
      </c>
      <c r="D228" s="248" t="s">
        <v>2988</v>
      </c>
      <c r="E228" s="248" t="s">
        <v>3160</v>
      </c>
      <c r="F228" s="248" t="s">
        <v>2695</v>
      </c>
      <c r="G228" s="248" t="s">
        <v>2490</v>
      </c>
      <c r="H228" s="249" t="s">
        <v>3161</v>
      </c>
      <c r="I228" s="249" t="s">
        <v>2708</v>
      </c>
      <c r="J228" s="258" t="s">
        <v>2709</v>
      </c>
      <c r="K228" s="249" t="s">
        <v>3077</v>
      </c>
      <c r="L228" s="249" t="s">
        <v>5</v>
      </c>
      <c r="M228" s="248" t="s">
        <v>2995</v>
      </c>
      <c r="N228" s="293"/>
      <c r="O228" s="293" t="str">
        <f>TablaPOA[[#This Row],[Cod_Sub_acción_especifica]]&amp;"_"&amp;TablaPOA[[#This Row],[Tipo de agente]]</f>
        <v>K31.2.1.1_Consumidores directos de combustibles líquidos y OPDH</v>
      </c>
      <c r="P228" s="250" t="s">
        <v>2808</v>
      </c>
      <c r="Q228" s="292" t="str">
        <f>TablaPOA[[#This Row],[Cod_Sub_acción_especifica]]&amp;"_"&amp;TablaPOA[[#This Row],[Cod_Tipo_agente]]</f>
        <v>K31.2.1.1_TA1</v>
      </c>
      <c r="R228" s="250" t="s">
        <v>2809</v>
      </c>
      <c r="S228" s="251" t="s">
        <v>2822</v>
      </c>
      <c r="T228" s="269" t="s">
        <v>2823</v>
      </c>
    </row>
    <row r="229" spans="1:20" ht="25.5" x14ac:dyDescent="0.25">
      <c r="A229" s="268" t="s">
        <v>2314</v>
      </c>
      <c r="B229" s="248">
        <v>31</v>
      </c>
      <c r="C229" s="248" t="s">
        <v>2691</v>
      </c>
      <c r="D229" s="248" t="s">
        <v>2988</v>
      </c>
      <c r="E229" s="248" t="s">
        <v>3160</v>
      </c>
      <c r="F229" s="248" t="s">
        <v>2695</v>
      </c>
      <c r="G229" s="248" t="s">
        <v>2490</v>
      </c>
      <c r="H229" s="249" t="s">
        <v>3161</v>
      </c>
      <c r="I229" s="249" t="s">
        <v>2708</v>
      </c>
      <c r="J229" s="258" t="s">
        <v>2709</v>
      </c>
      <c r="K229" s="249" t="s">
        <v>3077</v>
      </c>
      <c r="L229" s="249" t="s">
        <v>5</v>
      </c>
      <c r="M229" s="248" t="s">
        <v>2995</v>
      </c>
      <c r="N229" s="293"/>
      <c r="O229" s="293" t="str">
        <f>TablaPOA[[#This Row],[Cod_Sub_acción_especifica]]&amp;"_"&amp;TablaPOA[[#This Row],[Tipo de agente]]</f>
        <v>K31.2.1.1_Consumidores directos de combustibles líquidos y OPDH</v>
      </c>
      <c r="P229" s="250" t="s">
        <v>2808</v>
      </c>
      <c r="Q229" s="292" t="str">
        <f>TablaPOA[[#This Row],[Cod_Sub_acción_especifica]]&amp;"_"&amp;TablaPOA[[#This Row],[Cod_Tipo_agente]]</f>
        <v>K31.2.1.1_TA1</v>
      </c>
      <c r="R229" s="250" t="s">
        <v>2809</v>
      </c>
      <c r="S229" s="251" t="s">
        <v>2824</v>
      </c>
      <c r="T229" s="269" t="s">
        <v>2825</v>
      </c>
    </row>
    <row r="230" spans="1:20" ht="25.5" x14ac:dyDescent="0.25">
      <c r="A230" s="268" t="s">
        <v>2314</v>
      </c>
      <c r="B230" s="248">
        <v>31</v>
      </c>
      <c r="C230" s="248" t="s">
        <v>2691</v>
      </c>
      <c r="D230" s="248" t="s">
        <v>2988</v>
      </c>
      <c r="E230" s="248" t="s">
        <v>3160</v>
      </c>
      <c r="F230" s="248" t="s">
        <v>2695</v>
      </c>
      <c r="G230" s="248" t="s">
        <v>2490</v>
      </c>
      <c r="H230" s="249" t="s">
        <v>3161</v>
      </c>
      <c r="I230" s="249" t="s">
        <v>2708</v>
      </c>
      <c r="J230" s="258" t="s">
        <v>2709</v>
      </c>
      <c r="K230" s="249" t="s">
        <v>3077</v>
      </c>
      <c r="L230" s="249" t="s">
        <v>5</v>
      </c>
      <c r="M230" s="248" t="s">
        <v>2995</v>
      </c>
      <c r="N230" s="293"/>
      <c r="O230" s="293" t="str">
        <f>TablaPOA[[#This Row],[Cod_Sub_acción_especifica]]&amp;"_"&amp;TablaPOA[[#This Row],[Tipo de agente]]</f>
        <v>K31.2.1.1_Consumidores directos de combustibles líquidos y OPDH</v>
      </c>
      <c r="P230" s="250" t="s">
        <v>2808</v>
      </c>
      <c r="Q230" s="292" t="str">
        <f>TablaPOA[[#This Row],[Cod_Sub_acción_especifica]]&amp;"_"&amp;TablaPOA[[#This Row],[Cod_Tipo_agente]]</f>
        <v>K31.2.1.1_TA1</v>
      </c>
      <c r="R230" s="250" t="s">
        <v>2809</v>
      </c>
      <c r="S230" s="251" t="s">
        <v>2826</v>
      </c>
      <c r="T230" s="269" t="s">
        <v>2827</v>
      </c>
    </row>
    <row r="231" spans="1:20" ht="25.5" x14ac:dyDescent="0.25">
      <c r="A231" s="268" t="s">
        <v>2314</v>
      </c>
      <c r="B231" s="248">
        <v>31</v>
      </c>
      <c r="C231" s="248" t="s">
        <v>2691</v>
      </c>
      <c r="D231" s="248" t="s">
        <v>2988</v>
      </c>
      <c r="E231" s="248" t="s">
        <v>3160</v>
      </c>
      <c r="F231" s="248" t="s">
        <v>2695</v>
      </c>
      <c r="G231" s="248" t="s">
        <v>2490</v>
      </c>
      <c r="H231" s="249" t="s">
        <v>3161</v>
      </c>
      <c r="I231" s="249" t="s">
        <v>2708</v>
      </c>
      <c r="J231" s="258" t="s">
        <v>2709</v>
      </c>
      <c r="K231" s="249" t="s">
        <v>3077</v>
      </c>
      <c r="L231" s="249" t="s">
        <v>5</v>
      </c>
      <c r="M231" s="248" t="s">
        <v>2995</v>
      </c>
      <c r="N231" s="293"/>
      <c r="O231" s="293" t="str">
        <f>TablaPOA[[#This Row],[Cod_Sub_acción_especifica]]&amp;"_"&amp;TablaPOA[[#This Row],[Tipo de agente]]</f>
        <v>K31.2.1.1_Consumidores directos de combustibles líquidos y OPDH</v>
      </c>
      <c r="P231" s="250" t="s">
        <v>2808</v>
      </c>
      <c r="Q231" s="292" t="str">
        <f>TablaPOA[[#This Row],[Cod_Sub_acción_especifica]]&amp;"_"&amp;TablaPOA[[#This Row],[Cod_Tipo_agente]]</f>
        <v>K31.2.1.1_TA1</v>
      </c>
      <c r="R231" s="250" t="s">
        <v>2809</v>
      </c>
      <c r="S231" s="251" t="s">
        <v>2828</v>
      </c>
      <c r="T231" s="269" t="s">
        <v>2829</v>
      </c>
    </row>
    <row r="232" spans="1:20" ht="25.5" x14ac:dyDescent="0.25">
      <c r="A232" s="268" t="s">
        <v>2314</v>
      </c>
      <c r="B232" s="248">
        <v>31</v>
      </c>
      <c r="C232" s="248" t="s">
        <v>2691</v>
      </c>
      <c r="D232" s="248" t="s">
        <v>2988</v>
      </c>
      <c r="E232" s="248" t="s">
        <v>3160</v>
      </c>
      <c r="F232" s="248" t="s">
        <v>2695</v>
      </c>
      <c r="G232" s="248" t="s">
        <v>2490</v>
      </c>
      <c r="H232" s="249" t="s">
        <v>3161</v>
      </c>
      <c r="I232" s="249" t="s">
        <v>2708</v>
      </c>
      <c r="J232" s="258" t="s">
        <v>2709</v>
      </c>
      <c r="K232" s="249" t="s">
        <v>3077</v>
      </c>
      <c r="L232" s="249" t="s">
        <v>5</v>
      </c>
      <c r="M232" s="248" t="s">
        <v>2995</v>
      </c>
      <c r="N232" s="293"/>
      <c r="O232" s="293" t="str">
        <f>TablaPOA[[#This Row],[Cod_Sub_acción_especifica]]&amp;"_"&amp;TablaPOA[[#This Row],[Tipo de agente]]</f>
        <v>K31.2.1.1_Consumidores directos de GLP y redes de distribución</v>
      </c>
      <c r="P232" s="250" t="s">
        <v>2839</v>
      </c>
      <c r="Q232" s="292" t="str">
        <f>TablaPOA[[#This Row],[Cod_Sub_acción_especifica]]&amp;"_"&amp;TablaPOA[[#This Row],[Cod_Tipo_agente]]</f>
        <v>K31.2.1.1_TA3</v>
      </c>
      <c r="R232" s="250" t="s">
        <v>2840</v>
      </c>
      <c r="S232" s="250">
        <v>400</v>
      </c>
      <c r="T232" s="269" t="s">
        <v>2841</v>
      </c>
    </row>
    <row r="233" spans="1:20" ht="25.5" x14ac:dyDescent="0.25">
      <c r="A233" s="268" t="s">
        <v>2314</v>
      </c>
      <c r="B233" s="248">
        <v>31</v>
      </c>
      <c r="C233" s="248" t="s">
        <v>2691</v>
      </c>
      <c r="D233" s="248" t="s">
        <v>2988</v>
      </c>
      <c r="E233" s="248" t="s">
        <v>3160</v>
      </c>
      <c r="F233" s="248" t="s">
        <v>2695</v>
      </c>
      <c r="G233" s="248" t="s">
        <v>2490</v>
      </c>
      <c r="H233" s="249" t="s">
        <v>3161</v>
      </c>
      <c r="I233" s="249" t="s">
        <v>2708</v>
      </c>
      <c r="J233" s="258" t="s">
        <v>2709</v>
      </c>
      <c r="K233" s="249" t="s">
        <v>3077</v>
      </c>
      <c r="L233" s="249" t="s">
        <v>5</v>
      </c>
      <c r="M233" s="248" t="s">
        <v>2995</v>
      </c>
      <c r="N233" s="293"/>
      <c r="O233" s="293" t="str">
        <f>TablaPOA[[#This Row],[Cod_Sub_acción_especifica]]&amp;"_"&amp;TablaPOA[[#This Row],[Tipo de agente]]</f>
        <v>K31.2.1.1_Consumidores directos de GLP y redes de distribución</v>
      </c>
      <c r="P233" s="250" t="s">
        <v>2839</v>
      </c>
      <c r="Q233" s="292" t="str">
        <f>TablaPOA[[#This Row],[Cod_Sub_acción_especifica]]&amp;"_"&amp;TablaPOA[[#This Row],[Cod_Tipo_agente]]</f>
        <v>K31.2.1.1_TA3</v>
      </c>
      <c r="R233" s="250" t="s">
        <v>2840</v>
      </c>
      <c r="S233" s="250" t="s">
        <v>2842</v>
      </c>
      <c r="T233" s="269" t="s">
        <v>2843</v>
      </c>
    </row>
    <row r="234" spans="1:20" ht="25.5" x14ac:dyDescent="0.25">
      <c r="A234" s="268" t="s">
        <v>2314</v>
      </c>
      <c r="B234" s="248">
        <v>31</v>
      </c>
      <c r="C234" s="248" t="s">
        <v>2691</v>
      </c>
      <c r="D234" s="248" t="s">
        <v>2988</v>
      </c>
      <c r="E234" s="248" t="s">
        <v>3160</v>
      </c>
      <c r="F234" s="248" t="s">
        <v>2695</v>
      </c>
      <c r="G234" s="248" t="s">
        <v>2490</v>
      </c>
      <c r="H234" s="249" t="s">
        <v>3161</v>
      </c>
      <c r="I234" s="249" t="s">
        <v>2708</v>
      </c>
      <c r="J234" s="258" t="s">
        <v>2709</v>
      </c>
      <c r="K234" s="249" t="s">
        <v>3077</v>
      </c>
      <c r="L234" s="249" t="s">
        <v>5</v>
      </c>
      <c r="M234" s="248" t="s">
        <v>2995</v>
      </c>
      <c r="N234" s="293"/>
      <c r="O234" s="293" t="str">
        <f>TablaPOA[[#This Row],[Cod_Sub_acción_especifica]]&amp;"_"&amp;TablaPOA[[#This Row],[Tipo de agente]]</f>
        <v>K31.2.1.1_Consumidores directos de GLP y redes de distribución</v>
      </c>
      <c r="P234" s="250" t="s">
        <v>2839</v>
      </c>
      <c r="Q234" s="292" t="str">
        <f>TablaPOA[[#This Row],[Cod_Sub_acción_especifica]]&amp;"_"&amp;TablaPOA[[#This Row],[Cod_Tipo_agente]]</f>
        <v>K31.2.1.1_TA3</v>
      </c>
      <c r="R234" s="250" t="s">
        <v>2840</v>
      </c>
      <c r="S234" s="250" t="s">
        <v>2848</v>
      </c>
      <c r="T234" s="269" t="s">
        <v>2849</v>
      </c>
    </row>
    <row r="235" spans="1:20" ht="25.5" x14ac:dyDescent="0.25">
      <c r="A235" s="268" t="s">
        <v>2314</v>
      </c>
      <c r="B235" s="248">
        <v>31</v>
      </c>
      <c r="C235" s="248" t="s">
        <v>2691</v>
      </c>
      <c r="D235" s="248" t="s">
        <v>2988</v>
      </c>
      <c r="E235" s="248" t="s">
        <v>3160</v>
      </c>
      <c r="F235" s="248" t="s">
        <v>2695</v>
      </c>
      <c r="G235" s="248" t="s">
        <v>2490</v>
      </c>
      <c r="H235" s="249" t="s">
        <v>3161</v>
      </c>
      <c r="I235" s="249" t="s">
        <v>2708</v>
      </c>
      <c r="J235" s="258" t="s">
        <v>2709</v>
      </c>
      <c r="K235" s="249" t="s">
        <v>3077</v>
      </c>
      <c r="L235" s="249" t="s">
        <v>5</v>
      </c>
      <c r="M235" s="248" t="s">
        <v>2995</v>
      </c>
      <c r="N235" s="293"/>
      <c r="O235" s="293" t="str">
        <f>TablaPOA[[#This Row],[Cod_Sub_acción_especifica]]&amp;"_"&amp;TablaPOA[[#This Row],[Tipo de agente]]</f>
        <v>K31.2.1.1_Consumidores directos de GLP y redes de distribución</v>
      </c>
      <c r="P235" s="250" t="s">
        <v>2839</v>
      </c>
      <c r="Q235" s="292" t="str">
        <f>TablaPOA[[#This Row],[Cod_Sub_acción_especifica]]&amp;"_"&amp;TablaPOA[[#This Row],[Cod_Tipo_agente]]</f>
        <v>K31.2.1.1_TA3</v>
      </c>
      <c r="R235" s="250" t="s">
        <v>2840</v>
      </c>
      <c r="S235" s="250" t="s">
        <v>2850</v>
      </c>
      <c r="T235" s="269" t="s">
        <v>2851</v>
      </c>
    </row>
    <row r="236" spans="1:20" ht="25.5" x14ac:dyDescent="0.25">
      <c r="A236" s="268" t="s">
        <v>2314</v>
      </c>
      <c r="B236" s="248">
        <v>31</v>
      </c>
      <c r="C236" s="248" t="s">
        <v>2691</v>
      </c>
      <c r="D236" s="248" t="s">
        <v>2988</v>
      </c>
      <c r="E236" s="248" t="s">
        <v>3160</v>
      </c>
      <c r="F236" s="248" t="s">
        <v>2695</v>
      </c>
      <c r="G236" s="248" t="s">
        <v>2490</v>
      </c>
      <c r="H236" s="249" t="s">
        <v>3161</v>
      </c>
      <c r="I236" s="249" t="s">
        <v>2708</v>
      </c>
      <c r="J236" s="258" t="s">
        <v>2709</v>
      </c>
      <c r="K236" s="249" t="s">
        <v>3077</v>
      </c>
      <c r="L236" s="249" t="s">
        <v>5</v>
      </c>
      <c r="M236" s="248" t="s">
        <v>2995</v>
      </c>
      <c r="N236" s="293"/>
      <c r="O236" s="293" t="str">
        <f>TablaPOA[[#This Row],[Cod_Sub_acción_especifica]]&amp;"_"&amp;TablaPOA[[#This Row],[Tipo de agente]]</f>
        <v>K31.2.1.1_EVP combustibles de uso automotor</v>
      </c>
      <c r="P236" s="250" t="s">
        <v>2882</v>
      </c>
      <c r="Q236" s="292" t="str">
        <f>TablaPOA[[#This Row],[Cod_Sub_acción_especifica]]&amp;"_"&amp;TablaPOA[[#This Row],[Cod_Tipo_agente]]</f>
        <v>K31.2.1.1_TA6</v>
      </c>
      <c r="R236" s="250" t="s">
        <v>2883</v>
      </c>
      <c r="S236" s="251" t="s">
        <v>2884</v>
      </c>
      <c r="T236" s="269" t="s">
        <v>2885</v>
      </c>
    </row>
    <row r="237" spans="1:20" ht="25.5" x14ac:dyDescent="0.25">
      <c r="A237" s="268" t="s">
        <v>2314</v>
      </c>
      <c r="B237" s="248">
        <v>31</v>
      </c>
      <c r="C237" s="248" t="s">
        <v>2691</v>
      </c>
      <c r="D237" s="248" t="s">
        <v>2988</v>
      </c>
      <c r="E237" s="248" t="s">
        <v>3160</v>
      </c>
      <c r="F237" s="248" t="s">
        <v>2695</v>
      </c>
      <c r="G237" s="248" t="s">
        <v>2490</v>
      </c>
      <c r="H237" s="249" t="s">
        <v>3161</v>
      </c>
      <c r="I237" s="249" t="s">
        <v>2708</v>
      </c>
      <c r="J237" s="258" t="s">
        <v>2709</v>
      </c>
      <c r="K237" s="249" t="s">
        <v>3077</v>
      </c>
      <c r="L237" s="249" t="s">
        <v>5</v>
      </c>
      <c r="M237" s="248" t="s">
        <v>2995</v>
      </c>
      <c r="N237" s="293"/>
      <c r="O237" s="293" t="str">
        <f>TablaPOA[[#This Row],[Cod_Sub_acción_especifica]]&amp;"_"&amp;TablaPOA[[#This Row],[Tipo de agente]]</f>
        <v>K31.2.1.1_EVP combustibles de uso automotor</v>
      </c>
      <c r="P237" s="250" t="s">
        <v>2882</v>
      </c>
      <c r="Q237" s="292" t="str">
        <f>TablaPOA[[#This Row],[Cod_Sub_acción_especifica]]&amp;"_"&amp;TablaPOA[[#This Row],[Cod_Tipo_agente]]</f>
        <v>K31.2.1.1_TA6</v>
      </c>
      <c r="R237" s="250" t="s">
        <v>2883</v>
      </c>
      <c r="S237" s="251" t="s">
        <v>2886</v>
      </c>
      <c r="T237" s="269" t="s">
        <v>2887</v>
      </c>
    </row>
    <row r="238" spans="1:20" ht="25.5" x14ac:dyDescent="0.25">
      <c r="A238" s="268" t="s">
        <v>2314</v>
      </c>
      <c r="B238" s="248">
        <v>31</v>
      </c>
      <c r="C238" s="248" t="s">
        <v>2691</v>
      </c>
      <c r="D238" s="248" t="s">
        <v>2988</v>
      </c>
      <c r="E238" s="248" t="s">
        <v>3160</v>
      </c>
      <c r="F238" s="248" t="s">
        <v>2695</v>
      </c>
      <c r="G238" s="248" t="s">
        <v>2490</v>
      </c>
      <c r="H238" s="249" t="s">
        <v>3161</v>
      </c>
      <c r="I238" s="249" t="s">
        <v>2708</v>
      </c>
      <c r="J238" s="258" t="s">
        <v>2709</v>
      </c>
      <c r="K238" s="249" t="s">
        <v>3077</v>
      </c>
      <c r="L238" s="249" t="s">
        <v>5</v>
      </c>
      <c r="M238" s="248" t="s">
        <v>2995</v>
      </c>
      <c r="N238" s="293"/>
      <c r="O238" s="293" t="str">
        <f>TablaPOA[[#This Row],[Cod_Sub_acción_especifica]]&amp;"_"&amp;TablaPOA[[#This Row],[Tipo de agente]]</f>
        <v>K31.2.1.1_EVP combustibles de uso automotor</v>
      </c>
      <c r="P238" s="250" t="s">
        <v>2882</v>
      </c>
      <c r="Q238" s="292" t="str">
        <f>TablaPOA[[#This Row],[Cod_Sub_acción_especifica]]&amp;"_"&amp;TablaPOA[[#This Row],[Cod_Tipo_agente]]</f>
        <v>K31.2.1.1_TA6</v>
      </c>
      <c r="R238" s="250" t="s">
        <v>2883</v>
      </c>
      <c r="S238" s="251" t="s">
        <v>2888</v>
      </c>
      <c r="T238" s="269" t="s">
        <v>2889</v>
      </c>
    </row>
    <row r="239" spans="1:20" ht="25.5" x14ac:dyDescent="0.25">
      <c r="A239" s="268" t="s">
        <v>2314</v>
      </c>
      <c r="B239" s="248">
        <v>31</v>
      </c>
      <c r="C239" s="248" t="s">
        <v>2691</v>
      </c>
      <c r="D239" s="248" t="s">
        <v>2988</v>
      </c>
      <c r="E239" s="248" t="s">
        <v>3160</v>
      </c>
      <c r="F239" s="248" t="s">
        <v>2695</v>
      </c>
      <c r="G239" s="248" t="s">
        <v>2490</v>
      </c>
      <c r="H239" s="249" t="s">
        <v>3161</v>
      </c>
      <c r="I239" s="249" t="s">
        <v>2708</v>
      </c>
      <c r="J239" s="258" t="s">
        <v>2709</v>
      </c>
      <c r="K239" s="249" t="s">
        <v>3077</v>
      </c>
      <c r="L239" s="249" t="s">
        <v>5</v>
      </c>
      <c r="M239" s="248" t="s">
        <v>2995</v>
      </c>
      <c r="N239" s="293"/>
      <c r="O239" s="293" t="str">
        <f>TablaPOA[[#This Row],[Cod_Sub_acción_especifica]]&amp;"_"&amp;TablaPOA[[#This Row],[Tipo de agente]]</f>
        <v>K31.2.1.1_EVP combustibles de uso automotor</v>
      </c>
      <c r="P239" s="250" t="s">
        <v>2882</v>
      </c>
      <c r="Q239" s="292" t="str">
        <f>TablaPOA[[#This Row],[Cod_Sub_acción_especifica]]&amp;"_"&amp;TablaPOA[[#This Row],[Cod_Tipo_agente]]</f>
        <v>K31.2.1.1_TA6</v>
      </c>
      <c r="R239" s="250" t="s">
        <v>2883</v>
      </c>
      <c r="S239" s="251" t="s">
        <v>2890</v>
      </c>
      <c r="T239" s="269" t="s">
        <v>2891</v>
      </c>
    </row>
    <row r="240" spans="1:20" ht="25.5" x14ac:dyDescent="0.25">
      <c r="A240" s="268" t="s">
        <v>2314</v>
      </c>
      <c r="B240" s="248">
        <v>31</v>
      </c>
      <c r="C240" s="248" t="s">
        <v>2691</v>
      </c>
      <c r="D240" s="248" t="s">
        <v>2988</v>
      </c>
      <c r="E240" s="248" t="s">
        <v>3160</v>
      </c>
      <c r="F240" s="248" t="s">
        <v>2695</v>
      </c>
      <c r="G240" s="248" t="s">
        <v>2490</v>
      </c>
      <c r="H240" s="249" t="s">
        <v>3161</v>
      </c>
      <c r="I240" s="249" t="s">
        <v>2708</v>
      </c>
      <c r="J240" s="258" t="s">
        <v>2709</v>
      </c>
      <c r="K240" s="249" t="s">
        <v>3077</v>
      </c>
      <c r="L240" s="249" t="s">
        <v>5</v>
      </c>
      <c r="M240" s="248" t="s">
        <v>2995</v>
      </c>
      <c r="N240" s="293"/>
      <c r="O240" s="293" t="str">
        <f>TablaPOA[[#This Row],[Cod_Sub_acción_especifica]]&amp;"_"&amp;TablaPOA[[#This Row],[Tipo de agente]]</f>
        <v>K31.2.1.1_EVP combustibles de uso automotor</v>
      </c>
      <c r="P240" s="250" t="s">
        <v>2882</v>
      </c>
      <c r="Q240" s="292" t="str">
        <f>TablaPOA[[#This Row],[Cod_Sub_acción_especifica]]&amp;"_"&amp;TablaPOA[[#This Row],[Cod_Tipo_agente]]</f>
        <v>K31.2.1.1_TA6</v>
      </c>
      <c r="R240" s="250" t="s">
        <v>2883</v>
      </c>
      <c r="S240" s="251" t="s">
        <v>2892</v>
      </c>
      <c r="T240" s="269" t="s">
        <v>2893</v>
      </c>
    </row>
    <row r="241" spans="1:20" ht="25.5" x14ac:dyDescent="0.25">
      <c r="A241" s="268" t="s">
        <v>2314</v>
      </c>
      <c r="B241" s="248">
        <v>31</v>
      </c>
      <c r="C241" s="248" t="s">
        <v>2691</v>
      </c>
      <c r="D241" s="248" t="s">
        <v>2988</v>
      </c>
      <c r="E241" s="248" t="s">
        <v>3160</v>
      </c>
      <c r="F241" s="248" t="s">
        <v>2695</v>
      </c>
      <c r="G241" s="248" t="s">
        <v>2490</v>
      </c>
      <c r="H241" s="249" t="s">
        <v>3161</v>
      </c>
      <c r="I241" s="249" t="s">
        <v>2708</v>
      </c>
      <c r="J241" s="258" t="s">
        <v>2709</v>
      </c>
      <c r="K241" s="249" t="s">
        <v>3077</v>
      </c>
      <c r="L241" s="249" t="s">
        <v>5</v>
      </c>
      <c r="M241" s="248" t="s">
        <v>2995</v>
      </c>
      <c r="N241" s="293"/>
      <c r="O241" s="293" t="str">
        <f>TablaPOA[[#This Row],[Cod_Sub_acción_especifica]]&amp;"_"&amp;TablaPOA[[#This Row],[Tipo de agente]]</f>
        <v>K31.2.1.1_EVP combustibles de uso automotor</v>
      </c>
      <c r="P241" s="250" t="s">
        <v>2882</v>
      </c>
      <c r="Q241" s="292" t="str">
        <f>TablaPOA[[#This Row],[Cod_Sub_acción_especifica]]&amp;"_"&amp;TablaPOA[[#This Row],[Cod_Tipo_agente]]</f>
        <v>K31.2.1.1_TA6</v>
      </c>
      <c r="R241" s="250" t="s">
        <v>2883</v>
      </c>
      <c r="S241" s="251" t="s">
        <v>2894</v>
      </c>
      <c r="T241" s="269" t="s">
        <v>2895</v>
      </c>
    </row>
    <row r="242" spans="1:20" ht="25.5" x14ac:dyDescent="0.25">
      <c r="A242" s="268" t="s">
        <v>2314</v>
      </c>
      <c r="B242" s="248">
        <v>31</v>
      </c>
      <c r="C242" s="248" t="s">
        <v>2691</v>
      </c>
      <c r="D242" s="248" t="s">
        <v>2988</v>
      </c>
      <c r="E242" s="248" t="s">
        <v>3160</v>
      </c>
      <c r="F242" s="248" t="s">
        <v>2695</v>
      </c>
      <c r="G242" s="248" t="s">
        <v>2490</v>
      </c>
      <c r="H242" s="249" t="s">
        <v>3161</v>
      </c>
      <c r="I242" s="249" t="s">
        <v>2708</v>
      </c>
      <c r="J242" s="258" t="s">
        <v>2709</v>
      </c>
      <c r="K242" s="249" t="s">
        <v>3077</v>
      </c>
      <c r="L242" s="249" t="s">
        <v>5</v>
      </c>
      <c r="M242" s="248" t="s">
        <v>2995</v>
      </c>
      <c r="N242" s="293"/>
      <c r="O242" s="293" t="str">
        <f>TablaPOA[[#This Row],[Cod_Sub_acción_especifica]]&amp;"_"&amp;TablaPOA[[#This Row],[Tipo de agente]]</f>
        <v>K31.2.1.1_EVP combustibles de uso automotor</v>
      </c>
      <c r="P242" s="250" t="s">
        <v>2882</v>
      </c>
      <c r="Q242" s="292" t="str">
        <f>TablaPOA[[#This Row],[Cod_Sub_acción_especifica]]&amp;"_"&amp;TablaPOA[[#This Row],[Cod_Tipo_agente]]</f>
        <v>K31.2.1.1_TA6</v>
      </c>
      <c r="R242" s="250" t="s">
        <v>2883</v>
      </c>
      <c r="S242" s="251" t="s">
        <v>2896</v>
      </c>
      <c r="T242" s="269" t="s">
        <v>2897</v>
      </c>
    </row>
    <row r="243" spans="1:20" ht="25.5" x14ac:dyDescent="0.25">
      <c r="A243" s="268" t="s">
        <v>2314</v>
      </c>
      <c r="B243" s="248">
        <v>31</v>
      </c>
      <c r="C243" s="248" t="s">
        <v>2691</v>
      </c>
      <c r="D243" s="248" t="s">
        <v>2988</v>
      </c>
      <c r="E243" s="248" t="s">
        <v>3160</v>
      </c>
      <c r="F243" s="248" t="s">
        <v>2695</v>
      </c>
      <c r="G243" s="248" t="s">
        <v>2490</v>
      </c>
      <c r="H243" s="249" t="s">
        <v>3161</v>
      </c>
      <c r="I243" s="249" t="s">
        <v>2708</v>
      </c>
      <c r="J243" s="258" t="s">
        <v>2709</v>
      </c>
      <c r="K243" s="249" t="s">
        <v>3077</v>
      </c>
      <c r="L243" s="249" t="s">
        <v>5</v>
      </c>
      <c r="M243" s="248" t="s">
        <v>2995</v>
      </c>
      <c r="N243" s="293"/>
      <c r="O243" s="293" t="str">
        <f>TablaPOA[[#This Row],[Cod_Sub_acción_especifica]]&amp;"_"&amp;TablaPOA[[#This Row],[Tipo de agente]]</f>
        <v>K31.2.1.1_EVP combustibles de uso automotor</v>
      </c>
      <c r="P243" s="250" t="s">
        <v>2882</v>
      </c>
      <c r="Q243" s="292" t="str">
        <f>TablaPOA[[#This Row],[Cod_Sub_acción_especifica]]&amp;"_"&amp;TablaPOA[[#This Row],[Cod_Tipo_agente]]</f>
        <v>K31.2.1.1_TA6</v>
      </c>
      <c r="R243" s="250" t="s">
        <v>2883</v>
      </c>
      <c r="S243" s="251" t="s">
        <v>2898</v>
      </c>
      <c r="T243" s="269" t="s">
        <v>2899</v>
      </c>
    </row>
    <row r="244" spans="1:20" ht="25.5" x14ac:dyDescent="0.25">
      <c r="A244" s="268" t="s">
        <v>2314</v>
      </c>
      <c r="B244" s="248">
        <v>31</v>
      </c>
      <c r="C244" s="248" t="s">
        <v>2691</v>
      </c>
      <c r="D244" s="248" t="s">
        <v>2988</v>
      </c>
      <c r="E244" s="248" t="s">
        <v>3160</v>
      </c>
      <c r="F244" s="248" t="s">
        <v>2695</v>
      </c>
      <c r="G244" s="248" t="s">
        <v>2490</v>
      </c>
      <c r="H244" s="249" t="s">
        <v>3161</v>
      </c>
      <c r="I244" s="249" t="s">
        <v>2708</v>
      </c>
      <c r="J244" s="258" t="s">
        <v>2709</v>
      </c>
      <c r="K244" s="249" t="s">
        <v>3077</v>
      </c>
      <c r="L244" s="249" t="s">
        <v>5</v>
      </c>
      <c r="M244" s="248" t="s">
        <v>2995</v>
      </c>
      <c r="N244" s="293"/>
      <c r="O244" s="293" t="str">
        <f>TablaPOA[[#This Row],[Cod_Sub_acción_especifica]]&amp;"_"&amp;TablaPOA[[#This Row],[Tipo de agente]]</f>
        <v>K31.2.1.1_EVP combustibles de uso automotor</v>
      </c>
      <c r="P244" s="250" t="s">
        <v>2882</v>
      </c>
      <c r="Q244" s="292" t="str">
        <f>TablaPOA[[#This Row],[Cod_Sub_acción_especifica]]&amp;"_"&amp;TablaPOA[[#This Row],[Cod_Tipo_agente]]</f>
        <v>K31.2.1.1_TA6</v>
      </c>
      <c r="R244" s="250" t="s">
        <v>2883</v>
      </c>
      <c r="S244" s="251" t="s">
        <v>2900</v>
      </c>
      <c r="T244" s="269" t="s">
        <v>2901</v>
      </c>
    </row>
    <row r="245" spans="1:20" ht="25.5" x14ac:dyDescent="0.25">
      <c r="A245" s="219" t="s">
        <v>2314</v>
      </c>
      <c r="B245" s="227">
        <v>31</v>
      </c>
      <c r="C245" s="227" t="s">
        <v>2691</v>
      </c>
      <c r="D245" s="227" t="s">
        <v>2988</v>
      </c>
      <c r="E245" s="227" t="s">
        <v>3160</v>
      </c>
      <c r="F245" s="227" t="s">
        <v>2695</v>
      </c>
      <c r="G245" s="227" t="s">
        <v>2490</v>
      </c>
      <c r="H245" s="253" t="s">
        <v>3161</v>
      </c>
      <c r="I245" s="253" t="s">
        <v>2708</v>
      </c>
      <c r="J245" s="259" t="s">
        <v>2709</v>
      </c>
      <c r="K245" s="253" t="s">
        <v>3078</v>
      </c>
      <c r="L245" s="253" t="s">
        <v>9</v>
      </c>
      <c r="M245" s="227" t="s">
        <v>2996</v>
      </c>
      <c r="N245" s="299" t="s">
        <v>2809</v>
      </c>
      <c r="O245" s="292" t="str">
        <f>TablaPOA[[#This Row],[Cod_Sub_acción_especifica]]&amp;"_"&amp;TablaPOA[[#This Row],[Tipo de agente]]</f>
        <v>K31.2.1.2_Consumidores directos de combustibles líquidos y OPDH</v>
      </c>
      <c r="P245" s="254" t="s">
        <v>2808</v>
      </c>
      <c r="Q245" s="292" t="str">
        <f>TablaPOA[[#This Row],[Cod_Sub_acción_especifica]]&amp;"_"&amp;TablaPOA[[#This Row],[Cod_Tipo_agente]]</f>
        <v>K31.2.1.2_TA1</v>
      </c>
      <c r="R245" s="254" t="s">
        <v>2809</v>
      </c>
      <c r="S245" s="255" t="s">
        <v>2810</v>
      </c>
      <c r="T245" s="271" t="s">
        <v>2811</v>
      </c>
    </row>
    <row r="246" spans="1:20" ht="25.5" x14ac:dyDescent="0.25">
      <c r="A246" s="219" t="s">
        <v>2314</v>
      </c>
      <c r="B246" s="227">
        <v>31</v>
      </c>
      <c r="C246" s="227" t="s">
        <v>2691</v>
      </c>
      <c r="D246" s="227" t="s">
        <v>2988</v>
      </c>
      <c r="E246" s="227" t="s">
        <v>3160</v>
      </c>
      <c r="F246" s="227" t="s">
        <v>2695</v>
      </c>
      <c r="G246" s="227" t="s">
        <v>2490</v>
      </c>
      <c r="H246" s="253" t="s">
        <v>3161</v>
      </c>
      <c r="I246" s="253" t="s">
        <v>2708</v>
      </c>
      <c r="J246" s="259" t="s">
        <v>2709</v>
      </c>
      <c r="K246" s="253" t="s">
        <v>3078</v>
      </c>
      <c r="L246" s="253" t="s">
        <v>9</v>
      </c>
      <c r="M246" s="227" t="s">
        <v>2996</v>
      </c>
      <c r="N246" s="299" t="s">
        <v>2840</v>
      </c>
      <c r="O246" s="292" t="str">
        <f>TablaPOA[[#This Row],[Cod_Sub_acción_especifica]]&amp;"_"&amp;TablaPOA[[#This Row],[Tipo de agente]]</f>
        <v>K31.2.1.2_Consumidores directos de combustibles líquidos y OPDH</v>
      </c>
      <c r="P246" s="254" t="s">
        <v>2808</v>
      </c>
      <c r="Q246" s="292" t="str">
        <f>TablaPOA[[#This Row],[Cod_Sub_acción_especifica]]&amp;"_"&amp;TablaPOA[[#This Row],[Cod_Tipo_agente]]</f>
        <v>K31.2.1.2_TA1</v>
      </c>
      <c r="R246" s="254" t="s">
        <v>2809</v>
      </c>
      <c r="S246" s="255" t="s">
        <v>2812</v>
      </c>
      <c r="T246" s="271" t="s">
        <v>2813</v>
      </c>
    </row>
    <row r="247" spans="1:20" ht="25.5" x14ac:dyDescent="0.25">
      <c r="A247" s="219" t="s">
        <v>2314</v>
      </c>
      <c r="B247" s="227">
        <v>31</v>
      </c>
      <c r="C247" s="227" t="s">
        <v>2691</v>
      </c>
      <c r="D247" s="227" t="s">
        <v>2988</v>
      </c>
      <c r="E247" s="227" t="s">
        <v>3160</v>
      </c>
      <c r="F247" s="227" t="s">
        <v>2695</v>
      </c>
      <c r="G247" s="227" t="s">
        <v>2490</v>
      </c>
      <c r="H247" s="253" t="s">
        <v>3161</v>
      </c>
      <c r="I247" s="253" t="s">
        <v>2708</v>
      </c>
      <c r="J247" s="259" t="s">
        <v>2709</v>
      </c>
      <c r="K247" s="253" t="s">
        <v>3078</v>
      </c>
      <c r="L247" s="253" t="s">
        <v>9</v>
      </c>
      <c r="M247" s="227" t="s">
        <v>2996</v>
      </c>
      <c r="N247" s="299" t="s">
        <v>2883</v>
      </c>
      <c r="O247" s="292" t="str">
        <f>TablaPOA[[#This Row],[Cod_Sub_acción_especifica]]&amp;"_"&amp;TablaPOA[[#This Row],[Tipo de agente]]</f>
        <v>K31.2.1.2_Consumidores directos de combustibles líquidos y OPDH</v>
      </c>
      <c r="P247" s="254" t="s">
        <v>2808</v>
      </c>
      <c r="Q247" s="292" t="str">
        <f>TablaPOA[[#This Row],[Cod_Sub_acción_especifica]]&amp;"_"&amp;TablaPOA[[#This Row],[Cod_Tipo_agente]]</f>
        <v>K31.2.1.2_TA1</v>
      </c>
      <c r="R247" s="254" t="s">
        <v>2809</v>
      </c>
      <c r="S247" s="255" t="s">
        <v>2814</v>
      </c>
      <c r="T247" s="271" t="s">
        <v>2815</v>
      </c>
    </row>
    <row r="248" spans="1:20" ht="25.5" x14ac:dyDescent="0.25">
      <c r="A248" s="219" t="s">
        <v>2314</v>
      </c>
      <c r="B248" s="227">
        <v>31</v>
      </c>
      <c r="C248" s="227" t="s">
        <v>2691</v>
      </c>
      <c r="D248" s="227" t="s">
        <v>2988</v>
      </c>
      <c r="E248" s="227" t="s">
        <v>3160</v>
      </c>
      <c r="F248" s="227" t="s">
        <v>2695</v>
      </c>
      <c r="G248" s="227" t="s">
        <v>2490</v>
      </c>
      <c r="H248" s="253" t="s">
        <v>3161</v>
      </c>
      <c r="I248" s="253" t="s">
        <v>2708</v>
      </c>
      <c r="J248" s="259" t="s">
        <v>2709</v>
      </c>
      <c r="K248" s="253" t="s">
        <v>3078</v>
      </c>
      <c r="L248" s="253" t="s">
        <v>9</v>
      </c>
      <c r="M248" s="227" t="s">
        <v>2996</v>
      </c>
      <c r="N248" s="293"/>
      <c r="O248" s="293" t="str">
        <f>TablaPOA[[#This Row],[Cod_Sub_acción_especifica]]&amp;"_"&amp;TablaPOA[[#This Row],[Tipo de agente]]</f>
        <v>K31.2.1.2_Consumidores directos de combustibles líquidos y OPDH</v>
      </c>
      <c r="P248" s="254" t="s">
        <v>2808</v>
      </c>
      <c r="Q248" s="292" t="str">
        <f>TablaPOA[[#This Row],[Cod_Sub_acción_especifica]]&amp;"_"&amp;TablaPOA[[#This Row],[Cod_Tipo_agente]]</f>
        <v>K31.2.1.2_TA1</v>
      </c>
      <c r="R248" s="254" t="s">
        <v>2809</v>
      </c>
      <c r="S248" s="255" t="s">
        <v>2816</v>
      </c>
      <c r="T248" s="271" t="s">
        <v>2817</v>
      </c>
    </row>
    <row r="249" spans="1:20" ht="25.5" x14ac:dyDescent="0.25">
      <c r="A249" s="219" t="s">
        <v>2314</v>
      </c>
      <c r="B249" s="227">
        <v>31</v>
      </c>
      <c r="C249" s="227" t="s">
        <v>2691</v>
      </c>
      <c r="D249" s="227" t="s">
        <v>2988</v>
      </c>
      <c r="E249" s="227" t="s">
        <v>3160</v>
      </c>
      <c r="F249" s="227" t="s">
        <v>2695</v>
      </c>
      <c r="G249" s="227" t="s">
        <v>2490</v>
      </c>
      <c r="H249" s="253" t="s">
        <v>3161</v>
      </c>
      <c r="I249" s="253" t="s">
        <v>2708</v>
      </c>
      <c r="J249" s="259" t="s">
        <v>2709</v>
      </c>
      <c r="K249" s="253" t="s">
        <v>3078</v>
      </c>
      <c r="L249" s="253" t="s">
        <v>9</v>
      </c>
      <c r="M249" s="227" t="s">
        <v>2996</v>
      </c>
      <c r="N249" s="293"/>
      <c r="O249" s="293" t="str">
        <f>TablaPOA[[#This Row],[Cod_Sub_acción_especifica]]&amp;"_"&amp;TablaPOA[[#This Row],[Tipo de agente]]</f>
        <v>K31.2.1.2_Consumidores directos de combustibles líquidos y OPDH</v>
      </c>
      <c r="P249" s="254" t="s">
        <v>2808</v>
      </c>
      <c r="Q249" s="292" t="str">
        <f>TablaPOA[[#This Row],[Cod_Sub_acción_especifica]]&amp;"_"&amp;TablaPOA[[#This Row],[Cod_Tipo_agente]]</f>
        <v>K31.2.1.2_TA1</v>
      </c>
      <c r="R249" s="254" t="s">
        <v>2809</v>
      </c>
      <c r="S249" s="255" t="s">
        <v>2818</v>
      </c>
      <c r="T249" s="271" t="s">
        <v>2819</v>
      </c>
    </row>
    <row r="250" spans="1:20" ht="25.5" x14ac:dyDescent="0.25">
      <c r="A250" s="219" t="s">
        <v>2314</v>
      </c>
      <c r="B250" s="227">
        <v>31</v>
      </c>
      <c r="C250" s="227" t="s">
        <v>2691</v>
      </c>
      <c r="D250" s="227" t="s">
        <v>2988</v>
      </c>
      <c r="E250" s="227" t="s">
        <v>3160</v>
      </c>
      <c r="F250" s="227" t="s">
        <v>2695</v>
      </c>
      <c r="G250" s="227" t="s">
        <v>2490</v>
      </c>
      <c r="H250" s="253" t="s">
        <v>3161</v>
      </c>
      <c r="I250" s="253" t="s">
        <v>2708</v>
      </c>
      <c r="J250" s="259" t="s">
        <v>2709</v>
      </c>
      <c r="K250" s="253" t="s">
        <v>3078</v>
      </c>
      <c r="L250" s="253" t="s">
        <v>9</v>
      </c>
      <c r="M250" s="227" t="s">
        <v>2996</v>
      </c>
      <c r="N250" s="293"/>
      <c r="O250" s="293" t="str">
        <f>TablaPOA[[#This Row],[Cod_Sub_acción_especifica]]&amp;"_"&amp;TablaPOA[[#This Row],[Tipo de agente]]</f>
        <v>K31.2.1.2_Consumidores directos de combustibles líquidos y OPDH</v>
      </c>
      <c r="P250" s="254" t="s">
        <v>2808</v>
      </c>
      <c r="Q250" s="292" t="str">
        <f>TablaPOA[[#This Row],[Cod_Sub_acción_especifica]]&amp;"_"&amp;TablaPOA[[#This Row],[Cod_Tipo_agente]]</f>
        <v>K31.2.1.2_TA1</v>
      </c>
      <c r="R250" s="254" t="s">
        <v>2809</v>
      </c>
      <c r="S250" s="255" t="s">
        <v>2820</v>
      </c>
      <c r="T250" s="271" t="s">
        <v>2821</v>
      </c>
    </row>
    <row r="251" spans="1:20" ht="25.5" x14ac:dyDescent="0.25">
      <c r="A251" s="219" t="s">
        <v>2314</v>
      </c>
      <c r="B251" s="227">
        <v>31</v>
      </c>
      <c r="C251" s="227" t="s">
        <v>2691</v>
      </c>
      <c r="D251" s="227" t="s">
        <v>2988</v>
      </c>
      <c r="E251" s="227" t="s">
        <v>3160</v>
      </c>
      <c r="F251" s="227" t="s">
        <v>2695</v>
      </c>
      <c r="G251" s="227" t="s">
        <v>2490</v>
      </c>
      <c r="H251" s="253" t="s">
        <v>3161</v>
      </c>
      <c r="I251" s="253" t="s">
        <v>2708</v>
      </c>
      <c r="J251" s="259" t="s">
        <v>2709</v>
      </c>
      <c r="K251" s="253" t="s">
        <v>3078</v>
      </c>
      <c r="L251" s="253" t="s">
        <v>9</v>
      </c>
      <c r="M251" s="227" t="s">
        <v>2996</v>
      </c>
      <c r="N251" s="293"/>
      <c r="O251" s="293" t="str">
        <f>TablaPOA[[#This Row],[Cod_Sub_acción_especifica]]&amp;"_"&amp;TablaPOA[[#This Row],[Tipo de agente]]</f>
        <v>K31.2.1.2_Consumidores directos de combustibles líquidos y OPDH</v>
      </c>
      <c r="P251" s="254" t="s">
        <v>2808</v>
      </c>
      <c r="Q251" s="292" t="str">
        <f>TablaPOA[[#This Row],[Cod_Sub_acción_especifica]]&amp;"_"&amp;TablaPOA[[#This Row],[Cod_Tipo_agente]]</f>
        <v>K31.2.1.2_TA1</v>
      </c>
      <c r="R251" s="254" t="s">
        <v>2809</v>
      </c>
      <c r="S251" s="255" t="s">
        <v>2822</v>
      </c>
      <c r="T251" s="271" t="s">
        <v>2823</v>
      </c>
    </row>
    <row r="252" spans="1:20" ht="25.5" x14ac:dyDescent="0.25">
      <c r="A252" s="219" t="s">
        <v>2314</v>
      </c>
      <c r="B252" s="227">
        <v>31</v>
      </c>
      <c r="C252" s="227" t="s">
        <v>2691</v>
      </c>
      <c r="D252" s="227" t="s">
        <v>2988</v>
      </c>
      <c r="E252" s="227" t="s">
        <v>3160</v>
      </c>
      <c r="F252" s="227" t="s">
        <v>2695</v>
      </c>
      <c r="G252" s="227" t="s">
        <v>2490</v>
      </c>
      <c r="H252" s="253" t="s">
        <v>3161</v>
      </c>
      <c r="I252" s="253" t="s">
        <v>2708</v>
      </c>
      <c r="J252" s="259" t="s">
        <v>2709</v>
      </c>
      <c r="K252" s="253" t="s">
        <v>3078</v>
      </c>
      <c r="L252" s="253" t="s">
        <v>9</v>
      </c>
      <c r="M252" s="227" t="s">
        <v>2996</v>
      </c>
      <c r="N252" s="293"/>
      <c r="O252" s="293" t="str">
        <f>TablaPOA[[#This Row],[Cod_Sub_acción_especifica]]&amp;"_"&amp;TablaPOA[[#This Row],[Tipo de agente]]</f>
        <v>K31.2.1.2_Consumidores directos de combustibles líquidos y OPDH</v>
      </c>
      <c r="P252" s="254" t="s">
        <v>2808</v>
      </c>
      <c r="Q252" s="292" t="str">
        <f>TablaPOA[[#This Row],[Cod_Sub_acción_especifica]]&amp;"_"&amp;TablaPOA[[#This Row],[Cod_Tipo_agente]]</f>
        <v>K31.2.1.2_TA1</v>
      </c>
      <c r="R252" s="254" t="s">
        <v>2809</v>
      </c>
      <c r="S252" s="255" t="s">
        <v>2824</v>
      </c>
      <c r="T252" s="271" t="s">
        <v>2825</v>
      </c>
    </row>
    <row r="253" spans="1:20" ht="25.5" x14ac:dyDescent="0.25">
      <c r="A253" s="219" t="s">
        <v>2314</v>
      </c>
      <c r="B253" s="227">
        <v>31</v>
      </c>
      <c r="C253" s="227" t="s">
        <v>2691</v>
      </c>
      <c r="D253" s="227" t="s">
        <v>2988</v>
      </c>
      <c r="E253" s="227" t="s">
        <v>3160</v>
      </c>
      <c r="F253" s="227" t="s">
        <v>2695</v>
      </c>
      <c r="G253" s="227" t="s">
        <v>2490</v>
      </c>
      <c r="H253" s="253" t="s">
        <v>3161</v>
      </c>
      <c r="I253" s="253" t="s">
        <v>2708</v>
      </c>
      <c r="J253" s="259" t="s">
        <v>2709</v>
      </c>
      <c r="K253" s="253" t="s">
        <v>3078</v>
      </c>
      <c r="L253" s="253" t="s">
        <v>9</v>
      </c>
      <c r="M253" s="227" t="s">
        <v>2996</v>
      </c>
      <c r="N253" s="293"/>
      <c r="O253" s="293" t="str">
        <f>TablaPOA[[#This Row],[Cod_Sub_acción_especifica]]&amp;"_"&amp;TablaPOA[[#This Row],[Tipo de agente]]</f>
        <v>K31.2.1.2_Consumidores directos de combustibles líquidos y OPDH</v>
      </c>
      <c r="P253" s="254" t="s">
        <v>2808</v>
      </c>
      <c r="Q253" s="292" t="str">
        <f>TablaPOA[[#This Row],[Cod_Sub_acción_especifica]]&amp;"_"&amp;TablaPOA[[#This Row],[Cod_Tipo_agente]]</f>
        <v>K31.2.1.2_TA1</v>
      </c>
      <c r="R253" s="254" t="s">
        <v>2809</v>
      </c>
      <c r="S253" s="255" t="s">
        <v>2826</v>
      </c>
      <c r="T253" s="271" t="s">
        <v>2827</v>
      </c>
    </row>
    <row r="254" spans="1:20" ht="25.5" x14ac:dyDescent="0.25">
      <c r="A254" s="219" t="s">
        <v>2314</v>
      </c>
      <c r="B254" s="227">
        <v>31</v>
      </c>
      <c r="C254" s="227" t="s">
        <v>2691</v>
      </c>
      <c r="D254" s="227" t="s">
        <v>2988</v>
      </c>
      <c r="E254" s="227" t="s">
        <v>3160</v>
      </c>
      <c r="F254" s="227" t="s">
        <v>2695</v>
      </c>
      <c r="G254" s="227" t="s">
        <v>2490</v>
      </c>
      <c r="H254" s="253" t="s">
        <v>3161</v>
      </c>
      <c r="I254" s="253" t="s">
        <v>2708</v>
      </c>
      <c r="J254" s="259" t="s">
        <v>2709</v>
      </c>
      <c r="K254" s="253" t="s">
        <v>3078</v>
      </c>
      <c r="L254" s="253" t="s">
        <v>9</v>
      </c>
      <c r="M254" s="227" t="s">
        <v>2996</v>
      </c>
      <c r="N254" s="293"/>
      <c r="O254" s="293" t="str">
        <f>TablaPOA[[#This Row],[Cod_Sub_acción_especifica]]&amp;"_"&amp;TablaPOA[[#This Row],[Tipo de agente]]</f>
        <v>K31.2.1.2_Consumidores directos de combustibles líquidos y OPDH</v>
      </c>
      <c r="P254" s="254" t="s">
        <v>2808</v>
      </c>
      <c r="Q254" s="292" t="str">
        <f>TablaPOA[[#This Row],[Cod_Sub_acción_especifica]]&amp;"_"&amp;TablaPOA[[#This Row],[Cod_Tipo_agente]]</f>
        <v>K31.2.1.2_TA1</v>
      </c>
      <c r="R254" s="254" t="s">
        <v>2809</v>
      </c>
      <c r="S254" s="255" t="s">
        <v>2828</v>
      </c>
      <c r="T254" s="271" t="s">
        <v>2829</v>
      </c>
    </row>
    <row r="255" spans="1:20" ht="25.5" x14ac:dyDescent="0.25">
      <c r="A255" s="219" t="s">
        <v>2314</v>
      </c>
      <c r="B255" s="227">
        <v>31</v>
      </c>
      <c r="C255" s="227" t="s">
        <v>2691</v>
      </c>
      <c r="D255" s="227" t="s">
        <v>2988</v>
      </c>
      <c r="E255" s="227" t="s">
        <v>3160</v>
      </c>
      <c r="F255" s="227" t="s">
        <v>2695</v>
      </c>
      <c r="G255" s="227" t="s">
        <v>2490</v>
      </c>
      <c r="H255" s="253" t="s">
        <v>3161</v>
      </c>
      <c r="I255" s="253" t="s">
        <v>2708</v>
      </c>
      <c r="J255" s="259" t="s">
        <v>2709</v>
      </c>
      <c r="K255" s="253" t="s">
        <v>3078</v>
      </c>
      <c r="L255" s="253" t="s">
        <v>9</v>
      </c>
      <c r="M255" s="227" t="s">
        <v>2996</v>
      </c>
      <c r="N255" s="293"/>
      <c r="O255" s="293" t="str">
        <f>TablaPOA[[#This Row],[Cod_Sub_acción_especifica]]&amp;"_"&amp;TablaPOA[[#This Row],[Tipo de agente]]</f>
        <v>K31.2.1.2_Consumidores directos de GLP y redes de distribución</v>
      </c>
      <c r="P255" s="254" t="s">
        <v>2839</v>
      </c>
      <c r="Q255" s="292" t="str">
        <f>TablaPOA[[#This Row],[Cod_Sub_acción_especifica]]&amp;"_"&amp;TablaPOA[[#This Row],[Cod_Tipo_agente]]</f>
        <v>K31.2.1.2_TA3</v>
      </c>
      <c r="R255" s="254" t="s">
        <v>2840</v>
      </c>
      <c r="S255" s="254">
        <v>400</v>
      </c>
      <c r="T255" s="271" t="s">
        <v>2841</v>
      </c>
    </row>
    <row r="256" spans="1:20" ht="25.5" x14ac:dyDescent="0.25">
      <c r="A256" s="219" t="s">
        <v>2314</v>
      </c>
      <c r="B256" s="227">
        <v>31</v>
      </c>
      <c r="C256" s="227" t="s">
        <v>2691</v>
      </c>
      <c r="D256" s="227" t="s">
        <v>2988</v>
      </c>
      <c r="E256" s="227" t="s">
        <v>3160</v>
      </c>
      <c r="F256" s="227" t="s">
        <v>2695</v>
      </c>
      <c r="G256" s="227" t="s">
        <v>2490</v>
      </c>
      <c r="H256" s="253" t="s">
        <v>3161</v>
      </c>
      <c r="I256" s="253" t="s">
        <v>2708</v>
      </c>
      <c r="J256" s="259" t="s">
        <v>2709</v>
      </c>
      <c r="K256" s="253" t="s">
        <v>3078</v>
      </c>
      <c r="L256" s="253" t="s">
        <v>9</v>
      </c>
      <c r="M256" s="227" t="s">
        <v>2996</v>
      </c>
      <c r="N256" s="293"/>
      <c r="O256" s="293" t="str">
        <f>TablaPOA[[#This Row],[Cod_Sub_acción_especifica]]&amp;"_"&amp;TablaPOA[[#This Row],[Tipo de agente]]</f>
        <v>K31.2.1.2_Consumidores directos de GLP y redes de distribución</v>
      </c>
      <c r="P256" s="254" t="s">
        <v>2839</v>
      </c>
      <c r="Q256" s="292" t="str">
        <f>TablaPOA[[#This Row],[Cod_Sub_acción_especifica]]&amp;"_"&amp;TablaPOA[[#This Row],[Cod_Tipo_agente]]</f>
        <v>K31.2.1.2_TA3</v>
      </c>
      <c r="R256" s="254" t="s">
        <v>2840</v>
      </c>
      <c r="S256" s="254" t="s">
        <v>2842</v>
      </c>
      <c r="T256" s="271" t="s">
        <v>2843</v>
      </c>
    </row>
    <row r="257" spans="1:20" ht="25.5" x14ac:dyDescent="0.25">
      <c r="A257" s="219" t="s">
        <v>2314</v>
      </c>
      <c r="B257" s="227">
        <v>31</v>
      </c>
      <c r="C257" s="227" t="s">
        <v>2691</v>
      </c>
      <c r="D257" s="227" t="s">
        <v>2988</v>
      </c>
      <c r="E257" s="227" t="s">
        <v>3160</v>
      </c>
      <c r="F257" s="227" t="s">
        <v>2695</v>
      </c>
      <c r="G257" s="227" t="s">
        <v>2490</v>
      </c>
      <c r="H257" s="253" t="s">
        <v>3161</v>
      </c>
      <c r="I257" s="253" t="s">
        <v>2708</v>
      </c>
      <c r="J257" s="259" t="s">
        <v>2709</v>
      </c>
      <c r="K257" s="253" t="s">
        <v>3078</v>
      </c>
      <c r="L257" s="253" t="s">
        <v>9</v>
      </c>
      <c r="M257" s="227" t="s">
        <v>2996</v>
      </c>
      <c r="N257" s="293"/>
      <c r="O257" s="293" t="str">
        <f>TablaPOA[[#This Row],[Cod_Sub_acción_especifica]]&amp;"_"&amp;TablaPOA[[#This Row],[Tipo de agente]]</f>
        <v>K31.2.1.2_Consumidores directos de GLP y redes de distribución</v>
      </c>
      <c r="P257" s="254" t="s">
        <v>2839</v>
      </c>
      <c r="Q257" s="292" t="str">
        <f>TablaPOA[[#This Row],[Cod_Sub_acción_especifica]]&amp;"_"&amp;TablaPOA[[#This Row],[Cod_Tipo_agente]]</f>
        <v>K31.2.1.2_TA3</v>
      </c>
      <c r="R257" s="254" t="s">
        <v>2840</v>
      </c>
      <c r="S257" s="254" t="s">
        <v>2848</v>
      </c>
      <c r="T257" s="271" t="s">
        <v>2849</v>
      </c>
    </row>
    <row r="258" spans="1:20" ht="25.5" x14ac:dyDescent="0.25">
      <c r="A258" s="219" t="s">
        <v>2314</v>
      </c>
      <c r="B258" s="227">
        <v>31</v>
      </c>
      <c r="C258" s="227" t="s">
        <v>2691</v>
      </c>
      <c r="D258" s="227" t="s">
        <v>2988</v>
      </c>
      <c r="E258" s="227" t="s">
        <v>3160</v>
      </c>
      <c r="F258" s="227" t="s">
        <v>2695</v>
      </c>
      <c r="G258" s="227" t="s">
        <v>2490</v>
      </c>
      <c r="H258" s="253" t="s">
        <v>3161</v>
      </c>
      <c r="I258" s="253" t="s">
        <v>2708</v>
      </c>
      <c r="J258" s="259" t="s">
        <v>2709</v>
      </c>
      <c r="K258" s="253" t="s">
        <v>3078</v>
      </c>
      <c r="L258" s="253" t="s">
        <v>9</v>
      </c>
      <c r="M258" s="227" t="s">
        <v>2996</v>
      </c>
      <c r="N258" s="293"/>
      <c r="O258" s="293" t="str">
        <f>TablaPOA[[#This Row],[Cod_Sub_acción_especifica]]&amp;"_"&amp;TablaPOA[[#This Row],[Tipo de agente]]</f>
        <v>K31.2.1.2_Consumidores directos de GLP y redes de distribución</v>
      </c>
      <c r="P258" s="254" t="s">
        <v>2839</v>
      </c>
      <c r="Q258" s="292" t="str">
        <f>TablaPOA[[#This Row],[Cod_Sub_acción_especifica]]&amp;"_"&amp;TablaPOA[[#This Row],[Cod_Tipo_agente]]</f>
        <v>K31.2.1.2_TA3</v>
      </c>
      <c r="R258" s="254" t="s">
        <v>2840</v>
      </c>
      <c r="S258" s="254" t="s">
        <v>2850</v>
      </c>
      <c r="T258" s="271" t="s">
        <v>2851</v>
      </c>
    </row>
    <row r="259" spans="1:20" ht="25.5" x14ac:dyDescent="0.25">
      <c r="A259" s="219" t="s">
        <v>2314</v>
      </c>
      <c r="B259" s="227">
        <v>31</v>
      </c>
      <c r="C259" s="227" t="s">
        <v>2691</v>
      </c>
      <c r="D259" s="227" t="s">
        <v>2988</v>
      </c>
      <c r="E259" s="227" t="s">
        <v>3160</v>
      </c>
      <c r="F259" s="227" t="s">
        <v>2695</v>
      </c>
      <c r="G259" s="227" t="s">
        <v>2490</v>
      </c>
      <c r="H259" s="253" t="s">
        <v>3161</v>
      </c>
      <c r="I259" s="253" t="s">
        <v>2708</v>
      </c>
      <c r="J259" s="259" t="s">
        <v>2709</v>
      </c>
      <c r="K259" s="253" t="s">
        <v>3078</v>
      </c>
      <c r="L259" s="253" t="s">
        <v>9</v>
      </c>
      <c r="M259" s="227" t="s">
        <v>2996</v>
      </c>
      <c r="N259" s="293"/>
      <c r="O259" s="293" t="str">
        <f>TablaPOA[[#This Row],[Cod_Sub_acción_especifica]]&amp;"_"&amp;TablaPOA[[#This Row],[Tipo de agente]]</f>
        <v>K31.2.1.2_EVP combustibles de uso automotor</v>
      </c>
      <c r="P259" s="254" t="s">
        <v>2882</v>
      </c>
      <c r="Q259" s="292" t="str">
        <f>TablaPOA[[#This Row],[Cod_Sub_acción_especifica]]&amp;"_"&amp;TablaPOA[[#This Row],[Cod_Tipo_agente]]</f>
        <v>K31.2.1.2_TA6</v>
      </c>
      <c r="R259" s="254" t="s">
        <v>2883</v>
      </c>
      <c r="S259" s="255" t="s">
        <v>2884</v>
      </c>
      <c r="T259" s="271" t="s">
        <v>2885</v>
      </c>
    </row>
    <row r="260" spans="1:20" ht="25.5" x14ac:dyDescent="0.25">
      <c r="A260" s="219" t="s">
        <v>2314</v>
      </c>
      <c r="B260" s="227">
        <v>31</v>
      </c>
      <c r="C260" s="227" t="s">
        <v>2691</v>
      </c>
      <c r="D260" s="227" t="s">
        <v>2988</v>
      </c>
      <c r="E260" s="227" t="s">
        <v>3160</v>
      </c>
      <c r="F260" s="227" t="s">
        <v>2695</v>
      </c>
      <c r="G260" s="227" t="s">
        <v>2490</v>
      </c>
      <c r="H260" s="253" t="s">
        <v>3161</v>
      </c>
      <c r="I260" s="253" t="s">
        <v>2708</v>
      </c>
      <c r="J260" s="259" t="s">
        <v>2709</v>
      </c>
      <c r="K260" s="253" t="s">
        <v>3078</v>
      </c>
      <c r="L260" s="253" t="s">
        <v>9</v>
      </c>
      <c r="M260" s="227" t="s">
        <v>2996</v>
      </c>
      <c r="N260" s="293"/>
      <c r="O260" s="293" t="str">
        <f>TablaPOA[[#This Row],[Cod_Sub_acción_especifica]]&amp;"_"&amp;TablaPOA[[#This Row],[Tipo de agente]]</f>
        <v>K31.2.1.2_EVP combustibles de uso automotor</v>
      </c>
      <c r="P260" s="254" t="s">
        <v>2882</v>
      </c>
      <c r="Q260" s="292" t="str">
        <f>TablaPOA[[#This Row],[Cod_Sub_acción_especifica]]&amp;"_"&amp;TablaPOA[[#This Row],[Cod_Tipo_agente]]</f>
        <v>K31.2.1.2_TA6</v>
      </c>
      <c r="R260" s="254" t="s">
        <v>2883</v>
      </c>
      <c r="S260" s="255" t="s">
        <v>2886</v>
      </c>
      <c r="T260" s="271" t="s">
        <v>2887</v>
      </c>
    </row>
    <row r="261" spans="1:20" ht="25.5" x14ac:dyDescent="0.25">
      <c r="A261" s="219" t="s">
        <v>2314</v>
      </c>
      <c r="B261" s="227">
        <v>31</v>
      </c>
      <c r="C261" s="227" t="s">
        <v>2691</v>
      </c>
      <c r="D261" s="227" t="s">
        <v>2988</v>
      </c>
      <c r="E261" s="227" t="s">
        <v>3160</v>
      </c>
      <c r="F261" s="227" t="s">
        <v>2695</v>
      </c>
      <c r="G261" s="227" t="s">
        <v>2490</v>
      </c>
      <c r="H261" s="253" t="s">
        <v>3161</v>
      </c>
      <c r="I261" s="253" t="s">
        <v>2708</v>
      </c>
      <c r="J261" s="259" t="s">
        <v>2709</v>
      </c>
      <c r="K261" s="253" t="s">
        <v>3078</v>
      </c>
      <c r="L261" s="253" t="s">
        <v>9</v>
      </c>
      <c r="M261" s="227" t="s">
        <v>2996</v>
      </c>
      <c r="N261" s="293"/>
      <c r="O261" s="293" t="str">
        <f>TablaPOA[[#This Row],[Cod_Sub_acción_especifica]]&amp;"_"&amp;TablaPOA[[#This Row],[Tipo de agente]]</f>
        <v>K31.2.1.2_EVP combustibles de uso automotor</v>
      </c>
      <c r="P261" s="254" t="s">
        <v>2882</v>
      </c>
      <c r="Q261" s="292" t="str">
        <f>TablaPOA[[#This Row],[Cod_Sub_acción_especifica]]&amp;"_"&amp;TablaPOA[[#This Row],[Cod_Tipo_agente]]</f>
        <v>K31.2.1.2_TA6</v>
      </c>
      <c r="R261" s="254" t="s">
        <v>2883</v>
      </c>
      <c r="S261" s="255" t="s">
        <v>2888</v>
      </c>
      <c r="T261" s="271" t="s">
        <v>2889</v>
      </c>
    </row>
    <row r="262" spans="1:20" ht="25.5" x14ac:dyDescent="0.25">
      <c r="A262" s="219" t="s">
        <v>2314</v>
      </c>
      <c r="B262" s="227">
        <v>31</v>
      </c>
      <c r="C262" s="227" t="s">
        <v>2691</v>
      </c>
      <c r="D262" s="227" t="s">
        <v>2988</v>
      </c>
      <c r="E262" s="227" t="s">
        <v>3160</v>
      </c>
      <c r="F262" s="227" t="s">
        <v>2695</v>
      </c>
      <c r="G262" s="227" t="s">
        <v>2490</v>
      </c>
      <c r="H262" s="253" t="s">
        <v>3161</v>
      </c>
      <c r="I262" s="253" t="s">
        <v>2708</v>
      </c>
      <c r="J262" s="259" t="s">
        <v>2709</v>
      </c>
      <c r="K262" s="253" t="s">
        <v>3078</v>
      </c>
      <c r="L262" s="253" t="s">
        <v>9</v>
      </c>
      <c r="M262" s="227" t="s">
        <v>2996</v>
      </c>
      <c r="N262" s="293"/>
      <c r="O262" s="293" t="str">
        <f>TablaPOA[[#This Row],[Cod_Sub_acción_especifica]]&amp;"_"&amp;TablaPOA[[#This Row],[Tipo de agente]]</f>
        <v>K31.2.1.2_EVP combustibles de uso automotor</v>
      </c>
      <c r="P262" s="254" t="s">
        <v>2882</v>
      </c>
      <c r="Q262" s="292" t="str">
        <f>TablaPOA[[#This Row],[Cod_Sub_acción_especifica]]&amp;"_"&amp;TablaPOA[[#This Row],[Cod_Tipo_agente]]</f>
        <v>K31.2.1.2_TA6</v>
      </c>
      <c r="R262" s="254" t="s">
        <v>2883</v>
      </c>
      <c r="S262" s="255" t="s">
        <v>2890</v>
      </c>
      <c r="T262" s="271" t="s">
        <v>2891</v>
      </c>
    </row>
    <row r="263" spans="1:20" ht="25.5" x14ac:dyDescent="0.25">
      <c r="A263" s="219" t="s">
        <v>2314</v>
      </c>
      <c r="B263" s="227">
        <v>31</v>
      </c>
      <c r="C263" s="227" t="s">
        <v>2691</v>
      </c>
      <c r="D263" s="227" t="s">
        <v>2988</v>
      </c>
      <c r="E263" s="227" t="s">
        <v>3160</v>
      </c>
      <c r="F263" s="227" t="s">
        <v>2695</v>
      </c>
      <c r="G263" s="227" t="s">
        <v>2490</v>
      </c>
      <c r="H263" s="253" t="s">
        <v>3161</v>
      </c>
      <c r="I263" s="253" t="s">
        <v>2708</v>
      </c>
      <c r="J263" s="259" t="s">
        <v>2709</v>
      </c>
      <c r="K263" s="253" t="s">
        <v>3078</v>
      </c>
      <c r="L263" s="253" t="s">
        <v>9</v>
      </c>
      <c r="M263" s="227" t="s">
        <v>2996</v>
      </c>
      <c r="N263" s="293"/>
      <c r="O263" s="293" t="str">
        <f>TablaPOA[[#This Row],[Cod_Sub_acción_especifica]]&amp;"_"&amp;TablaPOA[[#This Row],[Tipo de agente]]</f>
        <v>K31.2.1.2_EVP combustibles de uso automotor</v>
      </c>
      <c r="P263" s="254" t="s">
        <v>2882</v>
      </c>
      <c r="Q263" s="292" t="str">
        <f>TablaPOA[[#This Row],[Cod_Sub_acción_especifica]]&amp;"_"&amp;TablaPOA[[#This Row],[Cod_Tipo_agente]]</f>
        <v>K31.2.1.2_TA6</v>
      </c>
      <c r="R263" s="254" t="s">
        <v>2883</v>
      </c>
      <c r="S263" s="255" t="s">
        <v>2892</v>
      </c>
      <c r="T263" s="271" t="s">
        <v>2893</v>
      </c>
    </row>
    <row r="264" spans="1:20" ht="25.5" x14ac:dyDescent="0.25">
      <c r="A264" s="219" t="s">
        <v>2314</v>
      </c>
      <c r="B264" s="227">
        <v>31</v>
      </c>
      <c r="C264" s="227" t="s">
        <v>2691</v>
      </c>
      <c r="D264" s="227" t="s">
        <v>2988</v>
      </c>
      <c r="E264" s="227" t="s">
        <v>3160</v>
      </c>
      <c r="F264" s="227" t="s">
        <v>2695</v>
      </c>
      <c r="G264" s="227" t="s">
        <v>2490</v>
      </c>
      <c r="H264" s="253" t="s">
        <v>3161</v>
      </c>
      <c r="I264" s="253" t="s">
        <v>2708</v>
      </c>
      <c r="J264" s="259" t="s">
        <v>2709</v>
      </c>
      <c r="K264" s="253" t="s">
        <v>3078</v>
      </c>
      <c r="L264" s="253" t="s">
        <v>9</v>
      </c>
      <c r="M264" s="227" t="s">
        <v>2996</v>
      </c>
      <c r="N264" s="293"/>
      <c r="O264" s="293" t="str">
        <f>TablaPOA[[#This Row],[Cod_Sub_acción_especifica]]&amp;"_"&amp;TablaPOA[[#This Row],[Tipo de agente]]</f>
        <v>K31.2.1.2_EVP combustibles de uso automotor</v>
      </c>
      <c r="P264" s="254" t="s">
        <v>2882</v>
      </c>
      <c r="Q264" s="292" t="str">
        <f>TablaPOA[[#This Row],[Cod_Sub_acción_especifica]]&amp;"_"&amp;TablaPOA[[#This Row],[Cod_Tipo_agente]]</f>
        <v>K31.2.1.2_TA6</v>
      </c>
      <c r="R264" s="254" t="s">
        <v>2883</v>
      </c>
      <c r="S264" s="255" t="s">
        <v>2894</v>
      </c>
      <c r="T264" s="271" t="s">
        <v>2895</v>
      </c>
    </row>
    <row r="265" spans="1:20" ht="25.5" x14ac:dyDescent="0.25">
      <c r="A265" s="219" t="s">
        <v>2314</v>
      </c>
      <c r="B265" s="227">
        <v>31</v>
      </c>
      <c r="C265" s="227" t="s">
        <v>2691</v>
      </c>
      <c r="D265" s="227" t="s">
        <v>2988</v>
      </c>
      <c r="E265" s="227" t="s">
        <v>3160</v>
      </c>
      <c r="F265" s="227" t="s">
        <v>2695</v>
      </c>
      <c r="G265" s="227" t="s">
        <v>2490</v>
      </c>
      <c r="H265" s="253" t="s">
        <v>3161</v>
      </c>
      <c r="I265" s="253" t="s">
        <v>2708</v>
      </c>
      <c r="J265" s="259" t="s">
        <v>2709</v>
      </c>
      <c r="K265" s="253" t="s">
        <v>3078</v>
      </c>
      <c r="L265" s="253" t="s">
        <v>9</v>
      </c>
      <c r="M265" s="227" t="s">
        <v>2996</v>
      </c>
      <c r="N265" s="293"/>
      <c r="O265" s="293" t="str">
        <f>TablaPOA[[#This Row],[Cod_Sub_acción_especifica]]&amp;"_"&amp;TablaPOA[[#This Row],[Tipo de agente]]</f>
        <v>K31.2.1.2_EVP combustibles de uso automotor</v>
      </c>
      <c r="P265" s="254" t="s">
        <v>2882</v>
      </c>
      <c r="Q265" s="292" t="str">
        <f>TablaPOA[[#This Row],[Cod_Sub_acción_especifica]]&amp;"_"&amp;TablaPOA[[#This Row],[Cod_Tipo_agente]]</f>
        <v>K31.2.1.2_TA6</v>
      </c>
      <c r="R265" s="254" t="s">
        <v>2883</v>
      </c>
      <c r="S265" s="255" t="s">
        <v>2896</v>
      </c>
      <c r="T265" s="271" t="s">
        <v>2897</v>
      </c>
    </row>
    <row r="266" spans="1:20" ht="25.5" x14ac:dyDescent="0.25">
      <c r="A266" s="219" t="s">
        <v>2314</v>
      </c>
      <c r="B266" s="227">
        <v>31</v>
      </c>
      <c r="C266" s="227" t="s">
        <v>2691</v>
      </c>
      <c r="D266" s="227" t="s">
        <v>2988</v>
      </c>
      <c r="E266" s="227" t="s">
        <v>3160</v>
      </c>
      <c r="F266" s="227" t="s">
        <v>2695</v>
      </c>
      <c r="G266" s="227" t="s">
        <v>2490</v>
      </c>
      <c r="H266" s="253" t="s">
        <v>3161</v>
      </c>
      <c r="I266" s="253" t="s">
        <v>2708</v>
      </c>
      <c r="J266" s="259" t="s">
        <v>2709</v>
      </c>
      <c r="K266" s="253" t="s">
        <v>3078</v>
      </c>
      <c r="L266" s="253" t="s">
        <v>9</v>
      </c>
      <c r="M266" s="227" t="s">
        <v>2996</v>
      </c>
      <c r="N266" s="293"/>
      <c r="O266" s="293" t="str">
        <f>TablaPOA[[#This Row],[Cod_Sub_acción_especifica]]&amp;"_"&amp;TablaPOA[[#This Row],[Tipo de agente]]</f>
        <v>K31.2.1.2_EVP combustibles de uso automotor</v>
      </c>
      <c r="P266" s="254" t="s">
        <v>2882</v>
      </c>
      <c r="Q266" s="292" t="str">
        <f>TablaPOA[[#This Row],[Cod_Sub_acción_especifica]]&amp;"_"&amp;TablaPOA[[#This Row],[Cod_Tipo_agente]]</f>
        <v>K31.2.1.2_TA6</v>
      </c>
      <c r="R266" s="254" t="s">
        <v>2883</v>
      </c>
      <c r="S266" s="255" t="s">
        <v>2898</v>
      </c>
      <c r="T266" s="271" t="s">
        <v>2899</v>
      </c>
    </row>
    <row r="267" spans="1:20" ht="25.5" x14ac:dyDescent="0.25">
      <c r="A267" s="219" t="s">
        <v>2314</v>
      </c>
      <c r="B267" s="227">
        <v>31</v>
      </c>
      <c r="C267" s="227" t="s">
        <v>2691</v>
      </c>
      <c r="D267" s="227" t="s">
        <v>2988</v>
      </c>
      <c r="E267" s="227" t="s">
        <v>3160</v>
      </c>
      <c r="F267" s="227" t="s">
        <v>2695</v>
      </c>
      <c r="G267" s="227" t="s">
        <v>2490</v>
      </c>
      <c r="H267" s="253" t="s">
        <v>3161</v>
      </c>
      <c r="I267" s="253" t="s">
        <v>2708</v>
      </c>
      <c r="J267" s="259" t="s">
        <v>2709</v>
      </c>
      <c r="K267" s="253" t="s">
        <v>3078</v>
      </c>
      <c r="L267" s="253" t="s">
        <v>9</v>
      </c>
      <c r="M267" s="227" t="s">
        <v>2996</v>
      </c>
      <c r="N267" s="293"/>
      <c r="O267" s="293" t="str">
        <f>TablaPOA[[#This Row],[Cod_Sub_acción_especifica]]&amp;"_"&amp;TablaPOA[[#This Row],[Tipo de agente]]</f>
        <v>K31.2.1.2_EVP combustibles de uso automotor</v>
      </c>
      <c r="P267" s="254" t="s">
        <v>2882</v>
      </c>
      <c r="Q267" s="292" t="str">
        <f>TablaPOA[[#This Row],[Cod_Sub_acción_especifica]]&amp;"_"&amp;TablaPOA[[#This Row],[Cod_Tipo_agente]]</f>
        <v>K31.2.1.2_TA6</v>
      </c>
      <c r="R267" s="254" t="s">
        <v>2883</v>
      </c>
      <c r="S267" s="255" t="s">
        <v>2900</v>
      </c>
      <c r="T267" s="271" t="s">
        <v>2901</v>
      </c>
    </row>
    <row r="268" spans="1:20" ht="25.5" x14ac:dyDescent="0.25">
      <c r="A268" s="268" t="s">
        <v>2314</v>
      </c>
      <c r="B268" s="248">
        <v>31</v>
      </c>
      <c r="C268" s="248" t="s">
        <v>2691</v>
      </c>
      <c r="D268" s="248" t="s">
        <v>2988</v>
      </c>
      <c r="E268" s="248" t="s">
        <v>3160</v>
      </c>
      <c r="F268" s="248" t="s">
        <v>2695</v>
      </c>
      <c r="G268" s="248" t="s">
        <v>2490</v>
      </c>
      <c r="H268" s="249" t="s">
        <v>3162</v>
      </c>
      <c r="I268" s="249" t="s">
        <v>2710</v>
      </c>
      <c r="J268" s="248" t="s">
        <v>2711</v>
      </c>
      <c r="K268" s="249" t="s">
        <v>3079</v>
      </c>
      <c r="L268" s="249" t="s">
        <v>2760</v>
      </c>
      <c r="M268" s="248" t="s">
        <v>2997</v>
      </c>
      <c r="N268" s="299" t="s">
        <v>2831</v>
      </c>
      <c r="O268" s="292" t="str">
        <f>TablaPOA[[#This Row],[Cod_Sub_acción_especifica]]&amp;"_"&amp;TablaPOA[[#This Row],[Tipo de agente]]</f>
        <v>K31.2.2.1_Consumidores directos de gas natural</v>
      </c>
      <c r="P268" s="250" t="s">
        <v>2830</v>
      </c>
      <c r="Q268" s="292" t="str">
        <f>TablaPOA[[#This Row],[Cod_Sub_acción_especifica]]&amp;"_"&amp;TablaPOA[[#This Row],[Cod_Tipo_agente]]</f>
        <v>K31.2.2.1_TA2</v>
      </c>
      <c r="R268" s="250" t="s">
        <v>2831</v>
      </c>
      <c r="S268" s="250">
        <v>101</v>
      </c>
      <c r="T268" s="269" t="s">
        <v>2832</v>
      </c>
    </row>
    <row r="269" spans="1:20" ht="25.5" x14ac:dyDescent="0.25">
      <c r="A269" s="268" t="s">
        <v>2314</v>
      </c>
      <c r="B269" s="248">
        <v>31</v>
      </c>
      <c r="C269" s="248" t="s">
        <v>2691</v>
      </c>
      <c r="D269" s="248" t="s">
        <v>2988</v>
      </c>
      <c r="E269" s="248" t="s">
        <v>3160</v>
      </c>
      <c r="F269" s="248" t="s">
        <v>2695</v>
      </c>
      <c r="G269" s="248" t="s">
        <v>2490</v>
      </c>
      <c r="H269" s="249" t="s">
        <v>3162</v>
      </c>
      <c r="I269" s="249" t="s">
        <v>2710</v>
      </c>
      <c r="J269" s="248" t="s">
        <v>2711</v>
      </c>
      <c r="K269" s="249" t="s">
        <v>3079</v>
      </c>
      <c r="L269" s="249" t="s">
        <v>2760</v>
      </c>
      <c r="M269" s="248" t="s">
        <v>2997</v>
      </c>
      <c r="N269" s="299" t="s">
        <v>2883</v>
      </c>
      <c r="O269" s="292" t="str">
        <f>TablaPOA[[#This Row],[Cod_Sub_acción_especifica]]&amp;"_"&amp;TablaPOA[[#This Row],[Tipo de agente]]</f>
        <v>K31.2.2.1_Consumidores directos de gas natural</v>
      </c>
      <c r="P269" s="250" t="s">
        <v>2830</v>
      </c>
      <c r="Q269" s="292" t="str">
        <f>TablaPOA[[#This Row],[Cod_Sub_acción_especifica]]&amp;"_"&amp;TablaPOA[[#This Row],[Cod_Tipo_agente]]</f>
        <v>K31.2.2.1_TA2</v>
      </c>
      <c r="R269" s="250" t="s">
        <v>2831</v>
      </c>
      <c r="S269" s="250" t="s">
        <v>2833</v>
      </c>
      <c r="T269" s="269" t="s">
        <v>2834</v>
      </c>
    </row>
    <row r="270" spans="1:20" ht="25.5" x14ac:dyDescent="0.25">
      <c r="A270" s="268" t="s">
        <v>2314</v>
      </c>
      <c r="B270" s="248">
        <v>31</v>
      </c>
      <c r="C270" s="248" t="s">
        <v>2691</v>
      </c>
      <c r="D270" s="248" t="s">
        <v>2988</v>
      </c>
      <c r="E270" s="248" t="s">
        <v>3160</v>
      </c>
      <c r="F270" s="248" t="s">
        <v>2695</v>
      </c>
      <c r="G270" s="248" t="s">
        <v>2490</v>
      </c>
      <c r="H270" s="249" t="s">
        <v>3162</v>
      </c>
      <c r="I270" s="249" t="s">
        <v>2710</v>
      </c>
      <c r="J270" s="248" t="s">
        <v>2711</v>
      </c>
      <c r="K270" s="249" t="s">
        <v>3079</v>
      </c>
      <c r="L270" s="249" t="s">
        <v>2760</v>
      </c>
      <c r="M270" s="248" t="s">
        <v>2997</v>
      </c>
      <c r="N270" s="299" t="s">
        <v>2903</v>
      </c>
      <c r="O270" s="292" t="str">
        <f>TablaPOA[[#This Row],[Cod_Sub_acción_especifica]]&amp;"_"&amp;TablaPOA[[#This Row],[Tipo de agente]]</f>
        <v>K31.2.2.1_Consumidores directos de gas natural</v>
      </c>
      <c r="P270" s="250" t="s">
        <v>2830</v>
      </c>
      <c r="Q270" s="292" t="str">
        <f>TablaPOA[[#This Row],[Cod_Sub_acción_especifica]]&amp;"_"&amp;TablaPOA[[#This Row],[Cod_Tipo_agente]]</f>
        <v>K31.2.2.1_TA2</v>
      </c>
      <c r="R270" s="250" t="s">
        <v>2831</v>
      </c>
      <c r="S270" s="250" t="s">
        <v>2835</v>
      </c>
      <c r="T270" s="269" t="s">
        <v>2836</v>
      </c>
    </row>
    <row r="271" spans="1:20" ht="25.5" x14ac:dyDescent="0.25">
      <c r="A271" s="268" t="s">
        <v>2314</v>
      </c>
      <c r="B271" s="248">
        <v>31</v>
      </c>
      <c r="C271" s="248" t="s">
        <v>2691</v>
      </c>
      <c r="D271" s="248" t="s">
        <v>2988</v>
      </c>
      <c r="E271" s="248" t="s">
        <v>3160</v>
      </c>
      <c r="F271" s="248" t="s">
        <v>2695</v>
      </c>
      <c r="G271" s="248" t="s">
        <v>2490</v>
      </c>
      <c r="H271" s="249" t="s">
        <v>3162</v>
      </c>
      <c r="I271" s="249" t="s">
        <v>2710</v>
      </c>
      <c r="J271" s="248" t="s">
        <v>2711</v>
      </c>
      <c r="K271" s="249" t="s">
        <v>3079</v>
      </c>
      <c r="L271" s="249" t="s">
        <v>2760</v>
      </c>
      <c r="M271" s="248" t="s">
        <v>2997</v>
      </c>
      <c r="N271" s="293"/>
      <c r="O271" s="293" t="str">
        <f>TablaPOA[[#This Row],[Cod_Sub_acción_especifica]]&amp;"_"&amp;TablaPOA[[#This Row],[Tipo de agente]]</f>
        <v>K31.2.2.1_Consumidores directos de gas natural</v>
      </c>
      <c r="P271" s="250" t="s">
        <v>2830</v>
      </c>
      <c r="Q271" s="292" t="str">
        <f>TablaPOA[[#This Row],[Cod_Sub_acción_especifica]]&amp;"_"&amp;TablaPOA[[#This Row],[Cod_Tipo_agente]]</f>
        <v>K31.2.2.1_TA2</v>
      </c>
      <c r="R271" s="250" t="s">
        <v>2831</v>
      </c>
      <c r="S271" s="250" t="s">
        <v>2837</v>
      </c>
      <c r="T271" s="269" t="s">
        <v>2838</v>
      </c>
    </row>
    <row r="272" spans="1:20" ht="25.5" x14ac:dyDescent="0.25">
      <c r="A272" s="268" t="s">
        <v>2314</v>
      </c>
      <c r="B272" s="248">
        <v>31</v>
      </c>
      <c r="C272" s="248" t="s">
        <v>2691</v>
      </c>
      <c r="D272" s="248" t="s">
        <v>2988</v>
      </c>
      <c r="E272" s="248" t="s">
        <v>3160</v>
      </c>
      <c r="F272" s="248" t="s">
        <v>2695</v>
      </c>
      <c r="G272" s="248" t="s">
        <v>2490</v>
      </c>
      <c r="H272" s="249" t="s">
        <v>3162</v>
      </c>
      <c r="I272" s="249" t="s">
        <v>2710</v>
      </c>
      <c r="J272" s="248" t="s">
        <v>2711</v>
      </c>
      <c r="K272" s="249" t="s">
        <v>3079</v>
      </c>
      <c r="L272" s="249" t="s">
        <v>2760</v>
      </c>
      <c r="M272" s="248" t="s">
        <v>2997</v>
      </c>
      <c r="N272" s="293"/>
      <c r="O272" s="293" t="str">
        <f>TablaPOA[[#This Row],[Cod_Sub_acción_especifica]]&amp;"_"&amp;TablaPOA[[#This Row],[Tipo de agente]]</f>
        <v>K31.2.2.1_EVP combustibles de uso automotor</v>
      </c>
      <c r="P272" s="250" t="s">
        <v>2882</v>
      </c>
      <c r="Q272" s="292" t="str">
        <f>TablaPOA[[#This Row],[Cod_Sub_acción_especifica]]&amp;"_"&amp;TablaPOA[[#This Row],[Cod_Tipo_agente]]</f>
        <v>K31.2.2.1_TA6</v>
      </c>
      <c r="R272" s="250" t="s">
        <v>2883</v>
      </c>
      <c r="S272" s="251" t="s">
        <v>2884</v>
      </c>
      <c r="T272" s="269" t="s">
        <v>2885</v>
      </c>
    </row>
    <row r="273" spans="1:20" ht="25.5" x14ac:dyDescent="0.25">
      <c r="A273" s="268" t="s">
        <v>2314</v>
      </c>
      <c r="B273" s="248">
        <v>31</v>
      </c>
      <c r="C273" s="248" t="s">
        <v>2691</v>
      </c>
      <c r="D273" s="248" t="s">
        <v>2988</v>
      </c>
      <c r="E273" s="248" t="s">
        <v>3160</v>
      </c>
      <c r="F273" s="248" t="s">
        <v>2695</v>
      </c>
      <c r="G273" s="248" t="s">
        <v>2490</v>
      </c>
      <c r="H273" s="249" t="s">
        <v>3162</v>
      </c>
      <c r="I273" s="249" t="s">
        <v>2710</v>
      </c>
      <c r="J273" s="248" t="s">
        <v>2711</v>
      </c>
      <c r="K273" s="249" t="s">
        <v>3079</v>
      </c>
      <c r="L273" s="249" t="s">
        <v>2760</v>
      </c>
      <c r="M273" s="248" t="s">
        <v>2997</v>
      </c>
      <c r="N273" s="293"/>
      <c r="O273" s="293" t="str">
        <f>TablaPOA[[#This Row],[Cod_Sub_acción_especifica]]&amp;"_"&amp;TablaPOA[[#This Row],[Tipo de agente]]</f>
        <v>K31.2.2.1_EVP combustibles de uso automotor</v>
      </c>
      <c r="P273" s="250" t="s">
        <v>2882</v>
      </c>
      <c r="Q273" s="292" t="str">
        <f>TablaPOA[[#This Row],[Cod_Sub_acción_especifica]]&amp;"_"&amp;TablaPOA[[#This Row],[Cod_Tipo_agente]]</f>
        <v>K31.2.2.1_TA6</v>
      </c>
      <c r="R273" s="250" t="s">
        <v>2883</v>
      </c>
      <c r="S273" s="251" t="s">
        <v>2894</v>
      </c>
      <c r="T273" s="269" t="s">
        <v>2895</v>
      </c>
    </row>
    <row r="274" spans="1:20" ht="25.5" x14ac:dyDescent="0.25">
      <c r="A274" s="268" t="s">
        <v>2314</v>
      </c>
      <c r="B274" s="248">
        <v>31</v>
      </c>
      <c r="C274" s="248" t="s">
        <v>2691</v>
      </c>
      <c r="D274" s="248" t="s">
        <v>2988</v>
      </c>
      <c r="E274" s="248" t="s">
        <v>3160</v>
      </c>
      <c r="F274" s="248" t="s">
        <v>2695</v>
      </c>
      <c r="G274" s="248" t="s">
        <v>2490</v>
      </c>
      <c r="H274" s="249" t="s">
        <v>3162</v>
      </c>
      <c r="I274" s="249" t="s">
        <v>2710</v>
      </c>
      <c r="J274" s="248" t="s">
        <v>2711</v>
      </c>
      <c r="K274" s="249" t="s">
        <v>3079</v>
      </c>
      <c r="L274" s="249" t="s">
        <v>2760</v>
      </c>
      <c r="M274" s="248" t="s">
        <v>2997</v>
      </c>
      <c r="N274" s="293"/>
      <c r="O274" s="293" t="str">
        <f>TablaPOA[[#This Row],[Cod_Sub_acción_especifica]]&amp;"_"&amp;TablaPOA[[#This Row],[Tipo de agente]]</f>
        <v>K31.2.2.1_EVP combustibles de uso automotor</v>
      </c>
      <c r="P274" s="250" t="s">
        <v>2882</v>
      </c>
      <c r="Q274" s="292" t="str">
        <f>TablaPOA[[#This Row],[Cod_Sub_acción_especifica]]&amp;"_"&amp;TablaPOA[[#This Row],[Cod_Tipo_agente]]</f>
        <v>K31.2.2.1_TA6</v>
      </c>
      <c r="R274" s="250" t="s">
        <v>2883</v>
      </c>
      <c r="S274" s="251" t="s">
        <v>2896</v>
      </c>
      <c r="T274" s="269" t="s">
        <v>2897</v>
      </c>
    </row>
    <row r="275" spans="1:20" ht="25.5" x14ac:dyDescent="0.25">
      <c r="A275" s="268" t="s">
        <v>2314</v>
      </c>
      <c r="B275" s="248">
        <v>31</v>
      </c>
      <c r="C275" s="248" t="s">
        <v>2691</v>
      </c>
      <c r="D275" s="248" t="s">
        <v>2988</v>
      </c>
      <c r="E275" s="248" t="s">
        <v>3160</v>
      </c>
      <c r="F275" s="248" t="s">
        <v>2695</v>
      </c>
      <c r="G275" s="248" t="s">
        <v>2490</v>
      </c>
      <c r="H275" s="249" t="s">
        <v>3162</v>
      </c>
      <c r="I275" s="249" t="s">
        <v>2710</v>
      </c>
      <c r="J275" s="248" t="s">
        <v>2711</v>
      </c>
      <c r="K275" s="249" t="s">
        <v>3079</v>
      </c>
      <c r="L275" s="249" t="s">
        <v>2760</v>
      </c>
      <c r="M275" s="248" t="s">
        <v>2997</v>
      </c>
      <c r="N275" s="293"/>
      <c r="O275" s="293" t="str">
        <f>TablaPOA[[#This Row],[Cod_Sub_acción_especifica]]&amp;"_"&amp;TablaPOA[[#This Row],[Tipo de agente]]</f>
        <v>K31.2.2.1_EVP combustibles de uso automotor</v>
      </c>
      <c r="P275" s="250" t="s">
        <v>2882</v>
      </c>
      <c r="Q275" s="292" t="str">
        <f>TablaPOA[[#This Row],[Cod_Sub_acción_especifica]]&amp;"_"&amp;TablaPOA[[#This Row],[Cod_Tipo_agente]]</f>
        <v>K31.2.2.1_TA6</v>
      </c>
      <c r="R275" s="250" t="s">
        <v>2883</v>
      </c>
      <c r="S275" s="251" t="s">
        <v>2898</v>
      </c>
      <c r="T275" s="269" t="s">
        <v>2899</v>
      </c>
    </row>
    <row r="276" spans="1:20" ht="25.5" x14ac:dyDescent="0.25">
      <c r="A276" s="268" t="s">
        <v>2314</v>
      </c>
      <c r="B276" s="248">
        <v>31</v>
      </c>
      <c r="C276" s="248" t="s">
        <v>2691</v>
      </c>
      <c r="D276" s="248" t="s">
        <v>2988</v>
      </c>
      <c r="E276" s="248" t="s">
        <v>3160</v>
      </c>
      <c r="F276" s="248" t="s">
        <v>2695</v>
      </c>
      <c r="G276" s="248" t="s">
        <v>2490</v>
      </c>
      <c r="H276" s="249" t="s">
        <v>3162</v>
      </c>
      <c r="I276" s="249" t="s">
        <v>2710</v>
      </c>
      <c r="J276" s="248" t="s">
        <v>2711</v>
      </c>
      <c r="K276" s="249" t="s">
        <v>3079</v>
      </c>
      <c r="L276" s="249" t="s">
        <v>2760</v>
      </c>
      <c r="M276" s="248" t="s">
        <v>2997</v>
      </c>
      <c r="N276" s="293"/>
      <c r="O276" s="293" t="str">
        <f>TablaPOA[[#This Row],[Cod_Sub_acción_especifica]]&amp;"_"&amp;TablaPOA[[#This Row],[Tipo de agente]]</f>
        <v>K31.2.2.1_EVP combustibles de uso automotor</v>
      </c>
      <c r="P276" s="250" t="s">
        <v>2882</v>
      </c>
      <c r="Q276" s="292" t="str">
        <f>TablaPOA[[#This Row],[Cod_Sub_acción_especifica]]&amp;"_"&amp;TablaPOA[[#This Row],[Cod_Tipo_agente]]</f>
        <v>K31.2.2.1_TA6</v>
      </c>
      <c r="R276" s="250" t="s">
        <v>2883</v>
      </c>
      <c r="S276" s="251" t="s">
        <v>2900</v>
      </c>
      <c r="T276" s="269" t="s">
        <v>2901</v>
      </c>
    </row>
    <row r="277" spans="1:20" ht="38.25" x14ac:dyDescent="0.25">
      <c r="A277" s="268" t="s">
        <v>2314</v>
      </c>
      <c r="B277" s="248">
        <v>31</v>
      </c>
      <c r="C277" s="248" t="s">
        <v>2691</v>
      </c>
      <c r="D277" s="248" t="s">
        <v>2988</v>
      </c>
      <c r="E277" s="248" t="s">
        <v>3160</v>
      </c>
      <c r="F277" s="248" t="s">
        <v>2695</v>
      </c>
      <c r="G277" s="248" t="s">
        <v>2490</v>
      </c>
      <c r="H277" s="249" t="s">
        <v>3162</v>
      </c>
      <c r="I277" s="249" t="s">
        <v>2710</v>
      </c>
      <c r="J277" s="248" t="s">
        <v>2711</v>
      </c>
      <c r="K277" s="249" t="s">
        <v>3079</v>
      </c>
      <c r="L277" s="249" t="s">
        <v>2760</v>
      </c>
      <c r="M277" s="248" t="s">
        <v>2997</v>
      </c>
      <c r="N277" s="293"/>
      <c r="O277" s="293" t="str">
        <f>TablaPOA[[#This Row],[Cod_Sub_acción_especifica]]&amp;"_"&amp;TablaPOA[[#This Row],[Tipo de agente]]</f>
        <v>K31.2.2.1_Instalaciones de compresión, transferencia y descompresión de gas natural</v>
      </c>
      <c r="P277" s="250" t="s">
        <v>2902</v>
      </c>
      <c r="Q277" s="292" t="str">
        <f>TablaPOA[[#This Row],[Cod_Sub_acción_especifica]]&amp;"_"&amp;TablaPOA[[#This Row],[Cod_Tipo_agente]]</f>
        <v>K31.2.2.1_TA7</v>
      </c>
      <c r="R277" s="250" t="s">
        <v>2903</v>
      </c>
      <c r="S277" s="252">
        <v>607</v>
      </c>
      <c r="T277" s="274" t="s">
        <v>2905</v>
      </c>
    </row>
    <row r="278" spans="1:20" ht="38.25" x14ac:dyDescent="0.25">
      <c r="A278" s="268" t="s">
        <v>2314</v>
      </c>
      <c r="B278" s="248">
        <v>31</v>
      </c>
      <c r="C278" s="248" t="s">
        <v>2691</v>
      </c>
      <c r="D278" s="248" t="s">
        <v>2988</v>
      </c>
      <c r="E278" s="248" t="s">
        <v>3160</v>
      </c>
      <c r="F278" s="248" t="s">
        <v>2695</v>
      </c>
      <c r="G278" s="248" t="s">
        <v>2490</v>
      </c>
      <c r="H278" s="249" t="s">
        <v>3162</v>
      </c>
      <c r="I278" s="249" t="s">
        <v>2710</v>
      </c>
      <c r="J278" s="248" t="s">
        <v>2711</v>
      </c>
      <c r="K278" s="249" t="s">
        <v>3079</v>
      </c>
      <c r="L278" s="249" t="s">
        <v>2760</v>
      </c>
      <c r="M278" s="248" t="s">
        <v>2997</v>
      </c>
      <c r="N278" s="293"/>
      <c r="O278" s="293" t="str">
        <f>TablaPOA[[#This Row],[Cod_Sub_acción_especifica]]&amp;"_"&amp;TablaPOA[[#This Row],[Tipo de agente]]</f>
        <v>K31.2.2.1_Instalaciones de compresión, transferencia y descompresión de gas natural</v>
      </c>
      <c r="P278" s="250" t="s">
        <v>2902</v>
      </c>
      <c r="Q278" s="292" t="str">
        <f>TablaPOA[[#This Row],[Cod_Sub_acción_especifica]]&amp;"_"&amp;TablaPOA[[#This Row],[Cod_Tipo_agente]]</f>
        <v>K31.2.2.1_TA7</v>
      </c>
      <c r="R278" s="250" t="s">
        <v>2903</v>
      </c>
      <c r="S278" s="252" t="s">
        <v>2906</v>
      </c>
      <c r="T278" s="274" t="s">
        <v>2907</v>
      </c>
    </row>
    <row r="279" spans="1:20" ht="38.25" x14ac:dyDescent="0.25">
      <c r="A279" s="268" t="s">
        <v>2314</v>
      </c>
      <c r="B279" s="248">
        <v>31</v>
      </c>
      <c r="C279" s="248" t="s">
        <v>2691</v>
      </c>
      <c r="D279" s="248" t="s">
        <v>2988</v>
      </c>
      <c r="E279" s="248" t="s">
        <v>3160</v>
      </c>
      <c r="F279" s="248" t="s">
        <v>2695</v>
      </c>
      <c r="G279" s="248" t="s">
        <v>2490</v>
      </c>
      <c r="H279" s="249" t="s">
        <v>3162</v>
      </c>
      <c r="I279" s="249" t="s">
        <v>2710</v>
      </c>
      <c r="J279" s="248" t="s">
        <v>2711</v>
      </c>
      <c r="K279" s="249" t="s">
        <v>3079</v>
      </c>
      <c r="L279" s="249" t="s">
        <v>2760</v>
      </c>
      <c r="M279" s="248" t="s">
        <v>2997</v>
      </c>
      <c r="N279" s="293"/>
      <c r="O279" s="293" t="str">
        <f>TablaPOA[[#This Row],[Cod_Sub_acción_especifica]]&amp;"_"&amp;TablaPOA[[#This Row],[Tipo de agente]]</f>
        <v>K31.2.2.1_Instalaciones de compresión, transferencia y descompresión de gas natural</v>
      </c>
      <c r="P279" s="250" t="s">
        <v>2902</v>
      </c>
      <c r="Q279" s="292" t="str">
        <f>TablaPOA[[#This Row],[Cod_Sub_acción_especifica]]&amp;"_"&amp;TablaPOA[[#This Row],[Cod_Tipo_agente]]</f>
        <v>K31.2.2.1_TA7</v>
      </c>
      <c r="R279" s="250" t="s">
        <v>2903</v>
      </c>
      <c r="S279" s="252" t="s">
        <v>2908</v>
      </c>
      <c r="T279" s="274" t="s">
        <v>2909</v>
      </c>
    </row>
    <row r="280" spans="1:20" ht="38.25" x14ac:dyDescent="0.25">
      <c r="A280" s="268" t="s">
        <v>2314</v>
      </c>
      <c r="B280" s="248">
        <v>31</v>
      </c>
      <c r="C280" s="248" t="s">
        <v>2691</v>
      </c>
      <c r="D280" s="248" t="s">
        <v>2988</v>
      </c>
      <c r="E280" s="248" t="s">
        <v>3160</v>
      </c>
      <c r="F280" s="248" t="s">
        <v>2695</v>
      </c>
      <c r="G280" s="248" t="s">
        <v>2490</v>
      </c>
      <c r="H280" s="249" t="s">
        <v>3162</v>
      </c>
      <c r="I280" s="249" t="s">
        <v>2710</v>
      </c>
      <c r="J280" s="248" t="s">
        <v>2711</v>
      </c>
      <c r="K280" s="249" t="s">
        <v>3079</v>
      </c>
      <c r="L280" s="249" t="s">
        <v>2760</v>
      </c>
      <c r="M280" s="248" t="s">
        <v>2997</v>
      </c>
      <c r="N280" s="293"/>
      <c r="O280" s="293" t="str">
        <f>TablaPOA[[#This Row],[Cod_Sub_acción_especifica]]&amp;"_"&amp;TablaPOA[[#This Row],[Tipo de agente]]</f>
        <v>K31.2.2.1_Instalaciones de compresión, transferencia y descompresión de gas natural</v>
      </c>
      <c r="P280" s="250" t="s">
        <v>2902</v>
      </c>
      <c r="Q280" s="292" t="str">
        <f>TablaPOA[[#This Row],[Cod_Sub_acción_especifica]]&amp;"_"&amp;TablaPOA[[#This Row],[Cod_Tipo_agente]]</f>
        <v>K31.2.2.1_TA7</v>
      </c>
      <c r="R280" s="250" t="s">
        <v>2903</v>
      </c>
      <c r="S280" s="252" t="s">
        <v>2910</v>
      </c>
      <c r="T280" s="274" t="s">
        <v>2911</v>
      </c>
    </row>
    <row r="281" spans="1:20" ht="25.5" x14ac:dyDescent="0.25">
      <c r="A281" s="219" t="s">
        <v>2314</v>
      </c>
      <c r="B281" s="227">
        <v>31</v>
      </c>
      <c r="C281" s="227" t="s">
        <v>2691</v>
      </c>
      <c r="D281" s="227" t="s">
        <v>2988</v>
      </c>
      <c r="E281" s="227" t="s">
        <v>3160</v>
      </c>
      <c r="F281" s="227" t="s">
        <v>2695</v>
      </c>
      <c r="G281" s="227" t="s">
        <v>2490</v>
      </c>
      <c r="H281" s="253" t="s">
        <v>3162</v>
      </c>
      <c r="I281" s="253" t="s">
        <v>2710</v>
      </c>
      <c r="J281" s="227" t="s">
        <v>2711</v>
      </c>
      <c r="K281" s="253" t="s">
        <v>3080</v>
      </c>
      <c r="L281" s="253" t="s">
        <v>2761</v>
      </c>
      <c r="M281" s="227" t="s">
        <v>2998</v>
      </c>
      <c r="N281" s="299" t="s">
        <v>2831</v>
      </c>
      <c r="O281" s="292" t="str">
        <f>TablaPOA[[#This Row],[Cod_Sub_acción_especifica]]&amp;"_"&amp;TablaPOA[[#This Row],[Tipo de agente]]</f>
        <v>K31.2.2.2_Consumidores directos de gas natural</v>
      </c>
      <c r="P281" s="254" t="s">
        <v>2830</v>
      </c>
      <c r="Q281" s="292" t="str">
        <f>TablaPOA[[#This Row],[Cod_Sub_acción_especifica]]&amp;"_"&amp;TablaPOA[[#This Row],[Cod_Tipo_agente]]</f>
        <v>K31.2.2.2_TA2</v>
      </c>
      <c r="R281" s="254" t="s">
        <v>2831</v>
      </c>
      <c r="S281" s="254">
        <v>101</v>
      </c>
      <c r="T281" s="271" t="s">
        <v>2832</v>
      </c>
    </row>
    <row r="282" spans="1:20" ht="25.5" x14ac:dyDescent="0.25">
      <c r="A282" s="219" t="s">
        <v>2314</v>
      </c>
      <c r="B282" s="227">
        <v>31</v>
      </c>
      <c r="C282" s="227" t="s">
        <v>2691</v>
      </c>
      <c r="D282" s="227" t="s">
        <v>2988</v>
      </c>
      <c r="E282" s="227" t="s">
        <v>3160</v>
      </c>
      <c r="F282" s="227" t="s">
        <v>2695</v>
      </c>
      <c r="G282" s="227" t="s">
        <v>2490</v>
      </c>
      <c r="H282" s="253" t="s">
        <v>3162</v>
      </c>
      <c r="I282" s="253" t="s">
        <v>2710</v>
      </c>
      <c r="J282" s="227" t="s">
        <v>2711</v>
      </c>
      <c r="K282" s="253" t="s">
        <v>3080</v>
      </c>
      <c r="L282" s="253" t="s">
        <v>2761</v>
      </c>
      <c r="M282" s="227" t="s">
        <v>2998</v>
      </c>
      <c r="N282" s="299" t="s">
        <v>2883</v>
      </c>
      <c r="O282" s="292" t="str">
        <f>TablaPOA[[#This Row],[Cod_Sub_acción_especifica]]&amp;"_"&amp;TablaPOA[[#This Row],[Tipo de agente]]</f>
        <v>K31.2.2.2_Consumidores directos de gas natural</v>
      </c>
      <c r="P282" s="254" t="s">
        <v>2830</v>
      </c>
      <c r="Q282" s="292" t="str">
        <f>TablaPOA[[#This Row],[Cod_Sub_acción_especifica]]&amp;"_"&amp;TablaPOA[[#This Row],[Cod_Tipo_agente]]</f>
        <v>K31.2.2.2_TA2</v>
      </c>
      <c r="R282" s="254" t="s">
        <v>2831</v>
      </c>
      <c r="S282" s="254" t="s">
        <v>2833</v>
      </c>
      <c r="T282" s="271" t="s">
        <v>2834</v>
      </c>
    </row>
    <row r="283" spans="1:20" ht="25.5" x14ac:dyDescent="0.25">
      <c r="A283" s="219" t="s">
        <v>2314</v>
      </c>
      <c r="B283" s="227">
        <v>31</v>
      </c>
      <c r="C283" s="227" t="s">
        <v>2691</v>
      </c>
      <c r="D283" s="227" t="s">
        <v>2988</v>
      </c>
      <c r="E283" s="227" t="s">
        <v>3160</v>
      </c>
      <c r="F283" s="227" t="s">
        <v>2695</v>
      </c>
      <c r="G283" s="227" t="s">
        <v>2490</v>
      </c>
      <c r="H283" s="253" t="s">
        <v>3162</v>
      </c>
      <c r="I283" s="253" t="s">
        <v>2710</v>
      </c>
      <c r="J283" s="227" t="s">
        <v>2711</v>
      </c>
      <c r="K283" s="253" t="s">
        <v>3080</v>
      </c>
      <c r="L283" s="253" t="s">
        <v>2761</v>
      </c>
      <c r="M283" s="227" t="s">
        <v>2998</v>
      </c>
      <c r="N283" s="299" t="s">
        <v>2903</v>
      </c>
      <c r="O283" s="292" t="str">
        <f>TablaPOA[[#This Row],[Cod_Sub_acción_especifica]]&amp;"_"&amp;TablaPOA[[#This Row],[Tipo de agente]]</f>
        <v>K31.2.2.2_Consumidores directos de gas natural</v>
      </c>
      <c r="P283" s="254" t="s">
        <v>2830</v>
      </c>
      <c r="Q283" s="292" t="str">
        <f>TablaPOA[[#This Row],[Cod_Sub_acción_especifica]]&amp;"_"&amp;TablaPOA[[#This Row],[Cod_Tipo_agente]]</f>
        <v>K31.2.2.2_TA2</v>
      </c>
      <c r="R283" s="254" t="s">
        <v>2831</v>
      </c>
      <c r="S283" s="254" t="s">
        <v>2835</v>
      </c>
      <c r="T283" s="271" t="s">
        <v>2836</v>
      </c>
    </row>
    <row r="284" spans="1:20" ht="25.5" x14ac:dyDescent="0.25">
      <c r="A284" s="219" t="s">
        <v>2314</v>
      </c>
      <c r="B284" s="227">
        <v>31</v>
      </c>
      <c r="C284" s="227" t="s">
        <v>2691</v>
      </c>
      <c r="D284" s="227" t="s">
        <v>2988</v>
      </c>
      <c r="E284" s="227" t="s">
        <v>3160</v>
      </c>
      <c r="F284" s="227" t="s">
        <v>2695</v>
      </c>
      <c r="G284" s="227" t="s">
        <v>2490</v>
      </c>
      <c r="H284" s="253" t="s">
        <v>3162</v>
      </c>
      <c r="I284" s="253" t="s">
        <v>2710</v>
      </c>
      <c r="J284" s="227" t="s">
        <v>2711</v>
      </c>
      <c r="K284" s="253" t="s">
        <v>3080</v>
      </c>
      <c r="L284" s="253" t="s">
        <v>2761</v>
      </c>
      <c r="M284" s="227" t="s">
        <v>2998</v>
      </c>
      <c r="N284" s="293"/>
      <c r="O284" s="293" t="str">
        <f>TablaPOA[[#This Row],[Cod_Sub_acción_especifica]]&amp;"_"&amp;TablaPOA[[#This Row],[Tipo de agente]]</f>
        <v>K31.2.2.2_Consumidores directos de gas natural</v>
      </c>
      <c r="P284" s="254" t="s">
        <v>2830</v>
      </c>
      <c r="Q284" s="292" t="str">
        <f>TablaPOA[[#This Row],[Cod_Sub_acción_especifica]]&amp;"_"&amp;TablaPOA[[#This Row],[Cod_Tipo_agente]]</f>
        <v>K31.2.2.2_TA2</v>
      </c>
      <c r="R284" s="254" t="s">
        <v>2831</v>
      </c>
      <c r="S284" s="254" t="s">
        <v>2837</v>
      </c>
      <c r="T284" s="271" t="s">
        <v>2838</v>
      </c>
    </row>
    <row r="285" spans="1:20" ht="25.5" x14ac:dyDescent="0.25">
      <c r="A285" s="219" t="s">
        <v>2314</v>
      </c>
      <c r="B285" s="227">
        <v>31</v>
      </c>
      <c r="C285" s="227" t="s">
        <v>2691</v>
      </c>
      <c r="D285" s="227" t="s">
        <v>2988</v>
      </c>
      <c r="E285" s="227" t="s">
        <v>3160</v>
      </c>
      <c r="F285" s="227" t="s">
        <v>2695</v>
      </c>
      <c r="G285" s="227" t="s">
        <v>2490</v>
      </c>
      <c r="H285" s="253" t="s">
        <v>3162</v>
      </c>
      <c r="I285" s="253" t="s">
        <v>2710</v>
      </c>
      <c r="J285" s="227" t="s">
        <v>2711</v>
      </c>
      <c r="K285" s="253" t="s">
        <v>3080</v>
      </c>
      <c r="L285" s="253" t="s">
        <v>2761</v>
      </c>
      <c r="M285" s="227" t="s">
        <v>2998</v>
      </c>
      <c r="N285" s="293"/>
      <c r="O285" s="293" t="str">
        <f>TablaPOA[[#This Row],[Cod_Sub_acción_especifica]]&amp;"_"&amp;TablaPOA[[#This Row],[Tipo de agente]]</f>
        <v>K31.2.2.2_EVP combustibles de uso automotor</v>
      </c>
      <c r="P285" s="254" t="s">
        <v>2882</v>
      </c>
      <c r="Q285" s="292" t="str">
        <f>TablaPOA[[#This Row],[Cod_Sub_acción_especifica]]&amp;"_"&amp;TablaPOA[[#This Row],[Cod_Tipo_agente]]</f>
        <v>K31.2.2.2_TA6</v>
      </c>
      <c r="R285" s="254" t="s">
        <v>2883</v>
      </c>
      <c r="S285" s="255" t="s">
        <v>2884</v>
      </c>
      <c r="T285" s="271" t="s">
        <v>2885</v>
      </c>
    </row>
    <row r="286" spans="1:20" ht="25.5" x14ac:dyDescent="0.25">
      <c r="A286" s="219" t="s">
        <v>2314</v>
      </c>
      <c r="B286" s="227">
        <v>31</v>
      </c>
      <c r="C286" s="227" t="s">
        <v>2691</v>
      </c>
      <c r="D286" s="227" t="s">
        <v>2988</v>
      </c>
      <c r="E286" s="227" t="s">
        <v>3160</v>
      </c>
      <c r="F286" s="227" t="s">
        <v>2695</v>
      </c>
      <c r="G286" s="227" t="s">
        <v>2490</v>
      </c>
      <c r="H286" s="253" t="s">
        <v>3162</v>
      </c>
      <c r="I286" s="253" t="s">
        <v>2710</v>
      </c>
      <c r="J286" s="227" t="s">
        <v>2711</v>
      </c>
      <c r="K286" s="253" t="s">
        <v>3080</v>
      </c>
      <c r="L286" s="253" t="s">
        <v>2761</v>
      </c>
      <c r="M286" s="227" t="s">
        <v>2998</v>
      </c>
      <c r="N286" s="293"/>
      <c r="O286" s="293" t="str">
        <f>TablaPOA[[#This Row],[Cod_Sub_acción_especifica]]&amp;"_"&amp;TablaPOA[[#This Row],[Tipo de agente]]</f>
        <v>K31.2.2.2_EVP combustibles de uso automotor</v>
      </c>
      <c r="P286" s="254" t="s">
        <v>2882</v>
      </c>
      <c r="Q286" s="292" t="str">
        <f>TablaPOA[[#This Row],[Cod_Sub_acción_especifica]]&amp;"_"&amp;TablaPOA[[#This Row],[Cod_Tipo_agente]]</f>
        <v>K31.2.2.2_TA6</v>
      </c>
      <c r="R286" s="254" t="s">
        <v>2883</v>
      </c>
      <c r="S286" s="255" t="s">
        <v>2894</v>
      </c>
      <c r="T286" s="271" t="s">
        <v>2895</v>
      </c>
    </row>
    <row r="287" spans="1:20" ht="25.5" x14ac:dyDescent="0.25">
      <c r="A287" s="219" t="s">
        <v>2314</v>
      </c>
      <c r="B287" s="227">
        <v>31</v>
      </c>
      <c r="C287" s="227" t="s">
        <v>2691</v>
      </c>
      <c r="D287" s="227" t="s">
        <v>2988</v>
      </c>
      <c r="E287" s="227" t="s">
        <v>3160</v>
      </c>
      <c r="F287" s="227" t="s">
        <v>2695</v>
      </c>
      <c r="G287" s="227" t="s">
        <v>2490</v>
      </c>
      <c r="H287" s="253" t="s">
        <v>3162</v>
      </c>
      <c r="I287" s="253" t="s">
        <v>2710</v>
      </c>
      <c r="J287" s="227" t="s">
        <v>2711</v>
      </c>
      <c r="K287" s="253" t="s">
        <v>3080</v>
      </c>
      <c r="L287" s="253" t="s">
        <v>2761</v>
      </c>
      <c r="M287" s="227" t="s">
        <v>2998</v>
      </c>
      <c r="N287" s="293"/>
      <c r="O287" s="293" t="str">
        <f>TablaPOA[[#This Row],[Cod_Sub_acción_especifica]]&amp;"_"&amp;TablaPOA[[#This Row],[Tipo de agente]]</f>
        <v>K31.2.2.2_EVP combustibles de uso automotor</v>
      </c>
      <c r="P287" s="254" t="s">
        <v>2882</v>
      </c>
      <c r="Q287" s="292" t="str">
        <f>TablaPOA[[#This Row],[Cod_Sub_acción_especifica]]&amp;"_"&amp;TablaPOA[[#This Row],[Cod_Tipo_agente]]</f>
        <v>K31.2.2.2_TA6</v>
      </c>
      <c r="R287" s="254" t="s">
        <v>2883</v>
      </c>
      <c r="S287" s="255" t="s">
        <v>2896</v>
      </c>
      <c r="T287" s="271" t="s">
        <v>2897</v>
      </c>
    </row>
    <row r="288" spans="1:20" ht="25.5" x14ac:dyDescent="0.25">
      <c r="A288" s="219" t="s">
        <v>2314</v>
      </c>
      <c r="B288" s="227">
        <v>31</v>
      </c>
      <c r="C288" s="227" t="s">
        <v>2691</v>
      </c>
      <c r="D288" s="227" t="s">
        <v>2988</v>
      </c>
      <c r="E288" s="227" t="s">
        <v>3160</v>
      </c>
      <c r="F288" s="227" t="s">
        <v>2695</v>
      </c>
      <c r="G288" s="227" t="s">
        <v>2490</v>
      </c>
      <c r="H288" s="253" t="s">
        <v>3162</v>
      </c>
      <c r="I288" s="253" t="s">
        <v>2710</v>
      </c>
      <c r="J288" s="227" t="s">
        <v>2711</v>
      </c>
      <c r="K288" s="253" t="s">
        <v>3080</v>
      </c>
      <c r="L288" s="253" t="s">
        <v>2761</v>
      </c>
      <c r="M288" s="227" t="s">
        <v>2998</v>
      </c>
      <c r="N288" s="293"/>
      <c r="O288" s="293" t="str">
        <f>TablaPOA[[#This Row],[Cod_Sub_acción_especifica]]&amp;"_"&amp;TablaPOA[[#This Row],[Tipo de agente]]</f>
        <v>K31.2.2.2_EVP combustibles de uso automotor</v>
      </c>
      <c r="P288" s="254" t="s">
        <v>2882</v>
      </c>
      <c r="Q288" s="292" t="str">
        <f>TablaPOA[[#This Row],[Cod_Sub_acción_especifica]]&amp;"_"&amp;TablaPOA[[#This Row],[Cod_Tipo_agente]]</f>
        <v>K31.2.2.2_TA6</v>
      </c>
      <c r="R288" s="254" t="s">
        <v>2883</v>
      </c>
      <c r="S288" s="255" t="s">
        <v>2898</v>
      </c>
      <c r="T288" s="271" t="s">
        <v>2899</v>
      </c>
    </row>
    <row r="289" spans="1:20" ht="25.5" x14ac:dyDescent="0.25">
      <c r="A289" s="219" t="s">
        <v>2314</v>
      </c>
      <c r="B289" s="227">
        <v>31</v>
      </c>
      <c r="C289" s="227" t="s">
        <v>2691</v>
      </c>
      <c r="D289" s="227" t="s">
        <v>2988</v>
      </c>
      <c r="E289" s="227" t="s">
        <v>3160</v>
      </c>
      <c r="F289" s="227" t="s">
        <v>2695</v>
      </c>
      <c r="G289" s="227" t="s">
        <v>2490</v>
      </c>
      <c r="H289" s="253" t="s">
        <v>3162</v>
      </c>
      <c r="I289" s="253" t="s">
        <v>2710</v>
      </c>
      <c r="J289" s="227" t="s">
        <v>2711</v>
      </c>
      <c r="K289" s="253" t="s">
        <v>3080</v>
      </c>
      <c r="L289" s="253" t="s">
        <v>2761</v>
      </c>
      <c r="M289" s="227" t="s">
        <v>2998</v>
      </c>
      <c r="N289" s="293"/>
      <c r="O289" s="293" t="str">
        <f>TablaPOA[[#This Row],[Cod_Sub_acción_especifica]]&amp;"_"&amp;TablaPOA[[#This Row],[Tipo de agente]]</f>
        <v>K31.2.2.2_EVP combustibles de uso automotor</v>
      </c>
      <c r="P289" s="254" t="s">
        <v>2882</v>
      </c>
      <c r="Q289" s="292" t="str">
        <f>TablaPOA[[#This Row],[Cod_Sub_acción_especifica]]&amp;"_"&amp;TablaPOA[[#This Row],[Cod_Tipo_agente]]</f>
        <v>K31.2.2.2_TA6</v>
      </c>
      <c r="R289" s="254" t="s">
        <v>2883</v>
      </c>
      <c r="S289" s="255" t="s">
        <v>2900</v>
      </c>
      <c r="T289" s="271" t="s">
        <v>2901</v>
      </c>
    </row>
    <row r="290" spans="1:20" ht="38.25" x14ac:dyDescent="0.25">
      <c r="A290" s="219" t="s">
        <v>2314</v>
      </c>
      <c r="B290" s="227">
        <v>31</v>
      </c>
      <c r="C290" s="227" t="s">
        <v>2691</v>
      </c>
      <c r="D290" s="227" t="s">
        <v>2988</v>
      </c>
      <c r="E290" s="227" t="s">
        <v>3160</v>
      </c>
      <c r="F290" s="227" t="s">
        <v>2695</v>
      </c>
      <c r="G290" s="227" t="s">
        <v>2490</v>
      </c>
      <c r="H290" s="253" t="s">
        <v>3162</v>
      </c>
      <c r="I290" s="253" t="s">
        <v>2710</v>
      </c>
      <c r="J290" s="227" t="s">
        <v>2711</v>
      </c>
      <c r="K290" s="253" t="s">
        <v>3080</v>
      </c>
      <c r="L290" s="253" t="s">
        <v>2761</v>
      </c>
      <c r="M290" s="227" t="s">
        <v>2998</v>
      </c>
      <c r="N290" s="293"/>
      <c r="O290" s="293" t="str">
        <f>TablaPOA[[#This Row],[Cod_Sub_acción_especifica]]&amp;"_"&amp;TablaPOA[[#This Row],[Tipo de agente]]</f>
        <v>K31.2.2.2_Instalaciones de compresión, transferencia y descompresión de gas natural</v>
      </c>
      <c r="P290" s="254" t="s">
        <v>2902</v>
      </c>
      <c r="Q290" s="292" t="str">
        <f>TablaPOA[[#This Row],[Cod_Sub_acción_especifica]]&amp;"_"&amp;TablaPOA[[#This Row],[Cod_Tipo_agente]]</f>
        <v>K31.2.2.2_TA7</v>
      </c>
      <c r="R290" s="254" t="s">
        <v>2903</v>
      </c>
      <c r="S290" s="260">
        <v>607</v>
      </c>
      <c r="T290" s="275" t="s">
        <v>2905</v>
      </c>
    </row>
    <row r="291" spans="1:20" ht="38.25" x14ac:dyDescent="0.25">
      <c r="A291" s="219" t="s">
        <v>2314</v>
      </c>
      <c r="B291" s="227">
        <v>31</v>
      </c>
      <c r="C291" s="227" t="s">
        <v>2691</v>
      </c>
      <c r="D291" s="227" t="s">
        <v>2988</v>
      </c>
      <c r="E291" s="227" t="s">
        <v>3160</v>
      </c>
      <c r="F291" s="227" t="s">
        <v>2695</v>
      </c>
      <c r="G291" s="227" t="s">
        <v>2490</v>
      </c>
      <c r="H291" s="253" t="s">
        <v>3162</v>
      </c>
      <c r="I291" s="253" t="s">
        <v>2710</v>
      </c>
      <c r="J291" s="227" t="s">
        <v>2711</v>
      </c>
      <c r="K291" s="253" t="s">
        <v>3080</v>
      </c>
      <c r="L291" s="253" t="s">
        <v>2761</v>
      </c>
      <c r="M291" s="227" t="s">
        <v>2998</v>
      </c>
      <c r="N291" s="293"/>
      <c r="O291" s="293" t="str">
        <f>TablaPOA[[#This Row],[Cod_Sub_acción_especifica]]&amp;"_"&amp;TablaPOA[[#This Row],[Tipo de agente]]</f>
        <v>K31.2.2.2_Instalaciones de compresión, transferencia y descompresión de gas natural</v>
      </c>
      <c r="P291" s="254" t="s">
        <v>2902</v>
      </c>
      <c r="Q291" s="292" t="str">
        <f>TablaPOA[[#This Row],[Cod_Sub_acción_especifica]]&amp;"_"&amp;TablaPOA[[#This Row],[Cod_Tipo_agente]]</f>
        <v>K31.2.2.2_TA7</v>
      </c>
      <c r="R291" s="254" t="s">
        <v>2903</v>
      </c>
      <c r="S291" s="260" t="s">
        <v>2906</v>
      </c>
      <c r="T291" s="275" t="s">
        <v>2907</v>
      </c>
    </row>
    <row r="292" spans="1:20" ht="38.25" x14ac:dyDescent="0.25">
      <c r="A292" s="219" t="s">
        <v>2314</v>
      </c>
      <c r="B292" s="227">
        <v>31</v>
      </c>
      <c r="C292" s="227" t="s">
        <v>2691</v>
      </c>
      <c r="D292" s="227" t="s">
        <v>2988</v>
      </c>
      <c r="E292" s="227" t="s">
        <v>3160</v>
      </c>
      <c r="F292" s="227" t="s">
        <v>2695</v>
      </c>
      <c r="G292" s="227" t="s">
        <v>2490</v>
      </c>
      <c r="H292" s="253" t="s">
        <v>3162</v>
      </c>
      <c r="I292" s="253" t="s">
        <v>2710</v>
      </c>
      <c r="J292" s="227" t="s">
        <v>2711</v>
      </c>
      <c r="K292" s="253" t="s">
        <v>3080</v>
      </c>
      <c r="L292" s="253" t="s">
        <v>2761</v>
      </c>
      <c r="M292" s="227" t="s">
        <v>2998</v>
      </c>
      <c r="N292" s="293"/>
      <c r="O292" s="293" t="str">
        <f>TablaPOA[[#This Row],[Cod_Sub_acción_especifica]]&amp;"_"&amp;TablaPOA[[#This Row],[Tipo de agente]]</f>
        <v>K31.2.2.2_Instalaciones de compresión, transferencia y descompresión de gas natural</v>
      </c>
      <c r="P292" s="254" t="s">
        <v>2902</v>
      </c>
      <c r="Q292" s="292" t="str">
        <f>TablaPOA[[#This Row],[Cod_Sub_acción_especifica]]&amp;"_"&amp;TablaPOA[[#This Row],[Cod_Tipo_agente]]</f>
        <v>K31.2.2.2_TA7</v>
      </c>
      <c r="R292" s="254" t="s">
        <v>2903</v>
      </c>
      <c r="S292" s="260" t="s">
        <v>2908</v>
      </c>
      <c r="T292" s="275" t="s">
        <v>2909</v>
      </c>
    </row>
    <row r="293" spans="1:20" ht="38.25" x14ac:dyDescent="0.25">
      <c r="A293" s="219" t="s">
        <v>2314</v>
      </c>
      <c r="B293" s="227">
        <v>31</v>
      </c>
      <c r="C293" s="227" t="s">
        <v>2691</v>
      </c>
      <c r="D293" s="227" t="s">
        <v>2988</v>
      </c>
      <c r="E293" s="227" t="s">
        <v>3160</v>
      </c>
      <c r="F293" s="227" t="s">
        <v>2695</v>
      </c>
      <c r="G293" s="227" t="s">
        <v>2490</v>
      </c>
      <c r="H293" s="253" t="s">
        <v>3162</v>
      </c>
      <c r="I293" s="253" t="s">
        <v>2710</v>
      </c>
      <c r="J293" s="227" t="s">
        <v>2711</v>
      </c>
      <c r="K293" s="253" t="s">
        <v>3080</v>
      </c>
      <c r="L293" s="253" t="s">
        <v>2761</v>
      </c>
      <c r="M293" s="227" t="s">
        <v>2998</v>
      </c>
      <c r="N293" s="293"/>
      <c r="O293" s="293" t="str">
        <f>TablaPOA[[#This Row],[Cod_Sub_acción_especifica]]&amp;"_"&amp;TablaPOA[[#This Row],[Tipo de agente]]</f>
        <v>K31.2.2.2_Instalaciones de compresión, transferencia y descompresión de gas natural</v>
      </c>
      <c r="P293" s="254" t="s">
        <v>2902</v>
      </c>
      <c r="Q293" s="292" t="str">
        <f>TablaPOA[[#This Row],[Cod_Sub_acción_especifica]]&amp;"_"&amp;TablaPOA[[#This Row],[Cod_Tipo_agente]]</f>
        <v>K31.2.2.2_TA7</v>
      </c>
      <c r="R293" s="254" t="s">
        <v>2903</v>
      </c>
      <c r="S293" s="260" t="s">
        <v>2910</v>
      </c>
      <c r="T293" s="275" t="s">
        <v>2911</v>
      </c>
    </row>
    <row r="294" spans="1:20" ht="25.5" x14ac:dyDescent="0.25">
      <c r="A294" s="268" t="s">
        <v>2314</v>
      </c>
      <c r="B294" s="248">
        <v>31</v>
      </c>
      <c r="C294" s="248" t="s">
        <v>2691</v>
      </c>
      <c r="D294" s="248" t="s">
        <v>2988</v>
      </c>
      <c r="E294" s="248" t="s">
        <v>3160</v>
      </c>
      <c r="F294" s="248" t="s">
        <v>2695</v>
      </c>
      <c r="G294" s="248" t="s">
        <v>2490</v>
      </c>
      <c r="H294" s="249" t="s">
        <v>3162</v>
      </c>
      <c r="I294" s="249" t="s">
        <v>2710</v>
      </c>
      <c r="J294" s="248" t="s">
        <v>2711</v>
      </c>
      <c r="K294" s="249" t="s">
        <v>3081</v>
      </c>
      <c r="L294" s="249" t="s">
        <v>2762</v>
      </c>
      <c r="M294" s="248" t="s">
        <v>2999</v>
      </c>
      <c r="N294" s="299" t="s">
        <v>2831</v>
      </c>
      <c r="O294" s="292" t="str">
        <f>TablaPOA[[#This Row],[Cod_Sub_acción_especifica]]&amp;"_"&amp;TablaPOA[[#This Row],[Tipo de agente]]</f>
        <v>K31.2.2.3_Consumidores directos de gas natural</v>
      </c>
      <c r="P294" s="250" t="s">
        <v>2830</v>
      </c>
      <c r="Q294" s="292" t="str">
        <f>TablaPOA[[#This Row],[Cod_Sub_acción_especifica]]&amp;"_"&amp;TablaPOA[[#This Row],[Cod_Tipo_agente]]</f>
        <v>K31.2.2.3_TA2</v>
      </c>
      <c r="R294" s="250" t="s">
        <v>2831</v>
      </c>
      <c r="S294" s="250">
        <v>101</v>
      </c>
      <c r="T294" s="269" t="s">
        <v>2832</v>
      </c>
    </row>
    <row r="295" spans="1:20" ht="25.5" x14ac:dyDescent="0.25">
      <c r="A295" s="268" t="s">
        <v>2314</v>
      </c>
      <c r="B295" s="248">
        <v>31</v>
      </c>
      <c r="C295" s="248" t="s">
        <v>2691</v>
      </c>
      <c r="D295" s="248" t="s">
        <v>2988</v>
      </c>
      <c r="E295" s="248" t="s">
        <v>3160</v>
      </c>
      <c r="F295" s="248" t="s">
        <v>2695</v>
      </c>
      <c r="G295" s="248" t="s">
        <v>2490</v>
      </c>
      <c r="H295" s="249" t="s">
        <v>3162</v>
      </c>
      <c r="I295" s="249" t="s">
        <v>2710</v>
      </c>
      <c r="J295" s="248" t="s">
        <v>2711</v>
      </c>
      <c r="K295" s="249" t="s">
        <v>3081</v>
      </c>
      <c r="L295" s="249" t="s">
        <v>2762</v>
      </c>
      <c r="M295" s="248" t="s">
        <v>2999</v>
      </c>
      <c r="N295" s="299" t="s">
        <v>2883</v>
      </c>
      <c r="O295" s="292" t="str">
        <f>TablaPOA[[#This Row],[Cod_Sub_acción_especifica]]&amp;"_"&amp;TablaPOA[[#This Row],[Tipo de agente]]</f>
        <v>K31.2.2.3_Consumidores directos de gas natural</v>
      </c>
      <c r="P295" s="250" t="s">
        <v>2830</v>
      </c>
      <c r="Q295" s="292" t="str">
        <f>TablaPOA[[#This Row],[Cod_Sub_acción_especifica]]&amp;"_"&amp;TablaPOA[[#This Row],[Cod_Tipo_agente]]</f>
        <v>K31.2.2.3_TA2</v>
      </c>
      <c r="R295" s="250" t="s">
        <v>2831</v>
      </c>
      <c r="S295" s="250" t="s">
        <v>2833</v>
      </c>
      <c r="T295" s="269" t="s">
        <v>2834</v>
      </c>
    </row>
    <row r="296" spans="1:20" ht="25.5" x14ac:dyDescent="0.25">
      <c r="A296" s="268" t="s">
        <v>2314</v>
      </c>
      <c r="B296" s="248">
        <v>31</v>
      </c>
      <c r="C296" s="248" t="s">
        <v>2691</v>
      </c>
      <c r="D296" s="248" t="s">
        <v>2988</v>
      </c>
      <c r="E296" s="248" t="s">
        <v>3160</v>
      </c>
      <c r="F296" s="248" t="s">
        <v>2695</v>
      </c>
      <c r="G296" s="248" t="s">
        <v>2490</v>
      </c>
      <c r="H296" s="249" t="s">
        <v>3162</v>
      </c>
      <c r="I296" s="249" t="s">
        <v>2710</v>
      </c>
      <c r="J296" s="248" t="s">
        <v>2711</v>
      </c>
      <c r="K296" s="249" t="s">
        <v>3081</v>
      </c>
      <c r="L296" s="249" t="s">
        <v>2762</v>
      </c>
      <c r="M296" s="248" t="s">
        <v>2999</v>
      </c>
      <c r="N296" s="299" t="s">
        <v>2903</v>
      </c>
      <c r="O296" s="292" t="str">
        <f>TablaPOA[[#This Row],[Cod_Sub_acción_especifica]]&amp;"_"&amp;TablaPOA[[#This Row],[Tipo de agente]]</f>
        <v>K31.2.2.3_Consumidores directos de gas natural</v>
      </c>
      <c r="P296" s="250" t="s">
        <v>2830</v>
      </c>
      <c r="Q296" s="292" t="str">
        <f>TablaPOA[[#This Row],[Cod_Sub_acción_especifica]]&amp;"_"&amp;TablaPOA[[#This Row],[Cod_Tipo_agente]]</f>
        <v>K31.2.2.3_TA2</v>
      </c>
      <c r="R296" s="250" t="s">
        <v>2831</v>
      </c>
      <c r="S296" s="250" t="s">
        <v>2835</v>
      </c>
      <c r="T296" s="269" t="s">
        <v>2836</v>
      </c>
    </row>
    <row r="297" spans="1:20" ht="25.5" x14ac:dyDescent="0.25">
      <c r="A297" s="268" t="s">
        <v>2314</v>
      </c>
      <c r="B297" s="248">
        <v>31</v>
      </c>
      <c r="C297" s="248" t="s">
        <v>2691</v>
      </c>
      <c r="D297" s="248" t="s">
        <v>2988</v>
      </c>
      <c r="E297" s="248" t="s">
        <v>3160</v>
      </c>
      <c r="F297" s="248" t="s">
        <v>2695</v>
      </c>
      <c r="G297" s="248" t="s">
        <v>2490</v>
      </c>
      <c r="H297" s="249" t="s">
        <v>3162</v>
      </c>
      <c r="I297" s="249" t="s">
        <v>2710</v>
      </c>
      <c r="J297" s="248" t="s">
        <v>2711</v>
      </c>
      <c r="K297" s="249" t="s">
        <v>3081</v>
      </c>
      <c r="L297" s="249" t="s">
        <v>2762</v>
      </c>
      <c r="M297" s="248" t="s">
        <v>2999</v>
      </c>
      <c r="N297" s="293"/>
      <c r="O297" s="293" t="str">
        <f>TablaPOA[[#This Row],[Cod_Sub_acción_especifica]]&amp;"_"&amp;TablaPOA[[#This Row],[Tipo de agente]]</f>
        <v>K31.2.2.3_Consumidores directos de gas natural</v>
      </c>
      <c r="P297" s="250" t="s">
        <v>2830</v>
      </c>
      <c r="Q297" s="292" t="str">
        <f>TablaPOA[[#This Row],[Cod_Sub_acción_especifica]]&amp;"_"&amp;TablaPOA[[#This Row],[Cod_Tipo_agente]]</f>
        <v>K31.2.2.3_TA2</v>
      </c>
      <c r="R297" s="250" t="s">
        <v>2831</v>
      </c>
      <c r="S297" s="250" t="s">
        <v>2837</v>
      </c>
      <c r="T297" s="269" t="s">
        <v>2838</v>
      </c>
    </row>
    <row r="298" spans="1:20" ht="25.5" x14ac:dyDescent="0.25">
      <c r="A298" s="268" t="s">
        <v>2314</v>
      </c>
      <c r="B298" s="248">
        <v>31</v>
      </c>
      <c r="C298" s="248" t="s">
        <v>2691</v>
      </c>
      <c r="D298" s="248" t="s">
        <v>2988</v>
      </c>
      <c r="E298" s="248" t="s">
        <v>3160</v>
      </c>
      <c r="F298" s="248" t="s">
        <v>2695</v>
      </c>
      <c r="G298" s="248" t="s">
        <v>2490</v>
      </c>
      <c r="H298" s="249" t="s">
        <v>3162</v>
      </c>
      <c r="I298" s="249" t="s">
        <v>2710</v>
      </c>
      <c r="J298" s="248" t="s">
        <v>2711</v>
      </c>
      <c r="K298" s="249" t="s">
        <v>3081</v>
      </c>
      <c r="L298" s="249" t="s">
        <v>2762</v>
      </c>
      <c r="M298" s="248" t="s">
        <v>2999</v>
      </c>
      <c r="N298" s="293"/>
      <c r="O298" s="293" t="str">
        <f>TablaPOA[[#This Row],[Cod_Sub_acción_especifica]]&amp;"_"&amp;TablaPOA[[#This Row],[Tipo de agente]]</f>
        <v>K31.2.2.3_EVP combustibles de uso automotor</v>
      </c>
      <c r="P298" s="250" t="s">
        <v>2882</v>
      </c>
      <c r="Q298" s="292" t="str">
        <f>TablaPOA[[#This Row],[Cod_Sub_acción_especifica]]&amp;"_"&amp;TablaPOA[[#This Row],[Cod_Tipo_agente]]</f>
        <v>K31.2.2.3_TA6</v>
      </c>
      <c r="R298" s="250" t="s">
        <v>2883</v>
      </c>
      <c r="S298" s="251" t="s">
        <v>2884</v>
      </c>
      <c r="T298" s="269" t="s">
        <v>2885</v>
      </c>
    </row>
    <row r="299" spans="1:20" ht="25.5" x14ac:dyDescent="0.25">
      <c r="A299" s="268" t="s">
        <v>2314</v>
      </c>
      <c r="B299" s="248">
        <v>31</v>
      </c>
      <c r="C299" s="248" t="s">
        <v>2691</v>
      </c>
      <c r="D299" s="248" t="s">
        <v>2988</v>
      </c>
      <c r="E299" s="248" t="s">
        <v>3160</v>
      </c>
      <c r="F299" s="248" t="s">
        <v>2695</v>
      </c>
      <c r="G299" s="248" t="s">
        <v>2490</v>
      </c>
      <c r="H299" s="249" t="s">
        <v>3162</v>
      </c>
      <c r="I299" s="249" t="s">
        <v>2710</v>
      </c>
      <c r="J299" s="248" t="s">
        <v>2711</v>
      </c>
      <c r="K299" s="249" t="s">
        <v>3081</v>
      </c>
      <c r="L299" s="249" t="s">
        <v>2762</v>
      </c>
      <c r="M299" s="248" t="s">
        <v>2999</v>
      </c>
      <c r="N299" s="293"/>
      <c r="O299" s="293" t="str">
        <f>TablaPOA[[#This Row],[Cod_Sub_acción_especifica]]&amp;"_"&amp;TablaPOA[[#This Row],[Tipo de agente]]</f>
        <v>K31.2.2.3_EVP combustibles de uso automotor</v>
      </c>
      <c r="P299" s="250" t="s">
        <v>2882</v>
      </c>
      <c r="Q299" s="292" t="str">
        <f>TablaPOA[[#This Row],[Cod_Sub_acción_especifica]]&amp;"_"&amp;TablaPOA[[#This Row],[Cod_Tipo_agente]]</f>
        <v>K31.2.2.3_TA6</v>
      </c>
      <c r="R299" s="250" t="s">
        <v>2883</v>
      </c>
      <c r="S299" s="251" t="s">
        <v>2894</v>
      </c>
      <c r="T299" s="269" t="s">
        <v>2895</v>
      </c>
    </row>
    <row r="300" spans="1:20" ht="25.5" x14ac:dyDescent="0.25">
      <c r="A300" s="268" t="s">
        <v>2314</v>
      </c>
      <c r="B300" s="248">
        <v>31</v>
      </c>
      <c r="C300" s="248" t="s">
        <v>2691</v>
      </c>
      <c r="D300" s="248" t="s">
        <v>2988</v>
      </c>
      <c r="E300" s="248" t="s">
        <v>3160</v>
      </c>
      <c r="F300" s="248" t="s">
        <v>2695</v>
      </c>
      <c r="G300" s="248" t="s">
        <v>2490</v>
      </c>
      <c r="H300" s="249" t="s">
        <v>3162</v>
      </c>
      <c r="I300" s="249" t="s">
        <v>2710</v>
      </c>
      <c r="J300" s="248" t="s">
        <v>2711</v>
      </c>
      <c r="K300" s="249" t="s">
        <v>3081</v>
      </c>
      <c r="L300" s="249" t="s">
        <v>2762</v>
      </c>
      <c r="M300" s="248" t="s">
        <v>2999</v>
      </c>
      <c r="N300" s="293"/>
      <c r="O300" s="293" t="str">
        <f>TablaPOA[[#This Row],[Cod_Sub_acción_especifica]]&amp;"_"&amp;TablaPOA[[#This Row],[Tipo de agente]]</f>
        <v>K31.2.2.3_EVP combustibles de uso automotor</v>
      </c>
      <c r="P300" s="250" t="s">
        <v>2882</v>
      </c>
      <c r="Q300" s="292" t="str">
        <f>TablaPOA[[#This Row],[Cod_Sub_acción_especifica]]&amp;"_"&amp;TablaPOA[[#This Row],[Cod_Tipo_agente]]</f>
        <v>K31.2.2.3_TA6</v>
      </c>
      <c r="R300" s="250" t="s">
        <v>2883</v>
      </c>
      <c r="S300" s="251" t="s">
        <v>2896</v>
      </c>
      <c r="T300" s="269" t="s">
        <v>2897</v>
      </c>
    </row>
    <row r="301" spans="1:20" ht="25.5" x14ac:dyDescent="0.25">
      <c r="A301" s="268" t="s">
        <v>2314</v>
      </c>
      <c r="B301" s="248">
        <v>31</v>
      </c>
      <c r="C301" s="248" t="s">
        <v>2691</v>
      </c>
      <c r="D301" s="248" t="s">
        <v>2988</v>
      </c>
      <c r="E301" s="248" t="s">
        <v>3160</v>
      </c>
      <c r="F301" s="248" t="s">
        <v>2695</v>
      </c>
      <c r="G301" s="248" t="s">
        <v>2490</v>
      </c>
      <c r="H301" s="249" t="s">
        <v>3162</v>
      </c>
      <c r="I301" s="249" t="s">
        <v>2710</v>
      </c>
      <c r="J301" s="248" t="s">
        <v>2711</v>
      </c>
      <c r="K301" s="249" t="s">
        <v>3081</v>
      </c>
      <c r="L301" s="249" t="s">
        <v>2762</v>
      </c>
      <c r="M301" s="248" t="s">
        <v>2999</v>
      </c>
      <c r="N301" s="293"/>
      <c r="O301" s="293" t="str">
        <f>TablaPOA[[#This Row],[Cod_Sub_acción_especifica]]&amp;"_"&amp;TablaPOA[[#This Row],[Tipo de agente]]</f>
        <v>K31.2.2.3_EVP combustibles de uso automotor</v>
      </c>
      <c r="P301" s="250" t="s">
        <v>2882</v>
      </c>
      <c r="Q301" s="292" t="str">
        <f>TablaPOA[[#This Row],[Cod_Sub_acción_especifica]]&amp;"_"&amp;TablaPOA[[#This Row],[Cod_Tipo_agente]]</f>
        <v>K31.2.2.3_TA6</v>
      </c>
      <c r="R301" s="250" t="s">
        <v>2883</v>
      </c>
      <c r="S301" s="251" t="s">
        <v>2898</v>
      </c>
      <c r="T301" s="269" t="s">
        <v>2899</v>
      </c>
    </row>
    <row r="302" spans="1:20" ht="25.5" x14ac:dyDescent="0.25">
      <c r="A302" s="268" t="s">
        <v>2314</v>
      </c>
      <c r="B302" s="248">
        <v>31</v>
      </c>
      <c r="C302" s="248" t="s">
        <v>2691</v>
      </c>
      <c r="D302" s="248" t="s">
        <v>2988</v>
      </c>
      <c r="E302" s="248" t="s">
        <v>3160</v>
      </c>
      <c r="F302" s="248" t="s">
        <v>2695</v>
      </c>
      <c r="G302" s="248" t="s">
        <v>2490</v>
      </c>
      <c r="H302" s="249" t="s">
        <v>3162</v>
      </c>
      <c r="I302" s="249" t="s">
        <v>2710</v>
      </c>
      <c r="J302" s="248" t="s">
        <v>2711</v>
      </c>
      <c r="K302" s="249" t="s">
        <v>3081</v>
      </c>
      <c r="L302" s="249" t="s">
        <v>2762</v>
      </c>
      <c r="M302" s="248" t="s">
        <v>2999</v>
      </c>
      <c r="N302" s="293"/>
      <c r="O302" s="293" t="str">
        <f>TablaPOA[[#This Row],[Cod_Sub_acción_especifica]]&amp;"_"&amp;TablaPOA[[#This Row],[Tipo de agente]]</f>
        <v>K31.2.2.3_EVP combustibles de uso automotor</v>
      </c>
      <c r="P302" s="250" t="s">
        <v>2882</v>
      </c>
      <c r="Q302" s="292" t="str">
        <f>TablaPOA[[#This Row],[Cod_Sub_acción_especifica]]&amp;"_"&amp;TablaPOA[[#This Row],[Cod_Tipo_agente]]</f>
        <v>K31.2.2.3_TA6</v>
      </c>
      <c r="R302" s="250" t="s">
        <v>2883</v>
      </c>
      <c r="S302" s="251" t="s">
        <v>2900</v>
      </c>
      <c r="T302" s="269" t="s">
        <v>2901</v>
      </c>
    </row>
    <row r="303" spans="1:20" ht="38.25" x14ac:dyDescent="0.25">
      <c r="A303" s="268" t="s">
        <v>2314</v>
      </c>
      <c r="B303" s="248">
        <v>31</v>
      </c>
      <c r="C303" s="248" t="s">
        <v>2691</v>
      </c>
      <c r="D303" s="248" t="s">
        <v>2988</v>
      </c>
      <c r="E303" s="248" t="s">
        <v>3160</v>
      </c>
      <c r="F303" s="248" t="s">
        <v>2695</v>
      </c>
      <c r="G303" s="248" t="s">
        <v>2490</v>
      </c>
      <c r="H303" s="249" t="s">
        <v>3162</v>
      </c>
      <c r="I303" s="249" t="s">
        <v>2710</v>
      </c>
      <c r="J303" s="248" t="s">
        <v>2711</v>
      </c>
      <c r="K303" s="249" t="s">
        <v>3081</v>
      </c>
      <c r="L303" s="249" t="s">
        <v>2762</v>
      </c>
      <c r="M303" s="248" t="s">
        <v>2999</v>
      </c>
      <c r="N303" s="293"/>
      <c r="O303" s="293" t="str">
        <f>TablaPOA[[#This Row],[Cod_Sub_acción_especifica]]&amp;"_"&amp;TablaPOA[[#This Row],[Tipo de agente]]</f>
        <v>K31.2.2.3_Instalaciones de compresión, transferencia y descompresión de gas natural</v>
      </c>
      <c r="P303" s="250" t="s">
        <v>2902</v>
      </c>
      <c r="Q303" s="292" t="str">
        <f>TablaPOA[[#This Row],[Cod_Sub_acción_especifica]]&amp;"_"&amp;TablaPOA[[#This Row],[Cod_Tipo_agente]]</f>
        <v>K31.2.2.3_TA7</v>
      </c>
      <c r="R303" s="250" t="s">
        <v>2903</v>
      </c>
      <c r="S303" s="252">
        <v>607</v>
      </c>
      <c r="T303" s="274" t="s">
        <v>2905</v>
      </c>
    </row>
    <row r="304" spans="1:20" ht="38.25" x14ac:dyDescent="0.25">
      <c r="A304" s="268" t="s">
        <v>2314</v>
      </c>
      <c r="B304" s="248">
        <v>31</v>
      </c>
      <c r="C304" s="248" t="s">
        <v>2691</v>
      </c>
      <c r="D304" s="248" t="s">
        <v>2988</v>
      </c>
      <c r="E304" s="248" t="s">
        <v>3160</v>
      </c>
      <c r="F304" s="248" t="s">
        <v>2695</v>
      </c>
      <c r="G304" s="248" t="s">
        <v>2490</v>
      </c>
      <c r="H304" s="249" t="s">
        <v>3162</v>
      </c>
      <c r="I304" s="249" t="s">
        <v>2710</v>
      </c>
      <c r="J304" s="248" t="s">
        <v>2711</v>
      </c>
      <c r="K304" s="249" t="s">
        <v>3081</v>
      </c>
      <c r="L304" s="249" t="s">
        <v>2762</v>
      </c>
      <c r="M304" s="248" t="s">
        <v>2999</v>
      </c>
      <c r="N304" s="293"/>
      <c r="O304" s="293" t="str">
        <f>TablaPOA[[#This Row],[Cod_Sub_acción_especifica]]&amp;"_"&amp;TablaPOA[[#This Row],[Tipo de agente]]</f>
        <v>K31.2.2.3_Instalaciones de compresión, transferencia y descompresión de gas natural</v>
      </c>
      <c r="P304" s="250" t="s">
        <v>2902</v>
      </c>
      <c r="Q304" s="292" t="str">
        <f>TablaPOA[[#This Row],[Cod_Sub_acción_especifica]]&amp;"_"&amp;TablaPOA[[#This Row],[Cod_Tipo_agente]]</f>
        <v>K31.2.2.3_TA7</v>
      </c>
      <c r="R304" s="250" t="s">
        <v>2903</v>
      </c>
      <c r="S304" s="252" t="s">
        <v>2906</v>
      </c>
      <c r="T304" s="274" t="s">
        <v>2907</v>
      </c>
    </row>
    <row r="305" spans="1:20" ht="38.25" x14ac:dyDescent="0.25">
      <c r="A305" s="268" t="s">
        <v>2314</v>
      </c>
      <c r="B305" s="248">
        <v>31</v>
      </c>
      <c r="C305" s="248" t="s">
        <v>2691</v>
      </c>
      <c r="D305" s="248" t="s">
        <v>2988</v>
      </c>
      <c r="E305" s="248" t="s">
        <v>3160</v>
      </c>
      <c r="F305" s="248" t="s">
        <v>2695</v>
      </c>
      <c r="G305" s="248" t="s">
        <v>2490</v>
      </c>
      <c r="H305" s="249" t="s">
        <v>3162</v>
      </c>
      <c r="I305" s="249" t="s">
        <v>2710</v>
      </c>
      <c r="J305" s="248" t="s">
        <v>2711</v>
      </c>
      <c r="K305" s="249" t="s">
        <v>3081</v>
      </c>
      <c r="L305" s="249" t="s">
        <v>2762</v>
      </c>
      <c r="M305" s="248" t="s">
        <v>2999</v>
      </c>
      <c r="N305" s="293"/>
      <c r="O305" s="293" t="str">
        <f>TablaPOA[[#This Row],[Cod_Sub_acción_especifica]]&amp;"_"&amp;TablaPOA[[#This Row],[Tipo de agente]]</f>
        <v>K31.2.2.3_Instalaciones de compresión, transferencia y descompresión de gas natural</v>
      </c>
      <c r="P305" s="250" t="s">
        <v>2902</v>
      </c>
      <c r="Q305" s="292" t="str">
        <f>TablaPOA[[#This Row],[Cod_Sub_acción_especifica]]&amp;"_"&amp;TablaPOA[[#This Row],[Cod_Tipo_agente]]</f>
        <v>K31.2.2.3_TA7</v>
      </c>
      <c r="R305" s="250" t="s">
        <v>2903</v>
      </c>
      <c r="S305" s="252" t="s">
        <v>2908</v>
      </c>
      <c r="T305" s="274" t="s">
        <v>2909</v>
      </c>
    </row>
    <row r="306" spans="1:20" ht="38.25" x14ac:dyDescent="0.25">
      <c r="A306" s="268" t="s">
        <v>2314</v>
      </c>
      <c r="B306" s="248">
        <v>31</v>
      </c>
      <c r="C306" s="248" t="s">
        <v>2691</v>
      </c>
      <c r="D306" s="248" t="s">
        <v>2988</v>
      </c>
      <c r="E306" s="248" t="s">
        <v>3160</v>
      </c>
      <c r="F306" s="248" t="s">
        <v>2695</v>
      </c>
      <c r="G306" s="248" t="s">
        <v>2490</v>
      </c>
      <c r="H306" s="249" t="s">
        <v>3162</v>
      </c>
      <c r="I306" s="249" t="s">
        <v>2710</v>
      </c>
      <c r="J306" s="248" t="s">
        <v>2711</v>
      </c>
      <c r="K306" s="249" t="s">
        <v>3081</v>
      </c>
      <c r="L306" s="249" t="s">
        <v>2762</v>
      </c>
      <c r="M306" s="248" t="s">
        <v>2999</v>
      </c>
      <c r="N306" s="293"/>
      <c r="O306" s="293" t="str">
        <f>TablaPOA[[#This Row],[Cod_Sub_acción_especifica]]&amp;"_"&amp;TablaPOA[[#This Row],[Tipo de agente]]</f>
        <v>K31.2.2.3_Instalaciones de compresión, transferencia y descompresión de gas natural</v>
      </c>
      <c r="P306" s="250" t="s">
        <v>2902</v>
      </c>
      <c r="Q306" s="292" t="str">
        <f>TablaPOA[[#This Row],[Cod_Sub_acción_especifica]]&amp;"_"&amp;TablaPOA[[#This Row],[Cod_Tipo_agente]]</f>
        <v>K31.2.2.3_TA7</v>
      </c>
      <c r="R306" s="250" t="s">
        <v>2903</v>
      </c>
      <c r="S306" s="252" t="s">
        <v>2910</v>
      </c>
      <c r="T306" s="274" t="s">
        <v>2911</v>
      </c>
    </row>
    <row r="307" spans="1:20" ht="25.5" x14ac:dyDescent="0.25">
      <c r="A307" s="219" t="s">
        <v>2314</v>
      </c>
      <c r="B307" s="227">
        <v>31</v>
      </c>
      <c r="C307" s="227" t="s">
        <v>2691</v>
      </c>
      <c r="D307" s="227" t="s">
        <v>2988</v>
      </c>
      <c r="E307" s="227" t="s">
        <v>3160</v>
      </c>
      <c r="F307" s="227" t="s">
        <v>2695</v>
      </c>
      <c r="G307" s="227" t="s">
        <v>2490</v>
      </c>
      <c r="H307" s="253" t="s">
        <v>3162</v>
      </c>
      <c r="I307" s="253" t="s">
        <v>2710</v>
      </c>
      <c r="J307" s="227" t="s">
        <v>2711</v>
      </c>
      <c r="K307" s="253" t="s">
        <v>3082</v>
      </c>
      <c r="L307" s="253" t="s">
        <v>2763</v>
      </c>
      <c r="M307" s="227" t="s">
        <v>3000</v>
      </c>
      <c r="N307" s="299" t="s">
        <v>2831</v>
      </c>
      <c r="O307" s="292" t="str">
        <f>TablaPOA[[#This Row],[Cod_Sub_acción_especifica]]&amp;"_"&amp;TablaPOA[[#This Row],[Tipo de agente]]</f>
        <v>K31.2.2.4_Consumidores directos de gas natural</v>
      </c>
      <c r="P307" s="254" t="s">
        <v>2830</v>
      </c>
      <c r="Q307" s="292" t="str">
        <f>TablaPOA[[#This Row],[Cod_Sub_acción_especifica]]&amp;"_"&amp;TablaPOA[[#This Row],[Cod_Tipo_agente]]</f>
        <v>K31.2.2.4_TA2</v>
      </c>
      <c r="R307" s="254" t="s">
        <v>2831</v>
      </c>
      <c r="S307" s="254">
        <v>101</v>
      </c>
      <c r="T307" s="271" t="s">
        <v>2832</v>
      </c>
    </row>
    <row r="308" spans="1:20" ht="25.5" x14ac:dyDescent="0.25">
      <c r="A308" s="219" t="s">
        <v>2314</v>
      </c>
      <c r="B308" s="227">
        <v>31</v>
      </c>
      <c r="C308" s="227" t="s">
        <v>2691</v>
      </c>
      <c r="D308" s="227" t="s">
        <v>2988</v>
      </c>
      <c r="E308" s="227" t="s">
        <v>3160</v>
      </c>
      <c r="F308" s="227" t="s">
        <v>2695</v>
      </c>
      <c r="G308" s="227" t="s">
        <v>2490</v>
      </c>
      <c r="H308" s="253" t="s">
        <v>3162</v>
      </c>
      <c r="I308" s="253" t="s">
        <v>2710</v>
      </c>
      <c r="J308" s="227" t="s">
        <v>2711</v>
      </c>
      <c r="K308" s="253" t="s">
        <v>3082</v>
      </c>
      <c r="L308" s="253" t="s">
        <v>2763</v>
      </c>
      <c r="M308" s="227" t="s">
        <v>3000</v>
      </c>
      <c r="N308" s="299" t="s">
        <v>2883</v>
      </c>
      <c r="O308" s="292" t="str">
        <f>TablaPOA[[#This Row],[Cod_Sub_acción_especifica]]&amp;"_"&amp;TablaPOA[[#This Row],[Tipo de agente]]</f>
        <v>K31.2.2.4_Consumidores directos de gas natural</v>
      </c>
      <c r="P308" s="254" t="s">
        <v>2830</v>
      </c>
      <c r="Q308" s="292" t="str">
        <f>TablaPOA[[#This Row],[Cod_Sub_acción_especifica]]&amp;"_"&amp;TablaPOA[[#This Row],[Cod_Tipo_agente]]</f>
        <v>K31.2.2.4_TA2</v>
      </c>
      <c r="R308" s="254" t="s">
        <v>2831</v>
      </c>
      <c r="S308" s="254" t="s">
        <v>2833</v>
      </c>
      <c r="T308" s="271" t="s">
        <v>2834</v>
      </c>
    </row>
    <row r="309" spans="1:20" ht="25.5" x14ac:dyDescent="0.25">
      <c r="A309" s="219" t="s">
        <v>2314</v>
      </c>
      <c r="B309" s="227">
        <v>31</v>
      </c>
      <c r="C309" s="227" t="s">
        <v>2691</v>
      </c>
      <c r="D309" s="227" t="s">
        <v>2988</v>
      </c>
      <c r="E309" s="227" t="s">
        <v>3160</v>
      </c>
      <c r="F309" s="227" t="s">
        <v>2695</v>
      </c>
      <c r="G309" s="227" t="s">
        <v>2490</v>
      </c>
      <c r="H309" s="253" t="s">
        <v>3162</v>
      </c>
      <c r="I309" s="253" t="s">
        <v>2710</v>
      </c>
      <c r="J309" s="227" t="s">
        <v>2711</v>
      </c>
      <c r="K309" s="253" t="s">
        <v>3082</v>
      </c>
      <c r="L309" s="253" t="s">
        <v>2763</v>
      </c>
      <c r="M309" s="227" t="s">
        <v>3000</v>
      </c>
      <c r="N309" s="299" t="s">
        <v>2903</v>
      </c>
      <c r="O309" s="292" t="str">
        <f>TablaPOA[[#This Row],[Cod_Sub_acción_especifica]]&amp;"_"&amp;TablaPOA[[#This Row],[Tipo de agente]]</f>
        <v>K31.2.2.4_Consumidores directos de gas natural</v>
      </c>
      <c r="P309" s="254" t="s">
        <v>2830</v>
      </c>
      <c r="Q309" s="292" t="str">
        <f>TablaPOA[[#This Row],[Cod_Sub_acción_especifica]]&amp;"_"&amp;TablaPOA[[#This Row],[Cod_Tipo_agente]]</f>
        <v>K31.2.2.4_TA2</v>
      </c>
      <c r="R309" s="254" t="s">
        <v>2831</v>
      </c>
      <c r="S309" s="254" t="s">
        <v>2835</v>
      </c>
      <c r="T309" s="271" t="s">
        <v>2836</v>
      </c>
    </row>
    <row r="310" spans="1:20" ht="25.5" x14ac:dyDescent="0.25">
      <c r="A310" s="219" t="s">
        <v>2314</v>
      </c>
      <c r="B310" s="227">
        <v>31</v>
      </c>
      <c r="C310" s="227" t="s">
        <v>2691</v>
      </c>
      <c r="D310" s="227" t="s">
        <v>2988</v>
      </c>
      <c r="E310" s="227" t="s">
        <v>3160</v>
      </c>
      <c r="F310" s="227" t="s">
        <v>2695</v>
      </c>
      <c r="G310" s="227" t="s">
        <v>2490</v>
      </c>
      <c r="H310" s="253" t="s">
        <v>3162</v>
      </c>
      <c r="I310" s="253" t="s">
        <v>2710</v>
      </c>
      <c r="J310" s="227" t="s">
        <v>2711</v>
      </c>
      <c r="K310" s="253" t="s">
        <v>3082</v>
      </c>
      <c r="L310" s="253" t="s">
        <v>2763</v>
      </c>
      <c r="M310" s="227" t="s">
        <v>3000</v>
      </c>
      <c r="N310" s="293"/>
      <c r="O310" s="293" t="str">
        <f>TablaPOA[[#This Row],[Cod_Sub_acción_especifica]]&amp;"_"&amp;TablaPOA[[#This Row],[Tipo de agente]]</f>
        <v>K31.2.2.4_Consumidores directos de gas natural</v>
      </c>
      <c r="P310" s="254" t="s">
        <v>2830</v>
      </c>
      <c r="Q310" s="292" t="str">
        <f>TablaPOA[[#This Row],[Cod_Sub_acción_especifica]]&amp;"_"&amp;TablaPOA[[#This Row],[Cod_Tipo_agente]]</f>
        <v>K31.2.2.4_TA2</v>
      </c>
      <c r="R310" s="254" t="s">
        <v>2831</v>
      </c>
      <c r="S310" s="254" t="s">
        <v>2837</v>
      </c>
      <c r="T310" s="271" t="s">
        <v>2838</v>
      </c>
    </row>
    <row r="311" spans="1:20" ht="25.5" x14ac:dyDescent="0.25">
      <c r="A311" s="219" t="s">
        <v>2314</v>
      </c>
      <c r="B311" s="227">
        <v>31</v>
      </c>
      <c r="C311" s="227" t="s">
        <v>2691</v>
      </c>
      <c r="D311" s="227" t="s">
        <v>2988</v>
      </c>
      <c r="E311" s="227" t="s">
        <v>3160</v>
      </c>
      <c r="F311" s="227" t="s">
        <v>2695</v>
      </c>
      <c r="G311" s="227" t="s">
        <v>2490</v>
      </c>
      <c r="H311" s="253" t="s">
        <v>3162</v>
      </c>
      <c r="I311" s="253" t="s">
        <v>2710</v>
      </c>
      <c r="J311" s="227" t="s">
        <v>2711</v>
      </c>
      <c r="K311" s="253" t="s">
        <v>3082</v>
      </c>
      <c r="L311" s="253" t="s">
        <v>2763</v>
      </c>
      <c r="M311" s="227" t="s">
        <v>3000</v>
      </c>
      <c r="N311" s="293"/>
      <c r="O311" s="293" t="str">
        <f>TablaPOA[[#This Row],[Cod_Sub_acción_especifica]]&amp;"_"&amp;TablaPOA[[#This Row],[Tipo de agente]]</f>
        <v>K31.2.2.4_EVP combustibles de uso automotor</v>
      </c>
      <c r="P311" s="254" t="s">
        <v>2882</v>
      </c>
      <c r="Q311" s="292" t="str">
        <f>TablaPOA[[#This Row],[Cod_Sub_acción_especifica]]&amp;"_"&amp;TablaPOA[[#This Row],[Cod_Tipo_agente]]</f>
        <v>K31.2.2.4_TA6</v>
      </c>
      <c r="R311" s="254" t="s">
        <v>2883</v>
      </c>
      <c r="S311" s="255" t="s">
        <v>2884</v>
      </c>
      <c r="T311" s="271" t="s">
        <v>2885</v>
      </c>
    </row>
    <row r="312" spans="1:20" ht="25.5" x14ac:dyDescent="0.25">
      <c r="A312" s="219" t="s">
        <v>2314</v>
      </c>
      <c r="B312" s="227">
        <v>31</v>
      </c>
      <c r="C312" s="227" t="s">
        <v>2691</v>
      </c>
      <c r="D312" s="227" t="s">
        <v>2988</v>
      </c>
      <c r="E312" s="227" t="s">
        <v>3160</v>
      </c>
      <c r="F312" s="227" t="s">
        <v>2695</v>
      </c>
      <c r="G312" s="227" t="s">
        <v>2490</v>
      </c>
      <c r="H312" s="253" t="s">
        <v>3162</v>
      </c>
      <c r="I312" s="253" t="s">
        <v>2710</v>
      </c>
      <c r="J312" s="227" t="s">
        <v>2711</v>
      </c>
      <c r="K312" s="253" t="s">
        <v>3082</v>
      </c>
      <c r="L312" s="253" t="s">
        <v>2763</v>
      </c>
      <c r="M312" s="227" t="s">
        <v>3000</v>
      </c>
      <c r="N312" s="293"/>
      <c r="O312" s="293" t="str">
        <f>TablaPOA[[#This Row],[Cod_Sub_acción_especifica]]&amp;"_"&amp;TablaPOA[[#This Row],[Tipo de agente]]</f>
        <v>K31.2.2.4_EVP combustibles de uso automotor</v>
      </c>
      <c r="P312" s="254" t="s">
        <v>2882</v>
      </c>
      <c r="Q312" s="292" t="str">
        <f>TablaPOA[[#This Row],[Cod_Sub_acción_especifica]]&amp;"_"&amp;TablaPOA[[#This Row],[Cod_Tipo_agente]]</f>
        <v>K31.2.2.4_TA6</v>
      </c>
      <c r="R312" s="254" t="s">
        <v>2883</v>
      </c>
      <c r="S312" s="255" t="s">
        <v>2894</v>
      </c>
      <c r="T312" s="271" t="s">
        <v>2895</v>
      </c>
    </row>
    <row r="313" spans="1:20" ht="25.5" x14ac:dyDescent="0.25">
      <c r="A313" s="219" t="s">
        <v>2314</v>
      </c>
      <c r="B313" s="227">
        <v>31</v>
      </c>
      <c r="C313" s="227" t="s">
        <v>2691</v>
      </c>
      <c r="D313" s="227" t="s">
        <v>2988</v>
      </c>
      <c r="E313" s="227" t="s">
        <v>3160</v>
      </c>
      <c r="F313" s="227" t="s">
        <v>2695</v>
      </c>
      <c r="G313" s="227" t="s">
        <v>2490</v>
      </c>
      <c r="H313" s="253" t="s">
        <v>3162</v>
      </c>
      <c r="I313" s="253" t="s">
        <v>2710</v>
      </c>
      <c r="J313" s="227" t="s">
        <v>2711</v>
      </c>
      <c r="K313" s="253" t="s">
        <v>3082</v>
      </c>
      <c r="L313" s="253" t="s">
        <v>2763</v>
      </c>
      <c r="M313" s="227" t="s">
        <v>3000</v>
      </c>
      <c r="N313" s="293"/>
      <c r="O313" s="293" t="str">
        <f>TablaPOA[[#This Row],[Cod_Sub_acción_especifica]]&amp;"_"&amp;TablaPOA[[#This Row],[Tipo de agente]]</f>
        <v>K31.2.2.4_EVP combustibles de uso automotor</v>
      </c>
      <c r="P313" s="254" t="s">
        <v>2882</v>
      </c>
      <c r="Q313" s="292" t="str">
        <f>TablaPOA[[#This Row],[Cod_Sub_acción_especifica]]&amp;"_"&amp;TablaPOA[[#This Row],[Cod_Tipo_agente]]</f>
        <v>K31.2.2.4_TA6</v>
      </c>
      <c r="R313" s="254" t="s">
        <v>2883</v>
      </c>
      <c r="S313" s="255" t="s">
        <v>2896</v>
      </c>
      <c r="T313" s="271" t="s">
        <v>2897</v>
      </c>
    </row>
    <row r="314" spans="1:20" ht="25.5" x14ac:dyDescent="0.25">
      <c r="A314" s="219" t="s">
        <v>2314</v>
      </c>
      <c r="B314" s="227">
        <v>31</v>
      </c>
      <c r="C314" s="227" t="s">
        <v>2691</v>
      </c>
      <c r="D314" s="227" t="s">
        <v>2988</v>
      </c>
      <c r="E314" s="227" t="s">
        <v>3160</v>
      </c>
      <c r="F314" s="227" t="s">
        <v>2695</v>
      </c>
      <c r="G314" s="227" t="s">
        <v>2490</v>
      </c>
      <c r="H314" s="253" t="s">
        <v>3162</v>
      </c>
      <c r="I314" s="253" t="s">
        <v>2710</v>
      </c>
      <c r="J314" s="227" t="s">
        <v>2711</v>
      </c>
      <c r="K314" s="253" t="s">
        <v>3082</v>
      </c>
      <c r="L314" s="253" t="s">
        <v>2763</v>
      </c>
      <c r="M314" s="227" t="s">
        <v>3000</v>
      </c>
      <c r="N314" s="293"/>
      <c r="O314" s="293" t="str">
        <f>TablaPOA[[#This Row],[Cod_Sub_acción_especifica]]&amp;"_"&amp;TablaPOA[[#This Row],[Tipo de agente]]</f>
        <v>K31.2.2.4_EVP combustibles de uso automotor</v>
      </c>
      <c r="P314" s="254" t="s">
        <v>2882</v>
      </c>
      <c r="Q314" s="292" t="str">
        <f>TablaPOA[[#This Row],[Cod_Sub_acción_especifica]]&amp;"_"&amp;TablaPOA[[#This Row],[Cod_Tipo_agente]]</f>
        <v>K31.2.2.4_TA6</v>
      </c>
      <c r="R314" s="254" t="s">
        <v>2883</v>
      </c>
      <c r="S314" s="255" t="s">
        <v>2898</v>
      </c>
      <c r="T314" s="271" t="s">
        <v>2899</v>
      </c>
    </row>
    <row r="315" spans="1:20" ht="25.5" x14ac:dyDescent="0.25">
      <c r="A315" s="219" t="s">
        <v>2314</v>
      </c>
      <c r="B315" s="227">
        <v>31</v>
      </c>
      <c r="C315" s="227" t="s">
        <v>2691</v>
      </c>
      <c r="D315" s="227" t="s">
        <v>2988</v>
      </c>
      <c r="E315" s="227" t="s">
        <v>3160</v>
      </c>
      <c r="F315" s="227" t="s">
        <v>2695</v>
      </c>
      <c r="G315" s="227" t="s">
        <v>2490</v>
      </c>
      <c r="H315" s="253" t="s">
        <v>3162</v>
      </c>
      <c r="I315" s="253" t="s">
        <v>2710</v>
      </c>
      <c r="J315" s="227" t="s">
        <v>2711</v>
      </c>
      <c r="K315" s="253" t="s">
        <v>3082</v>
      </c>
      <c r="L315" s="253" t="s">
        <v>2763</v>
      </c>
      <c r="M315" s="227" t="s">
        <v>3000</v>
      </c>
      <c r="N315" s="293"/>
      <c r="O315" s="293" t="str">
        <f>TablaPOA[[#This Row],[Cod_Sub_acción_especifica]]&amp;"_"&amp;TablaPOA[[#This Row],[Tipo de agente]]</f>
        <v>K31.2.2.4_EVP combustibles de uso automotor</v>
      </c>
      <c r="P315" s="254" t="s">
        <v>2882</v>
      </c>
      <c r="Q315" s="292" t="str">
        <f>TablaPOA[[#This Row],[Cod_Sub_acción_especifica]]&amp;"_"&amp;TablaPOA[[#This Row],[Cod_Tipo_agente]]</f>
        <v>K31.2.2.4_TA6</v>
      </c>
      <c r="R315" s="254" t="s">
        <v>2883</v>
      </c>
      <c r="S315" s="255" t="s">
        <v>2900</v>
      </c>
      <c r="T315" s="271" t="s">
        <v>2901</v>
      </c>
    </row>
    <row r="316" spans="1:20" ht="38.25" x14ac:dyDescent="0.25">
      <c r="A316" s="219" t="s">
        <v>2314</v>
      </c>
      <c r="B316" s="227">
        <v>31</v>
      </c>
      <c r="C316" s="227" t="s">
        <v>2691</v>
      </c>
      <c r="D316" s="227" t="s">
        <v>2988</v>
      </c>
      <c r="E316" s="227" t="s">
        <v>3160</v>
      </c>
      <c r="F316" s="227" t="s">
        <v>2695</v>
      </c>
      <c r="G316" s="227" t="s">
        <v>2490</v>
      </c>
      <c r="H316" s="253" t="s">
        <v>3162</v>
      </c>
      <c r="I316" s="253" t="s">
        <v>2710</v>
      </c>
      <c r="J316" s="227" t="s">
        <v>2711</v>
      </c>
      <c r="K316" s="253" t="s">
        <v>3082</v>
      </c>
      <c r="L316" s="253" t="s">
        <v>2763</v>
      </c>
      <c r="M316" s="227" t="s">
        <v>3000</v>
      </c>
      <c r="N316" s="293"/>
      <c r="O316" s="293" t="str">
        <f>TablaPOA[[#This Row],[Cod_Sub_acción_especifica]]&amp;"_"&amp;TablaPOA[[#This Row],[Tipo de agente]]</f>
        <v>K31.2.2.4_Instalaciones de compresión, transferencia y descompresión de gas natural</v>
      </c>
      <c r="P316" s="254" t="s">
        <v>2902</v>
      </c>
      <c r="Q316" s="292" t="str">
        <f>TablaPOA[[#This Row],[Cod_Sub_acción_especifica]]&amp;"_"&amp;TablaPOA[[#This Row],[Cod_Tipo_agente]]</f>
        <v>K31.2.2.4_TA7</v>
      </c>
      <c r="R316" s="254" t="s">
        <v>2903</v>
      </c>
      <c r="S316" s="260">
        <v>607</v>
      </c>
      <c r="T316" s="275" t="s">
        <v>2905</v>
      </c>
    </row>
    <row r="317" spans="1:20" ht="38.25" x14ac:dyDescent="0.25">
      <c r="A317" s="219" t="s">
        <v>2314</v>
      </c>
      <c r="B317" s="227">
        <v>31</v>
      </c>
      <c r="C317" s="227" t="s">
        <v>2691</v>
      </c>
      <c r="D317" s="227" t="s">
        <v>2988</v>
      </c>
      <c r="E317" s="227" t="s">
        <v>3160</v>
      </c>
      <c r="F317" s="227" t="s">
        <v>2695</v>
      </c>
      <c r="G317" s="227" t="s">
        <v>2490</v>
      </c>
      <c r="H317" s="253" t="s">
        <v>3162</v>
      </c>
      <c r="I317" s="253" t="s">
        <v>2710</v>
      </c>
      <c r="J317" s="227" t="s">
        <v>2711</v>
      </c>
      <c r="K317" s="253" t="s">
        <v>3082</v>
      </c>
      <c r="L317" s="253" t="s">
        <v>2763</v>
      </c>
      <c r="M317" s="227" t="s">
        <v>3000</v>
      </c>
      <c r="N317" s="293"/>
      <c r="O317" s="293" t="str">
        <f>TablaPOA[[#This Row],[Cod_Sub_acción_especifica]]&amp;"_"&amp;TablaPOA[[#This Row],[Tipo de agente]]</f>
        <v>K31.2.2.4_Instalaciones de compresión, transferencia y descompresión de gas natural</v>
      </c>
      <c r="P317" s="254" t="s">
        <v>2902</v>
      </c>
      <c r="Q317" s="292" t="str">
        <f>TablaPOA[[#This Row],[Cod_Sub_acción_especifica]]&amp;"_"&amp;TablaPOA[[#This Row],[Cod_Tipo_agente]]</f>
        <v>K31.2.2.4_TA7</v>
      </c>
      <c r="R317" s="254" t="s">
        <v>2903</v>
      </c>
      <c r="S317" s="260" t="s">
        <v>2906</v>
      </c>
      <c r="T317" s="275" t="s">
        <v>2907</v>
      </c>
    </row>
    <row r="318" spans="1:20" ht="38.25" x14ac:dyDescent="0.25">
      <c r="A318" s="219" t="s">
        <v>2314</v>
      </c>
      <c r="B318" s="227">
        <v>31</v>
      </c>
      <c r="C318" s="227" t="s">
        <v>2691</v>
      </c>
      <c r="D318" s="227" t="s">
        <v>2988</v>
      </c>
      <c r="E318" s="227" t="s">
        <v>3160</v>
      </c>
      <c r="F318" s="227" t="s">
        <v>2695</v>
      </c>
      <c r="G318" s="227" t="s">
        <v>2490</v>
      </c>
      <c r="H318" s="253" t="s">
        <v>3162</v>
      </c>
      <c r="I318" s="253" t="s">
        <v>2710</v>
      </c>
      <c r="J318" s="227" t="s">
        <v>2711</v>
      </c>
      <c r="K318" s="253" t="s">
        <v>3082</v>
      </c>
      <c r="L318" s="253" t="s">
        <v>2763</v>
      </c>
      <c r="M318" s="227" t="s">
        <v>3000</v>
      </c>
      <c r="N318" s="293"/>
      <c r="O318" s="293" t="str">
        <f>TablaPOA[[#This Row],[Cod_Sub_acción_especifica]]&amp;"_"&amp;TablaPOA[[#This Row],[Tipo de agente]]</f>
        <v>K31.2.2.4_Instalaciones de compresión, transferencia y descompresión de gas natural</v>
      </c>
      <c r="P318" s="254" t="s">
        <v>2902</v>
      </c>
      <c r="Q318" s="292" t="str">
        <f>TablaPOA[[#This Row],[Cod_Sub_acción_especifica]]&amp;"_"&amp;TablaPOA[[#This Row],[Cod_Tipo_agente]]</f>
        <v>K31.2.2.4_TA7</v>
      </c>
      <c r="R318" s="254" t="s">
        <v>2903</v>
      </c>
      <c r="S318" s="260" t="s">
        <v>2908</v>
      </c>
      <c r="T318" s="275" t="s">
        <v>2909</v>
      </c>
    </row>
    <row r="319" spans="1:20" ht="38.25" x14ac:dyDescent="0.25">
      <c r="A319" s="219" t="s">
        <v>2314</v>
      </c>
      <c r="B319" s="227">
        <v>31</v>
      </c>
      <c r="C319" s="227" t="s">
        <v>2691</v>
      </c>
      <c r="D319" s="227" t="s">
        <v>2988</v>
      </c>
      <c r="E319" s="227" t="s">
        <v>3160</v>
      </c>
      <c r="F319" s="227" t="s">
        <v>2695</v>
      </c>
      <c r="G319" s="227" t="s">
        <v>2490</v>
      </c>
      <c r="H319" s="253" t="s">
        <v>3162</v>
      </c>
      <c r="I319" s="253" t="s">
        <v>2710</v>
      </c>
      <c r="J319" s="227" t="s">
        <v>2711</v>
      </c>
      <c r="K319" s="253" t="s">
        <v>3082</v>
      </c>
      <c r="L319" s="253" t="s">
        <v>2763</v>
      </c>
      <c r="M319" s="227" t="s">
        <v>3000</v>
      </c>
      <c r="N319" s="293"/>
      <c r="O319" s="293" t="str">
        <f>TablaPOA[[#This Row],[Cod_Sub_acción_especifica]]&amp;"_"&amp;TablaPOA[[#This Row],[Tipo de agente]]</f>
        <v>K31.2.2.4_Instalaciones de compresión, transferencia y descompresión de gas natural</v>
      </c>
      <c r="P319" s="254" t="s">
        <v>2902</v>
      </c>
      <c r="Q319" s="292" t="str">
        <f>TablaPOA[[#This Row],[Cod_Sub_acción_especifica]]&amp;"_"&amp;TablaPOA[[#This Row],[Cod_Tipo_agente]]</f>
        <v>K31.2.2.4_TA7</v>
      </c>
      <c r="R319" s="254" t="s">
        <v>2903</v>
      </c>
      <c r="S319" s="260" t="s">
        <v>2910</v>
      </c>
      <c r="T319" s="275" t="s">
        <v>2911</v>
      </c>
    </row>
    <row r="320" spans="1:20" ht="25.5" x14ac:dyDescent="0.25">
      <c r="A320" s="268" t="s">
        <v>2314</v>
      </c>
      <c r="B320" s="248">
        <v>31</v>
      </c>
      <c r="C320" s="248" t="s">
        <v>2691</v>
      </c>
      <c r="D320" s="248" t="s">
        <v>2988</v>
      </c>
      <c r="E320" s="248" t="s">
        <v>3160</v>
      </c>
      <c r="F320" s="248" t="s">
        <v>2695</v>
      </c>
      <c r="G320" s="248" t="s">
        <v>2490</v>
      </c>
      <c r="H320" s="249" t="s">
        <v>3162</v>
      </c>
      <c r="I320" s="249" t="s">
        <v>2710</v>
      </c>
      <c r="J320" s="248" t="s">
        <v>2711</v>
      </c>
      <c r="K320" s="249" t="s">
        <v>3083</v>
      </c>
      <c r="L320" s="249" t="s">
        <v>2764</v>
      </c>
      <c r="M320" s="248" t="s">
        <v>3001</v>
      </c>
      <c r="N320" s="299" t="s">
        <v>2831</v>
      </c>
      <c r="O320" s="292" t="str">
        <f>TablaPOA[[#This Row],[Cod_Sub_acción_especifica]]&amp;"_"&amp;TablaPOA[[#This Row],[Tipo de agente]]</f>
        <v>K31.2.2.5_Consumidores directos de gas natural</v>
      </c>
      <c r="P320" s="250" t="s">
        <v>2830</v>
      </c>
      <c r="Q320" s="292" t="str">
        <f>TablaPOA[[#This Row],[Cod_Sub_acción_especifica]]&amp;"_"&amp;TablaPOA[[#This Row],[Cod_Tipo_agente]]</f>
        <v>K31.2.2.5_TA2</v>
      </c>
      <c r="R320" s="250" t="s">
        <v>2831</v>
      </c>
      <c r="S320" s="250">
        <v>101</v>
      </c>
      <c r="T320" s="269" t="s">
        <v>2832</v>
      </c>
    </row>
    <row r="321" spans="1:20" ht="25.5" x14ac:dyDescent="0.25">
      <c r="A321" s="268" t="s">
        <v>2314</v>
      </c>
      <c r="B321" s="248">
        <v>31</v>
      </c>
      <c r="C321" s="248" t="s">
        <v>2691</v>
      </c>
      <c r="D321" s="248" t="s">
        <v>2988</v>
      </c>
      <c r="E321" s="248" t="s">
        <v>3160</v>
      </c>
      <c r="F321" s="248" t="s">
        <v>2695</v>
      </c>
      <c r="G321" s="248" t="s">
        <v>2490</v>
      </c>
      <c r="H321" s="249" t="s">
        <v>3162</v>
      </c>
      <c r="I321" s="249" t="s">
        <v>2710</v>
      </c>
      <c r="J321" s="248" t="s">
        <v>2711</v>
      </c>
      <c r="K321" s="249" t="s">
        <v>3083</v>
      </c>
      <c r="L321" s="249" t="s">
        <v>2764</v>
      </c>
      <c r="M321" s="248" t="s">
        <v>3001</v>
      </c>
      <c r="N321" s="299" t="s">
        <v>2883</v>
      </c>
      <c r="O321" s="292" t="str">
        <f>TablaPOA[[#This Row],[Cod_Sub_acción_especifica]]&amp;"_"&amp;TablaPOA[[#This Row],[Tipo de agente]]</f>
        <v>K31.2.2.5_Consumidores directos de gas natural</v>
      </c>
      <c r="P321" s="250" t="s">
        <v>2830</v>
      </c>
      <c r="Q321" s="292" t="str">
        <f>TablaPOA[[#This Row],[Cod_Sub_acción_especifica]]&amp;"_"&amp;TablaPOA[[#This Row],[Cod_Tipo_agente]]</f>
        <v>K31.2.2.5_TA2</v>
      </c>
      <c r="R321" s="250" t="s">
        <v>2831</v>
      </c>
      <c r="S321" s="250" t="s">
        <v>2833</v>
      </c>
      <c r="T321" s="269" t="s">
        <v>2834</v>
      </c>
    </row>
    <row r="322" spans="1:20" ht="25.5" x14ac:dyDescent="0.25">
      <c r="A322" s="268" t="s">
        <v>2314</v>
      </c>
      <c r="B322" s="248">
        <v>31</v>
      </c>
      <c r="C322" s="248" t="s">
        <v>2691</v>
      </c>
      <c r="D322" s="248" t="s">
        <v>2988</v>
      </c>
      <c r="E322" s="248" t="s">
        <v>3160</v>
      </c>
      <c r="F322" s="248" t="s">
        <v>2695</v>
      </c>
      <c r="G322" s="248" t="s">
        <v>2490</v>
      </c>
      <c r="H322" s="249" t="s">
        <v>3162</v>
      </c>
      <c r="I322" s="249" t="s">
        <v>2710</v>
      </c>
      <c r="J322" s="248" t="s">
        <v>2711</v>
      </c>
      <c r="K322" s="249" t="s">
        <v>3083</v>
      </c>
      <c r="L322" s="249" t="s">
        <v>2764</v>
      </c>
      <c r="M322" s="248" t="s">
        <v>3001</v>
      </c>
      <c r="N322" s="299" t="s">
        <v>2903</v>
      </c>
      <c r="O322" s="292" t="str">
        <f>TablaPOA[[#This Row],[Cod_Sub_acción_especifica]]&amp;"_"&amp;TablaPOA[[#This Row],[Tipo de agente]]</f>
        <v>K31.2.2.5_Consumidores directos de gas natural</v>
      </c>
      <c r="P322" s="250" t="s">
        <v>2830</v>
      </c>
      <c r="Q322" s="292" t="str">
        <f>TablaPOA[[#This Row],[Cod_Sub_acción_especifica]]&amp;"_"&amp;TablaPOA[[#This Row],[Cod_Tipo_agente]]</f>
        <v>K31.2.2.5_TA2</v>
      </c>
      <c r="R322" s="250" t="s">
        <v>2831</v>
      </c>
      <c r="S322" s="250" t="s">
        <v>2835</v>
      </c>
      <c r="T322" s="269" t="s">
        <v>2836</v>
      </c>
    </row>
    <row r="323" spans="1:20" ht="25.5" x14ac:dyDescent="0.25">
      <c r="A323" s="268" t="s">
        <v>2314</v>
      </c>
      <c r="B323" s="248">
        <v>31</v>
      </c>
      <c r="C323" s="248" t="s">
        <v>2691</v>
      </c>
      <c r="D323" s="248" t="s">
        <v>2988</v>
      </c>
      <c r="E323" s="248" t="s">
        <v>3160</v>
      </c>
      <c r="F323" s="248" t="s">
        <v>2695</v>
      </c>
      <c r="G323" s="248" t="s">
        <v>2490</v>
      </c>
      <c r="H323" s="249" t="s">
        <v>3162</v>
      </c>
      <c r="I323" s="249" t="s">
        <v>2710</v>
      </c>
      <c r="J323" s="248" t="s">
        <v>2711</v>
      </c>
      <c r="K323" s="249" t="s">
        <v>3083</v>
      </c>
      <c r="L323" s="249" t="s">
        <v>2764</v>
      </c>
      <c r="M323" s="248" t="s">
        <v>3001</v>
      </c>
      <c r="N323" s="293"/>
      <c r="O323" s="293" t="str">
        <f>TablaPOA[[#This Row],[Cod_Sub_acción_especifica]]&amp;"_"&amp;TablaPOA[[#This Row],[Tipo de agente]]</f>
        <v>K31.2.2.5_Consumidores directos de gas natural</v>
      </c>
      <c r="P323" s="250" t="s">
        <v>2830</v>
      </c>
      <c r="Q323" s="292" t="str">
        <f>TablaPOA[[#This Row],[Cod_Sub_acción_especifica]]&amp;"_"&amp;TablaPOA[[#This Row],[Cod_Tipo_agente]]</f>
        <v>K31.2.2.5_TA2</v>
      </c>
      <c r="R323" s="250" t="s">
        <v>2831</v>
      </c>
      <c r="S323" s="250" t="s">
        <v>2837</v>
      </c>
      <c r="T323" s="269" t="s">
        <v>2838</v>
      </c>
    </row>
    <row r="324" spans="1:20" ht="25.5" x14ac:dyDescent="0.25">
      <c r="A324" s="268" t="s">
        <v>2314</v>
      </c>
      <c r="B324" s="248">
        <v>31</v>
      </c>
      <c r="C324" s="248" t="s">
        <v>2691</v>
      </c>
      <c r="D324" s="248" t="s">
        <v>2988</v>
      </c>
      <c r="E324" s="248" t="s">
        <v>3160</v>
      </c>
      <c r="F324" s="248" t="s">
        <v>2695</v>
      </c>
      <c r="G324" s="248" t="s">
        <v>2490</v>
      </c>
      <c r="H324" s="249" t="s">
        <v>3162</v>
      </c>
      <c r="I324" s="249" t="s">
        <v>2710</v>
      </c>
      <c r="J324" s="248" t="s">
        <v>2711</v>
      </c>
      <c r="K324" s="249" t="s">
        <v>3083</v>
      </c>
      <c r="L324" s="249" t="s">
        <v>2764</v>
      </c>
      <c r="M324" s="248" t="s">
        <v>3001</v>
      </c>
      <c r="N324" s="293"/>
      <c r="O324" s="293" t="str">
        <f>TablaPOA[[#This Row],[Cod_Sub_acción_especifica]]&amp;"_"&amp;TablaPOA[[#This Row],[Tipo de agente]]</f>
        <v>K31.2.2.5_EVP combustibles de uso automotor</v>
      </c>
      <c r="P324" s="250" t="s">
        <v>2882</v>
      </c>
      <c r="Q324" s="292" t="str">
        <f>TablaPOA[[#This Row],[Cod_Sub_acción_especifica]]&amp;"_"&amp;TablaPOA[[#This Row],[Cod_Tipo_agente]]</f>
        <v>K31.2.2.5_TA6</v>
      </c>
      <c r="R324" s="250" t="s">
        <v>2883</v>
      </c>
      <c r="S324" s="251" t="s">
        <v>2884</v>
      </c>
      <c r="T324" s="269" t="s">
        <v>2885</v>
      </c>
    </row>
    <row r="325" spans="1:20" ht="25.5" x14ac:dyDescent="0.25">
      <c r="A325" s="268" t="s">
        <v>2314</v>
      </c>
      <c r="B325" s="248">
        <v>31</v>
      </c>
      <c r="C325" s="248" t="s">
        <v>2691</v>
      </c>
      <c r="D325" s="248" t="s">
        <v>2988</v>
      </c>
      <c r="E325" s="248" t="s">
        <v>3160</v>
      </c>
      <c r="F325" s="248" t="s">
        <v>2695</v>
      </c>
      <c r="G325" s="248" t="s">
        <v>2490</v>
      </c>
      <c r="H325" s="249" t="s">
        <v>3162</v>
      </c>
      <c r="I325" s="249" t="s">
        <v>2710</v>
      </c>
      <c r="J325" s="248" t="s">
        <v>2711</v>
      </c>
      <c r="K325" s="249" t="s">
        <v>3083</v>
      </c>
      <c r="L325" s="249" t="s">
        <v>2764</v>
      </c>
      <c r="M325" s="248" t="s">
        <v>3001</v>
      </c>
      <c r="N325" s="293"/>
      <c r="O325" s="293" t="str">
        <f>TablaPOA[[#This Row],[Cod_Sub_acción_especifica]]&amp;"_"&amp;TablaPOA[[#This Row],[Tipo de agente]]</f>
        <v>K31.2.2.5_EVP combustibles de uso automotor</v>
      </c>
      <c r="P325" s="250" t="s">
        <v>2882</v>
      </c>
      <c r="Q325" s="292" t="str">
        <f>TablaPOA[[#This Row],[Cod_Sub_acción_especifica]]&amp;"_"&amp;TablaPOA[[#This Row],[Cod_Tipo_agente]]</f>
        <v>K31.2.2.5_TA6</v>
      </c>
      <c r="R325" s="250" t="s">
        <v>2883</v>
      </c>
      <c r="S325" s="251" t="s">
        <v>2894</v>
      </c>
      <c r="T325" s="269" t="s">
        <v>2895</v>
      </c>
    </row>
    <row r="326" spans="1:20" ht="25.5" x14ac:dyDescent="0.25">
      <c r="A326" s="268" t="s">
        <v>2314</v>
      </c>
      <c r="B326" s="248">
        <v>31</v>
      </c>
      <c r="C326" s="248" t="s">
        <v>2691</v>
      </c>
      <c r="D326" s="248" t="s">
        <v>2988</v>
      </c>
      <c r="E326" s="248" t="s">
        <v>3160</v>
      </c>
      <c r="F326" s="248" t="s">
        <v>2695</v>
      </c>
      <c r="G326" s="248" t="s">
        <v>2490</v>
      </c>
      <c r="H326" s="249" t="s">
        <v>3162</v>
      </c>
      <c r="I326" s="249" t="s">
        <v>2710</v>
      </c>
      <c r="J326" s="248" t="s">
        <v>2711</v>
      </c>
      <c r="K326" s="249" t="s">
        <v>3083</v>
      </c>
      <c r="L326" s="249" t="s">
        <v>2764</v>
      </c>
      <c r="M326" s="248" t="s">
        <v>3001</v>
      </c>
      <c r="N326" s="293"/>
      <c r="O326" s="293" t="str">
        <f>TablaPOA[[#This Row],[Cod_Sub_acción_especifica]]&amp;"_"&amp;TablaPOA[[#This Row],[Tipo de agente]]</f>
        <v>K31.2.2.5_EVP combustibles de uso automotor</v>
      </c>
      <c r="P326" s="250" t="s">
        <v>2882</v>
      </c>
      <c r="Q326" s="292" t="str">
        <f>TablaPOA[[#This Row],[Cod_Sub_acción_especifica]]&amp;"_"&amp;TablaPOA[[#This Row],[Cod_Tipo_agente]]</f>
        <v>K31.2.2.5_TA6</v>
      </c>
      <c r="R326" s="250" t="s">
        <v>2883</v>
      </c>
      <c r="S326" s="251" t="s">
        <v>2896</v>
      </c>
      <c r="T326" s="269" t="s">
        <v>2897</v>
      </c>
    </row>
    <row r="327" spans="1:20" ht="25.5" x14ac:dyDescent="0.25">
      <c r="A327" s="268" t="s">
        <v>2314</v>
      </c>
      <c r="B327" s="248">
        <v>31</v>
      </c>
      <c r="C327" s="248" t="s">
        <v>2691</v>
      </c>
      <c r="D327" s="248" t="s">
        <v>2988</v>
      </c>
      <c r="E327" s="248" t="s">
        <v>3160</v>
      </c>
      <c r="F327" s="248" t="s">
        <v>2695</v>
      </c>
      <c r="G327" s="248" t="s">
        <v>2490</v>
      </c>
      <c r="H327" s="249" t="s">
        <v>3162</v>
      </c>
      <c r="I327" s="249" t="s">
        <v>2710</v>
      </c>
      <c r="J327" s="248" t="s">
        <v>2711</v>
      </c>
      <c r="K327" s="249" t="s">
        <v>3083</v>
      </c>
      <c r="L327" s="249" t="s">
        <v>2764</v>
      </c>
      <c r="M327" s="248" t="s">
        <v>3001</v>
      </c>
      <c r="N327" s="293"/>
      <c r="O327" s="293" t="str">
        <f>TablaPOA[[#This Row],[Cod_Sub_acción_especifica]]&amp;"_"&amp;TablaPOA[[#This Row],[Tipo de agente]]</f>
        <v>K31.2.2.5_EVP combustibles de uso automotor</v>
      </c>
      <c r="P327" s="250" t="s">
        <v>2882</v>
      </c>
      <c r="Q327" s="292" t="str">
        <f>TablaPOA[[#This Row],[Cod_Sub_acción_especifica]]&amp;"_"&amp;TablaPOA[[#This Row],[Cod_Tipo_agente]]</f>
        <v>K31.2.2.5_TA6</v>
      </c>
      <c r="R327" s="250" t="s">
        <v>2883</v>
      </c>
      <c r="S327" s="251" t="s">
        <v>2898</v>
      </c>
      <c r="T327" s="269" t="s">
        <v>2899</v>
      </c>
    </row>
    <row r="328" spans="1:20" ht="25.5" x14ac:dyDescent="0.25">
      <c r="A328" s="268" t="s">
        <v>2314</v>
      </c>
      <c r="B328" s="248">
        <v>31</v>
      </c>
      <c r="C328" s="248" t="s">
        <v>2691</v>
      </c>
      <c r="D328" s="248" t="s">
        <v>2988</v>
      </c>
      <c r="E328" s="248" t="s">
        <v>3160</v>
      </c>
      <c r="F328" s="248" t="s">
        <v>2695</v>
      </c>
      <c r="G328" s="248" t="s">
        <v>2490</v>
      </c>
      <c r="H328" s="249" t="s">
        <v>3162</v>
      </c>
      <c r="I328" s="249" t="s">
        <v>2710</v>
      </c>
      <c r="J328" s="248" t="s">
        <v>2711</v>
      </c>
      <c r="K328" s="249" t="s">
        <v>3083</v>
      </c>
      <c r="L328" s="249" t="s">
        <v>2764</v>
      </c>
      <c r="M328" s="248" t="s">
        <v>3001</v>
      </c>
      <c r="N328" s="293"/>
      <c r="O328" s="293" t="str">
        <f>TablaPOA[[#This Row],[Cod_Sub_acción_especifica]]&amp;"_"&amp;TablaPOA[[#This Row],[Tipo de agente]]</f>
        <v>K31.2.2.5_EVP combustibles de uso automotor</v>
      </c>
      <c r="P328" s="250" t="s">
        <v>2882</v>
      </c>
      <c r="Q328" s="292" t="str">
        <f>TablaPOA[[#This Row],[Cod_Sub_acción_especifica]]&amp;"_"&amp;TablaPOA[[#This Row],[Cod_Tipo_agente]]</f>
        <v>K31.2.2.5_TA6</v>
      </c>
      <c r="R328" s="250" t="s">
        <v>2883</v>
      </c>
      <c r="S328" s="251" t="s">
        <v>2900</v>
      </c>
      <c r="T328" s="269" t="s">
        <v>2901</v>
      </c>
    </row>
    <row r="329" spans="1:20" ht="38.25" x14ac:dyDescent="0.25">
      <c r="A329" s="268" t="s">
        <v>2314</v>
      </c>
      <c r="B329" s="248">
        <v>31</v>
      </c>
      <c r="C329" s="248" t="s">
        <v>2691</v>
      </c>
      <c r="D329" s="248" t="s">
        <v>2988</v>
      </c>
      <c r="E329" s="248" t="s">
        <v>3160</v>
      </c>
      <c r="F329" s="248" t="s">
        <v>2695</v>
      </c>
      <c r="G329" s="248" t="s">
        <v>2490</v>
      </c>
      <c r="H329" s="249" t="s">
        <v>3162</v>
      </c>
      <c r="I329" s="249" t="s">
        <v>2710</v>
      </c>
      <c r="J329" s="248" t="s">
        <v>2711</v>
      </c>
      <c r="K329" s="249" t="s">
        <v>3083</v>
      </c>
      <c r="L329" s="249" t="s">
        <v>2764</v>
      </c>
      <c r="M329" s="248" t="s">
        <v>3001</v>
      </c>
      <c r="N329" s="293"/>
      <c r="O329" s="293" t="str">
        <f>TablaPOA[[#This Row],[Cod_Sub_acción_especifica]]&amp;"_"&amp;TablaPOA[[#This Row],[Tipo de agente]]</f>
        <v>K31.2.2.5_Instalaciones de compresión, transferencia y descompresión de gas natural</v>
      </c>
      <c r="P329" s="250" t="s">
        <v>2902</v>
      </c>
      <c r="Q329" s="292" t="str">
        <f>TablaPOA[[#This Row],[Cod_Sub_acción_especifica]]&amp;"_"&amp;TablaPOA[[#This Row],[Cod_Tipo_agente]]</f>
        <v>K31.2.2.5_TA7</v>
      </c>
      <c r="R329" s="250" t="s">
        <v>2903</v>
      </c>
      <c r="S329" s="252">
        <v>607</v>
      </c>
      <c r="T329" s="274" t="s">
        <v>2905</v>
      </c>
    </row>
    <row r="330" spans="1:20" ht="38.25" x14ac:dyDescent="0.25">
      <c r="A330" s="268" t="s">
        <v>2314</v>
      </c>
      <c r="B330" s="248">
        <v>31</v>
      </c>
      <c r="C330" s="248" t="s">
        <v>2691</v>
      </c>
      <c r="D330" s="248" t="s">
        <v>2988</v>
      </c>
      <c r="E330" s="248" t="s">
        <v>3160</v>
      </c>
      <c r="F330" s="248" t="s">
        <v>2695</v>
      </c>
      <c r="G330" s="248" t="s">
        <v>2490</v>
      </c>
      <c r="H330" s="249" t="s">
        <v>3162</v>
      </c>
      <c r="I330" s="249" t="s">
        <v>2710</v>
      </c>
      <c r="J330" s="248" t="s">
        <v>2711</v>
      </c>
      <c r="K330" s="249" t="s">
        <v>3083</v>
      </c>
      <c r="L330" s="249" t="s">
        <v>2764</v>
      </c>
      <c r="M330" s="248" t="s">
        <v>3001</v>
      </c>
      <c r="N330" s="293"/>
      <c r="O330" s="293" t="str">
        <f>TablaPOA[[#This Row],[Cod_Sub_acción_especifica]]&amp;"_"&amp;TablaPOA[[#This Row],[Tipo de agente]]</f>
        <v>K31.2.2.5_Instalaciones de compresión, transferencia y descompresión de gas natural</v>
      </c>
      <c r="P330" s="250" t="s">
        <v>2902</v>
      </c>
      <c r="Q330" s="292" t="str">
        <f>TablaPOA[[#This Row],[Cod_Sub_acción_especifica]]&amp;"_"&amp;TablaPOA[[#This Row],[Cod_Tipo_agente]]</f>
        <v>K31.2.2.5_TA7</v>
      </c>
      <c r="R330" s="250" t="s">
        <v>2903</v>
      </c>
      <c r="S330" s="252" t="s">
        <v>2906</v>
      </c>
      <c r="T330" s="274" t="s">
        <v>2907</v>
      </c>
    </row>
    <row r="331" spans="1:20" ht="38.25" x14ac:dyDescent="0.25">
      <c r="A331" s="268" t="s">
        <v>2314</v>
      </c>
      <c r="B331" s="248">
        <v>31</v>
      </c>
      <c r="C331" s="248" t="s">
        <v>2691</v>
      </c>
      <c r="D331" s="248" t="s">
        <v>2988</v>
      </c>
      <c r="E331" s="248" t="s">
        <v>3160</v>
      </c>
      <c r="F331" s="248" t="s">
        <v>2695</v>
      </c>
      <c r="G331" s="248" t="s">
        <v>2490</v>
      </c>
      <c r="H331" s="249" t="s">
        <v>3162</v>
      </c>
      <c r="I331" s="249" t="s">
        <v>2710</v>
      </c>
      <c r="J331" s="248" t="s">
        <v>2711</v>
      </c>
      <c r="K331" s="249" t="s">
        <v>3083</v>
      </c>
      <c r="L331" s="249" t="s">
        <v>2764</v>
      </c>
      <c r="M331" s="248" t="s">
        <v>3001</v>
      </c>
      <c r="N331" s="293"/>
      <c r="O331" s="293" t="str">
        <f>TablaPOA[[#This Row],[Cod_Sub_acción_especifica]]&amp;"_"&amp;TablaPOA[[#This Row],[Tipo de agente]]</f>
        <v>K31.2.2.5_Instalaciones de compresión, transferencia y descompresión de gas natural</v>
      </c>
      <c r="P331" s="250" t="s">
        <v>2902</v>
      </c>
      <c r="Q331" s="292" t="str">
        <f>TablaPOA[[#This Row],[Cod_Sub_acción_especifica]]&amp;"_"&amp;TablaPOA[[#This Row],[Cod_Tipo_agente]]</f>
        <v>K31.2.2.5_TA7</v>
      </c>
      <c r="R331" s="250" t="s">
        <v>2903</v>
      </c>
      <c r="S331" s="252" t="s">
        <v>2908</v>
      </c>
      <c r="T331" s="274" t="s">
        <v>2909</v>
      </c>
    </row>
    <row r="332" spans="1:20" ht="38.25" x14ac:dyDescent="0.25">
      <c r="A332" s="268" t="s">
        <v>2314</v>
      </c>
      <c r="B332" s="248">
        <v>31</v>
      </c>
      <c r="C332" s="248" t="s">
        <v>2691</v>
      </c>
      <c r="D332" s="248" t="s">
        <v>2988</v>
      </c>
      <c r="E332" s="248" t="s">
        <v>3160</v>
      </c>
      <c r="F332" s="248" t="s">
        <v>2695</v>
      </c>
      <c r="G332" s="248" t="s">
        <v>2490</v>
      </c>
      <c r="H332" s="249" t="s">
        <v>3162</v>
      </c>
      <c r="I332" s="249" t="s">
        <v>2710</v>
      </c>
      <c r="J332" s="248" t="s">
        <v>2711</v>
      </c>
      <c r="K332" s="249" t="s">
        <v>3083</v>
      </c>
      <c r="L332" s="249" t="s">
        <v>2764</v>
      </c>
      <c r="M332" s="248" t="s">
        <v>3001</v>
      </c>
      <c r="N332" s="293"/>
      <c r="O332" s="293" t="str">
        <f>TablaPOA[[#This Row],[Cod_Sub_acción_especifica]]&amp;"_"&amp;TablaPOA[[#This Row],[Tipo de agente]]</f>
        <v>K31.2.2.5_Instalaciones de compresión, transferencia y descompresión de gas natural</v>
      </c>
      <c r="P332" s="250" t="s">
        <v>2902</v>
      </c>
      <c r="Q332" s="292" t="str">
        <f>TablaPOA[[#This Row],[Cod_Sub_acción_especifica]]&amp;"_"&amp;TablaPOA[[#This Row],[Cod_Tipo_agente]]</f>
        <v>K31.2.2.5_TA7</v>
      </c>
      <c r="R332" s="250" t="s">
        <v>2903</v>
      </c>
      <c r="S332" s="252" t="s">
        <v>2910</v>
      </c>
      <c r="T332" s="274" t="s">
        <v>2911</v>
      </c>
    </row>
    <row r="333" spans="1:20" ht="25.5" x14ac:dyDescent="0.25">
      <c r="A333" s="219" t="s">
        <v>2314</v>
      </c>
      <c r="B333" s="227">
        <v>31</v>
      </c>
      <c r="C333" s="227" t="s">
        <v>2691</v>
      </c>
      <c r="D333" s="227" t="s">
        <v>2988</v>
      </c>
      <c r="E333" s="227" t="s">
        <v>3160</v>
      </c>
      <c r="F333" s="227" t="s">
        <v>2695</v>
      </c>
      <c r="G333" s="227" t="s">
        <v>2490</v>
      </c>
      <c r="H333" s="253" t="s">
        <v>3163</v>
      </c>
      <c r="I333" s="253" t="s">
        <v>2712</v>
      </c>
      <c r="J333" s="227" t="s">
        <v>2546</v>
      </c>
      <c r="K333" s="253" t="s">
        <v>3084</v>
      </c>
      <c r="L333" s="253" t="s">
        <v>2765</v>
      </c>
      <c r="M333" s="227" t="s">
        <v>2765</v>
      </c>
      <c r="N333" s="299" t="s">
        <v>2809</v>
      </c>
      <c r="O333" s="292" t="str">
        <f>TablaPOA[[#This Row],[Cod_Sub_acción_especifica]]&amp;"_"&amp;TablaPOA[[#This Row],[Tipo de agente]]</f>
        <v>K31.2.3.1_Consumidores directos de combustibles líquidos y OPDH</v>
      </c>
      <c r="P333" s="254" t="s">
        <v>2808</v>
      </c>
      <c r="Q333" s="292" t="str">
        <f>TablaPOA[[#This Row],[Cod_Sub_acción_especifica]]&amp;"_"&amp;TablaPOA[[#This Row],[Cod_Tipo_agente]]</f>
        <v>K31.2.3.1_TA1</v>
      </c>
      <c r="R333" s="254" t="s">
        <v>2809</v>
      </c>
      <c r="S333" s="255" t="s">
        <v>2810</v>
      </c>
      <c r="T333" s="271" t="s">
        <v>2811</v>
      </c>
    </row>
    <row r="334" spans="1:20" ht="25.5" x14ac:dyDescent="0.25">
      <c r="A334" s="219" t="s">
        <v>2314</v>
      </c>
      <c r="B334" s="227">
        <v>31</v>
      </c>
      <c r="C334" s="227" t="s">
        <v>2691</v>
      </c>
      <c r="D334" s="227" t="s">
        <v>2988</v>
      </c>
      <c r="E334" s="227" t="s">
        <v>3160</v>
      </c>
      <c r="F334" s="227" t="s">
        <v>2695</v>
      </c>
      <c r="G334" s="227" t="s">
        <v>2490</v>
      </c>
      <c r="H334" s="253" t="s">
        <v>3163</v>
      </c>
      <c r="I334" s="253" t="s">
        <v>2712</v>
      </c>
      <c r="J334" s="227" t="s">
        <v>2546</v>
      </c>
      <c r="K334" s="253" t="s">
        <v>3084</v>
      </c>
      <c r="L334" s="253" t="s">
        <v>2765</v>
      </c>
      <c r="M334" s="227" t="s">
        <v>2765</v>
      </c>
      <c r="N334" s="299" t="s">
        <v>2840</v>
      </c>
      <c r="O334" s="292" t="str">
        <f>TablaPOA[[#This Row],[Cod_Sub_acción_especifica]]&amp;"_"&amp;TablaPOA[[#This Row],[Tipo de agente]]</f>
        <v>K31.2.3.1_Consumidores directos de combustibles líquidos y OPDH</v>
      </c>
      <c r="P334" s="254" t="s">
        <v>2808</v>
      </c>
      <c r="Q334" s="292" t="str">
        <f>TablaPOA[[#This Row],[Cod_Sub_acción_especifica]]&amp;"_"&amp;TablaPOA[[#This Row],[Cod_Tipo_agente]]</f>
        <v>K31.2.3.1_TA1</v>
      </c>
      <c r="R334" s="254" t="s">
        <v>2809</v>
      </c>
      <c r="S334" s="255" t="s">
        <v>2812</v>
      </c>
      <c r="T334" s="271" t="s">
        <v>2813</v>
      </c>
    </row>
    <row r="335" spans="1:20" ht="25.5" x14ac:dyDescent="0.25">
      <c r="A335" s="219" t="s">
        <v>2314</v>
      </c>
      <c r="B335" s="227">
        <v>31</v>
      </c>
      <c r="C335" s="227" t="s">
        <v>2691</v>
      </c>
      <c r="D335" s="227" t="s">
        <v>2988</v>
      </c>
      <c r="E335" s="227" t="s">
        <v>3160</v>
      </c>
      <c r="F335" s="227" t="s">
        <v>2695</v>
      </c>
      <c r="G335" s="227" t="s">
        <v>2490</v>
      </c>
      <c r="H335" s="253" t="s">
        <v>3163</v>
      </c>
      <c r="I335" s="253" t="s">
        <v>2712</v>
      </c>
      <c r="J335" s="227" t="s">
        <v>2546</v>
      </c>
      <c r="K335" s="253" t="s">
        <v>3084</v>
      </c>
      <c r="L335" s="253" t="s">
        <v>2765</v>
      </c>
      <c r="M335" s="227" t="s">
        <v>2765</v>
      </c>
      <c r="N335" s="299" t="s">
        <v>2883</v>
      </c>
      <c r="O335" s="292" t="str">
        <f>TablaPOA[[#This Row],[Cod_Sub_acción_especifica]]&amp;"_"&amp;TablaPOA[[#This Row],[Tipo de agente]]</f>
        <v>K31.2.3.1_Consumidores directos de combustibles líquidos y OPDH</v>
      </c>
      <c r="P335" s="254" t="s">
        <v>2808</v>
      </c>
      <c r="Q335" s="292" t="str">
        <f>TablaPOA[[#This Row],[Cod_Sub_acción_especifica]]&amp;"_"&amp;TablaPOA[[#This Row],[Cod_Tipo_agente]]</f>
        <v>K31.2.3.1_TA1</v>
      </c>
      <c r="R335" s="254" t="s">
        <v>2809</v>
      </c>
      <c r="S335" s="255" t="s">
        <v>2814</v>
      </c>
      <c r="T335" s="271" t="s">
        <v>2815</v>
      </c>
    </row>
    <row r="336" spans="1:20" ht="25.5" x14ac:dyDescent="0.25">
      <c r="A336" s="219" t="s">
        <v>2314</v>
      </c>
      <c r="B336" s="227">
        <v>31</v>
      </c>
      <c r="C336" s="227" t="s">
        <v>2691</v>
      </c>
      <c r="D336" s="227" t="s">
        <v>2988</v>
      </c>
      <c r="E336" s="227" t="s">
        <v>3160</v>
      </c>
      <c r="F336" s="227" t="s">
        <v>2695</v>
      </c>
      <c r="G336" s="227" t="s">
        <v>2490</v>
      </c>
      <c r="H336" s="253" t="s">
        <v>3163</v>
      </c>
      <c r="I336" s="253" t="s">
        <v>2712</v>
      </c>
      <c r="J336" s="227" t="s">
        <v>2546</v>
      </c>
      <c r="K336" s="253" t="s">
        <v>3084</v>
      </c>
      <c r="L336" s="253" t="s">
        <v>2765</v>
      </c>
      <c r="M336" s="227" t="s">
        <v>2765</v>
      </c>
      <c r="N336" s="293"/>
      <c r="O336" s="293" t="str">
        <f>TablaPOA[[#This Row],[Cod_Sub_acción_especifica]]&amp;"_"&amp;TablaPOA[[#This Row],[Tipo de agente]]</f>
        <v>K31.2.3.1_Consumidores directos de combustibles líquidos y OPDH</v>
      </c>
      <c r="P336" s="254" t="s">
        <v>2808</v>
      </c>
      <c r="Q336" s="292" t="str">
        <f>TablaPOA[[#This Row],[Cod_Sub_acción_especifica]]&amp;"_"&amp;TablaPOA[[#This Row],[Cod_Tipo_agente]]</f>
        <v>K31.2.3.1_TA1</v>
      </c>
      <c r="R336" s="254" t="s">
        <v>2809</v>
      </c>
      <c r="S336" s="255" t="s">
        <v>2816</v>
      </c>
      <c r="T336" s="271" t="s">
        <v>2817</v>
      </c>
    </row>
    <row r="337" spans="1:20" ht="25.5" x14ac:dyDescent="0.25">
      <c r="A337" s="219" t="s">
        <v>2314</v>
      </c>
      <c r="B337" s="227">
        <v>31</v>
      </c>
      <c r="C337" s="227" t="s">
        <v>2691</v>
      </c>
      <c r="D337" s="227" t="s">
        <v>2988</v>
      </c>
      <c r="E337" s="227" t="s">
        <v>3160</v>
      </c>
      <c r="F337" s="227" t="s">
        <v>2695</v>
      </c>
      <c r="G337" s="227" t="s">
        <v>2490</v>
      </c>
      <c r="H337" s="253" t="s">
        <v>3163</v>
      </c>
      <c r="I337" s="253" t="s">
        <v>2712</v>
      </c>
      <c r="J337" s="227" t="s">
        <v>2546</v>
      </c>
      <c r="K337" s="253" t="s">
        <v>3084</v>
      </c>
      <c r="L337" s="253" t="s">
        <v>2765</v>
      </c>
      <c r="M337" s="227" t="s">
        <v>2765</v>
      </c>
      <c r="N337" s="293"/>
      <c r="O337" s="293" t="str">
        <f>TablaPOA[[#This Row],[Cod_Sub_acción_especifica]]&amp;"_"&amp;TablaPOA[[#This Row],[Tipo de agente]]</f>
        <v>K31.2.3.1_Consumidores directos de combustibles líquidos y OPDH</v>
      </c>
      <c r="P337" s="254" t="s">
        <v>2808</v>
      </c>
      <c r="Q337" s="292" t="str">
        <f>TablaPOA[[#This Row],[Cod_Sub_acción_especifica]]&amp;"_"&amp;TablaPOA[[#This Row],[Cod_Tipo_agente]]</f>
        <v>K31.2.3.1_TA1</v>
      </c>
      <c r="R337" s="254" t="s">
        <v>2809</v>
      </c>
      <c r="S337" s="255" t="s">
        <v>2818</v>
      </c>
      <c r="T337" s="271" t="s">
        <v>2819</v>
      </c>
    </row>
    <row r="338" spans="1:20" ht="25.5" x14ac:dyDescent="0.25">
      <c r="A338" s="219" t="s">
        <v>2314</v>
      </c>
      <c r="B338" s="227">
        <v>31</v>
      </c>
      <c r="C338" s="227" t="s">
        <v>2691</v>
      </c>
      <c r="D338" s="227" t="s">
        <v>2988</v>
      </c>
      <c r="E338" s="227" t="s">
        <v>3160</v>
      </c>
      <c r="F338" s="227" t="s">
        <v>2695</v>
      </c>
      <c r="G338" s="227" t="s">
        <v>2490</v>
      </c>
      <c r="H338" s="253" t="s">
        <v>3163</v>
      </c>
      <c r="I338" s="253" t="s">
        <v>2712</v>
      </c>
      <c r="J338" s="227" t="s">
        <v>2546</v>
      </c>
      <c r="K338" s="253" t="s">
        <v>3084</v>
      </c>
      <c r="L338" s="253" t="s">
        <v>2765</v>
      </c>
      <c r="M338" s="227" t="s">
        <v>2765</v>
      </c>
      <c r="N338" s="293"/>
      <c r="O338" s="293" t="str">
        <f>TablaPOA[[#This Row],[Cod_Sub_acción_especifica]]&amp;"_"&amp;TablaPOA[[#This Row],[Tipo de agente]]</f>
        <v>K31.2.3.1_Consumidores directos de combustibles líquidos y OPDH</v>
      </c>
      <c r="P338" s="254" t="s">
        <v>2808</v>
      </c>
      <c r="Q338" s="292" t="str">
        <f>TablaPOA[[#This Row],[Cod_Sub_acción_especifica]]&amp;"_"&amp;TablaPOA[[#This Row],[Cod_Tipo_agente]]</f>
        <v>K31.2.3.1_TA1</v>
      </c>
      <c r="R338" s="254" t="s">
        <v>2809</v>
      </c>
      <c r="S338" s="255" t="s">
        <v>2820</v>
      </c>
      <c r="T338" s="271" t="s">
        <v>2821</v>
      </c>
    </row>
    <row r="339" spans="1:20" ht="25.5" x14ac:dyDescent="0.25">
      <c r="A339" s="219" t="s">
        <v>2314</v>
      </c>
      <c r="B339" s="227">
        <v>31</v>
      </c>
      <c r="C339" s="227" t="s">
        <v>2691</v>
      </c>
      <c r="D339" s="227" t="s">
        <v>2988</v>
      </c>
      <c r="E339" s="227" t="s">
        <v>3160</v>
      </c>
      <c r="F339" s="227" t="s">
        <v>2695</v>
      </c>
      <c r="G339" s="227" t="s">
        <v>2490</v>
      </c>
      <c r="H339" s="253" t="s">
        <v>3163</v>
      </c>
      <c r="I339" s="253" t="s">
        <v>2712</v>
      </c>
      <c r="J339" s="227" t="s">
        <v>2546</v>
      </c>
      <c r="K339" s="253" t="s">
        <v>3084</v>
      </c>
      <c r="L339" s="253" t="s">
        <v>2765</v>
      </c>
      <c r="M339" s="227" t="s">
        <v>2765</v>
      </c>
      <c r="N339" s="293"/>
      <c r="O339" s="293" t="str">
        <f>TablaPOA[[#This Row],[Cod_Sub_acción_especifica]]&amp;"_"&amp;TablaPOA[[#This Row],[Tipo de agente]]</f>
        <v>K31.2.3.1_Consumidores directos de combustibles líquidos y OPDH</v>
      </c>
      <c r="P339" s="254" t="s">
        <v>2808</v>
      </c>
      <c r="Q339" s="292" t="str">
        <f>TablaPOA[[#This Row],[Cod_Sub_acción_especifica]]&amp;"_"&amp;TablaPOA[[#This Row],[Cod_Tipo_agente]]</f>
        <v>K31.2.3.1_TA1</v>
      </c>
      <c r="R339" s="254" t="s">
        <v>2809</v>
      </c>
      <c r="S339" s="255" t="s">
        <v>2822</v>
      </c>
      <c r="T339" s="271" t="s">
        <v>2823</v>
      </c>
    </row>
    <row r="340" spans="1:20" ht="25.5" x14ac:dyDescent="0.25">
      <c r="A340" s="219" t="s">
        <v>2314</v>
      </c>
      <c r="B340" s="227">
        <v>31</v>
      </c>
      <c r="C340" s="227" t="s">
        <v>2691</v>
      </c>
      <c r="D340" s="227" t="s">
        <v>2988</v>
      </c>
      <c r="E340" s="227" t="s">
        <v>3160</v>
      </c>
      <c r="F340" s="227" t="s">
        <v>2695</v>
      </c>
      <c r="G340" s="227" t="s">
        <v>2490</v>
      </c>
      <c r="H340" s="253" t="s">
        <v>3163</v>
      </c>
      <c r="I340" s="253" t="s">
        <v>2712</v>
      </c>
      <c r="J340" s="227" t="s">
        <v>2546</v>
      </c>
      <c r="K340" s="253" t="s">
        <v>3084</v>
      </c>
      <c r="L340" s="253" t="s">
        <v>2765</v>
      </c>
      <c r="M340" s="227" t="s">
        <v>2765</v>
      </c>
      <c r="N340" s="293"/>
      <c r="O340" s="293" t="str">
        <f>TablaPOA[[#This Row],[Cod_Sub_acción_especifica]]&amp;"_"&amp;TablaPOA[[#This Row],[Tipo de agente]]</f>
        <v>K31.2.3.1_Consumidores directos de combustibles líquidos y OPDH</v>
      </c>
      <c r="P340" s="254" t="s">
        <v>2808</v>
      </c>
      <c r="Q340" s="292" t="str">
        <f>TablaPOA[[#This Row],[Cod_Sub_acción_especifica]]&amp;"_"&amp;TablaPOA[[#This Row],[Cod_Tipo_agente]]</f>
        <v>K31.2.3.1_TA1</v>
      </c>
      <c r="R340" s="254" t="s">
        <v>2809</v>
      </c>
      <c r="S340" s="255" t="s">
        <v>2824</v>
      </c>
      <c r="T340" s="271" t="s">
        <v>2825</v>
      </c>
    </row>
    <row r="341" spans="1:20" ht="25.5" x14ac:dyDescent="0.25">
      <c r="A341" s="219" t="s">
        <v>2314</v>
      </c>
      <c r="B341" s="227">
        <v>31</v>
      </c>
      <c r="C341" s="227" t="s">
        <v>2691</v>
      </c>
      <c r="D341" s="227" t="s">
        <v>2988</v>
      </c>
      <c r="E341" s="227" t="s">
        <v>3160</v>
      </c>
      <c r="F341" s="227" t="s">
        <v>2695</v>
      </c>
      <c r="G341" s="227" t="s">
        <v>2490</v>
      </c>
      <c r="H341" s="253" t="s">
        <v>3163</v>
      </c>
      <c r="I341" s="253" t="s">
        <v>2712</v>
      </c>
      <c r="J341" s="227" t="s">
        <v>2546</v>
      </c>
      <c r="K341" s="253" t="s">
        <v>3084</v>
      </c>
      <c r="L341" s="253" t="s">
        <v>2765</v>
      </c>
      <c r="M341" s="227" t="s">
        <v>2765</v>
      </c>
      <c r="N341" s="293"/>
      <c r="O341" s="293" t="str">
        <f>TablaPOA[[#This Row],[Cod_Sub_acción_especifica]]&amp;"_"&amp;TablaPOA[[#This Row],[Tipo de agente]]</f>
        <v>K31.2.3.1_Consumidores directos de combustibles líquidos y OPDH</v>
      </c>
      <c r="P341" s="254" t="s">
        <v>2808</v>
      </c>
      <c r="Q341" s="292" t="str">
        <f>TablaPOA[[#This Row],[Cod_Sub_acción_especifica]]&amp;"_"&amp;TablaPOA[[#This Row],[Cod_Tipo_agente]]</f>
        <v>K31.2.3.1_TA1</v>
      </c>
      <c r="R341" s="254" t="s">
        <v>2809</v>
      </c>
      <c r="S341" s="255" t="s">
        <v>2826</v>
      </c>
      <c r="T341" s="271" t="s">
        <v>2827</v>
      </c>
    </row>
    <row r="342" spans="1:20" ht="25.5" x14ac:dyDescent="0.25">
      <c r="A342" s="219" t="s">
        <v>2314</v>
      </c>
      <c r="B342" s="227">
        <v>31</v>
      </c>
      <c r="C342" s="227" t="s">
        <v>2691</v>
      </c>
      <c r="D342" s="227" t="s">
        <v>2988</v>
      </c>
      <c r="E342" s="227" t="s">
        <v>3160</v>
      </c>
      <c r="F342" s="227" t="s">
        <v>2695</v>
      </c>
      <c r="G342" s="227" t="s">
        <v>2490</v>
      </c>
      <c r="H342" s="253" t="s">
        <v>3163</v>
      </c>
      <c r="I342" s="253" t="s">
        <v>2712</v>
      </c>
      <c r="J342" s="227" t="s">
        <v>2546</v>
      </c>
      <c r="K342" s="253" t="s">
        <v>3084</v>
      </c>
      <c r="L342" s="253" t="s">
        <v>2765</v>
      </c>
      <c r="M342" s="227" t="s">
        <v>2765</v>
      </c>
      <c r="N342" s="293"/>
      <c r="O342" s="293" t="str">
        <f>TablaPOA[[#This Row],[Cod_Sub_acción_especifica]]&amp;"_"&amp;TablaPOA[[#This Row],[Tipo de agente]]</f>
        <v>K31.2.3.1_Consumidores directos de combustibles líquidos y OPDH</v>
      </c>
      <c r="P342" s="254" t="s">
        <v>2808</v>
      </c>
      <c r="Q342" s="292" t="str">
        <f>TablaPOA[[#This Row],[Cod_Sub_acción_especifica]]&amp;"_"&amp;TablaPOA[[#This Row],[Cod_Tipo_agente]]</f>
        <v>K31.2.3.1_TA1</v>
      </c>
      <c r="R342" s="254" t="s">
        <v>2809</v>
      </c>
      <c r="S342" s="255" t="s">
        <v>2828</v>
      </c>
      <c r="T342" s="271" t="s">
        <v>2829</v>
      </c>
    </row>
    <row r="343" spans="1:20" ht="25.5" x14ac:dyDescent="0.25">
      <c r="A343" s="219" t="s">
        <v>2314</v>
      </c>
      <c r="B343" s="227">
        <v>31</v>
      </c>
      <c r="C343" s="227" t="s">
        <v>2691</v>
      </c>
      <c r="D343" s="227" t="s">
        <v>2988</v>
      </c>
      <c r="E343" s="227" t="s">
        <v>3160</v>
      </c>
      <c r="F343" s="227" t="s">
        <v>2695</v>
      </c>
      <c r="G343" s="227" t="s">
        <v>2490</v>
      </c>
      <c r="H343" s="253" t="s">
        <v>3163</v>
      </c>
      <c r="I343" s="253" t="s">
        <v>2712</v>
      </c>
      <c r="J343" s="227" t="s">
        <v>2546</v>
      </c>
      <c r="K343" s="253" t="s">
        <v>3084</v>
      </c>
      <c r="L343" s="253" t="s">
        <v>2765</v>
      </c>
      <c r="M343" s="227" t="s">
        <v>2765</v>
      </c>
      <c r="N343" s="293"/>
      <c r="O343" s="293" t="str">
        <f>TablaPOA[[#This Row],[Cod_Sub_acción_especifica]]&amp;"_"&amp;TablaPOA[[#This Row],[Tipo de agente]]</f>
        <v>K31.2.3.1_Consumidores directos de GLP y redes de distribución</v>
      </c>
      <c r="P343" s="254" t="s">
        <v>2839</v>
      </c>
      <c r="Q343" s="292" t="str">
        <f>TablaPOA[[#This Row],[Cod_Sub_acción_especifica]]&amp;"_"&amp;TablaPOA[[#This Row],[Cod_Tipo_agente]]</f>
        <v>K31.2.3.1_TA3</v>
      </c>
      <c r="R343" s="254" t="s">
        <v>2840</v>
      </c>
      <c r="S343" s="254">
        <v>400</v>
      </c>
      <c r="T343" s="271" t="s">
        <v>2841</v>
      </c>
    </row>
    <row r="344" spans="1:20" ht="25.5" x14ac:dyDescent="0.25">
      <c r="A344" s="219" t="s">
        <v>2314</v>
      </c>
      <c r="B344" s="227">
        <v>31</v>
      </c>
      <c r="C344" s="227" t="s">
        <v>2691</v>
      </c>
      <c r="D344" s="227" t="s">
        <v>2988</v>
      </c>
      <c r="E344" s="227" t="s">
        <v>3160</v>
      </c>
      <c r="F344" s="227" t="s">
        <v>2695</v>
      </c>
      <c r="G344" s="227" t="s">
        <v>2490</v>
      </c>
      <c r="H344" s="253" t="s">
        <v>3163</v>
      </c>
      <c r="I344" s="253" t="s">
        <v>2712</v>
      </c>
      <c r="J344" s="227" t="s">
        <v>2546</v>
      </c>
      <c r="K344" s="253" t="s">
        <v>3084</v>
      </c>
      <c r="L344" s="253" t="s">
        <v>2765</v>
      </c>
      <c r="M344" s="227" t="s">
        <v>2765</v>
      </c>
      <c r="N344" s="293"/>
      <c r="O344" s="293" t="str">
        <f>TablaPOA[[#This Row],[Cod_Sub_acción_especifica]]&amp;"_"&amp;TablaPOA[[#This Row],[Tipo de agente]]</f>
        <v>K31.2.3.1_Consumidores directos de GLP y redes de distribución</v>
      </c>
      <c r="P344" s="254" t="s">
        <v>2839</v>
      </c>
      <c r="Q344" s="292" t="str">
        <f>TablaPOA[[#This Row],[Cod_Sub_acción_especifica]]&amp;"_"&amp;TablaPOA[[#This Row],[Cod_Tipo_agente]]</f>
        <v>K31.2.3.1_TA3</v>
      </c>
      <c r="R344" s="254" t="s">
        <v>2840</v>
      </c>
      <c r="S344" s="254" t="s">
        <v>2842</v>
      </c>
      <c r="T344" s="271" t="s">
        <v>2843</v>
      </c>
    </row>
    <row r="345" spans="1:20" ht="25.5" x14ac:dyDescent="0.25">
      <c r="A345" s="219" t="s">
        <v>2314</v>
      </c>
      <c r="B345" s="227">
        <v>31</v>
      </c>
      <c r="C345" s="227" t="s">
        <v>2691</v>
      </c>
      <c r="D345" s="227" t="s">
        <v>2988</v>
      </c>
      <c r="E345" s="227" t="s">
        <v>3160</v>
      </c>
      <c r="F345" s="227" t="s">
        <v>2695</v>
      </c>
      <c r="G345" s="227" t="s">
        <v>2490</v>
      </c>
      <c r="H345" s="253" t="s">
        <v>3163</v>
      </c>
      <c r="I345" s="253" t="s">
        <v>2712</v>
      </c>
      <c r="J345" s="227" t="s">
        <v>2546</v>
      </c>
      <c r="K345" s="253" t="s">
        <v>3084</v>
      </c>
      <c r="L345" s="253" t="s">
        <v>2765</v>
      </c>
      <c r="M345" s="227" t="s">
        <v>2765</v>
      </c>
      <c r="N345" s="293"/>
      <c r="O345" s="293" t="str">
        <f>TablaPOA[[#This Row],[Cod_Sub_acción_especifica]]&amp;"_"&amp;TablaPOA[[#This Row],[Tipo de agente]]</f>
        <v>K31.2.3.1_Consumidores directos de GLP y redes de distribución</v>
      </c>
      <c r="P345" s="254" t="s">
        <v>2839</v>
      </c>
      <c r="Q345" s="292" t="str">
        <f>TablaPOA[[#This Row],[Cod_Sub_acción_especifica]]&amp;"_"&amp;TablaPOA[[#This Row],[Cod_Tipo_agente]]</f>
        <v>K31.2.3.1_TA3</v>
      </c>
      <c r="R345" s="254" t="s">
        <v>2840</v>
      </c>
      <c r="S345" s="254" t="s">
        <v>2848</v>
      </c>
      <c r="T345" s="271" t="s">
        <v>2849</v>
      </c>
    </row>
    <row r="346" spans="1:20" ht="25.5" x14ac:dyDescent="0.25">
      <c r="A346" s="219" t="s">
        <v>2314</v>
      </c>
      <c r="B346" s="227">
        <v>31</v>
      </c>
      <c r="C346" s="227" t="s">
        <v>2691</v>
      </c>
      <c r="D346" s="227" t="s">
        <v>2988</v>
      </c>
      <c r="E346" s="227" t="s">
        <v>3160</v>
      </c>
      <c r="F346" s="227" t="s">
        <v>2695</v>
      </c>
      <c r="G346" s="227" t="s">
        <v>2490</v>
      </c>
      <c r="H346" s="253" t="s">
        <v>3163</v>
      </c>
      <c r="I346" s="253" t="s">
        <v>2712</v>
      </c>
      <c r="J346" s="227" t="s">
        <v>2546</v>
      </c>
      <c r="K346" s="253" t="s">
        <v>3084</v>
      </c>
      <c r="L346" s="253" t="s">
        <v>2765</v>
      </c>
      <c r="M346" s="227" t="s">
        <v>2765</v>
      </c>
      <c r="N346" s="293"/>
      <c r="O346" s="293" t="str">
        <f>TablaPOA[[#This Row],[Cod_Sub_acción_especifica]]&amp;"_"&amp;TablaPOA[[#This Row],[Tipo de agente]]</f>
        <v>K31.2.3.1_Consumidores directos de GLP y redes de distribución</v>
      </c>
      <c r="P346" s="254" t="s">
        <v>2839</v>
      </c>
      <c r="Q346" s="292" t="str">
        <f>TablaPOA[[#This Row],[Cod_Sub_acción_especifica]]&amp;"_"&amp;TablaPOA[[#This Row],[Cod_Tipo_agente]]</f>
        <v>K31.2.3.1_TA3</v>
      </c>
      <c r="R346" s="254" t="s">
        <v>2840</v>
      </c>
      <c r="S346" s="254" t="s">
        <v>2850</v>
      </c>
      <c r="T346" s="271" t="s">
        <v>2851</v>
      </c>
    </row>
    <row r="347" spans="1:20" ht="25.5" x14ac:dyDescent="0.25">
      <c r="A347" s="219" t="s">
        <v>2314</v>
      </c>
      <c r="B347" s="227">
        <v>31</v>
      </c>
      <c r="C347" s="227" t="s">
        <v>2691</v>
      </c>
      <c r="D347" s="227" t="s">
        <v>2988</v>
      </c>
      <c r="E347" s="227" t="s">
        <v>3160</v>
      </c>
      <c r="F347" s="227" t="s">
        <v>2695</v>
      </c>
      <c r="G347" s="227" t="s">
        <v>2490</v>
      </c>
      <c r="H347" s="253" t="s">
        <v>3163</v>
      </c>
      <c r="I347" s="253" t="s">
        <v>2712</v>
      </c>
      <c r="J347" s="227" t="s">
        <v>2546</v>
      </c>
      <c r="K347" s="253" t="s">
        <v>3084</v>
      </c>
      <c r="L347" s="253" t="s">
        <v>2765</v>
      </c>
      <c r="M347" s="227" t="s">
        <v>2765</v>
      </c>
      <c r="N347" s="293"/>
      <c r="O347" s="293" t="str">
        <f>TablaPOA[[#This Row],[Cod_Sub_acción_especifica]]&amp;"_"&amp;TablaPOA[[#This Row],[Tipo de agente]]</f>
        <v>K31.2.3.1_EVP combustibles de uso automotor</v>
      </c>
      <c r="P347" s="254" t="s">
        <v>2882</v>
      </c>
      <c r="Q347" s="292" t="str">
        <f>TablaPOA[[#This Row],[Cod_Sub_acción_especifica]]&amp;"_"&amp;TablaPOA[[#This Row],[Cod_Tipo_agente]]</f>
        <v>K31.2.3.1_TA6</v>
      </c>
      <c r="R347" s="254" t="s">
        <v>2883</v>
      </c>
      <c r="S347" s="255" t="s">
        <v>2884</v>
      </c>
      <c r="T347" s="271" t="s">
        <v>2885</v>
      </c>
    </row>
    <row r="348" spans="1:20" ht="25.5" x14ac:dyDescent="0.25">
      <c r="A348" s="219" t="s">
        <v>2314</v>
      </c>
      <c r="B348" s="227">
        <v>31</v>
      </c>
      <c r="C348" s="227" t="s">
        <v>2691</v>
      </c>
      <c r="D348" s="227" t="s">
        <v>2988</v>
      </c>
      <c r="E348" s="227" t="s">
        <v>3160</v>
      </c>
      <c r="F348" s="227" t="s">
        <v>2695</v>
      </c>
      <c r="G348" s="227" t="s">
        <v>2490</v>
      </c>
      <c r="H348" s="253" t="s">
        <v>3163</v>
      </c>
      <c r="I348" s="253" t="s">
        <v>2712</v>
      </c>
      <c r="J348" s="227" t="s">
        <v>2546</v>
      </c>
      <c r="K348" s="253" t="s">
        <v>3084</v>
      </c>
      <c r="L348" s="253" t="s">
        <v>2765</v>
      </c>
      <c r="M348" s="227" t="s">
        <v>2765</v>
      </c>
      <c r="N348" s="293"/>
      <c r="O348" s="293" t="str">
        <f>TablaPOA[[#This Row],[Cod_Sub_acción_especifica]]&amp;"_"&amp;TablaPOA[[#This Row],[Tipo de agente]]</f>
        <v>K31.2.3.1_EVP combustibles de uso automotor</v>
      </c>
      <c r="P348" s="254" t="s">
        <v>2882</v>
      </c>
      <c r="Q348" s="292" t="str">
        <f>TablaPOA[[#This Row],[Cod_Sub_acción_especifica]]&amp;"_"&amp;TablaPOA[[#This Row],[Cod_Tipo_agente]]</f>
        <v>K31.2.3.1_TA6</v>
      </c>
      <c r="R348" s="254" t="s">
        <v>2883</v>
      </c>
      <c r="S348" s="255" t="s">
        <v>2886</v>
      </c>
      <c r="T348" s="271" t="s">
        <v>2887</v>
      </c>
    </row>
    <row r="349" spans="1:20" ht="25.5" x14ac:dyDescent="0.25">
      <c r="A349" s="219" t="s">
        <v>2314</v>
      </c>
      <c r="B349" s="227">
        <v>31</v>
      </c>
      <c r="C349" s="227" t="s">
        <v>2691</v>
      </c>
      <c r="D349" s="227" t="s">
        <v>2988</v>
      </c>
      <c r="E349" s="227" t="s">
        <v>3160</v>
      </c>
      <c r="F349" s="227" t="s">
        <v>2695</v>
      </c>
      <c r="G349" s="227" t="s">
        <v>2490</v>
      </c>
      <c r="H349" s="253" t="s">
        <v>3163</v>
      </c>
      <c r="I349" s="253" t="s">
        <v>2712</v>
      </c>
      <c r="J349" s="227" t="s">
        <v>2546</v>
      </c>
      <c r="K349" s="253" t="s">
        <v>3084</v>
      </c>
      <c r="L349" s="253" t="s">
        <v>2765</v>
      </c>
      <c r="M349" s="227" t="s">
        <v>2765</v>
      </c>
      <c r="N349" s="293"/>
      <c r="O349" s="293" t="str">
        <f>TablaPOA[[#This Row],[Cod_Sub_acción_especifica]]&amp;"_"&amp;TablaPOA[[#This Row],[Tipo de agente]]</f>
        <v>K31.2.3.1_EVP combustibles de uso automotor</v>
      </c>
      <c r="P349" s="254" t="s">
        <v>2882</v>
      </c>
      <c r="Q349" s="292" t="str">
        <f>TablaPOA[[#This Row],[Cod_Sub_acción_especifica]]&amp;"_"&amp;TablaPOA[[#This Row],[Cod_Tipo_agente]]</f>
        <v>K31.2.3.1_TA6</v>
      </c>
      <c r="R349" s="254" t="s">
        <v>2883</v>
      </c>
      <c r="S349" s="255" t="s">
        <v>2890</v>
      </c>
      <c r="T349" s="271" t="s">
        <v>2891</v>
      </c>
    </row>
    <row r="350" spans="1:20" ht="25.5" x14ac:dyDescent="0.25">
      <c r="A350" s="219" t="s">
        <v>2314</v>
      </c>
      <c r="B350" s="227">
        <v>31</v>
      </c>
      <c r="C350" s="227" t="s">
        <v>2691</v>
      </c>
      <c r="D350" s="227" t="s">
        <v>2988</v>
      </c>
      <c r="E350" s="227" t="s">
        <v>3160</v>
      </c>
      <c r="F350" s="227" t="s">
        <v>2695</v>
      </c>
      <c r="G350" s="227" t="s">
        <v>2490</v>
      </c>
      <c r="H350" s="253" t="s">
        <v>3163</v>
      </c>
      <c r="I350" s="253" t="s">
        <v>2712</v>
      </c>
      <c r="J350" s="227" t="s">
        <v>2546</v>
      </c>
      <c r="K350" s="253" t="s">
        <v>3084</v>
      </c>
      <c r="L350" s="253" t="s">
        <v>2765</v>
      </c>
      <c r="M350" s="227" t="s">
        <v>2765</v>
      </c>
      <c r="N350" s="293"/>
      <c r="O350" s="293" t="str">
        <f>TablaPOA[[#This Row],[Cod_Sub_acción_especifica]]&amp;"_"&amp;TablaPOA[[#This Row],[Tipo de agente]]</f>
        <v>K31.2.3.1_EVP combustibles de uso automotor</v>
      </c>
      <c r="P350" s="254" t="s">
        <v>2882</v>
      </c>
      <c r="Q350" s="292" t="str">
        <f>TablaPOA[[#This Row],[Cod_Sub_acción_especifica]]&amp;"_"&amp;TablaPOA[[#This Row],[Cod_Tipo_agente]]</f>
        <v>K31.2.3.1_TA6</v>
      </c>
      <c r="R350" s="254" t="s">
        <v>2883</v>
      </c>
      <c r="S350" s="255" t="s">
        <v>2892</v>
      </c>
      <c r="T350" s="271" t="s">
        <v>2893</v>
      </c>
    </row>
    <row r="351" spans="1:20" ht="25.5" x14ac:dyDescent="0.25">
      <c r="A351" s="219" t="s">
        <v>2314</v>
      </c>
      <c r="B351" s="227">
        <v>31</v>
      </c>
      <c r="C351" s="227" t="s">
        <v>2691</v>
      </c>
      <c r="D351" s="227" t="s">
        <v>2988</v>
      </c>
      <c r="E351" s="227" t="s">
        <v>3160</v>
      </c>
      <c r="F351" s="227" t="s">
        <v>2695</v>
      </c>
      <c r="G351" s="227" t="s">
        <v>2490</v>
      </c>
      <c r="H351" s="253" t="s">
        <v>3163</v>
      </c>
      <c r="I351" s="253" t="s">
        <v>2712</v>
      </c>
      <c r="J351" s="227" t="s">
        <v>2546</v>
      </c>
      <c r="K351" s="253" t="s">
        <v>3084</v>
      </c>
      <c r="L351" s="253" t="s">
        <v>2765</v>
      </c>
      <c r="M351" s="227" t="s">
        <v>2765</v>
      </c>
      <c r="N351" s="293"/>
      <c r="O351" s="293" t="str">
        <f>TablaPOA[[#This Row],[Cod_Sub_acción_especifica]]&amp;"_"&amp;TablaPOA[[#This Row],[Tipo de agente]]</f>
        <v>K31.2.3.1_EVP combustibles de uso automotor</v>
      </c>
      <c r="P351" s="254" t="s">
        <v>2882</v>
      </c>
      <c r="Q351" s="292" t="str">
        <f>TablaPOA[[#This Row],[Cod_Sub_acción_especifica]]&amp;"_"&amp;TablaPOA[[#This Row],[Cod_Tipo_agente]]</f>
        <v>K31.2.3.1_TA6</v>
      </c>
      <c r="R351" s="254" t="s">
        <v>2883</v>
      </c>
      <c r="S351" s="255" t="s">
        <v>2894</v>
      </c>
      <c r="T351" s="271" t="s">
        <v>2895</v>
      </c>
    </row>
    <row r="352" spans="1:20" ht="25.5" x14ac:dyDescent="0.25">
      <c r="A352" s="219" t="s">
        <v>2314</v>
      </c>
      <c r="B352" s="227">
        <v>31</v>
      </c>
      <c r="C352" s="227" t="s">
        <v>2691</v>
      </c>
      <c r="D352" s="227" t="s">
        <v>2988</v>
      </c>
      <c r="E352" s="227" t="s">
        <v>3160</v>
      </c>
      <c r="F352" s="227" t="s">
        <v>2695</v>
      </c>
      <c r="G352" s="227" t="s">
        <v>2490</v>
      </c>
      <c r="H352" s="253" t="s">
        <v>3163</v>
      </c>
      <c r="I352" s="253" t="s">
        <v>2712</v>
      </c>
      <c r="J352" s="227" t="s">
        <v>2546</v>
      </c>
      <c r="K352" s="253" t="s">
        <v>3084</v>
      </c>
      <c r="L352" s="253" t="s">
        <v>2765</v>
      </c>
      <c r="M352" s="227" t="s">
        <v>2765</v>
      </c>
      <c r="N352" s="293"/>
      <c r="O352" s="293" t="str">
        <f>TablaPOA[[#This Row],[Cod_Sub_acción_especifica]]&amp;"_"&amp;TablaPOA[[#This Row],[Tipo de agente]]</f>
        <v>K31.2.3.1_EVP combustibles de uso automotor</v>
      </c>
      <c r="P352" s="254" t="s">
        <v>2882</v>
      </c>
      <c r="Q352" s="292" t="str">
        <f>TablaPOA[[#This Row],[Cod_Sub_acción_especifica]]&amp;"_"&amp;TablaPOA[[#This Row],[Cod_Tipo_agente]]</f>
        <v>K31.2.3.1_TA6</v>
      </c>
      <c r="R352" s="254" t="s">
        <v>2883</v>
      </c>
      <c r="S352" s="255" t="s">
        <v>2896</v>
      </c>
      <c r="T352" s="271" t="s">
        <v>2897</v>
      </c>
    </row>
    <row r="353" spans="1:20" ht="25.5" x14ac:dyDescent="0.25">
      <c r="A353" s="219" t="s">
        <v>2314</v>
      </c>
      <c r="B353" s="227">
        <v>31</v>
      </c>
      <c r="C353" s="227" t="s">
        <v>2691</v>
      </c>
      <c r="D353" s="227" t="s">
        <v>2988</v>
      </c>
      <c r="E353" s="227" t="s">
        <v>3160</v>
      </c>
      <c r="F353" s="227" t="s">
        <v>2695</v>
      </c>
      <c r="G353" s="227" t="s">
        <v>2490</v>
      </c>
      <c r="H353" s="253" t="s">
        <v>3163</v>
      </c>
      <c r="I353" s="253" t="s">
        <v>2712</v>
      </c>
      <c r="J353" s="227" t="s">
        <v>2546</v>
      </c>
      <c r="K353" s="253" t="s">
        <v>3084</v>
      </c>
      <c r="L353" s="253" t="s">
        <v>2765</v>
      </c>
      <c r="M353" s="227" t="s">
        <v>2765</v>
      </c>
      <c r="N353" s="293"/>
      <c r="O353" s="293" t="str">
        <f>TablaPOA[[#This Row],[Cod_Sub_acción_especifica]]&amp;"_"&amp;TablaPOA[[#This Row],[Tipo de agente]]</f>
        <v>K31.2.3.1_EVP combustibles de uso automotor</v>
      </c>
      <c r="P353" s="254" t="s">
        <v>2882</v>
      </c>
      <c r="Q353" s="292" t="str">
        <f>TablaPOA[[#This Row],[Cod_Sub_acción_especifica]]&amp;"_"&amp;TablaPOA[[#This Row],[Cod_Tipo_agente]]</f>
        <v>K31.2.3.1_TA6</v>
      </c>
      <c r="R353" s="254" t="s">
        <v>2883</v>
      </c>
      <c r="S353" s="255" t="s">
        <v>2898</v>
      </c>
      <c r="T353" s="271" t="s">
        <v>2899</v>
      </c>
    </row>
    <row r="354" spans="1:20" ht="25.5" x14ac:dyDescent="0.25">
      <c r="A354" s="219" t="s">
        <v>2314</v>
      </c>
      <c r="B354" s="227">
        <v>31</v>
      </c>
      <c r="C354" s="227" t="s">
        <v>2691</v>
      </c>
      <c r="D354" s="227" t="s">
        <v>2988</v>
      </c>
      <c r="E354" s="227" t="s">
        <v>3160</v>
      </c>
      <c r="F354" s="227" t="s">
        <v>2695</v>
      </c>
      <c r="G354" s="227" t="s">
        <v>2490</v>
      </c>
      <c r="H354" s="253" t="s">
        <v>3163</v>
      </c>
      <c r="I354" s="253" t="s">
        <v>2712</v>
      </c>
      <c r="J354" s="227" t="s">
        <v>2546</v>
      </c>
      <c r="K354" s="253" t="s">
        <v>3084</v>
      </c>
      <c r="L354" s="253" t="s">
        <v>2765</v>
      </c>
      <c r="M354" s="227" t="s">
        <v>2765</v>
      </c>
      <c r="N354" s="293"/>
      <c r="O354" s="293" t="str">
        <f>TablaPOA[[#This Row],[Cod_Sub_acción_especifica]]&amp;"_"&amp;TablaPOA[[#This Row],[Tipo de agente]]</f>
        <v>K31.2.3.1_EVP combustibles de uso automotor</v>
      </c>
      <c r="P354" s="254" t="s">
        <v>2882</v>
      </c>
      <c r="Q354" s="292" t="str">
        <f>TablaPOA[[#This Row],[Cod_Sub_acción_especifica]]&amp;"_"&amp;TablaPOA[[#This Row],[Cod_Tipo_agente]]</f>
        <v>K31.2.3.1_TA6</v>
      </c>
      <c r="R354" s="254" t="s">
        <v>2883</v>
      </c>
      <c r="S354" s="255" t="s">
        <v>2900</v>
      </c>
      <c r="T354" s="271" t="s">
        <v>2901</v>
      </c>
    </row>
    <row r="355" spans="1:20" ht="25.5" x14ac:dyDescent="0.25">
      <c r="A355" s="268" t="s">
        <v>2314</v>
      </c>
      <c r="B355" s="248">
        <v>31</v>
      </c>
      <c r="C355" s="248" t="s">
        <v>2691</v>
      </c>
      <c r="D355" s="248" t="s">
        <v>2988</v>
      </c>
      <c r="E355" s="248" t="s">
        <v>3160</v>
      </c>
      <c r="F355" s="248" t="s">
        <v>2695</v>
      </c>
      <c r="G355" s="248" t="s">
        <v>2490</v>
      </c>
      <c r="H355" s="249" t="s">
        <v>3163</v>
      </c>
      <c r="I355" s="249" t="s">
        <v>2712</v>
      </c>
      <c r="J355" s="248" t="s">
        <v>2546</v>
      </c>
      <c r="K355" s="249" t="s">
        <v>3085</v>
      </c>
      <c r="L355" s="249" t="s">
        <v>2766</v>
      </c>
      <c r="M355" s="248" t="s">
        <v>2766</v>
      </c>
      <c r="N355" s="299" t="s">
        <v>2809</v>
      </c>
      <c r="O355" s="292" t="str">
        <f>TablaPOA[[#This Row],[Cod_Sub_acción_especifica]]&amp;"_"&amp;TablaPOA[[#This Row],[Tipo de agente]]</f>
        <v>K31.2.3.2_Consumidores directos de combustibles líquidos y OPDH</v>
      </c>
      <c r="P355" s="250" t="s">
        <v>2808</v>
      </c>
      <c r="Q355" s="292" t="str">
        <f>TablaPOA[[#This Row],[Cod_Sub_acción_especifica]]&amp;"_"&amp;TablaPOA[[#This Row],[Cod_Tipo_agente]]</f>
        <v>K31.2.3.2_TA1</v>
      </c>
      <c r="R355" s="250" t="s">
        <v>2809</v>
      </c>
      <c r="S355" s="251" t="s">
        <v>2810</v>
      </c>
      <c r="T355" s="269" t="s">
        <v>2811</v>
      </c>
    </row>
    <row r="356" spans="1:20" ht="25.5" x14ac:dyDescent="0.25">
      <c r="A356" s="268" t="s">
        <v>2314</v>
      </c>
      <c r="B356" s="248">
        <v>31</v>
      </c>
      <c r="C356" s="248" t="s">
        <v>2691</v>
      </c>
      <c r="D356" s="248" t="s">
        <v>2988</v>
      </c>
      <c r="E356" s="248" t="s">
        <v>3160</v>
      </c>
      <c r="F356" s="248" t="s">
        <v>2695</v>
      </c>
      <c r="G356" s="248" t="s">
        <v>2490</v>
      </c>
      <c r="H356" s="249" t="s">
        <v>3163</v>
      </c>
      <c r="I356" s="249" t="s">
        <v>2712</v>
      </c>
      <c r="J356" s="248" t="s">
        <v>2546</v>
      </c>
      <c r="K356" s="249" t="s">
        <v>3085</v>
      </c>
      <c r="L356" s="249" t="s">
        <v>2766</v>
      </c>
      <c r="M356" s="248" t="s">
        <v>2766</v>
      </c>
      <c r="N356" s="299" t="s">
        <v>2883</v>
      </c>
      <c r="O356" s="292" t="str">
        <f>TablaPOA[[#This Row],[Cod_Sub_acción_especifica]]&amp;"_"&amp;TablaPOA[[#This Row],[Tipo de agente]]</f>
        <v>K31.2.3.2_Consumidores directos de combustibles líquidos y OPDH</v>
      </c>
      <c r="P356" s="250" t="s">
        <v>2808</v>
      </c>
      <c r="Q356" s="292" t="str">
        <f>TablaPOA[[#This Row],[Cod_Sub_acción_especifica]]&amp;"_"&amp;TablaPOA[[#This Row],[Cod_Tipo_agente]]</f>
        <v>K31.2.3.2_TA1</v>
      </c>
      <c r="R356" s="250" t="s">
        <v>2809</v>
      </c>
      <c r="S356" s="251" t="s">
        <v>2812</v>
      </c>
      <c r="T356" s="269" t="s">
        <v>2813</v>
      </c>
    </row>
    <row r="357" spans="1:20" ht="25.5" x14ac:dyDescent="0.25">
      <c r="A357" s="268" t="s">
        <v>2314</v>
      </c>
      <c r="B357" s="248">
        <v>31</v>
      </c>
      <c r="C357" s="248" t="s">
        <v>2691</v>
      </c>
      <c r="D357" s="248" t="s">
        <v>2988</v>
      </c>
      <c r="E357" s="248" t="s">
        <v>3160</v>
      </c>
      <c r="F357" s="248" t="s">
        <v>2695</v>
      </c>
      <c r="G357" s="248" t="s">
        <v>2490</v>
      </c>
      <c r="H357" s="249" t="s">
        <v>3163</v>
      </c>
      <c r="I357" s="249" t="s">
        <v>2712</v>
      </c>
      <c r="J357" s="248" t="s">
        <v>2546</v>
      </c>
      <c r="K357" s="249" t="s">
        <v>3085</v>
      </c>
      <c r="L357" s="249" t="s">
        <v>2766</v>
      </c>
      <c r="M357" s="248" t="s">
        <v>2766</v>
      </c>
      <c r="N357" s="293"/>
      <c r="O357" s="293" t="str">
        <f>TablaPOA[[#This Row],[Cod_Sub_acción_especifica]]&amp;"_"&amp;TablaPOA[[#This Row],[Tipo de agente]]</f>
        <v>K31.2.3.2_Consumidores directos de combustibles líquidos y OPDH</v>
      </c>
      <c r="P357" s="250" t="s">
        <v>2808</v>
      </c>
      <c r="Q357" s="292" t="str">
        <f>TablaPOA[[#This Row],[Cod_Sub_acción_especifica]]&amp;"_"&amp;TablaPOA[[#This Row],[Cod_Tipo_agente]]</f>
        <v>K31.2.3.2_TA1</v>
      </c>
      <c r="R357" s="250" t="s">
        <v>2809</v>
      </c>
      <c r="S357" s="251" t="s">
        <v>2814</v>
      </c>
      <c r="T357" s="269" t="s">
        <v>2815</v>
      </c>
    </row>
    <row r="358" spans="1:20" ht="25.5" x14ac:dyDescent="0.25">
      <c r="A358" s="268" t="s">
        <v>2314</v>
      </c>
      <c r="B358" s="248">
        <v>31</v>
      </c>
      <c r="C358" s="248" t="s">
        <v>2691</v>
      </c>
      <c r="D358" s="248" t="s">
        <v>2988</v>
      </c>
      <c r="E358" s="248" t="s">
        <v>3160</v>
      </c>
      <c r="F358" s="248" t="s">
        <v>2695</v>
      </c>
      <c r="G358" s="248" t="s">
        <v>2490</v>
      </c>
      <c r="H358" s="249" t="s">
        <v>3163</v>
      </c>
      <c r="I358" s="249" t="s">
        <v>2712</v>
      </c>
      <c r="J358" s="248" t="s">
        <v>2546</v>
      </c>
      <c r="K358" s="249" t="s">
        <v>3085</v>
      </c>
      <c r="L358" s="249" t="s">
        <v>2766</v>
      </c>
      <c r="M358" s="248" t="s">
        <v>2766</v>
      </c>
      <c r="N358" s="293"/>
      <c r="O358" s="293" t="str">
        <f>TablaPOA[[#This Row],[Cod_Sub_acción_especifica]]&amp;"_"&amp;TablaPOA[[#This Row],[Tipo de agente]]</f>
        <v>K31.2.3.2_Consumidores directos de combustibles líquidos y OPDH</v>
      </c>
      <c r="P358" s="250" t="s">
        <v>2808</v>
      </c>
      <c r="Q358" s="292" t="str">
        <f>TablaPOA[[#This Row],[Cod_Sub_acción_especifica]]&amp;"_"&amp;TablaPOA[[#This Row],[Cod_Tipo_agente]]</f>
        <v>K31.2.3.2_TA1</v>
      </c>
      <c r="R358" s="250" t="s">
        <v>2809</v>
      </c>
      <c r="S358" s="251" t="s">
        <v>2816</v>
      </c>
      <c r="T358" s="269" t="s">
        <v>2817</v>
      </c>
    </row>
    <row r="359" spans="1:20" ht="25.5" x14ac:dyDescent="0.25">
      <c r="A359" s="268" t="s">
        <v>2314</v>
      </c>
      <c r="B359" s="248">
        <v>31</v>
      </c>
      <c r="C359" s="248" t="s">
        <v>2691</v>
      </c>
      <c r="D359" s="248" t="s">
        <v>2988</v>
      </c>
      <c r="E359" s="248" t="s">
        <v>3160</v>
      </c>
      <c r="F359" s="248" t="s">
        <v>2695</v>
      </c>
      <c r="G359" s="248" t="s">
        <v>2490</v>
      </c>
      <c r="H359" s="249" t="s">
        <v>3163</v>
      </c>
      <c r="I359" s="249" t="s">
        <v>2712</v>
      </c>
      <c r="J359" s="248" t="s">
        <v>2546</v>
      </c>
      <c r="K359" s="249" t="s">
        <v>3085</v>
      </c>
      <c r="L359" s="249" t="s">
        <v>2766</v>
      </c>
      <c r="M359" s="248" t="s">
        <v>2766</v>
      </c>
      <c r="N359" s="293"/>
      <c r="O359" s="293" t="str">
        <f>TablaPOA[[#This Row],[Cod_Sub_acción_especifica]]&amp;"_"&amp;TablaPOA[[#This Row],[Tipo de agente]]</f>
        <v>K31.2.3.2_Consumidores directos de combustibles líquidos y OPDH</v>
      </c>
      <c r="P359" s="250" t="s">
        <v>2808</v>
      </c>
      <c r="Q359" s="292" t="str">
        <f>TablaPOA[[#This Row],[Cod_Sub_acción_especifica]]&amp;"_"&amp;TablaPOA[[#This Row],[Cod_Tipo_agente]]</f>
        <v>K31.2.3.2_TA1</v>
      </c>
      <c r="R359" s="250" t="s">
        <v>2809</v>
      </c>
      <c r="S359" s="251" t="s">
        <v>2818</v>
      </c>
      <c r="T359" s="269" t="s">
        <v>2819</v>
      </c>
    </row>
    <row r="360" spans="1:20" ht="25.5" x14ac:dyDescent="0.25">
      <c r="A360" s="268" t="s">
        <v>2314</v>
      </c>
      <c r="B360" s="248">
        <v>31</v>
      </c>
      <c r="C360" s="248" t="s">
        <v>2691</v>
      </c>
      <c r="D360" s="248" t="s">
        <v>2988</v>
      </c>
      <c r="E360" s="248" t="s">
        <v>3160</v>
      </c>
      <c r="F360" s="248" t="s">
        <v>2695</v>
      </c>
      <c r="G360" s="248" t="s">
        <v>2490</v>
      </c>
      <c r="H360" s="249" t="s">
        <v>3163</v>
      </c>
      <c r="I360" s="249" t="s">
        <v>2712</v>
      </c>
      <c r="J360" s="248" t="s">
        <v>2546</v>
      </c>
      <c r="K360" s="249" t="s">
        <v>3085</v>
      </c>
      <c r="L360" s="249" t="s">
        <v>2766</v>
      </c>
      <c r="M360" s="248" t="s">
        <v>2766</v>
      </c>
      <c r="N360" s="293"/>
      <c r="O360" s="293" t="str">
        <f>TablaPOA[[#This Row],[Cod_Sub_acción_especifica]]&amp;"_"&amp;TablaPOA[[#This Row],[Tipo de agente]]</f>
        <v>K31.2.3.2_Consumidores directos de combustibles líquidos y OPDH</v>
      </c>
      <c r="P360" s="250" t="s">
        <v>2808</v>
      </c>
      <c r="Q360" s="292" t="str">
        <f>TablaPOA[[#This Row],[Cod_Sub_acción_especifica]]&amp;"_"&amp;TablaPOA[[#This Row],[Cod_Tipo_agente]]</f>
        <v>K31.2.3.2_TA1</v>
      </c>
      <c r="R360" s="250" t="s">
        <v>2809</v>
      </c>
      <c r="S360" s="251" t="s">
        <v>2820</v>
      </c>
      <c r="T360" s="269" t="s">
        <v>2821</v>
      </c>
    </row>
    <row r="361" spans="1:20" ht="25.5" x14ac:dyDescent="0.25">
      <c r="A361" s="268" t="s">
        <v>2314</v>
      </c>
      <c r="B361" s="248">
        <v>31</v>
      </c>
      <c r="C361" s="248" t="s">
        <v>2691</v>
      </c>
      <c r="D361" s="248" t="s">
        <v>2988</v>
      </c>
      <c r="E361" s="248" t="s">
        <v>3160</v>
      </c>
      <c r="F361" s="248" t="s">
        <v>2695</v>
      </c>
      <c r="G361" s="248" t="s">
        <v>2490</v>
      </c>
      <c r="H361" s="249" t="s">
        <v>3163</v>
      </c>
      <c r="I361" s="249" t="s">
        <v>2712</v>
      </c>
      <c r="J361" s="248" t="s">
        <v>2546</v>
      </c>
      <c r="K361" s="249" t="s">
        <v>3085</v>
      </c>
      <c r="L361" s="249" t="s">
        <v>2766</v>
      </c>
      <c r="M361" s="248" t="s">
        <v>2766</v>
      </c>
      <c r="N361" s="293"/>
      <c r="O361" s="293" t="str">
        <f>TablaPOA[[#This Row],[Cod_Sub_acción_especifica]]&amp;"_"&amp;TablaPOA[[#This Row],[Tipo de agente]]</f>
        <v>K31.2.3.2_Consumidores directos de combustibles líquidos y OPDH</v>
      </c>
      <c r="P361" s="250" t="s">
        <v>2808</v>
      </c>
      <c r="Q361" s="292" t="str">
        <f>TablaPOA[[#This Row],[Cod_Sub_acción_especifica]]&amp;"_"&amp;TablaPOA[[#This Row],[Cod_Tipo_agente]]</f>
        <v>K31.2.3.2_TA1</v>
      </c>
      <c r="R361" s="250" t="s">
        <v>2809</v>
      </c>
      <c r="S361" s="251" t="s">
        <v>2822</v>
      </c>
      <c r="T361" s="269" t="s">
        <v>2823</v>
      </c>
    </row>
    <row r="362" spans="1:20" ht="25.5" x14ac:dyDescent="0.25">
      <c r="A362" s="268" t="s">
        <v>2314</v>
      </c>
      <c r="B362" s="248">
        <v>31</v>
      </c>
      <c r="C362" s="248" t="s">
        <v>2691</v>
      </c>
      <c r="D362" s="248" t="s">
        <v>2988</v>
      </c>
      <c r="E362" s="248" t="s">
        <v>3160</v>
      </c>
      <c r="F362" s="248" t="s">
        <v>2695</v>
      </c>
      <c r="G362" s="248" t="s">
        <v>2490</v>
      </c>
      <c r="H362" s="249" t="s">
        <v>3163</v>
      </c>
      <c r="I362" s="249" t="s">
        <v>2712</v>
      </c>
      <c r="J362" s="248" t="s">
        <v>2546</v>
      </c>
      <c r="K362" s="249" t="s">
        <v>3085</v>
      </c>
      <c r="L362" s="249" t="s">
        <v>2766</v>
      </c>
      <c r="M362" s="248" t="s">
        <v>2766</v>
      </c>
      <c r="N362" s="293"/>
      <c r="O362" s="293" t="str">
        <f>TablaPOA[[#This Row],[Cod_Sub_acción_especifica]]&amp;"_"&amp;TablaPOA[[#This Row],[Tipo de agente]]</f>
        <v>K31.2.3.2_Consumidores directos de combustibles líquidos y OPDH</v>
      </c>
      <c r="P362" s="250" t="s">
        <v>2808</v>
      </c>
      <c r="Q362" s="292" t="str">
        <f>TablaPOA[[#This Row],[Cod_Sub_acción_especifica]]&amp;"_"&amp;TablaPOA[[#This Row],[Cod_Tipo_agente]]</f>
        <v>K31.2.3.2_TA1</v>
      </c>
      <c r="R362" s="250" t="s">
        <v>2809</v>
      </c>
      <c r="S362" s="251" t="s">
        <v>2824</v>
      </c>
      <c r="T362" s="269" t="s">
        <v>2825</v>
      </c>
    </row>
    <row r="363" spans="1:20" ht="25.5" x14ac:dyDescent="0.25">
      <c r="A363" s="268" t="s">
        <v>2314</v>
      </c>
      <c r="B363" s="248">
        <v>31</v>
      </c>
      <c r="C363" s="248" t="s">
        <v>2691</v>
      </c>
      <c r="D363" s="248" t="s">
        <v>2988</v>
      </c>
      <c r="E363" s="248" t="s">
        <v>3160</v>
      </c>
      <c r="F363" s="248" t="s">
        <v>2695</v>
      </c>
      <c r="G363" s="248" t="s">
        <v>2490</v>
      </c>
      <c r="H363" s="249" t="s">
        <v>3163</v>
      </c>
      <c r="I363" s="249" t="s">
        <v>2712</v>
      </c>
      <c r="J363" s="248" t="s">
        <v>2546</v>
      </c>
      <c r="K363" s="249" t="s">
        <v>3085</v>
      </c>
      <c r="L363" s="249" t="s">
        <v>2766</v>
      </c>
      <c r="M363" s="248" t="s">
        <v>2766</v>
      </c>
      <c r="N363" s="293"/>
      <c r="O363" s="293" t="str">
        <f>TablaPOA[[#This Row],[Cod_Sub_acción_especifica]]&amp;"_"&amp;TablaPOA[[#This Row],[Tipo de agente]]</f>
        <v>K31.2.3.2_Consumidores directos de combustibles líquidos y OPDH</v>
      </c>
      <c r="P363" s="250" t="s">
        <v>2808</v>
      </c>
      <c r="Q363" s="292" t="str">
        <f>TablaPOA[[#This Row],[Cod_Sub_acción_especifica]]&amp;"_"&amp;TablaPOA[[#This Row],[Cod_Tipo_agente]]</f>
        <v>K31.2.3.2_TA1</v>
      </c>
      <c r="R363" s="250" t="s">
        <v>2809</v>
      </c>
      <c r="S363" s="251" t="s">
        <v>2826</v>
      </c>
      <c r="T363" s="269" t="s">
        <v>2827</v>
      </c>
    </row>
    <row r="364" spans="1:20" ht="25.5" x14ac:dyDescent="0.25">
      <c r="A364" s="268" t="s">
        <v>2314</v>
      </c>
      <c r="B364" s="248">
        <v>31</v>
      </c>
      <c r="C364" s="248" t="s">
        <v>2691</v>
      </c>
      <c r="D364" s="248" t="s">
        <v>2988</v>
      </c>
      <c r="E364" s="248" t="s">
        <v>3160</v>
      </c>
      <c r="F364" s="248" t="s">
        <v>2695</v>
      </c>
      <c r="G364" s="248" t="s">
        <v>2490</v>
      </c>
      <c r="H364" s="249" t="s">
        <v>3163</v>
      </c>
      <c r="I364" s="249" t="s">
        <v>2712</v>
      </c>
      <c r="J364" s="248" t="s">
        <v>2546</v>
      </c>
      <c r="K364" s="249" t="s">
        <v>3085</v>
      </c>
      <c r="L364" s="249" t="s">
        <v>2766</v>
      </c>
      <c r="M364" s="248" t="s">
        <v>2766</v>
      </c>
      <c r="N364" s="293"/>
      <c r="O364" s="293" t="str">
        <f>TablaPOA[[#This Row],[Cod_Sub_acción_especifica]]&amp;"_"&amp;TablaPOA[[#This Row],[Tipo de agente]]</f>
        <v>K31.2.3.2_Consumidores directos de combustibles líquidos y OPDH</v>
      </c>
      <c r="P364" s="250" t="s">
        <v>2808</v>
      </c>
      <c r="Q364" s="292" t="str">
        <f>TablaPOA[[#This Row],[Cod_Sub_acción_especifica]]&amp;"_"&amp;TablaPOA[[#This Row],[Cod_Tipo_agente]]</f>
        <v>K31.2.3.2_TA1</v>
      </c>
      <c r="R364" s="250" t="s">
        <v>2809</v>
      </c>
      <c r="S364" s="251" t="s">
        <v>2828</v>
      </c>
      <c r="T364" s="269" t="s">
        <v>2829</v>
      </c>
    </row>
    <row r="365" spans="1:20" ht="25.5" x14ac:dyDescent="0.25">
      <c r="A365" s="268" t="s">
        <v>2314</v>
      </c>
      <c r="B365" s="248">
        <v>31</v>
      </c>
      <c r="C365" s="248" t="s">
        <v>2691</v>
      </c>
      <c r="D365" s="248" t="s">
        <v>2988</v>
      </c>
      <c r="E365" s="248" t="s">
        <v>3160</v>
      </c>
      <c r="F365" s="248" t="s">
        <v>2695</v>
      </c>
      <c r="G365" s="248" t="s">
        <v>2490</v>
      </c>
      <c r="H365" s="249" t="s">
        <v>3163</v>
      </c>
      <c r="I365" s="249" t="s">
        <v>2712</v>
      </c>
      <c r="J365" s="248" t="s">
        <v>2546</v>
      </c>
      <c r="K365" s="249" t="s">
        <v>3085</v>
      </c>
      <c r="L365" s="249" t="s">
        <v>2766</v>
      </c>
      <c r="M365" s="248" t="s">
        <v>2766</v>
      </c>
      <c r="N365" s="293"/>
      <c r="O365" s="293" t="str">
        <f>TablaPOA[[#This Row],[Cod_Sub_acción_especifica]]&amp;"_"&amp;TablaPOA[[#This Row],[Tipo de agente]]</f>
        <v>K31.2.3.2_EVP combustibles de uso automotor</v>
      </c>
      <c r="P365" s="250" t="s">
        <v>2882</v>
      </c>
      <c r="Q365" s="292" t="str">
        <f>TablaPOA[[#This Row],[Cod_Sub_acción_especifica]]&amp;"_"&amp;TablaPOA[[#This Row],[Cod_Tipo_agente]]</f>
        <v>K31.2.3.2_TA6</v>
      </c>
      <c r="R365" s="250" t="s">
        <v>2883</v>
      </c>
      <c r="S365" s="251" t="s">
        <v>2884</v>
      </c>
      <c r="T365" s="269" t="s">
        <v>2885</v>
      </c>
    </row>
    <row r="366" spans="1:20" ht="25.5" x14ac:dyDescent="0.25">
      <c r="A366" s="268" t="s">
        <v>2314</v>
      </c>
      <c r="B366" s="248">
        <v>31</v>
      </c>
      <c r="C366" s="248" t="s">
        <v>2691</v>
      </c>
      <c r="D366" s="248" t="s">
        <v>2988</v>
      </c>
      <c r="E366" s="248" t="s">
        <v>3160</v>
      </c>
      <c r="F366" s="248" t="s">
        <v>2695</v>
      </c>
      <c r="G366" s="248" t="s">
        <v>2490</v>
      </c>
      <c r="H366" s="249" t="s">
        <v>3163</v>
      </c>
      <c r="I366" s="249" t="s">
        <v>2712</v>
      </c>
      <c r="J366" s="248" t="s">
        <v>2546</v>
      </c>
      <c r="K366" s="249" t="s">
        <v>3085</v>
      </c>
      <c r="L366" s="249" t="s">
        <v>2766</v>
      </c>
      <c r="M366" s="248" t="s">
        <v>2766</v>
      </c>
      <c r="N366" s="293"/>
      <c r="O366" s="293" t="str">
        <f>TablaPOA[[#This Row],[Cod_Sub_acción_especifica]]&amp;"_"&amp;TablaPOA[[#This Row],[Tipo de agente]]</f>
        <v>K31.2.3.2_EVP combustibles de uso automotor</v>
      </c>
      <c r="P366" s="250" t="s">
        <v>2882</v>
      </c>
      <c r="Q366" s="292" t="str">
        <f>TablaPOA[[#This Row],[Cod_Sub_acción_especifica]]&amp;"_"&amp;TablaPOA[[#This Row],[Cod_Tipo_agente]]</f>
        <v>K31.2.3.2_TA6</v>
      </c>
      <c r="R366" s="250" t="s">
        <v>2883</v>
      </c>
      <c r="S366" s="251" t="s">
        <v>2886</v>
      </c>
      <c r="T366" s="269" t="s">
        <v>2887</v>
      </c>
    </row>
    <row r="367" spans="1:20" ht="25.5" x14ac:dyDescent="0.25">
      <c r="A367" s="268" t="s">
        <v>2314</v>
      </c>
      <c r="B367" s="248">
        <v>31</v>
      </c>
      <c r="C367" s="248" t="s">
        <v>2691</v>
      </c>
      <c r="D367" s="248" t="s">
        <v>2988</v>
      </c>
      <c r="E367" s="248" t="s">
        <v>3160</v>
      </c>
      <c r="F367" s="248" t="s">
        <v>2695</v>
      </c>
      <c r="G367" s="248" t="s">
        <v>2490</v>
      </c>
      <c r="H367" s="249" t="s">
        <v>3163</v>
      </c>
      <c r="I367" s="249" t="s">
        <v>2712</v>
      </c>
      <c r="J367" s="248" t="s">
        <v>2546</v>
      </c>
      <c r="K367" s="249" t="s">
        <v>3085</v>
      </c>
      <c r="L367" s="249" t="s">
        <v>2766</v>
      </c>
      <c r="M367" s="248" t="s">
        <v>2766</v>
      </c>
      <c r="N367" s="293"/>
      <c r="O367" s="293" t="str">
        <f>TablaPOA[[#This Row],[Cod_Sub_acción_especifica]]&amp;"_"&amp;TablaPOA[[#This Row],[Tipo de agente]]</f>
        <v>K31.2.3.2_EVP combustibles de uso automotor</v>
      </c>
      <c r="P367" s="250" t="s">
        <v>2882</v>
      </c>
      <c r="Q367" s="292" t="str">
        <f>TablaPOA[[#This Row],[Cod_Sub_acción_especifica]]&amp;"_"&amp;TablaPOA[[#This Row],[Cod_Tipo_agente]]</f>
        <v>K31.2.3.2_TA6</v>
      </c>
      <c r="R367" s="250" t="s">
        <v>2883</v>
      </c>
      <c r="S367" s="251" t="s">
        <v>2890</v>
      </c>
      <c r="T367" s="269" t="s">
        <v>2891</v>
      </c>
    </row>
    <row r="368" spans="1:20" ht="25.5" x14ac:dyDescent="0.25">
      <c r="A368" s="268" t="s">
        <v>2314</v>
      </c>
      <c r="B368" s="248">
        <v>31</v>
      </c>
      <c r="C368" s="248" t="s">
        <v>2691</v>
      </c>
      <c r="D368" s="248" t="s">
        <v>2988</v>
      </c>
      <c r="E368" s="248" t="s">
        <v>3160</v>
      </c>
      <c r="F368" s="248" t="s">
        <v>2695</v>
      </c>
      <c r="G368" s="248" t="s">
        <v>2490</v>
      </c>
      <c r="H368" s="249" t="s">
        <v>3163</v>
      </c>
      <c r="I368" s="249" t="s">
        <v>2712</v>
      </c>
      <c r="J368" s="248" t="s">
        <v>2546</v>
      </c>
      <c r="K368" s="249" t="s">
        <v>3085</v>
      </c>
      <c r="L368" s="249" t="s">
        <v>2766</v>
      </c>
      <c r="M368" s="248" t="s">
        <v>2766</v>
      </c>
      <c r="N368" s="293"/>
      <c r="O368" s="293" t="str">
        <f>TablaPOA[[#This Row],[Cod_Sub_acción_especifica]]&amp;"_"&amp;TablaPOA[[#This Row],[Tipo de agente]]</f>
        <v>K31.2.3.2_EVP combustibles de uso automotor</v>
      </c>
      <c r="P368" s="250" t="s">
        <v>2882</v>
      </c>
      <c r="Q368" s="292" t="str">
        <f>TablaPOA[[#This Row],[Cod_Sub_acción_especifica]]&amp;"_"&amp;TablaPOA[[#This Row],[Cod_Tipo_agente]]</f>
        <v>K31.2.3.2_TA6</v>
      </c>
      <c r="R368" s="250" t="s">
        <v>2883</v>
      </c>
      <c r="S368" s="251" t="s">
        <v>2892</v>
      </c>
      <c r="T368" s="269" t="s">
        <v>2893</v>
      </c>
    </row>
    <row r="369" spans="1:20" ht="25.5" x14ac:dyDescent="0.25">
      <c r="A369" s="268" t="s">
        <v>2314</v>
      </c>
      <c r="B369" s="248">
        <v>31</v>
      </c>
      <c r="C369" s="248" t="s">
        <v>2691</v>
      </c>
      <c r="D369" s="248" t="s">
        <v>2988</v>
      </c>
      <c r="E369" s="248" t="s">
        <v>3160</v>
      </c>
      <c r="F369" s="248" t="s">
        <v>2695</v>
      </c>
      <c r="G369" s="248" t="s">
        <v>2490</v>
      </c>
      <c r="H369" s="249" t="s">
        <v>3163</v>
      </c>
      <c r="I369" s="249" t="s">
        <v>2712</v>
      </c>
      <c r="J369" s="248" t="s">
        <v>2546</v>
      </c>
      <c r="K369" s="249" t="s">
        <v>3085</v>
      </c>
      <c r="L369" s="249" t="s">
        <v>2766</v>
      </c>
      <c r="M369" s="248" t="s">
        <v>2766</v>
      </c>
      <c r="N369" s="293"/>
      <c r="O369" s="293" t="str">
        <f>TablaPOA[[#This Row],[Cod_Sub_acción_especifica]]&amp;"_"&amp;TablaPOA[[#This Row],[Tipo de agente]]</f>
        <v>K31.2.3.2_EVP combustibles de uso automotor</v>
      </c>
      <c r="P369" s="250" t="s">
        <v>2882</v>
      </c>
      <c r="Q369" s="292" t="str">
        <f>TablaPOA[[#This Row],[Cod_Sub_acción_especifica]]&amp;"_"&amp;TablaPOA[[#This Row],[Cod_Tipo_agente]]</f>
        <v>K31.2.3.2_TA6</v>
      </c>
      <c r="R369" s="250" t="s">
        <v>2883</v>
      </c>
      <c r="S369" s="251" t="s">
        <v>2894</v>
      </c>
      <c r="T369" s="269" t="s">
        <v>2895</v>
      </c>
    </row>
    <row r="370" spans="1:20" ht="25.5" x14ac:dyDescent="0.25">
      <c r="A370" s="268" t="s">
        <v>2314</v>
      </c>
      <c r="B370" s="248">
        <v>31</v>
      </c>
      <c r="C370" s="248" t="s">
        <v>2691</v>
      </c>
      <c r="D370" s="248" t="s">
        <v>2988</v>
      </c>
      <c r="E370" s="248" t="s">
        <v>3160</v>
      </c>
      <c r="F370" s="248" t="s">
        <v>2695</v>
      </c>
      <c r="G370" s="248" t="s">
        <v>2490</v>
      </c>
      <c r="H370" s="249" t="s">
        <v>3163</v>
      </c>
      <c r="I370" s="249" t="s">
        <v>2712</v>
      </c>
      <c r="J370" s="248" t="s">
        <v>2546</v>
      </c>
      <c r="K370" s="249" t="s">
        <v>3085</v>
      </c>
      <c r="L370" s="249" t="s">
        <v>2766</v>
      </c>
      <c r="M370" s="248" t="s">
        <v>2766</v>
      </c>
      <c r="N370" s="293"/>
      <c r="O370" s="293" t="str">
        <f>TablaPOA[[#This Row],[Cod_Sub_acción_especifica]]&amp;"_"&amp;TablaPOA[[#This Row],[Tipo de agente]]</f>
        <v>K31.2.3.2_EVP combustibles de uso automotor</v>
      </c>
      <c r="P370" s="250" t="s">
        <v>2882</v>
      </c>
      <c r="Q370" s="292" t="str">
        <f>TablaPOA[[#This Row],[Cod_Sub_acción_especifica]]&amp;"_"&amp;TablaPOA[[#This Row],[Cod_Tipo_agente]]</f>
        <v>K31.2.3.2_TA6</v>
      </c>
      <c r="R370" s="250" t="s">
        <v>2883</v>
      </c>
      <c r="S370" s="251" t="s">
        <v>2896</v>
      </c>
      <c r="T370" s="269" t="s">
        <v>2897</v>
      </c>
    </row>
    <row r="371" spans="1:20" ht="25.5" x14ac:dyDescent="0.25">
      <c r="A371" s="268" t="s">
        <v>2314</v>
      </c>
      <c r="B371" s="248">
        <v>31</v>
      </c>
      <c r="C371" s="248" t="s">
        <v>2691</v>
      </c>
      <c r="D371" s="248" t="s">
        <v>2988</v>
      </c>
      <c r="E371" s="248" t="s">
        <v>3160</v>
      </c>
      <c r="F371" s="248" t="s">
        <v>2695</v>
      </c>
      <c r="G371" s="248" t="s">
        <v>2490</v>
      </c>
      <c r="H371" s="249" t="s">
        <v>3163</v>
      </c>
      <c r="I371" s="249" t="s">
        <v>2712</v>
      </c>
      <c r="J371" s="248" t="s">
        <v>2546</v>
      </c>
      <c r="K371" s="249" t="s">
        <v>3085</v>
      </c>
      <c r="L371" s="249" t="s">
        <v>2766</v>
      </c>
      <c r="M371" s="248" t="s">
        <v>2766</v>
      </c>
      <c r="N371" s="293"/>
      <c r="O371" s="293" t="str">
        <f>TablaPOA[[#This Row],[Cod_Sub_acción_especifica]]&amp;"_"&amp;TablaPOA[[#This Row],[Tipo de agente]]</f>
        <v>K31.2.3.2_EVP combustibles de uso automotor</v>
      </c>
      <c r="P371" s="250" t="s">
        <v>2882</v>
      </c>
      <c r="Q371" s="292" t="str">
        <f>TablaPOA[[#This Row],[Cod_Sub_acción_especifica]]&amp;"_"&amp;TablaPOA[[#This Row],[Cod_Tipo_agente]]</f>
        <v>K31.2.3.2_TA6</v>
      </c>
      <c r="R371" s="250" t="s">
        <v>2883</v>
      </c>
      <c r="S371" s="251" t="s">
        <v>2898</v>
      </c>
      <c r="T371" s="269" t="s">
        <v>2899</v>
      </c>
    </row>
    <row r="372" spans="1:20" ht="25.5" x14ac:dyDescent="0.25">
      <c r="A372" s="268" t="s">
        <v>2314</v>
      </c>
      <c r="B372" s="248">
        <v>31</v>
      </c>
      <c r="C372" s="248" t="s">
        <v>2691</v>
      </c>
      <c r="D372" s="248" t="s">
        <v>2988</v>
      </c>
      <c r="E372" s="248" t="s">
        <v>3160</v>
      </c>
      <c r="F372" s="248" t="s">
        <v>2695</v>
      </c>
      <c r="G372" s="248" t="s">
        <v>2490</v>
      </c>
      <c r="H372" s="249" t="s">
        <v>3163</v>
      </c>
      <c r="I372" s="249" t="s">
        <v>2712</v>
      </c>
      <c r="J372" s="248" t="s">
        <v>2546</v>
      </c>
      <c r="K372" s="249" t="s">
        <v>3085</v>
      </c>
      <c r="L372" s="249" t="s">
        <v>2766</v>
      </c>
      <c r="M372" s="248" t="s">
        <v>2766</v>
      </c>
      <c r="N372" s="293"/>
      <c r="O372" s="293" t="str">
        <f>TablaPOA[[#This Row],[Cod_Sub_acción_especifica]]&amp;"_"&amp;TablaPOA[[#This Row],[Tipo de agente]]</f>
        <v>K31.2.3.2_EVP combustibles de uso automotor</v>
      </c>
      <c r="P372" s="250" t="s">
        <v>2882</v>
      </c>
      <c r="Q372" s="292" t="str">
        <f>TablaPOA[[#This Row],[Cod_Sub_acción_especifica]]&amp;"_"&amp;TablaPOA[[#This Row],[Cod_Tipo_agente]]</f>
        <v>K31.2.3.2_TA6</v>
      </c>
      <c r="R372" s="250" t="s">
        <v>2883</v>
      </c>
      <c r="S372" s="251" t="s">
        <v>2900</v>
      </c>
      <c r="T372" s="269" t="s">
        <v>2901</v>
      </c>
    </row>
    <row r="373" spans="1:20" ht="25.5" x14ac:dyDescent="0.25">
      <c r="A373" s="219" t="s">
        <v>2314</v>
      </c>
      <c r="B373" s="227">
        <v>31</v>
      </c>
      <c r="C373" s="227" t="s">
        <v>2691</v>
      </c>
      <c r="D373" s="227" t="s">
        <v>2988</v>
      </c>
      <c r="E373" s="227" t="s">
        <v>3160</v>
      </c>
      <c r="F373" s="227" t="s">
        <v>2695</v>
      </c>
      <c r="G373" s="227" t="s">
        <v>2490</v>
      </c>
      <c r="H373" s="253" t="s">
        <v>3164</v>
      </c>
      <c r="I373" s="253" t="s">
        <v>2713</v>
      </c>
      <c r="J373" s="227" t="s">
        <v>2547</v>
      </c>
      <c r="K373" s="253" t="s">
        <v>3086</v>
      </c>
      <c r="L373" s="253" t="s">
        <v>2713</v>
      </c>
      <c r="M373" s="227" t="s">
        <v>3002</v>
      </c>
      <c r="N373" s="299" t="s">
        <v>2883</v>
      </c>
      <c r="O373" s="292" t="str">
        <f>TablaPOA[[#This Row],[Cod_Sub_acción_especifica]]&amp;"_"&amp;TablaPOA[[#This Row],[Tipo de agente]]</f>
        <v>K31.2.4.1_EVP combustibles de uso automotor</v>
      </c>
      <c r="P373" s="254" t="s">
        <v>2882</v>
      </c>
      <c r="Q373" s="292" t="str">
        <f>TablaPOA[[#This Row],[Cod_Sub_acción_especifica]]&amp;"_"&amp;TablaPOA[[#This Row],[Cod_Tipo_agente]]</f>
        <v>K31.2.4.1_TA6</v>
      </c>
      <c r="R373" s="254" t="s">
        <v>2883</v>
      </c>
      <c r="S373" s="255" t="s">
        <v>2884</v>
      </c>
      <c r="T373" s="271" t="s">
        <v>2885</v>
      </c>
    </row>
    <row r="374" spans="1:20" ht="25.5" x14ac:dyDescent="0.25">
      <c r="A374" s="219" t="s">
        <v>2314</v>
      </c>
      <c r="B374" s="227">
        <v>31</v>
      </c>
      <c r="C374" s="227" t="s">
        <v>2691</v>
      </c>
      <c r="D374" s="227" t="s">
        <v>2988</v>
      </c>
      <c r="E374" s="227" t="s">
        <v>3160</v>
      </c>
      <c r="F374" s="227" t="s">
        <v>2695</v>
      </c>
      <c r="G374" s="227" t="s">
        <v>2490</v>
      </c>
      <c r="H374" s="253" t="s">
        <v>3164</v>
      </c>
      <c r="I374" s="253" t="s">
        <v>2713</v>
      </c>
      <c r="J374" s="227" t="s">
        <v>2547</v>
      </c>
      <c r="K374" s="253" t="s">
        <v>3086</v>
      </c>
      <c r="L374" s="253" t="s">
        <v>2713</v>
      </c>
      <c r="M374" s="227" t="s">
        <v>3002</v>
      </c>
      <c r="N374" s="293"/>
      <c r="O374" s="293" t="str">
        <f>TablaPOA[[#This Row],[Cod_Sub_acción_especifica]]&amp;"_"&amp;TablaPOA[[#This Row],[Tipo de agente]]</f>
        <v>K31.2.4.1_EVP combustibles de uso automotor</v>
      </c>
      <c r="P374" s="254" t="s">
        <v>2882</v>
      </c>
      <c r="Q374" s="292" t="str">
        <f>TablaPOA[[#This Row],[Cod_Sub_acción_especifica]]&amp;"_"&amp;TablaPOA[[#This Row],[Cod_Tipo_agente]]</f>
        <v>K31.2.4.1_TA6</v>
      </c>
      <c r="R374" s="254" t="s">
        <v>2883</v>
      </c>
      <c r="S374" s="255" t="s">
        <v>2886</v>
      </c>
      <c r="T374" s="271" t="s">
        <v>2887</v>
      </c>
    </row>
    <row r="375" spans="1:20" ht="25.5" x14ac:dyDescent="0.25">
      <c r="A375" s="219" t="s">
        <v>2314</v>
      </c>
      <c r="B375" s="227">
        <v>31</v>
      </c>
      <c r="C375" s="227" t="s">
        <v>2691</v>
      </c>
      <c r="D375" s="227" t="s">
        <v>2988</v>
      </c>
      <c r="E375" s="227" t="s">
        <v>3160</v>
      </c>
      <c r="F375" s="227" t="s">
        <v>2695</v>
      </c>
      <c r="G375" s="227" t="s">
        <v>2490</v>
      </c>
      <c r="H375" s="253" t="s">
        <v>3164</v>
      </c>
      <c r="I375" s="253" t="s">
        <v>2713</v>
      </c>
      <c r="J375" s="227" t="s">
        <v>2547</v>
      </c>
      <c r="K375" s="253" t="s">
        <v>3086</v>
      </c>
      <c r="L375" s="253" t="s">
        <v>2713</v>
      </c>
      <c r="M375" s="227" t="s">
        <v>3002</v>
      </c>
      <c r="N375" s="293"/>
      <c r="O375" s="293" t="str">
        <f>TablaPOA[[#This Row],[Cod_Sub_acción_especifica]]&amp;"_"&amp;TablaPOA[[#This Row],[Tipo de agente]]</f>
        <v>K31.2.4.1_EVP combustibles de uso automotor</v>
      </c>
      <c r="P375" s="254" t="s">
        <v>2882</v>
      </c>
      <c r="Q375" s="292" t="str">
        <f>TablaPOA[[#This Row],[Cod_Sub_acción_especifica]]&amp;"_"&amp;TablaPOA[[#This Row],[Cod_Tipo_agente]]</f>
        <v>K31.2.4.1_TA6</v>
      </c>
      <c r="R375" s="254" t="s">
        <v>2883</v>
      </c>
      <c r="S375" s="255" t="s">
        <v>2890</v>
      </c>
      <c r="T375" s="271" t="s">
        <v>2891</v>
      </c>
    </row>
    <row r="376" spans="1:20" ht="25.5" x14ac:dyDescent="0.25">
      <c r="A376" s="219" t="s">
        <v>2314</v>
      </c>
      <c r="B376" s="227">
        <v>31</v>
      </c>
      <c r="C376" s="227" t="s">
        <v>2691</v>
      </c>
      <c r="D376" s="227" t="s">
        <v>2988</v>
      </c>
      <c r="E376" s="227" t="s">
        <v>3160</v>
      </c>
      <c r="F376" s="227" t="s">
        <v>2695</v>
      </c>
      <c r="G376" s="227" t="s">
        <v>2490</v>
      </c>
      <c r="H376" s="253" t="s">
        <v>3164</v>
      </c>
      <c r="I376" s="253" t="s">
        <v>2713</v>
      </c>
      <c r="J376" s="227" t="s">
        <v>2547</v>
      </c>
      <c r="K376" s="253" t="s">
        <v>3086</v>
      </c>
      <c r="L376" s="253" t="s">
        <v>2713</v>
      </c>
      <c r="M376" s="227" t="s">
        <v>3002</v>
      </c>
      <c r="N376" s="293"/>
      <c r="O376" s="293" t="str">
        <f>TablaPOA[[#This Row],[Cod_Sub_acción_especifica]]&amp;"_"&amp;TablaPOA[[#This Row],[Tipo de agente]]</f>
        <v>K31.2.4.1_EVP combustibles de uso automotor</v>
      </c>
      <c r="P376" s="254" t="s">
        <v>2882</v>
      </c>
      <c r="Q376" s="292" t="str">
        <f>TablaPOA[[#This Row],[Cod_Sub_acción_especifica]]&amp;"_"&amp;TablaPOA[[#This Row],[Cod_Tipo_agente]]</f>
        <v>K31.2.4.1_TA6</v>
      </c>
      <c r="R376" s="254" t="s">
        <v>2883</v>
      </c>
      <c r="S376" s="255" t="s">
        <v>2892</v>
      </c>
      <c r="T376" s="271" t="s">
        <v>2893</v>
      </c>
    </row>
    <row r="377" spans="1:20" ht="25.5" x14ac:dyDescent="0.25">
      <c r="A377" s="219" t="s">
        <v>2314</v>
      </c>
      <c r="B377" s="227">
        <v>31</v>
      </c>
      <c r="C377" s="227" t="s">
        <v>2691</v>
      </c>
      <c r="D377" s="227" t="s">
        <v>2988</v>
      </c>
      <c r="E377" s="227" t="s">
        <v>3160</v>
      </c>
      <c r="F377" s="227" t="s">
        <v>2695</v>
      </c>
      <c r="G377" s="227" t="s">
        <v>2490</v>
      </c>
      <c r="H377" s="253" t="s">
        <v>3164</v>
      </c>
      <c r="I377" s="253" t="s">
        <v>2713</v>
      </c>
      <c r="J377" s="227" t="s">
        <v>2547</v>
      </c>
      <c r="K377" s="253" t="s">
        <v>3086</v>
      </c>
      <c r="L377" s="253" t="s">
        <v>2713</v>
      </c>
      <c r="M377" s="227" t="s">
        <v>3002</v>
      </c>
      <c r="N377" s="293"/>
      <c r="O377" s="293" t="str">
        <f>TablaPOA[[#This Row],[Cod_Sub_acción_especifica]]&amp;"_"&amp;TablaPOA[[#This Row],[Tipo de agente]]</f>
        <v>K31.2.4.1_EVP combustibles de uso automotor</v>
      </c>
      <c r="P377" s="254" t="s">
        <v>2882</v>
      </c>
      <c r="Q377" s="292" t="str">
        <f>TablaPOA[[#This Row],[Cod_Sub_acción_especifica]]&amp;"_"&amp;TablaPOA[[#This Row],[Cod_Tipo_agente]]</f>
        <v>K31.2.4.1_TA6</v>
      </c>
      <c r="R377" s="254" t="s">
        <v>2883</v>
      </c>
      <c r="S377" s="255" t="s">
        <v>2894</v>
      </c>
      <c r="T377" s="271" t="s">
        <v>2895</v>
      </c>
    </row>
    <row r="378" spans="1:20" ht="25.5" x14ac:dyDescent="0.25">
      <c r="A378" s="219" t="s">
        <v>2314</v>
      </c>
      <c r="B378" s="227">
        <v>31</v>
      </c>
      <c r="C378" s="227" t="s">
        <v>2691</v>
      </c>
      <c r="D378" s="227" t="s">
        <v>2988</v>
      </c>
      <c r="E378" s="227" t="s">
        <v>3160</v>
      </c>
      <c r="F378" s="227" t="s">
        <v>2695</v>
      </c>
      <c r="G378" s="227" t="s">
        <v>2490</v>
      </c>
      <c r="H378" s="253" t="s">
        <v>3164</v>
      </c>
      <c r="I378" s="253" t="s">
        <v>2713</v>
      </c>
      <c r="J378" s="227" t="s">
        <v>2547</v>
      </c>
      <c r="K378" s="253" t="s">
        <v>3086</v>
      </c>
      <c r="L378" s="253" t="s">
        <v>2713</v>
      </c>
      <c r="M378" s="227" t="s">
        <v>3002</v>
      </c>
      <c r="N378" s="293"/>
      <c r="O378" s="293" t="str">
        <f>TablaPOA[[#This Row],[Cod_Sub_acción_especifica]]&amp;"_"&amp;TablaPOA[[#This Row],[Tipo de agente]]</f>
        <v>K31.2.4.1_EVP combustibles de uso automotor</v>
      </c>
      <c r="P378" s="254" t="s">
        <v>2882</v>
      </c>
      <c r="Q378" s="292" t="str">
        <f>TablaPOA[[#This Row],[Cod_Sub_acción_especifica]]&amp;"_"&amp;TablaPOA[[#This Row],[Cod_Tipo_agente]]</f>
        <v>K31.2.4.1_TA6</v>
      </c>
      <c r="R378" s="254" t="s">
        <v>2883</v>
      </c>
      <c r="S378" s="255" t="s">
        <v>2896</v>
      </c>
      <c r="T378" s="271" t="s">
        <v>2897</v>
      </c>
    </row>
    <row r="379" spans="1:20" ht="25.5" x14ac:dyDescent="0.25">
      <c r="A379" s="219" t="s">
        <v>2314</v>
      </c>
      <c r="B379" s="227">
        <v>31</v>
      </c>
      <c r="C379" s="227" t="s">
        <v>2691</v>
      </c>
      <c r="D379" s="227" t="s">
        <v>2988</v>
      </c>
      <c r="E379" s="227" t="s">
        <v>3160</v>
      </c>
      <c r="F379" s="227" t="s">
        <v>2695</v>
      </c>
      <c r="G379" s="227" t="s">
        <v>2490</v>
      </c>
      <c r="H379" s="253" t="s">
        <v>3164</v>
      </c>
      <c r="I379" s="253" t="s">
        <v>2713</v>
      </c>
      <c r="J379" s="227" t="s">
        <v>2547</v>
      </c>
      <c r="K379" s="253" t="s">
        <v>3086</v>
      </c>
      <c r="L379" s="253" t="s">
        <v>2713</v>
      </c>
      <c r="M379" s="227" t="s">
        <v>3002</v>
      </c>
      <c r="N379" s="293"/>
      <c r="O379" s="293" t="str">
        <f>TablaPOA[[#This Row],[Cod_Sub_acción_especifica]]&amp;"_"&amp;TablaPOA[[#This Row],[Tipo de agente]]</f>
        <v>K31.2.4.1_EVP combustibles de uso automotor</v>
      </c>
      <c r="P379" s="254" t="s">
        <v>2882</v>
      </c>
      <c r="Q379" s="292" t="str">
        <f>TablaPOA[[#This Row],[Cod_Sub_acción_especifica]]&amp;"_"&amp;TablaPOA[[#This Row],[Cod_Tipo_agente]]</f>
        <v>K31.2.4.1_TA6</v>
      </c>
      <c r="R379" s="254" t="s">
        <v>2883</v>
      </c>
      <c r="S379" s="255" t="s">
        <v>2898</v>
      </c>
      <c r="T379" s="271" t="s">
        <v>2899</v>
      </c>
    </row>
    <row r="380" spans="1:20" ht="25.5" x14ac:dyDescent="0.25">
      <c r="A380" s="219" t="s">
        <v>2314</v>
      </c>
      <c r="B380" s="227">
        <v>31</v>
      </c>
      <c r="C380" s="227" t="s">
        <v>2691</v>
      </c>
      <c r="D380" s="227" t="s">
        <v>2988</v>
      </c>
      <c r="E380" s="227" t="s">
        <v>3160</v>
      </c>
      <c r="F380" s="227" t="s">
        <v>2695</v>
      </c>
      <c r="G380" s="227" t="s">
        <v>2490</v>
      </c>
      <c r="H380" s="253" t="s">
        <v>3164</v>
      </c>
      <c r="I380" s="253" t="s">
        <v>2713</v>
      </c>
      <c r="J380" s="227" t="s">
        <v>2547</v>
      </c>
      <c r="K380" s="253" t="s">
        <v>3086</v>
      </c>
      <c r="L380" s="253" t="s">
        <v>2713</v>
      </c>
      <c r="M380" s="227" t="s">
        <v>3002</v>
      </c>
      <c r="N380" s="293"/>
      <c r="O380" s="293" t="str">
        <f>TablaPOA[[#This Row],[Cod_Sub_acción_especifica]]&amp;"_"&amp;TablaPOA[[#This Row],[Tipo de agente]]</f>
        <v>K31.2.4.1_EVP combustibles de uso automotor</v>
      </c>
      <c r="P380" s="254" t="s">
        <v>2882</v>
      </c>
      <c r="Q380" s="292" t="str">
        <f>TablaPOA[[#This Row],[Cod_Sub_acción_especifica]]&amp;"_"&amp;TablaPOA[[#This Row],[Cod_Tipo_agente]]</f>
        <v>K31.2.4.1_TA6</v>
      </c>
      <c r="R380" s="254" t="s">
        <v>2883</v>
      </c>
      <c r="S380" s="255" t="s">
        <v>2900</v>
      </c>
      <c r="T380" s="271" t="s">
        <v>2901</v>
      </c>
    </row>
    <row r="381" spans="1:20" ht="25.5" x14ac:dyDescent="0.25">
      <c r="A381" s="268" t="s">
        <v>2314</v>
      </c>
      <c r="B381" s="248">
        <v>31</v>
      </c>
      <c r="C381" s="248" t="s">
        <v>2691</v>
      </c>
      <c r="D381" s="248" t="s">
        <v>2988</v>
      </c>
      <c r="E381" s="248" t="s">
        <v>3160</v>
      </c>
      <c r="F381" s="248" t="s">
        <v>2695</v>
      </c>
      <c r="G381" s="248" t="s">
        <v>2490</v>
      </c>
      <c r="H381" s="249" t="s">
        <v>3164</v>
      </c>
      <c r="I381" s="249" t="s">
        <v>2713</v>
      </c>
      <c r="J381" s="248" t="s">
        <v>2547</v>
      </c>
      <c r="K381" s="261" t="s">
        <v>3087</v>
      </c>
      <c r="L381" s="261" t="s">
        <v>2767</v>
      </c>
      <c r="M381" s="258" t="s">
        <v>2768</v>
      </c>
      <c r="N381" s="299" t="s">
        <v>2883</v>
      </c>
      <c r="O381" s="292" t="str">
        <f>TablaPOA[[#This Row],[Cod_Sub_acción_especifica]]&amp;"_"&amp;TablaPOA[[#This Row],[Tipo de agente]]</f>
        <v>K31.2.4.2_EVP combustibles de uso automotor</v>
      </c>
      <c r="P381" s="250" t="s">
        <v>2882</v>
      </c>
      <c r="Q381" s="292" t="str">
        <f>TablaPOA[[#This Row],[Cod_Sub_acción_especifica]]&amp;"_"&amp;TablaPOA[[#This Row],[Cod_Tipo_agente]]</f>
        <v>K31.2.4.2_TA6</v>
      </c>
      <c r="R381" s="250" t="s">
        <v>2883</v>
      </c>
      <c r="S381" s="251" t="s">
        <v>2884</v>
      </c>
      <c r="T381" s="269" t="s">
        <v>2885</v>
      </c>
    </row>
    <row r="382" spans="1:20" ht="25.5" x14ac:dyDescent="0.25">
      <c r="A382" s="268" t="s">
        <v>2314</v>
      </c>
      <c r="B382" s="248">
        <v>31</v>
      </c>
      <c r="C382" s="248" t="s">
        <v>2691</v>
      </c>
      <c r="D382" s="248" t="s">
        <v>2988</v>
      </c>
      <c r="E382" s="248" t="s">
        <v>3160</v>
      </c>
      <c r="F382" s="248" t="s">
        <v>2695</v>
      </c>
      <c r="G382" s="248" t="s">
        <v>2490</v>
      </c>
      <c r="H382" s="249" t="s">
        <v>3164</v>
      </c>
      <c r="I382" s="249" t="s">
        <v>2713</v>
      </c>
      <c r="J382" s="248" t="s">
        <v>2547</v>
      </c>
      <c r="K382" s="261" t="s">
        <v>3087</v>
      </c>
      <c r="L382" s="261" t="s">
        <v>2767</v>
      </c>
      <c r="M382" s="258" t="s">
        <v>2768</v>
      </c>
      <c r="N382" s="295"/>
      <c r="O382" s="295" t="str">
        <f>TablaPOA[[#This Row],[Cod_Sub_acción_especifica]]&amp;"_"&amp;TablaPOA[[#This Row],[Tipo de agente]]</f>
        <v>K31.2.4.2_EVP combustibles de uso automotor</v>
      </c>
      <c r="P382" s="250" t="s">
        <v>2882</v>
      </c>
      <c r="Q382" s="292" t="str">
        <f>TablaPOA[[#This Row],[Cod_Sub_acción_especifica]]&amp;"_"&amp;TablaPOA[[#This Row],[Cod_Tipo_agente]]</f>
        <v>K31.2.4.2_TA6</v>
      </c>
      <c r="R382" s="250" t="s">
        <v>2883</v>
      </c>
      <c r="S382" s="251" t="s">
        <v>2886</v>
      </c>
      <c r="T382" s="269" t="s">
        <v>2887</v>
      </c>
    </row>
    <row r="383" spans="1:20" ht="25.5" x14ac:dyDescent="0.25">
      <c r="A383" s="268" t="s">
        <v>2314</v>
      </c>
      <c r="B383" s="248">
        <v>31</v>
      </c>
      <c r="C383" s="248" t="s">
        <v>2691</v>
      </c>
      <c r="D383" s="248" t="s">
        <v>2988</v>
      </c>
      <c r="E383" s="248" t="s">
        <v>3160</v>
      </c>
      <c r="F383" s="248" t="s">
        <v>2695</v>
      </c>
      <c r="G383" s="248" t="s">
        <v>2490</v>
      </c>
      <c r="H383" s="249" t="s">
        <v>3164</v>
      </c>
      <c r="I383" s="249" t="s">
        <v>2713</v>
      </c>
      <c r="J383" s="248" t="s">
        <v>2547</v>
      </c>
      <c r="K383" s="261" t="s">
        <v>3087</v>
      </c>
      <c r="L383" s="261" t="s">
        <v>2767</v>
      </c>
      <c r="M383" s="258" t="s">
        <v>2768</v>
      </c>
      <c r="N383" s="295"/>
      <c r="O383" s="295" t="str">
        <f>TablaPOA[[#This Row],[Cod_Sub_acción_especifica]]&amp;"_"&amp;TablaPOA[[#This Row],[Tipo de agente]]</f>
        <v>K31.2.4.2_EVP combustibles de uso automotor</v>
      </c>
      <c r="P383" s="250" t="s">
        <v>2882</v>
      </c>
      <c r="Q383" s="292" t="str">
        <f>TablaPOA[[#This Row],[Cod_Sub_acción_especifica]]&amp;"_"&amp;TablaPOA[[#This Row],[Cod_Tipo_agente]]</f>
        <v>K31.2.4.2_TA6</v>
      </c>
      <c r="R383" s="250" t="s">
        <v>2883</v>
      </c>
      <c r="S383" s="251" t="s">
        <v>2888</v>
      </c>
      <c r="T383" s="269" t="s">
        <v>2889</v>
      </c>
    </row>
    <row r="384" spans="1:20" ht="25.5" x14ac:dyDescent="0.25">
      <c r="A384" s="268" t="s">
        <v>2314</v>
      </c>
      <c r="B384" s="248">
        <v>31</v>
      </c>
      <c r="C384" s="248" t="s">
        <v>2691</v>
      </c>
      <c r="D384" s="248" t="s">
        <v>2988</v>
      </c>
      <c r="E384" s="248" t="s">
        <v>3160</v>
      </c>
      <c r="F384" s="248" t="s">
        <v>2695</v>
      </c>
      <c r="G384" s="248" t="s">
        <v>2490</v>
      </c>
      <c r="H384" s="249" t="s">
        <v>3164</v>
      </c>
      <c r="I384" s="249" t="s">
        <v>2713</v>
      </c>
      <c r="J384" s="248" t="s">
        <v>2547</v>
      </c>
      <c r="K384" s="261" t="s">
        <v>3087</v>
      </c>
      <c r="L384" s="261" t="s">
        <v>2767</v>
      </c>
      <c r="M384" s="258" t="s">
        <v>2768</v>
      </c>
      <c r="N384" s="295"/>
      <c r="O384" s="295" t="str">
        <f>TablaPOA[[#This Row],[Cod_Sub_acción_especifica]]&amp;"_"&amp;TablaPOA[[#This Row],[Tipo de agente]]</f>
        <v>K31.2.4.2_EVP combustibles de uso automotor</v>
      </c>
      <c r="P384" s="250" t="s">
        <v>2882</v>
      </c>
      <c r="Q384" s="292" t="str">
        <f>TablaPOA[[#This Row],[Cod_Sub_acción_especifica]]&amp;"_"&amp;TablaPOA[[#This Row],[Cod_Tipo_agente]]</f>
        <v>K31.2.4.2_TA6</v>
      </c>
      <c r="R384" s="250" t="s">
        <v>2883</v>
      </c>
      <c r="S384" s="251" t="s">
        <v>2890</v>
      </c>
      <c r="T384" s="269" t="s">
        <v>2891</v>
      </c>
    </row>
    <row r="385" spans="1:20" ht="25.5" x14ac:dyDescent="0.25">
      <c r="A385" s="268" t="s">
        <v>2314</v>
      </c>
      <c r="B385" s="248">
        <v>31</v>
      </c>
      <c r="C385" s="248" t="s">
        <v>2691</v>
      </c>
      <c r="D385" s="248" t="s">
        <v>2988</v>
      </c>
      <c r="E385" s="248" t="s">
        <v>3160</v>
      </c>
      <c r="F385" s="248" t="s">
        <v>2695</v>
      </c>
      <c r="G385" s="248" t="s">
        <v>2490</v>
      </c>
      <c r="H385" s="249" t="s">
        <v>3164</v>
      </c>
      <c r="I385" s="249" t="s">
        <v>2713</v>
      </c>
      <c r="J385" s="248" t="s">
        <v>2547</v>
      </c>
      <c r="K385" s="261" t="s">
        <v>3087</v>
      </c>
      <c r="L385" s="261" t="s">
        <v>2767</v>
      </c>
      <c r="M385" s="258" t="s">
        <v>2768</v>
      </c>
      <c r="N385" s="295"/>
      <c r="O385" s="295" t="str">
        <f>TablaPOA[[#This Row],[Cod_Sub_acción_especifica]]&amp;"_"&amp;TablaPOA[[#This Row],[Tipo de agente]]</f>
        <v>K31.2.4.2_EVP combustibles de uso automotor</v>
      </c>
      <c r="P385" s="250" t="s">
        <v>2882</v>
      </c>
      <c r="Q385" s="292" t="str">
        <f>TablaPOA[[#This Row],[Cod_Sub_acción_especifica]]&amp;"_"&amp;TablaPOA[[#This Row],[Cod_Tipo_agente]]</f>
        <v>K31.2.4.2_TA6</v>
      </c>
      <c r="R385" s="250" t="s">
        <v>2883</v>
      </c>
      <c r="S385" s="251" t="s">
        <v>2892</v>
      </c>
      <c r="T385" s="269" t="s">
        <v>2893</v>
      </c>
    </row>
    <row r="386" spans="1:20" ht="25.5" x14ac:dyDescent="0.25">
      <c r="A386" s="268" t="s">
        <v>2314</v>
      </c>
      <c r="B386" s="248">
        <v>31</v>
      </c>
      <c r="C386" s="248" t="s">
        <v>2691</v>
      </c>
      <c r="D386" s="248" t="s">
        <v>2988</v>
      </c>
      <c r="E386" s="248" t="s">
        <v>3160</v>
      </c>
      <c r="F386" s="248" t="s">
        <v>2695</v>
      </c>
      <c r="G386" s="248" t="s">
        <v>2490</v>
      </c>
      <c r="H386" s="249" t="s">
        <v>3164</v>
      </c>
      <c r="I386" s="249" t="s">
        <v>2713</v>
      </c>
      <c r="J386" s="248" t="s">
        <v>2547</v>
      </c>
      <c r="K386" s="261" t="s">
        <v>3087</v>
      </c>
      <c r="L386" s="261" t="s">
        <v>2767</v>
      </c>
      <c r="M386" s="258" t="s">
        <v>2768</v>
      </c>
      <c r="N386" s="295"/>
      <c r="O386" s="295" t="str">
        <f>TablaPOA[[#This Row],[Cod_Sub_acción_especifica]]&amp;"_"&amp;TablaPOA[[#This Row],[Tipo de agente]]</f>
        <v>K31.2.4.2_EVP combustibles de uso automotor</v>
      </c>
      <c r="P386" s="250" t="s">
        <v>2882</v>
      </c>
      <c r="Q386" s="292" t="str">
        <f>TablaPOA[[#This Row],[Cod_Sub_acción_especifica]]&amp;"_"&amp;TablaPOA[[#This Row],[Cod_Tipo_agente]]</f>
        <v>K31.2.4.2_TA6</v>
      </c>
      <c r="R386" s="250" t="s">
        <v>2883</v>
      </c>
      <c r="S386" s="251" t="s">
        <v>2894</v>
      </c>
      <c r="T386" s="269" t="s">
        <v>2895</v>
      </c>
    </row>
    <row r="387" spans="1:20" ht="25.5" x14ac:dyDescent="0.25">
      <c r="A387" s="268" t="s">
        <v>2314</v>
      </c>
      <c r="B387" s="248">
        <v>31</v>
      </c>
      <c r="C387" s="248" t="s">
        <v>2691</v>
      </c>
      <c r="D387" s="248" t="s">
        <v>2988</v>
      </c>
      <c r="E387" s="248" t="s">
        <v>3160</v>
      </c>
      <c r="F387" s="248" t="s">
        <v>2695</v>
      </c>
      <c r="G387" s="248" t="s">
        <v>2490</v>
      </c>
      <c r="H387" s="249" t="s">
        <v>3164</v>
      </c>
      <c r="I387" s="249" t="s">
        <v>2713</v>
      </c>
      <c r="J387" s="248" t="s">
        <v>2547</v>
      </c>
      <c r="K387" s="261" t="s">
        <v>3087</v>
      </c>
      <c r="L387" s="261" t="s">
        <v>2767</v>
      </c>
      <c r="M387" s="258" t="s">
        <v>2768</v>
      </c>
      <c r="N387" s="295"/>
      <c r="O387" s="295" t="str">
        <f>TablaPOA[[#This Row],[Cod_Sub_acción_especifica]]&amp;"_"&amp;TablaPOA[[#This Row],[Tipo de agente]]</f>
        <v>K31.2.4.2_EVP combustibles de uso automotor</v>
      </c>
      <c r="P387" s="250" t="s">
        <v>2882</v>
      </c>
      <c r="Q387" s="292" t="str">
        <f>TablaPOA[[#This Row],[Cod_Sub_acción_especifica]]&amp;"_"&amp;TablaPOA[[#This Row],[Cod_Tipo_agente]]</f>
        <v>K31.2.4.2_TA6</v>
      </c>
      <c r="R387" s="250" t="s">
        <v>2883</v>
      </c>
      <c r="S387" s="251" t="s">
        <v>2896</v>
      </c>
      <c r="T387" s="269" t="s">
        <v>2897</v>
      </c>
    </row>
    <row r="388" spans="1:20" ht="25.5" x14ac:dyDescent="0.25">
      <c r="A388" s="268" t="s">
        <v>2314</v>
      </c>
      <c r="B388" s="248">
        <v>31</v>
      </c>
      <c r="C388" s="248" t="s">
        <v>2691</v>
      </c>
      <c r="D388" s="248" t="s">
        <v>2988</v>
      </c>
      <c r="E388" s="248" t="s">
        <v>3160</v>
      </c>
      <c r="F388" s="248" t="s">
        <v>2695</v>
      </c>
      <c r="G388" s="248" t="s">
        <v>2490</v>
      </c>
      <c r="H388" s="249" t="s">
        <v>3164</v>
      </c>
      <c r="I388" s="249" t="s">
        <v>2713</v>
      </c>
      <c r="J388" s="248" t="s">
        <v>2547</v>
      </c>
      <c r="K388" s="261" t="s">
        <v>3087</v>
      </c>
      <c r="L388" s="261" t="s">
        <v>2767</v>
      </c>
      <c r="M388" s="258" t="s">
        <v>2768</v>
      </c>
      <c r="N388" s="295"/>
      <c r="O388" s="295" t="str">
        <f>TablaPOA[[#This Row],[Cod_Sub_acción_especifica]]&amp;"_"&amp;TablaPOA[[#This Row],[Tipo de agente]]</f>
        <v>K31.2.4.2_EVP combustibles de uso automotor</v>
      </c>
      <c r="P388" s="250" t="s">
        <v>2882</v>
      </c>
      <c r="Q388" s="292" t="str">
        <f>TablaPOA[[#This Row],[Cod_Sub_acción_especifica]]&amp;"_"&amp;TablaPOA[[#This Row],[Cod_Tipo_agente]]</f>
        <v>K31.2.4.2_TA6</v>
      </c>
      <c r="R388" s="250" t="s">
        <v>2883</v>
      </c>
      <c r="S388" s="251" t="s">
        <v>2898</v>
      </c>
      <c r="T388" s="269" t="s">
        <v>2899</v>
      </c>
    </row>
    <row r="389" spans="1:20" ht="25.5" x14ac:dyDescent="0.25">
      <c r="A389" s="268" t="s">
        <v>2314</v>
      </c>
      <c r="B389" s="248">
        <v>31</v>
      </c>
      <c r="C389" s="248" t="s">
        <v>2691</v>
      </c>
      <c r="D389" s="248" t="s">
        <v>2988</v>
      </c>
      <c r="E389" s="248" t="s">
        <v>3160</v>
      </c>
      <c r="F389" s="248" t="s">
        <v>2695</v>
      </c>
      <c r="G389" s="248" t="s">
        <v>2490</v>
      </c>
      <c r="H389" s="249" t="s">
        <v>3164</v>
      </c>
      <c r="I389" s="249" t="s">
        <v>2713</v>
      </c>
      <c r="J389" s="248" t="s">
        <v>2547</v>
      </c>
      <c r="K389" s="261" t="s">
        <v>3087</v>
      </c>
      <c r="L389" s="261" t="s">
        <v>2767</v>
      </c>
      <c r="M389" s="258" t="s">
        <v>2768</v>
      </c>
      <c r="N389" s="295"/>
      <c r="O389" s="295" t="str">
        <f>TablaPOA[[#This Row],[Cod_Sub_acción_especifica]]&amp;"_"&amp;TablaPOA[[#This Row],[Tipo de agente]]</f>
        <v>K31.2.4.2_EVP combustibles de uso automotor</v>
      </c>
      <c r="P389" s="250" t="s">
        <v>2882</v>
      </c>
      <c r="Q389" s="292" t="str">
        <f>TablaPOA[[#This Row],[Cod_Sub_acción_especifica]]&amp;"_"&amp;TablaPOA[[#This Row],[Cod_Tipo_agente]]</f>
        <v>K31.2.4.2_TA6</v>
      </c>
      <c r="R389" s="250" t="s">
        <v>2883</v>
      </c>
      <c r="S389" s="251" t="s">
        <v>2900</v>
      </c>
      <c r="T389" s="269" t="s">
        <v>2901</v>
      </c>
    </row>
    <row r="390" spans="1:20" ht="25.5" x14ac:dyDescent="0.25">
      <c r="A390" s="219" t="s">
        <v>2314</v>
      </c>
      <c r="B390" s="227">
        <v>31</v>
      </c>
      <c r="C390" s="227" t="s">
        <v>2691</v>
      </c>
      <c r="D390" s="227" t="s">
        <v>2988</v>
      </c>
      <c r="E390" s="227" t="s">
        <v>3160</v>
      </c>
      <c r="F390" s="227" t="s">
        <v>2695</v>
      </c>
      <c r="G390" s="227" t="s">
        <v>2490</v>
      </c>
      <c r="H390" s="253" t="s">
        <v>3165</v>
      </c>
      <c r="I390" s="253" t="s">
        <v>2714</v>
      </c>
      <c r="J390" s="227" t="s">
        <v>2715</v>
      </c>
      <c r="K390" s="253" t="s">
        <v>3088</v>
      </c>
      <c r="L390" s="253" t="s">
        <v>2714</v>
      </c>
      <c r="M390" s="227" t="s">
        <v>3003</v>
      </c>
      <c r="N390" s="299" t="s">
        <v>2913</v>
      </c>
      <c r="O390" s="292" t="str">
        <f>TablaPOA[[#This Row],[Cod_Sub_acción_especifica]]&amp;"_"&amp;TablaPOA[[#This Row],[Tipo de agente]]</f>
        <v>K31.2.5.1_Locales de venta de GLP</v>
      </c>
      <c r="P390" s="254" t="s">
        <v>2912</v>
      </c>
      <c r="Q390" s="292" t="str">
        <f>TablaPOA[[#This Row],[Cod_Sub_acción_especifica]]&amp;"_"&amp;TablaPOA[[#This Row],[Cod_Tipo_agente]]</f>
        <v>K31.2.5.1_TA8</v>
      </c>
      <c r="R390" s="254" t="s">
        <v>2913</v>
      </c>
      <c r="S390" s="255" t="s">
        <v>2914</v>
      </c>
      <c r="T390" s="271" t="s">
        <v>2915</v>
      </c>
    </row>
    <row r="391" spans="1:20" ht="25.5" x14ac:dyDescent="0.25">
      <c r="A391" s="219" t="s">
        <v>2314</v>
      </c>
      <c r="B391" s="227">
        <v>31</v>
      </c>
      <c r="C391" s="227" t="s">
        <v>2691</v>
      </c>
      <c r="D391" s="227" t="s">
        <v>2988</v>
      </c>
      <c r="E391" s="227" t="s">
        <v>3160</v>
      </c>
      <c r="F391" s="227" t="s">
        <v>2695</v>
      </c>
      <c r="G391" s="227" t="s">
        <v>2490</v>
      </c>
      <c r="H391" s="253" t="s">
        <v>3165</v>
      </c>
      <c r="I391" s="253" t="s">
        <v>2714</v>
      </c>
      <c r="J391" s="227" t="s">
        <v>2715</v>
      </c>
      <c r="K391" s="253" t="s">
        <v>3088</v>
      </c>
      <c r="L391" s="253" t="s">
        <v>2714</v>
      </c>
      <c r="M391" s="227" t="s">
        <v>3003</v>
      </c>
      <c r="N391" s="293"/>
      <c r="O391" s="293" t="str">
        <f>TablaPOA[[#This Row],[Cod_Sub_acción_especifica]]&amp;"_"&amp;TablaPOA[[#This Row],[Tipo de agente]]</f>
        <v>K31.2.5.1_Locales de venta de GLP</v>
      </c>
      <c r="P391" s="254" t="s">
        <v>2912</v>
      </c>
      <c r="Q391" s="292" t="str">
        <f>TablaPOA[[#This Row],[Cod_Sub_acción_especifica]]&amp;"_"&amp;TablaPOA[[#This Row],[Cod_Tipo_agente]]</f>
        <v>K31.2.5.1_TA8</v>
      </c>
      <c r="R391" s="254" t="s">
        <v>2913</v>
      </c>
      <c r="S391" s="255" t="s">
        <v>2916</v>
      </c>
      <c r="T391" s="271" t="s">
        <v>2917</v>
      </c>
    </row>
    <row r="392" spans="1:20" ht="25.5" x14ac:dyDescent="0.25">
      <c r="A392" s="268" t="s">
        <v>2314</v>
      </c>
      <c r="B392" s="248">
        <v>31</v>
      </c>
      <c r="C392" s="248" t="s">
        <v>2691</v>
      </c>
      <c r="D392" s="248" t="s">
        <v>2988</v>
      </c>
      <c r="E392" s="248" t="s">
        <v>3160</v>
      </c>
      <c r="F392" s="248" t="s">
        <v>2695</v>
      </c>
      <c r="G392" s="248" t="s">
        <v>2490</v>
      </c>
      <c r="H392" s="249" t="s">
        <v>3165</v>
      </c>
      <c r="I392" s="249" t="s">
        <v>2714</v>
      </c>
      <c r="J392" s="248" t="s">
        <v>2715</v>
      </c>
      <c r="K392" s="261" t="s">
        <v>3089</v>
      </c>
      <c r="L392" s="261" t="s">
        <v>2767</v>
      </c>
      <c r="M392" s="258" t="s">
        <v>2769</v>
      </c>
      <c r="N392" s="299" t="s">
        <v>2913</v>
      </c>
      <c r="O392" s="292" t="str">
        <f>TablaPOA[[#This Row],[Cod_Sub_acción_especifica]]&amp;"_"&amp;TablaPOA[[#This Row],[Tipo de agente]]</f>
        <v>K31.2.5.2_Locales de venta de GLP</v>
      </c>
      <c r="P392" s="250" t="s">
        <v>2912</v>
      </c>
      <c r="Q392" s="292" t="str">
        <f>TablaPOA[[#This Row],[Cod_Sub_acción_especifica]]&amp;"_"&amp;TablaPOA[[#This Row],[Cod_Tipo_agente]]</f>
        <v>K31.2.5.2_TA8</v>
      </c>
      <c r="R392" s="250" t="s">
        <v>2913</v>
      </c>
      <c r="S392" s="251" t="s">
        <v>2914</v>
      </c>
      <c r="T392" s="269" t="s">
        <v>2915</v>
      </c>
    </row>
    <row r="393" spans="1:20" ht="25.5" x14ac:dyDescent="0.25">
      <c r="A393" s="268" t="s">
        <v>2314</v>
      </c>
      <c r="B393" s="248">
        <v>31</v>
      </c>
      <c r="C393" s="248" t="s">
        <v>2691</v>
      </c>
      <c r="D393" s="248" t="s">
        <v>2988</v>
      </c>
      <c r="E393" s="248" t="s">
        <v>3160</v>
      </c>
      <c r="F393" s="248" t="s">
        <v>2695</v>
      </c>
      <c r="G393" s="248" t="s">
        <v>2490</v>
      </c>
      <c r="H393" s="249" t="s">
        <v>3165</v>
      </c>
      <c r="I393" s="249" t="s">
        <v>2714</v>
      </c>
      <c r="J393" s="248" t="s">
        <v>2715</v>
      </c>
      <c r="K393" s="261" t="s">
        <v>3089</v>
      </c>
      <c r="L393" s="261" t="s">
        <v>2767</v>
      </c>
      <c r="M393" s="258" t="s">
        <v>2769</v>
      </c>
      <c r="N393" s="295"/>
      <c r="O393" s="295" t="str">
        <f>TablaPOA[[#This Row],[Cod_Sub_acción_especifica]]&amp;"_"&amp;TablaPOA[[#This Row],[Tipo de agente]]</f>
        <v>K31.2.5.2_Locales de venta de GLP</v>
      </c>
      <c r="P393" s="250" t="s">
        <v>2912</v>
      </c>
      <c r="Q393" s="292" t="str">
        <f>TablaPOA[[#This Row],[Cod_Sub_acción_especifica]]&amp;"_"&amp;TablaPOA[[#This Row],[Cod_Tipo_agente]]</f>
        <v>K31.2.5.2_TA8</v>
      </c>
      <c r="R393" s="250" t="s">
        <v>2913</v>
      </c>
      <c r="S393" s="251" t="s">
        <v>2916</v>
      </c>
      <c r="T393" s="269" t="s">
        <v>2917</v>
      </c>
    </row>
    <row r="394" spans="1:20" ht="25.5" x14ac:dyDescent="0.25">
      <c r="A394" s="219" t="s">
        <v>2314</v>
      </c>
      <c r="B394" s="227">
        <v>31</v>
      </c>
      <c r="C394" s="227" t="s">
        <v>2691</v>
      </c>
      <c r="D394" s="227" t="s">
        <v>2988</v>
      </c>
      <c r="E394" s="227" t="s">
        <v>3160</v>
      </c>
      <c r="F394" s="227" t="s">
        <v>2695</v>
      </c>
      <c r="G394" s="227" t="s">
        <v>2490</v>
      </c>
      <c r="H394" s="253" t="s">
        <v>3166</v>
      </c>
      <c r="I394" s="253" t="s">
        <v>2716</v>
      </c>
      <c r="J394" s="227" t="s">
        <v>2717</v>
      </c>
      <c r="K394" s="253" t="s">
        <v>3090</v>
      </c>
      <c r="L394" s="253" t="s">
        <v>2716</v>
      </c>
      <c r="M394" s="227" t="s">
        <v>2505</v>
      </c>
      <c r="N394" s="299" t="s">
        <v>2840</v>
      </c>
      <c r="O394" s="292" t="str">
        <f>TablaPOA[[#This Row],[Cod_Sub_acción_especifica]]&amp;"_"&amp;TablaPOA[[#This Row],[Tipo de agente]]</f>
        <v>K31.2.6.1_Consumidores directos de GLP y redes de distribución</v>
      </c>
      <c r="P394" s="254" t="s">
        <v>2839</v>
      </c>
      <c r="Q394" s="292" t="str">
        <f>TablaPOA[[#This Row],[Cod_Sub_acción_especifica]]&amp;"_"&amp;TablaPOA[[#This Row],[Cod_Tipo_agente]]</f>
        <v>K31.2.6.1_TA3</v>
      </c>
      <c r="R394" s="254" t="s">
        <v>2840</v>
      </c>
      <c r="S394" s="254">
        <v>400</v>
      </c>
      <c r="T394" s="271" t="s">
        <v>2841</v>
      </c>
    </row>
    <row r="395" spans="1:20" ht="25.5" x14ac:dyDescent="0.25">
      <c r="A395" s="219" t="s">
        <v>2314</v>
      </c>
      <c r="B395" s="227">
        <v>31</v>
      </c>
      <c r="C395" s="227" t="s">
        <v>2691</v>
      </c>
      <c r="D395" s="227" t="s">
        <v>2988</v>
      </c>
      <c r="E395" s="227" t="s">
        <v>3160</v>
      </c>
      <c r="F395" s="227" t="s">
        <v>2695</v>
      </c>
      <c r="G395" s="227" t="s">
        <v>2490</v>
      </c>
      <c r="H395" s="253" t="s">
        <v>3166</v>
      </c>
      <c r="I395" s="253" t="s">
        <v>2716</v>
      </c>
      <c r="J395" s="227" t="s">
        <v>2717</v>
      </c>
      <c r="K395" s="253" t="s">
        <v>3090</v>
      </c>
      <c r="L395" s="253" t="s">
        <v>2716</v>
      </c>
      <c r="M395" s="227" t="s">
        <v>2505</v>
      </c>
      <c r="N395" s="293"/>
      <c r="O395" s="293" t="str">
        <f>TablaPOA[[#This Row],[Cod_Sub_acción_especifica]]&amp;"_"&amp;TablaPOA[[#This Row],[Tipo de agente]]</f>
        <v>K31.2.6.1_Consumidores directos de GLP y redes de distribución</v>
      </c>
      <c r="P395" s="254" t="s">
        <v>2839</v>
      </c>
      <c r="Q395" s="292" t="str">
        <f>TablaPOA[[#This Row],[Cod_Sub_acción_especifica]]&amp;"_"&amp;TablaPOA[[#This Row],[Cod_Tipo_agente]]</f>
        <v>K31.2.6.1_TA3</v>
      </c>
      <c r="R395" s="254" t="s">
        <v>2840</v>
      </c>
      <c r="S395" s="254" t="s">
        <v>2842</v>
      </c>
      <c r="T395" s="271" t="s">
        <v>2843</v>
      </c>
    </row>
    <row r="396" spans="1:20" ht="25.5" x14ac:dyDescent="0.25">
      <c r="A396" s="219" t="s">
        <v>2314</v>
      </c>
      <c r="B396" s="227">
        <v>31</v>
      </c>
      <c r="C396" s="227" t="s">
        <v>2691</v>
      </c>
      <c r="D396" s="227" t="s">
        <v>2988</v>
      </c>
      <c r="E396" s="227" t="s">
        <v>3160</v>
      </c>
      <c r="F396" s="227" t="s">
        <v>2695</v>
      </c>
      <c r="G396" s="227" t="s">
        <v>2490</v>
      </c>
      <c r="H396" s="253" t="s">
        <v>3166</v>
      </c>
      <c r="I396" s="253" t="s">
        <v>2716</v>
      </c>
      <c r="J396" s="227" t="s">
        <v>2717</v>
      </c>
      <c r="K396" s="253" t="s">
        <v>3090</v>
      </c>
      <c r="L396" s="253" t="s">
        <v>2716</v>
      </c>
      <c r="M396" s="227" t="s">
        <v>2505</v>
      </c>
      <c r="N396" s="293"/>
      <c r="O396" s="293" t="str">
        <f>TablaPOA[[#This Row],[Cod_Sub_acción_especifica]]&amp;"_"&amp;TablaPOA[[#This Row],[Tipo de agente]]</f>
        <v>K31.2.6.1_Consumidores directos de GLP y redes de distribución</v>
      </c>
      <c r="P396" s="254" t="s">
        <v>2839</v>
      </c>
      <c r="Q396" s="292" t="str">
        <f>TablaPOA[[#This Row],[Cod_Sub_acción_especifica]]&amp;"_"&amp;TablaPOA[[#This Row],[Cod_Tipo_agente]]</f>
        <v>K31.2.6.1_TA3</v>
      </c>
      <c r="R396" s="254" t="s">
        <v>2840</v>
      </c>
      <c r="S396" s="254" t="s">
        <v>2844</v>
      </c>
      <c r="T396" s="271" t="s">
        <v>2845</v>
      </c>
    </row>
    <row r="397" spans="1:20" ht="25.5" x14ac:dyDescent="0.25">
      <c r="A397" s="219" t="s">
        <v>2314</v>
      </c>
      <c r="B397" s="227">
        <v>31</v>
      </c>
      <c r="C397" s="227" t="s">
        <v>2691</v>
      </c>
      <c r="D397" s="227" t="s">
        <v>2988</v>
      </c>
      <c r="E397" s="227" t="s">
        <v>3160</v>
      </c>
      <c r="F397" s="227" t="s">
        <v>2695</v>
      </c>
      <c r="G397" s="227" t="s">
        <v>2490</v>
      </c>
      <c r="H397" s="253" t="s">
        <v>3166</v>
      </c>
      <c r="I397" s="253" t="s">
        <v>2716</v>
      </c>
      <c r="J397" s="227" t="s">
        <v>2717</v>
      </c>
      <c r="K397" s="253" t="s">
        <v>3090</v>
      </c>
      <c r="L397" s="253" t="s">
        <v>2716</v>
      </c>
      <c r="M397" s="227" t="s">
        <v>2505</v>
      </c>
      <c r="N397" s="293"/>
      <c r="O397" s="293" t="str">
        <f>TablaPOA[[#This Row],[Cod_Sub_acción_especifica]]&amp;"_"&amp;TablaPOA[[#This Row],[Tipo de agente]]</f>
        <v>K31.2.6.1_Consumidores directos de GLP y redes de distribución</v>
      </c>
      <c r="P397" s="254" t="s">
        <v>2839</v>
      </c>
      <c r="Q397" s="292" t="str">
        <f>TablaPOA[[#This Row],[Cod_Sub_acción_especifica]]&amp;"_"&amp;TablaPOA[[#This Row],[Cod_Tipo_agente]]</f>
        <v>K31.2.6.1_TA3</v>
      </c>
      <c r="R397" s="254" t="s">
        <v>2840</v>
      </c>
      <c r="S397" s="254" t="s">
        <v>2846</v>
      </c>
      <c r="T397" s="271" t="s">
        <v>2847</v>
      </c>
    </row>
    <row r="398" spans="1:20" ht="25.5" x14ac:dyDescent="0.25">
      <c r="A398" s="219" t="s">
        <v>2314</v>
      </c>
      <c r="B398" s="227">
        <v>31</v>
      </c>
      <c r="C398" s="227" t="s">
        <v>2691</v>
      </c>
      <c r="D398" s="227" t="s">
        <v>2988</v>
      </c>
      <c r="E398" s="227" t="s">
        <v>3160</v>
      </c>
      <c r="F398" s="227" t="s">
        <v>2695</v>
      </c>
      <c r="G398" s="227" t="s">
        <v>2490</v>
      </c>
      <c r="H398" s="253" t="s">
        <v>3166</v>
      </c>
      <c r="I398" s="253" t="s">
        <v>2716</v>
      </c>
      <c r="J398" s="227" t="s">
        <v>2717</v>
      </c>
      <c r="K398" s="253" t="s">
        <v>3090</v>
      </c>
      <c r="L398" s="253" t="s">
        <v>2716</v>
      </c>
      <c r="M398" s="227" t="s">
        <v>2505</v>
      </c>
      <c r="N398" s="293"/>
      <c r="O398" s="293" t="str">
        <f>TablaPOA[[#This Row],[Cod_Sub_acción_especifica]]&amp;"_"&amp;TablaPOA[[#This Row],[Tipo de agente]]</f>
        <v>K31.2.6.1_Consumidores directos de GLP y redes de distribución</v>
      </c>
      <c r="P398" s="254" t="s">
        <v>2839</v>
      </c>
      <c r="Q398" s="292" t="str">
        <f>TablaPOA[[#This Row],[Cod_Sub_acción_especifica]]&amp;"_"&amp;TablaPOA[[#This Row],[Cod_Tipo_agente]]</f>
        <v>K31.2.6.1_TA3</v>
      </c>
      <c r="R398" s="254" t="s">
        <v>2840</v>
      </c>
      <c r="S398" s="254" t="s">
        <v>2848</v>
      </c>
      <c r="T398" s="271" t="s">
        <v>2849</v>
      </c>
    </row>
    <row r="399" spans="1:20" ht="25.5" x14ac:dyDescent="0.25">
      <c r="A399" s="219" t="s">
        <v>2314</v>
      </c>
      <c r="B399" s="227">
        <v>31</v>
      </c>
      <c r="C399" s="227" t="s">
        <v>2691</v>
      </c>
      <c r="D399" s="227" t="s">
        <v>2988</v>
      </c>
      <c r="E399" s="227" t="s">
        <v>3160</v>
      </c>
      <c r="F399" s="227" t="s">
        <v>2695</v>
      </c>
      <c r="G399" s="227" t="s">
        <v>2490</v>
      </c>
      <c r="H399" s="253" t="s">
        <v>3166</v>
      </c>
      <c r="I399" s="253" t="s">
        <v>2716</v>
      </c>
      <c r="J399" s="227" t="s">
        <v>2717</v>
      </c>
      <c r="K399" s="253" t="s">
        <v>3090</v>
      </c>
      <c r="L399" s="253" t="s">
        <v>2716</v>
      </c>
      <c r="M399" s="227" t="s">
        <v>2505</v>
      </c>
      <c r="N399" s="293"/>
      <c r="O399" s="293" t="str">
        <f>TablaPOA[[#This Row],[Cod_Sub_acción_especifica]]&amp;"_"&amp;TablaPOA[[#This Row],[Tipo de agente]]</f>
        <v>K31.2.6.1_Consumidores directos de GLP y redes de distribución</v>
      </c>
      <c r="P399" s="254" t="s">
        <v>2839</v>
      </c>
      <c r="Q399" s="292" t="str">
        <f>TablaPOA[[#This Row],[Cod_Sub_acción_especifica]]&amp;"_"&amp;TablaPOA[[#This Row],[Cod_Tipo_agente]]</f>
        <v>K31.2.6.1_TA3</v>
      </c>
      <c r="R399" s="254" t="s">
        <v>2840</v>
      </c>
      <c r="S399" s="254" t="s">
        <v>2850</v>
      </c>
      <c r="T399" s="271" t="s">
        <v>2851</v>
      </c>
    </row>
    <row r="400" spans="1:20" ht="25.5" x14ac:dyDescent="0.25">
      <c r="A400" s="268" t="s">
        <v>2314</v>
      </c>
      <c r="B400" s="248">
        <v>31</v>
      </c>
      <c r="C400" s="248" t="s">
        <v>2691</v>
      </c>
      <c r="D400" s="248" t="s">
        <v>2988</v>
      </c>
      <c r="E400" s="248" t="s">
        <v>3160</v>
      </c>
      <c r="F400" s="248" t="s">
        <v>2695</v>
      </c>
      <c r="G400" s="248" t="s">
        <v>2490</v>
      </c>
      <c r="H400" s="249" t="s">
        <v>3166</v>
      </c>
      <c r="I400" s="249" t="s">
        <v>2716</v>
      </c>
      <c r="J400" s="248" t="s">
        <v>2717</v>
      </c>
      <c r="K400" s="261" t="s">
        <v>3091</v>
      </c>
      <c r="L400" s="261" t="s">
        <v>2767</v>
      </c>
      <c r="M400" s="258" t="s">
        <v>2770</v>
      </c>
      <c r="N400" s="299" t="s">
        <v>2840</v>
      </c>
      <c r="O400" s="292" t="str">
        <f>TablaPOA[[#This Row],[Cod_Sub_acción_especifica]]&amp;"_"&amp;TablaPOA[[#This Row],[Tipo de agente]]</f>
        <v>K31.2.6.2_Consumidores directos de GLP y redes de distribución</v>
      </c>
      <c r="P400" s="250" t="s">
        <v>2839</v>
      </c>
      <c r="Q400" s="292" t="str">
        <f>TablaPOA[[#This Row],[Cod_Sub_acción_especifica]]&amp;"_"&amp;TablaPOA[[#This Row],[Cod_Tipo_agente]]</f>
        <v>K31.2.6.2_TA3</v>
      </c>
      <c r="R400" s="250" t="s">
        <v>2840</v>
      </c>
      <c r="S400" s="250">
        <v>400</v>
      </c>
      <c r="T400" s="269" t="s">
        <v>2841</v>
      </c>
    </row>
    <row r="401" spans="1:20" ht="25.5" x14ac:dyDescent="0.25">
      <c r="A401" s="268" t="s">
        <v>2314</v>
      </c>
      <c r="B401" s="248">
        <v>31</v>
      </c>
      <c r="C401" s="248" t="s">
        <v>2691</v>
      </c>
      <c r="D401" s="248" t="s">
        <v>2988</v>
      </c>
      <c r="E401" s="248" t="s">
        <v>3160</v>
      </c>
      <c r="F401" s="248" t="s">
        <v>2695</v>
      </c>
      <c r="G401" s="248" t="s">
        <v>2490</v>
      </c>
      <c r="H401" s="249" t="s">
        <v>3166</v>
      </c>
      <c r="I401" s="249" t="s">
        <v>2716</v>
      </c>
      <c r="J401" s="248" t="s">
        <v>2717</v>
      </c>
      <c r="K401" s="261" t="s">
        <v>3091</v>
      </c>
      <c r="L401" s="261" t="s">
        <v>2767</v>
      </c>
      <c r="M401" s="258" t="s">
        <v>2770</v>
      </c>
      <c r="N401" s="295"/>
      <c r="O401" s="295" t="str">
        <f>TablaPOA[[#This Row],[Cod_Sub_acción_especifica]]&amp;"_"&amp;TablaPOA[[#This Row],[Tipo de agente]]</f>
        <v>K31.2.6.2_Consumidores directos de GLP y redes de distribución</v>
      </c>
      <c r="P401" s="250" t="s">
        <v>2839</v>
      </c>
      <c r="Q401" s="292" t="str">
        <f>TablaPOA[[#This Row],[Cod_Sub_acción_especifica]]&amp;"_"&amp;TablaPOA[[#This Row],[Cod_Tipo_agente]]</f>
        <v>K31.2.6.2_TA3</v>
      </c>
      <c r="R401" s="250" t="s">
        <v>2840</v>
      </c>
      <c r="S401" s="250" t="s">
        <v>2842</v>
      </c>
      <c r="T401" s="269" t="s">
        <v>2843</v>
      </c>
    </row>
    <row r="402" spans="1:20" ht="25.5" x14ac:dyDescent="0.25">
      <c r="A402" s="268" t="s">
        <v>2314</v>
      </c>
      <c r="B402" s="248">
        <v>31</v>
      </c>
      <c r="C402" s="248" t="s">
        <v>2691</v>
      </c>
      <c r="D402" s="248" t="s">
        <v>2988</v>
      </c>
      <c r="E402" s="248" t="s">
        <v>3160</v>
      </c>
      <c r="F402" s="248" t="s">
        <v>2695</v>
      </c>
      <c r="G402" s="248" t="s">
        <v>2490</v>
      </c>
      <c r="H402" s="249" t="s">
        <v>3166</v>
      </c>
      <c r="I402" s="249" t="s">
        <v>2716</v>
      </c>
      <c r="J402" s="248" t="s">
        <v>2717</v>
      </c>
      <c r="K402" s="261" t="s">
        <v>3091</v>
      </c>
      <c r="L402" s="261" t="s">
        <v>2767</v>
      </c>
      <c r="M402" s="258" t="s">
        <v>2770</v>
      </c>
      <c r="N402" s="295"/>
      <c r="O402" s="295" t="str">
        <f>TablaPOA[[#This Row],[Cod_Sub_acción_especifica]]&amp;"_"&amp;TablaPOA[[#This Row],[Tipo de agente]]</f>
        <v>K31.2.6.2_Consumidores directos de GLP y redes de distribución</v>
      </c>
      <c r="P402" s="250" t="s">
        <v>2839</v>
      </c>
      <c r="Q402" s="292" t="str">
        <f>TablaPOA[[#This Row],[Cod_Sub_acción_especifica]]&amp;"_"&amp;TablaPOA[[#This Row],[Cod_Tipo_agente]]</f>
        <v>K31.2.6.2_TA3</v>
      </c>
      <c r="R402" s="250" t="s">
        <v>2840</v>
      </c>
      <c r="S402" s="250" t="s">
        <v>2844</v>
      </c>
      <c r="T402" s="269" t="s">
        <v>2845</v>
      </c>
    </row>
    <row r="403" spans="1:20" ht="25.5" x14ac:dyDescent="0.25">
      <c r="A403" s="268" t="s">
        <v>2314</v>
      </c>
      <c r="B403" s="248">
        <v>31</v>
      </c>
      <c r="C403" s="248" t="s">
        <v>2691</v>
      </c>
      <c r="D403" s="248" t="s">
        <v>2988</v>
      </c>
      <c r="E403" s="248" t="s">
        <v>3160</v>
      </c>
      <c r="F403" s="248" t="s">
        <v>2695</v>
      </c>
      <c r="G403" s="248" t="s">
        <v>2490</v>
      </c>
      <c r="H403" s="249" t="s">
        <v>3166</v>
      </c>
      <c r="I403" s="249" t="s">
        <v>2716</v>
      </c>
      <c r="J403" s="248" t="s">
        <v>2717</v>
      </c>
      <c r="K403" s="261" t="s">
        <v>3091</v>
      </c>
      <c r="L403" s="261" t="s">
        <v>2767</v>
      </c>
      <c r="M403" s="258" t="s">
        <v>2770</v>
      </c>
      <c r="N403" s="295"/>
      <c r="O403" s="295" t="str">
        <f>TablaPOA[[#This Row],[Cod_Sub_acción_especifica]]&amp;"_"&amp;TablaPOA[[#This Row],[Tipo de agente]]</f>
        <v>K31.2.6.2_Consumidores directos de GLP y redes de distribución</v>
      </c>
      <c r="P403" s="250" t="s">
        <v>2839</v>
      </c>
      <c r="Q403" s="292" t="str">
        <f>TablaPOA[[#This Row],[Cod_Sub_acción_especifica]]&amp;"_"&amp;TablaPOA[[#This Row],[Cod_Tipo_agente]]</f>
        <v>K31.2.6.2_TA3</v>
      </c>
      <c r="R403" s="250" t="s">
        <v>2840</v>
      </c>
      <c r="S403" s="250" t="s">
        <v>2846</v>
      </c>
      <c r="T403" s="269" t="s">
        <v>2847</v>
      </c>
    </row>
    <row r="404" spans="1:20" ht="25.5" x14ac:dyDescent="0.25">
      <c r="A404" s="268" t="s">
        <v>2314</v>
      </c>
      <c r="B404" s="248">
        <v>31</v>
      </c>
      <c r="C404" s="248" t="s">
        <v>2691</v>
      </c>
      <c r="D404" s="248" t="s">
        <v>2988</v>
      </c>
      <c r="E404" s="248" t="s">
        <v>3160</v>
      </c>
      <c r="F404" s="248" t="s">
        <v>2695</v>
      </c>
      <c r="G404" s="248" t="s">
        <v>2490</v>
      </c>
      <c r="H404" s="249" t="s">
        <v>3166</v>
      </c>
      <c r="I404" s="249" t="s">
        <v>2716</v>
      </c>
      <c r="J404" s="248" t="s">
        <v>2717</v>
      </c>
      <c r="K404" s="261" t="s">
        <v>3091</v>
      </c>
      <c r="L404" s="261" t="s">
        <v>2767</v>
      </c>
      <c r="M404" s="258" t="s">
        <v>2770</v>
      </c>
      <c r="N404" s="295"/>
      <c r="O404" s="295" t="str">
        <f>TablaPOA[[#This Row],[Cod_Sub_acción_especifica]]&amp;"_"&amp;TablaPOA[[#This Row],[Tipo de agente]]</f>
        <v>K31.2.6.2_Consumidores directos de GLP y redes de distribución</v>
      </c>
      <c r="P404" s="250" t="s">
        <v>2839</v>
      </c>
      <c r="Q404" s="292" t="str">
        <f>TablaPOA[[#This Row],[Cod_Sub_acción_especifica]]&amp;"_"&amp;TablaPOA[[#This Row],[Cod_Tipo_agente]]</f>
        <v>K31.2.6.2_TA3</v>
      </c>
      <c r="R404" s="250" t="s">
        <v>2840</v>
      </c>
      <c r="S404" s="250" t="s">
        <v>2848</v>
      </c>
      <c r="T404" s="269" t="s">
        <v>2849</v>
      </c>
    </row>
    <row r="405" spans="1:20" ht="25.5" x14ac:dyDescent="0.25">
      <c r="A405" s="268" t="s">
        <v>2314</v>
      </c>
      <c r="B405" s="248">
        <v>31</v>
      </c>
      <c r="C405" s="248" t="s">
        <v>2691</v>
      </c>
      <c r="D405" s="248" t="s">
        <v>2988</v>
      </c>
      <c r="E405" s="248" t="s">
        <v>3160</v>
      </c>
      <c r="F405" s="248" t="s">
        <v>2695</v>
      </c>
      <c r="G405" s="248" t="s">
        <v>2490</v>
      </c>
      <c r="H405" s="249" t="s">
        <v>3166</v>
      </c>
      <c r="I405" s="249" t="s">
        <v>2716</v>
      </c>
      <c r="J405" s="248" t="s">
        <v>2717</v>
      </c>
      <c r="K405" s="261" t="s">
        <v>3091</v>
      </c>
      <c r="L405" s="261" t="s">
        <v>2767</v>
      </c>
      <c r="M405" s="258" t="s">
        <v>2770</v>
      </c>
      <c r="N405" s="295"/>
      <c r="O405" s="295" t="str">
        <f>TablaPOA[[#This Row],[Cod_Sub_acción_especifica]]&amp;"_"&amp;TablaPOA[[#This Row],[Tipo de agente]]</f>
        <v>K31.2.6.2_Consumidores directos de GLP y redes de distribución</v>
      </c>
      <c r="P405" s="250" t="s">
        <v>2839</v>
      </c>
      <c r="Q405" s="292" t="str">
        <f>TablaPOA[[#This Row],[Cod_Sub_acción_especifica]]&amp;"_"&amp;TablaPOA[[#This Row],[Cod_Tipo_agente]]</f>
        <v>K31.2.6.2_TA3</v>
      </c>
      <c r="R405" s="250" t="s">
        <v>2840</v>
      </c>
      <c r="S405" s="250" t="s">
        <v>2850</v>
      </c>
      <c r="T405" s="269" t="s">
        <v>2851</v>
      </c>
    </row>
    <row r="406" spans="1:20" ht="25.5" x14ac:dyDescent="0.25">
      <c r="A406" s="219" t="s">
        <v>2314</v>
      </c>
      <c r="B406" s="227">
        <v>31</v>
      </c>
      <c r="C406" s="227" t="s">
        <v>2691</v>
      </c>
      <c r="D406" s="227" t="s">
        <v>2988</v>
      </c>
      <c r="E406" s="227" t="s">
        <v>3160</v>
      </c>
      <c r="F406" s="227" t="s">
        <v>2695</v>
      </c>
      <c r="G406" s="227" t="s">
        <v>2490</v>
      </c>
      <c r="H406" s="253" t="s">
        <v>3167</v>
      </c>
      <c r="I406" s="253" t="s">
        <v>2771</v>
      </c>
      <c r="J406" s="227" t="s">
        <v>3004</v>
      </c>
      <c r="K406" s="253" t="s">
        <v>3092</v>
      </c>
      <c r="L406" s="253" t="s">
        <v>2771</v>
      </c>
      <c r="M406" s="227" t="s">
        <v>3005</v>
      </c>
      <c r="N406" s="299" t="s">
        <v>2877</v>
      </c>
      <c r="O406" s="292" t="str">
        <f>TablaPOA[[#This Row],[Cod_Sub_acción_especifica]]&amp;"_"&amp;TablaPOA[[#This Row],[Tipo de agente]]</f>
        <v>K31.2.7.1_Envasadoras de GLP</v>
      </c>
      <c r="P406" s="254" t="s">
        <v>2876</v>
      </c>
      <c r="Q406" s="292" t="str">
        <f>TablaPOA[[#This Row],[Cod_Sub_acción_especifica]]&amp;"_"&amp;TablaPOA[[#This Row],[Cod_Tipo_agente]]</f>
        <v>K31.2.7.1_TA5</v>
      </c>
      <c r="R406" s="254" t="s">
        <v>2877</v>
      </c>
      <c r="S406" s="255" t="s">
        <v>2878</v>
      </c>
      <c r="T406" s="271" t="s">
        <v>2879</v>
      </c>
    </row>
    <row r="407" spans="1:20" ht="25.5" x14ac:dyDescent="0.25">
      <c r="A407" s="219" t="s">
        <v>2314</v>
      </c>
      <c r="B407" s="227">
        <v>31</v>
      </c>
      <c r="C407" s="227" t="s">
        <v>2691</v>
      </c>
      <c r="D407" s="227" t="s">
        <v>2988</v>
      </c>
      <c r="E407" s="227" t="s">
        <v>3160</v>
      </c>
      <c r="F407" s="227" t="s">
        <v>2695</v>
      </c>
      <c r="G407" s="227" t="s">
        <v>2490</v>
      </c>
      <c r="H407" s="253" t="s">
        <v>3167</v>
      </c>
      <c r="I407" s="253" t="s">
        <v>2771</v>
      </c>
      <c r="J407" s="227" t="s">
        <v>3004</v>
      </c>
      <c r="K407" s="253" t="s">
        <v>3092</v>
      </c>
      <c r="L407" s="253" t="s">
        <v>2771</v>
      </c>
      <c r="M407" s="227" t="s">
        <v>3005</v>
      </c>
      <c r="N407" s="293"/>
      <c r="O407" s="293" t="str">
        <f>TablaPOA[[#This Row],[Cod_Sub_acción_especifica]]&amp;"_"&amp;TablaPOA[[#This Row],[Tipo de agente]]</f>
        <v>K31.2.7.1_Envasadoras de GLP</v>
      </c>
      <c r="P407" s="254" t="s">
        <v>2876</v>
      </c>
      <c r="Q407" s="292" t="str">
        <f>TablaPOA[[#This Row],[Cod_Sub_acción_especifica]]&amp;"_"&amp;TablaPOA[[#This Row],[Cod_Tipo_agente]]</f>
        <v>K31.2.7.1_TA5</v>
      </c>
      <c r="R407" s="254" t="s">
        <v>2877</v>
      </c>
      <c r="S407" s="255" t="s">
        <v>2880</v>
      </c>
      <c r="T407" s="271" t="s">
        <v>2881</v>
      </c>
    </row>
    <row r="408" spans="1:20" ht="25.5" x14ac:dyDescent="0.25">
      <c r="A408" s="219" t="s">
        <v>2314</v>
      </c>
      <c r="B408" s="227">
        <v>31</v>
      </c>
      <c r="C408" s="227" t="s">
        <v>2691</v>
      </c>
      <c r="D408" s="227" t="s">
        <v>2988</v>
      </c>
      <c r="E408" s="227" t="s">
        <v>3160</v>
      </c>
      <c r="F408" s="227" t="s">
        <v>2695</v>
      </c>
      <c r="G408" s="227" t="s">
        <v>2490</v>
      </c>
      <c r="H408" s="253" t="s">
        <v>3167</v>
      </c>
      <c r="I408" s="253" t="s">
        <v>2771</v>
      </c>
      <c r="J408" s="227" t="s">
        <v>3004</v>
      </c>
      <c r="K408" s="253" t="s">
        <v>3092</v>
      </c>
      <c r="L408" s="253" t="s">
        <v>2771</v>
      </c>
      <c r="M408" s="227" t="s">
        <v>3005</v>
      </c>
      <c r="N408" s="293"/>
      <c r="O408" s="293" t="str">
        <f>TablaPOA[[#This Row],[Cod_Sub_acción_especifica]]&amp;"_"&amp;TablaPOA[[#This Row],[Tipo de agente]]</f>
        <v>K31.2.7.1_Medios de transporte</v>
      </c>
      <c r="P408" s="254" t="s">
        <v>2918</v>
      </c>
      <c r="Q408" s="292" t="str">
        <f>TablaPOA[[#This Row],[Cod_Sub_acción_especifica]]&amp;"_"&amp;TablaPOA[[#This Row],[Cod_Tipo_agente]]</f>
        <v>K31.2.7.1_TA9</v>
      </c>
      <c r="R408" s="254" t="s">
        <v>2919</v>
      </c>
      <c r="S408" s="255" t="s">
        <v>2920</v>
      </c>
      <c r="T408" s="271" t="s">
        <v>2921</v>
      </c>
    </row>
    <row r="409" spans="1:20" ht="25.5" x14ac:dyDescent="0.25">
      <c r="A409" s="268" t="s">
        <v>2314</v>
      </c>
      <c r="B409" s="248">
        <v>31</v>
      </c>
      <c r="C409" s="248" t="s">
        <v>2691</v>
      </c>
      <c r="D409" s="248" t="s">
        <v>2988</v>
      </c>
      <c r="E409" s="248" t="s">
        <v>3160</v>
      </c>
      <c r="F409" s="248" t="s">
        <v>2695</v>
      </c>
      <c r="G409" s="248" t="s">
        <v>2490</v>
      </c>
      <c r="H409" s="249" t="s">
        <v>3168</v>
      </c>
      <c r="I409" s="249" t="s">
        <v>2510</v>
      </c>
      <c r="J409" s="248" t="s">
        <v>2509</v>
      </c>
      <c r="K409" s="249" t="s">
        <v>3093</v>
      </c>
      <c r="L409" s="249" t="s">
        <v>2510</v>
      </c>
      <c r="M409" s="248" t="s">
        <v>3006</v>
      </c>
      <c r="N409" s="299" t="s">
        <v>2877</v>
      </c>
      <c r="O409" s="292" t="str">
        <f>TablaPOA[[#This Row],[Cod_Sub_acción_especifica]]&amp;"_"&amp;TablaPOA[[#This Row],[Tipo de agente]]</f>
        <v>K31.2.8.1_Envasadoras de GLP</v>
      </c>
      <c r="P409" s="250" t="s">
        <v>2876</v>
      </c>
      <c r="Q409" s="292" t="str">
        <f>TablaPOA[[#This Row],[Cod_Sub_acción_especifica]]&amp;"_"&amp;TablaPOA[[#This Row],[Cod_Tipo_agente]]</f>
        <v>K31.2.8.1_TA5</v>
      </c>
      <c r="R409" s="250" t="s">
        <v>2877</v>
      </c>
      <c r="S409" s="251" t="s">
        <v>2878</v>
      </c>
      <c r="T409" s="269" t="s">
        <v>2879</v>
      </c>
    </row>
    <row r="410" spans="1:20" ht="25.5" x14ac:dyDescent="0.25">
      <c r="A410" s="268" t="s">
        <v>2314</v>
      </c>
      <c r="B410" s="248">
        <v>31</v>
      </c>
      <c r="C410" s="248" t="s">
        <v>2691</v>
      </c>
      <c r="D410" s="248" t="s">
        <v>2988</v>
      </c>
      <c r="E410" s="248" t="s">
        <v>3160</v>
      </c>
      <c r="F410" s="248" t="s">
        <v>2695</v>
      </c>
      <c r="G410" s="248" t="s">
        <v>2490</v>
      </c>
      <c r="H410" s="249" t="s">
        <v>3168</v>
      </c>
      <c r="I410" s="249" t="s">
        <v>2510</v>
      </c>
      <c r="J410" s="248" t="s">
        <v>2509</v>
      </c>
      <c r="K410" s="249" t="s">
        <v>3093</v>
      </c>
      <c r="L410" s="249" t="s">
        <v>2510</v>
      </c>
      <c r="M410" s="248" t="s">
        <v>3006</v>
      </c>
      <c r="N410" s="293"/>
      <c r="O410" s="293" t="str">
        <f>TablaPOA[[#This Row],[Cod_Sub_acción_especifica]]&amp;"_"&amp;TablaPOA[[#This Row],[Tipo de agente]]</f>
        <v>K31.2.8.1_Envasadoras de GLP</v>
      </c>
      <c r="P410" s="250" t="s">
        <v>2876</v>
      </c>
      <c r="Q410" s="292" t="str">
        <f>TablaPOA[[#This Row],[Cod_Sub_acción_especifica]]&amp;"_"&amp;TablaPOA[[#This Row],[Cod_Tipo_agente]]</f>
        <v>K31.2.8.1_TA5</v>
      </c>
      <c r="R410" s="250" t="s">
        <v>2877</v>
      </c>
      <c r="S410" s="251" t="s">
        <v>2880</v>
      </c>
      <c r="T410" s="269" t="s">
        <v>2881</v>
      </c>
    </row>
    <row r="411" spans="1:20" ht="25.5" x14ac:dyDescent="0.25">
      <c r="A411" s="219" t="s">
        <v>2314</v>
      </c>
      <c r="B411" s="227">
        <v>31</v>
      </c>
      <c r="C411" s="227" t="s">
        <v>2691</v>
      </c>
      <c r="D411" s="227" t="s">
        <v>2988</v>
      </c>
      <c r="E411" s="227" t="s">
        <v>3160</v>
      </c>
      <c r="F411" s="227" t="s">
        <v>2695</v>
      </c>
      <c r="G411" s="227" t="s">
        <v>2490</v>
      </c>
      <c r="H411" s="253" t="s">
        <v>3168</v>
      </c>
      <c r="I411" s="253" t="s">
        <v>2510</v>
      </c>
      <c r="J411" s="227" t="s">
        <v>2509</v>
      </c>
      <c r="K411" s="262" t="s">
        <v>3094</v>
      </c>
      <c r="L411" s="262" t="s">
        <v>2767</v>
      </c>
      <c r="M411" s="259" t="s">
        <v>2772</v>
      </c>
      <c r="N411" s="299" t="s">
        <v>2877</v>
      </c>
      <c r="O411" s="292" t="str">
        <f>TablaPOA[[#This Row],[Cod_Sub_acción_especifica]]&amp;"_"&amp;TablaPOA[[#This Row],[Tipo de agente]]</f>
        <v>K31.2.8.2_Envasadoras de GLP</v>
      </c>
      <c r="P411" s="254" t="s">
        <v>2876</v>
      </c>
      <c r="Q411" s="292" t="str">
        <f>TablaPOA[[#This Row],[Cod_Sub_acción_especifica]]&amp;"_"&amp;TablaPOA[[#This Row],[Cod_Tipo_agente]]</f>
        <v>K31.2.8.2_TA5</v>
      </c>
      <c r="R411" s="254" t="s">
        <v>2877</v>
      </c>
      <c r="S411" s="255" t="s">
        <v>2878</v>
      </c>
      <c r="T411" s="271" t="s">
        <v>2879</v>
      </c>
    </row>
    <row r="412" spans="1:20" ht="25.5" x14ac:dyDescent="0.25">
      <c r="A412" s="219" t="s">
        <v>2314</v>
      </c>
      <c r="B412" s="227">
        <v>31</v>
      </c>
      <c r="C412" s="227" t="s">
        <v>2691</v>
      </c>
      <c r="D412" s="227" t="s">
        <v>2988</v>
      </c>
      <c r="E412" s="227" t="s">
        <v>3160</v>
      </c>
      <c r="F412" s="227" t="s">
        <v>2695</v>
      </c>
      <c r="G412" s="227" t="s">
        <v>2490</v>
      </c>
      <c r="H412" s="253" t="s">
        <v>3168</v>
      </c>
      <c r="I412" s="253" t="s">
        <v>2510</v>
      </c>
      <c r="J412" s="227" t="s">
        <v>2509</v>
      </c>
      <c r="K412" s="262" t="s">
        <v>3094</v>
      </c>
      <c r="L412" s="262" t="s">
        <v>2767</v>
      </c>
      <c r="M412" s="259" t="s">
        <v>2772</v>
      </c>
      <c r="N412" s="295"/>
      <c r="O412" s="295" t="str">
        <f>TablaPOA[[#This Row],[Cod_Sub_acción_especifica]]&amp;"_"&amp;TablaPOA[[#This Row],[Tipo de agente]]</f>
        <v>K31.2.8.2_Envasadoras de GLP</v>
      </c>
      <c r="P412" s="254" t="s">
        <v>2876</v>
      </c>
      <c r="Q412" s="292" t="str">
        <f>TablaPOA[[#This Row],[Cod_Sub_acción_especifica]]&amp;"_"&amp;TablaPOA[[#This Row],[Cod_Tipo_agente]]</f>
        <v>K31.2.8.2_TA5</v>
      </c>
      <c r="R412" s="254" t="s">
        <v>2877</v>
      </c>
      <c r="S412" s="255" t="s">
        <v>2880</v>
      </c>
      <c r="T412" s="271" t="s">
        <v>2881</v>
      </c>
    </row>
    <row r="413" spans="1:20" ht="25.5" x14ac:dyDescent="0.25">
      <c r="A413" s="268" t="s">
        <v>2314</v>
      </c>
      <c r="B413" s="248">
        <v>31</v>
      </c>
      <c r="C413" s="248" t="s">
        <v>2691</v>
      </c>
      <c r="D413" s="248" t="s">
        <v>2988</v>
      </c>
      <c r="E413" s="248" t="s">
        <v>3160</v>
      </c>
      <c r="F413" s="248" t="s">
        <v>2695</v>
      </c>
      <c r="G413" s="248" t="s">
        <v>2490</v>
      </c>
      <c r="H413" s="249" t="s">
        <v>3169</v>
      </c>
      <c r="I413" s="249" t="s">
        <v>2718</v>
      </c>
      <c r="J413" s="248" t="s">
        <v>3007</v>
      </c>
      <c r="K413" s="249" t="s">
        <v>3095</v>
      </c>
      <c r="L413" s="249" t="s">
        <v>2773</v>
      </c>
      <c r="M413" s="248" t="s">
        <v>3008</v>
      </c>
      <c r="N413" s="299" t="s">
        <v>2809</v>
      </c>
      <c r="O413" s="292" t="str">
        <f>TablaPOA[[#This Row],[Cod_Sub_acción_especifica]]&amp;"_"&amp;TablaPOA[[#This Row],[Tipo de agente]]</f>
        <v>K31.2.9.1_Consumidores directos de combustibles líquidos y OPDH</v>
      </c>
      <c r="P413" s="250" t="s">
        <v>2808</v>
      </c>
      <c r="Q413" s="292" t="str">
        <f>TablaPOA[[#This Row],[Cod_Sub_acción_especifica]]&amp;"_"&amp;TablaPOA[[#This Row],[Cod_Tipo_agente]]</f>
        <v>K31.2.9.1_TA1</v>
      </c>
      <c r="R413" s="250" t="s">
        <v>2809</v>
      </c>
      <c r="S413" s="251" t="s">
        <v>2810</v>
      </c>
      <c r="T413" s="269" t="s">
        <v>2811</v>
      </c>
    </row>
    <row r="414" spans="1:20" ht="25.5" x14ac:dyDescent="0.25">
      <c r="A414" s="268" t="s">
        <v>2314</v>
      </c>
      <c r="B414" s="248">
        <v>31</v>
      </c>
      <c r="C414" s="248" t="s">
        <v>2691</v>
      </c>
      <c r="D414" s="248" t="s">
        <v>2988</v>
      </c>
      <c r="E414" s="248" t="s">
        <v>3160</v>
      </c>
      <c r="F414" s="248" t="s">
        <v>2695</v>
      </c>
      <c r="G414" s="248" t="s">
        <v>2490</v>
      </c>
      <c r="H414" s="249" t="s">
        <v>3169</v>
      </c>
      <c r="I414" s="249" t="s">
        <v>2718</v>
      </c>
      <c r="J414" s="248" t="s">
        <v>3007</v>
      </c>
      <c r="K414" s="249" t="s">
        <v>3095</v>
      </c>
      <c r="L414" s="249" t="s">
        <v>2773</v>
      </c>
      <c r="M414" s="248" t="s">
        <v>3008</v>
      </c>
      <c r="N414" s="299" t="s">
        <v>2883</v>
      </c>
      <c r="O414" s="292" t="str">
        <f>TablaPOA[[#This Row],[Cod_Sub_acción_especifica]]&amp;"_"&amp;TablaPOA[[#This Row],[Tipo de agente]]</f>
        <v>K31.2.9.1_Consumidores directos de combustibles líquidos y OPDH</v>
      </c>
      <c r="P414" s="250" t="s">
        <v>2808</v>
      </c>
      <c r="Q414" s="292" t="str">
        <f>TablaPOA[[#This Row],[Cod_Sub_acción_especifica]]&amp;"_"&amp;TablaPOA[[#This Row],[Cod_Tipo_agente]]</f>
        <v>K31.2.9.1_TA1</v>
      </c>
      <c r="R414" s="250" t="s">
        <v>2809</v>
      </c>
      <c r="S414" s="251" t="s">
        <v>2812</v>
      </c>
      <c r="T414" s="269" t="s">
        <v>2813</v>
      </c>
    </row>
    <row r="415" spans="1:20" ht="25.5" x14ac:dyDescent="0.25">
      <c r="A415" s="268" t="s">
        <v>2314</v>
      </c>
      <c r="B415" s="248">
        <v>31</v>
      </c>
      <c r="C415" s="248" t="s">
        <v>2691</v>
      </c>
      <c r="D415" s="248" t="s">
        <v>2988</v>
      </c>
      <c r="E415" s="248" t="s">
        <v>3160</v>
      </c>
      <c r="F415" s="248" t="s">
        <v>2695</v>
      </c>
      <c r="G415" s="248" t="s">
        <v>2490</v>
      </c>
      <c r="H415" s="249" t="s">
        <v>3169</v>
      </c>
      <c r="I415" s="249" t="s">
        <v>2718</v>
      </c>
      <c r="J415" s="248" t="s">
        <v>3007</v>
      </c>
      <c r="K415" s="249" t="s">
        <v>3095</v>
      </c>
      <c r="L415" s="249" t="s">
        <v>2773</v>
      </c>
      <c r="M415" s="248" t="s">
        <v>3008</v>
      </c>
      <c r="N415" s="293"/>
      <c r="O415" s="293" t="str">
        <f>TablaPOA[[#This Row],[Cod_Sub_acción_especifica]]&amp;"_"&amp;TablaPOA[[#This Row],[Tipo de agente]]</f>
        <v>K31.2.9.1_Consumidores directos de combustibles líquidos y OPDH</v>
      </c>
      <c r="P415" s="250" t="s">
        <v>2808</v>
      </c>
      <c r="Q415" s="292" t="str">
        <f>TablaPOA[[#This Row],[Cod_Sub_acción_especifica]]&amp;"_"&amp;TablaPOA[[#This Row],[Cod_Tipo_agente]]</f>
        <v>K31.2.9.1_TA1</v>
      </c>
      <c r="R415" s="250" t="s">
        <v>2809</v>
      </c>
      <c r="S415" s="251" t="s">
        <v>2814</v>
      </c>
      <c r="T415" s="269" t="s">
        <v>2815</v>
      </c>
    </row>
    <row r="416" spans="1:20" ht="25.5" x14ac:dyDescent="0.25">
      <c r="A416" s="268" t="s">
        <v>2314</v>
      </c>
      <c r="B416" s="248">
        <v>31</v>
      </c>
      <c r="C416" s="248" t="s">
        <v>2691</v>
      </c>
      <c r="D416" s="248" t="s">
        <v>2988</v>
      </c>
      <c r="E416" s="248" t="s">
        <v>3160</v>
      </c>
      <c r="F416" s="248" t="s">
        <v>2695</v>
      </c>
      <c r="G416" s="248" t="s">
        <v>2490</v>
      </c>
      <c r="H416" s="249" t="s">
        <v>3169</v>
      </c>
      <c r="I416" s="249" t="s">
        <v>2718</v>
      </c>
      <c r="J416" s="248" t="s">
        <v>3007</v>
      </c>
      <c r="K416" s="249" t="s">
        <v>3095</v>
      </c>
      <c r="L416" s="249" t="s">
        <v>2773</v>
      </c>
      <c r="M416" s="248" t="s">
        <v>3008</v>
      </c>
      <c r="N416" s="293"/>
      <c r="O416" s="293" t="str">
        <f>TablaPOA[[#This Row],[Cod_Sub_acción_especifica]]&amp;"_"&amp;TablaPOA[[#This Row],[Tipo de agente]]</f>
        <v>K31.2.9.1_Consumidores directos de combustibles líquidos y OPDH</v>
      </c>
      <c r="P416" s="250" t="s">
        <v>2808</v>
      </c>
      <c r="Q416" s="292" t="str">
        <f>TablaPOA[[#This Row],[Cod_Sub_acción_especifica]]&amp;"_"&amp;TablaPOA[[#This Row],[Cod_Tipo_agente]]</f>
        <v>K31.2.9.1_TA1</v>
      </c>
      <c r="R416" s="250" t="s">
        <v>2809</v>
      </c>
      <c r="S416" s="251" t="s">
        <v>2816</v>
      </c>
      <c r="T416" s="269" t="s">
        <v>2817</v>
      </c>
    </row>
    <row r="417" spans="1:20" ht="25.5" x14ac:dyDescent="0.25">
      <c r="A417" s="268" t="s">
        <v>2314</v>
      </c>
      <c r="B417" s="248">
        <v>31</v>
      </c>
      <c r="C417" s="248" t="s">
        <v>2691</v>
      </c>
      <c r="D417" s="248" t="s">
        <v>2988</v>
      </c>
      <c r="E417" s="248" t="s">
        <v>3160</v>
      </c>
      <c r="F417" s="248" t="s">
        <v>2695</v>
      </c>
      <c r="G417" s="248" t="s">
        <v>2490</v>
      </c>
      <c r="H417" s="249" t="s">
        <v>3169</v>
      </c>
      <c r="I417" s="249" t="s">
        <v>2718</v>
      </c>
      <c r="J417" s="248" t="s">
        <v>3007</v>
      </c>
      <c r="K417" s="249" t="s">
        <v>3095</v>
      </c>
      <c r="L417" s="249" t="s">
        <v>2773</v>
      </c>
      <c r="M417" s="248" t="s">
        <v>3008</v>
      </c>
      <c r="N417" s="293"/>
      <c r="O417" s="293" t="str">
        <f>TablaPOA[[#This Row],[Cod_Sub_acción_especifica]]&amp;"_"&amp;TablaPOA[[#This Row],[Tipo de agente]]</f>
        <v>K31.2.9.1_Consumidores directos de combustibles líquidos y OPDH</v>
      </c>
      <c r="P417" s="250" t="s">
        <v>2808</v>
      </c>
      <c r="Q417" s="292" t="str">
        <f>TablaPOA[[#This Row],[Cod_Sub_acción_especifica]]&amp;"_"&amp;TablaPOA[[#This Row],[Cod_Tipo_agente]]</f>
        <v>K31.2.9.1_TA1</v>
      </c>
      <c r="R417" s="250" t="s">
        <v>2809</v>
      </c>
      <c r="S417" s="251" t="s">
        <v>2818</v>
      </c>
      <c r="T417" s="269" t="s">
        <v>2819</v>
      </c>
    </row>
    <row r="418" spans="1:20" ht="25.5" x14ac:dyDescent="0.25">
      <c r="A418" s="268" t="s">
        <v>2314</v>
      </c>
      <c r="B418" s="248">
        <v>31</v>
      </c>
      <c r="C418" s="248" t="s">
        <v>2691</v>
      </c>
      <c r="D418" s="248" t="s">
        <v>2988</v>
      </c>
      <c r="E418" s="248" t="s">
        <v>3160</v>
      </c>
      <c r="F418" s="248" t="s">
        <v>2695</v>
      </c>
      <c r="G418" s="248" t="s">
        <v>2490</v>
      </c>
      <c r="H418" s="249" t="s">
        <v>3169</v>
      </c>
      <c r="I418" s="249" t="s">
        <v>2718</v>
      </c>
      <c r="J418" s="248" t="s">
        <v>3007</v>
      </c>
      <c r="K418" s="249" t="s">
        <v>3095</v>
      </c>
      <c r="L418" s="249" t="s">
        <v>2773</v>
      </c>
      <c r="M418" s="248" t="s">
        <v>3008</v>
      </c>
      <c r="N418" s="293"/>
      <c r="O418" s="293" t="str">
        <f>TablaPOA[[#This Row],[Cod_Sub_acción_especifica]]&amp;"_"&amp;TablaPOA[[#This Row],[Tipo de agente]]</f>
        <v>K31.2.9.1_Consumidores directos de combustibles líquidos y OPDH</v>
      </c>
      <c r="P418" s="250" t="s">
        <v>2808</v>
      </c>
      <c r="Q418" s="292" t="str">
        <f>TablaPOA[[#This Row],[Cod_Sub_acción_especifica]]&amp;"_"&amp;TablaPOA[[#This Row],[Cod_Tipo_agente]]</f>
        <v>K31.2.9.1_TA1</v>
      </c>
      <c r="R418" s="250" t="s">
        <v>2809</v>
      </c>
      <c r="S418" s="251" t="s">
        <v>2820</v>
      </c>
      <c r="T418" s="269" t="s">
        <v>2821</v>
      </c>
    </row>
    <row r="419" spans="1:20" ht="25.5" x14ac:dyDescent="0.25">
      <c r="A419" s="268" t="s">
        <v>2314</v>
      </c>
      <c r="B419" s="248">
        <v>31</v>
      </c>
      <c r="C419" s="248" t="s">
        <v>2691</v>
      </c>
      <c r="D419" s="248" t="s">
        <v>2988</v>
      </c>
      <c r="E419" s="248" t="s">
        <v>3160</v>
      </c>
      <c r="F419" s="248" t="s">
        <v>2695</v>
      </c>
      <c r="G419" s="248" t="s">
        <v>2490</v>
      </c>
      <c r="H419" s="249" t="s">
        <v>3169</v>
      </c>
      <c r="I419" s="249" t="s">
        <v>2718</v>
      </c>
      <c r="J419" s="248" t="s">
        <v>3007</v>
      </c>
      <c r="K419" s="249" t="s">
        <v>3095</v>
      </c>
      <c r="L419" s="249" t="s">
        <v>2773</v>
      </c>
      <c r="M419" s="248" t="s">
        <v>3008</v>
      </c>
      <c r="N419" s="293"/>
      <c r="O419" s="293" t="str">
        <f>TablaPOA[[#This Row],[Cod_Sub_acción_especifica]]&amp;"_"&amp;TablaPOA[[#This Row],[Tipo de agente]]</f>
        <v>K31.2.9.1_Consumidores directos de combustibles líquidos y OPDH</v>
      </c>
      <c r="P419" s="250" t="s">
        <v>2808</v>
      </c>
      <c r="Q419" s="292" t="str">
        <f>TablaPOA[[#This Row],[Cod_Sub_acción_especifica]]&amp;"_"&amp;TablaPOA[[#This Row],[Cod_Tipo_agente]]</f>
        <v>K31.2.9.1_TA1</v>
      </c>
      <c r="R419" s="250" t="s">
        <v>2809</v>
      </c>
      <c r="S419" s="251" t="s">
        <v>2822</v>
      </c>
      <c r="T419" s="269" t="s">
        <v>2823</v>
      </c>
    </row>
    <row r="420" spans="1:20" ht="25.5" x14ac:dyDescent="0.25">
      <c r="A420" s="268" t="s">
        <v>2314</v>
      </c>
      <c r="B420" s="248">
        <v>31</v>
      </c>
      <c r="C420" s="248" t="s">
        <v>2691</v>
      </c>
      <c r="D420" s="248" t="s">
        <v>2988</v>
      </c>
      <c r="E420" s="248" t="s">
        <v>3160</v>
      </c>
      <c r="F420" s="248" t="s">
        <v>2695</v>
      </c>
      <c r="G420" s="248" t="s">
        <v>2490</v>
      </c>
      <c r="H420" s="249" t="s">
        <v>3169</v>
      </c>
      <c r="I420" s="249" t="s">
        <v>2718</v>
      </c>
      <c r="J420" s="248" t="s">
        <v>3007</v>
      </c>
      <c r="K420" s="249" t="s">
        <v>3095</v>
      </c>
      <c r="L420" s="249" t="s">
        <v>2773</v>
      </c>
      <c r="M420" s="248" t="s">
        <v>3008</v>
      </c>
      <c r="N420" s="293"/>
      <c r="O420" s="293" t="str">
        <f>TablaPOA[[#This Row],[Cod_Sub_acción_especifica]]&amp;"_"&amp;TablaPOA[[#This Row],[Tipo de agente]]</f>
        <v>K31.2.9.1_Consumidores directos de combustibles líquidos y OPDH</v>
      </c>
      <c r="P420" s="250" t="s">
        <v>2808</v>
      </c>
      <c r="Q420" s="292" t="str">
        <f>TablaPOA[[#This Row],[Cod_Sub_acción_especifica]]&amp;"_"&amp;TablaPOA[[#This Row],[Cod_Tipo_agente]]</f>
        <v>K31.2.9.1_TA1</v>
      </c>
      <c r="R420" s="250" t="s">
        <v>2809</v>
      </c>
      <c r="S420" s="251" t="s">
        <v>2824</v>
      </c>
      <c r="T420" s="269" t="s">
        <v>2825</v>
      </c>
    </row>
    <row r="421" spans="1:20" ht="25.5" x14ac:dyDescent="0.25">
      <c r="A421" s="268" t="s">
        <v>2314</v>
      </c>
      <c r="B421" s="248">
        <v>31</v>
      </c>
      <c r="C421" s="248" t="s">
        <v>2691</v>
      </c>
      <c r="D421" s="248" t="s">
        <v>2988</v>
      </c>
      <c r="E421" s="248" t="s">
        <v>3160</v>
      </c>
      <c r="F421" s="248" t="s">
        <v>2695</v>
      </c>
      <c r="G421" s="248" t="s">
        <v>2490</v>
      </c>
      <c r="H421" s="249" t="s">
        <v>3169</v>
      </c>
      <c r="I421" s="249" t="s">
        <v>2718</v>
      </c>
      <c r="J421" s="248" t="s">
        <v>3007</v>
      </c>
      <c r="K421" s="249" t="s">
        <v>3095</v>
      </c>
      <c r="L421" s="249" t="s">
        <v>2773</v>
      </c>
      <c r="M421" s="248" t="s">
        <v>3008</v>
      </c>
      <c r="N421" s="293"/>
      <c r="O421" s="293" t="str">
        <f>TablaPOA[[#This Row],[Cod_Sub_acción_especifica]]&amp;"_"&amp;TablaPOA[[#This Row],[Tipo de agente]]</f>
        <v>K31.2.9.1_Consumidores directos de combustibles líquidos y OPDH</v>
      </c>
      <c r="P421" s="250" t="s">
        <v>2808</v>
      </c>
      <c r="Q421" s="292" t="str">
        <f>TablaPOA[[#This Row],[Cod_Sub_acción_especifica]]&amp;"_"&amp;TablaPOA[[#This Row],[Cod_Tipo_agente]]</f>
        <v>K31.2.9.1_TA1</v>
      </c>
      <c r="R421" s="250" t="s">
        <v>2809</v>
      </c>
      <c r="S421" s="251" t="s">
        <v>2826</v>
      </c>
      <c r="T421" s="269" t="s">
        <v>2827</v>
      </c>
    </row>
    <row r="422" spans="1:20" ht="25.5" x14ac:dyDescent="0.25">
      <c r="A422" s="268" t="s">
        <v>2314</v>
      </c>
      <c r="B422" s="248">
        <v>31</v>
      </c>
      <c r="C422" s="248" t="s">
        <v>2691</v>
      </c>
      <c r="D422" s="248" t="s">
        <v>2988</v>
      </c>
      <c r="E422" s="248" t="s">
        <v>3160</v>
      </c>
      <c r="F422" s="248" t="s">
        <v>2695</v>
      </c>
      <c r="G422" s="248" t="s">
        <v>2490</v>
      </c>
      <c r="H422" s="249" t="s">
        <v>3169</v>
      </c>
      <c r="I422" s="249" t="s">
        <v>2718</v>
      </c>
      <c r="J422" s="248" t="s">
        <v>3007</v>
      </c>
      <c r="K422" s="249" t="s">
        <v>3095</v>
      </c>
      <c r="L422" s="249" t="s">
        <v>2773</v>
      </c>
      <c r="M422" s="248" t="s">
        <v>3008</v>
      </c>
      <c r="N422" s="293"/>
      <c r="O422" s="293" t="str">
        <f>TablaPOA[[#This Row],[Cod_Sub_acción_especifica]]&amp;"_"&amp;TablaPOA[[#This Row],[Tipo de agente]]</f>
        <v>K31.2.9.1_Consumidores directos de combustibles líquidos y OPDH</v>
      </c>
      <c r="P422" s="250" t="s">
        <v>2808</v>
      </c>
      <c r="Q422" s="292" t="str">
        <f>TablaPOA[[#This Row],[Cod_Sub_acción_especifica]]&amp;"_"&amp;TablaPOA[[#This Row],[Cod_Tipo_agente]]</f>
        <v>K31.2.9.1_TA1</v>
      </c>
      <c r="R422" s="250" t="s">
        <v>2809</v>
      </c>
      <c r="S422" s="251" t="s">
        <v>2828</v>
      </c>
      <c r="T422" s="269" t="s">
        <v>2829</v>
      </c>
    </row>
    <row r="423" spans="1:20" ht="25.5" x14ac:dyDescent="0.25">
      <c r="A423" s="268" t="s">
        <v>2314</v>
      </c>
      <c r="B423" s="248">
        <v>31</v>
      </c>
      <c r="C423" s="248" t="s">
        <v>2691</v>
      </c>
      <c r="D423" s="248" t="s">
        <v>2988</v>
      </c>
      <c r="E423" s="248" t="s">
        <v>3160</v>
      </c>
      <c r="F423" s="248" t="s">
        <v>2695</v>
      </c>
      <c r="G423" s="248" t="s">
        <v>2490</v>
      </c>
      <c r="H423" s="249" t="s">
        <v>3169</v>
      </c>
      <c r="I423" s="249" t="s">
        <v>2718</v>
      </c>
      <c r="J423" s="248" t="s">
        <v>3007</v>
      </c>
      <c r="K423" s="249" t="s">
        <v>3095</v>
      </c>
      <c r="L423" s="249" t="s">
        <v>2773</v>
      </c>
      <c r="M423" s="248" t="s">
        <v>3008</v>
      </c>
      <c r="N423" s="293"/>
      <c r="O423" s="293" t="str">
        <f>TablaPOA[[#This Row],[Cod_Sub_acción_especifica]]&amp;"_"&amp;TablaPOA[[#This Row],[Tipo de agente]]</f>
        <v>K31.2.9.1_EVP combustibles de uso automotor</v>
      </c>
      <c r="P423" s="250" t="s">
        <v>2882</v>
      </c>
      <c r="Q423" s="292" t="str">
        <f>TablaPOA[[#This Row],[Cod_Sub_acción_especifica]]&amp;"_"&amp;TablaPOA[[#This Row],[Cod_Tipo_agente]]</f>
        <v>K31.2.9.1_TA6</v>
      </c>
      <c r="R423" s="250" t="s">
        <v>2883</v>
      </c>
      <c r="S423" s="251" t="s">
        <v>2884</v>
      </c>
      <c r="T423" s="269" t="s">
        <v>2885</v>
      </c>
    </row>
    <row r="424" spans="1:20" ht="25.5" x14ac:dyDescent="0.25">
      <c r="A424" s="268" t="s">
        <v>2314</v>
      </c>
      <c r="B424" s="248">
        <v>31</v>
      </c>
      <c r="C424" s="248" t="s">
        <v>2691</v>
      </c>
      <c r="D424" s="248" t="s">
        <v>2988</v>
      </c>
      <c r="E424" s="248" t="s">
        <v>3160</v>
      </c>
      <c r="F424" s="248" t="s">
        <v>2695</v>
      </c>
      <c r="G424" s="248" t="s">
        <v>2490</v>
      </c>
      <c r="H424" s="249" t="s">
        <v>3169</v>
      </c>
      <c r="I424" s="249" t="s">
        <v>2718</v>
      </c>
      <c r="J424" s="248" t="s">
        <v>3007</v>
      </c>
      <c r="K424" s="249" t="s">
        <v>3095</v>
      </c>
      <c r="L424" s="249" t="s">
        <v>2773</v>
      </c>
      <c r="M424" s="248" t="s">
        <v>3008</v>
      </c>
      <c r="N424" s="293"/>
      <c r="O424" s="293" t="str">
        <f>TablaPOA[[#This Row],[Cod_Sub_acción_especifica]]&amp;"_"&amp;TablaPOA[[#This Row],[Tipo de agente]]</f>
        <v>K31.2.9.1_EVP combustibles de uso automotor</v>
      </c>
      <c r="P424" s="250" t="s">
        <v>2882</v>
      </c>
      <c r="Q424" s="292" t="str">
        <f>TablaPOA[[#This Row],[Cod_Sub_acción_especifica]]&amp;"_"&amp;TablaPOA[[#This Row],[Cod_Tipo_agente]]</f>
        <v>K31.2.9.1_TA6</v>
      </c>
      <c r="R424" s="250" t="s">
        <v>2883</v>
      </c>
      <c r="S424" s="251" t="s">
        <v>2886</v>
      </c>
      <c r="T424" s="269" t="s">
        <v>2887</v>
      </c>
    </row>
    <row r="425" spans="1:20" ht="25.5" x14ac:dyDescent="0.25">
      <c r="A425" s="268" t="s">
        <v>2314</v>
      </c>
      <c r="B425" s="248">
        <v>31</v>
      </c>
      <c r="C425" s="248" t="s">
        <v>2691</v>
      </c>
      <c r="D425" s="248" t="s">
        <v>2988</v>
      </c>
      <c r="E425" s="248" t="s">
        <v>3160</v>
      </c>
      <c r="F425" s="248" t="s">
        <v>2695</v>
      </c>
      <c r="G425" s="248" t="s">
        <v>2490</v>
      </c>
      <c r="H425" s="249" t="s">
        <v>3169</v>
      </c>
      <c r="I425" s="249" t="s">
        <v>2718</v>
      </c>
      <c r="J425" s="248" t="s">
        <v>3007</v>
      </c>
      <c r="K425" s="249" t="s">
        <v>3095</v>
      </c>
      <c r="L425" s="249" t="s">
        <v>2773</v>
      </c>
      <c r="M425" s="248" t="s">
        <v>3008</v>
      </c>
      <c r="N425" s="293"/>
      <c r="O425" s="293" t="str">
        <f>TablaPOA[[#This Row],[Cod_Sub_acción_especifica]]&amp;"_"&amp;TablaPOA[[#This Row],[Tipo de agente]]</f>
        <v>K31.2.9.1_EVP combustibles de uso automotor</v>
      </c>
      <c r="P425" s="250" t="s">
        <v>2882</v>
      </c>
      <c r="Q425" s="292" t="str">
        <f>TablaPOA[[#This Row],[Cod_Sub_acción_especifica]]&amp;"_"&amp;TablaPOA[[#This Row],[Cod_Tipo_agente]]</f>
        <v>K31.2.9.1_TA6</v>
      </c>
      <c r="R425" s="250" t="s">
        <v>2883</v>
      </c>
      <c r="S425" s="251" t="s">
        <v>2890</v>
      </c>
      <c r="T425" s="269" t="s">
        <v>2891</v>
      </c>
    </row>
    <row r="426" spans="1:20" ht="25.5" x14ac:dyDescent="0.25">
      <c r="A426" s="268" t="s">
        <v>2314</v>
      </c>
      <c r="B426" s="248">
        <v>31</v>
      </c>
      <c r="C426" s="248" t="s">
        <v>2691</v>
      </c>
      <c r="D426" s="248" t="s">
        <v>2988</v>
      </c>
      <c r="E426" s="248" t="s">
        <v>3160</v>
      </c>
      <c r="F426" s="248" t="s">
        <v>2695</v>
      </c>
      <c r="G426" s="248" t="s">
        <v>2490</v>
      </c>
      <c r="H426" s="249" t="s">
        <v>3169</v>
      </c>
      <c r="I426" s="249" t="s">
        <v>2718</v>
      </c>
      <c r="J426" s="248" t="s">
        <v>3007</v>
      </c>
      <c r="K426" s="249" t="s">
        <v>3095</v>
      </c>
      <c r="L426" s="249" t="s">
        <v>2773</v>
      </c>
      <c r="M426" s="248" t="s">
        <v>3008</v>
      </c>
      <c r="N426" s="293"/>
      <c r="O426" s="293" t="str">
        <f>TablaPOA[[#This Row],[Cod_Sub_acción_especifica]]&amp;"_"&amp;TablaPOA[[#This Row],[Tipo de agente]]</f>
        <v>K31.2.9.1_EVP combustibles de uso automotor</v>
      </c>
      <c r="P426" s="250" t="s">
        <v>2882</v>
      </c>
      <c r="Q426" s="292" t="str">
        <f>TablaPOA[[#This Row],[Cod_Sub_acción_especifica]]&amp;"_"&amp;TablaPOA[[#This Row],[Cod_Tipo_agente]]</f>
        <v>K31.2.9.1_TA6</v>
      </c>
      <c r="R426" s="250" t="s">
        <v>2883</v>
      </c>
      <c r="S426" s="251" t="s">
        <v>2892</v>
      </c>
      <c r="T426" s="269" t="s">
        <v>2893</v>
      </c>
    </row>
    <row r="427" spans="1:20" ht="25.5" x14ac:dyDescent="0.25">
      <c r="A427" s="268" t="s">
        <v>2314</v>
      </c>
      <c r="B427" s="248">
        <v>31</v>
      </c>
      <c r="C427" s="248" t="s">
        <v>2691</v>
      </c>
      <c r="D427" s="248" t="s">
        <v>2988</v>
      </c>
      <c r="E427" s="248" t="s">
        <v>3160</v>
      </c>
      <c r="F427" s="248" t="s">
        <v>2695</v>
      </c>
      <c r="G427" s="248" t="s">
        <v>2490</v>
      </c>
      <c r="H427" s="249" t="s">
        <v>3169</v>
      </c>
      <c r="I427" s="249" t="s">
        <v>2718</v>
      </c>
      <c r="J427" s="248" t="s">
        <v>3007</v>
      </c>
      <c r="K427" s="249" t="s">
        <v>3095</v>
      </c>
      <c r="L427" s="249" t="s">
        <v>2773</v>
      </c>
      <c r="M427" s="248" t="s">
        <v>3008</v>
      </c>
      <c r="N427" s="293"/>
      <c r="O427" s="293" t="str">
        <f>TablaPOA[[#This Row],[Cod_Sub_acción_especifica]]&amp;"_"&amp;TablaPOA[[#This Row],[Tipo de agente]]</f>
        <v>K31.2.9.1_EVP combustibles de uso automotor</v>
      </c>
      <c r="P427" s="250" t="s">
        <v>2882</v>
      </c>
      <c r="Q427" s="292" t="str">
        <f>TablaPOA[[#This Row],[Cod_Sub_acción_especifica]]&amp;"_"&amp;TablaPOA[[#This Row],[Cod_Tipo_agente]]</f>
        <v>K31.2.9.1_TA6</v>
      </c>
      <c r="R427" s="250" t="s">
        <v>2883</v>
      </c>
      <c r="S427" s="251" t="s">
        <v>2894</v>
      </c>
      <c r="T427" s="269" t="s">
        <v>2895</v>
      </c>
    </row>
    <row r="428" spans="1:20" ht="25.5" x14ac:dyDescent="0.25">
      <c r="A428" s="268" t="s">
        <v>2314</v>
      </c>
      <c r="B428" s="248">
        <v>31</v>
      </c>
      <c r="C428" s="248" t="s">
        <v>2691</v>
      </c>
      <c r="D428" s="248" t="s">
        <v>2988</v>
      </c>
      <c r="E428" s="248" t="s">
        <v>3160</v>
      </c>
      <c r="F428" s="248" t="s">
        <v>2695</v>
      </c>
      <c r="G428" s="248" t="s">
        <v>2490</v>
      </c>
      <c r="H428" s="249" t="s">
        <v>3169</v>
      </c>
      <c r="I428" s="249" t="s">
        <v>2718</v>
      </c>
      <c r="J428" s="248" t="s">
        <v>3007</v>
      </c>
      <c r="K428" s="249" t="s">
        <v>3095</v>
      </c>
      <c r="L428" s="249" t="s">
        <v>2773</v>
      </c>
      <c r="M428" s="248" t="s">
        <v>3008</v>
      </c>
      <c r="N428" s="293"/>
      <c r="O428" s="293" t="str">
        <f>TablaPOA[[#This Row],[Cod_Sub_acción_especifica]]&amp;"_"&amp;TablaPOA[[#This Row],[Tipo de agente]]</f>
        <v>K31.2.9.1_EVP combustibles de uso automotor</v>
      </c>
      <c r="P428" s="250" t="s">
        <v>2882</v>
      </c>
      <c r="Q428" s="292" t="str">
        <f>TablaPOA[[#This Row],[Cod_Sub_acción_especifica]]&amp;"_"&amp;TablaPOA[[#This Row],[Cod_Tipo_agente]]</f>
        <v>K31.2.9.1_TA6</v>
      </c>
      <c r="R428" s="250" t="s">
        <v>2883</v>
      </c>
      <c r="S428" s="251" t="s">
        <v>2896</v>
      </c>
      <c r="T428" s="269" t="s">
        <v>2897</v>
      </c>
    </row>
    <row r="429" spans="1:20" ht="25.5" x14ac:dyDescent="0.25">
      <c r="A429" s="268" t="s">
        <v>2314</v>
      </c>
      <c r="B429" s="248">
        <v>31</v>
      </c>
      <c r="C429" s="248" t="s">
        <v>2691</v>
      </c>
      <c r="D429" s="248" t="s">
        <v>2988</v>
      </c>
      <c r="E429" s="248" t="s">
        <v>3160</v>
      </c>
      <c r="F429" s="248" t="s">
        <v>2695</v>
      </c>
      <c r="G429" s="248" t="s">
        <v>2490</v>
      </c>
      <c r="H429" s="249" t="s">
        <v>3169</v>
      </c>
      <c r="I429" s="249" t="s">
        <v>2718</v>
      </c>
      <c r="J429" s="248" t="s">
        <v>3007</v>
      </c>
      <c r="K429" s="249" t="s">
        <v>3095</v>
      </c>
      <c r="L429" s="249" t="s">
        <v>2773</v>
      </c>
      <c r="M429" s="248" t="s">
        <v>3008</v>
      </c>
      <c r="N429" s="293"/>
      <c r="O429" s="293" t="str">
        <f>TablaPOA[[#This Row],[Cod_Sub_acción_especifica]]&amp;"_"&amp;TablaPOA[[#This Row],[Tipo de agente]]</f>
        <v>K31.2.9.1_EVP combustibles de uso automotor</v>
      </c>
      <c r="P429" s="250" t="s">
        <v>2882</v>
      </c>
      <c r="Q429" s="292" t="str">
        <f>TablaPOA[[#This Row],[Cod_Sub_acción_especifica]]&amp;"_"&amp;TablaPOA[[#This Row],[Cod_Tipo_agente]]</f>
        <v>K31.2.9.1_TA6</v>
      </c>
      <c r="R429" s="250" t="s">
        <v>2883</v>
      </c>
      <c r="S429" s="251" t="s">
        <v>2898</v>
      </c>
      <c r="T429" s="269" t="s">
        <v>2899</v>
      </c>
    </row>
    <row r="430" spans="1:20" ht="25.5" x14ac:dyDescent="0.25">
      <c r="A430" s="268" t="s">
        <v>2314</v>
      </c>
      <c r="B430" s="248">
        <v>31</v>
      </c>
      <c r="C430" s="248" t="s">
        <v>2691</v>
      </c>
      <c r="D430" s="248" t="s">
        <v>2988</v>
      </c>
      <c r="E430" s="248" t="s">
        <v>3160</v>
      </c>
      <c r="F430" s="248" t="s">
        <v>2695</v>
      </c>
      <c r="G430" s="248" t="s">
        <v>2490</v>
      </c>
      <c r="H430" s="249" t="s">
        <v>3169</v>
      </c>
      <c r="I430" s="249" t="s">
        <v>2718</v>
      </c>
      <c r="J430" s="248" t="s">
        <v>3007</v>
      </c>
      <c r="K430" s="249" t="s">
        <v>3095</v>
      </c>
      <c r="L430" s="249" t="s">
        <v>2773</v>
      </c>
      <c r="M430" s="248" t="s">
        <v>3008</v>
      </c>
      <c r="N430" s="293"/>
      <c r="O430" s="293" t="str">
        <f>TablaPOA[[#This Row],[Cod_Sub_acción_especifica]]&amp;"_"&amp;TablaPOA[[#This Row],[Tipo de agente]]</f>
        <v>K31.2.9.1_EVP combustibles de uso automotor</v>
      </c>
      <c r="P430" s="250" t="s">
        <v>2882</v>
      </c>
      <c r="Q430" s="292" t="str">
        <f>TablaPOA[[#This Row],[Cod_Sub_acción_especifica]]&amp;"_"&amp;TablaPOA[[#This Row],[Cod_Tipo_agente]]</f>
        <v>K31.2.9.1_TA6</v>
      </c>
      <c r="R430" s="250" t="s">
        <v>2883</v>
      </c>
      <c r="S430" s="251" t="s">
        <v>2900</v>
      </c>
      <c r="T430" s="269" t="s">
        <v>2901</v>
      </c>
    </row>
    <row r="431" spans="1:20" ht="25.5" x14ac:dyDescent="0.25">
      <c r="A431" s="219" t="s">
        <v>2314</v>
      </c>
      <c r="B431" s="227">
        <v>31</v>
      </c>
      <c r="C431" s="227" t="s">
        <v>2691</v>
      </c>
      <c r="D431" s="227" t="s">
        <v>2988</v>
      </c>
      <c r="E431" s="227" t="s">
        <v>3160</v>
      </c>
      <c r="F431" s="227" t="s">
        <v>2695</v>
      </c>
      <c r="G431" s="227" t="s">
        <v>2490</v>
      </c>
      <c r="H431" s="253" t="s">
        <v>3170</v>
      </c>
      <c r="I431" s="253" t="s">
        <v>2719</v>
      </c>
      <c r="J431" s="227" t="s">
        <v>2720</v>
      </c>
      <c r="K431" s="253" t="s">
        <v>3096</v>
      </c>
      <c r="L431" s="253" t="s">
        <v>2774</v>
      </c>
      <c r="M431" s="227" t="s">
        <v>3009</v>
      </c>
      <c r="N431" s="299" t="s">
        <v>2883</v>
      </c>
      <c r="O431" s="292" t="str">
        <f>TablaPOA[[#This Row],[Cod_Sub_acción_especifica]]&amp;"_"&amp;TablaPOA[[#This Row],[Tipo de agente]]</f>
        <v>K31.2.10.1_EVP combustibles de uso automotor</v>
      </c>
      <c r="P431" s="254" t="s">
        <v>2882</v>
      </c>
      <c r="Q431" s="292" t="str">
        <f>TablaPOA[[#This Row],[Cod_Sub_acción_especifica]]&amp;"_"&amp;TablaPOA[[#This Row],[Cod_Tipo_agente]]</f>
        <v>K31.2.10.1_TA6</v>
      </c>
      <c r="R431" s="254" t="s">
        <v>2883</v>
      </c>
      <c r="S431" s="255" t="s">
        <v>2888</v>
      </c>
      <c r="T431" s="271" t="s">
        <v>2889</v>
      </c>
    </row>
    <row r="432" spans="1:20" ht="25.5" x14ac:dyDescent="0.25">
      <c r="A432" s="219" t="s">
        <v>2314</v>
      </c>
      <c r="B432" s="227">
        <v>31</v>
      </c>
      <c r="C432" s="227" t="s">
        <v>2691</v>
      </c>
      <c r="D432" s="227" t="s">
        <v>2988</v>
      </c>
      <c r="E432" s="227" t="s">
        <v>3160</v>
      </c>
      <c r="F432" s="227" t="s">
        <v>2695</v>
      </c>
      <c r="G432" s="227" t="s">
        <v>2490</v>
      </c>
      <c r="H432" s="253" t="s">
        <v>3170</v>
      </c>
      <c r="I432" s="253" t="s">
        <v>2719</v>
      </c>
      <c r="J432" s="227" t="s">
        <v>2720</v>
      </c>
      <c r="K432" s="253" t="s">
        <v>3096</v>
      </c>
      <c r="L432" s="253" t="s">
        <v>2774</v>
      </c>
      <c r="M432" s="227" t="s">
        <v>3009</v>
      </c>
      <c r="N432" s="299" t="s">
        <v>2809</v>
      </c>
      <c r="O432" s="293" t="str">
        <f>TablaPOA[[#This Row],[Cod_Sub_acción_especifica]]&amp;"_"&amp;TablaPOA[[#This Row],[Tipo de agente]]</f>
        <v>K31.2.10.1_Consumidores directos de combustibles líquidos y OPDH</v>
      </c>
      <c r="P432" s="254" t="s">
        <v>2808</v>
      </c>
      <c r="Q432" s="292" t="str">
        <f>TablaPOA[[#This Row],[Cod_Sub_acción_especifica]]&amp;"_"&amp;TablaPOA[[#This Row],[Cod_Tipo_agente]]</f>
        <v>K31.2.10.1_TA1</v>
      </c>
      <c r="R432" s="254" t="s">
        <v>2809</v>
      </c>
      <c r="S432" s="255" t="s">
        <v>2822</v>
      </c>
      <c r="T432" s="271" t="s">
        <v>2823</v>
      </c>
    </row>
    <row r="433" spans="1:20" ht="25.5" x14ac:dyDescent="0.25">
      <c r="A433" s="219" t="s">
        <v>2314</v>
      </c>
      <c r="B433" s="227">
        <v>31</v>
      </c>
      <c r="C433" s="227" t="s">
        <v>2691</v>
      </c>
      <c r="D433" s="227" t="s">
        <v>2988</v>
      </c>
      <c r="E433" s="227" t="s">
        <v>3160</v>
      </c>
      <c r="F433" s="227" t="s">
        <v>2695</v>
      </c>
      <c r="G433" s="227" t="s">
        <v>2490</v>
      </c>
      <c r="H433" s="253" t="s">
        <v>3170</v>
      </c>
      <c r="I433" s="253" t="s">
        <v>2719</v>
      </c>
      <c r="J433" s="227" t="s">
        <v>2720</v>
      </c>
      <c r="K433" s="253" t="s">
        <v>3096</v>
      </c>
      <c r="L433" s="253" t="s">
        <v>2774</v>
      </c>
      <c r="M433" s="227" t="s">
        <v>3009</v>
      </c>
      <c r="N433" s="299" t="s">
        <v>2919</v>
      </c>
      <c r="O433" s="293" t="str">
        <f>TablaPOA[[#This Row],[Cod_Sub_acción_especifica]]&amp;"_"&amp;TablaPOA[[#This Row],[Tipo de agente]]</f>
        <v>K31.2.10.1_Consumidores directos de combustibles líquidos y OPDH</v>
      </c>
      <c r="P433" s="254" t="s">
        <v>2808</v>
      </c>
      <c r="Q433" s="292" t="str">
        <f>TablaPOA[[#This Row],[Cod_Sub_acción_especifica]]&amp;"_"&amp;TablaPOA[[#This Row],[Cod_Tipo_agente]]</f>
        <v>K31.2.10.1_TA1</v>
      </c>
      <c r="R433" s="254" t="s">
        <v>2809</v>
      </c>
      <c r="S433" s="255" t="s">
        <v>2824</v>
      </c>
      <c r="T433" s="271" t="s">
        <v>2825</v>
      </c>
    </row>
    <row r="434" spans="1:20" ht="25.5" x14ac:dyDescent="0.25">
      <c r="A434" s="219" t="s">
        <v>2314</v>
      </c>
      <c r="B434" s="227">
        <v>31</v>
      </c>
      <c r="C434" s="227" t="s">
        <v>2691</v>
      </c>
      <c r="D434" s="227" t="s">
        <v>2988</v>
      </c>
      <c r="E434" s="227" t="s">
        <v>3160</v>
      </c>
      <c r="F434" s="227" t="s">
        <v>2695</v>
      </c>
      <c r="G434" s="227" t="s">
        <v>2490</v>
      </c>
      <c r="H434" s="253" t="s">
        <v>3170</v>
      </c>
      <c r="I434" s="253" t="s">
        <v>2719</v>
      </c>
      <c r="J434" s="227" t="s">
        <v>2720</v>
      </c>
      <c r="K434" s="253" t="s">
        <v>3096</v>
      </c>
      <c r="L434" s="253" t="s">
        <v>2774</v>
      </c>
      <c r="M434" s="227" t="s">
        <v>3009</v>
      </c>
      <c r="N434" s="293"/>
      <c r="O434" s="293" t="str">
        <f>TablaPOA[[#This Row],[Cod_Sub_acción_especifica]]&amp;"_"&amp;TablaPOA[[#This Row],[Tipo de agente]]</f>
        <v>K31.2.10.1_Medios de transporte</v>
      </c>
      <c r="P434" s="254" t="s">
        <v>2918</v>
      </c>
      <c r="Q434" s="292" t="str">
        <f>TablaPOA[[#This Row],[Cod_Sub_acción_especifica]]&amp;"_"&amp;TablaPOA[[#This Row],[Cod_Tipo_agente]]</f>
        <v>K31.2.10.1_TA9</v>
      </c>
      <c r="R434" s="254" t="s">
        <v>2919</v>
      </c>
      <c r="S434" s="255" t="s">
        <v>2924</v>
      </c>
      <c r="T434" s="271" t="s">
        <v>2925</v>
      </c>
    </row>
    <row r="435" spans="1:20" ht="25.5" x14ac:dyDescent="0.25">
      <c r="A435" s="268" t="s">
        <v>2314</v>
      </c>
      <c r="B435" s="248">
        <v>31</v>
      </c>
      <c r="C435" s="248" t="s">
        <v>2691</v>
      </c>
      <c r="D435" s="248" t="s">
        <v>2988</v>
      </c>
      <c r="E435" s="248" t="s">
        <v>3160</v>
      </c>
      <c r="F435" s="248" t="s">
        <v>2695</v>
      </c>
      <c r="G435" s="248" t="s">
        <v>2490</v>
      </c>
      <c r="H435" s="249" t="s">
        <v>3170</v>
      </c>
      <c r="I435" s="249" t="s">
        <v>2719</v>
      </c>
      <c r="J435" s="248" t="s">
        <v>2720</v>
      </c>
      <c r="K435" s="261" t="s">
        <v>3097</v>
      </c>
      <c r="L435" s="261" t="s">
        <v>2767</v>
      </c>
      <c r="M435" s="258" t="s">
        <v>2775</v>
      </c>
      <c r="N435" s="299" t="s">
        <v>2919</v>
      </c>
      <c r="O435" s="292" t="str">
        <f>TablaPOA[[#This Row],[Cod_Sub_acción_especifica]]&amp;"_"&amp;TablaPOA[[#This Row],[Tipo de agente]]</f>
        <v>K31.2.10.2_Medios de transporte</v>
      </c>
      <c r="P435" s="250" t="s">
        <v>2918</v>
      </c>
      <c r="Q435" s="292" t="str">
        <f>TablaPOA[[#This Row],[Cod_Sub_acción_especifica]]&amp;"_"&amp;TablaPOA[[#This Row],[Cod_Tipo_agente]]</f>
        <v>K31.2.10.2_TA9</v>
      </c>
      <c r="R435" s="250" t="s">
        <v>2919</v>
      </c>
      <c r="S435" s="251" t="s">
        <v>2920</v>
      </c>
      <c r="T435" s="269" t="s">
        <v>2921</v>
      </c>
    </row>
    <row r="436" spans="1:20" ht="25.5" x14ac:dyDescent="0.25">
      <c r="A436" s="268" t="s">
        <v>2314</v>
      </c>
      <c r="B436" s="248">
        <v>31</v>
      </c>
      <c r="C436" s="248" t="s">
        <v>2691</v>
      </c>
      <c r="D436" s="248" t="s">
        <v>2988</v>
      </c>
      <c r="E436" s="248" t="s">
        <v>3160</v>
      </c>
      <c r="F436" s="248" t="s">
        <v>2695</v>
      </c>
      <c r="G436" s="248" t="s">
        <v>2490</v>
      </c>
      <c r="H436" s="249" t="s">
        <v>3170</v>
      </c>
      <c r="I436" s="249" t="s">
        <v>2719</v>
      </c>
      <c r="J436" s="248" t="s">
        <v>2720</v>
      </c>
      <c r="K436" s="261" t="s">
        <v>3097</v>
      </c>
      <c r="L436" s="261" t="s">
        <v>2767</v>
      </c>
      <c r="M436" s="258" t="s">
        <v>2775</v>
      </c>
      <c r="N436" s="295"/>
      <c r="O436" s="295" t="str">
        <f>TablaPOA[[#This Row],[Cod_Sub_acción_especifica]]&amp;"_"&amp;TablaPOA[[#This Row],[Tipo de agente]]</f>
        <v>K31.2.10.2_Medios de transporte</v>
      </c>
      <c r="P436" s="250" t="s">
        <v>2918</v>
      </c>
      <c r="Q436" s="292" t="str">
        <f>TablaPOA[[#This Row],[Cod_Sub_acción_especifica]]&amp;"_"&amp;TablaPOA[[#This Row],[Cod_Tipo_agente]]</f>
        <v>K31.2.10.2_TA9</v>
      </c>
      <c r="R436" s="250" t="s">
        <v>2919</v>
      </c>
      <c r="S436" s="251" t="s">
        <v>2922</v>
      </c>
      <c r="T436" s="269" t="s">
        <v>2923</v>
      </c>
    </row>
    <row r="437" spans="1:20" ht="25.5" x14ac:dyDescent="0.25">
      <c r="A437" s="268" t="s">
        <v>2314</v>
      </c>
      <c r="B437" s="248">
        <v>31</v>
      </c>
      <c r="C437" s="248" t="s">
        <v>2691</v>
      </c>
      <c r="D437" s="248" t="s">
        <v>2988</v>
      </c>
      <c r="E437" s="248" t="s">
        <v>3160</v>
      </c>
      <c r="F437" s="248" t="s">
        <v>2695</v>
      </c>
      <c r="G437" s="248" t="s">
        <v>2490</v>
      </c>
      <c r="H437" s="249" t="s">
        <v>3170</v>
      </c>
      <c r="I437" s="249" t="s">
        <v>2719</v>
      </c>
      <c r="J437" s="248" t="s">
        <v>2720</v>
      </c>
      <c r="K437" s="261" t="s">
        <v>3097</v>
      </c>
      <c r="L437" s="261" t="s">
        <v>2767</v>
      </c>
      <c r="M437" s="258" t="s">
        <v>2775</v>
      </c>
      <c r="N437" s="295"/>
      <c r="O437" s="295" t="str">
        <f>TablaPOA[[#This Row],[Cod_Sub_acción_especifica]]&amp;"_"&amp;TablaPOA[[#This Row],[Tipo de agente]]</f>
        <v>K31.2.10.2_Medios de transporte</v>
      </c>
      <c r="P437" s="250" t="s">
        <v>2918</v>
      </c>
      <c r="Q437" s="292" t="str">
        <f>TablaPOA[[#This Row],[Cod_Sub_acción_especifica]]&amp;"_"&amp;TablaPOA[[#This Row],[Cod_Tipo_agente]]</f>
        <v>K31.2.10.2_TA9</v>
      </c>
      <c r="R437" s="250" t="s">
        <v>2919</v>
      </c>
      <c r="S437" s="251" t="s">
        <v>2924</v>
      </c>
      <c r="T437" s="269" t="s">
        <v>2925</v>
      </c>
    </row>
    <row r="438" spans="1:20" ht="25.5" x14ac:dyDescent="0.25">
      <c r="A438" s="268" t="s">
        <v>2314</v>
      </c>
      <c r="B438" s="248">
        <v>31</v>
      </c>
      <c r="C438" s="248" t="s">
        <v>2691</v>
      </c>
      <c r="D438" s="248" t="s">
        <v>2988</v>
      </c>
      <c r="E438" s="248" t="s">
        <v>3160</v>
      </c>
      <c r="F438" s="248" t="s">
        <v>2695</v>
      </c>
      <c r="G438" s="248" t="s">
        <v>2490</v>
      </c>
      <c r="H438" s="249" t="s">
        <v>3170</v>
      </c>
      <c r="I438" s="249" t="s">
        <v>2719</v>
      </c>
      <c r="J438" s="248" t="s">
        <v>2720</v>
      </c>
      <c r="K438" s="261" t="s">
        <v>3097</v>
      </c>
      <c r="L438" s="261" t="s">
        <v>2767</v>
      </c>
      <c r="M438" s="258" t="s">
        <v>2775</v>
      </c>
      <c r="N438" s="295"/>
      <c r="O438" s="295" t="str">
        <f>TablaPOA[[#This Row],[Cod_Sub_acción_especifica]]&amp;"_"&amp;TablaPOA[[#This Row],[Tipo de agente]]</f>
        <v>K31.2.10.2_Medios de transporte</v>
      </c>
      <c r="P438" s="250" t="s">
        <v>2918</v>
      </c>
      <c r="Q438" s="292" t="str">
        <f>TablaPOA[[#This Row],[Cod_Sub_acción_especifica]]&amp;"_"&amp;TablaPOA[[#This Row],[Cod_Tipo_agente]]</f>
        <v>K31.2.10.2_TA9</v>
      </c>
      <c r="R438" s="250" t="s">
        <v>2919</v>
      </c>
      <c r="S438" s="251" t="s">
        <v>2926</v>
      </c>
      <c r="T438" s="269" t="s">
        <v>2927</v>
      </c>
    </row>
    <row r="439" spans="1:20" ht="25.5" x14ac:dyDescent="0.25">
      <c r="A439" s="268" t="s">
        <v>2314</v>
      </c>
      <c r="B439" s="248">
        <v>31</v>
      </c>
      <c r="C439" s="248" t="s">
        <v>2691</v>
      </c>
      <c r="D439" s="248" t="s">
        <v>2988</v>
      </c>
      <c r="E439" s="248" t="s">
        <v>3160</v>
      </c>
      <c r="F439" s="248" t="s">
        <v>2695</v>
      </c>
      <c r="G439" s="248" t="s">
        <v>2490</v>
      </c>
      <c r="H439" s="249" t="s">
        <v>3170</v>
      </c>
      <c r="I439" s="249" t="s">
        <v>2719</v>
      </c>
      <c r="J439" s="248" t="s">
        <v>2720</v>
      </c>
      <c r="K439" s="261" t="s">
        <v>3097</v>
      </c>
      <c r="L439" s="261" t="s">
        <v>2767</v>
      </c>
      <c r="M439" s="258" t="s">
        <v>2775</v>
      </c>
      <c r="N439" s="295"/>
      <c r="O439" s="295" t="str">
        <f>TablaPOA[[#This Row],[Cod_Sub_acción_especifica]]&amp;"_"&amp;TablaPOA[[#This Row],[Tipo de agente]]</f>
        <v>K31.2.10.2_Medios de transporte</v>
      </c>
      <c r="P439" s="250" t="s">
        <v>2918</v>
      </c>
      <c r="Q439" s="292" t="str">
        <f>TablaPOA[[#This Row],[Cod_Sub_acción_especifica]]&amp;"_"&amp;TablaPOA[[#This Row],[Cod_Tipo_agente]]</f>
        <v>K31.2.10.2_TA9</v>
      </c>
      <c r="R439" s="250" t="s">
        <v>2919</v>
      </c>
      <c r="S439" s="251" t="s">
        <v>2928</v>
      </c>
      <c r="T439" s="269" t="s">
        <v>2929</v>
      </c>
    </row>
    <row r="440" spans="1:20" ht="25.5" x14ac:dyDescent="0.25">
      <c r="A440" s="268" t="s">
        <v>2314</v>
      </c>
      <c r="B440" s="248">
        <v>31</v>
      </c>
      <c r="C440" s="248" t="s">
        <v>2691</v>
      </c>
      <c r="D440" s="248" t="s">
        <v>2988</v>
      </c>
      <c r="E440" s="248" t="s">
        <v>3160</v>
      </c>
      <c r="F440" s="248" t="s">
        <v>2695</v>
      </c>
      <c r="G440" s="248" t="s">
        <v>2490</v>
      </c>
      <c r="H440" s="249" t="s">
        <v>3170</v>
      </c>
      <c r="I440" s="249" t="s">
        <v>2719</v>
      </c>
      <c r="J440" s="248" t="s">
        <v>2720</v>
      </c>
      <c r="K440" s="261" t="s">
        <v>3097</v>
      </c>
      <c r="L440" s="261" t="s">
        <v>2767</v>
      </c>
      <c r="M440" s="258" t="s">
        <v>2775</v>
      </c>
      <c r="N440" s="295"/>
      <c r="O440" s="295" t="str">
        <f>TablaPOA[[#This Row],[Cod_Sub_acción_especifica]]&amp;"_"&amp;TablaPOA[[#This Row],[Tipo de agente]]</f>
        <v>K31.2.10.2_Medios de transporte</v>
      </c>
      <c r="P440" s="250" t="s">
        <v>2918</v>
      </c>
      <c r="Q440" s="292" t="str">
        <f>TablaPOA[[#This Row],[Cod_Sub_acción_especifica]]&amp;"_"&amp;TablaPOA[[#This Row],[Cod_Tipo_agente]]</f>
        <v>K31.2.10.2_TA9</v>
      </c>
      <c r="R440" s="250" t="s">
        <v>2919</v>
      </c>
      <c r="S440" s="251" t="s">
        <v>2930</v>
      </c>
      <c r="T440" s="269" t="s">
        <v>2931</v>
      </c>
    </row>
    <row r="441" spans="1:20" ht="25.5" x14ac:dyDescent="0.25">
      <c r="A441" s="268" t="s">
        <v>2314</v>
      </c>
      <c r="B441" s="248">
        <v>31</v>
      </c>
      <c r="C441" s="248" t="s">
        <v>2691</v>
      </c>
      <c r="D441" s="248" t="s">
        <v>2988</v>
      </c>
      <c r="E441" s="248" t="s">
        <v>3160</v>
      </c>
      <c r="F441" s="248" t="s">
        <v>2695</v>
      </c>
      <c r="G441" s="248" t="s">
        <v>2490</v>
      </c>
      <c r="H441" s="249" t="s">
        <v>3170</v>
      </c>
      <c r="I441" s="249" t="s">
        <v>2719</v>
      </c>
      <c r="J441" s="248" t="s">
        <v>2720</v>
      </c>
      <c r="K441" s="261" t="s">
        <v>3097</v>
      </c>
      <c r="L441" s="261" t="s">
        <v>2767</v>
      </c>
      <c r="M441" s="258" t="s">
        <v>2775</v>
      </c>
      <c r="N441" s="295"/>
      <c r="O441" s="295" t="str">
        <f>TablaPOA[[#This Row],[Cod_Sub_acción_especifica]]&amp;"_"&amp;TablaPOA[[#This Row],[Tipo de agente]]</f>
        <v>K31.2.10.2_Medios de transporte</v>
      </c>
      <c r="P441" s="250" t="s">
        <v>2918</v>
      </c>
      <c r="Q441" s="292" t="str">
        <f>TablaPOA[[#This Row],[Cod_Sub_acción_especifica]]&amp;"_"&amp;TablaPOA[[#This Row],[Cod_Tipo_agente]]</f>
        <v>K31.2.10.2_TA9</v>
      </c>
      <c r="R441" s="250" t="s">
        <v>2919</v>
      </c>
      <c r="S441" s="251" t="s">
        <v>2932</v>
      </c>
      <c r="T441" s="269" t="s">
        <v>2933</v>
      </c>
    </row>
    <row r="442" spans="1:20" ht="25.5" x14ac:dyDescent="0.25">
      <c r="A442" s="268" t="s">
        <v>2314</v>
      </c>
      <c r="B442" s="248">
        <v>31</v>
      </c>
      <c r="C442" s="248" t="s">
        <v>2691</v>
      </c>
      <c r="D442" s="248" t="s">
        <v>2988</v>
      </c>
      <c r="E442" s="248" t="s">
        <v>3160</v>
      </c>
      <c r="F442" s="248" t="s">
        <v>2695</v>
      </c>
      <c r="G442" s="248" t="s">
        <v>2490</v>
      </c>
      <c r="H442" s="249" t="s">
        <v>3170</v>
      </c>
      <c r="I442" s="249" t="s">
        <v>2719</v>
      </c>
      <c r="J442" s="248" t="s">
        <v>2720</v>
      </c>
      <c r="K442" s="261" t="s">
        <v>3097</v>
      </c>
      <c r="L442" s="261" t="s">
        <v>2767</v>
      </c>
      <c r="M442" s="258" t="s">
        <v>2775</v>
      </c>
      <c r="N442" s="295"/>
      <c r="O442" s="295" t="str">
        <f>TablaPOA[[#This Row],[Cod_Sub_acción_especifica]]&amp;"_"&amp;TablaPOA[[#This Row],[Tipo de agente]]</f>
        <v>K31.2.10.2_Medios de transporte</v>
      </c>
      <c r="P442" s="250" t="s">
        <v>2918</v>
      </c>
      <c r="Q442" s="292" t="str">
        <f>TablaPOA[[#This Row],[Cod_Sub_acción_especifica]]&amp;"_"&amp;TablaPOA[[#This Row],[Cod_Tipo_agente]]</f>
        <v>K31.2.10.2_TA9</v>
      </c>
      <c r="R442" s="250" t="s">
        <v>2919</v>
      </c>
      <c r="S442" s="251" t="s">
        <v>2934</v>
      </c>
      <c r="T442" s="269" t="s">
        <v>2935</v>
      </c>
    </row>
    <row r="443" spans="1:20" ht="25.5" x14ac:dyDescent="0.25">
      <c r="A443" s="268" t="s">
        <v>2314</v>
      </c>
      <c r="B443" s="248">
        <v>31</v>
      </c>
      <c r="C443" s="248" t="s">
        <v>2691</v>
      </c>
      <c r="D443" s="248" t="s">
        <v>2988</v>
      </c>
      <c r="E443" s="248" t="s">
        <v>3160</v>
      </c>
      <c r="F443" s="248" t="s">
        <v>2695</v>
      </c>
      <c r="G443" s="248" t="s">
        <v>2490</v>
      </c>
      <c r="H443" s="249" t="s">
        <v>3170</v>
      </c>
      <c r="I443" s="249" t="s">
        <v>2719</v>
      </c>
      <c r="J443" s="248" t="s">
        <v>2720</v>
      </c>
      <c r="K443" s="261" t="s">
        <v>3097</v>
      </c>
      <c r="L443" s="261" t="s">
        <v>2767</v>
      </c>
      <c r="M443" s="258" t="s">
        <v>2775</v>
      </c>
      <c r="N443" s="295"/>
      <c r="O443" s="295" t="str">
        <f>TablaPOA[[#This Row],[Cod_Sub_acción_especifica]]&amp;"_"&amp;TablaPOA[[#This Row],[Tipo de agente]]</f>
        <v>K31.2.10.2_Medios de transporte</v>
      </c>
      <c r="P443" s="250" t="s">
        <v>2918</v>
      </c>
      <c r="Q443" s="292" t="str">
        <f>TablaPOA[[#This Row],[Cod_Sub_acción_especifica]]&amp;"_"&amp;TablaPOA[[#This Row],[Cod_Tipo_agente]]</f>
        <v>K31.2.10.2_TA9</v>
      </c>
      <c r="R443" s="250" t="s">
        <v>2919</v>
      </c>
      <c r="S443" s="251" t="s">
        <v>2936</v>
      </c>
      <c r="T443" s="269" t="s">
        <v>2937</v>
      </c>
    </row>
    <row r="444" spans="1:20" ht="25.5" x14ac:dyDescent="0.25">
      <c r="A444" s="268" t="s">
        <v>2314</v>
      </c>
      <c r="B444" s="248">
        <v>31</v>
      </c>
      <c r="C444" s="248" t="s">
        <v>2691</v>
      </c>
      <c r="D444" s="248" t="s">
        <v>2988</v>
      </c>
      <c r="E444" s="248" t="s">
        <v>3160</v>
      </c>
      <c r="F444" s="248" t="s">
        <v>2695</v>
      </c>
      <c r="G444" s="248" t="s">
        <v>2490</v>
      </c>
      <c r="H444" s="249" t="s">
        <v>3170</v>
      </c>
      <c r="I444" s="249" t="s">
        <v>2719</v>
      </c>
      <c r="J444" s="248" t="s">
        <v>2720</v>
      </c>
      <c r="K444" s="261" t="s">
        <v>3097</v>
      </c>
      <c r="L444" s="261" t="s">
        <v>2767</v>
      </c>
      <c r="M444" s="258" t="s">
        <v>2775</v>
      </c>
      <c r="N444" s="295"/>
      <c r="O444" s="295" t="str">
        <f>TablaPOA[[#This Row],[Cod_Sub_acción_especifica]]&amp;"_"&amp;TablaPOA[[#This Row],[Tipo de agente]]</f>
        <v>K31.2.10.2_Medios de transporte</v>
      </c>
      <c r="P444" s="250" t="s">
        <v>2918</v>
      </c>
      <c r="Q444" s="292" t="str">
        <f>TablaPOA[[#This Row],[Cod_Sub_acción_especifica]]&amp;"_"&amp;TablaPOA[[#This Row],[Cod_Tipo_agente]]</f>
        <v>K31.2.10.2_TA9</v>
      </c>
      <c r="R444" s="250" t="s">
        <v>2919</v>
      </c>
      <c r="S444" s="251" t="s">
        <v>2938</v>
      </c>
      <c r="T444" s="269" t="s">
        <v>2939</v>
      </c>
    </row>
    <row r="445" spans="1:20" ht="25.5" x14ac:dyDescent="0.25">
      <c r="A445" s="268" t="s">
        <v>2314</v>
      </c>
      <c r="B445" s="248">
        <v>31</v>
      </c>
      <c r="C445" s="248" t="s">
        <v>2691</v>
      </c>
      <c r="D445" s="248" t="s">
        <v>2988</v>
      </c>
      <c r="E445" s="248" t="s">
        <v>3160</v>
      </c>
      <c r="F445" s="248" t="s">
        <v>2695</v>
      </c>
      <c r="G445" s="248" t="s">
        <v>2490</v>
      </c>
      <c r="H445" s="249" t="s">
        <v>3170</v>
      </c>
      <c r="I445" s="249" t="s">
        <v>2719</v>
      </c>
      <c r="J445" s="248" t="s">
        <v>2720</v>
      </c>
      <c r="K445" s="261" t="s">
        <v>3097</v>
      </c>
      <c r="L445" s="261" t="s">
        <v>2767</v>
      </c>
      <c r="M445" s="258" t="s">
        <v>2775</v>
      </c>
      <c r="N445" s="295"/>
      <c r="O445" s="295" t="str">
        <f>TablaPOA[[#This Row],[Cod_Sub_acción_especifica]]&amp;"_"&amp;TablaPOA[[#This Row],[Tipo de agente]]</f>
        <v>K31.2.10.2_Medios de transporte</v>
      </c>
      <c r="P445" s="250" t="s">
        <v>2918</v>
      </c>
      <c r="Q445" s="292" t="str">
        <f>TablaPOA[[#This Row],[Cod_Sub_acción_especifica]]&amp;"_"&amp;TablaPOA[[#This Row],[Cod_Tipo_agente]]</f>
        <v>K31.2.10.2_TA9</v>
      </c>
      <c r="R445" s="250" t="s">
        <v>2919</v>
      </c>
      <c r="S445" s="251" t="s">
        <v>2940</v>
      </c>
      <c r="T445" s="269" t="s">
        <v>2941</v>
      </c>
    </row>
    <row r="446" spans="1:20" ht="25.5" x14ac:dyDescent="0.25">
      <c r="A446" s="268" t="s">
        <v>2314</v>
      </c>
      <c r="B446" s="248">
        <v>31</v>
      </c>
      <c r="C446" s="248" t="s">
        <v>2691</v>
      </c>
      <c r="D446" s="248" t="s">
        <v>2988</v>
      </c>
      <c r="E446" s="248" t="s">
        <v>3160</v>
      </c>
      <c r="F446" s="248" t="s">
        <v>2695</v>
      </c>
      <c r="G446" s="248" t="s">
        <v>2490</v>
      </c>
      <c r="H446" s="249" t="s">
        <v>3170</v>
      </c>
      <c r="I446" s="249" t="s">
        <v>2719</v>
      </c>
      <c r="J446" s="248" t="s">
        <v>2720</v>
      </c>
      <c r="K446" s="261" t="s">
        <v>3097</v>
      </c>
      <c r="L446" s="261" t="s">
        <v>2767</v>
      </c>
      <c r="M446" s="258" t="s">
        <v>2775</v>
      </c>
      <c r="N446" s="295"/>
      <c r="O446" s="295" t="str">
        <f>TablaPOA[[#This Row],[Cod_Sub_acción_especifica]]&amp;"_"&amp;TablaPOA[[#This Row],[Tipo de agente]]</f>
        <v>K31.2.10.2_Medios de transporte</v>
      </c>
      <c r="P446" s="250" t="s">
        <v>2918</v>
      </c>
      <c r="Q446" s="292" t="str">
        <f>TablaPOA[[#This Row],[Cod_Sub_acción_especifica]]&amp;"_"&amp;TablaPOA[[#This Row],[Cod_Tipo_agente]]</f>
        <v>K31.2.10.2_TA9</v>
      </c>
      <c r="R446" s="250" t="s">
        <v>2919</v>
      </c>
      <c r="S446" s="251" t="s">
        <v>2942</v>
      </c>
      <c r="T446" s="269" t="s">
        <v>2943</v>
      </c>
    </row>
    <row r="447" spans="1:20" ht="25.5" x14ac:dyDescent="0.25">
      <c r="A447" s="268" t="s">
        <v>2314</v>
      </c>
      <c r="B447" s="248">
        <v>31</v>
      </c>
      <c r="C447" s="248" t="s">
        <v>2691</v>
      </c>
      <c r="D447" s="248" t="s">
        <v>2988</v>
      </c>
      <c r="E447" s="248" t="s">
        <v>3160</v>
      </c>
      <c r="F447" s="248" t="s">
        <v>2695</v>
      </c>
      <c r="G447" s="248" t="s">
        <v>2490</v>
      </c>
      <c r="H447" s="249" t="s">
        <v>3170</v>
      </c>
      <c r="I447" s="249" t="s">
        <v>2719</v>
      </c>
      <c r="J447" s="248" t="s">
        <v>2720</v>
      </c>
      <c r="K447" s="261" t="s">
        <v>3097</v>
      </c>
      <c r="L447" s="261" t="s">
        <v>2767</v>
      </c>
      <c r="M447" s="258" t="s">
        <v>2775</v>
      </c>
      <c r="N447" s="295"/>
      <c r="O447" s="295" t="str">
        <f>TablaPOA[[#This Row],[Cod_Sub_acción_especifica]]&amp;"_"&amp;TablaPOA[[#This Row],[Tipo de agente]]</f>
        <v>K31.2.10.2_Medios de transporte</v>
      </c>
      <c r="P447" s="250" t="s">
        <v>2918</v>
      </c>
      <c r="Q447" s="292" t="str">
        <f>TablaPOA[[#This Row],[Cod_Sub_acción_especifica]]&amp;"_"&amp;TablaPOA[[#This Row],[Cod_Tipo_agente]]</f>
        <v>K31.2.10.2_TA9</v>
      </c>
      <c r="R447" s="250" t="s">
        <v>2919</v>
      </c>
      <c r="S447" s="251" t="s">
        <v>2944</v>
      </c>
      <c r="T447" s="269" t="s">
        <v>2945</v>
      </c>
    </row>
    <row r="448" spans="1:20" ht="25.5" x14ac:dyDescent="0.25">
      <c r="A448" s="268" t="s">
        <v>2314</v>
      </c>
      <c r="B448" s="248">
        <v>31</v>
      </c>
      <c r="C448" s="248" t="s">
        <v>2691</v>
      </c>
      <c r="D448" s="248" t="s">
        <v>2988</v>
      </c>
      <c r="E448" s="248" t="s">
        <v>3160</v>
      </c>
      <c r="F448" s="248" t="s">
        <v>2695</v>
      </c>
      <c r="G448" s="248" t="s">
        <v>2490</v>
      </c>
      <c r="H448" s="249" t="s">
        <v>3170</v>
      </c>
      <c r="I448" s="249" t="s">
        <v>2719</v>
      </c>
      <c r="J448" s="248" t="s">
        <v>2720</v>
      </c>
      <c r="K448" s="261" t="s">
        <v>3097</v>
      </c>
      <c r="L448" s="261" t="s">
        <v>2767</v>
      </c>
      <c r="M448" s="258" t="s">
        <v>2775</v>
      </c>
      <c r="N448" s="295"/>
      <c r="O448" s="295" t="str">
        <f>TablaPOA[[#This Row],[Cod_Sub_acción_especifica]]&amp;"_"&amp;TablaPOA[[#This Row],[Tipo de agente]]</f>
        <v>K31.2.10.2_Medios de transporte</v>
      </c>
      <c r="P448" s="250" t="s">
        <v>2918</v>
      </c>
      <c r="Q448" s="292" t="str">
        <f>TablaPOA[[#This Row],[Cod_Sub_acción_especifica]]&amp;"_"&amp;TablaPOA[[#This Row],[Cod_Tipo_agente]]</f>
        <v>K31.2.10.2_TA9</v>
      </c>
      <c r="R448" s="250" t="s">
        <v>2919</v>
      </c>
      <c r="S448" s="251" t="s">
        <v>2946</v>
      </c>
      <c r="T448" s="269" t="s">
        <v>2947</v>
      </c>
    </row>
    <row r="449" spans="1:20" ht="25.5" x14ac:dyDescent="0.25">
      <c r="A449" s="268" t="s">
        <v>2314</v>
      </c>
      <c r="B449" s="248">
        <v>31</v>
      </c>
      <c r="C449" s="248" t="s">
        <v>2691</v>
      </c>
      <c r="D449" s="248" t="s">
        <v>2988</v>
      </c>
      <c r="E449" s="248" t="s">
        <v>3160</v>
      </c>
      <c r="F449" s="248" t="s">
        <v>2695</v>
      </c>
      <c r="G449" s="248" t="s">
        <v>2490</v>
      </c>
      <c r="H449" s="249" t="s">
        <v>3170</v>
      </c>
      <c r="I449" s="249" t="s">
        <v>2719</v>
      </c>
      <c r="J449" s="248" t="s">
        <v>2720</v>
      </c>
      <c r="K449" s="261" t="s">
        <v>3097</v>
      </c>
      <c r="L449" s="261" t="s">
        <v>2767</v>
      </c>
      <c r="M449" s="258" t="s">
        <v>2775</v>
      </c>
      <c r="N449" s="295"/>
      <c r="O449" s="295" t="str">
        <f>TablaPOA[[#This Row],[Cod_Sub_acción_especifica]]&amp;"_"&amp;TablaPOA[[#This Row],[Tipo de agente]]</f>
        <v>K31.2.10.2_Medios de transporte</v>
      </c>
      <c r="P449" s="250" t="s">
        <v>2918</v>
      </c>
      <c r="Q449" s="292" t="str">
        <f>TablaPOA[[#This Row],[Cod_Sub_acción_especifica]]&amp;"_"&amp;TablaPOA[[#This Row],[Cod_Tipo_agente]]</f>
        <v>K31.2.10.2_TA9</v>
      </c>
      <c r="R449" s="250" t="s">
        <v>2919</v>
      </c>
      <c r="S449" s="251" t="s">
        <v>2948</v>
      </c>
      <c r="T449" s="269" t="s">
        <v>2949</v>
      </c>
    </row>
    <row r="450" spans="1:20" ht="25.5" x14ac:dyDescent="0.25">
      <c r="A450" s="219" t="s">
        <v>2314</v>
      </c>
      <c r="B450" s="227">
        <v>31</v>
      </c>
      <c r="C450" s="227" t="s">
        <v>2691</v>
      </c>
      <c r="D450" s="227" t="s">
        <v>2988</v>
      </c>
      <c r="E450" s="227" t="s">
        <v>3160</v>
      </c>
      <c r="F450" s="227" t="s">
        <v>2695</v>
      </c>
      <c r="G450" s="227" t="s">
        <v>2490</v>
      </c>
      <c r="H450" s="253" t="s">
        <v>3171</v>
      </c>
      <c r="I450" s="253" t="s">
        <v>2721</v>
      </c>
      <c r="J450" s="227" t="s">
        <v>2555</v>
      </c>
      <c r="K450" s="253" t="s">
        <v>3098</v>
      </c>
      <c r="L450" s="253" t="s">
        <v>2721</v>
      </c>
      <c r="M450" s="227" t="s">
        <v>3010</v>
      </c>
      <c r="N450" s="299" t="s">
        <v>2883</v>
      </c>
      <c r="O450" s="292" t="str">
        <f>TablaPOA[[#This Row],[Cod_Sub_acción_especifica]]&amp;"_"&amp;TablaPOA[[#This Row],[Tipo de agente]]</f>
        <v>K31.2.11.1_EVP combustibles de uso automotor</v>
      </c>
      <c r="P450" s="254" t="s">
        <v>2882</v>
      </c>
      <c r="Q450" s="292" t="str">
        <f>TablaPOA[[#This Row],[Cod_Sub_acción_especifica]]&amp;"_"&amp;TablaPOA[[#This Row],[Cod_Tipo_agente]]</f>
        <v>K31.2.11.1_TA6</v>
      </c>
      <c r="R450" s="254" t="s">
        <v>2883</v>
      </c>
      <c r="S450" s="255" t="s">
        <v>2884</v>
      </c>
      <c r="T450" s="271" t="s">
        <v>2885</v>
      </c>
    </row>
    <row r="451" spans="1:20" ht="25.5" x14ac:dyDescent="0.25">
      <c r="A451" s="219" t="s">
        <v>2314</v>
      </c>
      <c r="B451" s="227">
        <v>31</v>
      </c>
      <c r="C451" s="227" t="s">
        <v>2691</v>
      </c>
      <c r="D451" s="227" t="s">
        <v>2988</v>
      </c>
      <c r="E451" s="227" t="s">
        <v>3160</v>
      </c>
      <c r="F451" s="227" t="s">
        <v>2695</v>
      </c>
      <c r="G451" s="227" t="s">
        <v>2490</v>
      </c>
      <c r="H451" s="253" t="s">
        <v>3171</v>
      </c>
      <c r="I451" s="253" t="s">
        <v>2721</v>
      </c>
      <c r="J451" s="227" t="s">
        <v>2555</v>
      </c>
      <c r="K451" s="253" t="s">
        <v>3098</v>
      </c>
      <c r="L451" s="253" t="s">
        <v>2721</v>
      </c>
      <c r="M451" s="227" t="s">
        <v>3010</v>
      </c>
      <c r="N451" s="293"/>
      <c r="O451" s="293" t="str">
        <f>TablaPOA[[#This Row],[Cod_Sub_acción_especifica]]&amp;"_"&amp;TablaPOA[[#This Row],[Tipo de agente]]</f>
        <v>K31.2.11.1_EVP combustibles de uso automotor</v>
      </c>
      <c r="P451" s="254" t="s">
        <v>2882</v>
      </c>
      <c r="Q451" s="292" t="str">
        <f>TablaPOA[[#This Row],[Cod_Sub_acción_especifica]]&amp;"_"&amp;TablaPOA[[#This Row],[Cod_Tipo_agente]]</f>
        <v>K31.2.11.1_TA6</v>
      </c>
      <c r="R451" s="254" t="s">
        <v>2883</v>
      </c>
      <c r="S451" s="255" t="s">
        <v>2886</v>
      </c>
      <c r="T451" s="271" t="s">
        <v>2887</v>
      </c>
    </row>
    <row r="452" spans="1:20" ht="25.5" x14ac:dyDescent="0.25">
      <c r="A452" s="219" t="s">
        <v>2314</v>
      </c>
      <c r="B452" s="227">
        <v>31</v>
      </c>
      <c r="C452" s="227" t="s">
        <v>2691</v>
      </c>
      <c r="D452" s="227" t="s">
        <v>2988</v>
      </c>
      <c r="E452" s="227" t="s">
        <v>3160</v>
      </c>
      <c r="F452" s="227" t="s">
        <v>2695</v>
      </c>
      <c r="G452" s="227" t="s">
        <v>2490</v>
      </c>
      <c r="H452" s="253" t="s">
        <v>3171</v>
      </c>
      <c r="I452" s="253" t="s">
        <v>2721</v>
      </c>
      <c r="J452" s="227" t="s">
        <v>2555</v>
      </c>
      <c r="K452" s="253" t="s">
        <v>3098</v>
      </c>
      <c r="L452" s="253" t="s">
        <v>2721</v>
      </c>
      <c r="M452" s="227" t="s">
        <v>3010</v>
      </c>
      <c r="N452" s="293"/>
      <c r="O452" s="293" t="str">
        <f>TablaPOA[[#This Row],[Cod_Sub_acción_especifica]]&amp;"_"&amp;TablaPOA[[#This Row],[Tipo de agente]]</f>
        <v>K31.2.11.1_EVP combustibles de uso automotor</v>
      </c>
      <c r="P452" s="254" t="s">
        <v>2882</v>
      </c>
      <c r="Q452" s="292" t="str">
        <f>TablaPOA[[#This Row],[Cod_Sub_acción_especifica]]&amp;"_"&amp;TablaPOA[[#This Row],[Cod_Tipo_agente]]</f>
        <v>K31.2.11.1_TA6</v>
      </c>
      <c r="R452" s="254" t="s">
        <v>2883</v>
      </c>
      <c r="S452" s="255" t="s">
        <v>2888</v>
      </c>
      <c r="T452" s="271" t="s">
        <v>2889</v>
      </c>
    </row>
    <row r="453" spans="1:20" ht="25.5" x14ac:dyDescent="0.25">
      <c r="A453" s="219" t="s">
        <v>2314</v>
      </c>
      <c r="B453" s="227">
        <v>31</v>
      </c>
      <c r="C453" s="227" t="s">
        <v>2691</v>
      </c>
      <c r="D453" s="227" t="s">
        <v>2988</v>
      </c>
      <c r="E453" s="227" t="s">
        <v>3160</v>
      </c>
      <c r="F453" s="227" t="s">
        <v>2695</v>
      </c>
      <c r="G453" s="227" t="s">
        <v>2490</v>
      </c>
      <c r="H453" s="253" t="s">
        <v>3171</v>
      </c>
      <c r="I453" s="253" t="s">
        <v>2721</v>
      </c>
      <c r="J453" s="227" t="s">
        <v>2555</v>
      </c>
      <c r="K453" s="253" t="s">
        <v>3098</v>
      </c>
      <c r="L453" s="253" t="s">
        <v>2721</v>
      </c>
      <c r="M453" s="227" t="s">
        <v>3010</v>
      </c>
      <c r="N453" s="293"/>
      <c r="O453" s="293" t="str">
        <f>TablaPOA[[#This Row],[Cod_Sub_acción_especifica]]&amp;"_"&amp;TablaPOA[[#This Row],[Tipo de agente]]</f>
        <v>K31.2.11.1_EVP combustibles de uso automotor</v>
      </c>
      <c r="P453" s="254" t="s">
        <v>2882</v>
      </c>
      <c r="Q453" s="292" t="str">
        <f>TablaPOA[[#This Row],[Cod_Sub_acción_especifica]]&amp;"_"&amp;TablaPOA[[#This Row],[Cod_Tipo_agente]]</f>
        <v>K31.2.11.1_TA6</v>
      </c>
      <c r="R453" s="254" t="s">
        <v>2883</v>
      </c>
      <c r="S453" s="255" t="s">
        <v>2890</v>
      </c>
      <c r="T453" s="271" t="s">
        <v>2891</v>
      </c>
    </row>
    <row r="454" spans="1:20" ht="25.5" x14ac:dyDescent="0.25">
      <c r="A454" s="219" t="s">
        <v>2314</v>
      </c>
      <c r="B454" s="227">
        <v>31</v>
      </c>
      <c r="C454" s="227" t="s">
        <v>2691</v>
      </c>
      <c r="D454" s="227" t="s">
        <v>2988</v>
      </c>
      <c r="E454" s="227" t="s">
        <v>3160</v>
      </c>
      <c r="F454" s="227" t="s">
        <v>2695</v>
      </c>
      <c r="G454" s="227" t="s">
        <v>2490</v>
      </c>
      <c r="H454" s="253" t="s">
        <v>3171</v>
      </c>
      <c r="I454" s="253" t="s">
        <v>2721</v>
      </c>
      <c r="J454" s="227" t="s">
        <v>2555</v>
      </c>
      <c r="K454" s="253" t="s">
        <v>3098</v>
      </c>
      <c r="L454" s="253" t="s">
        <v>2721</v>
      </c>
      <c r="M454" s="227" t="s">
        <v>3010</v>
      </c>
      <c r="N454" s="293"/>
      <c r="O454" s="293" t="str">
        <f>TablaPOA[[#This Row],[Cod_Sub_acción_especifica]]&amp;"_"&amp;TablaPOA[[#This Row],[Tipo de agente]]</f>
        <v>K31.2.11.1_EVP combustibles de uso automotor</v>
      </c>
      <c r="P454" s="254" t="s">
        <v>2882</v>
      </c>
      <c r="Q454" s="292" t="str">
        <f>TablaPOA[[#This Row],[Cod_Sub_acción_especifica]]&amp;"_"&amp;TablaPOA[[#This Row],[Cod_Tipo_agente]]</f>
        <v>K31.2.11.1_TA6</v>
      </c>
      <c r="R454" s="254" t="s">
        <v>2883</v>
      </c>
      <c r="S454" s="255" t="s">
        <v>2892</v>
      </c>
      <c r="T454" s="271" t="s">
        <v>2893</v>
      </c>
    </row>
    <row r="455" spans="1:20" ht="25.5" x14ac:dyDescent="0.25">
      <c r="A455" s="219" t="s">
        <v>2314</v>
      </c>
      <c r="B455" s="227">
        <v>31</v>
      </c>
      <c r="C455" s="227" t="s">
        <v>2691</v>
      </c>
      <c r="D455" s="227" t="s">
        <v>2988</v>
      </c>
      <c r="E455" s="227" t="s">
        <v>3160</v>
      </c>
      <c r="F455" s="227" t="s">
        <v>2695</v>
      </c>
      <c r="G455" s="227" t="s">
        <v>2490</v>
      </c>
      <c r="H455" s="253" t="s">
        <v>3171</v>
      </c>
      <c r="I455" s="253" t="s">
        <v>2721</v>
      </c>
      <c r="J455" s="227" t="s">
        <v>2555</v>
      </c>
      <c r="K455" s="253" t="s">
        <v>3098</v>
      </c>
      <c r="L455" s="253" t="s">
        <v>2721</v>
      </c>
      <c r="M455" s="227" t="s">
        <v>3010</v>
      </c>
      <c r="N455" s="293"/>
      <c r="O455" s="293" t="str">
        <f>TablaPOA[[#This Row],[Cod_Sub_acción_especifica]]&amp;"_"&amp;TablaPOA[[#This Row],[Tipo de agente]]</f>
        <v>K31.2.11.1_EVP combustibles de uso automotor</v>
      </c>
      <c r="P455" s="254" t="s">
        <v>2882</v>
      </c>
      <c r="Q455" s="292" t="str">
        <f>TablaPOA[[#This Row],[Cod_Sub_acción_especifica]]&amp;"_"&amp;TablaPOA[[#This Row],[Cod_Tipo_agente]]</f>
        <v>K31.2.11.1_TA6</v>
      </c>
      <c r="R455" s="254" t="s">
        <v>2883</v>
      </c>
      <c r="S455" s="255" t="s">
        <v>2894</v>
      </c>
      <c r="T455" s="271" t="s">
        <v>2895</v>
      </c>
    </row>
    <row r="456" spans="1:20" ht="25.5" x14ac:dyDescent="0.25">
      <c r="A456" s="219" t="s">
        <v>2314</v>
      </c>
      <c r="B456" s="227">
        <v>31</v>
      </c>
      <c r="C456" s="227" t="s">
        <v>2691</v>
      </c>
      <c r="D456" s="227" t="s">
        <v>2988</v>
      </c>
      <c r="E456" s="227" t="s">
        <v>3160</v>
      </c>
      <c r="F456" s="227" t="s">
        <v>2695</v>
      </c>
      <c r="G456" s="227" t="s">
        <v>2490</v>
      </c>
      <c r="H456" s="253" t="s">
        <v>3171</v>
      </c>
      <c r="I456" s="253" t="s">
        <v>2721</v>
      </c>
      <c r="J456" s="227" t="s">
        <v>2555</v>
      </c>
      <c r="K456" s="253" t="s">
        <v>3098</v>
      </c>
      <c r="L456" s="253" t="s">
        <v>2721</v>
      </c>
      <c r="M456" s="227" t="s">
        <v>3010</v>
      </c>
      <c r="N456" s="293"/>
      <c r="O456" s="293" t="str">
        <f>TablaPOA[[#This Row],[Cod_Sub_acción_especifica]]&amp;"_"&amp;TablaPOA[[#This Row],[Tipo de agente]]</f>
        <v>K31.2.11.1_EVP combustibles de uso automotor</v>
      </c>
      <c r="P456" s="254" t="s">
        <v>2882</v>
      </c>
      <c r="Q456" s="292" t="str">
        <f>TablaPOA[[#This Row],[Cod_Sub_acción_especifica]]&amp;"_"&amp;TablaPOA[[#This Row],[Cod_Tipo_agente]]</f>
        <v>K31.2.11.1_TA6</v>
      </c>
      <c r="R456" s="254" t="s">
        <v>2883</v>
      </c>
      <c r="S456" s="255" t="s">
        <v>2896</v>
      </c>
      <c r="T456" s="271" t="s">
        <v>2897</v>
      </c>
    </row>
    <row r="457" spans="1:20" ht="25.5" x14ac:dyDescent="0.25">
      <c r="A457" s="219" t="s">
        <v>2314</v>
      </c>
      <c r="B457" s="227">
        <v>31</v>
      </c>
      <c r="C457" s="227" t="s">
        <v>2691</v>
      </c>
      <c r="D457" s="227" t="s">
        <v>2988</v>
      </c>
      <c r="E457" s="227" t="s">
        <v>3160</v>
      </c>
      <c r="F457" s="227" t="s">
        <v>2695</v>
      </c>
      <c r="G457" s="227" t="s">
        <v>2490</v>
      </c>
      <c r="H457" s="253" t="s">
        <v>3171</v>
      </c>
      <c r="I457" s="253" t="s">
        <v>2721</v>
      </c>
      <c r="J457" s="227" t="s">
        <v>2555</v>
      </c>
      <c r="K457" s="253" t="s">
        <v>3098</v>
      </c>
      <c r="L457" s="253" t="s">
        <v>2721</v>
      </c>
      <c r="M457" s="227" t="s">
        <v>3010</v>
      </c>
      <c r="N457" s="293"/>
      <c r="O457" s="293" t="str">
        <f>TablaPOA[[#This Row],[Cod_Sub_acción_especifica]]&amp;"_"&amp;TablaPOA[[#This Row],[Tipo de agente]]</f>
        <v>K31.2.11.1_EVP combustibles de uso automotor</v>
      </c>
      <c r="P457" s="254" t="s">
        <v>2882</v>
      </c>
      <c r="Q457" s="292" t="str">
        <f>TablaPOA[[#This Row],[Cod_Sub_acción_especifica]]&amp;"_"&amp;TablaPOA[[#This Row],[Cod_Tipo_agente]]</f>
        <v>K31.2.11.1_TA6</v>
      </c>
      <c r="R457" s="254" t="s">
        <v>2883</v>
      </c>
      <c r="S457" s="255" t="s">
        <v>2898</v>
      </c>
      <c r="T457" s="271" t="s">
        <v>2899</v>
      </c>
    </row>
    <row r="458" spans="1:20" ht="25.5" x14ac:dyDescent="0.25">
      <c r="A458" s="219" t="s">
        <v>2314</v>
      </c>
      <c r="B458" s="227">
        <v>31</v>
      </c>
      <c r="C458" s="227" t="s">
        <v>2691</v>
      </c>
      <c r="D458" s="227" t="s">
        <v>2988</v>
      </c>
      <c r="E458" s="227" t="s">
        <v>3160</v>
      </c>
      <c r="F458" s="227" t="s">
        <v>2695</v>
      </c>
      <c r="G458" s="227" t="s">
        <v>2490</v>
      </c>
      <c r="H458" s="253" t="s">
        <v>3171</v>
      </c>
      <c r="I458" s="253" t="s">
        <v>2721</v>
      </c>
      <c r="J458" s="227" t="s">
        <v>2555</v>
      </c>
      <c r="K458" s="253" t="s">
        <v>3098</v>
      </c>
      <c r="L458" s="253" t="s">
        <v>2721</v>
      </c>
      <c r="M458" s="227" t="s">
        <v>3010</v>
      </c>
      <c r="N458" s="293"/>
      <c r="O458" s="293" t="str">
        <f>TablaPOA[[#This Row],[Cod_Sub_acción_especifica]]&amp;"_"&amp;TablaPOA[[#This Row],[Tipo de agente]]</f>
        <v>K31.2.11.1_EVP combustibles de uso automotor</v>
      </c>
      <c r="P458" s="254" t="s">
        <v>2882</v>
      </c>
      <c r="Q458" s="292" t="str">
        <f>TablaPOA[[#This Row],[Cod_Sub_acción_especifica]]&amp;"_"&amp;TablaPOA[[#This Row],[Cod_Tipo_agente]]</f>
        <v>K31.2.11.1_TA6</v>
      </c>
      <c r="R458" s="254" t="s">
        <v>2883</v>
      </c>
      <c r="S458" s="255" t="s">
        <v>2900</v>
      </c>
      <c r="T458" s="271" t="s">
        <v>2901</v>
      </c>
    </row>
    <row r="459" spans="1:20" ht="25.5" x14ac:dyDescent="0.25">
      <c r="A459" s="268" t="s">
        <v>2314</v>
      </c>
      <c r="B459" s="248">
        <v>31</v>
      </c>
      <c r="C459" s="248" t="s">
        <v>2691</v>
      </c>
      <c r="D459" s="248" t="s">
        <v>2988</v>
      </c>
      <c r="E459" s="248" t="s">
        <v>3160</v>
      </c>
      <c r="F459" s="248" t="s">
        <v>2695</v>
      </c>
      <c r="G459" s="248" t="s">
        <v>2490</v>
      </c>
      <c r="H459" s="249" t="s">
        <v>3171</v>
      </c>
      <c r="I459" s="249" t="s">
        <v>2721</v>
      </c>
      <c r="J459" s="248" t="s">
        <v>2555</v>
      </c>
      <c r="K459" s="261" t="s">
        <v>3099</v>
      </c>
      <c r="L459" s="261" t="s">
        <v>2767</v>
      </c>
      <c r="M459" s="258" t="s">
        <v>2776</v>
      </c>
      <c r="N459" s="299" t="s">
        <v>2883</v>
      </c>
      <c r="O459" s="292" t="str">
        <f>TablaPOA[[#This Row],[Cod_Sub_acción_especifica]]&amp;"_"&amp;TablaPOA[[#This Row],[Tipo de agente]]</f>
        <v>K31.2.11.2_EVP combustibles de uso automotor</v>
      </c>
      <c r="P459" s="250" t="s">
        <v>2882</v>
      </c>
      <c r="Q459" s="292" t="str">
        <f>TablaPOA[[#This Row],[Cod_Sub_acción_especifica]]&amp;"_"&amp;TablaPOA[[#This Row],[Cod_Tipo_agente]]</f>
        <v>K31.2.11.2_TA6</v>
      </c>
      <c r="R459" s="250" t="s">
        <v>2883</v>
      </c>
      <c r="S459" s="251" t="s">
        <v>2884</v>
      </c>
      <c r="T459" s="269" t="s">
        <v>2885</v>
      </c>
    </row>
    <row r="460" spans="1:20" ht="25.5" x14ac:dyDescent="0.25">
      <c r="A460" s="268" t="s">
        <v>2314</v>
      </c>
      <c r="B460" s="248">
        <v>31</v>
      </c>
      <c r="C460" s="248" t="s">
        <v>2691</v>
      </c>
      <c r="D460" s="248" t="s">
        <v>2988</v>
      </c>
      <c r="E460" s="248" t="s">
        <v>3160</v>
      </c>
      <c r="F460" s="248" t="s">
        <v>2695</v>
      </c>
      <c r="G460" s="248" t="s">
        <v>2490</v>
      </c>
      <c r="H460" s="249" t="s">
        <v>3171</v>
      </c>
      <c r="I460" s="249" t="s">
        <v>2721</v>
      </c>
      <c r="J460" s="248" t="s">
        <v>2555</v>
      </c>
      <c r="K460" s="261" t="s">
        <v>3099</v>
      </c>
      <c r="L460" s="261" t="s">
        <v>2767</v>
      </c>
      <c r="M460" s="258" t="s">
        <v>2776</v>
      </c>
      <c r="N460" s="295"/>
      <c r="O460" s="295" t="str">
        <f>TablaPOA[[#This Row],[Cod_Sub_acción_especifica]]&amp;"_"&amp;TablaPOA[[#This Row],[Tipo de agente]]</f>
        <v>K31.2.11.2_EVP combustibles de uso automotor</v>
      </c>
      <c r="P460" s="250" t="s">
        <v>2882</v>
      </c>
      <c r="Q460" s="292" t="str">
        <f>TablaPOA[[#This Row],[Cod_Sub_acción_especifica]]&amp;"_"&amp;TablaPOA[[#This Row],[Cod_Tipo_agente]]</f>
        <v>K31.2.11.2_TA6</v>
      </c>
      <c r="R460" s="250" t="s">
        <v>2883</v>
      </c>
      <c r="S460" s="251" t="s">
        <v>2886</v>
      </c>
      <c r="T460" s="269" t="s">
        <v>2887</v>
      </c>
    </row>
    <row r="461" spans="1:20" ht="25.5" x14ac:dyDescent="0.25">
      <c r="A461" s="268" t="s">
        <v>2314</v>
      </c>
      <c r="B461" s="248">
        <v>31</v>
      </c>
      <c r="C461" s="248" t="s">
        <v>2691</v>
      </c>
      <c r="D461" s="248" t="s">
        <v>2988</v>
      </c>
      <c r="E461" s="248" t="s">
        <v>3160</v>
      </c>
      <c r="F461" s="248" t="s">
        <v>2695</v>
      </c>
      <c r="G461" s="248" t="s">
        <v>2490</v>
      </c>
      <c r="H461" s="249" t="s">
        <v>3171</v>
      </c>
      <c r="I461" s="249" t="s">
        <v>2721</v>
      </c>
      <c r="J461" s="248" t="s">
        <v>2555</v>
      </c>
      <c r="K461" s="261" t="s">
        <v>3099</v>
      </c>
      <c r="L461" s="261" t="s">
        <v>2767</v>
      </c>
      <c r="M461" s="258" t="s">
        <v>2776</v>
      </c>
      <c r="N461" s="295"/>
      <c r="O461" s="295" t="str">
        <f>TablaPOA[[#This Row],[Cod_Sub_acción_especifica]]&amp;"_"&amp;TablaPOA[[#This Row],[Tipo de agente]]</f>
        <v>K31.2.11.2_EVP combustibles de uso automotor</v>
      </c>
      <c r="P461" s="250" t="s">
        <v>2882</v>
      </c>
      <c r="Q461" s="292" t="str">
        <f>TablaPOA[[#This Row],[Cod_Sub_acción_especifica]]&amp;"_"&amp;TablaPOA[[#This Row],[Cod_Tipo_agente]]</f>
        <v>K31.2.11.2_TA6</v>
      </c>
      <c r="R461" s="250" t="s">
        <v>2883</v>
      </c>
      <c r="S461" s="251" t="s">
        <v>2888</v>
      </c>
      <c r="T461" s="269" t="s">
        <v>2889</v>
      </c>
    </row>
    <row r="462" spans="1:20" ht="25.5" x14ac:dyDescent="0.25">
      <c r="A462" s="268" t="s">
        <v>2314</v>
      </c>
      <c r="B462" s="248">
        <v>31</v>
      </c>
      <c r="C462" s="248" t="s">
        <v>2691</v>
      </c>
      <c r="D462" s="248" t="s">
        <v>2988</v>
      </c>
      <c r="E462" s="248" t="s">
        <v>3160</v>
      </c>
      <c r="F462" s="248" t="s">
        <v>2695</v>
      </c>
      <c r="G462" s="248" t="s">
        <v>2490</v>
      </c>
      <c r="H462" s="249" t="s">
        <v>3171</v>
      </c>
      <c r="I462" s="249" t="s">
        <v>2721</v>
      </c>
      <c r="J462" s="248" t="s">
        <v>2555</v>
      </c>
      <c r="K462" s="261" t="s">
        <v>3099</v>
      </c>
      <c r="L462" s="261" t="s">
        <v>2767</v>
      </c>
      <c r="M462" s="258" t="s">
        <v>2776</v>
      </c>
      <c r="N462" s="295"/>
      <c r="O462" s="295" t="str">
        <f>TablaPOA[[#This Row],[Cod_Sub_acción_especifica]]&amp;"_"&amp;TablaPOA[[#This Row],[Tipo de agente]]</f>
        <v>K31.2.11.2_EVP combustibles de uso automotor</v>
      </c>
      <c r="P462" s="250" t="s">
        <v>2882</v>
      </c>
      <c r="Q462" s="292" t="str">
        <f>TablaPOA[[#This Row],[Cod_Sub_acción_especifica]]&amp;"_"&amp;TablaPOA[[#This Row],[Cod_Tipo_agente]]</f>
        <v>K31.2.11.2_TA6</v>
      </c>
      <c r="R462" s="250" t="s">
        <v>2883</v>
      </c>
      <c r="S462" s="251" t="s">
        <v>2890</v>
      </c>
      <c r="T462" s="269" t="s">
        <v>2891</v>
      </c>
    </row>
    <row r="463" spans="1:20" ht="25.5" x14ac:dyDescent="0.25">
      <c r="A463" s="268" t="s">
        <v>2314</v>
      </c>
      <c r="B463" s="248">
        <v>31</v>
      </c>
      <c r="C463" s="248" t="s">
        <v>2691</v>
      </c>
      <c r="D463" s="248" t="s">
        <v>2988</v>
      </c>
      <c r="E463" s="248" t="s">
        <v>3160</v>
      </c>
      <c r="F463" s="248" t="s">
        <v>2695</v>
      </c>
      <c r="G463" s="248" t="s">
        <v>2490</v>
      </c>
      <c r="H463" s="249" t="s">
        <v>3171</v>
      </c>
      <c r="I463" s="249" t="s">
        <v>2721</v>
      </c>
      <c r="J463" s="248" t="s">
        <v>2555</v>
      </c>
      <c r="K463" s="261" t="s">
        <v>3099</v>
      </c>
      <c r="L463" s="261" t="s">
        <v>2767</v>
      </c>
      <c r="M463" s="258" t="s">
        <v>2776</v>
      </c>
      <c r="N463" s="295"/>
      <c r="O463" s="295" t="str">
        <f>TablaPOA[[#This Row],[Cod_Sub_acción_especifica]]&amp;"_"&amp;TablaPOA[[#This Row],[Tipo de agente]]</f>
        <v>K31.2.11.2_EVP combustibles de uso automotor</v>
      </c>
      <c r="P463" s="250" t="s">
        <v>2882</v>
      </c>
      <c r="Q463" s="292" t="str">
        <f>TablaPOA[[#This Row],[Cod_Sub_acción_especifica]]&amp;"_"&amp;TablaPOA[[#This Row],[Cod_Tipo_agente]]</f>
        <v>K31.2.11.2_TA6</v>
      </c>
      <c r="R463" s="250" t="s">
        <v>2883</v>
      </c>
      <c r="S463" s="251" t="s">
        <v>2892</v>
      </c>
      <c r="T463" s="269" t="s">
        <v>2893</v>
      </c>
    </row>
    <row r="464" spans="1:20" ht="25.5" x14ac:dyDescent="0.25">
      <c r="A464" s="268" t="s">
        <v>2314</v>
      </c>
      <c r="B464" s="248">
        <v>31</v>
      </c>
      <c r="C464" s="248" t="s">
        <v>2691</v>
      </c>
      <c r="D464" s="248" t="s">
        <v>2988</v>
      </c>
      <c r="E464" s="248" t="s">
        <v>3160</v>
      </c>
      <c r="F464" s="248" t="s">
        <v>2695</v>
      </c>
      <c r="G464" s="248" t="s">
        <v>2490</v>
      </c>
      <c r="H464" s="249" t="s">
        <v>3171</v>
      </c>
      <c r="I464" s="249" t="s">
        <v>2721</v>
      </c>
      <c r="J464" s="248" t="s">
        <v>2555</v>
      </c>
      <c r="K464" s="261" t="s">
        <v>3099</v>
      </c>
      <c r="L464" s="261" t="s">
        <v>2767</v>
      </c>
      <c r="M464" s="258" t="s">
        <v>2776</v>
      </c>
      <c r="N464" s="295"/>
      <c r="O464" s="295" t="str">
        <f>TablaPOA[[#This Row],[Cod_Sub_acción_especifica]]&amp;"_"&amp;TablaPOA[[#This Row],[Tipo de agente]]</f>
        <v>K31.2.11.2_EVP combustibles de uso automotor</v>
      </c>
      <c r="P464" s="250" t="s">
        <v>2882</v>
      </c>
      <c r="Q464" s="292" t="str">
        <f>TablaPOA[[#This Row],[Cod_Sub_acción_especifica]]&amp;"_"&amp;TablaPOA[[#This Row],[Cod_Tipo_agente]]</f>
        <v>K31.2.11.2_TA6</v>
      </c>
      <c r="R464" s="250" t="s">
        <v>2883</v>
      </c>
      <c r="S464" s="251" t="s">
        <v>2894</v>
      </c>
      <c r="T464" s="269" t="s">
        <v>2895</v>
      </c>
    </row>
    <row r="465" spans="1:20" ht="25.5" x14ac:dyDescent="0.25">
      <c r="A465" s="268" t="s">
        <v>2314</v>
      </c>
      <c r="B465" s="248">
        <v>31</v>
      </c>
      <c r="C465" s="248" t="s">
        <v>2691</v>
      </c>
      <c r="D465" s="248" t="s">
        <v>2988</v>
      </c>
      <c r="E465" s="248" t="s">
        <v>3160</v>
      </c>
      <c r="F465" s="248" t="s">
        <v>2695</v>
      </c>
      <c r="G465" s="248" t="s">
        <v>2490</v>
      </c>
      <c r="H465" s="249" t="s">
        <v>3171</v>
      </c>
      <c r="I465" s="249" t="s">
        <v>2721</v>
      </c>
      <c r="J465" s="248" t="s">
        <v>2555</v>
      </c>
      <c r="K465" s="261" t="s">
        <v>3099</v>
      </c>
      <c r="L465" s="261" t="s">
        <v>2767</v>
      </c>
      <c r="M465" s="258" t="s">
        <v>2776</v>
      </c>
      <c r="N465" s="295"/>
      <c r="O465" s="295" t="str">
        <f>TablaPOA[[#This Row],[Cod_Sub_acción_especifica]]&amp;"_"&amp;TablaPOA[[#This Row],[Tipo de agente]]</f>
        <v>K31.2.11.2_EVP combustibles de uso automotor</v>
      </c>
      <c r="P465" s="250" t="s">
        <v>2882</v>
      </c>
      <c r="Q465" s="292" t="str">
        <f>TablaPOA[[#This Row],[Cod_Sub_acción_especifica]]&amp;"_"&amp;TablaPOA[[#This Row],[Cod_Tipo_agente]]</f>
        <v>K31.2.11.2_TA6</v>
      </c>
      <c r="R465" s="250" t="s">
        <v>2883</v>
      </c>
      <c r="S465" s="251" t="s">
        <v>2896</v>
      </c>
      <c r="T465" s="269" t="s">
        <v>2897</v>
      </c>
    </row>
    <row r="466" spans="1:20" ht="25.5" x14ac:dyDescent="0.25">
      <c r="A466" s="268" t="s">
        <v>2314</v>
      </c>
      <c r="B466" s="248">
        <v>31</v>
      </c>
      <c r="C466" s="248" t="s">
        <v>2691</v>
      </c>
      <c r="D466" s="248" t="s">
        <v>2988</v>
      </c>
      <c r="E466" s="248" t="s">
        <v>3160</v>
      </c>
      <c r="F466" s="248" t="s">
        <v>2695</v>
      </c>
      <c r="G466" s="248" t="s">
        <v>2490</v>
      </c>
      <c r="H466" s="249" t="s">
        <v>3171</v>
      </c>
      <c r="I466" s="249" t="s">
        <v>2721</v>
      </c>
      <c r="J466" s="248" t="s">
        <v>2555</v>
      </c>
      <c r="K466" s="261" t="s">
        <v>3099</v>
      </c>
      <c r="L466" s="261" t="s">
        <v>2767</v>
      </c>
      <c r="M466" s="258" t="s">
        <v>2776</v>
      </c>
      <c r="N466" s="295"/>
      <c r="O466" s="295" t="str">
        <f>TablaPOA[[#This Row],[Cod_Sub_acción_especifica]]&amp;"_"&amp;TablaPOA[[#This Row],[Tipo de agente]]</f>
        <v>K31.2.11.2_EVP combustibles de uso automotor</v>
      </c>
      <c r="P466" s="250" t="s">
        <v>2882</v>
      </c>
      <c r="Q466" s="292" t="str">
        <f>TablaPOA[[#This Row],[Cod_Sub_acción_especifica]]&amp;"_"&amp;TablaPOA[[#This Row],[Cod_Tipo_agente]]</f>
        <v>K31.2.11.2_TA6</v>
      </c>
      <c r="R466" s="250" t="s">
        <v>2883</v>
      </c>
      <c r="S466" s="251" t="s">
        <v>2898</v>
      </c>
      <c r="T466" s="269" t="s">
        <v>2899</v>
      </c>
    </row>
    <row r="467" spans="1:20" ht="25.5" x14ac:dyDescent="0.25">
      <c r="A467" s="268" t="s">
        <v>2314</v>
      </c>
      <c r="B467" s="248">
        <v>31</v>
      </c>
      <c r="C467" s="248" t="s">
        <v>2691</v>
      </c>
      <c r="D467" s="248" t="s">
        <v>2988</v>
      </c>
      <c r="E467" s="248" t="s">
        <v>3160</v>
      </c>
      <c r="F467" s="248" t="s">
        <v>2695</v>
      </c>
      <c r="G467" s="248" t="s">
        <v>2490</v>
      </c>
      <c r="H467" s="249" t="s">
        <v>3171</v>
      </c>
      <c r="I467" s="249" t="s">
        <v>2721</v>
      </c>
      <c r="J467" s="248" t="s">
        <v>2555</v>
      </c>
      <c r="K467" s="261" t="s">
        <v>3099</v>
      </c>
      <c r="L467" s="261" t="s">
        <v>2767</v>
      </c>
      <c r="M467" s="258" t="s">
        <v>2776</v>
      </c>
      <c r="N467" s="295"/>
      <c r="O467" s="295" t="str">
        <f>TablaPOA[[#This Row],[Cod_Sub_acción_especifica]]&amp;"_"&amp;TablaPOA[[#This Row],[Tipo de agente]]</f>
        <v>K31.2.11.2_EVP combustibles de uso automotor</v>
      </c>
      <c r="P467" s="250" t="s">
        <v>2882</v>
      </c>
      <c r="Q467" s="292" t="str">
        <f>TablaPOA[[#This Row],[Cod_Sub_acción_especifica]]&amp;"_"&amp;TablaPOA[[#This Row],[Cod_Tipo_agente]]</f>
        <v>K31.2.11.2_TA6</v>
      </c>
      <c r="R467" s="250" t="s">
        <v>2883</v>
      </c>
      <c r="S467" s="251" t="s">
        <v>2900</v>
      </c>
      <c r="T467" s="269" t="s">
        <v>2901</v>
      </c>
    </row>
    <row r="468" spans="1:20" ht="25.5" x14ac:dyDescent="0.25">
      <c r="A468" s="219" t="s">
        <v>2314</v>
      </c>
      <c r="B468" s="227">
        <v>31</v>
      </c>
      <c r="C468" s="227" t="s">
        <v>2691</v>
      </c>
      <c r="D468" s="227" t="s">
        <v>2988</v>
      </c>
      <c r="E468" s="227" t="s">
        <v>3160</v>
      </c>
      <c r="F468" s="227" t="s">
        <v>2695</v>
      </c>
      <c r="G468" s="227" t="s">
        <v>2490</v>
      </c>
      <c r="H468" s="253" t="s">
        <v>3172</v>
      </c>
      <c r="I468" s="253" t="s">
        <v>2722</v>
      </c>
      <c r="J468" s="227" t="s">
        <v>2723</v>
      </c>
      <c r="K468" s="253" t="s">
        <v>3100</v>
      </c>
      <c r="L468" s="253" t="s">
        <v>2722</v>
      </c>
      <c r="M468" s="227" t="s">
        <v>2723</v>
      </c>
      <c r="N468" s="299" t="s">
        <v>2809</v>
      </c>
      <c r="O468" s="292" t="str">
        <f>TablaPOA[[#This Row],[Cod_Sub_acción_especifica]]&amp;"_"&amp;TablaPOA[[#This Row],[Tipo de agente]]</f>
        <v>K31.2.12.1_Consumidores directos de combustibles líquidos y OPDH</v>
      </c>
      <c r="P468" s="254" t="s">
        <v>2808</v>
      </c>
      <c r="Q468" s="292" t="str">
        <f>TablaPOA[[#This Row],[Cod_Sub_acción_especifica]]&amp;"_"&amp;TablaPOA[[#This Row],[Cod_Tipo_agente]]</f>
        <v>K31.2.12.1_TA1</v>
      </c>
      <c r="R468" s="254" t="s">
        <v>2809</v>
      </c>
      <c r="S468" s="255" t="s">
        <v>2810</v>
      </c>
      <c r="T468" s="271" t="s">
        <v>2811</v>
      </c>
    </row>
    <row r="469" spans="1:20" ht="25.5" x14ac:dyDescent="0.25">
      <c r="A469" s="219" t="s">
        <v>2314</v>
      </c>
      <c r="B469" s="227">
        <v>31</v>
      </c>
      <c r="C469" s="227" t="s">
        <v>2691</v>
      </c>
      <c r="D469" s="227" t="s">
        <v>2988</v>
      </c>
      <c r="E469" s="227" t="s">
        <v>3160</v>
      </c>
      <c r="F469" s="227" t="s">
        <v>2695</v>
      </c>
      <c r="G469" s="227" t="s">
        <v>2490</v>
      </c>
      <c r="H469" s="253" t="s">
        <v>3172</v>
      </c>
      <c r="I469" s="253" t="s">
        <v>2722</v>
      </c>
      <c r="J469" s="227" t="s">
        <v>2723</v>
      </c>
      <c r="K469" s="253" t="s">
        <v>3100</v>
      </c>
      <c r="L469" s="253" t="s">
        <v>2722</v>
      </c>
      <c r="M469" s="227" t="s">
        <v>2723</v>
      </c>
      <c r="N469" s="299" t="s">
        <v>2831</v>
      </c>
      <c r="O469" s="292" t="str">
        <f>TablaPOA[[#This Row],[Cod_Sub_acción_especifica]]&amp;"_"&amp;TablaPOA[[#This Row],[Tipo de agente]]</f>
        <v>K31.2.12.1_Consumidores directos de combustibles líquidos y OPDH</v>
      </c>
      <c r="P469" s="254" t="s">
        <v>2808</v>
      </c>
      <c r="Q469" s="292" t="str">
        <f>TablaPOA[[#This Row],[Cod_Sub_acción_especifica]]&amp;"_"&amp;TablaPOA[[#This Row],[Cod_Tipo_agente]]</f>
        <v>K31.2.12.1_TA1</v>
      </c>
      <c r="R469" s="254" t="s">
        <v>2809</v>
      </c>
      <c r="S469" s="255" t="s">
        <v>2812</v>
      </c>
      <c r="T469" s="271" t="s">
        <v>2813</v>
      </c>
    </row>
    <row r="470" spans="1:20" ht="25.5" x14ac:dyDescent="0.25">
      <c r="A470" s="219" t="s">
        <v>2314</v>
      </c>
      <c r="B470" s="227">
        <v>31</v>
      </c>
      <c r="C470" s="227" t="s">
        <v>2691</v>
      </c>
      <c r="D470" s="227" t="s">
        <v>2988</v>
      </c>
      <c r="E470" s="227" t="s">
        <v>3160</v>
      </c>
      <c r="F470" s="227" t="s">
        <v>2695</v>
      </c>
      <c r="G470" s="227" t="s">
        <v>2490</v>
      </c>
      <c r="H470" s="253" t="s">
        <v>3172</v>
      </c>
      <c r="I470" s="253" t="s">
        <v>2722</v>
      </c>
      <c r="J470" s="227" t="s">
        <v>2723</v>
      </c>
      <c r="K470" s="253" t="s">
        <v>3100</v>
      </c>
      <c r="L470" s="253" t="s">
        <v>2722</v>
      </c>
      <c r="M470" s="227" t="s">
        <v>2723</v>
      </c>
      <c r="N470" s="293"/>
      <c r="O470" s="293" t="str">
        <f>TablaPOA[[#This Row],[Cod_Sub_acción_especifica]]&amp;"_"&amp;TablaPOA[[#This Row],[Tipo de agente]]</f>
        <v>K31.2.12.1_Consumidores directos de combustibles líquidos y OPDH</v>
      </c>
      <c r="P470" s="254" t="s">
        <v>2808</v>
      </c>
      <c r="Q470" s="292" t="str">
        <f>TablaPOA[[#This Row],[Cod_Sub_acción_especifica]]&amp;"_"&amp;TablaPOA[[#This Row],[Cod_Tipo_agente]]</f>
        <v>K31.2.12.1_TA1</v>
      </c>
      <c r="R470" s="254" t="s">
        <v>2809</v>
      </c>
      <c r="S470" s="255" t="s">
        <v>2814</v>
      </c>
      <c r="T470" s="271" t="s">
        <v>2815</v>
      </c>
    </row>
    <row r="471" spans="1:20" ht="25.5" x14ac:dyDescent="0.25">
      <c r="A471" s="219" t="s">
        <v>2314</v>
      </c>
      <c r="B471" s="227">
        <v>31</v>
      </c>
      <c r="C471" s="227" t="s">
        <v>2691</v>
      </c>
      <c r="D471" s="227" t="s">
        <v>2988</v>
      </c>
      <c r="E471" s="227" t="s">
        <v>3160</v>
      </c>
      <c r="F471" s="227" t="s">
        <v>2695</v>
      </c>
      <c r="G471" s="227" t="s">
        <v>2490</v>
      </c>
      <c r="H471" s="253" t="s">
        <v>3172</v>
      </c>
      <c r="I471" s="253" t="s">
        <v>2722</v>
      </c>
      <c r="J471" s="227" t="s">
        <v>2723</v>
      </c>
      <c r="K471" s="253" t="s">
        <v>3100</v>
      </c>
      <c r="L471" s="253" t="s">
        <v>2722</v>
      </c>
      <c r="M471" s="227" t="s">
        <v>2723</v>
      </c>
      <c r="N471" s="293"/>
      <c r="O471" s="293" t="str">
        <f>TablaPOA[[#This Row],[Cod_Sub_acción_especifica]]&amp;"_"&amp;TablaPOA[[#This Row],[Tipo de agente]]</f>
        <v>K31.2.12.1_Consumidores directos de combustibles líquidos y OPDH</v>
      </c>
      <c r="P471" s="254" t="s">
        <v>2808</v>
      </c>
      <c r="Q471" s="292" t="str">
        <f>TablaPOA[[#This Row],[Cod_Sub_acción_especifica]]&amp;"_"&amp;TablaPOA[[#This Row],[Cod_Tipo_agente]]</f>
        <v>K31.2.12.1_TA1</v>
      </c>
      <c r="R471" s="254" t="s">
        <v>2809</v>
      </c>
      <c r="S471" s="255" t="s">
        <v>2816</v>
      </c>
      <c r="T471" s="271" t="s">
        <v>2817</v>
      </c>
    </row>
    <row r="472" spans="1:20" ht="25.5" x14ac:dyDescent="0.25">
      <c r="A472" s="219" t="s">
        <v>2314</v>
      </c>
      <c r="B472" s="227">
        <v>31</v>
      </c>
      <c r="C472" s="227" t="s">
        <v>2691</v>
      </c>
      <c r="D472" s="227" t="s">
        <v>2988</v>
      </c>
      <c r="E472" s="227" t="s">
        <v>3160</v>
      </c>
      <c r="F472" s="227" t="s">
        <v>2695</v>
      </c>
      <c r="G472" s="227" t="s">
        <v>2490</v>
      </c>
      <c r="H472" s="253" t="s">
        <v>3172</v>
      </c>
      <c r="I472" s="253" t="s">
        <v>2722</v>
      </c>
      <c r="J472" s="227" t="s">
        <v>2723</v>
      </c>
      <c r="K472" s="253" t="s">
        <v>3100</v>
      </c>
      <c r="L472" s="253" t="s">
        <v>2722</v>
      </c>
      <c r="M472" s="227" t="s">
        <v>2723</v>
      </c>
      <c r="N472" s="293"/>
      <c r="O472" s="293" t="str">
        <f>TablaPOA[[#This Row],[Cod_Sub_acción_especifica]]&amp;"_"&amp;TablaPOA[[#This Row],[Tipo de agente]]</f>
        <v>K31.2.12.1_Consumidores directos de combustibles líquidos y OPDH</v>
      </c>
      <c r="P472" s="254" t="s">
        <v>2808</v>
      </c>
      <c r="Q472" s="292" t="str">
        <f>TablaPOA[[#This Row],[Cod_Sub_acción_especifica]]&amp;"_"&amp;TablaPOA[[#This Row],[Cod_Tipo_agente]]</f>
        <v>K31.2.12.1_TA1</v>
      </c>
      <c r="R472" s="254" t="s">
        <v>2809</v>
      </c>
      <c r="S472" s="255" t="s">
        <v>2818</v>
      </c>
      <c r="T472" s="271" t="s">
        <v>2819</v>
      </c>
    </row>
    <row r="473" spans="1:20" ht="25.5" x14ac:dyDescent="0.25">
      <c r="A473" s="219" t="s">
        <v>2314</v>
      </c>
      <c r="B473" s="227">
        <v>31</v>
      </c>
      <c r="C473" s="227" t="s">
        <v>2691</v>
      </c>
      <c r="D473" s="227" t="s">
        <v>2988</v>
      </c>
      <c r="E473" s="227" t="s">
        <v>3160</v>
      </c>
      <c r="F473" s="227" t="s">
        <v>2695</v>
      </c>
      <c r="G473" s="227" t="s">
        <v>2490</v>
      </c>
      <c r="H473" s="253" t="s">
        <v>3172</v>
      </c>
      <c r="I473" s="253" t="s">
        <v>2722</v>
      </c>
      <c r="J473" s="227" t="s">
        <v>2723</v>
      </c>
      <c r="K473" s="253" t="s">
        <v>3100</v>
      </c>
      <c r="L473" s="253" t="s">
        <v>2722</v>
      </c>
      <c r="M473" s="227" t="s">
        <v>2723</v>
      </c>
      <c r="N473" s="293"/>
      <c r="O473" s="293" t="str">
        <f>TablaPOA[[#This Row],[Cod_Sub_acción_especifica]]&amp;"_"&amp;TablaPOA[[#This Row],[Tipo de agente]]</f>
        <v>K31.2.12.1_Consumidores directos de combustibles líquidos y OPDH</v>
      </c>
      <c r="P473" s="254" t="s">
        <v>2808</v>
      </c>
      <c r="Q473" s="292" t="str">
        <f>TablaPOA[[#This Row],[Cod_Sub_acción_especifica]]&amp;"_"&amp;TablaPOA[[#This Row],[Cod_Tipo_agente]]</f>
        <v>K31.2.12.1_TA1</v>
      </c>
      <c r="R473" s="254" t="s">
        <v>2809</v>
      </c>
      <c r="S473" s="255" t="s">
        <v>2820</v>
      </c>
      <c r="T473" s="271" t="s">
        <v>2821</v>
      </c>
    </row>
    <row r="474" spans="1:20" ht="25.5" x14ac:dyDescent="0.25">
      <c r="A474" s="219" t="s">
        <v>2314</v>
      </c>
      <c r="B474" s="227">
        <v>31</v>
      </c>
      <c r="C474" s="227" t="s">
        <v>2691</v>
      </c>
      <c r="D474" s="227" t="s">
        <v>2988</v>
      </c>
      <c r="E474" s="227" t="s">
        <v>3160</v>
      </c>
      <c r="F474" s="227" t="s">
        <v>2695</v>
      </c>
      <c r="G474" s="227" t="s">
        <v>2490</v>
      </c>
      <c r="H474" s="253" t="s">
        <v>3172</v>
      </c>
      <c r="I474" s="253" t="s">
        <v>2722</v>
      </c>
      <c r="J474" s="227" t="s">
        <v>2723</v>
      </c>
      <c r="K474" s="253" t="s">
        <v>3100</v>
      </c>
      <c r="L474" s="253" t="s">
        <v>2722</v>
      </c>
      <c r="M474" s="227" t="s">
        <v>2723</v>
      </c>
      <c r="N474" s="293"/>
      <c r="O474" s="293" t="str">
        <f>TablaPOA[[#This Row],[Cod_Sub_acción_especifica]]&amp;"_"&amp;TablaPOA[[#This Row],[Tipo de agente]]</f>
        <v>K31.2.12.1_Consumidores directos de combustibles líquidos y OPDH</v>
      </c>
      <c r="P474" s="254" t="s">
        <v>2808</v>
      </c>
      <c r="Q474" s="292" t="str">
        <f>TablaPOA[[#This Row],[Cod_Sub_acción_especifica]]&amp;"_"&amp;TablaPOA[[#This Row],[Cod_Tipo_agente]]</f>
        <v>K31.2.12.1_TA1</v>
      </c>
      <c r="R474" s="254" t="s">
        <v>2809</v>
      </c>
      <c r="S474" s="255" t="s">
        <v>2822</v>
      </c>
      <c r="T474" s="271" t="s">
        <v>2823</v>
      </c>
    </row>
    <row r="475" spans="1:20" ht="25.5" x14ac:dyDescent="0.25">
      <c r="A475" s="219" t="s">
        <v>2314</v>
      </c>
      <c r="B475" s="227">
        <v>31</v>
      </c>
      <c r="C475" s="227" t="s">
        <v>2691</v>
      </c>
      <c r="D475" s="227" t="s">
        <v>2988</v>
      </c>
      <c r="E475" s="227" t="s">
        <v>3160</v>
      </c>
      <c r="F475" s="227" t="s">
        <v>2695</v>
      </c>
      <c r="G475" s="227" t="s">
        <v>2490</v>
      </c>
      <c r="H475" s="253" t="s">
        <v>3172</v>
      </c>
      <c r="I475" s="253" t="s">
        <v>2722</v>
      </c>
      <c r="J475" s="227" t="s">
        <v>2723</v>
      </c>
      <c r="K475" s="253" t="s">
        <v>3100</v>
      </c>
      <c r="L475" s="253" t="s">
        <v>2722</v>
      </c>
      <c r="M475" s="227" t="s">
        <v>2723</v>
      </c>
      <c r="N475" s="293"/>
      <c r="O475" s="293" t="str">
        <f>TablaPOA[[#This Row],[Cod_Sub_acción_especifica]]&amp;"_"&amp;TablaPOA[[#This Row],[Tipo de agente]]</f>
        <v>K31.2.12.1_Consumidores directos de combustibles líquidos y OPDH</v>
      </c>
      <c r="P475" s="254" t="s">
        <v>2808</v>
      </c>
      <c r="Q475" s="292" t="str">
        <f>TablaPOA[[#This Row],[Cod_Sub_acción_especifica]]&amp;"_"&amp;TablaPOA[[#This Row],[Cod_Tipo_agente]]</f>
        <v>K31.2.12.1_TA1</v>
      </c>
      <c r="R475" s="254" t="s">
        <v>2809</v>
      </c>
      <c r="S475" s="255" t="s">
        <v>2824</v>
      </c>
      <c r="T475" s="271" t="s">
        <v>2825</v>
      </c>
    </row>
    <row r="476" spans="1:20" ht="25.5" x14ac:dyDescent="0.25">
      <c r="A476" s="219" t="s">
        <v>2314</v>
      </c>
      <c r="B476" s="227">
        <v>31</v>
      </c>
      <c r="C476" s="227" t="s">
        <v>2691</v>
      </c>
      <c r="D476" s="227" t="s">
        <v>2988</v>
      </c>
      <c r="E476" s="227" t="s">
        <v>3160</v>
      </c>
      <c r="F476" s="227" t="s">
        <v>2695</v>
      </c>
      <c r="G476" s="227" t="s">
        <v>2490</v>
      </c>
      <c r="H476" s="253" t="s">
        <v>3172</v>
      </c>
      <c r="I476" s="253" t="s">
        <v>2722</v>
      </c>
      <c r="J476" s="227" t="s">
        <v>2723</v>
      </c>
      <c r="K476" s="253" t="s">
        <v>3100</v>
      </c>
      <c r="L476" s="253" t="s">
        <v>2722</v>
      </c>
      <c r="M476" s="227" t="s">
        <v>2723</v>
      </c>
      <c r="N476" s="293"/>
      <c r="O476" s="293" t="str">
        <f>TablaPOA[[#This Row],[Cod_Sub_acción_especifica]]&amp;"_"&amp;TablaPOA[[#This Row],[Tipo de agente]]</f>
        <v>K31.2.12.1_Consumidores directos de combustibles líquidos y OPDH</v>
      </c>
      <c r="P476" s="254" t="s">
        <v>2808</v>
      </c>
      <c r="Q476" s="292" t="str">
        <f>TablaPOA[[#This Row],[Cod_Sub_acción_especifica]]&amp;"_"&amp;TablaPOA[[#This Row],[Cod_Tipo_agente]]</f>
        <v>K31.2.12.1_TA1</v>
      </c>
      <c r="R476" s="254" t="s">
        <v>2809</v>
      </c>
      <c r="S476" s="255" t="s">
        <v>2826</v>
      </c>
      <c r="T476" s="271" t="s">
        <v>2827</v>
      </c>
    </row>
    <row r="477" spans="1:20" ht="25.5" x14ac:dyDescent="0.25">
      <c r="A477" s="219" t="s">
        <v>2314</v>
      </c>
      <c r="B477" s="227">
        <v>31</v>
      </c>
      <c r="C477" s="227" t="s">
        <v>2691</v>
      </c>
      <c r="D477" s="227" t="s">
        <v>2988</v>
      </c>
      <c r="E477" s="227" t="s">
        <v>3160</v>
      </c>
      <c r="F477" s="227" t="s">
        <v>2695</v>
      </c>
      <c r="G477" s="227" t="s">
        <v>2490</v>
      </c>
      <c r="H477" s="253" t="s">
        <v>3172</v>
      </c>
      <c r="I477" s="253" t="s">
        <v>2722</v>
      </c>
      <c r="J477" s="227" t="s">
        <v>2723</v>
      </c>
      <c r="K477" s="253" t="s">
        <v>3100</v>
      </c>
      <c r="L477" s="253" t="s">
        <v>2722</v>
      </c>
      <c r="M477" s="227" t="s">
        <v>2723</v>
      </c>
      <c r="N477" s="293"/>
      <c r="O477" s="293" t="str">
        <f>TablaPOA[[#This Row],[Cod_Sub_acción_especifica]]&amp;"_"&amp;TablaPOA[[#This Row],[Tipo de agente]]</f>
        <v>K31.2.12.1_Consumidores directos de combustibles líquidos y OPDH</v>
      </c>
      <c r="P477" s="254" t="s">
        <v>2808</v>
      </c>
      <c r="Q477" s="292" t="str">
        <f>TablaPOA[[#This Row],[Cod_Sub_acción_especifica]]&amp;"_"&amp;TablaPOA[[#This Row],[Cod_Tipo_agente]]</f>
        <v>K31.2.12.1_TA1</v>
      </c>
      <c r="R477" s="254" t="s">
        <v>2809</v>
      </c>
      <c r="S477" s="255" t="s">
        <v>2828</v>
      </c>
      <c r="T477" s="271" t="s">
        <v>2829</v>
      </c>
    </row>
    <row r="478" spans="1:20" ht="25.5" x14ac:dyDescent="0.25">
      <c r="A478" s="219" t="s">
        <v>2314</v>
      </c>
      <c r="B478" s="227">
        <v>31</v>
      </c>
      <c r="C478" s="227" t="s">
        <v>2691</v>
      </c>
      <c r="D478" s="227" t="s">
        <v>2988</v>
      </c>
      <c r="E478" s="227" t="s">
        <v>3160</v>
      </c>
      <c r="F478" s="227" t="s">
        <v>2695</v>
      </c>
      <c r="G478" s="227" t="s">
        <v>2490</v>
      </c>
      <c r="H478" s="253" t="s">
        <v>3172</v>
      </c>
      <c r="I478" s="253" t="s">
        <v>2722</v>
      </c>
      <c r="J478" s="227" t="s">
        <v>2723</v>
      </c>
      <c r="K478" s="253" t="s">
        <v>3100</v>
      </c>
      <c r="L478" s="253" t="s">
        <v>2722</v>
      </c>
      <c r="M478" s="227" t="s">
        <v>2723</v>
      </c>
      <c r="N478" s="293"/>
      <c r="O478" s="293" t="str">
        <f>TablaPOA[[#This Row],[Cod_Sub_acción_especifica]]&amp;"_"&amp;TablaPOA[[#This Row],[Tipo de agente]]</f>
        <v>K31.2.12.1_Consumidores directos de gas natural</v>
      </c>
      <c r="P478" s="254" t="s">
        <v>2830</v>
      </c>
      <c r="Q478" s="292" t="str">
        <f>TablaPOA[[#This Row],[Cod_Sub_acción_especifica]]&amp;"_"&amp;TablaPOA[[#This Row],[Cod_Tipo_agente]]</f>
        <v>K31.2.12.1_TA2</v>
      </c>
      <c r="R478" s="254" t="s">
        <v>2831</v>
      </c>
      <c r="S478" s="254">
        <v>101</v>
      </c>
      <c r="T478" s="271" t="s">
        <v>2832</v>
      </c>
    </row>
    <row r="479" spans="1:20" ht="25.5" x14ac:dyDescent="0.25">
      <c r="A479" s="219" t="s">
        <v>2314</v>
      </c>
      <c r="B479" s="227">
        <v>31</v>
      </c>
      <c r="C479" s="227" t="s">
        <v>2691</v>
      </c>
      <c r="D479" s="227" t="s">
        <v>2988</v>
      </c>
      <c r="E479" s="227" t="s">
        <v>3160</v>
      </c>
      <c r="F479" s="227" t="s">
        <v>2695</v>
      </c>
      <c r="G479" s="227" t="s">
        <v>2490</v>
      </c>
      <c r="H479" s="253" t="s">
        <v>3172</v>
      </c>
      <c r="I479" s="253" t="s">
        <v>2722</v>
      </c>
      <c r="J479" s="227" t="s">
        <v>2723</v>
      </c>
      <c r="K479" s="253" t="s">
        <v>3100</v>
      </c>
      <c r="L479" s="253" t="s">
        <v>2722</v>
      </c>
      <c r="M479" s="227" t="s">
        <v>2723</v>
      </c>
      <c r="N479" s="293"/>
      <c r="O479" s="293" t="str">
        <f>TablaPOA[[#This Row],[Cod_Sub_acción_especifica]]&amp;"_"&amp;TablaPOA[[#This Row],[Tipo de agente]]</f>
        <v>K31.2.12.1_Consumidores directos de gas natural</v>
      </c>
      <c r="P479" s="254" t="s">
        <v>2830</v>
      </c>
      <c r="Q479" s="292" t="str">
        <f>TablaPOA[[#This Row],[Cod_Sub_acción_especifica]]&amp;"_"&amp;TablaPOA[[#This Row],[Cod_Tipo_agente]]</f>
        <v>K31.2.12.1_TA2</v>
      </c>
      <c r="R479" s="254" t="s">
        <v>2831</v>
      </c>
      <c r="S479" s="254" t="s">
        <v>2833</v>
      </c>
      <c r="T479" s="271" t="s">
        <v>2834</v>
      </c>
    </row>
    <row r="480" spans="1:20" ht="25.5" x14ac:dyDescent="0.25">
      <c r="A480" s="219" t="s">
        <v>2314</v>
      </c>
      <c r="B480" s="227">
        <v>31</v>
      </c>
      <c r="C480" s="227" t="s">
        <v>2691</v>
      </c>
      <c r="D480" s="227" t="s">
        <v>2988</v>
      </c>
      <c r="E480" s="227" t="s">
        <v>3160</v>
      </c>
      <c r="F480" s="227" t="s">
        <v>2695</v>
      </c>
      <c r="G480" s="227" t="s">
        <v>2490</v>
      </c>
      <c r="H480" s="253" t="s">
        <v>3172</v>
      </c>
      <c r="I480" s="253" t="s">
        <v>2722</v>
      </c>
      <c r="J480" s="227" t="s">
        <v>2723</v>
      </c>
      <c r="K480" s="253" t="s">
        <v>3100</v>
      </c>
      <c r="L480" s="253" t="s">
        <v>2722</v>
      </c>
      <c r="M480" s="227" t="s">
        <v>2723</v>
      </c>
      <c r="N480" s="293"/>
      <c r="O480" s="293" t="str">
        <f>TablaPOA[[#This Row],[Cod_Sub_acción_especifica]]&amp;"_"&amp;TablaPOA[[#This Row],[Tipo de agente]]</f>
        <v>K31.2.12.1_Consumidores directos de gas natural</v>
      </c>
      <c r="P480" s="254" t="s">
        <v>2830</v>
      </c>
      <c r="Q480" s="292" t="str">
        <f>TablaPOA[[#This Row],[Cod_Sub_acción_especifica]]&amp;"_"&amp;TablaPOA[[#This Row],[Cod_Tipo_agente]]</f>
        <v>K31.2.12.1_TA2</v>
      </c>
      <c r="R480" s="254" t="s">
        <v>2831</v>
      </c>
      <c r="S480" s="254" t="s">
        <v>2835</v>
      </c>
      <c r="T480" s="271" t="s">
        <v>2836</v>
      </c>
    </row>
    <row r="481" spans="1:20" ht="25.5" x14ac:dyDescent="0.25">
      <c r="A481" s="219" t="s">
        <v>2314</v>
      </c>
      <c r="B481" s="227">
        <v>31</v>
      </c>
      <c r="C481" s="227" t="s">
        <v>2691</v>
      </c>
      <c r="D481" s="227" t="s">
        <v>2988</v>
      </c>
      <c r="E481" s="227" t="s">
        <v>3160</v>
      </c>
      <c r="F481" s="227" t="s">
        <v>2695</v>
      </c>
      <c r="G481" s="227" t="s">
        <v>2490</v>
      </c>
      <c r="H481" s="253" t="s">
        <v>3172</v>
      </c>
      <c r="I481" s="253" t="s">
        <v>2722</v>
      </c>
      <c r="J481" s="227" t="s">
        <v>2723</v>
      </c>
      <c r="K481" s="253" t="s">
        <v>3100</v>
      </c>
      <c r="L481" s="253" t="s">
        <v>2722</v>
      </c>
      <c r="M481" s="227" t="s">
        <v>2723</v>
      </c>
      <c r="N481" s="293"/>
      <c r="O481" s="293" t="str">
        <f>TablaPOA[[#This Row],[Cod_Sub_acción_especifica]]&amp;"_"&amp;TablaPOA[[#This Row],[Tipo de agente]]</f>
        <v>K31.2.12.1_Consumidores directos de gas natural</v>
      </c>
      <c r="P481" s="254" t="s">
        <v>2830</v>
      </c>
      <c r="Q481" s="292" t="str">
        <f>TablaPOA[[#This Row],[Cod_Sub_acción_especifica]]&amp;"_"&amp;TablaPOA[[#This Row],[Cod_Tipo_agente]]</f>
        <v>K31.2.12.1_TA2</v>
      </c>
      <c r="R481" s="254" t="s">
        <v>2831</v>
      </c>
      <c r="S481" s="254" t="s">
        <v>2837</v>
      </c>
      <c r="T481" s="271" t="s">
        <v>2838</v>
      </c>
    </row>
    <row r="482" spans="1:20" ht="25.5" x14ac:dyDescent="0.25">
      <c r="A482" s="268" t="s">
        <v>2314</v>
      </c>
      <c r="B482" s="248">
        <v>31</v>
      </c>
      <c r="C482" s="248" t="s">
        <v>2691</v>
      </c>
      <c r="D482" s="248" t="s">
        <v>2988</v>
      </c>
      <c r="E482" s="248" t="s">
        <v>3160</v>
      </c>
      <c r="F482" s="248" t="s">
        <v>2695</v>
      </c>
      <c r="G482" s="248" t="s">
        <v>2490</v>
      </c>
      <c r="H482" s="249" t="s">
        <v>3172</v>
      </c>
      <c r="I482" s="249" t="s">
        <v>2722</v>
      </c>
      <c r="J482" s="248" t="s">
        <v>2723</v>
      </c>
      <c r="K482" s="249" t="s">
        <v>3101</v>
      </c>
      <c r="L482" s="249" t="s">
        <v>2777</v>
      </c>
      <c r="M482" s="248" t="s">
        <v>2777</v>
      </c>
      <c r="N482" s="299" t="s">
        <v>2883</v>
      </c>
      <c r="O482" s="292" t="str">
        <f>TablaPOA[[#This Row],[Cod_Sub_acción_especifica]]&amp;"_"&amp;TablaPOA[[#This Row],[Tipo de agente]]</f>
        <v>K31.2.12.2_EVP combustibles de uso automotor</v>
      </c>
      <c r="P482" s="250" t="s">
        <v>2882</v>
      </c>
      <c r="Q482" s="292" t="str">
        <f>TablaPOA[[#This Row],[Cod_Sub_acción_especifica]]&amp;"_"&amp;TablaPOA[[#This Row],[Cod_Tipo_agente]]</f>
        <v>K31.2.12.2_TA6</v>
      </c>
      <c r="R482" s="250" t="s">
        <v>2883</v>
      </c>
      <c r="S482" s="251" t="s">
        <v>2884</v>
      </c>
      <c r="T482" s="269" t="s">
        <v>2885</v>
      </c>
    </row>
    <row r="483" spans="1:20" ht="25.5" x14ac:dyDescent="0.25">
      <c r="A483" s="268" t="s">
        <v>2314</v>
      </c>
      <c r="B483" s="248">
        <v>31</v>
      </c>
      <c r="C483" s="248" t="s">
        <v>2691</v>
      </c>
      <c r="D483" s="248" t="s">
        <v>2988</v>
      </c>
      <c r="E483" s="248" t="s">
        <v>3160</v>
      </c>
      <c r="F483" s="248" t="s">
        <v>2695</v>
      </c>
      <c r="G483" s="248" t="s">
        <v>2490</v>
      </c>
      <c r="H483" s="249" t="s">
        <v>3172</v>
      </c>
      <c r="I483" s="249" t="s">
        <v>2722</v>
      </c>
      <c r="J483" s="248" t="s">
        <v>2723</v>
      </c>
      <c r="K483" s="249" t="s">
        <v>3101</v>
      </c>
      <c r="L483" s="249" t="s">
        <v>2777</v>
      </c>
      <c r="M483" s="248" t="s">
        <v>2777</v>
      </c>
      <c r="N483" s="293"/>
      <c r="O483" s="293" t="str">
        <f>TablaPOA[[#This Row],[Cod_Sub_acción_especifica]]&amp;"_"&amp;TablaPOA[[#This Row],[Tipo de agente]]</f>
        <v>K31.2.12.2_EVP combustibles de uso automotor</v>
      </c>
      <c r="P483" s="250" t="s">
        <v>2882</v>
      </c>
      <c r="Q483" s="292" t="str">
        <f>TablaPOA[[#This Row],[Cod_Sub_acción_especifica]]&amp;"_"&amp;TablaPOA[[#This Row],[Cod_Tipo_agente]]</f>
        <v>K31.2.12.2_TA6</v>
      </c>
      <c r="R483" s="250" t="s">
        <v>2883</v>
      </c>
      <c r="S483" s="251" t="s">
        <v>2886</v>
      </c>
      <c r="T483" s="269" t="s">
        <v>2887</v>
      </c>
    </row>
    <row r="484" spans="1:20" ht="25.5" x14ac:dyDescent="0.25">
      <c r="A484" s="268" t="s">
        <v>2314</v>
      </c>
      <c r="B484" s="248">
        <v>31</v>
      </c>
      <c r="C484" s="248" t="s">
        <v>2691</v>
      </c>
      <c r="D484" s="248" t="s">
        <v>2988</v>
      </c>
      <c r="E484" s="248" t="s">
        <v>3160</v>
      </c>
      <c r="F484" s="248" t="s">
        <v>2695</v>
      </c>
      <c r="G484" s="248" t="s">
        <v>2490</v>
      </c>
      <c r="H484" s="249" t="s">
        <v>3172</v>
      </c>
      <c r="I484" s="249" t="s">
        <v>2722</v>
      </c>
      <c r="J484" s="248" t="s">
        <v>2723</v>
      </c>
      <c r="K484" s="249" t="s">
        <v>3101</v>
      </c>
      <c r="L484" s="249" t="s">
        <v>2777</v>
      </c>
      <c r="M484" s="248" t="s">
        <v>2777</v>
      </c>
      <c r="N484" s="293"/>
      <c r="O484" s="293" t="str">
        <f>TablaPOA[[#This Row],[Cod_Sub_acción_especifica]]&amp;"_"&amp;TablaPOA[[#This Row],[Tipo de agente]]</f>
        <v>K31.2.12.2_EVP combustibles de uso automotor</v>
      </c>
      <c r="P484" s="250" t="s">
        <v>2882</v>
      </c>
      <c r="Q484" s="292" t="str">
        <f>TablaPOA[[#This Row],[Cod_Sub_acción_especifica]]&amp;"_"&amp;TablaPOA[[#This Row],[Cod_Tipo_agente]]</f>
        <v>K31.2.12.2_TA6</v>
      </c>
      <c r="R484" s="250" t="s">
        <v>2883</v>
      </c>
      <c r="S484" s="251" t="s">
        <v>2888</v>
      </c>
      <c r="T484" s="269" t="s">
        <v>2889</v>
      </c>
    </row>
    <row r="485" spans="1:20" ht="25.5" x14ac:dyDescent="0.25">
      <c r="A485" s="268" t="s">
        <v>2314</v>
      </c>
      <c r="B485" s="248">
        <v>31</v>
      </c>
      <c r="C485" s="248" t="s">
        <v>2691</v>
      </c>
      <c r="D485" s="248" t="s">
        <v>2988</v>
      </c>
      <c r="E485" s="248" t="s">
        <v>3160</v>
      </c>
      <c r="F485" s="248" t="s">
        <v>2695</v>
      </c>
      <c r="G485" s="248" t="s">
        <v>2490</v>
      </c>
      <c r="H485" s="249" t="s">
        <v>3172</v>
      </c>
      <c r="I485" s="249" t="s">
        <v>2722</v>
      </c>
      <c r="J485" s="248" t="s">
        <v>2723</v>
      </c>
      <c r="K485" s="249" t="s">
        <v>3101</v>
      </c>
      <c r="L485" s="249" t="s">
        <v>2777</v>
      </c>
      <c r="M485" s="248" t="s">
        <v>2777</v>
      </c>
      <c r="N485" s="293"/>
      <c r="O485" s="293" t="str">
        <f>TablaPOA[[#This Row],[Cod_Sub_acción_especifica]]&amp;"_"&amp;TablaPOA[[#This Row],[Tipo de agente]]</f>
        <v>K31.2.12.2_EVP combustibles de uso automotor</v>
      </c>
      <c r="P485" s="250" t="s">
        <v>2882</v>
      </c>
      <c r="Q485" s="292" t="str">
        <f>TablaPOA[[#This Row],[Cod_Sub_acción_especifica]]&amp;"_"&amp;TablaPOA[[#This Row],[Cod_Tipo_agente]]</f>
        <v>K31.2.12.2_TA6</v>
      </c>
      <c r="R485" s="250" t="s">
        <v>2883</v>
      </c>
      <c r="S485" s="251" t="s">
        <v>2890</v>
      </c>
      <c r="T485" s="269" t="s">
        <v>2891</v>
      </c>
    </row>
    <row r="486" spans="1:20" ht="25.5" x14ac:dyDescent="0.25">
      <c r="A486" s="268" t="s">
        <v>2314</v>
      </c>
      <c r="B486" s="248">
        <v>31</v>
      </c>
      <c r="C486" s="248" t="s">
        <v>2691</v>
      </c>
      <c r="D486" s="248" t="s">
        <v>2988</v>
      </c>
      <c r="E486" s="248" t="s">
        <v>3160</v>
      </c>
      <c r="F486" s="248" t="s">
        <v>2695</v>
      </c>
      <c r="G486" s="248" t="s">
        <v>2490</v>
      </c>
      <c r="H486" s="249" t="s">
        <v>3172</v>
      </c>
      <c r="I486" s="249" t="s">
        <v>2722</v>
      </c>
      <c r="J486" s="248" t="s">
        <v>2723</v>
      </c>
      <c r="K486" s="249" t="s">
        <v>3101</v>
      </c>
      <c r="L486" s="249" t="s">
        <v>2777</v>
      </c>
      <c r="M486" s="248" t="s">
        <v>2777</v>
      </c>
      <c r="N486" s="293"/>
      <c r="O486" s="293" t="str">
        <f>TablaPOA[[#This Row],[Cod_Sub_acción_especifica]]&amp;"_"&amp;TablaPOA[[#This Row],[Tipo de agente]]</f>
        <v>K31.2.12.2_EVP combustibles de uso automotor</v>
      </c>
      <c r="P486" s="250" t="s">
        <v>2882</v>
      </c>
      <c r="Q486" s="292" t="str">
        <f>TablaPOA[[#This Row],[Cod_Sub_acción_especifica]]&amp;"_"&amp;TablaPOA[[#This Row],[Cod_Tipo_agente]]</f>
        <v>K31.2.12.2_TA6</v>
      </c>
      <c r="R486" s="250" t="s">
        <v>2883</v>
      </c>
      <c r="S486" s="251" t="s">
        <v>2892</v>
      </c>
      <c r="T486" s="269" t="s">
        <v>2893</v>
      </c>
    </row>
    <row r="487" spans="1:20" ht="25.5" x14ac:dyDescent="0.25">
      <c r="A487" s="268" t="s">
        <v>2314</v>
      </c>
      <c r="B487" s="248">
        <v>31</v>
      </c>
      <c r="C487" s="248" t="s">
        <v>2691</v>
      </c>
      <c r="D487" s="248" t="s">
        <v>2988</v>
      </c>
      <c r="E487" s="248" t="s">
        <v>3160</v>
      </c>
      <c r="F487" s="248" t="s">
        <v>2695</v>
      </c>
      <c r="G487" s="248" t="s">
        <v>2490</v>
      </c>
      <c r="H487" s="249" t="s">
        <v>3172</v>
      </c>
      <c r="I487" s="249" t="s">
        <v>2722</v>
      </c>
      <c r="J487" s="248" t="s">
        <v>2723</v>
      </c>
      <c r="K487" s="249" t="s">
        <v>3101</v>
      </c>
      <c r="L487" s="249" t="s">
        <v>2777</v>
      </c>
      <c r="M487" s="248" t="s">
        <v>2777</v>
      </c>
      <c r="N487" s="293"/>
      <c r="O487" s="293" t="str">
        <f>TablaPOA[[#This Row],[Cod_Sub_acción_especifica]]&amp;"_"&amp;TablaPOA[[#This Row],[Tipo de agente]]</f>
        <v>K31.2.12.2_EVP combustibles de uso automotor</v>
      </c>
      <c r="P487" s="250" t="s">
        <v>2882</v>
      </c>
      <c r="Q487" s="292" t="str">
        <f>TablaPOA[[#This Row],[Cod_Sub_acción_especifica]]&amp;"_"&amp;TablaPOA[[#This Row],[Cod_Tipo_agente]]</f>
        <v>K31.2.12.2_TA6</v>
      </c>
      <c r="R487" s="250" t="s">
        <v>2883</v>
      </c>
      <c r="S487" s="251" t="s">
        <v>2894</v>
      </c>
      <c r="T487" s="269" t="s">
        <v>2895</v>
      </c>
    </row>
    <row r="488" spans="1:20" ht="25.5" x14ac:dyDescent="0.25">
      <c r="A488" s="268" t="s">
        <v>2314</v>
      </c>
      <c r="B488" s="248">
        <v>31</v>
      </c>
      <c r="C488" s="248" t="s">
        <v>2691</v>
      </c>
      <c r="D488" s="248" t="s">
        <v>2988</v>
      </c>
      <c r="E488" s="248" t="s">
        <v>3160</v>
      </c>
      <c r="F488" s="248" t="s">
        <v>2695</v>
      </c>
      <c r="G488" s="248" t="s">
        <v>2490</v>
      </c>
      <c r="H488" s="249" t="s">
        <v>3172</v>
      </c>
      <c r="I488" s="249" t="s">
        <v>2722</v>
      </c>
      <c r="J488" s="248" t="s">
        <v>2723</v>
      </c>
      <c r="K488" s="249" t="s">
        <v>3101</v>
      </c>
      <c r="L488" s="249" t="s">
        <v>2777</v>
      </c>
      <c r="M488" s="248" t="s">
        <v>2777</v>
      </c>
      <c r="N488" s="293"/>
      <c r="O488" s="293" t="str">
        <f>TablaPOA[[#This Row],[Cod_Sub_acción_especifica]]&amp;"_"&amp;TablaPOA[[#This Row],[Tipo de agente]]</f>
        <v>K31.2.12.2_EVP combustibles de uso automotor</v>
      </c>
      <c r="P488" s="250" t="s">
        <v>2882</v>
      </c>
      <c r="Q488" s="292" t="str">
        <f>TablaPOA[[#This Row],[Cod_Sub_acción_especifica]]&amp;"_"&amp;TablaPOA[[#This Row],[Cod_Tipo_agente]]</f>
        <v>K31.2.12.2_TA6</v>
      </c>
      <c r="R488" s="250" t="s">
        <v>2883</v>
      </c>
      <c r="S488" s="251" t="s">
        <v>2896</v>
      </c>
      <c r="T488" s="269" t="s">
        <v>2897</v>
      </c>
    </row>
    <row r="489" spans="1:20" ht="25.5" x14ac:dyDescent="0.25">
      <c r="A489" s="268" t="s">
        <v>2314</v>
      </c>
      <c r="B489" s="248">
        <v>31</v>
      </c>
      <c r="C489" s="248" t="s">
        <v>2691</v>
      </c>
      <c r="D489" s="248" t="s">
        <v>2988</v>
      </c>
      <c r="E489" s="248" t="s">
        <v>3160</v>
      </c>
      <c r="F489" s="248" t="s">
        <v>2695</v>
      </c>
      <c r="G489" s="248" t="s">
        <v>2490</v>
      </c>
      <c r="H489" s="249" t="s">
        <v>3172</v>
      </c>
      <c r="I489" s="249" t="s">
        <v>2722</v>
      </c>
      <c r="J489" s="248" t="s">
        <v>2723</v>
      </c>
      <c r="K489" s="249" t="s">
        <v>3101</v>
      </c>
      <c r="L489" s="249" t="s">
        <v>2777</v>
      </c>
      <c r="M489" s="248" t="s">
        <v>2777</v>
      </c>
      <c r="N489" s="293"/>
      <c r="O489" s="293" t="str">
        <f>TablaPOA[[#This Row],[Cod_Sub_acción_especifica]]&amp;"_"&amp;TablaPOA[[#This Row],[Tipo de agente]]</f>
        <v>K31.2.12.2_EVP combustibles de uso automotor</v>
      </c>
      <c r="P489" s="250" t="s">
        <v>2882</v>
      </c>
      <c r="Q489" s="292" t="str">
        <f>TablaPOA[[#This Row],[Cod_Sub_acción_especifica]]&amp;"_"&amp;TablaPOA[[#This Row],[Cod_Tipo_agente]]</f>
        <v>K31.2.12.2_TA6</v>
      </c>
      <c r="R489" s="250" t="s">
        <v>2883</v>
      </c>
      <c r="S489" s="251" t="s">
        <v>2898</v>
      </c>
      <c r="T489" s="269" t="s">
        <v>2899</v>
      </c>
    </row>
    <row r="490" spans="1:20" ht="25.5" x14ac:dyDescent="0.25">
      <c r="A490" s="268" t="s">
        <v>2314</v>
      </c>
      <c r="B490" s="248">
        <v>31</v>
      </c>
      <c r="C490" s="248" t="s">
        <v>2691</v>
      </c>
      <c r="D490" s="248" t="s">
        <v>2988</v>
      </c>
      <c r="E490" s="248" t="s">
        <v>3160</v>
      </c>
      <c r="F490" s="248" t="s">
        <v>2695</v>
      </c>
      <c r="G490" s="248" t="s">
        <v>2490</v>
      </c>
      <c r="H490" s="249" t="s">
        <v>3172</v>
      </c>
      <c r="I490" s="249" t="s">
        <v>2722</v>
      </c>
      <c r="J490" s="248" t="s">
        <v>2723</v>
      </c>
      <c r="K490" s="249" t="s">
        <v>3101</v>
      </c>
      <c r="L490" s="249" t="s">
        <v>2777</v>
      </c>
      <c r="M490" s="248" t="s">
        <v>2777</v>
      </c>
      <c r="N490" s="293"/>
      <c r="O490" s="293" t="str">
        <f>TablaPOA[[#This Row],[Cod_Sub_acción_especifica]]&amp;"_"&amp;TablaPOA[[#This Row],[Tipo de agente]]</f>
        <v>K31.2.12.2_EVP combustibles de uso automotor</v>
      </c>
      <c r="P490" s="250" t="s">
        <v>2882</v>
      </c>
      <c r="Q490" s="292" t="str">
        <f>TablaPOA[[#This Row],[Cod_Sub_acción_especifica]]&amp;"_"&amp;TablaPOA[[#This Row],[Cod_Tipo_agente]]</f>
        <v>K31.2.12.2_TA6</v>
      </c>
      <c r="R490" s="250" t="s">
        <v>2883</v>
      </c>
      <c r="S490" s="251" t="s">
        <v>2900</v>
      </c>
      <c r="T490" s="269" t="s">
        <v>2901</v>
      </c>
    </row>
    <row r="491" spans="1:20" ht="25.5" x14ac:dyDescent="0.25">
      <c r="A491" s="219" t="s">
        <v>2314</v>
      </c>
      <c r="B491" s="227">
        <v>31</v>
      </c>
      <c r="C491" s="227" t="s">
        <v>2691</v>
      </c>
      <c r="D491" s="227" t="s">
        <v>2988</v>
      </c>
      <c r="E491" s="227" t="s">
        <v>3160</v>
      </c>
      <c r="F491" s="227" t="s">
        <v>2695</v>
      </c>
      <c r="G491" s="227" t="s">
        <v>2490</v>
      </c>
      <c r="H491" s="253" t="s">
        <v>3172</v>
      </c>
      <c r="I491" s="253" t="s">
        <v>2722</v>
      </c>
      <c r="J491" s="227" t="s">
        <v>2723</v>
      </c>
      <c r="K491" s="262" t="s">
        <v>3102</v>
      </c>
      <c r="L491" s="262" t="s">
        <v>2767</v>
      </c>
      <c r="M491" s="259" t="s">
        <v>2778</v>
      </c>
      <c r="N491" s="299" t="s">
        <v>2809</v>
      </c>
      <c r="O491" s="292" t="str">
        <f>TablaPOA[[#This Row],[Cod_Sub_acción_especifica]]&amp;"_"&amp;TablaPOA[[#This Row],[Tipo de agente]]</f>
        <v>K31.2.12.3_Consumidores directos de combustibles líquidos y OPDH</v>
      </c>
      <c r="P491" s="254" t="s">
        <v>2808</v>
      </c>
      <c r="Q491" s="292" t="str">
        <f>TablaPOA[[#This Row],[Cod_Sub_acción_especifica]]&amp;"_"&amp;TablaPOA[[#This Row],[Cod_Tipo_agente]]</f>
        <v>K31.2.12.3_TA1</v>
      </c>
      <c r="R491" s="254" t="s">
        <v>2809</v>
      </c>
      <c r="S491" s="255" t="s">
        <v>2810</v>
      </c>
      <c r="T491" s="271" t="s">
        <v>2811</v>
      </c>
    </row>
    <row r="492" spans="1:20" ht="25.5" x14ac:dyDescent="0.25">
      <c r="A492" s="219" t="s">
        <v>2314</v>
      </c>
      <c r="B492" s="227">
        <v>31</v>
      </c>
      <c r="C492" s="227" t="s">
        <v>2691</v>
      </c>
      <c r="D492" s="227" t="s">
        <v>2988</v>
      </c>
      <c r="E492" s="227" t="s">
        <v>3160</v>
      </c>
      <c r="F492" s="227" t="s">
        <v>2695</v>
      </c>
      <c r="G492" s="227" t="s">
        <v>2490</v>
      </c>
      <c r="H492" s="253" t="s">
        <v>3172</v>
      </c>
      <c r="I492" s="253" t="s">
        <v>2722</v>
      </c>
      <c r="J492" s="227" t="s">
        <v>2723</v>
      </c>
      <c r="K492" s="262" t="s">
        <v>3102</v>
      </c>
      <c r="L492" s="262" t="s">
        <v>2767</v>
      </c>
      <c r="M492" s="259" t="s">
        <v>2778</v>
      </c>
      <c r="N492" s="299" t="s">
        <v>2831</v>
      </c>
      <c r="O492" s="292" t="str">
        <f>TablaPOA[[#This Row],[Cod_Sub_acción_especifica]]&amp;"_"&amp;TablaPOA[[#This Row],[Tipo de agente]]</f>
        <v>K31.2.12.3_Consumidores directos de combustibles líquidos y OPDH</v>
      </c>
      <c r="P492" s="254" t="s">
        <v>2808</v>
      </c>
      <c r="Q492" s="292" t="str">
        <f>TablaPOA[[#This Row],[Cod_Sub_acción_especifica]]&amp;"_"&amp;TablaPOA[[#This Row],[Cod_Tipo_agente]]</f>
        <v>K31.2.12.3_TA1</v>
      </c>
      <c r="R492" s="254" t="s">
        <v>2809</v>
      </c>
      <c r="S492" s="255" t="s">
        <v>2812</v>
      </c>
      <c r="T492" s="271" t="s">
        <v>2813</v>
      </c>
    </row>
    <row r="493" spans="1:20" ht="25.5" x14ac:dyDescent="0.25">
      <c r="A493" s="219" t="s">
        <v>2314</v>
      </c>
      <c r="B493" s="227">
        <v>31</v>
      </c>
      <c r="C493" s="227" t="s">
        <v>2691</v>
      </c>
      <c r="D493" s="227" t="s">
        <v>2988</v>
      </c>
      <c r="E493" s="227" t="s">
        <v>3160</v>
      </c>
      <c r="F493" s="227" t="s">
        <v>2695</v>
      </c>
      <c r="G493" s="227" t="s">
        <v>2490</v>
      </c>
      <c r="H493" s="253" t="s">
        <v>3172</v>
      </c>
      <c r="I493" s="253" t="s">
        <v>2722</v>
      </c>
      <c r="J493" s="227" t="s">
        <v>2723</v>
      </c>
      <c r="K493" s="262" t="s">
        <v>3102</v>
      </c>
      <c r="L493" s="262" t="s">
        <v>2767</v>
      </c>
      <c r="M493" s="259" t="s">
        <v>2778</v>
      </c>
      <c r="N493" s="299" t="s">
        <v>2883</v>
      </c>
      <c r="O493" s="292" t="str">
        <f>TablaPOA[[#This Row],[Cod_Sub_acción_especifica]]&amp;"_"&amp;TablaPOA[[#This Row],[Tipo de agente]]</f>
        <v>K31.2.12.3_Consumidores directos de combustibles líquidos y OPDH</v>
      </c>
      <c r="P493" s="254" t="s">
        <v>2808</v>
      </c>
      <c r="Q493" s="292" t="str">
        <f>TablaPOA[[#This Row],[Cod_Sub_acción_especifica]]&amp;"_"&amp;TablaPOA[[#This Row],[Cod_Tipo_agente]]</f>
        <v>K31.2.12.3_TA1</v>
      </c>
      <c r="R493" s="254" t="s">
        <v>2809</v>
      </c>
      <c r="S493" s="255" t="s">
        <v>2814</v>
      </c>
      <c r="T493" s="271" t="s">
        <v>2815</v>
      </c>
    </row>
    <row r="494" spans="1:20" ht="25.5" x14ac:dyDescent="0.25">
      <c r="A494" s="219" t="s">
        <v>2314</v>
      </c>
      <c r="B494" s="227">
        <v>31</v>
      </c>
      <c r="C494" s="227" t="s">
        <v>2691</v>
      </c>
      <c r="D494" s="227" t="s">
        <v>2988</v>
      </c>
      <c r="E494" s="227" t="s">
        <v>3160</v>
      </c>
      <c r="F494" s="227" t="s">
        <v>2695</v>
      </c>
      <c r="G494" s="227" t="s">
        <v>2490</v>
      </c>
      <c r="H494" s="253" t="s">
        <v>3172</v>
      </c>
      <c r="I494" s="253" t="s">
        <v>2722</v>
      </c>
      <c r="J494" s="227" t="s">
        <v>2723</v>
      </c>
      <c r="K494" s="262" t="s">
        <v>3102</v>
      </c>
      <c r="L494" s="262" t="s">
        <v>2767</v>
      </c>
      <c r="M494" s="259" t="s">
        <v>2778</v>
      </c>
      <c r="N494" s="295"/>
      <c r="O494" s="295" t="str">
        <f>TablaPOA[[#This Row],[Cod_Sub_acción_especifica]]&amp;"_"&amp;TablaPOA[[#This Row],[Tipo de agente]]</f>
        <v>K31.2.12.3_Consumidores directos de combustibles líquidos y OPDH</v>
      </c>
      <c r="P494" s="254" t="s">
        <v>2808</v>
      </c>
      <c r="Q494" s="292" t="str">
        <f>TablaPOA[[#This Row],[Cod_Sub_acción_especifica]]&amp;"_"&amp;TablaPOA[[#This Row],[Cod_Tipo_agente]]</f>
        <v>K31.2.12.3_TA1</v>
      </c>
      <c r="R494" s="254" t="s">
        <v>2809</v>
      </c>
      <c r="S494" s="255" t="s">
        <v>2816</v>
      </c>
      <c r="T494" s="271" t="s">
        <v>2817</v>
      </c>
    </row>
    <row r="495" spans="1:20" ht="25.5" x14ac:dyDescent="0.25">
      <c r="A495" s="219" t="s">
        <v>2314</v>
      </c>
      <c r="B495" s="227">
        <v>31</v>
      </c>
      <c r="C495" s="227" t="s">
        <v>2691</v>
      </c>
      <c r="D495" s="227" t="s">
        <v>2988</v>
      </c>
      <c r="E495" s="227" t="s">
        <v>3160</v>
      </c>
      <c r="F495" s="227" t="s">
        <v>2695</v>
      </c>
      <c r="G495" s="227" t="s">
        <v>2490</v>
      </c>
      <c r="H495" s="253" t="s">
        <v>3172</v>
      </c>
      <c r="I495" s="253" t="s">
        <v>2722</v>
      </c>
      <c r="J495" s="227" t="s">
        <v>2723</v>
      </c>
      <c r="K495" s="262" t="s">
        <v>3102</v>
      </c>
      <c r="L495" s="262" t="s">
        <v>2767</v>
      </c>
      <c r="M495" s="259" t="s">
        <v>2778</v>
      </c>
      <c r="N495" s="295"/>
      <c r="O495" s="295" t="str">
        <f>TablaPOA[[#This Row],[Cod_Sub_acción_especifica]]&amp;"_"&amp;TablaPOA[[#This Row],[Tipo de agente]]</f>
        <v>K31.2.12.3_Consumidores directos de combustibles líquidos y OPDH</v>
      </c>
      <c r="P495" s="254" t="s">
        <v>2808</v>
      </c>
      <c r="Q495" s="292" t="str">
        <f>TablaPOA[[#This Row],[Cod_Sub_acción_especifica]]&amp;"_"&amp;TablaPOA[[#This Row],[Cod_Tipo_agente]]</f>
        <v>K31.2.12.3_TA1</v>
      </c>
      <c r="R495" s="254" t="s">
        <v>2809</v>
      </c>
      <c r="S495" s="255" t="s">
        <v>2818</v>
      </c>
      <c r="T495" s="271" t="s">
        <v>2819</v>
      </c>
    </row>
    <row r="496" spans="1:20" ht="25.5" x14ac:dyDescent="0.25">
      <c r="A496" s="219" t="s">
        <v>2314</v>
      </c>
      <c r="B496" s="227">
        <v>31</v>
      </c>
      <c r="C496" s="227" t="s">
        <v>2691</v>
      </c>
      <c r="D496" s="227" t="s">
        <v>2988</v>
      </c>
      <c r="E496" s="227" t="s">
        <v>3160</v>
      </c>
      <c r="F496" s="227" t="s">
        <v>2695</v>
      </c>
      <c r="G496" s="227" t="s">
        <v>2490</v>
      </c>
      <c r="H496" s="253" t="s">
        <v>3172</v>
      </c>
      <c r="I496" s="253" t="s">
        <v>2722</v>
      </c>
      <c r="J496" s="227" t="s">
        <v>2723</v>
      </c>
      <c r="K496" s="262" t="s">
        <v>3102</v>
      </c>
      <c r="L496" s="262" t="s">
        <v>2767</v>
      </c>
      <c r="M496" s="259" t="s">
        <v>2778</v>
      </c>
      <c r="N496" s="295"/>
      <c r="O496" s="295" t="str">
        <f>TablaPOA[[#This Row],[Cod_Sub_acción_especifica]]&amp;"_"&amp;TablaPOA[[#This Row],[Tipo de agente]]</f>
        <v>K31.2.12.3_Consumidores directos de combustibles líquidos y OPDH</v>
      </c>
      <c r="P496" s="254" t="s">
        <v>2808</v>
      </c>
      <c r="Q496" s="292" t="str">
        <f>TablaPOA[[#This Row],[Cod_Sub_acción_especifica]]&amp;"_"&amp;TablaPOA[[#This Row],[Cod_Tipo_agente]]</f>
        <v>K31.2.12.3_TA1</v>
      </c>
      <c r="R496" s="254" t="s">
        <v>2809</v>
      </c>
      <c r="S496" s="255" t="s">
        <v>2820</v>
      </c>
      <c r="T496" s="271" t="s">
        <v>2821</v>
      </c>
    </row>
    <row r="497" spans="1:20" ht="25.5" x14ac:dyDescent="0.25">
      <c r="A497" s="219" t="s">
        <v>2314</v>
      </c>
      <c r="B497" s="227">
        <v>31</v>
      </c>
      <c r="C497" s="227" t="s">
        <v>2691</v>
      </c>
      <c r="D497" s="227" t="s">
        <v>2988</v>
      </c>
      <c r="E497" s="227" t="s">
        <v>3160</v>
      </c>
      <c r="F497" s="227" t="s">
        <v>2695</v>
      </c>
      <c r="G497" s="227" t="s">
        <v>2490</v>
      </c>
      <c r="H497" s="253" t="s">
        <v>3172</v>
      </c>
      <c r="I497" s="253" t="s">
        <v>2722</v>
      </c>
      <c r="J497" s="227" t="s">
        <v>2723</v>
      </c>
      <c r="K497" s="262" t="s">
        <v>3102</v>
      </c>
      <c r="L497" s="262" t="s">
        <v>2767</v>
      </c>
      <c r="M497" s="259" t="s">
        <v>2778</v>
      </c>
      <c r="N497" s="295"/>
      <c r="O497" s="295" t="str">
        <f>TablaPOA[[#This Row],[Cod_Sub_acción_especifica]]&amp;"_"&amp;TablaPOA[[#This Row],[Tipo de agente]]</f>
        <v>K31.2.12.3_Consumidores directos de combustibles líquidos y OPDH</v>
      </c>
      <c r="P497" s="254" t="s">
        <v>2808</v>
      </c>
      <c r="Q497" s="292" t="str">
        <f>TablaPOA[[#This Row],[Cod_Sub_acción_especifica]]&amp;"_"&amp;TablaPOA[[#This Row],[Cod_Tipo_agente]]</f>
        <v>K31.2.12.3_TA1</v>
      </c>
      <c r="R497" s="254" t="s">
        <v>2809</v>
      </c>
      <c r="S497" s="255" t="s">
        <v>2822</v>
      </c>
      <c r="T497" s="271" t="s">
        <v>2823</v>
      </c>
    </row>
    <row r="498" spans="1:20" ht="25.5" x14ac:dyDescent="0.25">
      <c r="A498" s="219" t="s">
        <v>2314</v>
      </c>
      <c r="B498" s="227">
        <v>31</v>
      </c>
      <c r="C498" s="227" t="s">
        <v>2691</v>
      </c>
      <c r="D498" s="227" t="s">
        <v>2988</v>
      </c>
      <c r="E498" s="227" t="s">
        <v>3160</v>
      </c>
      <c r="F498" s="227" t="s">
        <v>2695</v>
      </c>
      <c r="G498" s="227" t="s">
        <v>2490</v>
      </c>
      <c r="H498" s="253" t="s">
        <v>3172</v>
      </c>
      <c r="I498" s="253" t="s">
        <v>2722</v>
      </c>
      <c r="J498" s="227" t="s">
        <v>2723</v>
      </c>
      <c r="K498" s="262" t="s">
        <v>3102</v>
      </c>
      <c r="L498" s="262" t="s">
        <v>2767</v>
      </c>
      <c r="M498" s="259" t="s">
        <v>2778</v>
      </c>
      <c r="N498" s="295"/>
      <c r="O498" s="295" t="str">
        <f>TablaPOA[[#This Row],[Cod_Sub_acción_especifica]]&amp;"_"&amp;TablaPOA[[#This Row],[Tipo de agente]]</f>
        <v>K31.2.12.3_Consumidores directos de combustibles líquidos y OPDH</v>
      </c>
      <c r="P498" s="254" t="s">
        <v>2808</v>
      </c>
      <c r="Q498" s="292" t="str">
        <f>TablaPOA[[#This Row],[Cod_Sub_acción_especifica]]&amp;"_"&amp;TablaPOA[[#This Row],[Cod_Tipo_agente]]</f>
        <v>K31.2.12.3_TA1</v>
      </c>
      <c r="R498" s="254" t="s">
        <v>2809</v>
      </c>
      <c r="S498" s="255" t="s">
        <v>2824</v>
      </c>
      <c r="T498" s="271" t="s">
        <v>2825</v>
      </c>
    </row>
    <row r="499" spans="1:20" ht="25.5" x14ac:dyDescent="0.25">
      <c r="A499" s="219" t="s">
        <v>2314</v>
      </c>
      <c r="B499" s="227">
        <v>31</v>
      </c>
      <c r="C499" s="227" t="s">
        <v>2691</v>
      </c>
      <c r="D499" s="227" t="s">
        <v>2988</v>
      </c>
      <c r="E499" s="227" t="s">
        <v>3160</v>
      </c>
      <c r="F499" s="227" t="s">
        <v>2695</v>
      </c>
      <c r="G499" s="227" t="s">
        <v>2490</v>
      </c>
      <c r="H499" s="253" t="s">
        <v>3172</v>
      </c>
      <c r="I499" s="253" t="s">
        <v>2722</v>
      </c>
      <c r="J499" s="227" t="s">
        <v>2723</v>
      </c>
      <c r="K499" s="262" t="s">
        <v>3102</v>
      </c>
      <c r="L499" s="262" t="s">
        <v>2767</v>
      </c>
      <c r="M499" s="259" t="s">
        <v>2778</v>
      </c>
      <c r="N499" s="295"/>
      <c r="O499" s="295" t="str">
        <f>TablaPOA[[#This Row],[Cod_Sub_acción_especifica]]&amp;"_"&amp;TablaPOA[[#This Row],[Tipo de agente]]</f>
        <v>K31.2.12.3_Consumidores directos de combustibles líquidos y OPDH</v>
      </c>
      <c r="P499" s="254" t="s">
        <v>2808</v>
      </c>
      <c r="Q499" s="292" t="str">
        <f>TablaPOA[[#This Row],[Cod_Sub_acción_especifica]]&amp;"_"&amp;TablaPOA[[#This Row],[Cod_Tipo_agente]]</f>
        <v>K31.2.12.3_TA1</v>
      </c>
      <c r="R499" s="254" t="s">
        <v>2809</v>
      </c>
      <c r="S499" s="255" t="s">
        <v>2826</v>
      </c>
      <c r="T499" s="271" t="s">
        <v>2827</v>
      </c>
    </row>
    <row r="500" spans="1:20" ht="25.5" x14ac:dyDescent="0.25">
      <c r="A500" s="219" t="s">
        <v>2314</v>
      </c>
      <c r="B500" s="227">
        <v>31</v>
      </c>
      <c r="C500" s="227" t="s">
        <v>2691</v>
      </c>
      <c r="D500" s="227" t="s">
        <v>2988</v>
      </c>
      <c r="E500" s="227" t="s">
        <v>3160</v>
      </c>
      <c r="F500" s="227" t="s">
        <v>2695</v>
      </c>
      <c r="G500" s="227" t="s">
        <v>2490</v>
      </c>
      <c r="H500" s="253" t="s">
        <v>3172</v>
      </c>
      <c r="I500" s="253" t="s">
        <v>2722</v>
      </c>
      <c r="J500" s="227" t="s">
        <v>2723</v>
      </c>
      <c r="K500" s="262" t="s">
        <v>3102</v>
      </c>
      <c r="L500" s="262" t="s">
        <v>2767</v>
      </c>
      <c r="M500" s="259" t="s">
        <v>2778</v>
      </c>
      <c r="N500" s="295"/>
      <c r="O500" s="295" t="str">
        <f>TablaPOA[[#This Row],[Cod_Sub_acción_especifica]]&amp;"_"&amp;TablaPOA[[#This Row],[Tipo de agente]]</f>
        <v>K31.2.12.3_Consumidores directos de combustibles líquidos y OPDH</v>
      </c>
      <c r="P500" s="254" t="s">
        <v>2808</v>
      </c>
      <c r="Q500" s="292" t="str">
        <f>TablaPOA[[#This Row],[Cod_Sub_acción_especifica]]&amp;"_"&amp;TablaPOA[[#This Row],[Cod_Tipo_agente]]</f>
        <v>K31.2.12.3_TA1</v>
      </c>
      <c r="R500" s="254" t="s">
        <v>2809</v>
      </c>
      <c r="S500" s="255" t="s">
        <v>2828</v>
      </c>
      <c r="T500" s="271" t="s">
        <v>2829</v>
      </c>
    </row>
    <row r="501" spans="1:20" ht="25.5" x14ac:dyDescent="0.25">
      <c r="A501" s="219" t="s">
        <v>2314</v>
      </c>
      <c r="B501" s="227">
        <v>31</v>
      </c>
      <c r="C501" s="227" t="s">
        <v>2691</v>
      </c>
      <c r="D501" s="227" t="s">
        <v>2988</v>
      </c>
      <c r="E501" s="227" t="s">
        <v>3160</v>
      </c>
      <c r="F501" s="227" t="s">
        <v>2695</v>
      </c>
      <c r="G501" s="227" t="s">
        <v>2490</v>
      </c>
      <c r="H501" s="253" t="s">
        <v>3172</v>
      </c>
      <c r="I501" s="253" t="s">
        <v>2722</v>
      </c>
      <c r="J501" s="227" t="s">
        <v>2723</v>
      </c>
      <c r="K501" s="262" t="s">
        <v>3102</v>
      </c>
      <c r="L501" s="262" t="s">
        <v>2767</v>
      </c>
      <c r="M501" s="259" t="s">
        <v>2778</v>
      </c>
      <c r="N501" s="295"/>
      <c r="O501" s="295" t="str">
        <f>TablaPOA[[#This Row],[Cod_Sub_acción_especifica]]&amp;"_"&amp;TablaPOA[[#This Row],[Tipo de agente]]</f>
        <v>K31.2.12.3_Consumidores directos de gas natural</v>
      </c>
      <c r="P501" s="254" t="s">
        <v>2830</v>
      </c>
      <c r="Q501" s="292" t="str">
        <f>TablaPOA[[#This Row],[Cod_Sub_acción_especifica]]&amp;"_"&amp;TablaPOA[[#This Row],[Cod_Tipo_agente]]</f>
        <v>K31.2.12.3_TA2</v>
      </c>
      <c r="R501" s="254" t="s">
        <v>2831</v>
      </c>
      <c r="S501" s="254">
        <v>101</v>
      </c>
      <c r="T501" s="271" t="s">
        <v>2832</v>
      </c>
    </row>
    <row r="502" spans="1:20" ht="25.5" x14ac:dyDescent="0.25">
      <c r="A502" s="219" t="s">
        <v>2314</v>
      </c>
      <c r="B502" s="227">
        <v>31</v>
      </c>
      <c r="C502" s="227" t="s">
        <v>2691</v>
      </c>
      <c r="D502" s="227" t="s">
        <v>2988</v>
      </c>
      <c r="E502" s="227" t="s">
        <v>3160</v>
      </c>
      <c r="F502" s="227" t="s">
        <v>2695</v>
      </c>
      <c r="G502" s="227" t="s">
        <v>2490</v>
      </c>
      <c r="H502" s="253" t="s">
        <v>3172</v>
      </c>
      <c r="I502" s="253" t="s">
        <v>2722</v>
      </c>
      <c r="J502" s="227" t="s">
        <v>2723</v>
      </c>
      <c r="K502" s="262" t="s">
        <v>3102</v>
      </c>
      <c r="L502" s="262" t="s">
        <v>2767</v>
      </c>
      <c r="M502" s="259" t="s">
        <v>2778</v>
      </c>
      <c r="N502" s="295"/>
      <c r="O502" s="295" t="str">
        <f>TablaPOA[[#This Row],[Cod_Sub_acción_especifica]]&amp;"_"&amp;TablaPOA[[#This Row],[Tipo de agente]]</f>
        <v>K31.2.12.3_Consumidores directos de gas natural</v>
      </c>
      <c r="P502" s="254" t="s">
        <v>2830</v>
      </c>
      <c r="Q502" s="292" t="str">
        <f>TablaPOA[[#This Row],[Cod_Sub_acción_especifica]]&amp;"_"&amp;TablaPOA[[#This Row],[Cod_Tipo_agente]]</f>
        <v>K31.2.12.3_TA2</v>
      </c>
      <c r="R502" s="254" t="s">
        <v>2831</v>
      </c>
      <c r="S502" s="254" t="s">
        <v>2833</v>
      </c>
      <c r="T502" s="271" t="s">
        <v>2834</v>
      </c>
    </row>
    <row r="503" spans="1:20" ht="25.5" x14ac:dyDescent="0.25">
      <c r="A503" s="219" t="s">
        <v>2314</v>
      </c>
      <c r="B503" s="227">
        <v>31</v>
      </c>
      <c r="C503" s="227" t="s">
        <v>2691</v>
      </c>
      <c r="D503" s="227" t="s">
        <v>2988</v>
      </c>
      <c r="E503" s="227" t="s">
        <v>3160</v>
      </c>
      <c r="F503" s="227" t="s">
        <v>2695</v>
      </c>
      <c r="G503" s="227" t="s">
        <v>2490</v>
      </c>
      <c r="H503" s="253" t="s">
        <v>3172</v>
      </c>
      <c r="I503" s="253" t="s">
        <v>2722</v>
      </c>
      <c r="J503" s="227" t="s">
        <v>2723</v>
      </c>
      <c r="K503" s="262" t="s">
        <v>3102</v>
      </c>
      <c r="L503" s="262" t="s">
        <v>2767</v>
      </c>
      <c r="M503" s="259" t="s">
        <v>2778</v>
      </c>
      <c r="N503" s="295"/>
      <c r="O503" s="295" t="str">
        <f>TablaPOA[[#This Row],[Cod_Sub_acción_especifica]]&amp;"_"&amp;TablaPOA[[#This Row],[Tipo de agente]]</f>
        <v>K31.2.12.3_Consumidores directos de gas natural</v>
      </c>
      <c r="P503" s="254" t="s">
        <v>2830</v>
      </c>
      <c r="Q503" s="292" t="str">
        <f>TablaPOA[[#This Row],[Cod_Sub_acción_especifica]]&amp;"_"&amp;TablaPOA[[#This Row],[Cod_Tipo_agente]]</f>
        <v>K31.2.12.3_TA2</v>
      </c>
      <c r="R503" s="254" t="s">
        <v>2831</v>
      </c>
      <c r="S503" s="254" t="s">
        <v>2835</v>
      </c>
      <c r="T503" s="271" t="s">
        <v>2836</v>
      </c>
    </row>
    <row r="504" spans="1:20" ht="25.5" x14ac:dyDescent="0.25">
      <c r="A504" s="219" t="s">
        <v>2314</v>
      </c>
      <c r="B504" s="227">
        <v>31</v>
      </c>
      <c r="C504" s="227" t="s">
        <v>2691</v>
      </c>
      <c r="D504" s="227" t="s">
        <v>2988</v>
      </c>
      <c r="E504" s="227" t="s">
        <v>3160</v>
      </c>
      <c r="F504" s="227" t="s">
        <v>2695</v>
      </c>
      <c r="G504" s="227" t="s">
        <v>2490</v>
      </c>
      <c r="H504" s="253" t="s">
        <v>3172</v>
      </c>
      <c r="I504" s="253" t="s">
        <v>2722</v>
      </c>
      <c r="J504" s="227" t="s">
        <v>2723</v>
      </c>
      <c r="K504" s="262" t="s">
        <v>3102</v>
      </c>
      <c r="L504" s="262" t="s">
        <v>2767</v>
      </c>
      <c r="M504" s="259" t="s">
        <v>2778</v>
      </c>
      <c r="N504" s="295"/>
      <c r="O504" s="295" t="str">
        <f>TablaPOA[[#This Row],[Cod_Sub_acción_especifica]]&amp;"_"&amp;TablaPOA[[#This Row],[Tipo de agente]]</f>
        <v>K31.2.12.3_Consumidores directos de gas natural</v>
      </c>
      <c r="P504" s="254" t="s">
        <v>2830</v>
      </c>
      <c r="Q504" s="292" t="str">
        <f>TablaPOA[[#This Row],[Cod_Sub_acción_especifica]]&amp;"_"&amp;TablaPOA[[#This Row],[Cod_Tipo_agente]]</f>
        <v>K31.2.12.3_TA2</v>
      </c>
      <c r="R504" s="254" t="s">
        <v>2831</v>
      </c>
      <c r="S504" s="254" t="s">
        <v>2837</v>
      </c>
      <c r="T504" s="271" t="s">
        <v>2838</v>
      </c>
    </row>
    <row r="505" spans="1:20" ht="25.5" x14ac:dyDescent="0.25">
      <c r="A505" s="219" t="s">
        <v>2314</v>
      </c>
      <c r="B505" s="227">
        <v>31</v>
      </c>
      <c r="C505" s="227" t="s">
        <v>2691</v>
      </c>
      <c r="D505" s="227" t="s">
        <v>2988</v>
      </c>
      <c r="E505" s="227" t="s">
        <v>3160</v>
      </c>
      <c r="F505" s="227" t="s">
        <v>2695</v>
      </c>
      <c r="G505" s="227" t="s">
        <v>2490</v>
      </c>
      <c r="H505" s="253" t="s">
        <v>3172</v>
      </c>
      <c r="I505" s="253" t="s">
        <v>2722</v>
      </c>
      <c r="J505" s="227" t="s">
        <v>2723</v>
      </c>
      <c r="K505" s="262" t="s">
        <v>3102</v>
      </c>
      <c r="L505" s="262" t="s">
        <v>2767</v>
      </c>
      <c r="M505" s="259" t="s">
        <v>2778</v>
      </c>
      <c r="N505" s="295"/>
      <c r="O505" s="295" t="str">
        <f>TablaPOA[[#This Row],[Cod_Sub_acción_especifica]]&amp;"_"&amp;TablaPOA[[#This Row],[Tipo de agente]]</f>
        <v>K31.2.12.3_EVP combustibles de uso automotor</v>
      </c>
      <c r="P505" s="254" t="s">
        <v>2882</v>
      </c>
      <c r="Q505" s="292" t="str">
        <f>TablaPOA[[#This Row],[Cod_Sub_acción_especifica]]&amp;"_"&amp;TablaPOA[[#This Row],[Cod_Tipo_agente]]</f>
        <v>K31.2.12.3_TA6</v>
      </c>
      <c r="R505" s="254" t="s">
        <v>2883</v>
      </c>
      <c r="S505" s="255" t="s">
        <v>2884</v>
      </c>
      <c r="T505" s="271" t="s">
        <v>2885</v>
      </c>
    </row>
    <row r="506" spans="1:20" ht="25.5" x14ac:dyDescent="0.25">
      <c r="A506" s="219" t="s">
        <v>2314</v>
      </c>
      <c r="B506" s="227">
        <v>31</v>
      </c>
      <c r="C506" s="227" t="s">
        <v>2691</v>
      </c>
      <c r="D506" s="227" t="s">
        <v>2988</v>
      </c>
      <c r="E506" s="227" t="s">
        <v>3160</v>
      </c>
      <c r="F506" s="227" t="s">
        <v>2695</v>
      </c>
      <c r="G506" s="227" t="s">
        <v>2490</v>
      </c>
      <c r="H506" s="253" t="s">
        <v>3172</v>
      </c>
      <c r="I506" s="253" t="s">
        <v>2722</v>
      </c>
      <c r="J506" s="227" t="s">
        <v>2723</v>
      </c>
      <c r="K506" s="262" t="s">
        <v>3102</v>
      </c>
      <c r="L506" s="262" t="s">
        <v>2767</v>
      </c>
      <c r="M506" s="259" t="s">
        <v>2778</v>
      </c>
      <c r="N506" s="295"/>
      <c r="O506" s="295" t="str">
        <f>TablaPOA[[#This Row],[Cod_Sub_acción_especifica]]&amp;"_"&amp;TablaPOA[[#This Row],[Tipo de agente]]</f>
        <v>K31.2.12.3_EVP combustibles de uso automotor</v>
      </c>
      <c r="P506" s="254" t="s">
        <v>2882</v>
      </c>
      <c r="Q506" s="292" t="str">
        <f>TablaPOA[[#This Row],[Cod_Sub_acción_especifica]]&amp;"_"&amp;TablaPOA[[#This Row],[Cod_Tipo_agente]]</f>
        <v>K31.2.12.3_TA6</v>
      </c>
      <c r="R506" s="254" t="s">
        <v>2883</v>
      </c>
      <c r="S506" s="255" t="s">
        <v>2886</v>
      </c>
      <c r="T506" s="271" t="s">
        <v>2887</v>
      </c>
    </row>
    <row r="507" spans="1:20" ht="25.5" x14ac:dyDescent="0.25">
      <c r="A507" s="219" t="s">
        <v>2314</v>
      </c>
      <c r="B507" s="227">
        <v>31</v>
      </c>
      <c r="C507" s="227" t="s">
        <v>2691</v>
      </c>
      <c r="D507" s="227" t="s">
        <v>2988</v>
      </c>
      <c r="E507" s="227" t="s">
        <v>3160</v>
      </c>
      <c r="F507" s="227" t="s">
        <v>2695</v>
      </c>
      <c r="G507" s="227" t="s">
        <v>2490</v>
      </c>
      <c r="H507" s="253" t="s">
        <v>3172</v>
      </c>
      <c r="I507" s="253" t="s">
        <v>2722</v>
      </c>
      <c r="J507" s="227" t="s">
        <v>2723</v>
      </c>
      <c r="K507" s="262" t="s">
        <v>3102</v>
      </c>
      <c r="L507" s="262" t="s">
        <v>2767</v>
      </c>
      <c r="M507" s="259" t="s">
        <v>2778</v>
      </c>
      <c r="N507" s="295"/>
      <c r="O507" s="295" t="str">
        <f>TablaPOA[[#This Row],[Cod_Sub_acción_especifica]]&amp;"_"&amp;TablaPOA[[#This Row],[Tipo de agente]]</f>
        <v>K31.2.12.3_EVP combustibles de uso automotor</v>
      </c>
      <c r="P507" s="254" t="s">
        <v>2882</v>
      </c>
      <c r="Q507" s="292" t="str">
        <f>TablaPOA[[#This Row],[Cod_Sub_acción_especifica]]&amp;"_"&amp;TablaPOA[[#This Row],[Cod_Tipo_agente]]</f>
        <v>K31.2.12.3_TA6</v>
      </c>
      <c r="R507" s="254" t="s">
        <v>2883</v>
      </c>
      <c r="S507" s="255" t="s">
        <v>2888</v>
      </c>
      <c r="T507" s="271" t="s">
        <v>2889</v>
      </c>
    </row>
    <row r="508" spans="1:20" ht="25.5" x14ac:dyDescent="0.25">
      <c r="A508" s="219" t="s">
        <v>2314</v>
      </c>
      <c r="B508" s="227">
        <v>31</v>
      </c>
      <c r="C508" s="227" t="s">
        <v>2691</v>
      </c>
      <c r="D508" s="227" t="s">
        <v>2988</v>
      </c>
      <c r="E508" s="227" t="s">
        <v>3160</v>
      </c>
      <c r="F508" s="227" t="s">
        <v>2695</v>
      </c>
      <c r="G508" s="227" t="s">
        <v>2490</v>
      </c>
      <c r="H508" s="253" t="s">
        <v>3172</v>
      </c>
      <c r="I508" s="253" t="s">
        <v>2722</v>
      </c>
      <c r="J508" s="227" t="s">
        <v>2723</v>
      </c>
      <c r="K508" s="262" t="s">
        <v>3102</v>
      </c>
      <c r="L508" s="262" t="s">
        <v>2767</v>
      </c>
      <c r="M508" s="259" t="s">
        <v>2778</v>
      </c>
      <c r="N508" s="295"/>
      <c r="O508" s="295" t="str">
        <f>TablaPOA[[#This Row],[Cod_Sub_acción_especifica]]&amp;"_"&amp;TablaPOA[[#This Row],[Tipo de agente]]</f>
        <v>K31.2.12.3_EVP combustibles de uso automotor</v>
      </c>
      <c r="P508" s="254" t="s">
        <v>2882</v>
      </c>
      <c r="Q508" s="292" t="str">
        <f>TablaPOA[[#This Row],[Cod_Sub_acción_especifica]]&amp;"_"&amp;TablaPOA[[#This Row],[Cod_Tipo_agente]]</f>
        <v>K31.2.12.3_TA6</v>
      </c>
      <c r="R508" s="254" t="s">
        <v>2883</v>
      </c>
      <c r="S508" s="255" t="s">
        <v>2890</v>
      </c>
      <c r="T508" s="271" t="s">
        <v>2891</v>
      </c>
    </row>
    <row r="509" spans="1:20" ht="25.5" x14ac:dyDescent="0.25">
      <c r="A509" s="219" t="s">
        <v>2314</v>
      </c>
      <c r="B509" s="227">
        <v>31</v>
      </c>
      <c r="C509" s="227" t="s">
        <v>2691</v>
      </c>
      <c r="D509" s="227" t="s">
        <v>2988</v>
      </c>
      <c r="E509" s="227" t="s">
        <v>3160</v>
      </c>
      <c r="F509" s="227" t="s">
        <v>2695</v>
      </c>
      <c r="G509" s="227" t="s">
        <v>2490</v>
      </c>
      <c r="H509" s="253" t="s">
        <v>3172</v>
      </c>
      <c r="I509" s="253" t="s">
        <v>2722</v>
      </c>
      <c r="J509" s="227" t="s">
        <v>2723</v>
      </c>
      <c r="K509" s="262" t="s">
        <v>3102</v>
      </c>
      <c r="L509" s="262" t="s">
        <v>2767</v>
      </c>
      <c r="M509" s="259" t="s">
        <v>2778</v>
      </c>
      <c r="N509" s="295"/>
      <c r="O509" s="295" t="str">
        <f>TablaPOA[[#This Row],[Cod_Sub_acción_especifica]]&amp;"_"&amp;TablaPOA[[#This Row],[Tipo de agente]]</f>
        <v>K31.2.12.3_EVP combustibles de uso automotor</v>
      </c>
      <c r="P509" s="254" t="s">
        <v>2882</v>
      </c>
      <c r="Q509" s="292" t="str">
        <f>TablaPOA[[#This Row],[Cod_Sub_acción_especifica]]&amp;"_"&amp;TablaPOA[[#This Row],[Cod_Tipo_agente]]</f>
        <v>K31.2.12.3_TA6</v>
      </c>
      <c r="R509" s="254" t="s">
        <v>2883</v>
      </c>
      <c r="S509" s="255" t="s">
        <v>2892</v>
      </c>
      <c r="T509" s="271" t="s">
        <v>2893</v>
      </c>
    </row>
    <row r="510" spans="1:20" ht="25.5" x14ac:dyDescent="0.25">
      <c r="A510" s="219" t="s">
        <v>2314</v>
      </c>
      <c r="B510" s="227">
        <v>31</v>
      </c>
      <c r="C510" s="227" t="s">
        <v>2691</v>
      </c>
      <c r="D510" s="227" t="s">
        <v>2988</v>
      </c>
      <c r="E510" s="227" t="s">
        <v>3160</v>
      </c>
      <c r="F510" s="227" t="s">
        <v>2695</v>
      </c>
      <c r="G510" s="227" t="s">
        <v>2490</v>
      </c>
      <c r="H510" s="253" t="s">
        <v>3172</v>
      </c>
      <c r="I510" s="253" t="s">
        <v>2722</v>
      </c>
      <c r="J510" s="227" t="s">
        <v>2723</v>
      </c>
      <c r="K510" s="262" t="s">
        <v>3102</v>
      </c>
      <c r="L510" s="262" t="s">
        <v>2767</v>
      </c>
      <c r="M510" s="259" t="s">
        <v>2778</v>
      </c>
      <c r="N510" s="295"/>
      <c r="O510" s="295" t="str">
        <f>TablaPOA[[#This Row],[Cod_Sub_acción_especifica]]&amp;"_"&amp;TablaPOA[[#This Row],[Tipo de agente]]</f>
        <v>K31.2.12.3_EVP combustibles de uso automotor</v>
      </c>
      <c r="P510" s="254" t="s">
        <v>2882</v>
      </c>
      <c r="Q510" s="292" t="str">
        <f>TablaPOA[[#This Row],[Cod_Sub_acción_especifica]]&amp;"_"&amp;TablaPOA[[#This Row],[Cod_Tipo_agente]]</f>
        <v>K31.2.12.3_TA6</v>
      </c>
      <c r="R510" s="254" t="s">
        <v>2883</v>
      </c>
      <c r="S510" s="255" t="s">
        <v>2894</v>
      </c>
      <c r="T510" s="271" t="s">
        <v>2895</v>
      </c>
    </row>
    <row r="511" spans="1:20" ht="25.5" x14ac:dyDescent="0.25">
      <c r="A511" s="219" t="s">
        <v>2314</v>
      </c>
      <c r="B511" s="227">
        <v>31</v>
      </c>
      <c r="C511" s="227" t="s">
        <v>2691</v>
      </c>
      <c r="D511" s="227" t="s">
        <v>2988</v>
      </c>
      <c r="E511" s="227" t="s">
        <v>3160</v>
      </c>
      <c r="F511" s="227" t="s">
        <v>2695</v>
      </c>
      <c r="G511" s="227" t="s">
        <v>2490</v>
      </c>
      <c r="H511" s="253" t="s">
        <v>3172</v>
      </c>
      <c r="I511" s="253" t="s">
        <v>2722</v>
      </c>
      <c r="J511" s="227" t="s">
        <v>2723</v>
      </c>
      <c r="K511" s="262" t="s">
        <v>3102</v>
      </c>
      <c r="L511" s="262" t="s">
        <v>2767</v>
      </c>
      <c r="M511" s="259" t="s">
        <v>2778</v>
      </c>
      <c r="N511" s="295"/>
      <c r="O511" s="295" t="str">
        <f>TablaPOA[[#This Row],[Cod_Sub_acción_especifica]]&amp;"_"&amp;TablaPOA[[#This Row],[Tipo de agente]]</f>
        <v>K31.2.12.3_EVP combustibles de uso automotor</v>
      </c>
      <c r="P511" s="254" t="s">
        <v>2882</v>
      </c>
      <c r="Q511" s="292" t="str">
        <f>TablaPOA[[#This Row],[Cod_Sub_acción_especifica]]&amp;"_"&amp;TablaPOA[[#This Row],[Cod_Tipo_agente]]</f>
        <v>K31.2.12.3_TA6</v>
      </c>
      <c r="R511" s="254" t="s">
        <v>2883</v>
      </c>
      <c r="S511" s="255" t="s">
        <v>2896</v>
      </c>
      <c r="T511" s="271" t="s">
        <v>2897</v>
      </c>
    </row>
    <row r="512" spans="1:20" ht="25.5" x14ac:dyDescent="0.25">
      <c r="A512" s="219" t="s">
        <v>2314</v>
      </c>
      <c r="B512" s="227">
        <v>31</v>
      </c>
      <c r="C512" s="227" t="s">
        <v>2691</v>
      </c>
      <c r="D512" s="227" t="s">
        <v>2988</v>
      </c>
      <c r="E512" s="227" t="s">
        <v>3160</v>
      </c>
      <c r="F512" s="227" t="s">
        <v>2695</v>
      </c>
      <c r="G512" s="227" t="s">
        <v>2490</v>
      </c>
      <c r="H512" s="253" t="s">
        <v>3172</v>
      </c>
      <c r="I512" s="253" t="s">
        <v>2722</v>
      </c>
      <c r="J512" s="227" t="s">
        <v>2723</v>
      </c>
      <c r="K512" s="262" t="s">
        <v>3102</v>
      </c>
      <c r="L512" s="262" t="s">
        <v>2767</v>
      </c>
      <c r="M512" s="259" t="s">
        <v>2778</v>
      </c>
      <c r="N512" s="295"/>
      <c r="O512" s="295" t="str">
        <f>TablaPOA[[#This Row],[Cod_Sub_acción_especifica]]&amp;"_"&amp;TablaPOA[[#This Row],[Tipo de agente]]</f>
        <v>K31.2.12.3_EVP combustibles de uso automotor</v>
      </c>
      <c r="P512" s="254" t="s">
        <v>2882</v>
      </c>
      <c r="Q512" s="292" t="str">
        <f>TablaPOA[[#This Row],[Cod_Sub_acción_especifica]]&amp;"_"&amp;TablaPOA[[#This Row],[Cod_Tipo_agente]]</f>
        <v>K31.2.12.3_TA6</v>
      </c>
      <c r="R512" s="254" t="s">
        <v>2883</v>
      </c>
      <c r="S512" s="255" t="s">
        <v>2898</v>
      </c>
      <c r="T512" s="271" t="s">
        <v>2899</v>
      </c>
    </row>
    <row r="513" spans="1:20" ht="25.5" x14ac:dyDescent="0.25">
      <c r="A513" s="219" t="s">
        <v>2314</v>
      </c>
      <c r="B513" s="227">
        <v>31</v>
      </c>
      <c r="C513" s="227" t="s">
        <v>2691</v>
      </c>
      <c r="D513" s="227" t="s">
        <v>2988</v>
      </c>
      <c r="E513" s="227" t="s">
        <v>3160</v>
      </c>
      <c r="F513" s="227" t="s">
        <v>2695</v>
      </c>
      <c r="G513" s="227" t="s">
        <v>2490</v>
      </c>
      <c r="H513" s="253" t="s">
        <v>3172</v>
      </c>
      <c r="I513" s="253" t="s">
        <v>2722</v>
      </c>
      <c r="J513" s="227" t="s">
        <v>2723</v>
      </c>
      <c r="K513" s="262" t="s">
        <v>3102</v>
      </c>
      <c r="L513" s="262" t="s">
        <v>2767</v>
      </c>
      <c r="M513" s="259" t="s">
        <v>2778</v>
      </c>
      <c r="N513" s="295"/>
      <c r="O513" s="295" t="str">
        <f>TablaPOA[[#This Row],[Cod_Sub_acción_especifica]]&amp;"_"&amp;TablaPOA[[#This Row],[Tipo de agente]]</f>
        <v>K31.2.12.3_EVP combustibles de uso automotor</v>
      </c>
      <c r="P513" s="254" t="s">
        <v>2882</v>
      </c>
      <c r="Q513" s="292" t="str">
        <f>TablaPOA[[#This Row],[Cod_Sub_acción_especifica]]&amp;"_"&amp;TablaPOA[[#This Row],[Cod_Tipo_agente]]</f>
        <v>K31.2.12.3_TA6</v>
      </c>
      <c r="R513" s="254" t="s">
        <v>2883</v>
      </c>
      <c r="S513" s="255" t="s">
        <v>2900</v>
      </c>
      <c r="T513" s="271" t="s">
        <v>2901</v>
      </c>
    </row>
    <row r="514" spans="1:20" ht="25.5" x14ac:dyDescent="0.25">
      <c r="A514" s="268" t="s">
        <v>2314</v>
      </c>
      <c r="B514" s="248">
        <v>31</v>
      </c>
      <c r="C514" s="248" t="s">
        <v>2691</v>
      </c>
      <c r="D514" s="248" t="s">
        <v>2988</v>
      </c>
      <c r="E514" s="248" t="s">
        <v>3160</v>
      </c>
      <c r="F514" s="248" t="s">
        <v>2695</v>
      </c>
      <c r="G514" s="248" t="s">
        <v>2490</v>
      </c>
      <c r="H514" s="249" t="s">
        <v>3173</v>
      </c>
      <c r="I514" s="249" t="s">
        <v>2724</v>
      </c>
      <c r="J514" s="248" t="s">
        <v>3011</v>
      </c>
      <c r="K514" s="249" t="s">
        <v>3103</v>
      </c>
      <c r="L514" s="249" t="s">
        <v>2724</v>
      </c>
      <c r="M514" s="248" t="s">
        <v>3012</v>
      </c>
      <c r="N514" s="299" t="s">
        <v>2919</v>
      </c>
      <c r="O514" s="292" t="str">
        <f>TablaPOA[[#This Row],[Cod_Sub_acción_especifica]]&amp;"_"&amp;TablaPOA[[#This Row],[Tipo de agente]]</f>
        <v>K31.2.13.1_Medios de transporte</v>
      </c>
      <c r="P514" s="250" t="s">
        <v>2918</v>
      </c>
      <c r="Q514" s="292" t="str">
        <f>TablaPOA[[#This Row],[Cod_Sub_acción_especifica]]&amp;"_"&amp;TablaPOA[[#This Row],[Cod_Tipo_agente]]</f>
        <v>K31.2.13.1_TA9</v>
      </c>
      <c r="R514" s="250" t="s">
        <v>2919</v>
      </c>
      <c r="S514" s="410" t="s">
        <v>2920</v>
      </c>
      <c r="T514" s="269" t="s">
        <v>2921</v>
      </c>
    </row>
    <row r="515" spans="1:20" ht="25.5" x14ac:dyDescent="0.25">
      <c r="A515" s="268" t="s">
        <v>2314</v>
      </c>
      <c r="B515" s="248">
        <v>31</v>
      </c>
      <c r="C515" s="248" t="s">
        <v>2691</v>
      </c>
      <c r="D515" s="248" t="s">
        <v>2988</v>
      </c>
      <c r="E515" s="248" t="s">
        <v>3160</v>
      </c>
      <c r="F515" s="248" t="s">
        <v>2695</v>
      </c>
      <c r="G515" s="248" t="s">
        <v>2490</v>
      </c>
      <c r="H515" s="249" t="s">
        <v>3173</v>
      </c>
      <c r="I515" s="249" t="s">
        <v>2724</v>
      </c>
      <c r="J515" s="248" t="s">
        <v>3011</v>
      </c>
      <c r="K515" s="249" t="s">
        <v>3103</v>
      </c>
      <c r="L515" s="249" t="s">
        <v>2724</v>
      </c>
      <c r="M515" s="248" t="s">
        <v>3012</v>
      </c>
      <c r="N515" s="293"/>
      <c r="O515" s="293" t="str">
        <f>TablaPOA[[#This Row],[Cod_Sub_acción_especifica]]&amp;"_"&amp;TablaPOA[[#This Row],[Tipo de agente]]</f>
        <v>K31.2.13.1_Medios de transporte</v>
      </c>
      <c r="P515" s="250" t="s">
        <v>2918</v>
      </c>
      <c r="Q515" s="292" t="str">
        <f>TablaPOA[[#This Row],[Cod_Sub_acción_especifica]]&amp;"_"&amp;TablaPOA[[#This Row],[Cod_Tipo_agente]]</f>
        <v>K31.2.13.1_TA9</v>
      </c>
      <c r="R515" s="250" t="s">
        <v>2919</v>
      </c>
      <c r="S515" s="410" t="s">
        <v>2922</v>
      </c>
      <c r="T515" s="269" t="s">
        <v>3328</v>
      </c>
    </row>
    <row r="516" spans="1:20" ht="25.5" x14ac:dyDescent="0.25">
      <c r="A516" s="268" t="s">
        <v>2314</v>
      </c>
      <c r="B516" s="248">
        <v>31</v>
      </c>
      <c r="C516" s="248" t="s">
        <v>2691</v>
      </c>
      <c r="D516" s="248" t="s">
        <v>2988</v>
      </c>
      <c r="E516" s="248" t="s">
        <v>3160</v>
      </c>
      <c r="F516" s="248" t="s">
        <v>2695</v>
      </c>
      <c r="G516" s="248" t="s">
        <v>2490</v>
      </c>
      <c r="H516" s="249" t="s">
        <v>3173</v>
      </c>
      <c r="I516" s="249" t="s">
        <v>2724</v>
      </c>
      <c r="J516" s="248" t="s">
        <v>3011</v>
      </c>
      <c r="K516" s="249" t="s">
        <v>3103</v>
      </c>
      <c r="L516" s="249" t="s">
        <v>2724</v>
      </c>
      <c r="M516" s="248" t="s">
        <v>3012</v>
      </c>
      <c r="N516" s="293"/>
      <c r="O516" s="293" t="str">
        <f>TablaPOA[[#This Row],[Cod_Sub_acción_especifica]]&amp;"_"&amp;TablaPOA[[#This Row],[Tipo de agente]]</f>
        <v>K31.2.13.1_Medios de transporte</v>
      </c>
      <c r="P516" s="250" t="s">
        <v>2918</v>
      </c>
      <c r="Q516" s="292" t="str">
        <f>TablaPOA[[#This Row],[Cod_Sub_acción_especifica]]&amp;"_"&amp;TablaPOA[[#This Row],[Cod_Tipo_agente]]</f>
        <v>K31.2.13.1_TA9</v>
      </c>
      <c r="R516" s="250" t="s">
        <v>2919</v>
      </c>
      <c r="S516" s="410" t="s">
        <v>2924</v>
      </c>
      <c r="T516" s="269" t="s">
        <v>2925</v>
      </c>
    </row>
    <row r="517" spans="1:20" ht="25.5" x14ac:dyDescent="0.25">
      <c r="A517" s="268" t="s">
        <v>2314</v>
      </c>
      <c r="B517" s="248">
        <v>31</v>
      </c>
      <c r="C517" s="248" t="s">
        <v>2691</v>
      </c>
      <c r="D517" s="248" t="s">
        <v>2988</v>
      </c>
      <c r="E517" s="248" t="s">
        <v>3160</v>
      </c>
      <c r="F517" s="248" t="s">
        <v>2695</v>
      </c>
      <c r="G517" s="248" t="s">
        <v>2490</v>
      </c>
      <c r="H517" s="249" t="s">
        <v>3173</v>
      </c>
      <c r="I517" s="249" t="s">
        <v>2724</v>
      </c>
      <c r="J517" s="248" t="s">
        <v>3011</v>
      </c>
      <c r="K517" s="249" t="s">
        <v>3103</v>
      </c>
      <c r="L517" s="249" t="s">
        <v>2724</v>
      </c>
      <c r="M517" s="248" t="s">
        <v>3012</v>
      </c>
      <c r="N517" s="293"/>
      <c r="O517" s="293" t="str">
        <f>TablaPOA[[#This Row],[Cod_Sub_acción_especifica]]&amp;"_"&amp;TablaPOA[[#This Row],[Tipo de agente]]</f>
        <v>K31.2.13.1_Medios de transporte</v>
      </c>
      <c r="P517" s="250" t="s">
        <v>2918</v>
      </c>
      <c r="Q517" s="292" t="str">
        <f>TablaPOA[[#This Row],[Cod_Sub_acción_especifica]]&amp;"_"&amp;TablaPOA[[#This Row],[Cod_Tipo_agente]]</f>
        <v>K31.2.13.1_TA9</v>
      </c>
      <c r="R517" s="250" t="s">
        <v>2919</v>
      </c>
      <c r="S517" s="410" t="s">
        <v>2926</v>
      </c>
      <c r="T517" s="269" t="s">
        <v>3329</v>
      </c>
    </row>
    <row r="518" spans="1:20" ht="25.5" x14ac:dyDescent="0.25">
      <c r="A518" s="268" t="s">
        <v>2314</v>
      </c>
      <c r="B518" s="248">
        <v>31</v>
      </c>
      <c r="C518" s="248" t="s">
        <v>2691</v>
      </c>
      <c r="D518" s="248" t="s">
        <v>2988</v>
      </c>
      <c r="E518" s="248" t="s">
        <v>3160</v>
      </c>
      <c r="F518" s="248" t="s">
        <v>2695</v>
      </c>
      <c r="G518" s="248" t="s">
        <v>2490</v>
      </c>
      <c r="H518" s="249" t="s">
        <v>3173</v>
      </c>
      <c r="I518" s="249" t="s">
        <v>2724</v>
      </c>
      <c r="J518" s="248" t="s">
        <v>3011</v>
      </c>
      <c r="K518" s="249" t="s">
        <v>3103</v>
      </c>
      <c r="L518" s="249" t="s">
        <v>2724</v>
      </c>
      <c r="M518" s="248" t="s">
        <v>3012</v>
      </c>
      <c r="N518" s="293"/>
      <c r="O518" s="293" t="str">
        <f>TablaPOA[[#This Row],[Cod_Sub_acción_especifica]]&amp;"_"&amp;TablaPOA[[#This Row],[Tipo de agente]]</f>
        <v>K31.2.13.1_Medios de transporte</v>
      </c>
      <c r="P518" s="250" t="s">
        <v>2918</v>
      </c>
      <c r="Q518" s="292" t="str">
        <f>TablaPOA[[#This Row],[Cod_Sub_acción_especifica]]&amp;"_"&amp;TablaPOA[[#This Row],[Cod_Tipo_agente]]</f>
        <v>K31.2.13.1_TA9</v>
      </c>
      <c r="R518" s="250" t="s">
        <v>2919</v>
      </c>
      <c r="S518" s="410" t="s">
        <v>2928</v>
      </c>
      <c r="T518" s="269" t="s">
        <v>3330</v>
      </c>
    </row>
    <row r="519" spans="1:20" ht="25.5" x14ac:dyDescent="0.25">
      <c r="A519" s="268" t="s">
        <v>2314</v>
      </c>
      <c r="B519" s="248">
        <v>31</v>
      </c>
      <c r="C519" s="248" t="s">
        <v>2691</v>
      </c>
      <c r="D519" s="248" t="s">
        <v>2988</v>
      </c>
      <c r="E519" s="248" t="s">
        <v>3160</v>
      </c>
      <c r="F519" s="248" t="s">
        <v>2695</v>
      </c>
      <c r="G519" s="248" t="s">
        <v>2490</v>
      </c>
      <c r="H519" s="249" t="s">
        <v>3173</v>
      </c>
      <c r="I519" s="249" t="s">
        <v>2724</v>
      </c>
      <c r="J519" s="248" t="s">
        <v>3011</v>
      </c>
      <c r="K519" s="249" t="s">
        <v>3103</v>
      </c>
      <c r="L519" s="249" t="s">
        <v>2724</v>
      </c>
      <c r="M519" s="248" t="s">
        <v>3012</v>
      </c>
      <c r="N519" s="293"/>
      <c r="O519" s="293" t="str">
        <f>TablaPOA[[#This Row],[Cod_Sub_acción_especifica]]&amp;"_"&amp;TablaPOA[[#This Row],[Tipo de agente]]</f>
        <v>K31.2.13.1_Medios de transporte</v>
      </c>
      <c r="P519" s="250" t="s">
        <v>2918</v>
      </c>
      <c r="Q519" s="292" t="str">
        <f>TablaPOA[[#This Row],[Cod_Sub_acción_especifica]]&amp;"_"&amp;TablaPOA[[#This Row],[Cod_Tipo_agente]]</f>
        <v>K31.2.13.1_TA9</v>
      </c>
      <c r="R519" s="250" t="s">
        <v>2919</v>
      </c>
      <c r="S519" s="410" t="s">
        <v>2930</v>
      </c>
      <c r="T519" s="269" t="s">
        <v>2931</v>
      </c>
    </row>
    <row r="520" spans="1:20" ht="25.5" x14ac:dyDescent="0.25">
      <c r="A520" s="268"/>
      <c r="B520" s="248"/>
      <c r="C520" s="248"/>
      <c r="D520" s="248"/>
      <c r="E520" s="248"/>
      <c r="F520" s="248" t="s">
        <v>2695</v>
      </c>
      <c r="G520" s="248" t="s">
        <v>2490</v>
      </c>
      <c r="H520" s="249" t="s">
        <v>3173</v>
      </c>
      <c r="I520" s="249" t="s">
        <v>2724</v>
      </c>
      <c r="J520" s="248" t="s">
        <v>3011</v>
      </c>
      <c r="K520" s="249" t="s">
        <v>3103</v>
      </c>
      <c r="L520" s="249" t="s">
        <v>2724</v>
      </c>
      <c r="M520" s="248" t="s">
        <v>3012</v>
      </c>
      <c r="N520" s="409"/>
      <c r="O520" s="293" t="str">
        <f>TablaPOA[[#This Row],[Cod_Sub_acción_especifica]]&amp;"_"&amp;TablaPOA[[#This Row],[Tipo de agente]]</f>
        <v>K31.2.13.1_Medios de transporte</v>
      </c>
      <c r="P520" s="250" t="s">
        <v>2918</v>
      </c>
      <c r="Q520" s="292" t="str">
        <f>TablaPOA[[#This Row],[Cod_Sub_acción_especifica]]&amp;"_"&amp;TablaPOA[[#This Row],[Cod_Tipo_agente]]</f>
        <v>K31.2.13.1_TA9</v>
      </c>
      <c r="R520" s="250" t="s">
        <v>2919</v>
      </c>
      <c r="S520" s="410" t="s">
        <v>2932</v>
      </c>
      <c r="T520" s="269" t="s">
        <v>2933</v>
      </c>
    </row>
    <row r="521" spans="1:20" ht="25.5" x14ac:dyDescent="0.25">
      <c r="A521" s="268"/>
      <c r="B521" s="248"/>
      <c r="C521" s="248"/>
      <c r="D521" s="248"/>
      <c r="E521" s="248"/>
      <c r="F521" s="248" t="s">
        <v>2695</v>
      </c>
      <c r="G521" s="248" t="s">
        <v>2490</v>
      </c>
      <c r="H521" s="249" t="s">
        <v>3173</v>
      </c>
      <c r="I521" s="249" t="s">
        <v>2724</v>
      </c>
      <c r="J521" s="248" t="s">
        <v>3011</v>
      </c>
      <c r="K521" s="249" t="s">
        <v>3103</v>
      </c>
      <c r="L521" s="249" t="s">
        <v>2724</v>
      </c>
      <c r="M521" s="248" t="s">
        <v>3012</v>
      </c>
      <c r="N521" s="409"/>
      <c r="O521" s="293" t="str">
        <f>TablaPOA[[#This Row],[Cod_Sub_acción_especifica]]&amp;"_"&amp;TablaPOA[[#This Row],[Tipo de agente]]</f>
        <v>K31.2.13.1_Medios de transporte</v>
      </c>
      <c r="P521" s="250" t="s">
        <v>2918</v>
      </c>
      <c r="Q521" s="292" t="str">
        <f>TablaPOA[[#This Row],[Cod_Sub_acción_especifica]]&amp;"_"&amp;TablaPOA[[#This Row],[Cod_Tipo_agente]]</f>
        <v>K31.2.13.1_TA9</v>
      </c>
      <c r="R521" s="250" t="s">
        <v>2919</v>
      </c>
      <c r="S521" s="410" t="s">
        <v>2934</v>
      </c>
      <c r="T521" s="269" t="s">
        <v>3331</v>
      </c>
    </row>
    <row r="522" spans="1:20" ht="25.5" x14ac:dyDescent="0.25">
      <c r="A522" s="268"/>
      <c r="B522" s="248"/>
      <c r="C522" s="248"/>
      <c r="D522" s="248"/>
      <c r="E522" s="248"/>
      <c r="F522" s="248" t="s">
        <v>2695</v>
      </c>
      <c r="G522" s="248" t="s">
        <v>2490</v>
      </c>
      <c r="H522" s="249" t="s">
        <v>3173</v>
      </c>
      <c r="I522" s="249" t="s">
        <v>2724</v>
      </c>
      <c r="J522" s="248" t="s">
        <v>3011</v>
      </c>
      <c r="K522" s="249" t="s">
        <v>3103</v>
      </c>
      <c r="L522" s="249" t="s">
        <v>2724</v>
      </c>
      <c r="M522" s="248" t="s">
        <v>3012</v>
      </c>
      <c r="N522" s="409"/>
      <c r="O522" s="293" t="str">
        <f>TablaPOA[[#This Row],[Cod_Sub_acción_especifica]]&amp;"_"&amp;TablaPOA[[#This Row],[Tipo de agente]]</f>
        <v>K31.2.13.1_Medios de transporte</v>
      </c>
      <c r="P522" s="250" t="s">
        <v>2918</v>
      </c>
      <c r="Q522" s="292" t="str">
        <f>TablaPOA[[#This Row],[Cod_Sub_acción_especifica]]&amp;"_"&amp;TablaPOA[[#This Row],[Cod_Tipo_agente]]</f>
        <v>K31.2.13.1_TA9</v>
      </c>
      <c r="R522" s="250" t="s">
        <v>2919</v>
      </c>
      <c r="S522" s="410" t="s">
        <v>2936</v>
      </c>
      <c r="T522" s="269" t="s">
        <v>3332</v>
      </c>
    </row>
    <row r="523" spans="1:20" ht="25.5" x14ac:dyDescent="0.25">
      <c r="A523" s="268"/>
      <c r="B523" s="248"/>
      <c r="C523" s="248"/>
      <c r="D523" s="248"/>
      <c r="E523" s="248"/>
      <c r="F523" s="248" t="s">
        <v>2695</v>
      </c>
      <c r="G523" s="248" t="s">
        <v>2490</v>
      </c>
      <c r="H523" s="249" t="s">
        <v>3173</v>
      </c>
      <c r="I523" s="249" t="s">
        <v>2724</v>
      </c>
      <c r="J523" s="248" t="s">
        <v>3011</v>
      </c>
      <c r="K523" s="249" t="s">
        <v>3103</v>
      </c>
      <c r="L523" s="249" t="s">
        <v>2724</v>
      </c>
      <c r="M523" s="248" t="s">
        <v>3012</v>
      </c>
      <c r="N523" s="409"/>
      <c r="O523" s="293" t="str">
        <f>TablaPOA[[#This Row],[Cod_Sub_acción_especifica]]&amp;"_"&amp;TablaPOA[[#This Row],[Tipo de agente]]</f>
        <v>K31.2.13.1_Medios de transporte</v>
      </c>
      <c r="P523" s="250" t="s">
        <v>2918</v>
      </c>
      <c r="Q523" s="292" t="str">
        <f>TablaPOA[[#This Row],[Cod_Sub_acción_especifica]]&amp;"_"&amp;TablaPOA[[#This Row],[Cod_Tipo_agente]]</f>
        <v>K31.2.13.1_TA9</v>
      </c>
      <c r="R523" s="250" t="s">
        <v>2919</v>
      </c>
      <c r="S523" s="410" t="s">
        <v>2938</v>
      </c>
      <c r="T523" s="269" t="s">
        <v>2939</v>
      </c>
    </row>
    <row r="524" spans="1:20" ht="25.5" x14ac:dyDescent="0.25">
      <c r="A524" s="268"/>
      <c r="B524" s="248"/>
      <c r="C524" s="248"/>
      <c r="D524" s="248"/>
      <c r="E524" s="248"/>
      <c r="F524" s="248" t="s">
        <v>2695</v>
      </c>
      <c r="G524" s="248" t="s">
        <v>2490</v>
      </c>
      <c r="H524" s="249" t="s">
        <v>3173</v>
      </c>
      <c r="I524" s="249" t="s">
        <v>2724</v>
      </c>
      <c r="J524" s="248" t="s">
        <v>3011</v>
      </c>
      <c r="K524" s="249" t="s">
        <v>3103</v>
      </c>
      <c r="L524" s="249" t="s">
        <v>2724</v>
      </c>
      <c r="M524" s="248" t="s">
        <v>3012</v>
      </c>
      <c r="N524" s="409"/>
      <c r="O524" s="293" t="str">
        <f>TablaPOA[[#This Row],[Cod_Sub_acción_especifica]]&amp;"_"&amp;TablaPOA[[#This Row],[Tipo de agente]]</f>
        <v>K31.2.13.1_Medios de transporte</v>
      </c>
      <c r="P524" s="250" t="s">
        <v>2918</v>
      </c>
      <c r="Q524" s="292" t="str">
        <f>TablaPOA[[#This Row],[Cod_Sub_acción_especifica]]&amp;"_"&amp;TablaPOA[[#This Row],[Cod_Tipo_agente]]</f>
        <v>K31.2.13.1_TA9</v>
      </c>
      <c r="R524" s="250" t="s">
        <v>2919</v>
      </c>
      <c r="S524" s="410" t="s">
        <v>2940</v>
      </c>
      <c r="T524" s="269" t="s">
        <v>2941</v>
      </c>
    </row>
    <row r="525" spans="1:20" ht="25.5" x14ac:dyDescent="0.25">
      <c r="A525" s="268"/>
      <c r="B525" s="248"/>
      <c r="C525" s="248"/>
      <c r="D525" s="248"/>
      <c r="E525" s="248"/>
      <c r="F525" s="248" t="s">
        <v>2695</v>
      </c>
      <c r="G525" s="248" t="s">
        <v>2490</v>
      </c>
      <c r="H525" s="249" t="s">
        <v>3173</v>
      </c>
      <c r="I525" s="249" t="s">
        <v>2724</v>
      </c>
      <c r="J525" s="248" t="s">
        <v>3011</v>
      </c>
      <c r="K525" s="249" t="s">
        <v>3103</v>
      </c>
      <c r="L525" s="249" t="s">
        <v>2724</v>
      </c>
      <c r="M525" s="248" t="s">
        <v>3012</v>
      </c>
      <c r="N525" s="409"/>
      <c r="O525" s="293" t="str">
        <f>TablaPOA[[#This Row],[Cod_Sub_acción_especifica]]&amp;"_"&amp;TablaPOA[[#This Row],[Tipo de agente]]</f>
        <v>K31.2.13.1_Medios de transporte</v>
      </c>
      <c r="P525" s="250" t="s">
        <v>2918</v>
      </c>
      <c r="Q525" s="292" t="str">
        <f>TablaPOA[[#This Row],[Cod_Sub_acción_especifica]]&amp;"_"&amp;TablaPOA[[#This Row],[Cod_Tipo_agente]]</f>
        <v>K31.2.13.1_TA9</v>
      </c>
      <c r="R525" s="250" t="s">
        <v>2919</v>
      </c>
      <c r="S525" s="410" t="s">
        <v>2942</v>
      </c>
      <c r="T525" s="269" t="s">
        <v>2943</v>
      </c>
    </row>
    <row r="526" spans="1:20" ht="25.5" x14ac:dyDescent="0.25">
      <c r="A526" s="268"/>
      <c r="B526" s="248"/>
      <c r="C526" s="248"/>
      <c r="D526" s="248"/>
      <c r="E526" s="248"/>
      <c r="F526" s="248" t="s">
        <v>2695</v>
      </c>
      <c r="G526" s="248" t="s">
        <v>2490</v>
      </c>
      <c r="H526" s="249" t="s">
        <v>3173</v>
      </c>
      <c r="I526" s="249" t="s">
        <v>2724</v>
      </c>
      <c r="J526" s="248" t="s">
        <v>3011</v>
      </c>
      <c r="K526" s="249" t="s">
        <v>3103</v>
      </c>
      <c r="L526" s="249" t="s">
        <v>2724</v>
      </c>
      <c r="M526" s="248" t="s">
        <v>3012</v>
      </c>
      <c r="N526" s="409"/>
      <c r="O526" s="293" t="str">
        <f>TablaPOA[[#This Row],[Cod_Sub_acción_especifica]]&amp;"_"&amp;TablaPOA[[#This Row],[Tipo de agente]]</f>
        <v>K31.2.13.1_Medios de transporte</v>
      </c>
      <c r="P526" s="250" t="s">
        <v>2918</v>
      </c>
      <c r="Q526" s="292" t="str">
        <f>TablaPOA[[#This Row],[Cod_Sub_acción_especifica]]&amp;"_"&amp;TablaPOA[[#This Row],[Cod_Tipo_agente]]</f>
        <v>K31.2.13.1_TA9</v>
      </c>
      <c r="R526" s="250" t="s">
        <v>2919</v>
      </c>
      <c r="S526" s="410" t="s">
        <v>2944</v>
      </c>
      <c r="T526" s="269" t="s">
        <v>2945</v>
      </c>
    </row>
    <row r="527" spans="1:20" ht="25.5" x14ac:dyDescent="0.25">
      <c r="A527" s="268"/>
      <c r="B527" s="248"/>
      <c r="C527" s="248"/>
      <c r="D527" s="248"/>
      <c r="E527" s="248"/>
      <c r="F527" s="248" t="s">
        <v>2695</v>
      </c>
      <c r="G527" s="248" t="s">
        <v>2490</v>
      </c>
      <c r="H527" s="249" t="s">
        <v>3173</v>
      </c>
      <c r="I527" s="249" t="s">
        <v>2724</v>
      </c>
      <c r="J527" s="248" t="s">
        <v>3011</v>
      </c>
      <c r="K527" s="249" t="s">
        <v>3103</v>
      </c>
      <c r="L527" s="249" t="s">
        <v>2724</v>
      </c>
      <c r="M527" s="248" t="s">
        <v>3012</v>
      </c>
      <c r="N527" s="409"/>
      <c r="O527" s="293" t="str">
        <f>TablaPOA[[#This Row],[Cod_Sub_acción_especifica]]&amp;"_"&amp;TablaPOA[[#This Row],[Tipo de agente]]</f>
        <v>K31.2.13.1_Medios de transporte</v>
      </c>
      <c r="P527" s="250" t="s">
        <v>2918</v>
      </c>
      <c r="Q527" s="292" t="str">
        <f>TablaPOA[[#This Row],[Cod_Sub_acción_especifica]]&amp;"_"&amp;TablaPOA[[#This Row],[Cod_Tipo_agente]]</f>
        <v>K31.2.13.1_TA9</v>
      </c>
      <c r="R527" s="250" t="s">
        <v>2919</v>
      </c>
      <c r="S527" s="410" t="s">
        <v>2946</v>
      </c>
      <c r="T527" s="269" t="s">
        <v>2947</v>
      </c>
    </row>
    <row r="528" spans="1:20" ht="25.5" x14ac:dyDescent="0.25">
      <c r="A528" s="268"/>
      <c r="B528" s="248"/>
      <c r="C528" s="248"/>
      <c r="D528" s="248"/>
      <c r="E528" s="248"/>
      <c r="F528" s="248" t="s">
        <v>2695</v>
      </c>
      <c r="G528" s="248" t="s">
        <v>2490</v>
      </c>
      <c r="H528" s="249" t="s">
        <v>3173</v>
      </c>
      <c r="I528" s="249" t="s">
        <v>2724</v>
      </c>
      <c r="J528" s="248" t="s">
        <v>3011</v>
      </c>
      <c r="K528" s="249" t="s">
        <v>3103</v>
      </c>
      <c r="L528" s="249" t="s">
        <v>2724</v>
      </c>
      <c r="M528" s="248" t="s">
        <v>3012</v>
      </c>
      <c r="N528" s="409"/>
      <c r="O528" s="293" t="str">
        <f>TablaPOA[[#This Row],[Cod_Sub_acción_especifica]]&amp;"_"&amp;TablaPOA[[#This Row],[Tipo de agente]]</f>
        <v>K31.2.13.1_Medios de transporte</v>
      </c>
      <c r="P528" s="250" t="s">
        <v>2918</v>
      </c>
      <c r="Q528" s="292" t="str">
        <f>TablaPOA[[#This Row],[Cod_Sub_acción_especifica]]&amp;"_"&amp;TablaPOA[[#This Row],[Cod_Tipo_agente]]</f>
        <v>K31.2.13.1_TA9</v>
      </c>
      <c r="R528" s="250" t="s">
        <v>2919</v>
      </c>
      <c r="S528" s="410" t="s">
        <v>2948</v>
      </c>
      <c r="T528" s="269" t="s">
        <v>2949</v>
      </c>
    </row>
    <row r="529" spans="1:20" ht="25.5" x14ac:dyDescent="0.25">
      <c r="A529" s="219" t="s">
        <v>2314</v>
      </c>
      <c r="B529" s="227">
        <v>31</v>
      </c>
      <c r="C529" s="227" t="s">
        <v>2691</v>
      </c>
      <c r="D529" s="227" t="s">
        <v>2988</v>
      </c>
      <c r="E529" s="227" t="s">
        <v>3160</v>
      </c>
      <c r="F529" s="227" t="s">
        <v>2695</v>
      </c>
      <c r="G529" s="227" t="s">
        <v>2490</v>
      </c>
      <c r="H529" s="253" t="s">
        <v>3173</v>
      </c>
      <c r="I529" s="253" t="s">
        <v>2724</v>
      </c>
      <c r="J529" s="227" t="s">
        <v>3011</v>
      </c>
      <c r="K529" s="262" t="s">
        <v>3104</v>
      </c>
      <c r="L529" s="262" t="s">
        <v>2767</v>
      </c>
      <c r="M529" s="259" t="s">
        <v>3013</v>
      </c>
      <c r="N529" s="299" t="s">
        <v>2919</v>
      </c>
      <c r="O529" s="292" t="str">
        <f>TablaPOA[[#This Row],[Cod_Sub_acción_especifica]]&amp;"_"&amp;TablaPOA[[#This Row],[Tipo de agente]]</f>
        <v>K31.2.13.2_Medios de transporte</v>
      </c>
      <c r="P529" s="254" t="s">
        <v>2918</v>
      </c>
      <c r="Q529" s="292" t="str">
        <f>TablaPOA[[#This Row],[Cod_Sub_acción_especifica]]&amp;"_"&amp;TablaPOA[[#This Row],[Cod_Tipo_agente]]</f>
        <v>K31.2.13.2_TA9</v>
      </c>
      <c r="R529" s="254" t="s">
        <v>2919</v>
      </c>
      <c r="S529" s="255" t="s">
        <v>2922</v>
      </c>
      <c r="T529" s="271" t="s">
        <v>2923</v>
      </c>
    </row>
    <row r="530" spans="1:20" ht="25.5" x14ac:dyDescent="0.25">
      <c r="A530" s="219" t="s">
        <v>2314</v>
      </c>
      <c r="B530" s="227">
        <v>31</v>
      </c>
      <c r="C530" s="227" t="s">
        <v>2691</v>
      </c>
      <c r="D530" s="227" t="s">
        <v>2988</v>
      </c>
      <c r="E530" s="227" t="s">
        <v>3160</v>
      </c>
      <c r="F530" s="227" t="s">
        <v>2695</v>
      </c>
      <c r="G530" s="227" t="s">
        <v>2490</v>
      </c>
      <c r="H530" s="253" t="s">
        <v>3173</v>
      </c>
      <c r="I530" s="253" t="s">
        <v>2724</v>
      </c>
      <c r="J530" s="227" t="s">
        <v>3011</v>
      </c>
      <c r="K530" s="262" t="s">
        <v>3104</v>
      </c>
      <c r="L530" s="262" t="s">
        <v>2767</v>
      </c>
      <c r="M530" s="259" t="s">
        <v>3013</v>
      </c>
      <c r="N530" s="295"/>
      <c r="O530" s="295" t="str">
        <f>TablaPOA[[#This Row],[Cod_Sub_acción_especifica]]&amp;"_"&amp;TablaPOA[[#This Row],[Tipo de agente]]</f>
        <v>K31.2.13.2_Medios de transporte</v>
      </c>
      <c r="P530" s="254" t="s">
        <v>2918</v>
      </c>
      <c r="Q530" s="292" t="str">
        <f>TablaPOA[[#This Row],[Cod_Sub_acción_especifica]]&amp;"_"&amp;TablaPOA[[#This Row],[Cod_Tipo_agente]]</f>
        <v>K31.2.13.2_TA9</v>
      </c>
      <c r="R530" s="254" t="s">
        <v>2919</v>
      </c>
      <c r="S530" s="255" t="s">
        <v>2924</v>
      </c>
      <c r="T530" s="271" t="s">
        <v>2925</v>
      </c>
    </row>
    <row r="531" spans="1:20" ht="25.5" x14ac:dyDescent="0.25">
      <c r="A531" s="219" t="s">
        <v>2314</v>
      </c>
      <c r="B531" s="227">
        <v>31</v>
      </c>
      <c r="C531" s="227" t="s">
        <v>2691</v>
      </c>
      <c r="D531" s="227" t="s">
        <v>2988</v>
      </c>
      <c r="E531" s="227" t="s">
        <v>3160</v>
      </c>
      <c r="F531" s="227" t="s">
        <v>2695</v>
      </c>
      <c r="G531" s="227" t="s">
        <v>2490</v>
      </c>
      <c r="H531" s="253" t="s">
        <v>3173</v>
      </c>
      <c r="I531" s="253" t="s">
        <v>2724</v>
      </c>
      <c r="J531" s="227" t="s">
        <v>3011</v>
      </c>
      <c r="K531" s="262" t="s">
        <v>3104</v>
      </c>
      <c r="L531" s="262" t="s">
        <v>2767</v>
      </c>
      <c r="M531" s="259" t="s">
        <v>3013</v>
      </c>
      <c r="N531" s="295"/>
      <c r="O531" s="295" t="str">
        <f>TablaPOA[[#This Row],[Cod_Sub_acción_especifica]]&amp;"_"&amp;TablaPOA[[#This Row],[Tipo de agente]]</f>
        <v>K31.2.13.2_Medios de transporte</v>
      </c>
      <c r="P531" s="254" t="s">
        <v>2918</v>
      </c>
      <c r="Q531" s="292" t="str">
        <f>TablaPOA[[#This Row],[Cod_Sub_acción_especifica]]&amp;"_"&amp;TablaPOA[[#This Row],[Cod_Tipo_agente]]</f>
        <v>K31.2.13.2_TA9</v>
      </c>
      <c r="R531" s="254" t="s">
        <v>2919</v>
      </c>
      <c r="S531" s="255" t="s">
        <v>2926</v>
      </c>
      <c r="T531" s="271" t="s">
        <v>2927</v>
      </c>
    </row>
    <row r="532" spans="1:20" ht="25.5" x14ac:dyDescent="0.25">
      <c r="A532" s="219" t="s">
        <v>2314</v>
      </c>
      <c r="B532" s="227">
        <v>31</v>
      </c>
      <c r="C532" s="227" t="s">
        <v>2691</v>
      </c>
      <c r="D532" s="227" t="s">
        <v>2988</v>
      </c>
      <c r="E532" s="227" t="s">
        <v>3160</v>
      </c>
      <c r="F532" s="227" t="s">
        <v>2695</v>
      </c>
      <c r="G532" s="227" t="s">
        <v>2490</v>
      </c>
      <c r="H532" s="253" t="s">
        <v>3173</v>
      </c>
      <c r="I532" s="253" t="s">
        <v>2724</v>
      </c>
      <c r="J532" s="227" t="s">
        <v>3011</v>
      </c>
      <c r="K532" s="262" t="s">
        <v>3104</v>
      </c>
      <c r="L532" s="262" t="s">
        <v>2767</v>
      </c>
      <c r="M532" s="259" t="s">
        <v>3013</v>
      </c>
      <c r="N532" s="295"/>
      <c r="O532" s="295" t="str">
        <f>TablaPOA[[#This Row],[Cod_Sub_acción_especifica]]&amp;"_"&amp;TablaPOA[[#This Row],[Tipo de agente]]</f>
        <v>K31.2.13.2_Medios de transporte</v>
      </c>
      <c r="P532" s="254" t="s">
        <v>2918</v>
      </c>
      <c r="Q532" s="292" t="str">
        <f>TablaPOA[[#This Row],[Cod_Sub_acción_especifica]]&amp;"_"&amp;TablaPOA[[#This Row],[Cod_Tipo_agente]]</f>
        <v>K31.2.13.2_TA9</v>
      </c>
      <c r="R532" s="254" t="s">
        <v>2919</v>
      </c>
      <c r="S532" s="255" t="s">
        <v>2940</v>
      </c>
      <c r="T532" s="271" t="s">
        <v>2941</v>
      </c>
    </row>
    <row r="533" spans="1:20" ht="25.5" x14ac:dyDescent="0.25">
      <c r="A533" s="219" t="s">
        <v>2314</v>
      </c>
      <c r="B533" s="227">
        <v>31</v>
      </c>
      <c r="C533" s="227" t="s">
        <v>2691</v>
      </c>
      <c r="D533" s="227" t="s">
        <v>2988</v>
      </c>
      <c r="E533" s="227" t="s">
        <v>3160</v>
      </c>
      <c r="F533" s="227" t="s">
        <v>2695</v>
      </c>
      <c r="G533" s="227" t="s">
        <v>2490</v>
      </c>
      <c r="H533" s="253" t="s">
        <v>3173</v>
      </c>
      <c r="I533" s="253" t="s">
        <v>2724</v>
      </c>
      <c r="J533" s="227" t="s">
        <v>3011</v>
      </c>
      <c r="K533" s="262" t="s">
        <v>3104</v>
      </c>
      <c r="L533" s="262" t="s">
        <v>2767</v>
      </c>
      <c r="M533" s="259" t="s">
        <v>3013</v>
      </c>
      <c r="N533" s="295"/>
      <c r="O533" s="295" t="str">
        <f>TablaPOA[[#This Row],[Cod_Sub_acción_especifica]]&amp;"_"&amp;TablaPOA[[#This Row],[Tipo de agente]]</f>
        <v>K31.2.13.2_Medios de transporte</v>
      </c>
      <c r="P533" s="254" t="s">
        <v>2918</v>
      </c>
      <c r="Q533" s="292" t="str">
        <f>TablaPOA[[#This Row],[Cod_Sub_acción_especifica]]&amp;"_"&amp;TablaPOA[[#This Row],[Cod_Tipo_agente]]</f>
        <v>K31.2.13.2_TA9</v>
      </c>
      <c r="R533" s="254" t="s">
        <v>2919</v>
      </c>
      <c r="S533" s="255" t="s">
        <v>2942</v>
      </c>
      <c r="T533" s="271" t="s">
        <v>2943</v>
      </c>
    </row>
    <row r="534" spans="1:20" ht="25.5" x14ac:dyDescent="0.25">
      <c r="A534" s="219" t="s">
        <v>2314</v>
      </c>
      <c r="B534" s="227">
        <v>31</v>
      </c>
      <c r="C534" s="227" t="s">
        <v>2691</v>
      </c>
      <c r="D534" s="227" t="s">
        <v>2988</v>
      </c>
      <c r="E534" s="227" t="s">
        <v>3160</v>
      </c>
      <c r="F534" s="227" t="s">
        <v>2695</v>
      </c>
      <c r="G534" s="227" t="s">
        <v>2490</v>
      </c>
      <c r="H534" s="253" t="s">
        <v>3173</v>
      </c>
      <c r="I534" s="253" t="s">
        <v>2724</v>
      </c>
      <c r="J534" s="227" t="s">
        <v>3011</v>
      </c>
      <c r="K534" s="262" t="s">
        <v>3104</v>
      </c>
      <c r="L534" s="262" t="s">
        <v>2767</v>
      </c>
      <c r="M534" s="259" t="s">
        <v>3013</v>
      </c>
      <c r="N534" s="295"/>
      <c r="O534" s="295" t="str">
        <f>TablaPOA[[#This Row],[Cod_Sub_acción_especifica]]&amp;"_"&amp;TablaPOA[[#This Row],[Tipo de agente]]</f>
        <v>K31.2.13.2_Medios de transporte</v>
      </c>
      <c r="P534" s="254" t="s">
        <v>2918</v>
      </c>
      <c r="Q534" s="292" t="str">
        <f>TablaPOA[[#This Row],[Cod_Sub_acción_especifica]]&amp;"_"&amp;TablaPOA[[#This Row],[Cod_Tipo_agente]]</f>
        <v>K31.2.13.2_TA9</v>
      </c>
      <c r="R534" s="254" t="s">
        <v>2919</v>
      </c>
      <c r="S534" s="255" t="s">
        <v>2948</v>
      </c>
      <c r="T534" s="271" t="s">
        <v>2949</v>
      </c>
    </row>
    <row r="535" spans="1:20" ht="25.5" x14ac:dyDescent="0.25">
      <c r="A535" s="268" t="s">
        <v>2314</v>
      </c>
      <c r="B535" s="248">
        <v>31</v>
      </c>
      <c r="C535" s="248" t="s">
        <v>2691</v>
      </c>
      <c r="D535" s="248" t="s">
        <v>2988</v>
      </c>
      <c r="E535" s="248" t="s">
        <v>3160</v>
      </c>
      <c r="F535" s="248" t="s">
        <v>2695</v>
      </c>
      <c r="G535" s="248" t="s">
        <v>2490</v>
      </c>
      <c r="H535" s="249" t="s">
        <v>3174</v>
      </c>
      <c r="I535" s="249" t="s">
        <v>2725</v>
      </c>
      <c r="J535" s="258" t="s">
        <v>2726</v>
      </c>
      <c r="K535" s="249" t="s">
        <v>3105</v>
      </c>
      <c r="L535" s="249" t="s">
        <v>2725</v>
      </c>
      <c r="M535" s="248" t="s">
        <v>3014</v>
      </c>
      <c r="N535" s="299" t="s">
        <v>2919</v>
      </c>
      <c r="O535" s="292" t="str">
        <f>TablaPOA[[#This Row],[Cod_Sub_acción_especifica]]&amp;"_"&amp;TablaPOA[[#This Row],[Tipo de agente]]</f>
        <v>K31.2.14.1_Medios de transporte</v>
      </c>
      <c r="P535" s="250" t="s">
        <v>2918</v>
      </c>
      <c r="Q535" s="292" t="str">
        <f>TablaPOA[[#This Row],[Cod_Sub_acción_especifica]]&amp;"_"&amp;TablaPOA[[#This Row],[Cod_Tipo_agente]]</f>
        <v>K31.2.14.1_TA9</v>
      </c>
      <c r="R535" s="250" t="s">
        <v>2919</v>
      </c>
      <c r="S535" s="251" t="s">
        <v>2930</v>
      </c>
      <c r="T535" s="269" t="s">
        <v>2931</v>
      </c>
    </row>
    <row r="536" spans="1:20" ht="25.5" x14ac:dyDescent="0.25">
      <c r="A536" s="268" t="s">
        <v>2314</v>
      </c>
      <c r="B536" s="248">
        <v>31</v>
      </c>
      <c r="C536" s="248" t="s">
        <v>2691</v>
      </c>
      <c r="D536" s="248" t="s">
        <v>2988</v>
      </c>
      <c r="E536" s="248" t="s">
        <v>3160</v>
      </c>
      <c r="F536" s="248" t="s">
        <v>2695</v>
      </c>
      <c r="G536" s="248" t="s">
        <v>2490</v>
      </c>
      <c r="H536" s="249" t="s">
        <v>3174</v>
      </c>
      <c r="I536" s="249" t="s">
        <v>2725</v>
      </c>
      <c r="J536" s="258" t="s">
        <v>2726</v>
      </c>
      <c r="K536" s="249" t="s">
        <v>3105</v>
      </c>
      <c r="L536" s="249" t="s">
        <v>2725</v>
      </c>
      <c r="M536" s="248" t="s">
        <v>3014</v>
      </c>
      <c r="N536" s="293"/>
      <c r="O536" s="293" t="str">
        <f>TablaPOA[[#This Row],[Cod_Sub_acción_especifica]]&amp;"_"&amp;TablaPOA[[#This Row],[Tipo de agente]]</f>
        <v>K31.2.14.1_Medios de transporte</v>
      </c>
      <c r="P536" s="250" t="s">
        <v>2918</v>
      </c>
      <c r="Q536" s="292" t="str">
        <f>TablaPOA[[#This Row],[Cod_Sub_acción_especifica]]&amp;"_"&amp;TablaPOA[[#This Row],[Cod_Tipo_agente]]</f>
        <v>K31.2.14.1_TA9</v>
      </c>
      <c r="R536" s="250" t="s">
        <v>2919</v>
      </c>
      <c r="S536" s="251" t="s">
        <v>2932</v>
      </c>
      <c r="T536" s="269" t="s">
        <v>2933</v>
      </c>
    </row>
    <row r="537" spans="1:20" ht="25.5" x14ac:dyDescent="0.25">
      <c r="A537" s="219" t="s">
        <v>2314</v>
      </c>
      <c r="B537" s="227">
        <v>31</v>
      </c>
      <c r="C537" s="227" t="s">
        <v>2691</v>
      </c>
      <c r="D537" s="227" t="s">
        <v>2988</v>
      </c>
      <c r="E537" s="227" t="s">
        <v>3160</v>
      </c>
      <c r="F537" s="227" t="s">
        <v>2695</v>
      </c>
      <c r="G537" s="227" t="s">
        <v>2490</v>
      </c>
      <c r="H537" s="253" t="s">
        <v>3174</v>
      </c>
      <c r="I537" s="253" t="s">
        <v>2725</v>
      </c>
      <c r="J537" s="259" t="s">
        <v>2726</v>
      </c>
      <c r="K537" s="262" t="s">
        <v>3106</v>
      </c>
      <c r="L537" s="262" t="s">
        <v>2767</v>
      </c>
      <c r="M537" s="259" t="s">
        <v>3015</v>
      </c>
      <c r="N537" s="299" t="s">
        <v>2919</v>
      </c>
      <c r="O537" s="292" t="str">
        <f>TablaPOA[[#This Row],[Cod_Sub_acción_especifica]]&amp;"_"&amp;TablaPOA[[#This Row],[Tipo de agente]]</f>
        <v>K31.2.14.2_Medios de transporte</v>
      </c>
      <c r="P537" s="254" t="s">
        <v>2918</v>
      </c>
      <c r="Q537" s="292" t="str">
        <f>TablaPOA[[#This Row],[Cod_Sub_acción_especifica]]&amp;"_"&amp;TablaPOA[[#This Row],[Cod_Tipo_agente]]</f>
        <v>K31.2.14.2_TA9</v>
      </c>
      <c r="R537" s="254" t="s">
        <v>2919</v>
      </c>
      <c r="S537" s="255" t="s">
        <v>2930</v>
      </c>
      <c r="T537" s="271" t="s">
        <v>2931</v>
      </c>
    </row>
    <row r="538" spans="1:20" ht="25.5" x14ac:dyDescent="0.25">
      <c r="A538" s="219" t="s">
        <v>2314</v>
      </c>
      <c r="B538" s="227">
        <v>31</v>
      </c>
      <c r="C538" s="227" t="s">
        <v>2691</v>
      </c>
      <c r="D538" s="227" t="s">
        <v>2988</v>
      </c>
      <c r="E538" s="227" t="s">
        <v>3160</v>
      </c>
      <c r="F538" s="227" t="s">
        <v>2695</v>
      </c>
      <c r="G538" s="227" t="s">
        <v>2490</v>
      </c>
      <c r="H538" s="253" t="s">
        <v>3174</v>
      </c>
      <c r="I538" s="253" t="s">
        <v>2725</v>
      </c>
      <c r="J538" s="259" t="s">
        <v>2726</v>
      </c>
      <c r="K538" s="262" t="s">
        <v>3106</v>
      </c>
      <c r="L538" s="262" t="s">
        <v>2767</v>
      </c>
      <c r="M538" s="259" t="s">
        <v>3015</v>
      </c>
      <c r="N538" s="295"/>
      <c r="O538" s="295" t="str">
        <f>TablaPOA[[#This Row],[Cod_Sub_acción_especifica]]&amp;"_"&amp;TablaPOA[[#This Row],[Tipo de agente]]</f>
        <v>K31.2.14.2_Medios de transporte</v>
      </c>
      <c r="P538" s="254" t="s">
        <v>2918</v>
      </c>
      <c r="Q538" s="292" t="str">
        <f>TablaPOA[[#This Row],[Cod_Sub_acción_especifica]]&amp;"_"&amp;TablaPOA[[#This Row],[Cod_Tipo_agente]]</f>
        <v>K31.2.14.2_TA9</v>
      </c>
      <c r="R538" s="254" t="s">
        <v>2919</v>
      </c>
      <c r="S538" s="255" t="s">
        <v>2932</v>
      </c>
      <c r="T538" s="271" t="s">
        <v>2933</v>
      </c>
    </row>
    <row r="539" spans="1:20" ht="25.5" x14ac:dyDescent="0.25">
      <c r="A539" s="268" t="s">
        <v>2314</v>
      </c>
      <c r="B539" s="248">
        <v>31</v>
      </c>
      <c r="C539" s="248" t="s">
        <v>2691</v>
      </c>
      <c r="D539" s="248" t="s">
        <v>2988</v>
      </c>
      <c r="E539" s="248" t="s">
        <v>3160</v>
      </c>
      <c r="F539" s="248" t="s">
        <v>2695</v>
      </c>
      <c r="G539" s="248" t="s">
        <v>2490</v>
      </c>
      <c r="H539" s="249" t="s">
        <v>3175</v>
      </c>
      <c r="I539" s="249" t="s">
        <v>2727</v>
      </c>
      <c r="J539" s="258" t="s">
        <v>2728</v>
      </c>
      <c r="K539" s="249" t="s">
        <v>3107</v>
      </c>
      <c r="L539" s="249" t="s">
        <v>2727</v>
      </c>
      <c r="M539" s="248" t="s">
        <v>3016</v>
      </c>
      <c r="N539" s="299" t="s">
        <v>2919</v>
      </c>
      <c r="O539" s="292" t="str">
        <f>TablaPOA[[#This Row],[Cod_Sub_acción_especifica]]&amp;"_"&amp;TablaPOA[[#This Row],[Tipo de agente]]</f>
        <v>K31.2.15.1_Medios de transporte</v>
      </c>
      <c r="P539" s="250" t="s">
        <v>2918</v>
      </c>
      <c r="Q539" s="292" t="str">
        <f>TablaPOA[[#This Row],[Cod_Sub_acción_especifica]]&amp;"_"&amp;TablaPOA[[#This Row],[Cod_Tipo_agente]]</f>
        <v>K31.2.15.1_TA9</v>
      </c>
      <c r="R539" s="250" t="s">
        <v>2919</v>
      </c>
      <c r="S539" s="251" t="s">
        <v>2920</v>
      </c>
      <c r="T539" s="269" t="s">
        <v>2921</v>
      </c>
    </row>
    <row r="540" spans="1:20" ht="25.5" x14ac:dyDescent="0.25">
      <c r="A540" s="268" t="s">
        <v>2314</v>
      </c>
      <c r="B540" s="248">
        <v>31</v>
      </c>
      <c r="C540" s="248" t="s">
        <v>2691</v>
      </c>
      <c r="D540" s="248" t="s">
        <v>2988</v>
      </c>
      <c r="E540" s="248" t="s">
        <v>3160</v>
      </c>
      <c r="F540" s="248" t="s">
        <v>2695</v>
      </c>
      <c r="G540" s="248" t="s">
        <v>2490</v>
      </c>
      <c r="H540" s="249" t="s">
        <v>3175</v>
      </c>
      <c r="I540" s="249" t="s">
        <v>2727</v>
      </c>
      <c r="J540" s="258" t="s">
        <v>2728</v>
      </c>
      <c r="K540" s="249" t="s">
        <v>3107</v>
      </c>
      <c r="L540" s="249" t="s">
        <v>2727</v>
      </c>
      <c r="M540" s="248" t="s">
        <v>3016</v>
      </c>
      <c r="N540" s="293"/>
      <c r="O540" s="293" t="str">
        <f>TablaPOA[[#This Row],[Cod_Sub_acción_especifica]]&amp;"_"&amp;TablaPOA[[#This Row],[Tipo de agente]]</f>
        <v>K31.2.15.1_Medios de transporte</v>
      </c>
      <c r="P540" s="250" t="s">
        <v>2918</v>
      </c>
      <c r="Q540" s="292" t="str">
        <f>TablaPOA[[#This Row],[Cod_Sub_acción_especifica]]&amp;"_"&amp;TablaPOA[[#This Row],[Cod_Tipo_agente]]</f>
        <v>K31.2.15.1_TA9</v>
      </c>
      <c r="R540" s="250" t="s">
        <v>2919</v>
      </c>
      <c r="S540" s="251" t="s">
        <v>2928</v>
      </c>
      <c r="T540" s="269" t="s">
        <v>2929</v>
      </c>
    </row>
    <row r="541" spans="1:20" ht="25.5" x14ac:dyDescent="0.25">
      <c r="A541" s="219" t="s">
        <v>2314</v>
      </c>
      <c r="B541" s="227">
        <v>31</v>
      </c>
      <c r="C541" s="227" t="s">
        <v>2691</v>
      </c>
      <c r="D541" s="227" t="s">
        <v>2988</v>
      </c>
      <c r="E541" s="227" t="s">
        <v>3160</v>
      </c>
      <c r="F541" s="227" t="s">
        <v>2695</v>
      </c>
      <c r="G541" s="227" t="s">
        <v>2490</v>
      </c>
      <c r="H541" s="253" t="s">
        <v>3175</v>
      </c>
      <c r="I541" s="253" t="s">
        <v>2727</v>
      </c>
      <c r="J541" s="259" t="s">
        <v>2728</v>
      </c>
      <c r="K541" s="262" t="s">
        <v>3108</v>
      </c>
      <c r="L541" s="262" t="s">
        <v>2767</v>
      </c>
      <c r="M541" s="259" t="s">
        <v>3017</v>
      </c>
      <c r="N541" s="299" t="s">
        <v>2919</v>
      </c>
      <c r="O541" s="292" t="str">
        <f>TablaPOA[[#This Row],[Cod_Sub_acción_especifica]]&amp;"_"&amp;TablaPOA[[#This Row],[Tipo de agente]]</f>
        <v>K31.2.15.2_Medios de transporte</v>
      </c>
      <c r="P541" s="254" t="s">
        <v>2918</v>
      </c>
      <c r="Q541" s="292" t="str">
        <f>TablaPOA[[#This Row],[Cod_Sub_acción_especifica]]&amp;"_"&amp;TablaPOA[[#This Row],[Cod_Tipo_agente]]</f>
        <v>K31.2.15.2_TA9</v>
      </c>
      <c r="R541" s="254" t="s">
        <v>2919</v>
      </c>
      <c r="S541" s="255" t="s">
        <v>2920</v>
      </c>
      <c r="T541" s="271" t="s">
        <v>2921</v>
      </c>
    </row>
    <row r="542" spans="1:20" ht="25.5" x14ac:dyDescent="0.25">
      <c r="A542" s="219" t="s">
        <v>2314</v>
      </c>
      <c r="B542" s="227">
        <v>31</v>
      </c>
      <c r="C542" s="227" t="s">
        <v>2691</v>
      </c>
      <c r="D542" s="227" t="s">
        <v>2988</v>
      </c>
      <c r="E542" s="227" t="s">
        <v>3160</v>
      </c>
      <c r="F542" s="227" t="s">
        <v>2695</v>
      </c>
      <c r="G542" s="227" t="s">
        <v>2490</v>
      </c>
      <c r="H542" s="253" t="s">
        <v>3175</v>
      </c>
      <c r="I542" s="253" t="s">
        <v>2727</v>
      </c>
      <c r="J542" s="259" t="s">
        <v>2728</v>
      </c>
      <c r="K542" s="262" t="s">
        <v>3108</v>
      </c>
      <c r="L542" s="262" t="s">
        <v>2767</v>
      </c>
      <c r="M542" s="259" t="s">
        <v>3017</v>
      </c>
      <c r="N542" s="295"/>
      <c r="O542" s="295" t="str">
        <f>TablaPOA[[#This Row],[Cod_Sub_acción_especifica]]&amp;"_"&amp;TablaPOA[[#This Row],[Tipo de agente]]</f>
        <v>K31.2.15.2_Medios de transporte</v>
      </c>
      <c r="P542" s="254" t="s">
        <v>2918</v>
      </c>
      <c r="Q542" s="292" t="str">
        <f>TablaPOA[[#This Row],[Cod_Sub_acción_especifica]]&amp;"_"&amp;TablaPOA[[#This Row],[Cod_Tipo_agente]]</f>
        <v>K31.2.15.2_TA9</v>
      </c>
      <c r="R542" s="254" t="s">
        <v>2919</v>
      </c>
      <c r="S542" s="255" t="s">
        <v>2928</v>
      </c>
      <c r="T542" s="271" t="s">
        <v>2929</v>
      </c>
    </row>
    <row r="543" spans="1:20" ht="25.5" x14ac:dyDescent="0.25">
      <c r="A543" s="268" t="s">
        <v>2314</v>
      </c>
      <c r="B543" s="248">
        <v>31</v>
      </c>
      <c r="C543" s="248" t="s">
        <v>2691</v>
      </c>
      <c r="D543" s="248" t="s">
        <v>2988</v>
      </c>
      <c r="E543" s="248" t="s">
        <v>3160</v>
      </c>
      <c r="F543" s="248" t="s">
        <v>2695</v>
      </c>
      <c r="G543" s="248" t="s">
        <v>2490</v>
      </c>
      <c r="H543" s="249" t="s">
        <v>3176</v>
      </c>
      <c r="I543" s="249" t="s">
        <v>2729</v>
      </c>
      <c r="J543" s="248" t="s">
        <v>2730</v>
      </c>
      <c r="K543" s="249" t="s">
        <v>3109</v>
      </c>
      <c r="L543" s="249" t="s">
        <v>2729</v>
      </c>
      <c r="M543" s="248" t="s">
        <v>3018</v>
      </c>
      <c r="N543" s="299" t="s">
        <v>2919</v>
      </c>
      <c r="O543" s="292" t="str">
        <f>TablaPOA[[#This Row],[Cod_Sub_acción_especifica]]&amp;"_"&amp;TablaPOA[[#This Row],[Tipo de agente]]</f>
        <v>K31.2.16.1_Medios de transporte</v>
      </c>
      <c r="P543" s="250" t="s">
        <v>2918</v>
      </c>
      <c r="Q543" s="292" t="str">
        <f>TablaPOA[[#This Row],[Cod_Sub_acción_especifica]]&amp;"_"&amp;TablaPOA[[#This Row],[Cod_Tipo_agente]]</f>
        <v>K31.2.16.1_TA9</v>
      </c>
      <c r="R543" s="250" t="s">
        <v>2919</v>
      </c>
      <c r="S543" s="251" t="s">
        <v>2924</v>
      </c>
      <c r="T543" s="269" t="s">
        <v>2925</v>
      </c>
    </row>
    <row r="544" spans="1:20" ht="25.5" x14ac:dyDescent="0.25">
      <c r="A544" s="268" t="s">
        <v>2314</v>
      </c>
      <c r="B544" s="248">
        <v>31</v>
      </c>
      <c r="C544" s="248" t="s">
        <v>2691</v>
      </c>
      <c r="D544" s="248" t="s">
        <v>2988</v>
      </c>
      <c r="E544" s="248" t="s">
        <v>3160</v>
      </c>
      <c r="F544" s="248" t="s">
        <v>2695</v>
      </c>
      <c r="G544" s="248" t="s">
        <v>2490</v>
      </c>
      <c r="H544" s="249" t="s">
        <v>3176</v>
      </c>
      <c r="I544" s="249" t="s">
        <v>2729</v>
      </c>
      <c r="J544" s="248" t="s">
        <v>2730</v>
      </c>
      <c r="K544" s="249" t="s">
        <v>3109</v>
      </c>
      <c r="L544" s="249" t="s">
        <v>2729</v>
      </c>
      <c r="M544" s="248" t="s">
        <v>3018</v>
      </c>
      <c r="N544" s="293"/>
      <c r="O544" s="293" t="str">
        <f>TablaPOA[[#This Row],[Cod_Sub_acción_especifica]]&amp;"_"&amp;TablaPOA[[#This Row],[Tipo de agente]]</f>
        <v>K31.2.16.1_Medios de transporte</v>
      </c>
      <c r="P544" s="250" t="s">
        <v>2918</v>
      </c>
      <c r="Q544" s="292" t="str">
        <f>TablaPOA[[#This Row],[Cod_Sub_acción_especifica]]&amp;"_"&amp;TablaPOA[[#This Row],[Cod_Tipo_agente]]</f>
        <v>K31.2.16.1_TA9</v>
      </c>
      <c r="R544" s="250" t="s">
        <v>2919</v>
      </c>
      <c r="S544" s="251">
        <v>609</v>
      </c>
      <c r="T544" s="269" t="s">
        <v>2935</v>
      </c>
    </row>
    <row r="545" spans="1:20" ht="25.5" x14ac:dyDescent="0.25">
      <c r="A545" s="268" t="s">
        <v>2314</v>
      </c>
      <c r="B545" s="248">
        <v>31</v>
      </c>
      <c r="C545" s="248" t="s">
        <v>2691</v>
      </c>
      <c r="D545" s="248" t="s">
        <v>2988</v>
      </c>
      <c r="E545" s="248" t="s">
        <v>3160</v>
      </c>
      <c r="F545" s="248" t="s">
        <v>2695</v>
      </c>
      <c r="G545" s="248" t="s">
        <v>2490</v>
      </c>
      <c r="H545" s="249" t="s">
        <v>3176</v>
      </c>
      <c r="I545" s="249" t="s">
        <v>2729</v>
      </c>
      <c r="J545" s="248" t="s">
        <v>2730</v>
      </c>
      <c r="K545" s="249" t="s">
        <v>3109</v>
      </c>
      <c r="L545" s="249" t="s">
        <v>2729</v>
      </c>
      <c r="M545" s="248" t="s">
        <v>3018</v>
      </c>
      <c r="N545" s="293"/>
      <c r="O545" s="293" t="str">
        <f>TablaPOA[[#This Row],[Cod_Sub_acción_especifica]]&amp;"_"&amp;TablaPOA[[#This Row],[Tipo de agente]]</f>
        <v>K31.2.16.1_Medios de transporte</v>
      </c>
      <c r="P545" s="250" t="s">
        <v>2918</v>
      </c>
      <c r="Q545" s="292" t="str">
        <f>TablaPOA[[#This Row],[Cod_Sub_acción_especifica]]&amp;"_"&amp;TablaPOA[[#This Row],[Cod_Tipo_agente]]</f>
        <v>K31.2.16.1_TA9</v>
      </c>
      <c r="R545" s="250" t="s">
        <v>2919</v>
      </c>
      <c r="S545" s="251" t="s">
        <v>2936</v>
      </c>
      <c r="T545" s="269" t="s">
        <v>2937</v>
      </c>
    </row>
    <row r="546" spans="1:20" ht="25.5" x14ac:dyDescent="0.25">
      <c r="A546" s="268" t="s">
        <v>2314</v>
      </c>
      <c r="B546" s="248">
        <v>31</v>
      </c>
      <c r="C546" s="248" t="s">
        <v>2691</v>
      </c>
      <c r="D546" s="248" t="s">
        <v>2988</v>
      </c>
      <c r="E546" s="248" t="s">
        <v>3160</v>
      </c>
      <c r="F546" s="248" t="s">
        <v>2695</v>
      </c>
      <c r="G546" s="248" t="s">
        <v>2490</v>
      </c>
      <c r="H546" s="249" t="s">
        <v>3176</v>
      </c>
      <c r="I546" s="249" t="s">
        <v>2729</v>
      </c>
      <c r="J546" s="248" t="s">
        <v>2730</v>
      </c>
      <c r="K546" s="249" t="s">
        <v>3109</v>
      </c>
      <c r="L546" s="249" t="s">
        <v>2729</v>
      </c>
      <c r="M546" s="248" t="s">
        <v>3018</v>
      </c>
      <c r="N546" s="293"/>
      <c r="O546" s="293" t="str">
        <f>TablaPOA[[#This Row],[Cod_Sub_acción_especifica]]&amp;"_"&amp;TablaPOA[[#This Row],[Tipo de agente]]</f>
        <v>K31.2.16.1_Medios de transporte</v>
      </c>
      <c r="P546" s="250" t="s">
        <v>2918</v>
      </c>
      <c r="Q546" s="292" t="str">
        <f>TablaPOA[[#This Row],[Cod_Sub_acción_especifica]]&amp;"_"&amp;TablaPOA[[#This Row],[Cod_Tipo_agente]]</f>
        <v>K31.2.16.1_TA9</v>
      </c>
      <c r="R546" s="250" t="s">
        <v>2919</v>
      </c>
      <c r="S546" s="251" t="s">
        <v>2938</v>
      </c>
      <c r="T546" s="269" t="s">
        <v>2939</v>
      </c>
    </row>
    <row r="547" spans="1:20" ht="25.5" x14ac:dyDescent="0.25">
      <c r="A547" s="268" t="s">
        <v>2314</v>
      </c>
      <c r="B547" s="248">
        <v>31</v>
      </c>
      <c r="C547" s="248" t="s">
        <v>2691</v>
      </c>
      <c r="D547" s="248" t="s">
        <v>2988</v>
      </c>
      <c r="E547" s="248" t="s">
        <v>3160</v>
      </c>
      <c r="F547" s="248" t="s">
        <v>2695</v>
      </c>
      <c r="G547" s="248" t="s">
        <v>2490</v>
      </c>
      <c r="H547" s="249" t="s">
        <v>3176</v>
      </c>
      <c r="I547" s="249" t="s">
        <v>2729</v>
      </c>
      <c r="J547" s="248" t="s">
        <v>2730</v>
      </c>
      <c r="K547" s="249" t="s">
        <v>3109</v>
      </c>
      <c r="L547" s="249" t="s">
        <v>2729</v>
      </c>
      <c r="M547" s="248" t="s">
        <v>3018</v>
      </c>
      <c r="N547" s="293"/>
      <c r="O547" s="293" t="str">
        <f>TablaPOA[[#This Row],[Cod_Sub_acción_especifica]]&amp;"_"&amp;TablaPOA[[#This Row],[Tipo de agente]]</f>
        <v>K31.2.16.1_Medios de transporte</v>
      </c>
      <c r="P547" s="250" t="s">
        <v>2918</v>
      </c>
      <c r="Q547" s="292" t="str">
        <f>TablaPOA[[#This Row],[Cod_Sub_acción_especifica]]&amp;"_"&amp;TablaPOA[[#This Row],[Cod_Tipo_agente]]</f>
        <v>K31.2.16.1_TA9</v>
      </c>
      <c r="R547" s="250" t="s">
        <v>2919</v>
      </c>
      <c r="S547" s="251" t="s">
        <v>2944</v>
      </c>
      <c r="T547" s="269" t="s">
        <v>2945</v>
      </c>
    </row>
    <row r="548" spans="1:20" ht="25.5" x14ac:dyDescent="0.25">
      <c r="A548" s="268" t="s">
        <v>2314</v>
      </c>
      <c r="B548" s="248">
        <v>31</v>
      </c>
      <c r="C548" s="248" t="s">
        <v>2691</v>
      </c>
      <c r="D548" s="248" t="s">
        <v>2988</v>
      </c>
      <c r="E548" s="248" t="s">
        <v>3160</v>
      </c>
      <c r="F548" s="248" t="s">
        <v>2695</v>
      </c>
      <c r="G548" s="248" t="s">
        <v>2490</v>
      </c>
      <c r="H548" s="249" t="s">
        <v>3176</v>
      </c>
      <c r="I548" s="249" t="s">
        <v>2729</v>
      </c>
      <c r="J548" s="248" t="s">
        <v>2730</v>
      </c>
      <c r="K548" s="249" t="s">
        <v>3109</v>
      </c>
      <c r="L548" s="249" t="s">
        <v>2729</v>
      </c>
      <c r="M548" s="248" t="s">
        <v>3018</v>
      </c>
      <c r="N548" s="293"/>
      <c r="O548" s="293" t="str">
        <f>TablaPOA[[#This Row],[Cod_Sub_acción_especifica]]&amp;"_"&amp;TablaPOA[[#This Row],[Tipo de agente]]</f>
        <v>K31.2.16.1_Medios de transporte</v>
      </c>
      <c r="P548" s="250" t="s">
        <v>2918</v>
      </c>
      <c r="Q548" s="292" t="str">
        <f>TablaPOA[[#This Row],[Cod_Sub_acción_especifica]]&amp;"_"&amp;TablaPOA[[#This Row],[Cod_Tipo_agente]]</f>
        <v>K31.2.16.1_TA9</v>
      </c>
      <c r="R548" s="250" t="s">
        <v>2919</v>
      </c>
      <c r="S548" s="252" t="s">
        <v>2946</v>
      </c>
      <c r="T548" s="270" t="s">
        <v>2947</v>
      </c>
    </row>
    <row r="549" spans="1:20" ht="25.5" x14ac:dyDescent="0.25">
      <c r="A549" s="219" t="s">
        <v>2314</v>
      </c>
      <c r="B549" s="227">
        <v>31</v>
      </c>
      <c r="C549" s="227" t="s">
        <v>2691</v>
      </c>
      <c r="D549" s="227" t="s">
        <v>2988</v>
      </c>
      <c r="E549" s="227" t="s">
        <v>3160</v>
      </c>
      <c r="F549" s="227" t="s">
        <v>2695</v>
      </c>
      <c r="G549" s="227" t="s">
        <v>2490</v>
      </c>
      <c r="H549" s="253" t="s">
        <v>3176</v>
      </c>
      <c r="I549" s="253" t="s">
        <v>2729</v>
      </c>
      <c r="J549" s="227" t="s">
        <v>2730</v>
      </c>
      <c r="K549" s="262" t="s">
        <v>3110</v>
      </c>
      <c r="L549" s="262" t="s">
        <v>2767</v>
      </c>
      <c r="M549" s="259" t="s">
        <v>3019</v>
      </c>
      <c r="N549" s="299" t="s">
        <v>2919</v>
      </c>
      <c r="O549" s="292" t="str">
        <f>TablaPOA[[#This Row],[Cod_Sub_acción_especifica]]&amp;"_"&amp;TablaPOA[[#This Row],[Tipo de agente]]</f>
        <v>K31.2.16.2_Medios de transporte</v>
      </c>
      <c r="P549" s="254" t="s">
        <v>2918</v>
      </c>
      <c r="Q549" s="292" t="str">
        <f>TablaPOA[[#This Row],[Cod_Sub_acción_especifica]]&amp;"_"&amp;TablaPOA[[#This Row],[Cod_Tipo_agente]]</f>
        <v>K31.2.16.2_TA9</v>
      </c>
      <c r="R549" s="254" t="s">
        <v>2919</v>
      </c>
      <c r="S549" s="255" t="s">
        <v>2924</v>
      </c>
      <c r="T549" s="271" t="s">
        <v>2925</v>
      </c>
    </row>
    <row r="550" spans="1:20" ht="25.5" x14ac:dyDescent="0.25">
      <c r="A550" s="219" t="s">
        <v>2314</v>
      </c>
      <c r="B550" s="227">
        <v>31</v>
      </c>
      <c r="C550" s="227" t="s">
        <v>2691</v>
      </c>
      <c r="D550" s="227" t="s">
        <v>2988</v>
      </c>
      <c r="E550" s="227" t="s">
        <v>3160</v>
      </c>
      <c r="F550" s="227" t="s">
        <v>2695</v>
      </c>
      <c r="G550" s="227" t="s">
        <v>2490</v>
      </c>
      <c r="H550" s="253" t="s">
        <v>3176</v>
      </c>
      <c r="I550" s="253" t="s">
        <v>2729</v>
      </c>
      <c r="J550" s="227" t="s">
        <v>2730</v>
      </c>
      <c r="K550" s="262" t="s">
        <v>3110</v>
      </c>
      <c r="L550" s="262" t="s">
        <v>2767</v>
      </c>
      <c r="M550" s="259" t="s">
        <v>3019</v>
      </c>
      <c r="N550" s="295"/>
      <c r="O550" s="295" t="str">
        <f>TablaPOA[[#This Row],[Cod_Sub_acción_especifica]]&amp;"_"&amp;TablaPOA[[#This Row],[Tipo de agente]]</f>
        <v>K31.2.16.2_Medios de transporte</v>
      </c>
      <c r="P550" s="254" t="s">
        <v>2918</v>
      </c>
      <c r="Q550" s="292" t="str">
        <f>TablaPOA[[#This Row],[Cod_Sub_acción_especifica]]&amp;"_"&amp;TablaPOA[[#This Row],[Cod_Tipo_agente]]</f>
        <v>K31.2.16.2_TA9</v>
      </c>
      <c r="R550" s="254" t="s">
        <v>2919</v>
      </c>
      <c r="S550" s="255">
        <v>609</v>
      </c>
      <c r="T550" s="271" t="s">
        <v>2935</v>
      </c>
    </row>
    <row r="551" spans="1:20" ht="25.5" x14ac:dyDescent="0.25">
      <c r="A551" s="219" t="s">
        <v>2314</v>
      </c>
      <c r="B551" s="227">
        <v>31</v>
      </c>
      <c r="C551" s="227" t="s">
        <v>2691</v>
      </c>
      <c r="D551" s="227" t="s">
        <v>2988</v>
      </c>
      <c r="E551" s="227" t="s">
        <v>3160</v>
      </c>
      <c r="F551" s="227" t="s">
        <v>2695</v>
      </c>
      <c r="G551" s="227" t="s">
        <v>2490</v>
      </c>
      <c r="H551" s="253" t="s">
        <v>3176</v>
      </c>
      <c r="I551" s="253" t="s">
        <v>2729</v>
      </c>
      <c r="J551" s="227" t="s">
        <v>2730</v>
      </c>
      <c r="K551" s="262" t="s">
        <v>3110</v>
      </c>
      <c r="L551" s="262" t="s">
        <v>2767</v>
      </c>
      <c r="M551" s="259" t="s">
        <v>3019</v>
      </c>
      <c r="N551" s="295"/>
      <c r="O551" s="295" t="str">
        <f>TablaPOA[[#This Row],[Cod_Sub_acción_especifica]]&amp;"_"&amp;TablaPOA[[#This Row],[Tipo de agente]]</f>
        <v>K31.2.16.2_Medios de transporte</v>
      </c>
      <c r="P551" s="254" t="s">
        <v>2918</v>
      </c>
      <c r="Q551" s="292" t="str">
        <f>TablaPOA[[#This Row],[Cod_Sub_acción_especifica]]&amp;"_"&amp;TablaPOA[[#This Row],[Cod_Tipo_agente]]</f>
        <v>K31.2.16.2_TA9</v>
      </c>
      <c r="R551" s="254" t="s">
        <v>2919</v>
      </c>
      <c r="S551" s="255" t="s">
        <v>2936</v>
      </c>
      <c r="T551" s="271" t="s">
        <v>2937</v>
      </c>
    </row>
    <row r="552" spans="1:20" ht="25.5" x14ac:dyDescent="0.25">
      <c r="A552" s="219" t="s">
        <v>2314</v>
      </c>
      <c r="B552" s="227">
        <v>31</v>
      </c>
      <c r="C552" s="227" t="s">
        <v>2691</v>
      </c>
      <c r="D552" s="227" t="s">
        <v>2988</v>
      </c>
      <c r="E552" s="227" t="s">
        <v>3160</v>
      </c>
      <c r="F552" s="227" t="s">
        <v>2695</v>
      </c>
      <c r="G552" s="227" t="s">
        <v>2490</v>
      </c>
      <c r="H552" s="253" t="s">
        <v>3176</v>
      </c>
      <c r="I552" s="253" t="s">
        <v>2729</v>
      </c>
      <c r="J552" s="227" t="s">
        <v>2730</v>
      </c>
      <c r="K552" s="262" t="s">
        <v>3110</v>
      </c>
      <c r="L552" s="262" t="s">
        <v>2767</v>
      </c>
      <c r="M552" s="259" t="s">
        <v>3019</v>
      </c>
      <c r="N552" s="295"/>
      <c r="O552" s="295" t="str">
        <f>TablaPOA[[#This Row],[Cod_Sub_acción_especifica]]&amp;"_"&amp;TablaPOA[[#This Row],[Tipo de agente]]</f>
        <v>K31.2.16.2_Medios de transporte</v>
      </c>
      <c r="P552" s="254" t="s">
        <v>2918</v>
      </c>
      <c r="Q552" s="292" t="str">
        <f>TablaPOA[[#This Row],[Cod_Sub_acción_especifica]]&amp;"_"&amp;TablaPOA[[#This Row],[Cod_Tipo_agente]]</f>
        <v>K31.2.16.2_TA9</v>
      </c>
      <c r="R552" s="254" t="s">
        <v>2919</v>
      </c>
      <c r="S552" s="255" t="s">
        <v>2938</v>
      </c>
      <c r="T552" s="271" t="s">
        <v>2939</v>
      </c>
    </row>
    <row r="553" spans="1:20" ht="25.5" x14ac:dyDescent="0.25">
      <c r="A553" s="219" t="s">
        <v>2314</v>
      </c>
      <c r="B553" s="227">
        <v>31</v>
      </c>
      <c r="C553" s="227" t="s">
        <v>2691</v>
      </c>
      <c r="D553" s="227" t="s">
        <v>2988</v>
      </c>
      <c r="E553" s="227" t="s">
        <v>3160</v>
      </c>
      <c r="F553" s="227" t="s">
        <v>2695</v>
      </c>
      <c r="G553" s="227" t="s">
        <v>2490</v>
      </c>
      <c r="H553" s="253" t="s">
        <v>3176</v>
      </c>
      <c r="I553" s="253" t="s">
        <v>2729</v>
      </c>
      <c r="J553" s="227" t="s">
        <v>2730</v>
      </c>
      <c r="K553" s="262" t="s">
        <v>3110</v>
      </c>
      <c r="L553" s="262" t="s">
        <v>2767</v>
      </c>
      <c r="M553" s="259" t="s">
        <v>3019</v>
      </c>
      <c r="N553" s="295"/>
      <c r="O553" s="295" t="str">
        <f>TablaPOA[[#This Row],[Cod_Sub_acción_especifica]]&amp;"_"&amp;TablaPOA[[#This Row],[Tipo de agente]]</f>
        <v>K31.2.16.2_Medios de transporte</v>
      </c>
      <c r="P553" s="254" t="s">
        <v>2918</v>
      </c>
      <c r="Q553" s="292" t="str">
        <f>TablaPOA[[#This Row],[Cod_Sub_acción_especifica]]&amp;"_"&amp;TablaPOA[[#This Row],[Cod_Tipo_agente]]</f>
        <v>K31.2.16.2_TA9</v>
      </c>
      <c r="R553" s="254" t="s">
        <v>2919</v>
      </c>
      <c r="S553" s="255" t="s">
        <v>2944</v>
      </c>
      <c r="T553" s="271" t="s">
        <v>2945</v>
      </c>
    </row>
    <row r="554" spans="1:20" ht="25.5" x14ac:dyDescent="0.25">
      <c r="A554" s="219" t="s">
        <v>2314</v>
      </c>
      <c r="B554" s="227">
        <v>31</v>
      </c>
      <c r="C554" s="227" t="s">
        <v>2691</v>
      </c>
      <c r="D554" s="227" t="s">
        <v>2988</v>
      </c>
      <c r="E554" s="227" t="s">
        <v>3160</v>
      </c>
      <c r="F554" s="227" t="s">
        <v>2695</v>
      </c>
      <c r="G554" s="227" t="s">
        <v>2490</v>
      </c>
      <c r="H554" s="253" t="s">
        <v>3176</v>
      </c>
      <c r="I554" s="253" t="s">
        <v>2729</v>
      </c>
      <c r="J554" s="227" t="s">
        <v>2730</v>
      </c>
      <c r="K554" s="262" t="s">
        <v>3110</v>
      </c>
      <c r="L554" s="262" t="s">
        <v>2767</v>
      </c>
      <c r="M554" s="259" t="s">
        <v>3019</v>
      </c>
      <c r="N554" s="295"/>
      <c r="O554" s="295" t="str">
        <f>TablaPOA[[#This Row],[Cod_Sub_acción_especifica]]&amp;"_"&amp;TablaPOA[[#This Row],[Tipo de agente]]</f>
        <v>K31.2.16.2_Medios de transporte</v>
      </c>
      <c r="P554" s="254" t="s">
        <v>2918</v>
      </c>
      <c r="Q554" s="292" t="str">
        <f>TablaPOA[[#This Row],[Cod_Sub_acción_especifica]]&amp;"_"&amp;TablaPOA[[#This Row],[Cod_Tipo_agente]]</f>
        <v>K31.2.16.2_TA9</v>
      </c>
      <c r="R554" s="254" t="s">
        <v>2919</v>
      </c>
      <c r="S554" s="260" t="s">
        <v>2946</v>
      </c>
      <c r="T554" s="276" t="s">
        <v>2947</v>
      </c>
    </row>
    <row r="555" spans="1:20" ht="25.5" x14ac:dyDescent="0.25">
      <c r="A555" s="268" t="s">
        <v>2314</v>
      </c>
      <c r="B555" s="248">
        <v>31</v>
      </c>
      <c r="C555" s="248" t="s">
        <v>2691</v>
      </c>
      <c r="D555" s="248" t="s">
        <v>2988</v>
      </c>
      <c r="E555" s="248" t="s">
        <v>3160</v>
      </c>
      <c r="F555" s="248" t="s">
        <v>2695</v>
      </c>
      <c r="G555" s="248" t="s">
        <v>2490</v>
      </c>
      <c r="H555" s="249" t="s">
        <v>3177</v>
      </c>
      <c r="I555" s="249" t="s">
        <v>2731</v>
      </c>
      <c r="J555" s="248" t="s">
        <v>2477</v>
      </c>
      <c r="K555" s="249" t="s">
        <v>3111</v>
      </c>
      <c r="L555" s="249" t="s">
        <v>2783</v>
      </c>
      <c r="M555" s="248" t="s">
        <v>3020</v>
      </c>
      <c r="N555" s="299" t="s">
        <v>2831</v>
      </c>
      <c r="O555" s="292" t="str">
        <f>TablaPOA[[#This Row],[Cod_Sub_acción_especifica]]&amp;"_"&amp;TablaPOA[[#This Row],[Tipo de agente]]</f>
        <v>K31.2.17.1_Consumidores directos de gas natural</v>
      </c>
      <c r="P555" s="250" t="s">
        <v>2830</v>
      </c>
      <c r="Q555" s="292" t="str">
        <f>TablaPOA[[#This Row],[Cod_Sub_acción_especifica]]&amp;"_"&amp;TablaPOA[[#This Row],[Cod_Tipo_agente]]</f>
        <v>K31.2.17.1_TA2</v>
      </c>
      <c r="R555" s="250" t="s">
        <v>2831</v>
      </c>
      <c r="S555" s="250">
        <v>101</v>
      </c>
      <c r="T555" s="269" t="s">
        <v>2832</v>
      </c>
    </row>
    <row r="556" spans="1:20" ht="25.5" x14ac:dyDescent="0.25">
      <c r="A556" s="268" t="s">
        <v>2314</v>
      </c>
      <c r="B556" s="248">
        <v>31</v>
      </c>
      <c r="C556" s="248" t="s">
        <v>2691</v>
      </c>
      <c r="D556" s="248" t="s">
        <v>2988</v>
      </c>
      <c r="E556" s="248" t="s">
        <v>3160</v>
      </c>
      <c r="F556" s="248" t="s">
        <v>2695</v>
      </c>
      <c r="G556" s="248" t="s">
        <v>2490</v>
      </c>
      <c r="H556" s="249" t="s">
        <v>3177</v>
      </c>
      <c r="I556" s="249" t="s">
        <v>2731</v>
      </c>
      <c r="J556" s="248" t="s">
        <v>2477</v>
      </c>
      <c r="K556" s="249" t="s">
        <v>3111</v>
      </c>
      <c r="L556" s="249" t="s">
        <v>2783</v>
      </c>
      <c r="M556" s="248" t="s">
        <v>3020</v>
      </c>
      <c r="N556" s="293"/>
      <c r="O556" s="293" t="str">
        <f>TablaPOA[[#This Row],[Cod_Sub_acción_especifica]]&amp;"_"&amp;TablaPOA[[#This Row],[Tipo de agente]]</f>
        <v>K31.2.17.1_Consumidores directos de gas natural</v>
      </c>
      <c r="P556" s="250" t="s">
        <v>2830</v>
      </c>
      <c r="Q556" s="292" t="str">
        <f>TablaPOA[[#This Row],[Cod_Sub_acción_especifica]]&amp;"_"&amp;TablaPOA[[#This Row],[Cod_Tipo_agente]]</f>
        <v>K31.2.17.1_TA2</v>
      </c>
      <c r="R556" s="250" t="s">
        <v>2831</v>
      </c>
      <c r="S556" s="250" t="s">
        <v>2833</v>
      </c>
      <c r="T556" s="269" t="s">
        <v>2834</v>
      </c>
    </row>
    <row r="557" spans="1:20" ht="25.5" x14ac:dyDescent="0.25">
      <c r="A557" s="268" t="s">
        <v>2314</v>
      </c>
      <c r="B557" s="248">
        <v>31</v>
      </c>
      <c r="C557" s="248" t="s">
        <v>2691</v>
      </c>
      <c r="D557" s="248" t="s">
        <v>2988</v>
      </c>
      <c r="E557" s="248" t="s">
        <v>3160</v>
      </c>
      <c r="F557" s="248" t="s">
        <v>2695</v>
      </c>
      <c r="G557" s="248" t="s">
        <v>2490</v>
      </c>
      <c r="H557" s="249" t="s">
        <v>3177</v>
      </c>
      <c r="I557" s="249" t="s">
        <v>2731</v>
      </c>
      <c r="J557" s="248" t="s">
        <v>2477</v>
      </c>
      <c r="K557" s="249" t="s">
        <v>3111</v>
      </c>
      <c r="L557" s="249" t="s">
        <v>2783</v>
      </c>
      <c r="M557" s="248" t="s">
        <v>3020</v>
      </c>
      <c r="N557" s="293"/>
      <c r="O557" s="293" t="str">
        <f>TablaPOA[[#This Row],[Cod_Sub_acción_especifica]]&amp;"_"&amp;TablaPOA[[#This Row],[Tipo de agente]]</f>
        <v>K31.2.17.1_Consumidores directos de gas natural</v>
      </c>
      <c r="P557" s="250" t="s">
        <v>2830</v>
      </c>
      <c r="Q557" s="292" t="str">
        <f>TablaPOA[[#This Row],[Cod_Sub_acción_especifica]]&amp;"_"&amp;TablaPOA[[#This Row],[Cod_Tipo_agente]]</f>
        <v>K31.2.17.1_TA2</v>
      </c>
      <c r="R557" s="250" t="s">
        <v>2831</v>
      </c>
      <c r="S557" s="250" t="s">
        <v>2835</v>
      </c>
      <c r="T557" s="269" t="s">
        <v>2836</v>
      </c>
    </row>
    <row r="558" spans="1:20" ht="25.5" x14ac:dyDescent="0.25">
      <c r="A558" s="268" t="s">
        <v>2314</v>
      </c>
      <c r="B558" s="248">
        <v>31</v>
      </c>
      <c r="C558" s="248" t="s">
        <v>2691</v>
      </c>
      <c r="D558" s="248" t="s">
        <v>2988</v>
      </c>
      <c r="E558" s="248" t="s">
        <v>3160</v>
      </c>
      <c r="F558" s="248" t="s">
        <v>2695</v>
      </c>
      <c r="G558" s="248" t="s">
        <v>2490</v>
      </c>
      <c r="H558" s="249" t="s">
        <v>3177</v>
      </c>
      <c r="I558" s="249" t="s">
        <v>2731</v>
      </c>
      <c r="J558" s="248" t="s">
        <v>2477</v>
      </c>
      <c r="K558" s="249" t="s">
        <v>3111</v>
      </c>
      <c r="L558" s="249" t="s">
        <v>2783</v>
      </c>
      <c r="M558" s="248" t="s">
        <v>3020</v>
      </c>
      <c r="N558" s="293"/>
      <c r="O558" s="293" t="str">
        <f>TablaPOA[[#This Row],[Cod_Sub_acción_especifica]]&amp;"_"&amp;TablaPOA[[#This Row],[Tipo de agente]]</f>
        <v>K31.2.17.1_Consumidores directos de gas natural</v>
      </c>
      <c r="P558" s="250" t="s">
        <v>2830</v>
      </c>
      <c r="Q558" s="292" t="str">
        <f>TablaPOA[[#This Row],[Cod_Sub_acción_especifica]]&amp;"_"&amp;TablaPOA[[#This Row],[Cod_Tipo_agente]]</f>
        <v>K31.2.17.1_TA2</v>
      </c>
      <c r="R558" s="250" t="s">
        <v>2831</v>
      </c>
      <c r="S558" s="250" t="s">
        <v>2837</v>
      </c>
      <c r="T558" s="269" t="s">
        <v>2838</v>
      </c>
    </row>
    <row r="559" spans="1:20" ht="25.5" x14ac:dyDescent="0.25">
      <c r="A559" s="268" t="s">
        <v>2314</v>
      </c>
      <c r="B559" s="248">
        <v>31</v>
      </c>
      <c r="C559" s="248" t="s">
        <v>2691</v>
      </c>
      <c r="D559" s="248" t="s">
        <v>2988</v>
      </c>
      <c r="E559" s="248" t="s">
        <v>3160</v>
      </c>
      <c r="F559" s="248" t="s">
        <v>2695</v>
      </c>
      <c r="G559" s="248" t="s">
        <v>2490</v>
      </c>
      <c r="H559" s="249" t="s">
        <v>3177</v>
      </c>
      <c r="I559" s="249" t="s">
        <v>2731</v>
      </c>
      <c r="J559" s="248" t="s">
        <v>2477</v>
      </c>
      <c r="K559" s="249" t="s">
        <v>3111</v>
      </c>
      <c r="L559" s="249" t="s">
        <v>2783</v>
      </c>
      <c r="M559" s="248" t="s">
        <v>3020</v>
      </c>
      <c r="N559" s="293"/>
      <c r="O559" s="293" t="str">
        <f>TablaPOA[[#This Row],[Cod_Sub_acción_especifica]]&amp;"_"&amp;TablaPOA[[#This Row],[Tipo de agente]]</f>
        <v>K31.2.17.1_EVP combustibles de uso automotor</v>
      </c>
      <c r="P559" s="250" t="s">
        <v>2882</v>
      </c>
      <c r="Q559" s="292" t="str">
        <f>TablaPOA[[#This Row],[Cod_Sub_acción_especifica]]&amp;"_"&amp;TablaPOA[[#This Row],[Cod_Tipo_agente]]</f>
        <v>K31.2.17.1_TA6</v>
      </c>
      <c r="R559" s="250" t="s">
        <v>2883</v>
      </c>
      <c r="S559" s="251" t="s">
        <v>2884</v>
      </c>
      <c r="T559" s="269" t="s">
        <v>2885</v>
      </c>
    </row>
    <row r="560" spans="1:20" ht="25.5" x14ac:dyDescent="0.25">
      <c r="A560" s="268" t="s">
        <v>2314</v>
      </c>
      <c r="B560" s="248">
        <v>31</v>
      </c>
      <c r="C560" s="248" t="s">
        <v>2691</v>
      </c>
      <c r="D560" s="248" t="s">
        <v>2988</v>
      </c>
      <c r="E560" s="248" t="s">
        <v>3160</v>
      </c>
      <c r="F560" s="248" t="s">
        <v>2695</v>
      </c>
      <c r="G560" s="248" t="s">
        <v>2490</v>
      </c>
      <c r="H560" s="249" t="s">
        <v>3177</v>
      </c>
      <c r="I560" s="249" t="s">
        <v>2731</v>
      </c>
      <c r="J560" s="248" t="s">
        <v>2477</v>
      </c>
      <c r="K560" s="249" t="s">
        <v>3111</v>
      </c>
      <c r="L560" s="249" t="s">
        <v>2783</v>
      </c>
      <c r="M560" s="248" t="s">
        <v>3020</v>
      </c>
      <c r="N560" s="293"/>
      <c r="O560" s="293" t="str">
        <f>TablaPOA[[#This Row],[Cod_Sub_acción_especifica]]&amp;"_"&amp;TablaPOA[[#This Row],[Tipo de agente]]</f>
        <v>K31.2.17.1_EVP combustibles de uso automotor</v>
      </c>
      <c r="P560" s="250" t="s">
        <v>2882</v>
      </c>
      <c r="Q560" s="292" t="str">
        <f>TablaPOA[[#This Row],[Cod_Sub_acción_especifica]]&amp;"_"&amp;TablaPOA[[#This Row],[Cod_Tipo_agente]]</f>
        <v>K31.2.17.1_TA6</v>
      </c>
      <c r="R560" s="250" t="s">
        <v>2883</v>
      </c>
      <c r="S560" s="251" t="s">
        <v>2886</v>
      </c>
      <c r="T560" s="269" t="s">
        <v>2887</v>
      </c>
    </row>
    <row r="561" spans="1:20" ht="25.5" x14ac:dyDescent="0.25">
      <c r="A561" s="268" t="s">
        <v>2314</v>
      </c>
      <c r="B561" s="248">
        <v>31</v>
      </c>
      <c r="C561" s="248" t="s">
        <v>2691</v>
      </c>
      <c r="D561" s="248" t="s">
        <v>2988</v>
      </c>
      <c r="E561" s="248" t="s">
        <v>3160</v>
      </c>
      <c r="F561" s="248" t="s">
        <v>2695</v>
      </c>
      <c r="G561" s="248" t="s">
        <v>2490</v>
      </c>
      <c r="H561" s="249" t="s">
        <v>3177</v>
      </c>
      <c r="I561" s="249" t="s">
        <v>2731</v>
      </c>
      <c r="J561" s="248" t="s">
        <v>2477</v>
      </c>
      <c r="K561" s="249" t="s">
        <v>3111</v>
      </c>
      <c r="L561" s="249" t="s">
        <v>2783</v>
      </c>
      <c r="M561" s="248" t="s">
        <v>3020</v>
      </c>
      <c r="N561" s="293"/>
      <c r="O561" s="293" t="str">
        <f>TablaPOA[[#This Row],[Cod_Sub_acción_especifica]]&amp;"_"&amp;TablaPOA[[#This Row],[Tipo de agente]]</f>
        <v>K31.2.17.1_EVP combustibles de uso automotor</v>
      </c>
      <c r="P561" s="250" t="s">
        <v>2882</v>
      </c>
      <c r="Q561" s="292" t="str">
        <f>TablaPOA[[#This Row],[Cod_Sub_acción_especifica]]&amp;"_"&amp;TablaPOA[[#This Row],[Cod_Tipo_agente]]</f>
        <v>K31.2.17.1_TA6</v>
      </c>
      <c r="R561" s="250" t="s">
        <v>2883</v>
      </c>
      <c r="S561" s="251" t="s">
        <v>2888</v>
      </c>
      <c r="T561" s="269" t="s">
        <v>2889</v>
      </c>
    </row>
    <row r="562" spans="1:20" ht="25.5" x14ac:dyDescent="0.25">
      <c r="A562" s="268" t="s">
        <v>2314</v>
      </c>
      <c r="B562" s="248">
        <v>31</v>
      </c>
      <c r="C562" s="248" t="s">
        <v>2691</v>
      </c>
      <c r="D562" s="248" t="s">
        <v>2988</v>
      </c>
      <c r="E562" s="248" t="s">
        <v>3160</v>
      </c>
      <c r="F562" s="248" t="s">
        <v>2695</v>
      </c>
      <c r="G562" s="248" t="s">
        <v>2490</v>
      </c>
      <c r="H562" s="249" t="s">
        <v>3177</v>
      </c>
      <c r="I562" s="249" t="s">
        <v>2731</v>
      </c>
      <c r="J562" s="248" t="s">
        <v>2477</v>
      </c>
      <c r="K562" s="249" t="s">
        <v>3111</v>
      </c>
      <c r="L562" s="249" t="s">
        <v>2783</v>
      </c>
      <c r="M562" s="248" t="s">
        <v>3020</v>
      </c>
      <c r="N562" s="293"/>
      <c r="O562" s="293" t="str">
        <f>TablaPOA[[#This Row],[Cod_Sub_acción_especifica]]&amp;"_"&amp;TablaPOA[[#This Row],[Tipo de agente]]</f>
        <v>K31.2.17.1_EVP combustibles de uso automotor</v>
      </c>
      <c r="P562" s="250" t="s">
        <v>2882</v>
      </c>
      <c r="Q562" s="292" t="str">
        <f>TablaPOA[[#This Row],[Cod_Sub_acción_especifica]]&amp;"_"&amp;TablaPOA[[#This Row],[Cod_Tipo_agente]]</f>
        <v>K31.2.17.1_TA6</v>
      </c>
      <c r="R562" s="250" t="s">
        <v>2883</v>
      </c>
      <c r="S562" s="251" t="s">
        <v>2890</v>
      </c>
      <c r="T562" s="269" t="s">
        <v>2891</v>
      </c>
    </row>
    <row r="563" spans="1:20" ht="25.5" x14ac:dyDescent="0.25">
      <c r="A563" s="268" t="s">
        <v>2314</v>
      </c>
      <c r="B563" s="248">
        <v>31</v>
      </c>
      <c r="C563" s="248" t="s">
        <v>2691</v>
      </c>
      <c r="D563" s="248" t="s">
        <v>2988</v>
      </c>
      <c r="E563" s="248" t="s">
        <v>3160</v>
      </c>
      <c r="F563" s="248" t="s">
        <v>2695</v>
      </c>
      <c r="G563" s="248" t="s">
        <v>2490</v>
      </c>
      <c r="H563" s="249" t="s">
        <v>3177</v>
      </c>
      <c r="I563" s="249" t="s">
        <v>2731</v>
      </c>
      <c r="J563" s="248" t="s">
        <v>2477</v>
      </c>
      <c r="K563" s="249" t="s">
        <v>3111</v>
      </c>
      <c r="L563" s="249" t="s">
        <v>2783</v>
      </c>
      <c r="M563" s="248" t="s">
        <v>3020</v>
      </c>
      <c r="N563" s="293"/>
      <c r="O563" s="293" t="str">
        <f>TablaPOA[[#This Row],[Cod_Sub_acción_especifica]]&amp;"_"&amp;TablaPOA[[#This Row],[Tipo de agente]]</f>
        <v>K31.2.17.1_EVP combustibles de uso automotor</v>
      </c>
      <c r="P563" s="250" t="s">
        <v>2882</v>
      </c>
      <c r="Q563" s="292" t="str">
        <f>TablaPOA[[#This Row],[Cod_Sub_acción_especifica]]&amp;"_"&amp;TablaPOA[[#This Row],[Cod_Tipo_agente]]</f>
        <v>K31.2.17.1_TA6</v>
      </c>
      <c r="R563" s="250" t="s">
        <v>2883</v>
      </c>
      <c r="S563" s="251" t="s">
        <v>2892</v>
      </c>
      <c r="T563" s="269" t="s">
        <v>2893</v>
      </c>
    </row>
    <row r="564" spans="1:20" ht="25.5" x14ac:dyDescent="0.25">
      <c r="A564" s="268" t="s">
        <v>2314</v>
      </c>
      <c r="B564" s="248">
        <v>31</v>
      </c>
      <c r="C564" s="248" t="s">
        <v>2691</v>
      </c>
      <c r="D564" s="248" t="s">
        <v>2988</v>
      </c>
      <c r="E564" s="248" t="s">
        <v>3160</v>
      </c>
      <c r="F564" s="248" t="s">
        <v>2695</v>
      </c>
      <c r="G564" s="248" t="s">
        <v>2490</v>
      </c>
      <c r="H564" s="249" t="s">
        <v>3177</v>
      </c>
      <c r="I564" s="249" t="s">
        <v>2731</v>
      </c>
      <c r="J564" s="248" t="s">
        <v>2477</v>
      </c>
      <c r="K564" s="249" t="s">
        <v>3111</v>
      </c>
      <c r="L564" s="249" t="s">
        <v>2783</v>
      </c>
      <c r="M564" s="248" t="s">
        <v>3020</v>
      </c>
      <c r="N564" s="293"/>
      <c r="O564" s="293" t="str">
        <f>TablaPOA[[#This Row],[Cod_Sub_acción_especifica]]&amp;"_"&amp;TablaPOA[[#This Row],[Tipo de agente]]</f>
        <v>K31.2.17.1_EVP combustibles de uso automotor</v>
      </c>
      <c r="P564" s="250" t="s">
        <v>2882</v>
      </c>
      <c r="Q564" s="292" t="str">
        <f>TablaPOA[[#This Row],[Cod_Sub_acción_especifica]]&amp;"_"&amp;TablaPOA[[#This Row],[Cod_Tipo_agente]]</f>
        <v>K31.2.17.1_TA6</v>
      </c>
      <c r="R564" s="250" t="s">
        <v>2883</v>
      </c>
      <c r="S564" s="251" t="s">
        <v>2894</v>
      </c>
      <c r="T564" s="269" t="s">
        <v>2895</v>
      </c>
    </row>
    <row r="565" spans="1:20" ht="25.5" x14ac:dyDescent="0.25">
      <c r="A565" s="268" t="s">
        <v>2314</v>
      </c>
      <c r="B565" s="248">
        <v>31</v>
      </c>
      <c r="C565" s="248" t="s">
        <v>2691</v>
      </c>
      <c r="D565" s="248" t="s">
        <v>2988</v>
      </c>
      <c r="E565" s="248" t="s">
        <v>3160</v>
      </c>
      <c r="F565" s="248" t="s">
        <v>2695</v>
      </c>
      <c r="G565" s="248" t="s">
        <v>2490</v>
      </c>
      <c r="H565" s="249" t="s">
        <v>3177</v>
      </c>
      <c r="I565" s="249" t="s">
        <v>2731</v>
      </c>
      <c r="J565" s="248" t="s">
        <v>2477</v>
      </c>
      <c r="K565" s="249" t="s">
        <v>3111</v>
      </c>
      <c r="L565" s="249" t="s">
        <v>2783</v>
      </c>
      <c r="M565" s="248" t="s">
        <v>3020</v>
      </c>
      <c r="N565" s="293"/>
      <c r="O565" s="293" t="str">
        <f>TablaPOA[[#This Row],[Cod_Sub_acción_especifica]]&amp;"_"&amp;TablaPOA[[#This Row],[Tipo de agente]]</f>
        <v>K31.2.17.1_EVP combustibles de uso automotor</v>
      </c>
      <c r="P565" s="250" t="s">
        <v>2882</v>
      </c>
      <c r="Q565" s="292" t="str">
        <f>TablaPOA[[#This Row],[Cod_Sub_acción_especifica]]&amp;"_"&amp;TablaPOA[[#This Row],[Cod_Tipo_agente]]</f>
        <v>K31.2.17.1_TA6</v>
      </c>
      <c r="R565" s="250" t="s">
        <v>2883</v>
      </c>
      <c r="S565" s="251" t="s">
        <v>2896</v>
      </c>
      <c r="T565" s="269" t="s">
        <v>2897</v>
      </c>
    </row>
    <row r="566" spans="1:20" ht="25.5" x14ac:dyDescent="0.25">
      <c r="A566" s="268" t="s">
        <v>2314</v>
      </c>
      <c r="B566" s="248">
        <v>31</v>
      </c>
      <c r="C566" s="248" t="s">
        <v>2691</v>
      </c>
      <c r="D566" s="248" t="s">
        <v>2988</v>
      </c>
      <c r="E566" s="248" t="s">
        <v>3160</v>
      </c>
      <c r="F566" s="248" t="s">
        <v>2695</v>
      </c>
      <c r="G566" s="248" t="s">
        <v>2490</v>
      </c>
      <c r="H566" s="249" t="s">
        <v>3177</v>
      </c>
      <c r="I566" s="249" t="s">
        <v>2731</v>
      </c>
      <c r="J566" s="248" t="s">
        <v>2477</v>
      </c>
      <c r="K566" s="249" t="s">
        <v>3111</v>
      </c>
      <c r="L566" s="249" t="s">
        <v>2783</v>
      </c>
      <c r="M566" s="248" t="s">
        <v>3020</v>
      </c>
      <c r="N566" s="293"/>
      <c r="O566" s="293" t="str">
        <f>TablaPOA[[#This Row],[Cod_Sub_acción_especifica]]&amp;"_"&amp;TablaPOA[[#This Row],[Tipo de agente]]</f>
        <v>K31.2.17.1_EVP combustibles de uso automotor</v>
      </c>
      <c r="P566" s="250" t="s">
        <v>2882</v>
      </c>
      <c r="Q566" s="292" t="str">
        <f>TablaPOA[[#This Row],[Cod_Sub_acción_especifica]]&amp;"_"&amp;TablaPOA[[#This Row],[Cod_Tipo_agente]]</f>
        <v>K31.2.17.1_TA6</v>
      </c>
      <c r="R566" s="250" t="s">
        <v>2883</v>
      </c>
      <c r="S566" s="251" t="s">
        <v>2898</v>
      </c>
      <c r="T566" s="269" t="s">
        <v>2899</v>
      </c>
    </row>
    <row r="567" spans="1:20" ht="25.5" x14ac:dyDescent="0.25">
      <c r="A567" s="268" t="s">
        <v>2314</v>
      </c>
      <c r="B567" s="248">
        <v>31</v>
      </c>
      <c r="C567" s="248" t="s">
        <v>2691</v>
      </c>
      <c r="D567" s="248" t="s">
        <v>2988</v>
      </c>
      <c r="E567" s="248" t="s">
        <v>3160</v>
      </c>
      <c r="F567" s="248" t="s">
        <v>2695</v>
      </c>
      <c r="G567" s="248" t="s">
        <v>2490</v>
      </c>
      <c r="H567" s="249" t="s">
        <v>3177</v>
      </c>
      <c r="I567" s="249" t="s">
        <v>2731</v>
      </c>
      <c r="J567" s="248" t="s">
        <v>2477</v>
      </c>
      <c r="K567" s="249" t="s">
        <v>3111</v>
      </c>
      <c r="L567" s="249" t="s">
        <v>2783</v>
      </c>
      <c r="M567" s="248" t="s">
        <v>3020</v>
      </c>
      <c r="N567" s="293"/>
      <c r="O567" s="293" t="str">
        <f>TablaPOA[[#This Row],[Cod_Sub_acción_especifica]]&amp;"_"&amp;TablaPOA[[#This Row],[Tipo de agente]]</f>
        <v>K31.2.17.1_EVP combustibles de uso automotor</v>
      </c>
      <c r="P567" s="250" t="s">
        <v>2882</v>
      </c>
      <c r="Q567" s="292" t="str">
        <f>TablaPOA[[#This Row],[Cod_Sub_acción_especifica]]&amp;"_"&amp;TablaPOA[[#This Row],[Cod_Tipo_agente]]</f>
        <v>K31.2.17.1_TA6</v>
      </c>
      <c r="R567" s="250" t="s">
        <v>2883</v>
      </c>
      <c r="S567" s="251" t="s">
        <v>2900</v>
      </c>
      <c r="T567" s="269" t="s">
        <v>2901</v>
      </c>
    </row>
    <row r="568" spans="1:20" ht="25.5" x14ac:dyDescent="0.25">
      <c r="A568" s="219" t="s">
        <v>2314</v>
      </c>
      <c r="B568" s="227">
        <v>31</v>
      </c>
      <c r="C568" s="227" t="s">
        <v>2691</v>
      </c>
      <c r="D568" s="227" t="s">
        <v>2988</v>
      </c>
      <c r="E568" s="227" t="s">
        <v>3160</v>
      </c>
      <c r="F568" s="227" t="s">
        <v>2695</v>
      </c>
      <c r="G568" s="227" t="s">
        <v>2490</v>
      </c>
      <c r="H568" s="253" t="s">
        <v>3177</v>
      </c>
      <c r="I568" s="253" t="s">
        <v>2731</v>
      </c>
      <c r="J568" s="227" t="s">
        <v>2477</v>
      </c>
      <c r="K568" s="262" t="s">
        <v>3112</v>
      </c>
      <c r="L568" s="262" t="s">
        <v>2767</v>
      </c>
      <c r="M568" s="259" t="s">
        <v>2784</v>
      </c>
      <c r="N568" s="299" t="s">
        <v>2831</v>
      </c>
      <c r="O568" s="292" t="str">
        <f>TablaPOA[[#This Row],[Cod_Sub_acción_especifica]]&amp;"_"&amp;TablaPOA[[#This Row],[Tipo de agente]]</f>
        <v>K31.2.17.2_Consumidores directos de gas natural</v>
      </c>
      <c r="P568" s="254" t="s">
        <v>2830</v>
      </c>
      <c r="Q568" s="292" t="str">
        <f>TablaPOA[[#This Row],[Cod_Sub_acción_especifica]]&amp;"_"&amp;TablaPOA[[#This Row],[Cod_Tipo_agente]]</f>
        <v>K31.2.17.2_TA2</v>
      </c>
      <c r="R568" s="254" t="s">
        <v>2831</v>
      </c>
      <c r="S568" s="254">
        <v>101</v>
      </c>
      <c r="T568" s="271" t="s">
        <v>2832</v>
      </c>
    </row>
    <row r="569" spans="1:20" ht="25.5" x14ac:dyDescent="0.25">
      <c r="A569" s="219" t="s">
        <v>2314</v>
      </c>
      <c r="B569" s="227">
        <v>31</v>
      </c>
      <c r="C569" s="227" t="s">
        <v>2691</v>
      </c>
      <c r="D569" s="227" t="s">
        <v>2988</v>
      </c>
      <c r="E569" s="227" t="s">
        <v>3160</v>
      </c>
      <c r="F569" s="227" t="s">
        <v>2695</v>
      </c>
      <c r="G569" s="227" t="s">
        <v>2490</v>
      </c>
      <c r="H569" s="253" t="s">
        <v>3177</v>
      </c>
      <c r="I569" s="253" t="s">
        <v>2731</v>
      </c>
      <c r="J569" s="227" t="s">
        <v>2477</v>
      </c>
      <c r="K569" s="262" t="s">
        <v>3112</v>
      </c>
      <c r="L569" s="262" t="s">
        <v>2767</v>
      </c>
      <c r="M569" s="259" t="s">
        <v>2784</v>
      </c>
      <c r="N569" s="295"/>
      <c r="O569" s="295" t="str">
        <f>TablaPOA[[#This Row],[Cod_Sub_acción_especifica]]&amp;"_"&amp;TablaPOA[[#This Row],[Tipo de agente]]</f>
        <v>K31.2.17.2_Consumidores directos de gas natural</v>
      </c>
      <c r="P569" s="254" t="s">
        <v>2830</v>
      </c>
      <c r="Q569" s="292" t="str">
        <f>TablaPOA[[#This Row],[Cod_Sub_acción_especifica]]&amp;"_"&amp;TablaPOA[[#This Row],[Cod_Tipo_agente]]</f>
        <v>K31.2.17.2_TA2</v>
      </c>
      <c r="R569" s="254" t="s">
        <v>2831</v>
      </c>
      <c r="S569" s="254" t="s">
        <v>2833</v>
      </c>
      <c r="T569" s="271" t="s">
        <v>2834</v>
      </c>
    </row>
    <row r="570" spans="1:20" ht="25.5" x14ac:dyDescent="0.25">
      <c r="A570" s="219" t="s">
        <v>2314</v>
      </c>
      <c r="B570" s="227">
        <v>31</v>
      </c>
      <c r="C570" s="227" t="s">
        <v>2691</v>
      </c>
      <c r="D570" s="227" t="s">
        <v>2988</v>
      </c>
      <c r="E570" s="227" t="s">
        <v>3160</v>
      </c>
      <c r="F570" s="227" t="s">
        <v>2695</v>
      </c>
      <c r="G570" s="227" t="s">
        <v>2490</v>
      </c>
      <c r="H570" s="253" t="s">
        <v>3177</v>
      </c>
      <c r="I570" s="253" t="s">
        <v>2731</v>
      </c>
      <c r="J570" s="227" t="s">
        <v>2477</v>
      </c>
      <c r="K570" s="262" t="s">
        <v>3112</v>
      </c>
      <c r="L570" s="262" t="s">
        <v>2767</v>
      </c>
      <c r="M570" s="259" t="s">
        <v>2784</v>
      </c>
      <c r="N570" s="295"/>
      <c r="O570" s="295" t="str">
        <f>TablaPOA[[#This Row],[Cod_Sub_acción_especifica]]&amp;"_"&amp;TablaPOA[[#This Row],[Tipo de agente]]</f>
        <v>K31.2.17.2_Consumidores directos de gas natural</v>
      </c>
      <c r="P570" s="254" t="s">
        <v>2830</v>
      </c>
      <c r="Q570" s="292" t="str">
        <f>TablaPOA[[#This Row],[Cod_Sub_acción_especifica]]&amp;"_"&amp;TablaPOA[[#This Row],[Cod_Tipo_agente]]</f>
        <v>K31.2.17.2_TA2</v>
      </c>
      <c r="R570" s="254" t="s">
        <v>2831</v>
      </c>
      <c r="S570" s="254" t="s">
        <v>2835</v>
      </c>
      <c r="T570" s="271" t="s">
        <v>2836</v>
      </c>
    </row>
    <row r="571" spans="1:20" ht="25.5" x14ac:dyDescent="0.25">
      <c r="A571" s="219" t="s">
        <v>2314</v>
      </c>
      <c r="B571" s="227">
        <v>31</v>
      </c>
      <c r="C571" s="227" t="s">
        <v>2691</v>
      </c>
      <c r="D571" s="227" t="s">
        <v>2988</v>
      </c>
      <c r="E571" s="227" t="s">
        <v>3160</v>
      </c>
      <c r="F571" s="227" t="s">
        <v>2695</v>
      </c>
      <c r="G571" s="227" t="s">
        <v>2490</v>
      </c>
      <c r="H571" s="253" t="s">
        <v>3177</v>
      </c>
      <c r="I571" s="253" t="s">
        <v>2731</v>
      </c>
      <c r="J571" s="227" t="s">
        <v>2477</v>
      </c>
      <c r="K571" s="262" t="s">
        <v>3112</v>
      </c>
      <c r="L571" s="262" t="s">
        <v>2767</v>
      </c>
      <c r="M571" s="259" t="s">
        <v>2784</v>
      </c>
      <c r="N571" s="295"/>
      <c r="O571" s="295" t="str">
        <f>TablaPOA[[#This Row],[Cod_Sub_acción_especifica]]&amp;"_"&amp;TablaPOA[[#This Row],[Tipo de agente]]</f>
        <v>K31.2.17.2_Consumidores directos de gas natural</v>
      </c>
      <c r="P571" s="254" t="s">
        <v>2830</v>
      </c>
      <c r="Q571" s="292" t="str">
        <f>TablaPOA[[#This Row],[Cod_Sub_acción_especifica]]&amp;"_"&amp;TablaPOA[[#This Row],[Cod_Tipo_agente]]</f>
        <v>K31.2.17.2_TA2</v>
      </c>
      <c r="R571" s="254" t="s">
        <v>2831</v>
      </c>
      <c r="S571" s="254" t="s">
        <v>2837</v>
      </c>
      <c r="T571" s="271" t="s">
        <v>2838</v>
      </c>
    </row>
    <row r="572" spans="1:20" ht="25.5" x14ac:dyDescent="0.25">
      <c r="A572" s="219" t="s">
        <v>2314</v>
      </c>
      <c r="B572" s="227">
        <v>31</v>
      </c>
      <c r="C572" s="227" t="s">
        <v>2691</v>
      </c>
      <c r="D572" s="227" t="s">
        <v>2988</v>
      </c>
      <c r="E572" s="227" t="s">
        <v>3160</v>
      </c>
      <c r="F572" s="227" t="s">
        <v>2695</v>
      </c>
      <c r="G572" s="227" t="s">
        <v>2490</v>
      </c>
      <c r="H572" s="253" t="s">
        <v>3177</v>
      </c>
      <c r="I572" s="253" t="s">
        <v>2731</v>
      </c>
      <c r="J572" s="227" t="s">
        <v>2477</v>
      </c>
      <c r="K572" s="262" t="s">
        <v>3112</v>
      </c>
      <c r="L572" s="262" t="s">
        <v>2767</v>
      </c>
      <c r="M572" s="259" t="s">
        <v>2784</v>
      </c>
      <c r="N572" s="295"/>
      <c r="O572" s="295" t="str">
        <f>TablaPOA[[#This Row],[Cod_Sub_acción_especifica]]&amp;"_"&amp;TablaPOA[[#This Row],[Tipo de agente]]</f>
        <v>K31.2.17.2_EVP combustibles de uso automotor</v>
      </c>
      <c r="P572" s="254" t="s">
        <v>2882</v>
      </c>
      <c r="Q572" s="292" t="str">
        <f>TablaPOA[[#This Row],[Cod_Sub_acción_especifica]]&amp;"_"&amp;TablaPOA[[#This Row],[Cod_Tipo_agente]]</f>
        <v>K31.2.17.2_TA6</v>
      </c>
      <c r="R572" s="254" t="s">
        <v>2883</v>
      </c>
      <c r="S572" s="255" t="s">
        <v>2884</v>
      </c>
      <c r="T572" s="271" t="s">
        <v>2885</v>
      </c>
    </row>
    <row r="573" spans="1:20" ht="25.5" x14ac:dyDescent="0.25">
      <c r="A573" s="219" t="s">
        <v>2314</v>
      </c>
      <c r="B573" s="227">
        <v>31</v>
      </c>
      <c r="C573" s="227" t="s">
        <v>2691</v>
      </c>
      <c r="D573" s="227" t="s">
        <v>2988</v>
      </c>
      <c r="E573" s="227" t="s">
        <v>3160</v>
      </c>
      <c r="F573" s="227" t="s">
        <v>2695</v>
      </c>
      <c r="G573" s="227" t="s">
        <v>2490</v>
      </c>
      <c r="H573" s="253" t="s">
        <v>3177</v>
      </c>
      <c r="I573" s="253" t="s">
        <v>2731</v>
      </c>
      <c r="J573" s="227" t="s">
        <v>2477</v>
      </c>
      <c r="K573" s="262" t="s">
        <v>3112</v>
      </c>
      <c r="L573" s="262" t="s">
        <v>2767</v>
      </c>
      <c r="M573" s="259" t="s">
        <v>2784</v>
      </c>
      <c r="N573" s="295"/>
      <c r="O573" s="295" t="str">
        <f>TablaPOA[[#This Row],[Cod_Sub_acción_especifica]]&amp;"_"&amp;TablaPOA[[#This Row],[Tipo de agente]]</f>
        <v>K31.2.17.2_EVP combustibles de uso automotor</v>
      </c>
      <c r="P573" s="254" t="s">
        <v>2882</v>
      </c>
      <c r="Q573" s="292" t="str">
        <f>TablaPOA[[#This Row],[Cod_Sub_acción_especifica]]&amp;"_"&amp;TablaPOA[[#This Row],[Cod_Tipo_agente]]</f>
        <v>K31.2.17.2_TA6</v>
      </c>
      <c r="R573" s="254" t="s">
        <v>2883</v>
      </c>
      <c r="S573" s="255" t="s">
        <v>2886</v>
      </c>
      <c r="T573" s="271" t="s">
        <v>2887</v>
      </c>
    </row>
    <row r="574" spans="1:20" ht="25.5" x14ac:dyDescent="0.25">
      <c r="A574" s="219" t="s">
        <v>2314</v>
      </c>
      <c r="B574" s="227">
        <v>31</v>
      </c>
      <c r="C574" s="227" t="s">
        <v>2691</v>
      </c>
      <c r="D574" s="227" t="s">
        <v>2988</v>
      </c>
      <c r="E574" s="227" t="s">
        <v>3160</v>
      </c>
      <c r="F574" s="227" t="s">
        <v>2695</v>
      </c>
      <c r="G574" s="227" t="s">
        <v>2490</v>
      </c>
      <c r="H574" s="253" t="s">
        <v>3177</v>
      </c>
      <c r="I574" s="253" t="s">
        <v>2731</v>
      </c>
      <c r="J574" s="227" t="s">
        <v>2477</v>
      </c>
      <c r="K574" s="262" t="s">
        <v>3112</v>
      </c>
      <c r="L574" s="262" t="s">
        <v>2767</v>
      </c>
      <c r="M574" s="259" t="s">
        <v>2784</v>
      </c>
      <c r="N574" s="295"/>
      <c r="O574" s="295" t="str">
        <f>TablaPOA[[#This Row],[Cod_Sub_acción_especifica]]&amp;"_"&amp;TablaPOA[[#This Row],[Tipo de agente]]</f>
        <v>K31.2.17.2_EVP combustibles de uso automotor</v>
      </c>
      <c r="P574" s="254" t="s">
        <v>2882</v>
      </c>
      <c r="Q574" s="292" t="str">
        <f>TablaPOA[[#This Row],[Cod_Sub_acción_especifica]]&amp;"_"&amp;TablaPOA[[#This Row],[Cod_Tipo_agente]]</f>
        <v>K31.2.17.2_TA6</v>
      </c>
      <c r="R574" s="254" t="s">
        <v>2883</v>
      </c>
      <c r="S574" s="255" t="s">
        <v>2888</v>
      </c>
      <c r="T574" s="271" t="s">
        <v>2889</v>
      </c>
    </row>
    <row r="575" spans="1:20" ht="25.5" x14ac:dyDescent="0.25">
      <c r="A575" s="219" t="s">
        <v>2314</v>
      </c>
      <c r="B575" s="227">
        <v>31</v>
      </c>
      <c r="C575" s="227" t="s">
        <v>2691</v>
      </c>
      <c r="D575" s="227" t="s">
        <v>2988</v>
      </c>
      <c r="E575" s="227" t="s">
        <v>3160</v>
      </c>
      <c r="F575" s="227" t="s">
        <v>2695</v>
      </c>
      <c r="G575" s="227" t="s">
        <v>2490</v>
      </c>
      <c r="H575" s="253" t="s">
        <v>3177</v>
      </c>
      <c r="I575" s="253" t="s">
        <v>2731</v>
      </c>
      <c r="J575" s="227" t="s">
        <v>2477</v>
      </c>
      <c r="K575" s="262" t="s">
        <v>3112</v>
      </c>
      <c r="L575" s="262" t="s">
        <v>2767</v>
      </c>
      <c r="M575" s="259" t="s">
        <v>2784</v>
      </c>
      <c r="N575" s="295"/>
      <c r="O575" s="295" t="str">
        <f>TablaPOA[[#This Row],[Cod_Sub_acción_especifica]]&amp;"_"&amp;TablaPOA[[#This Row],[Tipo de agente]]</f>
        <v>K31.2.17.2_EVP combustibles de uso automotor</v>
      </c>
      <c r="P575" s="254" t="s">
        <v>2882</v>
      </c>
      <c r="Q575" s="292" t="str">
        <f>TablaPOA[[#This Row],[Cod_Sub_acción_especifica]]&amp;"_"&amp;TablaPOA[[#This Row],[Cod_Tipo_agente]]</f>
        <v>K31.2.17.2_TA6</v>
      </c>
      <c r="R575" s="254" t="s">
        <v>2883</v>
      </c>
      <c r="S575" s="255" t="s">
        <v>2890</v>
      </c>
      <c r="T575" s="271" t="s">
        <v>2891</v>
      </c>
    </row>
    <row r="576" spans="1:20" ht="25.5" x14ac:dyDescent="0.25">
      <c r="A576" s="219" t="s">
        <v>2314</v>
      </c>
      <c r="B576" s="227">
        <v>31</v>
      </c>
      <c r="C576" s="227" t="s">
        <v>2691</v>
      </c>
      <c r="D576" s="227" t="s">
        <v>2988</v>
      </c>
      <c r="E576" s="227" t="s">
        <v>3160</v>
      </c>
      <c r="F576" s="227" t="s">
        <v>2695</v>
      </c>
      <c r="G576" s="227" t="s">
        <v>2490</v>
      </c>
      <c r="H576" s="253" t="s">
        <v>3177</v>
      </c>
      <c r="I576" s="253" t="s">
        <v>2731</v>
      </c>
      <c r="J576" s="227" t="s">
        <v>2477</v>
      </c>
      <c r="K576" s="262" t="s">
        <v>3112</v>
      </c>
      <c r="L576" s="262" t="s">
        <v>2767</v>
      </c>
      <c r="M576" s="259" t="s">
        <v>2784</v>
      </c>
      <c r="N576" s="295"/>
      <c r="O576" s="295" t="str">
        <f>TablaPOA[[#This Row],[Cod_Sub_acción_especifica]]&amp;"_"&amp;TablaPOA[[#This Row],[Tipo de agente]]</f>
        <v>K31.2.17.2_EVP combustibles de uso automotor</v>
      </c>
      <c r="P576" s="254" t="s">
        <v>2882</v>
      </c>
      <c r="Q576" s="292" t="str">
        <f>TablaPOA[[#This Row],[Cod_Sub_acción_especifica]]&amp;"_"&amp;TablaPOA[[#This Row],[Cod_Tipo_agente]]</f>
        <v>K31.2.17.2_TA6</v>
      </c>
      <c r="R576" s="254" t="s">
        <v>2883</v>
      </c>
      <c r="S576" s="255" t="s">
        <v>2892</v>
      </c>
      <c r="T576" s="271" t="s">
        <v>2893</v>
      </c>
    </row>
    <row r="577" spans="1:20" ht="25.5" x14ac:dyDescent="0.25">
      <c r="A577" s="219" t="s">
        <v>2314</v>
      </c>
      <c r="B577" s="227">
        <v>31</v>
      </c>
      <c r="C577" s="227" t="s">
        <v>2691</v>
      </c>
      <c r="D577" s="227" t="s">
        <v>2988</v>
      </c>
      <c r="E577" s="227" t="s">
        <v>3160</v>
      </c>
      <c r="F577" s="227" t="s">
        <v>2695</v>
      </c>
      <c r="G577" s="227" t="s">
        <v>2490</v>
      </c>
      <c r="H577" s="253" t="s">
        <v>3177</v>
      </c>
      <c r="I577" s="253" t="s">
        <v>2731</v>
      </c>
      <c r="J577" s="227" t="s">
        <v>2477</v>
      </c>
      <c r="K577" s="262" t="s">
        <v>3112</v>
      </c>
      <c r="L577" s="262" t="s">
        <v>2767</v>
      </c>
      <c r="M577" s="259" t="s">
        <v>2784</v>
      </c>
      <c r="N577" s="295"/>
      <c r="O577" s="295" t="str">
        <f>TablaPOA[[#This Row],[Cod_Sub_acción_especifica]]&amp;"_"&amp;TablaPOA[[#This Row],[Tipo de agente]]</f>
        <v>K31.2.17.2_EVP combustibles de uso automotor</v>
      </c>
      <c r="P577" s="254" t="s">
        <v>2882</v>
      </c>
      <c r="Q577" s="292" t="str">
        <f>TablaPOA[[#This Row],[Cod_Sub_acción_especifica]]&amp;"_"&amp;TablaPOA[[#This Row],[Cod_Tipo_agente]]</f>
        <v>K31.2.17.2_TA6</v>
      </c>
      <c r="R577" s="254" t="s">
        <v>2883</v>
      </c>
      <c r="S577" s="255" t="s">
        <v>2894</v>
      </c>
      <c r="T577" s="271" t="s">
        <v>2895</v>
      </c>
    </row>
    <row r="578" spans="1:20" ht="25.5" x14ac:dyDescent="0.25">
      <c r="A578" s="219" t="s">
        <v>2314</v>
      </c>
      <c r="B578" s="227">
        <v>31</v>
      </c>
      <c r="C578" s="227" t="s">
        <v>2691</v>
      </c>
      <c r="D578" s="227" t="s">
        <v>2988</v>
      </c>
      <c r="E578" s="227" t="s">
        <v>3160</v>
      </c>
      <c r="F578" s="227" t="s">
        <v>2695</v>
      </c>
      <c r="G578" s="227" t="s">
        <v>2490</v>
      </c>
      <c r="H578" s="253" t="s">
        <v>3177</v>
      </c>
      <c r="I578" s="253" t="s">
        <v>2731</v>
      </c>
      <c r="J578" s="227" t="s">
        <v>2477</v>
      </c>
      <c r="K578" s="262" t="s">
        <v>3112</v>
      </c>
      <c r="L578" s="262" t="s">
        <v>2767</v>
      </c>
      <c r="M578" s="259" t="s">
        <v>2784</v>
      </c>
      <c r="N578" s="295"/>
      <c r="O578" s="295" t="str">
        <f>TablaPOA[[#This Row],[Cod_Sub_acción_especifica]]&amp;"_"&amp;TablaPOA[[#This Row],[Tipo de agente]]</f>
        <v>K31.2.17.2_EVP combustibles de uso automotor</v>
      </c>
      <c r="P578" s="254" t="s">
        <v>2882</v>
      </c>
      <c r="Q578" s="292" t="str">
        <f>TablaPOA[[#This Row],[Cod_Sub_acción_especifica]]&amp;"_"&amp;TablaPOA[[#This Row],[Cod_Tipo_agente]]</f>
        <v>K31.2.17.2_TA6</v>
      </c>
      <c r="R578" s="254" t="s">
        <v>2883</v>
      </c>
      <c r="S578" s="255" t="s">
        <v>2896</v>
      </c>
      <c r="T578" s="271" t="s">
        <v>2897</v>
      </c>
    </row>
    <row r="579" spans="1:20" ht="25.5" x14ac:dyDescent="0.25">
      <c r="A579" s="219" t="s">
        <v>2314</v>
      </c>
      <c r="B579" s="227">
        <v>31</v>
      </c>
      <c r="C579" s="227" t="s">
        <v>2691</v>
      </c>
      <c r="D579" s="227" t="s">
        <v>2988</v>
      </c>
      <c r="E579" s="227" t="s">
        <v>3160</v>
      </c>
      <c r="F579" s="227" t="s">
        <v>2695</v>
      </c>
      <c r="G579" s="227" t="s">
        <v>2490</v>
      </c>
      <c r="H579" s="253" t="s">
        <v>3177</v>
      </c>
      <c r="I579" s="253" t="s">
        <v>2731</v>
      </c>
      <c r="J579" s="227" t="s">
        <v>2477</v>
      </c>
      <c r="K579" s="262" t="s">
        <v>3112</v>
      </c>
      <c r="L579" s="262" t="s">
        <v>2767</v>
      </c>
      <c r="M579" s="259" t="s">
        <v>2784</v>
      </c>
      <c r="N579" s="295"/>
      <c r="O579" s="295" t="str">
        <f>TablaPOA[[#This Row],[Cod_Sub_acción_especifica]]&amp;"_"&amp;TablaPOA[[#This Row],[Tipo de agente]]</f>
        <v>K31.2.17.2_EVP combustibles de uso automotor</v>
      </c>
      <c r="P579" s="254" t="s">
        <v>2882</v>
      </c>
      <c r="Q579" s="292" t="str">
        <f>TablaPOA[[#This Row],[Cod_Sub_acción_especifica]]&amp;"_"&amp;TablaPOA[[#This Row],[Cod_Tipo_agente]]</f>
        <v>K31.2.17.2_TA6</v>
      </c>
      <c r="R579" s="254" t="s">
        <v>2883</v>
      </c>
      <c r="S579" s="255" t="s">
        <v>2898</v>
      </c>
      <c r="T579" s="271" t="s">
        <v>2899</v>
      </c>
    </row>
    <row r="580" spans="1:20" ht="25.5" x14ac:dyDescent="0.25">
      <c r="A580" s="219" t="s">
        <v>2314</v>
      </c>
      <c r="B580" s="227">
        <v>31</v>
      </c>
      <c r="C580" s="227" t="s">
        <v>2691</v>
      </c>
      <c r="D580" s="227" t="s">
        <v>2988</v>
      </c>
      <c r="E580" s="227" t="s">
        <v>3160</v>
      </c>
      <c r="F580" s="227" t="s">
        <v>2695</v>
      </c>
      <c r="G580" s="227" t="s">
        <v>2490</v>
      </c>
      <c r="H580" s="253" t="s">
        <v>3177</v>
      </c>
      <c r="I580" s="253" t="s">
        <v>2731</v>
      </c>
      <c r="J580" s="227" t="s">
        <v>2477</v>
      </c>
      <c r="K580" s="262" t="s">
        <v>3112</v>
      </c>
      <c r="L580" s="262" t="s">
        <v>2767</v>
      </c>
      <c r="M580" s="259" t="s">
        <v>2784</v>
      </c>
      <c r="N580" s="295"/>
      <c r="O580" s="295" t="str">
        <f>TablaPOA[[#This Row],[Cod_Sub_acción_especifica]]&amp;"_"&amp;TablaPOA[[#This Row],[Tipo de agente]]</f>
        <v>K31.2.17.2_EVP combustibles de uso automotor</v>
      </c>
      <c r="P580" s="254" t="s">
        <v>2882</v>
      </c>
      <c r="Q580" s="292" t="str">
        <f>TablaPOA[[#This Row],[Cod_Sub_acción_especifica]]&amp;"_"&amp;TablaPOA[[#This Row],[Cod_Tipo_agente]]</f>
        <v>K31.2.17.2_TA6</v>
      </c>
      <c r="R580" s="254" t="s">
        <v>2883</v>
      </c>
      <c r="S580" s="255" t="s">
        <v>2900</v>
      </c>
      <c r="T580" s="271" t="s">
        <v>2901</v>
      </c>
    </row>
    <row r="581" spans="1:20" ht="25.5" x14ac:dyDescent="0.25">
      <c r="A581" s="268" t="s">
        <v>2314</v>
      </c>
      <c r="B581" s="248">
        <v>31</v>
      </c>
      <c r="C581" s="248" t="s">
        <v>2691</v>
      </c>
      <c r="D581" s="248" t="s">
        <v>2988</v>
      </c>
      <c r="E581" s="248" t="s">
        <v>3160</v>
      </c>
      <c r="F581" s="248" t="s">
        <v>2695</v>
      </c>
      <c r="G581" s="248" t="s">
        <v>2490</v>
      </c>
      <c r="H581" s="249" t="s">
        <v>3178</v>
      </c>
      <c r="I581" s="249" t="s">
        <v>2732</v>
      </c>
      <c r="J581" s="248" t="s">
        <v>2733</v>
      </c>
      <c r="K581" s="249" t="s">
        <v>3113</v>
      </c>
      <c r="L581" s="249" t="s">
        <v>2785</v>
      </c>
      <c r="M581" s="248" t="s">
        <v>3021</v>
      </c>
      <c r="N581" s="299" t="s">
        <v>2809</v>
      </c>
      <c r="O581" s="292" t="str">
        <f>TablaPOA[[#This Row],[Cod_Sub_acción_especifica]]&amp;"_"&amp;TablaPOA[[#This Row],[Tipo de agente]]</f>
        <v>K31.2.18.1_Consumidores directos de combustibles líquidos y OPDH</v>
      </c>
      <c r="P581" s="250" t="s">
        <v>2808</v>
      </c>
      <c r="Q581" s="292" t="str">
        <f>TablaPOA[[#This Row],[Cod_Sub_acción_especifica]]&amp;"_"&amp;TablaPOA[[#This Row],[Cod_Tipo_agente]]</f>
        <v>K31.2.18.1_TA1</v>
      </c>
      <c r="R581" s="250" t="s">
        <v>2809</v>
      </c>
      <c r="S581" s="251" t="s">
        <v>2810</v>
      </c>
      <c r="T581" s="269" t="s">
        <v>2811</v>
      </c>
    </row>
    <row r="582" spans="1:20" ht="25.5" x14ac:dyDescent="0.25">
      <c r="A582" s="268" t="s">
        <v>2314</v>
      </c>
      <c r="B582" s="248">
        <v>31</v>
      </c>
      <c r="C582" s="248" t="s">
        <v>2691</v>
      </c>
      <c r="D582" s="248" t="s">
        <v>2988</v>
      </c>
      <c r="E582" s="248" t="s">
        <v>3160</v>
      </c>
      <c r="F582" s="248" t="s">
        <v>2695</v>
      </c>
      <c r="G582" s="248" t="s">
        <v>2490</v>
      </c>
      <c r="H582" s="249" t="s">
        <v>3178</v>
      </c>
      <c r="I582" s="249" t="s">
        <v>2732</v>
      </c>
      <c r="J582" s="248" t="s">
        <v>2733</v>
      </c>
      <c r="K582" s="249" t="s">
        <v>3113</v>
      </c>
      <c r="L582" s="249" t="s">
        <v>2785</v>
      </c>
      <c r="M582" s="248" t="s">
        <v>3021</v>
      </c>
      <c r="N582" s="299" t="s">
        <v>2831</v>
      </c>
      <c r="O582" s="292" t="str">
        <f>TablaPOA[[#This Row],[Cod_Sub_acción_especifica]]&amp;"_"&amp;TablaPOA[[#This Row],[Tipo de agente]]</f>
        <v>K31.2.18.1_Consumidores directos de combustibles líquidos y OPDH</v>
      </c>
      <c r="P582" s="250" t="s">
        <v>2808</v>
      </c>
      <c r="Q582" s="292" t="str">
        <f>TablaPOA[[#This Row],[Cod_Sub_acción_especifica]]&amp;"_"&amp;TablaPOA[[#This Row],[Cod_Tipo_agente]]</f>
        <v>K31.2.18.1_TA1</v>
      </c>
      <c r="R582" s="250" t="s">
        <v>2809</v>
      </c>
      <c r="S582" s="251" t="s">
        <v>2812</v>
      </c>
      <c r="T582" s="269" t="s">
        <v>2813</v>
      </c>
    </row>
    <row r="583" spans="1:20" ht="25.5" x14ac:dyDescent="0.25">
      <c r="A583" s="268" t="s">
        <v>2314</v>
      </c>
      <c r="B583" s="248">
        <v>31</v>
      </c>
      <c r="C583" s="248" t="s">
        <v>2691</v>
      </c>
      <c r="D583" s="248" t="s">
        <v>2988</v>
      </c>
      <c r="E583" s="248" t="s">
        <v>3160</v>
      </c>
      <c r="F583" s="248" t="s">
        <v>2695</v>
      </c>
      <c r="G583" s="248" t="s">
        <v>2490</v>
      </c>
      <c r="H583" s="249" t="s">
        <v>3178</v>
      </c>
      <c r="I583" s="249" t="s">
        <v>2732</v>
      </c>
      <c r="J583" s="248" t="s">
        <v>2733</v>
      </c>
      <c r="K583" s="249" t="s">
        <v>3113</v>
      </c>
      <c r="L583" s="249" t="s">
        <v>2785</v>
      </c>
      <c r="M583" s="248" t="s">
        <v>3021</v>
      </c>
      <c r="N583" s="299" t="s">
        <v>2840</v>
      </c>
      <c r="O583" s="292" t="str">
        <f>TablaPOA[[#This Row],[Cod_Sub_acción_especifica]]&amp;"_"&amp;TablaPOA[[#This Row],[Tipo de agente]]</f>
        <v>K31.2.18.1_Consumidores directos de combustibles líquidos y OPDH</v>
      </c>
      <c r="P583" s="250" t="s">
        <v>2808</v>
      </c>
      <c r="Q583" s="292" t="str">
        <f>TablaPOA[[#This Row],[Cod_Sub_acción_especifica]]&amp;"_"&amp;TablaPOA[[#This Row],[Cod_Tipo_agente]]</f>
        <v>K31.2.18.1_TA1</v>
      </c>
      <c r="R583" s="250" t="s">
        <v>2809</v>
      </c>
      <c r="S583" s="251" t="s">
        <v>2814</v>
      </c>
      <c r="T583" s="269" t="s">
        <v>2815</v>
      </c>
    </row>
    <row r="584" spans="1:20" ht="25.5" x14ac:dyDescent="0.25">
      <c r="A584" s="268" t="s">
        <v>2314</v>
      </c>
      <c r="B584" s="248">
        <v>31</v>
      </c>
      <c r="C584" s="248" t="s">
        <v>2691</v>
      </c>
      <c r="D584" s="248" t="s">
        <v>2988</v>
      </c>
      <c r="E584" s="248" t="s">
        <v>3160</v>
      </c>
      <c r="F584" s="248" t="s">
        <v>2695</v>
      </c>
      <c r="G584" s="248" t="s">
        <v>2490</v>
      </c>
      <c r="H584" s="249" t="s">
        <v>3178</v>
      </c>
      <c r="I584" s="249" t="s">
        <v>2732</v>
      </c>
      <c r="J584" s="248" t="s">
        <v>2733</v>
      </c>
      <c r="K584" s="249" t="s">
        <v>3113</v>
      </c>
      <c r="L584" s="249" t="s">
        <v>2785</v>
      </c>
      <c r="M584" s="248" t="s">
        <v>3021</v>
      </c>
      <c r="N584" s="299" t="s">
        <v>2853</v>
      </c>
      <c r="O584" s="292" t="str">
        <f>TablaPOA[[#This Row],[Cod_Sub_acción_especifica]]&amp;"_"&amp;TablaPOA[[#This Row],[Tipo de agente]]</f>
        <v>K31.2.18.1_Consumidores directos de combustibles líquidos y OPDH</v>
      </c>
      <c r="P584" s="250" t="s">
        <v>2808</v>
      </c>
      <c r="Q584" s="292" t="str">
        <f>TablaPOA[[#This Row],[Cod_Sub_acción_especifica]]&amp;"_"&amp;TablaPOA[[#This Row],[Cod_Tipo_agente]]</f>
        <v>K31.2.18.1_TA1</v>
      </c>
      <c r="R584" s="250" t="s">
        <v>2809</v>
      </c>
      <c r="S584" s="251" t="s">
        <v>2816</v>
      </c>
      <c r="T584" s="269" t="s">
        <v>2817</v>
      </c>
    </row>
    <row r="585" spans="1:20" ht="25.5" x14ac:dyDescent="0.25">
      <c r="A585" s="268" t="s">
        <v>2314</v>
      </c>
      <c r="B585" s="248">
        <v>31</v>
      </c>
      <c r="C585" s="248" t="s">
        <v>2691</v>
      </c>
      <c r="D585" s="248" t="s">
        <v>2988</v>
      </c>
      <c r="E585" s="248" t="s">
        <v>3160</v>
      </c>
      <c r="F585" s="248" t="s">
        <v>2695</v>
      </c>
      <c r="G585" s="248" t="s">
        <v>2490</v>
      </c>
      <c r="H585" s="249" t="s">
        <v>3178</v>
      </c>
      <c r="I585" s="249" t="s">
        <v>2732</v>
      </c>
      <c r="J585" s="248" t="s">
        <v>2733</v>
      </c>
      <c r="K585" s="249" t="s">
        <v>3113</v>
      </c>
      <c r="L585" s="249" t="s">
        <v>2785</v>
      </c>
      <c r="M585" s="248" t="s">
        <v>3021</v>
      </c>
      <c r="N585" s="299" t="s">
        <v>2877</v>
      </c>
      <c r="O585" s="292" t="str">
        <f>TablaPOA[[#This Row],[Cod_Sub_acción_especifica]]&amp;"_"&amp;TablaPOA[[#This Row],[Tipo de agente]]</f>
        <v>K31.2.18.1_Consumidores directos de combustibles líquidos y OPDH</v>
      </c>
      <c r="P585" s="250" t="s">
        <v>2808</v>
      </c>
      <c r="Q585" s="292" t="str">
        <f>TablaPOA[[#This Row],[Cod_Sub_acción_especifica]]&amp;"_"&amp;TablaPOA[[#This Row],[Cod_Tipo_agente]]</f>
        <v>K31.2.18.1_TA1</v>
      </c>
      <c r="R585" s="250" t="s">
        <v>2809</v>
      </c>
      <c r="S585" s="251" t="s">
        <v>2818</v>
      </c>
      <c r="T585" s="269" t="s">
        <v>2819</v>
      </c>
    </row>
    <row r="586" spans="1:20" ht="25.5" x14ac:dyDescent="0.25">
      <c r="A586" s="268" t="s">
        <v>2314</v>
      </c>
      <c r="B586" s="248">
        <v>31</v>
      </c>
      <c r="C586" s="248" t="s">
        <v>2691</v>
      </c>
      <c r="D586" s="248" t="s">
        <v>2988</v>
      </c>
      <c r="E586" s="248" t="s">
        <v>3160</v>
      </c>
      <c r="F586" s="248" t="s">
        <v>2695</v>
      </c>
      <c r="G586" s="248" t="s">
        <v>2490</v>
      </c>
      <c r="H586" s="249" t="s">
        <v>3178</v>
      </c>
      <c r="I586" s="249" t="s">
        <v>2732</v>
      </c>
      <c r="J586" s="248" t="s">
        <v>2733</v>
      </c>
      <c r="K586" s="249" t="s">
        <v>3113</v>
      </c>
      <c r="L586" s="249" t="s">
        <v>2785</v>
      </c>
      <c r="M586" s="248" t="s">
        <v>3021</v>
      </c>
      <c r="N586" s="299" t="s">
        <v>2883</v>
      </c>
      <c r="O586" s="292" t="str">
        <f>TablaPOA[[#This Row],[Cod_Sub_acción_especifica]]&amp;"_"&amp;TablaPOA[[#This Row],[Tipo de agente]]</f>
        <v>K31.2.18.1_Consumidores directos de combustibles líquidos y OPDH</v>
      </c>
      <c r="P586" s="250" t="s">
        <v>2808</v>
      </c>
      <c r="Q586" s="292" t="str">
        <f>TablaPOA[[#This Row],[Cod_Sub_acción_especifica]]&amp;"_"&amp;TablaPOA[[#This Row],[Cod_Tipo_agente]]</f>
        <v>K31.2.18.1_TA1</v>
      </c>
      <c r="R586" s="250" t="s">
        <v>2809</v>
      </c>
      <c r="S586" s="251" t="s">
        <v>2820</v>
      </c>
      <c r="T586" s="269" t="s">
        <v>2821</v>
      </c>
    </row>
    <row r="587" spans="1:20" ht="25.5" x14ac:dyDescent="0.25">
      <c r="A587" s="268" t="s">
        <v>2314</v>
      </c>
      <c r="B587" s="248">
        <v>31</v>
      </c>
      <c r="C587" s="248" t="s">
        <v>2691</v>
      </c>
      <c r="D587" s="248" t="s">
        <v>2988</v>
      </c>
      <c r="E587" s="248" t="s">
        <v>3160</v>
      </c>
      <c r="F587" s="248" t="s">
        <v>2695</v>
      </c>
      <c r="G587" s="248" t="s">
        <v>2490</v>
      </c>
      <c r="H587" s="249" t="s">
        <v>3178</v>
      </c>
      <c r="I587" s="249" t="s">
        <v>2732</v>
      </c>
      <c r="J587" s="248" t="s">
        <v>2733</v>
      </c>
      <c r="K587" s="249" t="s">
        <v>3113</v>
      </c>
      <c r="L587" s="249" t="s">
        <v>2785</v>
      </c>
      <c r="M587" s="248" t="s">
        <v>3021</v>
      </c>
      <c r="N587" s="299" t="s">
        <v>2913</v>
      </c>
      <c r="O587" s="292" t="str">
        <f>TablaPOA[[#This Row],[Cod_Sub_acción_especifica]]&amp;"_"&amp;TablaPOA[[#This Row],[Tipo de agente]]</f>
        <v>K31.2.18.1_Consumidores directos de combustibles líquidos y OPDH</v>
      </c>
      <c r="P587" s="250" t="s">
        <v>2808</v>
      </c>
      <c r="Q587" s="292" t="str">
        <f>TablaPOA[[#This Row],[Cod_Sub_acción_especifica]]&amp;"_"&amp;TablaPOA[[#This Row],[Cod_Tipo_agente]]</f>
        <v>K31.2.18.1_TA1</v>
      </c>
      <c r="R587" s="250" t="s">
        <v>2809</v>
      </c>
      <c r="S587" s="251" t="s">
        <v>2822</v>
      </c>
      <c r="T587" s="269" t="s">
        <v>2823</v>
      </c>
    </row>
    <row r="588" spans="1:20" ht="25.5" x14ac:dyDescent="0.25">
      <c r="A588" s="268" t="s">
        <v>2314</v>
      </c>
      <c r="B588" s="248">
        <v>31</v>
      </c>
      <c r="C588" s="248" t="s">
        <v>2691</v>
      </c>
      <c r="D588" s="248" t="s">
        <v>2988</v>
      </c>
      <c r="E588" s="248" t="s">
        <v>3160</v>
      </c>
      <c r="F588" s="248" t="s">
        <v>2695</v>
      </c>
      <c r="G588" s="248" t="s">
        <v>2490</v>
      </c>
      <c r="H588" s="249" t="s">
        <v>3178</v>
      </c>
      <c r="I588" s="249" t="s">
        <v>2732</v>
      </c>
      <c r="J588" s="248" t="s">
        <v>2733</v>
      </c>
      <c r="K588" s="249" t="s">
        <v>3113</v>
      </c>
      <c r="L588" s="249" t="s">
        <v>2785</v>
      </c>
      <c r="M588" s="248" t="s">
        <v>3021</v>
      </c>
      <c r="N588" s="299" t="s">
        <v>2919</v>
      </c>
      <c r="O588" s="292" t="str">
        <f>TablaPOA[[#This Row],[Cod_Sub_acción_especifica]]&amp;"_"&amp;TablaPOA[[#This Row],[Tipo de agente]]</f>
        <v>K31.2.18.1_Consumidores directos de combustibles líquidos y OPDH</v>
      </c>
      <c r="P588" s="250" t="s">
        <v>2808</v>
      </c>
      <c r="Q588" s="292" t="str">
        <f>TablaPOA[[#This Row],[Cod_Sub_acción_especifica]]&amp;"_"&amp;TablaPOA[[#This Row],[Cod_Tipo_agente]]</f>
        <v>K31.2.18.1_TA1</v>
      </c>
      <c r="R588" s="250" t="s">
        <v>2809</v>
      </c>
      <c r="S588" s="251" t="s">
        <v>2824</v>
      </c>
      <c r="T588" s="269" t="s">
        <v>2825</v>
      </c>
    </row>
    <row r="589" spans="1:20" ht="25.5" x14ac:dyDescent="0.25">
      <c r="A589" s="268" t="s">
        <v>2314</v>
      </c>
      <c r="B589" s="248">
        <v>31</v>
      </c>
      <c r="C589" s="248" t="s">
        <v>2691</v>
      </c>
      <c r="D589" s="248" t="s">
        <v>2988</v>
      </c>
      <c r="E589" s="248" t="s">
        <v>3160</v>
      </c>
      <c r="F589" s="248" t="s">
        <v>2695</v>
      </c>
      <c r="G589" s="248" t="s">
        <v>2490</v>
      </c>
      <c r="H589" s="249" t="s">
        <v>3178</v>
      </c>
      <c r="I589" s="249" t="s">
        <v>2732</v>
      </c>
      <c r="J589" s="248" t="s">
        <v>2733</v>
      </c>
      <c r="K589" s="249" t="s">
        <v>3113</v>
      </c>
      <c r="L589" s="249" t="s">
        <v>2785</v>
      </c>
      <c r="M589" s="248" t="s">
        <v>3021</v>
      </c>
      <c r="N589" s="299" t="s">
        <v>2951</v>
      </c>
      <c r="O589" s="292" t="str">
        <f>TablaPOA[[#This Row],[Cod_Sub_acción_especifica]]&amp;"_"&amp;TablaPOA[[#This Row],[Tipo de agente]]</f>
        <v>K31.2.18.1_Consumidores directos de combustibles líquidos y OPDH</v>
      </c>
      <c r="P589" s="250" t="s">
        <v>2808</v>
      </c>
      <c r="Q589" s="292" t="str">
        <f>TablaPOA[[#This Row],[Cod_Sub_acción_especifica]]&amp;"_"&amp;TablaPOA[[#This Row],[Cod_Tipo_agente]]</f>
        <v>K31.2.18.1_TA1</v>
      </c>
      <c r="R589" s="250" t="s">
        <v>2809</v>
      </c>
      <c r="S589" s="251" t="s">
        <v>2826</v>
      </c>
      <c r="T589" s="269" t="s">
        <v>2827</v>
      </c>
    </row>
    <row r="590" spans="1:20" ht="25.5" x14ac:dyDescent="0.25">
      <c r="A590" s="268" t="s">
        <v>2314</v>
      </c>
      <c r="B590" s="248">
        <v>31</v>
      </c>
      <c r="C590" s="248" t="s">
        <v>2691</v>
      </c>
      <c r="D590" s="248" t="s">
        <v>2988</v>
      </c>
      <c r="E590" s="248" t="s">
        <v>3160</v>
      </c>
      <c r="F590" s="248" t="s">
        <v>2695</v>
      </c>
      <c r="G590" s="248" t="s">
        <v>2490</v>
      </c>
      <c r="H590" s="249" t="s">
        <v>3178</v>
      </c>
      <c r="I590" s="249" t="s">
        <v>2732</v>
      </c>
      <c r="J590" s="248" t="s">
        <v>2733</v>
      </c>
      <c r="K590" s="249" t="s">
        <v>3113</v>
      </c>
      <c r="L590" s="249" t="s">
        <v>2785</v>
      </c>
      <c r="M590" s="248" t="s">
        <v>3021</v>
      </c>
      <c r="N590" s="299" t="s">
        <v>2903</v>
      </c>
      <c r="O590" s="292" t="str">
        <f>TablaPOA[[#This Row],[Cod_Sub_acción_especifica]]&amp;"_"&amp;TablaPOA[[#This Row],[Tipo de agente]]</f>
        <v>K31.2.18.1_Consumidores directos de combustibles líquidos y OPDH</v>
      </c>
      <c r="P590" s="250" t="s">
        <v>2808</v>
      </c>
      <c r="Q590" s="292" t="str">
        <f>TablaPOA[[#This Row],[Cod_Sub_acción_especifica]]&amp;"_"&amp;TablaPOA[[#This Row],[Cod_Tipo_agente]]</f>
        <v>K31.2.18.1_TA1</v>
      </c>
      <c r="R590" s="250" t="s">
        <v>2809</v>
      </c>
      <c r="S590" s="251" t="s">
        <v>2828</v>
      </c>
      <c r="T590" s="269" t="s">
        <v>2829</v>
      </c>
    </row>
    <row r="591" spans="1:20" ht="25.5" x14ac:dyDescent="0.25">
      <c r="A591" s="268" t="s">
        <v>2314</v>
      </c>
      <c r="B591" s="248">
        <v>31</v>
      </c>
      <c r="C591" s="248" t="s">
        <v>2691</v>
      </c>
      <c r="D591" s="248" t="s">
        <v>2988</v>
      </c>
      <c r="E591" s="248" t="s">
        <v>3160</v>
      </c>
      <c r="F591" s="248" t="s">
        <v>2695</v>
      </c>
      <c r="G591" s="248" t="s">
        <v>2490</v>
      </c>
      <c r="H591" s="249" t="s">
        <v>3178</v>
      </c>
      <c r="I591" s="249" t="s">
        <v>2732</v>
      </c>
      <c r="J591" s="248" t="s">
        <v>2733</v>
      </c>
      <c r="K591" s="249" t="s">
        <v>3113</v>
      </c>
      <c r="L591" s="249" t="s">
        <v>2785</v>
      </c>
      <c r="M591" s="248" t="s">
        <v>3021</v>
      </c>
      <c r="N591" s="299" t="s">
        <v>2963</v>
      </c>
      <c r="O591" s="292" t="str">
        <f>TablaPOA[[#This Row],[Cod_Sub_acción_especifica]]&amp;"_"&amp;TablaPOA[[#This Row],[Tipo de agente]]</f>
        <v>K31.2.18.1_Consumidores directos de gas natural</v>
      </c>
      <c r="P591" s="250" t="s">
        <v>2830</v>
      </c>
      <c r="Q591" s="292" t="str">
        <f>TablaPOA[[#This Row],[Cod_Sub_acción_especifica]]&amp;"_"&amp;TablaPOA[[#This Row],[Cod_Tipo_agente]]</f>
        <v>K31.2.18.1_TA2</v>
      </c>
      <c r="R591" s="250" t="s">
        <v>2831</v>
      </c>
      <c r="S591" s="250">
        <v>101</v>
      </c>
      <c r="T591" s="269" t="s">
        <v>2832</v>
      </c>
    </row>
    <row r="592" spans="1:20" ht="25.5" x14ac:dyDescent="0.25">
      <c r="A592" s="268" t="s">
        <v>2314</v>
      </c>
      <c r="B592" s="248">
        <v>31</v>
      </c>
      <c r="C592" s="248" t="s">
        <v>2691</v>
      </c>
      <c r="D592" s="248" t="s">
        <v>2988</v>
      </c>
      <c r="E592" s="248" t="s">
        <v>3160</v>
      </c>
      <c r="F592" s="248" t="s">
        <v>2695</v>
      </c>
      <c r="G592" s="248" t="s">
        <v>2490</v>
      </c>
      <c r="H592" s="249" t="s">
        <v>3178</v>
      </c>
      <c r="I592" s="249" t="s">
        <v>2732</v>
      </c>
      <c r="J592" s="248" t="s">
        <v>2733</v>
      </c>
      <c r="K592" s="249" t="s">
        <v>3113</v>
      </c>
      <c r="L592" s="249" t="s">
        <v>2785</v>
      </c>
      <c r="M592" s="248" t="s">
        <v>3021</v>
      </c>
      <c r="N592" s="293"/>
      <c r="O592" s="293" t="str">
        <f>TablaPOA[[#This Row],[Cod_Sub_acción_especifica]]&amp;"_"&amp;TablaPOA[[#This Row],[Tipo de agente]]</f>
        <v>K31.2.18.1_Consumidores directos de gas natural</v>
      </c>
      <c r="P592" s="250" t="s">
        <v>2830</v>
      </c>
      <c r="Q592" s="292" t="str">
        <f>TablaPOA[[#This Row],[Cod_Sub_acción_especifica]]&amp;"_"&amp;TablaPOA[[#This Row],[Cod_Tipo_agente]]</f>
        <v>K31.2.18.1_TA2</v>
      </c>
      <c r="R592" s="250" t="s">
        <v>2831</v>
      </c>
      <c r="S592" s="250" t="s">
        <v>2833</v>
      </c>
      <c r="T592" s="269" t="s">
        <v>2834</v>
      </c>
    </row>
    <row r="593" spans="1:20" ht="25.5" x14ac:dyDescent="0.25">
      <c r="A593" s="268" t="s">
        <v>2314</v>
      </c>
      <c r="B593" s="248">
        <v>31</v>
      </c>
      <c r="C593" s="248" t="s">
        <v>2691</v>
      </c>
      <c r="D593" s="248" t="s">
        <v>2988</v>
      </c>
      <c r="E593" s="248" t="s">
        <v>3160</v>
      </c>
      <c r="F593" s="248" t="s">
        <v>2695</v>
      </c>
      <c r="G593" s="248" t="s">
        <v>2490</v>
      </c>
      <c r="H593" s="249" t="s">
        <v>3178</v>
      </c>
      <c r="I593" s="249" t="s">
        <v>2732</v>
      </c>
      <c r="J593" s="248" t="s">
        <v>2733</v>
      </c>
      <c r="K593" s="249" t="s">
        <v>3113</v>
      </c>
      <c r="L593" s="249" t="s">
        <v>2785</v>
      </c>
      <c r="M593" s="248" t="s">
        <v>3021</v>
      </c>
      <c r="N593" s="293"/>
      <c r="O593" s="293" t="str">
        <f>TablaPOA[[#This Row],[Cod_Sub_acción_especifica]]&amp;"_"&amp;TablaPOA[[#This Row],[Tipo de agente]]</f>
        <v>K31.2.18.1_Consumidores directos de gas natural</v>
      </c>
      <c r="P593" s="250" t="s">
        <v>2830</v>
      </c>
      <c r="Q593" s="292" t="str">
        <f>TablaPOA[[#This Row],[Cod_Sub_acción_especifica]]&amp;"_"&amp;TablaPOA[[#This Row],[Cod_Tipo_agente]]</f>
        <v>K31.2.18.1_TA2</v>
      </c>
      <c r="R593" s="250" t="s">
        <v>2831</v>
      </c>
      <c r="S593" s="250" t="s">
        <v>2835</v>
      </c>
      <c r="T593" s="269" t="s">
        <v>2836</v>
      </c>
    </row>
    <row r="594" spans="1:20" ht="25.5" x14ac:dyDescent="0.25">
      <c r="A594" s="268" t="s">
        <v>2314</v>
      </c>
      <c r="B594" s="248">
        <v>31</v>
      </c>
      <c r="C594" s="248" t="s">
        <v>2691</v>
      </c>
      <c r="D594" s="248" t="s">
        <v>2988</v>
      </c>
      <c r="E594" s="248" t="s">
        <v>3160</v>
      </c>
      <c r="F594" s="248" t="s">
        <v>2695</v>
      </c>
      <c r="G594" s="248" t="s">
        <v>2490</v>
      </c>
      <c r="H594" s="249" t="s">
        <v>3178</v>
      </c>
      <c r="I594" s="249" t="s">
        <v>2732</v>
      </c>
      <c r="J594" s="248" t="s">
        <v>2733</v>
      </c>
      <c r="K594" s="249" t="s">
        <v>3113</v>
      </c>
      <c r="L594" s="249" t="s">
        <v>2785</v>
      </c>
      <c r="M594" s="248" t="s">
        <v>3021</v>
      </c>
      <c r="N594" s="293"/>
      <c r="O594" s="293" t="str">
        <f>TablaPOA[[#This Row],[Cod_Sub_acción_especifica]]&amp;"_"&amp;TablaPOA[[#This Row],[Tipo de agente]]</f>
        <v>K31.2.18.1_Consumidores directos de gas natural</v>
      </c>
      <c r="P594" s="250" t="s">
        <v>2830</v>
      </c>
      <c r="Q594" s="292" t="str">
        <f>TablaPOA[[#This Row],[Cod_Sub_acción_especifica]]&amp;"_"&amp;TablaPOA[[#This Row],[Cod_Tipo_agente]]</f>
        <v>K31.2.18.1_TA2</v>
      </c>
      <c r="R594" s="250" t="s">
        <v>2831</v>
      </c>
      <c r="S594" s="250" t="s">
        <v>2837</v>
      </c>
      <c r="T594" s="269" t="s">
        <v>2838</v>
      </c>
    </row>
    <row r="595" spans="1:20" ht="25.5" x14ac:dyDescent="0.25">
      <c r="A595" s="268" t="s">
        <v>2314</v>
      </c>
      <c r="B595" s="248">
        <v>31</v>
      </c>
      <c r="C595" s="248" t="s">
        <v>2691</v>
      </c>
      <c r="D595" s="248" t="s">
        <v>2988</v>
      </c>
      <c r="E595" s="248" t="s">
        <v>3160</v>
      </c>
      <c r="F595" s="248" t="s">
        <v>2695</v>
      </c>
      <c r="G595" s="248" t="s">
        <v>2490</v>
      </c>
      <c r="H595" s="249" t="s">
        <v>3178</v>
      </c>
      <c r="I595" s="249" t="s">
        <v>2732</v>
      </c>
      <c r="J595" s="248" t="s">
        <v>2733</v>
      </c>
      <c r="K595" s="249" t="s">
        <v>3113</v>
      </c>
      <c r="L595" s="249" t="s">
        <v>2785</v>
      </c>
      <c r="M595" s="248" t="s">
        <v>3021</v>
      </c>
      <c r="N595" s="293"/>
      <c r="O595" s="293" t="str">
        <f>TablaPOA[[#This Row],[Cod_Sub_acción_especifica]]&amp;"_"&amp;TablaPOA[[#This Row],[Tipo de agente]]</f>
        <v>K31.2.18.1_Consumidores directos de GLP y redes de distribución</v>
      </c>
      <c r="P595" s="250" t="s">
        <v>2839</v>
      </c>
      <c r="Q595" s="292" t="str">
        <f>TablaPOA[[#This Row],[Cod_Sub_acción_especifica]]&amp;"_"&amp;TablaPOA[[#This Row],[Cod_Tipo_agente]]</f>
        <v>K31.2.18.1_TA3</v>
      </c>
      <c r="R595" s="250" t="s">
        <v>2840</v>
      </c>
      <c r="S595" s="250">
        <v>400</v>
      </c>
      <c r="T595" s="269" t="s">
        <v>2841</v>
      </c>
    </row>
    <row r="596" spans="1:20" ht="25.5" x14ac:dyDescent="0.25">
      <c r="A596" s="268" t="s">
        <v>2314</v>
      </c>
      <c r="B596" s="248">
        <v>31</v>
      </c>
      <c r="C596" s="248" t="s">
        <v>2691</v>
      </c>
      <c r="D596" s="248" t="s">
        <v>2988</v>
      </c>
      <c r="E596" s="248" t="s">
        <v>3160</v>
      </c>
      <c r="F596" s="248" t="s">
        <v>2695</v>
      </c>
      <c r="G596" s="248" t="s">
        <v>2490</v>
      </c>
      <c r="H596" s="249" t="s">
        <v>3178</v>
      </c>
      <c r="I596" s="249" t="s">
        <v>2732</v>
      </c>
      <c r="J596" s="248" t="s">
        <v>2733</v>
      </c>
      <c r="K596" s="249" t="s">
        <v>3113</v>
      </c>
      <c r="L596" s="249" t="s">
        <v>2785</v>
      </c>
      <c r="M596" s="248" t="s">
        <v>3021</v>
      </c>
      <c r="N596" s="293"/>
      <c r="O596" s="293" t="str">
        <f>TablaPOA[[#This Row],[Cod_Sub_acción_especifica]]&amp;"_"&amp;TablaPOA[[#This Row],[Tipo de agente]]</f>
        <v>K31.2.18.1_Consumidores directos de GLP y redes de distribución</v>
      </c>
      <c r="P596" s="250" t="s">
        <v>2839</v>
      </c>
      <c r="Q596" s="292" t="str">
        <f>TablaPOA[[#This Row],[Cod_Sub_acción_especifica]]&amp;"_"&amp;TablaPOA[[#This Row],[Cod_Tipo_agente]]</f>
        <v>K31.2.18.1_TA3</v>
      </c>
      <c r="R596" s="250" t="s">
        <v>2840</v>
      </c>
      <c r="S596" s="250" t="s">
        <v>2842</v>
      </c>
      <c r="T596" s="269" t="s">
        <v>2843</v>
      </c>
    </row>
    <row r="597" spans="1:20" ht="25.5" x14ac:dyDescent="0.25">
      <c r="A597" s="268" t="s">
        <v>2314</v>
      </c>
      <c r="B597" s="248">
        <v>31</v>
      </c>
      <c r="C597" s="248" t="s">
        <v>2691</v>
      </c>
      <c r="D597" s="248" t="s">
        <v>2988</v>
      </c>
      <c r="E597" s="248" t="s">
        <v>3160</v>
      </c>
      <c r="F597" s="248" t="s">
        <v>2695</v>
      </c>
      <c r="G597" s="248" t="s">
        <v>2490</v>
      </c>
      <c r="H597" s="249" t="s">
        <v>3178</v>
      </c>
      <c r="I597" s="249" t="s">
        <v>2732</v>
      </c>
      <c r="J597" s="248" t="s">
        <v>2733</v>
      </c>
      <c r="K597" s="249" t="s">
        <v>3113</v>
      </c>
      <c r="L597" s="249" t="s">
        <v>2785</v>
      </c>
      <c r="M597" s="248" t="s">
        <v>3021</v>
      </c>
      <c r="N597" s="293"/>
      <c r="O597" s="293" t="str">
        <f>TablaPOA[[#This Row],[Cod_Sub_acción_especifica]]&amp;"_"&amp;TablaPOA[[#This Row],[Tipo de agente]]</f>
        <v>K31.2.18.1_Consumidores directos de GLP y redes de distribución</v>
      </c>
      <c r="P597" s="250" t="s">
        <v>2839</v>
      </c>
      <c r="Q597" s="292" t="str">
        <f>TablaPOA[[#This Row],[Cod_Sub_acción_especifica]]&amp;"_"&amp;TablaPOA[[#This Row],[Cod_Tipo_agente]]</f>
        <v>K31.2.18.1_TA3</v>
      </c>
      <c r="R597" s="250" t="s">
        <v>2840</v>
      </c>
      <c r="S597" s="250" t="s">
        <v>2844</v>
      </c>
      <c r="T597" s="269" t="s">
        <v>2845</v>
      </c>
    </row>
    <row r="598" spans="1:20" ht="25.5" x14ac:dyDescent="0.25">
      <c r="A598" s="268" t="s">
        <v>2314</v>
      </c>
      <c r="B598" s="248">
        <v>31</v>
      </c>
      <c r="C598" s="248" t="s">
        <v>2691</v>
      </c>
      <c r="D598" s="248" t="s">
        <v>2988</v>
      </c>
      <c r="E598" s="248" t="s">
        <v>3160</v>
      </c>
      <c r="F598" s="248" t="s">
        <v>2695</v>
      </c>
      <c r="G598" s="248" t="s">
        <v>2490</v>
      </c>
      <c r="H598" s="249" t="s">
        <v>3178</v>
      </c>
      <c r="I598" s="249" t="s">
        <v>2732</v>
      </c>
      <c r="J598" s="248" t="s">
        <v>2733</v>
      </c>
      <c r="K598" s="249" t="s">
        <v>3113</v>
      </c>
      <c r="L598" s="249" t="s">
        <v>2785</v>
      </c>
      <c r="M598" s="248" t="s">
        <v>3021</v>
      </c>
      <c r="N598" s="293"/>
      <c r="O598" s="293" t="str">
        <f>TablaPOA[[#This Row],[Cod_Sub_acción_especifica]]&amp;"_"&amp;TablaPOA[[#This Row],[Tipo de agente]]</f>
        <v>K31.2.18.1_Consumidores directos de GLP y redes de distribución</v>
      </c>
      <c r="P598" s="250" t="s">
        <v>2839</v>
      </c>
      <c r="Q598" s="292" t="str">
        <f>TablaPOA[[#This Row],[Cod_Sub_acción_especifica]]&amp;"_"&amp;TablaPOA[[#This Row],[Cod_Tipo_agente]]</f>
        <v>K31.2.18.1_TA3</v>
      </c>
      <c r="R598" s="250" t="s">
        <v>2840</v>
      </c>
      <c r="S598" s="250" t="s">
        <v>2846</v>
      </c>
      <c r="T598" s="269" t="s">
        <v>2847</v>
      </c>
    </row>
    <row r="599" spans="1:20" ht="25.5" x14ac:dyDescent="0.25">
      <c r="A599" s="268" t="s">
        <v>2314</v>
      </c>
      <c r="B599" s="248">
        <v>31</v>
      </c>
      <c r="C599" s="248" t="s">
        <v>2691</v>
      </c>
      <c r="D599" s="248" t="s">
        <v>2988</v>
      </c>
      <c r="E599" s="248" t="s">
        <v>3160</v>
      </c>
      <c r="F599" s="248" t="s">
        <v>2695</v>
      </c>
      <c r="G599" s="248" t="s">
        <v>2490</v>
      </c>
      <c r="H599" s="249" t="s">
        <v>3178</v>
      </c>
      <c r="I599" s="249" t="s">
        <v>2732</v>
      </c>
      <c r="J599" s="248" t="s">
        <v>2733</v>
      </c>
      <c r="K599" s="249" t="s">
        <v>3113</v>
      </c>
      <c r="L599" s="249" t="s">
        <v>2785</v>
      </c>
      <c r="M599" s="248" t="s">
        <v>3021</v>
      </c>
      <c r="N599" s="293"/>
      <c r="O599" s="293" t="str">
        <f>TablaPOA[[#This Row],[Cod_Sub_acción_especifica]]&amp;"_"&amp;TablaPOA[[#This Row],[Tipo de agente]]</f>
        <v>K31.2.18.1_Consumidores directos de GLP y redes de distribución</v>
      </c>
      <c r="P599" s="250" t="s">
        <v>2839</v>
      </c>
      <c r="Q599" s="292" t="str">
        <f>TablaPOA[[#This Row],[Cod_Sub_acción_especifica]]&amp;"_"&amp;TablaPOA[[#This Row],[Cod_Tipo_agente]]</f>
        <v>K31.2.18.1_TA3</v>
      </c>
      <c r="R599" s="250" t="s">
        <v>2840</v>
      </c>
      <c r="S599" s="250" t="s">
        <v>2848</v>
      </c>
      <c r="T599" s="269" t="s">
        <v>2849</v>
      </c>
    </row>
    <row r="600" spans="1:20" ht="25.5" x14ac:dyDescent="0.25">
      <c r="A600" s="268" t="s">
        <v>2314</v>
      </c>
      <c r="B600" s="248">
        <v>31</v>
      </c>
      <c r="C600" s="248" t="s">
        <v>2691</v>
      </c>
      <c r="D600" s="248" t="s">
        <v>2988</v>
      </c>
      <c r="E600" s="248" t="s">
        <v>3160</v>
      </c>
      <c r="F600" s="248" t="s">
        <v>2695</v>
      </c>
      <c r="G600" s="248" t="s">
        <v>2490</v>
      </c>
      <c r="H600" s="249" t="s">
        <v>3178</v>
      </c>
      <c r="I600" s="249" t="s">
        <v>2732</v>
      </c>
      <c r="J600" s="248" t="s">
        <v>2733</v>
      </c>
      <c r="K600" s="249" t="s">
        <v>3113</v>
      </c>
      <c r="L600" s="249" t="s">
        <v>2785</v>
      </c>
      <c r="M600" s="248" t="s">
        <v>3021</v>
      </c>
      <c r="N600" s="293"/>
      <c r="O600" s="293" t="str">
        <f>TablaPOA[[#This Row],[Cod_Sub_acción_especifica]]&amp;"_"&amp;TablaPOA[[#This Row],[Tipo de agente]]</f>
        <v>K31.2.18.1_Consumidores directos de GLP y redes de distribución</v>
      </c>
      <c r="P600" s="250" t="s">
        <v>2839</v>
      </c>
      <c r="Q600" s="292" t="str">
        <f>TablaPOA[[#This Row],[Cod_Sub_acción_especifica]]&amp;"_"&amp;TablaPOA[[#This Row],[Cod_Tipo_agente]]</f>
        <v>K31.2.18.1_TA3</v>
      </c>
      <c r="R600" s="250" t="s">
        <v>2840</v>
      </c>
      <c r="S600" s="250" t="s">
        <v>2850</v>
      </c>
      <c r="T600" s="269" t="s">
        <v>2851</v>
      </c>
    </row>
    <row r="601" spans="1:20" ht="25.5" x14ac:dyDescent="0.25">
      <c r="A601" s="268" t="s">
        <v>2314</v>
      </c>
      <c r="B601" s="248">
        <v>31</v>
      </c>
      <c r="C601" s="248" t="s">
        <v>2691</v>
      </c>
      <c r="D601" s="248" t="s">
        <v>2988</v>
      </c>
      <c r="E601" s="248" t="s">
        <v>3160</v>
      </c>
      <c r="F601" s="248" t="s">
        <v>2695</v>
      </c>
      <c r="G601" s="248" t="s">
        <v>2490</v>
      </c>
      <c r="H601" s="249" t="s">
        <v>3178</v>
      </c>
      <c r="I601" s="249" t="s">
        <v>2732</v>
      </c>
      <c r="J601" s="248" t="s">
        <v>2733</v>
      </c>
      <c r="K601" s="249" t="s">
        <v>3113</v>
      </c>
      <c r="L601" s="249" t="s">
        <v>2785</v>
      </c>
      <c r="M601" s="248" t="s">
        <v>3021</v>
      </c>
      <c r="N601" s="293"/>
      <c r="O601" s="293" t="str">
        <f>TablaPOA[[#This Row],[Cod_Sub_acción_especifica]]&amp;"_"&amp;TablaPOA[[#This Row],[Tipo de agente]]</f>
        <v>K31.2.18.1_Distribuidores mayoristas, Importadores y Comercializadores</v>
      </c>
      <c r="P601" s="250" t="s">
        <v>2852</v>
      </c>
      <c r="Q601" s="292" t="str">
        <f>TablaPOA[[#This Row],[Cod_Sub_acción_especifica]]&amp;"_"&amp;TablaPOA[[#This Row],[Cod_Tipo_agente]]</f>
        <v>K31.2.18.1_TA4</v>
      </c>
      <c r="R601" s="250" t="s">
        <v>2853</v>
      </c>
      <c r="S601" s="251" t="s">
        <v>2854</v>
      </c>
      <c r="T601" s="269" t="s">
        <v>2855</v>
      </c>
    </row>
    <row r="602" spans="1:20" ht="25.5" x14ac:dyDescent="0.25">
      <c r="A602" s="268" t="s">
        <v>2314</v>
      </c>
      <c r="B602" s="248">
        <v>31</v>
      </c>
      <c r="C602" s="248" t="s">
        <v>2691</v>
      </c>
      <c r="D602" s="248" t="s">
        <v>2988</v>
      </c>
      <c r="E602" s="248" t="s">
        <v>3160</v>
      </c>
      <c r="F602" s="248" t="s">
        <v>2695</v>
      </c>
      <c r="G602" s="248" t="s">
        <v>2490</v>
      </c>
      <c r="H602" s="249" t="s">
        <v>3178</v>
      </c>
      <c r="I602" s="249" t="s">
        <v>2732</v>
      </c>
      <c r="J602" s="248" t="s">
        <v>2733</v>
      </c>
      <c r="K602" s="249" t="s">
        <v>3113</v>
      </c>
      <c r="L602" s="249" t="s">
        <v>2785</v>
      </c>
      <c r="M602" s="248" t="s">
        <v>3021</v>
      </c>
      <c r="N602" s="293"/>
      <c r="O602" s="293" t="str">
        <f>TablaPOA[[#This Row],[Cod_Sub_acción_especifica]]&amp;"_"&amp;TablaPOA[[#This Row],[Tipo de agente]]</f>
        <v>K31.2.18.1_Distribuidores mayoristas, Importadores y Comercializadores</v>
      </c>
      <c r="P602" s="250" t="s">
        <v>2852</v>
      </c>
      <c r="Q602" s="292" t="str">
        <f>TablaPOA[[#This Row],[Cod_Sub_acción_especifica]]&amp;"_"&amp;TablaPOA[[#This Row],[Cod_Tipo_agente]]</f>
        <v>K31.2.18.1_TA4</v>
      </c>
      <c r="R602" s="250" t="s">
        <v>2853</v>
      </c>
      <c r="S602" s="251" t="s">
        <v>2856</v>
      </c>
      <c r="T602" s="269" t="s">
        <v>2857</v>
      </c>
    </row>
    <row r="603" spans="1:20" ht="25.5" x14ac:dyDescent="0.25">
      <c r="A603" s="268" t="s">
        <v>2314</v>
      </c>
      <c r="B603" s="248">
        <v>31</v>
      </c>
      <c r="C603" s="248" t="s">
        <v>2691</v>
      </c>
      <c r="D603" s="248" t="s">
        <v>2988</v>
      </c>
      <c r="E603" s="248" t="s">
        <v>3160</v>
      </c>
      <c r="F603" s="248" t="s">
        <v>2695</v>
      </c>
      <c r="G603" s="248" t="s">
        <v>2490</v>
      </c>
      <c r="H603" s="249" t="s">
        <v>3178</v>
      </c>
      <c r="I603" s="249" t="s">
        <v>2732</v>
      </c>
      <c r="J603" s="248" t="s">
        <v>2733</v>
      </c>
      <c r="K603" s="249" t="s">
        <v>3113</v>
      </c>
      <c r="L603" s="249" t="s">
        <v>2785</v>
      </c>
      <c r="M603" s="248" t="s">
        <v>3021</v>
      </c>
      <c r="N603" s="293"/>
      <c r="O603" s="293" t="str">
        <f>TablaPOA[[#This Row],[Cod_Sub_acción_especifica]]&amp;"_"&amp;TablaPOA[[#This Row],[Tipo de agente]]</f>
        <v>K31.2.18.1_Distribuidores mayoristas, Importadores y Comercializadores</v>
      </c>
      <c r="P603" s="250" t="s">
        <v>2852</v>
      </c>
      <c r="Q603" s="292" t="str">
        <f>TablaPOA[[#This Row],[Cod_Sub_acción_especifica]]&amp;"_"&amp;TablaPOA[[#This Row],[Cod_Tipo_agente]]</f>
        <v>K31.2.18.1_TA4</v>
      </c>
      <c r="R603" s="250" t="s">
        <v>2853</v>
      </c>
      <c r="S603" s="251" t="s">
        <v>2858</v>
      </c>
      <c r="T603" s="269" t="s">
        <v>2859</v>
      </c>
    </row>
    <row r="604" spans="1:20" ht="25.5" x14ac:dyDescent="0.25">
      <c r="A604" s="268" t="s">
        <v>2314</v>
      </c>
      <c r="B604" s="248">
        <v>31</v>
      </c>
      <c r="C604" s="248" t="s">
        <v>2691</v>
      </c>
      <c r="D604" s="248" t="s">
        <v>2988</v>
      </c>
      <c r="E604" s="248" t="s">
        <v>3160</v>
      </c>
      <c r="F604" s="248" t="s">
        <v>2695</v>
      </c>
      <c r="G604" s="248" t="s">
        <v>2490</v>
      </c>
      <c r="H604" s="249" t="s">
        <v>3178</v>
      </c>
      <c r="I604" s="249" t="s">
        <v>2732</v>
      </c>
      <c r="J604" s="248" t="s">
        <v>2733</v>
      </c>
      <c r="K604" s="249" t="s">
        <v>3113</v>
      </c>
      <c r="L604" s="249" t="s">
        <v>2785</v>
      </c>
      <c r="M604" s="248" t="s">
        <v>3021</v>
      </c>
      <c r="N604" s="293"/>
      <c r="O604" s="293" t="str">
        <f>TablaPOA[[#This Row],[Cod_Sub_acción_especifica]]&amp;"_"&amp;TablaPOA[[#This Row],[Tipo de agente]]</f>
        <v>K31.2.18.1_Distribuidores mayoristas, Importadores y Comercializadores</v>
      </c>
      <c r="P604" s="250" t="s">
        <v>2852</v>
      </c>
      <c r="Q604" s="292" t="str">
        <f>TablaPOA[[#This Row],[Cod_Sub_acción_especifica]]&amp;"_"&amp;TablaPOA[[#This Row],[Cod_Tipo_agente]]</f>
        <v>K31.2.18.1_TA4</v>
      </c>
      <c r="R604" s="250" t="s">
        <v>2853</v>
      </c>
      <c r="S604" s="251" t="s">
        <v>2860</v>
      </c>
      <c r="T604" s="269" t="s">
        <v>2861</v>
      </c>
    </row>
    <row r="605" spans="1:20" ht="25.5" x14ac:dyDescent="0.25">
      <c r="A605" s="268" t="s">
        <v>2314</v>
      </c>
      <c r="B605" s="248">
        <v>31</v>
      </c>
      <c r="C605" s="248" t="s">
        <v>2691</v>
      </c>
      <c r="D605" s="248" t="s">
        <v>2988</v>
      </c>
      <c r="E605" s="248" t="s">
        <v>3160</v>
      </c>
      <c r="F605" s="248" t="s">
        <v>2695</v>
      </c>
      <c r="G605" s="248" t="s">
        <v>2490</v>
      </c>
      <c r="H605" s="249" t="s">
        <v>3178</v>
      </c>
      <c r="I605" s="249" t="s">
        <v>2732</v>
      </c>
      <c r="J605" s="248" t="s">
        <v>2733</v>
      </c>
      <c r="K605" s="249" t="s">
        <v>3113</v>
      </c>
      <c r="L605" s="249" t="s">
        <v>2785</v>
      </c>
      <c r="M605" s="248" t="s">
        <v>3021</v>
      </c>
      <c r="N605" s="293"/>
      <c r="O605" s="293" t="str">
        <f>TablaPOA[[#This Row],[Cod_Sub_acción_especifica]]&amp;"_"&amp;TablaPOA[[#This Row],[Tipo de agente]]</f>
        <v>K31.2.18.1_Distribuidores mayoristas, Importadores y Comercializadores</v>
      </c>
      <c r="P605" s="250" t="s">
        <v>2852</v>
      </c>
      <c r="Q605" s="292" t="str">
        <f>TablaPOA[[#This Row],[Cod_Sub_acción_especifica]]&amp;"_"&amp;TablaPOA[[#This Row],[Cod_Tipo_agente]]</f>
        <v>K31.2.18.1_TA4</v>
      </c>
      <c r="R605" s="250" t="s">
        <v>2853</v>
      </c>
      <c r="S605" s="251" t="s">
        <v>2862</v>
      </c>
      <c r="T605" s="269" t="s">
        <v>2863</v>
      </c>
    </row>
    <row r="606" spans="1:20" ht="25.5" x14ac:dyDescent="0.25">
      <c r="A606" s="268" t="s">
        <v>2314</v>
      </c>
      <c r="B606" s="248">
        <v>31</v>
      </c>
      <c r="C606" s="248" t="s">
        <v>2691</v>
      </c>
      <c r="D606" s="248" t="s">
        <v>2988</v>
      </c>
      <c r="E606" s="248" t="s">
        <v>3160</v>
      </c>
      <c r="F606" s="248" t="s">
        <v>2695</v>
      </c>
      <c r="G606" s="248" t="s">
        <v>2490</v>
      </c>
      <c r="H606" s="249" t="s">
        <v>3178</v>
      </c>
      <c r="I606" s="249" t="s">
        <v>2732</v>
      </c>
      <c r="J606" s="248" t="s">
        <v>2733</v>
      </c>
      <c r="K606" s="249" t="s">
        <v>3113</v>
      </c>
      <c r="L606" s="249" t="s">
        <v>2785</v>
      </c>
      <c r="M606" s="248" t="s">
        <v>3021</v>
      </c>
      <c r="N606" s="293"/>
      <c r="O606" s="293" t="str">
        <f>TablaPOA[[#This Row],[Cod_Sub_acción_especifica]]&amp;"_"&amp;TablaPOA[[#This Row],[Tipo de agente]]</f>
        <v>K31.2.18.1_Distribuidores mayoristas, Importadores y Comercializadores</v>
      </c>
      <c r="P606" s="250" t="s">
        <v>2852</v>
      </c>
      <c r="Q606" s="292" t="str">
        <f>TablaPOA[[#This Row],[Cod_Sub_acción_especifica]]&amp;"_"&amp;TablaPOA[[#This Row],[Cod_Tipo_agente]]</f>
        <v>K31.2.18.1_TA4</v>
      </c>
      <c r="R606" s="250" t="s">
        <v>2853</v>
      </c>
      <c r="S606" s="251" t="s">
        <v>2864</v>
      </c>
      <c r="T606" s="269" t="s">
        <v>2865</v>
      </c>
    </row>
    <row r="607" spans="1:20" ht="25.5" x14ac:dyDescent="0.25">
      <c r="A607" s="268" t="s">
        <v>2314</v>
      </c>
      <c r="B607" s="248">
        <v>31</v>
      </c>
      <c r="C607" s="248" t="s">
        <v>2691</v>
      </c>
      <c r="D607" s="248" t="s">
        <v>2988</v>
      </c>
      <c r="E607" s="248" t="s">
        <v>3160</v>
      </c>
      <c r="F607" s="248" t="s">
        <v>2695</v>
      </c>
      <c r="G607" s="248" t="s">
        <v>2490</v>
      </c>
      <c r="H607" s="249" t="s">
        <v>3178</v>
      </c>
      <c r="I607" s="249" t="s">
        <v>2732</v>
      </c>
      <c r="J607" s="248" t="s">
        <v>2733</v>
      </c>
      <c r="K607" s="249" t="s">
        <v>3113</v>
      </c>
      <c r="L607" s="249" t="s">
        <v>2785</v>
      </c>
      <c r="M607" s="248" t="s">
        <v>3021</v>
      </c>
      <c r="N607" s="293"/>
      <c r="O607" s="293" t="str">
        <f>TablaPOA[[#This Row],[Cod_Sub_acción_especifica]]&amp;"_"&amp;TablaPOA[[#This Row],[Tipo de agente]]</f>
        <v>K31.2.18.1_Distribuidores mayoristas, Importadores y Comercializadores</v>
      </c>
      <c r="P607" s="250" t="s">
        <v>2852</v>
      </c>
      <c r="Q607" s="292" t="str">
        <f>TablaPOA[[#This Row],[Cod_Sub_acción_especifica]]&amp;"_"&amp;TablaPOA[[#This Row],[Cod_Tipo_agente]]</f>
        <v>K31.2.18.1_TA4</v>
      </c>
      <c r="R607" s="250" t="s">
        <v>2853</v>
      </c>
      <c r="S607" s="251" t="s">
        <v>2866</v>
      </c>
      <c r="T607" s="269" t="s">
        <v>2867</v>
      </c>
    </row>
    <row r="608" spans="1:20" ht="25.5" x14ac:dyDescent="0.25">
      <c r="A608" s="268" t="s">
        <v>2314</v>
      </c>
      <c r="B608" s="248">
        <v>31</v>
      </c>
      <c r="C608" s="248" t="s">
        <v>2691</v>
      </c>
      <c r="D608" s="248" t="s">
        <v>2988</v>
      </c>
      <c r="E608" s="248" t="s">
        <v>3160</v>
      </c>
      <c r="F608" s="248" t="s">
        <v>2695</v>
      </c>
      <c r="G608" s="248" t="s">
        <v>2490</v>
      </c>
      <c r="H608" s="249" t="s">
        <v>3178</v>
      </c>
      <c r="I608" s="249" t="s">
        <v>2732</v>
      </c>
      <c r="J608" s="248" t="s">
        <v>2733</v>
      </c>
      <c r="K608" s="249" t="s">
        <v>3113</v>
      </c>
      <c r="L608" s="249" t="s">
        <v>2785</v>
      </c>
      <c r="M608" s="248" t="s">
        <v>3021</v>
      </c>
      <c r="N608" s="293"/>
      <c r="O608" s="293" t="str">
        <f>TablaPOA[[#This Row],[Cod_Sub_acción_especifica]]&amp;"_"&amp;TablaPOA[[#This Row],[Tipo de agente]]</f>
        <v>K31.2.18.1_Distribuidores mayoristas, Importadores y Comercializadores</v>
      </c>
      <c r="P608" s="250" t="s">
        <v>2852</v>
      </c>
      <c r="Q608" s="292" t="str">
        <f>TablaPOA[[#This Row],[Cod_Sub_acción_especifica]]&amp;"_"&amp;TablaPOA[[#This Row],[Cod_Tipo_agente]]</f>
        <v>K31.2.18.1_TA4</v>
      </c>
      <c r="R608" s="250" t="s">
        <v>2853</v>
      </c>
      <c r="S608" s="251" t="s">
        <v>2868</v>
      </c>
      <c r="T608" s="269" t="s">
        <v>2869</v>
      </c>
    </row>
    <row r="609" spans="1:20" ht="25.5" x14ac:dyDescent="0.25">
      <c r="A609" s="268" t="s">
        <v>2314</v>
      </c>
      <c r="B609" s="248">
        <v>31</v>
      </c>
      <c r="C609" s="248" t="s">
        <v>2691</v>
      </c>
      <c r="D609" s="248" t="s">
        <v>2988</v>
      </c>
      <c r="E609" s="248" t="s">
        <v>3160</v>
      </c>
      <c r="F609" s="248" t="s">
        <v>2695</v>
      </c>
      <c r="G609" s="248" t="s">
        <v>2490</v>
      </c>
      <c r="H609" s="249" t="s">
        <v>3178</v>
      </c>
      <c r="I609" s="249" t="s">
        <v>2732</v>
      </c>
      <c r="J609" s="248" t="s">
        <v>2733</v>
      </c>
      <c r="K609" s="249" t="s">
        <v>3113</v>
      </c>
      <c r="L609" s="249" t="s">
        <v>2785</v>
      </c>
      <c r="M609" s="248" t="s">
        <v>3021</v>
      </c>
      <c r="N609" s="293"/>
      <c r="O609" s="293" t="str">
        <f>TablaPOA[[#This Row],[Cod_Sub_acción_especifica]]&amp;"_"&amp;TablaPOA[[#This Row],[Tipo de agente]]</f>
        <v>K31.2.18.1_Distribuidores mayoristas, Importadores y Comercializadores</v>
      </c>
      <c r="P609" s="250" t="s">
        <v>2852</v>
      </c>
      <c r="Q609" s="292" t="str">
        <f>TablaPOA[[#This Row],[Cod_Sub_acción_especifica]]&amp;"_"&amp;TablaPOA[[#This Row],[Cod_Tipo_agente]]</f>
        <v>K31.2.18.1_TA4</v>
      </c>
      <c r="R609" s="250" t="s">
        <v>2853</v>
      </c>
      <c r="S609" s="251" t="s">
        <v>2870</v>
      </c>
      <c r="T609" s="269" t="s">
        <v>2871</v>
      </c>
    </row>
    <row r="610" spans="1:20" ht="25.5" x14ac:dyDescent="0.25">
      <c r="A610" s="268" t="s">
        <v>2314</v>
      </c>
      <c r="B610" s="248">
        <v>31</v>
      </c>
      <c r="C610" s="248" t="s">
        <v>2691</v>
      </c>
      <c r="D610" s="248" t="s">
        <v>2988</v>
      </c>
      <c r="E610" s="248" t="s">
        <v>3160</v>
      </c>
      <c r="F610" s="248" t="s">
        <v>2695</v>
      </c>
      <c r="G610" s="248" t="s">
        <v>2490</v>
      </c>
      <c r="H610" s="249" t="s">
        <v>3178</v>
      </c>
      <c r="I610" s="249" t="s">
        <v>2732</v>
      </c>
      <c r="J610" s="248" t="s">
        <v>2733</v>
      </c>
      <c r="K610" s="249" t="s">
        <v>3113</v>
      </c>
      <c r="L610" s="249" t="s">
        <v>2785</v>
      </c>
      <c r="M610" s="248" t="s">
        <v>3021</v>
      </c>
      <c r="N610" s="293"/>
      <c r="O610" s="293" t="str">
        <f>TablaPOA[[#This Row],[Cod_Sub_acción_especifica]]&amp;"_"&amp;TablaPOA[[#This Row],[Tipo de agente]]</f>
        <v>K31.2.18.1_Distribuidores mayoristas, Importadores y Comercializadores</v>
      </c>
      <c r="P610" s="250" t="s">
        <v>2852</v>
      </c>
      <c r="Q610" s="292" t="str">
        <f>TablaPOA[[#This Row],[Cod_Sub_acción_especifica]]&amp;"_"&amp;TablaPOA[[#This Row],[Cod_Tipo_agente]]</f>
        <v>K31.2.18.1_TA4</v>
      </c>
      <c r="R610" s="250" t="s">
        <v>2853</v>
      </c>
      <c r="S610" s="251" t="s">
        <v>2872</v>
      </c>
      <c r="T610" s="269" t="s">
        <v>2873</v>
      </c>
    </row>
    <row r="611" spans="1:20" ht="25.5" x14ac:dyDescent="0.25">
      <c r="A611" s="268" t="s">
        <v>2314</v>
      </c>
      <c r="B611" s="248">
        <v>31</v>
      </c>
      <c r="C611" s="248" t="s">
        <v>2691</v>
      </c>
      <c r="D611" s="248" t="s">
        <v>2988</v>
      </c>
      <c r="E611" s="248" t="s">
        <v>3160</v>
      </c>
      <c r="F611" s="248" t="s">
        <v>2695</v>
      </c>
      <c r="G611" s="248" t="s">
        <v>2490</v>
      </c>
      <c r="H611" s="249" t="s">
        <v>3178</v>
      </c>
      <c r="I611" s="249" t="s">
        <v>2732</v>
      </c>
      <c r="J611" s="248" t="s">
        <v>2733</v>
      </c>
      <c r="K611" s="249" t="s">
        <v>3113</v>
      </c>
      <c r="L611" s="249" t="s">
        <v>2785</v>
      </c>
      <c r="M611" s="248" t="s">
        <v>3021</v>
      </c>
      <c r="N611" s="293"/>
      <c r="O611" s="293" t="str">
        <f>TablaPOA[[#This Row],[Cod_Sub_acción_especifica]]&amp;"_"&amp;TablaPOA[[#This Row],[Tipo de agente]]</f>
        <v>K31.2.18.1_Distribuidores mayoristas, Importadores y Comercializadores</v>
      </c>
      <c r="P611" s="250" t="s">
        <v>2852</v>
      </c>
      <c r="Q611" s="292" t="str">
        <f>TablaPOA[[#This Row],[Cod_Sub_acción_especifica]]&amp;"_"&amp;TablaPOA[[#This Row],[Cod_Tipo_agente]]</f>
        <v>K31.2.18.1_TA4</v>
      </c>
      <c r="R611" s="250" t="s">
        <v>2853</v>
      </c>
      <c r="S611" s="251" t="s">
        <v>2874</v>
      </c>
      <c r="T611" s="269" t="s">
        <v>2875</v>
      </c>
    </row>
    <row r="612" spans="1:20" ht="25.5" x14ac:dyDescent="0.25">
      <c r="A612" s="268" t="s">
        <v>2314</v>
      </c>
      <c r="B612" s="248">
        <v>31</v>
      </c>
      <c r="C612" s="248" t="s">
        <v>2691</v>
      </c>
      <c r="D612" s="248" t="s">
        <v>2988</v>
      </c>
      <c r="E612" s="248" t="s">
        <v>3160</v>
      </c>
      <c r="F612" s="248" t="s">
        <v>2695</v>
      </c>
      <c r="G612" s="248" t="s">
        <v>2490</v>
      </c>
      <c r="H612" s="249" t="s">
        <v>3178</v>
      </c>
      <c r="I612" s="249" t="s">
        <v>2732</v>
      </c>
      <c r="J612" s="248" t="s">
        <v>2733</v>
      </c>
      <c r="K612" s="249" t="s">
        <v>3113</v>
      </c>
      <c r="L612" s="249" t="s">
        <v>2785</v>
      </c>
      <c r="M612" s="248" t="s">
        <v>3021</v>
      </c>
      <c r="N612" s="293"/>
      <c r="O612" s="293" t="str">
        <f>TablaPOA[[#This Row],[Cod_Sub_acción_especifica]]&amp;"_"&amp;TablaPOA[[#This Row],[Tipo de agente]]</f>
        <v>K31.2.18.1_Envasadoras de GLP</v>
      </c>
      <c r="P612" s="250" t="s">
        <v>2876</v>
      </c>
      <c r="Q612" s="292" t="str">
        <f>TablaPOA[[#This Row],[Cod_Sub_acción_especifica]]&amp;"_"&amp;TablaPOA[[#This Row],[Cod_Tipo_agente]]</f>
        <v>K31.2.18.1_TA5</v>
      </c>
      <c r="R612" s="250" t="s">
        <v>2877</v>
      </c>
      <c r="S612" s="251" t="s">
        <v>2878</v>
      </c>
      <c r="T612" s="269" t="s">
        <v>2879</v>
      </c>
    </row>
    <row r="613" spans="1:20" ht="25.5" x14ac:dyDescent="0.25">
      <c r="A613" s="268" t="s">
        <v>2314</v>
      </c>
      <c r="B613" s="248">
        <v>31</v>
      </c>
      <c r="C613" s="248" t="s">
        <v>2691</v>
      </c>
      <c r="D613" s="248" t="s">
        <v>2988</v>
      </c>
      <c r="E613" s="248" t="s">
        <v>3160</v>
      </c>
      <c r="F613" s="248" t="s">
        <v>2695</v>
      </c>
      <c r="G613" s="248" t="s">
        <v>2490</v>
      </c>
      <c r="H613" s="249" t="s">
        <v>3178</v>
      </c>
      <c r="I613" s="249" t="s">
        <v>2732</v>
      </c>
      <c r="J613" s="248" t="s">
        <v>2733</v>
      </c>
      <c r="K613" s="249" t="s">
        <v>3113</v>
      </c>
      <c r="L613" s="249" t="s">
        <v>2785</v>
      </c>
      <c r="M613" s="248" t="s">
        <v>3021</v>
      </c>
      <c r="N613" s="293"/>
      <c r="O613" s="293" t="str">
        <f>TablaPOA[[#This Row],[Cod_Sub_acción_especifica]]&amp;"_"&amp;TablaPOA[[#This Row],[Tipo de agente]]</f>
        <v>K31.2.18.1_Envasadoras de GLP</v>
      </c>
      <c r="P613" s="250" t="s">
        <v>2876</v>
      </c>
      <c r="Q613" s="292" t="str">
        <f>TablaPOA[[#This Row],[Cod_Sub_acción_especifica]]&amp;"_"&amp;TablaPOA[[#This Row],[Cod_Tipo_agente]]</f>
        <v>K31.2.18.1_TA5</v>
      </c>
      <c r="R613" s="250" t="s">
        <v>2877</v>
      </c>
      <c r="S613" s="251" t="s">
        <v>2880</v>
      </c>
      <c r="T613" s="269" t="s">
        <v>2881</v>
      </c>
    </row>
    <row r="614" spans="1:20" ht="25.5" x14ac:dyDescent="0.25">
      <c r="A614" s="268" t="s">
        <v>2314</v>
      </c>
      <c r="B614" s="248">
        <v>31</v>
      </c>
      <c r="C614" s="248" t="s">
        <v>2691</v>
      </c>
      <c r="D614" s="248" t="s">
        <v>2988</v>
      </c>
      <c r="E614" s="248" t="s">
        <v>3160</v>
      </c>
      <c r="F614" s="248" t="s">
        <v>2695</v>
      </c>
      <c r="G614" s="248" t="s">
        <v>2490</v>
      </c>
      <c r="H614" s="249" t="s">
        <v>3178</v>
      </c>
      <c r="I614" s="249" t="s">
        <v>2732</v>
      </c>
      <c r="J614" s="248" t="s">
        <v>2733</v>
      </c>
      <c r="K614" s="249" t="s">
        <v>3113</v>
      </c>
      <c r="L614" s="249" t="s">
        <v>2785</v>
      </c>
      <c r="M614" s="248" t="s">
        <v>3021</v>
      </c>
      <c r="N614" s="293"/>
      <c r="O614" s="293" t="str">
        <f>TablaPOA[[#This Row],[Cod_Sub_acción_especifica]]&amp;"_"&amp;TablaPOA[[#This Row],[Tipo de agente]]</f>
        <v>K31.2.18.1_EVP combustibles de uso automotor</v>
      </c>
      <c r="P614" s="250" t="s">
        <v>2882</v>
      </c>
      <c r="Q614" s="292" t="str">
        <f>TablaPOA[[#This Row],[Cod_Sub_acción_especifica]]&amp;"_"&amp;TablaPOA[[#This Row],[Cod_Tipo_agente]]</f>
        <v>K31.2.18.1_TA6</v>
      </c>
      <c r="R614" s="250" t="s">
        <v>2883</v>
      </c>
      <c r="S614" s="251" t="s">
        <v>2884</v>
      </c>
      <c r="T614" s="269" t="s">
        <v>2885</v>
      </c>
    </row>
    <row r="615" spans="1:20" ht="25.5" x14ac:dyDescent="0.25">
      <c r="A615" s="268" t="s">
        <v>2314</v>
      </c>
      <c r="B615" s="248">
        <v>31</v>
      </c>
      <c r="C615" s="248" t="s">
        <v>2691</v>
      </c>
      <c r="D615" s="248" t="s">
        <v>2988</v>
      </c>
      <c r="E615" s="248" t="s">
        <v>3160</v>
      </c>
      <c r="F615" s="248" t="s">
        <v>2695</v>
      </c>
      <c r="G615" s="248" t="s">
        <v>2490</v>
      </c>
      <c r="H615" s="249" t="s">
        <v>3178</v>
      </c>
      <c r="I615" s="249" t="s">
        <v>2732</v>
      </c>
      <c r="J615" s="248" t="s">
        <v>2733</v>
      </c>
      <c r="K615" s="249" t="s">
        <v>3113</v>
      </c>
      <c r="L615" s="249" t="s">
        <v>2785</v>
      </c>
      <c r="M615" s="248" t="s">
        <v>3021</v>
      </c>
      <c r="N615" s="293"/>
      <c r="O615" s="293" t="str">
        <f>TablaPOA[[#This Row],[Cod_Sub_acción_especifica]]&amp;"_"&amp;TablaPOA[[#This Row],[Tipo de agente]]</f>
        <v>K31.2.18.1_EVP combustibles de uso automotor</v>
      </c>
      <c r="P615" s="250" t="s">
        <v>2882</v>
      </c>
      <c r="Q615" s="292" t="str">
        <f>TablaPOA[[#This Row],[Cod_Sub_acción_especifica]]&amp;"_"&amp;TablaPOA[[#This Row],[Cod_Tipo_agente]]</f>
        <v>K31.2.18.1_TA6</v>
      </c>
      <c r="R615" s="250" t="s">
        <v>2883</v>
      </c>
      <c r="S615" s="251" t="s">
        <v>2886</v>
      </c>
      <c r="T615" s="269" t="s">
        <v>2887</v>
      </c>
    </row>
    <row r="616" spans="1:20" ht="25.5" x14ac:dyDescent="0.25">
      <c r="A616" s="268" t="s">
        <v>2314</v>
      </c>
      <c r="B616" s="248">
        <v>31</v>
      </c>
      <c r="C616" s="248" t="s">
        <v>2691</v>
      </c>
      <c r="D616" s="248" t="s">
        <v>2988</v>
      </c>
      <c r="E616" s="248" t="s">
        <v>3160</v>
      </c>
      <c r="F616" s="248" t="s">
        <v>2695</v>
      </c>
      <c r="G616" s="248" t="s">
        <v>2490</v>
      </c>
      <c r="H616" s="249" t="s">
        <v>3178</v>
      </c>
      <c r="I616" s="249" t="s">
        <v>2732</v>
      </c>
      <c r="J616" s="248" t="s">
        <v>2733</v>
      </c>
      <c r="K616" s="249" t="s">
        <v>3113</v>
      </c>
      <c r="L616" s="249" t="s">
        <v>2785</v>
      </c>
      <c r="M616" s="248" t="s">
        <v>3021</v>
      </c>
      <c r="N616" s="293"/>
      <c r="O616" s="293" t="str">
        <f>TablaPOA[[#This Row],[Cod_Sub_acción_especifica]]&amp;"_"&amp;TablaPOA[[#This Row],[Tipo de agente]]</f>
        <v>K31.2.18.1_EVP combustibles de uso automotor</v>
      </c>
      <c r="P616" s="250" t="s">
        <v>2882</v>
      </c>
      <c r="Q616" s="292" t="str">
        <f>TablaPOA[[#This Row],[Cod_Sub_acción_especifica]]&amp;"_"&amp;TablaPOA[[#This Row],[Cod_Tipo_agente]]</f>
        <v>K31.2.18.1_TA6</v>
      </c>
      <c r="R616" s="250" t="s">
        <v>2883</v>
      </c>
      <c r="S616" s="251" t="s">
        <v>2888</v>
      </c>
      <c r="T616" s="269" t="s">
        <v>2889</v>
      </c>
    </row>
    <row r="617" spans="1:20" ht="25.5" x14ac:dyDescent="0.25">
      <c r="A617" s="268" t="s">
        <v>2314</v>
      </c>
      <c r="B617" s="248">
        <v>31</v>
      </c>
      <c r="C617" s="248" t="s">
        <v>2691</v>
      </c>
      <c r="D617" s="248" t="s">
        <v>2988</v>
      </c>
      <c r="E617" s="248" t="s">
        <v>3160</v>
      </c>
      <c r="F617" s="248" t="s">
        <v>2695</v>
      </c>
      <c r="G617" s="248" t="s">
        <v>2490</v>
      </c>
      <c r="H617" s="249" t="s">
        <v>3178</v>
      </c>
      <c r="I617" s="249" t="s">
        <v>2732</v>
      </c>
      <c r="J617" s="248" t="s">
        <v>2733</v>
      </c>
      <c r="K617" s="249" t="s">
        <v>3113</v>
      </c>
      <c r="L617" s="249" t="s">
        <v>2785</v>
      </c>
      <c r="M617" s="248" t="s">
        <v>3021</v>
      </c>
      <c r="N617" s="293"/>
      <c r="O617" s="293" t="str">
        <f>TablaPOA[[#This Row],[Cod_Sub_acción_especifica]]&amp;"_"&amp;TablaPOA[[#This Row],[Tipo de agente]]</f>
        <v>K31.2.18.1_EVP combustibles de uso automotor</v>
      </c>
      <c r="P617" s="250" t="s">
        <v>2882</v>
      </c>
      <c r="Q617" s="292" t="str">
        <f>TablaPOA[[#This Row],[Cod_Sub_acción_especifica]]&amp;"_"&amp;TablaPOA[[#This Row],[Cod_Tipo_agente]]</f>
        <v>K31.2.18.1_TA6</v>
      </c>
      <c r="R617" s="250" t="s">
        <v>2883</v>
      </c>
      <c r="S617" s="251" t="s">
        <v>2890</v>
      </c>
      <c r="T617" s="269" t="s">
        <v>2891</v>
      </c>
    </row>
    <row r="618" spans="1:20" ht="25.5" x14ac:dyDescent="0.25">
      <c r="A618" s="268" t="s">
        <v>2314</v>
      </c>
      <c r="B618" s="248">
        <v>31</v>
      </c>
      <c r="C618" s="248" t="s">
        <v>2691</v>
      </c>
      <c r="D618" s="248" t="s">
        <v>2988</v>
      </c>
      <c r="E618" s="248" t="s">
        <v>3160</v>
      </c>
      <c r="F618" s="248" t="s">
        <v>2695</v>
      </c>
      <c r="G618" s="248" t="s">
        <v>2490</v>
      </c>
      <c r="H618" s="249" t="s">
        <v>3178</v>
      </c>
      <c r="I618" s="249" t="s">
        <v>2732</v>
      </c>
      <c r="J618" s="248" t="s">
        <v>2733</v>
      </c>
      <c r="K618" s="249" t="s">
        <v>3113</v>
      </c>
      <c r="L618" s="249" t="s">
        <v>2785</v>
      </c>
      <c r="M618" s="248" t="s">
        <v>3021</v>
      </c>
      <c r="N618" s="293"/>
      <c r="O618" s="293" t="str">
        <f>TablaPOA[[#This Row],[Cod_Sub_acción_especifica]]&amp;"_"&amp;TablaPOA[[#This Row],[Tipo de agente]]</f>
        <v>K31.2.18.1_EVP combustibles de uso automotor</v>
      </c>
      <c r="P618" s="250" t="s">
        <v>2882</v>
      </c>
      <c r="Q618" s="292" t="str">
        <f>TablaPOA[[#This Row],[Cod_Sub_acción_especifica]]&amp;"_"&amp;TablaPOA[[#This Row],[Cod_Tipo_agente]]</f>
        <v>K31.2.18.1_TA6</v>
      </c>
      <c r="R618" s="250" t="s">
        <v>2883</v>
      </c>
      <c r="S618" s="251" t="s">
        <v>2892</v>
      </c>
      <c r="T618" s="269" t="s">
        <v>2893</v>
      </c>
    </row>
    <row r="619" spans="1:20" ht="25.5" x14ac:dyDescent="0.25">
      <c r="A619" s="268" t="s">
        <v>2314</v>
      </c>
      <c r="B619" s="248">
        <v>31</v>
      </c>
      <c r="C619" s="248" t="s">
        <v>2691</v>
      </c>
      <c r="D619" s="248" t="s">
        <v>2988</v>
      </c>
      <c r="E619" s="248" t="s">
        <v>3160</v>
      </c>
      <c r="F619" s="248" t="s">
        <v>2695</v>
      </c>
      <c r="G619" s="248" t="s">
        <v>2490</v>
      </c>
      <c r="H619" s="249" t="s">
        <v>3178</v>
      </c>
      <c r="I619" s="249" t="s">
        <v>2732</v>
      </c>
      <c r="J619" s="248" t="s">
        <v>2733</v>
      </c>
      <c r="K619" s="249" t="s">
        <v>3113</v>
      </c>
      <c r="L619" s="249" t="s">
        <v>2785</v>
      </c>
      <c r="M619" s="248" t="s">
        <v>3021</v>
      </c>
      <c r="N619" s="293"/>
      <c r="O619" s="293" t="str">
        <f>TablaPOA[[#This Row],[Cod_Sub_acción_especifica]]&amp;"_"&amp;TablaPOA[[#This Row],[Tipo de agente]]</f>
        <v>K31.2.18.1_EVP combustibles de uso automotor</v>
      </c>
      <c r="P619" s="250" t="s">
        <v>2882</v>
      </c>
      <c r="Q619" s="292" t="str">
        <f>TablaPOA[[#This Row],[Cod_Sub_acción_especifica]]&amp;"_"&amp;TablaPOA[[#This Row],[Cod_Tipo_agente]]</f>
        <v>K31.2.18.1_TA6</v>
      </c>
      <c r="R619" s="250" t="s">
        <v>2883</v>
      </c>
      <c r="S619" s="251" t="s">
        <v>2894</v>
      </c>
      <c r="T619" s="269" t="s">
        <v>2895</v>
      </c>
    </row>
    <row r="620" spans="1:20" ht="25.5" x14ac:dyDescent="0.25">
      <c r="A620" s="268" t="s">
        <v>2314</v>
      </c>
      <c r="B620" s="248">
        <v>31</v>
      </c>
      <c r="C620" s="248" t="s">
        <v>2691</v>
      </c>
      <c r="D620" s="248" t="s">
        <v>2988</v>
      </c>
      <c r="E620" s="248" t="s">
        <v>3160</v>
      </c>
      <c r="F620" s="248" t="s">
        <v>2695</v>
      </c>
      <c r="G620" s="248" t="s">
        <v>2490</v>
      </c>
      <c r="H620" s="249" t="s">
        <v>3178</v>
      </c>
      <c r="I620" s="249" t="s">
        <v>2732</v>
      </c>
      <c r="J620" s="248" t="s">
        <v>2733</v>
      </c>
      <c r="K620" s="249" t="s">
        <v>3113</v>
      </c>
      <c r="L620" s="249" t="s">
        <v>2785</v>
      </c>
      <c r="M620" s="248" t="s">
        <v>3021</v>
      </c>
      <c r="N620" s="293"/>
      <c r="O620" s="293" t="str">
        <f>TablaPOA[[#This Row],[Cod_Sub_acción_especifica]]&amp;"_"&amp;TablaPOA[[#This Row],[Tipo de agente]]</f>
        <v>K31.2.18.1_EVP combustibles de uso automotor</v>
      </c>
      <c r="P620" s="250" t="s">
        <v>2882</v>
      </c>
      <c r="Q620" s="292" t="str">
        <f>TablaPOA[[#This Row],[Cod_Sub_acción_especifica]]&amp;"_"&amp;TablaPOA[[#This Row],[Cod_Tipo_agente]]</f>
        <v>K31.2.18.1_TA6</v>
      </c>
      <c r="R620" s="250" t="s">
        <v>2883</v>
      </c>
      <c r="S620" s="251" t="s">
        <v>2896</v>
      </c>
      <c r="T620" s="269" t="s">
        <v>2897</v>
      </c>
    </row>
    <row r="621" spans="1:20" ht="25.5" x14ac:dyDescent="0.25">
      <c r="A621" s="268" t="s">
        <v>2314</v>
      </c>
      <c r="B621" s="248">
        <v>31</v>
      </c>
      <c r="C621" s="248" t="s">
        <v>2691</v>
      </c>
      <c r="D621" s="248" t="s">
        <v>2988</v>
      </c>
      <c r="E621" s="248" t="s">
        <v>3160</v>
      </c>
      <c r="F621" s="248" t="s">
        <v>2695</v>
      </c>
      <c r="G621" s="248" t="s">
        <v>2490</v>
      </c>
      <c r="H621" s="249" t="s">
        <v>3178</v>
      </c>
      <c r="I621" s="249" t="s">
        <v>2732</v>
      </c>
      <c r="J621" s="248" t="s">
        <v>2733</v>
      </c>
      <c r="K621" s="249" t="s">
        <v>3113</v>
      </c>
      <c r="L621" s="249" t="s">
        <v>2785</v>
      </c>
      <c r="M621" s="248" t="s">
        <v>3021</v>
      </c>
      <c r="N621" s="293"/>
      <c r="O621" s="293" t="str">
        <f>TablaPOA[[#This Row],[Cod_Sub_acción_especifica]]&amp;"_"&amp;TablaPOA[[#This Row],[Tipo de agente]]</f>
        <v>K31.2.18.1_EVP combustibles de uso automotor</v>
      </c>
      <c r="P621" s="250" t="s">
        <v>2882</v>
      </c>
      <c r="Q621" s="292" t="str">
        <f>TablaPOA[[#This Row],[Cod_Sub_acción_especifica]]&amp;"_"&amp;TablaPOA[[#This Row],[Cod_Tipo_agente]]</f>
        <v>K31.2.18.1_TA6</v>
      </c>
      <c r="R621" s="250" t="s">
        <v>2883</v>
      </c>
      <c r="S621" s="251" t="s">
        <v>2898</v>
      </c>
      <c r="T621" s="269" t="s">
        <v>2899</v>
      </c>
    </row>
    <row r="622" spans="1:20" ht="25.5" x14ac:dyDescent="0.25">
      <c r="A622" s="268" t="s">
        <v>2314</v>
      </c>
      <c r="B622" s="248">
        <v>31</v>
      </c>
      <c r="C622" s="248" t="s">
        <v>2691</v>
      </c>
      <c r="D622" s="248" t="s">
        <v>2988</v>
      </c>
      <c r="E622" s="248" t="s">
        <v>3160</v>
      </c>
      <c r="F622" s="248" t="s">
        <v>2695</v>
      </c>
      <c r="G622" s="248" t="s">
        <v>2490</v>
      </c>
      <c r="H622" s="249" t="s">
        <v>3178</v>
      </c>
      <c r="I622" s="249" t="s">
        <v>2732</v>
      </c>
      <c r="J622" s="248" t="s">
        <v>2733</v>
      </c>
      <c r="K622" s="249" t="s">
        <v>3113</v>
      </c>
      <c r="L622" s="249" t="s">
        <v>2785</v>
      </c>
      <c r="M622" s="248" t="s">
        <v>3021</v>
      </c>
      <c r="N622" s="293"/>
      <c r="O622" s="293" t="str">
        <f>TablaPOA[[#This Row],[Cod_Sub_acción_especifica]]&amp;"_"&amp;TablaPOA[[#This Row],[Tipo de agente]]</f>
        <v>K31.2.18.1_EVP combustibles de uso automotor</v>
      </c>
      <c r="P622" s="250" t="s">
        <v>2882</v>
      </c>
      <c r="Q622" s="292" t="str">
        <f>TablaPOA[[#This Row],[Cod_Sub_acción_especifica]]&amp;"_"&amp;TablaPOA[[#This Row],[Cod_Tipo_agente]]</f>
        <v>K31.2.18.1_TA6</v>
      </c>
      <c r="R622" s="250" t="s">
        <v>2883</v>
      </c>
      <c r="S622" s="251" t="s">
        <v>2900</v>
      </c>
      <c r="T622" s="269" t="s">
        <v>2901</v>
      </c>
    </row>
    <row r="623" spans="1:20" ht="25.5" x14ac:dyDescent="0.25">
      <c r="A623" s="268" t="s">
        <v>2314</v>
      </c>
      <c r="B623" s="248">
        <v>31</v>
      </c>
      <c r="C623" s="248" t="s">
        <v>2691</v>
      </c>
      <c r="D623" s="248" t="s">
        <v>2988</v>
      </c>
      <c r="E623" s="248" t="s">
        <v>3160</v>
      </c>
      <c r="F623" s="248" t="s">
        <v>2695</v>
      </c>
      <c r="G623" s="248" t="s">
        <v>2490</v>
      </c>
      <c r="H623" s="249" t="s">
        <v>3178</v>
      </c>
      <c r="I623" s="249" t="s">
        <v>2732</v>
      </c>
      <c r="J623" s="248" t="s">
        <v>2733</v>
      </c>
      <c r="K623" s="249" t="s">
        <v>3113</v>
      </c>
      <c r="L623" s="249" t="s">
        <v>2785</v>
      </c>
      <c r="M623" s="248" t="s">
        <v>3021</v>
      </c>
      <c r="N623" s="293"/>
      <c r="O623" s="293" t="str">
        <f>TablaPOA[[#This Row],[Cod_Sub_acción_especifica]]&amp;"_"&amp;TablaPOA[[#This Row],[Tipo de agente]]</f>
        <v>K31.2.18.1_Locales de venta de GLP</v>
      </c>
      <c r="P623" s="250" t="s">
        <v>2912</v>
      </c>
      <c r="Q623" s="292" t="str">
        <f>TablaPOA[[#This Row],[Cod_Sub_acción_especifica]]&amp;"_"&amp;TablaPOA[[#This Row],[Cod_Tipo_agente]]</f>
        <v>K31.2.18.1_TA8</v>
      </c>
      <c r="R623" s="250" t="s">
        <v>2913</v>
      </c>
      <c r="S623" s="251" t="s">
        <v>2914</v>
      </c>
      <c r="T623" s="269" t="s">
        <v>2915</v>
      </c>
    </row>
    <row r="624" spans="1:20" ht="25.5" x14ac:dyDescent="0.25">
      <c r="A624" s="268" t="s">
        <v>2314</v>
      </c>
      <c r="B624" s="248">
        <v>31</v>
      </c>
      <c r="C624" s="248" t="s">
        <v>2691</v>
      </c>
      <c r="D624" s="248" t="s">
        <v>2988</v>
      </c>
      <c r="E624" s="248" t="s">
        <v>3160</v>
      </c>
      <c r="F624" s="248" t="s">
        <v>2695</v>
      </c>
      <c r="G624" s="248" t="s">
        <v>2490</v>
      </c>
      <c r="H624" s="249" t="s">
        <v>3178</v>
      </c>
      <c r="I624" s="249" t="s">
        <v>2732</v>
      </c>
      <c r="J624" s="248" t="s">
        <v>2733</v>
      </c>
      <c r="K624" s="249" t="s">
        <v>3113</v>
      </c>
      <c r="L624" s="249" t="s">
        <v>2785</v>
      </c>
      <c r="M624" s="248" t="s">
        <v>3021</v>
      </c>
      <c r="N624" s="293"/>
      <c r="O624" s="293" t="str">
        <f>TablaPOA[[#This Row],[Cod_Sub_acción_especifica]]&amp;"_"&amp;TablaPOA[[#This Row],[Tipo de agente]]</f>
        <v>K31.2.18.1_Locales de venta de GLP</v>
      </c>
      <c r="P624" s="250" t="s">
        <v>2912</v>
      </c>
      <c r="Q624" s="292" t="str">
        <f>TablaPOA[[#This Row],[Cod_Sub_acción_especifica]]&amp;"_"&amp;TablaPOA[[#This Row],[Cod_Tipo_agente]]</f>
        <v>K31.2.18.1_TA8</v>
      </c>
      <c r="R624" s="250" t="s">
        <v>2913</v>
      </c>
      <c r="S624" s="251" t="s">
        <v>2916</v>
      </c>
      <c r="T624" s="269" t="s">
        <v>2917</v>
      </c>
    </row>
    <row r="625" spans="1:20" ht="25.5" x14ac:dyDescent="0.25">
      <c r="A625" s="268" t="s">
        <v>2314</v>
      </c>
      <c r="B625" s="248">
        <v>31</v>
      </c>
      <c r="C625" s="248" t="s">
        <v>2691</v>
      </c>
      <c r="D625" s="248" t="s">
        <v>2988</v>
      </c>
      <c r="E625" s="248" t="s">
        <v>3160</v>
      </c>
      <c r="F625" s="248" t="s">
        <v>2695</v>
      </c>
      <c r="G625" s="248" t="s">
        <v>2490</v>
      </c>
      <c r="H625" s="249" t="s">
        <v>3178</v>
      </c>
      <c r="I625" s="249" t="s">
        <v>2732</v>
      </c>
      <c r="J625" s="248" t="s">
        <v>2733</v>
      </c>
      <c r="K625" s="249" t="s">
        <v>3113</v>
      </c>
      <c r="L625" s="249" t="s">
        <v>2785</v>
      </c>
      <c r="M625" s="248" t="s">
        <v>3021</v>
      </c>
      <c r="N625" s="293"/>
      <c r="O625" s="293" t="str">
        <f>TablaPOA[[#This Row],[Cod_Sub_acción_especifica]]&amp;"_"&amp;TablaPOA[[#This Row],[Tipo de agente]]</f>
        <v>K31.2.18.1_Medios de transporte</v>
      </c>
      <c r="P625" s="250" t="s">
        <v>2918</v>
      </c>
      <c r="Q625" s="292" t="str">
        <f>TablaPOA[[#This Row],[Cod_Sub_acción_especifica]]&amp;"_"&amp;TablaPOA[[#This Row],[Cod_Tipo_agente]]</f>
        <v>K31.2.18.1_TA9</v>
      </c>
      <c r="R625" s="250" t="s">
        <v>2919</v>
      </c>
      <c r="S625" s="251" t="s">
        <v>2920</v>
      </c>
      <c r="T625" s="269" t="s">
        <v>2921</v>
      </c>
    </row>
    <row r="626" spans="1:20" ht="25.5" x14ac:dyDescent="0.25">
      <c r="A626" s="268" t="s">
        <v>2314</v>
      </c>
      <c r="B626" s="248">
        <v>31</v>
      </c>
      <c r="C626" s="248" t="s">
        <v>2691</v>
      </c>
      <c r="D626" s="248" t="s">
        <v>2988</v>
      </c>
      <c r="E626" s="248" t="s">
        <v>3160</v>
      </c>
      <c r="F626" s="248" t="s">
        <v>2695</v>
      </c>
      <c r="G626" s="248" t="s">
        <v>2490</v>
      </c>
      <c r="H626" s="249" t="s">
        <v>3178</v>
      </c>
      <c r="I626" s="249" t="s">
        <v>2732</v>
      </c>
      <c r="J626" s="248" t="s">
        <v>2733</v>
      </c>
      <c r="K626" s="249" t="s">
        <v>3113</v>
      </c>
      <c r="L626" s="249" t="s">
        <v>2785</v>
      </c>
      <c r="M626" s="248" t="s">
        <v>3021</v>
      </c>
      <c r="N626" s="293"/>
      <c r="O626" s="293" t="str">
        <f>TablaPOA[[#This Row],[Cod_Sub_acción_especifica]]&amp;"_"&amp;TablaPOA[[#This Row],[Tipo de agente]]</f>
        <v>K31.2.18.1_Medios de transporte</v>
      </c>
      <c r="P626" s="250" t="s">
        <v>2918</v>
      </c>
      <c r="Q626" s="292" t="str">
        <f>TablaPOA[[#This Row],[Cod_Sub_acción_especifica]]&amp;"_"&amp;TablaPOA[[#This Row],[Cod_Tipo_agente]]</f>
        <v>K31.2.18.1_TA9</v>
      </c>
      <c r="R626" s="250" t="s">
        <v>2919</v>
      </c>
      <c r="S626" s="251" t="s">
        <v>2922</v>
      </c>
      <c r="T626" s="269" t="s">
        <v>2923</v>
      </c>
    </row>
    <row r="627" spans="1:20" ht="25.5" x14ac:dyDescent="0.25">
      <c r="A627" s="268" t="s">
        <v>2314</v>
      </c>
      <c r="B627" s="248">
        <v>31</v>
      </c>
      <c r="C627" s="248" t="s">
        <v>2691</v>
      </c>
      <c r="D627" s="248" t="s">
        <v>2988</v>
      </c>
      <c r="E627" s="248" t="s">
        <v>3160</v>
      </c>
      <c r="F627" s="248" t="s">
        <v>2695</v>
      </c>
      <c r="G627" s="248" t="s">
        <v>2490</v>
      </c>
      <c r="H627" s="249" t="s">
        <v>3178</v>
      </c>
      <c r="I627" s="249" t="s">
        <v>2732</v>
      </c>
      <c r="J627" s="248" t="s">
        <v>2733</v>
      </c>
      <c r="K627" s="249" t="s">
        <v>3113</v>
      </c>
      <c r="L627" s="249" t="s">
        <v>2785</v>
      </c>
      <c r="M627" s="248" t="s">
        <v>3021</v>
      </c>
      <c r="N627" s="293"/>
      <c r="O627" s="293" t="str">
        <f>TablaPOA[[#This Row],[Cod_Sub_acción_especifica]]&amp;"_"&amp;TablaPOA[[#This Row],[Tipo de agente]]</f>
        <v>K31.2.18.1_Medios de transporte</v>
      </c>
      <c r="P627" s="250" t="s">
        <v>2918</v>
      </c>
      <c r="Q627" s="292" t="str">
        <f>TablaPOA[[#This Row],[Cod_Sub_acción_especifica]]&amp;"_"&amp;TablaPOA[[#This Row],[Cod_Tipo_agente]]</f>
        <v>K31.2.18.1_TA9</v>
      </c>
      <c r="R627" s="250" t="s">
        <v>2919</v>
      </c>
      <c r="S627" s="251" t="s">
        <v>2924</v>
      </c>
      <c r="T627" s="269" t="s">
        <v>2925</v>
      </c>
    </row>
    <row r="628" spans="1:20" ht="25.5" x14ac:dyDescent="0.25">
      <c r="A628" s="268" t="s">
        <v>2314</v>
      </c>
      <c r="B628" s="248">
        <v>31</v>
      </c>
      <c r="C628" s="248" t="s">
        <v>2691</v>
      </c>
      <c r="D628" s="248" t="s">
        <v>2988</v>
      </c>
      <c r="E628" s="248" t="s">
        <v>3160</v>
      </c>
      <c r="F628" s="248" t="s">
        <v>2695</v>
      </c>
      <c r="G628" s="248" t="s">
        <v>2490</v>
      </c>
      <c r="H628" s="249" t="s">
        <v>3178</v>
      </c>
      <c r="I628" s="249" t="s">
        <v>2732</v>
      </c>
      <c r="J628" s="248" t="s">
        <v>2733</v>
      </c>
      <c r="K628" s="249" t="s">
        <v>3113</v>
      </c>
      <c r="L628" s="249" t="s">
        <v>2785</v>
      </c>
      <c r="M628" s="248" t="s">
        <v>3021</v>
      </c>
      <c r="N628" s="293"/>
      <c r="O628" s="293" t="str">
        <f>TablaPOA[[#This Row],[Cod_Sub_acción_especifica]]&amp;"_"&amp;TablaPOA[[#This Row],[Tipo de agente]]</f>
        <v>K31.2.18.1_Medios de transporte</v>
      </c>
      <c r="P628" s="250" t="s">
        <v>2918</v>
      </c>
      <c r="Q628" s="292" t="str">
        <f>TablaPOA[[#This Row],[Cod_Sub_acción_especifica]]&amp;"_"&amp;TablaPOA[[#This Row],[Cod_Tipo_agente]]</f>
        <v>K31.2.18.1_TA9</v>
      </c>
      <c r="R628" s="250" t="s">
        <v>2919</v>
      </c>
      <c r="S628" s="251" t="s">
        <v>2926</v>
      </c>
      <c r="T628" s="269" t="s">
        <v>2927</v>
      </c>
    </row>
    <row r="629" spans="1:20" ht="25.5" x14ac:dyDescent="0.25">
      <c r="A629" s="268" t="s">
        <v>2314</v>
      </c>
      <c r="B629" s="248">
        <v>31</v>
      </c>
      <c r="C629" s="248" t="s">
        <v>2691</v>
      </c>
      <c r="D629" s="248" t="s">
        <v>2988</v>
      </c>
      <c r="E629" s="248" t="s">
        <v>3160</v>
      </c>
      <c r="F629" s="248" t="s">
        <v>2695</v>
      </c>
      <c r="G629" s="248" t="s">
        <v>2490</v>
      </c>
      <c r="H629" s="249" t="s">
        <v>3178</v>
      </c>
      <c r="I629" s="249" t="s">
        <v>2732</v>
      </c>
      <c r="J629" s="248" t="s">
        <v>2733</v>
      </c>
      <c r="K629" s="249" t="s">
        <v>3113</v>
      </c>
      <c r="L629" s="249" t="s">
        <v>2785</v>
      </c>
      <c r="M629" s="248" t="s">
        <v>3021</v>
      </c>
      <c r="N629" s="293"/>
      <c r="O629" s="293" t="str">
        <f>TablaPOA[[#This Row],[Cod_Sub_acción_especifica]]&amp;"_"&amp;TablaPOA[[#This Row],[Tipo de agente]]</f>
        <v>K31.2.18.1_Medios de transporte</v>
      </c>
      <c r="P629" s="250" t="s">
        <v>2918</v>
      </c>
      <c r="Q629" s="292" t="str">
        <f>TablaPOA[[#This Row],[Cod_Sub_acción_especifica]]&amp;"_"&amp;TablaPOA[[#This Row],[Cod_Tipo_agente]]</f>
        <v>K31.2.18.1_TA9</v>
      </c>
      <c r="R629" s="250" t="s">
        <v>2919</v>
      </c>
      <c r="S629" s="251" t="s">
        <v>2928</v>
      </c>
      <c r="T629" s="269" t="s">
        <v>2929</v>
      </c>
    </row>
    <row r="630" spans="1:20" ht="25.5" x14ac:dyDescent="0.25">
      <c r="A630" s="268" t="s">
        <v>2314</v>
      </c>
      <c r="B630" s="248">
        <v>31</v>
      </c>
      <c r="C630" s="248" t="s">
        <v>2691</v>
      </c>
      <c r="D630" s="248" t="s">
        <v>2988</v>
      </c>
      <c r="E630" s="248" t="s">
        <v>3160</v>
      </c>
      <c r="F630" s="248" t="s">
        <v>2695</v>
      </c>
      <c r="G630" s="248" t="s">
        <v>2490</v>
      </c>
      <c r="H630" s="249" t="s">
        <v>3178</v>
      </c>
      <c r="I630" s="249" t="s">
        <v>2732</v>
      </c>
      <c r="J630" s="248" t="s">
        <v>2733</v>
      </c>
      <c r="K630" s="249" t="s">
        <v>3113</v>
      </c>
      <c r="L630" s="249" t="s">
        <v>2785</v>
      </c>
      <c r="M630" s="248" t="s">
        <v>3021</v>
      </c>
      <c r="N630" s="293"/>
      <c r="O630" s="293" t="str">
        <f>TablaPOA[[#This Row],[Cod_Sub_acción_especifica]]&amp;"_"&amp;TablaPOA[[#This Row],[Tipo de agente]]</f>
        <v>K31.2.18.1_Medios de transporte</v>
      </c>
      <c r="P630" s="250" t="s">
        <v>2918</v>
      </c>
      <c r="Q630" s="292" t="str">
        <f>TablaPOA[[#This Row],[Cod_Sub_acción_especifica]]&amp;"_"&amp;TablaPOA[[#This Row],[Cod_Tipo_agente]]</f>
        <v>K31.2.18.1_TA9</v>
      </c>
      <c r="R630" s="250" t="s">
        <v>2919</v>
      </c>
      <c r="S630" s="251" t="s">
        <v>2930</v>
      </c>
      <c r="T630" s="269" t="s">
        <v>2931</v>
      </c>
    </row>
    <row r="631" spans="1:20" ht="25.5" x14ac:dyDescent="0.25">
      <c r="A631" s="268" t="s">
        <v>2314</v>
      </c>
      <c r="B631" s="248">
        <v>31</v>
      </c>
      <c r="C631" s="248" t="s">
        <v>2691</v>
      </c>
      <c r="D631" s="248" t="s">
        <v>2988</v>
      </c>
      <c r="E631" s="248" t="s">
        <v>3160</v>
      </c>
      <c r="F631" s="248" t="s">
        <v>2695</v>
      </c>
      <c r="G631" s="248" t="s">
        <v>2490</v>
      </c>
      <c r="H631" s="249" t="s">
        <v>3178</v>
      </c>
      <c r="I631" s="249" t="s">
        <v>2732</v>
      </c>
      <c r="J631" s="248" t="s">
        <v>2733</v>
      </c>
      <c r="K631" s="249" t="s">
        <v>3113</v>
      </c>
      <c r="L631" s="249" t="s">
        <v>2785</v>
      </c>
      <c r="M631" s="248" t="s">
        <v>3021</v>
      </c>
      <c r="N631" s="293"/>
      <c r="O631" s="293" t="str">
        <f>TablaPOA[[#This Row],[Cod_Sub_acción_especifica]]&amp;"_"&amp;TablaPOA[[#This Row],[Tipo de agente]]</f>
        <v>K31.2.18.1_Medios de transporte</v>
      </c>
      <c r="P631" s="250" t="s">
        <v>2918</v>
      </c>
      <c r="Q631" s="292" t="str">
        <f>TablaPOA[[#This Row],[Cod_Sub_acción_especifica]]&amp;"_"&amp;TablaPOA[[#This Row],[Cod_Tipo_agente]]</f>
        <v>K31.2.18.1_TA9</v>
      </c>
      <c r="R631" s="250" t="s">
        <v>2919</v>
      </c>
      <c r="S631" s="251" t="s">
        <v>2932</v>
      </c>
      <c r="T631" s="269" t="s">
        <v>2933</v>
      </c>
    </row>
    <row r="632" spans="1:20" ht="25.5" x14ac:dyDescent="0.25">
      <c r="A632" s="268" t="s">
        <v>2314</v>
      </c>
      <c r="B632" s="248">
        <v>31</v>
      </c>
      <c r="C632" s="248" t="s">
        <v>2691</v>
      </c>
      <c r="D632" s="248" t="s">
        <v>2988</v>
      </c>
      <c r="E632" s="248" t="s">
        <v>3160</v>
      </c>
      <c r="F632" s="248" t="s">
        <v>2695</v>
      </c>
      <c r="G632" s="248" t="s">
        <v>2490</v>
      </c>
      <c r="H632" s="249" t="s">
        <v>3178</v>
      </c>
      <c r="I632" s="249" t="s">
        <v>2732</v>
      </c>
      <c r="J632" s="248" t="s">
        <v>2733</v>
      </c>
      <c r="K632" s="249" t="s">
        <v>3113</v>
      </c>
      <c r="L632" s="249" t="s">
        <v>2785</v>
      </c>
      <c r="M632" s="248" t="s">
        <v>3021</v>
      </c>
      <c r="N632" s="293"/>
      <c r="O632" s="293" t="str">
        <f>TablaPOA[[#This Row],[Cod_Sub_acción_especifica]]&amp;"_"&amp;TablaPOA[[#This Row],[Tipo de agente]]</f>
        <v>K31.2.18.1_Medios de transporte</v>
      </c>
      <c r="P632" s="250" t="s">
        <v>2918</v>
      </c>
      <c r="Q632" s="292" t="str">
        <f>TablaPOA[[#This Row],[Cod_Sub_acción_especifica]]&amp;"_"&amp;TablaPOA[[#This Row],[Cod_Tipo_agente]]</f>
        <v>K31.2.18.1_TA9</v>
      </c>
      <c r="R632" s="250" t="s">
        <v>2919</v>
      </c>
      <c r="S632" s="251" t="s">
        <v>2934</v>
      </c>
      <c r="T632" s="269" t="s">
        <v>2935</v>
      </c>
    </row>
    <row r="633" spans="1:20" ht="25.5" x14ac:dyDescent="0.25">
      <c r="A633" s="268" t="s">
        <v>2314</v>
      </c>
      <c r="B633" s="248">
        <v>31</v>
      </c>
      <c r="C633" s="248" t="s">
        <v>2691</v>
      </c>
      <c r="D633" s="248" t="s">
        <v>2988</v>
      </c>
      <c r="E633" s="248" t="s">
        <v>3160</v>
      </c>
      <c r="F633" s="248" t="s">
        <v>2695</v>
      </c>
      <c r="G633" s="248" t="s">
        <v>2490</v>
      </c>
      <c r="H633" s="249" t="s">
        <v>3178</v>
      </c>
      <c r="I633" s="249" t="s">
        <v>2732</v>
      </c>
      <c r="J633" s="248" t="s">
        <v>2733</v>
      </c>
      <c r="K633" s="249" t="s">
        <v>3113</v>
      </c>
      <c r="L633" s="249" t="s">
        <v>2785</v>
      </c>
      <c r="M633" s="248" t="s">
        <v>3021</v>
      </c>
      <c r="N633" s="293"/>
      <c r="O633" s="293" t="str">
        <f>TablaPOA[[#This Row],[Cod_Sub_acción_especifica]]&amp;"_"&amp;TablaPOA[[#This Row],[Tipo de agente]]</f>
        <v>K31.2.18.1_Medios de transporte</v>
      </c>
      <c r="P633" s="250" t="s">
        <v>2918</v>
      </c>
      <c r="Q633" s="292" t="str">
        <f>TablaPOA[[#This Row],[Cod_Sub_acción_especifica]]&amp;"_"&amp;TablaPOA[[#This Row],[Cod_Tipo_agente]]</f>
        <v>K31.2.18.1_TA9</v>
      </c>
      <c r="R633" s="250" t="s">
        <v>2919</v>
      </c>
      <c r="S633" s="251" t="s">
        <v>2936</v>
      </c>
      <c r="T633" s="269" t="s">
        <v>2937</v>
      </c>
    </row>
    <row r="634" spans="1:20" ht="25.5" x14ac:dyDescent="0.25">
      <c r="A634" s="268" t="s">
        <v>2314</v>
      </c>
      <c r="B634" s="248">
        <v>31</v>
      </c>
      <c r="C634" s="248" t="s">
        <v>2691</v>
      </c>
      <c r="D634" s="248" t="s">
        <v>2988</v>
      </c>
      <c r="E634" s="248" t="s">
        <v>3160</v>
      </c>
      <c r="F634" s="248" t="s">
        <v>2695</v>
      </c>
      <c r="G634" s="248" t="s">
        <v>2490</v>
      </c>
      <c r="H634" s="249" t="s">
        <v>3178</v>
      </c>
      <c r="I634" s="249" t="s">
        <v>2732</v>
      </c>
      <c r="J634" s="248" t="s">
        <v>2733</v>
      </c>
      <c r="K634" s="249" t="s">
        <v>3113</v>
      </c>
      <c r="L634" s="249" t="s">
        <v>2785</v>
      </c>
      <c r="M634" s="248" t="s">
        <v>3021</v>
      </c>
      <c r="N634" s="293"/>
      <c r="O634" s="293" t="str">
        <f>TablaPOA[[#This Row],[Cod_Sub_acción_especifica]]&amp;"_"&amp;TablaPOA[[#This Row],[Tipo de agente]]</f>
        <v>K31.2.18.1_Medios de transporte</v>
      </c>
      <c r="P634" s="250" t="s">
        <v>2918</v>
      </c>
      <c r="Q634" s="292" t="str">
        <f>TablaPOA[[#This Row],[Cod_Sub_acción_especifica]]&amp;"_"&amp;TablaPOA[[#This Row],[Cod_Tipo_agente]]</f>
        <v>K31.2.18.1_TA9</v>
      </c>
      <c r="R634" s="250" t="s">
        <v>2919</v>
      </c>
      <c r="S634" s="251" t="s">
        <v>2938</v>
      </c>
      <c r="T634" s="269" t="s">
        <v>2939</v>
      </c>
    </row>
    <row r="635" spans="1:20" ht="25.5" x14ac:dyDescent="0.25">
      <c r="A635" s="268" t="s">
        <v>2314</v>
      </c>
      <c r="B635" s="248">
        <v>31</v>
      </c>
      <c r="C635" s="248" t="s">
        <v>2691</v>
      </c>
      <c r="D635" s="248" t="s">
        <v>2988</v>
      </c>
      <c r="E635" s="248" t="s">
        <v>3160</v>
      </c>
      <c r="F635" s="248" t="s">
        <v>2695</v>
      </c>
      <c r="G635" s="248" t="s">
        <v>2490</v>
      </c>
      <c r="H635" s="249" t="s">
        <v>3178</v>
      </c>
      <c r="I635" s="249" t="s">
        <v>2732</v>
      </c>
      <c r="J635" s="248" t="s">
        <v>2733</v>
      </c>
      <c r="K635" s="249" t="s">
        <v>3113</v>
      </c>
      <c r="L635" s="249" t="s">
        <v>2785</v>
      </c>
      <c r="M635" s="248" t="s">
        <v>3021</v>
      </c>
      <c r="N635" s="293"/>
      <c r="O635" s="293" t="str">
        <f>TablaPOA[[#This Row],[Cod_Sub_acción_especifica]]&amp;"_"&amp;TablaPOA[[#This Row],[Tipo de agente]]</f>
        <v>K31.2.18.1_Medios de transporte</v>
      </c>
      <c r="P635" s="250" t="s">
        <v>2918</v>
      </c>
      <c r="Q635" s="292" t="str">
        <f>TablaPOA[[#This Row],[Cod_Sub_acción_especifica]]&amp;"_"&amp;TablaPOA[[#This Row],[Cod_Tipo_agente]]</f>
        <v>K31.2.18.1_TA9</v>
      </c>
      <c r="R635" s="250" t="s">
        <v>2919</v>
      </c>
      <c r="S635" s="251" t="s">
        <v>2940</v>
      </c>
      <c r="T635" s="269" t="s">
        <v>2941</v>
      </c>
    </row>
    <row r="636" spans="1:20" ht="25.5" x14ac:dyDescent="0.25">
      <c r="A636" s="268" t="s">
        <v>2314</v>
      </c>
      <c r="B636" s="248">
        <v>31</v>
      </c>
      <c r="C636" s="248" t="s">
        <v>2691</v>
      </c>
      <c r="D636" s="248" t="s">
        <v>2988</v>
      </c>
      <c r="E636" s="248" t="s">
        <v>3160</v>
      </c>
      <c r="F636" s="248" t="s">
        <v>2695</v>
      </c>
      <c r="G636" s="248" t="s">
        <v>2490</v>
      </c>
      <c r="H636" s="249" t="s">
        <v>3178</v>
      </c>
      <c r="I636" s="249" t="s">
        <v>2732</v>
      </c>
      <c r="J636" s="248" t="s">
        <v>2733</v>
      </c>
      <c r="K636" s="249" t="s">
        <v>3113</v>
      </c>
      <c r="L636" s="249" t="s">
        <v>2785</v>
      </c>
      <c r="M636" s="248" t="s">
        <v>3021</v>
      </c>
      <c r="N636" s="293"/>
      <c r="O636" s="293" t="str">
        <f>TablaPOA[[#This Row],[Cod_Sub_acción_especifica]]&amp;"_"&amp;TablaPOA[[#This Row],[Tipo de agente]]</f>
        <v>K31.2.18.1_Medios de transporte</v>
      </c>
      <c r="P636" s="250" t="s">
        <v>2918</v>
      </c>
      <c r="Q636" s="292" t="str">
        <f>TablaPOA[[#This Row],[Cod_Sub_acción_especifica]]&amp;"_"&amp;TablaPOA[[#This Row],[Cod_Tipo_agente]]</f>
        <v>K31.2.18.1_TA9</v>
      </c>
      <c r="R636" s="250" t="s">
        <v>2919</v>
      </c>
      <c r="S636" s="251" t="s">
        <v>2942</v>
      </c>
      <c r="T636" s="269" t="s">
        <v>2943</v>
      </c>
    </row>
    <row r="637" spans="1:20" ht="25.5" x14ac:dyDescent="0.25">
      <c r="A637" s="268" t="s">
        <v>2314</v>
      </c>
      <c r="B637" s="248">
        <v>31</v>
      </c>
      <c r="C637" s="248" t="s">
        <v>2691</v>
      </c>
      <c r="D637" s="248" t="s">
        <v>2988</v>
      </c>
      <c r="E637" s="248" t="s">
        <v>3160</v>
      </c>
      <c r="F637" s="248" t="s">
        <v>2695</v>
      </c>
      <c r="G637" s="248" t="s">
        <v>2490</v>
      </c>
      <c r="H637" s="249" t="s">
        <v>3178</v>
      </c>
      <c r="I637" s="249" t="s">
        <v>2732</v>
      </c>
      <c r="J637" s="248" t="s">
        <v>2733</v>
      </c>
      <c r="K637" s="249" t="s">
        <v>3113</v>
      </c>
      <c r="L637" s="249" t="s">
        <v>2785</v>
      </c>
      <c r="M637" s="248" t="s">
        <v>3021</v>
      </c>
      <c r="N637" s="293"/>
      <c r="O637" s="293" t="str">
        <f>TablaPOA[[#This Row],[Cod_Sub_acción_especifica]]&amp;"_"&amp;TablaPOA[[#This Row],[Tipo de agente]]</f>
        <v>K31.2.18.1_Medios de transporte</v>
      </c>
      <c r="P637" s="250" t="s">
        <v>2918</v>
      </c>
      <c r="Q637" s="292" t="str">
        <f>TablaPOA[[#This Row],[Cod_Sub_acción_especifica]]&amp;"_"&amp;TablaPOA[[#This Row],[Cod_Tipo_agente]]</f>
        <v>K31.2.18.1_TA9</v>
      </c>
      <c r="R637" s="250" t="s">
        <v>2919</v>
      </c>
      <c r="S637" s="251" t="s">
        <v>2944</v>
      </c>
      <c r="T637" s="269" t="s">
        <v>2945</v>
      </c>
    </row>
    <row r="638" spans="1:20" ht="25.5" x14ac:dyDescent="0.25">
      <c r="A638" s="268" t="s">
        <v>2314</v>
      </c>
      <c r="B638" s="248">
        <v>31</v>
      </c>
      <c r="C638" s="248" t="s">
        <v>2691</v>
      </c>
      <c r="D638" s="248" t="s">
        <v>2988</v>
      </c>
      <c r="E638" s="248" t="s">
        <v>3160</v>
      </c>
      <c r="F638" s="248" t="s">
        <v>2695</v>
      </c>
      <c r="G638" s="248" t="s">
        <v>2490</v>
      </c>
      <c r="H638" s="249" t="s">
        <v>3178</v>
      </c>
      <c r="I638" s="249" t="s">
        <v>2732</v>
      </c>
      <c r="J638" s="248" t="s">
        <v>2733</v>
      </c>
      <c r="K638" s="249" t="s">
        <v>3113</v>
      </c>
      <c r="L638" s="249" t="s">
        <v>2785</v>
      </c>
      <c r="M638" s="248" t="s">
        <v>3021</v>
      </c>
      <c r="N638" s="293"/>
      <c r="O638" s="293" t="str">
        <f>TablaPOA[[#This Row],[Cod_Sub_acción_especifica]]&amp;"_"&amp;TablaPOA[[#This Row],[Tipo de agente]]</f>
        <v>K31.2.18.1_Medios de transporte</v>
      </c>
      <c r="P638" s="250" t="s">
        <v>2918</v>
      </c>
      <c r="Q638" s="292" t="str">
        <f>TablaPOA[[#This Row],[Cod_Sub_acción_especifica]]&amp;"_"&amp;TablaPOA[[#This Row],[Cod_Tipo_agente]]</f>
        <v>K31.2.18.1_TA9</v>
      </c>
      <c r="R638" s="250" t="s">
        <v>2919</v>
      </c>
      <c r="S638" s="251" t="s">
        <v>2946</v>
      </c>
      <c r="T638" s="269" t="s">
        <v>2947</v>
      </c>
    </row>
    <row r="639" spans="1:20" ht="25.5" x14ac:dyDescent="0.25">
      <c r="A639" s="268" t="s">
        <v>2314</v>
      </c>
      <c r="B639" s="248">
        <v>31</v>
      </c>
      <c r="C639" s="248" t="s">
        <v>2691</v>
      </c>
      <c r="D639" s="248" t="s">
        <v>2988</v>
      </c>
      <c r="E639" s="248" t="s">
        <v>3160</v>
      </c>
      <c r="F639" s="248" t="s">
        <v>2695</v>
      </c>
      <c r="G639" s="248" t="s">
        <v>2490</v>
      </c>
      <c r="H639" s="249" t="s">
        <v>3178</v>
      </c>
      <c r="I639" s="249" t="s">
        <v>2732</v>
      </c>
      <c r="J639" s="248" t="s">
        <v>2733</v>
      </c>
      <c r="K639" s="249" t="s">
        <v>3113</v>
      </c>
      <c r="L639" s="249" t="s">
        <v>2785</v>
      </c>
      <c r="M639" s="248" t="s">
        <v>3021</v>
      </c>
      <c r="N639" s="293"/>
      <c r="O639" s="293" t="str">
        <f>TablaPOA[[#This Row],[Cod_Sub_acción_especifica]]&amp;"_"&amp;TablaPOA[[#This Row],[Tipo de agente]]</f>
        <v>K31.2.18.1_Medios de transporte</v>
      </c>
      <c r="P639" s="250" t="s">
        <v>2918</v>
      </c>
      <c r="Q639" s="292" t="str">
        <f>TablaPOA[[#This Row],[Cod_Sub_acción_especifica]]&amp;"_"&amp;TablaPOA[[#This Row],[Cod_Tipo_agente]]</f>
        <v>K31.2.18.1_TA9</v>
      </c>
      <c r="R639" s="250" t="s">
        <v>2919</v>
      </c>
      <c r="S639" s="251" t="s">
        <v>2948</v>
      </c>
      <c r="T639" s="269" t="s">
        <v>2949</v>
      </c>
    </row>
    <row r="640" spans="1:20" ht="25.5" x14ac:dyDescent="0.25">
      <c r="A640" s="268" t="s">
        <v>2314</v>
      </c>
      <c r="B640" s="248">
        <v>31</v>
      </c>
      <c r="C640" s="248" t="s">
        <v>2691</v>
      </c>
      <c r="D640" s="248" t="s">
        <v>2988</v>
      </c>
      <c r="E640" s="248" t="s">
        <v>3160</v>
      </c>
      <c r="F640" s="248" t="s">
        <v>2695</v>
      </c>
      <c r="G640" s="248" t="s">
        <v>2490</v>
      </c>
      <c r="H640" s="249" t="s">
        <v>3178</v>
      </c>
      <c r="I640" s="249" t="s">
        <v>2732</v>
      </c>
      <c r="J640" s="248" t="s">
        <v>2733</v>
      </c>
      <c r="K640" s="249" t="s">
        <v>3113</v>
      </c>
      <c r="L640" s="249" t="s">
        <v>2785</v>
      </c>
      <c r="M640" s="248" t="s">
        <v>3021</v>
      </c>
      <c r="N640" s="293"/>
      <c r="O640" s="293" t="str">
        <f>TablaPOA[[#This Row],[Cod_Sub_acción_especifica]]&amp;"_"&amp;TablaPOA[[#This Row],[Tipo de agente]]</f>
        <v>K31.2.18.1_Plantas de abastecimiento y despacho</v>
      </c>
      <c r="P640" s="250" t="s">
        <v>2950</v>
      </c>
      <c r="Q640" s="292" t="str">
        <f>TablaPOA[[#This Row],[Cod_Sub_acción_especifica]]&amp;"_"&amp;TablaPOA[[#This Row],[Cod_Tipo_agente]]</f>
        <v>K31.2.18.1_TA10</v>
      </c>
      <c r="R640" s="250" t="s">
        <v>2951</v>
      </c>
      <c r="S640" s="251" t="s">
        <v>2952</v>
      </c>
      <c r="T640" s="269" t="s">
        <v>2953</v>
      </c>
    </row>
    <row r="641" spans="1:20" ht="25.5" x14ac:dyDescent="0.25">
      <c r="A641" s="268" t="s">
        <v>2314</v>
      </c>
      <c r="B641" s="248">
        <v>31</v>
      </c>
      <c r="C641" s="248" t="s">
        <v>2691</v>
      </c>
      <c r="D641" s="248" t="s">
        <v>2988</v>
      </c>
      <c r="E641" s="248" t="s">
        <v>3160</v>
      </c>
      <c r="F641" s="248" t="s">
        <v>2695</v>
      </c>
      <c r="G641" s="248" t="s">
        <v>2490</v>
      </c>
      <c r="H641" s="249" t="s">
        <v>3178</v>
      </c>
      <c r="I641" s="249" t="s">
        <v>2732</v>
      </c>
      <c r="J641" s="248" t="s">
        <v>2733</v>
      </c>
      <c r="K641" s="249" t="s">
        <v>3113</v>
      </c>
      <c r="L641" s="249" t="s">
        <v>2785</v>
      </c>
      <c r="M641" s="248" t="s">
        <v>3021</v>
      </c>
      <c r="N641" s="293"/>
      <c r="O641" s="293" t="str">
        <f>TablaPOA[[#This Row],[Cod_Sub_acción_especifica]]&amp;"_"&amp;TablaPOA[[#This Row],[Tipo de agente]]</f>
        <v>K31.2.18.1_Plantas de abastecimiento y despacho</v>
      </c>
      <c r="P641" s="250" t="s">
        <v>2950</v>
      </c>
      <c r="Q641" s="292" t="str">
        <f>TablaPOA[[#This Row],[Cod_Sub_acción_especifica]]&amp;"_"&amp;TablaPOA[[#This Row],[Cod_Tipo_agente]]</f>
        <v>K31.2.18.1_TA10</v>
      </c>
      <c r="R641" s="250" t="s">
        <v>2951</v>
      </c>
      <c r="S641" s="251" t="s">
        <v>2954</v>
      </c>
      <c r="T641" s="269" t="s">
        <v>2955</v>
      </c>
    </row>
    <row r="642" spans="1:20" ht="25.5" x14ac:dyDescent="0.25">
      <c r="A642" s="268" t="s">
        <v>2314</v>
      </c>
      <c r="B642" s="248">
        <v>31</v>
      </c>
      <c r="C642" s="248" t="s">
        <v>2691</v>
      </c>
      <c r="D642" s="248" t="s">
        <v>2988</v>
      </c>
      <c r="E642" s="248" t="s">
        <v>3160</v>
      </c>
      <c r="F642" s="248" t="s">
        <v>2695</v>
      </c>
      <c r="G642" s="248" t="s">
        <v>2490</v>
      </c>
      <c r="H642" s="249" t="s">
        <v>3178</v>
      </c>
      <c r="I642" s="249" t="s">
        <v>2732</v>
      </c>
      <c r="J642" s="248" t="s">
        <v>2733</v>
      </c>
      <c r="K642" s="249" t="s">
        <v>3113</v>
      </c>
      <c r="L642" s="249" t="s">
        <v>2785</v>
      </c>
      <c r="M642" s="248" t="s">
        <v>3021</v>
      </c>
      <c r="N642" s="293"/>
      <c r="O642" s="293" t="str">
        <f>TablaPOA[[#This Row],[Cod_Sub_acción_especifica]]&amp;"_"&amp;TablaPOA[[#This Row],[Tipo de agente]]</f>
        <v>K31.2.18.1_Plantas de abastecimiento y despacho</v>
      </c>
      <c r="P642" s="250" t="s">
        <v>2950</v>
      </c>
      <c r="Q642" s="292" t="str">
        <f>TablaPOA[[#This Row],[Cod_Sub_acción_especifica]]&amp;"_"&amp;TablaPOA[[#This Row],[Cod_Tipo_agente]]</f>
        <v>K31.2.18.1_TA10</v>
      </c>
      <c r="R642" s="250" t="s">
        <v>2951</v>
      </c>
      <c r="S642" s="251" t="s">
        <v>2956</v>
      </c>
      <c r="T642" s="269" t="s">
        <v>2957</v>
      </c>
    </row>
    <row r="643" spans="1:20" ht="25.5" x14ac:dyDescent="0.25">
      <c r="A643" s="268" t="s">
        <v>2314</v>
      </c>
      <c r="B643" s="248">
        <v>31</v>
      </c>
      <c r="C643" s="248" t="s">
        <v>2691</v>
      </c>
      <c r="D643" s="248" t="s">
        <v>2988</v>
      </c>
      <c r="E643" s="248" t="s">
        <v>3160</v>
      </c>
      <c r="F643" s="248" t="s">
        <v>2695</v>
      </c>
      <c r="G643" s="248" t="s">
        <v>2490</v>
      </c>
      <c r="H643" s="249" t="s">
        <v>3178</v>
      </c>
      <c r="I643" s="249" t="s">
        <v>2732</v>
      </c>
      <c r="J643" s="248" t="s">
        <v>2733</v>
      </c>
      <c r="K643" s="249" t="s">
        <v>3113</v>
      </c>
      <c r="L643" s="249" t="s">
        <v>2785</v>
      </c>
      <c r="M643" s="248" t="s">
        <v>3021</v>
      </c>
      <c r="N643" s="293"/>
      <c r="O643" s="293" t="str">
        <f>TablaPOA[[#This Row],[Cod_Sub_acción_especifica]]&amp;"_"&amp;TablaPOA[[#This Row],[Tipo de agente]]</f>
        <v>K31.2.18.1_Plantas de abastecimiento y despacho</v>
      </c>
      <c r="P643" s="250" t="s">
        <v>2950</v>
      </c>
      <c r="Q643" s="292" t="str">
        <f>TablaPOA[[#This Row],[Cod_Sub_acción_especifica]]&amp;"_"&amp;TablaPOA[[#This Row],[Cod_Tipo_agente]]</f>
        <v>K31.2.18.1_TA10</v>
      </c>
      <c r="R643" s="250" t="s">
        <v>2951</v>
      </c>
      <c r="S643" s="251" t="s">
        <v>2958</v>
      </c>
      <c r="T643" s="269" t="s">
        <v>2959</v>
      </c>
    </row>
    <row r="644" spans="1:20" ht="38.25" x14ac:dyDescent="0.25">
      <c r="A644" s="268" t="s">
        <v>2314</v>
      </c>
      <c r="B644" s="248">
        <v>31</v>
      </c>
      <c r="C644" s="248" t="s">
        <v>2691</v>
      </c>
      <c r="D644" s="248" t="s">
        <v>2988</v>
      </c>
      <c r="E644" s="248" t="s">
        <v>3160</v>
      </c>
      <c r="F644" s="248" t="s">
        <v>2695</v>
      </c>
      <c r="G644" s="248" t="s">
        <v>2490</v>
      </c>
      <c r="H644" s="249" t="s">
        <v>3178</v>
      </c>
      <c r="I644" s="249" t="s">
        <v>2732</v>
      </c>
      <c r="J644" s="248" t="s">
        <v>2733</v>
      </c>
      <c r="K644" s="249" t="s">
        <v>3113</v>
      </c>
      <c r="L644" s="249" t="s">
        <v>2785</v>
      </c>
      <c r="M644" s="248" t="s">
        <v>3021</v>
      </c>
      <c r="N644" s="293"/>
      <c r="O644" s="293" t="str">
        <f>TablaPOA[[#This Row],[Cod_Sub_acción_especifica]]&amp;"_"&amp;TablaPOA[[#This Row],[Tipo de agente]]</f>
        <v>K31.2.18.1_Instalaciones de compresión, transferencia y descompresión de gas natural</v>
      </c>
      <c r="P644" s="250" t="s">
        <v>2902</v>
      </c>
      <c r="Q644" s="292" t="str">
        <f>TablaPOA[[#This Row],[Cod_Sub_acción_especifica]]&amp;"_"&amp;TablaPOA[[#This Row],[Cod_Tipo_agente]]</f>
        <v>K31.2.18.1_TA7</v>
      </c>
      <c r="R644" s="250" t="s">
        <v>2903</v>
      </c>
      <c r="S644" s="252">
        <v>607</v>
      </c>
      <c r="T644" s="274" t="s">
        <v>2905</v>
      </c>
    </row>
    <row r="645" spans="1:20" ht="38.25" x14ac:dyDescent="0.25">
      <c r="A645" s="268" t="s">
        <v>2314</v>
      </c>
      <c r="B645" s="248">
        <v>31</v>
      </c>
      <c r="C645" s="248" t="s">
        <v>2691</v>
      </c>
      <c r="D645" s="248" t="s">
        <v>2988</v>
      </c>
      <c r="E645" s="248" t="s">
        <v>3160</v>
      </c>
      <c r="F645" s="248" t="s">
        <v>2695</v>
      </c>
      <c r="G645" s="248" t="s">
        <v>2490</v>
      </c>
      <c r="H645" s="249" t="s">
        <v>3178</v>
      </c>
      <c r="I645" s="249" t="s">
        <v>2732</v>
      </c>
      <c r="J645" s="248" t="s">
        <v>2733</v>
      </c>
      <c r="K645" s="249" t="s">
        <v>3113</v>
      </c>
      <c r="L645" s="249" t="s">
        <v>2785</v>
      </c>
      <c r="M645" s="248" t="s">
        <v>3021</v>
      </c>
      <c r="N645" s="293"/>
      <c r="O645" s="293" t="str">
        <f>TablaPOA[[#This Row],[Cod_Sub_acción_especifica]]&amp;"_"&amp;TablaPOA[[#This Row],[Tipo de agente]]</f>
        <v>K31.2.18.1_Instalaciones de compresión, transferencia y descompresión de gas natural</v>
      </c>
      <c r="P645" s="250" t="s">
        <v>2902</v>
      </c>
      <c r="Q645" s="292" t="str">
        <f>TablaPOA[[#This Row],[Cod_Sub_acción_especifica]]&amp;"_"&amp;TablaPOA[[#This Row],[Cod_Tipo_agente]]</f>
        <v>K31.2.18.1_TA7</v>
      </c>
      <c r="R645" s="250" t="s">
        <v>2903</v>
      </c>
      <c r="S645" s="252" t="s">
        <v>2906</v>
      </c>
      <c r="T645" s="274" t="s">
        <v>2907</v>
      </c>
    </row>
    <row r="646" spans="1:20" ht="38.25" x14ac:dyDescent="0.25">
      <c r="A646" s="268" t="s">
        <v>2314</v>
      </c>
      <c r="B646" s="248">
        <v>31</v>
      </c>
      <c r="C646" s="248" t="s">
        <v>2691</v>
      </c>
      <c r="D646" s="248" t="s">
        <v>2988</v>
      </c>
      <c r="E646" s="248" t="s">
        <v>3160</v>
      </c>
      <c r="F646" s="248" t="s">
        <v>2695</v>
      </c>
      <c r="G646" s="248" t="s">
        <v>2490</v>
      </c>
      <c r="H646" s="249" t="s">
        <v>3178</v>
      </c>
      <c r="I646" s="249" t="s">
        <v>2732</v>
      </c>
      <c r="J646" s="248" t="s">
        <v>2733</v>
      </c>
      <c r="K646" s="249" t="s">
        <v>3113</v>
      </c>
      <c r="L646" s="249" t="s">
        <v>2785</v>
      </c>
      <c r="M646" s="248" t="s">
        <v>3021</v>
      </c>
      <c r="N646" s="293"/>
      <c r="O646" s="293" t="str">
        <f>TablaPOA[[#This Row],[Cod_Sub_acción_especifica]]&amp;"_"&amp;TablaPOA[[#This Row],[Tipo de agente]]</f>
        <v>K31.2.18.1_Instalaciones de compresión, transferencia y descompresión de gas natural</v>
      </c>
      <c r="P646" s="250" t="s">
        <v>2902</v>
      </c>
      <c r="Q646" s="292" t="str">
        <f>TablaPOA[[#This Row],[Cod_Sub_acción_especifica]]&amp;"_"&amp;TablaPOA[[#This Row],[Cod_Tipo_agente]]</f>
        <v>K31.2.18.1_TA7</v>
      </c>
      <c r="R646" s="250" t="s">
        <v>2903</v>
      </c>
      <c r="S646" s="252" t="s">
        <v>2908</v>
      </c>
      <c r="T646" s="274" t="s">
        <v>2909</v>
      </c>
    </row>
    <row r="647" spans="1:20" ht="38.25" x14ac:dyDescent="0.25">
      <c r="A647" s="268" t="s">
        <v>2314</v>
      </c>
      <c r="B647" s="248">
        <v>31</v>
      </c>
      <c r="C647" s="248" t="s">
        <v>2691</v>
      </c>
      <c r="D647" s="248" t="s">
        <v>2988</v>
      </c>
      <c r="E647" s="248" t="s">
        <v>3160</v>
      </c>
      <c r="F647" s="248" t="s">
        <v>2695</v>
      </c>
      <c r="G647" s="248" t="s">
        <v>2490</v>
      </c>
      <c r="H647" s="249" t="s">
        <v>3178</v>
      </c>
      <c r="I647" s="249" t="s">
        <v>2732</v>
      </c>
      <c r="J647" s="248" t="s">
        <v>2733</v>
      </c>
      <c r="K647" s="249" t="s">
        <v>3113</v>
      </c>
      <c r="L647" s="249" t="s">
        <v>2785</v>
      </c>
      <c r="M647" s="248" t="s">
        <v>3021</v>
      </c>
      <c r="N647" s="293"/>
      <c r="O647" s="293" t="str">
        <f>TablaPOA[[#This Row],[Cod_Sub_acción_especifica]]&amp;"_"&amp;TablaPOA[[#This Row],[Tipo de agente]]</f>
        <v>K31.2.18.1_Instalaciones de compresión, transferencia y descompresión de gas natural</v>
      </c>
      <c r="P647" s="250" t="s">
        <v>2902</v>
      </c>
      <c r="Q647" s="292" t="str">
        <f>TablaPOA[[#This Row],[Cod_Sub_acción_especifica]]&amp;"_"&amp;TablaPOA[[#This Row],[Cod_Tipo_agente]]</f>
        <v>K31.2.18.1_TA7</v>
      </c>
      <c r="R647" s="250" t="s">
        <v>2903</v>
      </c>
      <c r="S647" s="252" t="s">
        <v>2910</v>
      </c>
      <c r="T647" s="274" t="s">
        <v>2911</v>
      </c>
    </row>
    <row r="648" spans="1:20" ht="25.5" x14ac:dyDescent="0.25">
      <c r="A648" s="268" t="s">
        <v>2314</v>
      </c>
      <c r="B648" s="248">
        <v>31</v>
      </c>
      <c r="C648" s="248" t="s">
        <v>2691</v>
      </c>
      <c r="D648" s="248" t="s">
        <v>2988</v>
      </c>
      <c r="E648" s="248" t="s">
        <v>3160</v>
      </c>
      <c r="F648" s="248" t="s">
        <v>2695</v>
      </c>
      <c r="G648" s="248" t="s">
        <v>2490</v>
      </c>
      <c r="H648" s="249" t="s">
        <v>3178</v>
      </c>
      <c r="I648" s="249" t="s">
        <v>2732</v>
      </c>
      <c r="J648" s="248" t="s">
        <v>2733</v>
      </c>
      <c r="K648" s="249" t="s">
        <v>3113</v>
      </c>
      <c r="L648" s="249" t="s">
        <v>2785</v>
      </c>
      <c r="M648" s="248" t="s">
        <v>3021</v>
      </c>
      <c r="N648" s="293"/>
      <c r="O648" s="293" t="str">
        <f>TablaPOA[[#This Row],[Cod_Sub_acción_especifica]]&amp;"_"&amp;TablaPOA[[#This Row],[Tipo de agente]]</f>
        <v>K31.2.18.1_Productores y Plantas de procesamiento</v>
      </c>
      <c r="P648" s="250" t="s">
        <v>2962</v>
      </c>
      <c r="Q648" s="292" t="str">
        <f>TablaPOA[[#This Row],[Cod_Sub_acción_especifica]]&amp;"_"&amp;TablaPOA[[#This Row],[Cod_Tipo_agente]]</f>
        <v>K31.2.18.1_TA11</v>
      </c>
      <c r="R648" s="250" t="s">
        <v>2963</v>
      </c>
      <c r="S648" s="251" t="s">
        <v>2964</v>
      </c>
      <c r="T648" s="269" t="s">
        <v>2965</v>
      </c>
    </row>
    <row r="649" spans="1:20" ht="25.5" x14ac:dyDescent="0.25">
      <c r="A649" s="268" t="s">
        <v>2314</v>
      </c>
      <c r="B649" s="248">
        <v>31</v>
      </c>
      <c r="C649" s="248" t="s">
        <v>2691</v>
      </c>
      <c r="D649" s="248" t="s">
        <v>2988</v>
      </c>
      <c r="E649" s="248" t="s">
        <v>3160</v>
      </c>
      <c r="F649" s="248" t="s">
        <v>2695</v>
      </c>
      <c r="G649" s="248" t="s">
        <v>2490</v>
      </c>
      <c r="H649" s="249" t="s">
        <v>3178</v>
      </c>
      <c r="I649" s="249" t="s">
        <v>2732</v>
      </c>
      <c r="J649" s="248" t="s">
        <v>2733</v>
      </c>
      <c r="K649" s="249" t="s">
        <v>3113</v>
      </c>
      <c r="L649" s="249" t="s">
        <v>2785</v>
      </c>
      <c r="M649" s="248" t="s">
        <v>3021</v>
      </c>
      <c r="N649" s="293"/>
      <c r="O649" s="293" t="str">
        <f>TablaPOA[[#This Row],[Cod_Sub_acción_especifica]]&amp;"_"&amp;TablaPOA[[#This Row],[Tipo de agente]]</f>
        <v>K31.2.18.1_Productores y Plantas de procesamiento</v>
      </c>
      <c r="P649" s="250" t="s">
        <v>2962</v>
      </c>
      <c r="Q649" s="292" t="str">
        <f>TablaPOA[[#This Row],[Cod_Sub_acción_especifica]]&amp;"_"&amp;TablaPOA[[#This Row],[Cod_Tipo_agente]]</f>
        <v>K31.2.18.1_TA11</v>
      </c>
      <c r="R649" s="250" t="s">
        <v>2963</v>
      </c>
      <c r="S649" s="251" t="s">
        <v>2966</v>
      </c>
      <c r="T649" s="269" t="s">
        <v>2967</v>
      </c>
    </row>
    <row r="650" spans="1:20" ht="25.5" x14ac:dyDescent="0.25">
      <c r="A650" s="268" t="s">
        <v>2314</v>
      </c>
      <c r="B650" s="248">
        <v>31</v>
      </c>
      <c r="C650" s="248" t="s">
        <v>2691</v>
      </c>
      <c r="D650" s="248" t="s">
        <v>2988</v>
      </c>
      <c r="E650" s="248" t="s">
        <v>3160</v>
      </c>
      <c r="F650" s="248" t="s">
        <v>2695</v>
      </c>
      <c r="G650" s="248" t="s">
        <v>2490</v>
      </c>
      <c r="H650" s="249" t="s">
        <v>3178</v>
      </c>
      <c r="I650" s="249" t="s">
        <v>2732</v>
      </c>
      <c r="J650" s="248" t="s">
        <v>2733</v>
      </c>
      <c r="K650" s="249" t="s">
        <v>3113</v>
      </c>
      <c r="L650" s="249" t="s">
        <v>2785</v>
      </c>
      <c r="M650" s="248" t="s">
        <v>3021</v>
      </c>
      <c r="N650" s="293"/>
      <c r="O650" s="293" t="str">
        <f>TablaPOA[[#This Row],[Cod_Sub_acción_especifica]]&amp;"_"&amp;TablaPOA[[#This Row],[Tipo de agente]]</f>
        <v>K31.2.18.1_Productores y Plantas de procesamiento</v>
      </c>
      <c r="P650" s="250" t="s">
        <v>2962</v>
      </c>
      <c r="Q650" s="292" t="str">
        <f>TablaPOA[[#This Row],[Cod_Sub_acción_especifica]]&amp;"_"&amp;TablaPOA[[#This Row],[Cod_Tipo_agente]]</f>
        <v>K31.2.18.1_TA11</v>
      </c>
      <c r="R650" s="250" t="s">
        <v>2963</v>
      </c>
      <c r="S650" s="251" t="s">
        <v>2968</v>
      </c>
      <c r="T650" s="269" t="s">
        <v>2969</v>
      </c>
    </row>
    <row r="651" spans="1:20" ht="25.5" x14ac:dyDescent="0.25">
      <c r="A651" s="268" t="s">
        <v>2314</v>
      </c>
      <c r="B651" s="248">
        <v>31</v>
      </c>
      <c r="C651" s="248" t="s">
        <v>2691</v>
      </c>
      <c r="D651" s="248" t="s">
        <v>2988</v>
      </c>
      <c r="E651" s="248" t="s">
        <v>3160</v>
      </c>
      <c r="F651" s="248" t="s">
        <v>2695</v>
      </c>
      <c r="G651" s="248" t="s">
        <v>2490</v>
      </c>
      <c r="H651" s="249" t="s">
        <v>3178</v>
      </c>
      <c r="I651" s="249" t="s">
        <v>2732</v>
      </c>
      <c r="J651" s="248" t="s">
        <v>2733</v>
      </c>
      <c r="K651" s="249" t="s">
        <v>3113</v>
      </c>
      <c r="L651" s="249" t="s">
        <v>2785</v>
      </c>
      <c r="M651" s="248" t="s">
        <v>3021</v>
      </c>
      <c r="N651" s="293"/>
      <c r="O651" s="293" t="str">
        <f>TablaPOA[[#This Row],[Cod_Sub_acción_especifica]]&amp;"_"&amp;TablaPOA[[#This Row],[Tipo de agente]]</f>
        <v>K31.2.18.1_Productores y Plantas de procesamiento</v>
      </c>
      <c r="P651" s="250" t="s">
        <v>2962</v>
      </c>
      <c r="Q651" s="292" t="str">
        <f>TablaPOA[[#This Row],[Cod_Sub_acción_especifica]]&amp;"_"&amp;TablaPOA[[#This Row],[Cod_Tipo_agente]]</f>
        <v>K31.2.18.1_TA11</v>
      </c>
      <c r="R651" s="250" t="s">
        <v>2963</v>
      </c>
      <c r="S651" s="251" t="s">
        <v>2970</v>
      </c>
      <c r="T651" s="269" t="s">
        <v>2971</v>
      </c>
    </row>
    <row r="652" spans="1:20" ht="25.5" x14ac:dyDescent="0.25">
      <c r="A652" s="268" t="s">
        <v>2314</v>
      </c>
      <c r="B652" s="248">
        <v>31</v>
      </c>
      <c r="C652" s="248" t="s">
        <v>2691</v>
      </c>
      <c r="D652" s="248" t="s">
        <v>2988</v>
      </c>
      <c r="E652" s="248" t="s">
        <v>3160</v>
      </c>
      <c r="F652" s="248" t="s">
        <v>2695</v>
      </c>
      <c r="G652" s="248" t="s">
        <v>2490</v>
      </c>
      <c r="H652" s="249" t="s">
        <v>3178</v>
      </c>
      <c r="I652" s="249" t="s">
        <v>2732</v>
      </c>
      <c r="J652" s="248" t="s">
        <v>2733</v>
      </c>
      <c r="K652" s="249" t="s">
        <v>3113</v>
      </c>
      <c r="L652" s="249" t="s">
        <v>2785</v>
      </c>
      <c r="M652" s="248" t="s">
        <v>3021</v>
      </c>
      <c r="N652" s="293"/>
      <c r="O652" s="293" t="str">
        <f>TablaPOA[[#This Row],[Cod_Sub_acción_especifica]]&amp;"_"&amp;TablaPOA[[#This Row],[Tipo de agente]]</f>
        <v>K31.2.18.1_Productores y Plantas de procesamiento</v>
      </c>
      <c r="P652" s="250" t="s">
        <v>2962</v>
      </c>
      <c r="Q652" s="292" t="str">
        <f>TablaPOA[[#This Row],[Cod_Sub_acción_especifica]]&amp;"_"&amp;TablaPOA[[#This Row],[Cod_Tipo_agente]]</f>
        <v>K31.2.18.1_TA11</v>
      </c>
      <c r="R652" s="250" t="s">
        <v>2963</v>
      </c>
      <c r="S652" s="251" t="s">
        <v>2972</v>
      </c>
      <c r="T652" s="269" t="s">
        <v>2973</v>
      </c>
    </row>
    <row r="653" spans="1:20" ht="25.5" x14ac:dyDescent="0.25">
      <c r="A653" s="268" t="s">
        <v>2314</v>
      </c>
      <c r="B653" s="248">
        <v>31</v>
      </c>
      <c r="C653" s="248" t="s">
        <v>2691</v>
      </c>
      <c r="D653" s="248" t="s">
        <v>2988</v>
      </c>
      <c r="E653" s="248" t="s">
        <v>3160</v>
      </c>
      <c r="F653" s="248" t="s">
        <v>2695</v>
      </c>
      <c r="G653" s="248" t="s">
        <v>2490</v>
      </c>
      <c r="H653" s="249" t="s">
        <v>3178</v>
      </c>
      <c r="I653" s="249" t="s">
        <v>2732</v>
      </c>
      <c r="J653" s="248" t="s">
        <v>2733</v>
      </c>
      <c r="K653" s="249" t="s">
        <v>3113</v>
      </c>
      <c r="L653" s="249" t="s">
        <v>2785</v>
      </c>
      <c r="M653" s="248" t="s">
        <v>3021</v>
      </c>
      <c r="N653" s="293"/>
      <c r="O653" s="293" t="str">
        <f>TablaPOA[[#This Row],[Cod_Sub_acción_especifica]]&amp;"_"&amp;TablaPOA[[#This Row],[Tipo de agente]]</f>
        <v>K31.2.18.1_Productores y Plantas de procesamiento</v>
      </c>
      <c r="P653" s="250" t="s">
        <v>2962</v>
      </c>
      <c r="Q653" s="292" t="str">
        <f>TablaPOA[[#This Row],[Cod_Sub_acción_especifica]]&amp;"_"&amp;TablaPOA[[#This Row],[Cod_Tipo_agente]]</f>
        <v>K31.2.18.1_TA11</v>
      </c>
      <c r="R653" s="250" t="s">
        <v>2963</v>
      </c>
      <c r="S653" s="251" t="s">
        <v>2974</v>
      </c>
      <c r="T653" s="269" t="s">
        <v>2975</v>
      </c>
    </row>
    <row r="654" spans="1:20" ht="25.5" x14ac:dyDescent="0.25">
      <c r="A654" s="268" t="s">
        <v>2314</v>
      </c>
      <c r="B654" s="248">
        <v>31</v>
      </c>
      <c r="C654" s="248" t="s">
        <v>2691</v>
      </c>
      <c r="D654" s="248" t="s">
        <v>2988</v>
      </c>
      <c r="E654" s="248" t="s">
        <v>3160</v>
      </c>
      <c r="F654" s="248" t="s">
        <v>2695</v>
      </c>
      <c r="G654" s="248" t="s">
        <v>2490</v>
      </c>
      <c r="H654" s="249" t="s">
        <v>3178</v>
      </c>
      <c r="I654" s="249" t="s">
        <v>2732</v>
      </c>
      <c r="J654" s="248" t="s">
        <v>2733</v>
      </c>
      <c r="K654" s="249" t="s">
        <v>3113</v>
      </c>
      <c r="L654" s="249" t="s">
        <v>2785</v>
      </c>
      <c r="M654" s="248" t="s">
        <v>3021</v>
      </c>
      <c r="N654" s="293"/>
      <c r="O654" s="293" t="str">
        <f>TablaPOA[[#This Row],[Cod_Sub_acción_especifica]]&amp;"_"&amp;TablaPOA[[#This Row],[Tipo de agente]]</f>
        <v>K31.2.18.1_Productores y Plantas de procesamiento</v>
      </c>
      <c r="P654" s="250" t="s">
        <v>2962</v>
      </c>
      <c r="Q654" s="292" t="str">
        <f>TablaPOA[[#This Row],[Cod_Sub_acción_especifica]]&amp;"_"&amp;TablaPOA[[#This Row],[Cod_Tipo_agente]]</f>
        <v>K31.2.18.1_TA11</v>
      </c>
      <c r="R654" s="250" t="s">
        <v>2963</v>
      </c>
      <c r="S654" s="251" t="s">
        <v>2976</v>
      </c>
      <c r="T654" s="269" t="s">
        <v>2977</v>
      </c>
    </row>
    <row r="655" spans="1:20" ht="25.5" x14ac:dyDescent="0.25">
      <c r="A655" s="219" t="s">
        <v>2314</v>
      </c>
      <c r="B655" s="227">
        <v>31</v>
      </c>
      <c r="C655" s="227" t="s">
        <v>2691</v>
      </c>
      <c r="D655" s="227" t="s">
        <v>2988</v>
      </c>
      <c r="E655" s="227" t="s">
        <v>3160</v>
      </c>
      <c r="F655" s="227" t="s">
        <v>2695</v>
      </c>
      <c r="G655" s="227" t="s">
        <v>2490</v>
      </c>
      <c r="H655" s="253" t="s">
        <v>3178</v>
      </c>
      <c r="I655" s="253" t="s">
        <v>2732</v>
      </c>
      <c r="J655" s="227" t="s">
        <v>2733</v>
      </c>
      <c r="K655" s="262" t="s">
        <v>3114</v>
      </c>
      <c r="L655" s="262" t="s">
        <v>2767</v>
      </c>
      <c r="M655" s="259" t="s">
        <v>2786</v>
      </c>
      <c r="N655" s="299" t="s">
        <v>2809</v>
      </c>
      <c r="O655" s="292" t="str">
        <f>TablaPOA[[#This Row],[Cod_Sub_acción_especifica]]&amp;"_"&amp;TablaPOA[[#This Row],[Tipo de agente]]</f>
        <v>K31.2.18.2_Consumidores directos de combustibles líquidos y OPDH</v>
      </c>
      <c r="P655" s="254" t="s">
        <v>2808</v>
      </c>
      <c r="Q655" s="292" t="str">
        <f>TablaPOA[[#This Row],[Cod_Sub_acción_especifica]]&amp;"_"&amp;TablaPOA[[#This Row],[Cod_Tipo_agente]]</f>
        <v>K31.2.18.2_TA1</v>
      </c>
      <c r="R655" s="254" t="s">
        <v>2809</v>
      </c>
      <c r="S655" s="255" t="s">
        <v>2810</v>
      </c>
      <c r="T655" s="271" t="s">
        <v>2811</v>
      </c>
    </row>
    <row r="656" spans="1:20" ht="25.5" x14ac:dyDescent="0.25">
      <c r="A656" s="219" t="s">
        <v>2314</v>
      </c>
      <c r="B656" s="227">
        <v>31</v>
      </c>
      <c r="C656" s="227" t="s">
        <v>2691</v>
      </c>
      <c r="D656" s="227" t="s">
        <v>2988</v>
      </c>
      <c r="E656" s="227" t="s">
        <v>3160</v>
      </c>
      <c r="F656" s="227" t="s">
        <v>2695</v>
      </c>
      <c r="G656" s="227" t="s">
        <v>2490</v>
      </c>
      <c r="H656" s="253" t="s">
        <v>3178</v>
      </c>
      <c r="I656" s="253" t="s">
        <v>2732</v>
      </c>
      <c r="J656" s="227" t="s">
        <v>2733</v>
      </c>
      <c r="K656" s="262" t="s">
        <v>3114</v>
      </c>
      <c r="L656" s="262" t="s">
        <v>2767</v>
      </c>
      <c r="M656" s="259" t="s">
        <v>2786</v>
      </c>
      <c r="N656" s="299" t="s">
        <v>2831</v>
      </c>
      <c r="O656" s="292" t="str">
        <f>TablaPOA[[#This Row],[Cod_Sub_acción_especifica]]&amp;"_"&amp;TablaPOA[[#This Row],[Tipo de agente]]</f>
        <v>K31.2.18.2_Consumidores directos de combustibles líquidos y OPDH</v>
      </c>
      <c r="P656" s="254" t="s">
        <v>2808</v>
      </c>
      <c r="Q656" s="292" t="str">
        <f>TablaPOA[[#This Row],[Cod_Sub_acción_especifica]]&amp;"_"&amp;TablaPOA[[#This Row],[Cod_Tipo_agente]]</f>
        <v>K31.2.18.2_TA1</v>
      </c>
      <c r="R656" s="254" t="s">
        <v>2809</v>
      </c>
      <c r="S656" s="255" t="s">
        <v>2812</v>
      </c>
      <c r="T656" s="271" t="s">
        <v>2813</v>
      </c>
    </row>
    <row r="657" spans="1:20" ht="25.5" x14ac:dyDescent="0.25">
      <c r="A657" s="219" t="s">
        <v>2314</v>
      </c>
      <c r="B657" s="227">
        <v>31</v>
      </c>
      <c r="C657" s="227" t="s">
        <v>2691</v>
      </c>
      <c r="D657" s="227" t="s">
        <v>2988</v>
      </c>
      <c r="E657" s="227" t="s">
        <v>3160</v>
      </c>
      <c r="F657" s="227" t="s">
        <v>2695</v>
      </c>
      <c r="G657" s="227" t="s">
        <v>2490</v>
      </c>
      <c r="H657" s="253" t="s">
        <v>3178</v>
      </c>
      <c r="I657" s="253" t="s">
        <v>2732</v>
      </c>
      <c r="J657" s="227" t="s">
        <v>2733</v>
      </c>
      <c r="K657" s="262" t="s">
        <v>3114</v>
      </c>
      <c r="L657" s="262" t="s">
        <v>2767</v>
      </c>
      <c r="M657" s="259" t="s">
        <v>2786</v>
      </c>
      <c r="N657" s="299" t="s">
        <v>2840</v>
      </c>
      <c r="O657" s="292" t="str">
        <f>TablaPOA[[#This Row],[Cod_Sub_acción_especifica]]&amp;"_"&amp;TablaPOA[[#This Row],[Tipo de agente]]</f>
        <v>K31.2.18.2_Consumidores directos de combustibles líquidos y OPDH</v>
      </c>
      <c r="P657" s="254" t="s">
        <v>2808</v>
      </c>
      <c r="Q657" s="292" t="str">
        <f>TablaPOA[[#This Row],[Cod_Sub_acción_especifica]]&amp;"_"&amp;TablaPOA[[#This Row],[Cod_Tipo_agente]]</f>
        <v>K31.2.18.2_TA1</v>
      </c>
      <c r="R657" s="254" t="s">
        <v>2809</v>
      </c>
      <c r="S657" s="255" t="s">
        <v>2814</v>
      </c>
      <c r="T657" s="271" t="s">
        <v>2815</v>
      </c>
    </row>
    <row r="658" spans="1:20" ht="25.5" x14ac:dyDescent="0.25">
      <c r="A658" s="219" t="s">
        <v>2314</v>
      </c>
      <c r="B658" s="227">
        <v>31</v>
      </c>
      <c r="C658" s="227" t="s">
        <v>2691</v>
      </c>
      <c r="D658" s="227" t="s">
        <v>2988</v>
      </c>
      <c r="E658" s="227" t="s">
        <v>3160</v>
      </c>
      <c r="F658" s="227" t="s">
        <v>2695</v>
      </c>
      <c r="G658" s="227" t="s">
        <v>2490</v>
      </c>
      <c r="H658" s="253" t="s">
        <v>3178</v>
      </c>
      <c r="I658" s="253" t="s">
        <v>2732</v>
      </c>
      <c r="J658" s="227" t="s">
        <v>2733</v>
      </c>
      <c r="K658" s="262" t="s">
        <v>3114</v>
      </c>
      <c r="L658" s="262" t="s">
        <v>2767</v>
      </c>
      <c r="M658" s="259" t="s">
        <v>2786</v>
      </c>
      <c r="N658" s="299" t="s">
        <v>2853</v>
      </c>
      <c r="O658" s="292" t="str">
        <f>TablaPOA[[#This Row],[Cod_Sub_acción_especifica]]&amp;"_"&amp;TablaPOA[[#This Row],[Tipo de agente]]</f>
        <v>K31.2.18.2_Consumidores directos de combustibles líquidos y OPDH</v>
      </c>
      <c r="P658" s="254" t="s">
        <v>2808</v>
      </c>
      <c r="Q658" s="292" t="str">
        <f>TablaPOA[[#This Row],[Cod_Sub_acción_especifica]]&amp;"_"&amp;TablaPOA[[#This Row],[Cod_Tipo_agente]]</f>
        <v>K31.2.18.2_TA1</v>
      </c>
      <c r="R658" s="254" t="s">
        <v>2809</v>
      </c>
      <c r="S658" s="255" t="s">
        <v>2816</v>
      </c>
      <c r="T658" s="271" t="s">
        <v>2817</v>
      </c>
    </row>
    <row r="659" spans="1:20" ht="25.5" x14ac:dyDescent="0.25">
      <c r="A659" s="219" t="s">
        <v>2314</v>
      </c>
      <c r="B659" s="227">
        <v>31</v>
      </c>
      <c r="C659" s="227" t="s">
        <v>2691</v>
      </c>
      <c r="D659" s="227" t="s">
        <v>2988</v>
      </c>
      <c r="E659" s="227" t="s">
        <v>3160</v>
      </c>
      <c r="F659" s="227" t="s">
        <v>2695</v>
      </c>
      <c r="G659" s="227" t="s">
        <v>2490</v>
      </c>
      <c r="H659" s="253" t="s">
        <v>3178</v>
      </c>
      <c r="I659" s="253" t="s">
        <v>2732</v>
      </c>
      <c r="J659" s="227" t="s">
        <v>2733</v>
      </c>
      <c r="K659" s="262" t="s">
        <v>3114</v>
      </c>
      <c r="L659" s="262" t="s">
        <v>2767</v>
      </c>
      <c r="M659" s="259" t="s">
        <v>2786</v>
      </c>
      <c r="N659" s="299" t="s">
        <v>2877</v>
      </c>
      <c r="O659" s="292" t="str">
        <f>TablaPOA[[#This Row],[Cod_Sub_acción_especifica]]&amp;"_"&amp;TablaPOA[[#This Row],[Tipo de agente]]</f>
        <v>K31.2.18.2_Consumidores directos de combustibles líquidos y OPDH</v>
      </c>
      <c r="P659" s="254" t="s">
        <v>2808</v>
      </c>
      <c r="Q659" s="292" t="str">
        <f>TablaPOA[[#This Row],[Cod_Sub_acción_especifica]]&amp;"_"&amp;TablaPOA[[#This Row],[Cod_Tipo_agente]]</f>
        <v>K31.2.18.2_TA1</v>
      </c>
      <c r="R659" s="254" t="s">
        <v>2809</v>
      </c>
      <c r="S659" s="255" t="s">
        <v>2818</v>
      </c>
      <c r="T659" s="271" t="s">
        <v>2819</v>
      </c>
    </row>
    <row r="660" spans="1:20" ht="25.5" x14ac:dyDescent="0.25">
      <c r="A660" s="219" t="s">
        <v>2314</v>
      </c>
      <c r="B660" s="227">
        <v>31</v>
      </c>
      <c r="C660" s="227" t="s">
        <v>2691</v>
      </c>
      <c r="D660" s="227" t="s">
        <v>2988</v>
      </c>
      <c r="E660" s="227" t="s">
        <v>3160</v>
      </c>
      <c r="F660" s="227" t="s">
        <v>2695</v>
      </c>
      <c r="G660" s="227" t="s">
        <v>2490</v>
      </c>
      <c r="H660" s="253" t="s">
        <v>3178</v>
      </c>
      <c r="I660" s="253" t="s">
        <v>2732</v>
      </c>
      <c r="J660" s="227" t="s">
        <v>2733</v>
      </c>
      <c r="K660" s="262" t="s">
        <v>3114</v>
      </c>
      <c r="L660" s="262" t="s">
        <v>2767</v>
      </c>
      <c r="M660" s="259" t="s">
        <v>2786</v>
      </c>
      <c r="N660" s="299" t="s">
        <v>2883</v>
      </c>
      <c r="O660" s="292" t="str">
        <f>TablaPOA[[#This Row],[Cod_Sub_acción_especifica]]&amp;"_"&amp;TablaPOA[[#This Row],[Tipo de agente]]</f>
        <v>K31.2.18.2_Consumidores directos de combustibles líquidos y OPDH</v>
      </c>
      <c r="P660" s="254" t="s">
        <v>2808</v>
      </c>
      <c r="Q660" s="292" t="str">
        <f>TablaPOA[[#This Row],[Cod_Sub_acción_especifica]]&amp;"_"&amp;TablaPOA[[#This Row],[Cod_Tipo_agente]]</f>
        <v>K31.2.18.2_TA1</v>
      </c>
      <c r="R660" s="254" t="s">
        <v>2809</v>
      </c>
      <c r="S660" s="255" t="s">
        <v>2820</v>
      </c>
      <c r="T660" s="271" t="s">
        <v>2821</v>
      </c>
    </row>
    <row r="661" spans="1:20" ht="25.5" x14ac:dyDescent="0.25">
      <c r="A661" s="219" t="s">
        <v>2314</v>
      </c>
      <c r="B661" s="227">
        <v>31</v>
      </c>
      <c r="C661" s="227" t="s">
        <v>2691</v>
      </c>
      <c r="D661" s="227" t="s">
        <v>2988</v>
      </c>
      <c r="E661" s="227" t="s">
        <v>3160</v>
      </c>
      <c r="F661" s="227" t="s">
        <v>2695</v>
      </c>
      <c r="G661" s="227" t="s">
        <v>2490</v>
      </c>
      <c r="H661" s="253" t="s">
        <v>3178</v>
      </c>
      <c r="I661" s="253" t="s">
        <v>2732</v>
      </c>
      <c r="J661" s="227" t="s">
        <v>2733</v>
      </c>
      <c r="K661" s="262" t="s">
        <v>3114</v>
      </c>
      <c r="L661" s="262" t="s">
        <v>2767</v>
      </c>
      <c r="M661" s="259" t="s">
        <v>2786</v>
      </c>
      <c r="N661" s="299" t="s">
        <v>2913</v>
      </c>
      <c r="O661" s="292" t="str">
        <f>TablaPOA[[#This Row],[Cod_Sub_acción_especifica]]&amp;"_"&amp;TablaPOA[[#This Row],[Tipo de agente]]</f>
        <v>K31.2.18.2_Consumidores directos de combustibles líquidos y OPDH</v>
      </c>
      <c r="P661" s="254" t="s">
        <v>2808</v>
      </c>
      <c r="Q661" s="292" t="str">
        <f>TablaPOA[[#This Row],[Cod_Sub_acción_especifica]]&amp;"_"&amp;TablaPOA[[#This Row],[Cod_Tipo_agente]]</f>
        <v>K31.2.18.2_TA1</v>
      </c>
      <c r="R661" s="254" t="s">
        <v>2809</v>
      </c>
      <c r="S661" s="255" t="s">
        <v>2822</v>
      </c>
      <c r="T661" s="271" t="s">
        <v>2823</v>
      </c>
    </row>
    <row r="662" spans="1:20" ht="25.5" x14ac:dyDescent="0.25">
      <c r="A662" s="219" t="s">
        <v>2314</v>
      </c>
      <c r="B662" s="227">
        <v>31</v>
      </c>
      <c r="C662" s="227" t="s">
        <v>2691</v>
      </c>
      <c r="D662" s="227" t="s">
        <v>2988</v>
      </c>
      <c r="E662" s="227" t="s">
        <v>3160</v>
      </c>
      <c r="F662" s="227" t="s">
        <v>2695</v>
      </c>
      <c r="G662" s="227" t="s">
        <v>2490</v>
      </c>
      <c r="H662" s="253" t="s">
        <v>3178</v>
      </c>
      <c r="I662" s="253" t="s">
        <v>2732</v>
      </c>
      <c r="J662" s="227" t="s">
        <v>2733</v>
      </c>
      <c r="K662" s="262" t="s">
        <v>3114</v>
      </c>
      <c r="L662" s="262" t="s">
        <v>2767</v>
      </c>
      <c r="M662" s="259" t="s">
        <v>2786</v>
      </c>
      <c r="N662" s="299" t="s">
        <v>2919</v>
      </c>
      <c r="O662" s="292" t="str">
        <f>TablaPOA[[#This Row],[Cod_Sub_acción_especifica]]&amp;"_"&amp;TablaPOA[[#This Row],[Tipo de agente]]</f>
        <v>K31.2.18.2_Consumidores directos de combustibles líquidos y OPDH</v>
      </c>
      <c r="P662" s="254" t="s">
        <v>2808</v>
      </c>
      <c r="Q662" s="292" t="str">
        <f>TablaPOA[[#This Row],[Cod_Sub_acción_especifica]]&amp;"_"&amp;TablaPOA[[#This Row],[Cod_Tipo_agente]]</f>
        <v>K31.2.18.2_TA1</v>
      </c>
      <c r="R662" s="254" t="s">
        <v>2809</v>
      </c>
      <c r="S662" s="255" t="s">
        <v>2824</v>
      </c>
      <c r="T662" s="271" t="s">
        <v>2825</v>
      </c>
    </row>
    <row r="663" spans="1:20" ht="25.5" x14ac:dyDescent="0.25">
      <c r="A663" s="219" t="s">
        <v>2314</v>
      </c>
      <c r="B663" s="227">
        <v>31</v>
      </c>
      <c r="C663" s="227" t="s">
        <v>2691</v>
      </c>
      <c r="D663" s="227" t="s">
        <v>2988</v>
      </c>
      <c r="E663" s="227" t="s">
        <v>3160</v>
      </c>
      <c r="F663" s="227" t="s">
        <v>2695</v>
      </c>
      <c r="G663" s="227" t="s">
        <v>2490</v>
      </c>
      <c r="H663" s="253" t="s">
        <v>3178</v>
      </c>
      <c r="I663" s="253" t="s">
        <v>2732</v>
      </c>
      <c r="J663" s="227" t="s">
        <v>2733</v>
      </c>
      <c r="K663" s="262" t="s">
        <v>3114</v>
      </c>
      <c r="L663" s="262" t="s">
        <v>2767</v>
      </c>
      <c r="M663" s="259" t="s">
        <v>2786</v>
      </c>
      <c r="N663" s="299" t="s">
        <v>2951</v>
      </c>
      <c r="O663" s="292" t="str">
        <f>TablaPOA[[#This Row],[Cod_Sub_acción_especifica]]&amp;"_"&amp;TablaPOA[[#This Row],[Tipo de agente]]</f>
        <v>K31.2.18.2_Consumidores directos de combustibles líquidos y OPDH</v>
      </c>
      <c r="P663" s="254" t="s">
        <v>2808</v>
      </c>
      <c r="Q663" s="292" t="str">
        <f>TablaPOA[[#This Row],[Cod_Sub_acción_especifica]]&amp;"_"&amp;TablaPOA[[#This Row],[Cod_Tipo_agente]]</f>
        <v>K31.2.18.2_TA1</v>
      </c>
      <c r="R663" s="254" t="s">
        <v>2809</v>
      </c>
      <c r="S663" s="255" t="s">
        <v>2826</v>
      </c>
      <c r="T663" s="271" t="s">
        <v>2827</v>
      </c>
    </row>
    <row r="664" spans="1:20" ht="25.5" x14ac:dyDescent="0.25">
      <c r="A664" s="219" t="s">
        <v>2314</v>
      </c>
      <c r="B664" s="227">
        <v>31</v>
      </c>
      <c r="C664" s="227" t="s">
        <v>2691</v>
      </c>
      <c r="D664" s="227" t="s">
        <v>2988</v>
      </c>
      <c r="E664" s="227" t="s">
        <v>3160</v>
      </c>
      <c r="F664" s="227" t="s">
        <v>2695</v>
      </c>
      <c r="G664" s="227" t="s">
        <v>2490</v>
      </c>
      <c r="H664" s="253" t="s">
        <v>3178</v>
      </c>
      <c r="I664" s="253" t="s">
        <v>2732</v>
      </c>
      <c r="J664" s="227" t="s">
        <v>2733</v>
      </c>
      <c r="K664" s="262" t="s">
        <v>3114</v>
      </c>
      <c r="L664" s="262" t="s">
        <v>2767</v>
      </c>
      <c r="M664" s="259" t="s">
        <v>2786</v>
      </c>
      <c r="N664" s="299" t="s">
        <v>2903</v>
      </c>
      <c r="O664" s="292" t="str">
        <f>TablaPOA[[#This Row],[Cod_Sub_acción_especifica]]&amp;"_"&amp;TablaPOA[[#This Row],[Tipo de agente]]</f>
        <v>K31.2.18.2_Consumidores directos de combustibles líquidos y OPDH</v>
      </c>
      <c r="P664" s="254" t="s">
        <v>2808</v>
      </c>
      <c r="Q664" s="292" t="str">
        <f>TablaPOA[[#This Row],[Cod_Sub_acción_especifica]]&amp;"_"&amp;TablaPOA[[#This Row],[Cod_Tipo_agente]]</f>
        <v>K31.2.18.2_TA1</v>
      </c>
      <c r="R664" s="254" t="s">
        <v>2809</v>
      </c>
      <c r="S664" s="255" t="s">
        <v>2828</v>
      </c>
      <c r="T664" s="271" t="s">
        <v>2829</v>
      </c>
    </row>
    <row r="665" spans="1:20" ht="25.5" x14ac:dyDescent="0.25">
      <c r="A665" s="219" t="s">
        <v>2314</v>
      </c>
      <c r="B665" s="227">
        <v>31</v>
      </c>
      <c r="C665" s="227" t="s">
        <v>2691</v>
      </c>
      <c r="D665" s="227" t="s">
        <v>2988</v>
      </c>
      <c r="E665" s="227" t="s">
        <v>3160</v>
      </c>
      <c r="F665" s="227" t="s">
        <v>2695</v>
      </c>
      <c r="G665" s="227" t="s">
        <v>2490</v>
      </c>
      <c r="H665" s="253" t="s">
        <v>3178</v>
      </c>
      <c r="I665" s="253" t="s">
        <v>2732</v>
      </c>
      <c r="J665" s="227" t="s">
        <v>2733</v>
      </c>
      <c r="K665" s="262" t="s">
        <v>3114</v>
      </c>
      <c r="L665" s="262" t="s">
        <v>2767</v>
      </c>
      <c r="M665" s="259" t="s">
        <v>2786</v>
      </c>
      <c r="N665" s="299" t="s">
        <v>2963</v>
      </c>
      <c r="O665" s="292" t="str">
        <f>TablaPOA[[#This Row],[Cod_Sub_acción_especifica]]&amp;"_"&amp;TablaPOA[[#This Row],[Tipo de agente]]</f>
        <v>K31.2.18.2_Consumidores directos de gas natural</v>
      </c>
      <c r="P665" s="254" t="s">
        <v>2830</v>
      </c>
      <c r="Q665" s="292" t="str">
        <f>TablaPOA[[#This Row],[Cod_Sub_acción_especifica]]&amp;"_"&amp;TablaPOA[[#This Row],[Cod_Tipo_agente]]</f>
        <v>K31.2.18.2_TA2</v>
      </c>
      <c r="R665" s="254" t="s">
        <v>2831</v>
      </c>
      <c r="S665" s="254">
        <v>101</v>
      </c>
      <c r="T665" s="271" t="s">
        <v>2832</v>
      </c>
    </row>
    <row r="666" spans="1:20" ht="25.5" x14ac:dyDescent="0.25">
      <c r="A666" s="219" t="s">
        <v>2314</v>
      </c>
      <c r="B666" s="227">
        <v>31</v>
      </c>
      <c r="C666" s="227" t="s">
        <v>2691</v>
      </c>
      <c r="D666" s="227" t="s">
        <v>2988</v>
      </c>
      <c r="E666" s="227" t="s">
        <v>3160</v>
      </c>
      <c r="F666" s="227" t="s">
        <v>2695</v>
      </c>
      <c r="G666" s="227" t="s">
        <v>2490</v>
      </c>
      <c r="H666" s="253" t="s">
        <v>3178</v>
      </c>
      <c r="I666" s="253" t="s">
        <v>2732</v>
      </c>
      <c r="J666" s="227" t="s">
        <v>2733</v>
      </c>
      <c r="K666" s="262" t="s">
        <v>3114</v>
      </c>
      <c r="L666" s="262" t="s">
        <v>2767</v>
      </c>
      <c r="M666" s="259" t="s">
        <v>2786</v>
      </c>
      <c r="N666" s="295"/>
      <c r="O666" s="295" t="str">
        <f>TablaPOA[[#This Row],[Cod_Sub_acción_especifica]]&amp;"_"&amp;TablaPOA[[#This Row],[Tipo de agente]]</f>
        <v>K31.2.18.2_Consumidores directos de gas natural</v>
      </c>
      <c r="P666" s="254" t="s">
        <v>2830</v>
      </c>
      <c r="Q666" s="292" t="str">
        <f>TablaPOA[[#This Row],[Cod_Sub_acción_especifica]]&amp;"_"&amp;TablaPOA[[#This Row],[Cod_Tipo_agente]]</f>
        <v>K31.2.18.2_TA2</v>
      </c>
      <c r="R666" s="254" t="s">
        <v>2831</v>
      </c>
      <c r="S666" s="254" t="s">
        <v>2833</v>
      </c>
      <c r="T666" s="271" t="s">
        <v>2834</v>
      </c>
    </row>
    <row r="667" spans="1:20" ht="25.5" x14ac:dyDescent="0.25">
      <c r="A667" s="219" t="s">
        <v>2314</v>
      </c>
      <c r="B667" s="227">
        <v>31</v>
      </c>
      <c r="C667" s="227" t="s">
        <v>2691</v>
      </c>
      <c r="D667" s="227" t="s">
        <v>2988</v>
      </c>
      <c r="E667" s="227" t="s">
        <v>3160</v>
      </c>
      <c r="F667" s="227" t="s">
        <v>2695</v>
      </c>
      <c r="G667" s="227" t="s">
        <v>2490</v>
      </c>
      <c r="H667" s="253" t="s">
        <v>3178</v>
      </c>
      <c r="I667" s="253" t="s">
        <v>2732</v>
      </c>
      <c r="J667" s="227" t="s">
        <v>2733</v>
      </c>
      <c r="K667" s="262" t="s">
        <v>3114</v>
      </c>
      <c r="L667" s="262" t="s">
        <v>2767</v>
      </c>
      <c r="M667" s="259" t="s">
        <v>2786</v>
      </c>
      <c r="N667" s="295"/>
      <c r="O667" s="295" t="str">
        <f>TablaPOA[[#This Row],[Cod_Sub_acción_especifica]]&amp;"_"&amp;TablaPOA[[#This Row],[Tipo de agente]]</f>
        <v>K31.2.18.2_Consumidores directos de gas natural</v>
      </c>
      <c r="P667" s="254" t="s">
        <v>2830</v>
      </c>
      <c r="Q667" s="292" t="str">
        <f>TablaPOA[[#This Row],[Cod_Sub_acción_especifica]]&amp;"_"&amp;TablaPOA[[#This Row],[Cod_Tipo_agente]]</f>
        <v>K31.2.18.2_TA2</v>
      </c>
      <c r="R667" s="254" t="s">
        <v>2831</v>
      </c>
      <c r="S667" s="254" t="s">
        <v>2835</v>
      </c>
      <c r="T667" s="271" t="s">
        <v>2836</v>
      </c>
    </row>
    <row r="668" spans="1:20" ht="25.5" x14ac:dyDescent="0.25">
      <c r="A668" s="219" t="s">
        <v>2314</v>
      </c>
      <c r="B668" s="227">
        <v>31</v>
      </c>
      <c r="C668" s="227" t="s">
        <v>2691</v>
      </c>
      <c r="D668" s="227" t="s">
        <v>2988</v>
      </c>
      <c r="E668" s="227" t="s">
        <v>3160</v>
      </c>
      <c r="F668" s="227" t="s">
        <v>2695</v>
      </c>
      <c r="G668" s="227" t="s">
        <v>2490</v>
      </c>
      <c r="H668" s="253" t="s">
        <v>3178</v>
      </c>
      <c r="I668" s="253" t="s">
        <v>2732</v>
      </c>
      <c r="J668" s="227" t="s">
        <v>2733</v>
      </c>
      <c r="K668" s="262" t="s">
        <v>3114</v>
      </c>
      <c r="L668" s="262" t="s">
        <v>2767</v>
      </c>
      <c r="M668" s="259" t="s">
        <v>2786</v>
      </c>
      <c r="N668" s="295"/>
      <c r="O668" s="295" t="str">
        <f>TablaPOA[[#This Row],[Cod_Sub_acción_especifica]]&amp;"_"&amp;TablaPOA[[#This Row],[Tipo de agente]]</f>
        <v>K31.2.18.2_Consumidores directos de gas natural</v>
      </c>
      <c r="P668" s="254" t="s">
        <v>2830</v>
      </c>
      <c r="Q668" s="292" t="str">
        <f>TablaPOA[[#This Row],[Cod_Sub_acción_especifica]]&amp;"_"&amp;TablaPOA[[#This Row],[Cod_Tipo_agente]]</f>
        <v>K31.2.18.2_TA2</v>
      </c>
      <c r="R668" s="254" t="s">
        <v>2831</v>
      </c>
      <c r="S668" s="254" t="s">
        <v>2837</v>
      </c>
      <c r="T668" s="271" t="s">
        <v>2838</v>
      </c>
    </row>
    <row r="669" spans="1:20" ht="25.5" x14ac:dyDescent="0.25">
      <c r="A669" s="219" t="s">
        <v>2314</v>
      </c>
      <c r="B669" s="227">
        <v>31</v>
      </c>
      <c r="C669" s="227" t="s">
        <v>2691</v>
      </c>
      <c r="D669" s="227" t="s">
        <v>2988</v>
      </c>
      <c r="E669" s="227" t="s">
        <v>3160</v>
      </c>
      <c r="F669" s="227" t="s">
        <v>2695</v>
      </c>
      <c r="G669" s="227" t="s">
        <v>2490</v>
      </c>
      <c r="H669" s="253" t="s">
        <v>3178</v>
      </c>
      <c r="I669" s="253" t="s">
        <v>2732</v>
      </c>
      <c r="J669" s="227" t="s">
        <v>2733</v>
      </c>
      <c r="K669" s="262" t="s">
        <v>3114</v>
      </c>
      <c r="L669" s="262" t="s">
        <v>2767</v>
      </c>
      <c r="M669" s="259" t="s">
        <v>2786</v>
      </c>
      <c r="N669" s="295"/>
      <c r="O669" s="295" t="str">
        <f>TablaPOA[[#This Row],[Cod_Sub_acción_especifica]]&amp;"_"&amp;TablaPOA[[#This Row],[Tipo de agente]]</f>
        <v>K31.2.18.2_Consumidores directos de GLP y redes de distribución</v>
      </c>
      <c r="P669" s="254" t="s">
        <v>2839</v>
      </c>
      <c r="Q669" s="292" t="str">
        <f>TablaPOA[[#This Row],[Cod_Sub_acción_especifica]]&amp;"_"&amp;TablaPOA[[#This Row],[Cod_Tipo_agente]]</f>
        <v>K31.2.18.2_TA3</v>
      </c>
      <c r="R669" s="254" t="s">
        <v>2840</v>
      </c>
      <c r="S669" s="254">
        <v>400</v>
      </c>
      <c r="T669" s="271" t="s">
        <v>2841</v>
      </c>
    </row>
    <row r="670" spans="1:20" ht="25.5" x14ac:dyDescent="0.25">
      <c r="A670" s="219" t="s">
        <v>2314</v>
      </c>
      <c r="B670" s="227">
        <v>31</v>
      </c>
      <c r="C670" s="227" t="s">
        <v>2691</v>
      </c>
      <c r="D670" s="227" t="s">
        <v>2988</v>
      </c>
      <c r="E670" s="227" t="s">
        <v>3160</v>
      </c>
      <c r="F670" s="227" t="s">
        <v>2695</v>
      </c>
      <c r="G670" s="227" t="s">
        <v>2490</v>
      </c>
      <c r="H670" s="253" t="s">
        <v>3178</v>
      </c>
      <c r="I670" s="253" t="s">
        <v>2732</v>
      </c>
      <c r="J670" s="227" t="s">
        <v>2733</v>
      </c>
      <c r="K670" s="262" t="s">
        <v>3114</v>
      </c>
      <c r="L670" s="262" t="s">
        <v>2767</v>
      </c>
      <c r="M670" s="259" t="s">
        <v>2786</v>
      </c>
      <c r="N670" s="295"/>
      <c r="O670" s="295" t="str">
        <f>TablaPOA[[#This Row],[Cod_Sub_acción_especifica]]&amp;"_"&amp;TablaPOA[[#This Row],[Tipo de agente]]</f>
        <v>K31.2.18.2_Consumidores directos de GLP y redes de distribución</v>
      </c>
      <c r="P670" s="254" t="s">
        <v>2839</v>
      </c>
      <c r="Q670" s="292" t="str">
        <f>TablaPOA[[#This Row],[Cod_Sub_acción_especifica]]&amp;"_"&amp;TablaPOA[[#This Row],[Cod_Tipo_agente]]</f>
        <v>K31.2.18.2_TA3</v>
      </c>
      <c r="R670" s="254" t="s">
        <v>2840</v>
      </c>
      <c r="S670" s="254" t="s">
        <v>2842</v>
      </c>
      <c r="T670" s="271" t="s">
        <v>2843</v>
      </c>
    </row>
    <row r="671" spans="1:20" ht="25.5" x14ac:dyDescent="0.25">
      <c r="A671" s="219" t="s">
        <v>2314</v>
      </c>
      <c r="B671" s="227">
        <v>31</v>
      </c>
      <c r="C671" s="227" t="s">
        <v>2691</v>
      </c>
      <c r="D671" s="227" t="s">
        <v>2988</v>
      </c>
      <c r="E671" s="227" t="s">
        <v>3160</v>
      </c>
      <c r="F671" s="227" t="s">
        <v>2695</v>
      </c>
      <c r="G671" s="227" t="s">
        <v>2490</v>
      </c>
      <c r="H671" s="253" t="s">
        <v>3178</v>
      </c>
      <c r="I671" s="253" t="s">
        <v>2732</v>
      </c>
      <c r="J671" s="227" t="s">
        <v>2733</v>
      </c>
      <c r="K671" s="262" t="s">
        <v>3114</v>
      </c>
      <c r="L671" s="262" t="s">
        <v>2767</v>
      </c>
      <c r="M671" s="259" t="s">
        <v>2786</v>
      </c>
      <c r="N671" s="295"/>
      <c r="O671" s="295" t="str">
        <f>TablaPOA[[#This Row],[Cod_Sub_acción_especifica]]&amp;"_"&amp;TablaPOA[[#This Row],[Tipo de agente]]</f>
        <v>K31.2.18.2_Consumidores directos de GLP y redes de distribución</v>
      </c>
      <c r="P671" s="254" t="s">
        <v>2839</v>
      </c>
      <c r="Q671" s="292" t="str">
        <f>TablaPOA[[#This Row],[Cod_Sub_acción_especifica]]&amp;"_"&amp;TablaPOA[[#This Row],[Cod_Tipo_agente]]</f>
        <v>K31.2.18.2_TA3</v>
      </c>
      <c r="R671" s="254" t="s">
        <v>2840</v>
      </c>
      <c r="S671" s="254" t="s">
        <v>2844</v>
      </c>
      <c r="T671" s="271" t="s">
        <v>2845</v>
      </c>
    </row>
    <row r="672" spans="1:20" ht="25.5" x14ac:dyDescent="0.25">
      <c r="A672" s="219" t="s">
        <v>2314</v>
      </c>
      <c r="B672" s="227">
        <v>31</v>
      </c>
      <c r="C672" s="227" t="s">
        <v>2691</v>
      </c>
      <c r="D672" s="227" t="s">
        <v>2988</v>
      </c>
      <c r="E672" s="227" t="s">
        <v>3160</v>
      </c>
      <c r="F672" s="227" t="s">
        <v>2695</v>
      </c>
      <c r="G672" s="227" t="s">
        <v>2490</v>
      </c>
      <c r="H672" s="253" t="s">
        <v>3178</v>
      </c>
      <c r="I672" s="253" t="s">
        <v>2732</v>
      </c>
      <c r="J672" s="227" t="s">
        <v>2733</v>
      </c>
      <c r="K672" s="262" t="s">
        <v>3114</v>
      </c>
      <c r="L672" s="262" t="s">
        <v>2767</v>
      </c>
      <c r="M672" s="259" t="s">
        <v>2786</v>
      </c>
      <c r="N672" s="295"/>
      <c r="O672" s="295" t="str">
        <f>TablaPOA[[#This Row],[Cod_Sub_acción_especifica]]&amp;"_"&amp;TablaPOA[[#This Row],[Tipo de agente]]</f>
        <v>K31.2.18.2_Consumidores directos de GLP y redes de distribución</v>
      </c>
      <c r="P672" s="254" t="s">
        <v>2839</v>
      </c>
      <c r="Q672" s="292" t="str">
        <f>TablaPOA[[#This Row],[Cod_Sub_acción_especifica]]&amp;"_"&amp;TablaPOA[[#This Row],[Cod_Tipo_agente]]</f>
        <v>K31.2.18.2_TA3</v>
      </c>
      <c r="R672" s="254" t="s">
        <v>2840</v>
      </c>
      <c r="S672" s="254" t="s">
        <v>2846</v>
      </c>
      <c r="T672" s="271" t="s">
        <v>2847</v>
      </c>
    </row>
    <row r="673" spans="1:20" ht="25.5" x14ac:dyDescent="0.25">
      <c r="A673" s="219" t="s">
        <v>2314</v>
      </c>
      <c r="B673" s="227">
        <v>31</v>
      </c>
      <c r="C673" s="227" t="s">
        <v>2691</v>
      </c>
      <c r="D673" s="227" t="s">
        <v>2988</v>
      </c>
      <c r="E673" s="227" t="s">
        <v>3160</v>
      </c>
      <c r="F673" s="227" t="s">
        <v>2695</v>
      </c>
      <c r="G673" s="227" t="s">
        <v>2490</v>
      </c>
      <c r="H673" s="253" t="s">
        <v>3178</v>
      </c>
      <c r="I673" s="253" t="s">
        <v>2732</v>
      </c>
      <c r="J673" s="227" t="s">
        <v>2733</v>
      </c>
      <c r="K673" s="262" t="s">
        <v>3114</v>
      </c>
      <c r="L673" s="262" t="s">
        <v>2767</v>
      </c>
      <c r="M673" s="259" t="s">
        <v>2786</v>
      </c>
      <c r="N673" s="295"/>
      <c r="O673" s="295" t="str">
        <f>TablaPOA[[#This Row],[Cod_Sub_acción_especifica]]&amp;"_"&amp;TablaPOA[[#This Row],[Tipo de agente]]</f>
        <v>K31.2.18.2_Consumidores directos de GLP y redes de distribución</v>
      </c>
      <c r="P673" s="254" t="s">
        <v>2839</v>
      </c>
      <c r="Q673" s="292" t="str">
        <f>TablaPOA[[#This Row],[Cod_Sub_acción_especifica]]&amp;"_"&amp;TablaPOA[[#This Row],[Cod_Tipo_agente]]</f>
        <v>K31.2.18.2_TA3</v>
      </c>
      <c r="R673" s="254" t="s">
        <v>2840</v>
      </c>
      <c r="S673" s="254" t="s">
        <v>2848</v>
      </c>
      <c r="T673" s="271" t="s">
        <v>2849</v>
      </c>
    </row>
    <row r="674" spans="1:20" ht="25.5" x14ac:dyDescent="0.25">
      <c r="A674" s="219" t="s">
        <v>2314</v>
      </c>
      <c r="B674" s="227">
        <v>31</v>
      </c>
      <c r="C674" s="227" t="s">
        <v>2691</v>
      </c>
      <c r="D674" s="227" t="s">
        <v>2988</v>
      </c>
      <c r="E674" s="227" t="s">
        <v>3160</v>
      </c>
      <c r="F674" s="227" t="s">
        <v>2695</v>
      </c>
      <c r="G674" s="227" t="s">
        <v>2490</v>
      </c>
      <c r="H674" s="253" t="s">
        <v>3178</v>
      </c>
      <c r="I674" s="253" t="s">
        <v>2732</v>
      </c>
      <c r="J674" s="227" t="s">
        <v>2733</v>
      </c>
      <c r="K674" s="262" t="s">
        <v>3114</v>
      </c>
      <c r="L674" s="262" t="s">
        <v>2767</v>
      </c>
      <c r="M674" s="259" t="s">
        <v>2786</v>
      </c>
      <c r="N674" s="295"/>
      <c r="O674" s="295" t="str">
        <f>TablaPOA[[#This Row],[Cod_Sub_acción_especifica]]&amp;"_"&amp;TablaPOA[[#This Row],[Tipo de agente]]</f>
        <v>K31.2.18.2_Consumidores directos de GLP y redes de distribución</v>
      </c>
      <c r="P674" s="254" t="s">
        <v>2839</v>
      </c>
      <c r="Q674" s="292" t="str">
        <f>TablaPOA[[#This Row],[Cod_Sub_acción_especifica]]&amp;"_"&amp;TablaPOA[[#This Row],[Cod_Tipo_agente]]</f>
        <v>K31.2.18.2_TA3</v>
      </c>
      <c r="R674" s="254" t="s">
        <v>2840</v>
      </c>
      <c r="S674" s="254" t="s">
        <v>2850</v>
      </c>
      <c r="T674" s="271" t="s">
        <v>2851</v>
      </c>
    </row>
    <row r="675" spans="1:20" ht="25.5" x14ac:dyDescent="0.25">
      <c r="A675" s="219" t="s">
        <v>2314</v>
      </c>
      <c r="B675" s="227">
        <v>31</v>
      </c>
      <c r="C675" s="227" t="s">
        <v>2691</v>
      </c>
      <c r="D675" s="227" t="s">
        <v>2988</v>
      </c>
      <c r="E675" s="227" t="s">
        <v>3160</v>
      </c>
      <c r="F675" s="227" t="s">
        <v>2695</v>
      </c>
      <c r="G675" s="227" t="s">
        <v>2490</v>
      </c>
      <c r="H675" s="253" t="s">
        <v>3178</v>
      </c>
      <c r="I675" s="253" t="s">
        <v>2732</v>
      </c>
      <c r="J675" s="227" t="s">
        <v>2733</v>
      </c>
      <c r="K675" s="262" t="s">
        <v>3114</v>
      </c>
      <c r="L675" s="262" t="s">
        <v>2767</v>
      </c>
      <c r="M675" s="259" t="s">
        <v>2786</v>
      </c>
      <c r="N675" s="295"/>
      <c r="O675" s="295" t="str">
        <f>TablaPOA[[#This Row],[Cod_Sub_acción_especifica]]&amp;"_"&amp;TablaPOA[[#This Row],[Tipo de agente]]</f>
        <v>K31.2.18.2_Distribuidores mayoristas, Importadores y Comercializadores</v>
      </c>
      <c r="P675" s="254" t="s">
        <v>2852</v>
      </c>
      <c r="Q675" s="292" t="str">
        <f>TablaPOA[[#This Row],[Cod_Sub_acción_especifica]]&amp;"_"&amp;TablaPOA[[#This Row],[Cod_Tipo_agente]]</f>
        <v>K31.2.18.2_TA4</v>
      </c>
      <c r="R675" s="254" t="s">
        <v>2853</v>
      </c>
      <c r="S675" s="255" t="s">
        <v>2854</v>
      </c>
      <c r="T675" s="271" t="s">
        <v>2855</v>
      </c>
    </row>
    <row r="676" spans="1:20" ht="25.5" x14ac:dyDescent="0.25">
      <c r="A676" s="219" t="s">
        <v>2314</v>
      </c>
      <c r="B676" s="227">
        <v>31</v>
      </c>
      <c r="C676" s="227" t="s">
        <v>2691</v>
      </c>
      <c r="D676" s="227" t="s">
        <v>2988</v>
      </c>
      <c r="E676" s="227" t="s">
        <v>3160</v>
      </c>
      <c r="F676" s="227" t="s">
        <v>2695</v>
      </c>
      <c r="G676" s="227" t="s">
        <v>2490</v>
      </c>
      <c r="H676" s="253" t="s">
        <v>3178</v>
      </c>
      <c r="I676" s="253" t="s">
        <v>2732</v>
      </c>
      <c r="J676" s="227" t="s">
        <v>2733</v>
      </c>
      <c r="K676" s="262" t="s">
        <v>3114</v>
      </c>
      <c r="L676" s="262" t="s">
        <v>2767</v>
      </c>
      <c r="M676" s="259" t="s">
        <v>2786</v>
      </c>
      <c r="N676" s="295"/>
      <c r="O676" s="295" t="str">
        <f>TablaPOA[[#This Row],[Cod_Sub_acción_especifica]]&amp;"_"&amp;TablaPOA[[#This Row],[Tipo de agente]]</f>
        <v>K31.2.18.2_Distribuidores mayoristas, Importadores y Comercializadores</v>
      </c>
      <c r="P676" s="254" t="s">
        <v>2852</v>
      </c>
      <c r="Q676" s="292" t="str">
        <f>TablaPOA[[#This Row],[Cod_Sub_acción_especifica]]&amp;"_"&amp;TablaPOA[[#This Row],[Cod_Tipo_agente]]</f>
        <v>K31.2.18.2_TA4</v>
      </c>
      <c r="R676" s="254" t="s">
        <v>2853</v>
      </c>
      <c r="S676" s="255" t="s">
        <v>2856</v>
      </c>
      <c r="T676" s="271" t="s">
        <v>2857</v>
      </c>
    </row>
    <row r="677" spans="1:20" ht="25.5" x14ac:dyDescent="0.25">
      <c r="A677" s="219" t="s">
        <v>2314</v>
      </c>
      <c r="B677" s="227">
        <v>31</v>
      </c>
      <c r="C677" s="227" t="s">
        <v>2691</v>
      </c>
      <c r="D677" s="227" t="s">
        <v>2988</v>
      </c>
      <c r="E677" s="227" t="s">
        <v>3160</v>
      </c>
      <c r="F677" s="227" t="s">
        <v>2695</v>
      </c>
      <c r="G677" s="227" t="s">
        <v>2490</v>
      </c>
      <c r="H677" s="253" t="s">
        <v>3178</v>
      </c>
      <c r="I677" s="253" t="s">
        <v>2732</v>
      </c>
      <c r="J677" s="227" t="s">
        <v>2733</v>
      </c>
      <c r="K677" s="262" t="s">
        <v>3114</v>
      </c>
      <c r="L677" s="262" t="s">
        <v>2767</v>
      </c>
      <c r="M677" s="259" t="s">
        <v>2786</v>
      </c>
      <c r="N677" s="295"/>
      <c r="O677" s="295" t="str">
        <f>TablaPOA[[#This Row],[Cod_Sub_acción_especifica]]&amp;"_"&amp;TablaPOA[[#This Row],[Tipo de agente]]</f>
        <v>K31.2.18.2_Distribuidores mayoristas, Importadores y Comercializadores</v>
      </c>
      <c r="P677" s="254" t="s">
        <v>2852</v>
      </c>
      <c r="Q677" s="292" t="str">
        <f>TablaPOA[[#This Row],[Cod_Sub_acción_especifica]]&amp;"_"&amp;TablaPOA[[#This Row],[Cod_Tipo_agente]]</f>
        <v>K31.2.18.2_TA4</v>
      </c>
      <c r="R677" s="254" t="s">
        <v>2853</v>
      </c>
      <c r="S677" s="255" t="s">
        <v>2858</v>
      </c>
      <c r="T677" s="271" t="s">
        <v>2859</v>
      </c>
    </row>
    <row r="678" spans="1:20" ht="25.5" x14ac:dyDescent="0.25">
      <c r="A678" s="219" t="s">
        <v>2314</v>
      </c>
      <c r="B678" s="227">
        <v>31</v>
      </c>
      <c r="C678" s="227" t="s">
        <v>2691</v>
      </c>
      <c r="D678" s="227" t="s">
        <v>2988</v>
      </c>
      <c r="E678" s="227" t="s">
        <v>3160</v>
      </c>
      <c r="F678" s="227" t="s">
        <v>2695</v>
      </c>
      <c r="G678" s="227" t="s">
        <v>2490</v>
      </c>
      <c r="H678" s="253" t="s">
        <v>3178</v>
      </c>
      <c r="I678" s="253" t="s">
        <v>2732</v>
      </c>
      <c r="J678" s="227" t="s">
        <v>2733</v>
      </c>
      <c r="K678" s="262" t="s">
        <v>3114</v>
      </c>
      <c r="L678" s="262" t="s">
        <v>2767</v>
      </c>
      <c r="M678" s="259" t="s">
        <v>2786</v>
      </c>
      <c r="N678" s="295"/>
      <c r="O678" s="295" t="str">
        <f>TablaPOA[[#This Row],[Cod_Sub_acción_especifica]]&amp;"_"&amp;TablaPOA[[#This Row],[Tipo de agente]]</f>
        <v>K31.2.18.2_Distribuidores mayoristas, Importadores y Comercializadores</v>
      </c>
      <c r="P678" s="254" t="s">
        <v>2852</v>
      </c>
      <c r="Q678" s="292" t="str">
        <f>TablaPOA[[#This Row],[Cod_Sub_acción_especifica]]&amp;"_"&amp;TablaPOA[[#This Row],[Cod_Tipo_agente]]</f>
        <v>K31.2.18.2_TA4</v>
      </c>
      <c r="R678" s="254" t="s">
        <v>2853</v>
      </c>
      <c r="S678" s="255" t="s">
        <v>2860</v>
      </c>
      <c r="T678" s="271" t="s">
        <v>2861</v>
      </c>
    </row>
    <row r="679" spans="1:20" ht="25.5" x14ac:dyDescent="0.25">
      <c r="A679" s="219" t="s">
        <v>2314</v>
      </c>
      <c r="B679" s="227">
        <v>31</v>
      </c>
      <c r="C679" s="227" t="s">
        <v>2691</v>
      </c>
      <c r="D679" s="227" t="s">
        <v>2988</v>
      </c>
      <c r="E679" s="227" t="s">
        <v>3160</v>
      </c>
      <c r="F679" s="227" t="s">
        <v>2695</v>
      </c>
      <c r="G679" s="227" t="s">
        <v>2490</v>
      </c>
      <c r="H679" s="253" t="s">
        <v>3178</v>
      </c>
      <c r="I679" s="253" t="s">
        <v>2732</v>
      </c>
      <c r="J679" s="227" t="s">
        <v>2733</v>
      </c>
      <c r="K679" s="262" t="s">
        <v>3114</v>
      </c>
      <c r="L679" s="262" t="s">
        <v>2767</v>
      </c>
      <c r="M679" s="259" t="s">
        <v>2786</v>
      </c>
      <c r="N679" s="295"/>
      <c r="O679" s="295" t="str">
        <f>TablaPOA[[#This Row],[Cod_Sub_acción_especifica]]&amp;"_"&amp;TablaPOA[[#This Row],[Tipo de agente]]</f>
        <v>K31.2.18.2_Distribuidores mayoristas, Importadores y Comercializadores</v>
      </c>
      <c r="P679" s="254" t="s">
        <v>2852</v>
      </c>
      <c r="Q679" s="292" t="str">
        <f>TablaPOA[[#This Row],[Cod_Sub_acción_especifica]]&amp;"_"&amp;TablaPOA[[#This Row],[Cod_Tipo_agente]]</f>
        <v>K31.2.18.2_TA4</v>
      </c>
      <c r="R679" s="254" t="s">
        <v>2853</v>
      </c>
      <c r="S679" s="255" t="s">
        <v>2862</v>
      </c>
      <c r="T679" s="271" t="s">
        <v>2863</v>
      </c>
    </row>
    <row r="680" spans="1:20" ht="25.5" x14ac:dyDescent="0.25">
      <c r="A680" s="219" t="s">
        <v>2314</v>
      </c>
      <c r="B680" s="227">
        <v>31</v>
      </c>
      <c r="C680" s="227" t="s">
        <v>2691</v>
      </c>
      <c r="D680" s="227" t="s">
        <v>2988</v>
      </c>
      <c r="E680" s="227" t="s">
        <v>3160</v>
      </c>
      <c r="F680" s="227" t="s">
        <v>2695</v>
      </c>
      <c r="G680" s="227" t="s">
        <v>2490</v>
      </c>
      <c r="H680" s="253" t="s">
        <v>3178</v>
      </c>
      <c r="I680" s="253" t="s">
        <v>2732</v>
      </c>
      <c r="J680" s="227" t="s">
        <v>2733</v>
      </c>
      <c r="K680" s="262" t="s">
        <v>3114</v>
      </c>
      <c r="L680" s="262" t="s">
        <v>2767</v>
      </c>
      <c r="M680" s="259" t="s">
        <v>2786</v>
      </c>
      <c r="N680" s="295"/>
      <c r="O680" s="295" t="str">
        <f>TablaPOA[[#This Row],[Cod_Sub_acción_especifica]]&amp;"_"&amp;TablaPOA[[#This Row],[Tipo de agente]]</f>
        <v>K31.2.18.2_Distribuidores mayoristas, Importadores y Comercializadores</v>
      </c>
      <c r="P680" s="254" t="s">
        <v>2852</v>
      </c>
      <c r="Q680" s="292" t="str">
        <f>TablaPOA[[#This Row],[Cod_Sub_acción_especifica]]&amp;"_"&amp;TablaPOA[[#This Row],[Cod_Tipo_agente]]</f>
        <v>K31.2.18.2_TA4</v>
      </c>
      <c r="R680" s="254" t="s">
        <v>2853</v>
      </c>
      <c r="S680" s="255" t="s">
        <v>2864</v>
      </c>
      <c r="T680" s="271" t="s">
        <v>2865</v>
      </c>
    </row>
    <row r="681" spans="1:20" ht="25.5" x14ac:dyDescent="0.25">
      <c r="A681" s="219" t="s">
        <v>2314</v>
      </c>
      <c r="B681" s="227">
        <v>31</v>
      </c>
      <c r="C681" s="227" t="s">
        <v>2691</v>
      </c>
      <c r="D681" s="227" t="s">
        <v>2988</v>
      </c>
      <c r="E681" s="227" t="s">
        <v>3160</v>
      </c>
      <c r="F681" s="227" t="s">
        <v>2695</v>
      </c>
      <c r="G681" s="227" t="s">
        <v>2490</v>
      </c>
      <c r="H681" s="253" t="s">
        <v>3178</v>
      </c>
      <c r="I681" s="253" t="s">
        <v>2732</v>
      </c>
      <c r="J681" s="227" t="s">
        <v>2733</v>
      </c>
      <c r="K681" s="262" t="s">
        <v>3114</v>
      </c>
      <c r="L681" s="262" t="s">
        <v>2767</v>
      </c>
      <c r="M681" s="259" t="s">
        <v>2786</v>
      </c>
      <c r="N681" s="295"/>
      <c r="O681" s="295" t="str">
        <f>TablaPOA[[#This Row],[Cod_Sub_acción_especifica]]&amp;"_"&amp;TablaPOA[[#This Row],[Tipo de agente]]</f>
        <v>K31.2.18.2_Distribuidores mayoristas, Importadores y Comercializadores</v>
      </c>
      <c r="P681" s="254" t="s">
        <v>2852</v>
      </c>
      <c r="Q681" s="292" t="str">
        <f>TablaPOA[[#This Row],[Cod_Sub_acción_especifica]]&amp;"_"&amp;TablaPOA[[#This Row],[Cod_Tipo_agente]]</f>
        <v>K31.2.18.2_TA4</v>
      </c>
      <c r="R681" s="254" t="s">
        <v>2853</v>
      </c>
      <c r="S681" s="255" t="s">
        <v>2866</v>
      </c>
      <c r="T681" s="271" t="s">
        <v>2867</v>
      </c>
    </row>
    <row r="682" spans="1:20" ht="25.5" x14ac:dyDescent="0.25">
      <c r="A682" s="219" t="s">
        <v>2314</v>
      </c>
      <c r="B682" s="227">
        <v>31</v>
      </c>
      <c r="C682" s="227" t="s">
        <v>2691</v>
      </c>
      <c r="D682" s="227" t="s">
        <v>2988</v>
      </c>
      <c r="E682" s="227" t="s">
        <v>3160</v>
      </c>
      <c r="F682" s="227" t="s">
        <v>2695</v>
      </c>
      <c r="G682" s="227" t="s">
        <v>2490</v>
      </c>
      <c r="H682" s="253" t="s">
        <v>3178</v>
      </c>
      <c r="I682" s="253" t="s">
        <v>2732</v>
      </c>
      <c r="J682" s="227" t="s">
        <v>2733</v>
      </c>
      <c r="K682" s="262" t="s">
        <v>3114</v>
      </c>
      <c r="L682" s="262" t="s">
        <v>2767</v>
      </c>
      <c r="M682" s="259" t="s">
        <v>2786</v>
      </c>
      <c r="N682" s="295"/>
      <c r="O682" s="295" t="str">
        <f>TablaPOA[[#This Row],[Cod_Sub_acción_especifica]]&amp;"_"&amp;TablaPOA[[#This Row],[Tipo de agente]]</f>
        <v>K31.2.18.2_Distribuidores mayoristas, Importadores y Comercializadores</v>
      </c>
      <c r="P682" s="254" t="s">
        <v>2852</v>
      </c>
      <c r="Q682" s="292" t="str">
        <f>TablaPOA[[#This Row],[Cod_Sub_acción_especifica]]&amp;"_"&amp;TablaPOA[[#This Row],[Cod_Tipo_agente]]</f>
        <v>K31.2.18.2_TA4</v>
      </c>
      <c r="R682" s="254" t="s">
        <v>2853</v>
      </c>
      <c r="S682" s="255" t="s">
        <v>2868</v>
      </c>
      <c r="T682" s="271" t="s">
        <v>2869</v>
      </c>
    </row>
    <row r="683" spans="1:20" ht="25.5" x14ac:dyDescent="0.25">
      <c r="A683" s="219" t="s">
        <v>2314</v>
      </c>
      <c r="B683" s="227">
        <v>31</v>
      </c>
      <c r="C683" s="227" t="s">
        <v>2691</v>
      </c>
      <c r="D683" s="227" t="s">
        <v>2988</v>
      </c>
      <c r="E683" s="227" t="s">
        <v>3160</v>
      </c>
      <c r="F683" s="227" t="s">
        <v>2695</v>
      </c>
      <c r="G683" s="227" t="s">
        <v>2490</v>
      </c>
      <c r="H683" s="253" t="s">
        <v>3178</v>
      </c>
      <c r="I683" s="253" t="s">
        <v>2732</v>
      </c>
      <c r="J683" s="227" t="s">
        <v>2733</v>
      </c>
      <c r="K683" s="262" t="s">
        <v>3114</v>
      </c>
      <c r="L683" s="262" t="s">
        <v>2767</v>
      </c>
      <c r="M683" s="259" t="s">
        <v>2786</v>
      </c>
      <c r="N683" s="295"/>
      <c r="O683" s="295" t="str">
        <f>TablaPOA[[#This Row],[Cod_Sub_acción_especifica]]&amp;"_"&amp;TablaPOA[[#This Row],[Tipo de agente]]</f>
        <v>K31.2.18.2_Distribuidores mayoristas, Importadores y Comercializadores</v>
      </c>
      <c r="P683" s="254" t="s">
        <v>2852</v>
      </c>
      <c r="Q683" s="292" t="str">
        <f>TablaPOA[[#This Row],[Cod_Sub_acción_especifica]]&amp;"_"&amp;TablaPOA[[#This Row],[Cod_Tipo_agente]]</f>
        <v>K31.2.18.2_TA4</v>
      </c>
      <c r="R683" s="254" t="s">
        <v>2853</v>
      </c>
      <c r="S683" s="255" t="s">
        <v>2870</v>
      </c>
      <c r="T683" s="271" t="s">
        <v>2871</v>
      </c>
    </row>
    <row r="684" spans="1:20" ht="25.5" x14ac:dyDescent="0.25">
      <c r="A684" s="219" t="s">
        <v>2314</v>
      </c>
      <c r="B684" s="227">
        <v>31</v>
      </c>
      <c r="C684" s="227" t="s">
        <v>2691</v>
      </c>
      <c r="D684" s="227" t="s">
        <v>2988</v>
      </c>
      <c r="E684" s="227" t="s">
        <v>3160</v>
      </c>
      <c r="F684" s="227" t="s">
        <v>2695</v>
      </c>
      <c r="G684" s="227" t="s">
        <v>2490</v>
      </c>
      <c r="H684" s="253" t="s">
        <v>3178</v>
      </c>
      <c r="I684" s="253" t="s">
        <v>2732</v>
      </c>
      <c r="J684" s="227" t="s">
        <v>2733</v>
      </c>
      <c r="K684" s="262" t="s">
        <v>3114</v>
      </c>
      <c r="L684" s="262" t="s">
        <v>2767</v>
      </c>
      <c r="M684" s="259" t="s">
        <v>2786</v>
      </c>
      <c r="N684" s="295"/>
      <c r="O684" s="295" t="str">
        <f>TablaPOA[[#This Row],[Cod_Sub_acción_especifica]]&amp;"_"&amp;TablaPOA[[#This Row],[Tipo de agente]]</f>
        <v>K31.2.18.2_Distribuidores mayoristas, Importadores y Comercializadores</v>
      </c>
      <c r="P684" s="254" t="s">
        <v>2852</v>
      </c>
      <c r="Q684" s="292" t="str">
        <f>TablaPOA[[#This Row],[Cod_Sub_acción_especifica]]&amp;"_"&amp;TablaPOA[[#This Row],[Cod_Tipo_agente]]</f>
        <v>K31.2.18.2_TA4</v>
      </c>
      <c r="R684" s="254" t="s">
        <v>2853</v>
      </c>
      <c r="S684" s="255" t="s">
        <v>2872</v>
      </c>
      <c r="T684" s="271" t="s">
        <v>2873</v>
      </c>
    </row>
    <row r="685" spans="1:20" ht="25.5" x14ac:dyDescent="0.25">
      <c r="A685" s="219" t="s">
        <v>2314</v>
      </c>
      <c r="B685" s="227">
        <v>31</v>
      </c>
      <c r="C685" s="227" t="s">
        <v>2691</v>
      </c>
      <c r="D685" s="227" t="s">
        <v>2988</v>
      </c>
      <c r="E685" s="227" t="s">
        <v>3160</v>
      </c>
      <c r="F685" s="227" t="s">
        <v>2695</v>
      </c>
      <c r="G685" s="227" t="s">
        <v>2490</v>
      </c>
      <c r="H685" s="253" t="s">
        <v>3178</v>
      </c>
      <c r="I685" s="253" t="s">
        <v>2732</v>
      </c>
      <c r="J685" s="227" t="s">
        <v>2733</v>
      </c>
      <c r="K685" s="262" t="s">
        <v>3114</v>
      </c>
      <c r="L685" s="262" t="s">
        <v>2767</v>
      </c>
      <c r="M685" s="259" t="s">
        <v>2786</v>
      </c>
      <c r="N685" s="295"/>
      <c r="O685" s="295" t="str">
        <f>TablaPOA[[#This Row],[Cod_Sub_acción_especifica]]&amp;"_"&amp;TablaPOA[[#This Row],[Tipo de agente]]</f>
        <v>K31.2.18.2_Distribuidores mayoristas, Importadores y Comercializadores</v>
      </c>
      <c r="P685" s="254" t="s">
        <v>2852</v>
      </c>
      <c r="Q685" s="292" t="str">
        <f>TablaPOA[[#This Row],[Cod_Sub_acción_especifica]]&amp;"_"&amp;TablaPOA[[#This Row],[Cod_Tipo_agente]]</f>
        <v>K31.2.18.2_TA4</v>
      </c>
      <c r="R685" s="254" t="s">
        <v>2853</v>
      </c>
      <c r="S685" s="255" t="s">
        <v>2874</v>
      </c>
      <c r="T685" s="271" t="s">
        <v>2875</v>
      </c>
    </row>
    <row r="686" spans="1:20" ht="25.5" x14ac:dyDescent="0.25">
      <c r="A686" s="219" t="s">
        <v>2314</v>
      </c>
      <c r="B686" s="227">
        <v>31</v>
      </c>
      <c r="C686" s="227" t="s">
        <v>2691</v>
      </c>
      <c r="D686" s="227" t="s">
        <v>2988</v>
      </c>
      <c r="E686" s="227" t="s">
        <v>3160</v>
      </c>
      <c r="F686" s="227" t="s">
        <v>2695</v>
      </c>
      <c r="G686" s="227" t="s">
        <v>2490</v>
      </c>
      <c r="H686" s="253" t="s">
        <v>3178</v>
      </c>
      <c r="I686" s="253" t="s">
        <v>2732</v>
      </c>
      <c r="J686" s="227" t="s">
        <v>2733</v>
      </c>
      <c r="K686" s="262" t="s">
        <v>3114</v>
      </c>
      <c r="L686" s="262" t="s">
        <v>2767</v>
      </c>
      <c r="M686" s="259" t="s">
        <v>2786</v>
      </c>
      <c r="N686" s="295"/>
      <c r="O686" s="295" t="str">
        <f>TablaPOA[[#This Row],[Cod_Sub_acción_especifica]]&amp;"_"&amp;TablaPOA[[#This Row],[Tipo de agente]]</f>
        <v>K31.2.18.2_Envasadoras de GLP</v>
      </c>
      <c r="P686" s="254" t="s">
        <v>2876</v>
      </c>
      <c r="Q686" s="292" t="str">
        <f>TablaPOA[[#This Row],[Cod_Sub_acción_especifica]]&amp;"_"&amp;TablaPOA[[#This Row],[Cod_Tipo_agente]]</f>
        <v>K31.2.18.2_TA5</v>
      </c>
      <c r="R686" s="254" t="s">
        <v>2877</v>
      </c>
      <c r="S686" s="255" t="s">
        <v>2878</v>
      </c>
      <c r="T686" s="271" t="s">
        <v>2879</v>
      </c>
    </row>
    <row r="687" spans="1:20" ht="25.5" x14ac:dyDescent="0.25">
      <c r="A687" s="219" t="s">
        <v>2314</v>
      </c>
      <c r="B687" s="227">
        <v>31</v>
      </c>
      <c r="C687" s="227" t="s">
        <v>2691</v>
      </c>
      <c r="D687" s="227" t="s">
        <v>2988</v>
      </c>
      <c r="E687" s="227" t="s">
        <v>3160</v>
      </c>
      <c r="F687" s="227" t="s">
        <v>2695</v>
      </c>
      <c r="G687" s="227" t="s">
        <v>2490</v>
      </c>
      <c r="H687" s="253" t="s">
        <v>3178</v>
      </c>
      <c r="I687" s="253" t="s">
        <v>2732</v>
      </c>
      <c r="J687" s="227" t="s">
        <v>2733</v>
      </c>
      <c r="K687" s="262" t="s">
        <v>3114</v>
      </c>
      <c r="L687" s="262" t="s">
        <v>2767</v>
      </c>
      <c r="M687" s="259" t="s">
        <v>2786</v>
      </c>
      <c r="N687" s="295"/>
      <c r="O687" s="295" t="str">
        <f>TablaPOA[[#This Row],[Cod_Sub_acción_especifica]]&amp;"_"&amp;TablaPOA[[#This Row],[Tipo de agente]]</f>
        <v>K31.2.18.2_Envasadoras de GLP</v>
      </c>
      <c r="P687" s="254" t="s">
        <v>2876</v>
      </c>
      <c r="Q687" s="292" t="str">
        <f>TablaPOA[[#This Row],[Cod_Sub_acción_especifica]]&amp;"_"&amp;TablaPOA[[#This Row],[Cod_Tipo_agente]]</f>
        <v>K31.2.18.2_TA5</v>
      </c>
      <c r="R687" s="254" t="s">
        <v>2877</v>
      </c>
      <c r="S687" s="255" t="s">
        <v>2880</v>
      </c>
      <c r="T687" s="271" t="s">
        <v>2881</v>
      </c>
    </row>
    <row r="688" spans="1:20" ht="25.5" x14ac:dyDescent="0.25">
      <c r="A688" s="219" t="s">
        <v>2314</v>
      </c>
      <c r="B688" s="227">
        <v>31</v>
      </c>
      <c r="C688" s="227" t="s">
        <v>2691</v>
      </c>
      <c r="D688" s="227" t="s">
        <v>2988</v>
      </c>
      <c r="E688" s="227" t="s">
        <v>3160</v>
      </c>
      <c r="F688" s="227" t="s">
        <v>2695</v>
      </c>
      <c r="G688" s="227" t="s">
        <v>2490</v>
      </c>
      <c r="H688" s="253" t="s">
        <v>3178</v>
      </c>
      <c r="I688" s="253" t="s">
        <v>2732</v>
      </c>
      <c r="J688" s="227" t="s">
        <v>2733</v>
      </c>
      <c r="K688" s="262" t="s">
        <v>3114</v>
      </c>
      <c r="L688" s="262" t="s">
        <v>2767</v>
      </c>
      <c r="M688" s="259" t="s">
        <v>2786</v>
      </c>
      <c r="N688" s="295"/>
      <c r="O688" s="295" t="str">
        <f>TablaPOA[[#This Row],[Cod_Sub_acción_especifica]]&amp;"_"&amp;TablaPOA[[#This Row],[Tipo de agente]]</f>
        <v>K31.2.18.2_EVP combustibles de uso automotor</v>
      </c>
      <c r="P688" s="254" t="s">
        <v>2882</v>
      </c>
      <c r="Q688" s="292" t="str">
        <f>TablaPOA[[#This Row],[Cod_Sub_acción_especifica]]&amp;"_"&amp;TablaPOA[[#This Row],[Cod_Tipo_agente]]</f>
        <v>K31.2.18.2_TA6</v>
      </c>
      <c r="R688" s="254" t="s">
        <v>2883</v>
      </c>
      <c r="S688" s="255" t="s">
        <v>2884</v>
      </c>
      <c r="T688" s="271" t="s">
        <v>2885</v>
      </c>
    </row>
    <row r="689" spans="1:20" ht="25.5" x14ac:dyDescent="0.25">
      <c r="A689" s="219" t="s">
        <v>2314</v>
      </c>
      <c r="B689" s="227">
        <v>31</v>
      </c>
      <c r="C689" s="227" t="s">
        <v>2691</v>
      </c>
      <c r="D689" s="227" t="s">
        <v>2988</v>
      </c>
      <c r="E689" s="227" t="s">
        <v>3160</v>
      </c>
      <c r="F689" s="227" t="s">
        <v>2695</v>
      </c>
      <c r="G689" s="227" t="s">
        <v>2490</v>
      </c>
      <c r="H689" s="253" t="s">
        <v>3178</v>
      </c>
      <c r="I689" s="253" t="s">
        <v>2732</v>
      </c>
      <c r="J689" s="227" t="s">
        <v>2733</v>
      </c>
      <c r="K689" s="262" t="s">
        <v>3114</v>
      </c>
      <c r="L689" s="262" t="s">
        <v>2767</v>
      </c>
      <c r="M689" s="259" t="s">
        <v>2786</v>
      </c>
      <c r="N689" s="295"/>
      <c r="O689" s="295" t="str">
        <f>TablaPOA[[#This Row],[Cod_Sub_acción_especifica]]&amp;"_"&amp;TablaPOA[[#This Row],[Tipo de agente]]</f>
        <v>K31.2.18.2_EVP combustibles de uso automotor</v>
      </c>
      <c r="P689" s="254" t="s">
        <v>2882</v>
      </c>
      <c r="Q689" s="292" t="str">
        <f>TablaPOA[[#This Row],[Cod_Sub_acción_especifica]]&amp;"_"&amp;TablaPOA[[#This Row],[Cod_Tipo_agente]]</f>
        <v>K31.2.18.2_TA6</v>
      </c>
      <c r="R689" s="254" t="s">
        <v>2883</v>
      </c>
      <c r="S689" s="255" t="s">
        <v>2886</v>
      </c>
      <c r="T689" s="271" t="s">
        <v>2887</v>
      </c>
    </row>
    <row r="690" spans="1:20" ht="25.5" x14ac:dyDescent="0.25">
      <c r="A690" s="219" t="s">
        <v>2314</v>
      </c>
      <c r="B690" s="227">
        <v>31</v>
      </c>
      <c r="C690" s="227" t="s">
        <v>2691</v>
      </c>
      <c r="D690" s="227" t="s">
        <v>2988</v>
      </c>
      <c r="E690" s="227" t="s">
        <v>3160</v>
      </c>
      <c r="F690" s="227" t="s">
        <v>2695</v>
      </c>
      <c r="G690" s="227" t="s">
        <v>2490</v>
      </c>
      <c r="H690" s="253" t="s">
        <v>3178</v>
      </c>
      <c r="I690" s="253" t="s">
        <v>2732</v>
      </c>
      <c r="J690" s="227" t="s">
        <v>2733</v>
      </c>
      <c r="K690" s="262" t="s">
        <v>3114</v>
      </c>
      <c r="L690" s="262" t="s">
        <v>2767</v>
      </c>
      <c r="M690" s="259" t="s">
        <v>2786</v>
      </c>
      <c r="N690" s="295"/>
      <c r="O690" s="295" t="str">
        <f>TablaPOA[[#This Row],[Cod_Sub_acción_especifica]]&amp;"_"&amp;TablaPOA[[#This Row],[Tipo de agente]]</f>
        <v>K31.2.18.2_EVP combustibles de uso automotor</v>
      </c>
      <c r="P690" s="254" t="s">
        <v>2882</v>
      </c>
      <c r="Q690" s="292" t="str">
        <f>TablaPOA[[#This Row],[Cod_Sub_acción_especifica]]&amp;"_"&amp;TablaPOA[[#This Row],[Cod_Tipo_agente]]</f>
        <v>K31.2.18.2_TA6</v>
      </c>
      <c r="R690" s="254" t="s">
        <v>2883</v>
      </c>
      <c r="S690" s="255" t="s">
        <v>2888</v>
      </c>
      <c r="T690" s="271" t="s">
        <v>2889</v>
      </c>
    </row>
    <row r="691" spans="1:20" ht="25.5" x14ac:dyDescent="0.25">
      <c r="A691" s="219" t="s">
        <v>2314</v>
      </c>
      <c r="B691" s="227">
        <v>31</v>
      </c>
      <c r="C691" s="227" t="s">
        <v>2691</v>
      </c>
      <c r="D691" s="227" t="s">
        <v>2988</v>
      </c>
      <c r="E691" s="227" t="s">
        <v>3160</v>
      </c>
      <c r="F691" s="227" t="s">
        <v>2695</v>
      </c>
      <c r="G691" s="227" t="s">
        <v>2490</v>
      </c>
      <c r="H691" s="253" t="s">
        <v>3178</v>
      </c>
      <c r="I691" s="253" t="s">
        <v>2732</v>
      </c>
      <c r="J691" s="227" t="s">
        <v>2733</v>
      </c>
      <c r="K691" s="262" t="s">
        <v>3114</v>
      </c>
      <c r="L691" s="262" t="s">
        <v>2767</v>
      </c>
      <c r="M691" s="259" t="s">
        <v>2786</v>
      </c>
      <c r="N691" s="295"/>
      <c r="O691" s="295" t="str">
        <f>TablaPOA[[#This Row],[Cod_Sub_acción_especifica]]&amp;"_"&amp;TablaPOA[[#This Row],[Tipo de agente]]</f>
        <v>K31.2.18.2_EVP combustibles de uso automotor</v>
      </c>
      <c r="P691" s="254" t="s">
        <v>2882</v>
      </c>
      <c r="Q691" s="292" t="str">
        <f>TablaPOA[[#This Row],[Cod_Sub_acción_especifica]]&amp;"_"&amp;TablaPOA[[#This Row],[Cod_Tipo_agente]]</f>
        <v>K31.2.18.2_TA6</v>
      </c>
      <c r="R691" s="254" t="s">
        <v>2883</v>
      </c>
      <c r="S691" s="255" t="s">
        <v>2890</v>
      </c>
      <c r="T691" s="271" t="s">
        <v>2891</v>
      </c>
    </row>
    <row r="692" spans="1:20" ht="25.5" x14ac:dyDescent="0.25">
      <c r="A692" s="219" t="s">
        <v>2314</v>
      </c>
      <c r="B692" s="227">
        <v>31</v>
      </c>
      <c r="C692" s="227" t="s">
        <v>2691</v>
      </c>
      <c r="D692" s="227" t="s">
        <v>2988</v>
      </c>
      <c r="E692" s="227" t="s">
        <v>3160</v>
      </c>
      <c r="F692" s="227" t="s">
        <v>2695</v>
      </c>
      <c r="G692" s="227" t="s">
        <v>2490</v>
      </c>
      <c r="H692" s="253" t="s">
        <v>3178</v>
      </c>
      <c r="I692" s="253" t="s">
        <v>2732</v>
      </c>
      <c r="J692" s="227" t="s">
        <v>2733</v>
      </c>
      <c r="K692" s="262" t="s">
        <v>3114</v>
      </c>
      <c r="L692" s="262" t="s">
        <v>2767</v>
      </c>
      <c r="M692" s="259" t="s">
        <v>2786</v>
      </c>
      <c r="N692" s="295"/>
      <c r="O692" s="295" t="str">
        <f>TablaPOA[[#This Row],[Cod_Sub_acción_especifica]]&amp;"_"&amp;TablaPOA[[#This Row],[Tipo de agente]]</f>
        <v>K31.2.18.2_EVP combustibles de uso automotor</v>
      </c>
      <c r="P692" s="254" t="s">
        <v>2882</v>
      </c>
      <c r="Q692" s="292" t="str">
        <f>TablaPOA[[#This Row],[Cod_Sub_acción_especifica]]&amp;"_"&amp;TablaPOA[[#This Row],[Cod_Tipo_agente]]</f>
        <v>K31.2.18.2_TA6</v>
      </c>
      <c r="R692" s="254" t="s">
        <v>2883</v>
      </c>
      <c r="S692" s="255" t="s">
        <v>2892</v>
      </c>
      <c r="T692" s="271" t="s">
        <v>2893</v>
      </c>
    </row>
    <row r="693" spans="1:20" ht="25.5" x14ac:dyDescent="0.25">
      <c r="A693" s="219" t="s">
        <v>2314</v>
      </c>
      <c r="B693" s="227">
        <v>31</v>
      </c>
      <c r="C693" s="227" t="s">
        <v>2691</v>
      </c>
      <c r="D693" s="227" t="s">
        <v>2988</v>
      </c>
      <c r="E693" s="227" t="s">
        <v>3160</v>
      </c>
      <c r="F693" s="227" t="s">
        <v>2695</v>
      </c>
      <c r="G693" s="227" t="s">
        <v>2490</v>
      </c>
      <c r="H693" s="253" t="s">
        <v>3178</v>
      </c>
      <c r="I693" s="253" t="s">
        <v>2732</v>
      </c>
      <c r="J693" s="227" t="s">
        <v>2733</v>
      </c>
      <c r="K693" s="262" t="s">
        <v>3114</v>
      </c>
      <c r="L693" s="262" t="s">
        <v>2767</v>
      </c>
      <c r="M693" s="259" t="s">
        <v>2786</v>
      </c>
      <c r="N693" s="295"/>
      <c r="O693" s="295" t="str">
        <f>TablaPOA[[#This Row],[Cod_Sub_acción_especifica]]&amp;"_"&amp;TablaPOA[[#This Row],[Tipo de agente]]</f>
        <v>K31.2.18.2_EVP combustibles de uso automotor</v>
      </c>
      <c r="P693" s="254" t="s">
        <v>2882</v>
      </c>
      <c r="Q693" s="292" t="str">
        <f>TablaPOA[[#This Row],[Cod_Sub_acción_especifica]]&amp;"_"&amp;TablaPOA[[#This Row],[Cod_Tipo_agente]]</f>
        <v>K31.2.18.2_TA6</v>
      </c>
      <c r="R693" s="254" t="s">
        <v>2883</v>
      </c>
      <c r="S693" s="255" t="s">
        <v>2894</v>
      </c>
      <c r="T693" s="271" t="s">
        <v>2895</v>
      </c>
    </row>
    <row r="694" spans="1:20" ht="25.5" x14ac:dyDescent="0.25">
      <c r="A694" s="219" t="s">
        <v>2314</v>
      </c>
      <c r="B694" s="227">
        <v>31</v>
      </c>
      <c r="C694" s="227" t="s">
        <v>2691</v>
      </c>
      <c r="D694" s="227" t="s">
        <v>2988</v>
      </c>
      <c r="E694" s="227" t="s">
        <v>3160</v>
      </c>
      <c r="F694" s="227" t="s">
        <v>2695</v>
      </c>
      <c r="G694" s="227" t="s">
        <v>2490</v>
      </c>
      <c r="H694" s="253" t="s">
        <v>3178</v>
      </c>
      <c r="I694" s="253" t="s">
        <v>2732</v>
      </c>
      <c r="J694" s="227" t="s">
        <v>2733</v>
      </c>
      <c r="K694" s="262" t="s">
        <v>3114</v>
      </c>
      <c r="L694" s="262" t="s">
        <v>2767</v>
      </c>
      <c r="M694" s="259" t="s">
        <v>2786</v>
      </c>
      <c r="N694" s="295"/>
      <c r="O694" s="295" t="str">
        <f>TablaPOA[[#This Row],[Cod_Sub_acción_especifica]]&amp;"_"&amp;TablaPOA[[#This Row],[Tipo de agente]]</f>
        <v>K31.2.18.2_EVP combustibles de uso automotor</v>
      </c>
      <c r="P694" s="254" t="s">
        <v>2882</v>
      </c>
      <c r="Q694" s="292" t="str">
        <f>TablaPOA[[#This Row],[Cod_Sub_acción_especifica]]&amp;"_"&amp;TablaPOA[[#This Row],[Cod_Tipo_agente]]</f>
        <v>K31.2.18.2_TA6</v>
      </c>
      <c r="R694" s="254" t="s">
        <v>2883</v>
      </c>
      <c r="S694" s="255" t="s">
        <v>2896</v>
      </c>
      <c r="T694" s="271" t="s">
        <v>2897</v>
      </c>
    </row>
    <row r="695" spans="1:20" ht="25.5" x14ac:dyDescent="0.25">
      <c r="A695" s="219" t="s">
        <v>2314</v>
      </c>
      <c r="B695" s="227">
        <v>31</v>
      </c>
      <c r="C695" s="227" t="s">
        <v>2691</v>
      </c>
      <c r="D695" s="227" t="s">
        <v>2988</v>
      </c>
      <c r="E695" s="227" t="s">
        <v>3160</v>
      </c>
      <c r="F695" s="227" t="s">
        <v>2695</v>
      </c>
      <c r="G695" s="227" t="s">
        <v>2490</v>
      </c>
      <c r="H695" s="253" t="s">
        <v>3178</v>
      </c>
      <c r="I695" s="253" t="s">
        <v>2732</v>
      </c>
      <c r="J695" s="227" t="s">
        <v>2733</v>
      </c>
      <c r="K695" s="262" t="s">
        <v>3114</v>
      </c>
      <c r="L695" s="262" t="s">
        <v>2767</v>
      </c>
      <c r="M695" s="259" t="s">
        <v>2786</v>
      </c>
      <c r="N695" s="295"/>
      <c r="O695" s="295" t="str">
        <f>TablaPOA[[#This Row],[Cod_Sub_acción_especifica]]&amp;"_"&amp;TablaPOA[[#This Row],[Tipo de agente]]</f>
        <v>K31.2.18.2_EVP combustibles de uso automotor</v>
      </c>
      <c r="P695" s="254" t="s">
        <v>2882</v>
      </c>
      <c r="Q695" s="292" t="str">
        <f>TablaPOA[[#This Row],[Cod_Sub_acción_especifica]]&amp;"_"&amp;TablaPOA[[#This Row],[Cod_Tipo_agente]]</f>
        <v>K31.2.18.2_TA6</v>
      </c>
      <c r="R695" s="254" t="s">
        <v>2883</v>
      </c>
      <c r="S695" s="255" t="s">
        <v>2898</v>
      </c>
      <c r="T695" s="271" t="s">
        <v>2899</v>
      </c>
    </row>
    <row r="696" spans="1:20" ht="25.5" x14ac:dyDescent="0.25">
      <c r="A696" s="219" t="s">
        <v>2314</v>
      </c>
      <c r="B696" s="227">
        <v>31</v>
      </c>
      <c r="C696" s="227" t="s">
        <v>2691</v>
      </c>
      <c r="D696" s="227" t="s">
        <v>2988</v>
      </c>
      <c r="E696" s="227" t="s">
        <v>3160</v>
      </c>
      <c r="F696" s="227" t="s">
        <v>2695</v>
      </c>
      <c r="G696" s="227" t="s">
        <v>2490</v>
      </c>
      <c r="H696" s="253" t="s">
        <v>3178</v>
      </c>
      <c r="I696" s="253" t="s">
        <v>2732</v>
      </c>
      <c r="J696" s="227" t="s">
        <v>2733</v>
      </c>
      <c r="K696" s="262" t="s">
        <v>3114</v>
      </c>
      <c r="L696" s="262" t="s">
        <v>2767</v>
      </c>
      <c r="M696" s="259" t="s">
        <v>2786</v>
      </c>
      <c r="N696" s="295"/>
      <c r="O696" s="295" t="str">
        <f>TablaPOA[[#This Row],[Cod_Sub_acción_especifica]]&amp;"_"&amp;TablaPOA[[#This Row],[Tipo de agente]]</f>
        <v>K31.2.18.2_EVP combustibles de uso automotor</v>
      </c>
      <c r="P696" s="254" t="s">
        <v>2882</v>
      </c>
      <c r="Q696" s="292" t="str">
        <f>TablaPOA[[#This Row],[Cod_Sub_acción_especifica]]&amp;"_"&amp;TablaPOA[[#This Row],[Cod_Tipo_agente]]</f>
        <v>K31.2.18.2_TA6</v>
      </c>
      <c r="R696" s="254" t="s">
        <v>2883</v>
      </c>
      <c r="S696" s="255" t="s">
        <v>2900</v>
      </c>
      <c r="T696" s="271" t="s">
        <v>2901</v>
      </c>
    </row>
    <row r="697" spans="1:20" ht="25.5" x14ac:dyDescent="0.25">
      <c r="A697" s="219" t="s">
        <v>2314</v>
      </c>
      <c r="B697" s="227">
        <v>31</v>
      </c>
      <c r="C697" s="227" t="s">
        <v>2691</v>
      </c>
      <c r="D697" s="227" t="s">
        <v>2988</v>
      </c>
      <c r="E697" s="227" t="s">
        <v>3160</v>
      </c>
      <c r="F697" s="227" t="s">
        <v>2695</v>
      </c>
      <c r="G697" s="227" t="s">
        <v>2490</v>
      </c>
      <c r="H697" s="253" t="s">
        <v>3178</v>
      </c>
      <c r="I697" s="253" t="s">
        <v>2732</v>
      </c>
      <c r="J697" s="227" t="s">
        <v>2733</v>
      </c>
      <c r="K697" s="262" t="s">
        <v>3114</v>
      </c>
      <c r="L697" s="262" t="s">
        <v>2767</v>
      </c>
      <c r="M697" s="259" t="s">
        <v>2786</v>
      </c>
      <c r="N697" s="295"/>
      <c r="O697" s="295" t="str">
        <f>TablaPOA[[#This Row],[Cod_Sub_acción_especifica]]&amp;"_"&amp;TablaPOA[[#This Row],[Tipo de agente]]</f>
        <v>K31.2.18.2_Locales de venta de GLP</v>
      </c>
      <c r="P697" s="254" t="s">
        <v>2912</v>
      </c>
      <c r="Q697" s="292" t="str">
        <f>TablaPOA[[#This Row],[Cod_Sub_acción_especifica]]&amp;"_"&amp;TablaPOA[[#This Row],[Cod_Tipo_agente]]</f>
        <v>K31.2.18.2_TA8</v>
      </c>
      <c r="R697" s="254" t="s">
        <v>2913</v>
      </c>
      <c r="S697" s="255" t="s">
        <v>2914</v>
      </c>
      <c r="T697" s="271" t="s">
        <v>2915</v>
      </c>
    </row>
    <row r="698" spans="1:20" ht="25.5" x14ac:dyDescent="0.25">
      <c r="A698" s="219" t="s">
        <v>2314</v>
      </c>
      <c r="B698" s="227">
        <v>31</v>
      </c>
      <c r="C698" s="227" t="s">
        <v>2691</v>
      </c>
      <c r="D698" s="227" t="s">
        <v>2988</v>
      </c>
      <c r="E698" s="227" t="s">
        <v>3160</v>
      </c>
      <c r="F698" s="227" t="s">
        <v>2695</v>
      </c>
      <c r="G698" s="227" t="s">
        <v>2490</v>
      </c>
      <c r="H698" s="253" t="s">
        <v>3178</v>
      </c>
      <c r="I698" s="253" t="s">
        <v>2732</v>
      </c>
      <c r="J698" s="227" t="s">
        <v>2733</v>
      </c>
      <c r="K698" s="262" t="s">
        <v>3114</v>
      </c>
      <c r="L698" s="262" t="s">
        <v>2767</v>
      </c>
      <c r="M698" s="259" t="s">
        <v>2786</v>
      </c>
      <c r="N698" s="295"/>
      <c r="O698" s="295" t="str">
        <f>TablaPOA[[#This Row],[Cod_Sub_acción_especifica]]&amp;"_"&amp;TablaPOA[[#This Row],[Tipo de agente]]</f>
        <v>K31.2.18.2_Locales de venta de GLP</v>
      </c>
      <c r="P698" s="254" t="s">
        <v>2912</v>
      </c>
      <c r="Q698" s="292" t="str">
        <f>TablaPOA[[#This Row],[Cod_Sub_acción_especifica]]&amp;"_"&amp;TablaPOA[[#This Row],[Cod_Tipo_agente]]</f>
        <v>K31.2.18.2_TA8</v>
      </c>
      <c r="R698" s="254" t="s">
        <v>2913</v>
      </c>
      <c r="S698" s="255" t="s">
        <v>2916</v>
      </c>
      <c r="T698" s="271" t="s">
        <v>2917</v>
      </c>
    </row>
    <row r="699" spans="1:20" ht="25.5" x14ac:dyDescent="0.25">
      <c r="A699" s="219" t="s">
        <v>2314</v>
      </c>
      <c r="B699" s="227">
        <v>31</v>
      </c>
      <c r="C699" s="227" t="s">
        <v>2691</v>
      </c>
      <c r="D699" s="227" t="s">
        <v>2988</v>
      </c>
      <c r="E699" s="227" t="s">
        <v>3160</v>
      </c>
      <c r="F699" s="227" t="s">
        <v>2695</v>
      </c>
      <c r="G699" s="227" t="s">
        <v>2490</v>
      </c>
      <c r="H699" s="253" t="s">
        <v>3178</v>
      </c>
      <c r="I699" s="253" t="s">
        <v>2732</v>
      </c>
      <c r="J699" s="227" t="s">
        <v>2733</v>
      </c>
      <c r="K699" s="262" t="s">
        <v>3114</v>
      </c>
      <c r="L699" s="262" t="s">
        <v>2767</v>
      </c>
      <c r="M699" s="259" t="s">
        <v>2786</v>
      </c>
      <c r="N699" s="295"/>
      <c r="O699" s="295" t="str">
        <f>TablaPOA[[#This Row],[Cod_Sub_acción_especifica]]&amp;"_"&amp;TablaPOA[[#This Row],[Tipo de agente]]</f>
        <v>K31.2.18.2_Medios de transporte</v>
      </c>
      <c r="P699" s="254" t="s">
        <v>2918</v>
      </c>
      <c r="Q699" s="292" t="str">
        <f>TablaPOA[[#This Row],[Cod_Sub_acción_especifica]]&amp;"_"&amp;TablaPOA[[#This Row],[Cod_Tipo_agente]]</f>
        <v>K31.2.18.2_TA9</v>
      </c>
      <c r="R699" s="254" t="s">
        <v>2919</v>
      </c>
      <c r="S699" s="255" t="s">
        <v>2920</v>
      </c>
      <c r="T699" s="271" t="s">
        <v>2921</v>
      </c>
    </row>
    <row r="700" spans="1:20" ht="25.5" x14ac:dyDescent="0.25">
      <c r="A700" s="219" t="s">
        <v>2314</v>
      </c>
      <c r="B700" s="227">
        <v>31</v>
      </c>
      <c r="C700" s="227" t="s">
        <v>2691</v>
      </c>
      <c r="D700" s="227" t="s">
        <v>2988</v>
      </c>
      <c r="E700" s="227" t="s">
        <v>3160</v>
      </c>
      <c r="F700" s="227" t="s">
        <v>2695</v>
      </c>
      <c r="G700" s="227" t="s">
        <v>2490</v>
      </c>
      <c r="H700" s="253" t="s">
        <v>3178</v>
      </c>
      <c r="I700" s="253" t="s">
        <v>2732</v>
      </c>
      <c r="J700" s="227" t="s">
        <v>2733</v>
      </c>
      <c r="K700" s="262" t="s">
        <v>3114</v>
      </c>
      <c r="L700" s="262" t="s">
        <v>2767</v>
      </c>
      <c r="M700" s="259" t="s">
        <v>2786</v>
      </c>
      <c r="N700" s="295"/>
      <c r="O700" s="295" t="str">
        <f>TablaPOA[[#This Row],[Cod_Sub_acción_especifica]]&amp;"_"&amp;TablaPOA[[#This Row],[Tipo de agente]]</f>
        <v>K31.2.18.2_Medios de transporte</v>
      </c>
      <c r="P700" s="254" t="s">
        <v>2918</v>
      </c>
      <c r="Q700" s="292" t="str">
        <f>TablaPOA[[#This Row],[Cod_Sub_acción_especifica]]&amp;"_"&amp;TablaPOA[[#This Row],[Cod_Tipo_agente]]</f>
        <v>K31.2.18.2_TA9</v>
      </c>
      <c r="R700" s="254" t="s">
        <v>2919</v>
      </c>
      <c r="S700" s="255" t="s">
        <v>2922</v>
      </c>
      <c r="T700" s="271" t="s">
        <v>2923</v>
      </c>
    </row>
    <row r="701" spans="1:20" ht="25.5" x14ac:dyDescent="0.25">
      <c r="A701" s="219" t="s">
        <v>2314</v>
      </c>
      <c r="B701" s="227">
        <v>31</v>
      </c>
      <c r="C701" s="227" t="s">
        <v>2691</v>
      </c>
      <c r="D701" s="227" t="s">
        <v>2988</v>
      </c>
      <c r="E701" s="227" t="s">
        <v>3160</v>
      </c>
      <c r="F701" s="227" t="s">
        <v>2695</v>
      </c>
      <c r="G701" s="227" t="s">
        <v>2490</v>
      </c>
      <c r="H701" s="253" t="s">
        <v>3178</v>
      </c>
      <c r="I701" s="253" t="s">
        <v>2732</v>
      </c>
      <c r="J701" s="227" t="s">
        <v>2733</v>
      </c>
      <c r="K701" s="262" t="s">
        <v>3114</v>
      </c>
      <c r="L701" s="262" t="s">
        <v>2767</v>
      </c>
      <c r="M701" s="259" t="s">
        <v>2786</v>
      </c>
      <c r="N701" s="295"/>
      <c r="O701" s="295" t="str">
        <f>TablaPOA[[#This Row],[Cod_Sub_acción_especifica]]&amp;"_"&amp;TablaPOA[[#This Row],[Tipo de agente]]</f>
        <v>K31.2.18.2_Medios de transporte</v>
      </c>
      <c r="P701" s="254" t="s">
        <v>2918</v>
      </c>
      <c r="Q701" s="292" t="str">
        <f>TablaPOA[[#This Row],[Cod_Sub_acción_especifica]]&amp;"_"&amp;TablaPOA[[#This Row],[Cod_Tipo_agente]]</f>
        <v>K31.2.18.2_TA9</v>
      </c>
      <c r="R701" s="254" t="s">
        <v>2919</v>
      </c>
      <c r="S701" s="255" t="s">
        <v>2924</v>
      </c>
      <c r="T701" s="271" t="s">
        <v>2925</v>
      </c>
    </row>
    <row r="702" spans="1:20" ht="25.5" x14ac:dyDescent="0.25">
      <c r="A702" s="219" t="s">
        <v>2314</v>
      </c>
      <c r="B702" s="227">
        <v>31</v>
      </c>
      <c r="C702" s="227" t="s">
        <v>2691</v>
      </c>
      <c r="D702" s="227" t="s">
        <v>2988</v>
      </c>
      <c r="E702" s="227" t="s">
        <v>3160</v>
      </c>
      <c r="F702" s="227" t="s">
        <v>2695</v>
      </c>
      <c r="G702" s="227" t="s">
        <v>2490</v>
      </c>
      <c r="H702" s="253" t="s">
        <v>3178</v>
      </c>
      <c r="I702" s="253" t="s">
        <v>2732</v>
      </c>
      <c r="J702" s="227" t="s">
        <v>2733</v>
      </c>
      <c r="K702" s="262" t="s">
        <v>3114</v>
      </c>
      <c r="L702" s="262" t="s">
        <v>2767</v>
      </c>
      <c r="M702" s="259" t="s">
        <v>2786</v>
      </c>
      <c r="N702" s="295"/>
      <c r="O702" s="295" t="str">
        <f>TablaPOA[[#This Row],[Cod_Sub_acción_especifica]]&amp;"_"&amp;TablaPOA[[#This Row],[Tipo de agente]]</f>
        <v>K31.2.18.2_Medios de transporte</v>
      </c>
      <c r="P702" s="254" t="s">
        <v>2918</v>
      </c>
      <c r="Q702" s="292" t="str">
        <f>TablaPOA[[#This Row],[Cod_Sub_acción_especifica]]&amp;"_"&amp;TablaPOA[[#This Row],[Cod_Tipo_agente]]</f>
        <v>K31.2.18.2_TA9</v>
      </c>
      <c r="R702" s="254" t="s">
        <v>2919</v>
      </c>
      <c r="S702" s="255" t="s">
        <v>2926</v>
      </c>
      <c r="T702" s="271" t="s">
        <v>2927</v>
      </c>
    </row>
    <row r="703" spans="1:20" ht="25.5" x14ac:dyDescent="0.25">
      <c r="A703" s="219" t="s">
        <v>2314</v>
      </c>
      <c r="B703" s="227">
        <v>31</v>
      </c>
      <c r="C703" s="227" t="s">
        <v>2691</v>
      </c>
      <c r="D703" s="227" t="s">
        <v>2988</v>
      </c>
      <c r="E703" s="227" t="s">
        <v>3160</v>
      </c>
      <c r="F703" s="227" t="s">
        <v>2695</v>
      </c>
      <c r="G703" s="227" t="s">
        <v>2490</v>
      </c>
      <c r="H703" s="253" t="s">
        <v>3178</v>
      </c>
      <c r="I703" s="253" t="s">
        <v>2732</v>
      </c>
      <c r="J703" s="227" t="s">
        <v>2733</v>
      </c>
      <c r="K703" s="262" t="s">
        <v>3114</v>
      </c>
      <c r="L703" s="262" t="s">
        <v>2767</v>
      </c>
      <c r="M703" s="259" t="s">
        <v>2786</v>
      </c>
      <c r="N703" s="295"/>
      <c r="O703" s="295" t="str">
        <f>TablaPOA[[#This Row],[Cod_Sub_acción_especifica]]&amp;"_"&amp;TablaPOA[[#This Row],[Tipo de agente]]</f>
        <v>K31.2.18.2_Medios de transporte</v>
      </c>
      <c r="P703" s="254" t="s">
        <v>2918</v>
      </c>
      <c r="Q703" s="292" t="str">
        <f>TablaPOA[[#This Row],[Cod_Sub_acción_especifica]]&amp;"_"&amp;TablaPOA[[#This Row],[Cod_Tipo_agente]]</f>
        <v>K31.2.18.2_TA9</v>
      </c>
      <c r="R703" s="254" t="s">
        <v>2919</v>
      </c>
      <c r="S703" s="255" t="s">
        <v>2928</v>
      </c>
      <c r="T703" s="271" t="s">
        <v>2929</v>
      </c>
    </row>
    <row r="704" spans="1:20" ht="25.5" x14ac:dyDescent="0.25">
      <c r="A704" s="219" t="s">
        <v>2314</v>
      </c>
      <c r="B704" s="227">
        <v>31</v>
      </c>
      <c r="C704" s="227" t="s">
        <v>2691</v>
      </c>
      <c r="D704" s="227" t="s">
        <v>2988</v>
      </c>
      <c r="E704" s="227" t="s">
        <v>3160</v>
      </c>
      <c r="F704" s="227" t="s">
        <v>2695</v>
      </c>
      <c r="G704" s="227" t="s">
        <v>2490</v>
      </c>
      <c r="H704" s="253" t="s">
        <v>3178</v>
      </c>
      <c r="I704" s="253" t="s">
        <v>2732</v>
      </c>
      <c r="J704" s="227" t="s">
        <v>2733</v>
      </c>
      <c r="K704" s="262" t="s">
        <v>3114</v>
      </c>
      <c r="L704" s="262" t="s">
        <v>2767</v>
      </c>
      <c r="M704" s="259" t="s">
        <v>2786</v>
      </c>
      <c r="N704" s="295"/>
      <c r="O704" s="295" t="str">
        <f>TablaPOA[[#This Row],[Cod_Sub_acción_especifica]]&amp;"_"&amp;TablaPOA[[#This Row],[Tipo de agente]]</f>
        <v>K31.2.18.2_Medios de transporte</v>
      </c>
      <c r="P704" s="254" t="s">
        <v>2918</v>
      </c>
      <c r="Q704" s="292" t="str">
        <f>TablaPOA[[#This Row],[Cod_Sub_acción_especifica]]&amp;"_"&amp;TablaPOA[[#This Row],[Cod_Tipo_agente]]</f>
        <v>K31.2.18.2_TA9</v>
      </c>
      <c r="R704" s="254" t="s">
        <v>2919</v>
      </c>
      <c r="S704" s="255" t="s">
        <v>2930</v>
      </c>
      <c r="T704" s="271" t="s">
        <v>2931</v>
      </c>
    </row>
    <row r="705" spans="1:20" ht="25.5" x14ac:dyDescent="0.25">
      <c r="A705" s="219" t="s">
        <v>2314</v>
      </c>
      <c r="B705" s="227">
        <v>31</v>
      </c>
      <c r="C705" s="227" t="s">
        <v>2691</v>
      </c>
      <c r="D705" s="227" t="s">
        <v>2988</v>
      </c>
      <c r="E705" s="227" t="s">
        <v>3160</v>
      </c>
      <c r="F705" s="227" t="s">
        <v>2695</v>
      </c>
      <c r="G705" s="227" t="s">
        <v>2490</v>
      </c>
      <c r="H705" s="253" t="s">
        <v>3178</v>
      </c>
      <c r="I705" s="253" t="s">
        <v>2732</v>
      </c>
      <c r="J705" s="227" t="s">
        <v>2733</v>
      </c>
      <c r="K705" s="262" t="s">
        <v>3114</v>
      </c>
      <c r="L705" s="262" t="s">
        <v>2767</v>
      </c>
      <c r="M705" s="259" t="s">
        <v>2786</v>
      </c>
      <c r="N705" s="295"/>
      <c r="O705" s="295" t="str">
        <f>TablaPOA[[#This Row],[Cod_Sub_acción_especifica]]&amp;"_"&amp;TablaPOA[[#This Row],[Tipo de agente]]</f>
        <v>K31.2.18.2_Medios de transporte</v>
      </c>
      <c r="P705" s="254" t="s">
        <v>2918</v>
      </c>
      <c r="Q705" s="292" t="str">
        <f>TablaPOA[[#This Row],[Cod_Sub_acción_especifica]]&amp;"_"&amp;TablaPOA[[#This Row],[Cod_Tipo_agente]]</f>
        <v>K31.2.18.2_TA9</v>
      </c>
      <c r="R705" s="254" t="s">
        <v>2919</v>
      </c>
      <c r="S705" s="255" t="s">
        <v>2932</v>
      </c>
      <c r="T705" s="271" t="s">
        <v>2933</v>
      </c>
    </row>
    <row r="706" spans="1:20" ht="25.5" x14ac:dyDescent="0.25">
      <c r="A706" s="219" t="s">
        <v>2314</v>
      </c>
      <c r="B706" s="227">
        <v>31</v>
      </c>
      <c r="C706" s="227" t="s">
        <v>2691</v>
      </c>
      <c r="D706" s="227" t="s">
        <v>2988</v>
      </c>
      <c r="E706" s="227" t="s">
        <v>3160</v>
      </c>
      <c r="F706" s="227" t="s">
        <v>2695</v>
      </c>
      <c r="G706" s="227" t="s">
        <v>2490</v>
      </c>
      <c r="H706" s="253" t="s">
        <v>3178</v>
      </c>
      <c r="I706" s="253" t="s">
        <v>2732</v>
      </c>
      <c r="J706" s="227" t="s">
        <v>2733</v>
      </c>
      <c r="K706" s="262" t="s">
        <v>3114</v>
      </c>
      <c r="L706" s="262" t="s">
        <v>2767</v>
      </c>
      <c r="M706" s="259" t="s">
        <v>2786</v>
      </c>
      <c r="N706" s="295"/>
      <c r="O706" s="295" t="str">
        <f>TablaPOA[[#This Row],[Cod_Sub_acción_especifica]]&amp;"_"&amp;TablaPOA[[#This Row],[Tipo de agente]]</f>
        <v>K31.2.18.2_Medios de transporte</v>
      </c>
      <c r="P706" s="254" t="s">
        <v>2918</v>
      </c>
      <c r="Q706" s="292" t="str">
        <f>TablaPOA[[#This Row],[Cod_Sub_acción_especifica]]&amp;"_"&amp;TablaPOA[[#This Row],[Cod_Tipo_agente]]</f>
        <v>K31.2.18.2_TA9</v>
      </c>
      <c r="R706" s="254" t="s">
        <v>2919</v>
      </c>
      <c r="S706" s="255" t="s">
        <v>2934</v>
      </c>
      <c r="T706" s="271" t="s">
        <v>2935</v>
      </c>
    </row>
    <row r="707" spans="1:20" ht="25.5" x14ac:dyDescent="0.25">
      <c r="A707" s="219" t="s">
        <v>2314</v>
      </c>
      <c r="B707" s="227">
        <v>31</v>
      </c>
      <c r="C707" s="227" t="s">
        <v>2691</v>
      </c>
      <c r="D707" s="227" t="s">
        <v>2988</v>
      </c>
      <c r="E707" s="227" t="s">
        <v>3160</v>
      </c>
      <c r="F707" s="227" t="s">
        <v>2695</v>
      </c>
      <c r="G707" s="227" t="s">
        <v>2490</v>
      </c>
      <c r="H707" s="253" t="s">
        <v>3178</v>
      </c>
      <c r="I707" s="253" t="s">
        <v>2732</v>
      </c>
      <c r="J707" s="227" t="s">
        <v>2733</v>
      </c>
      <c r="K707" s="262" t="s">
        <v>3114</v>
      </c>
      <c r="L707" s="262" t="s">
        <v>2767</v>
      </c>
      <c r="M707" s="259" t="s">
        <v>2786</v>
      </c>
      <c r="N707" s="295"/>
      <c r="O707" s="295" t="str">
        <f>TablaPOA[[#This Row],[Cod_Sub_acción_especifica]]&amp;"_"&amp;TablaPOA[[#This Row],[Tipo de agente]]</f>
        <v>K31.2.18.2_Medios de transporte</v>
      </c>
      <c r="P707" s="254" t="s">
        <v>2918</v>
      </c>
      <c r="Q707" s="292" t="str">
        <f>TablaPOA[[#This Row],[Cod_Sub_acción_especifica]]&amp;"_"&amp;TablaPOA[[#This Row],[Cod_Tipo_agente]]</f>
        <v>K31.2.18.2_TA9</v>
      </c>
      <c r="R707" s="254" t="s">
        <v>2919</v>
      </c>
      <c r="S707" s="255" t="s">
        <v>2936</v>
      </c>
      <c r="T707" s="271" t="s">
        <v>2937</v>
      </c>
    </row>
    <row r="708" spans="1:20" ht="25.5" x14ac:dyDescent="0.25">
      <c r="A708" s="219" t="s">
        <v>2314</v>
      </c>
      <c r="B708" s="227">
        <v>31</v>
      </c>
      <c r="C708" s="227" t="s">
        <v>2691</v>
      </c>
      <c r="D708" s="227" t="s">
        <v>2988</v>
      </c>
      <c r="E708" s="227" t="s">
        <v>3160</v>
      </c>
      <c r="F708" s="227" t="s">
        <v>2695</v>
      </c>
      <c r="G708" s="227" t="s">
        <v>2490</v>
      </c>
      <c r="H708" s="253" t="s">
        <v>3178</v>
      </c>
      <c r="I708" s="253" t="s">
        <v>2732</v>
      </c>
      <c r="J708" s="227" t="s">
        <v>2733</v>
      </c>
      <c r="K708" s="262" t="s">
        <v>3114</v>
      </c>
      <c r="L708" s="262" t="s">
        <v>2767</v>
      </c>
      <c r="M708" s="259" t="s">
        <v>2786</v>
      </c>
      <c r="N708" s="295"/>
      <c r="O708" s="295" t="str">
        <f>TablaPOA[[#This Row],[Cod_Sub_acción_especifica]]&amp;"_"&amp;TablaPOA[[#This Row],[Tipo de agente]]</f>
        <v>K31.2.18.2_Medios de transporte</v>
      </c>
      <c r="P708" s="254" t="s">
        <v>2918</v>
      </c>
      <c r="Q708" s="292" t="str">
        <f>TablaPOA[[#This Row],[Cod_Sub_acción_especifica]]&amp;"_"&amp;TablaPOA[[#This Row],[Cod_Tipo_agente]]</f>
        <v>K31.2.18.2_TA9</v>
      </c>
      <c r="R708" s="254" t="s">
        <v>2919</v>
      </c>
      <c r="S708" s="255" t="s">
        <v>2938</v>
      </c>
      <c r="T708" s="271" t="s">
        <v>2939</v>
      </c>
    </row>
    <row r="709" spans="1:20" ht="25.5" x14ac:dyDescent="0.25">
      <c r="A709" s="219" t="s">
        <v>2314</v>
      </c>
      <c r="B709" s="227">
        <v>31</v>
      </c>
      <c r="C709" s="227" t="s">
        <v>2691</v>
      </c>
      <c r="D709" s="227" t="s">
        <v>2988</v>
      </c>
      <c r="E709" s="227" t="s">
        <v>3160</v>
      </c>
      <c r="F709" s="227" t="s">
        <v>2695</v>
      </c>
      <c r="G709" s="227" t="s">
        <v>2490</v>
      </c>
      <c r="H709" s="253" t="s">
        <v>3178</v>
      </c>
      <c r="I709" s="253" t="s">
        <v>2732</v>
      </c>
      <c r="J709" s="227" t="s">
        <v>2733</v>
      </c>
      <c r="K709" s="262" t="s">
        <v>3114</v>
      </c>
      <c r="L709" s="262" t="s">
        <v>2767</v>
      </c>
      <c r="M709" s="259" t="s">
        <v>2786</v>
      </c>
      <c r="N709" s="295"/>
      <c r="O709" s="295" t="str">
        <f>TablaPOA[[#This Row],[Cod_Sub_acción_especifica]]&amp;"_"&amp;TablaPOA[[#This Row],[Tipo de agente]]</f>
        <v>K31.2.18.2_Medios de transporte</v>
      </c>
      <c r="P709" s="254" t="s">
        <v>2918</v>
      </c>
      <c r="Q709" s="292" t="str">
        <f>TablaPOA[[#This Row],[Cod_Sub_acción_especifica]]&amp;"_"&amp;TablaPOA[[#This Row],[Cod_Tipo_agente]]</f>
        <v>K31.2.18.2_TA9</v>
      </c>
      <c r="R709" s="254" t="s">
        <v>2919</v>
      </c>
      <c r="S709" s="255" t="s">
        <v>2940</v>
      </c>
      <c r="T709" s="271" t="s">
        <v>2941</v>
      </c>
    </row>
    <row r="710" spans="1:20" ht="25.5" x14ac:dyDescent="0.25">
      <c r="A710" s="219" t="s">
        <v>2314</v>
      </c>
      <c r="B710" s="227">
        <v>31</v>
      </c>
      <c r="C710" s="227" t="s">
        <v>2691</v>
      </c>
      <c r="D710" s="227" t="s">
        <v>2988</v>
      </c>
      <c r="E710" s="227" t="s">
        <v>3160</v>
      </c>
      <c r="F710" s="227" t="s">
        <v>2695</v>
      </c>
      <c r="G710" s="227" t="s">
        <v>2490</v>
      </c>
      <c r="H710" s="253" t="s">
        <v>3178</v>
      </c>
      <c r="I710" s="253" t="s">
        <v>2732</v>
      </c>
      <c r="J710" s="227" t="s">
        <v>2733</v>
      </c>
      <c r="K710" s="262" t="s">
        <v>3114</v>
      </c>
      <c r="L710" s="262" t="s">
        <v>2767</v>
      </c>
      <c r="M710" s="259" t="s">
        <v>2786</v>
      </c>
      <c r="N710" s="295"/>
      <c r="O710" s="295" t="str">
        <f>TablaPOA[[#This Row],[Cod_Sub_acción_especifica]]&amp;"_"&amp;TablaPOA[[#This Row],[Tipo de agente]]</f>
        <v>K31.2.18.2_Medios de transporte</v>
      </c>
      <c r="P710" s="254" t="s">
        <v>2918</v>
      </c>
      <c r="Q710" s="292" t="str">
        <f>TablaPOA[[#This Row],[Cod_Sub_acción_especifica]]&amp;"_"&amp;TablaPOA[[#This Row],[Cod_Tipo_agente]]</f>
        <v>K31.2.18.2_TA9</v>
      </c>
      <c r="R710" s="254" t="s">
        <v>2919</v>
      </c>
      <c r="S710" s="255" t="s">
        <v>2942</v>
      </c>
      <c r="T710" s="271" t="s">
        <v>2943</v>
      </c>
    </row>
    <row r="711" spans="1:20" ht="25.5" x14ac:dyDescent="0.25">
      <c r="A711" s="219" t="s">
        <v>2314</v>
      </c>
      <c r="B711" s="227">
        <v>31</v>
      </c>
      <c r="C711" s="227" t="s">
        <v>2691</v>
      </c>
      <c r="D711" s="227" t="s">
        <v>2988</v>
      </c>
      <c r="E711" s="227" t="s">
        <v>3160</v>
      </c>
      <c r="F711" s="227" t="s">
        <v>2695</v>
      </c>
      <c r="G711" s="227" t="s">
        <v>2490</v>
      </c>
      <c r="H711" s="253" t="s">
        <v>3178</v>
      </c>
      <c r="I711" s="253" t="s">
        <v>2732</v>
      </c>
      <c r="J711" s="227" t="s">
        <v>2733</v>
      </c>
      <c r="K711" s="262" t="s">
        <v>3114</v>
      </c>
      <c r="L711" s="262" t="s">
        <v>2767</v>
      </c>
      <c r="M711" s="259" t="s">
        <v>2786</v>
      </c>
      <c r="N711" s="295"/>
      <c r="O711" s="295" t="str">
        <f>TablaPOA[[#This Row],[Cod_Sub_acción_especifica]]&amp;"_"&amp;TablaPOA[[#This Row],[Tipo de agente]]</f>
        <v>K31.2.18.2_Medios de transporte</v>
      </c>
      <c r="P711" s="254" t="s">
        <v>2918</v>
      </c>
      <c r="Q711" s="292" t="str">
        <f>TablaPOA[[#This Row],[Cod_Sub_acción_especifica]]&amp;"_"&amp;TablaPOA[[#This Row],[Cod_Tipo_agente]]</f>
        <v>K31.2.18.2_TA9</v>
      </c>
      <c r="R711" s="254" t="s">
        <v>2919</v>
      </c>
      <c r="S711" s="255" t="s">
        <v>2944</v>
      </c>
      <c r="T711" s="271" t="s">
        <v>2945</v>
      </c>
    </row>
    <row r="712" spans="1:20" ht="25.5" x14ac:dyDescent="0.25">
      <c r="A712" s="219" t="s">
        <v>2314</v>
      </c>
      <c r="B712" s="227">
        <v>31</v>
      </c>
      <c r="C712" s="227" t="s">
        <v>2691</v>
      </c>
      <c r="D712" s="227" t="s">
        <v>2988</v>
      </c>
      <c r="E712" s="227" t="s">
        <v>3160</v>
      </c>
      <c r="F712" s="227" t="s">
        <v>2695</v>
      </c>
      <c r="G712" s="227" t="s">
        <v>2490</v>
      </c>
      <c r="H712" s="253" t="s">
        <v>3178</v>
      </c>
      <c r="I712" s="253" t="s">
        <v>2732</v>
      </c>
      <c r="J712" s="227" t="s">
        <v>2733</v>
      </c>
      <c r="K712" s="262" t="s">
        <v>3114</v>
      </c>
      <c r="L712" s="262" t="s">
        <v>2767</v>
      </c>
      <c r="M712" s="259" t="s">
        <v>2786</v>
      </c>
      <c r="N712" s="295"/>
      <c r="O712" s="295" t="str">
        <f>TablaPOA[[#This Row],[Cod_Sub_acción_especifica]]&amp;"_"&amp;TablaPOA[[#This Row],[Tipo de agente]]</f>
        <v>K31.2.18.2_Medios de transporte</v>
      </c>
      <c r="P712" s="254" t="s">
        <v>2918</v>
      </c>
      <c r="Q712" s="292" t="str">
        <f>TablaPOA[[#This Row],[Cod_Sub_acción_especifica]]&amp;"_"&amp;TablaPOA[[#This Row],[Cod_Tipo_agente]]</f>
        <v>K31.2.18.2_TA9</v>
      </c>
      <c r="R712" s="254" t="s">
        <v>2919</v>
      </c>
      <c r="S712" s="255" t="s">
        <v>2946</v>
      </c>
      <c r="T712" s="271" t="s">
        <v>2947</v>
      </c>
    </row>
    <row r="713" spans="1:20" ht="25.5" x14ac:dyDescent="0.25">
      <c r="A713" s="219" t="s">
        <v>2314</v>
      </c>
      <c r="B713" s="227">
        <v>31</v>
      </c>
      <c r="C713" s="227" t="s">
        <v>2691</v>
      </c>
      <c r="D713" s="227" t="s">
        <v>2988</v>
      </c>
      <c r="E713" s="227" t="s">
        <v>3160</v>
      </c>
      <c r="F713" s="227" t="s">
        <v>2695</v>
      </c>
      <c r="G713" s="227" t="s">
        <v>2490</v>
      </c>
      <c r="H713" s="253" t="s">
        <v>3178</v>
      </c>
      <c r="I713" s="253" t="s">
        <v>2732</v>
      </c>
      <c r="J713" s="227" t="s">
        <v>2733</v>
      </c>
      <c r="K713" s="262" t="s">
        <v>3114</v>
      </c>
      <c r="L713" s="262" t="s">
        <v>2767</v>
      </c>
      <c r="M713" s="259" t="s">
        <v>2786</v>
      </c>
      <c r="N713" s="295"/>
      <c r="O713" s="295" t="str">
        <f>TablaPOA[[#This Row],[Cod_Sub_acción_especifica]]&amp;"_"&amp;TablaPOA[[#This Row],[Tipo de agente]]</f>
        <v>K31.2.18.2_Medios de transporte</v>
      </c>
      <c r="P713" s="254" t="s">
        <v>2918</v>
      </c>
      <c r="Q713" s="292" t="str">
        <f>TablaPOA[[#This Row],[Cod_Sub_acción_especifica]]&amp;"_"&amp;TablaPOA[[#This Row],[Cod_Tipo_agente]]</f>
        <v>K31.2.18.2_TA9</v>
      </c>
      <c r="R713" s="254" t="s">
        <v>2919</v>
      </c>
      <c r="S713" s="255" t="s">
        <v>2948</v>
      </c>
      <c r="T713" s="271" t="s">
        <v>2949</v>
      </c>
    </row>
    <row r="714" spans="1:20" ht="25.5" x14ac:dyDescent="0.25">
      <c r="A714" s="219" t="s">
        <v>2314</v>
      </c>
      <c r="B714" s="227">
        <v>31</v>
      </c>
      <c r="C714" s="227" t="s">
        <v>2691</v>
      </c>
      <c r="D714" s="227" t="s">
        <v>2988</v>
      </c>
      <c r="E714" s="227" t="s">
        <v>3160</v>
      </c>
      <c r="F714" s="227" t="s">
        <v>2695</v>
      </c>
      <c r="G714" s="227" t="s">
        <v>2490</v>
      </c>
      <c r="H714" s="253" t="s">
        <v>3178</v>
      </c>
      <c r="I714" s="253" t="s">
        <v>2732</v>
      </c>
      <c r="J714" s="227" t="s">
        <v>2733</v>
      </c>
      <c r="K714" s="262" t="s">
        <v>3114</v>
      </c>
      <c r="L714" s="262" t="s">
        <v>2767</v>
      </c>
      <c r="M714" s="259" t="s">
        <v>2786</v>
      </c>
      <c r="N714" s="295"/>
      <c r="O714" s="295" t="str">
        <f>TablaPOA[[#This Row],[Cod_Sub_acción_especifica]]&amp;"_"&amp;TablaPOA[[#This Row],[Tipo de agente]]</f>
        <v>K31.2.18.2_Plantas de abastecimiento y despacho</v>
      </c>
      <c r="P714" s="254" t="s">
        <v>2950</v>
      </c>
      <c r="Q714" s="292" t="str">
        <f>TablaPOA[[#This Row],[Cod_Sub_acción_especifica]]&amp;"_"&amp;TablaPOA[[#This Row],[Cod_Tipo_agente]]</f>
        <v>K31.2.18.2_TA10</v>
      </c>
      <c r="R714" s="254" t="s">
        <v>2951</v>
      </c>
      <c r="S714" s="255" t="s">
        <v>2952</v>
      </c>
      <c r="T714" s="271" t="s">
        <v>2953</v>
      </c>
    </row>
    <row r="715" spans="1:20" ht="25.5" x14ac:dyDescent="0.25">
      <c r="A715" s="219" t="s">
        <v>2314</v>
      </c>
      <c r="B715" s="227">
        <v>31</v>
      </c>
      <c r="C715" s="227" t="s">
        <v>2691</v>
      </c>
      <c r="D715" s="227" t="s">
        <v>2988</v>
      </c>
      <c r="E715" s="227" t="s">
        <v>3160</v>
      </c>
      <c r="F715" s="227" t="s">
        <v>2695</v>
      </c>
      <c r="G715" s="227" t="s">
        <v>2490</v>
      </c>
      <c r="H715" s="253" t="s">
        <v>3178</v>
      </c>
      <c r="I715" s="253" t="s">
        <v>2732</v>
      </c>
      <c r="J715" s="227" t="s">
        <v>2733</v>
      </c>
      <c r="K715" s="262" t="s">
        <v>3114</v>
      </c>
      <c r="L715" s="262" t="s">
        <v>2767</v>
      </c>
      <c r="M715" s="259" t="s">
        <v>2786</v>
      </c>
      <c r="N715" s="295"/>
      <c r="O715" s="295" t="str">
        <f>TablaPOA[[#This Row],[Cod_Sub_acción_especifica]]&amp;"_"&amp;TablaPOA[[#This Row],[Tipo de agente]]</f>
        <v>K31.2.18.2_Plantas de abastecimiento y despacho</v>
      </c>
      <c r="P715" s="254" t="s">
        <v>2950</v>
      </c>
      <c r="Q715" s="292" t="str">
        <f>TablaPOA[[#This Row],[Cod_Sub_acción_especifica]]&amp;"_"&amp;TablaPOA[[#This Row],[Cod_Tipo_agente]]</f>
        <v>K31.2.18.2_TA10</v>
      </c>
      <c r="R715" s="254" t="s">
        <v>2951</v>
      </c>
      <c r="S715" s="255" t="s">
        <v>2954</v>
      </c>
      <c r="T715" s="271" t="s">
        <v>2955</v>
      </c>
    </row>
    <row r="716" spans="1:20" ht="25.5" x14ac:dyDescent="0.25">
      <c r="A716" s="219" t="s">
        <v>2314</v>
      </c>
      <c r="B716" s="227">
        <v>31</v>
      </c>
      <c r="C716" s="227" t="s">
        <v>2691</v>
      </c>
      <c r="D716" s="227" t="s">
        <v>2988</v>
      </c>
      <c r="E716" s="227" t="s">
        <v>3160</v>
      </c>
      <c r="F716" s="227" t="s">
        <v>2695</v>
      </c>
      <c r="G716" s="227" t="s">
        <v>2490</v>
      </c>
      <c r="H716" s="253" t="s">
        <v>3178</v>
      </c>
      <c r="I716" s="253" t="s">
        <v>2732</v>
      </c>
      <c r="J716" s="227" t="s">
        <v>2733</v>
      </c>
      <c r="K716" s="262" t="s">
        <v>3114</v>
      </c>
      <c r="L716" s="262" t="s">
        <v>2767</v>
      </c>
      <c r="M716" s="259" t="s">
        <v>2786</v>
      </c>
      <c r="N716" s="295"/>
      <c r="O716" s="295" t="str">
        <f>TablaPOA[[#This Row],[Cod_Sub_acción_especifica]]&amp;"_"&amp;TablaPOA[[#This Row],[Tipo de agente]]</f>
        <v>K31.2.18.2_Plantas de abastecimiento y despacho</v>
      </c>
      <c r="P716" s="254" t="s">
        <v>2950</v>
      </c>
      <c r="Q716" s="292" t="str">
        <f>TablaPOA[[#This Row],[Cod_Sub_acción_especifica]]&amp;"_"&amp;TablaPOA[[#This Row],[Cod_Tipo_agente]]</f>
        <v>K31.2.18.2_TA10</v>
      </c>
      <c r="R716" s="254" t="s">
        <v>2951</v>
      </c>
      <c r="S716" s="255" t="s">
        <v>2956</v>
      </c>
      <c r="T716" s="271" t="s">
        <v>2957</v>
      </c>
    </row>
    <row r="717" spans="1:20" ht="25.5" x14ac:dyDescent="0.25">
      <c r="A717" s="219" t="s">
        <v>2314</v>
      </c>
      <c r="B717" s="227">
        <v>31</v>
      </c>
      <c r="C717" s="227" t="s">
        <v>2691</v>
      </c>
      <c r="D717" s="227" t="s">
        <v>2988</v>
      </c>
      <c r="E717" s="227" t="s">
        <v>3160</v>
      </c>
      <c r="F717" s="227" t="s">
        <v>2695</v>
      </c>
      <c r="G717" s="227" t="s">
        <v>2490</v>
      </c>
      <c r="H717" s="253" t="s">
        <v>3178</v>
      </c>
      <c r="I717" s="253" t="s">
        <v>2732</v>
      </c>
      <c r="J717" s="227" t="s">
        <v>2733</v>
      </c>
      <c r="K717" s="262" t="s">
        <v>3114</v>
      </c>
      <c r="L717" s="262" t="s">
        <v>2767</v>
      </c>
      <c r="M717" s="259" t="s">
        <v>2786</v>
      </c>
      <c r="N717" s="295"/>
      <c r="O717" s="295" t="str">
        <f>TablaPOA[[#This Row],[Cod_Sub_acción_especifica]]&amp;"_"&amp;TablaPOA[[#This Row],[Tipo de agente]]</f>
        <v>K31.2.18.2_Plantas de abastecimiento y despacho</v>
      </c>
      <c r="P717" s="254" t="s">
        <v>2950</v>
      </c>
      <c r="Q717" s="292" t="str">
        <f>TablaPOA[[#This Row],[Cod_Sub_acción_especifica]]&amp;"_"&amp;TablaPOA[[#This Row],[Cod_Tipo_agente]]</f>
        <v>K31.2.18.2_TA10</v>
      </c>
      <c r="R717" s="254" t="s">
        <v>2951</v>
      </c>
      <c r="S717" s="255" t="s">
        <v>2958</v>
      </c>
      <c r="T717" s="271" t="s">
        <v>2959</v>
      </c>
    </row>
    <row r="718" spans="1:20" ht="25.5" x14ac:dyDescent="0.25">
      <c r="A718" s="219" t="s">
        <v>2314</v>
      </c>
      <c r="B718" s="227">
        <v>31</v>
      </c>
      <c r="C718" s="227" t="s">
        <v>2691</v>
      </c>
      <c r="D718" s="227" t="s">
        <v>2988</v>
      </c>
      <c r="E718" s="227" t="s">
        <v>3160</v>
      </c>
      <c r="F718" s="227" t="s">
        <v>2695</v>
      </c>
      <c r="G718" s="227" t="s">
        <v>2490</v>
      </c>
      <c r="H718" s="253" t="s">
        <v>3178</v>
      </c>
      <c r="I718" s="253" t="s">
        <v>2732</v>
      </c>
      <c r="J718" s="227" t="s">
        <v>2733</v>
      </c>
      <c r="K718" s="262" t="s">
        <v>3114</v>
      </c>
      <c r="L718" s="262" t="s">
        <v>2767</v>
      </c>
      <c r="M718" s="259" t="s">
        <v>2786</v>
      </c>
      <c r="N718" s="295"/>
      <c r="O718" s="295" t="str">
        <f>TablaPOA[[#This Row],[Cod_Sub_acción_especifica]]&amp;"_"&amp;TablaPOA[[#This Row],[Tipo de agente]]</f>
        <v>K31.2.18.2_Plantas de abastecimiento y despacho</v>
      </c>
      <c r="P718" s="254" t="s">
        <v>2950</v>
      </c>
      <c r="Q718" s="292" t="str">
        <f>TablaPOA[[#This Row],[Cod_Sub_acción_especifica]]&amp;"_"&amp;TablaPOA[[#This Row],[Cod_Tipo_agente]]</f>
        <v>K31.2.18.2_TA10</v>
      </c>
      <c r="R718" s="254" t="s">
        <v>2951</v>
      </c>
      <c r="S718" s="255" t="s">
        <v>2960</v>
      </c>
      <c r="T718" s="271" t="s">
        <v>2961</v>
      </c>
    </row>
    <row r="719" spans="1:20" ht="38.25" x14ac:dyDescent="0.25">
      <c r="A719" s="219" t="s">
        <v>2314</v>
      </c>
      <c r="B719" s="227">
        <v>31</v>
      </c>
      <c r="C719" s="227" t="s">
        <v>2691</v>
      </c>
      <c r="D719" s="227" t="s">
        <v>2988</v>
      </c>
      <c r="E719" s="227" t="s">
        <v>3160</v>
      </c>
      <c r="F719" s="227" t="s">
        <v>2695</v>
      </c>
      <c r="G719" s="227" t="s">
        <v>2490</v>
      </c>
      <c r="H719" s="253" t="s">
        <v>3178</v>
      </c>
      <c r="I719" s="253" t="s">
        <v>2732</v>
      </c>
      <c r="J719" s="227" t="s">
        <v>2733</v>
      </c>
      <c r="K719" s="262" t="s">
        <v>3114</v>
      </c>
      <c r="L719" s="262" t="s">
        <v>2767</v>
      </c>
      <c r="M719" s="259" t="s">
        <v>2786</v>
      </c>
      <c r="N719" s="295"/>
      <c r="O719" s="295" t="str">
        <f>TablaPOA[[#This Row],[Cod_Sub_acción_especifica]]&amp;"_"&amp;TablaPOA[[#This Row],[Tipo de agente]]</f>
        <v>K31.2.18.2_Instalaciones de compresión, transferencia y descompresión de gas natural</v>
      </c>
      <c r="P719" s="254" t="s">
        <v>2902</v>
      </c>
      <c r="Q719" s="292" t="str">
        <f>TablaPOA[[#This Row],[Cod_Sub_acción_especifica]]&amp;"_"&amp;TablaPOA[[#This Row],[Cod_Tipo_agente]]</f>
        <v>K31.2.18.2_TA7</v>
      </c>
      <c r="R719" s="254" t="s">
        <v>2903</v>
      </c>
      <c r="S719" s="260">
        <v>607</v>
      </c>
      <c r="T719" s="275" t="s">
        <v>2905</v>
      </c>
    </row>
    <row r="720" spans="1:20" ht="38.25" x14ac:dyDescent="0.25">
      <c r="A720" s="219" t="s">
        <v>2314</v>
      </c>
      <c r="B720" s="227">
        <v>31</v>
      </c>
      <c r="C720" s="227" t="s">
        <v>2691</v>
      </c>
      <c r="D720" s="227" t="s">
        <v>2988</v>
      </c>
      <c r="E720" s="227" t="s">
        <v>3160</v>
      </c>
      <c r="F720" s="227" t="s">
        <v>2695</v>
      </c>
      <c r="G720" s="227" t="s">
        <v>2490</v>
      </c>
      <c r="H720" s="253" t="s">
        <v>3178</v>
      </c>
      <c r="I720" s="253" t="s">
        <v>2732</v>
      </c>
      <c r="J720" s="227" t="s">
        <v>2733</v>
      </c>
      <c r="K720" s="262" t="s">
        <v>3114</v>
      </c>
      <c r="L720" s="262" t="s">
        <v>2767</v>
      </c>
      <c r="M720" s="259" t="s">
        <v>2786</v>
      </c>
      <c r="N720" s="295"/>
      <c r="O720" s="295" t="str">
        <f>TablaPOA[[#This Row],[Cod_Sub_acción_especifica]]&amp;"_"&amp;TablaPOA[[#This Row],[Tipo de agente]]</f>
        <v>K31.2.18.2_Instalaciones de compresión, transferencia y descompresión de gas natural</v>
      </c>
      <c r="P720" s="254" t="s">
        <v>2902</v>
      </c>
      <c r="Q720" s="292" t="str">
        <f>TablaPOA[[#This Row],[Cod_Sub_acción_especifica]]&amp;"_"&amp;TablaPOA[[#This Row],[Cod_Tipo_agente]]</f>
        <v>K31.2.18.2_TA7</v>
      </c>
      <c r="R720" s="254" t="s">
        <v>2903</v>
      </c>
      <c r="S720" s="260" t="s">
        <v>2906</v>
      </c>
      <c r="T720" s="275" t="s">
        <v>2907</v>
      </c>
    </row>
    <row r="721" spans="1:20" ht="38.25" x14ac:dyDescent="0.25">
      <c r="A721" s="219" t="s">
        <v>2314</v>
      </c>
      <c r="B721" s="227">
        <v>31</v>
      </c>
      <c r="C721" s="227" t="s">
        <v>2691</v>
      </c>
      <c r="D721" s="227" t="s">
        <v>2988</v>
      </c>
      <c r="E721" s="227" t="s">
        <v>3160</v>
      </c>
      <c r="F721" s="227" t="s">
        <v>2695</v>
      </c>
      <c r="G721" s="227" t="s">
        <v>2490</v>
      </c>
      <c r="H721" s="253" t="s">
        <v>3178</v>
      </c>
      <c r="I721" s="253" t="s">
        <v>2732</v>
      </c>
      <c r="J721" s="227" t="s">
        <v>2733</v>
      </c>
      <c r="K721" s="262" t="s">
        <v>3114</v>
      </c>
      <c r="L721" s="262" t="s">
        <v>2767</v>
      </c>
      <c r="M721" s="259" t="s">
        <v>2786</v>
      </c>
      <c r="N721" s="295"/>
      <c r="O721" s="295" t="str">
        <f>TablaPOA[[#This Row],[Cod_Sub_acción_especifica]]&amp;"_"&amp;TablaPOA[[#This Row],[Tipo de agente]]</f>
        <v>K31.2.18.2_Instalaciones de compresión, transferencia y descompresión de gas natural</v>
      </c>
      <c r="P721" s="254" t="s">
        <v>2902</v>
      </c>
      <c r="Q721" s="292" t="str">
        <f>TablaPOA[[#This Row],[Cod_Sub_acción_especifica]]&amp;"_"&amp;TablaPOA[[#This Row],[Cod_Tipo_agente]]</f>
        <v>K31.2.18.2_TA7</v>
      </c>
      <c r="R721" s="254" t="s">
        <v>2903</v>
      </c>
      <c r="S721" s="260" t="s">
        <v>2908</v>
      </c>
      <c r="T721" s="275" t="s">
        <v>2909</v>
      </c>
    </row>
    <row r="722" spans="1:20" ht="38.25" x14ac:dyDescent="0.25">
      <c r="A722" s="219" t="s">
        <v>2314</v>
      </c>
      <c r="B722" s="227">
        <v>31</v>
      </c>
      <c r="C722" s="227" t="s">
        <v>2691</v>
      </c>
      <c r="D722" s="227" t="s">
        <v>2988</v>
      </c>
      <c r="E722" s="227" t="s">
        <v>3160</v>
      </c>
      <c r="F722" s="227" t="s">
        <v>2695</v>
      </c>
      <c r="G722" s="227" t="s">
        <v>2490</v>
      </c>
      <c r="H722" s="253" t="s">
        <v>3178</v>
      </c>
      <c r="I722" s="253" t="s">
        <v>2732</v>
      </c>
      <c r="J722" s="227" t="s">
        <v>2733</v>
      </c>
      <c r="K722" s="262" t="s">
        <v>3114</v>
      </c>
      <c r="L722" s="262" t="s">
        <v>2767</v>
      </c>
      <c r="M722" s="259" t="s">
        <v>2786</v>
      </c>
      <c r="N722" s="295"/>
      <c r="O722" s="295" t="str">
        <f>TablaPOA[[#This Row],[Cod_Sub_acción_especifica]]&amp;"_"&amp;TablaPOA[[#This Row],[Tipo de agente]]</f>
        <v>K31.2.18.2_Instalaciones de compresión, transferencia y descompresión de gas natural</v>
      </c>
      <c r="P722" s="254" t="s">
        <v>2902</v>
      </c>
      <c r="Q722" s="292" t="str">
        <f>TablaPOA[[#This Row],[Cod_Sub_acción_especifica]]&amp;"_"&amp;TablaPOA[[#This Row],[Cod_Tipo_agente]]</f>
        <v>K31.2.18.2_TA7</v>
      </c>
      <c r="R722" s="254" t="s">
        <v>2903</v>
      </c>
      <c r="S722" s="260" t="s">
        <v>2910</v>
      </c>
      <c r="T722" s="275" t="s">
        <v>2911</v>
      </c>
    </row>
    <row r="723" spans="1:20" ht="25.5" x14ac:dyDescent="0.25">
      <c r="A723" s="219" t="s">
        <v>2314</v>
      </c>
      <c r="B723" s="227">
        <v>31</v>
      </c>
      <c r="C723" s="227" t="s">
        <v>2691</v>
      </c>
      <c r="D723" s="227" t="s">
        <v>2988</v>
      </c>
      <c r="E723" s="227" t="s">
        <v>3160</v>
      </c>
      <c r="F723" s="227" t="s">
        <v>2695</v>
      </c>
      <c r="G723" s="227" t="s">
        <v>2490</v>
      </c>
      <c r="H723" s="253" t="s">
        <v>3178</v>
      </c>
      <c r="I723" s="253" t="s">
        <v>2732</v>
      </c>
      <c r="J723" s="227" t="s">
        <v>2733</v>
      </c>
      <c r="K723" s="262" t="s">
        <v>3114</v>
      </c>
      <c r="L723" s="262" t="s">
        <v>2767</v>
      </c>
      <c r="M723" s="259" t="s">
        <v>2786</v>
      </c>
      <c r="N723" s="295"/>
      <c r="O723" s="295" t="str">
        <f>TablaPOA[[#This Row],[Cod_Sub_acción_especifica]]&amp;"_"&amp;TablaPOA[[#This Row],[Tipo de agente]]</f>
        <v>K31.2.18.2_Productores y Plantas de procesamiento</v>
      </c>
      <c r="P723" s="254" t="s">
        <v>2962</v>
      </c>
      <c r="Q723" s="292" t="str">
        <f>TablaPOA[[#This Row],[Cod_Sub_acción_especifica]]&amp;"_"&amp;TablaPOA[[#This Row],[Cod_Tipo_agente]]</f>
        <v>K31.2.18.2_TA11</v>
      </c>
      <c r="R723" s="254" t="s">
        <v>2963</v>
      </c>
      <c r="S723" s="255" t="s">
        <v>2964</v>
      </c>
      <c r="T723" s="271" t="s">
        <v>2965</v>
      </c>
    </row>
    <row r="724" spans="1:20" ht="25.5" x14ac:dyDescent="0.25">
      <c r="A724" s="219" t="s">
        <v>2314</v>
      </c>
      <c r="B724" s="227">
        <v>31</v>
      </c>
      <c r="C724" s="227" t="s">
        <v>2691</v>
      </c>
      <c r="D724" s="227" t="s">
        <v>2988</v>
      </c>
      <c r="E724" s="227" t="s">
        <v>3160</v>
      </c>
      <c r="F724" s="227" t="s">
        <v>2695</v>
      </c>
      <c r="G724" s="227" t="s">
        <v>2490</v>
      </c>
      <c r="H724" s="253" t="s">
        <v>3178</v>
      </c>
      <c r="I724" s="253" t="s">
        <v>2732</v>
      </c>
      <c r="J724" s="227" t="s">
        <v>2733</v>
      </c>
      <c r="K724" s="262" t="s">
        <v>3114</v>
      </c>
      <c r="L724" s="262" t="s">
        <v>2767</v>
      </c>
      <c r="M724" s="259" t="s">
        <v>2786</v>
      </c>
      <c r="N724" s="295"/>
      <c r="O724" s="295" t="str">
        <f>TablaPOA[[#This Row],[Cod_Sub_acción_especifica]]&amp;"_"&amp;TablaPOA[[#This Row],[Tipo de agente]]</f>
        <v>K31.2.18.2_Productores y Plantas de procesamiento</v>
      </c>
      <c r="P724" s="254" t="s">
        <v>2962</v>
      </c>
      <c r="Q724" s="292" t="str">
        <f>TablaPOA[[#This Row],[Cod_Sub_acción_especifica]]&amp;"_"&amp;TablaPOA[[#This Row],[Cod_Tipo_agente]]</f>
        <v>K31.2.18.2_TA11</v>
      </c>
      <c r="R724" s="254" t="s">
        <v>2963</v>
      </c>
      <c r="S724" s="255" t="s">
        <v>2966</v>
      </c>
      <c r="T724" s="271" t="s">
        <v>2967</v>
      </c>
    </row>
    <row r="725" spans="1:20" ht="25.5" x14ac:dyDescent="0.25">
      <c r="A725" s="219" t="s">
        <v>2314</v>
      </c>
      <c r="B725" s="227">
        <v>31</v>
      </c>
      <c r="C725" s="227" t="s">
        <v>2691</v>
      </c>
      <c r="D725" s="227" t="s">
        <v>2988</v>
      </c>
      <c r="E725" s="227" t="s">
        <v>3160</v>
      </c>
      <c r="F725" s="227" t="s">
        <v>2695</v>
      </c>
      <c r="G725" s="227" t="s">
        <v>2490</v>
      </c>
      <c r="H725" s="253" t="s">
        <v>3178</v>
      </c>
      <c r="I725" s="253" t="s">
        <v>2732</v>
      </c>
      <c r="J725" s="227" t="s">
        <v>2733</v>
      </c>
      <c r="K725" s="262" t="s">
        <v>3114</v>
      </c>
      <c r="L725" s="262" t="s">
        <v>2767</v>
      </c>
      <c r="M725" s="259" t="s">
        <v>2786</v>
      </c>
      <c r="N725" s="295"/>
      <c r="O725" s="295" t="str">
        <f>TablaPOA[[#This Row],[Cod_Sub_acción_especifica]]&amp;"_"&amp;TablaPOA[[#This Row],[Tipo de agente]]</f>
        <v>K31.2.18.2_Productores y Plantas de procesamiento</v>
      </c>
      <c r="P725" s="254" t="s">
        <v>2962</v>
      </c>
      <c r="Q725" s="292" t="str">
        <f>TablaPOA[[#This Row],[Cod_Sub_acción_especifica]]&amp;"_"&amp;TablaPOA[[#This Row],[Cod_Tipo_agente]]</f>
        <v>K31.2.18.2_TA11</v>
      </c>
      <c r="R725" s="254" t="s">
        <v>2963</v>
      </c>
      <c r="S725" s="255" t="s">
        <v>2968</v>
      </c>
      <c r="T725" s="271" t="s">
        <v>2969</v>
      </c>
    </row>
    <row r="726" spans="1:20" ht="25.5" x14ac:dyDescent="0.25">
      <c r="A726" s="219" t="s">
        <v>2314</v>
      </c>
      <c r="B726" s="227">
        <v>31</v>
      </c>
      <c r="C726" s="227" t="s">
        <v>2691</v>
      </c>
      <c r="D726" s="227" t="s">
        <v>2988</v>
      </c>
      <c r="E726" s="227" t="s">
        <v>3160</v>
      </c>
      <c r="F726" s="227" t="s">
        <v>2695</v>
      </c>
      <c r="G726" s="227" t="s">
        <v>2490</v>
      </c>
      <c r="H726" s="253" t="s">
        <v>3178</v>
      </c>
      <c r="I726" s="253" t="s">
        <v>2732</v>
      </c>
      <c r="J726" s="227" t="s">
        <v>2733</v>
      </c>
      <c r="K726" s="262" t="s">
        <v>3114</v>
      </c>
      <c r="L726" s="262" t="s">
        <v>2767</v>
      </c>
      <c r="M726" s="259" t="s">
        <v>2786</v>
      </c>
      <c r="N726" s="295"/>
      <c r="O726" s="295" t="str">
        <f>TablaPOA[[#This Row],[Cod_Sub_acción_especifica]]&amp;"_"&amp;TablaPOA[[#This Row],[Tipo de agente]]</f>
        <v>K31.2.18.2_Productores y Plantas de procesamiento</v>
      </c>
      <c r="P726" s="254" t="s">
        <v>2962</v>
      </c>
      <c r="Q726" s="292" t="str">
        <f>TablaPOA[[#This Row],[Cod_Sub_acción_especifica]]&amp;"_"&amp;TablaPOA[[#This Row],[Cod_Tipo_agente]]</f>
        <v>K31.2.18.2_TA11</v>
      </c>
      <c r="R726" s="254" t="s">
        <v>2963</v>
      </c>
      <c r="S726" s="255" t="s">
        <v>2970</v>
      </c>
      <c r="T726" s="271" t="s">
        <v>2971</v>
      </c>
    </row>
    <row r="727" spans="1:20" ht="25.5" x14ac:dyDescent="0.25">
      <c r="A727" s="219" t="s">
        <v>2314</v>
      </c>
      <c r="B727" s="227">
        <v>31</v>
      </c>
      <c r="C727" s="227" t="s">
        <v>2691</v>
      </c>
      <c r="D727" s="227" t="s">
        <v>2988</v>
      </c>
      <c r="E727" s="227" t="s">
        <v>3160</v>
      </c>
      <c r="F727" s="227" t="s">
        <v>2695</v>
      </c>
      <c r="G727" s="227" t="s">
        <v>2490</v>
      </c>
      <c r="H727" s="253" t="s">
        <v>3178</v>
      </c>
      <c r="I727" s="253" t="s">
        <v>2732</v>
      </c>
      <c r="J727" s="227" t="s">
        <v>2733</v>
      </c>
      <c r="K727" s="262" t="s">
        <v>3114</v>
      </c>
      <c r="L727" s="262" t="s">
        <v>2767</v>
      </c>
      <c r="M727" s="259" t="s">
        <v>2786</v>
      </c>
      <c r="N727" s="295"/>
      <c r="O727" s="295" t="str">
        <f>TablaPOA[[#This Row],[Cod_Sub_acción_especifica]]&amp;"_"&amp;TablaPOA[[#This Row],[Tipo de agente]]</f>
        <v>K31.2.18.2_Productores y Plantas de procesamiento</v>
      </c>
      <c r="P727" s="254" t="s">
        <v>2962</v>
      </c>
      <c r="Q727" s="292" t="str">
        <f>TablaPOA[[#This Row],[Cod_Sub_acción_especifica]]&amp;"_"&amp;TablaPOA[[#This Row],[Cod_Tipo_agente]]</f>
        <v>K31.2.18.2_TA11</v>
      </c>
      <c r="R727" s="254" t="s">
        <v>2963</v>
      </c>
      <c r="S727" s="255" t="s">
        <v>2972</v>
      </c>
      <c r="T727" s="271" t="s">
        <v>2973</v>
      </c>
    </row>
    <row r="728" spans="1:20" ht="25.5" x14ac:dyDescent="0.25">
      <c r="A728" s="219" t="s">
        <v>2314</v>
      </c>
      <c r="B728" s="227">
        <v>31</v>
      </c>
      <c r="C728" s="227" t="s">
        <v>2691</v>
      </c>
      <c r="D728" s="227" t="s">
        <v>2988</v>
      </c>
      <c r="E728" s="227" t="s">
        <v>3160</v>
      </c>
      <c r="F728" s="227" t="s">
        <v>2695</v>
      </c>
      <c r="G728" s="227" t="s">
        <v>2490</v>
      </c>
      <c r="H728" s="253" t="s">
        <v>3178</v>
      </c>
      <c r="I728" s="253" t="s">
        <v>2732</v>
      </c>
      <c r="J728" s="227" t="s">
        <v>2733</v>
      </c>
      <c r="K728" s="262" t="s">
        <v>3114</v>
      </c>
      <c r="L728" s="262" t="s">
        <v>2767</v>
      </c>
      <c r="M728" s="259" t="s">
        <v>2786</v>
      </c>
      <c r="N728" s="295"/>
      <c r="O728" s="295" t="str">
        <f>TablaPOA[[#This Row],[Cod_Sub_acción_especifica]]&amp;"_"&amp;TablaPOA[[#This Row],[Tipo de agente]]</f>
        <v>K31.2.18.2_Productores y Plantas de procesamiento</v>
      </c>
      <c r="P728" s="254" t="s">
        <v>2962</v>
      </c>
      <c r="Q728" s="292" t="str">
        <f>TablaPOA[[#This Row],[Cod_Sub_acción_especifica]]&amp;"_"&amp;TablaPOA[[#This Row],[Cod_Tipo_agente]]</f>
        <v>K31.2.18.2_TA11</v>
      </c>
      <c r="R728" s="254" t="s">
        <v>2963</v>
      </c>
      <c r="S728" s="255" t="s">
        <v>2974</v>
      </c>
      <c r="T728" s="271" t="s">
        <v>2975</v>
      </c>
    </row>
    <row r="729" spans="1:20" ht="25.5" x14ac:dyDescent="0.25">
      <c r="A729" s="219" t="s">
        <v>2314</v>
      </c>
      <c r="B729" s="227">
        <v>31</v>
      </c>
      <c r="C729" s="227" t="s">
        <v>2691</v>
      </c>
      <c r="D729" s="227" t="s">
        <v>2988</v>
      </c>
      <c r="E729" s="227" t="s">
        <v>3160</v>
      </c>
      <c r="F729" s="227" t="s">
        <v>2695</v>
      </c>
      <c r="G729" s="227" t="s">
        <v>2490</v>
      </c>
      <c r="H729" s="253" t="s">
        <v>3178</v>
      </c>
      <c r="I729" s="253" t="s">
        <v>2732</v>
      </c>
      <c r="J729" s="227" t="s">
        <v>2733</v>
      </c>
      <c r="K729" s="262" t="s">
        <v>3114</v>
      </c>
      <c r="L729" s="262" t="s">
        <v>2767</v>
      </c>
      <c r="M729" s="259" t="s">
        <v>2786</v>
      </c>
      <c r="N729" s="295"/>
      <c r="O729" s="295" t="str">
        <f>TablaPOA[[#This Row],[Cod_Sub_acción_especifica]]&amp;"_"&amp;TablaPOA[[#This Row],[Tipo de agente]]</f>
        <v>K31.2.18.2_Productores y Plantas de procesamiento</v>
      </c>
      <c r="P729" s="254" t="s">
        <v>2962</v>
      </c>
      <c r="Q729" s="292" t="str">
        <f>TablaPOA[[#This Row],[Cod_Sub_acción_especifica]]&amp;"_"&amp;TablaPOA[[#This Row],[Cod_Tipo_agente]]</f>
        <v>K31.2.18.2_TA11</v>
      </c>
      <c r="R729" s="254" t="s">
        <v>2963</v>
      </c>
      <c r="S729" s="255" t="s">
        <v>2976</v>
      </c>
      <c r="T729" s="271" t="s">
        <v>2977</v>
      </c>
    </row>
    <row r="730" spans="1:20" ht="25.5" x14ac:dyDescent="0.25">
      <c r="A730" s="268" t="s">
        <v>2314</v>
      </c>
      <c r="B730" s="248">
        <v>31</v>
      </c>
      <c r="C730" s="248" t="s">
        <v>2691</v>
      </c>
      <c r="D730" s="248" t="s">
        <v>2988</v>
      </c>
      <c r="E730" s="248" t="s">
        <v>3160</v>
      </c>
      <c r="F730" s="248" t="s">
        <v>2695</v>
      </c>
      <c r="G730" s="248" t="s">
        <v>2490</v>
      </c>
      <c r="H730" s="249" t="s">
        <v>3178</v>
      </c>
      <c r="I730" s="249" t="s">
        <v>2732</v>
      </c>
      <c r="J730" s="248" t="s">
        <v>2733</v>
      </c>
      <c r="K730" s="249" t="s">
        <v>3115</v>
      </c>
      <c r="L730" s="249" t="s">
        <v>2787</v>
      </c>
      <c r="M730" s="248" t="s">
        <v>2787</v>
      </c>
      <c r="N730" s="300" t="s">
        <v>2979</v>
      </c>
      <c r="O730" s="152" t="str">
        <f>TablaPOA[[#This Row],[Cod_Sub_acción_especifica]]&amp;"_"&amp;TablaPOA[[#This Row],[Tipo de agente]]</f>
        <v>K31.2.18.3_Informal</v>
      </c>
      <c r="P730" s="257" t="s">
        <v>2978</v>
      </c>
      <c r="Q730" s="152" t="str">
        <f>TablaPOA[[#This Row],[Cod_Sub_acción_especifica]]&amp;"_"&amp;TablaPOA[[#This Row],[Cod_Tipo_agente]]</f>
        <v>K31.2.18.3_TA12</v>
      </c>
      <c r="R730" s="257" t="s">
        <v>2979</v>
      </c>
      <c r="S730" s="257">
        <v>1001</v>
      </c>
      <c r="T730" s="273" t="s">
        <v>2980</v>
      </c>
    </row>
    <row r="731" spans="1:20" ht="25.5" x14ac:dyDescent="0.25">
      <c r="A731" s="268" t="s">
        <v>2314</v>
      </c>
      <c r="B731" s="248">
        <v>31</v>
      </c>
      <c r="C731" s="248" t="s">
        <v>2691</v>
      </c>
      <c r="D731" s="248" t="s">
        <v>2988</v>
      </c>
      <c r="E731" s="248" t="s">
        <v>3160</v>
      </c>
      <c r="F731" s="248" t="s">
        <v>2695</v>
      </c>
      <c r="G731" s="248" t="s">
        <v>2490</v>
      </c>
      <c r="H731" s="249" t="s">
        <v>3178</v>
      </c>
      <c r="I731" s="249" t="s">
        <v>2732</v>
      </c>
      <c r="J731" s="248" t="s">
        <v>2733</v>
      </c>
      <c r="K731" s="249" t="s">
        <v>3115</v>
      </c>
      <c r="L731" s="249" t="s">
        <v>2787</v>
      </c>
      <c r="M731" s="248" t="s">
        <v>2787</v>
      </c>
      <c r="N731" s="300" t="s">
        <v>2986</v>
      </c>
      <c r="O731" s="152" t="str">
        <f>TablaPOA[[#This Row],[Cod_Sub_acción_especifica]]&amp;"_"&amp;TablaPOA[[#This Row],[Tipo de agente]]</f>
        <v>K31.2.18.3_Informal</v>
      </c>
      <c r="P731" s="257" t="s">
        <v>2978</v>
      </c>
      <c r="Q731" s="152" t="str">
        <f>TablaPOA[[#This Row],[Cod_Sub_acción_especifica]]&amp;"_"&amp;TablaPOA[[#This Row],[Cod_Tipo_agente]]</f>
        <v>K31.2.18.3_TA12</v>
      </c>
      <c r="R731" s="257" t="s">
        <v>2979</v>
      </c>
      <c r="S731" s="257">
        <v>1002</v>
      </c>
      <c r="T731" s="273" t="s">
        <v>2982</v>
      </c>
    </row>
    <row r="732" spans="1:20" ht="25.5" x14ac:dyDescent="0.25">
      <c r="A732" s="268" t="s">
        <v>2314</v>
      </c>
      <c r="B732" s="248">
        <v>31</v>
      </c>
      <c r="C732" s="248" t="s">
        <v>2691</v>
      </c>
      <c r="D732" s="248" t="s">
        <v>2988</v>
      </c>
      <c r="E732" s="248" t="s">
        <v>3160</v>
      </c>
      <c r="F732" s="248" t="s">
        <v>2695</v>
      </c>
      <c r="G732" s="248" t="s">
        <v>2490</v>
      </c>
      <c r="H732" s="249" t="s">
        <v>3178</v>
      </c>
      <c r="I732" s="249" t="s">
        <v>2732</v>
      </c>
      <c r="J732" s="248" t="s">
        <v>2733</v>
      </c>
      <c r="K732" s="249" t="s">
        <v>3115</v>
      </c>
      <c r="L732" s="249" t="s">
        <v>2787</v>
      </c>
      <c r="M732" s="248" t="s">
        <v>2787</v>
      </c>
      <c r="N732" s="294"/>
      <c r="O732" s="294" t="str">
        <f>TablaPOA[[#This Row],[Cod_Sub_acción_especifica]]&amp;"_"&amp;TablaPOA[[#This Row],[Tipo de agente]]</f>
        <v>K31.2.18.3_Usuario final</v>
      </c>
      <c r="P732" s="257" t="s">
        <v>2985</v>
      </c>
      <c r="Q732" s="152" t="str">
        <f>TablaPOA[[#This Row],[Cod_Sub_acción_especifica]]&amp;"_"&amp;TablaPOA[[#This Row],[Cod_Tipo_agente]]</f>
        <v>K31.2.18.3_TA13</v>
      </c>
      <c r="R732" s="257" t="s">
        <v>2986</v>
      </c>
      <c r="S732" s="257">
        <v>1005</v>
      </c>
      <c r="T732" s="273" t="s">
        <v>2987</v>
      </c>
    </row>
    <row r="733" spans="1:20" ht="25.5" x14ac:dyDescent="0.25">
      <c r="A733" s="219" t="s">
        <v>2314</v>
      </c>
      <c r="B733" s="227">
        <v>31</v>
      </c>
      <c r="C733" s="227" t="s">
        <v>2691</v>
      </c>
      <c r="D733" s="227" t="s">
        <v>2988</v>
      </c>
      <c r="E733" s="227" t="s">
        <v>3160</v>
      </c>
      <c r="F733" s="227" t="s">
        <v>2695</v>
      </c>
      <c r="G733" s="227" t="s">
        <v>2490</v>
      </c>
      <c r="H733" s="253" t="s">
        <v>3179</v>
      </c>
      <c r="I733" s="253" t="s">
        <v>2734</v>
      </c>
      <c r="J733" s="227" t="s">
        <v>2735</v>
      </c>
      <c r="K733" s="253" t="s">
        <v>3116</v>
      </c>
      <c r="L733" s="253" t="s">
        <v>2785</v>
      </c>
      <c r="M733" s="227" t="s">
        <v>3021</v>
      </c>
      <c r="N733" s="299" t="s">
        <v>2809</v>
      </c>
      <c r="O733" s="292" t="str">
        <f>TablaPOA[[#This Row],[Cod_Sub_acción_especifica]]&amp;"_"&amp;TablaPOA[[#This Row],[Tipo de agente]]</f>
        <v>K31.2.19.1_Consumidores directos de combustibles líquidos y OPDH</v>
      </c>
      <c r="P733" s="254" t="s">
        <v>2808</v>
      </c>
      <c r="Q733" s="292" t="str">
        <f>TablaPOA[[#This Row],[Cod_Sub_acción_especifica]]&amp;"_"&amp;TablaPOA[[#This Row],[Cod_Tipo_agente]]</f>
        <v>K31.2.19.1_TA1</v>
      </c>
      <c r="R733" s="254" t="s">
        <v>2809</v>
      </c>
      <c r="S733" s="255" t="s">
        <v>2810</v>
      </c>
      <c r="T733" s="271" t="s">
        <v>2811</v>
      </c>
    </row>
    <row r="734" spans="1:20" ht="25.5" x14ac:dyDescent="0.25">
      <c r="A734" s="219" t="s">
        <v>2314</v>
      </c>
      <c r="B734" s="227">
        <v>31</v>
      </c>
      <c r="C734" s="227" t="s">
        <v>2691</v>
      </c>
      <c r="D734" s="227" t="s">
        <v>2988</v>
      </c>
      <c r="E734" s="227" t="s">
        <v>3160</v>
      </c>
      <c r="F734" s="227" t="s">
        <v>2695</v>
      </c>
      <c r="G734" s="227" t="s">
        <v>2490</v>
      </c>
      <c r="H734" s="253" t="s">
        <v>3179</v>
      </c>
      <c r="I734" s="253" t="s">
        <v>2734</v>
      </c>
      <c r="J734" s="227" t="s">
        <v>2735</v>
      </c>
      <c r="K734" s="253" t="s">
        <v>3116</v>
      </c>
      <c r="L734" s="253" t="s">
        <v>2785</v>
      </c>
      <c r="M734" s="227" t="s">
        <v>3021</v>
      </c>
      <c r="N734" s="299" t="s">
        <v>2831</v>
      </c>
      <c r="O734" s="292" t="str">
        <f>TablaPOA[[#This Row],[Cod_Sub_acción_especifica]]&amp;"_"&amp;TablaPOA[[#This Row],[Tipo de agente]]</f>
        <v>K31.2.19.1_Consumidores directos de combustibles líquidos y OPDH</v>
      </c>
      <c r="P734" s="254" t="s">
        <v>2808</v>
      </c>
      <c r="Q734" s="292" t="str">
        <f>TablaPOA[[#This Row],[Cod_Sub_acción_especifica]]&amp;"_"&amp;TablaPOA[[#This Row],[Cod_Tipo_agente]]</f>
        <v>K31.2.19.1_TA1</v>
      </c>
      <c r="R734" s="254" t="s">
        <v>2809</v>
      </c>
      <c r="S734" s="255" t="s">
        <v>2812</v>
      </c>
      <c r="T734" s="271" t="s">
        <v>2813</v>
      </c>
    </row>
    <row r="735" spans="1:20" ht="25.5" x14ac:dyDescent="0.25">
      <c r="A735" s="219" t="s">
        <v>2314</v>
      </c>
      <c r="B735" s="227">
        <v>31</v>
      </c>
      <c r="C735" s="227" t="s">
        <v>2691</v>
      </c>
      <c r="D735" s="227" t="s">
        <v>2988</v>
      </c>
      <c r="E735" s="227" t="s">
        <v>3160</v>
      </c>
      <c r="F735" s="227" t="s">
        <v>2695</v>
      </c>
      <c r="G735" s="227" t="s">
        <v>2490</v>
      </c>
      <c r="H735" s="253" t="s">
        <v>3179</v>
      </c>
      <c r="I735" s="253" t="s">
        <v>2734</v>
      </c>
      <c r="J735" s="227" t="s">
        <v>2735</v>
      </c>
      <c r="K735" s="253" t="s">
        <v>3116</v>
      </c>
      <c r="L735" s="253" t="s">
        <v>2785</v>
      </c>
      <c r="M735" s="227" t="s">
        <v>3021</v>
      </c>
      <c r="N735" s="299" t="s">
        <v>2840</v>
      </c>
      <c r="O735" s="292" t="str">
        <f>TablaPOA[[#This Row],[Cod_Sub_acción_especifica]]&amp;"_"&amp;TablaPOA[[#This Row],[Tipo de agente]]</f>
        <v>K31.2.19.1_Consumidores directos de combustibles líquidos y OPDH</v>
      </c>
      <c r="P735" s="254" t="s">
        <v>2808</v>
      </c>
      <c r="Q735" s="292" t="str">
        <f>TablaPOA[[#This Row],[Cod_Sub_acción_especifica]]&amp;"_"&amp;TablaPOA[[#This Row],[Cod_Tipo_agente]]</f>
        <v>K31.2.19.1_TA1</v>
      </c>
      <c r="R735" s="254" t="s">
        <v>2809</v>
      </c>
      <c r="S735" s="255" t="s">
        <v>2814</v>
      </c>
      <c r="T735" s="271" t="s">
        <v>2815</v>
      </c>
    </row>
    <row r="736" spans="1:20" ht="25.5" x14ac:dyDescent="0.25">
      <c r="A736" s="219" t="s">
        <v>2314</v>
      </c>
      <c r="B736" s="227">
        <v>31</v>
      </c>
      <c r="C736" s="227" t="s">
        <v>2691</v>
      </c>
      <c r="D736" s="227" t="s">
        <v>2988</v>
      </c>
      <c r="E736" s="227" t="s">
        <v>3160</v>
      </c>
      <c r="F736" s="227" t="s">
        <v>2695</v>
      </c>
      <c r="G736" s="227" t="s">
        <v>2490</v>
      </c>
      <c r="H736" s="253" t="s">
        <v>3179</v>
      </c>
      <c r="I736" s="253" t="s">
        <v>2734</v>
      </c>
      <c r="J736" s="227" t="s">
        <v>2735</v>
      </c>
      <c r="K736" s="253" t="s">
        <v>3116</v>
      </c>
      <c r="L736" s="253" t="s">
        <v>2785</v>
      </c>
      <c r="M736" s="227" t="s">
        <v>3021</v>
      </c>
      <c r="N736" s="299" t="s">
        <v>2853</v>
      </c>
      <c r="O736" s="292" t="str">
        <f>TablaPOA[[#This Row],[Cod_Sub_acción_especifica]]&amp;"_"&amp;TablaPOA[[#This Row],[Tipo de agente]]</f>
        <v>K31.2.19.1_Consumidores directos de combustibles líquidos y OPDH</v>
      </c>
      <c r="P736" s="254" t="s">
        <v>2808</v>
      </c>
      <c r="Q736" s="292" t="str">
        <f>TablaPOA[[#This Row],[Cod_Sub_acción_especifica]]&amp;"_"&amp;TablaPOA[[#This Row],[Cod_Tipo_agente]]</f>
        <v>K31.2.19.1_TA1</v>
      </c>
      <c r="R736" s="254" t="s">
        <v>2809</v>
      </c>
      <c r="S736" s="255" t="s">
        <v>2816</v>
      </c>
      <c r="T736" s="271" t="s">
        <v>2817</v>
      </c>
    </row>
    <row r="737" spans="1:20" ht="25.5" x14ac:dyDescent="0.25">
      <c r="A737" s="219" t="s">
        <v>2314</v>
      </c>
      <c r="B737" s="227">
        <v>31</v>
      </c>
      <c r="C737" s="227" t="s">
        <v>2691</v>
      </c>
      <c r="D737" s="227" t="s">
        <v>2988</v>
      </c>
      <c r="E737" s="227" t="s">
        <v>3160</v>
      </c>
      <c r="F737" s="227" t="s">
        <v>2695</v>
      </c>
      <c r="G737" s="227" t="s">
        <v>2490</v>
      </c>
      <c r="H737" s="253" t="s">
        <v>3179</v>
      </c>
      <c r="I737" s="253" t="s">
        <v>2734</v>
      </c>
      <c r="J737" s="227" t="s">
        <v>2735</v>
      </c>
      <c r="K737" s="253" t="s">
        <v>3116</v>
      </c>
      <c r="L737" s="253" t="s">
        <v>2785</v>
      </c>
      <c r="M737" s="227" t="s">
        <v>3021</v>
      </c>
      <c r="N737" s="299" t="s">
        <v>2877</v>
      </c>
      <c r="O737" s="292" t="str">
        <f>TablaPOA[[#This Row],[Cod_Sub_acción_especifica]]&amp;"_"&amp;TablaPOA[[#This Row],[Tipo de agente]]</f>
        <v>K31.2.19.1_Consumidores directos de combustibles líquidos y OPDH</v>
      </c>
      <c r="P737" s="254" t="s">
        <v>2808</v>
      </c>
      <c r="Q737" s="292" t="str">
        <f>TablaPOA[[#This Row],[Cod_Sub_acción_especifica]]&amp;"_"&amp;TablaPOA[[#This Row],[Cod_Tipo_agente]]</f>
        <v>K31.2.19.1_TA1</v>
      </c>
      <c r="R737" s="254" t="s">
        <v>2809</v>
      </c>
      <c r="S737" s="255" t="s">
        <v>2818</v>
      </c>
      <c r="T737" s="271" t="s">
        <v>2819</v>
      </c>
    </row>
    <row r="738" spans="1:20" ht="25.5" x14ac:dyDescent="0.25">
      <c r="A738" s="219" t="s">
        <v>2314</v>
      </c>
      <c r="B738" s="227">
        <v>31</v>
      </c>
      <c r="C738" s="227" t="s">
        <v>2691</v>
      </c>
      <c r="D738" s="227" t="s">
        <v>2988</v>
      </c>
      <c r="E738" s="227" t="s">
        <v>3160</v>
      </c>
      <c r="F738" s="227" t="s">
        <v>2695</v>
      </c>
      <c r="G738" s="227" t="s">
        <v>2490</v>
      </c>
      <c r="H738" s="253" t="s">
        <v>3179</v>
      </c>
      <c r="I738" s="253" t="s">
        <v>2734</v>
      </c>
      <c r="J738" s="227" t="s">
        <v>2735</v>
      </c>
      <c r="K738" s="253" t="s">
        <v>3116</v>
      </c>
      <c r="L738" s="253" t="s">
        <v>2785</v>
      </c>
      <c r="M738" s="227" t="s">
        <v>3021</v>
      </c>
      <c r="N738" s="299" t="s">
        <v>2883</v>
      </c>
      <c r="O738" s="292" t="str">
        <f>TablaPOA[[#This Row],[Cod_Sub_acción_especifica]]&amp;"_"&amp;TablaPOA[[#This Row],[Tipo de agente]]</f>
        <v>K31.2.19.1_Consumidores directos de combustibles líquidos y OPDH</v>
      </c>
      <c r="P738" s="254" t="s">
        <v>2808</v>
      </c>
      <c r="Q738" s="292" t="str">
        <f>TablaPOA[[#This Row],[Cod_Sub_acción_especifica]]&amp;"_"&amp;TablaPOA[[#This Row],[Cod_Tipo_agente]]</f>
        <v>K31.2.19.1_TA1</v>
      </c>
      <c r="R738" s="254" t="s">
        <v>2809</v>
      </c>
      <c r="S738" s="255" t="s">
        <v>2820</v>
      </c>
      <c r="T738" s="271" t="s">
        <v>2821</v>
      </c>
    </row>
    <row r="739" spans="1:20" ht="25.5" x14ac:dyDescent="0.25">
      <c r="A739" s="219" t="s">
        <v>2314</v>
      </c>
      <c r="B739" s="227">
        <v>31</v>
      </c>
      <c r="C739" s="227" t="s">
        <v>2691</v>
      </c>
      <c r="D739" s="227" t="s">
        <v>2988</v>
      </c>
      <c r="E739" s="227" t="s">
        <v>3160</v>
      </c>
      <c r="F739" s="227" t="s">
        <v>2695</v>
      </c>
      <c r="G739" s="227" t="s">
        <v>2490</v>
      </c>
      <c r="H739" s="253" t="s">
        <v>3179</v>
      </c>
      <c r="I739" s="253" t="s">
        <v>2734</v>
      </c>
      <c r="J739" s="227" t="s">
        <v>2735</v>
      </c>
      <c r="K739" s="253" t="s">
        <v>3116</v>
      </c>
      <c r="L739" s="253" t="s">
        <v>2785</v>
      </c>
      <c r="M739" s="227" t="s">
        <v>3021</v>
      </c>
      <c r="N739" s="299" t="s">
        <v>2913</v>
      </c>
      <c r="O739" s="292" t="str">
        <f>TablaPOA[[#This Row],[Cod_Sub_acción_especifica]]&amp;"_"&amp;TablaPOA[[#This Row],[Tipo de agente]]</f>
        <v>K31.2.19.1_Consumidores directos de combustibles líquidos y OPDH</v>
      </c>
      <c r="P739" s="254" t="s">
        <v>2808</v>
      </c>
      <c r="Q739" s="292" t="str">
        <f>TablaPOA[[#This Row],[Cod_Sub_acción_especifica]]&amp;"_"&amp;TablaPOA[[#This Row],[Cod_Tipo_agente]]</f>
        <v>K31.2.19.1_TA1</v>
      </c>
      <c r="R739" s="254" t="s">
        <v>2809</v>
      </c>
      <c r="S739" s="255" t="s">
        <v>2822</v>
      </c>
      <c r="T739" s="271" t="s">
        <v>2823</v>
      </c>
    </row>
    <row r="740" spans="1:20" ht="25.5" x14ac:dyDescent="0.25">
      <c r="A740" s="219" t="s">
        <v>2314</v>
      </c>
      <c r="B740" s="227">
        <v>31</v>
      </c>
      <c r="C740" s="227" t="s">
        <v>2691</v>
      </c>
      <c r="D740" s="227" t="s">
        <v>2988</v>
      </c>
      <c r="E740" s="227" t="s">
        <v>3160</v>
      </c>
      <c r="F740" s="227" t="s">
        <v>2695</v>
      </c>
      <c r="G740" s="227" t="s">
        <v>2490</v>
      </c>
      <c r="H740" s="253" t="s">
        <v>3179</v>
      </c>
      <c r="I740" s="253" t="s">
        <v>2734</v>
      </c>
      <c r="J740" s="227" t="s">
        <v>2735</v>
      </c>
      <c r="K740" s="253" t="s">
        <v>3116</v>
      </c>
      <c r="L740" s="253" t="s">
        <v>2785</v>
      </c>
      <c r="M740" s="227" t="s">
        <v>3021</v>
      </c>
      <c r="N740" s="299" t="s">
        <v>2919</v>
      </c>
      <c r="O740" s="292" t="str">
        <f>TablaPOA[[#This Row],[Cod_Sub_acción_especifica]]&amp;"_"&amp;TablaPOA[[#This Row],[Tipo de agente]]</f>
        <v>K31.2.19.1_Consumidores directos de combustibles líquidos y OPDH</v>
      </c>
      <c r="P740" s="254" t="s">
        <v>2808</v>
      </c>
      <c r="Q740" s="292" t="str">
        <f>TablaPOA[[#This Row],[Cod_Sub_acción_especifica]]&amp;"_"&amp;TablaPOA[[#This Row],[Cod_Tipo_agente]]</f>
        <v>K31.2.19.1_TA1</v>
      </c>
      <c r="R740" s="254" t="s">
        <v>2809</v>
      </c>
      <c r="S740" s="255" t="s">
        <v>2824</v>
      </c>
      <c r="T740" s="271" t="s">
        <v>2825</v>
      </c>
    </row>
    <row r="741" spans="1:20" ht="25.5" x14ac:dyDescent="0.25">
      <c r="A741" s="219" t="s">
        <v>2314</v>
      </c>
      <c r="B741" s="227">
        <v>31</v>
      </c>
      <c r="C741" s="227" t="s">
        <v>2691</v>
      </c>
      <c r="D741" s="227" t="s">
        <v>2988</v>
      </c>
      <c r="E741" s="227" t="s">
        <v>3160</v>
      </c>
      <c r="F741" s="227" t="s">
        <v>2695</v>
      </c>
      <c r="G741" s="227" t="s">
        <v>2490</v>
      </c>
      <c r="H741" s="253" t="s">
        <v>3179</v>
      </c>
      <c r="I741" s="253" t="s">
        <v>2734</v>
      </c>
      <c r="J741" s="227" t="s">
        <v>2735</v>
      </c>
      <c r="K741" s="253" t="s">
        <v>3116</v>
      </c>
      <c r="L741" s="253" t="s">
        <v>2785</v>
      </c>
      <c r="M741" s="227" t="s">
        <v>3021</v>
      </c>
      <c r="N741" s="299" t="s">
        <v>2951</v>
      </c>
      <c r="O741" s="292" t="str">
        <f>TablaPOA[[#This Row],[Cod_Sub_acción_especifica]]&amp;"_"&amp;TablaPOA[[#This Row],[Tipo de agente]]</f>
        <v>K31.2.19.1_Consumidores directos de combustibles líquidos y OPDH</v>
      </c>
      <c r="P741" s="254" t="s">
        <v>2808</v>
      </c>
      <c r="Q741" s="292" t="str">
        <f>TablaPOA[[#This Row],[Cod_Sub_acción_especifica]]&amp;"_"&amp;TablaPOA[[#This Row],[Cod_Tipo_agente]]</f>
        <v>K31.2.19.1_TA1</v>
      </c>
      <c r="R741" s="254" t="s">
        <v>2809</v>
      </c>
      <c r="S741" s="255" t="s">
        <v>2826</v>
      </c>
      <c r="T741" s="271" t="s">
        <v>2827</v>
      </c>
    </row>
    <row r="742" spans="1:20" ht="25.5" x14ac:dyDescent="0.25">
      <c r="A742" s="219" t="s">
        <v>2314</v>
      </c>
      <c r="B742" s="227">
        <v>31</v>
      </c>
      <c r="C742" s="227" t="s">
        <v>2691</v>
      </c>
      <c r="D742" s="227" t="s">
        <v>2988</v>
      </c>
      <c r="E742" s="227" t="s">
        <v>3160</v>
      </c>
      <c r="F742" s="227" t="s">
        <v>2695</v>
      </c>
      <c r="G742" s="227" t="s">
        <v>2490</v>
      </c>
      <c r="H742" s="253" t="s">
        <v>3179</v>
      </c>
      <c r="I742" s="253" t="s">
        <v>2734</v>
      </c>
      <c r="J742" s="227" t="s">
        <v>2735</v>
      </c>
      <c r="K742" s="253" t="s">
        <v>3116</v>
      </c>
      <c r="L742" s="253" t="s">
        <v>2785</v>
      </c>
      <c r="M742" s="227" t="s">
        <v>3021</v>
      </c>
      <c r="N742" s="299" t="s">
        <v>2903</v>
      </c>
      <c r="O742" s="292" t="str">
        <f>TablaPOA[[#This Row],[Cod_Sub_acción_especifica]]&amp;"_"&amp;TablaPOA[[#This Row],[Tipo de agente]]</f>
        <v>K31.2.19.1_Consumidores directos de combustibles líquidos y OPDH</v>
      </c>
      <c r="P742" s="254" t="s">
        <v>2808</v>
      </c>
      <c r="Q742" s="292" t="str">
        <f>TablaPOA[[#This Row],[Cod_Sub_acción_especifica]]&amp;"_"&amp;TablaPOA[[#This Row],[Cod_Tipo_agente]]</f>
        <v>K31.2.19.1_TA1</v>
      </c>
      <c r="R742" s="254" t="s">
        <v>2809</v>
      </c>
      <c r="S742" s="255" t="s">
        <v>2828</v>
      </c>
      <c r="T742" s="271" t="s">
        <v>2829</v>
      </c>
    </row>
    <row r="743" spans="1:20" ht="25.5" x14ac:dyDescent="0.25">
      <c r="A743" s="219" t="s">
        <v>2314</v>
      </c>
      <c r="B743" s="227">
        <v>31</v>
      </c>
      <c r="C743" s="227" t="s">
        <v>2691</v>
      </c>
      <c r="D743" s="227" t="s">
        <v>2988</v>
      </c>
      <c r="E743" s="227" t="s">
        <v>3160</v>
      </c>
      <c r="F743" s="227" t="s">
        <v>2695</v>
      </c>
      <c r="G743" s="227" t="s">
        <v>2490</v>
      </c>
      <c r="H743" s="253" t="s">
        <v>3179</v>
      </c>
      <c r="I743" s="253" t="s">
        <v>2734</v>
      </c>
      <c r="J743" s="227" t="s">
        <v>2735</v>
      </c>
      <c r="K743" s="253" t="s">
        <v>3116</v>
      </c>
      <c r="L743" s="253" t="s">
        <v>2785</v>
      </c>
      <c r="M743" s="227" t="s">
        <v>3021</v>
      </c>
      <c r="N743" s="299" t="s">
        <v>2963</v>
      </c>
      <c r="O743" s="292" t="str">
        <f>TablaPOA[[#This Row],[Cod_Sub_acción_especifica]]&amp;"_"&amp;TablaPOA[[#This Row],[Tipo de agente]]</f>
        <v>K31.2.19.1_Consumidores directos de gas natural</v>
      </c>
      <c r="P743" s="254" t="s">
        <v>2830</v>
      </c>
      <c r="Q743" s="292" t="str">
        <f>TablaPOA[[#This Row],[Cod_Sub_acción_especifica]]&amp;"_"&amp;TablaPOA[[#This Row],[Cod_Tipo_agente]]</f>
        <v>K31.2.19.1_TA2</v>
      </c>
      <c r="R743" s="254" t="s">
        <v>2831</v>
      </c>
      <c r="S743" s="254">
        <v>101</v>
      </c>
      <c r="T743" s="271" t="s">
        <v>2832</v>
      </c>
    </row>
    <row r="744" spans="1:20" ht="25.5" x14ac:dyDescent="0.25">
      <c r="A744" s="219" t="s">
        <v>2314</v>
      </c>
      <c r="B744" s="227">
        <v>31</v>
      </c>
      <c r="C744" s="227" t="s">
        <v>2691</v>
      </c>
      <c r="D744" s="227" t="s">
        <v>2988</v>
      </c>
      <c r="E744" s="227" t="s">
        <v>3160</v>
      </c>
      <c r="F744" s="227" t="s">
        <v>2695</v>
      </c>
      <c r="G744" s="227" t="s">
        <v>2490</v>
      </c>
      <c r="H744" s="253" t="s">
        <v>3179</v>
      </c>
      <c r="I744" s="253" t="s">
        <v>2734</v>
      </c>
      <c r="J744" s="227" t="s">
        <v>2735</v>
      </c>
      <c r="K744" s="253" t="s">
        <v>3116</v>
      </c>
      <c r="L744" s="253" t="s">
        <v>2785</v>
      </c>
      <c r="M744" s="227" t="s">
        <v>3021</v>
      </c>
      <c r="N744" s="293"/>
      <c r="O744" s="293" t="str">
        <f>TablaPOA[[#This Row],[Cod_Sub_acción_especifica]]&amp;"_"&amp;TablaPOA[[#This Row],[Tipo de agente]]</f>
        <v>K31.2.19.1_Consumidores directos de gas natural</v>
      </c>
      <c r="P744" s="254" t="s">
        <v>2830</v>
      </c>
      <c r="Q744" s="292" t="str">
        <f>TablaPOA[[#This Row],[Cod_Sub_acción_especifica]]&amp;"_"&amp;TablaPOA[[#This Row],[Cod_Tipo_agente]]</f>
        <v>K31.2.19.1_TA2</v>
      </c>
      <c r="R744" s="254" t="s">
        <v>2831</v>
      </c>
      <c r="S744" s="254" t="s">
        <v>2833</v>
      </c>
      <c r="T744" s="271" t="s">
        <v>2834</v>
      </c>
    </row>
    <row r="745" spans="1:20" ht="25.5" x14ac:dyDescent="0.25">
      <c r="A745" s="219" t="s">
        <v>2314</v>
      </c>
      <c r="B745" s="227">
        <v>31</v>
      </c>
      <c r="C745" s="227" t="s">
        <v>2691</v>
      </c>
      <c r="D745" s="227" t="s">
        <v>2988</v>
      </c>
      <c r="E745" s="227" t="s">
        <v>3160</v>
      </c>
      <c r="F745" s="227" t="s">
        <v>2695</v>
      </c>
      <c r="G745" s="227" t="s">
        <v>2490</v>
      </c>
      <c r="H745" s="253" t="s">
        <v>3179</v>
      </c>
      <c r="I745" s="253" t="s">
        <v>2734</v>
      </c>
      <c r="J745" s="227" t="s">
        <v>2735</v>
      </c>
      <c r="K745" s="253" t="s">
        <v>3116</v>
      </c>
      <c r="L745" s="253" t="s">
        <v>2785</v>
      </c>
      <c r="M745" s="227" t="s">
        <v>3021</v>
      </c>
      <c r="N745" s="293"/>
      <c r="O745" s="293" t="str">
        <f>TablaPOA[[#This Row],[Cod_Sub_acción_especifica]]&amp;"_"&amp;TablaPOA[[#This Row],[Tipo de agente]]</f>
        <v>K31.2.19.1_Consumidores directos de gas natural</v>
      </c>
      <c r="P745" s="254" t="s">
        <v>2830</v>
      </c>
      <c r="Q745" s="292" t="str">
        <f>TablaPOA[[#This Row],[Cod_Sub_acción_especifica]]&amp;"_"&amp;TablaPOA[[#This Row],[Cod_Tipo_agente]]</f>
        <v>K31.2.19.1_TA2</v>
      </c>
      <c r="R745" s="254" t="s">
        <v>2831</v>
      </c>
      <c r="S745" s="254" t="s">
        <v>2835</v>
      </c>
      <c r="T745" s="271" t="s">
        <v>2836</v>
      </c>
    </row>
    <row r="746" spans="1:20" ht="25.5" x14ac:dyDescent="0.25">
      <c r="A746" s="219" t="s">
        <v>2314</v>
      </c>
      <c r="B746" s="227">
        <v>31</v>
      </c>
      <c r="C746" s="227" t="s">
        <v>2691</v>
      </c>
      <c r="D746" s="227" t="s">
        <v>2988</v>
      </c>
      <c r="E746" s="227" t="s">
        <v>3160</v>
      </c>
      <c r="F746" s="227" t="s">
        <v>2695</v>
      </c>
      <c r="G746" s="227" t="s">
        <v>2490</v>
      </c>
      <c r="H746" s="253" t="s">
        <v>3179</v>
      </c>
      <c r="I746" s="253" t="s">
        <v>2734</v>
      </c>
      <c r="J746" s="227" t="s">
        <v>2735</v>
      </c>
      <c r="K746" s="253" t="s">
        <v>3116</v>
      </c>
      <c r="L746" s="253" t="s">
        <v>2785</v>
      </c>
      <c r="M746" s="227" t="s">
        <v>3021</v>
      </c>
      <c r="N746" s="293"/>
      <c r="O746" s="293" t="str">
        <f>TablaPOA[[#This Row],[Cod_Sub_acción_especifica]]&amp;"_"&amp;TablaPOA[[#This Row],[Tipo de agente]]</f>
        <v>K31.2.19.1_Consumidores directos de gas natural</v>
      </c>
      <c r="P746" s="254" t="s">
        <v>2830</v>
      </c>
      <c r="Q746" s="292" t="str">
        <f>TablaPOA[[#This Row],[Cod_Sub_acción_especifica]]&amp;"_"&amp;TablaPOA[[#This Row],[Cod_Tipo_agente]]</f>
        <v>K31.2.19.1_TA2</v>
      </c>
      <c r="R746" s="254" t="s">
        <v>2831</v>
      </c>
      <c r="S746" s="254" t="s">
        <v>2837</v>
      </c>
      <c r="T746" s="271" t="s">
        <v>2838</v>
      </c>
    </row>
    <row r="747" spans="1:20" ht="25.5" x14ac:dyDescent="0.25">
      <c r="A747" s="219" t="s">
        <v>2314</v>
      </c>
      <c r="B747" s="227">
        <v>31</v>
      </c>
      <c r="C747" s="227" t="s">
        <v>2691</v>
      </c>
      <c r="D747" s="227" t="s">
        <v>2988</v>
      </c>
      <c r="E747" s="227" t="s">
        <v>3160</v>
      </c>
      <c r="F747" s="227" t="s">
        <v>2695</v>
      </c>
      <c r="G747" s="227" t="s">
        <v>2490</v>
      </c>
      <c r="H747" s="253" t="s">
        <v>3179</v>
      </c>
      <c r="I747" s="253" t="s">
        <v>2734</v>
      </c>
      <c r="J747" s="227" t="s">
        <v>2735</v>
      </c>
      <c r="K747" s="253" t="s">
        <v>3116</v>
      </c>
      <c r="L747" s="253" t="s">
        <v>2785</v>
      </c>
      <c r="M747" s="227" t="s">
        <v>3021</v>
      </c>
      <c r="N747" s="293"/>
      <c r="O747" s="293" t="str">
        <f>TablaPOA[[#This Row],[Cod_Sub_acción_especifica]]&amp;"_"&amp;TablaPOA[[#This Row],[Tipo de agente]]</f>
        <v>K31.2.19.1_Consumidores directos de GLP y redes de distribución</v>
      </c>
      <c r="P747" s="254" t="s">
        <v>2839</v>
      </c>
      <c r="Q747" s="292" t="str">
        <f>TablaPOA[[#This Row],[Cod_Sub_acción_especifica]]&amp;"_"&amp;TablaPOA[[#This Row],[Cod_Tipo_agente]]</f>
        <v>K31.2.19.1_TA3</v>
      </c>
      <c r="R747" s="254" t="s">
        <v>2840</v>
      </c>
      <c r="S747" s="254">
        <v>400</v>
      </c>
      <c r="T747" s="271" t="s">
        <v>2841</v>
      </c>
    </row>
    <row r="748" spans="1:20" ht="25.5" x14ac:dyDescent="0.25">
      <c r="A748" s="219" t="s">
        <v>2314</v>
      </c>
      <c r="B748" s="227">
        <v>31</v>
      </c>
      <c r="C748" s="227" t="s">
        <v>2691</v>
      </c>
      <c r="D748" s="227" t="s">
        <v>2988</v>
      </c>
      <c r="E748" s="227" t="s">
        <v>3160</v>
      </c>
      <c r="F748" s="227" t="s">
        <v>2695</v>
      </c>
      <c r="G748" s="227" t="s">
        <v>2490</v>
      </c>
      <c r="H748" s="253" t="s">
        <v>3179</v>
      </c>
      <c r="I748" s="253" t="s">
        <v>2734</v>
      </c>
      <c r="J748" s="227" t="s">
        <v>2735</v>
      </c>
      <c r="K748" s="253" t="s">
        <v>3116</v>
      </c>
      <c r="L748" s="253" t="s">
        <v>2785</v>
      </c>
      <c r="M748" s="227" t="s">
        <v>3021</v>
      </c>
      <c r="N748" s="293"/>
      <c r="O748" s="293" t="str">
        <f>TablaPOA[[#This Row],[Cod_Sub_acción_especifica]]&amp;"_"&amp;TablaPOA[[#This Row],[Tipo de agente]]</f>
        <v>K31.2.19.1_Consumidores directos de GLP y redes de distribución</v>
      </c>
      <c r="P748" s="254" t="s">
        <v>2839</v>
      </c>
      <c r="Q748" s="292" t="str">
        <f>TablaPOA[[#This Row],[Cod_Sub_acción_especifica]]&amp;"_"&amp;TablaPOA[[#This Row],[Cod_Tipo_agente]]</f>
        <v>K31.2.19.1_TA3</v>
      </c>
      <c r="R748" s="254" t="s">
        <v>2840</v>
      </c>
      <c r="S748" s="254" t="s">
        <v>2842</v>
      </c>
      <c r="T748" s="271" t="s">
        <v>2843</v>
      </c>
    </row>
    <row r="749" spans="1:20" ht="25.5" x14ac:dyDescent="0.25">
      <c r="A749" s="219" t="s">
        <v>2314</v>
      </c>
      <c r="B749" s="227">
        <v>31</v>
      </c>
      <c r="C749" s="227" t="s">
        <v>2691</v>
      </c>
      <c r="D749" s="227" t="s">
        <v>2988</v>
      </c>
      <c r="E749" s="227" t="s">
        <v>3160</v>
      </c>
      <c r="F749" s="227" t="s">
        <v>2695</v>
      </c>
      <c r="G749" s="227" t="s">
        <v>2490</v>
      </c>
      <c r="H749" s="253" t="s">
        <v>3179</v>
      </c>
      <c r="I749" s="253" t="s">
        <v>2734</v>
      </c>
      <c r="J749" s="227" t="s">
        <v>2735</v>
      </c>
      <c r="K749" s="253" t="s">
        <v>3116</v>
      </c>
      <c r="L749" s="253" t="s">
        <v>2785</v>
      </c>
      <c r="M749" s="227" t="s">
        <v>3021</v>
      </c>
      <c r="N749" s="293"/>
      <c r="O749" s="293" t="str">
        <f>TablaPOA[[#This Row],[Cod_Sub_acción_especifica]]&amp;"_"&amp;TablaPOA[[#This Row],[Tipo de agente]]</f>
        <v>K31.2.19.1_Consumidores directos de GLP y redes de distribución</v>
      </c>
      <c r="P749" s="254" t="s">
        <v>2839</v>
      </c>
      <c r="Q749" s="292" t="str">
        <f>TablaPOA[[#This Row],[Cod_Sub_acción_especifica]]&amp;"_"&amp;TablaPOA[[#This Row],[Cod_Tipo_agente]]</f>
        <v>K31.2.19.1_TA3</v>
      </c>
      <c r="R749" s="254" t="s">
        <v>2840</v>
      </c>
      <c r="S749" s="254" t="s">
        <v>2844</v>
      </c>
      <c r="T749" s="271" t="s">
        <v>2845</v>
      </c>
    </row>
    <row r="750" spans="1:20" ht="25.5" x14ac:dyDescent="0.25">
      <c r="A750" s="219" t="s">
        <v>2314</v>
      </c>
      <c r="B750" s="227">
        <v>31</v>
      </c>
      <c r="C750" s="227" t="s">
        <v>2691</v>
      </c>
      <c r="D750" s="227" t="s">
        <v>2988</v>
      </c>
      <c r="E750" s="227" t="s">
        <v>3160</v>
      </c>
      <c r="F750" s="227" t="s">
        <v>2695</v>
      </c>
      <c r="G750" s="227" t="s">
        <v>2490</v>
      </c>
      <c r="H750" s="253" t="s">
        <v>3179</v>
      </c>
      <c r="I750" s="253" t="s">
        <v>2734</v>
      </c>
      <c r="J750" s="227" t="s">
        <v>2735</v>
      </c>
      <c r="K750" s="253" t="s">
        <v>3116</v>
      </c>
      <c r="L750" s="253" t="s">
        <v>2785</v>
      </c>
      <c r="M750" s="227" t="s">
        <v>3021</v>
      </c>
      <c r="N750" s="293"/>
      <c r="O750" s="293" t="str">
        <f>TablaPOA[[#This Row],[Cod_Sub_acción_especifica]]&amp;"_"&amp;TablaPOA[[#This Row],[Tipo de agente]]</f>
        <v>K31.2.19.1_Consumidores directos de GLP y redes de distribución</v>
      </c>
      <c r="P750" s="254" t="s">
        <v>2839</v>
      </c>
      <c r="Q750" s="292" t="str">
        <f>TablaPOA[[#This Row],[Cod_Sub_acción_especifica]]&amp;"_"&amp;TablaPOA[[#This Row],[Cod_Tipo_agente]]</f>
        <v>K31.2.19.1_TA3</v>
      </c>
      <c r="R750" s="254" t="s">
        <v>2840</v>
      </c>
      <c r="S750" s="254" t="s">
        <v>2846</v>
      </c>
      <c r="T750" s="271" t="s">
        <v>2847</v>
      </c>
    </row>
    <row r="751" spans="1:20" ht="25.5" x14ac:dyDescent="0.25">
      <c r="A751" s="219" t="s">
        <v>2314</v>
      </c>
      <c r="B751" s="227">
        <v>31</v>
      </c>
      <c r="C751" s="227" t="s">
        <v>2691</v>
      </c>
      <c r="D751" s="227" t="s">
        <v>2988</v>
      </c>
      <c r="E751" s="227" t="s">
        <v>3160</v>
      </c>
      <c r="F751" s="227" t="s">
        <v>2695</v>
      </c>
      <c r="G751" s="227" t="s">
        <v>2490</v>
      </c>
      <c r="H751" s="253" t="s">
        <v>3179</v>
      </c>
      <c r="I751" s="253" t="s">
        <v>2734</v>
      </c>
      <c r="J751" s="227" t="s">
        <v>2735</v>
      </c>
      <c r="K751" s="253" t="s">
        <v>3116</v>
      </c>
      <c r="L751" s="253" t="s">
        <v>2785</v>
      </c>
      <c r="M751" s="227" t="s">
        <v>3021</v>
      </c>
      <c r="N751" s="293"/>
      <c r="O751" s="293" t="str">
        <f>TablaPOA[[#This Row],[Cod_Sub_acción_especifica]]&amp;"_"&amp;TablaPOA[[#This Row],[Tipo de agente]]</f>
        <v>K31.2.19.1_Consumidores directos de GLP y redes de distribución</v>
      </c>
      <c r="P751" s="254" t="s">
        <v>2839</v>
      </c>
      <c r="Q751" s="292" t="str">
        <f>TablaPOA[[#This Row],[Cod_Sub_acción_especifica]]&amp;"_"&amp;TablaPOA[[#This Row],[Cod_Tipo_agente]]</f>
        <v>K31.2.19.1_TA3</v>
      </c>
      <c r="R751" s="254" t="s">
        <v>2840</v>
      </c>
      <c r="S751" s="254" t="s">
        <v>2848</v>
      </c>
      <c r="T751" s="271" t="s">
        <v>2849</v>
      </c>
    </row>
    <row r="752" spans="1:20" ht="25.5" x14ac:dyDescent="0.25">
      <c r="A752" s="219" t="s">
        <v>2314</v>
      </c>
      <c r="B752" s="227">
        <v>31</v>
      </c>
      <c r="C752" s="227" t="s">
        <v>2691</v>
      </c>
      <c r="D752" s="227" t="s">
        <v>2988</v>
      </c>
      <c r="E752" s="227" t="s">
        <v>3160</v>
      </c>
      <c r="F752" s="227" t="s">
        <v>2695</v>
      </c>
      <c r="G752" s="227" t="s">
        <v>2490</v>
      </c>
      <c r="H752" s="253" t="s">
        <v>3179</v>
      </c>
      <c r="I752" s="253" t="s">
        <v>2734</v>
      </c>
      <c r="J752" s="227" t="s">
        <v>2735</v>
      </c>
      <c r="K752" s="253" t="s">
        <v>3116</v>
      </c>
      <c r="L752" s="253" t="s">
        <v>2785</v>
      </c>
      <c r="M752" s="227" t="s">
        <v>3021</v>
      </c>
      <c r="N752" s="293"/>
      <c r="O752" s="293" t="str">
        <f>TablaPOA[[#This Row],[Cod_Sub_acción_especifica]]&amp;"_"&amp;TablaPOA[[#This Row],[Tipo de agente]]</f>
        <v>K31.2.19.1_Consumidores directos de GLP y redes de distribución</v>
      </c>
      <c r="P752" s="254" t="s">
        <v>2839</v>
      </c>
      <c r="Q752" s="292" t="str">
        <f>TablaPOA[[#This Row],[Cod_Sub_acción_especifica]]&amp;"_"&amp;TablaPOA[[#This Row],[Cod_Tipo_agente]]</f>
        <v>K31.2.19.1_TA3</v>
      </c>
      <c r="R752" s="254" t="s">
        <v>2840</v>
      </c>
      <c r="S752" s="254" t="s">
        <v>2850</v>
      </c>
      <c r="T752" s="271" t="s">
        <v>2851</v>
      </c>
    </row>
    <row r="753" spans="1:20" ht="25.5" x14ac:dyDescent="0.25">
      <c r="A753" s="219" t="s">
        <v>2314</v>
      </c>
      <c r="B753" s="227">
        <v>31</v>
      </c>
      <c r="C753" s="227" t="s">
        <v>2691</v>
      </c>
      <c r="D753" s="227" t="s">
        <v>2988</v>
      </c>
      <c r="E753" s="227" t="s">
        <v>3160</v>
      </c>
      <c r="F753" s="227" t="s">
        <v>2695</v>
      </c>
      <c r="G753" s="227" t="s">
        <v>2490</v>
      </c>
      <c r="H753" s="253" t="s">
        <v>3179</v>
      </c>
      <c r="I753" s="253" t="s">
        <v>2734</v>
      </c>
      <c r="J753" s="227" t="s">
        <v>2735</v>
      </c>
      <c r="K753" s="253" t="s">
        <v>3116</v>
      </c>
      <c r="L753" s="253" t="s">
        <v>2785</v>
      </c>
      <c r="M753" s="227" t="s">
        <v>3021</v>
      </c>
      <c r="N753" s="293"/>
      <c r="O753" s="293" t="str">
        <f>TablaPOA[[#This Row],[Cod_Sub_acción_especifica]]&amp;"_"&amp;TablaPOA[[#This Row],[Tipo de agente]]</f>
        <v>K31.2.19.1_Distribuidores mayoristas, Importadores y Comercializadores</v>
      </c>
      <c r="P753" s="254" t="s">
        <v>2852</v>
      </c>
      <c r="Q753" s="292" t="str">
        <f>TablaPOA[[#This Row],[Cod_Sub_acción_especifica]]&amp;"_"&amp;TablaPOA[[#This Row],[Cod_Tipo_agente]]</f>
        <v>K31.2.19.1_TA4</v>
      </c>
      <c r="R753" s="254" t="s">
        <v>2853</v>
      </c>
      <c r="S753" s="255" t="s">
        <v>2854</v>
      </c>
      <c r="T753" s="271" t="s">
        <v>2855</v>
      </c>
    </row>
    <row r="754" spans="1:20" ht="25.5" x14ac:dyDescent="0.25">
      <c r="A754" s="219" t="s">
        <v>2314</v>
      </c>
      <c r="B754" s="227">
        <v>31</v>
      </c>
      <c r="C754" s="227" t="s">
        <v>2691</v>
      </c>
      <c r="D754" s="227" t="s">
        <v>2988</v>
      </c>
      <c r="E754" s="227" t="s">
        <v>3160</v>
      </c>
      <c r="F754" s="227" t="s">
        <v>2695</v>
      </c>
      <c r="G754" s="227" t="s">
        <v>2490</v>
      </c>
      <c r="H754" s="253" t="s">
        <v>3179</v>
      </c>
      <c r="I754" s="253" t="s">
        <v>2734</v>
      </c>
      <c r="J754" s="227" t="s">
        <v>2735</v>
      </c>
      <c r="K754" s="253" t="s">
        <v>3116</v>
      </c>
      <c r="L754" s="253" t="s">
        <v>2785</v>
      </c>
      <c r="M754" s="227" t="s">
        <v>3021</v>
      </c>
      <c r="N754" s="293"/>
      <c r="O754" s="293" t="str">
        <f>TablaPOA[[#This Row],[Cod_Sub_acción_especifica]]&amp;"_"&amp;TablaPOA[[#This Row],[Tipo de agente]]</f>
        <v>K31.2.19.1_Distribuidores mayoristas, Importadores y Comercializadores</v>
      </c>
      <c r="P754" s="254" t="s">
        <v>2852</v>
      </c>
      <c r="Q754" s="292" t="str">
        <f>TablaPOA[[#This Row],[Cod_Sub_acción_especifica]]&amp;"_"&amp;TablaPOA[[#This Row],[Cod_Tipo_agente]]</f>
        <v>K31.2.19.1_TA4</v>
      </c>
      <c r="R754" s="254" t="s">
        <v>2853</v>
      </c>
      <c r="S754" s="255" t="s">
        <v>2856</v>
      </c>
      <c r="T754" s="271" t="s">
        <v>2857</v>
      </c>
    </row>
    <row r="755" spans="1:20" ht="25.5" x14ac:dyDescent="0.25">
      <c r="A755" s="219" t="s">
        <v>2314</v>
      </c>
      <c r="B755" s="227">
        <v>31</v>
      </c>
      <c r="C755" s="227" t="s">
        <v>2691</v>
      </c>
      <c r="D755" s="227" t="s">
        <v>2988</v>
      </c>
      <c r="E755" s="227" t="s">
        <v>3160</v>
      </c>
      <c r="F755" s="227" t="s">
        <v>2695</v>
      </c>
      <c r="G755" s="227" t="s">
        <v>2490</v>
      </c>
      <c r="H755" s="253" t="s">
        <v>3179</v>
      </c>
      <c r="I755" s="253" t="s">
        <v>2734</v>
      </c>
      <c r="J755" s="227" t="s">
        <v>2735</v>
      </c>
      <c r="K755" s="253" t="s">
        <v>3116</v>
      </c>
      <c r="L755" s="253" t="s">
        <v>2785</v>
      </c>
      <c r="M755" s="227" t="s">
        <v>3021</v>
      </c>
      <c r="N755" s="293"/>
      <c r="O755" s="293" t="str">
        <f>TablaPOA[[#This Row],[Cod_Sub_acción_especifica]]&amp;"_"&amp;TablaPOA[[#This Row],[Tipo de agente]]</f>
        <v>K31.2.19.1_Distribuidores mayoristas, Importadores y Comercializadores</v>
      </c>
      <c r="P755" s="254" t="s">
        <v>2852</v>
      </c>
      <c r="Q755" s="292" t="str">
        <f>TablaPOA[[#This Row],[Cod_Sub_acción_especifica]]&amp;"_"&amp;TablaPOA[[#This Row],[Cod_Tipo_agente]]</f>
        <v>K31.2.19.1_TA4</v>
      </c>
      <c r="R755" s="254" t="s">
        <v>2853</v>
      </c>
      <c r="S755" s="255" t="s">
        <v>2858</v>
      </c>
      <c r="T755" s="271" t="s">
        <v>2859</v>
      </c>
    </row>
    <row r="756" spans="1:20" ht="25.5" x14ac:dyDescent="0.25">
      <c r="A756" s="219" t="s">
        <v>2314</v>
      </c>
      <c r="B756" s="227">
        <v>31</v>
      </c>
      <c r="C756" s="227" t="s">
        <v>2691</v>
      </c>
      <c r="D756" s="227" t="s">
        <v>2988</v>
      </c>
      <c r="E756" s="227" t="s">
        <v>3160</v>
      </c>
      <c r="F756" s="227" t="s">
        <v>2695</v>
      </c>
      <c r="G756" s="227" t="s">
        <v>2490</v>
      </c>
      <c r="H756" s="253" t="s">
        <v>3179</v>
      </c>
      <c r="I756" s="253" t="s">
        <v>2734</v>
      </c>
      <c r="J756" s="227" t="s">
        <v>2735</v>
      </c>
      <c r="K756" s="253" t="s">
        <v>3116</v>
      </c>
      <c r="L756" s="253" t="s">
        <v>2785</v>
      </c>
      <c r="M756" s="227" t="s">
        <v>3021</v>
      </c>
      <c r="N756" s="293"/>
      <c r="O756" s="293" t="str">
        <f>TablaPOA[[#This Row],[Cod_Sub_acción_especifica]]&amp;"_"&amp;TablaPOA[[#This Row],[Tipo de agente]]</f>
        <v>K31.2.19.1_Distribuidores mayoristas, Importadores y Comercializadores</v>
      </c>
      <c r="P756" s="254" t="s">
        <v>2852</v>
      </c>
      <c r="Q756" s="292" t="str">
        <f>TablaPOA[[#This Row],[Cod_Sub_acción_especifica]]&amp;"_"&amp;TablaPOA[[#This Row],[Cod_Tipo_agente]]</f>
        <v>K31.2.19.1_TA4</v>
      </c>
      <c r="R756" s="254" t="s">
        <v>2853</v>
      </c>
      <c r="S756" s="255" t="s">
        <v>2860</v>
      </c>
      <c r="T756" s="271" t="s">
        <v>2861</v>
      </c>
    </row>
    <row r="757" spans="1:20" ht="25.5" x14ac:dyDescent="0.25">
      <c r="A757" s="219" t="s">
        <v>2314</v>
      </c>
      <c r="B757" s="227">
        <v>31</v>
      </c>
      <c r="C757" s="227" t="s">
        <v>2691</v>
      </c>
      <c r="D757" s="227" t="s">
        <v>2988</v>
      </c>
      <c r="E757" s="227" t="s">
        <v>3160</v>
      </c>
      <c r="F757" s="227" t="s">
        <v>2695</v>
      </c>
      <c r="G757" s="227" t="s">
        <v>2490</v>
      </c>
      <c r="H757" s="253" t="s">
        <v>3179</v>
      </c>
      <c r="I757" s="253" t="s">
        <v>2734</v>
      </c>
      <c r="J757" s="227" t="s">
        <v>2735</v>
      </c>
      <c r="K757" s="253" t="s">
        <v>3116</v>
      </c>
      <c r="L757" s="253" t="s">
        <v>2785</v>
      </c>
      <c r="M757" s="227" t="s">
        <v>3021</v>
      </c>
      <c r="N757" s="293"/>
      <c r="O757" s="293" t="str">
        <f>TablaPOA[[#This Row],[Cod_Sub_acción_especifica]]&amp;"_"&amp;TablaPOA[[#This Row],[Tipo de agente]]</f>
        <v>K31.2.19.1_Distribuidores mayoristas, Importadores y Comercializadores</v>
      </c>
      <c r="P757" s="254" t="s">
        <v>2852</v>
      </c>
      <c r="Q757" s="292" t="str">
        <f>TablaPOA[[#This Row],[Cod_Sub_acción_especifica]]&amp;"_"&amp;TablaPOA[[#This Row],[Cod_Tipo_agente]]</f>
        <v>K31.2.19.1_TA4</v>
      </c>
      <c r="R757" s="254" t="s">
        <v>2853</v>
      </c>
      <c r="S757" s="255" t="s">
        <v>2862</v>
      </c>
      <c r="T757" s="271" t="s">
        <v>2863</v>
      </c>
    </row>
    <row r="758" spans="1:20" ht="25.5" x14ac:dyDescent="0.25">
      <c r="A758" s="219" t="s">
        <v>2314</v>
      </c>
      <c r="B758" s="227">
        <v>31</v>
      </c>
      <c r="C758" s="227" t="s">
        <v>2691</v>
      </c>
      <c r="D758" s="227" t="s">
        <v>2988</v>
      </c>
      <c r="E758" s="227" t="s">
        <v>3160</v>
      </c>
      <c r="F758" s="227" t="s">
        <v>2695</v>
      </c>
      <c r="G758" s="227" t="s">
        <v>2490</v>
      </c>
      <c r="H758" s="253" t="s">
        <v>3179</v>
      </c>
      <c r="I758" s="253" t="s">
        <v>2734</v>
      </c>
      <c r="J758" s="227" t="s">
        <v>2735</v>
      </c>
      <c r="K758" s="253" t="s">
        <v>3116</v>
      </c>
      <c r="L758" s="253" t="s">
        <v>2785</v>
      </c>
      <c r="M758" s="227" t="s">
        <v>3021</v>
      </c>
      <c r="N758" s="293"/>
      <c r="O758" s="293" t="str">
        <f>TablaPOA[[#This Row],[Cod_Sub_acción_especifica]]&amp;"_"&amp;TablaPOA[[#This Row],[Tipo de agente]]</f>
        <v>K31.2.19.1_Distribuidores mayoristas, Importadores y Comercializadores</v>
      </c>
      <c r="P758" s="254" t="s">
        <v>2852</v>
      </c>
      <c r="Q758" s="292" t="str">
        <f>TablaPOA[[#This Row],[Cod_Sub_acción_especifica]]&amp;"_"&amp;TablaPOA[[#This Row],[Cod_Tipo_agente]]</f>
        <v>K31.2.19.1_TA4</v>
      </c>
      <c r="R758" s="254" t="s">
        <v>2853</v>
      </c>
      <c r="S758" s="255" t="s">
        <v>2864</v>
      </c>
      <c r="T758" s="271" t="s">
        <v>2865</v>
      </c>
    </row>
    <row r="759" spans="1:20" ht="25.5" x14ac:dyDescent="0.25">
      <c r="A759" s="219" t="s">
        <v>2314</v>
      </c>
      <c r="B759" s="227">
        <v>31</v>
      </c>
      <c r="C759" s="227" t="s">
        <v>2691</v>
      </c>
      <c r="D759" s="227" t="s">
        <v>2988</v>
      </c>
      <c r="E759" s="227" t="s">
        <v>3160</v>
      </c>
      <c r="F759" s="227" t="s">
        <v>2695</v>
      </c>
      <c r="G759" s="227" t="s">
        <v>2490</v>
      </c>
      <c r="H759" s="253" t="s">
        <v>3179</v>
      </c>
      <c r="I759" s="253" t="s">
        <v>2734</v>
      </c>
      <c r="J759" s="227" t="s">
        <v>2735</v>
      </c>
      <c r="K759" s="253" t="s">
        <v>3116</v>
      </c>
      <c r="L759" s="253" t="s">
        <v>2785</v>
      </c>
      <c r="M759" s="227" t="s">
        <v>3021</v>
      </c>
      <c r="N759" s="293"/>
      <c r="O759" s="293" t="str">
        <f>TablaPOA[[#This Row],[Cod_Sub_acción_especifica]]&amp;"_"&amp;TablaPOA[[#This Row],[Tipo de agente]]</f>
        <v>K31.2.19.1_Distribuidores mayoristas, Importadores y Comercializadores</v>
      </c>
      <c r="P759" s="254" t="s">
        <v>2852</v>
      </c>
      <c r="Q759" s="292" t="str">
        <f>TablaPOA[[#This Row],[Cod_Sub_acción_especifica]]&amp;"_"&amp;TablaPOA[[#This Row],[Cod_Tipo_agente]]</f>
        <v>K31.2.19.1_TA4</v>
      </c>
      <c r="R759" s="254" t="s">
        <v>2853</v>
      </c>
      <c r="S759" s="255" t="s">
        <v>2866</v>
      </c>
      <c r="T759" s="271" t="s">
        <v>2867</v>
      </c>
    </row>
    <row r="760" spans="1:20" ht="25.5" x14ac:dyDescent="0.25">
      <c r="A760" s="219" t="s">
        <v>2314</v>
      </c>
      <c r="B760" s="227">
        <v>31</v>
      </c>
      <c r="C760" s="227" t="s">
        <v>2691</v>
      </c>
      <c r="D760" s="227" t="s">
        <v>2988</v>
      </c>
      <c r="E760" s="227" t="s">
        <v>3160</v>
      </c>
      <c r="F760" s="227" t="s">
        <v>2695</v>
      </c>
      <c r="G760" s="227" t="s">
        <v>2490</v>
      </c>
      <c r="H760" s="253" t="s">
        <v>3179</v>
      </c>
      <c r="I760" s="253" t="s">
        <v>2734</v>
      </c>
      <c r="J760" s="227" t="s">
        <v>2735</v>
      </c>
      <c r="K760" s="253" t="s">
        <v>3116</v>
      </c>
      <c r="L760" s="253" t="s">
        <v>2785</v>
      </c>
      <c r="M760" s="227" t="s">
        <v>3021</v>
      </c>
      <c r="N760" s="293"/>
      <c r="O760" s="293" t="str">
        <f>TablaPOA[[#This Row],[Cod_Sub_acción_especifica]]&amp;"_"&amp;TablaPOA[[#This Row],[Tipo de agente]]</f>
        <v>K31.2.19.1_Distribuidores mayoristas, Importadores y Comercializadores</v>
      </c>
      <c r="P760" s="254" t="s">
        <v>2852</v>
      </c>
      <c r="Q760" s="292" t="str">
        <f>TablaPOA[[#This Row],[Cod_Sub_acción_especifica]]&amp;"_"&amp;TablaPOA[[#This Row],[Cod_Tipo_agente]]</f>
        <v>K31.2.19.1_TA4</v>
      </c>
      <c r="R760" s="254" t="s">
        <v>2853</v>
      </c>
      <c r="S760" s="255" t="s">
        <v>2868</v>
      </c>
      <c r="T760" s="271" t="s">
        <v>2869</v>
      </c>
    </row>
    <row r="761" spans="1:20" ht="25.5" x14ac:dyDescent="0.25">
      <c r="A761" s="219" t="s">
        <v>2314</v>
      </c>
      <c r="B761" s="227">
        <v>31</v>
      </c>
      <c r="C761" s="227" t="s">
        <v>2691</v>
      </c>
      <c r="D761" s="227" t="s">
        <v>2988</v>
      </c>
      <c r="E761" s="227" t="s">
        <v>3160</v>
      </c>
      <c r="F761" s="227" t="s">
        <v>2695</v>
      </c>
      <c r="G761" s="227" t="s">
        <v>2490</v>
      </c>
      <c r="H761" s="253" t="s">
        <v>3179</v>
      </c>
      <c r="I761" s="253" t="s">
        <v>2734</v>
      </c>
      <c r="J761" s="227" t="s">
        <v>2735</v>
      </c>
      <c r="K761" s="253" t="s">
        <v>3116</v>
      </c>
      <c r="L761" s="253" t="s">
        <v>2785</v>
      </c>
      <c r="M761" s="227" t="s">
        <v>3021</v>
      </c>
      <c r="N761" s="293"/>
      <c r="O761" s="293" t="str">
        <f>TablaPOA[[#This Row],[Cod_Sub_acción_especifica]]&amp;"_"&amp;TablaPOA[[#This Row],[Tipo de agente]]</f>
        <v>K31.2.19.1_Distribuidores mayoristas, Importadores y Comercializadores</v>
      </c>
      <c r="P761" s="254" t="s">
        <v>2852</v>
      </c>
      <c r="Q761" s="292" t="str">
        <f>TablaPOA[[#This Row],[Cod_Sub_acción_especifica]]&amp;"_"&amp;TablaPOA[[#This Row],[Cod_Tipo_agente]]</f>
        <v>K31.2.19.1_TA4</v>
      </c>
      <c r="R761" s="254" t="s">
        <v>2853</v>
      </c>
      <c r="S761" s="255" t="s">
        <v>2870</v>
      </c>
      <c r="T761" s="271" t="s">
        <v>2871</v>
      </c>
    </row>
    <row r="762" spans="1:20" ht="25.5" x14ac:dyDescent="0.25">
      <c r="A762" s="219" t="s">
        <v>2314</v>
      </c>
      <c r="B762" s="227">
        <v>31</v>
      </c>
      <c r="C762" s="227" t="s">
        <v>2691</v>
      </c>
      <c r="D762" s="227" t="s">
        <v>2988</v>
      </c>
      <c r="E762" s="227" t="s">
        <v>3160</v>
      </c>
      <c r="F762" s="227" t="s">
        <v>2695</v>
      </c>
      <c r="G762" s="227" t="s">
        <v>2490</v>
      </c>
      <c r="H762" s="253" t="s">
        <v>3179</v>
      </c>
      <c r="I762" s="253" t="s">
        <v>2734</v>
      </c>
      <c r="J762" s="227" t="s">
        <v>2735</v>
      </c>
      <c r="K762" s="253" t="s">
        <v>3116</v>
      </c>
      <c r="L762" s="253" t="s">
        <v>2785</v>
      </c>
      <c r="M762" s="227" t="s">
        <v>3021</v>
      </c>
      <c r="N762" s="293"/>
      <c r="O762" s="293" t="str">
        <f>TablaPOA[[#This Row],[Cod_Sub_acción_especifica]]&amp;"_"&amp;TablaPOA[[#This Row],[Tipo de agente]]</f>
        <v>K31.2.19.1_Distribuidores mayoristas, Importadores y Comercializadores</v>
      </c>
      <c r="P762" s="254" t="s">
        <v>2852</v>
      </c>
      <c r="Q762" s="292" t="str">
        <f>TablaPOA[[#This Row],[Cod_Sub_acción_especifica]]&amp;"_"&amp;TablaPOA[[#This Row],[Cod_Tipo_agente]]</f>
        <v>K31.2.19.1_TA4</v>
      </c>
      <c r="R762" s="254" t="s">
        <v>2853</v>
      </c>
      <c r="S762" s="255" t="s">
        <v>2872</v>
      </c>
      <c r="T762" s="271" t="s">
        <v>2873</v>
      </c>
    </row>
    <row r="763" spans="1:20" ht="25.5" x14ac:dyDescent="0.25">
      <c r="A763" s="219" t="s">
        <v>2314</v>
      </c>
      <c r="B763" s="227">
        <v>31</v>
      </c>
      <c r="C763" s="227" t="s">
        <v>2691</v>
      </c>
      <c r="D763" s="227" t="s">
        <v>2988</v>
      </c>
      <c r="E763" s="227" t="s">
        <v>3160</v>
      </c>
      <c r="F763" s="227" t="s">
        <v>2695</v>
      </c>
      <c r="G763" s="227" t="s">
        <v>2490</v>
      </c>
      <c r="H763" s="253" t="s">
        <v>3179</v>
      </c>
      <c r="I763" s="253" t="s">
        <v>2734</v>
      </c>
      <c r="J763" s="227" t="s">
        <v>2735</v>
      </c>
      <c r="K763" s="253" t="s">
        <v>3116</v>
      </c>
      <c r="L763" s="253" t="s">
        <v>2785</v>
      </c>
      <c r="M763" s="227" t="s">
        <v>3021</v>
      </c>
      <c r="N763" s="293"/>
      <c r="O763" s="293" t="str">
        <f>TablaPOA[[#This Row],[Cod_Sub_acción_especifica]]&amp;"_"&amp;TablaPOA[[#This Row],[Tipo de agente]]</f>
        <v>K31.2.19.1_Distribuidores mayoristas, Importadores y Comercializadores</v>
      </c>
      <c r="P763" s="254" t="s">
        <v>2852</v>
      </c>
      <c r="Q763" s="292" t="str">
        <f>TablaPOA[[#This Row],[Cod_Sub_acción_especifica]]&amp;"_"&amp;TablaPOA[[#This Row],[Cod_Tipo_agente]]</f>
        <v>K31.2.19.1_TA4</v>
      </c>
      <c r="R763" s="254" t="s">
        <v>2853</v>
      </c>
      <c r="S763" s="255" t="s">
        <v>2874</v>
      </c>
      <c r="T763" s="271" t="s">
        <v>2875</v>
      </c>
    </row>
    <row r="764" spans="1:20" ht="25.5" x14ac:dyDescent="0.25">
      <c r="A764" s="219" t="s">
        <v>2314</v>
      </c>
      <c r="B764" s="227">
        <v>31</v>
      </c>
      <c r="C764" s="227" t="s">
        <v>2691</v>
      </c>
      <c r="D764" s="227" t="s">
        <v>2988</v>
      </c>
      <c r="E764" s="227" t="s">
        <v>3160</v>
      </c>
      <c r="F764" s="227" t="s">
        <v>2695</v>
      </c>
      <c r="G764" s="227" t="s">
        <v>2490</v>
      </c>
      <c r="H764" s="253" t="s">
        <v>3179</v>
      </c>
      <c r="I764" s="253" t="s">
        <v>2734</v>
      </c>
      <c r="J764" s="227" t="s">
        <v>2735</v>
      </c>
      <c r="K764" s="253" t="s">
        <v>3116</v>
      </c>
      <c r="L764" s="253" t="s">
        <v>2785</v>
      </c>
      <c r="M764" s="227" t="s">
        <v>3021</v>
      </c>
      <c r="N764" s="293"/>
      <c r="O764" s="293" t="str">
        <f>TablaPOA[[#This Row],[Cod_Sub_acción_especifica]]&amp;"_"&amp;TablaPOA[[#This Row],[Tipo de agente]]</f>
        <v>K31.2.19.1_Envasadoras de GLP</v>
      </c>
      <c r="P764" s="254" t="s">
        <v>2876</v>
      </c>
      <c r="Q764" s="292" t="str">
        <f>TablaPOA[[#This Row],[Cod_Sub_acción_especifica]]&amp;"_"&amp;TablaPOA[[#This Row],[Cod_Tipo_agente]]</f>
        <v>K31.2.19.1_TA5</v>
      </c>
      <c r="R764" s="254" t="s">
        <v>2877</v>
      </c>
      <c r="S764" s="255" t="s">
        <v>2878</v>
      </c>
      <c r="T764" s="271" t="s">
        <v>2879</v>
      </c>
    </row>
    <row r="765" spans="1:20" ht="25.5" x14ac:dyDescent="0.25">
      <c r="A765" s="219" t="s">
        <v>2314</v>
      </c>
      <c r="B765" s="227">
        <v>31</v>
      </c>
      <c r="C765" s="227" t="s">
        <v>2691</v>
      </c>
      <c r="D765" s="227" t="s">
        <v>2988</v>
      </c>
      <c r="E765" s="227" t="s">
        <v>3160</v>
      </c>
      <c r="F765" s="227" t="s">
        <v>2695</v>
      </c>
      <c r="G765" s="227" t="s">
        <v>2490</v>
      </c>
      <c r="H765" s="253" t="s">
        <v>3179</v>
      </c>
      <c r="I765" s="253" t="s">
        <v>2734</v>
      </c>
      <c r="J765" s="227" t="s">
        <v>2735</v>
      </c>
      <c r="K765" s="253" t="s">
        <v>3116</v>
      </c>
      <c r="L765" s="253" t="s">
        <v>2785</v>
      </c>
      <c r="M765" s="227" t="s">
        <v>3021</v>
      </c>
      <c r="N765" s="293"/>
      <c r="O765" s="293" t="str">
        <f>TablaPOA[[#This Row],[Cod_Sub_acción_especifica]]&amp;"_"&amp;TablaPOA[[#This Row],[Tipo de agente]]</f>
        <v>K31.2.19.1_Envasadoras de GLP</v>
      </c>
      <c r="P765" s="254" t="s">
        <v>2876</v>
      </c>
      <c r="Q765" s="292" t="str">
        <f>TablaPOA[[#This Row],[Cod_Sub_acción_especifica]]&amp;"_"&amp;TablaPOA[[#This Row],[Cod_Tipo_agente]]</f>
        <v>K31.2.19.1_TA5</v>
      </c>
      <c r="R765" s="254" t="s">
        <v>2877</v>
      </c>
      <c r="S765" s="255" t="s">
        <v>2880</v>
      </c>
      <c r="T765" s="271" t="s">
        <v>2881</v>
      </c>
    </row>
    <row r="766" spans="1:20" ht="25.5" x14ac:dyDescent="0.25">
      <c r="A766" s="219" t="s">
        <v>2314</v>
      </c>
      <c r="B766" s="227">
        <v>31</v>
      </c>
      <c r="C766" s="227" t="s">
        <v>2691</v>
      </c>
      <c r="D766" s="227" t="s">
        <v>2988</v>
      </c>
      <c r="E766" s="227" t="s">
        <v>3160</v>
      </c>
      <c r="F766" s="227" t="s">
        <v>2695</v>
      </c>
      <c r="G766" s="227" t="s">
        <v>2490</v>
      </c>
      <c r="H766" s="253" t="s">
        <v>3179</v>
      </c>
      <c r="I766" s="253" t="s">
        <v>2734</v>
      </c>
      <c r="J766" s="227" t="s">
        <v>2735</v>
      </c>
      <c r="K766" s="253" t="s">
        <v>3116</v>
      </c>
      <c r="L766" s="253" t="s">
        <v>2785</v>
      </c>
      <c r="M766" s="227" t="s">
        <v>3021</v>
      </c>
      <c r="N766" s="293"/>
      <c r="O766" s="293" t="str">
        <f>TablaPOA[[#This Row],[Cod_Sub_acción_especifica]]&amp;"_"&amp;TablaPOA[[#This Row],[Tipo de agente]]</f>
        <v>K31.2.19.1_EVP combustibles de uso automotor</v>
      </c>
      <c r="P766" s="254" t="s">
        <v>2882</v>
      </c>
      <c r="Q766" s="292" t="str">
        <f>TablaPOA[[#This Row],[Cod_Sub_acción_especifica]]&amp;"_"&amp;TablaPOA[[#This Row],[Cod_Tipo_agente]]</f>
        <v>K31.2.19.1_TA6</v>
      </c>
      <c r="R766" s="254" t="s">
        <v>2883</v>
      </c>
      <c r="S766" s="255" t="s">
        <v>2884</v>
      </c>
      <c r="T766" s="271" t="s">
        <v>2885</v>
      </c>
    </row>
    <row r="767" spans="1:20" ht="25.5" x14ac:dyDescent="0.25">
      <c r="A767" s="219" t="s">
        <v>2314</v>
      </c>
      <c r="B767" s="227">
        <v>31</v>
      </c>
      <c r="C767" s="227" t="s">
        <v>2691</v>
      </c>
      <c r="D767" s="227" t="s">
        <v>2988</v>
      </c>
      <c r="E767" s="227" t="s">
        <v>3160</v>
      </c>
      <c r="F767" s="227" t="s">
        <v>2695</v>
      </c>
      <c r="G767" s="227" t="s">
        <v>2490</v>
      </c>
      <c r="H767" s="253" t="s">
        <v>3179</v>
      </c>
      <c r="I767" s="253" t="s">
        <v>2734</v>
      </c>
      <c r="J767" s="227" t="s">
        <v>2735</v>
      </c>
      <c r="K767" s="253" t="s">
        <v>3116</v>
      </c>
      <c r="L767" s="253" t="s">
        <v>2785</v>
      </c>
      <c r="M767" s="227" t="s">
        <v>3021</v>
      </c>
      <c r="N767" s="293"/>
      <c r="O767" s="293" t="str">
        <f>TablaPOA[[#This Row],[Cod_Sub_acción_especifica]]&amp;"_"&amp;TablaPOA[[#This Row],[Tipo de agente]]</f>
        <v>K31.2.19.1_EVP combustibles de uso automotor</v>
      </c>
      <c r="P767" s="254" t="s">
        <v>2882</v>
      </c>
      <c r="Q767" s="292" t="str">
        <f>TablaPOA[[#This Row],[Cod_Sub_acción_especifica]]&amp;"_"&amp;TablaPOA[[#This Row],[Cod_Tipo_agente]]</f>
        <v>K31.2.19.1_TA6</v>
      </c>
      <c r="R767" s="254" t="s">
        <v>2883</v>
      </c>
      <c r="S767" s="255" t="s">
        <v>2886</v>
      </c>
      <c r="T767" s="271" t="s">
        <v>2887</v>
      </c>
    </row>
    <row r="768" spans="1:20" ht="25.5" x14ac:dyDescent="0.25">
      <c r="A768" s="219" t="s">
        <v>2314</v>
      </c>
      <c r="B768" s="227">
        <v>31</v>
      </c>
      <c r="C768" s="227" t="s">
        <v>2691</v>
      </c>
      <c r="D768" s="227" t="s">
        <v>2988</v>
      </c>
      <c r="E768" s="227" t="s">
        <v>3160</v>
      </c>
      <c r="F768" s="227" t="s">
        <v>2695</v>
      </c>
      <c r="G768" s="227" t="s">
        <v>2490</v>
      </c>
      <c r="H768" s="253" t="s">
        <v>3179</v>
      </c>
      <c r="I768" s="253" t="s">
        <v>2734</v>
      </c>
      <c r="J768" s="227" t="s">
        <v>2735</v>
      </c>
      <c r="K768" s="253" t="s">
        <v>3116</v>
      </c>
      <c r="L768" s="253" t="s">
        <v>2785</v>
      </c>
      <c r="M768" s="227" t="s">
        <v>3021</v>
      </c>
      <c r="N768" s="293"/>
      <c r="O768" s="293" t="str">
        <f>TablaPOA[[#This Row],[Cod_Sub_acción_especifica]]&amp;"_"&amp;TablaPOA[[#This Row],[Tipo de agente]]</f>
        <v>K31.2.19.1_EVP combustibles de uso automotor</v>
      </c>
      <c r="P768" s="254" t="s">
        <v>2882</v>
      </c>
      <c r="Q768" s="292" t="str">
        <f>TablaPOA[[#This Row],[Cod_Sub_acción_especifica]]&amp;"_"&amp;TablaPOA[[#This Row],[Cod_Tipo_agente]]</f>
        <v>K31.2.19.1_TA6</v>
      </c>
      <c r="R768" s="254" t="s">
        <v>2883</v>
      </c>
      <c r="S768" s="255" t="s">
        <v>2888</v>
      </c>
      <c r="T768" s="271" t="s">
        <v>2889</v>
      </c>
    </row>
    <row r="769" spans="1:20" ht="25.5" x14ac:dyDescent="0.25">
      <c r="A769" s="219" t="s">
        <v>2314</v>
      </c>
      <c r="B769" s="227">
        <v>31</v>
      </c>
      <c r="C769" s="227" t="s">
        <v>2691</v>
      </c>
      <c r="D769" s="227" t="s">
        <v>2988</v>
      </c>
      <c r="E769" s="227" t="s">
        <v>3160</v>
      </c>
      <c r="F769" s="227" t="s">
        <v>2695</v>
      </c>
      <c r="G769" s="227" t="s">
        <v>2490</v>
      </c>
      <c r="H769" s="253" t="s">
        <v>3179</v>
      </c>
      <c r="I769" s="253" t="s">
        <v>2734</v>
      </c>
      <c r="J769" s="227" t="s">
        <v>2735</v>
      </c>
      <c r="K769" s="253" t="s">
        <v>3116</v>
      </c>
      <c r="L769" s="253" t="s">
        <v>2785</v>
      </c>
      <c r="M769" s="227" t="s">
        <v>3021</v>
      </c>
      <c r="N769" s="293"/>
      <c r="O769" s="293" t="str">
        <f>TablaPOA[[#This Row],[Cod_Sub_acción_especifica]]&amp;"_"&amp;TablaPOA[[#This Row],[Tipo de agente]]</f>
        <v>K31.2.19.1_EVP combustibles de uso automotor</v>
      </c>
      <c r="P769" s="254" t="s">
        <v>2882</v>
      </c>
      <c r="Q769" s="292" t="str">
        <f>TablaPOA[[#This Row],[Cod_Sub_acción_especifica]]&amp;"_"&amp;TablaPOA[[#This Row],[Cod_Tipo_agente]]</f>
        <v>K31.2.19.1_TA6</v>
      </c>
      <c r="R769" s="254" t="s">
        <v>2883</v>
      </c>
      <c r="S769" s="255" t="s">
        <v>2890</v>
      </c>
      <c r="T769" s="271" t="s">
        <v>2891</v>
      </c>
    </row>
    <row r="770" spans="1:20" ht="25.5" x14ac:dyDescent="0.25">
      <c r="A770" s="219" t="s">
        <v>2314</v>
      </c>
      <c r="B770" s="227">
        <v>31</v>
      </c>
      <c r="C770" s="227" t="s">
        <v>2691</v>
      </c>
      <c r="D770" s="227" t="s">
        <v>2988</v>
      </c>
      <c r="E770" s="227" t="s">
        <v>3160</v>
      </c>
      <c r="F770" s="227" t="s">
        <v>2695</v>
      </c>
      <c r="G770" s="227" t="s">
        <v>2490</v>
      </c>
      <c r="H770" s="253" t="s">
        <v>3179</v>
      </c>
      <c r="I770" s="253" t="s">
        <v>2734</v>
      </c>
      <c r="J770" s="227" t="s">
        <v>2735</v>
      </c>
      <c r="K770" s="253" t="s">
        <v>3116</v>
      </c>
      <c r="L770" s="253" t="s">
        <v>2785</v>
      </c>
      <c r="M770" s="227" t="s">
        <v>3021</v>
      </c>
      <c r="N770" s="293"/>
      <c r="O770" s="293" t="str">
        <f>TablaPOA[[#This Row],[Cod_Sub_acción_especifica]]&amp;"_"&amp;TablaPOA[[#This Row],[Tipo de agente]]</f>
        <v>K31.2.19.1_EVP combustibles de uso automotor</v>
      </c>
      <c r="P770" s="254" t="s">
        <v>2882</v>
      </c>
      <c r="Q770" s="292" t="str">
        <f>TablaPOA[[#This Row],[Cod_Sub_acción_especifica]]&amp;"_"&amp;TablaPOA[[#This Row],[Cod_Tipo_agente]]</f>
        <v>K31.2.19.1_TA6</v>
      </c>
      <c r="R770" s="254" t="s">
        <v>2883</v>
      </c>
      <c r="S770" s="255" t="s">
        <v>2892</v>
      </c>
      <c r="T770" s="271" t="s">
        <v>2893</v>
      </c>
    </row>
    <row r="771" spans="1:20" ht="25.5" x14ac:dyDescent="0.25">
      <c r="A771" s="219" t="s">
        <v>2314</v>
      </c>
      <c r="B771" s="227">
        <v>31</v>
      </c>
      <c r="C771" s="227" t="s">
        <v>2691</v>
      </c>
      <c r="D771" s="227" t="s">
        <v>2988</v>
      </c>
      <c r="E771" s="227" t="s">
        <v>3160</v>
      </c>
      <c r="F771" s="227" t="s">
        <v>2695</v>
      </c>
      <c r="G771" s="227" t="s">
        <v>2490</v>
      </c>
      <c r="H771" s="253" t="s">
        <v>3179</v>
      </c>
      <c r="I771" s="253" t="s">
        <v>2734</v>
      </c>
      <c r="J771" s="227" t="s">
        <v>2735</v>
      </c>
      <c r="K771" s="253" t="s">
        <v>3116</v>
      </c>
      <c r="L771" s="253" t="s">
        <v>2785</v>
      </c>
      <c r="M771" s="227" t="s">
        <v>3021</v>
      </c>
      <c r="N771" s="293"/>
      <c r="O771" s="293" t="str">
        <f>TablaPOA[[#This Row],[Cod_Sub_acción_especifica]]&amp;"_"&amp;TablaPOA[[#This Row],[Tipo de agente]]</f>
        <v>K31.2.19.1_EVP combustibles de uso automotor</v>
      </c>
      <c r="P771" s="254" t="s">
        <v>2882</v>
      </c>
      <c r="Q771" s="292" t="str">
        <f>TablaPOA[[#This Row],[Cod_Sub_acción_especifica]]&amp;"_"&amp;TablaPOA[[#This Row],[Cod_Tipo_agente]]</f>
        <v>K31.2.19.1_TA6</v>
      </c>
      <c r="R771" s="254" t="s">
        <v>2883</v>
      </c>
      <c r="S771" s="255" t="s">
        <v>2894</v>
      </c>
      <c r="T771" s="271" t="s">
        <v>2895</v>
      </c>
    </row>
    <row r="772" spans="1:20" ht="25.5" x14ac:dyDescent="0.25">
      <c r="A772" s="219" t="s">
        <v>2314</v>
      </c>
      <c r="B772" s="227">
        <v>31</v>
      </c>
      <c r="C772" s="227" t="s">
        <v>2691</v>
      </c>
      <c r="D772" s="227" t="s">
        <v>2988</v>
      </c>
      <c r="E772" s="227" t="s">
        <v>3160</v>
      </c>
      <c r="F772" s="227" t="s">
        <v>2695</v>
      </c>
      <c r="G772" s="227" t="s">
        <v>2490</v>
      </c>
      <c r="H772" s="253" t="s">
        <v>3179</v>
      </c>
      <c r="I772" s="253" t="s">
        <v>2734</v>
      </c>
      <c r="J772" s="227" t="s">
        <v>2735</v>
      </c>
      <c r="K772" s="253" t="s">
        <v>3116</v>
      </c>
      <c r="L772" s="253" t="s">
        <v>2785</v>
      </c>
      <c r="M772" s="227" t="s">
        <v>3021</v>
      </c>
      <c r="N772" s="293"/>
      <c r="O772" s="293" t="str">
        <f>TablaPOA[[#This Row],[Cod_Sub_acción_especifica]]&amp;"_"&amp;TablaPOA[[#This Row],[Tipo de agente]]</f>
        <v>K31.2.19.1_EVP combustibles de uso automotor</v>
      </c>
      <c r="P772" s="254" t="s">
        <v>2882</v>
      </c>
      <c r="Q772" s="292" t="str">
        <f>TablaPOA[[#This Row],[Cod_Sub_acción_especifica]]&amp;"_"&amp;TablaPOA[[#This Row],[Cod_Tipo_agente]]</f>
        <v>K31.2.19.1_TA6</v>
      </c>
      <c r="R772" s="254" t="s">
        <v>2883</v>
      </c>
      <c r="S772" s="255" t="s">
        <v>2896</v>
      </c>
      <c r="T772" s="271" t="s">
        <v>2897</v>
      </c>
    </row>
    <row r="773" spans="1:20" ht="25.5" x14ac:dyDescent="0.25">
      <c r="A773" s="219" t="s">
        <v>2314</v>
      </c>
      <c r="B773" s="227">
        <v>31</v>
      </c>
      <c r="C773" s="227" t="s">
        <v>2691</v>
      </c>
      <c r="D773" s="227" t="s">
        <v>2988</v>
      </c>
      <c r="E773" s="227" t="s">
        <v>3160</v>
      </c>
      <c r="F773" s="227" t="s">
        <v>2695</v>
      </c>
      <c r="G773" s="227" t="s">
        <v>2490</v>
      </c>
      <c r="H773" s="253" t="s">
        <v>3179</v>
      </c>
      <c r="I773" s="253" t="s">
        <v>2734</v>
      </c>
      <c r="J773" s="227" t="s">
        <v>2735</v>
      </c>
      <c r="K773" s="253" t="s">
        <v>3116</v>
      </c>
      <c r="L773" s="253" t="s">
        <v>2785</v>
      </c>
      <c r="M773" s="227" t="s">
        <v>3021</v>
      </c>
      <c r="N773" s="293"/>
      <c r="O773" s="293" t="str">
        <f>TablaPOA[[#This Row],[Cod_Sub_acción_especifica]]&amp;"_"&amp;TablaPOA[[#This Row],[Tipo de agente]]</f>
        <v>K31.2.19.1_EVP combustibles de uso automotor</v>
      </c>
      <c r="P773" s="254" t="s">
        <v>2882</v>
      </c>
      <c r="Q773" s="292" t="str">
        <f>TablaPOA[[#This Row],[Cod_Sub_acción_especifica]]&amp;"_"&amp;TablaPOA[[#This Row],[Cod_Tipo_agente]]</f>
        <v>K31.2.19.1_TA6</v>
      </c>
      <c r="R773" s="254" t="s">
        <v>2883</v>
      </c>
      <c r="S773" s="255" t="s">
        <v>2898</v>
      </c>
      <c r="T773" s="271" t="s">
        <v>2899</v>
      </c>
    </row>
    <row r="774" spans="1:20" ht="25.5" x14ac:dyDescent="0.25">
      <c r="A774" s="219" t="s">
        <v>2314</v>
      </c>
      <c r="B774" s="227">
        <v>31</v>
      </c>
      <c r="C774" s="227" t="s">
        <v>2691</v>
      </c>
      <c r="D774" s="227" t="s">
        <v>2988</v>
      </c>
      <c r="E774" s="227" t="s">
        <v>3160</v>
      </c>
      <c r="F774" s="227" t="s">
        <v>2695</v>
      </c>
      <c r="G774" s="227" t="s">
        <v>2490</v>
      </c>
      <c r="H774" s="253" t="s">
        <v>3179</v>
      </c>
      <c r="I774" s="253" t="s">
        <v>2734</v>
      </c>
      <c r="J774" s="227" t="s">
        <v>2735</v>
      </c>
      <c r="K774" s="253" t="s">
        <v>3116</v>
      </c>
      <c r="L774" s="253" t="s">
        <v>2785</v>
      </c>
      <c r="M774" s="227" t="s">
        <v>3021</v>
      </c>
      <c r="N774" s="293"/>
      <c r="O774" s="293" t="str">
        <f>TablaPOA[[#This Row],[Cod_Sub_acción_especifica]]&amp;"_"&amp;TablaPOA[[#This Row],[Tipo de agente]]</f>
        <v>K31.2.19.1_EVP combustibles de uso automotor</v>
      </c>
      <c r="P774" s="254" t="s">
        <v>2882</v>
      </c>
      <c r="Q774" s="292" t="str">
        <f>TablaPOA[[#This Row],[Cod_Sub_acción_especifica]]&amp;"_"&amp;TablaPOA[[#This Row],[Cod_Tipo_agente]]</f>
        <v>K31.2.19.1_TA6</v>
      </c>
      <c r="R774" s="254" t="s">
        <v>2883</v>
      </c>
      <c r="S774" s="255" t="s">
        <v>2900</v>
      </c>
      <c r="T774" s="271" t="s">
        <v>2901</v>
      </c>
    </row>
    <row r="775" spans="1:20" ht="25.5" x14ac:dyDescent="0.25">
      <c r="A775" s="219" t="s">
        <v>2314</v>
      </c>
      <c r="B775" s="227">
        <v>31</v>
      </c>
      <c r="C775" s="227" t="s">
        <v>2691</v>
      </c>
      <c r="D775" s="227" t="s">
        <v>2988</v>
      </c>
      <c r="E775" s="227" t="s">
        <v>3160</v>
      </c>
      <c r="F775" s="227" t="s">
        <v>2695</v>
      </c>
      <c r="G775" s="227" t="s">
        <v>2490</v>
      </c>
      <c r="H775" s="253" t="s">
        <v>3179</v>
      </c>
      <c r="I775" s="253" t="s">
        <v>2734</v>
      </c>
      <c r="J775" s="227" t="s">
        <v>2735</v>
      </c>
      <c r="K775" s="253" t="s">
        <v>3116</v>
      </c>
      <c r="L775" s="253" t="s">
        <v>2785</v>
      </c>
      <c r="M775" s="227" t="s">
        <v>3021</v>
      </c>
      <c r="N775" s="293"/>
      <c r="O775" s="293" t="str">
        <f>TablaPOA[[#This Row],[Cod_Sub_acción_especifica]]&amp;"_"&amp;TablaPOA[[#This Row],[Tipo de agente]]</f>
        <v>K31.2.19.1_Locales de venta de GLP</v>
      </c>
      <c r="P775" s="254" t="s">
        <v>2912</v>
      </c>
      <c r="Q775" s="292" t="str">
        <f>TablaPOA[[#This Row],[Cod_Sub_acción_especifica]]&amp;"_"&amp;TablaPOA[[#This Row],[Cod_Tipo_agente]]</f>
        <v>K31.2.19.1_TA8</v>
      </c>
      <c r="R775" s="254" t="s">
        <v>2913</v>
      </c>
      <c r="S775" s="255" t="s">
        <v>2914</v>
      </c>
      <c r="T775" s="271" t="s">
        <v>2915</v>
      </c>
    </row>
    <row r="776" spans="1:20" ht="25.5" x14ac:dyDescent="0.25">
      <c r="A776" s="219" t="s">
        <v>2314</v>
      </c>
      <c r="B776" s="227">
        <v>31</v>
      </c>
      <c r="C776" s="227" t="s">
        <v>2691</v>
      </c>
      <c r="D776" s="227" t="s">
        <v>2988</v>
      </c>
      <c r="E776" s="227" t="s">
        <v>3160</v>
      </c>
      <c r="F776" s="227" t="s">
        <v>2695</v>
      </c>
      <c r="G776" s="227" t="s">
        <v>2490</v>
      </c>
      <c r="H776" s="253" t="s">
        <v>3179</v>
      </c>
      <c r="I776" s="253" t="s">
        <v>2734</v>
      </c>
      <c r="J776" s="227" t="s">
        <v>2735</v>
      </c>
      <c r="K776" s="253" t="s">
        <v>3116</v>
      </c>
      <c r="L776" s="253" t="s">
        <v>2785</v>
      </c>
      <c r="M776" s="227" t="s">
        <v>3021</v>
      </c>
      <c r="N776" s="293"/>
      <c r="O776" s="293" t="str">
        <f>TablaPOA[[#This Row],[Cod_Sub_acción_especifica]]&amp;"_"&amp;TablaPOA[[#This Row],[Tipo de agente]]</f>
        <v>K31.2.19.1_Locales de venta de GLP</v>
      </c>
      <c r="P776" s="254" t="s">
        <v>2912</v>
      </c>
      <c r="Q776" s="292" t="str">
        <f>TablaPOA[[#This Row],[Cod_Sub_acción_especifica]]&amp;"_"&amp;TablaPOA[[#This Row],[Cod_Tipo_agente]]</f>
        <v>K31.2.19.1_TA8</v>
      </c>
      <c r="R776" s="254" t="s">
        <v>2913</v>
      </c>
      <c r="S776" s="255" t="s">
        <v>2916</v>
      </c>
      <c r="T776" s="271" t="s">
        <v>2917</v>
      </c>
    </row>
    <row r="777" spans="1:20" ht="25.5" x14ac:dyDescent="0.25">
      <c r="A777" s="219" t="s">
        <v>2314</v>
      </c>
      <c r="B777" s="227">
        <v>31</v>
      </c>
      <c r="C777" s="227" t="s">
        <v>2691</v>
      </c>
      <c r="D777" s="227" t="s">
        <v>2988</v>
      </c>
      <c r="E777" s="227" t="s">
        <v>3160</v>
      </c>
      <c r="F777" s="227" t="s">
        <v>2695</v>
      </c>
      <c r="G777" s="227" t="s">
        <v>2490</v>
      </c>
      <c r="H777" s="253" t="s">
        <v>3179</v>
      </c>
      <c r="I777" s="253" t="s">
        <v>2734</v>
      </c>
      <c r="J777" s="227" t="s">
        <v>2735</v>
      </c>
      <c r="K777" s="253" t="s">
        <v>3116</v>
      </c>
      <c r="L777" s="253" t="s">
        <v>2785</v>
      </c>
      <c r="M777" s="227" t="s">
        <v>3021</v>
      </c>
      <c r="N777" s="293"/>
      <c r="O777" s="293" t="str">
        <f>TablaPOA[[#This Row],[Cod_Sub_acción_especifica]]&amp;"_"&amp;TablaPOA[[#This Row],[Tipo de agente]]</f>
        <v>K31.2.19.1_Medios de transporte</v>
      </c>
      <c r="P777" s="254" t="s">
        <v>2918</v>
      </c>
      <c r="Q777" s="292" t="str">
        <f>TablaPOA[[#This Row],[Cod_Sub_acción_especifica]]&amp;"_"&amp;TablaPOA[[#This Row],[Cod_Tipo_agente]]</f>
        <v>K31.2.19.1_TA9</v>
      </c>
      <c r="R777" s="254" t="s">
        <v>2919</v>
      </c>
      <c r="S777" s="255" t="s">
        <v>2920</v>
      </c>
      <c r="T777" s="271" t="s">
        <v>2921</v>
      </c>
    </row>
    <row r="778" spans="1:20" ht="25.5" x14ac:dyDescent="0.25">
      <c r="A778" s="219" t="s">
        <v>2314</v>
      </c>
      <c r="B778" s="227">
        <v>31</v>
      </c>
      <c r="C778" s="227" t="s">
        <v>2691</v>
      </c>
      <c r="D778" s="227" t="s">
        <v>2988</v>
      </c>
      <c r="E778" s="227" t="s">
        <v>3160</v>
      </c>
      <c r="F778" s="227" t="s">
        <v>2695</v>
      </c>
      <c r="G778" s="227" t="s">
        <v>2490</v>
      </c>
      <c r="H778" s="253" t="s">
        <v>3179</v>
      </c>
      <c r="I778" s="253" t="s">
        <v>2734</v>
      </c>
      <c r="J778" s="227" t="s">
        <v>2735</v>
      </c>
      <c r="K778" s="253" t="s">
        <v>3116</v>
      </c>
      <c r="L778" s="253" t="s">
        <v>2785</v>
      </c>
      <c r="M778" s="227" t="s">
        <v>3021</v>
      </c>
      <c r="N778" s="293"/>
      <c r="O778" s="293" t="str">
        <f>TablaPOA[[#This Row],[Cod_Sub_acción_especifica]]&amp;"_"&amp;TablaPOA[[#This Row],[Tipo de agente]]</f>
        <v>K31.2.19.1_Medios de transporte</v>
      </c>
      <c r="P778" s="254" t="s">
        <v>2918</v>
      </c>
      <c r="Q778" s="292" t="str">
        <f>TablaPOA[[#This Row],[Cod_Sub_acción_especifica]]&amp;"_"&amp;TablaPOA[[#This Row],[Cod_Tipo_agente]]</f>
        <v>K31.2.19.1_TA9</v>
      </c>
      <c r="R778" s="254" t="s">
        <v>2919</v>
      </c>
      <c r="S778" s="255" t="s">
        <v>2922</v>
      </c>
      <c r="T778" s="271" t="s">
        <v>2923</v>
      </c>
    </row>
    <row r="779" spans="1:20" ht="25.5" x14ac:dyDescent="0.25">
      <c r="A779" s="219" t="s">
        <v>2314</v>
      </c>
      <c r="B779" s="227">
        <v>31</v>
      </c>
      <c r="C779" s="227" t="s">
        <v>2691</v>
      </c>
      <c r="D779" s="227" t="s">
        <v>2988</v>
      </c>
      <c r="E779" s="227" t="s">
        <v>3160</v>
      </c>
      <c r="F779" s="227" t="s">
        <v>2695</v>
      </c>
      <c r="G779" s="227" t="s">
        <v>2490</v>
      </c>
      <c r="H779" s="253" t="s">
        <v>3179</v>
      </c>
      <c r="I779" s="253" t="s">
        <v>2734</v>
      </c>
      <c r="J779" s="227" t="s">
        <v>2735</v>
      </c>
      <c r="K779" s="253" t="s">
        <v>3116</v>
      </c>
      <c r="L779" s="253" t="s">
        <v>2785</v>
      </c>
      <c r="M779" s="227" t="s">
        <v>3021</v>
      </c>
      <c r="N779" s="293"/>
      <c r="O779" s="293" t="str">
        <f>TablaPOA[[#This Row],[Cod_Sub_acción_especifica]]&amp;"_"&amp;TablaPOA[[#This Row],[Tipo de agente]]</f>
        <v>K31.2.19.1_Medios de transporte</v>
      </c>
      <c r="P779" s="254" t="s">
        <v>2918</v>
      </c>
      <c r="Q779" s="292" t="str">
        <f>TablaPOA[[#This Row],[Cod_Sub_acción_especifica]]&amp;"_"&amp;TablaPOA[[#This Row],[Cod_Tipo_agente]]</f>
        <v>K31.2.19.1_TA9</v>
      </c>
      <c r="R779" s="254" t="s">
        <v>2919</v>
      </c>
      <c r="S779" s="255" t="s">
        <v>2924</v>
      </c>
      <c r="T779" s="271" t="s">
        <v>2925</v>
      </c>
    </row>
    <row r="780" spans="1:20" ht="25.5" x14ac:dyDescent="0.25">
      <c r="A780" s="219" t="s">
        <v>2314</v>
      </c>
      <c r="B780" s="227">
        <v>31</v>
      </c>
      <c r="C780" s="227" t="s">
        <v>2691</v>
      </c>
      <c r="D780" s="227" t="s">
        <v>2988</v>
      </c>
      <c r="E780" s="227" t="s">
        <v>3160</v>
      </c>
      <c r="F780" s="227" t="s">
        <v>2695</v>
      </c>
      <c r="G780" s="227" t="s">
        <v>2490</v>
      </c>
      <c r="H780" s="253" t="s">
        <v>3179</v>
      </c>
      <c r="I780" s="253" t="s">
        <v>2734</v>
      </c>
      <c r="J780" s="227" t="s">
        <v>2735</v>
      </c>
      <c r="K780" s="253" t="s">
        <v>3116</v>
      </c>
      <c r="L780" s="253" t="s">
        <v>2785</v>
      </c>
      <c r="M780" s="227" t="s">
        <v>3021</v>
      </c>
      <c r="N780" s="293"/>
      <c r="O780" s="293" t="str">
        <f>TablaPOA[[#This Row],[Cod_Sub_acción_especifica]]&amp;"_"&amp;TablaPOA[[#This Row],[Tipo de agente]]</f>
        <v>K31.2.19.1_Medios de transporte</v>
      </c>
      <c r="P780" s="254" t="s">
        <v>2918</v>
      </c>
      <c r="Q780" s="292" t="str">
        <f>TablaPOA[[#This Row],[Cod_Sub_acción_especifica]]&amp;"_"&amp;TablaPOA[[#This Row],[Cod_Tipo_agente]]</f>
        <v>K31.2.19.1_TA9</v>
      </c>
      <c r="R780" s="254" t="s">
        <v>2919</v>
      </c>
      <c r="S780" s="255" t="s">
        <v>2926</v>
      </c>
      <c r="T780" s="271" t="s">
        <v>2927</v>
      </c>
    </row>
    <row r="781" spans="1:20" ht="25.5" x14ac:dyDescent="0.25">
      <c r="A781" s="219" t="s">
        <v>2314</v>
      </c>
      <c r="B781" s="227">
        <v>31</v>
      </c>
      <c r="C781" s="227" t="s">
        <v>2691</v>
      </c>
      <c r="D781" s="227" t="s">
        <v>2988</v>
      </c>
      <c r="E781" s="227" t="s">
        <v>3160</v>
      </c>
      <c r="F781" s="227" t="s">
        <v>2695</v>
      </c>
      <c r="G781" s="227" t="s">
        <v>2490</v>
      </c>
      <c r="H781" s="253" t="s">
        <v>3179</v>
      </c>
      <c r="I781" s="253" t="s">
        <v>2734</v>
      </c>
      <c r="J781" s="227" t="s">
        <v>2735</v>
      </c>
      <c r="K781" s="253" t="s">
        <v>3116</v>
      </c>
      <c r="L781" s="253" t="s">
        <v>2785</v>
      </c>
      <c r="M781" s="227" t="s">
        <v>3021</v>
      </c>
      <c r="N781" s="293"/>
      <c r="O781" s="293" t="str">
        <f>TablaPOA[[#This Row],[Cod_Sub_acción_especifica]]&amp;"_"&amp;TablaPOA[[#This Row],[Tipo de agente]]</f>
        <v>K31.2.19.1_Medios de transporte</v>
      </c>
      <c r="P781" s="254" t="s">
        <v>2918</v>
      </c>
      <c r="Q781" s="292" t="str">
        <f>TablaPOA[[#This Row],[Cod_Sub_acción_especifica]]&amp;"_"&amp;TablaPOA[[#This Row],[Cod_Tipo_agente]]</f>
        <v>K31.2.19.1_TA9</v>
      </c>
      <c r="R781" s="254" t="s">
        <v>2919</v>
      </c>
      <c r="S781" s="255" t="s">
        <v>2928</v>
      </c>
      <c r="T781" s="271" t="s">
        <v>2929</v>
      </c>
    </row>
    <row r="782" spans="1:20" ht="25.5" x14ac:dyDescent="0.25">
      <c r="A782" s="219" t="s">
        <v>2314</v>
      </c>
      <c r="B782" s="227">
        <v>31</v>
      </c>
      <c r="C782" s="227" t="s">
        <v>2691</v>
      </c>
      <c r="D782" s="227" t="s">
        <v>2988</v>
      </c>
      <c r="E782" s="227" t="s">
        <v>3160</v>
      </c>
      <c r="F782" s="227" t="s">
        <v>2695</v>
      </c>
      <c r="G782" s="227" t="s">
        <v>2490</v>
      </c>
      <c r="H782" s="253" t="s">
        <v>3179</v>
      </c>
      <c r="I782" s="253" t="s">
        <v>2734</v>
      </c>
      <c r="J782" s="227" t="s">
        <v>2735</v>
      </c>
      <c r="K782" s="253" t="s">
        <v>3116</v>
      </c>
      <c r="L782" s="253" t="s">
        <v>2785</v>
      </c>
      <c r="M782" s="227" t="s">
        <v>3021</v>
      </c>
      <c r="N782" s="293"/>
      <c r="O782" s="293" t="str">
        <f>TablaPOA[[#This Row],[Cod_Sub_acción_especifica]]&amp;"_"&amp;TablaPOA[[#This Row],[Tipo de agente]]</f>
        <v>K31.2.19.1_Medios de transporte</v>
      </c>
      <c r="P782" s="254" t="s">
        <v>2918</v>
      </c>
      <c r="Q782" s="292" t="str">
        <f>TablaPOA[[#This Row],[Cod_Sub_acción_especifica]]&amp;"_"&amp;TablaPOA[[#This Row],[Cod_Tipo_agente]]</f>
        <v>K31.2.19.1_TA9</v>
      </c>
      <c r="R782" s="254" t="s">
        <v>2919</v>
      </c>
      <c r="S782" s="255" t="s">
        <v>2930</v>
      </c>
      <c r="T782" s="271" t="s">
        <v>2931</v>
      </c>
    </row>
    <row r="783" spans="1:20" ht="25.5" x14ac:dyDescent="0.25">
      <c r="A783" s="219" t="s">
        <v>2314</v>
      </c>
      <c r="B783" s="227">
        <v>31</v>
      </c>
      <c r="C783" s="227" t="s">
        <v>2691</v>
      </c>
      <c r="D783" s="227" t="s">
        <v>2988</v>
      </c>
      <c r="E783" s="227" t="s">
        <v>3160</v>
      </c>
      <c r="F783" s="227" t="s">
        <v>2695</v>
      </c>
      <c r="G783" s="227" t="s">
        <v>2490</v>
      </c>
      <c r="H783" s="253" t="s">
        <v>3179</v>
      </c>
      <c r="I783" s="253" t="s">
        <v>2734</v>
      </c>
      <c r="J783" s="227" t="s">
        <v>2735</v>
      </c>
      <c r="K783" s="253" t="s">
        <v>3116</v>
      </c>
      <c r="L783" s="253" t="s">
        <v>2785</v>
      </c>
      <c r="M783" s="227" t="s">
        <v>3021</v>
      </c>
      <c r="N783" s="293"/>
      <c r="O783" s="293" t="str">
        <f>TablaPOA[[#This Row],[Cod_Sub_acción_especifica]]&amp;"_"&amp;TablaPOA[[#This Row],[Tipo de agente]]</f>
        <v>K31.2.19.1_Medios de transporte</v>
      </c>
      <c r="P783" s="254" t="s">
        <v>2918</v>
      </c>
      <c r="Q783" s="292" t="str">
        <f>TablaPOA[[#This Row],[Cod_Sub_acción_especifica]]&amp;"_"&amp;TablaPOA[[#This Row],[Cod_Tipo_agente]]</f>
        <v>K31.2.19.1_TA9</v>
      </c>
      <c r="R783" s="254" t="s">
        <v>2919</v>
      </c>
      <c r="S783" s="255" t="s">
        <v>2932</v>
      </c>
      <c r="T783" s="271" t="s">
        <v>2933</v>
      </c>
    </row>
    <row r="784" spans="1:20" ht="25.5" x14ac:dyDescent="0.25">
      <c r="A784" s="219" t="s">
        <v>2314</v>
      </c>
      <c r="B784" s="227">
        <v>31</v>
      </c>
      <c r="C784" s="227" t="s">
        <v>2691</v>
      </c>
      <c r="D784" s="227" t="s">
        <v>2988</v>
      </c>
      <c r="E784" s="227" t="s">
        <v>3160</v>
      </c>
      <c r="F784" s="227" t="s">
        <v>2695</v>
      </c>
      <c r="G784" s="227" t="s">
        <v>2490</v>
      </c>
      <c r="H784" s="253" t="s">
        <v>3179</v>
      </c>
      <c r="I784" s="253" t="s">
        <v>2734</v>
      </c>
      <c r="J784" s="227" t="s">
        <v>2735</v>
      </c>
      <c r="K784" s="253" t="s">
        <v>3116</v>
      </c>
      <c r="L784" s="253" t="s">
        <v>2785</v>
      </c>
      <c r="M784" s="227" t="s">
        <v>3021</v>
      </c>
      <c r="N784" s="293"/>
      <c r="O784" s="293" t="str">
        <f>TablaPOA[[#This Row],[Cod_Sub_acción_especifica]]&amp;"_"&amp;TablaPOA[[#This Row],[Tipo de agente]]</f>
        <v>K31.2.19.1_Medios de transporte</v>
      </c>
      <c r="P784" s="254" t="s">
        <v>2918</v>
      </c>
      <c r="Q784" s="292" t="str">
        <f>TablaPOA[[#This Row],[Cod_Sub_acción_especifica]]&amp;"_"&amp;TablaPOA[[#This Row],[Cod_Tipo_agente]]</f>
        <v>K31.2.19.1_TA9</v>
      </c>
      <c r="R784" s="254" t="s">
        <v>2919</v>
      </c>
      <c r="S784" s="255" t="s">
        <v>2934</v>
      </c>
      <c r="T784" s="271" t="s">
        <v>2935</v>
      </c>
    </row>
    <row r="785" spans="1:20" ht="25.5" x14ac:dyDescent="0.25">
      <c r="A785" s="219" t="s">
        <v>2314</v>
      </c>
      <c r="B785" s="227">
        <v>31</v>
      </c>
      <c r="C785" s="227" t="s">
        <v>2691</v>
      </c>
      <c r="D785" s="227" t="s">
        <v>2988</v>
      </c>
      <c r="E785" s="227" t="s">
        <v>3160</v>
      </c>
      <c r="F785" s="227" t="s">
        <v>2695</v>
      </c>
      <c r="G785" s="227" t="s">
        <v>2490</v>
      </c>
      <c r="H785" s="253" t="s">
        <v>3179</v>
      </c>
      <c r="I785" s="253" t="s">
        <v>2734</v>
      </c>
      <c r="J785" s="227" t="s">
        <v>2735</v>
      </c>
      <c r="K785" s="253" t="s">
        <v>3116</v>
      </c>
      <c r="L785" s="253" t="s">
        <v>2785</v>
      </c>
      <c r="M785" s="227" t="s">
        <v>3021</v>
      </c>
      <c r="N785" s="293"/>
      <c r="O785" s="293" t="str">
        <f>TablaPOA[[#This Row],[Cod_Sub_acción_especifica]]&amp;"_"&amp;TablaPOA[[#This Row],[Tipo de agente]]</f>
        <v>K31.2.19.1_Medios de transporte</v>
      </c>
      <c r="P785" s="254" t="s">
        <v>2918</v>
      </c>
      <c r="Q785" s="292" t="str">
        <f>TablaPOA[[#This Row],[Cod_Sub_acción_especifica]]&amp;"_"&amp;TablaPOA[[#This Row],[Cod_Tipo_agente]]</f>
        <v>K31.2.19.1_TA9</v>
      </c>
      <c r="R785" s="254" t="s">
        <v>2919</v>
      </c>
      <c r="S785" s="255" t="s">
        <v>2936</v>
      </c>
      <c r="T785" s="271" t="s">
        <v>2937</v>
      </c>
    </row>
    <row r="786" spans="1:20" ht="25.5" x14ac:dyDescent="0.25">
      <c r="A786" s="219" t="s">
        <v>2314</v>
      </c>
      <c r="B786" s="227">
        <v>31</v>
      </c>
      <c r="C786" s="227" t="s">
        <v>2691</v>
      </c>
      <c r="D786" s="227" t="s">
        <v>2988</v>
      </c>
      <c r="E786" s="227" t="s">
        <v>3160</v>
      </c>
      <c r="F786" s="227" t="s">
        <v>2695</v>
      </c>
      <c r="G786" s="227" t="s">
        <v>2490</v>
      </c>
      <c r="H786" s="253" t="s">
        <v>3179</v>
      </c>
      <c r="I786" s="253" t="s">
        <v>2734</v>
      </c>
      <c r="J786" s="227" t="s">
        <v>2735</v>
      </c>
      <c r="K786" s="253" t="s">
        <v>3116</v>
      </c>
      <c r="L786" s="253" t="s">
        <v>2785</v>
      </c>
      <c r="M786" s="227" t="s">
        <v>3021</v>
      </c>
      <c r="N786" s="293"/>
      <c r="O786" s="293" t="str">
        <f>TablaPOA[[#This Row],[Cod_Sub_acción_especifica]]&amp;"_"&amp;TablaPOA[[#This Row],[Tipo de agente]]</f>
        <v>K31.2.19.1_Medios de transporte</v>
      </c>
      <c r="P786" s="254" t="s">
        <v>2918</v>
      </c>
      <c r="Q786" s="292" t="str">
        <f>TablaPOA[[#This Row],[Cod_Sub_acción_especifica]]&amp;"_"&amp;TablaPOA[[#This Row],[Cod_Tipo_agente]]</f>
        <v>K31.2.19.1_TA9</v>
      </c>
      <c r="R786" s="254" t="s">
        <v>2919</v>
      </c>
      <c r="S786" s="255" t="s">
        <v>2938</v>
      </c>
      <c r="T786" s="271" t="s">
        <v>2939</v>
      </c>
    </row>
    <row r="787" spans="1:20" ht="25.5" x14ac:dyDescent="0.25">
      <c r="A787" s="219" t="s">
        <v>2314</v>
      </c>
      <c r="B787" s="227">
        <v>31</v>
      </c>
      <c r="C787" s="227" t="s">
        <v>2691</v>
      </c>
      <c r="D787" s="227" t="s">
        <v>2988</v>
      </c>
      <c r="E787" s="227" t="s">
        <v>3160</v>
      </c>
      <c r="F787" s="227" t="s">
        <v>2695</v>
      </c>
      <c r="G787" s="227" t="s">
        <v>2490</v>
      </c>
      <c r="H787" s="253" t="s">
        <v>3179</v>
      </c>
      <c r="I787" s="253" t="s">
        <v>2734</v>
      </c>
      <c r="J787" s="227" t="s">
        <v>2735</v>
      </c>
      <c r="K787" s="253" t="s">
        <v>3116</v>
      </c>
      <c r="L787" s="253" t="s">
        <v>2785</v>
      </c>
      <c r="M787" s="227" t="s">
        <v>3021</v>
      </c>
      <c r="N787" s="293"/>
      <c r="O787" s="293" t="str">
        <f>TablaPOA[[#This Row],[Cod_Sub_acción_especifica]]&amp;"_"&amp;TablaPOA[[#This Row],[Tipo de agente]]</f>
        <v>K31.2.19.1_Medios de transporte</v>
      </c>
      <c r="P787" s="254" t="s">
        <v>2918</v>
      </c>
      <c r="Q787" s="292" t="str">
        <f>TablaPOA[[#This Row],[Cod_Sub_acción_especifica]]&amp;"_"&amp;TablaPOA[[#This Row],[Cod_Tipo_agente]]</f>
        <v>K31.2.19.1_TA9</v>
      </c>
      <c r="R787" s="254" t="s">
        <v>2919</v>
      </c>
      <c r="S787" s="255" t="s">
        <v>2940</v>
      </c>
      <c r="T787" s="271" t="s">
        <v>2941</v>
      </c>
    </row>
    <row r="788" spans="1:20" ht="25.5" x14ac:dyDescent="0.25">
      <c r="A788" s="219" t="s">
        <v>2314</v>
      </c>
      <c r="B788" s="227">
        <v>31</v>
      </c>
      <c r="C788" s="227" t="s">
        <v>2691</v>
      </c>
      <c r="D788" s="227" t="s">
        <v>2988</v>
      </c>
      <c r="E788" s="227" t="s">
        <v>3160</v>
      </c>
      <c r="F788" s="227" t="s">
        <v>2695</v>
      </c>
      <c r="G788" s="227" t="s">
        <v>2490</v>
      </c>
      <c r="H788" s="253" t="s">
        <v>3179</v>
      </c>
      <c r="I788" s="253" t="s">
        <v>2734</v>
      </c>
      <c r="J788" s="227" t="s">
        <v>2735</v>
      </c>
      <c r="K788" s="253" t="s">
        <v>3116</v>
      </c>
      <c r="L788" s="253" t="s">
        <v>2785</v>
      </c>
      <c r="M788" s="227" t="s">
        <v>3021</v>
      </c>
      <c r="N788" s="293"/>
      <c r="O788" s="293" t="str">
        <f>TablaPOA[[#This Row],[Cod_Sub_acción_especifica]]&amp;"_"&amp;TablaPOA[[#This Row],[Tipo de agente]]</f>
        <v>K31.2.19.1_Medios de transporte</v>
      </c>
      <c r="P788" s="254" t="s">
        <v>2918</v>
      </c>
      <c r="Q788" s="292" t="str">
        <f>TablaPOA[[#This Row],[Cod_Sub_acción_especifica]]&amp;"_"&amp;TablaPOA[[#This Row],[Cod_Tipo_agente]]</f>
        <v>K31.2.19.1_TA9</v>
      </c>
      <c r="R788" s="254" t="s">
        <v>2919</v>
      </c>
      <c r="S788" s="255" t="s">
        <v>2942</v>
      </c>
      <c r="T788" s="271" t="s">
        <v>2943</v>
      </c>
    </row>
    <row r="789" spans="1:20" ht="25.5" x14ac:dyDescent="0.25">
      <c r="A789" s="219" t="s">
        <v>2314</v>
      </c>
      <c r="B789" s="227">
        <v>31</v>
      </c>
      <c r="C789" s="227" t="s">
        <v>2691</v>
      </c>
      <c r="D789" s="227" t="s">
        <v>2988</v>
      </c>
      <c r="E789" s="227" t="s">
        <v>3160</v>
      </c>
      <c r="F789" s="227" t="s">
        <v>2695</v>
      </c>
      <c r="G789" s="227" t="s">
        <v>2490</v>
      </c>
      <c r="H789" s="253" t="s">
        <v>3179</v>
      </c>
      <c r="I789" s="253" t="s">
        <v>2734</v>
      </c>
      <c r="J789" s="227" t="s">
        <v>2735</v>
      </c>
      <c r="K789" s="253" t="s">
        <v>3116</v>
      </c>
      <c r="L789" s="253" t="s">
        <v>2785</v>
      </c>
      <c r="M789" s="227" t="s">
        <v>3021</v>
      </c>
      <c r="N789" s="293"/>
      <c r="O789" s="293" t="str">
        <f>TablaPOA[[#This Row],[Cod_Sub_acción_especifica]]&amp;"_"&amp;TablaPOA[[#This Row],[Tipo de agente]]</f>
        <v>K31.2.19.1_Medios de transporte</v>
      </c>
      <c r="P789" s="254" t="s">
        <v>2918</v>
      </c>
      <c r="Q789" s="292" t="str">
        <f>TablaPOA[[#This Row],[Cod_Sub_acción_especifica]]&amp;"_"&amp;TablaPOA[[#This Row],[Cod_Tipo_agente]]</f>
        <v>K31.2.19.1_TA9</v>
      </c>
      <c r="R789" s="254" t="s">
        <v>2919</v>
      </c>
      <c r="S789" s="255" t="s">
        <v>2944</v>
      </c>
      <c r="T789" s="271" t="s">
        <v>2945</v>
      </c>
    </row>
    <row r="790" spans="1:20" ht="25.5" x14ac:dyDescent="0.25">
      <c r="A790" s="219" t="s">
        <v>2314</v>
      </c>
      <c r="B790" s="227">
        <v>31</v>
      </c>
      <c r="C790" s="227" t="s">
        <v>2691</v>
      </c>
      <c r="D790" s="227" t="s">
        <v>2988</v>
      </c>
      <c r="E790" s="227" t="s">
        <v>3160</v>
      </c>
      <c r="F790" s="227" t="s">
        <v>2695</v>
      </c>
      <c r="G790" s="227" t="s">
        <v>2490</v>
      </c>
      <c r="H790" s="253" t="s">
        <v>3179</v>
      </c>
      <c r="I790" s="253" t="s">
        <v>2734</v>
      </c>
      <c r="J790" s="227" t="s">
        <v>2735</v>
      </c>
      <c r="K790" s="253" t="s">
        <v>3116</v>
      </c>
      <c r="L790" s="253" t="s">
        <v>2785</v>
      </c>
      <c r="M790" s="227" t="s">
        <v>3021</v>
      </c>
      <c r="N790" s="293"/>
      <c r="O790" s="293" t="str">
        <f>TablaPOA[[#This Row],[Cod_Sub_acción_especifica]]&amp;"_"&amp;TablaPOA[[#This Row],[Tipo de agente]]</f>
        <v>K31.2.19.1_Medios de transporte</v>
      </c>
      <c r="P790" s="254" t="s">
        <v>2918</v>
      </c>
      <c r="Q790" s="292" t="str">
        <f>TablaPOA[[#This Row],[Cod_Sub_acción_especifica]]&amp;"_"&amp;TablaPOA[[#This Row],[Cod_Tipo_agente]]</f>
        <v>K31.2.19.1_TA9</v>
      </c>
      <c r="R790" s="254" t="s">
        <v>2919</v>
      </c>
      <c r="S790" s="255" t="s">
        <v>2946</v>
      </c>
      <c r="T790" s="271" t="s">
        <v>2947</v>
      </c>
    </row>
    <row r="791" spans="1:20" ht="25.5" x14ac:dyDescent="0.25">
      <c r="A791" s="219" t="s">
        <v>2314</v>
      </c>
      <c r="B791" s="227">
        <v>31</v>
      </c>
      <c r="C791" s="227" t="s">
        <v>2691</v>
      </c>
      <c r="D791" s="227" t="s">
        <v>2988</v>
      </c>
      <c r="E791" s="227" t="s">
        <v>3160</v>
      </c>
      <c r="F791" s="227" t="s">
        <v>2695</v>
      </c>
      <c r="G791" s="227" t="s">
        <v>2490</v>
      </c>
      <c r="H791" s="253" t="s">
        <v>3179</v>
      </c>
      <c r="I791" s="253" t="s">
        <v>2734</v>
      </c>
      <c r="J791" s="227" t="s">
        <v>2735</v>
      </c>
      <c r="K791" s="253" t="s">
        <v>3116</v>
      </c>
      <c r="L791" s="253" t="s">
        <v>2785</v>
      </c>
      <c r="M791" s="227" t="s">
        <v>3021</v>
      </c>
      <c r="N791" s="293"/>
      <c r="O791" s="293" t="str">
        <f>TablaPOA[[#This Row],[Cod_Sub_acción_especifica]]&amp;"_"&amp;TablaPOA[[#This Row],[Tipo de agente]]</f>
        <v>K31.2.19.1_Medios de transporte</v>
      </c>
      <c r="P791" s="254" t="s">
        <v>2918</v>
      </c>
      <c r="Q791" s="292" t="str">
        <f>TablaPOA[[#This Row],[Cod_Sub_acción_especifica]]&amp;"_"&amp;TablaPOA[[#This Row],[Cod_Tipo_agente]]</f>
        <v>K31.2.19.1_TA9</v>
      </c>
      <c r="R791" s="254" t="s">
        <v>2919</v>
      </c>
      <c r="S791" s="255" t="s">
        <v>2948</v>
      </c>
      <c r="T791" s="271" t="s">
        <v>2949</v>
      </c>
    </row>
    <row r="792" spans="1:20" ht="25.5" x14ac:dyDescent="0.25">
      <c r="A792" s="219" t="s">
        <v>2314</v>
      </c>
      <c r="B792" s="227">
        <v>31</v>
      </c>
      <c r="C792" s="227" t="s">
        <v>2691</v>
      </c>
      <c r="D792" s="227" t="s">
        <v>2988</v>
      </c>
      <c r="E792" s="227" t="s">
        <v>3160</v>
      </c>
      <c r="F792" s="227" t="s">
        <v>2695</v>
      </c>
      <c r="G792" s="227" t="s">
        <v>2490</v>
      </c>
      <c r="H792" s="253" t="s">
        <v>3179</v>
      </c>
      <c r="I792" s="253" t="s">
        <v>2734</v>
      </c>
      <c r="J792" s="227" t="s">
        <v>2735</v>
      </c>
      <c r="K792" s="253" t="s">
        <v>3116</v>
      </c>
      <c r="L792" s="253" t="s">
        <v>2785</v>
      </c>
      <c r="M792" s="227" t="s">
        <v>3021</v>
      </c>
      <c r="N792" s="293"/>
      <c r="O792" s="293" t="str">
        <f>TablaPOA[[#This Row],[Cod_Sub_acción_especifica]]&amp;"_"&amp;TablaPOA[[#This Row],[Tipo de agente]]</f>
        <v>K31.2.19.1_Plantas de abastecimiento y despacho</v>
      </c>
      <c r="P792" s="254" t="s">
        <v>2950</v>
      </c>
      <c r="Q792" s="292" t="str">
        <f>TablaPOA[[#This Row],[Cod_Sub_acción_especifica]]&amp;"_"&amp;TablaPOA[[#This Row],[Cod_Tipo_agente]]</f>
        <v>K31.2.19.1_TA10</v>
      </c>
      <c r="R792" s="254" t="s">
        <v>2951</v>
      </c>
      <c r="S792" s="255" t="s">
        <v>2952</v>
      </c>
      <c r="T792" s="271" t="s">
        <v>2953</v>
      </c>
    </row>
    <row r="793" spans="1:20" ht="25.5" x14ac:dyDescent="0.25">
      <c r="A793" s="219" t="s">
        <v>2314</v>
      </c>
      <c r="B793" s="227">
        <v>31</v>
      </c>
      <c r="C793" s="227" t="s">
        <v>2691</v>
      </c>
      <c r="D793" s="227" t="s">
        <v>2988</v>
      </c>
      <c r="E793" s="227" t="s">
        <v>3160</v>
      </c>
      <c r="F793" s="227" t="s">
        <v>2695</v>
      </c>
      <c r="G793" s="227" t="s">
        <v>2490</v>
      </c>
      <c r="H793" s="253" t="s">
        <v>3179</v>
      </c>
      <c r="I793" s="253" t="s">
        <v>2734</v>
      </c>
      <c r="J793" s="227" t="s">
        <v>2735</v>
      </c>
      <c r="K793" s="253" t="s">
        <v>3116</v>
      </c>
      <c r="L793" s="253" t="s">
        <v>2785</v>
      </c>
      <c r="M793" s="227" t="s">
        <v>3021</v>
      </c>
      <c r="N793" s="293"/>
      <c r="O793" s="293" t="str">
        <f>TablaPOA[[#This Row],[Cod_Sub_acción_especifica]]&amp;"_"&amp;TablaPOA[[#This Row],[Tipo de agente]]</f>
        <v>K31.2.19.1_Plantas de abastecimiento y despacho</v>
      </c>
      <c r="P793" s="254" t="s">
        <v>2950</v>
      </c>
      <c r="Q793" s="292" t="str">
        <f>TablaPOA[[#This Row],[Cod_Sub_acción_especifica]]&amp;"_"&amp;TablaPOA[[#This Row],[Cod_Tipo_agente]]</f>
        <v>K31.2.19.1_TA10</v>
      </c>
      <c r="R793" s="254" t="s">
        <v>2951</v>
      </c>
      <c r="S793" s="255" t="s">
        <v>2954</v>
      </c>
      <c r="T793" s="271" t="s">
        <v>2955</v>
      </c>
    </row>
    <row r="794" spans="1:20" ht="25.5" x14ac:dyDescent="0.25">
      <c r="A794" s="219" t="s">
        <v>2314</v>
      </c>
      <c r="B794" s="227">
        <v>31</v>
      </c>
      <c r="C794" s="227" t="s">
        <v>2691</v>
      </c>
      <c r="D794" s="227" t="s">
        <v>2988</v>
      </c>
      <c r="E794" s="227" t="s">
        <v>3160</v>
      </c>
      <c r="F794" s="227" t="s">
        <v>2695</v>
      </c>
      <c r="G794" s="227" t="s">
        <v>2490</v>
      </c>
      <c r="H794" s="253" t="s">
        <v>3179</v>
      </c>
      <c r="I794" s="253" t="s">
        <v>2734</v>
      </c>
      <c r="J794" s="227" t="s">
        <v>2735</v>
      </c>
      <c r="K794" s="253" t="s">
        <v>3116</v>
      </c>
      <c r="L794" s="253" t="s">
        <v>2785</v>
      </c>
      <c r="M794" s="227" t="s">
        <v>3021</v>
      </c>
      <c r="N794" s="293"/>
      <c r="O794" s="293" t="str">
        <f>TablaPOA[[#This Row],[Cod_Sub_acción_especifica]]&amp;"_"&amp;TablaPOA[[#This Row],[Tipo de agente]]</f>
        <v>K31.2.19.1_Plantas de abastecimiento y despacho</v>
      </c>
      <c r="P794" s="254" t="s">
        <v>2950</v>
      </c>
      <c r="Q794" s="292" t="str">
        <f>TablaPOA[[#This Row],[Cod_Sub_acción_especifica]]&amp;"_"&amp;TablaPOA[[#This Row],[Cod_Tipo_agente]]</f>
        <v>K31.2.19.1_TA10</v>
      </c>
      <c r="R794" s="254" t="s">
        <v>2951</v>
      </c>
      <c r="S794" s="255" t="s">
        <v>2956</v>
      </c>
      <c r="T794" s="271" t="s">
        <v>2957</v>
      </c>
    </row>
    <row r="795" spans="1:20" ht="25.5" x14ac:dyDescent="0.25">
      <c r="A795" s="219" t="s">
        <v>2314</v>
      </c>
      <c r="B795" s="227">
        <v>31</v>
      </c>
      <c r="C795" s="227" t="s">
        <v>2691</v>
      </c>
      <c r="D795" s="227" t="s">
        <v>2988</v>
      </c>
      <c r="E795" s="227" t="s">
        <v>3160</v>
      </c>
      <c r="F795" s="227" t="s">
        <v>2695</v>
      </c>
      <c r="G795" s="227" t="s">
        <v>2490</v>
      </c>
      <c r="H795" s="253" t="s">
        <v>3179</v>
      </c>
      <c r="I795" s="253" t="s">
        <v>2734</v>
      </c>
      <c r="J795" s="227" t="s">
        <v>2735</v>
      </c>
      <c r="K795" s="253" t="s">
        <v>3116</v>
      </c>
      <c r="L795" s="253" t="s">
        <v>2785</v>
      </c>
      <c r="M795" s="227" t="s">
        <v>3021</v>
      </c>
      <c r="N795" s="293"/>
      <c r="O795" s="293" t="str">
        <f>TablaPOA[[#This Row],[Cod_Sub_acción_especifica]]&amp;"_"&amp;TablaPOA[[#This Row],[Tipo de agente]]</f>
        <v>K31.2.19.1_Plantas de abastecimiento y despacho</v>
      </c>
      <c r="P795" s="254" t="s">
        <v>2950</v>
      </c>
      <c r="Q795" s="292" t="str">
        <f>TablaPOA[[#This Row],[Cod_Sub_acción_especifica]]&amp;"_"&amp;TablaPOA[[#This Row],[Cod_Tipo_agente]]</f>
        <v>K31.2.19.1_TA10</v>
      </c>
      <c r="R795" s="254" t="s">
        <v>2951</v>
      </c>
      <c r="S795" s="255" t="s">
        <v>2958</v>
      </c>
      <c r="T795" s="271" t="s">
        <v>2959</v>
      </c>
    </row>
    <row r="796" spans="1:20" ht="25.5" x14ac:dyDescent="0.25">
      <c r="A796" s="219" t="s">
        <v>2314</v>
      </c>
      <c r="B796" s="227">
        <v>31</v>
      </c>
      <c r="C796" s="227" t="s">
        <v>2691</v>
      </c>
      <c r="D796" s="227" t="s">
        <v>2988</v>
      </c>
      <c r="E796" s="227" t="s">
        <v>3160</v>
      </c>
      <c r="F796" s="227" t="s">
        <v>2695</v>
      </c>
      <c r="G796" s="227" t="s">
        <v>2490</v>
      </c>
      <c r="H796" s="253" t="s">
        <v>3179</v>
      </c>
      <c r="I796" s="253" t="s">
        <v>2734</v>
      </c>
      <c r="J796" s="227" t="s">
        <v>2735</v>
      </c>
      <c r="K796" s="253" t="s">
        <v>3116</v>
      </c>
      <c r="L796" s="253" t="s">
        <v>2785</v>
      </c>
      <c r="M796" s="227" t="s">
        <v>3021</v>
      </c>
      <c r="N796" s="293"/>
      <c r="O796" s="293" t="str">
        <f>TablaPOA[[#This Row],[Cod_Sub_acción_especifica]]&amp;"_"&amp;TablaPOA[[#This Row],[Tipo de agente]]</f>
        <v>K31.2.19.1_Plantas de abastecimiento y despacho</v>
      </c>
      <c r="P796" s="254" t="s">
        <v>2950</v>
      </c>
      <c r="Q796" s="292" t="str">
        <f>TablaPOA[[#This Row],[Cod_Sub_acción_especifica]]&amp;"_"&amp;TablaPOA[[#This Row],[Cod_Tipo_agente]]</f>
        <v>K31.2.19.1_TA10</v>
      </c>
      <c r="R796" s="254" t="s">
        <v>2951</v>
      </c>
      <c r="S796" s="255" t="s">
        <v>2960</v>
      </c>
      <c r="T796" s="271" t="s">
        <v>2961</v>
      </c>
    </row>
    <row r="797" spans="1:20" ht="38.25" x14ac:dyDescent="0.25">
      <c r="A797" s="219" t="s">
        <v>2314</v>
      </c>
      <c r="B797" s="227">
        <v>31</v>
      </c>
      <c r="C797" s="227" t="s">
        <v>2691</v>
      </c>
      <c r="D797" s="227" t="s">
        <v>2988</v>
      </c>
      <c r="E797" s="227" t="s">
        <v>3160</v>
      </c>
      <c r="F797" s="227" t="s">
        <v>2695</v>
      </c>
      <c r="G797" s="227" t="s">
        <v>2490</v>
      </c>
      <c r="H797" s="253" t="s">
        <v>3179</v>
      </c>
      <c r="I797" s="253" t="s">
        <v>2734</v>
      </c>
      <c r="J797" s="227" t="s">
        <v>2735</v>
      </c>
      <c r="K797" s="253" t="s">
        <v>3116</v>
      </c>
      <c r="L797" s="253" t="s">
        <v>2785</v>
      </c>
      <c r="M797" s="227" t="s">
        <v>3021</v>
      </c>
      <c r="N797" s="293"/>
      <c r="O797" s="293" t="str">
        <f>TablaPOA[[#This Row],[Cod_Sub_acción_especifica]]&amp;"_"&amp;TablaPOA[[#This Row],[Tipo de agente]]</f>
        <v>K31.2.19.1_Instalaciones de compresión, transferencia y descompresión de gas natural</v>
      </c>
      <c r="P797" s="254" t="s">
        <v>2902</v>
      </c>
      <c r="Q797" s="292" t="str">
        <f>TablaPOA[[#This Row],[Cod_Sub_acción_especifica]]&amp;"_"&amp;TablaPOA[[#This Row],[Cod_Tipo_agente]]</f>
        <v>K31.2.19.1_TA7</v>
      </c>
      <c r="R797" s="254" t="s">
        <v>2903</v>
      </c>
      <c r="S797" s="260">
        <v>607</v>
      </c>
      <c r="T797" s="275" t="s">
        <v>2905</v>
      </c>
    </row>
    <row r="798" spans="1:20" ht="38.25" x14ac:dyDescent="0.25">
      <c r="A798" s="219" t="s">
        <v>2314</v>
      </c>
      <c r="B798" s="227">
        <v>31</v>
      </c>
      <c r="C798" s="227" t="s">
        <v>2691</v>
      </c>
      <c r="D798" s="227" t="s">
        <v>2988</v>
      </c>
      <c r="E798" s="227" t="s">
        <v>3160</v>
      </c>
      <c r="F798" s="227" t="s">
        <v>2695</v>
      </c>
      <c r="G798" s="227" t="s">
        <v>2490</v>
      </c>
      <c r="H798" s="253" t="s">
        <v>3179</v>
      </c>
      <c r="I798" s="253" t="s">
        <v>2734</v>
      </c>
      <c r="J798" s="227" t="s">
        <v>2735</v>
      </c>
      <c r="K798" s="253" t="s">
        <v>3116</v>
      </c>
      <c r="L798" s="253" t="s">
        <v>2785</v>
      </c>
      <c r="M798" s="227" t="s">
        <v>3021</v>
      </c>
      <c r="N798" s="293"/>
      <c r="O798" s="293" t="str">
        <f>TablaPOA[[#This Row],[Cod_Sub_acción_especifica]]&amp;"_"&amp;TablaPOA[[#This Row],[Tipo de agente]]</f>
        <v>K31.2.19.1_Instalaciones de compresión, transferencia y descompresión de gas natural</v>
      </c>
      <c r="P798" s="254" t="s">
        <v>2902</v>
      </c>
      <c r="Q798" s="292" t="str">
        <f>TablaPOA[[#This Row],[Cod_Sub_acción_especifica]]&amp;"_"&amp;TablaPOA[[#This Row],[Cod_Tipo_agente]]</f>
        <v>K31.2.19.1_TA7</v>
      </c>
      <c r="R798" s="254" t="s">
        <v>2903</v>
      </c>
      <c r="S798" s="260" t="s">
        <v>2906</v>
      </c>
      <c r="T798" s="275" t="s">
        <v>2907</v>
      </c>
    </row>
    <row r="799" spans="1:20" ht="38.25" x14ac:dyDescent="0.25">
      <c r="A799" s="219" t="s">
        <v>2314</v>
      </c>
      <c r="B799" s="227">
        <v>31</v>
      </c>
      <c r="C799" s="227" t="s">
        <v>2691</v>
      </c>
      <c r="D799" s="227" t="s">
        <v>2988</v>
      </c>
      <c r="E799" s="227" t="s">
        <v>3160</v>
      </c>
      <c r="F799" s="227" t="s">
        <v>2695</v>
      </c>
      <c r="G799" s="227" t="s">
        <v>2490</v>
      </c>
      <c r="H799" s="253" t="s">
        <v>3179</v>
      </c>
      <c r="I799" s="253" t="s">
        <v>2734</v>
      </c>
      <c r="J799" s="227" t="s">
        <v>2735</v>
      </c>
      <c r="K799" s="253" t="s">
        <v>3116</v>
      </c>
      <c r="L799" s="253" t="s">
        <v>2785</v>
      </c>
      <c r="M799" s="227" t="s">
        <v>3021</v>
      </c>
      <c r="N799" s="293"/>
      <c r="O799" s="293" t="str">
        <f>TablaPOA[[#This Row],[Cod_Sub_acción_especifica]]&amp;"_"&amp;TablaPOA[[#This Row],[Tipo de agente]]</f>
        <v>K31.2.19.1_Instalaciones de compresión, transferencia y descompresión de gas natural</v>
      </c>
      <c r="P799" s="254" t="s">
        <v>2902</v>
      </c>
      <c r="Q799" s="292" t="str">
        <f>TablaPOA[[#This Row],[Cod_Sub_acción_especifica]]&amp;"_"&amp;TablaPOA[[#This Row],[Cod_Tipo_agente]]</f>
        <v>K31.2.19.1_TA7</v>
      </c>
      <c r="R799" s="254" t="s">
        <v>2903</v>
      </c>
      <c r="S799" s="260" t="s">
        <v>2908</v>
      </c>
      <c r="T799" s="275" t="s">
        <v>2909</v>
      </c>
    </row>
    <row r="800" spans="1:20" ht="38.25" x14ac:dyDescent="0.25">
      <c r="A800" s="219" t="s">
        <v>2314</v>
      </c>
      <c r="B800" s="227">
        <v>31</v>
      </c>
      <c r="C800" s="227" t="s">
        <v>2691</v>
      </c>
      <c r="D800" s="227" t="s">
        <v>2988</v>
      </c>
      <c r="E800" s="227" t="s">
        <v>3160</v>
      </c>
      <c r="F800" s="227" t="s">
        <v>2695</v>
      </c>
      <c r="G800" s="227" t="s">
        <v>2490</v>
      </c>
      <c r="H800" s="253" t="s">
        <v>3179</v>
      </c>
      <c r="I800" s="253" t="s">
        <v>2734</v>
      </c>
      <c r="J800" s="227" t="s">
        <v>2735</v>
      </c>
      <c r="K800" s="253" t="s">
        <v>3116</v>
      </c>
      <c r="L800" s="253" t="s">
        <v>2785</v>
      </c>
      <c r="M800" s="227" t="s">
        <v>3021</v>
      </c>
      <c r="N800" s="293"/>
      <c r="O800" s="293" t="str">
        <f>TablaPOA[[#This Row],[Cod_Sub_acción_especifica]]&amp;"_"&amp;TablaPOA[[#This Row],[Tipo de agente]]</f>
        <v>K31.2.19.1_Instalaciones de compresión, transferencia y descompresión de gas natural</v>
      </c>
      <c r="P800" s="254" t="s">
        <v>2902</v>
      </c>
      <c r="Q800" s="292" t="str">
        <f>TablaPOA[[#This Row],[Cod_Sub_acción_especifica]]&amp;"_"&amp;TablaPOA[[#This Row],[Cod_Tipo_agente]]</f>
        <v>K31.2.19.1_TA7</v>
      </c>
      <c r="R800" s="254" t="s">
        <v>2903</v>
      </c>
      <c r="S800" s="260" t="s">
        <v>2910</v>
      </c>
      <c r="T800" s="275" t="s">
        <v>2911</v>
      </c>
    </row>
    <row r="801" spans="1:20" ht="25.5" x14ac:dyDescent="0.25">
      <c r="A801" s="219" t="s">
        <v>2314</v>
      </c>
      <c r="B801" s="227">
        <v>31</v>
      </c>
      <c r="C801" s="227" t="s">
        <v>2691</v>
      </c>
      <c r="D801" s="227" t="s">
        <v>2988</v>
      </c>
      <c r="E801" s="227" t="s">
        <v>3160</v>
      </c>
      <c r="F801" s="227" t="s">
        <v>2695</v>
      </c>
      <c r="G801" s="227" t="s">
        <v>2490</v>
      </c>
      <c r="H801" s="253" t="s">
        <v>3179</v>
      </c>
      <c r="I801" s="253" t="s">
        <v>2734</v>
      </c>
      <c r="J801" s="227" t="s">
        <v>2735</v>
      </c>
      <c r="K801" s="253" t="s">
        <v>3116</v>
      </c>
      <c r="L801" s="253" t="s">
        <v>2785</v>
      </c>
      <c r="M801" s="227" t="s">
        <v>3021</v>
      </c>
      <c r="N801" s="293"/>
      <c r="O801" s="293" t="str">
        <f>TablaPOA[[#This Row],[Cod_Sub_acción_especifica]]&amp;"_"&amp;TablaPOA[[#This Row],[Tipo de agente]]</f>
        <v>K31.2.19.1_Productores y Plantas de procesamiento</v>
      </c>
      <c r="P801" s="254" t="s">
        <v>2962</v>
      </c>
      <c r="Q801" s="292" t="str">
        <f>TablaPOA[[#This Row],[Cod_Sub_acción_especifica]]&amp;"_"&amp;TablaPOA[[#This Row],[Cod_Tipo_agente]]</f>
        <v>K31.2.19.1_TA11</v>
      </c>
      <c r="R801" s="254" t="s">
        <v>2963</v>
      </c>
      <c r="S801" s="255" t="s">
        <v>2964</v>
      </c>
      <c r="T801" s="271" t="s">
        <v>2965</v>
      </c>
    </row>
    <row r="802" spans="1:20" ht="25.5" x14ac:dyDescent="0.25">
      <c r="A802" s="219" t="s">
        <v>2314</v>
      </c>
      <c r="B802" s="227">
        <v>31</v>
      </c>
      <c r="C802" s="227" t="s">
        <v>2691</v>
      </c>
      <c r="D802" s="227" t="s">
        <v>2988</v>
      </c>
      <c r="E802" s="227" t="s">
        <v>3160</v>
      </c>
      <c r="F802" s="227" t="s">
        <v>2695</v>
      </c>
      <c r="G802" s="227" t="s">
        <v>2490</v>
      </c>
      <c r="H802" s="253" t="s">
        <v>3179</v>
      </c>
      <c r="I802" s="253" t="s">
        <v>2734</v>
      </c>
      <c r="J802" s="227" t="s">
        <v>2735</v>
      </c>
      <c r="K802" s="253" t="s">
        <v>3116</v>
      </c>
      <c r="L802" s="253" t="s">
        <v>2785</v>
      </c>
      <c r="M802" s="227" t="s">
        <v>3021</v>
      </c>
      <c r="N802" s="293"/>
      <c r="O802" s="293" t="str">
        <f>TablaPOA[[#This Row],[Cod_Sub_acción_especifica]]&amp;"_"&amp;TablaPOA[[#This Row],[Tipo de agente]]</f>
        <v>K31.2.19.1_Productores y Plantas de procesamiento</v>
      </c>
      <c r="P802" s="254" t="s">
        <v>2962</v>
      </c>
      <c r="Q802" s="292" t="str">
        <f>TablaPOA[[#This Row],[Cod_Sub_acción_especifica]]&amp;"_"&amp;TablaPOA[[#This Row],[Cod_Tipo_agente]]</f>
        <v>K31.2.19.1_TA11</v>
      </c>
      <c r="R802" s="254" t="s">
        <v>2963</v>
      </c>
      <c r="S802" s="255" t="s">
        <v>2966</v>
      </c>
      <c r="T802" s="271" t="s">
        <v>2967</v>
      </c>
    </row>
    <row r="803" spans="1:20" ht="25.5" x14ac:dyDescent="0.25">
      <c r="A803" s="219" t="s">
        <v>2314</v>
      </c>
      <c r="B803" s="227">
        <v>31</v>
      </c>
      <c r="C803" s="227" t="s">
        <v>2691</v>
      </c>
      <c r="D803" s="227" t="s">
        <v>2988</v>
      </c>
      <c r="E803" s="227" t="s">
        <v>3160</v>
      </c>
      <c r="F803" s="227" t="s">
        <v>2695</v>
      </c>
      <c r="G803" s="227" t="s">
        <v>2490</v>
      </c>
      <c r="H803" s="253" t="s">
        <v>3179</v>
      </c>
      <c r="I803" s="253" t="s">
        <v>2734</v>
      </c>
      <c r="J803" s="227" t="s">
        <v>2735</v>
      </c>
      <c r="K803" s="253" t="s">
        <v>3116</v>
      </c>
      <c r="L803" s="253" t="s">
        <v>2785</v>
      </c>
      <c r="M803" s="227" t="s">
        <v>3021</v>
      </c>
      <c r="N803" s="293"/>
      <c r="O803" s="293" t="str">
        <f>TablaPOA[[#This Row],[Cod_Sub_acción_especifica]]&amp;"_"&amp;TablaPOA[[#This Row],[Tipo de agente]]</f>
        <v>K31.2.19.1_Productores y Plantas de procesamiento</v>
      </c>
      <c r="P803" s="254" t="s">
        <v>2962</v>
      </c>
      <c r="Q803" s="292" t="str">
        <f>TablaPOA[[#This Row],[Cod_Sub_acción_especifica]]&amp;"_"&amp;TablaPOA[[#This Row],[Cod_Tipo_agente]]</f>
        <v>K31.2.19.1_TA11</v>
      </c>
      <c r="R803" s="254" t="s">
        <v>2963</v>
      </c>
      <c r="S803" s="255" t="s">
        <v>2968</v>
      </c>
      <c r="T803" s="271" t="s">
        <v>2969</v>
      </c>
    </row>
    <row r="804" spans="1:20" ht="25.5" x14ac:dyDescent="0.25">
      <c r="A804" s="219" t="s">
        <v>2314</v>
      </c>
      <c r="B804" s="227">
        <v>31</v>
      </c>
      <c r="C804" s="227" t="s">
        <v>2691</v>
      </c>
      <c r="D804" s="227" t="s">
        <v>2988</v>
      </c>
      <c r="E804" s="227" t="s">
        <v>3160</v>
      </c>
      <c r="F804" s="227" t="s">
        <v>2695</v>
      </c>
      <c r="G804" s="227" t="s">
        <v>2490</v>
      </c>
      <c r="H804" s="253" t="s">
        <v>3179</v>
      </c>
      <c r="I804" s="253" t="s">
        <v>2734</v>
      </c>
      <c r="J804" s="227" t="s">
        <v>2735</v>
      </c>
      <c r="K804" s="253" t="s">
        <v>3116</v>
      </c>
      <c r="L804" s="253" t="s">
        <v>2785</v>
      </c>
      <c r="M804" s="227" t="s">
        <v>3021</v>
      </c>
      <c r="N804" s="293"/>
      <c r="O804" s="293" t="str">
        <f>TablaPOA[[#This Row],[Cod_Sub_acción_especifica]]&amp;"_"&amp;TablaPOA[[#This Row],[Tipo de agente]]</f>
        <v>K31.2.19.1_Productores y Plantas de procesamiento</v>
      </c>
      <c r="P804" s="254" t="s">
        <v>2962</v>
      </c>
      <c r="Q804" s="292" t="str">
        <f>TablaPOA[[#This Row],[Cod_Sub_acción_especifica]]&amp;"_"&amp;TablaPOA[[#This Row],[Cod_Tipo_agente]]</f>
        <v>K31.2.19.1_TA11</v>
      </c>
      <c r="R804" s="254" t="s">
        <v>2963</v>
      </c>
      <c r="S804" s="255" t="s">
        <v>2970</v>
      </c>
      <c r="T804" s="271" t="s">
        <v>2971</v>
      </c>
    </row>
    <row r="805" spans="1:20" ht="25.5" x14ac:dyDescent="0.25">
      <c r="A805" s="219" t="s">
        <v>2314</v>
      </c>
      <c r="B805" s="227">
        <v>31</v>
      </c>
      <c r="C805" s="227" t="s">
        <v>2691</v>
      </c>
      <c r="D805" s="227" t="s">
        <v>2988</v>
      </c>
      <c r="E805" s="227" t="s">
        <v>3160</v>
      </c>
      <c r="F805" s="227" t="s">
        <v>2695</v>
      </c>
      <c r="G805" s="227" t="s">
        <v>2490</v>
      </c>
      <c r="H805" s="253" t="s">
        <v>3179</v>
      </c>
      <c r="I805" s="253" t="s">
        <v>2734</v>
      </c>
      <c r="J805" s="227" t="s">
        <v>2735</v>
      </c>
      <c r="K805" s="253" t="s">
        <v>3116</v>
      </c>
      <c r="L805" s="253" t="s">
        <v>2785</v>
      </c>
      <c r="M805" s="227" t="s">
        <v>3021</v>
      </c>
      <c r="N805" s="293"/>
      <c r="O805" s="293" t="str">
        <f>TablaPOA[[#This Row],[Cod_Sub_acción_especifica]]&amp;"_"&amp;TablaPOA[[#This Row],[Tipo de agente]]</f>
        <v>K31.2.19.1_Productores y Plantas de procesamiento</v>
      </c>
      <c r="P805" s="254" t="s">
        <v>2962</v>
      </c>
      <c r="Q805" s="292" t="str">
        <f>TablaPOA[[#This Row],[Cod_Sub_acción_especifica]]&amp;"_"&amp;TablaPOA[[#This Row],[Cod_Tipo_agente]]</f>
        <v>K31.2.19.1_TA11</v>
      </c>
      <c r="R805" s="254" t="s">
        <v>2963</v>
      </c>
      <c r="S805" s="255" t="s">
        <v>2972</v>
      </c>
      <c r="T805" s="271" t="s">
        <v>2973</v>
      </c>
    </row>
    <row r="806" spans="1:20" ht="25.5" x14ac:dyDescent="0.25">
      <c r="A806" s="219" t="s">
        <v>2314</v>
      </c>
      <c r="B806" s="227">
        <v>31</v>
      </c>
      <c r="C806" s="227" t="s">
        <v>2691</v>
      </c>
      <c r="D806" s="227" t="s">
        <v>2988</v>
      </c>
      <c r="E806" s="227" t="s">
        <v>3160</v>
      </c>
      <c r="F806" s="227" t="s">
        <v>2695</v>
      </c>
      <c r="G806" s="227" t="s">
        <v>2490</v>
      </c>
      <c r="H806" s="253" t="s">
        <v>3179</v>
      </c>
      <c r="I806" s="253" t="s">
        <v>2734</v>
      </c>
      <c r="J806" s="227" t="s">
        <v>2735</v>
      </c>
      <c r="K806" s="253" t="s">
        <v>3116</v>
      </c>
      <c r="L806" s="253" t="s">
        <v>2785</v>
      </c>
      <c r="M806" s="227" t="s">
        <v>3021</v>
      </c>
      <c r="N806" s="293"/>
      <c r="O806" s="293" t="str">
        <f>TablaPOA[[#This Row],[Cod_Sub_acción_especifica]]&amp;"_"&amp;TablaPOA[[#This Row],[Tipo de agente]]</f>
        <v>K31.2.19.1_Productores y Plantas de procesamiento</v>
      </c>
      <c r="P806" s="254" t="s">
        <v>2962</v>
      </c>
      <c r="Q806" s="292" t="str">
        <f>TablaPOA[[#This Row],[Cod_Sub_acción_especifica]]&amp;"_"&amp;TablaPOA[[#This Row],[Cod_Tipo_agente]]</f>
        <v>K31.2.19.1_TA11</v>
      </c>
      <c r="R806" s="254" t="s">
        <v>2963</v>
      </c>
      <c r="S806" s="255" t="s">
        <v>2974</v>
      </c>
      <c r="T806" s="271" t="s">
        <v>2975</v>
      </c>
    </row>
    <row r="807" spans="1:20" ht="25.5" x14ac:dyDescent="0.25">
      <c r="A807" s="219" t="s">
        <v>2314</v>
      </c>
      <c r="B807" s="227">
        <v>31</v>
      </c>
      <c r="C807" s="227" t="s">
        <v>2691</v>
      </c>
      <c r="D807" s="227" t="s">
        <v>2988</v>
      </c>
      <c r="E807" s="227" t="s">
        <v>3160</v>
      </c>
      <c r="F807" s="227" t="s">
        <v>2695</v>
      </c>
      <c r="G807" s="227" t="s">
        <v>2490</v>
      </c>
      <c r="H807" s="253" t="s">
        <v>3179</v>
      </c>
      <c r="I807" s="253" t="s">
        <v>2734</v>
      </c>
      <c r="J807" s="227" t="s">
        <v>2735</v>
      </c>
      <c r="K807" s="253" t="s">
        <v>3116</v>
      </c>
      <c r="L807" s="253" t="s">
        <v>2785</v>
      </c>
      <c r="M807" s="227" t="s">
        <v>3021</v>
      </c>
      <c r="N807" s="293"/>
      <c r="O807" s="293" t="str">
        <f>TablaPOA[[#This Row],[Cod_Sub_acción_especifica]]&amp;"_"&amp;TablaPOA[[#This Row],[Tipo de agente]]</f>
        <v>K31.2.19.1_Productores y Plantas de procesamiento</v>
      </c>
      <c r="P807" s="254" t="s">
        <v>2962</v>
      </c>
      <c r="Q807" s="292" t="str">
        <f>TablaPOA[[#This Row],[Cod_Sub_acción_especifica]]&amp;"_"&amp;TablaPOA[[#This Row],[Cod_Tipo_agente]]</f>
        <v>K31.2.19.1_TA11</v>
      </c>
      <c r="R807" s="254" t="s">
        <v>2963</v>
      </c>
      <c r="S807" s="255" t="s">
        <v>2976</v>
      </c>
      <c r="T807" s="271" t="s">
        <v>2977</v>
      </c>
    </row>
    <row r="808" spans="1:20" ht="25.5" x14ac:dyDescent="0.25">
      <c r="A808" s="268" t="s">
        <v>2314</v>
      </c>
      <c r="B808" s="248">
        <v>31</v>
      </c>
      <c r="C808" s="248" t="s">
        <v>2691</v>
      </c>
      <c r="D808" s="248" t="s">
        <v>2988</v>
      </c>
      <c r="E808" s="248" t="s">
        <v>3160</v>
      </c>
      <c r="F808" s="248" t="s">
        <v>2695</v>
      </c>
      <c r="G808" s="248" t="s">
        <v>2490</v>
      </c>
      <c r="H808" s="249" t="s">
        <v>3179</v>
      </c>
      <c r="I808" s="249" t="s">
        <v>2734</v>
      </c>
      <c r="J808" s="248" t="s">
        <v>2735</v>
      </c>
      <c r="K808" s="261" t="s">
        <v>3117</v>
      </c>
      <c r="L808" s="261" t="s">
        <v>2767</v>
      </c>
      <c r="M808" s="258" t="s">
        <v>2788</v>
      </c>
      <c r="N808" s="299" t="s">
        <v>2809</v>
      </c>
      <c r="O808" s="292" t="str">
        <f>TablaPOA[[#This Row],[Cod_Sub_acción_especifica]]&amp;"_"&amp;TablaPOA[[#This Row],[Tipo de agente]]</f>
        <v>K31.2.19.2_Consumidores directos de combustibles líquidos y OPDH</v>
      </c>
      <c r="P808" s="250" t="s">
        <v>2808</v>
      </c>
      <c r="Q808" s="292" t="str">
        <f>TablaPOA[[#This Row],[Cod_Sub_acción_especifica]]&amp;"_"&amp;TablaPOA[[#This Row],[Cod_Tipo_agente]]</f>
        <v>K31.2.19.2_TA1</v>
      </c>
      <c r="R808" s="250" t="s">
        <v>2809</v>
      </c>
      <c r="S808" s="251" t="s">
        <v>2810</v>
      </c>
      <c r="T808" s="269" t="s">
        <v>2811</v>
      </c>
    </row>
    <row r="809" spans="1:20" ht="25.5" x14ac:dyDescent="0.25">
      <c r="A809" s="268" t="s">
        <v>2314</v>
      </c>
      <c r="B809" s="248">
        <v>31</v>
      </c>
      <c r="C809" s="248" t="s">
        <v>2691</v>
      </c>
      <c r="D809" s="248" t="s">
        <v>2988</v>
      </c>
      <c r="E809" s="248" t="s">
        <v>3160</v>
      </c>
      <c r="F809" s="248" t="s">
        <v>2695</v>
      </c>
      <c r="G809" s="248" t="s">
        <v>2490</v>
      </c>
      <c r="H809" s="249" t="s">
        <v>3179</v>
      </c>
      <c r="I809" s="249" t="s">
        <v>2734</v>
      </c>
      <c r="J809" s="248" t="s">
        <v>2735</v>
      </c>
      <c r="K809" s="261" t="s">
        <v>3117</v>
      </c>
      <c r="L809" s="261" t="s">
        <v>2767</v>
      </c>
      <c r="M809" s="258" t="s">
        <v>2788</v>
      </c>
      <c r="N809" s="299" t="s">
        <v>2831</v>
      </c>
      <c r="O809" s="292" t="str">
        <f>TablaPOA[[#This Row],[Cod_Sub_acción_especifica]]&amp;"_"&amp;TablaPOA[[#This Row],[Tipo de agente]]</f>
        <v>K31.2.19.2_Consumidores directos de combustibles líquidos y OPDH</v>
      </c>
      <c r="P809" s="250" t="s">
        <v>2808</v>
      </c>
      <c r="Q809" s="292" t="str">
        <f>TablaPOA[[#This Row],[Cod_Sub_acción_especifica]]&amp;"_"&amp;TablaPOA[[#This Row],[Cod_Tipo_agente]]</f>
        <v>K31.2.19.2_TA1</v>
      </c>
      <c r="R809" s="250" t="s">
        <v>2809</v>
      </c>
      <c r="S809" s="251" t="s">
        <v>2812</v>
      </c>
      <c r="T809" s="269" t="s">
        <v>2813</v>
      </c>
    </row>
    <row r="810" spans="1:20" ht="25.5" x14ac:dyDescent="0.25">
      <c r="A810" s="268" t="s">
        <v>2314</v>
      </c>
      <c r="B810" s="248">
        <v>31</v>
      </c>
      <c r="C810" s="248" t="s">
        <v>2691</v>
      </c>
      <c r="D810" s="248" t="s">
        <v>2988</v>
      </c>
      <c r="E810" s="248" t="s">
        <v>3160</v>
      </c>
      <c r="F810" s="248" t="s">
        <v>2695</v>
      </c>
      <c r="G810" s="248" t="s">
        <v>2490</v>
      </c>
      <c r="H810" s="249" t="s">
        <v>3179</v>
      </c>
      <c r="I810" s="249" t="s">
        <v>2734</v>
      </c>
      <c r="J810" s="248" t="s">
        <v>2735</v>
      </c>
      <c r="K810" s="261" t="s">
        <v>3117</v>
      </c>
      <c r="L810" s="261" t="s">
        <v>2767</v>
      </c>
      <c r="M810" s="258" t="s">
        <v>2788</v>
      </c>
      <c r="N810" s="299" t="s">
        <v>2840</v>
      </c>
      <c r="O810" s="292" t="str">
        <f>TablaPOA[[#This Row],[Cod_Sub_acción_especifica]]&amp;"_"&amp;TablaPOA[[#This Row],[Tipo de agente]]</f>
        <v>K31.2.19.2_Consumidores directos de combustibles líquidos y OPDH</v>
      </c>
      <c r="P810" s="250" t="s">
        <v>2808</v>
      </c>
      <c r="Q810" s="292" t="str">
        <f>TablaPOA[[#This Row],[Cod_Sub_acción_especifica]]&amp;"_"&amp;TablaPOA[[#This Row],[Cod_Tipo_agente]]</f>
        <v>K31.2.19.2_TA1</v>
      </c>
      <c r="R810" s="250" t="s">
        <v>2809</v>
      </c>
      <c r="S810" s="251" t="s">
        <v>2814</v>
      </c>
      <c r="T810" s="269" t="s">
        <v>2815</v>
      </c>
    </row>
    <row r="811" spans="1:20" ht="25.5" x14ac:dyDescent="0.25">
      <c r="A811" s="268" t="s">
        <v>2314</v>
      </c>
      <c r="B811" s="248">
        <v>31</v>
      </c>
      <c r="C811" s="248" t="s">
        <v>2691</v>
      </c>
      <c r="D811" s="248" t="s">
        <v>2988</v>
      </c>
      <c r="E811" s="248" t="s">
        <v>3160</v>
      </c>
      <c r="F811" s="248" t="s">
        <v>2695</v>
      </c>
      <c r="G811" s="248" t="s">
        <v>2490</v>
      </c>
      <c r="H811" s="249" t="s">
        <v>3179</v>
      </c>
      <c r="I811" s="249" t="s">
        <v>2734</v>
      </c>
      <c r="J811" s="248" t="s">
        <v>2735</v>
      </c>
      <c r="K811" s="261" t="s">
        <v>3117</v>
      </c>
      <c r="L811" s="261" t="s">
        <v>2767</v>
      </c>
      <c r="M811" s="258" t="s">
        <v>2788</v>
      </c>
      <c r="N811" s="299" t="s">
        <v>2853</v>
      </c>
      <c r="O811" s="292" t="str">
        <f>TablaPOA[[#This Row],[Cod_Sub_acción_especifica]]&amp;"_"&amp;TablaPOA[[#This Row],[Tipo de agente]]</f>
        <v>K31.2.19.2_Consumidores directos de combustibles líquidos y OPDH</v>
      </c>
      <c r="P811" s="250" t="s">
        <v>2808</v>
      </c>
      <c r="Q811" s="292" t="str">
        <f>TablaPOA[[#This Row],[Cod_Sub_acción_especifica]]&amp;"_"&amp;TablaPOA[[#This Row],[Cod_Tipo_agente]]</f>
        <v>K31.2.19.2_TA1</v>
      </c>
      <c r="R811" s="250" t="s">
        <v>2809</v>
      </c>
      <c r="S811" s="251" t="s">
        <v>2816</v>
      </c>
      <c r="T811" s="269" t="s">
        <v>2817</v>
      </c>
    </row>
    <row r="812" spans="1:20" ht="25.5" x14ac:dyDescent="0.25">
      <c r="A812" s="268" t="s">
        <v>2314</v>
      </c>
      <c r="B812" s="248">
        <v>31</v>
      </c>
      <c r="C812" s="248" t="s">
        <v>2691</v>
      </c>
      <c r="D812" s="248" t="s">
        <v>2988</v>
      </c>
      <c r="E812" s="248" t="s">
        <v>3160</v>
      </c>
      <c r="F812" s="248" t="s">
        <v>2695</v>
      </c>
      <c r="G812" s="248" t="s">
        <v>2490</v>
      </c>
      <c r="H812" s="249" t="s">
        <v>3179</v>
      </c>
      <c r="I812" s="249" t="s">
        <v>2734</v>
      </c>
      <c r="J812" s="248" t="s">
        <v>2735</v>
      </c>
      <c r="K812" s="261" t="s">
        <v>3117</v>
      </c>
      <c r="L812" s="261" t="s">
        <v>2767</v>
      </c>
      <c r="M812" s="258" t="s">
        <v>2788</v>
      </c>
      <c r="N812" s="299" t="s">
        <v>2877</v>
      </c>
      <c r="O812" s="292" t="str">
        <f>TablaPOA[[#This Row],[Cod_Sub_acción_especifica]]&amp;"_"&amp;TablaPOA[[#This Row],[Tipo de agente]]</f>
        <v>K31.2.19.2_Consumidores directos de combustibles líquidos y OPDH</v>
      </c>
      <c r="P812" s="250" t="s">
        <v>2808</v>
      </c>
      <c r="Q812" s="292" t="str">
        <f>TablaPOA[[#This Row],[Cod_Sub_acción_especifica]]&amp;"_"&amp;TablaPOA[[#This Row],[Cod_Tipo_agente]]</f>
        <v>K31.2.19.2_TA1</v>
      </c>
      <c r="R812" s="250" t="s">
        <v>2809</v>
      </c>
      <c r="S812" s="251" t="s">
        <v>2818</v>
      </c>
      <c r="T812" s="269" t="s">
        <v>2819</v>
      </c>
    </row>
    <row r="813" spans="1:20" ht="25.5" x14ac:dyDescent="0.25">
      <c r="A813" s="268" t="s">
        <v>2314</v>
      </c>
      <c r="B813" s="248">
        <v>31</v>
      </c>
      <c r="C813" s="248" t="s">
        <v>2691</v>
      </c>
      <c r="D813" s="248" t="s">
        <v>2988</v>
      </c>
      <c r="E813" s="248" t="s">
        <v>3160</v>
      </c>
      <c r="F813" s="248" t="s">
        <v>2695</v>
      </c>
      <c r="G813" s="248" t="s">
        <v>2490</v>
      </c>
      <c r="H813" s="249" t="s">
        <v>3179</v>
      </c>
      <c r="I813" s="249" t="s">
        <v>2734</v>
      </c>
      <c r="J813" s="248" t="s">
        <v>2735</v>
      </c>
      <c r="K813" s="261" t="s">
        <v>3117</v>
      </c>
      <c r="L813" s="261" t="s">
        <v>2767</v>
      </c>
      <c r="M813" s="258" t="s">
        <v>2788</v>
      </c>
      <c r="N813" s="299" t="s">
        <v>2883</v>
      </c>
      <c r="O813" s="292" t="str">
        <f>TablaPOA[[#This Row],[Cod_Sub_acción_especifica]]&amp;"_"&amp;TablaPOA[[#This Row],[Tipo de agente]]</f>
        <v>K31.2.19.2_Consumidores directos de combustibles líquidos y OPDH</v>
      </c>
      <c r="P813" s="250" t="s">
        <v>2808</v>
      </c>
      <c r="Q813" s="292" t="str">
        <f>TablaPOA[[#This Row],[Cod_Sub_acción_especifica]]&amp;"_"&amp;TablaPOA[[#This Row],[Cod_Tipo_agente]]</f>
        <v>K31.2.19.2_TA1</v>
      </c>
      <c r="R813" s="250" t="s">
        <v>2809</v>
      </c>
      <c r="S813" s="251" t="s">
        <v>2820</v>
      </c>
      <c r="T813" s="269" t="s">
        <v>2821</v>
      </c>
    </row>
    <row r="814" spans="1:20" ht="25.5" x14ac:dyDescent="0.25">
      <c r="A814" s="268" t="s">
        <v>2314</v>
      </c>
      <c r="B814" s="248">
        <v>31</v>
      </c>
      <c r="C814" s="248" t="s">
        <v>2691</v>
      </c>
      <c r="D814" s="248" t="s">
        <v>2988</v>
      </c>
      <c r="E814" s="248" t="s">
        <v>3160</v>
      </c>
      <c r="F814" s="248" t="s">
        <v>2695</v>
      </c>
      <c r="G814" s="248" t="s">
        <v>2490</v>
      </c>
      <c r="H814" s="249" t="s">
        <v>3179</v>
      </c>
      <c r="I814" s="249" t="s">
        <v>2734</v>
      </c>
      <c r="J814" s="248" t="s">
        <v>2735</v>
      </c>
      <c r="K814" s="261" t="s">
        <v>3117</v>
      </c>
      <c r="L814" s="261" t="s">
        <v>2767</v>
      </c>
      <c r="M814" s="258" t="s">
        <v>2788</v>
      </c>
      <c r="N814" s="299" t="s">
        <v>2913</v>
      </c>
      <c r="O814" s="292" t="str">
        <f>TablaPOA[[#This Row],[Cod_Sub_acción_especifica]]&amp;"_"&amp;TablaPOA[[#This Row],[Tipo de agente]]</f>
        <v>K31.2.19.2_Consumidores directos de combustibles líquidos y OPDH</v>
      </c>
      <c r="P814" s="250" t="s">
        <v>2808</v>
      </c>
      <c r="Q814" s="292" t="str">
        <f>TablaPOA[[#This Row],[Cod_Sub_acción_especifica]]&amp;"_"&amp;TablaPOA[[#This Row],[Cod_Tipo_agente]]</f>
        <v>K31.2.19.2_TA1</v>
      </c>
      <c r="R814" s="250" t="s">
        <v>2809</v>
      </c>
      <c r="S814" s="251" t="s">
        <v>2822</v>
      </c>
      <c r="T814" s="269" t="s">
        <v>2823</v>
      </c>
    </row>
    <row r="815" spans="1:20" ht="25.5" x14ac:dyDescent="0.25">
      <c r="A815" s="268" t="s">
        <v>2314</v>
      </c>
      <c r="B815" s="248">
        <v>31</v>
      </c>
      <c r="C815" s="248" t="s">
        <v>2691</v>
      </c>
      <c r="D815" s="248" t="s">
        <v>2988</v>
      </c>
      <c r="E815" s="248" t="s">
        <v>3160</v>
      </c>
      <c r="F815" s="248" t="s">
        <v>2695</v>
      </c>
      <c r="G815" s="248" t="s">
        <v>2490</v>
      </c>
      <c r="H815" s="249" t="s">
        <v>3179</v>
      </c>
      <c r="I815" s="249" t="s">
        <v>2734</v>
      </c>
      <c r="J815" s="248" t="s">
        <v>2735</v>
      </c>
      <c r="K815" s="261" t="s">
        <v>3117</v>
      </c>
      <c r="L815" s="261" t="s">
        <v>2767</v>
      </c>
      <c r="M815" s="258" t="s">
        <v>2788</v>
      </c>
      <c r="N815" s="299" t="s">
        <v>2919</v>
      </c>
      <c r="O815" s="292" t="str">
        <f>TablaPOA[[#This Row],[Cod_Sub_acción_especifica]]&amp;"_"&amp;TablaPOA[[#This Row],[Tipo de agente]]</f>
        <v>K31.2.19.2_Consumidores directos de combustibles líquidos y OPDH</v>
      </c>
      <c r="P815" s="250" t="s">
        <v>2808</v>
      </c>
      <c r="Q815" s="292" t="str">
        <f>TablaPOA[[#This Row],[Cod_Sub_acción_especifica]]&amp;"_"&amp;TablaPOA[[#This Row],[Cod_Tipo_agente]]</f>
        <v>K31.2.19.2_TA1</v>
      </c>
      <c r="R815" s="250" t="s">
        <v>2809</v>
      </c>
      <c r="S815" s="251" t="s">
        <v>2824</v>
      </c>
      <c r="T815" s="269" t="s">
        <v>2825</v>
      </c>
    </row>
    <row r="816" spans="1:20" ht="25.5" x14ac:dyDescent="0.25">
      <c r="A816" s="268" t="s">
        <v>2314</v>
      </c>
      <c r="B816" s="248">
        <v>31</v>
      </c>
      <c r="C816" s="248" t="s">
        <v>2691</v>
      </c>
      <c r="D816" s="248" t="s">
        <v>2988</v>
      </c>
      <c r="E816" s="248" t="s">
        <v>3160</v>
      </c>
      <c r="F816" s="248" t="s">
        <v>2695</v>
      </c>
      <c r="G816" s="248" t="s">
        <v>2490</v>
      </c>
      <c r="H816" s="249" t="s">
        <v>3179</v>
      </c>
      <c r="I816" s="249" t="s">
        <v>2734</v>
      </c>
      <c r="J816" s="248" t="s">
        <v>2735</v>
      </c>
      <c r="K816" s="261" t="s">
        <v>3117</v>
      </c>
      <c r="L816" s="261" t="s">
        <v>2767</v>
      </c>
      <c r="M816" s="258" t="s">
        <v>2788</v>
      </c>
      <c r="N816" s="299" t="s">
        <v>2951</v>
      </c>
      <c r="O816" s="292" t="str">
        <f>TablaPOA[[#This Row],[Cod_Sub_acción_especifica]]&amp;"_"&amp;TablaPOA[[#This Row],[Tipo de agente]]</f>
        <v>K31.2.19.2_Consumidores directos de combustibles líquidos y OPDH</v>
      </c>
      <c r="P816" s="250" t="s">
        <v>2808</v>
      </c>
      <c r="Q816" s="292" t="str">
        <f>TablaPOA[[#This Row],[Cod_Sub_acción_especifica]]&amp;"_"&amp;TablaPOA[[#This Row],[Cod_Tipo_agente]]</f>
        <v>K31.2.19.2_TA1</v>
      </c>
      <c r="R816" s="250" t="s">
        <v>2809</v>
      </c>
      <c r="S816" s="251" t="s">
        <v>2826</v>
      </c>
      <c r="T816" s="269" t="s">
        <v>2827</v>
      </c>
    </row>
    <row r="817" spans="1:20" ht="25.5" x14ac:dyDescent="0.25">
      <c r="A817" s="268" t="s">
        <v>2314</v>
      </c>
      <c r="B817" s="248">
        <v>31</v>
      </c>
      <c r="C817" s="248" t="s">
        <v>2691</v>
      </c>
      <c r="D817" s="248" t="s">
        <v>2988</v>
      </c>
      <c r="E817" s="248" t="s">
        <v>3160</v>
      </c>
      <c r="F817" s="248" t="s">
        <v>2695</v>
      </c>
      <c r="G817" s="248" t="s">
        <v>2490</v>
      </c>
      <c r="H817" s="249" t="s">
        <v>3179</v>
      </c>
      <c r="I817" s="249" t="s">
        <v>2734</v>
      </c>
      <c r="J817" s="248" t="s">
        <v>2735</v>
      </c>
      <c r="K817" s="261" t="s">
        <v>3117</v>
      </c>
      <c r="L817" s="261" t="s">
        <v>2767</v>
      </c>
      <c r="M817" s="258" t="s">
        <v>2788</v>
      </c>
      <c r="N817" s="299" t="s">
        <v>2903</v>
      </c>
      <c r="O817" s="292" t="str">
        <f>TablaPOA[[#This Row],[Cod_Sub_acción_especifica]]&amp;"_"&amp;TablaPOA[[#This Row],[Tipo de agente]]</f>
        <v>K31.2.19.2_Consumidores directos de combustibles líquidos y OPDH</v>
      </c>
      <c r="P817" s="250" t="s">
        <v>2808</v>
      </c>
      <c r="Q817" s="292" t="str">
        <f>TablaPOA[[#This Row],[Cod_Sub_acción_especifica]]&amp;"_"&amp;TablaPOA[[#This Row],[Cod_Tipo_agente]]</f>
        <v>K31.2.19.2_TA1</v>
      </c>
      <c r="R817" s="250" t="s">
        <v>2809</v>
      </c>
      <c r="S817" s="251" t="s">
        <v>2828</v>
      </c>
      <c r="T817" s="269" t="s">
        <v>2829</v>
      </c>
    </row>
    <row r="818" spans="1:20" ht="25.5" x14ac:dyDescent="0.25">
      <c r="A818" s="268" t="s">
        <v>2314</v>
      </c>
      <c r="B818" s="248">
        <v>31</v>
      </c>
      <c r="C818" s="248" t="s">
        <v>2691</v>
      </c>
      <c r="D818" s="248" t="s">
        <v>2988</v>
      </c>
      <c r="E818" s="248" t="s">
        <v>3160</v>
      </c>
      <c r="F818" s="248" t="s">
        <v>2695</v>
      </c>
      <c r="G818" s="248" t="s">
        <v>2490</v>
      </c>
      <c r="H818" s="249" t="s">
        <v>3179</v>
      </c>
      <c r="I818" s="249" t="s">
        <v>2734</v>
      </c>
      <c r="J818" s="248" t="s">
        <v>2735</v>
      </c>
      <c r="K818" s="261" t="s">
        <v>3117</v>
      </c>
      <c r="L818" s="261" t="s">
        <v>2767</v>
      </c>
      <c r="M818" s="258" t="s">
        <v>2788</v>
      </c>
      <c r="N818" s="299" t="s">
        <v>2963</v>
      </c>
      <c r="O818" s="292" t="str">
        <f>TablaPOA[[#This Row],[Cod_Sub_acción_especifica]]&amp;"_"&amp;TablaPOA[[#This Row],[Tipo de agente]]</f>
        <v>K31.2.19.2_Consumidores directos de gas natural</v>
      </c>
      <c r="P818" s="250" t="s">
        <v>2830</v>
      </c>
      <c r="Q818" s="292" t="str">
        <f>TablaPOA[[#This Row],[Cod_Sub_acción_especifica]]&amp;"_"&amp;TablaPOA[[#This Row],[Cod_Tipo_agente]]</f>
        <v>K31.2.19.2_TA2</v>
      </c>
      <c r="R818" s="250" t="s">
        <v>2831</v>
      </c>
      <c r="S818" s="250">
        <v>101</v>
      </c>
      <c r="T818" s="269" t="s">
        <v>2832</v>
      </c>
    </row>
    <row r="819" spans="1:20" ht="25.5" x14ac:dyDescent="0.25">
      <c r="A819" s="268" t="s">
        <v>2314</v>
      </c>
      <c r="B819" s="248">
        <v>31</v>
      </c>
      <c r="C819" s="248" t="s">
        <v>2691</v>
      </c>
      <c r="D819" s="248" t="s">
        <v>2988</v>
      </c>
      <c r="E819" s="248" t="s">
        <v>3160</v>
      </c>
      <c r="F819" s="248" t="s">
        <v>2695</v>
      </c>
      <c r="G819" s="248" t="s">
        <v>2490</v>
      </c>
      <c r="H819" s="249" t="s">
        <v>3179</v>
      </c>
      <c r="I819" s="249" t="s">
        <v>2734</v>
      </c>
      <c r="J819" s="248" t="s">
        <v>2735</v>
      </c>
      <c r="K819" s="261" t="s">
        <v>3117</v>
      </c>
      <c r="L819" s="261" t="s">
        <v>2767</v>
      </c>
      <c r="M819" s="258" t="s">
        <v>2788</v>
      </c>
      <c r="N819" s="295"/>
      <c r="O819" s="295" t="str">
        <f>TablaPOA[[#This Row],[Cod_Sub_acción_especifica]]&amp;"_"&amp;TablaPOA[[#This Row],[Tipo de agente]]</f>
        <v>K31.2.19.2_Consumidores directos de gas natural</v>
      </c>
      <c r="P819" s="250" t="s">
        <v>2830</v>
      </c>
      <c r="Q819" s="292" t="str">
        <f>TablaPOA[[#This Row],[Cod_Sub_acción_especifica]]&amp;"_"&amp;TablaPOA[[#This Row],[Cod_Tipo_agente]]</f>
        <v>K31.2.19.2_TA2</v>
      </c>
      <c r="R819" s="250" t="s">
        <v>2831</v>
      </c>
      <c r="S819" s="250" t="s">
        <v>2833</v>
      </c>
      <c r="T819" s="269" t="s">
        <v>2834</v>
      </c>
    </row>
    <row r="820" spans="1:20" ht="25.5" x14ac:dyDescent="0.25">
      <c r="A820" s="268" t="s">
        <v>2314</v>
      </c>
      <c r="B820" s="248">
        <v>31</v>
      </c>
      <c r="C820" s="248" t="s">
        <v>2691</v>
      </c>
      <c r="D820" s="248" t="s">
        <v>2988</v>
      </c>
      <c r="E820" s="248" t="s">
        <v>3160</v>
      </c>
      <c r="F820" s="248" t="s">
        <v>2695</v>
      </c>
      <c r="G820" s="248" t="s">
        <v>2490</v>
      </c>
      <c r="H820" s="249" t="s">
        <v>3179</v>
      </c>
      <c r="I820" s="249" t="s">
        <v>2734</v>
      </c>
      <c r="J820" s="248" t="s">
        <v>2735</v>
      </c>
      <c r="K820" s="261" t="s">
        <v>3117</v>
      </c>
      <c r="L820" s="261" t="s">
        <v>2767</v>
      </c>
      <c r="M820" s="258" t="s">
        <v>2788</v>
      </c>
      <c r="N820" s="295"/>
      <c r="O820" s="295" t="str">
        <f>TablaPOA[[#This Row],[Cod_Sub_acción_especifica]]&amp;"_"&amp;TablaPOA[[#This Row],[Tipo de agente]]</f>
        <v>K31.2.19.2_Consumidores directos de gas natural</v>
      </c>
      <c r="P820" s="250" t="s">
        <v>2830</v>
      </c>
      <c r="Q820" s="292" t="str">
        <f>TablaPOA[[#This Row],[Cod_Sub_acción_especifica]]&amp;"_"&amp;TablaPOA[[#This Row],[Cod_Tipo_agente]]</f>
        <v>K31.2.19.2_TA2</v>
      </c>
      <c r="R820" s="250" t="s">
        <v>2831</v>
      </c>
      <c r="S820" s="250" t="s">
        <v>2835</v>
      </c>
      <c r="T820" s="269" t="s">
        <v>2836</v>
      </c>
    </row>
    <row r="821" spans="1:20" ht="25.5" x14ac:dyDescent="0.25">
      <c r="A821" s="268" t="s">
        <v>2314</v>
      </c>
      <c r="B821" s="248">
        <v>31</v>
      </c>
      <c r="C821" s="248" t="s">
        <v>2691</v>
      </c>
      <c r="D821" s="248" t="s">
        <v>2988</v>
      </c>
      <c r="E821" s="248" t="s">
        <v>3160</v>
      </c>
      <c r="F821" s="248" t="s">
        <v>2695</v>
      </c>
      <c r="G821" s="248" t="s">
        <v>2490</v>
      </c>
      <c r="H821" s="249" t="s">
        <v>3179</v>
      </c>
      <c r="I821" s="249" t="s">
        <v>2734</v>
      </c>
      <c r="J821" s="248" t="s">
        <v>2735</v>
      </c>
      <c r="K821" s="261" t="s">
        <v>3117</v>
      </c>
      <c r="L821" s="261" t="s">
        <v>2767</v>
      </c>
      <c r="M821" s="258" t="s">
        <v>2788</v>
      </c>
      <c r="N821" s="295"/>
      <c r="O821" s="295" t="str">
        <f>TablaPOA[[#This Row],[Cod_Sub_acción_especifica]]&amp;"_"&amp;TablaPOA[[#This Row],[Tipo de agente]]</f>
        <v>K31.2.19.2_Consumidores directos de gas natural</v>
      </c>
      <c r="P821" s="250" t="s">
        <v>2830</v>
      </c>
      <c r="Q821" s="292" t="str">
        <f>TablaPOA[[#This Row],[Cod_Sub_acción_especifica]]&amp;"_"&amp;TablaPOA[[#This Row],[Cod_Tipo_agente]]</f>
        <v>K31.2.19.2_TA2</v>
      </c>
      <c r="R821" s="250" t="s">
        <v>2831</v>
      </c>
      <c r="S821" s="250" t="s">
        <v>2837</v>
      </c>
      <c r="T821" s="269" t="s">
        <v>2838</v>
      </c>
    </row>
    <row r="822" spans="1:20" ht="25.5" x14ac:dyDescent="0.25">
      <c r="A822" s="268" t="s">
        <v>2314</v>
      </c>
      <c r="B822" s="248">
        <v>31</v>
      </c>
      <c r="C822" s="248" t="s">
        <v>2691</v>
      </c>
      <c r="D822" s="248" t="s">
        <v>2988</v>
      </c>
      <c r="E822" s="248" t="s">
        <v>3160</v>
      </c>
      <c r="F822" s="248" t="s">
        <v>2695</v>
      </c>
      <c r="G822" s="248" t="s">
        <v>2490</v>
      </c>
      <c r="H822" s="249" t="s">
        <v>3179</v>
      </c>
      <c r="I822" s="249" t="s">
        <v>2734</v>
      </c>
      <c r="J822" s="248" t="s">
        <v>2735</v>
      </c>
      <c r="K822" s="261" t="s">
        <v>3117</v>
      </c>
      <c r="L822" s="261" t="s">
        <v>2767</v>
      </c>
      <c r="M822" s="258" t="s">
        <v>2788</v>
      </c>
      <c r="N822" s="295"/>
      <c r="O822" s="295" t="str">
        <f>TablaPOA[[#This Row],[Cod_Sub_acción_especifica]]&amp;"_"&amp;TablaPOA[[#This Row],[Tipo de agente]]</f>
        <v>K31.2.19.2_Consumidores directos de GLP y redes de distribución</v>
      </c>
      <c r="P822" s="250" t="s">
        <v>2839</v>
      </c>
      <c r="Q822" s="292" t="str">
        <f>TablaPOA[[#This Row],[Cod_Sub_acción_especifica]]&amp;"_"&amp;TablaPOA[[#This Row],[Cod_Tipo_agente]]</f>
        <v>K31.2.19.2_TA3</v>
      </c>
      <c r="R822" s="250" t="s">
        <v>2840</v>
      </c>
      <c r="S822" s="250">
        <v>400</v>
      </c>
      <c r="T822" s="269" t="s">
        <v>2841</v>
      </c>
    </row>
    <row r="823" spans="1:20" ht="25.5" x14ac:dyDescent="0.25">
      <c r="A823" s="268" t="s">
        <v>2314</v>
      </c>
      <c r="B823" s="248">
        <v>31</v>
      </c>
      <c r="C823" s="248" t="s">
        <v>2691</v>
      </c>
      <c r="D823" s="248" t="s">
        <v>2988</v>
      </c>
      <c r="E823" s="248" t="s">
        <v>3160</v>
      </c>
      <c r="F823" s="248" t="s">
        <v>2695</v>
      </c>
      <c r="G823" s="248" t="s">
        <v>2490</v>
      </c>
      <c r="H823" s="249" t="s">
        <v>3179</v>
      </c>
      <c r="I823" s="249" t="s">
        <v>2734</v>
      </c>
      <c r="J823" s="248" t="s">
        <v>2735</v>
      </c>
      <c r="K823" s="261" t="s">
        <v>3117</v>
      </c>
      <c r="L823" s="261" t="s">
        <v>2767</v>
      </c>
      <c r="M823" s="258" t="s">
        <v>2788</v>
      </c>
      <c r="N823" s="295"/>
      <c r="O823" s="295" t="str">
        <f>TablaPOA[[#This Row],[Cod_Sub_acción_especifica]]&amp;"_"&amp;TablaPOA[[#This Row],[Tipo de agente]]</f>
        <v>K31.2.19.2_Consumidores directos de GLP y redes de distribución</v>
      </c>
      <c r="P823" s="250" t="s">
        <v>2839</v>
      </c>
      <c r="Q823" s="292" t="str">
        <f>TablaPOA[[#This Row],[Cod_Sub_acción_especifica]]&amp;"_"&amp;TablaPOA[[#This Row],[Cod_Tipo_agente]]</f>
        <v>K31.2.19.2_TA3</v>
      </c>
      <c r="R823" s="250" t="s">
        <v>2840</v>
      </c>
      <c r="S823" s="250" t="s">
        <v>2842</v>
      </c>
      <c r="T823" s="269" t="s">
        <v>2843</v>
      </c>
    </row>
    <row r="824" spans="1:20" ht="25.5" x14ac:dyDescent="0.25">
      <c r="A824" s="268" t="s">
        <v>2314</v>
      </c>
      <c r="B824" s="248">
        <v>31</v>
      </c>
      <c r="C824" s="248" t="s">
        <v>2691</v>
      </c>
      <c r="D824" s="248" t="s">
        <v>2988</v>
      </c>
      <c r="E824" s="248" t="s">
        <v>3160</v>
      </c>
      <c r="F824" s="248" t="s">
        <v>2695</v>
      </c>
      <c r="G824" s="248" t="s">
        <v>2490</v>
      </c>
      <c r="H824" s="249" t="s">
        <v>3179</v>
      </c>
      <c r="I824" s="249" t="s">
        <v>2734</v>
      </c>
      <c r="J824" s="248" t="s">
        <v>2735</v>
      </c>
      <c r="K824" s="261" t="s">
        <v>3117</v>
      </c>
      <c r="L824" s="261" t="s">
        <v>2767</v>
      </c>
      <c r="M824" s="258" t="s">
        <v>2788</v>
      </c>
      <c r="N824" s="295"/>
      <c r="O824" s="295" t="str">
        <f>TablaPOA[[#This Row],[Cod_Sub_acción_especifica]]&amp;"_"&amp;TablaPOA[[#This Row],[Tipo de agente]]</f>
        <v>K31.2.19.2_Consumidores directos de GLP y redes de distribución</v>
      </c>
      <c r="P824" s="250" t="s">
        <v>2839</v>
      </c>
      <c r="Q824" s="292" t="str">
        <f>TablaPOA[[#This Row],[Cod_Sub_acción_especifica]]&amp;"_"&amp;TablaPOA[[#This Row],[Cod_Tipo_agente]]</f>
        <v>K31.2.19.2_TA3</v>
      </c>
      <c r="R824" s="250" t="s">
        <v>2840</v>
      </c>
      <c r="S824" s="250" t="s">
        <v>2844</v>
      </c>
      <c r="T824" s="269" t="s">
        <v>2845</v>
      </c>
    </row>
    <row r="825" spans="1:20" ht="25.5" x14ac:dyDescent="0.25">
      <c r="A825" s="268" t="s">
        <v>2314</v>
      </c>
      <c r="B825" s="248">
        <v>31</v>
      </c>
      <c r="C825" s="248" t="s">
        <v>2691</v>
      </c>
      <c r="D825" s="248" t="s">
        <v>2988</v>
      </c>
      <c r="E825" s="248" t="s">
        <v>3160</v>
      </c>
      <c r="F825" s="248" t="s">
        <v>2695</v>
      </c>
      <c r="G825" s="248" t="s">
        <v>2490</v>
      </c>
      <c r="H825" s="249" t="s">
        <v>3179</v>
      </c>
      <c r="I825" s="249" t="s">
        <v>2734</v>
      </c>
      <c r="J825" s="248" t="s">
        <v>2735</v>
      </c>
      <c r="K825" s="261" t="s">
        <v>3117</v>
      </c>
      <c r="L825" s="261" t="s">
        <v>2767</v>
      </c>
      <c r="M825" s="258" t="s">
        <v>2788</v>
      </c>
      <c r="N825" s="295"/>
      <c r="O825" s="295" t="str">
        <f>TablaPOA[[#This Row],[Cod_Sub_acción_especifica]]&amp;"_"&amp;TablaPOA[[#This Row],[Tipo de agente]]</f>
        <v>K31.2.19.2_Consumidores directos de GLP y redes de distribución</v>
      </c>
      <c r="P825" s="250" t="s">
        <v>2839</v>
      </c>
      <c r="Q825" s="292" t="str">
        <f>TablaPOA[[#This Row],[Cod_Sub_acción_especifica]]&amp;"_"&amp;TablaPOA[[#This Row],[Cod_Tipo_agente]]</f>
        <v>K31.2.19.2_TA3</v>
      </c>
      <c r="R825" s="250" t="s">
        <v>2840</v>
      </c>
      <c r="S825" s="250" t="s">
        <v>2846</v>
      </c>
      <c r="T825" s="269" t="s">
        <v>2847</v>
      </c>
    </row>
    <row r="826" spans="1:20" ht="25.5" x14ac:dyDescent="0.25">
      <c r="A826" s="268" t="s">
        <v>2314</v>
      </c>
      <c r="B826" s="248">
        <v>31</v>
      </c>
      <c r="C826" s="248" t="s">
        <v>2691</v>
      </c>
      <c r="D826" s="248" t="s">
        <v>2988</v>
      </c>
      <c r="E826" s="248" t="s">
        <v>3160</v>
      </c>
      <c r="F826" s="248" t="s">
        <v>2695</v>
      </c>
      <c r="G826" s="248" t="s">
        <v>2490</v>
      </c>
      <c r="H826" s="249" t="s">
        <v>3179</v>
      </c>
      <c r="I826" s="249" t="s">
        <v>2734</v>
      </c>
      <c r="J826" s="248" t="s">
        <v>2735</v>
      </c>
      <c r="K826" s="261" t="s">
        <v>3117</v>
      </c>
      <c r="L826" s="261" t="s">
        <v>2767</v>
      </c>
      <c r="M826" s="258" t="s">
        <v>2788</v>
      </c>
      <c r="N826" s="295"/>
      <c r="O826" s="295" t="str">
        <f>TablaPOA[[#This Row],[Cod_Sub_acción_especifica]]&amp;"_"&amp;TablaPOA[[#This Row],[Tipo de agente]]</f>
        <v>K31.2.19.2_Consumidores directos de GLP y redes de distribución</v>
      </c>
      <c r="P826" s="250" t="s">
        <v>2839</v>
      </c>
      <c r="Q826" s="292" t="str">
        <f>TablaPOA[[#This Row],[Cod_Sub_acción_especifica]]&amp;"_"&amp;TablaPOA[[#This Row],[Cod_Tipo_agente]]</f>
        <v>K31.2.19.2_TA3</v>
      </c>
      <c r="R826" s="250" t="s">
        <v>2840</v>
      </c>
      <c r="S826" s="250" t="s">
        <v>2848</v>
      </c>
      <c r="T826" s="269" t="s">
        <v>2849</v>
      </c>
    </row>
    <row r="827" spans="1:20" ht="25.5" x14ac:dyDescent="0.25">
      <c r="A827" s="268" t="s">
        <v>2314</v>
      </c>
      <c r="B827" s="248">
        <v>31</v>
      </c>
      <c r="C827" s="248" t="s">
        <v>2691</v>
      </c>
      <c r="D827" s="248" t="s">
        <v>2988</v>
      </c>
      <c r="E827" s="248" t="s">
        <v>3160</v>
      </c>
      <c r="F827" s="248" t="s">
        <v>2695</v>
      </c>
      <c r="G827" s="248" t="s">
        <v>2490</v>
      </c>
      <c r="H827" s="249" t="s">
        <v>3179</v>
      </c>
      <c r="I827" s="249" t="s">
        <v>2734</v>
      </c>
      <c r="J827" s="248" t="s">
        <v>2735</v>
      </c>
      <c r="K827" s="261" t="s">
        <v>3117</v>
      </c>
      <c r="L827" s="261" t="s">
        <v>2767</v>
      </c>
      <c r="M827" s="258" t="s">
        <v>2788</v>
      </c>
      <c r="N827" s="295"/>
      <c r="O827" s="295" t="str">
        <f>TablaPOA[[#This Row],[Cod_Sub_acción_especifica]]&amp;"_"&amp;TablaPOA[[#This Row],[Tipo de agente]]</f>
        <v>K31.2.19.2_Consumidores directos de GLP y redes de distribución</v>
      </c>
      <c r="P827" s="250" t="s">
        <v>2839</v>
      </c>
      <c r="Q827" s="292" t="str">
        <f>TablaPOA[[#This Row],[Cod_Sub_acción_especifica]]&amp;"_"&amp;TablaPOA[[#This Row],[Cod_Tipo_agente]]</f>
        <v>K31.2.19.2_TA3</v>
      </c>
      <c r="R827" s="250" t="s">
        <v>2840</v>
      </c>
      <c r="S827" s="250" t="s">
        <v>2850</v>
      </c>
      <c r="T827" s="269" t="s">
        <v>2851</v>
      </c>
    </row>
    <row r="828" spans="1:20" ht="25.5" x14ac:dyDescent="0.25">
      <c r="A828" s="268" t="s">
        <v>2314</v>
      </c>
      <c r="B828" s="248">
        <v>31</v>
      </c>
      <c r="C828" s="248" t="s">
        <v>2691</v>
      </c>
      <c r="D828" s="248" t="s">
        <v>2988</v>
      </c>
      <c r="E828" s="248" t="s">
        <v>3160</v>
      </c>
      <c r="F828" s="248" t="s">
        <v>2695</v>
      </c>
      <c r="G828" s="248" t="s">
        <v>2490</v>
      </c>
      <c r="H828" s="249" t="s">
        <v>3179</v>
      </c>
      <c r="I828" s="249" t="s">
        <v>2734</v>
      </c>
      <c r="J828" s="248" t="s">
        <v>2735</v>
      </c>
      <c r="K828" s="261" t="s">
        <v>3117</v>
      </c>
      <c r="L828" s="261" t="s">
        <v>2767</v>
      </c>
      <c r="M828" s="258" t="s">
        <v>2788</v>
      </c>
      <c r="N828" s="295"/>
      <c r="O828" s="295" t="str">
        <f>TablaPOA[[#This Row],[Cod_Sub_acción_especifica]]&amp;"_"&amp;TablaPOA[[#This Row],[Tipo de agente]]</f>
        <v>K31.2.19.2_Distribuidores mayoristas, Importadores y Comercializadores</v>
      </c>
      <c r="P828" s="250" t="s">
        <v>2852</v>
      </c>
      <c r="Q828" s="292" t="str">
        <f>TablaPOA[[#This Row],[Cod_Sub_acción_especifica]]&amp;"_"&amp;TablaPOA[[#This Row],[Cod_Tipo_agente]]</f>
        <v>K31.2.19.2_TA4</v>
      </c>
      <c r="R828" s="250" t="s">
        <v>2853</v>
      </c>
      <c r="S828" s="251" t="s">
        <v>2854</v>
      </c>
      <c r="T828" s="269" t="s">
        <v>2855</v>
      </c>
    </row>
    <row r="829" spans="1:20" ht="25.5" x14ac:dyDescent="0.25">
      <c r="A829" s="268" t="s">
        <v>2314</v>
      </c>
      <c r="B829" s="248">
        <v>31</v>
      </c>
      <c r="C829" s="248" t="s">
        <v>2691</v>
      </c>
      <c r="D829" s="248" t="s">
        <v>2988</v>
      </c>
      <c r="E829" s="248" t="s">
        <v>3160</v>
      </c>
      <c r="F829" s="248" t="s">
        <v>2695</v>
      </c>
      <c r="G829" s="248" t="s">
        <v>2490</v>
      </c>
      <c r="H829" s="249" t="s">
        <v>3179</v>
      </c>
      <c r="I829" s="249" t="s">
        <v>2734</v>
      </c>
      <c r="J829" s="248" t="s">
        <v>2735</v>
      </c>
      <c r="K829" s="261" t="s">
        <v>3117</v>
      </c>
      <c r="L829" s="261" t="s">
        <v>2767</v>
      </c>
      <c r="M829" s="258" t="s">
        <v>2788</v>
      </c>
      <c r="N829" s="295"/>
      <c r="O829" s="295" t="str">
        <f>TablaPOA[[#This Row],[Cod_Sub_acción_especifica]]&amp;"_"&amp;TablaPOA[[#This Row],[Tipo de agente]]</f>
        <v>K31.2.19.2_Distribuidores mayoristas, Importadores y Comercializadores</v>
      </c>
      <c r="P829" s="250" t="s">
        <v>2852</v>
      </c>
      <c r="Q829" s="292" t="str">
        <f>TablaPOA[[#This Row],[Cod_Sub_acción_especifica]]&amp;"_"&amp;TablaPOA[[#This Row],[Cod_Tipo_agente]]</f>
        <v>K31.2.19.2_TA4</v>
      </c>
      <c r="R829" s="250" t="s">
        <v>2853</v>
      </c>
      <c r="S829" s="251" t="s">
        <v>2856</v>
      </c>
      <c r="T829" s="269" t="s">
        <v>2857</v>
      </c>
    </row>
    <row r="830" spans="1:20" ht="25.5" x14ac:dyDescent="0.25">
      <c r="A830" s="268" t="s">
        <v>2314</v>
      </c>
      <c r="B830" s="248">
        <v>31</v>
      </c>
      <c r="C830" s="248" t="s">
        <v>2691</v>
      </c>
      <c r="D830" s="248" t="s">
        <v>2988</v>
      </c>
      <c r="E830" s="248" t="s">
        <v>3160</v>
      </c>
      <c r="F830" s="248" t="s">
        <v>2695</v>
      </c>
      <c r="G830" s="248" t="s">
        <v>2490</v>
      </c>
      <c r="H830" s="249" t="s">
        <v>3179</v>
      </c>
      <c r="I830" s="249" t="s">
        <v>2734</v>
      </c>
      <c r="J830" s="248" t="s">
        <v>2735</v>
      </c>
      <c r="K830" s="261" t="s">
        <v>3117</v>
      </c>
      <c r="L830" s="261" t="s">
        <v>2767</v>
      </c>
      <c r="M830" s="258" t="s">
        <v>2788</v>
      </c>
      <c r="N830" s="295"/>
      <c r="O830" s="295" t="str">
        <f>TablaPOA[[#This Row],[Cod_Sub_acción_especifica]]&amp;"_"&amp;TablaPOA[[#This Row],[Tipo de agente]]</f>
        <v>K31.2.19.2_Distribuidores mayoristas, Importadores y Comercializadores</v>
      </c>
      <c r="P830" s="250" t="s">
        <v>2852</v>
      </c>
      <c r="Q830" s="292" t="str">
        <f>TablaPOA[[#This Row],[Cod_Sub_acción_especifica]]&amp;"_"&amp;TablaPOA[[#This Row],[Cod_Tipo_agente]]</f>
        <v>K31.2.19.2_TA4</v>
      </c>
      <c r="R830" s="250" t="s">
        <v>2853</v>
      </c>
      <c r="S830" s="251" t="s">
        <v>2858</v>
      </c>
      <c r="T830" s="269" t="s">
        <v>2859</v>
      </c>
    </row>
    <row r="831" spans="1:20" ht="25.5" x14ac:dyDescent="0.25">
      <c r="A831" s="268" t="s">
        <v>2314</v>
      </c>
      <c r="B831" s="248">
        <v>31</v>
      </c>
      <c r="C831" s="248" t="s">
        <v>2691</v>
      </c>
      <c r="D831" s="248" t="s">
        <v>2988</v>
      </c>
      <c r="E831" s="248" t="s">
        <v>3160</v>
      </c>
      <c r="F831" s="248" t="s">
        <v>2695</v>
      </c>
      <c r="G831" s="248" t="s">
        <v>2490</v>
      </c>
      <c r="H831" s="249" t="s">
        <v>3179</v>
      </c>
      <c r="I831" s="249" t="s">
        <v>2734</v>
      </c>
      <c r="J831" s="248" t="s">
        <v>2735</v>
      </c>
      <c r="K831" s="261" t="s">
        <v>3117</v>
      </c>
      <c r="L831" s="261" t="s">
        <v>2767</v>
      </c>
      <c r="M831" s="258" t="s">
        <v>2788</v>
      </c>
      <c r="N831" s="295"/>
      <c r="O831" s="295" t="str">
        <f>TablaPOA[[#This Row],[Cod_Sub_acción_especifica]]&amp;"_"&amp;TablaPOA[[#This Row],[Tipo de agente]]</f>
        <v>K31.2.19.2_Distribuidores mayoristas, Importadores y Comercializadores</v>
      </c>
      <c r="P831" s="250" t="s">
        <v>2852</v>
      </c>
      <c r="Q831" s="292" t="str">
        <f>TablaPOA[[#This Row],[Cod_Sub_acción_especifica]]&amp;"_"&amp;TablaPOA[[#This Row],[Cod_Tipo_agente]]</f>
        <v>K31.2.19.2_TA4</v>
      </c>
      <c r="R831" s="250" t="s">
        <v>2853</v>
      </c>
      <c r="S831" s="251" t="s">
        <v>2860</v>
      </c>
      <c r="T831" s="269" t="s">
        <v>2861</v>
      </c>
    </row>
    <row r="832" spans="1:20" ht="25.5" x14ac:dyDescent="0.25">
      <c r="A832" s="268" t="s">
        <v>2314</v>
      </c>
      <c r="B832" s="248">
        <v>31</v>
      </c>
      <c r="C832" s="248" t="s">
        <v>2691</v>
      </c>
      <c r="D832" s="248" t="s">
        <v>2988</v>
      </c>
      <c r="E832" s="248" t="s">
        <v>3160</v>
      </c>
      <c r="F832" s="248" t="s">
        <v>2695</v>
      </c>
      <c r="G832" s="248" t="s">
        <v>2490</v>
      </c>
      <c r="H832" s="249" t="s">
        <v>3179</v>
      </c>
      <c r="I832" s="249" t="s">
        <v>2734</v>
      </c>
      <c r="J832" s="248" t="s">
        <v>2735</v>
      </c>
      <c r="K832" s="261" t="s">
        <v>3117</v>
      </c>
      <c r="L832" s="261" t="s">
        <v>2767</v>
      </c>
      <c r="M832" s="258" t="s">
        <v>2788</v>
      </c>
      <c r="N832" s="295"/>
      <c r="O832" s="295" t="str">
        <f>TablaPOA[[#This Row],[Cod_Sub_acción_especifica]]&amp;"_"&amp;TablaPOA[[#This Row],[Tipo de agente]]</f>
        <v>K31.2.19.2_Distribuidores mayoristas, Importadores y Comercializadores</v>
      </c>
      <c r="P832" s="250" t="s">
        <v>2852</v>
      </c>
      <c r="Q832" s="292" t="str">
        <f>TablaPOA[[#This Row],[Cod_Sub_acción_especifica]]&amp;"_"&amp;TablaPOA[[#This Row],[Cod_Tipo_agente]]</f>
        <v>K31.2.19.2_TA4</v>
      </c>
      <c r="R832" s="250" t="s">
        <v>2853</v>
      </c>
      <c r="S832" s="251" t="s">
        <v>2862</v>
      </c>
      <c r="T832" s="269" t="s">
        <v>2863</v>
      </c>
    </row>
    <row r="833" spans="1:20" ht="25.5" x14ac:dyDescent="0.25">
      <c r="A833" s="268" t="s">
        <v>2314</v>
      </c>
      <c r="B833" s="248">
        <v>31</v>
      </c>
      <c r="C833" s="248" t="s">
        <v>2691</v>
      </c>
      <c r="D833" s="248" t="s">
        <v>2988</v>
      </c>
      <c r="E833" s="248" t="s">
        <v>3160</v>
      </c>
      <c r="F833" s="248" t="s">
        <v>2695</v>
      </c>
      <c r="G833" s="248" t="s">
        <v>2490</v>
      </c>
      <c r="H833" s="249" t="s">
        <v>3179</v>
      </c>
      <c r="I833" s="249" t="s">
        <v>2734</v>
      </c>
      <c r="J833" s="248" t="s">
        <v>2735</v>
      </c>
      <c r="K833" s="261" t="s">
        <v>3117</v>
      </c>
      <c r="L833" s="261" t="s">
        <v>2767</v>
      </c>
      <c r="M833" s="258" t="s">
        <v>2788</v>
      </c>
      <c r="N833" s="295"/>
      <c r="O833" s="295" t="str">
        <f>TablaPOA[[#This Row],[Cod_Sub_acción_especifica]]&amp;"_"&amp;TablaPOA[[#This Row],[Tipo de agente]]</f>
        <v>K31.2.19.2_Distribuidores mayoristas, Importadores y Comercializadores</v>
      </c>
      <c r="P833" s="250" t="s">
        <v>2852</v>
      </c>
      <c r="Q833" s="292" t="str">
        <f>TablaPOA[[#This Row],[Cod_Sub_acción_especifica]]&amp;"_"&amp;TablaPOA[[#This Row],[Cod_Tipo_agente]]</f>
        <v>K31.2.19.2_TA4</v>
      </c>
      <c r="R833" s="250" t="s">
        <v>2853</v>
      </c>
      <c r="S833" s="251" t="s">
        <v>2864</v>
      </c>
      <c r="T833" s="269" t="s">
        <v>2865</v>
      </c>
    </row>
    <row r="834" spans="1:20" ht="25.5" x14ac:dyDescent="0.25">
      <c r="A834" s="268" t="s">
        <v>2314</v>
      </c>
      <c r="B834" s="248">
        <v>31</v>
      </c>
      <c r="C834" s="248" t="s">
        <v>2691</v>
      </c>
      <c r="D834" s="248" t="s">
        <v>2988</v>
      </c>
      <c r="E834" s="248" t="s">
        <v>3160</v>
      </c>
      <c r="F834" s="248" t="s">
        <v>2695</v>
      </c>
      <c r="G834" s="248" t="s">
        <v>2490</v>
      </c>
      <c r="H834" s="249" t="s">
        <v>3179</v>
      </c>
      <c r="I834" s="249" t="s">
        <v>2734</v>
      </c>
      <c r="J834" s="248" t="s">
        <v>2735</v>
      </c>
      <c r="K834" s="261" t="s">
        <v>3117</v>
      </c>
      <c r="L834" s="261" t="s">
        <v>2767</v>
      </c>
      <c r="M834" s="258" t="s">
        <v>2788</v>
      </c>
      <c r="N834" s="295"/>
      <c r="O834" s="295" t="str">
        <f>TablaPOA[[#This Row],[Cod_Sub_acción_especifica]]&amp;"_"&amp;TablaPOA[[#This Row],[Tipo de agente]]</f>
        <v>K31.2.19.2_Distribuidores mayoristas, Importadores y Comercializadores</v>
      </c>
      <c r="P834" s="250" t="s">
        <v>2852</v>
      </c>
      <c r="Q834" s="292" t="str">
        <f>TablaPOA[[#This Row],[Cod_Sub_acción_especifica]]&amp;"_"&amp;TablaPOA[[#This Row],[Cod_Tipo_agente]]</f>
        <v>K31.2.19.2_TA4</v>
      </c>
      <c r="R834" s="250" t="s">
        <v>2853</v>
      </c>
      <c r="S834" s="251" t="s">
        <v>2866</v>
      </c>
      <c r="T834" s="269" t="s">
        <v>2867</v>
      </c>
    </row>
    <row r="835" spans="1:20" ht="25.5" x14ac:dyDescent="0.25">
      <c r="A835" s="268" t="s">
        <v>2314</v>
      </c>
      <c r="B835" s="248">
        <v>31</v>
      </c>
      <c r="C835" s="248" t="s">
        <v>2691</v>
      </c>
      <c r="D835" s="248" t="s">
        <v>2988</v>
      </c>
      <c r="E835" s="248" t="s">
        <v>3160</v>
      </c>
      <c r="F835" s="248" t="s">
        <v>2695</v>
      </c>
      <c r="G835" s="248" t="s">
        <v>2490</v>
      </c>
      <c r="H835" s="249" t="s">
        <v>3179</v>
      </c>
      <c r="I835" s="249" t="s">
        <v>2734</v>
      </c>
      <c r="J835" s="248" t="s">
        <v>2735</v>
      </c>
      <c r="K835" s="261" t="s">
        <v>3117</v>
      </c>
      <c r="L835" s="261" t="s">
        <v>2767</v>
      </c>
      <c r="M835" s="258" t="s">
        <v>2788</v>
      </c>
      <c r="N835" s="295"/>
      <c r="O835" s="295" t="str">
        <f>TablaPOA[[#This Row],[Cod_Sub_acción_especifica]]&amp;"_"&amp;TablaPOA[[#This Row],[Tipo de agente]]</f>
        <v>K31.2.19.2_Distribuidores mayoristas, Importadores y Comercializadores</v>
      </c>
      <c r="P835" s="250" t="s">
        <v>2852</v>
      </c>
      <c r="Q835" s="292" t="str">
        <f>TablaPOA[[#This Row],[Cod_Sub_acción_especifica]]&amp;"_"&amp;TablaPOA[[#This Row],[Cod_Tipo_agente]]</f>
        <v>K31.2.19.2_TA4</v>
      </c>
      <c r="R835" s="250" t="s">
        <v>2853</v>
      </c>
      <c r="S835" s="251" t="s">
        <v>2868</v>
      </c>
      <c r="T835" s="269" t="s">
        <v>2869</v>
      </c>
    </row>
    <row r="836" spans="1:20" ht="25.5" x14ac:dyDescent="0.25">
      <c r="A836" s="268" t="s">
        <v>2314</v>
      </c>
      <c r="B836" s="248">
        <v>31</v>
      </c>
      <c r="C836" s="248" t="s">
        <v>2691</v>
      </c>
      <c r="D836" s="248" t="s">
        <v>2988</v>
      </c>
      <c r="E836" s="248" t="s">
        <v>3160</v>
      </c>
      <c r="F836" s="248" t="s">
        <v>2695</v>
      </c>
      <c r="G836" s="248" t="s">
        <v>2490</v>
      </c>
      <c r="H836" s="249" t="s">
        <v>3179</v>
      </c>
      <c r="I836" s="249" t="s">
        <v>2734</v>
      </c>
      <c r="J836" s="248" t="s">
        <v>2735</v>
      </c>
      <c r="K836" s="261" t="s">
        <v>3117</v>
      </c>
      <c r="L836" s="261" t="s">
        <v>2767</v>
      </c>
      <c r="M836" s="258" t="s">
        <v>2788</v>
      </c>
      <c r="N836" s="295"/>
      <c r="O836" s="295" t="str">
        <f>TablaPOA[[#This Row],[Cod_Sub_acción_especifica]]&amp;"_"&amp;TablaPOA[[#This Row],[Tipo de agente]]</f>
        <v>K31.2.19.2_Distribuidores mayoristas, Importadores y Comercializadores</v>
      </c>
      <c r="P836" s="250" t="s">
        <v>2852</v>
      </c>
      <c r="Q836" s="292" t="str">
        <f>TablaPOA[[#This Row],[Cod_Sub_acción_especifica]]&amp;"_"&amp;TablaPOA[[#This Row],[Cod_Tipo_agente]]</f>
        <v>K31.2.19.2_TA4</v>
      </c>
      <c r="R836" s="250" t="s">
        <v>2853</v>
      </c>
      <c r="S836" s="251" t="s">
        <v>2870</v>
      </c>
      <c r="T836" s="269" t="s">
        <v>2871</v>
      </c>
    </row>
    <row r="837" spans="1:20" ht="25.5" x14ac:dyDescent="0.25">
      <c r="A837" s="268" t="s">
        <v>2314</v>
      </c>
      <c r="B837" s="248">
        <v>31</v>
      </c>
      <c r="C837" s="248" t="s">
        <v>2691</v>
      </c>
      <c r="D837" s="248" t="s">
        <v>2988</v>
      </c>
      <c r="E837" s="248" t="s">
        <v>3160</v>
      </c>
      <c r="F837" s="248" t="s">
        <v>2695</v>
      </c>
      <c r="G837" s="248" t="s">
        <v>2490</v>
      </c>
      <c r="H837" s="249" t="s">
        <v>3179</v>
      </c>
      <c r="I837" s="249" t="s">
        <v>2734</v>
      </c>
      <c r="J837" s="248" t="s">
        <v>2735</v>
      </c>
      <c r="K837" s="261" t="s">
        <v>3117</v>
      </c>
      <c r="L837" s="261" t="s">
        <v>2767</v>
      </c>
      <c r="M837" s="258" t="s">
        <v>2788</v>
      </c>
      <c r="N837" s="295"/>
      <c r="O837" s="295" t="str">
        <f>TablaPOA[[#This Row],[Cod_Sub_acción_especifica]]&amp;"_"&amp;TablaPOA[[#This Row],[Tipo de agente]]</f>
        <v>K31.2.19.2_Distribuidores mayoristas, Importadores y Comercializadores</v>
      </c>
      <c r="P837" s="250" t="s">
        <v>2852</v>
      </c>
      <c r="Q837" s="292" t="str">
        <f>TablaPOA[[#This Row],[Cod_Sub_acción_especifica]]&amp;"_"&amp;TablaPOA[[#This Row],[Cod_Tipo_agente]]</f>
        <v>K31.2.19.2_TA4</v>
      </c>
      <c r="R837" s="250" t="s">
        <v>2853</v>
      </c>
      <c r="S837" s="251" t="s">
        <v>2872</v>
      </c>
      <c r="T837" s="269" t="s">
        <v>2873</v>
      </c>
    </row>
    <row r="838" spans="1:20" ht="25.5" x14ac:dyDescent="0.25">
      <c r="A838" s="268" t="s">
        <v>2314</v>
      </c>
      <c r="B838" s="248">
        <v>31</v>
      </c>
      <c r="C838" s="248" t="s">
        <v>2691</v>
      </c>
      <c r="D838" s="248" t="s">
        <v>2988</v>
      </c>
      <c r="E838" s="248" t="s">
        <v>3160</v>
      </c>
      <c r="F838" s="248" t="s">
        <v>2695</v>
      </c>
      <c r="G838" s="248" t="s">
        <v>2490</v>
      </c>
      <c r="H838" s="249" t="s">
        <v>3179</v>
      </c>
      <c r="I838" s="249" t="s">
        <v>2734</v>
      </c>
      <c r="J838" s="248" t="s">
        <v>2735</v>
      </c>
      <c r="K838" s="261" t="s">
        <v>3117</v>
      </c>
      <c r="L838" s="261" t="s">
        <v>2767</v>
      </c>
      <c r="M838" s="258" t="s">
        <v>2788</v>
      </c>
      <c r="N838" s="295"/>
      <c r="O838" s="295" t="str">
        <f>TablaPOA[[#This Row],[Cod_Sub_acción_especifica]]&amp;"_"&amp;TablaPOA[[#This Row],[Tipo de agente]]</f>
        <v>K31.2.19.2_Distribuidores mayoristas, Importadores y Comercializadores</v>
      </c>
      <c r="P838" s="250" t="s">
        <v>2852</v>
      </c>
      <c r="Q838" s="292" t="str">
        <f>TablaPOA[[#This Row],[Cod_Sub_acción_especifica]]&amp;"_"&amp;TablaPOA[[#This Row],[Cod_Tipo_agente]]</f>
        <v>K31.2.19.2_TA4</v>
      </c>
      <c r="R838" s="250" t="s">
        <v>2853</v>
      </c>
      <c r="S838" s="251" t="s">
        <v>2874</v>
      </c>
      <c r="T838" s="269" t="s">
        <v>2875</v>
      </c>
    </row>
    <row r="839" spans="1:20" ht="25.5" x14ac:dyDescent="0.25">
      <c r="A839" s="268" t="s">
        <v>2314</v>
      </c>
      <c r="B839" s="248">
        <v>31</v>
      </c>
      <c r="C839" s="248" t="s">
        <v>2691</v>
      </c>
      <c r="D839" s="248" t="s">
        <v>2988</v>
      </c>
      <c r="E839" s="248" t="s">
        <v>3160</v>
      </c>
      <c r="F839" s="248" t="s">
        <v>2695</v>
      </c>
      <c r="G839" s="248" t="s">
        <v>2490</v>
      </c>
      <c r="H839" s="249" t="s">
        <v>3179</v>
      </c>
      <c r="I839" s="249" t="s">
        <v>2734</v>
      </c>
      <c r="J839" s="248" t="s">
        <v>2735</v>
      </c>
      <c r="K839" s="261" t="s">
        <v>3117</v>
      </c>
      <c r="L839" s="261" t="s">
        <v>2767</v>
      </c>
      <c r="M839" s="258" t="s">
        <v>2788</v>
      </c>
      <c r="N839" s="295"/>
      <c r="O839" s="295" t="str">
        <f>TablaPOA[[#This Row],[Cod_Sub_acción_especifica]]&amp;"_"&amp;TablaPOA[[#This Row],[Tipo de agente]]</f>
        <v>K31.2.19.2_Envasadoras de GLP</v>
      </c>
      <c r="P839" s="250" t="s">
        <v>2876</v>
      </c>
      <c r="Q839" s="292" t="str">
        <f>TablaPOA[[#This Row],[Cod_Sub_acción_especifica]]&amp;"_"&amp;TablaPOA[[#This Row],[Cod_Tipo_agente]]</f>
        <v>K31.2.19.2_TA5</v>
      </c>
      <c r="R839" s="250" t="s">
        <v>2877</v>
      </c>
      <c r="S839" s="251" t="s">
        <v>2878</v>
      </c>
      <c r="T839" s="269" t="s">
        <v>2879</v>
      </c>
    </row>
    <row r="840" spans="1:20" ht="25.5" x14ac:dyDescent="0.25">
      <c r="A840" s="268" t="s">
        <v>2314</v>
      </c>
      <c r="B840" s="248">
        <v>31</v>
      </c>
      <c r="C840" s="248" t="s">
        <v>2691</v>
      </c>
      <c r="D840" s="248" t="s">
        <v>2988</v>
      </c>
      <c r="E840" s="248" t="s">
        <v>3160</v>
      </c>
      <c r="F840" s="248" t="s">
        <v>2695</v>
      </c>
      <c r="G840" s="248" t="s">
        <v>2490</v>
      </c>
      <c r="H840" s="249" t="s">
        <v>3179</v>
      </c>
      <c r="I840" s="249" t="s">
        <v>2734</v>
      </c>
      <c r="J840" s="248" t="s">
        <v>2735</v>
      </c>
      <c r="K840" s="261" t="s">
        <v>3117</v>
      </c>
      <c r="L840" s="261" t="s">
        <v>2767</v>
      </c>
      <c r="M840" s="258" t="s">
        <v>2788</v>
      </c>
      <c r="N840" s="295"/>
      <c r="O840" s="295" t="str">
        <f>TablaPOA[[#This Row],[Cod_Sub_acción_especifica]]&amp;"_"&amp;TablaPOA[[#This Row],[Tipo de agente]]</f>
        <v>K31.2.19.2_Envasadoras de GLP</v>
      </c>
      <c r="P840" s="250" t="s">
        <v>2876</v>
      </c>
      <c r="Q840" s="292" t="str">
        <f>TablaPOA[[#This Row],[Cod_Sub_acción_especifica]]&amp;"_"&amp;TablaPOA[[#This Row],[Cod_Tipo_agente]]</f>
        <v>K31.2.19.2_TA5</v>
      </c>
      <c r="R840" s="250" t="s">
        <v>2877</v>
      </c>
      <c r="S840" s="251" t="s">
        <v>2880</v>
      </c>
      <c r="T840" s="269" t="s">
        <v>2881</v>
      </c>
    </row>
    <row r="841" spans="1:20" ht="25.5" x14ac:dyDescent="0.25">
      <c r="A841" s="268" t="s">
        <v>2314</v>
      </c>
      <c r="B841" s="248">
        <v>31</v>
      </c>
      <c r="C841" s="248" t="s">
        <v>2691</v>
      </c>
      <c r="D841" s="248" t="s">
        <v>2988</v>
      </c>
      <c r="E841" s="248" t="s">
        <v>3160</v>
      </c>
      <c r="F841" s="248" t="s">
        <v>2695</v>
      </c>
      <c r="G841" s="248" t="s">
        <v>2490</v>
      </c>
      <c r="H841" s="249" t="s">
        <v>3179</v>
      </c>
      <c r="I841" s="249" t="s">
        <v>2734</v>
      </c>
      <c r="J841" s="248" t="s">
        <v>2735</v>
      </c>
      <c r="K841" s="261" t="s">
        <v>3117</v>
      </c>
      <c r="L841" s="261" t="s">
        <v>2767</v>
      </c>
      <c r="M841" s="258" t="s">
        <v>2788</v>
      </c>
      <c r="N841" s="295"/>
      <c r="O841" s="295" t="str">
        <f>TablaPOA[[#This Row],[Cod_Sub_acción_especifica]]&amp;"_"&amp;TablaPOA[[#This Row],[Tipo de agente]]</f>
        <v>K31.2.19.2_EVP combustibles de uso automotor</v>
      </c>
      <c r="P841" s="250" t="s">
        <v>2882</v>
      </c>
      <c r="Q841" s="292" t="str">
        <f>TablaPOA[[#This Row],[Cod_Sub_acción_especifica]]&amp;"_"&amp;TablaPOA[[#This Row],[Cod_Tipo_agente]]</f>
        <v>K31.2.19.2_TA6</v>
      </c>
      <c r="R841" s="250" t="s">
        <v>2883</v>
      </c>
      <c r="S841" s="251" t="s">
        <v>2884</v>
      </c>
      <c r="T841" s="269" t="s">
        <v>2885</v>
      </c>
    </row>
    <row r="842" spans="1:20" ht="25.5" x14ac:dyDescent="0.25">
      <c r="A842" s="268" t="s">
        <v>2314</v>
      </c>
      <c r="B842" s="248">
        <v>31</v>
      </c>
      <c r="C842" s="248" t="s">
        <v>2691</v>
      </c>
      <c r="D842" s="248" t="s">
        <v>2988</v>
      </c>
      <c r="E842" s="248" t="s">
        <v>3160</v>
      </c>
      <c r="F842" s="248" t="s">
        <v>2695</v>
      </c>
      <c r="G842" s="248" t="s">
        <v>2490</v>
      </c>
      <c r="H842" s="249" t="s">
        <v>3179</v>
      </c>
      <c r="I842" s="249" t="s">
        <v>2734</v>
      </c>
      <c r="J842" s="248" t="s">
        <v>2735</v>
      </c>
      <c r="K842" s="261" t="s">
        <v>3117</v>
      </c>
      <c r="L842" s="261" t="s">
        <v>2767</v>
      </c>
      <c r="M842" s="258" t="s">
        <v>2788</v>
      </c>
      <c r="N842" s="295"/>
      <c r="O842" s="295" t="str">
        <f>TablaPOA[[#This Row],[Cod_Sub_acción_especifica]]&amp;"_"&amp;TablaPOA[[#This Row],[Tipo de agente]]</f>
        <v>K31.2.19.2_EVP combustibles de uso automotor</v>
      </c>
      <c r="P842" s="250" t="s">
        <v>2882</v>
      </c>
      <c r="Q842" s="292" t="str">
        <f>TablaPOA[[#This Row],[Cod_Sub_acción_especifica]]&amp;"_"&amp;TablaPOA[[#This Row],[Cod_Tipo_agente]]</f>
        <v>K31.2.19.2_TA6</v>
      </c>
      <c r="R842" s="250" t="s">
        <v>2883</v>
      </c>
      <c r="S842" s="251" t="s">
        <v>2886</v>
      </c>
      <c r="T842" s="269" t="s">
        <v>2887</v>
      </c>
    </row>
    <row r="843" spans="1:20" ht="25.5" x14ac:dyDescent="0.25">
      <c r="A843" s="268" t="s">
        <v>2314</v>
      </c>
      <c r="B843" s="248">
        <v>31</v>
      </c>
      <c r="C843" s="248" t="s">
        <v>2691</v>
      </c>
      <c r="D843" s="248" t="s">
        <v>2988</v>
      </c>
      <c r="E843" s="248" t="s">
        <v>3160</v>
      </c>
      <c r="F843" s="248" t="s">
        <v>2695</v>
      </c>
      <c r="G843" s="248" t="s">
        <v>2490</v>
      </c>
      <c r="H843" s="249" t="s">
        <v>3179</v>
      </c>
      <c r="I843" s="249" t="s">
        <v>2734</v>
      </c>
      <c r="J843" s="248" t="s">
        <v>2735</v>
      </c>
      <c r="K843" s="261" t="s">
        <v>3117</v>
      </c>
      <c r="L843" s="261" t="s">
        <v>2767</v>
      </c>
      <c r="M843" s="258" t="s">
        <v>2788</v>
      </c>
      <c r="N843" s="295"/>
      <c r="O843" s="295" t="str">
        <f>TablaPOA[[#This Row],[Cod_Sub_acción_especifica]]&amp;"_"&amp;TablaPOA[[#This Row],[Tipo de agente]]</f>
        <v>K31.2.19.2_EVP combustibles de uso automotor</v>
      </c>
      <c r="P843" s="250" t="s">
        <v>2882</v>
      </c>
      <c r="Q843" s="292" t="str">
        <f>TablaPOA[[#This Row],[Cod_Sub_acción_especifica]]&amp;"_"&amp;TablaPOA[[#This Row],[Cod_Tipo_agente]]</f>
        <v>K31.2.19.2_TA6</v>
      </c>
      <c r="R843" s="250" t="s">
        <v>2883</v>
      </c>
      <c r="S843" s="251" t="s">
        <v>2888</v>
      </c>
      <c r="T843" s="269" t="s">
        <v>2889</v>
      </c>
    </row>
    <row r="844" spans="1:20" ht="25.5" x14ac:dyDescent="0.25">
      <c r="A844" s="268" t="s">
        <v>2314</v>
      </c>
      <c r="B844" s="248">
        <v>31</v>
      </c>
      <c r="C844" s="248" t="s">
        <v>2691</v>
      </c>
      <c r="D844" s="248" t="s">
        <v>2988</v>
      </c>
      <c r="E844" s="248" t="s">
        <v>3160</v>
      </c>
      <c r="F844" s="248" t="s">
        <v>2695</v>
      </c>
      <c r="G844" s="248" t="s">
        <v>2490</v>
      </c>
      <c r="H844" s="249" t="s">
        <v>3179</v>
      </c>
      <c r="I844" s="249" t="s">
        <v>2734</v>
      </c>
      <c r="J844" s="248" t="s">
        <v>2735</v>
      </c>
      <c r="K844" s="261" t="s">
        <v>3117</v>
      </c>
      <c r="L844" s="261" t="s">
        <v>2767</v>
      </c>
      <c r="M844" s="258" t="s">
        <v>2788</v>
      </c>
      <c r="N844" s="295"/>
      <c r="O844" s="295" t="str">
        <f>TablaPOA[[#This Row],[Cod_Sub_acción_especifica]]&amp;"_"&amp;TablaPOA[[#This Row],[Tipo de agente]]</f>
        <v>K31.2.19.2_EVP combustibles de uso automotor</v>
      </c>
      <c r="P844" s="250" t="s">
        <v>2882</v>
      </c>
      <c r="Q844" s="292" t="str">
        <f>TablaPOA[[#This Row],[Cod_Sub_acción_especifica]]&amp;"_"&amp;TablaPOA[[#This Row],[Cod_Tipo_agente]]</f>
        <v>K31.2.19.2_TA6</v>
      </c>
      <c r="R844" s="250" t="s">
        <v>2883</v>
      </c>
      <c r="S844" s="251" t="s">
        <v>2890</v>
      </c>
      <c r="T844" s="269" t="s">
        <v>2891</v>
      </c>
    </row>
    <row r="845" spans="1:20" ht="25.5" x14ac:dyDescent="0.25">
      <c r="A845" s="268" t="s">
        <v>2314</v>
      </c>
      <c r="B845" s="248">
        <v>31</v>
      </c>
      <c r="C845" s="248" t="s">
        <v>2691</v>
      </c>
      <c r="D845" s="248" t="s">
        <v>2988</v>
      </c>
      <c r="E845" s="248" t="s">
        <v>3160</v>
      </c>
      <c r="F845" s="248" t="s">
        <v>2695</v>
      </c>
      <c r="G845" s="248" t="s">
        <v>2490</v>
      </c>
      <c r="H845" s="249" t="s">
        <v>3179</v>
      </c>
      <c r="I845" s="249" t="s">
        <v>2734</v>
      </c>
      <c r="J845" s="248" t="s">
        <v>2735</v>
      </c>
      <c r="K845" s="261" t="s">
        <v>3117</v>
      </c>
      <c r="L845" s="261" t="s">
        <v>2767</v>
      </c>
      <c r="M845" s="258" t="s">
        <v>2788</v>
      </c>
      <c r="N845" s="295"/>
      <c r="O845" s="295" t="str">
        <f>TablaPOA[[#This Row],[Cod_Sub_acción_especifica]]&amp;"_"&amp;TablaPOA[[#This Row],[Tipo de agente]]</f>
        <v>K31.2.19.2_EVP combustibles de uso automotor</v>
      </c>
      <c r="P845" s="250" t="s">
        <v>2882</v>
      </c>
      <c r="Q845" s="292" t="str">
        <f>TablaPOA[[#This Row],[Cod_Sub_acción_especifica]]&amp;"_"&amp;TablaPOA[[#This Row],[Cod_Tipo_agente]]</f>
        <v>K31.2.19.2_TA6</v>
      </c>
      <c r="R845" s="250" t="s">
        <v>2883</v>
      </c>
      <c r="S845" s="251" t="s">
        <v>2892</v>
      </c>
      <c r="T845" s="269" t="s">
        <v>2893</v>
      </c>
    </row>
    <row r="846" spans="1:20" ht="25.5" x14ac:dyDescent="0.25">
      <c r="A846" s="268" t="s">
        <v>2314</v>
      </c>
      <c r="B846" s="248">
        <v>31</v>
      </c>
      <c r="C846" s="248" t="s">
        <v>2691</v>
      </c>
      <c r="D846" s="248" t="s">
        <v>2988</v>
      </c>
      <c r="E846" s="248" t="s">
        <v>3160</v>
      </c>
      <c r="F846" s="248" t="s">
        <v>2695</v>
      </c>
      <c r="G846" s="248" t="s">
        <v>2490</v>
      </c>
      <c r="H846" s="249" t="s">
        <v>3179</v>
      </c>
      <c r="I846" s="249" t="s">
        <v>2734</v>
      </c>
      <c r="J846" s="248" t="s">
        <v>2735</v>
      </c>
      <c r="K846" s="261" t="s">
        <v>3117</v>
      </c>
      <c r="L846" s="261" t="s">
        <v>2767</v>
      </c>
      <c r="M846" s="258" t="s">
        <v>2788</v>
      </c>
      <c r="N846" s="295"/>
      <c r="O846" s="295" t="str">
        <f>TablaPOA[[#This Row],[Cod_Sub_acción_especifica]]&amp;"_"&amp;TablaPOA[[#This Row],[Tipo de agente]]</f>
        <v>K31.2.19.2_EVP combustibles de uso automotor</v>
      </c>
      <c r="P846" s="250" t="s">
        <v>2882</v>
      </c>
      <c r="Q846" s="292" t="str">
        <f>TablaPOA[[#This Row],[Cod_Sub_acción_especifica]]&amp;"_"&amp;TablaPOA[[#This Row],[Cod_Tipo_agente]]</f>
        <v>K31.2.19.2_TA6</v>
      </c>
      <c r="R846" s="250" t="s">
        <v>2883</v>
      </c>
      <c r="S846" s="251" t="s">
        <v>2894</v>
      </c>
      <c r="T846" s="269" t="s">
        <v>2895</v>
      </c>
    </row>
    <row r="847" spans="1:20" ht="25.5" x14ac:dyDescent="0.25">
      <c r="A847" s="268" t="s">
        <v>2314</v>
      </c>
      <c r="B847" s="248">
        <v>31</v>
      </c>
      <c r="C847" s="248" t="s">
        <v>2691</v>
      </c>
      <c r="D847" s="248" t="s">
        <v>2988</v>
      </c>
      <c r="E847" s="248" t="s">
        <v>3160</v>
      </c>
      <c r="F847" s="248" t="s">
        <v>2695</v>
      </c>
      <c r="G847" s="248" t="s">
        <v>2490</v>
      </c>
      <c r="H847" s="249" t="s">
        <v>3179</v>
      </c>
      <c r="I847" s="249" t="s">
        <v>2734</v>
      </c>
      <c r="J847" s="248" t="s">
        <v>2735</v>
      </c>
      <c r="K847" s="261" t="s">
        <v>3117</v>
      </c>
      <c r="L847" s="261" t="s">
        <v>2767</v>
      </c>
      <c r="M847" s="258" t="s">
        <v>2788</v>
      </c>
      <c r="N847" s="295"/>
      <c r="O847" s="295" t="str">
        <f>TablaPOA[[#This Row],[Cod_Sub_acción_especifica]]&amp;"_"&amp;TablaPOA[[#This Row],[Tipo de agente]]</f>
        <v>K31.2.19.2_EVP combustibles de uso automotor</v>
      </c>
      <c r="P847" s="250" t="s">
        <v>2882</v>
      </c>
      <c r="Q847" s="292" t="str">
        <f>TablaPOA[[#This Row],[Cod_Sub_acción_especifica]]&amp;"_"&amp;TablaPOA[[#This Row],[Cod_Tipo_agente]]</f>
        <v>K31.2.19.2_TA6</v>
      </c>
      <c r="R847" s="250" t="s">
        <v>2883</v>
      </c>
      <c r="S847" s="251" t="s">
        <v>2896</v>
      </c>
      <c r="T847" s="269" t="s">
        <v>2897</v>
      </c>
    </row>
    <row r="848" spans="1:20" ht="25.5" x14ac:dyDescent="0.25">
      <c r="A848" s="268" t="s">
        <v>2314</v>
      </c>
      <c r="B848" s="248">
        <v>31</v>
      </c>
      <c r="C848" s="248" t="s">
        <v>2691</v>
      </c>
      <c r="D848" s="248" t="s">
        <v>2988</v>
      </c>
      <c r="E848" s="248" t="s">
        <v>3160</v>
      </c>
      <c r="F848" s="248" t="s">
        <v>2695</v>
      </c>
      <c r="G848" s="248" t="s">
        <v>2490</v>
      </c>
      <c r="H848" s="249" t="s">
        <v>3179</v>
      </c>
      <c r="I848" s="249" t="s">
        <v>2734</v>
      </c>
      <c r="J848" s="248" t="s">
        <v>2735</v>
      </c>
      <c r="K848" s="261" t="s">
        <v>3117</v>
      </c>
      <c r="L848" s="261" t="s">
        <v>2767</v>
      </c>
      <c r="M848" s="258" t="s">
        <v>2788</v>
      </c>
      <c r="N848" s="295"/>
      <c r="O848" s="295" t="str">
        <f>TablaPOA[[#This Row],[Cod_Sub_acción_especifica]]&amp;"_"&amp;TablaPOA[[#This Row],[Tipo de agente]]</f>
        <v>K31.2.19.2_EVP combustibles de uso automotor</v>
      </c>
      <c r="P848" s="250" t="s">
        <v>2882</v>
      </c>
      <c r="Q848" s="292" t="str">
        <f>TablaPOA[[#This Row],[Cod_Sub_acción_especifica]]&amp;"_"&amp;TablaPOA[[#This Row],[Cod_Tipo_agente]]</f>
        <v>K31.2.19.2_TA6</v>
      </c>
      <c r="R848" s="250" t="s">
        <v>2883</v>
      </c>
      <c r="S848" s="251" t="s">
        <v>2898</v>
      </c>
      <c r="T848" s="269" t="s">
        <v>2899</v>
      </c>
    </row>
    <row r="849" spans="1:20" ht="25.5" x14ac:dyDescent="0.25">
      <c r="A849" s="268" t="s">
        <v>2314</v>
      </c>
      <c r="B849" s="248">
        <v>31</v>
      </c>
      <c r="C849" s="248" t="s">
        <v>2691</v>
      </c>
      <c r="D849" s="248" t="s">
        <v>2988</v>
      </c>
      <c r="E849" s="248" t="s">
        <v>3160</v>
      </c>
      <c r="F849" s="248" t="s">
        <v>2695</v>
      </c>
      <c r="G849" s="248" t="s">
        <v>2490</v>
      </c>
      <c r="H849" s="249" t="s">
        <v>3179</v>
      </c>
      <c r="I849" s="249" t="s">
        <v>2734</v>
      </c>
      <c r="J849" s="248" t="s">
        <v>2735</v>
      </c>
      <c r="K849" s="261" t="s">
        <v>3117</v>
      </c>
      <c r="L849" s="261" t="s">
        <v>2767</v>
      </c>
      <c r="M849" s="258" t="s">
        <v>2788</v>
      </c>
      <c r="N849" s="295"/>
      <c r="O849" s="295" t="str">
        <f>TablaPOA[[#This Row],[Cod_Sub_acción_especifica]]&amp;"_"&amp;TablaPOA[[#This Row],[Tipo de agente]]</f>
        <v>K31.2.19.2_EVP combustibles de uso automotor</v>
      </c>
      <c r="P849" s="250" t="s">
        <v>2882</v>
      </c>
      <c r="Q849" s="292" t="str">
        <f>TablaPOA[[#This Row],[Cod_Sub_acción_especifica]]&amp;"_"&amp;TablaPOA[[#This Row],[Cod_Tipo_agente]]</f>
        <v>K31.2.19.2_TA6</v>
      </c>
      <c r="R849" s="250" t="s">
        <v>2883</v>
      </c>
      <c r="S849" s="251" t="s">
        <v>2900</v>
      </c>
      <c r="T849" s="269" t="s">
        <v>2901</v>
      </c>
    </row>
    <row r="850" spans="1:20" ht="25.5" x14ac:dyDescent="0.25">
      <c r="A850" s="268" t="s">
        <v>2314</v>
      </c>
      <c r="B850" s="248">
        <v>31</v>
      </c>
      <c r="C850" s="248" t="s">
        <v>2691</v>
      </c>
      <c r="D850" s="248" t="s">
        <v>2988</v>
      </c>
      <c r="E850" s="248" t="s">
        <v>3160</v>
      </c>
      <c r="F850" s="248" t="s">
        <v>2695</v>
      </c>
      <c r="G850" s="248" t="s">
        <v>2490</v>
      </c>
      <c r="H850" s="249" t="s">
        <v>3179</v>
      </c>
      <c r="I850" s="249" t="s">
        <v>2734</v>
      </c>
      <c r="J850" s="248" t="s">
        <v>2735</v>
      </c>
      <c r="K850" s="261" t="s">
        <v>3117</v>
      </c>
      <c r="L850" s="261" t="s">
        <v>2767</v>
      </c>
      <c r="M850" s="258" t="s">
        <v>2788</v>
      </c>
      <c r="N850" s="295"/>
      <c r="O850" s="295" t="str">
        <f>TablaPOA[[#This Row],[Cod_Sub_acción_especifica]]&amp;"_"&amp;TablaPOA[[#This Row],[Tipo de agente]]</f>
        <v>K31.2.19.2_Locales de venta de GLP</v>
      </c>
      <c r="P850" s="250" t="s">
        <v>2912</v>
      </c>
      <c r="Q850" s="292" t="str">
        <f>TablaPOA[[#This Row],[Cod_Sub_acción_especifica]]&amp;"_"&amp;TablaPOA[[#This Row],[Cod_Tipo_agente]]</f>
        <v>K31.2.19.2_TA8</v>
      </c>
      <c r="R850" s="250" t="s">
        <v>2913</v>
      </c>
      <c r="S850" s="251" t="s">
        <v>2914</v>
      </c>
      <c r="T850" s="269" t="s">
        <v>2915</v>
      </c>
    </row>
    <row r="851" spans="1:20" ht="25.5" x14ac:dyDescent="0.25">
      <c r="A851" s="268" t="s">
        <v>2314</v>
      </c>
      <c r="B851" s="248">
        <v>31</v>
      </c>
      <c r="C851" s="248" t="s">
        <v>2691</v>
      </c>
      <c r="D851" s="248" t="s">
        <v>2988</v>
      </c>
      <c r="E851" s="248" t="s">
        <v>3160</v>
      </c>
      <c r="F851" s="248" t="s">
        <v>2695</v>
      </c>
      <c r="G851" s="248" t="s">
        <v>2490</v>
      </c>
      <c r="H851" s="249" t="s">
        <v>3179</v>
      </c>
      <c r="I851" s="249" t="s">
        <v>2734</v>
      </c>
      <c r="J851" s="248" t="s">
        <v>2735</v>
      </c>
      <c r="K851" s="261" t="s">
        <v>3117</v>
      </c>
      <c r="L851" s="261" t="s">
        <v>2767</v>
      </c>
      <c r="M851" s="258" t="s">
        <v>2788</v>
      </c>
      <c r="N851" s="295"/>
      <c r="O851" s="295" t="str">
        <f>TablaPOA[[#This Row],[Cod_Sub_acción_especifica]]&amp;"_"&amp;TablaPOA[[#This Row],[Tipo de agente]]</f>
        <v>K31.2.19.2_Locales de venta de GLP</v>
      </c>
      <c r="P851" s="250" t="s">
        <v>2912</v>
      </c>
      <c r="Q851" s="292" t="str">
        <f>TablaPOA[[#This Row],[Cod_Sub_acción_especifica]]&amp;"_"&amp;TablaPOA[[#This Row],[Cod_Tipo_agente]]</f>
        <v>K31.2.19.2_TA8</v>
      </c>
      <c r="R851" s="250" t="s">
        <v>2913</v>
      </c>
      <c r="S851" s="251" t="s">
        <v>2916</v>
      </c>
      <c r="T851" s="269" t="s">
        <v>2917</v>
      </c>
    </row>
    <row r="852" spans="1:20" ht="25.5" x14ac:dyDescent="0.25">
      <c r="A852" s="268" t="s">
        <v>2314</v>
      </c>
      <c r="B852" s="248">
        <v>31</v>
      </c>
      <c r="C852" s="248" t="s">
        <v>2691</v>
      </c>
      <c r="D852" s="248" t="s">
        <v>2988</v>
      </c>
      <c r="E852" s="248" t="s">
        <v>3160</v>
      </c>
      <c r="F852" s="248" t="s">
        <v>2695</v>
      </c>
      <c r="G852" s="248" t="s">
        <v>2490</v>
      </c>
      <c r="H852" s="249" t="s">
        <v>3179</v>
      </c>
      <c r="I852" s="249" t="s">
        <v>2734</v>
      </c>
      <c r="J852" s="248" t="s">
        <v>2735</v>
      </c>
      <c r="K852" s="261" t="s">
        <v>3117</v>
      </c>
      <c r="L852" s="261" t="s">
        <v>2767</v>
      </c>
      <c r="M852" s="258" t="s">
        <v>2788</v>
      </c>
      <c r="N852" s="295"/>
      <c r="O852" s="295" t="str">
        <f>TablaPOA[[#This Row],[Cod_Sub_acción_especifica]]&amp;"_"&amp;TablaPOA[[#This Row],[Tipo de agente]]</f>
        <v>K31.2.19.2_Medios de transporte</v>
      </c>
      <c r="P852" s="250" t="s">
        <v>2918</v>
      </c>
      <c r="Q852" s="292" t="str">
        <f>TablaPOA[[#This Row],[Cod_Sub_acción_especifica]]&amp;"_"&amp;TablaPOA[[#This Row],[Cod_Tipo_agente]]</f>
        <v>K31.2.19.2_TA9</v>
      </c>
      <c r="R852" s="250" t="s">
        <v>2919</v>
      </c>
      <c r="S852" s="251" t="s">
        <v>2920</v>
      </c>
      <c r="T852" s="269" t="s">
        <v>2921</v>
      </c>
    </row>
    <row r="853" spans="1:20" ht="25.5" x14ac:dyDescent="0.25">
      <c r="A853" s="268" t="s">
        <v>2314</v>
      </c>
      <c r="B853" s="248">
        <v>31</v>
      </c>
      <c r="C853" s="248" t="s">
        <v>2691</v>
      </c>
      <c r="D853" s="248" t="s">
        <v>2988</v>
      </c>
      <c r="E853" s="248" t="s">
        <v>3160</v>
      </c>
      <c r="F853" s="248" t="s">
        <v>2695</v>
      </c>
      <c r="G853" s="248" t="s">
        <v>2490</v>
      </c>
      <c r="H853" s="249" t="s">
        <v>3179</v>
      </c>
      <c r="I853" s="249" t="s">
        <v>2734</v>
      </c>
      <c r="J853" s="248" t="s">
        <v>2735</v>
      </c>
      <c r="K853" s="261" t="s">
        <v>3117</v>
      </c>
      <c r="L853" s="261" t="s">
        <v>2767</v>
      </c>
      <c r="M853" s="258" t="s">
        <v>2788</v>
      </c>
      <c r="N853" s="295"/>
      <c r="O853" s="295" t="str">
        <f>TablaPOA[[#This Row],[Cod_Sub_acción_especifica]]&amp;"_"&amp;TablaPOA[[#This Row],[Tipo de agente]]</f>
        <v>K31.2.19.2_Medios de transporte</v>
      </c>
      <c r="P853" s="250" t="s">
        <v>2918</v>
      </c>
      <c r="Q853" s="292" t="str">
        <f>TablaPOA[[#This Row],[Cod_Sub_acción_especifica]]&amp;"_"&amp;TablaPOA[[#This Row],[Cod_Tipo_agente]]</f>
        <v>K31.2.19.2_TA9</v>
      </c>
      <c r="R853" s="250" t="s">
        <v>2919</v>
      </c>
      <c r="S853" s="251" t="s">
        <v>2922</v>
      </c>
      <c r="T853" s="269" t="s">
        <v>2923</v>
      </c>
    </row>
    <row r="854" spans="1:20" ht="25.5" x14ac:dyDescent="0.25">
      <c r="A854" s="268" t="s">
        <v>2314</v>
      </c>
      <c r="B854" s="248">
        <v>31</v>
      </c>
      <c r="C854" s="248" t="s">
        <v>2691</v>
      </c>
      <c r="D854" s="248" t="s">
        <v>2988</v>
      </c>
      <c r="E854" s="248" t="s">
        <v>3160</v>
      </c>
      <c r="F854" s="248" t="s">
        <v>2695</v>
      </c>
      <c r="G854" s="248" t="s">
        <v>2490</v>
      </c>
      <c r="H854" s="249" t="s">
        <v>3179</v>
      </c>
      <c r="I854" s="249" t="s">
        <v>2734</v>
      </c>
      <c r="J854" s="248" t="s">
        <v>2735</v>
      </c>
      <c r="K854" s="261" t="s">
        <v>3117</v>
      </c>
      <c r="L854" s="261" t="s">
        <v>2767</v>
      </c>
      <c r="M854" s="258" t="s">
        <v>2788</v>
      </c>
      <c r="N854" s="295"/>
      <c r="O854" s="295" t="str">
        <f>TablaPOA[[#This Row],[Cod_Sub_acción_especifica]]&amp;"_"&amp;TablaPOA[[#This Row],[Tipo de agente]]</f>
        <v>K31.2.19.2_Medios de transporte</v>
      </c>
      <c r="P854" s="250" t="s">
        <v>2918</v>
      </c>
      <c r="Q854" s="292" t="str">
        <f>TablaPOA[[#This Row],[Cod_Sub_acción_especifica]]&amp;"_"&amp;TablaPOA[[#This Row],[Cod_Tipo_agente]]</f>
        <v>K31.2.19.2_TA9</v>
      </c>
      <c r="R854" s="250" t="s">
        <v>2919</v>
      </c>
      <c r="S854" s="251" t="s">
        <v>2924</v>
      </c>
      <c r="T854" s="269" t="s">
        <v>2925</v>
      </c>
    </row>
    <row r="855" spans="1:20" ht="25.5" x14ac:dyDescent="0.25">
      <c r="A855" s="268" t="s">
        <v>2314</v>
      </c>
      <c r="B855" s="248">
        <v>31</v>
      </c>
      <c r="C855" s="248" t="s">
        <v>2691</v>
      </c>
      <c r="D855" s="248" t="s">
        <v>2988</v>
      </c>
      <c r="E855" s="248" t="s">
        <v>3160</v>
      </c>
      <c r="F855" s="248" t="s">
        <v>2695</v>
      </c>
      <c r="G855" s="248" t="s">
        <v>2490</v>
      </c>
      <c r="H855" s="249" t="s">
        <v>3179</v>
      </c>
      <c r="I855" s="249" t="s">
        <v>2734</v>
      </c>
      <c r="J855" s="248" t="s">
        <v>2735</v>
      </c>
      <c r="K855" s="261" t="s">
        <v>3117</v>
      </c>
      <c r="L855" s="261" t="s">
        <v>2767</v>
      </c>
      <c r="M855" s="258" t="s">
        <v>2788</v>
      </c>
      <c r="N855" s="295"/>
      <c r="O855" s="295" t="str">
        <f>TablaPOA[[#This Row],[Cod_Sub_acción_especifica]]&amp;"_"&amp;TablaPOA[[#This Row],[Tipo de agente]]</f>
        <v>K31.2.19.2_Medios de transporte</v>
      </c>
      <c r="P855" s="250" t="s">
        <v>2918</v>
      </c>
      <c r="Q855" s="292" t="str">
        <f>TablaPOA[[#This Row],[Cod_Sub_acción_especifica]]&amp;"_"&amp;TablaPOA[[#This Row],[Cod_Tipo_agente]]</f>
        <v>K31.2.19.2_TA9</v>
      </c>
      <c r="R855" s="250" t="s">
        <v>2919</v>
      </c>
      <c r="S855" s="251" t="s">
        <v>2926</v>
      </c>
      <c r="T855" s="269" t="s">
        <v>2927</v>
      </c>
    </row>
    <row r="856" spans="1:20" ht="25.5" x14ac:dyDescent="0.25">
      <c r="A856" s="268" t="s">
        <v>2314</v>
      </c>
      <c r="B856" s="248">
        <v>31</v>
      </c>
      <c r="C856" s="248" t="s">
        <v>2691</v>
      </c>
      <c r="D856" s="248" t="s">
        <v>2988</v>
      </c>
      <c r="E856" s="248" t="s">
        <v>3160</v>
      </c>
      <c r="F856" s="248" t="s">
        <v>2695</v>
      </c>
      <c r="G856" s="248" t="s">
        <v>2490</v>
      </c>
      <c r="H856" s="249" t="s">
        <v>3179</v>
      </c>
      <c r="I856" s="249" t="s">
        <v>2734</v>
      </c>
      <c r="J856" s="248" t="s">
        <v>2735</v>
      </c>
      <c r="K856" s="261" t="s">
        <v>3117</v>
      </c>
      <c r="L856" s="261" t="s">
        <v>2767</v>
      </c>
      <c r="M856" s="258" t="s">
        <v>2788</v>
      </c>
      <c r="N856" s="295"/>
      <c r="O856" s="295" t="str">
        <f>TablaPOA[[#This Row],[Cod_Sub_acción_especifica]]&amp;"_"&amp;TablaPOA[[#This Row],[Tipo de agente]]</f>
        <v>K31.2.19.2_Medios de transporte</v>
      </c>
      <c r="P856" s="250" t="s">
        <v>2918</v>
      </c>
      <c r="Q856" s="292" t="str">
        <f>TablaPOA[[#This Row],[Cod_Sub_acción_especifica]]&amp;"_"&amp;TablaPOA[[#This Row],[Cod_Tipo_agente]]</f>
        <v>K31.2.19.2_TA9</v>
      </c>
      <c r="R856" s="250" t="s">
        <v>2919</v>
      </c>
      <c r="S856" s="251" t="s">
        <v>2928</v>
      </c>
      <c r="T856" s="269" t="s">
        <v>2929</v>
      </c>
    </row>
    <row r="857" spans="1:20" ht="25.5" x14ac:dyDescent="0.25">
      <c r="A857" s="268" t="s">
        <v>2314</v>
      </c>
      <c r="B857" s="248">
        <v>31</v>
      </c>
      <c r="C857" s="248" t="s">
        <v>2691</v>
      </c>
      <c r="D857" s="248" t="s">
        <v>2988</v>
      </c>
      <c r="E857" s="248" t="s">
        <v>3160</v>
      </c>
      <c r="F857" s="248" t="s">
        <v>2695</v>
      </c>
      <c r="G857" s="248" t="s">
        <v>2490</v>
      </c>
      <c r="H857" s="249" t="s">
        <v>3179</v>
      </c>
      <c r="I857" s="249" t="s">
        <v>2734</v>
      </c>
      <c r="J857" s="248" t="s">
        <v>2735</v>
      </c>
      <c r="K857" s="261" t="s">
        <v>3117</v>
      </c>
      <c r="L857" s="261" t="s">
        <v>2767</v>
      </c>
      <c r="M857" s="258" t="s">
        <v>2788</v>
      </c>
      <c r="N857" s="295"/>
      <c r="O857" s="295" t="str">
        <f>TablaPOA[[#This Row],[Cod_Sub_acción_especifica]]&amp;"_"&amp;TablaPOA[[#This Row],[Tipo de agente]]</f>
        <v>K31.2.19.2_Medios de transporte</v>
      </c>
      <c r="P857" s="250" t="s">
        <v>2918</v>
      </c>
      <c r="Q857" s="292" t="str">
        <f>TablaPOA[[#This Row],[Cod_Sub_acción_especifica]]&amp;"_"&amp;TablaPOA[[#This Row],[Cod_Tipo_agente]]</f>
        <v>K31.2.19.2_TA9</v>
      </c>
      <c r="R857" s="250" t="s">
        <v>2919</v>
      </c>
      <c r="S857" s="251" t="s">
        <v>2930</v>
      </c>
      <c r="T857" s="269" t="s">
        <v>2931</v>
      </c>
    </row>
    <row r="858" spans="1:20" ht="25.5" x14ac:dyDescent="0.25">
      <c r="A858" s="268" t="s">
        <v>2314</v>
      </c>
      <c r="B858" s="248">
        <v>31</v>
      </c>
      <c r="C858" s="248" t="s">
        <v>2691</v>
      </c>
      <c r="D858" s="248" t="s">
        <v>2988</v>
      </c>
      <c r="E858" s="248" t="s">
        <v>3160</v>
      </c>
      <c r="F858" s="248" t="s">
        <v>2695</v>
      </c>
      <c r="G858" s="248" t="s">
        <v>2490</v>
      </c>
      <c r="H858" s="249" t="s">
        <v>3179</v>
      </c>
      <c r="I858" s="249" t="s">
        <v>2734</v>
      </c>
      <c r="J858" s="248" t="s">
        <v>2735</v>
      </c>
      <c r="K858" s="261" t="s">
        <v>3117</v>
      </c>
      <c r="L858" s="261" t="s">
        <v>2767</v>
      </c>
      <c r="M858" s="258" t="s">
        <v>2788</v>
      </c>
      <c r="N858" s="295"/>
      <c r="O858" s="295" t="str">
        <f>TablaPOA[[#This Row],[Cod_Sub_acción_especifica]]&amp;"_"&amp;TablaPOA[[#This Row],[Tipo de agente]]</f>
        <v>K31.2.19.2_Medios de transporte</v>
      </c>
      <c r="P858" s="250" t="s">
        <v>2918</v>
      </c>
      <c r="Q858" s="292" t="str">
        <f>TablaPOA[[#This Row],[Cod_Sub_acción_especifica]]&amp;"_"&amp;TablaPOA[[#This Row],[Cod_Tipo_agente]]</f>
        <v>K31.2.19.2_TA9</v>
      </c>
      <c r="R858" s="250" t="s">
        <v>2919</v>
      </c>
      <c r="S858" s="251" t="s">
        <v>2932</v>
      </c>
      <c r="T858" s="269" t="s">
        <v>2933</v>
      </c>
    </row>
    <row r="859" spans="1:20" ht="25.5" x14ac:dyDescent="0.25">
      <c r="A859" s="268" t="s">
        <v>2314</v>
      </c>
      <c r="B859" s="248">
        <v>31</v>
      </c>
      <c r="C859" s="248" t="s">
        <v>2691</v>
      </c>
      <c r="D859" s="248" t="s">
        <v>2988</v>
      </c>
      <c r="E859" s="248" t="s">
        <v>3160</v>
      </c>
      <c r="F859" s="248" t="s">
        <v>2695</v>
      </c>
      <c r="G859" s="248" t="s">
        <v>2490</v>
      </c>
      <c r="H859" s="249" t="s">
        <v>3179</v>
      </c>
      <c r="I859" s="249" t="s">
        <v>2734</v>
      </c>
      <c r="J859" s="248" t="s">
        <v>2735</v>
      </c>
      <c r="K859" s="261" t="s">
        <v>3117</v>
      </c>
      <c r="L859" s="261" t="s">
        <v>2767</v>
      </c>
      <c r="M859" s="258" t="s">
        <v>2788</v>
      </c>
      <c r="N859" s="295"/>
      <c r="O859" s="295" t="str">
        <f>TablaPOA[[#This Row],[Cod_Sub_acción_especifica]]&amp;"_"&amp;TablaPOA[[#This Row],[Tipo de agente]]</f>
        <v>K31.2.19.2_Medios de transporte</v>
      </c>
      <c r="P859" s="250" t="s">
        <v>2918</v>
      </c>
      <c r="Q859" s="292" t="str">
        <f>TablaPOA[[#This Row],[Cod_Sub_acción_especifica]]&amp;"_"&amp;TablaPOA[[#This Row],[Cod_Tipo_agente]]</f>
        <v>K31.2.19.2_TA9</v>
      </c>
      <c r="R859" s="250" t="s">
        <v>2919</v>
      </c>
      <c r="S859" s="251" t="s">
        <v>2934</v>
      </c>
      <c r="T859" s="269" t="s">
        <v>2935</v>
      </c>
    </row>
    <row r="860" spans="1:20" ht="25.5" x14ac:dyDescent="0.25">
      <c r="A860" s="268" t="s">
        <v>2314</v>
      </c>
      <c r="B860" s="248">
        <v>31</v>
      </c>
      <c r="C860" s="248" t="s">
        <v>2691</v>
      </c>
      <c r="D860" s="248" t="s">
        <v>2988</v>
      </c>
      <c r="E860" s="248" t="s">
        <v>3160</v>
      </c>
      <c r="F860" s="248" t="s">
        <v>2695</v>
      </c>
      <c r="G860" s="248" t="s">
        <v>2490</v>
      </c>
      <c r="H860" s="249" t="s">
        <v>3179</v>
      </c>
      <c r="I860" s="249" t="s">
        <v>2734</v>
      </c>
      <c r="J860" s="248" t="s">
        <v>2735</v>
      </c>
      <c r="K860" s="261" t="s">
        <v>3117</v>
      </c>
      <c r="L860" s="261" t="s">
        <v>2767</v>
      </c>
      <c r="M860" s="258" t="s">
        <v>2788</v>
      </c>
      <c r="N860" s="295"/>
      <c r="O860" s="295" t="str">
        <f>TablaPOA[[#This Row],[Cod_Sub_acción_especifica]]&amp;"_"&amp;TablaPOA[[#This Row],[Tipo de agente]]</f>
        <v>K31.2.19.2_Medios de transporte</v>
      </c>
      <c r="P860" s="250" t="s">
        <v>2918</v>
      </c>
      <c r="Q860" s="292" t="str">
        <f>TablaPOA[[#This Row],[Cod_Sub_acción_especifica]]&amp;"_"&amp;TablaPOA[[#This Row],[Cod_Tipo_agente]]</f>
        <v>K31.2.19.2_TA9</v>
      </c>
      <c r="R860" s="250" t="s">
        <v>2919</v>
      </c>
      <c r="S860" s="251" t="s">
        <v>2936</v>
      </c>
      <c r="T860" s="269" t="s">
        <v>2937</v>
      </c>
    </row>
    <row r="861" spans="1:20" ht="25.5" x14ac:dyDescent="0.25">
      <c r="A861" s="268" t="s">
        <v>2314</v>
      </c>
      <c r="B861" s="248">
        <v>31</v>
      </c>
      <c r="C861" s="248" t="s">
        <v>2691</v>
      </c>
      <c r="D861" s="248" t="s">
        <v>2988</v>
      </c>
      <c r="E861" s="248" t="s">
        <v>3160</v>
      </c>
      <c r="F861" s="248" t="s">
        <v>2695</v>
      </c>
      <c r="G861" s="248" t="s">
        <v>2490</v>
      </c>
      <c r="H861" s="249" t="s">
        <v>3179</v>
      </c>
      <c r="I861" s="249" t="s">
        <v>2734</v>
      </c>
      <c r="J861" s="248" t="s">
        <v>2735</v>
      </c>
      <c r="K861" s="261" t="s">
        <v>3117</v>
      </c>
      <c r="L861" s="261" t="s">
        <v>2767</v>
      </c>
      <c r="M861" s="258" t="s">
        <v>2788</v>
      </c>
      <c r="N861" s="295"/>
      <c r="O861" s="295" t="str">
        <f>TablaPOA[[#This Row],[Cod_Sub_acción_especifica]]&amp;"_"&amp;TablaPOA[[#This Row],[Tipo de agente]]</f>
        <v>K31.2.19.2_Medios de transporte</v>
      </c>
      <c r="P861" s="250" t="s">
        <v>2918</v>
      </c>
      <c r="Q861" s="292" t="str">
        <f>TablaPOA[[#This Row],[Cod_Sub_acción_especifica]]&amp;"_"&amp;TablaPOA[[#This Row],[Cod_Tipo_agente]]</f>
        <v>K31.2.19.2_TA9</v>
      </c>
      <c r="R861" s="250" t="s">
        <v>2919</v>
      </c>
      <c r="S861" s="251" t="s">
        <v>2938</v>
      </c>
      <c r="T861" s="269" t="s">
        <v>2939</v>
      </c>
    </row>
    <row r="862" spans="1:20" ht="25.5" x14ac:dyDescent="0.25">
      <c r="A862" s="268" t="s">
        <v>2314</v>
      </c>
      <c r="B862" s="248">
        <v>31</v>
      </c>
      <c r="C862" s="248" t="s">
        <v>2691</v>
      </c>
      <c r="D862" s="248" t="s">
        <v>2988</v>
      </c>
      <c r="E862" s="248" t="s">
        <v>3160</v>
      </c>
      <c r="F862" s="248" t="s">
        <v>2695</v>
      </c>
      <c r="G862" s="248" t="s">
        <v>2490</v>
      </c>
      <c r="H862" s="249" t="s">
        <v>3179</v>
      </c>
      <c r="I862" s="249" t="s">
        <v>2734</v>
      </c>
      <c r="J862" s="248" t="s">
        <v>2735</v>
      </c>
      <c r="K862" s="261" t="s">
        <v>3117</v>
      </c>
      <c r="L862" s="261" t="s">
        <v>2767</v>
      </c>
      <c r="M862" s="258" t="s">
        <v>2788</v>
      </c>
      <c r="N862" s="295"/>
      <c r="O862" s="295" t="str">
        <f>TablaPOA[[#This Row],[Cod_Sub_acción_especifica]]&amp;"_"&amp;TablaPOA[[#This Row],[Tipo de agente]]</f>
        <v>K31.2.19.2_Medios de transporte</v>
      </c>
      <c r="P862" s="250" t="s">
        <v>2918</v>
      </c>
      <c r="Q862" s="292" t="str">
        <f>TablaPOA[[#This Row],[Cod_Sub_acción_especifica]]&amp;"_"&amp;TablaPOA[[#This Row],[Cod_Tipo_agente]]</f>
        <v>K31.2.19.2_TA9</v>
      </c>
      <c r="R862" s="250" t="s">
        <v>2919</v>
      </c>
      <c r="S862" s="251" t="s">
        <v>2940</v>
      </c>
      <c r="T862" s="269" t="s">
        <v>2941</v>
      </c>
    </row>
    <row r="863" spans="1:20" ht="25.5" x14ac:dyDescent="0.25">
      <c r="A863" s="268" t="s">
        <v>2314</v>
      </c>
      <c r="B863" s="248">
        <v>31</v>
      </c>
      <c r="C863" s="248" t="s">
        <v>2691</v>
      </c>
      <c r="D863" s="248" t="s">
        <v>2988</v>
      </c>
      <c r="E863" s="248" t="s">
        <v>3160</v>
      </c>
      <c r="F863" s="248" t="s">
        <v>2695</v>
      </c>
      <c r="G863" s="248" t="s">
        <v>2490</v>
      </c>
      <c r="H863" s="249" t="s">
        <v>3179</v>
      </c>
      <c r="I863" s="249" t="s">
        <v>2734</v>
      </c>
      <c r="J863" s="248" t="s">
        <v>2735</v>
      </c>
      <c r="K863" s="261" t="s">
        <v>3117</v>
      </c>
      <c r="L863" s="261" t="s">
        <v>2767</v>
      </c>
      <c r="M863" s="258" t="s">
        <v>2788</v>
      </c>
      <c r="N863" s="295"/>
      <c r="O863" s="295" t="str">
        <f>TablaPOA[[#This Row],[Cod_Sub_acción_especifica]]&amp;"_"&amp;TablaPOA[[#This Row],[Tipo de agente]]</f>
        <v>K31.2.19.2_Medios de transporte</v>
      </c>
      <c r="P863" s="250" t="s">
        <v>2918</v>
      </c>
      <c r="Q863" s="292" t="str">
        <f>TablaPOA[[#This Row],[Cod_Sub_acción_especifica]]&amp;"_"&amp;TablaPOA[[#This Row],[Cod_Tipo_agente]]</f>
        <v>K31.2.19.2_TA9</v>
      </c>
      <c r="R863" s="250" t="s">
        <v>2919</v>
      </c>
      <c r="S863" s="251" t="s">
        <v>2942</v>
      </c>
      <c r="T863" s="269" t="s">
        <v>2943</v>
      </c>
    </row>
    <row r="864" spans="1:20" ht="25.5" x14ac:dyDescent="0.25">
      <c r="A864" s="268" t="s">
        <v>2314</v>
      </c>
      <c r="B864" s="248">
        <v>31</v>
      </c>
      <c r="C864" s="248" t="s">
        <v>2691</v>
      </c>
      <c r="D864" s="248" t="s">
        <v>2988</v>
      </c>
      <c r="E864" s="248" t="s">
        <v>3160</v>
      </c>
      <c r="F864" s="248" t="s">
        <v>2695</v>
      </c>
      <c r="G864" s="248" t="s">
        <v>2490</v>
      </c>
      <c r="H864" s="249" t="s">
        <v>3179</v>
      </c>
      <c r="I864" s="249" t="s">
        <v>2734</v>
      </c>
      <c r="J864" s="248" t="s">
        <v>2735</v>
      </c>
      <c r="K864" s="261" t="s">
        <v>3117</v>
      </c>
      <c r="L864" s="261" t="s">
        <v>2767</v>
      </c>
      <c r="M864" s="258" t="s">
        <v>2788</v>
      </c>
      <c r="N864" s="295"/>
      <c r="O864" s="295" t="str">
        <f>TablaPOA[[#This Row],[Cod_Sub_acción_especifica]]&amp;"_"&amp;TablaPOA[[#This Row],[Tipo de agente]]</f>
        <v>K31.2.19.2_Medios de transporte</v>
      </c>
      <c r="P864" s="250" t="s">
        <v>2918</v>
      </c>
      <c r="Q864" s="292" t="str">
        <f>TablaPOA[[#This Row],[Cod_Sub_acción_especifica]]&amp;"_"&amp;TablaPOA[[#This Row],[Cod_Tipo_agente]]</f>
        <v>K31.2.19.2_TA9</v>
      </c>
      <c r="R864" s="250" t="s">
        <v>2919</v>
      </c>
      <c r="S864" s="251" t="s">
        <v>2944</v>
      </c>
      <c r="T864" s="269" t="s">
        <v>2945</v>
      </c>
    </row>
    <row r="865" spans="1:20" ht="25.5" x14ac:dyDescent="0.25">
      <c r="A865" s="268" t="s">
        <v>2314</v>
      </c>
      <c r="B865" s="248">
        <v>31</v>
      </c>
      <c r="C865" s="248" t="s">
        <v>2691</v>
      </c>
      <c r="D865" s="248" t="s">
        <v>2988</v>
      </c>
      <c r="E865" s="248" t="s">
        <v>3160</v>
      </c>
      <c r="F865" s="248" t="s">
        <v>2695</v>
      </c>
      <c r="G865" s="248" t="s">
        <v>2490</v>
      </c>
      <c r="H865" s="249" t="s">
        <v>3179</v>
      </c>
      <c r="I865" s="249" t="s">
        <v>2734</v>
      </c>
      <c r="J865" s="248" t="s">
        <v>2735</v>
      </c>
      <c r="K865" s="261" t="s">
        <v>3117</v>
      </c>
      <c r="L865" s="261" t="s">
        <v>2767</v>
      </c>
      <c r="M865" s="258" t="s">
        <v>2788</v>
      </c>
      <c r="N865" s="295"/>
      <c r="O865" s="295" t="str">
        <f>TablaPOA[[#This Row],[Cod_Sub_acción_especifica]]&amp;"_"&amp;TablaPOA[[#This Row],[Tipo de agente]]</f>
        <v>K31.2.19.2_Medios de transporte</v>
      </c>
      <c r="P865" s="250" t="s">
        <v>2918</v>
      </c>
      <c r="Q865" s="292" t="str">
        <f>TablaPOA[[#This Row],[Cod_Sub_acción_especifica]]&amp;"_"&amp;TablaPOA[[#This Row],[Cod_Tipo_agente]]</f>
        <v>K31.2.19.2_TA9</v>
      </c>
      <c r="R865" s="250" t="s">
        <v>2919</v>
      </c>
      <c r="S865" s="251" t="s">
        <v>2946</v>
      </c>
      <c r="T865" s="269" t="s">
        <v>2947</v>
      </c>
    </row>
    <row r="866" spans="1:20" ht="25.5" x14ac:dyDescent="0.25">
      <c r="A866" s="268" t="s">
        <v>2314</v>
      </c>
      <c r="B866" s="248">
        <v>31</v>
      </c>
      <c r="C866" s="248" t="s">
        <v>2691</v>
      </c>
      <c r="D866" s="248" t="s">
        <v>2988</v>
      </c>
      <c r="E866" s="248" t="s">
        <v>3160</v>
      </c>
      <c r="F866" s="248" t="s">
        <v>2695</v>
      </c>
      <c r="G866" s="248" t="s">
        <v>2490</v>
      </c>
      <c r="H866" s="249" t="s">
        <v>3179</v>
      </c>
      <c r="I866" s="249" t="s">
        <v>2734</v>
      </c>
      <c r="J866" s="248" t="s">
        <v>2735</v>
      </c>
      <c r="K866" s="261" t="s">
        <v>3117</v>
      </c>
      <c r="L866" s="261" t="s">
        <v>2767</v>
      </c>
      <c r="M866" s="258" t="s">
        <v>2788</v>
      </c>
      <c r="N866" s="295"/>
      <c r="O866" s="295" t="str">
        <f>TablaPOA[[#This Row],[Cod_Sub_acción_especifica]]&amp;"_"&amp;TablaPOA[[#This Row],[Tipo de agente]]</f>
        <v>K31.2.19.2_Medios de transporte</v>
      </c>
      <c r="P866" s="250" t="s">
        <v>2918</v>
      </c>
      <c r="Q866" s="292" t="str">
        <f>TablaPOA[[#This Row],[Cod_Sub_acción_especifica]]&amp;"_"&amp;TablaPOA[[#This Row],[Cod_Tipo_agente]]</f>
        <v>K31.2.19.2_TA9</v>
      </c>
      <c r="R866" s="250" t="s">
        <v>2919</v>
      </c>
      <c r="S866" s="251" t="s">
        <v>2948</v>
      </c>
      <c r="T866" s="269" t="s">
        <v>2949</v>
      </c>
    </row>
    <row r="867" spans="1:20" ht="25.5" x14ac:dyDescent="0.25">
      <c r="A867" s="268" t="s">
        <v>2314</v>
      </c>
      <c r="B867" s="248">
        <v>31</v>
      </c>
      <c r="C867" s="248" t="s">
        <v>2691</v>
      </c>
      <c r="D867" s="248" t="s">
        <v>2988</v>
      </c>
      <c r="E867" s="248" t="s">
        <v>3160</v>
      </c>
      <c r="F867" s="248" t="s">
        <v>2695</v>
      </c>
      <c r="G867" s="248" t="s">
        <v>2490</v>
      </c>
      <c r="H867" s="249" t="s">
        <v>3179</v>
      </c>
      <c r="I867" s="249" t="s">
        <v>2734</v>
      </c>
      <c r="J867" s="248" t="s">
        <v>2735</v>
      </c>
      <c r="K867" s="261" t="s">
        <v>3117</v>
      </c>
      <c r="L867" s="261" t="s">
        <v>2767</v>
      </c>
      <c r="M867" s="258" t="s">
        <v>2788</v>
      </c>
      <c r="N867" s="295"/>
      <c r="O867" s="295" t="str">
        <f>TablaPOA[[#This Row],[Cod_Sub_acción_especifica]]&amp;"_"&amp;TablaPOA[[#This Row],[Tipo de agente]]</f>
        <v>K31.2.19.2_Plantas de abastecimiento y despacho</v>
      </c>
      <c r="P867" s="250" t="s">
        <v>2950</v>
      </c>
      <c r="Q867" s="292" t="str">
        <f>TablaPOA[[#This Row],[Cod_Sub_acción_especifica]]&amp;"_"&amp;TablaPOA[[#This Row],[Cod_Tipo_agente]]</f>
        <v>K31.2.19.2_TA10</v>
      </c>
      <c r="R867" s="250" t="s">
        <v>2951</v>
      </c>
      <c r="S867" s="251" t="s">
        <v>2952</v>
      </c>
      <c r="T867" s="269" t="s">
        <v>2953</v>
      </c>
    </row>
    <row r="868" spans="1:20" ht="25.5" x14ac:dyDescent="0.25">
      <c r="A868" s="268" t="s">
        <v>2314</v>
      </c>
      <c r="B868" s="248">
        <v>31</v>
      </c>
      <c r="C868" s="248" t="s">
        <v>2691</v>
      </c>
      <c r="D868" s="248" t="s">
        <v>2988</v>
      </c>
      <c r="E868" s="248" t="s">
        <v>3160</v>
      </c>
      <c r="F868" s="248" t="s">
        <v>2695</v>
      </c>
      <c r="G868" s="248" t="s">
        <v>2490</v>
      </c>
      <c r="H868" s="249" t="s">
        <v>3179</v>
      </c>
      <c r="I868" s="249" t="s">
        <v>2734</v>
      </c>
      <c r="J868" s="248" t="s">
        <v>2735</v>
      </c>
      <c r="K868" s="261" t="s">
        <v>3117</v>
      </c>
      <c r="L868" s="261" t="s">
        <v>2767</v>
      </c>
      <c r="M868" s="258" t="s">
        <v>2788</v>
      </c>
      <c r="N868" s="295"/>
      <c r="O868" s="295" t="str">
        <f>TablaPOA[[#This Row],[Cod_Sub_acción_especifica]]&amp;"_"&amp;TablaPOA[[#This Row],[Tipo de agente]]</f>
        <v>K31.2.19.2_Plantas de abastecimiento y despacho</v>
      </c>
      <c r="P868" s="250" t="s">
        <v>2950</v>
      </c>
      <c r="Q868" s="292" t="str">
        <f>TablaPOA[[#This Row],[Cod_Sub_acción_especifica]]&amp;"_"&amp;TablaPOA[[#This Row],[Cod_Tipo_agente]]</f>
        <v>K31.2.19.2_TA10</v>
      </c>
      <c r="R868" s="250" t="s">
        <v>2951</v>
      </c>
      <c r="S868" s="251" t="s">
        <v>2954</v>
      </c>
      <c r="T868" s="269" t="s">
        <v>2955</v>
      </c>
    </row>
    <row r="869" spans="1:20" ht="25.5" x14ac:dyDescent="0.25">
      <c r="A869" s="268" t="s">
        <v>2314</v>
      </c>
      <c r="B869" s="248">
        <v>31</v>
      </c>
      <c r="C869" s="248" t="s">
        <v>2691</v>
      </c>
      <c r="D869" s="248" t="s">
        <v>2988</v>
      </c>
      <c r="E869" s="248" t="s">
        <v>3160</v>
      </c>
      <c r="F869" s="248" t="s">
        <v>2695</v>
      </c>
      <c r="G869" s="248" t="s">
        <v>2490</v>
      </c>
      <c r="H869" s="249" t="s">
        <v>3179</v>
      </c>
      <c r="I869" s="249" t="s">
        <v>2734</v>
      </c>
      <c r="J869" s="248" t="s">
        <v>2735</v>
      </c>
      <c r="K869" s="261" t="s">
        <v>3117</v>
      </c>
      <c r="L869" s="261" t="s">
        <v>2767</v>
      </c>
      <c r="M869" s="258" t="s">
        <v>2788</v>
      </c>
      <c r="N869" s="295"/>
      <c r="O869" s="295" t="str">
        <f>TablaPOA[[#This Row],[Cod_Sub_acción_especifica]]&amp;"_"&amp;TablaPOA[[#This Row],[Tipo de agente]]</f>
        <v>K31.2.19.2_Plantas de abastecimiento y despacho</v>
      </c>
      <c r="P869" s="250" t="s">
        <v>2950</v>
      </c>
      <c r="Q869" s="292" t="str">
        <f>TablaPOA[[#This Row],[Cod_Sub_acción_especifica]]&amp;"_"&amp;TablaPOA[[#This Row],[Cod_Tipo_agente]]</f>
        <v>K31.2.19.2_TA10</v>
      </c>
      <c r="R869" s="250" t="s">
        <v>2951</v>
      </c>
      <c r="S869" s="251" t="s">
        <v>2956</v>
      </c>
      <c r="T869" s="269" t="s">
        <v>2957</v>
      </c>
    </row>
    <row r="870" spans="1:20" ht="25.5" x14ac:dyDescent="0.25">
      <c r="A870" s="268" t="s">
        <v>2314</v>
      </c>
      <c r="B870" s="248">
        <v>31</v>
      </c>
      <c r="C870" s="248" t="s">
        <v>2691</v>
      </c>
      <c r="D870" s="248" t="s">
        <v>2988</v>
      </c>
      <c r="E870" s="248" t="s">
        <v>3160</v>
      </c>
      <c r="F870" s="248" t="s">
        <v>2695</v>
      </c>
      <c r="G870" s="248" t="s">
        <v>2490</v>
      </c>
      <c r="H870" s="249" t="s">
        <v>3179</v>
      </c>
      <c r="I870" s="249" t="s">
        <v>2734</v>
      </c>
      <c r="J870" s="248" t="s">
        <v>2735</v>
      </c>
      <c r="K870" s="261" t="s">
        <v>3117</v>
      </c>
      <c r="L870" s="261" t="s">
        <v>2767</v>
      </c>
      <c r="M870" s="258" t="s">
        <v>2788</v>
      </c>
      <c r="N870" s="295"/>
      <c r="O870" s="295" t="str">
        <f>TablaPOA[[#This Row],[Cod_Sub_acción_especifica]]&amp;"_"&amp;TablaPOA[[#This Row],[Tipo de agente]]</f>
        <v>K31.2.19.2_Plantas de abastecimiento y despacho</v>
      </c>
      <c r="P870" s="250" t="s">
        <v>2950</v>
      </c>
      <c r="Q870" s="292" t="str">
        <f>TablaPOA[[#This Row],[Cod_Sub_acción_especifica]]&amp;"_"&amp;TablaPOA[[#This Row],[Cod_Tipo_agente]]</f>
        <v>K31.2.19.2_TA10</v>
      </c>
      <c r="R870" s="250" t="s">
        <v>2951</v>
      </c>
      <c r="S870" s="251" t="s">
        <v>2958</v>
      </c>
      <c r="T870" s="269" t="s">
        <v>2959</v>
      </c>
    </row>
    <row r="871" spans="1:20" ht="25.5" x14ac:dyDescent="0.25">
      <c r="A871" s="268" t="s">
        <v>2314</v>
      </c>
      <c r="B871" s="248">
        <v>31</v>
      </c>
      <c r="C871" s="248" t="s">
        <v>2691</v>
      </c>
      <c r="D871" s="248" t="s">
        <v>2988</v>
      </c>
      <c r="E871" s="248" t="s">
        <v>3160</v>
      </c>
      <c r="F871" s="248" t="s">
        <v>2695</v>
      </c>
      <c r="G871" s="248" t="s">
        <v>2490</v>
      </c>
      <c r="H871" s="249" t="s">
        <v>3179</v>
      </c>
      <c r="I871" s="249" t="s">
        <v>2734</v>
      </c>
      <c r="J871" s="248" t="s">
        <v>2735</v>
      </c>
      <c r="K871" s="261" t="s">
        <v>3117</v>
      </c>
      <c r="L871" s="261" t="s">
        <v>2767</v>
      </c>
      <c r="M871" s="258" t="s">
        <v>2788</v>
      </c>
      <c r="N871" s="295"/>
      <c r="O871" s="295" t="str">
        <f>TablaPOA[[#This Row],[Cod_Sub_acción_especifica]]&amp;"_"&amp;TablaPOA[[#This Row],[Tipo de agente]]</f>
        <v>K31.2.19.2_Plantas de abastecimiento y despacho</v>
      </c>
      <c r="P871" s="250" t="s">
        <v>2950</v>
      </c>
      <c r="Q871" s="292" t="str">
        <f>TablaPOA[[#This Row],[Cod_Sub_acción_especifica]]&amp;"_"&amp;TablaPOA[[#This Row],[Cod_Tipo_agente]]</f>
        <v>K31.2.19.2_TA10</v>
      </c>
      <c r="R871" s="250" t="s">
        <v>2951</v>
      </c>
      <c r="S871" s="251" t="s">
        <v>2960</v>
      </c>
      <c r="T871" s="269" t="s">
        <v>2961</v>
      </c>
    </row>
    <row r="872" spans="1:20" ht="38.25" x14ac:dyDescent="0.25">
      <c r="A872" s="268" t="s">
        <v>2314</v>
      </c>
      <c r="B872" s="248">
        <v>31</v>
      </c>
      <c r="C872" s="248" t="s">
        <v>2691</v>
      </c>
      <c r="D872" s="248" t="s">
        <v>2988</v>
      </c>
      <c r="E872" s="248" t="s">
        <v>3160</v>
      </c>
      <c r="F872" s="248" t="s">
        <v>2695</v>
      </c>
      <c r="G872" s="248" t="s">
        <v>2490</v>
      </c>
      <c r="H872" s="249" t="s">
        <v>3179</v>
      </c>
      <c r="I872" s="249" t="s">
        <v>2734</v>
      </c>
      <c r="J872" s="248" t="s">
        <v>2735</v>
      </c>
      <c r="K872" s="261" t="s">
        <v>3117</v>
      </c>
      <c r="L872" s="261" t="s">
        <v>2767</v>
      </c>
      <c r="M872" s="258" t="s">
        <v>2788</v>
      </c>
      <c r="N872" s="295"/>
      <c r="O872" s="295" t="str">
        <f>TablaPOA[[#This Row],[Cod_Sub_acción_especifica]]&amp;"_"&amp;TablaPOA[[#This Row],[Tipo de agente]]</f>
        <v>K31.2.19.2_Instalaciones de compresión, transferencia y descompresión de gas natural</v>
      </c>
      <c r="P872" s="250" t="s">
        <v>2902</v>
      </c>
      <c r="Q872" s="292" t="str">
        <f>TablaPOA[[#This Row],[Cod_Sub_acción_especifica]]&amp;"_"&amp;TablaPOA[[#This Row],[Cod_Tipo_agente]]</f>
        <v>K31.2.19.2_TA7</v>
      </c>
      <c r="R872" s="250" t="s">
        <v>2903</v>
      </c>
      <c r="S872" s="252">
        <v>607</v>
      </c>
      <c r="T872" s="274" t="s">
        <v>2905</v>
      </c>
    </row>
    <row r="873" spans="1:20" ht="38.25" x14ac:dyDescent="0.25">
      <c r="A873" s="268" t="s">
        <v>2314</v>
      </c>
      <c r="B873" s="248">
        <v>31</v>
      </c>
      <c r="C873" s="248" t="s">
        <v>2691</v>
      </c>
      <c r="D873" s="248" t="s">
        <v>2988</v>
      </c>
      <c r="E873" s="248" t="s">
        <v>3160</v>
      </c>
      <c r="F873" s="248" t="s">
        <v>2695</v>
      </c>
      <c r="G873" s="248" t="s">
        <v>2490</v>
      </c>
      <c r="H873" s="249" t="s">
        <v>3179</v>
      </c>
      <c r="I873" s="249" t="s">
        <v>2734</v>
      </c>
      <c r="J873" s="248" t="s">
        <v>2735</v>
      </c>
      <c r="K873" s="261" t="s">
        <v>3117</v>
      </c>
      <c r="L873" s="261" t="s">
        <v>2767</v>
      </c>
      <c r="M873" s="258" t="s">
        <v>2788</v>
      </c>
      <c r="N873" s="295"/>
      <c r="O873" s="295" t="str">
        <f>TablaPOA[[#This Row],[Cod_Sub_acción_especifica]]&amp;"_"&amp;TablaPOA[[#This Row],[Tipo de agente]]</f>
        <v>K31.2.19.2_Instalaciones de compresión, transferencia y descompresión de gas natural</v>
      </c>
      <c r="P873" s="250" t="s">
        <v>2902</v>
      </c>
      <c r="Q873" s="292" t="str">
        <f>TablaPOA[[#This Row],[Cod_Sub_acción_especifica]]&amp;"_"&amp;TablaPOA[[#This Row],[Cod_Tipo_agente]]</f>
        <v>K31.2.19.2_TA7</v>
      </c>
      <c r="R873" s="250" t="s">
        <v>2903</v>
      </c>
      <c r="S873" s="252" t="s">
        <v>2906</v>
      </c>
      <c r="T873" s="274" t="s">
        <v>2907</v>
      </c>
    </row>
    <row r="874" spans="1:20" ht="38.25" x14ac:dyDescent="0.25">
      <c r="A874" s="268" t="s">
        <v>2314</v>
      </c>
      <c r="B874" s="248">
        <v>31</v>
      </c>
      <c r="C874" s="248" t="s">
        <v>2691</v>
      </c>
      <c r="D874" s="248" t="s">
        <v>2988</v>
      </c>
      <c r="E874" s="248" t="s">
        <v>3160</v>
      </c>
      <c r="F874" s="248" t="s">
        <v>2695</v>
      </c>
      <c r="G874" s="248" t="s">
        <v>2490</v>
      </c>
      <c r="H874" s="249" t="s">
        <v>3179</v>
      </c>
      <c r="I874" s="249" t="s">
        <v>2734</v>
      </c>
      <c r="J874" s="248" t="s">
        <v>2735</v>
      </c>
      <c r="K874" s="261" t="s">
        <v>3117</v>
      </c>
      <c r="L874" s="261" t="s">
        <v>2767</v>
      </c>
      <c r="M874" s="258" t="s">
        <v>2788</v>
      </c>
      <c r="N874" s="295"/>
      <c r="O874" s="295" t="str">
        <f>TablaPOA[[#This Row],[Cod_Sub_acción_especifica]]&amp;"_"&amp;TablaPOA[[#This Row],[Tipo de agente]]</f>
        <v>K31.2.19.2_Instalaciones de compresión, transferencia y descompresión de gas natural</v>
      </c>
      <c r="P874" s="250" t="s">
        <v>2902</v>
      </c>
      <c r="Q874" s="292" t="str">
        <f>TablaPOA[[#This Row],[Cod_Sub_acción_especifica]]&amp;"_"&amp;TablaPOA[[#This Row],[Cod_Tipo_agente]]</f>
        <v>K31.2.19.2_TA7</v>
      </c>
      <c r="R874" s="250" t="s">
        <v>2903</v>
      </c>
      <c r="S874" s="252" t="s">
        <v>2908</v>
      </c>
      <c r="T874" s="274" t="s">
        <v>2909</v>
      </c>
    </row>
    <row r="875" spans="1:20" ht="38.25" x14ac:dyDescent="0.25">
      <c r="A875" s="268" t="s">
        <v>2314</v>
      </c>
      <c r="B875" s="248">
        <v>31</v>
      </c>
      <c r="C875" s="248" t="s">
        <v>2691</v>
      </c>
      <c r="D875" s="248" t="s">
        <v>2988</v>
      </c>
      <c r="E875" s="248" t="s">
        <v>3160</v>
      </c>
      <c r="F875" s="248" t="s">
        <v>2695</v>
      </c>
      <c r="G875" s="248" t="s">
        <v>2490</v>
      </c>
      <c r="H875" s="249" t="s">
        <v>3179</v>
      </c>
      <c r="I875" s="249" t="s">
        <v>2734</v>
      </c>
      <c r="J875" s="248" t="s">
        <v>2735</v>
      </c>
      <c r="K875" s="261" t="s">
        <v>3117</v>
      </c>
      <c r="L875" s="261" t="s">
        <v>2767</v>
      </c>
      <c r="M875" s="258" t="s">
        <v>2788</v>
      </c>
      <c r="N875" s="295"/>
      <c r="O875" s="295" t="str">
        <f>TablaPOA[[#This Row],[Cod_Sub_acción_especifica]]&amp;"_"&amp;TablaPOA[[#This Row],[Tipo de agente]]</f>
        <v>K31.2.19.2_Instalaciones de compresión, transferencia y descompresión de gas natural</v>
      </c>
      <c r="P875" s="250" t="s">
        <v>2902</v>
      </c>
      <c r="Q875" s="292" t="str">
        <f>TablaPOA[[#This Row],[Cod_Sub_acción_especifica]]&amp;"_"&amp;TablaPOA[[#This Row],[Cod_Tipo_agente]]</f>
        <v>K31.2.19.2_TA7</v>
      </c>
      <c r="R875" s="250" t="s">
        <v>2903</v>
      </c>
      <c r="S875" s="252" t="s">
        <v>2910</v>
      </c>
      <c r="T875" s="274" t="s">
        <v>2911</v>
      </c>
    </row>
    <row r="876" spans="1:20" ht="25.5" x14ac:dyDescent="0.25">
      <c r="A876" s="268" t="s">
        <v>2314</v>
      </c>
      <c r="B876" s="248">
        <v>31</v>
      </c>
      <c r="C876" s="248" t="s">
        <v>2691</v>
      </c>
      <c r="D876" s="248" t="s">
        <v>2988</v>
      </c>
      <c r="E876" s="248" t="s">
        <v>3160</v>
      </c>
      <c r="F876" s="248" t="s">
        <v>2695</v>
      </c>
      <c r="G876" s="248" t="s">
        <v>2490</v>
      </c>
      <c r="H876" s="249" t="s">
        <v>3179</v>
      </c>
      <c r="I876" s="249" t="s">
        <v>2734</v>
      </c>
      <c r="J876" s="248" t="s">
        <v>2735</v>
      </c>
      <c r="K876" s="261" t="s">
        <v>3117</v>
      </c>
      <c r="L876" s="261" t="s">
        <v>2767</v>
      </c>
      <c r="M876" s="258" t="s">
        <v>2788</v>
      </c>
      <c r="N876" s="295"/>
      <c r="O876" s="295" t="str">
        <f>TablaPOA[[#This Row],[Cod_Sub_acción_especifica]]&amp;"_"&amp;TablaPOA[[#This Row],[Tipo de agente]]</f>
        <v>K31.2.19.2_Productores y Plantas de procesamiento</v>
      </c>
      <c r="P876" s="250" t="s">
        <v>2962</v>
      </c>
      <c r="Q876" s="292" t="str">
        <f>TablaPOA[[#This Row],[Cod_Sub_acción_especifica]]&amp;"_"&amp;TablaPOA[[#This Row],[Cod_Tipo_agente]]</f>
        <v>K31.2.19.2_TA11</v>
      </c>
      <c r="R876" s="250" t="s">
        <v>2963</v>
      </c>
      <c r="S876" s="251" t="s">
        <v>2964</v>
      </c>
      <c r="T876" s="269" t="s">
        <v>2965</v>
      </c>
    </row>
    <row r="877" spans="1:20" ht="25.5" x14ac:dyDescent="0.25">
      <c r="A877" s="268" t="s">
        <v>2314</v>
      </c>
      <c r="B877" s="248">
        <v>31</v>
      </c>
      <c r="C877" s="248" t="s">
        <v>2691</v>
      </c>
      <c r="D877" s="248" t="s">
        <v>2988</v>
      </c>
      <c r="E877" s="248" t="s">
        <v>3160</v>
      </c>
      <c r="F877" s="248" t="s">
        <v>2695</v>
      </c>
      <c r="G877" s="248" t="s">
        <v>2490</v>
      </c>
      <c r="H877" s="249" t="s">
        <v>3179</v>
      </c>
      <c r="I877" s="249" t="s">
        <v>2734</v>
      </c>
      <c r="J877" s="248" t="s">
        <v>2735</v>
      </c>
      <c r="K877" s="261" t="s">
        <v>3117</v>
      </c>
      <c r="L877" s="261" t="s">
        <v>2767</v>
      </c>
      <c r="M877" s="258" t="s">
        <v>2788</v>
      </c>
      <c r="N877" s="295"/>
      <c r="O877" s="295" t="str">
        <f>TablaPOA[[#This Row],[Cod_Sub_acción_especifica]]&amp;"_"&amp;TablaPOA[[#This Row],[Tipo de agente]]</f>
        <v>K31.2.19.2_Productores y Plantas de procesamiento</v>
      </c>
      <c r="P877" s="250" t="s">
        <v>2962</v>
      </c>
      <c r="Q877" s="292" t="str">
        <f>TablaPOA[[#This Row],[Cod_Sub_acción_especifica]]&amp;"_"&amp;TablaPOA[[#This Row],[Cod_Tipo_agente]]</f>
        <v>K31.2.19.2_TA11</v>
      </c>
      <c r="R877" s="250" t="s">
        <v>2963</v>
      </c>
      <c r="S877" s="251" t="s">
        <v>2966</v>
      </c>
      <c r="T877" s="269" t="s">
        <v>2967</v>
      </c>
    </row>
    <row r="878" spans="1:20" ht="25.5" x14ac:dyDescent="0.25">
      <c r="A878" s="268" t="s">
        <v>2314</v>
      </c>
      <c r="B878" s="248">
        <v>31</v>
      </c>
      <c r="C878" s="248" t="s">
        <v>2691</v>
      </c>
      <c r="D878" s="248" t="s">
        <v>2988</v>
      </c>
      <c r="E878" s="248" t="s">
        <v>3160</v>
      </c>
      <c r="F878" s="248" t="s">
        <v>2695</v>
      </c>
      <c r="G878" s="248" t="s">
        <v>2490</v>
      </c>
      <c r="H878" s="249" t="s">
        <v>3179</v>
      </c>
      <c r="I878" s="249" t="s">
        <v>2734</v>
      </c>
      <c r="J878" s="248" t="s">
        <v>2735</v>
      </c>
      <c r="K878" s="261" t="s">
        <v>3117</v>
      </c>
      <c r="L878" s="261" t="s">
        <v>2767</v>
      </c>
      <c r="M878" s="258" t="s">
        <v>2788</v>
      </c>
      <c r="N878" s="295"/>
      <c r="O878" s="295" t="str">
        <f>TablaPOA[[#This Row],[Cod_Sub_acción_especifica]]&amp;"_"&amp;TablaPOA[[#This Row],[Tipo de agente]]</f>
        <v>K31.2.19.2_Productores y Plantas de procesamiento</v>
      </c>
      <c r="P878" s="250" t="s">
        <v>2962</v>
      </c>
      <c r="Q878" s="292" t="str">
        <f>TablaPOA[[#This Row],[Cod_Sub_acción_especifica]]&amp;"_"&amp;TablaPOA[[#This Row],[Cod_Tipo_agente]]</f>
        <v>K31.2.19.2_TA11</v>
      </c>
      <c r="R878" s="250" t="s">
        <v>2963</v>
      </c>
      <c r="S878" s="251" t="s">
        <v>2968</v>
      </c>
      <c r="T878" s="269" t="s">
        <v>2969</v>
      </c>
    </row>
    <row r="879" spans="1:20" ht="25.5" x14ac:dyDescent="0.25">
      <c r="A879" s="268" t="s">
        <v>2314</v>
      </c>
      <c r="B879" s="248">
        <v>31</v>
      </c>
      <c r="C879" s="248" t="s">
        <v>2691</v>
      </c>
      <c r="D879" s="248" t="s">
        <v>2988</v>
      </c>
      <c r="E879" s="248" t="s">
        <v>3160</v>
      </c>
      <c r="F879" s="248" t="s">
        <v>2695</v>
      </c>
      <c r="G879" s="248" t="s">
        <v>2490</v>
      </c>
      <c r="H879" s="249" t="s">
        <v>3179</v>
      </c>
      <c r="I879" s="249" t="s">
        <v>2734</v>
      </c>
      <c r="J879" s="248" t="s">
        <v>2735</v>
      </c>
      <c r="K879" s="261" t="s">
        <v>3117</v>
      </c>
      <c r="L879" s="261" t="s">
        <v>2767</v>
      </c>
      <c r="M879" s="258" t="s">
        <v>2788</v>
      </c>
      <c r="N879" s="295"/>
      <c r="O879" s="295" t="str">
        <f>TablaPOA[[#This Row],[Cod_Sub_acción_especifica]]&amp;"_"&amp;TablaPOA[[#This Row],[Tipo de agente]]</f>
        <v>K31.2.19.2_Productores y Plantas de procesamiento</v>
      </c>
      <c r="P879" s="250" t="s">
        <v>2962</v>
      </c>
      <c r="Q879" s="292" t="str">
        <f>TablaPOA[[#This Row],[Cod_Sub_acción_especifica]]&amp;"_"&amp;TablaPOA[[#This Row],[Cod_Tipo_agente]]</f>
        <v>K31.2.19.2_TA11</v>
      </c>
      <c r="R879" s="250" t="s">
        <v>2963</v>
      </c>
      <c r="S879" s="251" t="s">
        <v>2970</v>
      </c>
      <c r="T879" s="269" t="s">
        <v>2971</v>
      </c>
    </row>
    <row r="880" spans="1:20" ht="25.5" x14ac:dyDescent="0.25">
      <c r="A880" s="268" t="s">
        <v>2314</v>
      </c>
      <c r="B880" s="248">
        <v>31</v>
      </c>
      <c r="C880" s="248" t="s">
        <v>2691</v>
      </c>
      <c r="D880" s="248" t="s">
        <v>2988</v>
      </c>
      <c r="E880" s="248" t="s">
        <v>3160</v>
      </c>
      <c r="F880" s="248" t="s">
        <v>2695</v>
      </c>
      <c r="G880" s="248" t="s">
        <v>2490</v>
      </c>
      <c r="H880" s="249" t="s">
        <v>3179</v>
      </c>
      <c r="I880" s="249" t="s">
        <v>2734</v>
      </c>
      <c r="J880" s="248" t="s">
        <v>2735</v>
      </c>
      <c r="K880" s="261" t="s">
        <v>3117</v>
      </c>
      <c r="L880" s="261" t="s">
        <v>2767</v>
      </c>
      <c r="M880" s="258" t="s">
        <v>2788</v>
      </c>
      <c r="N880" s="295"/>
      <c r="O880" s="295" t="str">
        <f>TablaPOA[[#This Row],[Cod_Sub_acción_especifica]]&amp;"_"&amp;TablaPOA[[#This Row],[Tipo de agente]]</f>
        <v>K31.2.19.2_Productores y Plantas de procesamiento</v>
      </c>
      <c r="P880" s="250" t="s">
        <v>2962</v>
      </c>
      <c r="Q880" s="292" t="str">
        <f>TablaPOA[[#This Row],[Cod_Sub_acción_especifica]]&amp;"_"&amp;TablaPOA[[#This Row],[Cod_Tipo_agente]]</f>
        <v>K31.2.19.2_TA11</v>
      </c>
      <c r="R880" s="250" t="s">
        <v>2963</v>
      </c>
      <c r="S880" s="251" t="s">
        <v>2972</v>
      </c>
      <c r="T880" s="269" t="s">
        <v>2973</v>
      </c>
    </row>
    <row r="881" spans="1:20" ht="25.5" x14ac:dyDescent="0.25">
      <c r="A881" s="268" t="s">
        <v>2314</v>
      </c>
      <c r="B881" s="248">
        <v>31</v>
      </c>
      <c r="C881" s="248" t="s">
        <v>2691</v>
      </c>
      <c r="D881" s="248" t="s">
        <v>2988</v>
      </c>
      <c r="E881" s="248" t="s">
        <v>3160</v>
      </c>
      <c r="F881" s="248" t="s">
        <v>2695</v>
      </c>
      <c r="G881" s="248" t="s">
        <v>2490</v>
      </c>
      <c r="H881" s="249" t="s">
        <v>3179</v>
      </c>
      <c r="I881" s="249" t="s">
        <v>2734</v>
      </c>
      <c r="J881" s="248" t="s">
        <v>2735</v>
      </c>
      <c r="K881" s="261" t="s">
        <v>3117</v>
      </c>
      <c r="L881" s="261" t="s">
        <v>2767</v>
      </c>
      <c r="M881" s="258" t="s">
        <v>2788</v>
      </c>
      <c r="N881" s="295"/>
      <c r="O881" s="295" t="str">
        <f>TablaPOA[[#This Row],[Cod_Sub_acción_especifica]]&amp;"_"&amp;TablaPOA[[#This Row],[Tipo de agente]]</f>
        <v>K31.2.19.2_Productores y Plantas de procesamiento</v>
      </c>
      <c r="P881" s="250" t="s">
        <v>2962</v>
      </c>
      <c r="Q881" s="292" t="str">
        <f>TablaPOA[[#This Row],[Cod_Sub_acción_especifica]]&amp;"_"&amp;TablaPOA[[#This Row],[Cod_Tipo_agente]]</f>
        <v>K31.2.19.2_TA11</v>
      </c>
      <c r="R881" s="250" t="s">
        <v>2963</v>
      </c>
      <c r="S881" s="251" t="s">
        <v>2974</v>
      </c>
      <c r="T881" s="269" t="s">
        <v>2975</v>
      </c>
    </row>
    <row r="882" spans="1:20" ht="25.5" x14ac:dyDescent="0.25">
      <c r="A882" s="268" t="s">
        <v>2314</v>
      </c>
      <c r="B882" s="248">
        <v>31</v>
      </c>
      <c r="C882" s="248" t="s">
        <v>2691</v>
      </c>
      <c r="D882" s="248" t="s">
        <v>2988</v>
      </c>
      <c r="E882" s="248" t="s">
        <v>3160</v>
      </c>
      <c r="F882" s="248" t="s">
        <v>2695</v>
      </c>
      <c r="G882" s="248" t="s">
        <v>2490</v>
      </c>
      <c r="H882" s="249" t="s">
        <v>3179</v>
      </c>
      <c r="I882" s="249" t="s">
        <v>2734</v>
      </c>
      <c r="J882" s="248" t="s">
        <v>2735</v>
      </c>
      <c r="K882" s="261" t="s">
        <v>3117</v>
      </c>
      <c r="L882" s="261" t="s">
        <v>2767</v>
      </c>
      <c r="M882" s="258" t="s">
        <v>2788</v>
      </c>
      <c r="N882" s="295"/>
      <c r="O882" s="295" t="str">
        <f>TablaPOA[[#This Row],[Cod_Sub_acción_especifica]]&amp;"_"&amp;TablaPOA[[#This Row],[Tipo de agente]]</f>
        <v>K31.2.19.2_Productores y Plantas de procesamiento</v>
      </c>
      <c r="P882" s="250" t="s">
        <v>2962</v>
      </c>
      <c r="Q882" s="292" t="str">
        <f>TablaPOA[[#This Row],[Cod_Sub_acción_especifica]]&amp;"_"&amp;TablaPOA[[#This Row],[Cod_Tipo_agente]]</f>
        <v>K31.2.19.2_TA11</v>
      </c>
      <c r="R882" s="250" t="s">
        <v>2963</v>
      </c>
      <c r="S882" s="251" t="s">
        <v>2976</v>
      </c>
      <c r="T882" s="269" t="s">
        <v>2977</v>
      </c>
    </row>
    <row r="883" spans="1:20" ht="25.5" x14ac:dyDescent="0.25">
      <c r="A883" s="219" t="s">
        <v>2314</v>
      </c>
      <c r="B883" s="227">
        <v>31</v>
      </c>
      <c r="C883" s="227" t="s">
        <v>2691</v>
      </c>
      <c r="D883" s="227" t="s">
        <v>2988</v>
      </c>
      <c r="E883" s="227" t="s">
        <v>3160</v>
      </c>
      <c r="F883" s="227" t="s">
        <v>2695</v>
      </c>
      <c r="G883" s="227" t="s">
        <v>2490</v>
      </c>
      <c r="H883" s="253" t="s">
        <v>3179</v>
      </c>
      <c r="I883" s="253" t="s">
        <v>2734</v>
      </c>
      <c r="J883" s="227" t="s">
        <v>3022</v>
      </c>
      <c r="K883" s="253" t="s">
        <v>3118</v>
      </c>
      <c r="L883" s="253" t="s">
        <v>2787</v>
      </c>
      <c r="M883" s="227" t="s">
        <v>2787</v>
      </c>
      <c r="N883" s="300" t="s">
        <v>2979</v>
      </c>
      <c r="O883" s="152" t="str">
        <f>TablaPOA[[#This Row],[Cod_Sub_acción_especifica]]&amp;"_"&amp;TablaPOA[[#This Row],[Tipo de agente]]</f>
        <v>K31.2.19.3_Informal</v>
      </c>
      <c r="P883" s="256" t="s">
        <v>2978</v>
      </c>
      <c r="Q883" s="152" t="str">
        <f>TablaPOA[[#This Row],[Cod_Sub_acción_especifica]]&amp;"_"&amp;TablaPOA[[#This Row],[Cod_Tipo_agente]]</f>
        <v>K31.2.19.3_TA12</v>
      </c>
      <c r="R883" s="256" t="s">
        <v>2979</v>
      </c>
      <c r="S883" s="256">
        <v>1001</v>
      </c>
      <c r="T883" s="272" t="s">
        <v>2980</v>
      </c>
    </row>
    <row r="884" spans="1:20" ht="25.5" x14ac:dyDescent="0.25">
      <c r="A884" s="219" t="s">
        <v>2314</v>
      </c>
      <c r="B884" s="227">
        <v>31</v>
      </c>
      <c r="C884" s="227" t="s">
        <v>2691</v>
      </c>
      <c r="D884" s="227" t="s">
        <v>2988</v>
      </c>
      <c r="E884" s="227" t="s">
        <v>3160</v>
      </c>
      <c r="F884" s="227" t="s">
        <v>2695</v>
      </c>
      <c r="G884" s="227" t="s">
        <v>2490</v>
      </c>
      <c r="H884" s="253" t="s">
        <v>3179</v>
      </c>
      <c r="I884" s="253" t="s">
        <v>2734</v>
      </c>
      <c r="J884" s="227" t="s">
        <v>3022</v>
      </c>
      <c r="K884" s="253" t="s">
        <v>3118</v>
      </c>
      <c r="L884" s="253" t="s">
        <v>2787</v>
      </c>
      <c r="M884" s="227" t="s">
        <v>2787</v>
      </c>
      <c r="N884" s="300" t="s">
        <v>2986</v>
      </c>
      <c r="O884" s="152" t="str">
        <f>TablaPOA[[#This Row],[Cod_Sub_acción_especifica]]&amp;"_"&amp;TablaPOA[[#This Row],[Tipo de agente]]</f>
        <v>K31.2.19.3_Informal</v>
      </c>
      <c r="P884" s="256" t="s">
        <v>2978</v>
      </c>
      <c r="Q884" s="152" t="str">
        <f>TablaPOA[[#This Row],[Cod_Sub_acción_especifica]]&amp;"_"&amp;TablaPOA[[#This Row],[Cod_Tipo_agente]]</f>
        <v>K31.2.19.3_TA12</v>
      </c>
      <c r="R884" s="256" t="s">
        <v>2979</v>
      </c>
      <c r="S884" s="256">
        <v>1002</v>
      </c>
      <c r="T884" s="272" t="s">
        <v>2982</v>
      </c>
    </row>
    <row r="885" spans="1:20" ht="25.5" x14ac:dyDescent="0.25">
      <c r="A885" s="219" t="s">
        <v>2314</v>
      </c>
      <c r="B885" s="227">
        <v>31</v>
      </c>
      <c r="C885" s="227" t="s">
        <v>2691</v>
      </c>
      <c r="D885" s="227" t="s">
        <v>2988</v>
      </c>
      <c r="E885" s="227" t="s">
        <v>3160</v>
      </c>
      <c r="F885" s="227" t="s">
        <v>2695</v>
      </c>
      <c r="G885" s="227" t="s">
        <v>2490</v>
      </c>
      <c r="H885" s="253" t="s">
        <v>3179</v>
      </c>
      <c r="I885" s="253" t="s">
        <v>2734</v>
      </c>
      <c r="J885" s="227" t="s">
        <v>3022</v>
      </c>
      <c r="K885" s="253" t="s">
        <v>3118</v>
      </c>
      <c r="L885" s="253" t="s">
        <v>2787</v>
      </c>
      <c r="M885" s="227" t="s">
        <v>2500</v>
      </c>
      <c r="N885" s="294"/>
      <c r="O885" s="294" t="str">
        <f>TablaPOA[[#This Row],[Cod_Sub_acción_especifica]]&amp;"_"&amp;TablaPOA[[#This Row],[Tipo de agente]]</f>
        <v>K31.2.19.3_Usuario final</v>
      </c>
      <c r="P885" s="256" t="s">
        <v>2985</v>
      </c>
      <c r="Q885" s="152" t="str">
        <f>TablaPOA[[#This Row],[Cod_Sub_acción_especifica]]&amp;"_"&amp;TablaPOA[[#This Row],[Cod_Tipo_agente]]</f>
        <v>K31.2.19.3_TA13</v>
      </c>
      <c r="R885" s="256" t="s">
        <v>2986</v>
      </c>
      <c r="S885" s="256">
        <v>1005</v>
      </c>
      <c r="T885" s="272" t="s">
        <v>2987</v>
      </c>
    </row>
    <row r="886" spans="1:20" ht="25.5" x14ac:dyDescent="0.25">
      <c r="A886" s="268" t="s">
        <v>2314</v>
      </c>
      <c r="B886" s="248">
        <v>31</v>
      </c>
      <c r="C886" s="248" t="s">
        <v>2691</v>
      </c>
      <c r="D886" s="248" t="s">
        <v>2988</v>
      </c>
      <c r="E886" s="248" t="s">
        <v>3160</v>
      </c>
      <c r="F886" s="248" t="s">
        <v>2695</v>
      </c>
      <c r="G886" s="248" t="s">
        <v>2490</v>
      </c>
      <c r="H886" s="249" t="s">
        <v>3180</v>
      </c>
      <c r="I886" s="249" t="s">
        <v>2736</v>
      </c>
      <c r="J886" s="248" t="s">
        <v>2737</v>
      </c>
      <c r="K886" s="249" t="s">
        <v>3119</v>
      </c>
      <c r="L886" s="249" t="s">
        <v>2736</v>
      </c>
      <c r="M886" s="248" t="s">
        <v>2525</v>
      </c>
      <c r="N886" s="299" t="s">
        <v>2919</v>
      </c>
      <c r="O886" s="292" t="str">
        <f>TablaPOA[[#This Row],[Cod_Sub_acción_especifica]]&amp;"_"&amp;TablaPOA[[#This Row],[Tipo de agente]]</f>
        <v>K31.2.20.1_Medios de transporte</v>
      </c>
      <c r="P886" s="250" t="s">
        <v>2918</v>
      </c>
      <c r="Q886" s="292" t="str">
        <f>TablaPOA[[#This Row],[Cod_Sub_acción_especifica]]&amp;"_"&amp;TablaPOA[[#This Row],[Cod_Tipo_agente]]</f>
        <v>K31.2.20.1_TA9</v>
      </c>
      <c r="R886" s="250" t="s">
        <v>2919</v>
      </c>
      <c r="S886" s="251" t="s">
        <v>2920</v>
      </c>
      <c r="T886" s="269" t="s">
        <v>2921</v>
      </c>
    </row>
    <row r="887" spans="1:20" ht="25.5" x14ac:dyDescent="0.25">
      <c r="A887" s="268" t="s">
        <v>2314</v>
      </c>
      <c r="B887" s="248">
        <v>31</v>
      </c>
      <c r="C887" s="248" t="s">
        <v>2691</v>
      </c>
      <c r="D887" s="248" t="s">
        <v>2988</v>
      </c>
      <c r="E887" s="248" t="s">
        <v>3160</v>
      </c>
      <c r="F887" s="248" t="s">
        <v>2695</v>
      </c>
      <c r="G887" s="248" t="s">
        <v>2490</v>
      </c>
      <c r="H887" s="249" t="s">
        <v>3180</v>
      </c>
      <c r="I887" s="249" t="s">
        <v>2736</v>
      </c>
      <c r="J887" s="248" t="s">
        <v>2737</v>
      </c>
      <c r="K887" s="249" t="s">
        <v>3119</v>
      </c>
      <c r="L887" s="249" t="s">
        <v>2736</v>
      </c>
      <c r="M887" s="248" t="s">
        <v>2525</v>
      </c>
      <c r="N887" s="293"/>
      <c r="O887" s="293" t="str">
        <f>TablaPOA[[#This Row],[Cod_Sub_acción_especifica]]&amp;"_"&amp;TablaPOA[[#This Row],[Tipo de agente]]</f>
        <v>K31.2.20.1_Medios de transporte</v>
      </c>
      <c r="P887" s="250" t="s">
        <v>2918</v>
      </c>
      <c r="Q887" s="292" t="str">
        <f>TablaPOA[[#This Row],[Cod_Sub_acción_especifica]]&amp;"_"&amp;TablaPOA[[#This Row],[Cod_Tipo_agente]]</f>
        <v>K31.2.20.1_TA9</v>
      </c>
      <c r="R887" s="250" t="s">
        <v>2919</v>
      </c>
      <c r="S887" s="251" t="s">
        <v>2922</v>
      </c>
      <c r="T887" s="269" t="s">
        <v>2923</v>
      </c>
    </row>
    <row r="888" spans="1:20" ht="25.5" x14ac:dyDescent="0.25">
      <c r="A888" s="268" t="s">
        <v>2314</v>
      </c>
      <c r="B888" s="248">
        <v>31</v>
      </c>
      <c r="C888" s="248" t="s">
        <v>2691</v>
      </c>
      <c r="D888" s="248" t="s">
        <v>2988</v>
      </c>
      <c r="E888" s="248" t="s">
        <v>3160</v>
      </c>
      <c r="F888" s="248" t="s">
        <v>2695</v>
      </c>
      <c r="G888" s="248" t="s">
        <v>2490</v>
      </c>
      <c r="H888" s="249" t="s">
        <v>3180</v>
      </c>
      <c r="I888" s="249" t="s">
        <v>2736</v>
      </c>
      <c r="J888" s="248" t="s">
        <v>2737</v>
      </c>
      <c r="K888" s="249" t="s">
        <v>3119</v>
      </c>
      <c r="L888" s="249" t="s">
        <v>2736</v>
      </c>
      <c r="M888" s="248" t="s">
        <v>2525</v>
      </c>
      <c r="N888" s="293"/>
      <c r="O888" s="293" t="str">
        <f>TablaPOA[[#This Row],[Cod_Sub_acción_especifica]]&amp;"_"&amp;TablaPOA[[#This Row],[Tipo de agente]]</f>
        <v>K31.2.20.1_Medios de transporte</v>
      </c>
      <c r="P888" s="250" t="s">
        <v>2918</v>
      </c>
      <c r="Q888" s="292" t="str">
        <f>TablaPOA[[#This Row],[Cod_Sub_acción_especifica]]&amp;"_"&amp;TablaPOA[[#This Row],[Cod_Tipo_agente]]</f>
        <v>K31.2.20.1_TA9</v>
      </c>
      <c r="R888" s="250" t="s">
        <v>2919</v>
      </c>
      <c r="S888" s="251" t="s">
        <v>2924</v>
      </c>
      <c r="T888" s="269" t="s">
        <v>2925</v>
      </c>
    </row>
    <row r="889" spans="1:20" ht="25.5" x14ac:dyDescent="0.25">
      <c r="A889" s="268" t="s">
        <v>2314</v>
      </c>
      <c r="B889" s="248">
        <v>31</v>
      </c>
      <c r="C889" s="248" t="s">
        <v>2691</v>
      </c>
      <c r="D889" s="248" t="s">
        <v>2988</v>
      </c>
      <c r="E889" s="248" t="s">
        <v>3160</v>
      </c>
      <c r="F889" s="248" t="s">
        <v>2695</v>
      </c>
      <c r="G889" s="248" t="s">
        <v>2490</v>
      </c>
      <c r="H889" s="249" t="s">
        <v>3180</v>
      </c>
      <c r="I889" s="249" t="s">
        <v>2736</v>
      </c>
      <c r="J889" s="248" t="s">
        <v>2737</v>
      </c>
      <c r="K889" s="249" t="s">
        <v>3119</v>
      </c>
      <c r="L889" s="249" t="s">
        <v>2736</v>
      </c>
      <c r="M889" s="248" t="s">
        <v>2525</v>
      </c>
      <c r="N889" s="293"/>
      <c r="O889" s="293" t="str">
        <f>TablaPOA[[#This Row],[Cod_Sub_acción_especifica]]&amp;"_"&amp;TablaPOA[[#This Row],[Tipo de agente]]</f>
        <v>K31.2.20.1_Medios de transporte</v>
      </c>
      <c r="P889" s="250" t="s">
        <v>2918</v>
      </c>
      <c r="Q889" s="292" t="str">
        <f>TablaPOA[[#This Row],[Cod_Sub_acción_especifica]]&amp;"_"&amp;TablaPOA[[#This Row],[Cod_Tipo_agente]]</f>
        <v>K31.2.20.1_TA9</v>
      </c>
      <c r="R889" s="250" t="s">
        <v>2919</v>
      </c>
      <c r="S889" s="251" t="s">
        <v>2926</v>
      </c>
      <c r="T889" s="269" t="s">
        <v>2927</v>
      </c>
    </row>
    <row r="890" spans="1:20" ht="25.5" x14ac:dyDescent="0.25">
      <c r="A890" s="268" t="s">
        <v>2314</v>
      </c>
      <c r="B890" s="248">
        <v>31</v>
      </c>
      <c r="C890" s="248" t="s">
        <v>2691</v>
      </c>
      <c r="D890" s="248" t="s">
        <v>2988</v>
      </c>
      <c r="E890" s="248" t="s">
        <v>3160</v>
      </c>
      <c r="F890" s="248" t="s">
        <v>2695</v>
      </c>
      <c r="G890" s="248" t="s">
        <v>2490</v>
      </c>
      <c r="H890" s="249" t="s">
        <v>3180</v>
      </c>
      <c r="I890" s="249" t="s">
        <v>2736</v>
      </c>
      <c r="J890" s="248" t="s">
        <v>2737</v>
      </c>
      <c r="K890" s="249" t="s">
        <v>3119</v>
      </c>
      <c r="L890" s="249" t="s">
        <v>2736</v>
      </c>
      <c r="M890" s="248" t="s">
        <v>2525</v>
      </c>
      <c r="N890" s="293"/>
      <c r="O890" s="293" t="str">
        <f>TablaPOA[[#This Row],[Cod_Sub_acción_especifica]]&amp;"_"&amp;TablaPOA[[#This Row],[Tipo de agente]]</f>
        <v>K31.2.20.1_Medios de transporte</v>
      </c>
      <c r="P890" s="250" t="s">
        <v>2918</v>
      </c>
      <c r="Q890" s="292" t="str">
        <f>TablaPOA[[#This Row],[Cod_Sub_acción_especifica]]&amp;"_"&amp;TablaPOA[[#This Row],[Cod_Tipo_agente]]</f>
        <v>K31.2.20.1_TA9</v>
      </c>
      <c r="R890" s="250" t="s">
        <v>2919</v>
      </c>
      <c r="S890" s="251" t="s">
        <v>2928</v>
      </c>
      <c r="T890" s="269" t="s">
        <v>2929</v>
      </c>
    </row>
    <row r="891" spans="1:20" ht="25.5" x14ac:dyDescent="0.25">
      <c r="A891" s="268" t="s">
        <v>2314</v>
      </c>
      <c r="B891" s="248">
        <v>31</v>
      </c>
      <c r="C891" s="248" t="s">
        <v>2691</v>
      </c>
      <c r="D891" s="248" t="s">
        <v>2988</v>
      </c>
      <c r="E891" s="248" t="s">
        <v>3160</v>
      </c>
      <c r="F891" s="248" t="s">
        <v>2695</v>
      </c>
      <c r="G891" s="248" t="s">
        <v>2490</v>
      </c>
      <c r="H891" s="249" t="s">
        <v>3180</v>
      </c>
      <c r="I891" s="249" t="s">
        <v>2736</v>
      </c>
      <c r="J891" s="248" t="s">
        <v>2737</v>
      </c>
      <c r="K891" s="249" t="s">
        <v>3119</v>
      </c>
      <c r="L891" s="249" t="s">
        <v>2736</v>
      </c>
      <c r="M891" s="248" t="s">
        <v>2525</v>
      </c>
      <c r="N891" s="293"/>
      <c r="O891" s="293" t="str">
        <f>TablaPOA[[#This Row],[Cod_Sub_acción_especifica]]&amp;"_"&amp;TablaPOA[[#This Row],[Tipo de agente]]</f>
        <v>K31.2.20.1_Medios de transporte</v>
      </c>
      <c r="P891" s="250" t="s">
        <v>2918</v>
      </c>
      <c r="Q891" s="292" t="str">
        <f>TablaPOA[[#This Row],[Cod_Sub_acción_especifica]]&amp;"_"&amp;TablaPOA[[#This Row],[Cod_Tipo_agente]]</f>
        <v>K31.2.20.1_TA9</v>
      </c>
      <c r="R891" s="250" t="s">
        <v>2919</v>
      </c>
      <c r="S891" s="251" t="s">
        <v>2930</v>
      </c>
      <c r="T891" s="269" t="s">
        <v>2931</v>
      </c>
    </row>
    <row r="892" spans="1:20" ht="25.5" x14ac:dyDescent="0.25">
      <c r="A892" s="268" t="s">
        <v>2314</v>
      </c>
      <c r="B892" s="248">
        <v>31</v>
      </c>
      <c r="C892" s="248" t="s">
        <v>2691</v>
      </c>
      <c r="D892" s="248" t="s">
        <v>2988</v>
      </c>
      <c r="E892" s="248" t="s">
        <v>3160</v>
      </c>
      <c r="F892" s="248" t="s">
        <v>2695</v>
      </c>
      <c r="G892" s="248" t="s">
        <v>2490</v>
      </c>
      <c r="H892" s="249" t="s">
        <v>3180</v>
      </c>
      <c r="I892" s="249" t="s">
        <v>2736</v>
      </c>
      <c r="J892" s="248" t="s">
        <v>2737</v>
      </c>
      <c r="K892" s="249" t="s">
        <v>3119</v>
      </c>
      <c r="L892" s="249" t="s">
        <v>2736</v>
      </c>
      <c r="M892" s="248" t="s">
        <v>2525</v>
      </c>
      <c r="N892" s="293"/>
      <c r="O892" s="293" t="str">
        <f>TablaPOA[[#This Row],[Cod_Sub_acción_especifica]]&amp;"_"&amp;TablaPOA[[#This Row],[Tipo de agente]]</f>
        <v>K31.2.20.1_Medios de transporte</v>
      </c>
      <c r="P892" s="250" t="s">
        <v>2918</v>
      </c>
      <c r="Q892" s="292" t="str">
        <f>TablaPOA[[#This Row],[Cod_Sub_acción_especifica]]&amp;"_"&amp;TablaPOA[[#This Row],[Cod_Tipo_agente]]</f>
        <v>K31.2.20.1_TA9</v>
      </c>
      <c r="R892" s="250" t="s">
        <v>2919</v>
      </c>
      <c r="S892" s="251" t="s">
        <v>2932</v>
      </c>
      <c r="T892" s="269" t="s">
        <v>2933</v>
      </c>
    </row>
    <row r="893" spans="1:20" ht="25.5" x14ac:dyDescent="0.25">
      <c r="A893" s="268" t="s">
        <v>2314</v>
      </c>
      <c r="B893" s="248">
        <v>31</v>
      </c>
      <c r="C893" s="248" t="s">
        <v>2691</v>
      </c>
      <c r="D893" s="248" t="s">
        <v>2988</v>
      </c>
      <c r="E893" s="248" t="s">
        <v>3160</v>
      </c>
      <c r="F893" s="248" t="s">
        <v>2695</v>
      </c>
      <c r="G893" s="248" t="s">
        <v>2490</v>
      </c>
      <c r="H893" s="249" t="s">
        <v>3180</v>
      </c>
      <c r="I893" s="249" t="s">
        <v>2736</v>
      </c>
      <c r="J893" s="248" t="s">
        <v>2737</v>
      </c>
      <c r="K893" s="249" t="s">
        <v>3119</v>
      </c>
      <c r="L893" s="249" t="s">
        <v>2736</v>
      </c>
      <c r="M893" s="248" t="s">
        <v>2525</v>
      </c>
      <c r="N893" s="293"/>
      <c r="O893" s="293" t="str">
        <f>TablaPOA[[#This Row],[Cod_Sub_acción_especifica]]&amp;"_"&amp;TablaPOA[[#This Row],[Tipo de agente]]</f>
        <v>K31.2.20.1_Medios de transporte</v>
      </c>
      <c r="P893" s="250" t="s">
        <v>2918</v>
      </c>
      <c r="Q893" s="292" t="str">
        <f>TablaPOA[[#This Row],[Cod_Sub_acción_especifica]]&amp;"_"&amp;TablaPOA[[#This Row],[Cod_Tipo_agente]]</f>
        <v>K31.2.20.1_TA9</v>
      </c>
      <c r="R893" s="250" t="s">
        <v>2919</v>
      </c>
      <c r="S893" s="251" t="s">
        <v>2934</v>
      </c>
      <c r="T893" s="269" t="s">
        <v>2935</v>
      </c>
    </row>
    <row r="894" spans="1:20" ht="25.5" x14ac:dyDescent="0.25">
      <c r="A894" s="268" t="s">
        <v>2314</v>
      </c>
      <c r="B894" s="248">
        <v>31</v>
      </c>
      <c r="C894" s="248" t="s">
        <v>2691</v>
      </c>
      <c r="D894" s="248" t="s">
        <v>2988</v>
      </c>
      <c r="E894" s="248" t="s">
        <v>3160</v>
      </c>
      <c r="F894" s="248" t="s">
        <v>2695</v>
      </c>
      <c r="G894" s="248" t="s">
        <v>2490</v>
      </c>
      <c r="H894" s="249" t="s">
        <v>3180</v>
      </c>
      <c r="I894" s="249" t="s">
        <v>2736</v>
      </c>
      <c r="J894" s="248" t="s">
        <v>2737</v>
      </c>
      <c r="K894" s="249" t="s">
        <v>3119</v>
      </c>
      <c r="L894" s="249" t="s">
        <v>2736</v>
      </c>
      <c r="M894" s="248" t="s">
        <v>2525</v>
      </c>
      <c r="N894" s="293"/>
      <c r="O894" s="293" t="str">
        <f>TablaPOA[[#This Row],[Cod_Sub_acción_especifica]]&amp;"_"&amp;TablaPOA[[#This Row],[Tipo de agente]]</f>
        <v>K31.2.20.1_Medios de transporte</v>
      </c>
      <c r="P894" s="250" t="s">
        <v>2918</v>
      </c>
      <c r="Q894" s="292" t="str">
        <f>TablaPOA[[#This Row],[Cod_Sub_acción_especifica]]&amp;"_"&amp;TablaPOA[[#This Row],[Cod_Tipo_agente]]</f>
        <v>K31.2.20.1_TA9</v>
      </c>
      <c r="R894" s="250" t="s">
        <v>2919</v>
      </c>
      <c r="S894" s="251" t="s">
        <v>2936</v>
      </c>
      <c r="T894" s="269" t="s">
        <v>2937</v>
      </c>
    </row>
    <row r="895" spans="1:20" ht="25.5" x14ac:dyDescent="0.25">
      <c r="A895" s="268" t="s">
        <v>2314</v>
      </c>
      <c r="B895" s="248">
        <v>31</v>
      </c>
      <c r="C895" s="248" t="s">
        <v>2691</v>
      </c>
      <c r="D895" s="248" t="s">
        <v>2988</v>
      </c>
      <c r="E895" s="248" t="s">
        <v>3160</v>
      </c>
      <c r="F895" s="248" t="s">
        <v>2695</v>
      </c>
      <c r="G895" s="248" t="s">
        <v>2490</v>
      </c>
      <c r="H895" s="249" t="s">
        <v>3180</v>
      </c>
      <c r="I895" s="249" t="s">
        <v>2736</v>
      </c>
      <c r="J895" s="248" t="s">
        <v>2737</v>
      </c>
      <c r="K895" s="249" t="s">
        <v>3119</v>
      </c>
      <c r="L895" s="249" t="s">
        <v>2736</v>
      </c>
      <c r="M895" s="248" t="s">
        <v>2525</v>
      </c>
      <c r="N895" s="293"/>
      <c r="O895" s="293" t="str">
        <f>TablaPOA[[#This Row],[Cod_Sub_acción_especifica]]&amp;"_"&amp;TablaPOA[[#This Row],[Tipo de agente]]</f>
        <v>K31.2.20.1_Medios de transporte</v>
      </c>
      <c r="P895" s="250" t="s">
        <v>2918</v>
      </c>
      <c r="Q895" s="292" t="str">
        <f>TablaPOA[[#This Row],[Cod_Sub_acción_especifica]]&amp;"_"&amp;TablaPOA[[#This Row],[Cod_Tipo_agente]]</f>
        <v>K31.2.20.1_TA9</v>
      </c>
      <c r="R895" s="250" t="s">
        <v>2919</v>
      </c>
      <c r="S895" s="251" t="s">
        <v>2938</v>
      </c>
      <c r="T895" s="269" t="s">
        <v>2939</v>
      </c>
    </row>
    <row r="896" spans="1:20" ht="25.5" x14ac:dyDescent="0.25">
      <c r="A896" s="268" t="s">
        <v>2314</v>
      </c>
      <c r="B896" s="248">
        <v>31</v>
      </c>
      <c r="C896" s="248" t="s">
        <v>2691</v>
      </c>
      <c r="D896" s="248" t="s">
        <v>2988</v>
      </c>
      <c r="E896" s="248" t="s">
        <v>3160</v>
      </c>
      <c r="F896" s="248" t="s">
        <v>2695</v>
      </c>
      <c r="G896" s="248" t="s">
        <v>2490</v>
      </c>
      <c r="H896" s="249" t="s">
        <v>3180</v>
      </c>
      <c r="I896" s="249" t="s">
        <v>2736</v>
      </c>
      <c r="J896" s="248" t="s">
        <v>2737</v>
      </c>
      <c r="K896" s="249" t="s">
        <v>3119</v>
      </c>
      <c r="L896" s="249" t="s">
        <v>2736</v>
      </c>
      <c r="M896" s="248" t="s">
        <v>2525</v>
      </c>
      <c r="N896" s="293"/>
      <c r="O896" s="293" t="str">
        <f>TablaPOA[[#This Row],[Cod_Sub_acción_especifica]]&amp;"_"&amp;TablaPOA[[#This Row],[Tipo de agente]]</f>
        <v>K31.2.20.1_Medios de transporte</v>
      </c>
      <c r="P896" s="250" t="s">
        <v>2918</v>
      </c>
      <c r="Q896" s="292" t="str">
        <f>TablaPOA[[#This Row],[Cod_Sub_acción_especifica]]&amp;"_"&amp;TablaPOA[[#This Row],[Cod_Tipo_agente]]</f>
        <v>K31.2.20.1_TA9</v>
      </c>
      <c r="R896" s="250" t="s">
        <v>2919</v>
      </c>
      <c r="S896" s="251" t="s">
        <v>2940</v>
      </c>
      <c r="T896" s="269" t="s">
        <v>2941</v>
      </c>
    </row>
    <row r="897" spans="1:20" ht="25.5" x14ac:dyDescent="0.25">
      <c r="A897" s="268" t="s">
        <v>2314</v>
      </c>
      <c r="B897" s="248">
        <v>31</v>
      </c>
      <c r="C897" s="248" t="s">
        <v>2691</v>
      </c>
      <c r="D897" s="248" t="s">
        <v>2988</v>
      </c>
      <c r="E897" s="248" t="s">
        <v>3160</v>
      </c>
      <c r="F897" s="248" t="s">
        <v>2695</v>
      </c>
      <c r="G897" s="248" t="s">
        <v>2490</v>
      </c>
      <c r="H897" s="249" t="s">
        <v>3180</v>
      </c>
      <c r="I897" s="249" t="s">
        <v>2736</v>
      </c>
      <c r="J897" s="248" t="s">
        <v>2737</v>
      </c>
      <c r="K897" s="249" t="s">
        <v>3119</v>
      </c>
      <c r="L897" s="249" t="s">
        <v>2736</v>
      </c>
      <c r="M897" s="248" t="s">
        <v>2525</v>
      </c>
      <c r="N897" s="293"/>
      <c r="O897" s="293" t="str">
        <f>TablaPOA[[#This Row],[Cod_Sub_acción_especifica]]&amp;"_"&amp;TablaPOA[[#This Row],[Tipo de agente]]</f>
        <v>K31.2.20.1_Medios de transporte</v>
      </c>
      <c r="P897" s="250" t="s">
        <v>2918</v>
      </c>
      <c r="Q897" s="292" t="str">
        <f>TablaPOA[[#This Row],[Cod_Sub_acción_especifica]]&amp;"_"&amp;TablaPOA[[#This Row],[Cod_Tipo_agente]]</f>
        <v>K31.2.20.1_TA9</v>
      </c>
      <c r="R897" s="250" t="s">
        <v>2919</v>
      </c>
      <c r="S897" s="251" t="s">
        <v>2942</v>
      </c>
      <c r="T897" s="269" t="s">
        <v>2943</v>
      </c>
    </row>
    <row r="898" spans="1:20" ht="25.5" x14ac:dyDescent="0.25">
      <c r="A898" s="268" t="s">
        <v>2314</v>
      </c>
      <c r="B898" s="248">
        <v>31</v>
      </c>
      <c r="C898" s="248" t="s">
        <v>2691</v>
      </c>
      <c r="D898" s="248" t="s">
        <v>2988</v>
      </c>
      <c r="E898" s="248" t="s">
        <v>3160</v>
      </c>
      <c r="F898" s="248" t="s">
        <v>2695</v>
      </c>
      <c r="G898" s="248" t="s">
        <v>2490</v>
      </c>
      <c r="H898" s="249" t="s">
        <v>3180</v>
      </c>
      <c r="I898" s="249" t="s">
        <v>2736</v>
      </c>
      <c r="J898" s="248" t="s">
        <v>2737</v>
      </c>
      <c r="K898" s="249" t="s">
        <v>3119</v>
      </c>
      <c r="L898" s="249" t="s">
        <v>2736</v>
      </c>
      <c r="M898" s="248" t="s">
        <v>2525</v>
      </c>
      <c r="N898" s="293"/>
      <c r="O898" s="293" t="str">
        <f>TablaPOA[[#This Row],[Cod_Sub_acción_especifica]]&amp;"_"&amp;TablaPOA[[#This Row],[Tipo de agente]]</f>
        <v>K31.2.20.1_Medios de transporte</v>
      </c>
      <c r="P898" s="250" t="s">
        <v>2918</v>
      </c>
      <c r="Q898" s="292" t="str">
        <f>TablaPOA[[#This Row],[Cod_Sub_acción_especifica]]&amp;"_"&amp;TablaPOA[[#This Row],[Cod_Tipo_agente]]</f>
        <v>K31.2.20.1_TA9</v>
      </c>
      <c r="R898" s="250" t="s">
        <v>2919</v>
      </c>
      <c r="S898" s="251" t="s">
        <v>2944</v>
      </c>
      <c r="T898" s="269" t="s">
        <v>2945</v>
      </c>
    </row>
    <row r="899" spans="1:20" ht="25.5" x14ac:dyDescent="0.25">
      <c r="A899" s="268" t="s">
        <v>2314</v>
      </c>
      <c r="B899" s="248">
        <v>31</v>
      </c>
      <c r="C899" s="248" t="s">
        <v>2691</v>
      </c>
      <c r="D899" s="248" t="s">
        <v>2988</v>
      </c>
      <c r="E899" s="248" t="s">
        <v>3160</v>
      </c>
      <c r="F899" s="248" t="s">
        <v>2695</v>
      </c>
      <c r="G899" s="248" t="s">
        <v>2490</v>
      </c>
      <c r="H899" s="249" t="s">
        <v>3180</v>
      </c>
      <c r="I899" s="249" t="s">
        <v>2736</v>
      </c>
      <c r="J899" s="248" t="s">
        <v>2737</v>
      </c>
      <c r="K899" s="249" t="s">
        <v>3119</v>
      </c>
      <c r="L899" s="249" t="s">
        <v>2736</v>
      </c>
      <c r="M899" s="248" t="s">
        <v>2525</v>
      </c>
      <c r="N899" s="293"/>
      <c r="O899" s="293" t="str">
        <f>TablaPOA[[#This Row],[Cod_Sub_acción_especifica]]&amp;"_"&amp;TablaPOA[[#This Row],[Tipo de agente]]</f>
        <v>K31.2.20.1_Medios de transporte</v>
      </c>
      <c r="P899" s="250" t="s">
        <v>2918</v>
      </c>
      <c r="Q899" s="292" t="str">
        <f>TablaPOA[[#This Row],[Cod_Sub_acción_especifica]]&amp;"_"&amp;TablaPOA[[#This Row],[Cod_Tipo_agente]]</f>
        <v>K31.2.20.1_TA9</v>
      </c>
      <c r="R899" s="250" t="s">
        <v>2919</v>
      </c>
      <c r="S899" s="251" t="s">
        <v>2946</v>
      </c>
      <c r="T899" s="269" t="s">
        <v>2947</v>
      </c>
    </row>
    <row r="900" spans="1:20" ht="25.5" x14ac:dyDescent="0.25">
      <c r="A900" s="268" t="s">
        <v>2314</v>
      </c>
      <c r="B900" s="248">
        <v>31</v>
      </c>
      <c r="C900" s="248" t="s">
        <v>2691</v>
      </c>
      <c r="D900" s="248" t="s">
        <v>2988</v>
      </c>
      <c r="E900" s="248" t="s">
        <v>3160</v>
      </c>
      <c r="F900" s="248" t="s">
        <v>2695</v>
      </c>
      <c r="G900" s="248" t="s">
        <v>2490</v>
      </c>
      <c r="H900" s="249" t="s">
        <v>3180</v>
      </c>
      <c r="I900" s="249" t="s">
        <v>2736</v>
      </c>
      <c r="J900" s="248" t="s">
        <v>2737</v>
      </c>
      <c r="K900" s="249" t="s">
        <v>3119</v>
      </c>
      <c r="L900" s="249" t="s">
        <v>2736</v>
      </c>
      <c r="M900" s="248" t="s">
        <v>2525</v>
      </c>
      <c r="N900" s="293"/>
      <c r="O900" s="293" t="str">
        <f>TablaPOA[[#This Row],[Cod_Sub_acción_especifica]]&amp;"_"&amp;TablaPOA[[#This Row],[Tipo de agente]]</f>
        <v>K31.2.20.1_Medios de transporte</v>
      </c>
      <c r="P900" s="250" t="s">
        <v>2918</v>
      </c>
      <c r="Q900" s="292" t="str">
        <f>TablaPOA[[#This Row],[Cod_Sub_acción_especifica]]&amp;"_"&amp;TablaPOA[[#This Row],[Cod_Tipo_agente]]</f>
        <v>K31.2.20.1_TA9</v>
      </c>
      <c r="R900" s="250" t="s">
        <v>2919</v>
      </c>
      <c r="S900" s="251" t="s">
        <v>2948</v>
      </c>
      <c r="T900" s="269" t="s">
        <v>2949</v>
      </c>
    </row>
    <row r="901" spans="1:20" ht="25.5" x14ac:dyDescent="0.25">
      <c r="A901" s="219" t="s">
        <v>2314</v>
      </c>
      <c r="B901" s="227">
        <v>31</v>
      </c>
      <c r="C901" s="227" t="s">
        <v>2691</v>
      </c>
      <c r="D901" s="227" t="s">
        <v>2988</v>
      </c>
      <c r="E901" s="227" t="s">
        <v>3160</v>
      </c>
      <c r="F901" s="227" t="s">
        <v>2695</v>
      </c>
      <c r="G901" s="227" t="s">
        <v>2490</v>
      </c>
      <c r="H901" s="253" t="s">
        <v>3180</v>
      </c>
      <c r="I901" s="253" t="s">
        <v>2736</v>
      </c>
      <c r="J901" s="227" t="s">
        <v>2737</v>
      </c>
      <c r="K901" s="262" t="s">
        <v>3120</v>
      </c>
      <c r="L901" s="262" t="s">
        <v>2767</v>
      </c>
      <c r="M901" s="259" t="s">
        <v>2789</v>
      </c>
      <c r="N901" s="299" t="s">
        <v>2919</v>
      </c>
      <c r="O901" s="292" t="str">
        <f>TablaPOA[[#This Row],[Cod_Sub_acción_especifica]]&amp;"_"&amp;TablaPOA[[#This Row],[Tipo de agente]]</f>
        <v>K31.2.20.2_Medios de transporte</v>
      </c>
      <c r="P901" s="254" t="s">
        <v>2918</v>
      </c>
      <c r="Q901" s="292" t="str">
        <f>TablaPOA[[#This Row],[Cod_Sub_acción_especifica]]&amp;"_"&amp;TablaPOA[[#This Row],[Cod_Tipo_agente]]</f>
        <v>K31.2.20.2_TA9</v>
      </c>
      <c r="R901" s="254" t="s">
        <v>2919</v>
      </c>
      <c r="S901" s="255" t="s">
        <v>2920</v>
      </c>
      <c r="T901" s="271" t="s">
        <v>2921</v>
      </c>
    </row>
    <row r="902" spans="1:20" ht="25.5" x14ac:dyDescent="0.25">
      <c r="A902" s="219" t="s">
        <v>2314</v>
      </c>
      <c r="B902" s="227">
        <v>31</v>
      </c>
      <c r="C902" s="227" t="s">
        <v>2691</v>
      </c>
      <c r="D902" s="227" t="s">
        <v>2988</v>
      </c>
      <c r="E902" s="227" t="s">
        <v>3160</v>
      </c>
      <c r="F902" s="227" t="s">
        <v>2695</v>
      </c>
      <c r="G902" s="227" t="s">
        <v>2490</v>
      </c>
      <c r="H902" s="253" t="s">
        <v>3180</v>
      </c>
      <c r="I902" s="253" t="s">
        <v>2736</v>
      </c>
      <c r="J902" s="227" t="s">
        <v>2737</v>
      </c>
      <c r="K902" s="262" t="s">
        <v>3120</v>
      </c>
      <c r="L902" s="262" t="s">
        <v>2767</v>
      </c>
      <c r="M902" s="259" t="s">
        <v>2789</v>
      </c>
      <c r="N902" s="295"/>
      <c r="O902" s="295" t="str">
        <f>TablaPOA[[#This Row],[Cod_Sub_acción_especifica]]&amp;"_"&amp;TablaPOA[[#This Row],[Tipo de agente]]</f>
        <v>K31.2.20.2_Medios de transporte</v>
      </c>
      <c r="P902" s="254" t="s">
        <v>2918</v>
      </c>
      <c r="Q902" s="292" t="str">
        <f>TablaPOA[[#This Row],[Cod_Sub_acción_especifica]]&amp;"_"&amp;TablaPOA[[#This Row],[Cod_Tipo_agente]]</f>
        <v>K31.2.20.2_TA9</v>
      </c>
      <c r="R902" s="254" t="s">
        <v>2919</v>
      </c>
      <c r="S902" s="255" t="s">
        <v>2922</v>
      </c>
      <c r="T902" s="271" t="s">
        <v>2923</v>
      </c>
    </row>
    <row r="903" spans="1:20" ht="25.5" x14ac:dyDescent="0.25">
      <c r="A903" s="219" t="s">
        <v>2314</v>
      </c>
      <c r="B903" s="227">
        <v>31</v>
      </c>
      <c r="C903" s="227" t="s">
        <v>2691</v>
      </c>
      <c r="D903" s="227" t="s">
        <v>2988</v>
      </c>
      <c r="E903" s="227" t="s">
        <v>3160</v>
      </c>
      <c r="F903" s="227" t="s">
        <v>2695</v>
      </c>
      <c r="G903" s="227" t="s">
        <v>2490</v>
      </c>
      <c r="H903" s="253" t="s">
        <v>3180</v>
      </c>
      <c r="I903" s="253" t="s">
        <v>2736</v>
      </c>
      <c r="J903" s="227" t="s">
        <v>2737</v>
      </c>
      <c r="K903" s="262" t="s">
        <v>3120</v>
      </c>
      <c r="L903" s="262" t="s">
        <v>2767</v>
      </c>
      <c r="M903" s="259" t="s">
        <v>2789</v>
      </c>
      <c r="N903" s="295"/>
      <c r="O903" s="295" t="str">
        <f>TablaPOA[[#This Row],[Cod_Sub_acción_especifica]]&amp;"_"&amp;TablaPOA[[#This Row],[Tipo de agente]]</f>
        <v>K31.2.20.2_Medios de transporte</v>
      </c>
      <c r="P903" s="254" t="s">
        <v>2918</v>
      </c>
      <c r="Q903" s="292" t="str">
        <f>TablaPOA[[#This Row],[Cod_Sub_acción_especifica]]&amp;"_"&amp;TablaPOA[[#This Row],[Cod_Tipo_agente]]</f>
        <v>K31.2.20.2_TA9</v>
      </c>
      <c r="R903" s="254" t="s">
        <v>2919</v>
      </c>
      <c r="S903" s="255" t="s">
        <v>2924</v>
      </c>
      <c r="T903" s="271" t="s">
        <v>2925</v>
      </c>
    </row>
    <row r="904" spans="1:20" ht="25.5" x14ac:dyDescent="0.25">
      <c r="A904" s="219" t="s">
        <v>2314</v>
      </c>
      <c r="B904" s="227">
        <v>31</v>
      </c>
      <c r="C904" s="227" t="s">
        <v>2691</v>
      </c>
      <c r="D904" s="227" t="s">
        <v>2988</v>
      </c>
      <c r="E904" s="227" t="s">
        <v>3160</v>
      </c>
      <c r="F904" s="227" t="s">
        <v>2695</v>
      </c>
      <c r="G904" s="227" t="s">
        <v>2490</v>
      </c>
      <c r="H904" s="253" t="s">
        <v>3180</v>
      </c>
      <c r="I904" s="253" t="s">
        <v>2736</v>
      </c>
      <c r="J904" s="227" t="s">
        <v>2737</v>
      </c>
      <c r="K904" s="262" t="s">
        <v>3120</v>
      </c>
      <c r="L904" s="262" t="s">
        <v>2767</v>
      </c>
      <c r="M904" s="259" t="s">
        <v>2789</v>
      </c>
      <c r="N904" s="295"/>
      <c r="O904" s="295" t="str">
        <f>TablaPOA[[#This Row],[Cod_Sub_acción_especifica]]&amp;"_"&amp;TablaPOA[[#This Row],[Tipo de agente]]</f>
        <v>K31.2.20.2_Medios de transporte</v>
      </c>
      <c r="P904" s="254" t="s">
        <v>2918</v>
      </c>
      <c r="Q904" s="292" t="str">
        <f>TablaPOA[[#This Row],[Cod_Sub_acción_especifica]]&amp;"_"&amp;TablaPOA[[#This Row],[Cod_Tipo_agente]]</f>
        <v>K31.2.20.2_TA9</v>
      </c>
      <c r="R904" s="254" t="s">
        <v>2919</v>
      </c>
      <c r="S904" s="255" t="s">
        <v>2926</v>
      </c>
      <c r="T904" s="271" t="s">
        <v>2927</v>
      </c>
    </row>
    <row r="905" spans="1:20" ht="25.5" x14ac:dyDescent="0.25">
      <c r="A905" s="219" t="s">
        <v>2314</v>
      </c>
      <c r="B905" s="227">
        <v>31</v>
      </c>
      <c r="C905" s="227" t="s">
        <v>2691</v>
      </c>
      <c r="D905" s="227" t="s">
        <v>2988</v>
      </c>
      <c r="E905" s="227" t="s">
        <v>3160</v>
      </c>
      <c r="F905" s="227" t="s">
        <v>2695</v>
      </c>
      <c r="G905" s="227" t="s">
        <v>2490</v>
      </c>
      <c r="H905" s="253" t="s">
        <v>3180</v>
      </c>
      <c r="I905" s="253" t="s">
        <v>2736</v>
      </c>
      <c r="J905" s="227" t="s">
        <v>2737</v>
      </c>
      <c r="K905" s="262" t="s">
        <v>3120</v>
      </c>
      <c r="L905" s="262" t="s">
        <v>2767</v>
      </c>
      <c r="M905" s="259" t="s">
        <v>2789</v>
      </c>
      <c r="N905" s="295"/>
      <c r="O905" s="295" t="str">
        <f>TablaPOA[[#This Row],[Cod_Sub_acción_especifica]]&amp;"_"&amp;TablaPOA[[#This Row],[Tipo de agente]]</f>
        <v>K31.2.20.2_Medios de transporte</v>
      </c>
      <c r="P905" s="254" t="s">
        <v>2918</v>
      </c>
      <c r="Q905" s="292" t="str">
        <f>TablaPOA[[#This Row],[Cod_Sub_acción_especifica]]&amp;"_"&amp;TablaPOA[[#This Row],[Cod_Tipo_agente]]</f>
        <v>K31.2.20.2_TA9</v>
      </c>
      <c r="R905" s="254" t="s">
        <v>2919</v>
      </c>
      <c r="S905" s="255" t="s">
        <v>2928</v>
      </c>
      <c r="T905" s="271" t="s">
        <v>2929</v>
      </c>
    </row>
    <row r="906" spans="1:20" ht="25.5" x14ac:dyDescent="0.25">
      <c r="A906" s="219" t="s">
        <v>2314</v>
      </c>
      <c r="B906" s="227">
        <v>31</v>
      </c>
      <c r="C906" s="227" t="s">
        <v>2691</v>
      </c>
      <c r="D906" s="227" t="s">
        <v>2988</v>
      </c>
      <c r="E906" s="227" t="s">
        <v>3160</v>
      </c>
      <c r="F906" s="227" t="s">
        <v>2695</v>
      </c>
      <c r="G906" s="227" t="s">
        <v>2490</v>
      </c>
      <c r="H906" s="253" t="s">
        <v>3180</v>
      </c>
      <c r="I906" s="253" t="s">
        <v>2736</v>
      </c>
      <c r="J906" s="227" t="s">
        <v>2737</v>
      </c>
      <c r="K906" s="262" t="s">
        <v>3120</v>
      </c>
      <c r="L906" s="262" t="s">
        <v>2767</v>
      </c>
      <c r="M906" s="259" t="s">
        <v>2789</v>
      </c>
      <c r="N906" s="295"/>
      <c r="O906" s="295" t="str">
        <f>TablaPOA[[#This Row],[Cod_Sub_acción_especifica]]&amp;"_"&amp;TablaPOA[[#This Row],[Tipo de agente]]</f>
        <v>K31.2.20.2_Medios de transporte</v>
      </c>
      <c r="P906" s="254" t="s">
        <v>2918</v>
      </c>
      <c r="Q906" s="292" t="str">
        <f>TablaPOA[[#This Row],[Cod_Sub_acción_especifica]]&amp;"_"&amp;TablaPOA[[#This Row],[Cod_Tipo_agente]]</f>
        <v>K31.2.20.2_TA9</v>
      </c>
      <c r="R906" s="254" t="s">
        <v>2919</v>
      </c>
      <c r="S906" s="255" t="s">
        <v>2930</v>
      </c>
      <c r="T906" s="271" t="s">
        <v>2931</v>
      </c>
    </row>
    <row r="907" spans="1:20" ht="25.5" x14ac:dyDescent="0.25">
      <c r="A907" s="219" t="s">
        <v>2314</v>
      </c>
      <c r="B907" s="227">
        <v>31</v>
      </c>
      <c r="C907" s="227" t="s">
        <v>2691</v>
      </c>
      <c r="D907" s="227" t="s">
        <v>2988</v>
      </c>
      <c r="E907" s="227" t="s">
        <v>3160</v>
      </c>
      <c r="F907" s="227" t="s">
        <v>2695</v>
      </c>
      <c r="G907" s="227" t="s">
        <v>2490</v>
      </c>
      <c r="H907" s="253" t="s">
        <v>3180</v>
      </c>
      <c r="I907" s="253" t="s">
        <v>2736</v>
      </c>
      <c r="J907" s="227" t="s">
        <v>2737</v>
      </c>
      <c r="K907" s="262" t="s">
        <v>3120</v>
      </c>
      <c r="L907" s="262" t="s">
        <v>2767</v>
      </c>
      <c r="M907" s="259" t="s">
        <v>2789</v>
      </c>
      <c r="N907" s="295"/>
      <c r="O907" s="295" t="str">
        <f>TablaPOA[[#This Row],[Cod_Sub_acción_especifica]]&amp;"_"&amp;TablaPOA[[#This Row],[Tipo de agente]]</f>
        <v>K31.2.20.2_Medios de transporte</v>
      </c>
      <c r="P907" s="254" t="s">
        <v>2918</v>
      </c>
      <c r="Q907" s="292" t="str">
        <f>TablaPOA[[#This Row],[Cod_Sub_acción_especifica]]&amp;"_"&amp;TablaPOA[[#This Row],[Cod_Tipo_agente]]</f>
        <v>K31.2.20.2_TA9</v>
      </c>
      <c r="R907" s="254" t="s">
        <v>2919</v>
      </c>
      <c r="S907" s="255" t="s">
        <v>2932</v>
      </c>
      <c r="T907" s="271" t="s">
        <v>2933</v>
      </c>
    </row>
    <row r="908" spans="1:20" ht="25.5" x14ac:dyDescent="0.25">
      <c r="A908" s="219" t="s">
        <v>2314</v>
      </c>
      <c r="B908" s="227">
        <v>31</v>
      </c>
      <c r="C908" s="227" t="s">
        <v>2691</v>
      </c>
      <c r="D908" s="227" t="s">
        <v>2988</v>
      </c>
      <c r="E908" s="227" t="s">
        <v>3160</v>
      </c>
      <c r="F908" s="227" t="s">
        <v>2695</v>
      </c>
      <c r="G908" s="227" t="s">
        <v>2490</v>
      </c>
      <c r="H908" s="253" t="s">
        <v>3180</v>
      </c>
      <c r="I908" s="253" t="s">
        <v>2736</v>
      </c>
      <c r="J908" s="227" t="s">
        <v>2737</v>
      </c>
      <c r="K908" s="262" t="s">
        <v>3120</v>
      </c>
      <c r="L908" s="262" t="s">
        <v>2767</v>
      </c>
      <c r="M908" s="259" t="s">
        <v>2789</v>
      </c>
      <c r="N908" s="295"/>
      <c r="O908" s="295" t="str">
        <f>TablaPOA[[#This Row],[Cod_Sub_acción_especifica]]&amp;"_"&amp;TablaPOA[[#This Row],[Tipo de agente]]</f>
        <v>K31.2.20.2_Medios de transporte</v>
      </c>
      <c r="P908" s="254" t="s">
        <v>2918</v>
      </c>
      <c r="Q908" s="292" t="str">
        <f>TablaPOA[[#This Row],[Cod_Sub_acción_especifica]]&amp;"_"&amp;TablaPOA[[#This Row],[Cod_Tipo_agente]]</f>
        <v>K31.2.20.2_TA9</v>
      </c>
      <c r="R908" s="254" t="s">
        <v>2919</v>
      </c>
      <c r="S908" s="255" t="s">
        <v>2934</v>
      </c>
      <c r="T908" s="271" t="s">
        <v>2935</v>
      </c>
    </row>
    <row r="909" spans="1:20" ht="25.5" x14ac:dyDescent="0.25">
      <c r="A909" s="219" t="s">
        <v>2314</v>
      </c>
      <c r="B909" s="227">
        <v>31</v>
      </c>
      <c r="C909" s="227" t="s">
        <v>2691</v>
      </c>
      <c r="D909" s="227" t="s">
        <v>2988</v>
      </c>
      <c r="E909" s="227" t="s">
        <v>3160</v>
      </c>
      <c r="F909" s="227" t="s">
        <v>2695</v>
      </c>
      <c r="G909" s="227" t="s">
        <v>2490</v>
      </c>
      <c r="H909" s="253" t="s">
        <v>3180</v>
      </c>
      <c r="I909" s="253" t="s">
        <v>2736</v>
      </c>
      <c r="J909" s="227" t="s">
        <v>2737</v>
      </c>
      <c r="K909" s="262" t="s">
        <v>3120</v>
      </c>
      <c r="L909" s="262" t="s">
        <v>2767</v>
      </c>
      <c r="M909" s="259" t="s">
        <v>2789</v>
      </c>
      <c r="N909" s="295"/>
      <c r="O909" s="295" t="str">
        <f>TablaPOA[[#This Row],[Cod_Sub_acción_especifica]]&amp;"_"&amp;TablaPOA[[#This Row],[Tipo de agente]]</f>
        <v>K31.2.20.2_Medios de transporte</v>
      </c>
      <c r="P909" s="254" t="s">
        <v>2918</v>
      </c>
      <c r="Q909" s="292" t="str">
        <f>TablaPOA[[#This Row],[Cod_Sub_acción_especifica]]&amp;"_"&amp;TablaPOA[[#This Row],[Cod_Tipo_agente]]</f>
        <v>K31.2.20.2_TA9</v>
      </c>
      <c r="R909" s="254" t="s">
        <v>2919</v>
      </c>
      <c r="S909" s="255" t="s">
        <v>2936</v>
      </c>
      <c r="T909" s="271" t="s">
        <v>2937</v>
      </c>
    </row>
    <row r="910" spans="1:20" ht="25.5" x14ac:dyDescent="0.25">
      <c r="A910" s="219" t="s">
        <v>2314</v>
      </c>
      <c r="B910" s="227">
        <v>31</v>
      </c>
      <c r="C910" s="227" t="s">
        <v>2691</v>
      </c>
      <c r="D910" s="227" t="s">
        <v>2988</v>
      </c>
      <c r="E910" s="227" t="s">
        <v>3160</v>
      </c>
      <c r="F910" s="227" t="s">
        <v>2695</v>
      </c>
      <c r="G910" s="227" t="s">
        <v>2490</v>
      </c>
      <c r="H910" s="253" t="s">
        <v>3180</v>
      </c>
      <c r="I910" s="253" t="s">
        <v>2736</v>
      </c>
      <c r="J910" s="227" t="s">
        <v>2737</v>
      </c>
      <c r="K910" s="262" t="s">
        <v>3120</v>
      </c>
      <c r="L910" s="262" t="s">
        <v>2767</v>
      </c>
      <c r="M910" s="259" t="s">
        <v>2789</v>
      </c>
      <c r="N910" s="295"/>
      <c r="O910" s="295" t="str">
        <f>TablaPOA[[#This Row],[Cod_Sub_acción_especifica]]&amp;"_"&amp;TablaPOA[[#This Row],[Tipo de agente]]</f>
        <v>K31.2.20.2_Medios de transporte</v>
      </c>
      <c r="P910" s="254" t="s">
        <v>2918</v>
      </c>
      <c r="Q910" s="292" t="str">
        <f>TablaPOA[[#This Row],[Cod_Sub_acción_especifica]]&amp;"_"&amp;TablaPOA[[#This Row],[Cod_Tipo_agente]]</f>
        <v>K31.2.20.2_TA9</v>
      </c>
      <c r="R910" s="254" t="s">
        <v>2919</v>
      </c>
      <c r="S910" s="255" t="s">
        <v>2938</v>
      </c>
      <c r="T910" s="271" t="s">
        <v>2939</v>
      </c>
    </row>
    <row r="911" spans="1:20" ht="25.5" x14ac:dyDescent="0.25">
      <c r="A911" s="219" t="s">
        <v>2314</v>
      </c>
      <c r="B911" s="227">
        <v>31</v>
      </c>
      <c r="C911" s="227" t="s">
        <v>2691</v>
      </c>
      <c r="D911" s="227" t="s">
        <v>2988</v>
      </c>
      <c r="E911" s="227" t="s">
        <v>3160</v>
      </c>
      <c r="F911" s="227" t="s">
        <v>2695</v>
      </c>
      <c r="G911" s="227" t="s">
        <v>2490</v>
      </c>
      <c r="H911" s="253" t="s">
        <v>3180</v>
      </c>
      <c r="I911" s="253" t="s">
        <v>2736</v>
      </c>
      <c r="J911" s="227" t="s">
        <v>2737</v>
      </c>
      <c r="K911" s="262" t="s">
        <v>3120</v>
      </c>
      <c r="L911" s="262" t="s">
        <v>2767</v>
      </c>
      <c r="M911" s="259" t="s">
        <v>2789</v>
      </c>
      <c r="N911" s="295"/>
      <c r="O911" s="295" t="str">
        <f>TablaPOA[[#This Row],[Cod_Sub_acción_especifica]]&amp;"_"&amp;TablaPOA[[#This Row],[Tipo de agente]]</f>
        <v>K31.2.20.2_Medios de transporte</v>
      </c>
      <c r="P911" s="254" t="s">
        <v>2918</v>
      </c>
      <c r="Q911" s="292" t="str">
        <f>TablaPOA[[#This Row],[Cod_Sub_acción_especifica]]&amp;"_"&amp;TablaPOA[[#This Row],[Cod_Tipo_agente]]</f>
        <v>K31.2.20.2_TA9</v>
      </c>
      <c r="R911" s="254" t="s">
        <v>2919</v>
      </c>
      <c r="S911" s="255" t="s">
        <v>2940</v>
      </c>
      <c r="T911" s="271" t="s">
        <v>2941</v>
      </c>
    </row>
    <row r="912" spans="1:20" ht="25.5" x14ac:dyDescent="0.25">
      <c r="A912" s="219" t="s">
        <v>2314</v>
      </c>
      <c r="B912" s="227">
        <v>31</v>
      </c>
      <c r="C912" s="227" t="s">
        <v>2691</v>
      </c>
      <c r="D912" s="227" t="s">
        <v>2988</v>
      </c>
      <c r="E912" s="227" t="s">
        <v>3160</v>
      </c>
      <c r="F912" s="227" t="s">
        <v>2695</v>
      </c>
      <c r="G912" s="227" t="s">
        <v>2490</v>
      </c>
      <c r="H912" s="253" t="s">
        <v>3180</v>
      </c>
      <c r="I912" s="253" t="s">
        <v>2736</v>
      </c>
      <c r="J912" s="227" t="s">
        <v>2737</v>
      </c>
      <c r="K912" s="262" t="s">
        <v>3120</v>
      </c>
      <c r="L912" s="262" t="s">
        <v>2767</v>
      </c>
      <c r="M912" s="259" t="s">
        <v>2789</v>
      </c>
      <c r="N912" s="295"/>
      <c r="O912" s="295" t="str">
        <f>TablaPOA[[#This Row],[Cod_Sub_acción_especifica]]&amp;"_"&amp;TablaPOA[[#This Row],[Tipo de agente]]</f>
        <v>K31.2.20.2_Medios de transporte</v>
      </c>
      <c r="P912" s="254" t="s">
        <v>2918</v>
      </c>
      <c r="Q912" s="292" t="str">
        <f>TablaPOA[[#This Row],[Cod_Sub_acción_especifica]]&amp;"_"&amp;TablaPOA[[#This Row],[Cod_Tipo_agente]]</f>
        <v>K31.2.20.2_TA9</v>
      </c>
      <c r="R912" s="254" t="s">
        <v>2919</v>
      </c>
      <c r="S912" s="255" t="s">
        <v>2942</v>
      </c>
      <c r="T912" s="271" t="s">
        <v>2943</v>
      </c>
    </row>
    <row r="913" spans="1:20" ht="25.5" x14ac:dyDescent="0.25">
      <c r="A913" s="219" t="s">
        <v>2314</v>
      </c>
      <c r="B913" s="227">
        <v>31</v>
      </c>
      <c r="C913" s="227" t="s">
        <v>2691</v>
      </c>
      <c r="D913" s="227" t="s">
        <v>2988</v>
      </c>
      <c r="E913" s="227" t="s">
        <v>3160</v>
      </c>
      <c r="F913" s="227" t="s">
        <v>2695</v>
      </c>
      <c r="G913" s="227" t="s">
        <v>2490</v>
      </c>
      <c r="H913" s="253" t="s">
        <v>3180</v>
      </c>
      <c r="I913" s="253" t="s">
        <v>2736</v>
      </c>
      <c r="J913" s="227" t="s">
        <v>2737</v>
      </c>
      <c r="K913" s="262" t="s">
        <v>3120</v>
      </c>
      <c r="L913" s="262" t="s">
        <v>2767</v>
      </c>
      <c r="M913" s="259" t="s">
        <v>2789</v>
      </c>
      <c r="N913" s="295"/>
      <c r="O913" s="295" t="str">
        <f>TablaPOA[[#This Row],[Cod_Sub_acción_especifica]]&amp;"_"&amp;TablaPOA[[#This Row],[Tipo de agente]]</f>
        <v>K31.2.20.2_Medios de transporte</v>
      </c>
      <c r="P913" s="254" t="s">
        <v>2918</v>
      </c>
      <c r="Q913" s="292" t="str">
        <f>TablaPOA[[#This Row],[Cod_Sub_acción_especifica]]&amp;"_"&amp;TablaPOA[[#This Row],[Cod_Tipo_agente]]</f>
        <v>K31.2.20.2_TA9</v>
      </c>
      <c r="R913" s="254" t="s">
        <v>2919</v>
      </c>
      <c r="S913" s="255" t="s">
        <v>2944</v>
      </c>
      <c r="T913" s="271" t="s">
        <v>2945</v>
      </c>
    </row>
    <row r="914" spans="1:20" ht="25.5" x14ac:dyDescent="0.25">
      <c r="A914" s="219" t="s">
        <v>2314</v>
      </c>
      <c r="B914" s="227">
        <v>31</v>
      </c>
      <c r="C914" s="227" t="s">
        <v>2691</v>
      </c>
      <c r="D914" s="227" t="s">
        <v>2988</v>
      </c>
      <c r="E914" s="227" t="s">
        <v>3160</v>
      </c>
      <c r="F914" s="227" t="s">
        <v>2695</v>
      </c>
      <c r="G914" s="227" t="s">
        <v>2490</v>
      </c>
      <c r="H914" s="253" t="s">
        <v>3180</v>
      </c>
      <c r="I914" s="253" t="s">
        <v>2736</v>
      </c>
      <c r="J914" s="227" t="s">
        <v>2737</v>
      </c>
      <c r="K914" s="262" t="s">
        <v>3120</v>
      </c>
      <c r="L914" s="262" t="s">
        <v>2767</v>
      </c>
      <c r="M914" s="259" t="s">
        <v>2789</v>
      </c>
      <c r="N914" s="295"/>
      <c r="O914" s="295" t="str">
        <f>TablaPOA[[#This Row],[Cod_Sub_acción_especifica]]&amp;"_"&amp;TablaPOA[[#This Row],[Tipo de agente]]</f>
        <v>K31.2.20.2_Medios de transporte</v>
      </c>
      <c r="P914" s="254" t="s">
        <v>2918</v>
      </c>
      <c r="Q914" s="292" t="str">
        <f>TablaPOA[[#This Row],[Cod_Sub_acción_especifica]]&amp;"_"&amp;TablaPOA[[#This Row],[Cod_Tipo_agente]]</f>
        <v>K31.2.20.2_TA9</v>
      </c>
      <c r="R914" s="254" t="s">
        <v>2919</v>
      </c>
      <c r="S914" s="255" t="s">
        <v>2946</v>
      </c>
      <c r="T914" s="271" t="s">
        <v>2947</v>
      </c>
    </row>
    <row r="915" spans="1:20" ht="25.5" x14ac:dyDescent="0.25">
      <c r="A915" s="219" t="s">
        <v>2314</v>
      </c>
      <c r="B915" s="227">
        <v>31</v>
      </c>
      <c r="C915" s="227" t="s">
        <v>2691</v>
      </c>
      <c r="D915" s="227" t="s">
        <v>2988</v>
      </c>
      <c r="E915" s="227" t="s">
        <v>3160</v>
      </c>
      <c r="F915" s="227" t="s">
        <v>2695</v>
      </c>
      <c r="G915" s="227" t="s">
        <v>2490</v>
      </c>
      <c r="H915" s="253" t="s">
        <v>3180</v>
      </c>
      <c r="I915" s="253" t="s">
        <v>2736</v>
      </c>
      <c r="J915" s="227" t="s">
        <v>2737</v>
      </c>
      <c r="K915" s="262" t="s">
        <v>3120</v>
      </c>
      <c r="L915" s="262" t="s">
        <v>2767</v>
      </c>
      <c r="M915" s="259" t="s">
        <v>2789</v>
      </c>
      <c r="N915" s="295"/>
      <c r="O915" s="295" t="str">
        <f>TablaPOA[[#This Row],[Cod_Sub_acción_especifica]]&amp;"_"&amp;TablaPOA[[#This Row],[Tipo de agente]]</f>
        <v>K31.2.20.2_Medios de transporte</v>
      </c>
      <c r="P915" s="254" t="s">
        <v>2918</v>
      </c>
      <c r="Q915" s="292" t="str">
        <f>TablaPOA[[#This Row],[Cod_Sub_acción_especifica]]&amp;"_"&amp;TablaPOA[[#This Row],[Cod_Tipo_agente]]</f>
        <v>K31.2.20.2_TA9</v>
      </c>
      <c r="R915" s="254" t="s">
        <v>2919</v>
      </c>
      <c r="S915" s="255" t="s">
        <v>2948</v>
      </c>
      <c r="T915" s="271" t="s">
        <v>2949</v>
      </c>
    </row>
    <row r="916" spans="1:20" ht="25.5" x14ac:dyDescent="0.25">
      <c r="A916" s="268" t="s">
        <v>2314</v>
      </c>
      <c r="B916" s="248">
        <v>31</v>
      </c>
      <c r="C916" s="248" t="s">
        <v>2691</v>
      </c>
      <c r="D916" s="248" t="s">
        <v>2988</v>
      </c>
      <c r="E916" s="248" t="s">
        <v>3181</v>
      </c>
      <c r="F916" s="248" t="s">
        <v>2696</v>
      </c>
      <c r="G916" s="248" t="s">
        <v>2488</v>
      </c>
      <c r="H916" s="249" t="s">
        <v>3182</v>
      </c>
      <c r="I916" s="249" t="s">
        <v>2738</v>
      </c>
      <c r="J916" s="248" t="s">
        <v>2478</v>
      </c>
      <c r="K916" s="249" t="s">
        <v>3121</v>
      </c>
      <c r="L916" s="249" t="s">
        <v>2738</v>
      </c>
      <c r="M916" s="248" t="s">
        <v>3023</v>
      </c>
      <c r="N916" s="299" t="s">
        <v>2883</v>
      </c>
      <c r="O916" s="292" t="str">
        <f>TablaPOA[[#This Row],[Cod_Sub_acción_especifica]]&amp;"_"&amp;TablaPOA[[#This Row],[Tipo de agente]]</f>
        <v>K31.3.1.1_EVP combustibles de uso automotor</v>
      </c>
      <c r="P916" s="250" t="s">
        <v>2882</v>
      </c>
      <c r="Q916" s="292" t="str">
        <f>TablaPOA[[#This Row],[Cod_Sub_acción_especifica]]&amp;"_"&amp;TablaPOA[[#This Row],[Cod_Tipo_agente]]</f>
        <v>K31.3.1.1_TA6</v>
      </c>
      <c r="R916" s="250" t="s">
        <v>2883</v>
      </c>
      <c r="S916" s="251" t="s">
        <v>2884</v>
      </c>
      <c r="T916" s="269" t="s">
        <v>2885</v>
      </c>
    </row>
    <row r="917" spans="1:20" ht="25.5" x14ac:dyDescent="0.25">
      <c r="A917" s="268" t="s">
        <v>2314</v>
      </c>
      <c r="B917" s="248">
        <v>31</v>
      </c>
      <c r="C917" s="248" t="s">
        <v>2691</v>
      </c>
      <c r="D917" s="248" t="s">
        <v>2988</v>
      </c>
      <c r="E917" s="248" t="s">
        <v>3181</v>
      </c>
      <c r="F917" s="248" t="s">
        <v>2696</v>
      </c>
      <c r="G917" s="248" t="s">
        <v>2488</v>
      </c>
      <c r="H917" s="249" t="s">
        <v>3182</v>
      </c>
      <c r="I917" s="249" t="s">
        <v>2738</v>
      </c>
      <c r="J917" s="248" t="s">
        <v>2478</v>
      </c>
      <c r="K917" s="249" t="s">
        <v>3121</v>
      </c>
      <c r="L917" s="249" t="s">
        <v>2738</v>
      </c>
      <c r="M917" s="248" t="s">
        <v>3023</v>
      </c>
      <c r="N917" s="293"/>
      <c r="O917" s="293" t="str">
        <f>TablaPOA[[#This Row],[Cod_Sub_acción_especifica]]&amp;"_"&amp;TablaPOA[[#This Row],[Tipo de agente]]</f>
        <v>K31.3.1.1_EVP combustibles de uso automotor</v>
      </c>
      <c r="P917" s="250" t="s">
        <v>2882</v>
      </c>
      <c r="Q917" s="292" t="str">
        <f>TablaPOA[[#This Row],[Cod_Sub_acción_especifica]]&amp;"_"&amp;TablaPOA[[#This Row],[Cod_Tipo_agente]]</f>
        <v>K31.3.1.1_TA6</v>
      </c>
      <c r="R917" s="250" t="s">
        <v>2883</v>
      </c>
      <c r="S917" s="251" t="s">
        <v>2886</v>
      </c>
      <c r="T917" s="269" t="s">
        <v>2887</v>
      </c>
    </row>
    <row r="918" spans="1:20" ht="25.5" x14ac:dyDescent="0.25">
      <c r="A918" s="268" t="s">
        <v>2314</v>
      </c>
      <c r="B918" s="248">
        <v>31</v>
      </c>
      <c r="C918" s="248" t="s">
        <v>2691</v>
      </c>
      <c r="D918" s="248" t="s">
        <v>2988</v>
      </c>
      <c r="E918" s="248" t="s">
        <v>3181</v>
      </c>
      <c r="F918" s="248" t="s">
        <v>2696</v>
      </c>
      <c r="G918" s="248" t="s">
        <v>2488</v>
      </c>
      <c r="H918" s="249" t="s">
        <v>3182</v>
      </c>
      <c r="I918" s="249" t="s">
        <v>2738</v>
      </c>
      <c r="J918" s="248" t="s">
        <v>2478</v>
      </c>
      <c r="K918" s="249" t="s">
        <v>3121</v>
      </c>
      <c r="L918" s="249" t="s">
        <v>2738</v>
      </c>
      <c r="M918" s="248" t="s">
        <v>3023</v>
      </c>
      <c r="N918" s="293"/>
      <c r="O918" s="293" t="str">
        <f>TablaPOA[[#This Row],[Cod_Sub_acción_especifica]]&amp;"_"&amp;TablaPOA[[#This Row],[Tipo de agente]]</f>
        <v>K31.3.1.1_EVP combustibles de uso automotor</v>
      </c>
      <c r="P918" s="250" t="s">
        <v>2882</v>
      </c>
      <c r="Q918" s="292" t="str">
        <f>TablaPOA[[#This Row],[Cod_Sub_acción_especifica]]&amp;"_"&amp;TablaPOA[[#This Row],[Cod_Tipo_agente]]</f>
        <v>K31.3.1.1_TA6</v>
      </c>
      <c r="R918" s="250" t="s">
        <v>2883</v>
      </c>
      <c r="S918" s="251" t="s">
        <v>2888</v>
      </c>
      <c r="T918" s="269" t="s">
        <v>2889</v>
      </c>
    </row>
    <row r="919" spans="1:20" ht="25.5" x14ac:dyDescent="0.25">
      <c r="A919" s="268" t="s">
        <v>2314</v>
      </c>
      <c r="B919" s="248">
        <v>31</v>
      </c>
      <c r="C919" s="248" t="s">
        <v>2691</v>
      </c>
      <c r="D919" s="248" t="s">
        <v>2988</v>
      </c>
      <c r="E919" s="248" t="s">
        <v>3181</v>
      </c>
      <c r="F919" s="248" t="s">
        <v>2696</v>
      </c>
      <c r="G919" s="248" t="s">
        <v>2488</v>
      </c>
      <c r="H919" s="249" t="s">
        <v>3182</v>
      </c>
      <c r="I919" s="249" t="s">
        <v>2738</v>
      </c>
      <c r="J919" s="248" t="s">
        <v>2478</v>
      </c>
      <c r="K919" s="249" t="s">
        <v>3121</v>
      </c>
      <c r="L919" s="249" t="s">
        <v>2738</v>
      </c>
      <c r="M919" s="248" t="s">
        <v>3023</v>
      </c>
      <c r="N919" s="293"/>
      <c r="O919" s="293" t="str">
        <f>TablaPOA[[#This Row],[Cod_Sub_acción_especifica]]&amp;"_"&amp;TablaPOA[[#This Row],[Tipo de agente]]</f>
        <v>K31.3.1.1_EVP combustibles de uso automotor</v>
      </c>
      <c r="P919" s="250" t="s">
        <v>2882</v>
      </c>
      <c r="Q919" s="292" t="str">
        <f>TablaPOA[[#This Row],[Cod_Sub_acción_especifica]]&amp;"_"&amp;TablaPOA[[#This Row],[Cod_Tipo_agente]]</f>
        <v>K31.3.1.1_TA6</v>
      </c>
      <c r="R919" s="250" t="s">
        <v>2883</v>
      </c>
      <c r="S919" s="251" t="s">
        <v>2890</v>
      </c>
      <c r="T919" s="269" t="s">
        <v>2891</v>
      </c>
    </row>
    <row r="920" spans="1:20" ht="25.5" x14ac:dyDescent="0.25">
      <c r="A920" s="268" t="s">
        <v>2314</v>
      </c>
      <c r="B920" s="248">
        <v>31</v>
      </c>
      <c r="C920" s="248" t="s">
        <v>2691</v>
      </c>
      <c r="D920" s="248" t="s">
        <v>2988</v>
      </c>
      <c r="E920" s="248" t="s">
        <v>3181</v>
      </c>
      <c r="F920" s="248" t="s">
        <v>2696</v>
      </c>
      <c r="G920" s="248" t="s">
        <v>2488</v>
      </c>
      <c r="H920" s="249" t="s">
        <v>3182</v>
      </c>
      <c r="I920" s="249" t="s">
        <v>2738</v>
      </c>
      <c r="J920" s="248" t="s">
        <v>2478</v>
      </c>
      <c r="K920" s="249" t="s">
        <v>3121</v>
      </c>
      <c r="L920" s="249" t="s">
        <v>2738</v>
      </c>
      <c r="M920" s="248" t="s">
        <v>3023</v>
      </c>
      <c r="N920" s="293"/>
      <c r="O920" s="293" t="str">
        <f>TablaPOA[[#This Row],[Cod_Sub_acción_especifica]]&amp;"_"&amp;TablaPOA[[#This Row],[Tipo de agente]]</f>
        <v>K31.3.1.1_EVP combustibles de uso automotor</v>
      </c>
      <c r="P920" s="250" t="s">
        <v>2882</v>
      </c>
      <c r="Q920" s="292" t="str">
        <f>TablaPOA[[#This Row],[Cod_Sub_acción_especifica]]&amp;"_"&amp;TablaPOA[[#This Row],[Cod_Tipo_agente]]</f>
        <v>K31.3.1.1_TA6</v>
      </c>
      <c r="R920" s="250" t="s">
        <v>2883</v>
      </c>
      <c r="S920" s="251" t="s">
        <v>2892</v>
      </c>
      <c r="T920" s="269" t="s">
        <v>2893</v>
      </c>
    </row>
    <row r="921" spans="1:20" ht="25.5" x14ac:dyDescent="0.25">
      <c r="A921" s="268" t="s">
        <v>2314</v>
      </c>
      <c r="B921" s="248">
        <v>31</v>
      </c>
      <c r="C921" s="248" t="s">
        <v>2691</v>
      </c>
      <c r="D921" s="248" t="s">
        <v>2988</v>
      </c>
      <c r="E921" s="248" t="s">
        <v>3181</v>
      </c>
      <c r="F921" s="248" t="s">
        <v>2696</v>
      </c>
      <c r="G921" s="248" t="s">
        <v>2488</v>
      </c>
      <c r="H921" s="249" t="s">
        <v>3182</v>
      </c>
      <c r="I921" s="249" t="s">
        <v>2738</v>
      </c>
      <c r="J921" s="248" t="s">
        <v>2478</v>
      </c>
      <c r="K921" s="249" t="s">
        <v>3121</v>
      </c>
      <c r="L921" s="249" t="s">
        <v>2738</v>
      </c>
      <c r="M921" s="248" t="s">
        <v>3023</v>
      </c>
      <c r="N921" s="293"/>
      <c r="O921" s="293" t="str">
        <f>TablaPOA[[#This Row],[Cod_Sub_acción_especifica]]&amp;"_"&amp;TablaPOA[[#This Row],[Tipo de agente]]</f>
        <v>K31.3.1.1_EVP combustibles de uso automotor</v>
      </c>
      <c r="P921" s="250" t="s">
        <v>2882</v>
      </c>
      <c r="Q921" s="292" t="str">
        <f>TablaPOA[[#This Row],[Cod_Sub_acción_especifica]]&amp;"_"&amp;TablaPOA[[#This Row],[Cod_Tipo_agente]]</f>
        <v>K31.3.1.1_TA6</v>
      </c>
      <c r="R921" s="250" t="s">
        <v>2883</v>
      </c>
      <c r="S921" s="251" t="s">
        <v>2894</v>
      </c>
      <c r="T921" s="269" t="s">
        <v>2895</v>
      </c>
    </row>
    <row r="922" spans="1:20" ht="25.5" x14ac:dyDescent="0.25">
      <c r="A922" s="268" t="s">
        <v>2314</v>
      </c>
      <c r="B922" s="248">
        <v>31</v>
      </c>
      <c r="C922" s="248" t="s">
        <v>2691</v>
      </c>
      <c r="D922" s="248" t="s">
        <v>2988</v>
      </c>
      <c r="E922" s="248" t="s">
        <v>3181</v>
      </c>
      <c r="F922" s="248" t="s">
        <v>2696</v>
      </c>
      <c r="G922" s="248" t="s">
        <v>2488</v>
      </c>
      <c r="H922" s="249" t="s">
        <v>3182</v>
      </c>
      <c r="I922" s="249" t="s">
        <v>2738</v>
      </c>
      <c r="J922" s="248" t="s">
        <v>2478</v>
      </c>
      <c r="K922" s="249" t="s">
        <v>3121</v>
      </c>
      <c r="L922" s="249" t="s">
        <v>2738</v>
      </c>
      <c r="M922" s="248" t="s">
        <v>3023</v>
      </c>
      <c r="N922" s="293"/>
      <c r="O922" s="293" t="str">
        <f>TablaPOA[[#This Row],[Cod_Sub_acción_especifica]]&amp;"_"&amp;TablaPOA[[#This Row],[Tipo de agente]]</f>
        <v>K31.3.1.1_EVP combustibles de uso automotor</v>
      </c>
      <c r="P922" s="250" t="s">
        <v>2882</v>
      </c>
      <c r="Q922" s="292" t="str">
        <f>TablaPOA[[#This Row],[Cod_Sub_acción_especifica]]&amp;"_"&amp;TablaPOA[[#This Row],[Cod_Tipo_agente]]</f>
        <v>K31.3.1.1_TA6</v>
      </c>
      <c r="R922" s="250" t="s">
        <v>2883</v>
      </c>
      <c r="S922" s="251" t="s">
        <v>2896</v>
      </c>
      <c r="T922" s="269" t="s">
        <v>2897</v>
      </c>
    </row>
    <row r="923" spans="1:20" ht="25.5" x14ac:dyDescent="0.25">
      <c r="A923" s="268" t="s">
        <v>2314</v>
      </c>
      <c r="B923" s="248">
        <v>31</v>
      </c>
      <c r="C923" s="248" t="s">
        <v>2691</v>
      </c>
      <c r="D923" s="248" t="s">
        <v>2988</v>
      </c>
      <c r="E923" s="248" t="s">
        <v>3181</v>
      </c>
      <c r="F923" s="248" t="s">
        <v>2696</v>
      </c>
      <c r="G923" s="248" t="s">
        <v>2488</v>
      </c>
      <c r="H923" s="249" t="s">
        <v>3182</v>
      </c>
      <c r="I923" s="249" t="s">
        <v>2738</v>
      </c>
      <c r="J923" s="248" t="s">
        <v>2478</v>
      </c>
      <c r="K923" s="249" t="s">
        <v>3121</v>
      </c>
      <c r="L923" s="249" t="s">
        <v>2738</v>
      </c>
      <c r="M923" s="248" t="s">
        <v>3023</v>
      </c>
      <c r="N923" s="293"/>
      <c r="O923" s="293" t="str">
        <f>TablaPOA[[#This Row],[Cod_Sub_acción_especifica]]&amp;"_"&amp;TablaPOA[[#This Row],[Tipo de agente]]</f>
        <v>K31.3.1.1_EVP combustibles de uso automotor</v>
      </c>
      <c r="P923" s="250" t="s">
        <v>2882</v>
      </c>
      <c r="Q923" s="292" t="str">
        <f>TablaPOA[[#This Row],[Cod_Sub_acción_especifica]]&amp;"_"&amp;TablaPOA[[#This Row],[Cod_Tipo_agente]]</f>
        <v>K31.3.1.1_TA6</v>
      </c>
      <c r="R923" s="250" t="s">
        <v>2883</v>
      </c>
      <c r="S923" s="251" t="s">
        <v>2898</v>
      </c>
      <c r="T923" s="269" t="s">
        <v>2899</v>
      </c>
    </row>
    <row r="924" spans="1:20" ht="25.5" x14ac:dyDescent="0.25">
      <c r="A924" s="268" t="s">
        <v>2314</v>
      </c>
      <c r="B924" s="248">
        <v>31</v>
      </c>
      <c r="C924" s="248" t="s">
        <v>2691</v>
      </c>
      <c r="D924" s="248" t="s">
        <v>2988</v>
      </c>
      <c r="E924" s="248" t="s">
        <v>3181</v>
      </c>
      <c r="F924" s="248" t="s">
        <v>2696</v>
      </c>
      <c r="G924" s="248" t="s">
        <v>2488</v>
      </c>
      <c r="H924" s="249" t="s">
        <v>3182</v>
      </c>
      <c r="I924" s="249" t="s">
        <v>2738</v>
      </c>
      <c r="J924" s="248" t="s">
        <v>2478</v>
      </c>
      <c r="K924" s="249" t="s">
        <v>3121</v>
      </c>
      <c r="L924" s="249" t="s">
        <v>2738</v>
      </c>
      <c r="M924" s="248" t="s">
        <v>3023</v>
      </c>
      <c r="N924" s="293"/>
      <c r="O924" s="293" t="str">
        <f>TablaPOA[[#This Row],[Cod_Sub_acción_especifica]]&amp;"_"&amp;TablaPOA[[#This Row],[Tipo de agente]]</f>
        <v>K31.3.1.1_EVP combustibles de uso automotor</v>
      </c>
      <c r="P924" s="250" t="s">
        <v>2882</v>
      </c>
      <c r="Q924" s="292" t="str">
        <f>TablaPOA[[#This Row],[Cod_Sub_acción_especifica]]&amp;"_"&amp;TablaPOA[[#This Row],[Cod_Tipo_agente]]</f>
        <v>K31.3.1.1_TA6</v>
      </c>
      <c r="R924" s="250" t="s">
        <v>2883</v>
      </c>
      <c r="S924" s="251" t="s">
        <v>2900</v>
      </c>
      <c r="T924" s="269" t="s">
        <v>2901</v>
      </c>
    </row>
    <row r="925" spans="1:20" ht="25.5" x14ac:dyDescent="0.25">
      <c r="A925" s="219" t="s">
        <v>2314</v>
      </c>
      <c r="B925" s="227">
        <v>31</v>
      </c>
      <c r="C925" s="227" t="s">
        <v>2691</v>
      </c>
      <c r="D925" s="227" t="s">
        <v>2988</v>
      </c>
      <c r="E925" s="227" t="s">
        <v>3181</v>
      </c>
      <c r="F925" s="227" t="s">
        <v>2696</v>
      </c>
      <c r="G925" s="227" t="s">
        <v>2488</v>
      </c>
      <c r="H925" s="253" t="s">
        <v>3183</v>
      </c>
      <c r="I925" s="253" t="s">
        <v>2739</v>
      </c>
      <c r="J925" s="227" t="s">
        <v>2479</v>
      </c>
      <c r="K925" s="253" t="s">
        <v>3122</v>
      </c>
      <c r="L925" s="253" t="s">
        <v>2739</v>
      </c>
      <c r="M925" s="227" t="s">
        <v>3024</v>
      </c>
      <c r="N925" s="299" t="s">
        <v>2951</v>
      </c>
      <c r="O925" s="292" t="str">
        <f>TablaPOA[[#This Row],[Cod_Sub_acción_especifica]]&amp;"_"&amp;TablaPOA[[#This Row],[Tipo de agente]]</f>
        <v>K31.3.2.1_Plantas de abastecimiento y despacho</v>
      </c>
      <c r="P925" s="254" t="s">
        <v>2950</v>
      </c>
      <c r="Q925" s="292" t="str">
        <f>TablaPOA[[#This Row],[Cod_Sub_acción_especifica]]&amp;"_"&amp;TablaPOA[[#This Row],[Cod_Tipo_agente]]</f>
        <v>K31.3.2.1_TA10</v>
      </c>
      <c r="R925" s="254" t="s">
        <v>2951</v>
      </c>
      <c r="S925" s="255" t="s">
        <v>2952</v>
      </c>
      <c r="T925" s="271" t="s">
        <v>2953</v>
      </c>
    </row>
    <row r="926" spans="1:20" ht="25.5" x14ac:dyDescent="0.25">
      <c r="A926" s="219" t="s">
        <v>2314</v>
      </c>
      <c r="B926" s="227">
        <v>31</v>
      </c>
      <c r="C926" s="227" t="s">
        <v>2691</v>
      </c>
      <c r="D926" s="227" t="s">
        <v>2988</v>
      </c>
      <c r="E926" s="227" t="s">
        <v>3181</v>
      </c>
      <c r="F926" s="227" t="s">
        <v>2696</v>
      </c>
      <c r="G926" s="227" t="s">
        <v>2488</v>
      </c>
      <c r="H926" s="253" t="s">
        <v>3183</v>
      </c>
      <c r="I926" s="253" t="s">
        <v>2739</v>
      </c>
      <c r="J926" s="227" t="s">
        <v>2479</v>
      </c>
      <c r="K926" s="253" t="s">
        <v>3122</v>
      </c>
      <c r="L926" s="253" t="s">
        <v>2739</v>
      </c>
      <c r="M926" s="227" t="s">
        <v>3024</v>
      </c>
      <c r="N926" s="299" t="s">
        <v>2963</v>
      </c>
      <c r="O926" s="292" t="str">
        <f>TablaPOA[[#This Row],[Cod_Sub_acción_especifica]]&amp;"_"&amp;TablaPOA[[#This Row],[Tipo de agente]]</f>
        <v>K31.3.2.1_Plantas de abastecimiento y despacho</v>
      </c>
      <c r="P926" s="254" t="s">
        <v>2950</v>
      </c>
      <c r="Q926" s="292" t="str">
        <f>TablaPOA[[#This Row],[Cod_Sub_acción_especifica]]&amp;"_"&amp;TablaPOA[[#This Row],[Cod_Tipo_agente]]</f>
        <v>K31.3.2.1_TA10</v>
      </c>
      <c r="R926" s="254" t="s">
        <v>2951</v>
      </c>
      <c r="S926" s="255" t="s">
        <v>2954</v>
      </c>
      <c r="T926" s="271" t="s">
        <v>2955</v>
      </c>
    </row>
    <row r="927" spans="1:20" ht="25.5" x14ac:dyDescent="0.25">
      <c r="A927" s="219" t="s">
        <v>2314</v>
      </c>
      <c r="B927" s="227">
        <v>31</v>
      </c>
      <c r="C927" s="227" t="s">
        <v>2691</v>
      </c>
      <c r="D927" s="227" t="s">
        <v>2988</v>
      </c>
      <c r="E927" s="227" t="s">
        <v>3181</v>
      </c>
      <c r="F927" s="227" t="s">
        <v>2696</v>
      </c>
      <c r="G927" s="227" t="s">
        <v>2488</v>
      </c>
      <c r="H927" s="253" t="s">
        <v>3183</v>
      </c>
      <c r="I927" s="253" t="s">
        <v>2739</v>
      </c>
      <c r="J927" s="227" t="s">
        <v>2479</v>
      </c>
      <c r="K927" s="253" t="s">
        <v>3122</v>
      </c>
      <c r="L927" s="253" t="s">
        <v>2739</v>
      </c>
      <c r="M927" s="227" t="s">
        <v>3024</v>
      </c>
      <c r="N927" s="293"/>
      <c r="O927" s="293" t="str">
        <f>TablaPOA[[#This Row],[Cod_Sub_acción_especifica]]&amp;"_"&amp;TablaPOA[[#This Row],[Tipo de agente]]</f>
        <v>K31.3.2.1_Plantas de abastecimiento y despacho</v>
      </c>
      <c r="P927" s="254" t="s">
        <v>2950</v>
      </c>
      <c r="Q927" s="292" t="str">
        <f>TablaPOA[[#This Row],[Cod_Sub_acción_especifica]]&amp;"_"&amp;TablaPOA[[#This Row],[Cod_Tipo_agente]]</f>
        <v>K31.3.2.1_TA10</v>
      </c>
      <c r="R927" s="254" t="s">
        <v>2951</v>
      </c>
      <c r="S927" s="255" t="s">
        <v>2956</v>
      </c>
      <c r="T927" s="271" t="s">
        <v>2957</v>
      </c>
    </row>
    <row r="928" spans="1:20" ht="25.5" x14ac:dyDescent="0.25">
      <c r="A928" s="219" t="s">
        <v>2314</v>
      </c>
      <c r="B928" s="227">
        <v>31</v>
      </c>
      <c r="C928" s="227" t="s">
        <v>2691</v>
      </c>
      <c r="D928" s="227" t="s">
        <v>2988</v>
      </c>
      <c r="E928" s="227" t="s">
        <v>3181</v>
      </c>
      <c r="F928" s="227" t="s">
        <v>2696</v>
      </c>
      <c r="G928" s="227" t="s">
        <v>2488</v>
      </c>
      <c r="H928" s="253" t="s">
        <v>3183</v>
      </c>
      <c r="I928" s="253" t="s">
        <v>2739</v>
      </c>
      <c r="J928" s="227" t="s">
        <v>2479</v>
      </c>
      <c r="K928" s="253" t="s">
        <v>3122</v>
      </c>
      <c r="L928" s="253" t="s">
        <v>2739</v>
      </c>
      <c r="M928" s="227" t="s">
        <v>3024</v>
      </c>
      <c r="N928" s="293"/>
      <c r="O928" s="293" t="str">
        <f>TablaPOA[[#This Row],[Cod_Sub_acción_especifica]]&amp;"_"&amp;TablaPOA[[#This Row],[Tipo de agente]]</f>
        <v>K31.3.2.1_Plantas de abastecimiento y despacho</v>
      </c>
      <c r="P928" s="254" t="s">
        <v>2950</v>
      </c>
      <c r="Q928" s="292" t="str">
        <f>TablaPOA[[#This Row],[Cod_Sub_acción_especifica]]&amp;"_"&amp;TablaPOA[[#This Row],[Cod_Tipo_agente]]</f>
        <v>K31.3.2.1_TA10</v>
      </c>
      <c r="R928" s="254" t="s">
        <v>2951</v>
      </c>
      <c r="S928" s="255" t="s">
        <v>2958</v>
      </c>
      <c r="T928" s="271" t="s">
        <v>2959</v>
      </c>
    </row>
    <row r="929" spans="1:20" ht="25.5" x14ac:dyDescent="0.25">
      <c r="A929" s="219" t="s">
        <v>2314</v>
      </c>
      <c r="B929" s="227">
        <v>31</v>
      </c>
      <c r="C929" s="227" t="s">
        <v>2691</v>
      </c>
      <c r="D929" s="227" t="s">
        <v>2988</v>
      </c>
      <c r="E929" s="227" t="s">
        <v>3181</v>
      </c>
      <c r="F929" s="227" t="s">
        <v>2696</v>
      </c>
      <c r="G929" s="227" t="s">
        <v>2488</v>
      </c>
      <c r="H929" s="253" t="s">
        <v>3183</v>
      </c>
      <c r="I929" s="253" t="s">
        <v>2739</v>
      </c>
      <c r="J929" s="227" t="s">
        <v>2479</v>
      </c>
      <c r="K929" s="253" t="s">
        <v>3122</v>
      </c>
      <c r="L929" s="253" t="s">
        <v>2739</v>
      </c>
      <c r="M929" s="227" t="s">
        <v>3024</v>
      </c>
      <c r="N929" s="293"/>
      <c r="O929" s="293" t="str">
        <f>TablaPOA[[#This Row],[Cod_Sub_acción_especifica]]&amp;"_"&amp;TablaPOA[[#This Row],[Tipo de agente]]</f>
        <v>K31.3.2.1_Plantas de abastecimiento y despacho</v>
      </c>
      <c r="P929" s="254" t="s">
        <v>2950</v>
      </c>
      <c r="Q929" s="292" t="str">
        <f>TablaPOA[[#This Row],[Cod_Sub_acción_especifica]]&amp;"_"&amp;TablaPOA[[#This Row],[Cod_Tipo_agente]]</f>
        <v>K31.3.2.1_TA10</v>
      </c>
      <c r="R929" s="254" t="s">
        <v>2951</v>
      </c>
      <c r="S929" s="255" t="s">
        <v>2960</v>
      </c>
      <c r="T929" s="271" t="s">
        <v>2961</v>
      </c>
    </row>
    <row r="930" spans="1:20" ht="25.5" x14ac:dyDescent="0.25">
      <c r="A930" s="219" t="s">
        <v>2314</v>
      </c>
      <c r="B930" s="227">
        <v>31</v>
      </c>
      <c r="C930" s="227" t="s">
        <v>2691</v>
      </c>
      <c r="D930" s="227" t="s">
        <v>2988</v>
      </c>
      <c r="E930" s="227" t="s">
        <v>3181</v>
      </c>
      <c r="F930" s="227" t="s">
        <v>2696</v>
      </c>
      <c r="G930" s="227" t="s">
        <v>2488</v>
      </c>
      <c r="H930" s="253" t="s">
        <v>3183</v>
      </c>
      <c r="I930" s="253" t="s">
        <v>2739</v>
      </c>
      <c r="J930" s="227" t="s">
        <v>2479</v>
      </c>
      <c r="K930" s="253" t="s">
        <v>3122</v>
      </c>
      <c r="L930" s="253" t="s">
        <v>2739</v>
      </c>
      <c r="M930" s="227" t="s">
        <v>3024</v>
      </c>
      <c r="N930" s="293"/>
      <c r="O930" s="293" t="str">
        <f>TablaPOA[[#This Row],[Cod_Sub_acción_especifica]]&amp;"_"&amp;TablaPOA[[#This Row],[Tipo de agente]]</f>
        <v>K31.3.2.1_Productores y Plantas de procesamiento</v>
      </c>
      <c r="P930" s="254" t="s">
        <v>2962</v>
      </c>
      <c r="Q930" s="292" t="str">
        <f>TablaPOA[[#This Row],[Cod_Sub_acción_especifica]]&amp;"_"&amp;TablaPOA[[#This Row],[Cod_Tipo_agente]]</f>
        <v>K31.3.2.1_TA11</v>
      </c>
      <c r="R930" s="254" t="s">
        <v>2963</v>
      </c>
      <c r="S930" s="255" t="s">
        <v>2964</v>
      </c>
      <c r="T930" s="271" t="s">
        <v>2965</v>
      </c>
    </row>
    <row r="931" spans="1:20" ht="25.5" x14ac:dyDescent="0.25">
      <c r="A931" s="219" t="s">
        <v>2314</v>
      </c>
      <c r="B931" s="227">
        <v>31</v>
      </c>
      <c r="C931" s="227" t="s">
        <v>2691</v>
      </c>
      <c r="D931" s="227" t="s">
        <v>2988</v>
      </c>
      <c r="E931" s="227" t="s">
        <v>3181</v>
      </c>
      <c r="F931" s="227" t="s">
        <v>2696</v>
      </c>
      <c r="G931" s="227" t="s">
        <v>2488</v>
      </c>
      <c r="H931" s="253" t="s">
        <v>3183</v>
      </c>
      <c r="I931" s="253" t="s">
        <v>2739</v>
      </c>
      <c r="J931" s="227" t="s">
        <v>2479</v>
      </c>
      <c r="K931" s="253" t="s">
        <v>3122</v>
      </c>
      <c r="L931" s="253" t="s">
        <v>2739</v>
      </c>
      <c r="M931" s="227" t="s">
        <v>3024</v>
      </c>
      <c r="N931" s="293"/>
      <c r="O931" s="293" t="str">
        <f>TablaPOA[[#This Row],[Cod_Sub_acción_especifica]]&amp;"_"&amp;TablaPOA[[#This Row],[Tipo de agente]]</f>
        <v>K31.3.2.1_Productores y Plantas de procesamiento</v>
      </c>
      <c r="P931" s="254" t="s">
        <v>2962</v>
      </c>
      <c r="Q931" s="292" t="str">
        <f>TablaPOA[[#This Row],[Cod_Sub_acción_especifica]]&amp;"_"&amp;TablaPOA[[#This Row],[Cod_Tipo_agente]]</f>
        <v>K31.3.2.1_TA11</v>
      </c>
      <c r="R931" s="254" t="s">
        <v>2963</v>
      </c>
      <c r="S931" s="255" t="s">
        <v>2966</v>
      </c>
      <c r="T931" s="271" t="s">
        <v>2967</v>
      </c>
    </row>
    <row r="932" spans="1:20" ht="25.5" x14ac:dyDescent="0.25">
      <c r="A932" s="219" t="s">
        <v>2314</v>
      </c>
      <c r="B932" s="227">
        <v>31</v>
      </c>
      <c r="C932" s="227" t="s">
        <v>2691</v>
      </c>
      <c r="D932" s="227" t="s">
        <v>2988</v>
      </c>
      <c r="E932" s="227" t="s">
        <v>3181</v>
      </c>
      <c r="F932" s="227" t="s">
        <v>2696</v>
      </c>
      <c r="G932" s="227" t="s">
        <v>2488</v>
      </c>
      <c r="H932" s="253" t="s">
        <v>3183</v>
      </c>
      <c r="I932" s="253" t="s">
        <v>2739</v>
      </c>
      <c r="J932" s="227" t="s">
        <v>2479</v>
      </c>
      <c r="K932" s="253" t="s">
        <v>3122</v>
      </c>
      <c r="L932" s="253" t="s">
        <v>2739</v>
      </c>
      <c r="M932" s="227" t="s">
        <v>3024</v>
      </c>
      <c r="N932" s="293"/>
      <c r="O932" s="293" t="str">
        <f>TablaPOA[[#This Row],[Cod_Sub_acción_especifica]]&amp;"_"&amp;TablaPOA[[#This Row],[Tipo de agente]]</f>
        <v>K31.3.2.1_Productores y Plantas de procesamiento</v>
      </c>
      <c r="P932" s="254" t="s">
        <v>2962</v>
      </c>
      <c r="Q932" s="292" t="str">
        <f>TablaPOA[[#This Row],[Cod_Sub_acción_especifica]]&amp;"_"&amp;TablaPOA[[#This Row],[Cod_Tipo_agente]]</f>
        <v>K31.3.2.1_TA11</v>
      </c>
      <c r="R932" s="254" t="s">
        <v>2963</v>
      </c>
      <c r="S932" s="255" t="s">
        <v>2968</v>
      </c>
      <c r="T932" s="271" t="s">
        <v>2969</v>
      </c>
    </row>
    <row r="933" spans="1:20" ht="25.5" x14ac:dyDescent="0.25">
      <c r="A933" s="219" t="s">
        <v>2314</v>
      </c>
      <c r="B933" s="227">
        <v>31</v>
      </c>
      <c r="C933" s="227" t="s">
        <v>2691</v>
      </c>
      <c r="D933" s="227" t="s">
        <v>2988</v>
      </c>
      <c r="E933" s="227" t="s">
        <v>3181</v>
      </c>
      <c r="F933" s="227" t="s">
        <v>2696</v>
      </c>
      <c r="G933" s="227" t="s">
        <v>2488</v>
      </c>
      <c r="H933" s="253" t="s">
        <v>3183</v>
      </c>
      <c r="I933" s="253" t="s">
        <v>2739</v>
      </c>
      <c r="J933" s="227" t="s">
        <v>2479</v>
      </c>
      <c r="K933" s="253" t="s">
        <v>3122</v>
      </c>
      <c r="L933" s="253" t="s">
        <v>2739</v>
      </c>
      <c r="M933" s="227" t="s">
        <v>3024</v>
      </c>
      <c r="N933" s="293"/>
      <c r="O933" s="293" t="str">
        <f>TablaPOA[[#This Row],[Cod_Sub_acción_especifica]]&amp;"_"&amp;TablaPOA[[#This Row],[Tipo de agente]]</f>
        <v>K31.3.2.1_Productores y Plantas de procesamiento</v>
      </c>
      <c r="P933" s="254" t="s">
        <v>2962</v>
      </c>
      <c r="Q933" s="292" t="str">
        <f>TablaPOA[[#This Row],[Cod_Sub_acción_especifica]]&amp;"_"&amp;TablaPOA[[#This Row],[Cod_Tipo_agente]]</f>
        <v>K31.3.2.1_TA11</v>
      </c>
      <c r="R933" s="254" t="s">
        <v>2963</v>
      </c>
      <c r="S933" s="255" t="s">
        <v>2970</v>
      </c>
      <c r="T933" s="271" t="s">
        <v>2971</v>
      </c>
    </row>
    <row r="934" spans="1:20" ht="25.5" x14ac:dyDescent="0.25">
      <c r="A934" s="219" t="s">
        <v>2314</v>
      </c>
      <c r="B934" s="227">
        <v>31</v>
      </c>
      <c r="C934" s="227" t="s">
        <v>2691</v>
      </c>
      <c r="D934" s="227" t="s">
        <v>2988</v>
      </c>
      <c r="E934" s="227" t="s">
        <v>3181</v>
      </c>
      <c r="F934" s="227" t="s">
        <v>2696</v>
      </c>
      <c r="G934" s="227" t="s">
        <v>2488</v>
      </c>
      <c r="H934" s="253" t="s">
        <v>3183</v>
      </c>
      <c r="I934" s="253" t="s">
        <v>2739</v>
      </c>
      <c r="J934" s="227" t="s">
        <v>2479</v>
      </c>
      <c r="K934" s="253" t="s">
        <v>3122</v>
      </c>
      <c r="L934" s="253" t="s">
        <v>2739</v>
      </c>
      <c r="M934" s="227" t="s">
        <v>3024</v>
      </c>
      <c r="N934" s="293"/>
      <c r="O934" s="293" t="str">
        <f>TablaPOA[[#This Row],[Cod_Sub_acción_especifica]]&amp;"_"&amp;TablaPOA[[#This Row],[Tipo de agente]]</f>
        <v>K31.3.2.1_Productores y Plantas de procesamiento</v>
      </c>
      <c r="P934" s="254" t="s">
        <v>2962</v>
      </c>
      <c r="Q934" s="292" t="str">
        <f>TablaPOA[[#This Row],[Cod_Sub_acción_especifica]]&amp;"_"&amp;TablaPOA[[#This Row],[Cod_Tipo_agente]]</f>
        <v>K31.3.2.1_TA11</v>
      </c>
      <c r="R934" s="254" t="s">
        <v>2963</v>
      </c>
      <c r="S934" s="255" t="s">
        <v>2972</v>
      </c>
      <c r="T934" s="271" t="s">
        <v>2973</v>
      </c>
    </row>
    <row r="935" spans="1:20" ht="25.5" x14ac:dyDescent="0.25">
      <c r="A935" s="219" t="s">
        <v>2314</v>
      </c>
      <c r="B935" s="227">
        <v>31</v>
      </c>
      <c r="C935" s="227" t="s">
        <v>2691</v>
      </c>
      <c r="D935" s="227" t="s">
        <v>2988</v>
      </c>
      <c r="E935" s="227" t="s">
        <v>3181</v>
      </c>
      <c r="F935" s="227" t="s">
        <v>2696</v>
      </c>
      <c r="G935" s="227" t="s">
        <v>2488</v>
      </c>
      <c r="H935" s="253" t="s">
        <v>3183</v>
      </c>
      <c r="I935" s="253" t="s">
        <v>2739</v>
      </c>
      <c r="J935" s="227" t="s">
        <v>2479</v>
      </c>
      <c r="K935" s="253" t="s">
        <v>3122</v>
      </c>
      <c r="L935" s="253" t="s">
        <v>2739</v>
      </c>
      <c r="M935" s="227" t="s">
        <v>3024</v>
      </c>
      <c r="N935" s="293"/>
      <c r="O935" s="293" t="str">
        <f>TablaPOA[[#This Row],[Cod_Sub_acción_especifica]]&amp;"_"&amp;TablaPOA[[#This Row],[Tipo de agente]]</f>
        <v>K31.3.2.1_Productores y Plantas de procesamiento</v>
      </c>
      <c r="P935" s="254" t="s">
        <v>2962</v>
      </c>
      <c r="Q935" s="292" t="str">
        <f>TablaPOA[[#This Row],[Cod_Sub_acción_especifica]]&amp;"_"&amp;TablaPOA[[#This Row],[Cod_Tipo_agente]]</f>
        <v>K31.3.2.1_TA11</v>
      </c>
      <c r="R935" s="254" t="s">
        <v>2963</v>
      </c>
      <c r="S935" s="255" t="s">
        <v>2974</v>
      </c>
      <c r="T935" s="271" t="s">
        <v>2975</v>
      </c>
    </row>
    <row r="936" spans="1:20" ht="25.5" x14ac:dyDescent="0.25">
      <c r="A936" s="219" t="s">
        <v>2314</v>
      </c>
      <c r="B936" s="227">
        <v>31</v>
      </c>
      <c r="C936" s="227" t="s">
        <v>2691</v>
      </c>
      <c r="D936" s="227" t="s">
        <v>2988</v>
      </c>
      <c r="E936" s="227" t="s">
        <v>3181</v>
      </c>
      <c r="F936" s="227" t="s">
        <v>2696</v>
      </c>
      <c r="G936" s="227" t="s">
        <v>2488</v>
      </c>
      <c r="H936" s="253" t="s">
        <v>3183</v>
      </c>
      <c r="I936" s="253" t="s">
        <v>2739</v>
      </c>
      <c r="J936" s="227" t="s">
        <v>2479</v>
      </c>
      <c r="K936" s="253" t="s">
        <v>3122</v>
      </c>
      <c r="L936" s="253" t="s">
        <v>2739</v>
      </c>
      <c r="M936" s="227" t="s">
        <v>3024</v>
      </c>
      <c r="N936" s="293"/>
      <c r="O936" s="293" t="str">
        <f>TablaPOA[[#This Row],[Cod_Sub_acción_especifica]]&amp;"_"&amp;TablaPOA[[#This Row],[Tipo de agente]]</f>
        <v>K31.3.2.1_Productores y Plantas de procesamiento</v>
      </c>
      <c r="P936" s="254" t="s">
        <v>2962</v>
      </c>
      <c r="Q936" s="292" t="str">
        <f>TablaPOA[[#This Row],[Cod_Sub_acción_especifica]]&amp;"_"&amp;TablaPOA[[#This Row],[Cod_Tipo_agente]]</f>
        <v>K31.3.2.1_TA11</v>
      </c>
      <c r="R936" s="254" t="s">
        <v>2963</v>
      </c>
      <c r="S936" s="255" t="s">
        <v>2976</v>
      </c>
      <c r="T936" s="271" t="s">
        <v>2977</v>
      </c>
    </row>
    <row r="937" spans="1:20" ht="25.5" x14ac:dyDescent="0.25">
      <c r="A937" s="268" t="s">
        <v>2314</v>
      </c>
      <c r="B937" s="248">
        <v>31</v>
      </c>
      <c r="C937" s="248" t="s">
        <v>2691</v>
      </c>
      <c r="D937" s="248" t="s">
        <v>2988</v>
      </c>
      <c r="E937" s="248" t="s">
        <v>3181</v>
      </c>
      <c r="F937" s="248" t="s">
        <v>2696</v>
      </c>
      <c r="G937" s="248" t="s">
        <v>2488</v>
      </c>
      <c r="H937" s="249" t="s">
        <v>3184</v>
      </c>
      <c r="I937" s="249" t="s">
        <v>2740</v>
      </c>
      <c r="J937" s="248" t="s">
        <v>2480</v>
      </c>
      <c r="K937" s="249" t="s">
        <v>3123</v>
      </c>
      <c r="L937" s="249" t="s">
        <v>2740</v>
      </c>
      <c r="M937" s="248" t="s">
        <v>3025</v>
      </c>
      <c r="N937" s="299" t="s">
        <v>2883</v>
      </c>
      <c r="O937" s="292" t="str">
        <f>TablaPOA[[#This Row],[Cod_Sub_acción_especifica]]&amp;"_"&amp;TablaPOA[[#This Row],[Tipo de agente]]</f>
        <v>K31.3.3.1_EVP combustibles de uso automotor</v>
      </c>
      <c r="P937" s="250" t="s">
        <v>2882</v>
      </c>
      <c r="Q937" s="292" t="str">
        <f>TablaPOA[[#This Row],[Cod_Sub_acción_especifica]]&amp;"_"&amp;TablaPOA[[#This Row],[Cod_Tipo_agente]]</f>
        <v>K31.3.3.1_TA6</v>
      </c>
      <c r="R937" s="250" t="s">
        <v>2883</v>
      </c>
      <c r="S937" s="251" t="s">
        <v>2884</v>
      </c>
      <c r="T937" s="269" t="s">
        <v>2885</v>
      </c>
    </row>
    <row r="938" spans="1:20" ht="25.5" x14ac:dyDescent="0.25">
      <c r="A938" s="268" t="s">
        <v>2314</v>
      </c>
      <c r="B938" s="248">
        <v>31</v>
      </c>
      <c r="C938" s="248" t="s">
        <v>2691</v>
      </c>
      <c r="D938" s="248" t="s">
        <v>2988</v>
      </c>
      <c r="E938" s="248" t="s">
        <v>3181</v>
      </c>
      <c r="F938" s="248" t="s">
        <v>2696</v>
      </c>
      <c r="G938" s="248" t="s">
        <v>2488</v>
      </c>
      <c r="H938" s="249" t="s">
        <v>3184</v>
      </c>
      <c r="I938" s="249" t="s">
        <v>2740</v>
      </c>
      <c r="J938" s="248" t="s">
        <v>2480</v>
      </c>
      <c r="K938" s="249" t="s">
        <v>3123</v>
      </c>
      <c r="L938" s="249" t="s">
        <v>2740</v>
      </c>
      <c r="M938" s="248" t="s">
        <v>3025</v>
      </c>
      <c r="N938" s="293"/>
      <c r="O938" s="293" t="str">
        <f>TablaPOA[[#This Row],[Cod_Sub_acción_especifica]]&amp;"_"&amp;TablaPOA[[#This Row],[Tipo de agente]]</f>
        <v>K31.3.3.1_EVP combustibles de uso automotor</v>
      </c>
      <c r="P938" s="250" t="s">
        <v>2882</v>
      </c>
      <c r="Q938" s="292" t="str">
        <f>TablaPOA[[#This Row],[Cod_Sub_acción_especifica]]&amp;"_"&amp;TablaPOA[[#This Row],[Cod_Tipo_agente]]</f>
        <v>K31.3.3.1_TA6</v>
      </c>
      <c r="R938" s="250" t="s">
        <v>2883</v>
      </c>
      <c r="S938" s="251" t="s">
        <v>2886</v>
      </c>
      <c r="T938" s="269" t="s">
        <v>2887</v>
      </c>
    </row>
    <row r="939" spans="1:20" ht="25.5" x14ac:dyDescent="0.25">
      <c r="A939" s="268" t="s">
        <v>2314</v>
      </c>
      <c r="B939" s="248">
        <v>31</v>
      </c>
      <c r="C939" s="248" t="s">
        <v>2691</v>
      </c>
      <c r="D939" s="248" t="s">
        <v>2988</v>
      </c>
      <c r="E939" s="248" t="s">
        <v>3181</v>
      </c>
      <c r="F939" s="248" t="s">
        <v>2696</v>
      </c>
      <c r="G939" s="248" t="s">
        <v>2488</v>
      </c>
      <c r="H939" s="249" t="s">
        <v>3184</v>
      </c>
      <c r="I939" s="249" t="s">
        <v>2740</v>
      </c>
      <c r="J939" s="248" t="s">
        <v>2480</v>
      </c>
      <c r="K939" s="249" t="s">
        <v>3123</v>
      </c>
      <c r="L939" s="249" t="s">
        <v>2740</v>
      </c>
      <c r="M939" s="248" t="s">
        <v>3025</v>
      </c>
      <c r="N939" s="293"/>
      <c r="O939" s="293" t="str">
        <f>TablaPOA[[#This Row],[Cod_Sub_acción_especifica]]&amp;"_"&amp;TablaPOA[[#This Row],[Tipo de agente]]</f>
        <v>K31.3.3.1_EVP combustibles de uso automotor</v>
      </c>
      <c r="P939" s="250" t="s">
        <v>2882</v>
      </c>
      <c r="Q939" s="292" t="str">
        <f>TablaPOA[[#This Row],[Cod_Sub_acción_especifica]]&amp;"_"&amp;TablaPOA[[#This Row],[Cod_Tipo_agente]]</f>
        <v>K31.3.3.1_TA6</v>
      </c>
      <c r="R939" s="250" t="s">
        <v>2883</v>
      </c>
      <c r="S939" s="251" t="s">
        <v>2890</v>
      </c>
      <c r="T939" s="269" t="s">
        <v>2891</v>
      </c>
    </row>
    <row r="940" spans="1:20" ht="25.5" x14ac:dyDescent="0.25">
      <c r="A940" s="268" t="s">
        <v>2314</v>
      </c>
      <c r="B940" s="248">
        <v>31</v>
      </c>
      <c r="C940" s="248" t="s">
        <v>2691</v>
      </c>
      <c r="D940" s="248" t="s">
        <v>2988</v>
      </c>
      <c r="E940" s="248" t="s">
        <v>3181</v>
      </c>
      <c r="F940" s="248" t="s">
        <v>2696</v>
      </c>
      <c r="G940" s="248" t="s">
        <v>2488</v>
      </c>
      <c r="H940" s="249" t="s">
        <v>3184</v>
      </c>
      <c r="I940" s="249" t="s">
        <v>2740</v>
      </c>
      <c r="J940" s="248" t="s">
        <v>2480</v>
      </c>
      <c r="K940" s="249" t="s">
        <v>3123</v>
      </c>
      <c r="L940" s="249" t="s">
        <v>2740</v>
      </c>
      <c r="M940" s="248" t="s">
        <v>3025</v>
      </c>
      <c r="N940" s="293"/>
      <c r="O940" s="293" t="str">
        <f>TablaPOA[[#This Row],[Cod_Sub_acción_especifica]]&amp;"_"&amp;TablaPOA[[#This Row],[Tipo de agente]]</f>
        <v>K31.3.3.1_EVP combustibles de uso automotor</v>
      </c>
      <c r="P940" s="250" t="s">
        <v>2882</v>
      </c>
      <c r="Q940" s="292" t="str">
        <f>TablaPOA[[#This Row],[Cod_Sub_acción_especifica]]&amp;"_"&amp;TablaPOA[[#This Row],[Cod_Tipo_agente]]</f>
        <v>K31.3.3.1_TA6</v>
      </c>
      <c r="R940" s="250" t="s">
        <v>2883</v>
      </c>
      <c r="S940" s="251" t="s">
        <v>2892</v>
      </c>
      <c r="T940" s="269" t="s">
        <v>2893</v>
      </c>
    </row>
    <row r="941" spans="1:20" ht="25.5" x14ac:dyDescent="0.25">
      <c r="A941" s="268" t="s">
        <v>2314</v>
      </c>
      <c r="B941" s="248">
        <v>31</v>
      </c>
      <c r="C941" s="248" t="s">
        <v>2691</v>
      </c>
      <c r="D941" s="248" t="s">
        <v>2988</v>
      </c>
      <c r="E941" s="248" t="s">
        <v>3181</v>
      </c>
      <c r="F941" s="248" t="s">
        <v>2696</v>
      </c>
      <c r="G941" s="248" t="s">
        <v>2488</v>
      </c>
      <c r="H941" s="249" t="s">
        <v>3184</v>
      </c>
      <c r="I941" s="249" t="s">
        <v>2740</v>
      </c>
      <c r="J941" s="248" t="s">
        <v>2480</v>
      </c>
      <c r="K941" s="249" t="s">
        <v>3123</v>
      </c>
      <c r="L941" s="249" t="s">
        <v>2740</v>
      </c>
      <c r="M941" s="248" t="s">
        <v>3025</v>
      </c>
      <c r="N941" s="293"/>
      <c r="O941" s="293" t="str">
        <f>TablaPOA[[#This Row],[Cod_Sub_acción_especifica]]&amp;"_"&amp;TablaPOA[[#This Row],[Tipo de agente]]</f>
        <v>K31.3.3.1_EVP combustibles de uso automotor</v>
      </c>
      <c r="P941" s="250" t="s">
        <v>2882</v>
      </c>
      <c r="Q941" s="292" t="str">
        <f>TablaPOA[[#This Row],[Cod_Sub_acción_especifica]]&amp;"_"&amp;TablaPOA[[#This Row],[Cod_Tipo_agente]]</f>
        <v>K31.3.3.1_TA6</v>
      </c>
      <c r="R941" s="250" t="s">
        <v>2883</v>
      </c>
      <c r="S941" s="251" t="s">
        <v>2894</v>
      </c>
      <c r="T941" s="269" t="s">
        <v>2895</v>
      </c>
    </row>
    <row r="942" spans="1:20" ht="25.5" x14ac:dyDescent="0.25">
      <c r="A942" s="268" t="s">
        <v>2314</v>
      </c>
      <c r="B942" s="248">
        <v>31</v>
      </c>
      <c r="C942" s="248" t="s">
        <v>2691</v>
      </c>
      <c r="D942" s="248" t="s">
        <v>2988</v>
      </c>
      <c r="E942" s="248" t="s">
        <v>3181</v>
      </c>
      <c r="F942" s="248" t="s">
        <v>2696</v>
      </c>
      <c r="G942" s="248" t="s">
        <v>2488</v>
      </c>
      <c r="H942" s="249" t="s">
        <v>3184</v>
      </c>
      <c r="I942" s="249" t="s">
        <v>2740</v>
      </c>
      <c r="J942" s="248" t="s">
        <v>2480</v>
      </c>
      <c r="K942" s="249" t="s">
        <v>3123</v>
      </c>
      <c r="L942" s="249" t="s">
        <v>2740</v>
      </c>
      <c r="M942" s="248" t="s">
        <v>3025</v>
      </c>
      <c r="N942" s="293"/>
      <c r="O942" s="293" t="str">
        <f>TablaPOA[[#This Row],[Cod_Sub_acción_especifica]]&amp;"_"&amp;TablaPOA[[#This Row],[Tipo de agente]]</f>
        <v>K31.3.3.1_EVP combustibles de uso automotor</v>
      </c>
      <c r="P942" s="250" t="s">
        <v>2882</v>
      </c>
      <c r="Q942" s="292" t="str">
        <f>TablaPOA[[#This Row],[Cod_Sub_acción_especifica]]&amp;"_"&amp;TablaPOA[[#This Row],[Cod_Tipo_agente]]</f>
        <v>K31.3.3.1_TA6</v>
      </c>
      <c r="R942" s="250" t="s">
        <v>2883</v>
      </c>
      <c r="S942" s="251" t="s">
        <v>2896</v>
      </c>
      <c r="T942" s="269" t="s">
        <v>2897</v>
      </c>
    </row>
    <row r="943" spans="1:20" ht="25.5" x14ac:dyDescent="0.25">
      <c r="A943" s="268" t="s">
        <v>2314</v>
      </c>
      <c r="B943" s="248">
        <v>31</v>
      </c>
      <c r="C943" s="248" t="s">
        <v>2691</v>
      </c>
      <c r="D943" s="248" t="s">
        <v>2988</v>
      </c>
      <c r="E943" s="248" t="s">
        <v>3181</v>
      </c>
      <c r="F943" s="248" t="s">
        <v>2696</v>
      </c>
      <c r="G943" s="248" t="s">
        <v>2488</v>
      </c>
      <c r="H943" s="249" t="s">
        <v>3184</v>
      </c>
      <c r="I943" s="249" t="s">
        <v>2740</v>
      </c>
      <c r="J943" s="248" t="s">
        <v>2480</v>
      </c>
      <c r="K943" s="249" t="s">
        <v>3123</v>
      </c>
      <c r="L943" s="249" t="s">
        <v>2740</v>
      </c>
      <c r="M943" s="248" t="s">
        <v>3025</v>
      </c>
      <c r="N943" s="293"/>
      <c r="O943" s="293" t="str">
        <f>TablaPOA[[#This Row],[Cod_Sub_acción_especifica]]&amp;"_"&amp;TablaPOA[[#This Row],[Tipo de agente]]</f>
        <v>K31.3.3.1_EVP combustibles de uso automotor</v>
      </c>
      <c r="P943" s="250" t="s">
        <v>2882</v>
      </c>
      <c r="Q943" s="292" t="str">
        <f>TablaPOA[[#This Row],[Cod_Sub_acción_especifica]]&amp;"_"&amp;TablaPOA[[#This Row],[Cod_Tipo_agente]]</f>
        <v>K31.3.3.1_TA6</v>
      </c>
      <c r="R943" s="250" t="s">
        <v>2883</v>
      </c>
      <c r="S943" s="251" t="s">
        <v>2898</v>
      </c>
      <c r="T943" s="269" t="s">
        <v>2899</v>
      </c>
    </row>
    <row r="944" spans="1:20" ht="25.5" x14ac:dyDescent="0.25">
      <c r="A944" s="268" t="s">
        <v>2314</v>
      </c>
      <c r="B944" s="248">
        <v>31</v>
      </c>
      <c r="C944" s="248" t="s">
        <v>2691</v>
      </c>
      <c r="D944" s="248" t="s">
        <v>2988</v>
      </c>
      <c r="E944" s="248" t="s">
        <v>3181</v>
      </c>
      <c r="F944" s="248" t="s">
        <v>2696</v>
      </c>
      <c r="G944" s="248" t="s">
        <v>2488</v>
      </c>
      <c r="H944" s="249" t="s">
        <v>3184</v>
      </c>
      <c r="I944" s="249" t="s">
        <v>2740</v>
      </c>
      <c r="J944" s="248" t="s">
        <v>2480</v>
      </c>
      <c r="K944" s="249" t="s">
        <v>3123</v>
      </c>
      <c r="L944" s="249" t="s">
        <v>2740</v>
      </c>
      <c r="M944" s="248" t="s">
        <v>3025</v>
      </c>
      <c r="N944" s="293"/>
      <c r="O944" s="293" t="str">
        <f>TablaPOA[[#This Row],[Cod_Sub_acción_especifica]]&amp;"_"&amp;TablaPOA[[#This Row],[Tipo de agente]]</f>
        <v>K31.3.3.1_EVP combustibles de uso automotor</v>
      </c>
      <c r="P944" s="250" t="s">
        <v>2882</v>
      </c>
      <c r="Q944" s="292" t="str">
        <f>TablaPOA[[#This Row],[Cod_Sub_acción_especifica]]&amp;"_"&amp;TablaPOA[[#This Row],[Cod_Tipo_agente]]</f>
        <v>K31.3.3.1_TA6</v>
      </c>
      <c r="R944" s="250" t="s">
        <v>2883</v>
      </c>
      <c r="S944" s="251" t="s">
        <v>2900</v>
      </c>
      <c r="T944" s="269" t="s">
        <v>2901</v>
      </c>
    </row>
    <row r="945" spans="1:20" ht="25.5" x14ac:dyDescent="0.25">
      <c r="A945" s="219" t="s">
        <v>2314</v>
      </c>
      <c r="B945" s="227">
        <v>31</v>
      </c>
      <c r="C945" s="227" t="s">
        <v>2691</v>
      </c>
      <c r="D945" s="227" t="s">
        <v>2988</v>
      </c>
      <c r="E945" s="227" t="s">
        <v>3181</v>
      </c>
      <c r="F945" s="227" t="s">
        <v>2696</v>
      </c>
      <c r="G945" s="227" t="s">
        <v>2488</v>
      </c>
      <c r="H945" s="253" t="s">
        <v>3185</v>
      </c>
      <c r="I945" s="253" t="s">
        <v>2741</v>
      </c>
      <c r="J945" s="227" t="s">
        <v>2536</v>
      </c>
      <c r="K945" s="253" t="s">
        <v>3124</v>
      </c>
      <c r="L945" s="253" t="s">
        <v>2741</v>
      </c>
      <c r="M945" s="227" t="s">
        <v>3026</v>
      </c>
      <c r="N945" s="299" t="s">
        <v>2877</v>
      </c>
      <c r="O945" s="292" t="str">
        <f>TablaPOA[[#This Row],[Cod_Sub_acción_especifica]]&amp;"_"&amp;TablaPOA[[#This Row],[Tipo de agente]]</f>
        <v>K31.3.4.1_Envasadoras de GLP</v>
      </c>
      <c r="P945" s="254" t="s">
        <v>2876</v>
      </c>
      <c r="Q945" s="292" t="str">
        <f>TablaPOA[[#This Row],[Cod_Sub_acción_especifica]]&amp;"_"&amp;TablaPOA[[#This Row],[Cod_Tipo_agente]]</f>
        <v>K31.3.4.1_TA5</v>
      </c>
      <c r="R945" s="254" t="s">
        <v>2877</v>
      </c>
      <c r="S945" s="255" t="s">
        <v>2878</v>
      </c>
      <c r="T945" s="271" t="s">
        <v>2879</v>
      </c>
    </row>
    <row r="946" spans="1:20" ht="25.5" x14ac:dyDescent="0.25">
      <c r="A946" s="219" t="s">
        <v>2314</v>
      </c>
      <c r="B946" s="227">
        <v>31</v>
      </c>
      <c r="C946" s="227" t="s">
        <v>2691</v>
      </c>
      <c r="D946" s="227" t="s">
        <v>2988</v>
      </c>
      <c r="E946" s="227" t="s">
        <v>3181</v>
      </c>
      <c r="F946" s="227" t="s">
        <v>2696</v>
      </c>
      <c r="G946" s="227" t="s">
        <v>2488</v>
      </c>
      <c r="H946" s="253" t="s">
        <v>3185</v>
      </c>
      <c r="I946" s="253" t="s">
        <v>2741</v>
      </c>
      <c r="J946" s="227" t="s">
        <v>2536</v>
      </c>
      <c r="K946" s="253" t="s">
        <v>3124</v>
      </c>
      <c r="L946" s="253" t="s">
        <v>2741</v>
      </c>
      <c r="M946" s="227" t="s">
        <v>3026</v>
      </c>
      <c r="N946" s="299" t="s">
        <v>2883</v>
      </c>
      <c r="O946" s="292" t="str">
        <f>TablaPOA[[#This Row],[Cod_Sub_acción_especifica]]&amp;"_"&amp;TablaPOA[[#This Row],[Tipo de agente]]</f>
        <v>K31.3.4.1_Envasadoras de GLP</v>
      </c>
      <c r="P946" s="254" t="s">
        <v>2876</v>
      </c>
      <c r="Q946" s="292" t="str">
        <f>TablaPOA[[#This Row],[Cod_Sub_acción_especifica]]&amp;"_"&amp;TablaPOA[[#This Row],[Cod_Tipo_agente]]</f>
        <v>K31.3.4.1_TA5</v>
      </c>
      <c r="R946" s="254" t="s">
        <v>2877</v>
      </c>
      <c r="S946" s="255" t="s">
        <v>2880</v>
      </c>
      <c r="T946" s="271" t="s">
        <v>2881</v>
      </c>
    </row>
    <row r="947" spans="1:20" ht="25.5" x14ac:dyDescent="0.25">
      <c r="A947" s="219" t="s">
        <v>2314</v>
      </c>
      <c r="B947" s="227">
        <v>31</v>
      </c>
      <c r="C947" s="227" t="s">
        <v>2691</v>
      </c>
      <c r="D947" s="227" t="s">
        <v>2988</v>
      </c>
      <c r="E947" s="227" t="s">
        <v>3181</v>
      </c>
      <c r="F947" s="227" t="s">
        <v>2696</v>
      </c>
      <c r="G947" s="227" t="s">
        <v>2488</v>
      </c>
      <c r="H947" s="253" t="s">
        <v>3185</v>
      </c>
      <c r="I947" s="253" t="s">
        <v>2741</v>
      </c>
      <c r="J947" s="227" t="s">
        <v>2536</v>
      </c>
      <c r="K947" s="253" t="s">
        <v>3124</v>
      </c>
      <c r="L947" s="253" t="s">
        <v>2741</v>
      </c>
      <c r="M947" s="227" t="s">
        <v>3026</v>
      </c>
      <c r="N947" s="299" t="s">
        <v>2913</v>
      </c>
      <c r="O947" s="292" t="str">
        <f>TablaPOA[[#This Row],[Cod_Sub_acción_especifica]]&amp;"_"&amp;TablaPOA[[#This Row],[Tipo de agente]]</f>
        <v>K31.3.4.1_EVP combustibles de uso automotor</v>
      </c>
      <c r="P947" s="254" t="s">
        <v>2882</v>
      </c>
      <c r="Q947" s="292" t="str">
        <f>TablaPOA[[#This Row],[Cod_Sub_acción_especifica]]&amp;"_"&amp;TablaPOA[[#This Row],[Cod_Tipo_agente]]</f>
        <v>K31.3.4.1_TA6</v>
      </c>
      <c r="R947" s="254" t="s">
        <v>2883</v>
      </c>
      <c r="S947" s="255" t="s">
        <v>2884</v>
      </c>
      <c r="T947" s="271" t="s">
        <v>2885</v>
      </c>
    </row>
    <row r="948" spans="1:20" ht="25.5" x14ac:dyDescent="0.25">
      <c r="A948" s="219" t="s">
        <v>2314</v>
      </c>
      <c r="B948" s="227">
        <v>31</v>
      </c>
      <c r="C948" s="227" t="s">
        <v>2691</v>
      </c>
      <c r="D948" s="227" t="s">
        <v>2988</v>
      </c>
      <c r="E948" s="227" t="s">
        <v>3181</v>
      </c>
      <c r="F948" s="227" t="s">
        <v>2696</v>
      </c>
      <c r="G948" s="227" t="s">
        <v>2488</v>
      </c>
      <c r="H948" s="253" t="s">
        <v>3185</v>
      </c>
      <c r="I948" s="253" t="s">
        <v>2741</v>
      </c>
      <c r="J948" s="227" t="s">
        <v>2536</v>
      </c>
      <c r="K948" s="253" t="s">
        <v>3124</v>
      </c>
      <c r="L948" s="253" t="s">
        <v>2741</v>
      </c>
      <c r="M948" s="227" t="s">
        <v>3026</v>
      </c>
      <c r="N948" s="299" t="s">
        <v>2919</v>
      </c>
      <c r="O948" s="292" t="str">
        <f>TablaPOA[[#This Row],[Cod_Sub_acción_especifica]]&amp;"_"&amp;TablaPOA[[#This Row],[Tipo de agente]]</f>
        <v>K31.3.4.1_EVP combustibles de uso automotor</v>
      </c>
      <c r="P948" s="254" t="s">
        <v>2882</v>
      </c>
      <c r="Q948" s="292" t="str">
        <f>TablaPOA[[#This Row],[Cod_Sub_acción_especifica]]&amp;"_"&amp;TablaPOA[[#This Row],[Cod_Tipo_agente]]</f>
        <v>K31.3.4.1_TA6</v>
      </c>
      <c r="R948" s="254" t="s">
        <v>2883</v>
      </c>
      <c r="S948" s="255" t="s">
        <v>2886</v>
      </c>
      <c r="T948" s="271" t="s">
        <v>2887</v>
      </c>
    </row>
    <row r="949" spans="1:20" ht="25.5" x14ac:dyDescent="0.25">
      <c r="A949" s="219" t="s">
        <v>2314</v>
      </c>
      <c r="B949" s="227">
        <v>31</v>
      </c>
      <c r="C949" s="227" t="s">
        <v>2691</v>
      </c>
      <c r="D949" s="227" t="s">
        <v>2988</v>
      </c>
      <c r="E949" s="227" t="s">
        <v>3181</v>
      </c>
      <c r="F949" s="227" t="s">
        <v>2696</v>
      </c>
      <c r="G949" s="227" t="s">
        <v>2488</v>
      </c>
      <c r="H949" s="253" t="s">
        <v>3185</v>
      </c>
      <c r="I949" s="253" t="s">
        <v>2741</v>
      </c>
      <c r="J949" s="227" t="s">
        <v>2536</v>
      </c>
      <c r="K949" s="253" t="s">
        <v>3124</v>
      </c>
      <c r="L949" s="253" t="s">
        <v>2741</v>
      </c>
      <c r="M949" s="227" t="s">
        <v>3026</v>
      </c>
      <c r="N949" s="293"/>
      <c r="O949" s="293" t="str">
        <f>TablaPOA[[#This Row],[Cod_Sub_acción_especifica]]&amp;"_"&amp;TablaPOA[[#This Row],[Tipo de agente]]</f>
        <v>K31.3.4.1_EVP combustibles de uso automotor</v>
      </c>
      <c r="P949" s="254" t="s">
        <v>2882</v>
      </c>
      <c r="Q949" s="292" t="str">
        <f>TablaPOA[[#This Row],[Cod_Sub_acción_especifica]]&amp;"_"&amp;TablaPOA[[#This Row],[Cod_Tipo_agente]]</f>
        <v>K31.3.4.1_TA6</v>
      </c>
      <c r="R949" s="254" t="s">
        <v>2883</v>
      </c>
      <c r="S949" s="255" t="s">
        <v>2892</v>
      </c>
      <c r="T949" s="271" t="s">
        <v>2893</v>
      </c>
    </row>
    <row r="950" spans="1:20" ht="25.5" x14ac:dyDescent="0.25">
      <c r="A950" s="219" t="s">
        <v>2314</v>
      </c>
      <c r="B950" s="227">
        <v>31</v>
      </c>
      <c r="C950" s="227" t="s">
        <v>2691</v>
      </c>
      <c r="D950" s="227" t="s">
        <v>2988</v>
      </c>
      <c r="E950" s="227" t="s">
        <v>3181</v>
      </c>
      <c r="F950" s="227" t="s">
        <v>2696</v>
      </c>
      <c r="G950" s="227" t="s">
        <v>2488</v>
      </c>
      <c r="H950" s="253" t="s">
        <v>3185</v>
      </c>
      <c r="I950" s="253" t="s">
        <v>2741</v>
      </c>
      <c r="J950" s="227" t="s">
        <v>2536</v>
      </c>
      <c r="K950" s="253" t="s">
        <v>3124</v>
      </c>
      <c r="L950" s="253" t="s">
        <v>2741</v>
      </c>
      <c r="M950" s="227" t="s">
        <v>3026</v>
      </c>
      <c r="N950" s="293"/>
      <c r="O950" s="293" t="str">
        <f>TablaPOA[[#This Row],[Cod_Sub_acción_especifica]]&amp;"_"&amp;TablaPOA[[#This Row],[Tipo de agente]]</f>
        <v>K31.3.4.1_EVP combustibles de uso automotor</v>
      </c>
      <c r="P950" s="254" t="s">
        <v>2882</v>
      </c>
      <c r="Q950" s="292" t="str">
        <f>TablaPOA[[#This Row],[Cod_Sub_acción_especifica]]&amp;"_"&amp;TablaPOA[[#This Row],[Cod_Tipo_agente]]</f>
        <v>K31.3.4.1_TA6</v>
      </c>
      <c r="R950" s="254" t="s">
        <v>2883</v>
      </c>
      <c r="S950" s="255" t="s">
        <v>2894</v>
      </c>
      <c r="T950" s="271" t="s">
        <v>2895</v>
      </c>
    </row>
    <row r="951" spans="1:20" ht="25.5" x14ac:dyDescent="0.25">
      <c r="A951" s="219" t="s">
        <v>2314</v>
      </c>
      <c r="B951" s="227">
        <v>31</v>
      </c>
      <c r="C951" s="227" t="s">
        <v>2691</v>
      </c>
      <c r="D951" s="227" t="s">
        <v>2988</v>
      </c>
      <c r="E951" s="227" t="s">
        <v>3181</v>
      </c>
      <c r="F951" s="227" t="s">
        <v>2696</v>
      </c>
      <c r="G951" s="227" t="s">
        <v>2488</v>
      </c>
      <c r="H951" s="253" t="s">
        <v>3185</v>
      </c>
      <c r="I951" s="253" t="s">
        <v>2741</v>
      </c>
      <c r="J951" s="227" t="s">
        <v>2536</v>
      </c>
      <c r="K951" s="253" t="s">
        <v>3124</v>
      </c>
      <c r="L951" s="253" t="s">
        <v>2741</v>
      </c>
      <c r="M951" s="227" t="s">
        <v>3026</v>
      </c>
      <c r="N951" s="293"/>
      <c r="O951" s="293" t="str">
        <f>TablaPOA[[#This Row],[Cod_Sub_acción_especifica]]&amp;"_"&amp;TablaPOA[[#This Row],[Tipo de agente]]</f>
        <v>K31.3.4.1_EVP combustibles de uso automotor</v>
      </c>
      <c r="P951" s="254" t="s">
        <v>2882</v>
      </c>
      <c r="Q951" s="292" t="str">
        <f>TablaPOA[[#This Row],[Cod_Sub_acción_especifica]]&amp;"_"&amp;TablaPOA[[#This Row],[Cod_Tipo_agente]]</f>
        <v>K31.3.4.1_TA6</v>
      </c>
      <c r="R951" s="254" t="s">
        <v>2883</v>
      </c>
      <c r="S951" s="255" t="s">
        <v>2896</v>
      </c>
      <c r="T951" s="271" t="s">
        <v>2897</v>
      </c>
    </row>
    <row r="952" spans="1:20" ht="25.5" x14ac:dyDescent="0.25">
      <c r="A952" s="219" t="s">
        <v>2314</v>
      </c>
      <c r="B952" s="227">
        <v>31</v>
      </c>
      <c r="C952" s="227" t="s">
        <v>2691</v>
      </c>
      <c r="D952" s="227" t="s">
        <v>2988</v>
      </c>
      <c r="E952" s="227" t="s">
        <v>3181</v>
      </c>
      <c r="F952" s="227" t="s">
        <v>2696</v>
      </c>
      <c r="G952" s="227" t="s">
        <v>2488</v>
      </c>
      <c r="H952" s="253" t="s">
        <v>3185</v>
      </c>
      <c r="I952" s="253" t="s">
        <v>2741</v>
      </c>
      <c r="J952" s="227" t="s">
        <v>2536</v>
      </c>
      <c r="K952" s="253" t="s">
        <v>3124</v>
      </c>
      <c r="L952" s="253" t="s">
        <v>2741</v>
      </c>
      <c r="M952" s="227" t="s">
        <v>3026</v>
      </c>
      <c r="N952" s="293"/>
      <c r="O952" s="293" t="str">
        <f>TablaPOA[[#This Row],[Cod_Sub_acción_especifica]]&amp;"_"&amp;TablaPOA[[#This Row],[Tipo de agente]]</f>
        <v>K31.3.4.1_EVP combustibles de uso automotor</v>
      </c>
      <c r="P952" s="254" t="s">
        <v>2882</v>
      </c>
      <c r="Q952" s="292" t="str">
        <f>TablaPOA[[#This Row],[Cod_Sub_acción_especifica]]&amp;"_"&amp;TablaPOA[[#This Row],[Cod_Tipo_agente]]</f>
        <v>K31.3.4.1_TA6</v>
      </c>
      <c r="R952" s="254" t="s">
        <v>2883</v>
      </c>
      <c r="S952" s="255" t="s">
        <v>2898</v>
      </c>
      <c r="T952" s="271" t="s">
        <v>2899</v>
      </c>
    </row>
    <row r="953" spans="1:20" ht="25.5" x14ac:dyDescent="0.25">
      <c r="A953" s="219" t="s">
        <v>2314</v>
      </c>
      <c r="B953" s="227">
        <v>31</v>
      </c>
      <c r="C953" s="227" t="s">
        <v>2691</v>
      </c>
      <c r="D953" s="227" t="s">
        <v>2988</v>
      </c>
      <c r="E953" s="227" t="s">
        <v>3181</v>
      </c>
      <c r="F953" s="227" t="s">
        <v>2696</v>
      </c>
      <c r="G953" s="227" t="s">
        <v>2488</v>
      </c>
      <c r="H953" s="253" t="s">
        <v>3185</v>
      </c>
      <c r="I953" s="253" t="s">
        <v>2741</v>
      </c>
      <c r="J953" s="227" t="s">
        <v>2536</v>
      </c>
      <c r="K953" s="253" t="s">
        <v>3124</v>
      </c>
      <c r="L953" s="253" t="s">
        <v>2741</v>
      </c>
      <c r="M953" s="227" t="s">
        <v>3026</v>
      </c>
      <c r="N953" s="293"/>
      <c r="O953" s="293" t="str">
        <f>TablaPOA[[#This Row],[Cod_Sub_acción_especifica]]&amp;"_"&amp;TablaPOA[[#This Row],[Tipo de agente]]</f>
        <v>K31.3.4.1_EVP combustibles de uso automotor</v>
      </c>
      <c r="P953" s="254" t="s">
        <v>2882</v>
      </c>
      <c r="Q953" s="292" t="str">
        <f>TablaPOA[[#This Row],[Cod_Sub_acción_especifica]]&amp;"_"&amp;TablaPOA[[#This Row],[Cod_Tipo_agente]]</f>
        <v>K31.3.4.1_TA6</v>
      </c>
      <c r="R953" s="254" t="s">
        <v>2883</v>
      </c>
      <c r="S953" s="255" t="s">
        <v>2900</v>
      </c>
      <c r="T953" s="271" t="s">
        <v>2901</v>
      </c>
    </row>
    <row r="954" spans="1:20" ht="25.5" x14ac:dyDescent="0.25">
      <c r="A954" s="219" t="s">
        <v>2314</v>
      </c>
      <c r="B954" s="227">
        <v>31</v>
      </c>
      <c r="C954" s="227" t="s">
        <v>2691</v>
      </c>
      <c r="D954" s="227" t="s">
        <v>2988</v>
      </c>
      <c r="E954" s="227" t="s">
        <v>3181</v>
      </c>
      <c r="F954" s="227" t="s">
        <v>2696</v>
      </c>
      <c r="G954" s="227" t="s">
        <v>2488</v>
      </c>
      <c r="H954" s="253" t="s">
        <v>3185</v>
      </c>
      <c r="I954" s="253" t="s">
        <v>2741</v>
      </c>
      <c r="J954" s="227" t="s">
        <v>2536</v>
      </c>
      <c r="K954" s="253" t="s">
        <v>3124</v>
      </c>
      <c r="L954" s="253" t="s">
        <v>2741</v>
      </c>
      <c r="M954" s="227" t="s">
        <v>3026</v>
      </c>
      <c r="N954" s="293"/>
      <c r="O954" s="293" t="str">
        <f>TablaPOA[[#This Row],[Cod_Sub_acción_especifica]]&amp;"_"&amp;TablaPOA[[#This Row],[Tipo de agente]]</f>
        <v>K31.3.4.1_Locales de venta de GLP</v>
      </c>
      <c r="P954" s="254" t="s">
        <v>2912</v>
      </c>
      <c r="Q954" s="292" t="str">
        <f>TablaPOA[[#This Row],[Cod_Sub_acción_especifica]]&amp;"_"&amp;TablaPOA[[#This Row],[Cod_Tipo_agente]]</f>
        <v>K31.3.4.1_TA8</v>
      </c>
      <c r="R954" s="254" t="s">
        <v>2913</v>
      </c>
      <c r="S954" s="255" t="s">
        <v>2914</v>
      </c>
      <c r="T954" s="271" t="s">
        <v>2915</v>
      </c>
    </row>
    <row r="955" spans="1:20" ht="25.5" x14ac:dyDescent="0.25">
      <c r="A955" s="219" t="s">
        <v>2314</v>
      </c>
      <c r="B955" s="227">
        <v>31</v>
      </c>
      <c r="C955" s="227" t="s">
        <v>2691</v>
      </c>
      <c r="D955" s="227" t="s">
        <v>2988</v>
      </c>
      <c r="E955" s="227" t="s">
        <v>3181</v>
      </c>
      <c r="F955" s="227" t="s">
        <v>2696</v>
      </c>
      <c r="G955" s="227" t="s">
        <v>2488</v>
      </c>
      <c r="H955" s="253" t="s">
        <v>3185</v>
      </c>
      <c r="I955" s="253" t="s">
        <v>2741</v>
      </c>
      <c r="J955" s="227" t="s">
        <v>2536</v>
      </c>
      <c r="K955" s="253" t="s">
        <v>3124</v>
      </c>
      <c r="L955" s="253" t="s">
        <v>2741</v>
      </c>
      <c r="M955" s="227" t="s">
        <v>3026</v>
      </c>
      <c r="N955" s="293"/>
      <c r="O955" s="293" t="str">
        <f>TablaPOA[[#This Row],[Cod_Sub_acción_especifica]]&amp;"_"&amp;TablaPOA[[#This Row],[Tipo de agente]]</f>
        <v>K31.3.4.1_Medios de transporte</v>
      </c>
      <c r="P955" s="254" t="s">
        <v>2918</v>
      </c>
      <c r="Q955" s="292" t="str">
        <f>TablaPOA[[#This Row],[Cod_Sub_acción_especifica]]&amp;"_"&amp;TablaPOA[[#This Row],[Cod_Tipo_agente]]</f>
        <v>K31.3.4.1_TA9</v>
      </c>
      <c r="R955" s="254" t="s">
        <v>2919</v>
      </c>
      <c r="S955" s="255" t="s">
        <v>2932</v>
      </c>
      <c r="T955" s="271" t="s">
        <v>2933</v>
      </c>
    </row>
    <row r="956" spans="1:20" ht="25.5" x14ac:dyDescent="0.25">
      <c r="A956" s="268" t="s">
        <v>2314</v>
      </c>
      <c r="B956" s="248">
        <v>31</v>
      </c>
      <c r="C956" s="248" t="s">
        <v>2691</v>
      </c>
      <c r="D956" s="248" t="s">
        <v>2988</v>
      </c>
      <c r="E956" s="248" t="s">
        <v>3181</v>
      </c>
      <c r="F956" s="248" t="s">
        <v>2696</v>
      </c>
      <c r="G956" s="248" t="s">
        <v>2488</v>
      </c>
      <c r="H956" s="249" t="s">
        <v>3186</v>
      </c>
      <c r="I956" s="249" t="s">
        <v>2742</v>
      </c>
      <c r="J956" s="258" t="s">
        <v>2743</v>
      </c>
      <c r="K956" s="249" t="s">
        <v>3125</v>
      </c>
      <c r="L956" s="249" t="s">
        <v>2742</v>
      </c>
      <c r="M956" s="248" t="s">
        <v>2541</v>
      </c>
      <c r="N956" s="299" t="s">
        <v>2877</v>
      </c>
      <c r="O956" s="292" t="str">
        <f>TablaPOA[[#This Row],[Cod_Sub_acción_especifica]]&amp;"_"&amp;TablaPOA[[#This Row],[Tipo de agente]]</f>
        <v>K31.3.5.1_Envasadoras de GLP</v>
      </c>
      <c r="P956" s="250" t="s">
        <v>2876</v>
      </c>
      <c r="Q956" s="292" t="str">
        <f>TablaPOA[[#This Row],[Cod_Sub_acción_especifica]]&amp;"_"&amp;TablaPOA[[#This Row],[Cod_Tipo_agente]]</f>
        <v>K31.3.5.1_TA5</v>
      </c>
      <c r="R956" s="250" t="s">
        <v>2877</v>
      </c>
      <c r="S956" s="251" t="s">
        <v>2878</v>
      </c>
      <c r="T956" s="269" t="s">
        <v>2879</v>
      </c>
    </row>
    <row r="957" spans="1:20" ht="25.5" x14ac:dyDescent="0.25">
      <c r="A957" s="268" t="s">
        <v>2314</v>
      </c>
      <c r="B957" s="248">
        <v>31</v>
      </c>
      <c r="C957" s="248" t="s">
        <v>2691</v>
      </c>
      <c r="D957" s="248" t="s">
        <v>2988</v>
      </c>
      <c r="E957" s="248" t="s">
        <v>3181</v>
      </c>
      <c r="F957" s="248" t="s">
        <v>2696</v>
      </c>
      <c r="G957" s="248" t="s">
        <v>2488</v>
      </c>
      <c r="H957" s="249" t="s">
        <v>3186</v>
      </c>
      <c r="I957" s="249" t="s">
        <v>2742</v>
      </c>
      <c r="J957" s="258" t="s">
        <v>2743</v>
      </c>
      <c r="K957" s="249" t="s">
        <v>3125</v>
      </c>
      <c r="L957" s="249" t="s">
        <v>2742</v>
      </c>
      <c r="M957" s="248" t="s">
        <v>2541</v>
      </c>
      <c r="N957" s="299" t="s">
        <v>2883</v>
      </c>
      <c r="O957" s="292" t="str">
        <f>TablaPOA[[#This Row],[Cod_Sub_acción_especifica]]&amp;"_"&amp;TablaPOA[[#This Row],[Tipo de agente]]</f>
        <v>K31.3.5.1_Envasadoras de GLP</v>
      </c>
      <c r="P957" s="250" t="s">
        <v>2876</v>
      </c>
      <c r="Q957" s="292" t="str">
        <f>TablaPOA[[#This Row],[Cod_Sub_acción_especifica]]&amp;"_"&amp;TablaPOA[[#This Row],[Cod_Tipo_agente]]</f>
        <v>K31.3.5.1_TA5</v>
      </c>
      <c r="R957" s="250" t="s">
        <v>2877</v>
      </c>
      <c r="S957" s="251" t="s">
        <v>2880</v>
      </c>
      <c r="T957" s="269" t="s">
        <v>2881</v>
      </c>
    </row>
    <row r="958" spans="1:20" ht="25.5" x14ac:dyDescent="0.25">
      <c r="A958" s="268" t="s">
        <v>2314</v>
      </c>
      <c r="B958" s="248">
        <v>31</v>
      </c>
      <c r="C958" s="248" t="s">
        <v>2691</v>
      </c>
      <c r="D958" s="248" t="s">
        <v>2988</v>
      </c>
      <c r="E958" s="248" t="s">
        <v>3181</v>
      </c>
      <c r="F958" s="248" t="s">
        <v>2696</v>
      </c>
      <c r="G958" s="248" t="s">
        <v>2488</v>
      </c>
      <c r="H958" s="249" t="s">
        <v>3186</v>
      </c>
      <c r="I958" s="249" t="s">
        <v>2742</v>
      </c>
      <c r="J958" s="258" t="s">
        <v>2743</v>
      </c>
      <c r="K958" s="249" t="s">
        <v>3125</v>
      </c>
      <c r="L958" s="249" t="s">
        <v>2742</v>
      </c>
      <c r="M958" s="248" t="s">
        <v>2541</v>
      </c>
      <c r="N958" s="299" t="s">
        <v>2913</v>
      </c>
      <c r="O958" s="292" t="str">
        <f>TablaPOA[[#This Row],[Cod_Sub_acción_especifica]]&amp;"_"&amp;TablaPOA[[#This Row],[Tipo de agente]]</f>
        <v>K31.3.5.1_EVP combustibles de uso automotor</v>
      </c>
      <c r="P958" s="250" t="s">
        <v>2882</v>
      </c>
      <c r="Q958" s="292" t="str">
        <f>TablaPOA[[#This Row],[Cod_Sub_acción_especifica]]&amp;"_"&amp;TablaPOA[[#This Row],[Cod_Tipo_agente]]</f>
        <v>K31.3.5.1_TA6</v>
      </c>
      <c r="R958" s="250" t="s">
        <v>2883</v>
      </c>
      <c r="S958" s="251" t="s">
        <v>2884</v>
      </c>
      <c r="T958" s="269" t="s">
        <v>2885</v>
      </c>
    </row>
    <row r="959" spans="1:20" ht="25.5" x14ac:dyDescent="0.25">
      <c r="A959" s="268" t="s">
        <v>2314</v>
      </c>
      <c r="B959" s="248">
        <v>31</v>
      </c>
      <c r="C959" s="248" t="s">
        <v>2691</v>
      </c>
      <c r="D959" s="248" t="s">
        <v>2988</v>
      </c>
      <c r="E959" s="248" t="s">
        <v>3181</v>
      </c>
      <c r="F959" s="248" t="s">
        <v>2696</v>
      </c>
      <c r="G959" s="248" t="s">
        <v>2488</v>
      </c>
      <c r="H959" s="249" t="s">
        <v>3186</v>
      </c>
      <c r="I959" s="249" t="s">
        <v>2742</v>
      </c>
      <c r="J959" s="258" t="s">
        <v>2743</v>
      </c>
      <c r="K959" s="249" t="s">
        <v>3125</v>
      </c>
      <c r="L959" s="249" t="s">
        <v>2742</v>
      </c>
      <c r="M959" s="248" t="s">
        <v>2541</v>
      </c>
      <c r="N959" s="293"/>
      <c r="O959" s="293" t="str">
        <f>TablaPOA[[#This Row],[Cod_Sub_acción_especifica]]&amp;"_"&amp;TablaPOA[[#This Row],[Tipo de agente]]</f>
        <v>K31.3.5.1_EVP combustibles de uso automotor</v>
      </c>
      <c r="P959" s="250" t="s">
        <v>2882</v>
      </c>
      <c r="Q959" s="292" t="str">
        <f>TablaPOA[[#This Row],[Cod_Sub_acción_especifica]]&amp;"_"&amp;TablaPOA[[#This Row],[Cod_Tipo_agente]]</f>
        <v>K31.3.5.1_TA6</v>
      </c>
      <c r="R959" s="250" t="s">
        <v>2883</v>
      </c>
      <c r="S959" s="251" t="s">
        <v>2886</v>
      </c>
      <c r="T959" s="269" t="s">
        <v>2887</v>
      </c>
    </row>
    <row r="960" spans="1:20" ht="25.5" x14ac:dyDescent="0.25">
      <c r="A960" s="268" t="s">
        <v>2314</v>
      </c>
      <c r="B960" s="248">
        <v>31</v>
      </c>
      <c r="C960" s="248" t="s">
        <v>2691</v>
      </c>
      <c r="D960" s="248" t="s">
        <v>2988</v>
      </c>
      <c r="E960" s="248" t="s">
        <v>3181</v>
      </c>
      <c r="F960" s="248" t="s">
        <v>2696</v>
      </c>
      <c r="G960" s="248" t="s">
        <v>2488</v>
      </c>
      <c r="H960" s="249" t="s">
        <v>3186</v>
      </c>
      <c r="I960" s="249" t="s">
        <v>2742</v>
      </c>
      <c r="J960" s="258" t="s">
        <v>2743</v>
      </c>
      <c r="K960" s="249" t="s">
        <v>3125</v>
      </c>
      <c r="L960" s="249" t="s">
        <v>2742</v>
      </c>
      <c r="M960" s="248" t="s">
        <v>2541</v>
      </c>
      <c r="N960" s="293"/>
      <c r="O960" s="293" t="str">
        <f>TablaPOA[[#This Row],[Cod_Sub_acción_especifica]]&amp;"_"&amp;TablaPOA[[#This Row],[Tipo de agente]]</f>
        <v>K31.3.5.1_EVP combustibles de uso automotor</v>
      </c>
      <c r="P960" s="250" t="s">
        <v>2882</v>
      </c>
      <c r="Q960" s="292" t="str">
        <f>TablaPOA[[#This Row],[Cod_Sub_acción_especifica]]&amp;"_"&amp;TablaPOA[[#This Row],[Cod_Tipo_agente]]</f>
        <v>K31.3.5.1_TA6</v>
      </c>
      <c r="R960" s="250" t="s">
        <v>2883</v>
      </c>
      <c r="S960" s="251" t="s">
        <v>2892</v>
      </c>
      <c r="T960" s="269" t="s">
        <v>2893</v>
      </c>
    </row>
    <row r="961" spans="1:20" ht="25.5" x14ac:dyDescent="0.25">
      <c r="A961" s="268" t="s">
        <v>2314</v>
      </c>
      <c r="B961" s="248">
        <v>31</v>
      </c>
      <c r="C961" s="248" t="s">
        <v>2691</v>
      </c>
      <c r="D961" s="248" t="s">
        <v>2988</v>
      </c>
      <c r="E961" s="248" t="s">
        <v>3181</v>
      </c>
      <c r="F961" s="248" t="s">
        <v>2696</v>
      </c>
      <c r="G961" s="248" t="s">
        <v>2488</v>
      </c>
      <c r="H961" s="249" t="s">
        <v>3186</v>
      </c>
      <c r="I961" s="249" t="s">
        <v>2742</v>
      </c>
      <c r="J961" s="258" t="s">
        <v>2743</v>
      </c>
      <c r="K961" s="249" t="s">
        <v>3125</v>
      </c>
      <c r="L961" s="249" t="s">
        <v>2742</v>
      </c>
      <c r="M961" s="248" t="s">
        <v>2541</v>
      </c>
      <c r="N961" s="293"/>
      <c r="O961" s="293" t="str">
        <f>TablaPOA[[#This Row],[Cod_Sub_acción_especifica]]&amp;"_"&amp;TablaPOA[[#This Row],[Tipo de agente]]</f>
        <v>K31.3.5.1_EVP combustibles de uso automotor</v>
      </c>
      <c r="P961" s="250" t="s">
        <v>2882</v>
      </c>
      <c r="Q961" s="292" t="str">
        <f>TablaPOA[[#This Row],[Cod_Sub_acción_especifica]]&amp;"_"&amp;TablaPOA[[#This Row],[Cod_Tipo_agente]]</f>
        <v>K31.3.5.1_TA6</v>
      </c>
      <c r="R961" s="250" t="s">
        <v>2883</v>
      </c>
      <c r="S961" s="251" t="s">
        <v>2894</v>
      </c>
      <c r="T961" s="269" t="s">
        <v>2895</v>
      </c>
    </row>
    <row r="962" spans="1:20" ht="25.5" x14ac:dyDescent="0.25">
      <c r="A962" s="268" t="s">
        <v>2314</v>
      </c>
      <c r="B962" s="248">
        <v>31</v>
      </c>
      <c r="C962" s="248" t="s">
        <v>2691</v>
      </c>
      <c r="D962" s="248" t="s">
        <v>2988</v>
      </c>
      <c r="E962" s="248" t="s">
        <v>3181</v>
      </c>
      <c r="F962" s="248" t="s">
        <v>2696</v>
      </c>
      <c r="G962" s="248" t="s">
        <v>2488</v>
      </c>
      <c r="H962" s="249" t="s">
        <v>3186</v>
      </c>
      <c r="I962" s="249" t="s">
        <v>2742</v>
      </c>
      <c r="J962" s="258" t="s">
        <v>2743</v>
      </c>
      <c r="K962" s="249" t="s">
        <v>3125</v>
      </c>
      <c r="L962" s="249" t="s">
        <v>2742</v>
      </c>
      <c r="M962" s="248" t="s">
        <v>2541</v>
      </c>
      <c r="N962" s="293"/>
      <c r="O962" s="293" t="str">
        <f>TablaPOA[[#This Row],[Cod_Sub_acción_especifica]]&amp;"_"&amp;TablaPOA[[#This Row],[Tipo de agente]]</f>
        <v>K31.3.5.1_EVP combustibles de uso automotor</v>
      </c>
      <c r="P962" s="250" t="s">
        <v>2882</v>
      </c>
      <c r="Q962" s="292" t="str">
        <f>TablaPOA[[#This Row],[Cod_Sub_acción_especifica]]&amp;"_"&amp;TablaPOA[[#This Row],[Cod_Tipo_agente]]</f>
        <v>K31.3.5.1_TA6</v>
      </c>
      <c r="R962" s="250" t="s">
        <v>2883</v>
      </c>
      <c r="S962" s="251" t="s">
        <v>2896</v>
      </c>
      <c r="T962" s="269" t="s">
        <v>2897</v>
      </c>
    </row>
    <row r="963" spans="1:20" ht="25.5" x14ac:dyDescent="0.25">
      <c r="A963" s="268" t="s">
        <v>2314</v>
      </c>
      <c r="B963" s="248">
        <v>31</v>
      </c>
      <c r="C963" s="248" t="s">
        <v>2691</v>
      </c>
      <c r="D963" s="248" t="s">
        <v>2988</v>
      </c>
      <c r="E963" s="248" t="s">
        <v>3181</v>
      </c>
      <c r="F963" s="248" t="s">
        <v>2696</v>
      </c>
      <c r="G963" s="248" t="s">
        <v>2488</v>
      </c>
      <c r="H963" s="249" t="s">
        <v>3186</v>
      </c>
      <c r="I963" s="249" t="s">
        <v>2742</v>
      </c>
      <c r="J963" s="258" t="s">
        <v>2743</v>
      </c>
      <c r="K963" s="249" t="s">
        <v>3125</v>
      </c>
      <c r="L963" s="249" t="s">
        <v>2742</v>
      </c>
      <c r="M963" s="248" t="s">
        <v>2541</v>
      </c>
      <c r="N963" s="293"/>
      <c r="O963" s="293" t="str">
        <f>TablaPOA[[#This Row],[Cod_Sub_acción_especifica]]&amp;"_"&amp;TablaPOA[[#This Row],[Tipo de agente]]</f>
        <v>K31.3.5.1_EVP combustibles de uso automotor</v>
      </c>
      <c r="P963" s="250" t="s">
        <v>2882</v>
      </c>
      <c r="Q963" s="292" t="str">
        <f>TablaPOA[[#This Row],[Cod_Sub_acción_especifica]]&amp;"_"&amp;TablaPOA[[#This Row],[Cod_Tipo_agente]]</f>
        <v>K31.3.5.1_TA6</v>
      </c>
      <c r="R963" s="250" t="s">
        <v>2883</v>
      </c>
      <c r="S963" s="251" t="s">
        <v>2898</v>
      </c>
      <c r="T963" s="269" t="s">
        <v>2899</v>
      </c>
    </row>
    <row r="964" spans="1:20" ht="25.5" x14ac:dyDescent="0.25">
      <c r="A964" s="268" t="s">
        <v>2314</v>
      </c>
      <c r="B964" s="248">
        <v>31</v>
      </c>
      <c r="C964" s="248" t="s">
        <v>2691</v>
      </c>
      <c r="D964" s="248" t="s">
        <v>2988</v>
      </c>
      <c r="E964" s="248" t="s">
        <v>3181</v>
      </c>
      <c r="F964" s="248" t="s">
        <v>2696</v>
      </c>
      <c r="G964" s="248" t="s">
        <v>2488</v>
      </c>
      <c r="H964" s="249" t="s">
        <v>3186</v>
      </c>
      <c r="I964" s="249" t="s">
        <v>2742</v>
      </c>
      <c r="J964" s="258" t="s">
        <v>2743</v>
      </c>
      <c r="K964" s="249" t="s">
        <v>3125</v>
      </c>
      <c r="L964" s="249" t="s">
        <v>2742</v>
      </c>
      <c r="M964" s="248" t="s">
        <v>2541</v>
      </c>
      <c r="N964" s="293"/>
      <c r="O964" s="293" t="str">
        <f>TablaPOA[[#This Row],[Cod_Sub_acción_especifica]]&amp;"_"&amp;TablaPOA[[#This Row],[Tipo de agente]]</f>
        <v>K31.3.5.1_EVP combustibles de uso automotor</v>
      </c>
      <c r="P964" s="250" t="s">
        <v>2882</v>
      </c>
      <c r="Q964" s="292" t="str">
        <f>TablaPOA[[#This Row],[Cod_Sub_acción_especifica]]&amp;"_"&amp;TablaPOA[[#This Row],[Cod_Tipo_agente]]</f>
        <v>K31.3.5.1_TA6</v>
      </c>
      <c r="R964" s="250" t="s">
        <v>2883</v>
      </c>
      <c r="S964" s="251" t="s">
        <v>2900</v>
      </c>
      <c r="T964" s="269" t="s">
        <v>2901</v>
      </c>
    </row>
    <row r="965" spans="1:20" ht="25.5" x14ac:dyDescent="0.25">
      <c r="A965" s="268" t="s">
        <v>2314</v>
      </c>
      <c r="B965" s="248">
        <v>31</v>
      </c>
      <c r="C965" s="248" t="s">
        <v>2691</v>
      </c>
      <c r="D965" s="248" t="s">
        <v>2988</v>
      </c>
      <c r="E965" s="248" t="s">
        <v>3181</v>
      </c>
      <c r="F965" s="248" t="s">
        <v>2696</v>
      </c>
      <c r="G965" s="248" t="s">
        <v>2488</v>
      </c>
      <c r="H965" s="249" t="s">
        <v>3186</v>
      </c>
      <c r="I965" s="249" t="s">
        <v>2742</v>
      </c>
      <c r="J965" s="258" t="s">
        <v>2743</v>
      </c>
      <c r="K965" s="249" t="s">
        <v>3125</v>
      </c>
      <c r="L965" s="249" t="s">
        <v>2742</v>
      </c>
      <c r="M965" s="248" t="s">
        <v>2541</v>
      </c>
      <c r="N965" s="293"/>
      <c r="O965" s="293" t="str">
        <f>TablaPOA[[#This Row],[Cod_Sub_acción_especifica]]&amp;"_"&amp;TablaPOA[[#This Row],[Tipo de agente]]</f>
        <v>K31.3.5.1_Locales de venta de GLP</v>
      </c>
      <c r="P965" s="250" t="s">
        <v>2912</v>
      </c>
      <c r="Q965" s="292" t="str">
        <f>TablaPOA[[#This Row],[Cod_Sub_acción_especifica]]&amp;"_"&amp;TablaPOA[[#This Row],[Cod_Tipo_agente]]</f>
        <v>K31.3.5.1_TA8</v>
      </c>
      <c r="R965" s="250" t="s">
        <v>2913</v>
      </c>
      <c r="S965" s="251" t="s">
        <v>2914</v>
      </c>
      <c r="T965" s="269" t="s">
        <v>2915</v>
      </c>
    </row>
    <row r="966" spans="1:20" ht="25.5" x14ac:dyDescent="0.25">
      <c r="A966" s="268" t="s">
        <v>2314</v>
      </c>
      <c r="B966" s="248">
        <v>31</v>
      </c>
      <c r="C966" s="248" t="s">
        <v>2691</v>
      </c>
      <c r="D966" s="248" t="s">
        <v>2988</v>
      </c>
      <c r="E966" s="248" t="s">
        <v>3181</v>
      </c>
      <c r="F966" s="248" t="s">
        <v>2696</v>
      </c>
      <c r="G966" s="248" t="s">
        <v>2488</v>
      </c>
      <c r="H966" s="249" t="s">
        <v>3186</v>
      </c>
      <c r="I966" s="249" t="s">
        <v>2742</v>
      </c>
      <c r="J966" s="258" t="s">
        <v>2743</v>
      </c>
      <c r="K966" s="249" t="s">
        <v>3125</v>
      </c>
      <c r="L966" s="249" t="s">
        <v>2742</v>
      </c>
      <c r="M966" s="248" t="s">
        <v>2541</v>
      </c>
      <c r="N966" s="293"/>
      <c r="O966" s="293" t="str">
        <f>TablaPOA[[#This Row],[Cod_Sub_acción_especifica]]&amp;"_"&amp;TablaPOA[[#This Row],[Tipo de agente]]</f>
        <v>K31.3.5.1_Locales de venta de GLP</v>
      </c>
      <c r="P966" s="250" t="s">
        <v>2912</v>
      </c>
      <c r="Q966" s="292" t="str">
        <f>TablaPOA[[#This Row],[Cod_Sub_acción_especifica]]&amp;"_"&amp;TablaPOA[[#This Row],[Cod_Tipo_agente]]</f>
        <v>K31.3.5.1_TA8</v>
      </c>
      <c r="R966" s="250" t="s">
        <v>2913</v>
      </c>
      <c r="S966" s="251" t="s">
        <v>2916</v>
      </c>
      <c r="T966" s="269" t="s">
        <v>2917</v>
      </c>
    </row>
    <row r="967" spans="1:20" ht="25.5" x14ac:dyDescent="0.25">
      <c r="A967" s="219" t="s">
        <v>2314</v>
      </c>
      <c r="B967" s="227">
        <v>31</v>
      </c>
      <c r="C967" s="227" t="s">
        <v>2691</v>
      </c>
      <c r="D967" s="227" t="s">
        <v>2988</v>
      </c>
      <c r="E967" s="227" t="s">
        <v>3181</v>
      </c>
      <c r="F967" s="227" t="s">
        <v>2696</v>
      </c>
      <c r="G967" s="227" t="s">
        <v>2488</v>
      </c>
      <c r="H967" s="253" t="s">
        <v>3187</v>
      </c>
      <c r="I967" s="253" t="s">
        <v>2744</v>
      </c>
      <c r="J967" s="227" t="s">
        <v>2537</v>
      </c>
      <c r="K967" s="253" t="s">
        <v>3126</v>
      </c>
      <c r="L967" s="253" t="s">
        <v>2744</v>
      </c>
      <c r="M967" s="227" t="s">
        <v>3027</v>
      </c>
      <c r="N967" s="299" t="s">
        <v>2883</v>
      </c>
      <c r="O967" s="292" t="str">
        <f>TablaPOA[[#This Row],[Cod_Sub_acción_especifica]]&amp;"_"&amp;TablaPOA[[#This Row],[Tipo de agente]]</f>
        <v>K31.3.6.1_EVP combustibles de uso automotor</v>
      </c>
      <c r="P967" s="254" t="s">
        <v>2882</v>
      </c>
      <c r="Q967" s="292" t="str">
        <f>TablaPOA[[#This Row],[Cod_Sub_acción_especifica]]&amp;"_"&amp;TablaPOA[[#This Row],[Cod_Tipo_agente]]</f>
        <v>K31.3.6.1_TA6</v>
      </c>
      <c r="R967" s="254" t="s">
        <v>2883</v>
      </c>
      <c r="S967" s="255" t="s">
        <v>2884</v>
      </c>
      <c r="T967" s="271" t="s">
        <v>2885</v>
      </c>
    </row>
    <row r="968" spans="1:20" ht="25.5" x14ac:dyDescent="0.25">
      <c r="A968" s="219" t="s">
        <v>2314</v>
      </c>
      <c r="B968" s="227">
        <v>31</v>
      </c>
      <c r="C968" s="227" t="s">
        <v>2691</v>
      </c>
      <c r="D968" s="227" t="s">
        <v>2988</v>
      </c>
      <c r="E968" s="227" t="s">
        <v>3181</v>
      </c>
      <c r="F968" s="227" t="s">
        <v>2696</v>
      </c>
      <c r="G968" s="227" t="s">
        <v>2488</v>
      </c>
      <c r="H968" s="253" t="s">
        <v>3187</v>
      </c>
      <c r="I968" s="253" t="s">
        <v>2744</v>
      </c>
      <c r="J968" s="227" t="s">
        <v>2537</v>
      </c>
      <c r="K968" s="253" t="s">
        <v>3126</v>
      </c>
      <c r="L968" s="253" t="s">
        <v>2744</v>
      </c>
      <c r="M968" s="227" t="s">
        <v>3027</v>
      </c>
      <c r="N968" s="299" t="s">
        <v>2951</v>
      </c>
      <c r="O968" s="292" t="str">
        <f>TablaPOA[[#This Row],[Cod_Sub_acción_especifica]]&amp;"_"&amp;TablaPOA[[#This Row],[Tipo de agente]]</f>
        <v>K31.3.6.1_EVP combustibles de uso automotor</v>
      </c>
      <c r="P968" s="254" t="s">
        <v>2882</v>
      </c>
      <c r="Q968" s="292" t="str">
        <f>TablaPOA[[#This Row],[Cod_Sub_acción_especifica]]&amp;"_"&amp;TablaPOA[[#This Row],[Cod_Tipo_agente]]</f>
        <v>K31.3.6.1_TA6</v>
      </c>
      <c r="R968" s="254" t="s">
        <v>2883</v>
      </c>
      <c r="S968" s="255" t="s">
        <v>2886</v>
      </c>
      <c r="T968" s="271" t="s">
        <v>2887</v>
      </c>
    </row>
    <row r="969" spans="1:20" ht="25.5" x14ac:dyDescent="0.25">
      <c r="A969" s="219" t="s">
        <v>2314</v>
      </c>
      <c r="B969" s="227">
        <v>31</v>
      </c>
      <c r="C969" s="227" t="s">
        <v>2691</v>
      </c>
      <c r="D969" s="227" t="s">
        <v>2988</v>
      </c>
      <c r="E969" s="227" t="s">
        <v>3181</v>
      </c>
      <c r="F969" s="227" t="s">
        <v>2696</v>
      </c>
      <c r="G969" s="227" t="s">
        <v>2488</v>
      </c>
      <c r="H969" s="253" t="s">
        <v>3187</v>
      </c>
      <c r="I969" s="253" t="s">
        <v>2744</v>
      </c>
      <c r="J969" s="227" t="s">
        <v>2537</v>
      </c>
      <c r="K969" s="253" t="s">
        <v>3126</v>
      </c>
      <c r="L969" s="253" t="s">
        <v>2744</v>
      </c>
      <c r="M969" s="227" t="s">
        <v>3027</v>
      </c>
      <c r="N969" s="299" t="s">
        <v>2963</v>
      </c>
      <c r="O969" s="292" t="str">
        <f>TablaPOA[[#This Row],[Cod_Sub_acción_especifica]]&amp;"_"&amp;TablaPOA[[#This Row],[Tipo de agente]]</f>
        <v>K31.3.6.1_EVP combustibles de uso automotor</v>
      </c>
      <c r="P969" s="254" t="s">
        <v>2882</v>
      </c>
      <c r="Q969" s="292" t="str">
        <f>TablaPOA[[#This Row],[Cod_Sub_acción_especifica]]&amp;"_"&amp;TablaPOA[[#This Row],[Cod_Tipo_agente]]</f>
        <v>K31.3.6.1_TA6</v>
      </c>
      <c r="R969" s="254" t="s">
        <v>2883</v>
      </c>
      <c r="S969" s="255" t="s">
        <v>2888</v>
      </c>
      <c r="T969" s="271" t="s">
        <v>2889</v>
      </c>
    </row>
    <row r="970" spans="1:20" ht="25.5" x14ac:dyDescent="0.25">
      <c r="A970" s="219" t="s">
        <v>2314</v>
      </c>
      <c r="B970" s="227">
        <v>31</v>
      </c>
      <c r="C970" s="227" t="s">
        <v>2691</v>
      </c>
      <c r="D970" s="227" t="s">
        <v>2988</v>
      </c>
      <c r="E970" s="227" t="s">
        <v>3181</v>
      </c>
      <c r="F970" s="227" t="s">
        <v>2696</v>
      </c>
      <c r="G970" s="227" t="s">
        <v>2488</v>
      </c>
      <c r="H970" s="253" t="s">
        <v>3187</v>
      </c>
      <c r="I970" s="253" t="s">
        <v>2744</v>
      </c>
      <c r="J970" s="227" t="s">
        <v>2537</v>
      </c>
      <c r="K970" s="253" t="s">
        <v>3126</v>
      </c>
      <c r="L970" s="253" t="s">
        <v>2744</v>
      </c>
      <c r="M970" s="227" t="s">
        <v>3027</v>
      </c>
      <c r="N970" s="293"/>
      <c r="O970" s="293" t="str">
        <f>TablaPOA[[#This Row],[Cod_Sub_acción_especifica]]&amp;"_"&amp;TablaPOA[[#This Row],[Tipo de agente]]</f>
        <v>K31.3.6.1_EVP combustibles de uso automotor</v>
      </c>
      <c r="P970" s="254" t="s">
        <v>2882</v>
      </c>
      <c r="Q970" s="292" t="str">
        <f>TablaPOA[[#This Row],[Cod_Sub_acción_especifica]]&amp;"_"&amp;TablaPOA[[#This Row],[Cod_Tipo_agente]]</f>
        <v>K31.3.6.1_TA6</v>
      </c>
      <c r="R970" s="254" t="s">
        <v>2883</v>
      </c>
      <c r="S970" s="255" t="s">
        <v>2890</v>
      </c>
      <c r="T970" s="271" t="s">
        <v>2891</v>
      </c>
    </row>
    <row r="971" spans="1:20" ht="25.5" x14ac:dyDescent="0.25">
      <c r="A971" s="219" t="s">
        <v>2314</v>
      </c>
      <c r="B971" s="227">
        <v>31</v>
      </c>
      <c r="C971" s="227" t="s">
        <v>2691</v>
      </c>
      <c r="D971" s="227" t="s">
        <v>2988</v>
      </c>
      <c r="E971" s="227" t="s">
        <v>3181</v>
      </c>
      <c r="F971" s="227" t="s">
        <v>2696</v>
      </c>
      <c r="G971" s="227" t="s">
        <v>2488</v>
      </c>
      <c r="H971" s="253" t="s">
        <v>3187</v>
      </c>
      <c r="I971" s="253" t="s">
        <v>2744</v>
      </c>
      <c r="J971" s="227" t="s">
        <v>2537</v>
      </c>
      <c r="K971" s="253" t="s">
        <v>3126</v>
      </c>
      <c r="L971" s="253" t="s">
        <v>2744</v>
      </c>
      <c r="M971" s="227" t="s">
        <v>3027</v>
      </c>
      <c r="N971" s="293"/>
      <c r="O971" s="293" t="str">
        <f>TablaPOA[[#This Row],[Cod_Sub_acción_especifica]]&amp;"_"&amp;TablaPOA[[#This Row],[Tipo de agente]]</f>
        <v>K31.3.6.1_EVP combustibles de uso automotor</v>
      </c>
      <c r="P971" s="254" t="s">
        <v>2882</v>
      </c>
      <c r="Q971" s="292" t="str">
        <f>TablaPOA[[#This Row],[Cod_Sub_acción_especifica]]&amp;"_"&amp;TablaPOA[[#This Row],[Cod_Tipo_agente]]</f>
        <v>K31.3.6.1_TA6</v>
      </c>
      <c r="R971" s="254" t="s">
        <v>2883</v>
      </c>
      <c r="S971" s="255" t="s">
        <v>2892</v>
      </c>
      <c r="T971" s="271" t="s">
        <v>2893</v>
      </c>
    </row>
    <row r="972" spans="1:20" ht="25.5" x14ac:dyDescent="0.25">
      <c r="A972" s="219" t="s">
        <v>2314</v>
      </c>
      <c r="B972" s="227">
        <v>31</v>
      </c>
      <c r="C972" s="227" t="s">
        <v>2691</v>
      </c>
      <c r="D972" s="227" t="s">
        <v>2988</v>
      </c>
      <c r="E972" s="227" t="s">
        <v>3181</v>
      </c>
      <c r="F972" s="227" t="s">
        <v>2696</v>
      </c>
      <c r="G972" s="227" t="s">
        <v>2488</v>
      </c>
      <c r="H972" s="253" t="s">
        <v>3187</v>
      </c>
      <c r="I972" s="253" t="s">
        <v>2744</v>
      </c>
      <c r="J972" s="227" t="s">
        <v>2537</v>
      </c>
      <c r="K972" s="253" t="s">
        <v>3126</v>
      </c>
      <c r="L972" s="253" t="s">
        <v>2744</v>
      </c>
      <c r="M972" s="227" t="s">
        <v>3027</v>
      </c>
      <c r="N972" s="293"/>
      <c r="O972" s="293" t="str">
        <f>TablaPOA[[#This Row],[Cod_Sub_acción_especifica]]&amp;"_"&amp;TablaPOA[[#This Row],[Tipo de agente]]</f>
        <v>K31.3.6.1_EVP combustibles de uso automotor</v>
      </c>
      <c r="P972" s="254" t="s">
        <v>2882</v>
      </c>
      <c r="Q972" s="292" t="str">
        <f>TablaPOA[[#This Row],[Cod_Sub_acción_especifica]]&amp;"_"&amp;TablaPOA[[#This Row],[Cod_Tipo_agente]]</f>
        <v>K31.3.6.1_TA6</v>
      </c>
      <c r="R972" s="254" t="s">
        <v>2883</v>
      </c>
      <c r="S972" s="255" t="s">
        <v>2894</v>
      </c>
      <c r="T972" s="271" t="s">
        <v>2895</v>
      </c>
    </row>
    <row r="973" spans="1:20" ht="25.5" x14ac:dyDescent="0.25">
      <c r="A973" s="219" t="s">
        <v>2314</v>
      </c>
      <c r="B973" s="227">
        <v>31</v>
      </c>
      <c r="C973" s="227" t="s">
        <v>2691</v>
      </c>
      <c r="D973" s="227" t="s">
        <v>2988</v>
      </c>
      <c r="E973" s="227" t="s">
        <v>3181</v>
      </c>
      <c r="F973" s="227" t="s">
        <v>2696</v>
      </c>
      <c r="G973" s="227" t="s">
        <v>2488</v>
      </c>
      <c r="H973" s="253" t="s">
        <v>3187</v>
      </c>
      <c r="I973" s="253" t="s">
        <v>2744</v>
      </c>
      <c r="J973" s="227" t="s">
        <v>2537</v>
      </c>
      <c r="K973" s="253" t="s">
        <v>3126</v>
      </c>
      <c r="L973" s="253" t="s">
        <v>2744</v>
      </c>
      <c r="M973" s="227" t="s">
        <v>3027</v>
      </c>
      <c r="N973" s="293"/>
      <c r="O973" s="293" t="str">
        <f>TablaPOA[[#This Row],[Cod_Sub_acción_especifica]]&amp;"_"&amp;TablaPOA[[#This Row],[Tipo de agente]]</f>
        <v>K31.3.6.1_EVP combustibles de uso automotor</v>
      </c>
      <c r="P973" s="254" t="s">
        <v>2882</v>
      </c>
      <c r="Q973" s="292" t="str">
        <f>TablaPOA[[#This Row],[Cod_Sub_acción_especifica]]&amp;"_"&amp;TablaPOA[[#This Row],[Cod_Tipo_agente]]</f>
        <v>K31.3.6.1_TA6</v>
      </c>
      <c r="R973" s="254" t="s">
        <v>2883</v>
      </c>
      <c r="S973" s="255" t="s">
        <v>2896</v>
      </c>
      <c r="T973" s="271" t="s">
        <v>2897</v>
      </c>
    </row>
    <row r="974" spans="1:20" ht="25.5" x14ac:dyDescent="0.25">
      <c r="A974" s="219" t="s">
        <v>2314</v>
      </c>
      <c r="B974" s="227">
        <v>31</v>
      </c>
      <c r="C974" s="227" t="s">
        <v>2691</v>
      </c>
      <c r="D974" s="227" t="s">
        <v>2988</v>
      </c>
      <c r="E974" s="227" t="s">
        <v>3181</v>
      </c>
      <c r="F974" s="227" t="s">
        <v>2696</v>
      </c>
      <c r="G974" s="227" t="s">
        <v>2488</v>
      </c>
      <c r="H974" s="253" t="s">
        <v>3187</v>
      </c>
      <c r="I974" s="253" t="s">
        <v>2744</v>
      </c>
      <c r="J974" s="227" t="s">
        <v>2537</v>
      </c>
      <c r="K974" s="253" t="s">
        <v>3126</v>
      </c>
      <c r="L974" s="253" t="s">
        <v>2744</v>
      </c>
      <c r="M974" s="227" t="s">
        <v>3027</v>
      </c>
      <c r="N974" s="293"/>
      <c r="O974" s="293" t="str">
        <f>TablaPOA[[#This Row],[Cod_Sub_acción_especifica]]&amp;"_"&amp;TablaPOA[[#This Row],[Tipo de agente]]</f>
        <v>K31.3.6.1_EVP combustibles de uso automotor</v>
      </c>
      <c r="P974" s="254" t="s">
        <v>2882</v>
      </c>
      <c r="Q974" s="292" t="str">
        <f>TablaPOA[[#This Row],[Cod_Sub_acción_especifica]]&amp;"_"&amp;TablaPOA[[#This Row],[Cod_Tipo_agente]]</f>
        <v>K31.3.6.1_TA6</v>
      </c>
      <c r="R974" s="254" t="s">
        <v>2883</v>
      </c>
      <c r="S974" s="255" t="s">
        <v>2898</v>
      </c>
      <c r="T974" s="271" t="s">
        <v>2899</v>
      </c>
    </row>
    <row r="975" spans="1:20" ht="25.5" x14ac:dyDescent="0.25">
      <c r="A975" s="219" t="s">
        <v>2314</v>
      </c>
      <c r="B975" s="227">
        <v>31</v>
      </c>
      <c r="C975" s="227" t="s">
        <v>2691</v>
      </c>
      <c r="D975" s="227" t="s">
        <v>2988</v>
      </c>
      <c r="E975" s="227" t="s">
        <v>3181</v>
      </c>
      <c r="F975" s="227" t="s">
        <v>2696</v>
      </c>
      <c r="G975" s="227" t="s">
        <v>2488</v>
      </c>
      <c r="H975" s="253" t="s">
        <v>3187</v>
      </c>
      <c r="I975" s="253" t="s">
        <v>2744</v>
      </c>
      <c r="J975" s="227" t="s">
        <v>2537</v>
      </c>
      <c r="K975" s="253" t="s">
        <v>3126</v>
      </c>
      <c r="L975" s="253" t="s">
        <v>2744</v>
      </c>
      <c r="M975" s="227" t="s">
        <v>3027</v>
      </c>
      <c r="N975" s="293"/>
      <c r="O975" s="293" t="str">
        <f>TablaPOA[[#This Row],[Cod_Sub_acción_especifica]]&amp;"_"&amp;TablaPOA[[#This Row],[Tipo de agente]]</f>
        <v>K31.3.6.1_EVP combustibles de uso automotor</v>
      </c>
      <c r="P975" s="254" t="s">
        <v>2882</v>
      </c>
      <c r="Q975" s="292" t="str">
        <f>TablaPOA[[#This Row],[Cod_Sub_acción_especifica]]&amp;"_"&amp;TablaPOA[[#This Row],[Cod_Tipo_agente]]</f>
        <v>K31.3.6.1_TA6</v>
      </c>
      <c r="R975" s="254" t="s">
        <v>2883</v>
      </c>
      <c r="S975" s="255" t="s">
        <v>2900</v>
      </c>
      <c r="T975" s="271" t="s">
        <v>2901</v>
      </c>
    </row>
    <row r="976" spans="1:20" ht="25.5" x14ac:dyDescent="0.25">
      <c r="A976" s="219" t="s">
        <v>2314</v>
      </c>
      <c r="B976" s="227">
        <v>31</v>
      </c>
      <c r="C976" s="227" t="s">
        <v>2691</v>
      </c>
      <c r="D976" s="227" t="s">
        <v>2988</v>
      </c>
      <c r="E976" s="227" t="s">
        <v>3181</v>
      </c>
      <c r="F976" s="227" t="s">
        <v>2696</v>
      </c>
      <c r="G976" s="227" t="s">
        <v>2488</v>
      </c>
      <c r="H976" s="253" t="s">
        <v>3187</v>
      </c>
      <c r="I976" s="253" t="s">
        <v>2744</v>
      </c>
      <c r="J976" s="227" t="s">
        <v>2537</v>
      </c>
      <c r="K976" s="253" t="s">
        <v>3126</v>
      </c>
      <c r="L976" s="253" t="s">
        <v>2744</v>
      </c>
      <c r="M976" s="227" t="s">
        <v>3027</v>
      </c>
      <c r="N976" s="293"/>
      <c r="O976" s="293" t="str">
        <f>TablaPOA[[#This Row],[Cod_Sub_acción_especifica]]&amp;"_"&amp;TablaPOA[[#This Row],[Tipo de agente]]</f>
        <v>K31.3.6.1_Plantas de abastecimiento y despacho</v>
      </c>
      <c r="P976" s="254" t="s">
        <v>2950</v>
      </c>
      <c r="Q976" s="292" t="str">
        <f>TablaPOA[[#This Row],[Cod_Sub_acción_especifica]]&amp;"_"&amp;TablaPOA[[#This Row],[Cod_Tipo_agente]]</f>
        <v>K31.3.6.1_TA10</v>
      </c>
      <c r="R976" s="254" t="s">
        <v>2951</v>
      </c>
      <c r="S976" s="255" t="s">
        <v>2952</v>
      </c>
      <c r="T976" s="271" t="s">
        <v>2953</v>
      </c>
    </row>
    <row r="977" spans="1:20" ht="25.5" x14ac:dyDescent="0.25">
      <c r="A977" s="219" t="s">
        <v>2314</v>
      </c>
      <c r="B977" s="227">
        <v>31</v>
      </c>
      <c r="C977" s="227" t="s">
        <v>2691</v>
      </c>
      <c r="D977" s="227" t="s">
        <v>2988</v>
      </c>
      <c r="E977" s="227" t="s">
        <v>3181</v>
      </c>
      <c r="F977" s="227" t="s">
        <v>2696</v>
      </c>
      <c r="G977" s="227" t="s">
        <v>2488</v>
      </c>
      <c r="H977" s="253" t="s">
        <v>3187</v>
      </c>
      <c r="I977" s="253" t="s">
        <v>2744</v>
      </c>
      <c r="J977" s="227" t="s">
        <v>2537</v>
      </c>
      <c r="K977" s="253" t="s">
        <v>3126</v>
      </c>
      <c r="L977" s="253" t="s">
        <v>2744</v>
      </c>
      <c r="M977" s="227" t="s">
        <v>3027</v>
      </c>
      <c r="N977" s="293"/>
      <c r="O977" s="293" t="str">
        <f>TablaPOA[[#This Row],[Cod_Sub_acción_especifica]]&amp;"_"&amp;TablaPOA[[#This Row],[Tipo de agente]]</f>
        <v>K31.3.6.1_Plantas de abastecimiento y despacho</v>
      </c>
      <c r="P977" s="254" t="s">
        <v>2950</v>
      </c>
      <c r="Q977" s="292" t="str">
        <f>TablaPOA[[#This Row],[Cod_Sub_acción_especifica]]&amp;"_"&amp;TablaPOA[[#This Row],[Cod_Tipo_agente]]</f>
        <v>K31.3.6.1_TA10</v>
      </c>
      <c r="R977" s="254" t="s">
        <v>2951</v>
      </c>
      <c r="S977" s="255" t="s">
        <v>2954</v>
      </c>
      <c r="T977" s="271" t="s">
        <v>2955</v>
      </c>
    </row>
    <row r="978" spans="1:20" ht="25.5" x14ac:dyDescent="0.25">
      <c r="A978" s="219" t="s">
        <v>2314</v>
      </c>
      <c r="B978" s="227">
        <v>31</v>
      </c>
      <c r="C978" s="227" t="s">
        <v>2691</v>
      </c>
      <c r="D978" s="227" t="s">
        <v>2988</v>
      </c>
      <c r="E978" s="227" t="s">
        <v>3181</v>
      </c>
      <c r="F978" s="227" t="s">
        <v>2696</v>
      </c>
      <c r="G978" s="227" t="s">
        <v>2488</v>
      </c>
      <c r="H978" s="253" t="s">
        <v>3187</v>
      </c>
      <c r="I978" s="253" t="s">
        <v>2744</v>
      </c>
      <c r="J978" s="227" t="s">
        <v>2537</v>
      </c>
      <c r="K978" s="253" t="s">
        <v>3126</v>
      </c>
      <c r="L978" s="253" t="s">
        <v>2744</v>
      </c>
      <c r="M978" s="227" t="s">
        <v>3027</v>
      </c>
      <c r="N978" s="293"/>
      <c r="O978" s="293" t="str">
        <f>TablaPOA[[#This Row],[Cod_Sub_acción_especifica]]&amp;"_"&amp;TablaPOA[[#This Row],[Tipo de agente]]</f>
        <v>K31.3.6.1_Plantas de abastecimiento y despacho</v>
      </c>
      <c r="P978" s="254" t="s">
        <v>2950</v>
      </c>
      <c r="Q978" s="292" t="str">
        <f>TablaPOA[[#This Row],[Cod_Sub_acción_especifica]]&amp;"_"&amp;TablaPOA[[#This Row],[Cod_Tipo_agente]]</f>
        <v>K31.3.6.1_TA10</v>
      </c>
      <c r="R978" s="254" t="s">
        <v>2951</v>
      </c>
      <c r="S978" s="255" t="s">
        <v>2956</v>
      </c>
      <c r="T978" s="271" t="s">
        <v>2957</v>
      </c>
    </row>
    <row r="979" spans="1:20" ht="25.5" x14ac:dyDescent="0.25">
      <c r="A979" s="219" t="s">
        <v>2314</v>
      </c>
      <c r="B979" s="227">
        <v>31</v>
      </c>
      <c r="C979" s="227" t="s">
        <v>2691</v>
      </c>
      <c r="D979" s="227" t="s">
        <v>2988</v>
      </c>
      <c r="E979" s="227" t="s">
        <v>3181</v>
      </c>
      <c r="F979" s="227" t="s">
        <v>2696</v>
      </c>
      <c r="G979" s="227" t="s">
        <v>2488</v>
      </c>
      <c r="H979" s="253" t="s">
        <v>3187</v>
      </c>
      <c r="I979" s="253" t="s">
        <v>2744</v>
      </c>
      <c r="J979" s="227" t="s">
        <v>2537</v>
      </c>
      <c r="K979" s="253" t="s">
        <v>3126</v>
      </c>
      <c r="L979" s="253" t="s">
        <v>2744</v>
      </c>
      <c r="M979" s="227" t="s">
        <v>3027</v>
      </c>
      <c r="N979" s="293"/>
      <c r="O979" s="293" t="str">
        <f>TablaPOA[[#This Row],[Cod_Sub_acción_especifica]]&amp;"_"&amp;TablaPOA[[#This Row],[Tipo de agente]]</f>
        <v>K31.3.6.1_Plantas de abastecimiento y despacho</v>
      </c>
      <c r="P979" s="254" t="s">
        <v>2950</v>
      </c>
      <c r="Q979" s="292" t="str">
        <f>TablaPOA[[#This Row],[Cod_Sub_acción_especifica]]&amp;"_"&amp;TablaPOA[[#This Row],[Cod_Tipo_agente]]</f>
        <v>K31.3.6.1_TA10</v>
      </c>
      <c r="R979" s="254" t="s">
        <v>2951</v>
      </c>
      <c r="S979" s="255" t="s">
        <v>2958</v>
      </c>
      <c r="T979" s="271" t="s">
        <v>2959</v>
      </c>
    </row>
    <row r="980" spans="1:20" ht="25.5" x14ac:dyDescent="0.25">
      <c r="A980" s="219" t="s">
        <v>2314</v>
      </c>
      <c r="B980" s="227">
        <v>31</v>
      </c>
      <c r="C980" s="227" t="s">
        <v>2691</v>
      </c>
      <c r="D980" s="227" t="s">
        <v>2988</v>
      </c>
      <c r="E980" s="227" t="s">
        <v>3181</v>
      </c>
      <c r="F980" s="227" t="s">
        <v>2696</v>
      </c>
      <c r="G980" s="227" t="s">
        <v>2488</v>
      </c>
      <c r="H980" s="253" t="s">
        <v>3187</v>
      </c>
      <c r="I980" s="253" t="s">
        <v>2744</v>
      </c>
      <c r="J980" s="227" t="s">
        <v>2537</v>
      </c>
      <c r="K980" s="253" t="s">
        <v>3126</v>
      </c>
      <c r="L980" s="253" t="s">
        <v>2744</v>
      </c>
      <c r="M980" s="227" t="s">
        <v>3027</v>
      </c>
      <c r="N980" s="293"/>
      <c r="O980" s="293" t="str">
        <f>TablaPOA[[#This Row],[Cod_Sub_acción_especifica]]&amp;"_"&amp;TablaPOA[[#This Row],[Tipo de agente]]</f>
        <v>K31.3.6.1_Plantas de abastecimiento y despacho</v>
      </c>
      <c r="P980" s="254" t="s">
        <v>2950</v>
      </c>
      <c r="Q980" s="292" t="str">
        <f>TablaPOA[[#This Row],[Cod_Sub_acción_especifica]]&amp;"_"&amp;TablaPOA[[#This Row],[Cod_Tipo_agente]]</f>
        <v>K31.3.6.1_TA10</v>
      </c>
      <c r="R980" s="254" t="s">
        <v>2951</v>
      </c>
      <c r="S980" s="255" t="s">
        <v>2960</v>
      </c>
      <c r="T980" s="271" t="s">
        <v>2961</v>
      </c>
    </row>
    <row r="981" spans="1:20" ht="25.5" x14ac:dyDescent="0.25">
      <c r="A981" s="219" t="s">
        <v>2314</v>
      </c>
      <c r="B981" s="227">
        <v>31</v>
      </c>
      <c r="C981" s="227" t="s">
        <v>2691</v>
      </c>
      <c r="D981" s="227" t="s">
        <v>2988</v>
      </c>
      <c r="E981" s="227" t="s">
        <v>3181</v>
      </c>
      <c r="F981" s="227" t="s">
        <v>2696</v>
      </c>
      <c r="G981" s="227" t="s">
        <v>2488</v>
      </c>
      <c r="H981" s="253" t="s">
        <v>3187</v>
      </c>
      <c r="I981" s="253" t="s">
        <v>2744</v>
      </c>
      <c r="J981" s="227" t="s">
        <v>2537</v>
      </c>
      <c r="K981" s="253" t="s">
        <v>3126</v>
      </c>
      <c r="L981" s="253" t="s">
        <v>2744</v>
      </c>
      <c r="M981" s="227" t="s">
        <v>3027</v>
      </c>
      <c r="N981" s="293"/>
      <c r="O981" s="293" t="str">
        <f>TablaPOA[[#This Row],[Cod_Sub_acción_especifica]]&amp;"_"&amp;TablaPOA[[#This Row],[Tipo de agente]]</f>
        <v>K31.3.6.1_Productores y Plantas de procesamiento</v>
      </c>
      <c r="P981" s="254" t="s">
        <v>2962</v>
      </c>
      <c r="Q981" s="292" t="str">
        <f>TablaPOA[[#This Row],[Cod_Sub_acción_especifica]]&amp;"_"&amp;TablaPOA[[#This Row],[Cod_Tipo_agente]]</f>
        <v>K31.3.6.1_TA11</v>
      </c>
      <c r="R981" s="254" t="s">
        <v>2963</v>
      </c>
      <c r="S981" s="255" t="s">
        <v>2964</v>
      </c>
      <c r="T981" s="271" t="s">
        <v>2965</v>
      </c>
    </row>
    <row r="982" spans="1:20" ht="25.5" x14ac:dyDescent="0.25">
      <c r="A982" s="219" t="s">
        <v>2314</v>
      </c>
      <c r="B982" s="227">
        <v>31</v>
      </c>
      <c r="C982" s="227" t="s">
        <v>2691</v>
      </c>
      <c r="D982" s="227" t="s">
        <v>2988</v>
      </c>
      <c r="E982" s="227" t="s">
        <v>3181</v>
      </c>
      <c r="F982" s="227" t="s">
        <v>2696</v>
      </c>
      <c r="G982" s="227" t="s">
        <v>2488</v>
      </c>
      <c r="H982" s="253" t="s">
        <v>3187</v>
      </c>
      <c r="I982" s="253" t="s">
        <v>2744</v>
      </c>
      <c r="J982" s="227" t="s">
        <v>2537</v>
      </c>
      <c r="K982" s="253" t="s">
        <v>3126</v>
      </c>
      <c r="L982" s="253" t="s">
        <v>2744</v>
      </c>
      <c r="M982" s="227" t="s">
        <v>3027</v>
      </c>
      <c r="N982" s="293"/>
      <c r="O982" s="293" t="str">
        <f>TablaPOA[[#This Row],[Cod_Sub_acción_especifica]]&amp;"_"&amp;TablaPOA[[#This Row],[Tipo de agente]]</f>
        <v>K31.3.6.1_Productores y Plantas de procesamiento</v>
      </c>
      <c r="P982" s="254" t="s">
        <v>2962</v>
      </c>
      <c r="Q982" s="292" t="str">
        <f>TablaPOA[[#This Row],[Cod_Sub_acción_especifica]]&amp;"_"&amp;TablaPOA[[#This Row],[Cod_Tipo_agente]]</f>
        <v>K31.3.6.1_TA11</v>
      </c>
      <c r="R982" s="254" t="s">
        <v>2963</v>
      </c>
      <c r="S982" s="255" t="s">
        <v>2966</v>
      </c>
      <c r="T982" s="271" t="s">
        <v>2967</v>
      </c>
    </row>
    <row r="983" spans="1:20" ht="25.5" x14ac:dyDescent="0.25">
      <c r="A983" s="219" t="s">
        <v>2314</v>
      </c>
      <c r="B983" s="227">
        <v>31</v>
      </c>
      <c r="C983" s="227" t="s">
        <v>2691</v>
      </c>
      <c r="D983" s="227" t="s">
        <v>2988</v>
      </c>
      <c r="E983" s="227" t="s">
        <v>3181</v>
      </c>
      <c r="F983" s="227" t="s">
        <v>2696</v>
      </c>
      <c r="G983" s="227" t="s">
        <v>2488</v>
      </c>
      <c r="H983" s="253" t="s">
        <v>3187</v>
      </c>
      <c r="I983" s="253" t="s">
        <v>2744</v>
      </c>
      <c r="J983" s="227" t="s">
        <v>2537</v>
      </c>
      <c r="K983" s="253" t="s">
        <v>3126</v>
      </c>
      <c r="L983" s="253" t="s">
        <v>2744</v>
      </c>
      <c r="M983" s="227" t="s">
        <v>3027</v>
      </c>
      <c r="N983" s="293"/>
      <c r="O983" s="293" t="str">
        <f>TablaPOA[[#This Row],[Cod_Sub_acción_especifica]]&amp;"_"&amp;TablaPOA[[#This Row],[Tipo de agente]]</f>
        <v>K31.3.6.1_Productores y Plantas de procesamiento</v>
      </c>
      <c r="P983" s="254" t="s">
        <v>2962</v>
      </c>
      <c r="Q983" s="292" t="str">
        <f>TablaPOA[[#This Row],[Cod_Sub_acción_especifica]]&amp;"_"&amp;TablaPOA[[#This Row],[Cod_Tipo_agente]]</f>
        <v>K31.3.6.1_TA11</v>
      </c>
      <c r="R983" s="254" t="s">
        <v>2963</v>
      </c>
      <c r="S983" s="255" t="s">
        <v>2968</v>
      </c>
      <c r="T983" s="271" t="s">
        <v>2969</v>
      </c>
    </row>
    <row r="984" spans="1:20" ht="25.5" x14ac:dyDescent="0.25">
      <c r="A984" s="219" t="s">
        <v>2314</v>
      </c>
      <c r="B984" s="227">
        <v>31</v>
      </c>
      <c r="C984" s="227" t="s">
        <v>2691</v>
      </c>
      <c r="D984" s="227" t="s">
        <v>2988</v>
      </c>
      <c r="E984" s="227" t="s">
        <v>3181</v>
      </c>
      <c r="F984" s="227" t="s">
        <v>2696</v>
      </c>
      <c r="G984" s="227" t="s">
        <v>2488</v>
      </c>
      <c r="H984" s="253" t="s">
        <v>3187</v>
      </c>
      <c r="I984" s="253" t="s">
        <v>2744</v>
      </c>
      <c r="J984" s="227" t="s">
        <v>2537</v>
      </c>
      <c r="K984" s="253" t="s">
        <v>3126</v>
      </c>
      <c r="L984" s="253" t="s">
        <v>2744</v>
      </c>
      <c r="M984" s="227" t="s">
        <v>3027</v>
      </c>
      <c r="N984" s="293"/>
      <c r="O984" s="293" t="str">
        <f>TablaPOA[[#This Row],[Cod_Sub_acción_especifica]]&amp;"_"&amp;TablaPOA[[#This Row],[Tipo de agente]]</f>
        <v>K31.3.6.1_Productores y Plantas de procesamiento</v>
      </c>
      <c r="P984" s="254" t="s">
        <v>2962</v>
      </c>
      <c r="Q984" s="292" t="str">
        <f>TablaPOA[[#This Row],[Cod_Sub_acción_especifica]]&amp;"_"&amp;TablaPOA[[#This Row],[Cod_Tipo_agente]]</f>
        <v>K31.3.6.1_TA11</v>
      </c>
      <c r="R984" s="254" t="s">
        <v>2963</v>
      </c>
      <c r="S984" s="255" t="s">
        <v>2970</v>
      </c>
      <c r="T984" s="271" t="s">
        <v>2971</v>
      </c>
    </row>
    <row r="985" spans="1:20" ht="25.5" x14ac:dyDescent="0.25">
      <c r="A985" s="219" t="s">
        <v>2314</v>
      </c>
      <c r="B985" s="227">
        <v>31</v>
      </c>
      <c r="C985" s="227" t="s">
        <v>2691</v>
      </c>
      <c r="D985" s="227" t="s">
        <v>2988</v>
      </c>
      <c r="E985" s="227" t="s">
        <v>3181</v>
      </c>
      <c r="F985" s="227" t="s">
        <v>2696</v>
      </c>
      <c r="G985" s="227" t="s">
        <v>2488</v>
      </c>
      <c r="H985" s="253" t="s">
        <v>3187</v>
      </c>
      <c r="I985" s="253" t="s">
        <v>2744</v>
      </c>
      <c r="J985" s="227" t="s">
        <v>2537</v>
      </c>
      <c r="K985" s="253" t="s">
        <v>3126</v>
      </c>
      <c r="L985" s="253" t="s">
        <v>2744</v>
      </c>
      <c r="M985" s="227" t="s">
        <v>3027</v>
      </c>
      <c r="N985" s="293"/>
      <c r="O985" s="293" t="str">
        <f>TablaPOA[[#This Row],[Cod_Sub_acción_especifica]]&amp;"_"&amp;TablaPOA[[#This Row],[Tipo de agente]]</f>
        <v>K31.3.6.1_Productores y Plantas de procesamiento</v>
      </c>
      <c r="P985" s="254" t="s">
        <v>2962</v>
      </c>
      <c r="Q985" s="292" t="str">
        <f>TablaPOA[[#This Row],[Cod_Sub_acción_especifica]]&amp;"_"&amp;TablaPOA[[#This Row],[Cod_Tipo_agente]]</f>
        <v>K31.3.6.1_TA11</v>
      </c>
      <c r="R985" s="254" t="s">
        <v>2963</v>
      </c>
      <c r="S985" s="255" t="s">
        <v>2972</v>
      </c>
      <c r="T985" s="271" t="s">
        <v>2973</v>
      </c>
    </row>
    <row r="986" spans="1:20" ht="25.5" x14ac:dyDescent="0.25">
      <c r="A986" s="219" t="s">
        <v>2314</v>
      </c>
      <c r="B986" s="227">
        <v>31</v>
      </c>
      <c r="C986" s="227" t="s">
        <v>2691</v>
      </c>
      <c r="D986" s="227" t="s">
        <v>2988</v>
      </c>
      <c r="E986" s="227" t="s">
        <v>3181</v>
      </c>
      <c r="F986" s="227" t="s">
        <v>2696</v>
      </c>
      <c r="G986" s="227" t="s">
        <v>2488</v>
      </c>
      <c r="H986" s="253" t="s">
        <v>3187</v>
      </c>
      <c r="I986" s="253" t="s">
        <v>2744</v>
      </c>
      <c r="J986" s="227" t="s">
        <v>2537</v>
      </c>
      <c r="K986" s="253" t="s">
        <v>3126</v>
      </c>
      <c r="L986" s="253" t="s">
        <v>2744</v>
      </c>
      <c r="M986" s="227" t="s">
        <v>3027</v>
      </c>
      <c r="N986" s="293"/>
      <c r="O986" s="293" t="str">
        <f>TablaPOA[[#This Row],[Cod_Sub_acción_especifica]]&amp;"_"&amp;TablaPOA[[#This Row],[Tipo de agente]]</f>
        <v>K31.3.6.1_Productores y Plantas de procesamiento</v>
      </c>
      <c r="P986" s="254" t="s">
        <v>2962</v>
      </c>
      <c r="Q986" s="292" t="str">
        <f>TablaPOA[[#This Row],[Cod_Sub_acción_especifica]]&amp;"_"&amp;TablaPOA[[#This Row],[Cod_Tipo_agente]]</f>
        <v>K31.3.6.1_TA11</v>
      </c>
      <c r="R986" s="254" t="s">
        <v>2963</v>
      </c>
      <c r="S986" s="255" t="s">
        <v>2974</v>
      </c>
      <c r="T986" s="271" t="s">
        <v>2975</v>
      </c>
    </row>
    <row r="987" spans="1:20" ht="25.5" x14ac:dyDescent="0.25">
      <c r="A987" s="219" t="s">
        <v>2314</v>
      </c>
      <c r="B987" s="227">
        <v>31</v>
      </c>
      <c r="C987" s="227" t="s">
        <v>2691</v>
      </c>
      <c r="D987" s="227" t="s">
        <v>2988</v>
      </c>
      <c r="E987" s="227" t="s">
        <v>3181</v>
      </c>
      <c r="F987" s="227" t="s">
        <v>2696</v>
      </c>
      <c r="G987" s="227" t="s">
        <v>2488</v>
      </c>
      <c r="H987" s="253" t="s">
        <v>3187</v>
      </c>
      <c r="I987" s="253" t="s">
        <v>2744</v>
      </c>
      <c r="J987" s="227" t="s">
        <v>2537</v>
      </c>
      <c r="K987" s="253" t="s">
        <v>3126</v>
      </c>
      <c r="L987" s="253" t="s">
        <v>2744</v>
      </c>
      <c r="M987" s="227" t="s">
        <v>3027</v>
      </c>
      <c r="N987" s="293"/>
      <c r="O987" s="293" t="str">
        <f>TablaPOA[[#This Row],[Cod_Sub_acción_especifica]]&amp;"_"&amp;TablaPOA[[#This Row],[Tipo de agente]]</f>
        <v>K31.3.6.1_Productores y Plantas de procesamiento</v>
      </c>
      <c r="P987" s="254" t="s">
        <v>2962</v>
      </c>
      <c r="Q987" s="292" t="str">
        <f>TablaPOA[[#This Row],[Cod_Sub_acción_especifica]]&amp;"_"&amp;TablaPOA[[#This Row],[Cod_Tipo_agente]]</f>
        <v>K31.3.6.1_TA11</v>
      </c>
      <c r="R987" s="254" t="s">
        <v>2963</v>
      </c>
      <c r="S987" s="255" t="s">
        <v>2976</v>
      </c>
      <c r="T987" s="271" t="s">
        <v>2977</v>
      </c>
    </row>
    <row r="988" spans="1:20" ht="25.5" x14ac:dyDescent="0.25">
      <c r="A988" s="268" t="s">
        <v>2314</v>
      </c>
      <c r="B988" s="248">
        <v>31</v>
      </c>
      <c r="C988" s="248" t="s">
        <v>2691</v>
      </c>
      <c r="D988" s="248" t="s">
        <v>2988</v>
      </c>
      <c r="E988" s="248" t="s">
        <v>3181</v>
      </c>
      <c r="F988" s="248" t="s">
        <v>2696</v>
      </c>
      <c r="G988" s="248" t="s">
        <v>2488</v>
      </c>
      <c r="H988" s="249" t="s">
        <v>3188</v>
      </c>
      <c r="I988" s="249" t="s">
        <v>2745</v>
      </c>
      <c r="J988" s="248" t="s">
        <v>2535</v>
      </c>
      <c r="K988" s="249" t="s">
        <v>3127</v>
      </c>
      <c r="L988" s="249" t="s">
        <v>2790</v>
      </c>
      <c r="M988" s="248" t="s">
        <v>2791</v>
      </c>
      <c r="N988" s="299" t="s">
        <v>2883</v>
      </c>
      <c r="O988" s="292" t="str">
        <f>TablaPOA[[#This Row],[Cod_Sub_acción_especifica]]&amp;"_"&amp;TablaPOA[[#This Row],[Tipo de agente]]</f>
        <v>K31.3.7.1_EVP combustibles de uso automotor</v>
      </c>
      <c r="P988" s="250" t="s">
        <v>2882</v>
      </c>
      <c r="Q988" s="292" t="str">
        <f>TablaPOA[[#This Row],[Cod_Sub_acción_especifica]]&amp;"_"&amp;TablaPOA[[#This Row],[Cod_Tipo_agente]]</f>
        <v>K31.3.7.1_TA6</v>
      </c>
      <c r="R988" s="250" t="s">
        <v>2883</v>
      </c>
      <c r="S988" s="251" t="s">
        <v>2884</v>
      </c>
      <c r="T988" s="269" t="s">
        <v>2885</v>
      </c>
    </row>
    <row r="989" spans="1:20" ht="25.5" x14ac:dyDescent="0.25">
      <c r="A989" s="268" t="s">
        <v>2314</v>
      </c>
      <c r="B989" s="248">
        <v>31</v>
      </c>
      <c r="C989" s="248" t="s">
        <v>2691</v>
      </c>
      <c r="D989" s="248" t="s">
        <v>2988</v>
      </c>
      <c r="E989" s="248" t="s">
        <v>3181</v>
      </c>
      <c r="F989" s="248" t="s">
        <v>2696</v>
      </c>
      <c r="G989" s="248" t="s">
        <v>2488</v>
      </c>
      <c r="H989" s="249" t="s">
        <v>3188</v>
      </c>
      <c r="I989" s="249" t="s">
        <v>2745</v>
      </c>
      <c r="J989" s="248" t="s">
        <v>2535</v>
      </c>
      <c r="K989" s="249" t="s">
        <v>3127</v>
      </c>
      <c r="L989" s="249" t="s">
        <v>2790</v>
      </c>
      <c r="M989" s="248" t="s">
        <v>2791</v>
      </c>
      <c r="N989" s="299" t="s">
        <v>2951</v>
      </c>
      <c r="O989" s="292" t="str">
        <f>TablaPOA[[#This Row],[Cod_Sub_acción_especifica]]&amp;"_"&amp;TablaPOA[[#This Row],[Tipo de agente]]</f>
        <v>K31.3.7.1_EVP combustibles de uso automotor</v>
      </c>
      <c r="P989" s="250" t="s">
        <v>2882</v>
      </c>
      <c r="Q989" s="292" t="str">
        <f>TablaPOA[[#This Row],[Cod_Sub_acción_especifica]]&amp;"_"&amp;TablaPOA[[#This Row],[Cod_Tipo_agente]]</f>
        <v>K31.3.7.1_TA6</v>
      </c>
      <c r="R989" s="250" t="s">
        <v>2883</v>
      </c>
      <c r="S989" s="251" t="s">
        <v>2886</v>
      </c>
      <c r="T989" s="269" t="s">
        <v>2887</v>
      </c>
    </row>
    <row r="990" spans="1:20" ht="25.5" x14ac:dyDescent="0.25">
      <c r="A990" s="268" t="s">
        <v>2314</v>
      </c>
      <c r="B990" s="248">
        <v>31</v>
      </c>
      <c r="C990" s="248" t="s">
        <v>2691</v>
      </c>
      <c r="D990" s="248" t="s">
        <v>2988</v>
      </c>
      <c r="E990" s="248" t="s">
        <v>3181</v>
      </c>
      <c r="F990" s="248" t="s">
        <v>2696</v>
      </c>
      <c r="G990" s="248" t="s">
        <v>2488</v>
      </c>
      <c r="H990" s="249" t="s">
        <v>3188</v>
      </c>
      <c r="I990" s="249" t="s">
        <v>2745</v>
      </c>
      <c r="J990" s="248" t="s">
        <v>2535</v>
      </c>
      <c r="K990" s="249" t="s">
        <v>3127</v>
      </c>
      <c r="L990" s="249" t="s">
        <v>2790</v>
      </c>
      <c r="M990" s="248" t="s">
        <v>2791</v>
      </c>
      <c r="N990" s="293"/>
      <c r="O990" s="293" t="str">
        <f>TablaPOA[[#This Row],[Cod_Sub_acción_especifica]]&amp;"_"&amp;TablaPOA[[#This Row],[Tipo de agente]]</f>
        <v>K31.3.7.1_EVP combustibles de uso automotor</v>
      </c>
      <c r="P990" s="250" t="s">
        <v>2882</v>
      </c>
      <c r="Q990" s="292" t="str">
        <f>TablaPOA[[#This Row],[Cod_Sub_acción_especifica]]&amp;"_"&amp;TablaPOA[[#This Row],[Cod_Tipo_agente]]</f>
        <v>K31.3.7.1_TA6</v>
      </c>
      <c r="R990" s="250" t="s">
        <v>2883</v>
      </c>
      <c r="S990" s="251" t="s">
        <v>2888</v>
      </c>
      <c r="T990" s="269" t="s">
        <v>2889</v>
      </c>
    </row>
    <row r="991" spans="1:20" ht="25.5" x14ac:dyDescent="0.25">
      <c r="A991" s="268" t="s">
        <v>2314</v>
      </c>
      <c r="B991" s="248">
        <v>31</v>
      </c>
      <c r="C991" s="248" t="s">
        <v>2691</v>
      </c>
      <c r="D991" s="248" t="s">
        <v>2988</v>
      </c>
      <c r="E991" s="248" t="s">
        <v>3181</v>
      </c>
      <c r="F991" s="248" t="s">
        <v>2696</v>
      </c>
      <c r="G991" s="248" t="s">
        <v>2488</v>
      </c>
      <c r="H991" s="249" t="s">
        <v>3188</v>
      </c>
      <c r="I991" s="249" t="s">
        <v>2745</v>
      </c>
      <c r="J991" s="248" t="s">
        <v>2535</v>
      </c>
      <c r="K991" s="249" t="s">
        <v>3127</v>
      </c>
      <c r="L991" s="249" t="s">
        <v>2790</v>
      </c>
      <c r="M991" s="248" t="s">
        <v>2791</v>
      </c>
      <c r="N991" s="293"/>
      <c r="O991" s="293" t="str">
        <f>TablaPOA[[#This Row],[Cod_Sub_acción_especifica]]&amp;"_"&amp;TablaPOA[[#This Row],[Tipo de agente]]</f>
        <v>K31.3.7.1_EVP combustibles de uso automotor</v>
      </c>
      <c r="P991" s="250" t="s">
        <v>2882</v>
      </c>
      <c r="Q991" s="292" t="str">
        <f>TablaPOA[[#This Row],[Cod_Sub_acción_especifica]]&amp;"_"&amp;TablaPOA[[#This Row],[Cod_Tipo_agente]]</f>
        <v>K31.3.7.1_TA6</v>
      </c>
      <c r="R991" s="250" t="s">
        <v>2883</v>
      </c>
      <c r="S991" s="251" t="s">
        <v>2890</v>
      </c>
      <c r="T991" s="269" t="s">
        <v>2891</v>
      </c>
    </row>
    <row r="992" spans="1:20" ht="25.5" x14ac:dyDescent="0.25">
      <c r="A992" s="268" t="s">
        <v>2314</v>
      </c>
      <c r="B992" s="248">
        <v>31</v>
      </c>
      <c r="C992" s="248" t="s">
        <v>2691</v>
      </c>
      <c r="D992" s="248" t="s">
        <v>2988</v>
      </c>
      <c r="E992" s="248" t="s">
        <v>3181</v>
      </c>
      <c r="F992" s="248" t="s">
        <v>2696</v>
      </c>
      <c r="G992" s="248" t="s">
        <v>2488</v>
      </c>
      <c r="H992" s="249" t="s">
        <v>3188</v>
      </c>
      <c r="I992" s="249" t="s">
        <v>2745</v>
      </c>
      <c r="J992" s="248" t="s">
        <v>2535</v>
      </c>
      <c r="K992" s="249" t="s">
        <v>3127</v>
      </c>
      <c r="L992" s="249" t="s">
        <v>2790</v>
      </c>
      <c r="M992" s="248" t="s">
        <v>2791</v>
      </c>
      <c r="N992" s="293"/>
      <c r="O992" s="293" t="str">
        <f>TablaPOA[[#This Row],[Cod_Sub_acción_especifica]]&amp;"_"&amp;TablaPOA[[#This Row],[Tipo de agente]]</f>
        <v>K31.3.7.1_EVP combustibles de uso automotor</v>
      </c>
      <c r="P992" s="250" t="s">
        <v>2882</v>
      </c>
      <c r="Q992" s="292" t="str">
        <f>TablaPOA[[#This Row],[Cod_Sub_acción_especifica]]&amp;"_"&amp;TablaPOA[[#This Row],[Cod_Tipo_agente]]</f>
        <v>K31.3.7.1_TA6</v>
      </c>
      <c r="R992" s="250" t="s">
        <v>2883</v>
      </c>
      <c r="S992" s="251" t="s">
        <v>2892</v>
      </c>
      <c r="T992" s="269" t="s">
        <v>2893</v>
      </c>
    </row>
    <row r="993" spans="1:20" ht="25.5" x14ac:dyDescent="0.25">
      <c r="A993" s="268" t="s">
        <v>2314</v>
      </c>
      <c r="B993" s="248">
        <v>31</v>
      </c>
      <c r="C993" s="248" t="s">
        <v>2691</v>
      </c>
      <c r="D993" s="248" t="s">
        <v>2988</v>
      </c>
      <c r="E993" s="248" t="s">
        <v>3181</v>
      </c>
      <c r="F993" s="248" t="s">
        <v>2696</v>
      </c>
      <c r="G993" s="248" t="s">
        <v>2488</v>
      </c>
      <c r="H993" s="249" t="s">
        <v>3188</v>
      </c>
      <c r="I993" s="249" t="s">
        <v>2745</v>
      </c>
      <c r="J993" s="248" t="s">
        <v>2535</v>
      </c>
      <c r="K993" s="249" t="s">
        <v>3127</v>
      </c>
      <c r="L993" s="249" t="s">
        <v>2790</v>
      </c>
      <c r="M993" s="248" t="s">
        <v>2791</v>
      </c>
      <c r="N993" s="293"/>
      <c r="O993" s="293" t="str">
        <f>TablaPOA[[#This Row],[Cod_Sub_acción_especifica]]&amp;"_"&amp;TablaPOA[[#This Row],[Tipo de agente]]</f>
        <v>K31.3.7.1_EVP combustibles de uso automotor</v>
      </c>
      <c r="P993" s="250" t="s">
        <v>2882</v>
      </c>
      <c r="Q993" s="292" t="str">
        <f>TablaPOA[[#This Row],[Cod_Sub_acción_especifica]]&amp;"_"&amp;TablaPOA[[#This Row],[Cod_Tipo_agente]]</f>
        <v>K31.3.7.1_TA6</v>
      </c>
      <c r="R993" s="250" t="s">
        <v>2883</v>
      </c>
      <c r="S993" s="251" t="s">
        <v>2894</v>
      </c>
      <c r="T993" s="269" t="s">
        <v>2895</v>
      </c>
    </row>
    <row r="994" spans="1:20" ht="25.5" x14ac:dyDescent="0.25">
      <c r="A994" s="268" t="s">
        <v>2314</v>
      </c>
      <c r="B994" s="248">
        <v>31</v>
      </c>
      <c r="C994" s="248" t="s">
        <v>2691</v>
      </c>
      <c r="D994" s="248" t="s">
        <v>2988</v>
      </c>
      <c r="E994" s="248" t="s">
        <v>3181</v>
      </c>
      <c r="F994" s="248" t="s">
        <v>2696</v>
      </c>
      <c r="G994" s="248" t="s">
        <v>2488</v>
      </c>
      <c r="H994" s="249" t="s">
        <v>3188</v>
      </c>
      <c r="I994" s="249" t="s">
        <v>2745</v>
      </c>
      <c r="J994" s="248" t="s">
        <v>2535</v>
      </c>
      <c r="K994" s="249" t="s">
        <v>3127</v>
      </c>
      <c r="L994" s="249" t="s">
        <v>2790</v>
      </c>
      <c r="M994" s="248" t="s">
        <v>2791</v>
      </c>
      <c r="N994" s="293"/>
      <c r="O994" s="293" t="str">
        <f>TablaPOA[[#This Row],[Cod_Sub_acción_especifica]]&amp;"_"&amp;TablaPOA[[#This Row],[Tipo de agente]]</f>
        <v>K31.3.7.1_EVP combustibles de uso automotor</v>
      </c>
      <c r="P994" s="250" t="s">
        <v>2882</v>
      </c>
      <c r="Q994" s="292" t="str">
        <f>TablaPOA[[#This Row],[Cod_Sub_acción_especifica]]&amp;"_"&amp;TablaPOA[[#This Row],[Cod_Tipo_agente]]</f>
        <v>K31.3.7.1_TA6</v>
      </c>
      <c r="R994" s="250" t="s">
        <v>2883</v>
      </c>
      <c r="S994" s="251" t="s">
        <v>2896</v>
      </c>
      <c r="T994" s="269" t="s">
        <v>2897</v>
      </c>
    </row>
    <row r="995" spans="1:20" ht="25.5" x14ac:dyDescent="0.25">
      <c r="A995" s="268" t="s">
        <v>2314</v>
      </c>
      <c r="B995" s="248">
        <v>31</v>
      </c>
      <c r="C995" s="248" t="s">
        <v>2691</v>
      </c>
      <c r="D995" s="248" t="s">
        <v>2988</v>
      </c>
      <c r="E995" s="248" t="s">
        <v>3181</v>
      </c>
      <c r="F995" s="248" t="s">
        <v>2696</v>
      </c>
      <c r="G995" s="248" t="s">
        <v>2488</v>
      </c>
      <c r="H995" s="249" t="s">
        <v>3188</v>
      </c>
      <c r="I995" s="249" t="s">
        <v>2745</v>
      </c>
      <c r="J995" s="248" t="s">
        <v>2535</v>
      </c>
      <c r="K995" s="249" t="s">
        <v>3127</v>
      </c>
      <c r="L995" s="249" t="s">
        <v>2790</v>
      </c>
      <c r="M995" s="248" t="s">
        <v>2791</v>
      </c>
      <c r="N995" s="293"/>
      <c r="O995" s="293" t="str">
        <f>TablaPOA[[#This Row],[Cod_Sub_acción_especifica]]&amp;"_"&amp;TablaPOA[[#This Row],[Tipo de agente]]</f>
        <v>K31.3.7.1_EVP combustibles de uso automotor</v>
      </c>
      <c r="P995" s="250" t="s">
        <v>2882</v>
      </c>
      <c r="Q995" s="292" t="str">
        <f>TablaPOA[[#This Row],[Cod_Sub_acción_especifica]]&amp;"_"&amp;TablaPOA[[#This Row],[Cod_Tipo_agente]]</f>
        <v>K31.3.7.1_TA6</v>
      </c>
      <c r="R995" s="250" t="s">
        <v>2883</v>
      </c>
      <c r="S995" s="251" t="s">
        <v>2898</v>
      </c>
      <c r="T995" s="269" t="s">
        <v>2899</v>
      </c>
    </row>
    <row r="996" spans="1:20" ht="25.5" x14ac:dyDescent="0.25">
      <c r="A996" s="268" t="s">
        <v>2314</v>
      </c>
      <c r="B996" s="248">
        <v>31</v>
      </c>
      <c r="C996" s="248" t="s">
        <v>2691</v>
      </c>
      <c r="D996" s="248" t="s">
        <v>2988</v>
      </c>
      <c r="E996" s="248" t="s">
        <v>3181</v>
      </c>
      <c r="F996" s="248" t="s">
        <v>2696</v>
      </c>
      <c r="G996" s="248" t="s">
        <v>2488</v>
      </c>
      <c r="H996" s="249" t="s">
        <v>3188</v>
      </c>
      <c r="I996" s="249" t="s">
        <v>2745</v>
      </c>
      <c r="J996" s="248" t="s">
        <v>2535</v>
      </c>
      <c r="K996" s="249" t="s">
        <v>3127</v>
      </c>
      <c r="L996" s="249" t="s">
        <v>2790</v>
      </c>
      <c r="M996" s="248" t="s">
        <v>2791</v>
      </c>
      <c r="N996" s="293"/>
      <c r="O996" s="293" t="str">
        <f>TablaPOA[[#This Row],[Cod_Sub_acción_especifica]]&amp;"_"&amp;TablaPOA[[#This Row],[Tipo de agente]]</f>
        <v>K31.3.7.1_EVP combustibles de uso automotor</v>
      </c>
      <c r="P996" s="250" t="s">
        <v>2882</v>
      </c>
      <c r="Q996" s="292" t="str">
        <f>TablaPOA[[#This Row],[Cod_Sub_acción_especifica]]&amp;"_"&amp;TablaPOA[[#This Row],[Cod_Tipo_agente]]</f>
        <v>K31.3.7.1_TA6</v>
      </c>
      <c r="R996" s="250" t="s">
        <v>2883</v>
      </c>
      <c r="S996" s="251" t="s">
        <v>2900</v>
      </c>
      <c r="T996" s="269" t="s">
        <v>2901</v>
      </c>
    </row>
    <row r="997" spans="1:20" ht="25.5" x14ac:dyDescent="0.25">
      <c r="A997" s="268" t="s">
        <v>2314</v>
      </c>
      <c r="B997" s="248">
        <v>31</v>
      </c>
      <c r="C997" s="248" t="s">
        <v>2691</v>
      </c>
      <c r="D997" s="248" t="s">
        <v>2988</v>
      </c>
      <c r="E997" s="248" t="s">
        <v>3181</v>
      </c>
      <c r="F997" s="248" t="s">
        <v>2696</v>
      </c>
      <c r="G997" s="248" t="s">
        <v>2488</v>
      </c>
      <c r="H997" s="249" t="s">
        <v>3188</v>
      </c>
      <c r="I997" s="249" t="s">
        <v>2745</v>
      </c>
      <c r="J997" s="248" t="s">
        <v>2535</v>
      </c>
      <c r="K997" s="249" t="s">
        <v>3127</v>
      </c>
      <c r="L997" s="249" t="s">
        <v>2790</v>
      </c>
      <c r="M997" s="248" t="s">
        <v>2791</v>
      </c>
      <c r="N997" s="293"/>
      <c r="O997" s="293" t="str">
        <f>TablaPOA[[#This Row],[Cod_Sub_acción_especifica]]&amp;"_"&amp;TablaPOA[[#This Row],[Tipo de agente]]</f>
        <v>K31.3.7.1_Plantas de abastecimiento y despacho</v>
      </c>
      <c r="P997" s="250" t="s">
        <v>2950</v>
      </c>
      <c r="Q997" s="292" t="str">
        <f>TablaPOA[[#This Row],[Cod_Sub_acción_especifica]]&amp;"_"&amp;TablaPOA[[#This Row],[Cod_Tipo_agente]]</f>
        <v>K31.3.7.1_TA10</v>
      </c>
      <c r="R997" s="250" t="s">
        <v>2951</v>
      </c>
      <c r="S997" s="251" t="s">
        <v>2952</v>
      </c>
      <c r="T997" s="269" t="s">
        <v>2953</v>
      </c>
    </row>
    <row r="998" spans="1:20" ht="25.5" x14ac:dyDescent="0.25">
      <c r="A998" s="268" t="s">
        <v>2314</v>
      </c>
      <c r="B998" s="248">
        <v>31</v>
      </c>
      <c r="C998" s="248" t="s">
        <v>2691</v>
      </c>
      <c r="D998" s="248" t="s">
        <v>2988</v>
      </c>
      <c r="E998" s="248" t="s">
        <v>3181</v>
      </c>
      <c r="F998" s="248" t="s">
        <v>2696</v>
      </c>
      <c r="G998" s="248" t="s">
        <v>2488</v>
      </c>
      <c r="H998" s="249" t="s">
        <v>3188</v>
      </c>
      <c r="I998" s="249" t="s">
        <v>2745</v>
      </c>
      <c r="J998" s="248" t="s">
        <v>2535</v>
      </c>
      <c r="K998" s="249" t="s">
        <v>3127</v>
      </c>
      <c r="L998" s="249" t="s">
        <v>2790</v>
      </c>
      <c r="M998" s="248" t="s">
        <v>2791</v>
      </c>
      <c r="N998" s="293"/>
      <c r="O998" s="293" t="str">
        <f>TablaPOA[[#This Row],[Cod_Sub_acción_especifica]]&amp;"_"&amp;TablaPOA[[#This Row],[Tipo de agente]]</f>
        <v>K31.3.7.1_Plantas de abastecimiento y despacho</v>
      </c>
      <c r="P998" s="250" t="s">
        <v>2950</v>
      </c>
      <c r="Q998" s="292" t="str">
        <f>TablaPOA[[#This Row],[Cod_Sub_acción_especifica]]&amp;"_"&amp;TablaPOA[[#This Row],[Cod_Tipo_agente]]</f>
        <v>K31.3.7.1_TA10</v>
      </c>
      <c r="R998" s="250" t="s">
        <v>2951</v>
      </c>
      <c r="S998" s="251" t="s">
        <v>2954</v>
      </c>
      <c r="T998" s="269" t="s">
        <v>2955</v>
      </c>
    </row>
    <row r="999" spans="1:20" ht="25.5" x14ac:dyDescent="0.25">
      <c r="A999" s="268" t="s">
        <v>2314</v>
      </c>
      <c r="B999" s="248">
        <v>31</v>
      </c>
      <c r="C999" s="248" t="s">
        <v>2691</v>
      </c>
      <c r="D999" s="248" t="s">
        <v>2988</v>
      </c>
      <c r="E999" s="248" t="s">
        <v>3181</v>
      </c>
      <c r="F999" s="248" t="s">
        <v>2696</v>
      </c>
      <c r="G999" s="248" t="s">
        <v>2488</v>
      </c>
      <c r="H999" s="249" t="s">
        <v>3188</v>
      </c>
      <c r="I999" s="249" t="s">
        <v>2745</v>
      </c>
      <c r="J999" s="248" t="s">
        <v>2535</v>
      </c>
      <c r="K999" s="249" t="s">
        <v>3127</v>
      </c>
      <c r="L999" s="249" t="s">
        <v>2790</v>
      </c>
      <c r="M999" s="248" t="s">
        <v>2791</v>
      </c>
      <c r="N999" s="293"/>
      <c r="O999" s="293" t="str">
        <f>TablaPOA[[#This Row],[Cod_Sub_acción_especifica]]&amp;"_"&amp;TablaPOA[[#This Row],[Tipo de agente]]</f>
        <v>K31.3.7.1_Plantas de abastecimiento y despacho</v>
      </c>
      <c r="P999" s="250" t="s">
        <v>2950</v>
      </c>
      <c r="Q999" s="292" t="str">
        <f>TablaPOA[[#This Row],[Cod_Sub_acción_especifica]]&amp;"_"&amp;TablaPOA[[#This Row],[Cod_Tipo_agente]]</f>
        <v>K31.3.7.1_TA10</v>
      </c>
      <c r="R999" s="250" t="s">
        <v>2951</v>
      </c>
      <c r="S999" s="251" t="s">
        <v>2956</v>
      </c>
      <c r="T999" s="269" t="s">
        <v>2957</v>
      </c>
    </row>
    <row r="1000" spans="1:20" ht="25.5" x14ac:dyDescent="0.25">
      <c r="A1000" s="268" t="s">
        <v>2314</v>
      </c>
      <c r="B1000" s="248">
        <v>31</v>
      </c>
      <c r="C1000" s="248" t="s">
        <v>2691</v>
      </c>
      <c r="D1000" s="248" t="s">
        <v>2988</v>
      </c>
      <c r="E1000" s="248" t="s">
        <v>3181</v>
      </c>
      <c r="F1000" s="248" t="s">
        <v>2696</v>
      </c>
      <c r="G1000" s="248" t="s">
        <v>2488</v>
      </c>
      <c r="H1000" s="249" t="s">
        <v>3188</v>
      </c>
      <c r="I1000" s="249" t="s">
        <v>2745</v>
      </c>
      <c r="J1000" s="248" t="s">
        <v>2535</v>
      </c>
      <c r="K1000" s="249" t="s">
        <v>3127</v>
      </c>
      <c r="L1000" s="249" t="s">
        <v>2790</v>
      </c>
      <c r="M1000" s="248" t="s">
        <v>2791</v>
      </c>
      <c r="N1000" s="293"/>
      <c r="O1000" s="293" t="str">
        <f>TablaPOA[[#This Row],[Cod_Sub_acción_especifica]]&amp;"_"&amp;TablaPOA[[#This Row],[Tipo de agente]]</f>
        <v>K31.3.7.1_Plantas de abastecimiento y despacho</v>
      </c>
      <c r="P1000" s="250" t="s">
        <v>2950</v>
      </c>
      <c r="Q1000" s="292" t="str">
        <f>TablaPOA[[#This Row],[Cod_Sub_acción_especifica]]&amp;"_"&amp;TablaPOA[[#This Row],[Cod_Tipo_agente]]</f>
        <v>K31.3.7.1_TA10</v>
      </c>
      <c r="R1000" s="250" t="s">
        <v>2951</v>
      </c>
      <c r="S1000" s="251" t="s">
        <v>2958</v>
      </c>
      <c r="T1000" s="269" t="s">
        <v>2959</v>
      </c>
    </row>
    <row r="1001" spans="1:20" ht="25.5" x14ac:dyDescent="0.25">
      <c r="A1001" s="268" t="s">
        <v>2314</v>
      </c>
      <c r="B1001" s="248">
        <v>31</v>
      </c>
      <c r="C1001" s="248" t="s">
        <v>2691</v>
      </c>
      <c r="D1001" s="248" t="s">
        <v>2988</v>
      </c>
      <c r="E1001" s="248" t="s">
        <v>3181</v>
      </c>
      <c r="F1001" s="248" t="s">
        <v>2696</v>
      </c>
      <c r="G1001" s="248" t="s">
        <v>2488</v>
      </c>
      <c r="H1001" s="249" t="s">
        <v>3188</v>
      </c>
      <c r="I1001" s="249" t="s">
        <v>2745</v>
      </c>
      <c r="J1001" s="248" t="s">
        <v>2535</v>
      </c>
      <c r="K1001" s="249" t="s">
        <v>3127</v>
      </c>
      <c r="L1001" s="249" t="s">
        <v>2790</v>
      </c>
      <c r="M1001" s="248" t="s">
        <v>2791</v>
      </c>
      <c r="N1001" s="293"/>
      <c r="O1001" s="293" t="str">
        <f>TablaPOA[[#This Row],[Cod_Sub_acción_especifica]]&amp;"_"&amp;TablaPOA[[#This Row],[Tipo de agente]]</f>
        <v>K31.3.7.1_Plantas de abastecimiento y despacho</v>
      </c>
      <c r="P1001" s="250" t="s">
        <v>2950</v>
      </c>
      <c r="Q1001" s="292" t="str">
        <f>TablaPOA[[#This Row],[Cod_Sub_acción_especifica]]&amp;"_"&amp;TablaPOA[[#This Row],[Cod_Tipo_agente]]</f>
        <v>K31.3.7.1_TA10</v>
      </c>
      <c r="R1001" s="250" t="s">
        <v>2951</v>
      </c>
      <c r="S1001" s="251" t="s">
        <v>2960</v>
      </c>
      <c r="T1001" s="269" t="s">
        <v>2961</v>
      </c>
    </row>
    <row r="1002" spans="1:20" ht="38.25" x14ac:dyDescent="0.25">
      <c r="A1002" s="219" t="s">
        <v>2314</v>
      </c>
      <c r="B1002" s="227">
        <v>31</v>
      </c>
      <c r="C1002" s="227" t="s">
        <v>2691</v>
      </c>
      <c r="D1002" s="227" t="s">
        <v>2988</v>
      </c>
      <c r="E1002" s="227" t="s">
        <v>3181</v>
      </c>
      <c r="F1002" s="227" t="s">
        <v>2696</v>
      </c>
      <c r="G1002" s="227" t="s">
        <v>2488</v>
      </c>
      <c r="H1002" s="253" t="s">
        <v>3188</v>
      </c>
      <c r="I1002" s="253" t="s">
        <v>2745</v>
      </c>
      <c r="J1002" s="227" t="s">
        <v>2535</v>
      </c>
      <c r="K1002" s="253" t="s">
        <v>3128</v>
      </c>
      <c r="L1002" s="253" t="s">
        <v>2792</v>
      </c>
      <c r="M1002" s="227" t="s">
        <v>2793</v>
      </c>
      <c r="N1002" s="299" t="s">
        <v>2877</v>
      </c>
      <c r="O1002" s="292" t="str">
        <f>TablaPOA[[#This Row],[Cod_Sub_acción_especifica]]&amp;"_"&amp;TablaPOA[[#This Row],[Tipo de agente]]</f>
        <v>K31.3.7.2_Envasadoras de GLP</v>
      </c>
      <c r="P1002" s="254" t="s">
        <v>2876</v>
      </c>
      <c r="Q1002" s="292" t="str">
        <f>TablaPOA[[#This Row],[Cod_Sub_acción_especifica]]&amp;"_"&amp;TablaPOA[[#This Row],[Cod_Tipo_agente]]</f>
        <v>K31.3.7.2_TA5</v>
      </c>
      <c r="R1002" s="254" t="s">
        <v>2877</v>
      </c>
      <c r="S1002" s="255" t="s">
        <v>2878</v>
      </c>
      <c r="T1002" s="271" t="s">
        <v>2879</v>
      </c>
    </row>
    <row r="1003" spans="1:20" ht="38.25" x14ac:dyDescent="0.25">
      <c r="A1003" s="219" t="s">
        <v>2314</v>
      </c>
      <c r="B1003" s="227">
        <v>31</v>
      </c>
      <c r="C1003" s="227" t="s">
        <v>2691</v>
      </c>
      <c r="D1003" s="227" t="s">
        <v>2988</v>
      </c>
      <c r="E1003" s="227" t="s">
        <v>3181</v>
      </c>
      <c r="F1003" s="227" t="s">
        <v>2696</v>
      </c>
      <c r="G1003" s="227" t="s">
        <v>2488</v>
      </c>
      <c r="H1003" s="253" t="s">
        <v>3188</v>
      </c>
      <c r="I1003" s="253" t="s">
        <v>2745</v>
      </c>
      <c r="J1003" s="227" t="s">
        <v>2535</v>
      </c>
      <c r="K1003" s="253" t="s">
        <v>3128</v>
      </c>
      <c r="L1003" s="253" t="s">
        <v>2792</v>
      </c>
      <c r="M1003" s="227" t="s">
        <v>2793</v>
      </c>
      <c r="N1003" s="299" t="s">
        <v>2883</v>
      </c>
      <c r="O1003" s="292" t="str">
        <f>TablaPOA[[#This Row],[Cod_Sub_acción_especifica]]&amp;"_"&amp;TablaPOA[[#This Row],[Tipo de agente]]</f>
        <v>K31.3.7.2_Envasadoras de GLP</v>
      </c>
      <c r="P1003" s="254" t="s">
        <v>2876</v>
      </c>
      <c r="Q1003" s="292" t="str">
        <f>TablaPOA[[#This Row],[Cod_Sub_acción_especifica]]&amp;"_"&amp;TablaPOA[[#This Row],[Cod_Tipo_agente]]</f>
        <v>K31.3.7.2_TA5</v>
      </c>
      <c r="R1003" s="254" t="s">
        <v>2877</v>
      </c>
      <c r="S1003" s="255" t="s">
        <v>2880</v>
      </c>
      <c r="T1003" s="271" t="s">
        <v>2881</v>
      </c>
    </row>
    <row r="1004" spans="1:20" ht="38.25" x14ac:dyDescent="0.25">
      <c r="A1004" s="219" t="s">
        <v>2314</v>
      </c>
      <c r="B1004" s="227">
        <v>31</v>
      </c>
      <c r="C1004" s="227" t="s">
        <v>2691</v>
      </c>
      <c r="D1004" s="227" t="s">
        <v>2988</v>
      </c>
      <c r="E1004" s="227" t="s">
        <v>3181</v>
      </c>
      <c r="F1004" s="227" t="s">
        <v>2696</v>
      </c>
      <c r="G1004" s="227" t="s">
        <v>2488</v>
      </c>
      <c r="H1004" s="253" t="s">
        <v>3188</v>
      </c>
      <c r="I1004" s="253" t="s">
        <v>2745</v>
      </c>
      <c r="J1004" s="227" t="s">
        <v>2535</v>
      </c>
      <c r="K1004" s="253" t="s">
        <v>3128</v>
      </c>
      <c r="L1004" s="253" t="s">
        <v>2792</v>
      </c>
      <c r="M1004" s="227" t="s">
        <v>2793</v>
      </c>
      <c r="N1004" s="299" t="s">
        <v>2951</v>
      </c>
      <c r="O1004" s="292" t="str">
        <f>TablaPOA[[#This Row],[Cod_Sub_acción_especifica]]&amp;"_"&amp;TablaPOA[[#This Row],[Tipo de agente]]</f>
        <v>K31.3.7.2_EVP combustibles de uso automotor</v>
      </c>
      <c r="P1004" s="254" t="s">
        <v>2882</v>
      </c>
      <c r="Q1004" s="292" t="str">
        <f>TablaPOA[[#This Row],[Cod_Sub_acción_especifica]]&amp;"_"&amp;TablaPOA[[#This Row],[Cod_Tipo_agente]]</f>
        <v>K31.3.7.2_TA6</v>
      </c>
      <c r="R1004" s="254" t="s">
        <v>2883</v>
      </c>
      <c r="S1004" s="255" t="s">
        <v>2884</v>
      </c>
      <c r="T1004" s="271" t="s">
        <v>2885</v>
      </c>
    </row>
    <row r="1005" spans="1:20" ht="38.25" x14ac:dyDescent="0.25">
      <c r="A1005" s="219" t="s">
        <v>2314</v>
      </c>
      <c r="B1005" s="227">
        <v>31</v>
      </c>
      <c r="C1005" s="227" t="s">
        <v>2691</v>
      </c>
      <c r="D1005" s="227" t="s">
        <v>2988</v>
      </c>
      <c r="E1005" s="227" t="s">
        <v>3181</v>
      </c>
      <c r="F1005" s="227" t="s">
        <v>2696</v>
      </c>
      <c r="G1005" s="227" t="s">
        <v>2488</v>
      </c>
      <c r="H1005" s="253" t="s">
        <v>3188</v>
      </c>
      <c r="I1005" s="253" t="s">
        <v>2745</v>
      </c>
      <c r="J1005" s="227" t="s">
        <v>2535</v>
      </c>
      <c r="K1005" s="253" t="s">
        <v>3128</v>
      </c>
      <c r="L1005" s="253" t="s">
        <v>2792</v>
      </c>
      <c r="M1005" s="227" t="s">
        <v>2793</v>
      </c>
      <c r="N1005" s="293"/>
      <c r="O1005" s="293" t="str">
        <f>TablaPOA[[#This Row],[Cod_Sub_acción_especifica]]&amp;"_"&amp;TablaPOA[[#This Row],[Tipo de agente]]</f>
        <v>K31.3.7.2_EVP combustibles de uso automotor</v>
      </c>
      <c r="P1005" s="254" t="s">
        <v>2882</v>
      </c>
      <c r="Q1005" s="292" t="str">
        <f>TablaPOA[[#This Row],[Cod_Sub_acción_especifica]]&amp;"_"&amp;TablaPOA[[#This Row],[Cod_Tipo_agente]]</f>
        <v>K31.3.7.2_TA6</v>
      </c>
      <c r="R1005" s="254" t="s">
        <v>2883</v>
      </c>
      <c r="S1005" s="255" t="s">
        <v>2886</v>
      </c>
      <c r="T1005" s="271" t="s">
        <v>2887</v>
      </c>
    </row>
    <row r="1006" spans="1:20" ht="38.25" x14ac:dyDescent="0.25">
      <c r="A1006" s="219" t="s">
        <v>2314</v>
      </c>
      <c r="B1006" s="227">
        <v>31</v>
      </c>
      <c r="C1006" s="227" t="s">
        <v>2691</v>
      </c>
      <c r="D1006" s="227" t="s">
        <v>2988</v>
      </c>
      <c r="E1006" s="227" t="s">
        <v>3181</v>
      </c>
      <c r="F1006" s="227" t="s">
        <v>2696</v>
      </c>
      <c r="G1006" s="227" t="s">
        <v>2488</v>
      </c>
      <c r="H1006" s="253" t="s">
        <v>3188</v>
      </c>
      <c r="I1006" s="253" t="s">
        <v>2745</v>
      </c>
      <c r="J1006" s="227" t="s">
        <v>2535</v>
      </c>
      <c r="K1006" s="253" t="s">
        <v>3128</v>
      </c>
      <c r="L1006" s="253" t="s">
        <v>2792</v>
      </c>
      <c r="M1006" s="227" t="s">
        <v>2793</v>
      </c>
      <c r="N1006" s="293"/>
      <c r="O1006" s="293" t="str">
        <f>TablaPOA[[#This Row],[Cod_Sub_acción_especifica]]&amp;"_"&amp;TablaPOA[[#This Row],[Tipo de agente]]</f>
        <v>K31.3.7.2_EVP combustibles de uso automotor</v>
      </c>
      <c r="P1006" s="254" t="s">
        <v>2882</v>
      </c>
      <c r="Q1006" s="292" t="str">
        <f>TablaPOA[[#This Row],[Cod_Sub_acción_especifica]]&amp;"_"&amp;TablaPOA[[#This Row],[Cod_Tipo_agente]]</f>
        <v>K31.3.7.2_TA6</v>
      </c>
      <c r="R1006" s="254" t="s">
        <v>2883</v>
      </c>
      <c r="S1006" s="255" t="s">
        <v>2888</v>
      </c>
      <c r="T1006" s="271" t="s">
        <v>2889</v>
      </c>
    </row>
    <row r="1007" spans="1:20" ht="38.25" x14ac:dyDescent="0.25">
      <c r="A1007" s="219" t="s">
        <v>2314</v>
      </c>
      <c r="B1007" s="227">
        <v>31</v>
      </c>
      <c r="C1007" s="227" t="s">
        <v>2691</v>
      </c>
      <c r="D1007" s="227" t="s">
        <v>2988</v>
      </c>
      <c r="E1007" s="227" t="s">
        <v>3181</v>
      </c>
      <c r="F1007" s="227" t="s">
        <v>2696</v>
      </c>
      <c r="G1007" s="227" t="s">
        <v>2488</v>
      </c>
      <c r="H1007" s="253" t="s">
        <v>3188</v>
      </c>
      <c r="I1007" s="253" t="s">
        <v>2745</v>
      </c>
      <c r="J1007" s="227" t="s">
        <v>2535</v>
      </c>
      <c r="K1007" s="253" t="s">
        <v>3128</v>
      </c>
      <c r="L1007" s="253" t="s">
        <v>2792</v>
      </c>
      <c r="M1007" s="227" t="s">
        <v>2793</v>
      </c>
      <c r="N1007" s="293"/>
      <c r="O1007" s="293" t="str">
        <f>TablaPOA[[#This Row],[Cod_Sub_acción_especifica]]&amp;"_"&amp;TablaPOA[[#This Row],[Tipo de agente]]</f>
        <v>K31.3.7.2_EVP combustibles de uso automotor</v>
      </c>
      <c r="P1007" s="254" t="s">
        <v>2882</v>
      </c>
      <c r="Q1007" s="292" t="str">
        <f>TablaPOA[[#This Row],[Cod_Sub_acción_especifica]]&amp;"_"&amp;TablaPOA[[#This Row],[Cod_Tipo_agente]]</f>
        <v>K31.3.7.2_TA6</v>
      </c>
      <c r="R1007" s="254" t="s">
        <v>2883</v>
      </c>
      <c r="S1007" s="255" t="s">
        <v>2890</v>
      </c>
      <c r="T1007" s="271" t="s">
        <v>2891</v>
      </c>
    </row>
    <row r="1008" spans="1:20" ht="38.25" x14ac:dyDescent="0.25">
      <c r="A1008" s="219" t="s">
        <v>2314</v>
      </c>
      <c r="B1008" s="227">
        <v>31</v>
      </c>
      <c r="C1008" s="227" t="s">
        <v>2691</v>
      </c>
      <c r="D1008" s="227" t="s">
        <v>2988</v>
      </c>
      <c r="E1008" s="227" t="s">
        <v>3181</v>
      </c>
      <c r="F1008" s="227" t="s">
        <v>2696</v>
      </c>
      <c r="G1008" s="227" t="s">
        <v>2488</v>
      </c>
      <c r="H1008" s="253" t="s">
        <v>3188</v>
      </c>
      <c r="I1008" s="253" t="s">
        <v>2745</v>
      </c>
      <c r="J1008" s="227" t="s">
        <v>2535</v>
      </c>
      <c r="K1008" s="253" t="s">
        <v>3128</v>
      </c>
      <c r="L1008" s="253" t="s">
        <v>2792</v>
      </c>
      <c r="M1008" s="227" t="s">
        <v>2793</v>
      </c>
      <c r="N1008" s="293"/>
      <c r="O1008" s="293" t="str">
        <f>TablaPOA[[#This Row],[Cod_Sub_acción_especifica]]&amp;"_"&amp;TablaPOA[[#This Row],[Tipo de agente]]</f>
        <v>K31.3.7.2_EVP combustibles de uso automotor</v>
      </c>
      <c r="P1008" s="254" t="s">
        <v>2882</v>
      </c>
      <c r="Q1008" s="292" t="str">
        <f>TablaPOA[[#This Row],[Cod_Sub_acción_especifica]]&amp;"_"&amp;TablaPOA[[#This Row],[Cod_Tipo_agente]]</f>
        <v>K31.3.7.2_TA6</v>
      </c>
      <c r="R1008" s="254" t="s">
        <v>2883</v>
      </c>
      <c r="S1008" s="255" t="s">
        <v>2892</v>
      </c>
      <c r="T1008" s="271" t="s">
        <v>2893</v>
      </c>
    </row>
    <row r="1009" spans="1:20" ht="38.25" x14ac:dyDescent="0.25">
      <c r="A1009" s="219" t="s">
        <v>2314</v>
      </c>
      <c r="B1009" s="227">
        <v>31</v>
      </c>
      <c r="C1009" s="227" t="s">
        <v>2691</v>
      </c>
      <c r="D1009" s="227" t="s">
        <v>2988</v>
      </c>
      <c r="E1009" s="227" t="s">
        <v>3181</v>
      </c>
      <c r="F1009" s="227" t="s">
        <v>2696</v>
      </c>
      <c r="G1009" s="227" t="s">
        <v>2488</v>
      </c>
      <c r="H1009" s="253" t="s">
        <v>3188</v>
      </c>
      <c r="I1009" s="253" t="s">
        <v>2745</v>
      </c>
      <c r="J1009" s="227" t="s">
        <v>2535</v>
      </c>
      <c r="K1009" s="253" t="s">
        <v>3128</v>
      </c>
      <c r="L1009" s="253" t="s">
        <v>2792</v>
      </c>
      <c r="M1009" s="227" t="s">
        <v>2793</v>
      </c>
      <c r="N1009" s="293"/>
      <c r="O1009" s="293" t="str">
        <f>TablaPOA[[#This Row],[Cod_Sub_acción_especifica]]&amp;"_"&amp;TablaPOA[[#This Row],[Tipo de agente]]</f>
        <v>K31.3.7.2_EVP combustibles de uso automotor</v>
      </c>
      <c r="P1009" s="254" t="s">
        <v>2882</v>
      </c>
      <c r="Q1009" s="292" t="str">
        <f>TablaPOA[[#This Row],[Cod_Sub_acción_especifica]]&amp;"_"&amp;TablaPOA[[#This Row],[Cod_Tipo_agente]]</f>
        <v>K31.3.7.2_TA6</v>
      </c>
      <c r="R1009" s="254" t="s">
        <v>2883</v>
      </c>
      <c r="S1009" s="255" t="s">
        <v>2894</v>
      </c>
      <c r="T1009" s="271" t="s">
        <v>2895</v>
      </c>
    </row>
    <row r="1010" spans="1:20" ht="38.25" x14ac:dyDescent="0.25">
      <c r="A1010" s="219" t="s">
        <v>2314</v>
      </c>
      <c r="B1010" s="227">
        <v>31</v>
      </c>
      <c r="C1010" s="227" t="s">
        <v>2691</v>
      </c>
      <c r="D1010" s="227" t="s">
        <v>2988</v>
      </c>
      <c r="E1010" s="227" t="s">
        <v>3181</v>
      </c>
      <c r="F1010" s="227" t="s">
        <v>2696</v>
      </c>
      <c r="G1010" s="227" t="s">
        <v>2488</v>
      </c>
      <c r="H1010" s="253" t="s">
        <v>3188</v>
      </c>
      <c r="I1010" s="253" t="s">
        <v>2745</v>
      </c>
      <c r="J1010" s="227" t="s">
        <v>2535</v>
      </c>
      <c r="K1010" s="253" t="s">
        <v>3128</v>
      </c>
      <c r="L1010" s="253" t="s">
        <v>2792</v>
      </c>
      <c r="M1010" s="227" t="s">
        <v>2793</v>
      </c>
      <c r="N1010" s="293"/>
      <c r="O1010" s="293" t="str">
        <f>TablaPOA[[#This Row],[Cod_Sub_acción_especifica]]&amp;"_"&amp;TablaPOA[[#This Row],[Tipo de agente]]</f>
        <v>K31.3.7.2_EVP combustibles de uso automotor</v>
      </c>
      <c r="P1010" s="254" t="s">
        <v>2882</v>
      </c>
      <c r="Q1010" s="292" t="str">
        <f>TablaPOA[[#This Row],[Cod_Sub_acción_especifica]]&amp;"_"&amp;TablaPOA[[#This Row],[Cod_Tipo_agente]]</f>
        <v>K31.3.7.2_TA6</v>
      </c>
      <c r="R1010" s="254" t="s">
        <v>2883</v>
      </c>
      <c r="S1010" s="255" t="s">
        <v>2896</v>
      </c>
      <c r="T1010" s="271" t="s">
        <v>2897</v>
      </c>
    </row>
    <row r="1011" spans="1:20" ht="38.25" x14ac:dyDescent="0.25">
      <c r="A1011" s="219" t="s">
        <v>2314</v>
      </c>
      <c r="B1011" s="227">
        <v>31</v>
      </c>
      <c r="C1011" s="227" t="s">
        <v>2691</v>
      </c>
      <c r="D1011" s="227" t="s">
        <v>2988</v>
      </c>
      <c r="E1011" s="227" t="s">
        <v>3181</v>
      </c>
      <c r="F1011" s="227" t="s">
        <v>2696</v>
      </c>
      <c r="G1011" s="227" t="s">
        <v>2488</v>
      </c>
      <c r="H1011" s="253" t="s">
        <v>3188</v>
      </c>
      <c r="I1011" s="253" t="s">
        <v>2745</v>
      </c>
      <c r="J1011" s="227" t="s">
        <v>2535</v>
      </c>
      <c r="K1011" s="253" t="s">
        <v>3128</v>
      </c>
      <c r="L1011" s="253" t="s">
        <v>2792</v>
      </c>
      <c r="M1011" s="227" t="s">
        <v>2793</v>
      </c>
      <c r="N1011" s="293"/>
      <c r="O1011" s="293" t="str">
        <f>TablaPOA[[#This Row],[Cod_Sub_acción_especifica]]&amp;"_"&amp;TablaPOA[[#This Row],[Tipo de agente]]</f>
        <v>K31.3.7.2_EVP combustibles de uso automotor</v>
      </c>
      <c r="P1011" s="254" t="s">
        <v>2882</v>
      </c>
      <c r="Q1011" s="292" t="str">
        <f>TablaPOA[[#This Row],[Cod_Sub_acción_especifica]]&amp;"_"&amp;TablaPOA[[#This Row],[Cod_Tipo_agente]]</f>
        <v>K31.3.7.2_TA6</v>
      </c>
      <c r="R1011" s="254" t="s">
        <v>2883</v>
      </c>
      <c r="S1011" s="255" t="s">
        <v>2898</v>
      </c>
      <c r="T1011" s="271" t="s">
        <v>2899</v>
      </c>
    </row>
    <row r="1012" spans="1:20" ht="38.25" x14ac:dyDescent="0.25">
      <c r="A1012" s="219" t="s">
        <v>2314</v>
      </c>
      <c r="B1012" s="227">
        <v>31</v>
      </c>
      <c r="C1012" s="227" t="s">
        <v>2691</v>
      </c>
      <c r="D1012" s="227" t="s">
        <v>2988</v>
      </c>
      <c r="E1012" s="227" t="s">
        <v>3181</v>
      </c>
      <c r="F1012" s="227" t="s">
        <v>2696</v>
      </c>
      <c r="G1012" s="227" t="s">
        <v>2488</v>
      </c>
      <c r="H1012" s="253" t="s">
        <v>3188</v>
      </c>
      <c r="I1012" s="253" t="s">
        <v>2745</v>
      </c>
      <c r="J1012" s="227" t="s">
        <v>2535</v>
      </c>
      <c r="K1012" s="253" t="s">
        <v>3128</v>
      </c>
      <c r="L1012" s="253" t="s">
        <v>2792</v>
      </c>
      <c r="M1012" s="227" t="s">
        <v>2793</v>
      </c>
      <c r="N1012" s="293"/>
      <c r="O1012" s="293" t="str">
        <f>TablaPOA[[#This Row],[Cod_Sub_acción_especifica]]&amp;"_"&amp;TablaPOA[[#This Row],[Tipo de agente]]</f>
        <v>K31.3.7.2_EVP combustibles de uso automotor</v>
      </c>
      <c r="P1012" s="254" t="s">
        <v>2882</v>
      </c>
      <c r="Q1012" s="292" t="str">
        <f>TablaPOA[[#This Row],[Cod_Sub_acción_especifica]]&amp;"_"&amp;TablaPOA[[#This Row],[Cod_Tipo_agente]]</f>
        <v>K31.3.7.2_TA6</v>
      </c>
      <c r="R1012" s="254" t="s">
        <v>2883</v>
      </c>
      <c r="S1012" s="255" t="s">
        <v>2900</v>
      </c>
      <c r="T1012" s="271" t="s">
        <v>2901</v>
      </c>
    </row>
    <row r="1013" spans="1:20" ht="38.25" x14ac:dyDescent="0.25">
      <c r="A1013" s="219" t="s">
        <v>2314</v>
      </c>
      <c r="B1013" s="227">
        <v>31</v>
      </c>
      <c r="C1013" s="227" t="s">
        <v>2691</v>
      </c>
      <c r="D1013" s="227" t="s">
        <v>2988</v>
      </c>
      <c r="E1013" s="227" t="s">
        <v>3181</v>
      </c>
      <c r="F1013" s="227" t="s">
        <v>2696</v>
      </c>
      <c r="G1013" s="227" t="s">
        <v>2488</v>
      </c>
      <c r="H1013" s="253" t="s">
        <v>3188</v>
      </c>
      <c r="I1013" s="253" t="s">
        <v>2745</v>
      </c>
      <c r="J1013" s="227" t="s">
        <v>2535</v>
      </c>
      <c r="K1013" s="253" t="s">
        <v>3128</v>
      </c>
      <c r="L1013" s="253" t="s">
        <v>2792</v>
      </c>
      <c r="M1013" s="227" t="s">
        <v>2793</v>
      </c>
      <c r="N1013" s="293"/>
      <c r="O1013" s="293" t="str">
        <f>TablaPOA[[#This Row],[Cod_Sub_acción_especifica]]&amp;"_"&amp;TablaPOA[[#This Row],[Tipo de agente]]</f>
        <v>K31.3.7.2_Plantas de abastecimiento y despacho</v>
      </c>
      <c r="P1013" s="254" t="s">
        <v>2950</v>
      </c>
      <c r="Q1013" s="292" t="str">
        <f>TablaPOA[[#This Row],[Cod_Sub_acción_especifica]]&amp;"_"&amp;TablaPOA[[#This Row],[Cod_Tipo_agente]]</f>
        <v>K31.3.7.2_TA10</v>
      </c>
      <c r="R1013" s="254" t="s">
        <v>2951</v>
      </c>
      <c r="S1013" s="255" t="s">
        <v>2952</v>
      </c>
      <c r="T1013" s="271" t="s">
        <v>2953</v>
      </c>
    </row>
    <row r="1014" spans="1:20" ht="38.25" x14ac:dyDescent="0.25">
      <c r="A1014" s="219" t="s">
        <v>2314</v>
      </c>
      <c r="B1014" s="227">
        <v>31</v>
      </c>
      <c r="C1014" s="227" t="s">
        <v>2691</v>
      </c>
      <c r="D1014" s="227" t="s">
        <v>2988</v>
      </c>
      <c r="E1014" s="227" t="s">
        <v>3181</v>
      </c>
      <c r="F1014" s="227" t="s">
        <v>2696</v>
      </c>
      <c r="G1014" s="227" t="s">
        <v>2488</v>
      </c>
      <c r="H1014" s="253" t="s">
        <v>3188</v>
      </c>
      <c r="I1014" s="253" t="s">
        <v>2745</v>
      </c>
      <c r="J1014" s="227" t="s">
        <v>2535</v>
      </c>
      <c r="K1014" s="253" t="s">
        <v>3128</v>
      </c>
      <c r="L1014" s="253" t="s">
        <v>2792</v>
      </c>
      <c r="M1014" s="227" t="s">
        <v>2793</v>
      </c>
      <c r="N1014" s="293"/>
      <c r="O1014" s="293" t="str">
        <f>TablaPOA[[#This Row],[Cod_Sub_acción_especifica]]&amp;"_"&amp;TablaPOA[[#This Row],[Tipo de agente]]</f>
        <v>K31.3.7.2_Plantas de abastecimiento y despacho</v>
      </c>
      <c r="P1014" s="254" t="s">
        <v>2950</v>
      </c>
      <c r="Q1014" s="292" t="str">
        <f>TablaPOA[[#This Row],[Cod_Sub_acción_especifica]]&amp;"_"&amp;TablaPOA[[#This Row],[Cod_Tipo_agente]]</f>
        <v>K31.3.7.2_TA10</v>
      </c>
      <c r="R1014" s="254" t="s">
        <v>2951</v>
      </c>
      <c r="S1014" s="255" t="s">
        <v>2954</v>
      </c>
      <c r="T1014" s="271" t="s">
        <v>2955</v>
      </c>
    </row>
    <row r="1015" spans="1:20" ht="38.25" x14ac:dyDescent="0.25">
      <c r="A1015" s="219" t="s">
        <v>2314</v>
      </c>
      <c r="B1015" s="227">
        <v>31</v>
      </c>
      <c r="C1015" s="227" t="s">
        <v>2691</v>
      </c>
      <c r="D1015" s="227" t="s">
        <v>2988</v>
      </c>
      <c r="E1015" s="227" t="s">
        <v>3181</v>
      </c>
      <c r="F1015" s="227" t="s">
        <v>2696</v>
      </c>
      <c r="G1015" s="227" t="s">
        <v>2488</v>
      </c>
      <c r="H1015" s="253" t="s">
        <v>3188</v>
      </c>
      <c r="I1015" s="253" t="s">
        <v>2745</v>
      </c>
      <c r="J1015" s="227" t="s">
        <v>2535</v>
      </c>
      <c r="K1015" s="253" t="s">
        <v>3128</v>
      </c>
      <c r="L1015" s="253" t="s">
        <v>2792</v>
      </c>
      <c r="M1015" s="227" t="s">
        <v>2793</v>
      </c>
      <c r="N1015" s="293"/>
      <c r="O1015" s="293" t="str">
        <f>TablaPOA[[#This Row],[Cod_Sub_acción_especifica]]&amp;"_"&amp;TablaPOA[[#This Row],[Tipo de agente]]</f>
        <v>K31.3.7.2_Plantas de abastecimiento y despacho</v>
      </c>
      <c r="P1015" s="254" t="s">
        <v>2950</v>
      </c>
      <c r="Q1015" s="292" t="str">
        <f>TablaPOA[[#This Row],[Cod_Sub_acción_especifica]]&amp;"_"&amp;TablaPOA[[#This Row],[Cod_Tipo_agente]]</f>
        <v>K31.3.7.2_TA10</v>
      </c>
      <c r="R1015" s="254" t="s">
        <v>2951</v>
      </c>
      <c r="S1015" s="255" t="s">
        <v>2956</v>
      </c>
      <c r="T1015" s="271" t="s">
        <v>2957</v>
      </c>
    </row>
    <row r="1016" spans="1:20" ht="38.25" x14ac:dyDescent="0.25">
      <c r="A1016" s="219" t="s">
        <v>2314</v>
      </c>
      <c r="B1016" s="227">
        <v>31</v>
      </c>
      <c r="C1016" s="227" t="s">
        <v>2691</v>
      </c>
      <c r="D1016" s="227" t="s">
        <v>2988</v>
      </c>
      <c r="E1016" s="227" t="s">
        <v>3181</v>
      </c>
      <c r="F1016" s="227" t="s">
        <v>2696</v>
      </c>
      <c r="G1016" s="227" t="s">
        <v>2488</v>
      </c>
      <c r="H1016" s="253" t="s">
        <v>3188</v>
      </c>
      <c r="I1016" s="253" t="s">
        <v>2745</v>
      </c>
      <c r="J1016" s="227" t="s">
        <v>2535</v>
      </c>
      <c r="K1016" s="253" t="s">
        <v>3128</v>
      </c>
      <c r="L1016" s="253" t="s">
        <v>2792</v>
      </c>
      <c r="M1016" s="227" t="s">
        <v>2793</v>
      </c>
      <c r="N1016" s="293"/>
      <c r="O1016" s="293" t="str">
        <f>TablaPOA[[#This Row],[Cod_Sub_acción_especifica]]&amp;"_"&amp;TablaPOA[[#This Row],[Tipo de agente]]</f>
        <v>K31.3.7.2_Plantas de abastecimiento y despacho</v>
      </c>
      <c r="P1016" s="254" t="s">
        <v>2950</v>
      </c>
      <c r="Q1016" s="292" t="str">
        <f>TablaPOA[[#This Row],[Cod_Sub_acción_especifica]]&amp;"_"&amp;TablaPOA[[#This Row],[Cod_Tipo_agente]]</f>
        <v>K31.3.7.2_TA10</v>
      </c>
      <c r="R1016" s="254" t="s">
        <v>2951</v>
      </c>
      <c r="S1016" s="255" t="s">
        <v>2958</v>
      </c>
      <c r="T1016" s="271" t="s">
        <v>2959</v>
      </c>
    </row>
    <row r="1017" spans="1:20" ht="38.25" x14ac:dyDescent="0.25">
      <c r="A1017" s="219" t="s">
        <v>2314</v>
      </c>
      <c r="B1017" s="227">
        <v>31</v>
      </c>
      <c r="C1017" s="227" t="s">
        <v>2691</v>
      </c>
      <c r="D1017" s="227" t="s">
        <v>2988</v>
      </c>
      <c r="E1017" s="227" t="s">
        <v>3181</v>
      </c>
      <c r="F1017" s="227" t="s">
        <v>2696</v>
      </c>
      <c r="G1017" s="227" t="s">
        <v>2488</v>
      </c>
      <c r="H1017" s="253" t="s">
        <v>3188</v>
      </c>
      <c r="I1017" s="253" t="s">
        <v>2745</v>
      </c>
      <c r="J1017" s="227" t="s">
        <v>2535</v>
      </c>
      <c r="K1017" s="253" t="s">
        <v>3128</v>
      </c>
      <c r="L1017" s="253" t="s">
        <v>2792</v>
      </c>
      <c r="M1017" s="227" t="s">
        <v>2793</v>
      </c>
      <c r="N1017" s="293"/>
      <c r="O1017" s="293" t="str">
        <f>TablaPOA[[#This Row],[Cod_Sub_acción_especifica]]&amp;"_"&amp;TablaPOA[[#This Row],[Tipo de agente]]</f>
        <v>K31.3.7.2_Plantas de abastecimiento y despacho</v>
      </c>
      <c r="P1017" s="254" t="s">
        <v>2950</v>
      </c>
      <c r="Q1017" s="292" t="str">
        <f>TablaPOA[[#This Row],[Cod_Sub_acción_especifica]]&amp;"_"&amp;TablaPOA[[#This Row],[Cod_Tipo_agente]]</f>
        <v>K31.3.7.2_TA10</v>
      </c>
      <c r="R1017" s="254" t="s">
        <v>2951</v>
      </c>
      <c r="S1017" s="255" t="s">
        <v>2960</v>
      </c>
      <c r="T1017" s="271" t="s">
        <v>2961</v>
      </c>
    </row>
    <row r="1018" spans="1:20" ht="25.5" x14ac:dyDescent="0.25">
      <c r="A1018" s="268" t="s">
        <v>2314</v>
      </c>
      <c r="B1018" s="248">
        <v>31</v>
      </c>
      <c r="C1018" s="248" t="s">
        <v>2691</v>
      </c>
      <c r="D1018" s="248" t="s">
        <v>2988</v>
      </c>
      <c r="E1018" s="248" t="s">
        <v>3189</v>
      </c>
      <c r="F1018" s="248" t="s">
        <v>2697</v>
      </c>
      <c r="G1018" s="248" t="s">
        <v>2497</v>
      </c>
      <c r="H1018" s="249" t="s">
        <v>3190</v>
      </c>
      <c r="I1018" s="249" t="s">
        <v>2746</v>
      </c>
      <c r="J1018" s="248" t="s">
        <v>3028</v>
      </c>
      <c r="K1018" s="249" t="s">
        <v>3129</v>
      </c>
      <c r="L1018" s="249" t="s">
        <v>2794</v>
      </c>
      <c r="M1018" s="248" t="s">
        <v>2795</v>
      </c>
      <c r="N1018" s="299" t="s">
        <v>2809</v>
      </c>
      <c r="O1018" s="292" t="str">
        <f>TablaPOA[[#This Row],[Cod_Sub_acción_especifica]]&amp;"_"&amp;TablaPOA[[#This Row],[Tipo de agente]]</f>
        <v>K31.4.1.1_Consumidores directos de combustibles líquidos y OPDH</v>
      </c>
      <c r="P1018" s="250" t="s">
        <v>2808</v>
      </c>
      <c r="Q1018" s="292" t="str">
        <f>TablaPOA[[#This Row],[Cod_Sub_acción_especifica]]&amp;"_"&amp;TablaPOA[[#This Row],[Cod_Tipo_agente]]</f>
        <v>K31.4.1.1_TA1</v>
      </c>
      <c r="R1018" s="250" t="s">
        <v>2809</v>
      </c>
      <c r="S1018" s="251" t="s">
        <v>2810</v>
      </c>
      <c r="T1018" s="269" t="s">
        <v>2811</v>
      </c>
    </row>
    <row r="1019" spans="1:20" ht="25.5" x14ac:dyDescent="0.25">
      <c r="A1019" s="268" t="s">
        <v>2314</v>
      </c>
      <c r="B1019" s="248">
        <v>31</v>
      </c>
      <c r="C1019" s="248" t="s">
        <v>2691</v>
      </c>
      <c r="D1019" s="248" t="s">
        <v>2988</v>
      </c>
      <c r="E1019" s="248" t="s">
        <v>3189</v>
      </c>
      <c r="F1019" s="248" t="s">
        <v>2697</v>
      </c>
      <c r="G1019" s="248" t="s">
        <v>2497</v>
      </c>
      <c r="H1019" s="249" t="s">
        <v>3190</v>
      </c>
      <c r="I1019" s="249" t="s">
        <v>2746</v>
      </c>
      <c r="J1019" s="248" t="s">
        <v>3028</v>
      </c>
      <c r="K1019" s="249" t="s">
        <v>3129</v>
      </c>
      <c r="L1019" s="249" t="s">
        <v>2794</v>
      </c>
      <c r="M1019" s="248" t="s">
        <v>2795</v>
      </c>
      <c r="N1019" s="299" t="s">
        <v>2831</v>
      </c>
      <c r="O1019" s="292" t="str">
        <f>TablaPOA[[#This Row],[Cod_Sub_acción_especifica]]&amp;"_"&amp;TablaPOA[[#This Row],[Tipo de agente]]</f>
        <v>K31.4.1.1_Consumidores directos de combustibles líquidos y OPDH</v>
      </c>
      <c r="P1019" s="250" t="s">
        <v>2808</v>
      </c>
      <c r="Q1019" s="292" t="str">
        <f>TablaPOA[[#This Row],[Cod_Sub_acción_especifica]]&amp;"_"&amp;TablaPOA[[#This Row],[Cod_Tipo_agente]]</f>
        <v>K31.4.1.1_TA1</v>
      </c>
      <c r="R1019" s="250" t="s">
        <v>2809</v>
      </c>
      <c r="S1019" s="251" t="s">
        <v>2812</v>
      </c>
      <c r="T1019" s="269" t="s">
        <v>2813</v>
      </c>
    </row>
    <row r="1020" spans="1:20" ht="25.5" x14ac:dyDescent="0.25">
      <c r="A1020" s="268" t="s">
        <v>2314</v>
      </c>
      <c r="B1020" s="248">
        <v>31</v>
      </c>
      <c r="C1020" s="248" t="s">
        <v>2691</v>
      </c>
      <c r="D1020" s="248" t="s">
        <v>2988</v>
      </c>
      <c r="E1020" s="248" t="s">
        <v>3189</v>
      </c>
      <c r="F1020" s="248" t="s">
        <v>2697</v>
      </c>
      <c r="G1020" s="248" t="s">
        <v>2497</v>
      </c>
      <c r="H1020" s="249" t="s">
        <v>3190</v>
      </c>
      <c r="I1020" s="249" t="s">
        <v>2746</v>
      </c>
      <c r="J1020" s="248" t="s">
        <v>3028</v>
      </c>
      <c r="K1020" s="249" t="s">
        <v>3129</v>
      </c>
      <c r="L1020" s="249" t="s">
        <v>2794</v>
      </c>
      <c r="M1020" s="248" t="s">
        <v>2795</v>
      </c>
      <c r="N1020" s="299" t="s">
        <v>2840</v>
      </c>
      <c r="O1020" s="292" t="str">
        <f>TablaPOA[[#This Row],[Cod_Sub_acción_especifica]]&amp;"_"&amp;TablaPOA[[#This Row],[Tipo de agente]]</f>
        <v>K31.4.1.1_Consumidores directos de combustibles líquidos y OPDH</v>
      </c>
      <c r="P1020" s="250" t="s">
        <v>2808</v>
      </c>
      <c r="Q1020" s="292" t="str">
        <f>TablaPOA[[#This Row],[Cod_Sub_acción_especifica]]&amp;"_"&amp;TablaPOA[[#This Row],[Cod_Tipo_agente]]</f>
        <v>K31.4.1.1_TA1</v>
      </c>
      <c r="R1020" s="250" t="s">
        <v>2809</v>
      </c>
      <c r="S1020" s="251" t="s">
        <v>2814</v>
      </c>
      <c r="T1020" s="269" t="s">
        <v>2815</v>
      </c>
    </row>
    <row r="1021" spans="1:20" ht="25.5" x14ac:dyDescent="0.25">
      <c r="A1021" s="268" t="s">
        <v>2314</v>
      </c>
      <c r="B1021" s="248">
        <v>31</v>
      </c>
      <c r="C1021" s="248" t="s">
        <v>2691</v>
      </c>
      <c r="D1021" s="248" t="s">
        <v>2988</v>
      </c>
      <c r="E1021" s="248" t="s">
        <v>3189</v>
      </c>
      <c r="F1021" s="248" t="s">
        <v>2697</v>
      </c>
      <c r="G1021" s="248" t="s">
        <v>2497</v>
      </c>
      <c r="H1021" s="249" t="s">
        <v>3190</v>
      </c>
      <c r="I1021" s="249" t="s">
        <v>2746</v>
      </c>
      <c r="J1021" s="248" t="s">
        <v>3028</v>
      </c>
      <c r="K1021" s="249" t="s">
        <v>3129</v>
      </c>
      <c r="L1021" s="249" t="s">
        <v>2794</v>
      </c>
      <c r="M1021" s="248" t="s">
        <v>2795</v>
      </c>
      <c r="N1021" s="299" t="s">
        <v>2853</v>
      </c>
      <c r="O1021" s="292" t="str">
        <f>TablaPOA[[#This Row],[Cod_Sub_acción_especifica]]&amp;"_"&amp;TablaPOA[[#This Row],[Tipo de agente]]</f>
        <v>K31.4.1.1_Consumidores directos de combustibles líquidos y OPDH</v>
      </c>
      <c r="P1021" s="250" t="s">
        <v>2808</v>
      </c>
      <c r="Q1021" s="292" t="str">
        <f>TablaPOA[[#This Row],[Cod_Sub_acción_especifica]]&amp;"_"&amp;TablaPOA[[#This Row],[Cod_Tipo_agente]]</f>
        <v>K31.4.1.1_TA1</v>
      </c>
      <c r="R1021" s="250" t="s">
        <v>2809</v>
      </c>
      <c r="S1021" s="251" t="s">
        <v>2816</v>
      </c>
      <c r="T1021" s="269" t="s">
        <v>2817</v>
      </c>
    </row>
    <row r="1022" spans="1:20" ht="25.5" x14ac:dyDescent="0.25">
      <c r="A1022" s="268" t="s">
        <v>2314</v>
      </c>
      <c r="B1022" s="248">
        <v>31</v>
      </c>
      <c r="C1022" s="248" t="s">
        <v>2691</v>
      </c>
      <c r="D1022" s="248" t="s">
        <v>2988</v>
      </c>
      <c r="E1022" s="248" t="s">
        <v>3189</v>
      </c>
      <c r="F1022" s="248" t="s">
        <v>2697</v>
      </c>
      <c r="G1022" s="248" t="s">
        <v>2497</v>
      </c>
      <c r="H1022" s="249" t="s">
        <v>3190</v>
      </c>
      <c r="I1022" s="249" t="s">
        <v>2746</v>
      </c>
      <c r="J1022" s="248" t="s">
        <v>3028</v>
      </c>
      <c r="K1022" s="249" t="s">
        <v>3129</v>
      </c>
      <c r="L1022" s="249" t="s">
        <v>2794</v>
      </c>
      <c r="M1022" s="248" t="s">
        <v>2795</v>
      </c>
      <c r="N1022" s="299" t="s">
        <v>2877</v>
      </c>
      <c r="O1022" s="292" t="str">
        <f>TablaPOA[[#This Row],[Cod_Sub_acción_especifica]]&amp;"_"&amp;TablaPOA[[#This Row],[Tipo de agente]]</f>
        <v>K31.4.1.1_Consumidores directos de combustibles líquidos y OPDH</v>
      </c>
      <c r="P1022" s="250" t="s">
        <v>2808</v>
      </c>
      <c r="Q1022" s="292" t="str">
        <f>TablaPOA[[#This Row],[Cod_Sub_acción_especifica]]&amp;"_"&amp;TablaPOA[[#This Row],[Cod_Tipo_agente]]</f>
        <v>K31.4.1.1_TA1</v>
      </c>
      <c r="R1022" s="250" t="s">
        <v>2809</v>
      </c>
      <c r="S1022" s="251" t="s">
        <v>2818</v>
      </c>
      <c r="T1022" s="269" t="s">
        <v>2819</v>
      </c>
    </row>
    <row r="1023" spans="1:20" ht="25.5" x14ac:dyDescent="0.25">
      <c r="A1023" s="268" t="s">
        <v>2314</v>
      </c>
      <c r="B1023" s="248">
        <v>31</v>
      </c>
      <c r="C1023" s="248" t="s">
        <v>2691</v>
      </c>
      <c r="D1023" s="248" t="s">
        <v>2988</v>
      </c>
      <c r="E1023" s="248" t="s">
        <v>3189</v>
      </c>
      <c r="F1023" s="248" t="s">
        <v>2697</v>
      </c>
      <c r="G1023" s="248" t="s">
        <v>2497</v>
      </c>
      <c r="H1023" s="249" t="s">
        <v>3190</v>
      </c>
      <c r="I1023" s="249" t="s">
        <v>2746</v>
      </c>
      <c r="J1023" s="248" t="s">
        <v>3028</v>
      </c>
      <c r="K1023" s="249" t="s">
        <v>3129</v>
      </c>
      <c r="L1023" s="249" t="s">
        <v>2794</v>
      </c>
      <c r="M1023" s="248" t="s">
        <v>2795</v>
      </c>
      <c r="N1023" s="299" t="s">
        <v>2883</v>
      </c>
      <c r="O1023" s="292" t="str">
        <f>TablaPOA[[#This Row],[Cod_Sub_acción_especifica]]&amp;"_"&amp;TablaPOA[[#This Row],[Tipo de agente]]</f>
        <v>K31.4.1.1_Consumidores directos de combustibles líquidos y OPDH</v>
      </c>
      <c r="P1023" s="250" t="s">
        <v>2808</v>
      </c>
      <c r="Q1023" s="292" t="str">
        <f>TablaPOA[[#This Row],[Cod_Sub_acción_especifica]]&amp;"_"&amp;TablaPOA[[#This Row],[Cod_Tipo_agente]]</f>
        <v>K31.4.1.1_TA1</v>
      </c>
      <c r="R1023" s="250" t="s">
        <v>2809</v>
      </c>
      <c r="S1023" s="251" t="s">
        <v>2820</v>
      </c>
      <c r="T1023" s="269" t="s">
        <v>2821</v>
      </c>
    </row>
    <row r="1024" spans="1:20" ht="25.5" x14ac:dyDescent="0.25">
      <c r="A1024" s="268" t="s">
        <v>2314</v>
      </c>
      <c r="B1024" s="248">
        <v>31</v>
      </c>
      <c r="C1024" s="248" t="s">
        <v>2691</v>
      </c>
      <c r="D1024" s="248" t="s">
        <v>2988</v>
      </c>
      <c r="E1024" s="248" t="s">
        <v>3189</v>
      </c>
      <c r="F1024" s="248" t="s">
        <v>2697</v>
      </c>
      <c r="G1024" s="248" t="s">
        <v>2497</v>
      </c>
      <c r="H1024" s="249" t="s">
        <v>3190</v>
      </c>
      <c r="I1024" s="249" t="s">
        <v>2746</v>
      </c>
      <c r="J1024" s="248" t="s">
        <v>3028</v>
      </c>
      <c r="K1024" s="249" t="s">
        <v>3129</v>
      </c>
      <c r="L1024" s="249" t="s">
        <v>2794</v>
      </c>
      <c r="M1024" s="248" t="s">
        <v>2795</v>
      </c>
      <c r="N1024" s="299" t="s">
        <v>2913</v>
      </c>
      <c r="O1024" s="292" t="str">
        <f>TablaPOA[[#This Row],[Cod_Sub_acción_especifica]]&amp;"_"&amp;TablaPOA[[#This Row],[Tipo de agente]]</f>
        <v>K31.4.1.1_Consumidores directos de combustibles líquidos y OPDH</v>
      </c>
      <c r="P1024" s="250" t="s">
        <v>2808</v>
      </c>
      <c r="Q1024" s="292" t="str">
        <f>TablaPOA[[#This Row],[Cod_Sub_acción_especifica]]&amp;"_"&amp;TablaPOA[[#This Row],[Cod_Tipo_agente]]</f>
        <v>K31.4.1.1_TA1</v>
      </c>
      <c r="R1024" s="250" t="s">
        <v>2809</v>
      </c>
      <c r="S1024" s="251" t="s">
        <v>2822</v>
      </c>
      <c r="T1024" s="269" t="s">
        <v>2823</v>
      </c>
    </row>
    <row r="1025" spans="1:20" ht="25.5" x14ac:dyDescent="0.25">
      <c r="A1025" s="268" t="s">
        <v>2314</v>
      </c>
      <c r="B1025" s="248">
        <v>31</v>
      </c>
      <c r="C1025" s="248" t="s">
        <v>2691</v>
      </c>
      <c r="D1025" s="248" t="s">
        <v>2988</v>
      </c>
      <c r="E1025" s="248" t="s">
        <v>3189</v>
      </c>
      <c r="F1025" s="248" t="s">
        <v>2697</v>
      </c>
      <c r="G1025" s="248" t="s">
        <v>2497</v>
      </c>
      <c r="H1025" s="249" t="s">
        <v>3190</v>
      </c>
      <c r="I1025" s="249" t="s">
        <v>2746</v>
      </c>
      <c r="J1025" s="248" t="s">
        <v>3028</v>
      </c>
      <c r="K1025" s="249" t="s">
        <v>3129</v>
      </c>
      <c r="L1025" s="249" t="s">
        <v>2794</v>
      </c>
      <c r="M1025" s="248" t="s">
        <v>2795</v>
      </c>
      <c r="N1025" s="299" t="s">
        <v>2919</v>
      </c>
      <c r="O1025" s="292" t="str">
        <f>TablaPOA[[#This Row],[Cod_Sub_acción_especifica]]&amp;"_"&amp;TablaPOA[[#This Row],[Tipo de agente]]</f>
        <v>K31.4.1.1_Consumidores directos de combustibles líquidos y OPDH</v>
      </c>
      <c r="P1025" s="250" t="s">
        <v>2808</v>
      </c>
      <c r="Q1025" s="292" t="str">
        <f>TablaPOA[[#This Row],[Cod_Sub_acción_especifica]]&amp;"_"&amp;TablaPOA[[#This Row],[Cod_Tipo_agente]]</f>
        <v>K31.4.1.1_TA1</v>
      </c>
      <c r="R1025" s="250" t="s">
        <v>2809</v>
      </c>
      <c r="S1025" s="251" t="s">
        <v>2824</v>
      </c>
      <c r="T1025" s="269" t="s">
        <v>2825</v>
      </c>
    </row>
    <row r="1026" spans="1:20" ht="25.5" x14ac:dyDescent="0.25">
      <c r="A1026" s="268" t="s">
        <v>2314</v>
      </c>
      <c r="B1026" s="248">
        <v>31</v>
      </c>
      <c r="C1026" s="248" t="s">
        <v>2691</v>
      </c>
      <c r="D1026" s="248" t="s">
        <v>2988</v>
      </c>
      <c r="E1026" s="248" t="s">
        <v>3189</v>
      </c>
      <c r="F1026" s="248" t="s">
        <v>2697</v>
      </c>
      <c r="G1026" s="248" t="s">
        <v>2497</v>
      </c>
      <c r="H1026" s="249" t="s">
        <v>3190</v>
      </c>
      <c r="I1026" s="249" t="s">
        <v>2746</v>
      </c>
      <c r="J1026" s="248" t="s">
        <v>3028</v>
      </c>
      <c r="K1026" s="249" t="s">
        <v>3129</v>
      </c>
      <c r="L1026" s="249" t="s">
        <v>2794</v>
      </c>
      <c r="M1026" s="248" t="s">
        <v>2795</v>
      </c>
      <c r="N1026" s="299" t="s">
        <v>2951</v>
      </c>
      <c r="O1026" s="292" t="str">
        <f>TablaPOA[[#This Row],[Cod_Sub_acción_especifica]]&amp;"_"&amp;TablaPOA[[#This Row],[Tipo de agente]]</f>
        <v>K31.4.1.1_Consumidores directos de combustibles líquidos y OPDH</v>
      </c>
      <c r="P1026" s="250" t="s">
        <v>2808</v>
      </c>
      <c r="Q1026" s="292" t="str">
        <f>TablaPOA[[#This Row],[Cod_Sub_acción_especifica]]&amp;"_"&amp;TablaPOA[[#This Row],[Cod_Tipo_agente]]</f>
        <v>K31.4.1.1_TA1</v>
      </c>
      <c r="R1026" s="250" t="s">
        <v>2809</v>
      </c>
      <c r="S1026" s="251" t="s">
        <v>2826</v>
      </c>
      <c r="T1026" s="269" t="s">
        <v>2827</v>
      </c>
    </row>
    <row r="1027" spans="1:20" ht="25.5" x14ac:dyDescent="0.25">
      <c r="A1027" s="268" t="s">
        <v>2314</v>
      </c>
      <c r="B1027" s="248">
        <v>31</v>
      </c>
      <c r="C1027" s="248" t="s">
        <v>2691</v>
      </c>
      <c r="D1027" s="248" t="s">
        <v>2988</v>
      </c>
      <c r="E1027" s="248" t="s">
        <v>3189</v>
      </c>
      <c r="F1027" s="248" t="s">
        <v>2697</v>
      </c>
      <c r="G1027" s="248" t="s">
        <v>2497</v>
      </c>
      <c r="H1027" s="249" t="s">
        <v>3190</v>
      </c>
      <c r="I1027" s="249" t="s">
        <v>2746</v>
      </c>
      <c r="J1027" s="248" t="s">
        <v>3028</v>
      </c>
      <c r="K1027" s="249" t="s">
        <v>3129</v>
      </c>
      <c r="L1027" s="249" t="s">
        <v>2794</v>
      </c>
      <c r="M1027" s="248" t="s">
        <v>2795</v>
      </c>
      <c r="N1027" s="299" t="s">
        <v>2903</v>
      </c>
      <c r="O1027" s="292" t="str">
        <f>TablaPOA[[#This Row],[Cod_Sub_acción_especifica]]&amp;"_"&amp;TablaPOA[[#This Row],[Tipo de agente]]</f>
        <v>K31.4.1.1_Consumidores directos de combustibles líquidos y OPDH</v>
      </c>
      <c r="P1027" s="250" t="s">
        <v>2808</v>
      </c>
      <c r="Q1027" s="292" t="str">
        <f>TablaPOA[[#This Row],[Cod_Sub_acción_especifica]]&amp;"_"&amp;TablaPOA[[#This Row],[Cod_Tipo_agente]]</f>
        <v>K31.4.1.1_TA1</v>
      </c>
      <c r="R1027" s="250" t="s">
        <v>2809</v>
      </c>
      <c r="S1027" s="251" t="s">
        <v>2828</v>
      </c>
      <c r="T1027" s="269" t="s">
        <v>2829</v>
      </c>
    </row>
    <row r="1028" spans="1:20" ht="25.5" x14ac:dyDescent="0.25">
      <c r="A1028" s="268" t="s">
        <v>2314</v>
      </c>
      <c r="B1028" s="248">
        <v>31</v>
      </c>
      <c r="C1028" s="248" t="s">
        <v>2691</v>
      </c>
      <c r="D1028" s="248" t="s">
        <v>2988</v>
      </c>
      <c r="E1028" s="248" t="s">
        <v>3189</v>
      </c>
      <c r="F1028" s="248" t="s">
        <v>2697</v>
      </c>
      <c r="G1028" s="248" t="s">
        <v>2497</v>
      </c>
      <c r="H1028" s="249" t="s">
        <v>3190</v>
      </c>
      <c r="I1028" s="249" t="s">
        <v>2746</v>
      </c>
      <c r="J1028" s="248" t="s">
        <v>3028</v>
      </c>
      <c r="K1028" s="249" t="s">
        <v>3129</v>
      </c>
      <c r="L1028" s="249" t="s">
        <v>2794</v>
      </c>
      <c r="M1028" s="248" t="s">
        <v>2795</v>
      </c>
      <c r="N1028" s="299" t="s">
        <v>2963</v>
      </c>
      <c r="O1028" s="292" t="str">
        <f>TablaPOA[[#This Row],[Cod_Sub_acción_especifica]]&amp;"_"&amp;TablaPOA[[#This Row],[Tipo de agente]]</f>
        <v>K31.4.1.1_Consumidores directos de gas natural</v>
      </c>
      <c r="P1028" s="250" t="s">
        <v>2830</v>
      </c>
      <c r="Q1028" s="292" t="str">
        <f>TablaPOA[[#This Row],[Cod_Sub_acción_especifica]]&amp;"_"&amp;TablaPOA[[#This Row],[Cod_Tipo_agente]]</f>
        <v>K31.4.1.1_TA2</v>
      </c>
      <c r="R1028" s="250" t="s">
        <v>2831</v>
      </c>
      <c r="S1028" s="250">
        <v>101</v>
      </c>
      <c r="T1028" s="269" t="s">
        <v>2832</v>
      </c>
    </row>
    <row r="1029" spans="1:20" ht="25.5" x14ac:dyDescent="0.25">
      <c r="A1029" s="268" t="s">
        <v>2314</v>
      </c>
      <c r="B1029" s="248">
        <v>31</v>
      </c>
      <c r="C1029" s="248" t="s">
        <v>2691</v>
      </c>
      <c r="D1029" s="248" t="s">
        <v>2988</v>
      </c>
      <c r="E1029" s="248" t="s">
        <v>3189</v>
      </c>
      <c r="F1029" s="248" t="s">
        <v>2697</v>
      </c>
      <c r="G1029" s="248" t="s">
        <v>2497</v>
      </c>
      <c r="H1029" s="249" t="s">
        <v>3190</v>
      </c>
      <c r="I1029" s="249" t="s">
        <v>2746</v>
      </c>
      <c r="J1029" s="248" t="s">
        <v>3028</v>
      </c>
      <c r="K1029" s="249" t="s">
        <v>3129</v>
      </c>
      <c r="L1029" s="249" t="s">
        <v>2794</v>
      </c>
      <c r="M1029" s="248" t="s">
        <v>2795</v>
      </c>
      <c r="N1029" s="293"/>
      <c r="O1029" s="293" t="str">
        <f>TablaPOA[[#This Row],[Cod_Sub_acción_especifica]]&amp;"_"&amp;TablaPOA[[#This Row],[Tipo de agente]]</f>
        <v>K31.4.1.1_Consumidores directos de gas natural</v>
      </c>
      <c r="P1029" s="250" t="s">
        <v>2830</v>
      </c>
      <c r="Q1029" s="292" t="str">
        <f>TablaPOA[[#This Row],[Cod_Sub_acción_especifica]]&amp;"_"&amp;TablaPOA[[#This Row],[Cod_Tipo_agente]]</f>
        <v>K31.4.1.1_TA2</v>
      </c>
      <c r="R1029" s="250" t="s">
        <v>2831</v>
      </c>
      <c r="S1029" s="250" t="s">
        <v>2833</v>
      </c>
      <c r="T1029" s="269" t="s">
        <v>2834</v>
      </c>
    </row>
    <row r="1030" spans="1:20" ht="25.5" x14ac:dyDescent="0.25">
      <c r="A1030" s="268" t="s">
        <v>2314</v>
      </c>
      <c r="B1030" s="248">
        <v>31</v>
      </c>
      <c r="C1030" s="248" t="s">
        <v>2691</v>
      </c>
      <c r="D1030" s="248" t="s">
        <v>2988</v>
      </c>
      <c r="E1030" s="248" t="s">
        <v>3189</v>
      </c>
      <c r="F1030" s="248" t="s">
        <v>2697</v>
      </c>
      <c r="G1030" s="248" t="s">
        <v>2497</v>
      </c>
      <c r="H1030" s="249" t="s">
        <v>3190</v>
      </c>
      <c r="I1030" s="249" t="s">
        <v>2746</v>
      </c>
      <c r="J1030" s="248" t="s">
        <v>3028</v>
      </c>
      <c r="K1030" s="249" t="s">
        <v>3129</v>
      </c>
      <c r="L1030" s="249" t="s">
        <v>2794</v>
      </c>
      <c r="M1030" s="248" t="s">
        <v>2795</v>
      </c>
      <c r="N1030" s="293"/>
      <c r="O1030" s="293" t="str">
        <f>TablaPOA[[#This Row],[Cod_Sub_acción_especifica]]&amp;"_"&amp;TablaPOA[[#This Row],[Tipo de agente]]</f>
        <v>K31.4.1.1_Consumidores directos de gas natural</v>
      </c>
      <c r="P1030" s="250" t="s">
        <v>2830</v>
      </c>
      <c r="Q1030" s="292" t="str">
        <f>TablaPOA[[#This Row],[Cod_Sub_acción_especifica]]&amp;"_"&amp;TablaPOA[[#This Row],[Cod_Tipo_agente]]</f>
        <v>K31.4.1.1_TA2</v>
      </c>
      <c r="R1030" s="250" t="s">
        <v>2831</v>
      </c>
      <c r="S1030" s="250" t="s">
        <v>2835</v>
      </c>
      <c r="T1030" s="269" t="s">
        <v>2836</v>
      </c>
    </row>
    <row r="1031" spans="1:20" ht="25.5" x14ac:dyDescent="0.25">
      <c r="A1031" s="268" t="s">
        <v>2314</v>
      </c>
      <c r="B1031" s="248">
        <v>31</v>
      </c>
      <c r="C1031" s="248" t="s">
        <v>2691</v>
      </c>
      <c r="D1031" s="248" t="s">
        <v>2988</v>
      </c>
      <c r="E1031" s="248" t="s">
        <v>3189</v>
      </c>
      <c r="F1031" s="248" t="s">
        <v>2697</v>
      </c>
      <c r="G1031" s="248" t="s">
        <v>2497</v>
      </c>
      <c r="H1031" s="249" t="s">
        <v>3190</v>
      </c>
      <c r="I1031" s="249" t="s">
        <v>2746</v>
      </c>
      <c r="J1031" s="248" t="s">
        <v>3028</v>
      </c>
      <c r="K1031" s="249" t="s">
        <v>3129</v>
      </c>
      <c r="L1031" s="249" t="s">
        <v>2794</v>
      </c>
      <c r="M1031" s="248" t="s">
        <v>2795</v>
      </c>
      <c r="N1031" s="293"/>
      <c r="O1031" s="293" t="str">
        <f>TablaPOA[[#This Row],[Cod_Sub_acción_especifica]]&amp;"_"&amp;TablaPOA[[#This Row],[Tipo de agente]]</f>
        <v>K31.4.1.1_Consumidores directos de gas natural</v>
      </c>
      <c r="P1031" s="250" t="s">
        <v>2830</v>
      </c>
      <c r="Q1031" s="292" t="str">
        <f>TablaPOA[[#This Row],[Cod_Sub_acción_especifica]]&amp;"_"&amp;TablaPOA[[#This Row],[Cod_Tipo_agente]]</f>
        <v>K31.4.1.1_TA2</v>
      </c>
      <c r="R1031" s="250" t="s">
        <v>2831</v>
      </c>
      <c r="S1031" s="250" t="s">
        <v>2837</v>
      </c>
      <c r="T1031" s="269" t="s">
        <v>2838</v>
      </c>
    </row>
    <row r="1032" spans="1:20" ht="25.5" x14ac:dyDescent="0.25">
      <c r="A1032" s="268" t="s">
        <v>2314</v>
      </c>
      <c r="B1032" s="248">
        <v>31</v>
      </c>
      <c r="C1032" s="248" t="s">
        <v>2691</v>
      </c>
      <c r="D1032" s="248" t="s">
        <v>2988</v>
      </c>
      <c r="E1032" s="248" t="s">
        <v>3189</v>
      </c>
      <c r="F1032" s="248" t="s">
        <v>2697</v>
      </c>
      <c r="G1032" s="248" t="s">
        <v>2497</v>
      </c>
      <c r="H1032" s="249" t="s">
        <v>3190</v>
      </c>
      <c r="I1032" s="249" t="s">
        <v>2746</v>
      </c>
      <c r="J1032" s="248" t="s">
        <v>3028</v>
      </c>
      <c r="K1032" s="249" t="s">
        <v>3129</v>
      </c>
      <c r="L1032" s="249" t="s">
        <v>2794</v>
      </c>
      <c r="M1032" s="248" t="s">
        <v>2795</v>
      </c>
      <c r="N1032" s="293"/>
      <c r="O1032" s="293" t="str">
        <f>TablaPOA[[#This Row],[Cod_Sub_acción_especifica]]&amp;"_"&amp;TablaPOA[[#This Row],[Tipo de agente]]</f>
        <v>K31.4.1.1_Consumidores directos de GLP y redes de distribución</v>
      </c>
      <c r="P1032" s="250" t="s">
        <v>2839</v>
      </c>
      <c r="Q1032" s="292" t="str">
        <f>TablaPOA[[#This Row],[Cod_Sub_acción_especifica]]&amp;"_"&amp;TablaPOA[[#This Row],[Cod_Tipo_agente]]</f>
        <v>K31.4.1.1_TA3</v>
      </c>
      <c r="R1032" s="250" t="s">
        <v>2840</v>
      </c>
      <c r="S1032" s="250">
        <v>400</v>
      </c>
      <c r="T1032" s="269" t="s">
        <v>2841</v>
      </c>
    </row>
    <row r="1033" spans="1:20" ht="25.5" x14ac:dyDescent="0.25">
      <c r="A1033" s="268" t="s">
        <v>2314</v>
      </c>
      <c r="B1033" s="248">
        <v>31</v>
      </c>
      <c r="C1033" s="248" t="s">
        <v>2691</v>
      </c>
      <c r="D1033" s="248" t="s">
        <v>2988</v>
      </c>
      <c r="E1033" s="248" t="s">
        <v>3189</v>
      </c>
      <c r="F1033" s="248" t="s">
        <v>2697</v>
      </c>
      <c r="G1033" s="248" t="s">
        <v>2497</v>
      </c>
      <c r="H1033" s="249" t="s">
        <v>3190</v>
      </c>
      <c r="I1033" s="249" t="s">
        <v>2746</v>
      </c>
      <c r="J1033" s="248" t="s">
        <v>3028</v>
      </c>
      <c r="K1033" s="249" t="s">
        <v>3129</v>
      </c>
      <c r="L1033" s="249" t="s">
        <v>2794</v>
      </c>
      <c r="M1033" s="248" t="s">
        <v>2795</v>
      </c>
      <c r="N1033" s="293"/>
      <c r="O1033" s="293" t="str">
        <f>TablaPOA[[#This Row],[Cod_Sub_acción_especifica]]&amp;"_"&amp;TablaPOA[[#This Row],[Tipo de agente]]</f>
        <v>K31.4.1.1_Consumidores directos de GLP y redes de distribución</v>
      </c>
      <c r="P1033" s="250" t="s">
        <v>2839</v>
      </c>
      <c r="Q1033" s="292" t="str">
        <f>TablaPOA[[#This Row],[Cod_Sub_acción_especifica]]&amp;"_"&amp;TablaPOA[[#This Row],[Cod_Tipo_agente]]</f>
        <v>K31.4.1.1_TA3</v>
      </c>
      <c r="R1033" s="250" t="s">
        <v>2840</v>
      </c>
      <c r="S1033" s="250" t="s">
        <v>2842</v>
      </c>
      <c r="T1033" s="269" t="s">
        <v>2843</v>
      </c>
    </row>
    <row r="1034" spans="1:20" ht="25.5" x14ac:dyDescent="0.25">
      <c r="A1034" s="268" t="s">
        <v>2314</v>
      </c>
      <c r="B1034" s="248">
        <v>31</v>
      </c>
      <c r="C1034" s="248" t="s">
        <v>2691</v>
      </c>
      <c r="D1034" s="248" t="s">
        <v>2988</v>
      </c>
      <c r="E1034" s="248" t="s">
        <v>3189</v>
      </c>
      <c r="F1034" s="248" t="s">
        <v>2697</v>
      </c>
      <c r="G1034" s="248" t="s">
        <v>2497</v>
      </c>
      <c r="H1034" s="249" t="s">
        <v>3190</v>
      </c>
      <c r="I1034" s="249" t="s">
        <v>2746</v>
      </c>
      <c r="J1034" s="248" t="s">
        <v>3028</v>
      </c>
      <c r="K1034" s="249" t="s">
        <v>3129</v>
      </c>
      <c r="L1034" s="249" t="s">
        <v>2794</v>
      </c>
      <c r="M1034" s="248" t="s">
        <v>2795</v>
      </c>
      <c r="N1034" s="293"/>
      <c r="O1034" s="293" t="str">
        <f>TablaPOA[[#This Row],[Cod_Sub_acción_especifica]]&amp;"_"&amp;TablaPOA[[#This Row],[Tipo de agente]]</f>
        <v>K31.4.1.1_Consumidores directos de GLP y redes de distribución</v>
      </c>
      <c r="P1034" s="250" t="s">
        <v>2839</v>
      </c>
      <c r="Q1034" s="292" t="str">
        <f>TablaPOA[[#This Row],[Cod_Sub_acción_especifica]]&amp;"_"&amp;TablaPOA[[#This Row],[Cod_Tipo_agente]]</f>
        <v>K31.4.1.1_TA3</v>
      </c>
      <c r="R1034" s="250" t="s">
        <v>2840</v>
      </c>
      <c r="S1034" s="250" t="s">
        <v>2844</v>
      </c>
      <c r="T1034" s="269" t="s">
        <v>2845</v>
      </c>
    </row>
    <row r="1035" spans="1:20" ht="25.5" x14ac:dyDescent="0.25">
      <c r="A1035" s="268" t="s">
        <v>2314</v>
      </c>
      <c r="B1035" s="248">
        <v>31</v>
      </c>
      <c r="C1035" s="248" t="s">
        <v>2691</v>
      </c>
      <c r="D1035" s="248" t="s">
        <v>2988</v>
      </c>
      <c r="E1035" s="248" t="s">
        <v>3189</v>
      </c>
      <c r="F1035" s="248" t="s">
        <v>2697</v>
      </c>
      <c r="G1035" s="248" t="s">
        <v>2497</v>
      </c>
      <c r="H1035" s="249" t="s">
        <v>3190</v>
      </c>
      <c r="I1035" s="249" t="s">
        <v>2746</v>
      </c>
      <c r="J1035" s="248" t="s">
        <v>3028</v>
      </c>
      <c r="K1035" s="249" t="s">
        <v>3129</v>
      </c>
      <c r="L1035" s="249" t="s">
        <v>2794</v>
      </c>
      <c r="M1035" s="248" t="s">
        <v>2795</v>
      </c>
      <c r="N1035" s="293"/>
      <c r="O1035" s="293" t="str">
        <f>TablaPOA[[#This Row],[Cod_Sub_acción_especifica]]&amp;"_"&amp;TablaPOA[[#This Row],[Tipo de agente]]</f>
        <v>K31.4.1.1_Consumidores directos de GLP y redes de distribución</v>
      </c>
      <c r="P1035" s="250" t="s">
        <v>2839</v>
      </c>
      <c r="Q1035" s="292" t="str">
        <f>TablaPOA[[#This Row],[Cod_Sub_acción_especifica]]&amp;"_"&amp;TablaPOA[[#This Row],[Cod_Tipo_agente]]</f>
        <v>K31.4.1.1_TA3</v>
      </c>
      <c r="R1035" s="250" t="s">
        <v>2840</v>
      </c>
      <c r="S1035" s="250" t="s">
        <v>2846</v>
      </c>
      <c r="T1035" s="269" t="s">
        <v>2847</v>
      </c>
    </row>
    <row r="1036" spans="1:20" ht="25.5" x14ac:dyDescent="0.25">
      <c r="A1036" s="268" t="s">
        <v>2314</v>
      </c>
      <c r="B1036" s="248">
        <v>31</v>
      </c>
      <c r="C1036" s="248" t="s">
        <v>2691</v>
      </c>
      <c r="D1036" s="248" t="s">
        <v>2988</v>
      </c>
      <c r="E1036" s="248" t="s">
        <v>3189</v>
      </c>
      <c r="F1036" s="248" t="s">
        <v>2697</v>
      </c>
      <c r="G1036" s="248" t="s">
        <v>2497</v>
      </c>
      <c r="H1036" s="249" t="s">
        <v>3190</v>
      </c>
      <c r="I1036" s="249" t="s">
        <v>2746</v>
      </c>
      <c r="J1036" s="248" t="s">
        <v>3028</v>
      </c>
      <c r="K1036" s="249" t="s">
        <v>3129</v>
      </c>
      <c r="L1036" s="249" t="s">
        <v>2794</v>
      </c>
      <c r="M1036" s="248" t="s">
        <v>2795</v>
      </c>
      <c r="N1036" s="293"/>
      <c r="O1036" s="293" t="str">
        <f>TablaPOA[[#This Row],[Cod_Sub_acción_especifica]]&amp;"_"&amp;TablaPOA[[#This Row],[Tipo de agente]]</f>
        <v>K31.4.1.1_Consumidores directos de GLP y redes de distribución</v>
      </c>
      <c r="P1036" s="250" t="s">
        <v>2839</v>
      </c>
      <c r="Q1036" s="292" t="str">
        <f>TablaPOA[[#This Row],[Cod_Sub_acción_especifica]]&amp;"_"&amp;TablaPOA[[#This Row],[Cod_Tipo_agente]]</f>
        <v>K31.4.1.1_TA3</v>
      </c>
      <c r="R1036" s="250" t="s">
        <v>2840</v>
      </c>
      <c r="S1036" s="250" t="s">
        <v>2848</v>
      </c>
      <c r="T1036" s="269" t="s">
        <v>2849</v>
      </c>
    </row>
    <row r="1037" spans="1:20" ht="25.5" x14ac:dyDescent="0.25">
      <c r="A1037" s="268" t="s">
        <v>2314</v>
      </c>
      <c r="B1037" s="248">
        <v>31</v>
      </c>
      <c r="C1037" s="248" t="s">
        <v>2691</v>
      </c>
      <c r="D1037" s="248" t="s">
        <v>2988</v>
      </c>
      <c r="E1037" s="248" t="s">
        <v>3189</v>
      </c>
      <c r="F1037" s="248" t="s">
        <v>2697</v>
      </c>
      <c r="G1037" s="248" t="s">
        <v>2497</v>
      </c>
      <c r="H1037" s="249" t="s">
        <v>3190</v>
      </c>
      <c r="I1037" s="249" t="s">
        <v>2746</v>
      </c>
      <c r="J1037" s="248" t="s">
        <v>3028</v>
      </c>
      <c r="K1037" s="249" t="s">
        <v>3129</v>
      </c>
      <c r="L1037" s="249" t="s">
        <v>2794</v>
      </c>
      <c r="M1037" s="248" t="s">
        <v>2795</v>
      </c>
      <c r="N1037" s="293"/>
      <c r="O1037" s="293" t="str">
        <f>TablaPOA[[#This Row],[Cod_Sub_acción_especifica]]&amp;"_"&amp;TablaPOA[[#This Row],[Tipo de agente]]</f>
        <v>K31.4.1.1_Consumidores directos de GLP y redes de distribución</v>
      </c>
      <c r="P1037" s="250" t="s">
        <v>2839</v>
      </c>
      <c r="Q1037" s="292" t="str">
        <f>TablaPOA[[#This Row],[Cod_Sub_acción_especifica]]&amp;"_"&amp;TablaPOA[[#This Row],[Cod_Tipo_agente]]</f>
        <v>K31.4.1.1_TA3</v>
      </c>
      <c r="R1037" s="250" t="s">
        <v>2840</v>
      </c>
      <c r="S1037" s="250" t="s">
        <v>2850</v>
      </c>
      <c r="T1037" s="269" t="s">
        <v>2851</v>
      </c>
    </row>
    <row r="1038" spans="1:20" ht="25.5" x14ac:dyDescent="0.25">
      <c r="A1038" s="268" t="s">
        <v>2314</v>
      </c>
      <c r="B1038" s="248">
        <v>31</v>
      </c>
      <c r="C1038" s="248" t="s">
        <v>2691</v>
      </c>
      <c r="D1038" s="248" t="s">
        <v>2988</v>
      </c>
      <c r="E1038" s="248" t="s">
        <v>3189</v>
      </c>
      <c r="F1038" s="248" t="s">
        <v>2697</v>
      </c>
      <c r="G1038" s="248" t="s">
        <v>2497</v>
      </c>
      <c r="H1038" s="249" t="s">
        <v>3190</v>
      </c>
      <c r="I1038" s="249" t="s">
        <v>2746</v>
      </c>
      <c r="J1038" s="248" t="s">
        <v>3028</v>
      </c>
      <c r="K1038" s="249" t="s">
        <v>3129</v>
      </c>
      <c r="L1038" s="249" t="s">
        <v>2794</v>
      </c>
      <c r="M1038" s="248" t="s">
        <v>2795</v>
      </c>
      <c r="N1038" s="293"/>
      <c r="O1038" s="293" t="str">
        <f>TablaPOA[[#This Row],[Cod_Sub_acción_especifica]]&amp;"_"&amp;TablaPOA[[#This Row],[Tipo de agente]]</f>
        <v>K31.4.1.1_Distribuidores mayoristas, Importadores y Comercializadores</v>
      </c>
      <c r="P1038" s="250" t="s">
        <v>2852</v>
      </c>
      <c r="Q1038" s="292" t="str">
        <f>TablaPOA[[#This Row],[Cod_Sub_acción_especifica]]&amp;"_"&amp;TablaPOA[[#This Row],[Cod_Tipo_agente]]</f>
        <v>K31.4.1.1_TA4</v>
      </c>
      <c r="R1038" s="250" t="s">
        <v>2853</v>
      </c>
      <c r="S1038" s="251" t="s">
        <v>2854</v>
      </c>
      <c r="T1038" s="269" t="s">
        <v>2855</v>
      </c>
    </row>
    <row r="1039" spans="1:20" ht="25.5" x14ac:dyDescent="0.25">
      <c r="A1039" s="268" t="s">
        <v>2314</v>
      </c>
      <c r="B1039" s="248">
        <v>31</v>
      </c>
      <c r="C1039" s="248" t="s">
        <v>2691</v>
      </c>
      <c r="D1039" s="248" t="s">
        <v>2988</v>
      </c>
      <c r="E1039" s="248" t="s">
        <v>3189</v>
      </c>
      <c r="F1039" s="248" t="s">
        <v>2697</v>
      </c>
      <c r="G1039" s="248" t="s">
        <v>2497</v>
      </c>
      <c r="H1039" s="249" t="s">
        <v>3190</v>
      </c>
      <c r="I1039" s="249" t="s">
        <v>2746</v>
      </c>
      <c r="J1039" s="248" t="s">
        <v>3028</v>
      </c>
      <c r="K1039" s="249" t="s">
        <v>3129</v>
      </c>
      <c r="L1039" s="249" t="s">
        <v>2794</v>
      </c>
      <c r="M1039" s="248" t="s">
        <v>2795</v>
      </c>
      <c r="N1039" s="293"/>
      <c r="O1039" s="293" t="str">
        <f>TablaPOA[[#This Row],[Cod_Sub_acción_especifica]]&amp;"_"&amp;TablaPOA[[#This Row],[Tipo de agente]]</f>
        <v>K31.4.1.1_Distribuidores mayoristas, Importadores y Comercializadores</v>
      </c>
      <c r="P1039" s="250" t="s">
        <v>2852</v>
      </c>
      <c r="Q1039" s="292" t="str">
        <f>TablaPOA[[#This Row],[Cod_Sub_acción_especifica]]&amp;"_"&amp;TablaPOA[[#This Row],[Cod_Tipo_agente]]</f>
        <v>K31.4.1.1_TA4</v>
      </c>
      <c r="R1039" s="250" t="s">
        <v>2853</v>
      </c>
      <c r="S1039" s="251" t="s">
        <v>2856</v>
      </c>
      <c r="T1039" s="269" t="s">
        <v>2857</v>
      </c>
    </row>
    <row r="1040" spans="1:20" ht="25.5" x14ac:dyDescent="0.25">
      <c r="A1040" s="268" t="s">
        <v>2314</v>
      </c>
      <c r="B1040" s="248">
        <v>31</v>
      </c>
      <c r="C1040" s="248" t="s">
        <v>2691</v>
      </c>
      <c r="D1040" s="248" t="s">
        <v>2988</v>
      </c>
      <c r="E1040" s="248" t="s">
        <v>3189</v>
      </c>
      <c r="F1040" s="248" t="s">
        <v>2697</v>
      </c>
      <c r="G1040" s="248" t="s">
        <v>2497</v>
      </c>
      <c r="H1040" s="249" t="s">
        <v>3190</v>
      </c>
      <c r="I1040" s="249" t="s">
        <v>2746</v>
      </c>
      <c r="J1040" s="248" t="s">
        <v>3028</v>
      </c>
      <c r="K1040" s="249" t="s">
        <v>3129</v>
      </c>
      <c r="L1040" s="249" t="s">
        <v>2794</v>
      </c>
      <c r="M1040" s="248" t="s">
        <v>2795</v>
      </c>
      <c r="N1040" s="293"/>
      <c r="O1040" s="293" t="str">
        <f>TablaPOA[[#This Row],[Cod_Sub_acción_especifica]]&amp;"_"&amp;TablaPOA[[#This Row],[Tipo de agente]]</f>
        <v>K31.4.1.1_Distribuidores mayoristas, Importadores y Comercializadores</v>
      </c>
      <c r="P1040" s="250" t="s">
        <v>2852</v>
      </c>
      <c r="Q1040" s="292" t="str">
        <f>TablaPOA[[#This Row],[Cod_Sub_acción_especifica]]&amp;"_"&amp;TablaPOA[[#This Row],[Cod_Tipo_agente]]</f>
        <v>K31.4.1.1_TA4</v>
      </c>
      <c r="R1040" s="250" t="s">
        <v>2853</v>
      </c>
      <c r="S1040" s="251" t="s">
        <v>2858</v>
      </c>
      <c r="T1040" s="269" t="s">
        <v>2859</v>
      </c>
    </row>
    <row r="1041" spans="1:20" ht="25.5" x14ac:dyDescent="0.25">
      <c r="A1041" s="268" t="s">
        <v>2314</v>
      </c>
      <c r="B1041" s="248">
        <v>31</v>
      </c>
      <c r="C1041" s="248" t="s">
        <v>2691</v>
      </c>
      <c r="D1041" s="248" t="s">
        <v>2988</v>
      </c>
      <c r="E1041" s="248" t="s">
        <v>3189</v>
      </c>
      <c r="F1041" s="248" t="s">
        <v>2697</v>
      </c>
      <c r="G1041" s="248" t="s">
        <v>2497</v>
      </c>
      <c r="H1041" s="249" t="s">
        <v>3190</v>
      </c>
      <c r="I1041" s="249" t="s">
        <v>2746</v>
      </c>
      <c r="J1041" s="248" t="s">
        <v>3028</v>
      </c>
      <c r="K1041" s="249" t="s">
        <v>3129</v>
      </c>
      <c r="L1041" s="249" t="s">
        <v>2794</v>
      </c>
      <c r="M1041" s="248" t="s">
        <v>2795</v>
      </c>
      <c r="N1041" s="293"/>
      <c r="O1041" s="293" t="str">
        <f>TablaPOA[[#This Row],[Cod_Sub_acción_especifica]]&amp;"_"&amp;TablaPOA[[#This Row],[Tipo de agente]]</f>
        <v>K31.4.1.1_Distribuidores mayoristas, Importadores y Comercializadores</v>
      </c>
      <c r="P1041" s="250" t="s">
        <v>2852</v>
      </c>
      <c r="Q1041" s="292" t="str">
        <f>TablaPOA[[#This Row],[Cod_Sub_acción_especifica]]&amp;"_"&amp;TablaPOA[[#This Row],[Cod_Tipo_agente]]</f>
        <v>K31.4.1.1_TA4</v>
      </c>
      <c r="R1041" s="250" t="s">
        <v>2853</v>
      </c>
      <c r="S1041" s="251" t="s">
        <v>2860</v>
      </c>
      <c r="T1041" s="269" t="s">
        <v>2861</v>
      </c>
    </row>
    <row r="1042" spans="1:20" ht="25.5" x14ac:dyDescent="0.25">
      <c r="A1042" s="268" t="s">
        <v>2314</v>
      </c>
      <c r="B1042" s="248">
        <v>31</v>
      </c>
      <c r="C1042" s="248" t="s">
        <v>2691</v>
      </c>
      <c r="D1042" s="248" t="s">
        <v>2988</v>
      </c>
      <c r="E1042" s="248" t="s">
        <v>3189</v>
      </c>
      <c r="F1042" s="248" t="s">
        <v>2697</v>
      </c>
      <c r="G1042" s="248" t="s">
        <v>2497</v>
      </c>
      <c r="H1042" s="249" t="s">
        <v>3190</v>
      </c>
      <c r="I1042" s="249" t="s">
        <v>2746</v>
      </c>
      <c r="J1042" s="248" t="s">
        <v>3028</v>
      </c>
      <c r="K1042" s="249" t="s">
        <v>3129</v>
      </c>
      <c r="L1042" s="249" t="s">
        <v>2794</v>
      </c>
      <c r="M1042" s="248" t="s">
        <v>2795</v>
      </c>
      <c r="N1042" s="293"/>
      <c r="O1042" s="293" t="str">
        <f>TablaPOA[[#This Row],[Cod_Sub_acción_especifica]]&amp;"_"&amp;TablaPOA[[#This Row],[Tipo de agente]]</f>
        <v>K31.4.1.1_Distribuidores mayoristas, Importadores y Comercializadores</v>
      </c>
      <c r="P1042" s="250" t="s">
        <v>2852</v>
      </c>
      <c r="Q1042" s="292" t="str">
        <f>TablaPOA[[#This Row],[Cod_Sub_acción_especifica]]&amp;"_"&amp;TablaPOA[[#This Row],[Cod_Tipo_agente]]</f>
        <v>K31.4.1.1_TA4</v>
      </c>
      <c r="R1042" s="250" t="s">
        <v>2853</v>
      </c>
      <c r="S1042" s="251" t="s">
        <v>2862</v>
      </c>
      <c r="T1042" s="269" t="s">
        <v>2863</v>
      </c>
    </row>
    <row r="1043" spans="1:20" ht="25.5" x14ac:dyDescent="0.25">
      <c r="A1043" s="268" t="s">
        <v>2314</v>
      </c>
      <c r="B1043" s="248">
        <v>31</v>
      </c>
      <c r="C1043" s="248" t="s">
        <v>2691</v>
      </c>
      <c r="D1043" s="248" t="s">
        <v>2988</v>
      </c>
      <c r="E1043" s="248" t="s">
        <v>3189</v>
      </c>
      <c r="F1043" s="248" t="s">
        <v>2697</v>
      </c>
      <c r="G1043" s="248" t="s">
        <v>2497</v>
      </c>
      <c r="H1043" s="249" t="s">
        <v>3190</v>
      </c>
      <c r="I1043" s="249" t="s">
        <v>2746</v>
      </c>
      <c r="J1043" s="248" t="s">
        <v>3028</v>
      </c>
      <c r="K1043" s="249" t="s">
        <v>3129</v>
      </c>
      <c r="L1043" s="249" t="s">
        <v>2794</v>
      </c>
      <c r="M1043" s="248" t="s">
        <v>2795</v>
      </c>
      <c r="N1043" s="293"/>
      <c r="O1043" s="293" t="str">
        <f>TablaPOA[[#This Row],[Cod_Sub_acción_especifica]]&amp;"_"&amp;TablaPOA[[#This Row],[Tipo de agente]]</f>
        <v>K31.4.1.1_Distribuidores mayoristas, Importadores y Comercializadores</v>
      </c>
      <c r="P1043" s="250" t="s">
        <v>2852</v>
      </c>
      <c r="Q1043" s="292" t="str">
        <f>TablaPOA[[#This Row],[Cod_Sub_acción_especifica]]&amp;"_"&amp;TablaPOA[[#This Row],[Cod_Tipo_agente]]</f>
        <v>K31.4.1.1_TA4</v>
      </c>
      <c r="R1043" s="250" t="s">
        <v>2853</v>
      </c>
      <c r="S1043" s="251" t="s">
        <v>2864</v>
      </c>
      <c r="T1043" s="269" t="s">
        <v>2865</v>
      </c>
    </row>
    <row r="1044" spans="1:20" ht="25.5" x14ac:dyDescent="0.25">
      <c r="A1044" s="268" t="s">
        <v>2314</v>
      </c>
      <c r="B1044" s="248">
        <v>31</v>
      </c>
      <c r="C1044" s="248" t="s">
        <v>2691</v>
      </c>
      <c r="D1044" s="248" t="s">
        <v>2988</v>
      </c>
      <c r="E1044" s="248" t="s">
        <v>3189</v>
      </c>
      <c r="F1044" s="248" t="s">
        <v>2697</v>
      </c>
      <c r="G1044" s="248" t="s">
        <v>2497</v>
      </c>
      <c r="H1044" s="249" t="s">
        <v>3190</v>
      </c>
      <c r="I1044" s="249" t="s">
        <v>2746</v>
      </c>
      <c r="J1044" s="248" t="s">
        <v>3028</v>
      </c>
      <c r="K1044" s="249" t="s">
        <v>3129</v>
      </c>
      <c r="L1044" s="249" t="s">
        <v>2794</v>
      </c>
      <c r="M1044" s="248" t="s">
        <v>2795</v>
      </c>
      <c r="N1044" s="293"/>
      <c r="O1044" s="293" t="str">
        <f>TablaPOA[[#This Row],[Cod_Sub_acción_especifica]]&amp;"_"&amp;TablaPOA[[#This Row],[Tipo de agente]]</f>
        <v>K31.4.1.1_Distribuidores mayoristas, Importadores y Comercializadores</v>
      </c>
      <c r="P1044" s="250" t="s">
        <v>2852</v>
      </c>
      <c r="Q1044" s="292" t="str">
        <f>TablaPOA[[#This Row],[Cod_Sub_acción_especifica]]&amp;"_"&amp;TablaPOA[[#This Row],[Cod_Tipo_agente]]</f>
        <v>K31.4.1.1_TA4</v>
      </c>
      <c r="R1044" s="250" t="s">
        <v>2853</v>
      </c>
      <c r="S1044" s="251" t="s">
        <v>2866</v>
      </c>
      <c r="T1044" s="269" t="s">
        <v>2867</v>
      </c>
    </row>
    <row r="1045" spans="1:20" ht="25.5" x14ac:dyDescent="0.25">
      <c r="A1045" s="268" t="s">
        <v>2314</v>
      </c>
      <c r="B1045" s="248">
        <v>31</v>
      </c>
      <c r="C1045" s="248" t="s">
        <v>2691</v>
      </c>
      <c r="D1045" s="248" t="s">
        <v>2988</v>
      </c>
      <c r="E1045" s="248" t="s">
        <v>3189</v>
      </c>
      <c r="F1045" s="248" t="s">
        <v>2697</v>
      </c>
      <c r="G1045" s="248" t="s">
        <v>2497</v>
      </c>
      <c r="H1045" s="249" t="s">
        <v>3190</v>
      </c>
      <c r="I1045" s="249" t="s">
        <v>2746</v>
      </c>
      <c r="J1045" s="248" t="s">
        <v>3028</v>
      </c>
      <c r="K1045" s="249" t="s">
        <v>3129</v>
      </c>
      <c r="L1045" s="249" t="s">
        <v>2794</v>
      </c>
      <c r="M1045" s="248" t="s">
        <v>2795</v>
      </c>
      <c r="N1045" s="293"/>
      <c r="O1045" s="293" t="str">
        <f>TablaPOA[[#This Row],[Cod_Sub_acción_especifica]]&amp;"_"&amp;TablaPOA[[#This Row],[Tipo de agente]]</f>
        <v>K31.4.1.1_Distribuidores mayoristas, Importadores y Comercializadores</v>
      </c>
      <c r="P1045" s="250" t="s">
        <v>2852</v>
      </c>
      <c r="Q1045" s="292" t="str">
        <f>TablaPOA[[#This Row],[Cod_Sub_acción_especifica]]&amp;"_"&amp;TablaPOA[[#This Row],[Cod_Tipo_agente]]</f>
        <v>K31.4.1.1_TA4</v>
      </c>
      <c r="R1045" s="250" t="s">
        <v>2853</v>
      </c>
      <c r="S1045" s="251" t="s">
        <v>2868</v>
      </c>
      <c r="T1045" s="269" t="s">
        <v>2869</v>
      </c>
    </row>
    <row r="1046" spans="1:20" ht="25.5" x14ac:dyDescent="0.25">
      <c r="A1046" s="268" t="s">
        <v>2314</v>
      </c>
      <c r="B1046" s="248">
        <v>31</v>
      </c>
      <c r="C1046" s="248" t="s">
        <v>2691</v>
      </c>
      <c r="D1046" s="248" t="s">
        <v>2988</v>
      </c>
      <c r="E1046" s="248" t="s">
        <v>3189</v>
      </c>
      <c r="F1046" s="248" t="s">
        <v>2697</v>
      </c>
      <c r="G1046" s="248" t="s">
        <v>2497</v>
      </c>
      <c r="H1046" s="249" t="s">
        <v>3190</v>
      </c>
      <c r="I1046" s="249" t="s">
        <v>2746</v>
      </c>
      <c r="J1046" s="248" t="s">
        <v>3028</v>
      </c>
      <c r="K1046" s="249" t="s">
        <v>3129</v>
      </c>
      <c r="L1046" s="249" t="s">
        <v>2794</v>
      </c>
      <c r="M1046" s="248" t="s">
        <v>2795</v>
      </c>
      <c r="N1046" s="293"/>
      <c r="O1046" s="293" t="str">
        <f>TablaPOA[[#This Row],[Cod_Sub_acción_especifica]]&amp;"_"&amp;TablaPOA[[#This Row],[Tipo de agente]]</f>
        <v>K31.4.1.1_Distribuidores mayoristas, Importadores y Comercializadores</v>
      </c>
      <c r="P1046" s="250" t="s">
        <v>2852</v>
      </c>
      <c r="Q1046" s="292" t="str">
        <f>TablaPOA[[#This Row],[Cod_Sub_acción_especifica]]&amp;"_"&amp;TablaPOA[[#This Row],[Cod_Tipo_agente]]</f>
        <v>K31.4.1.1_TA4</v>
      </c>
      <c r="R1046" s="250" t="s">
        <v>2853</v>
      </c>
      <c r="S1046" s="251" t="s">
        <v>2870</v>
      </c>
      <c r="T1046" s="269" t="s">
        <v>2871</v>
      </c>
    </row>
    <row r="1047" spans="1:20" ht="25.5" x14ac:dyDescent="0.25">
      <c r="A1047" s="268" t="s">
        <v>2314</v>
      </c>
      <c r="B1047" s="248">
        <v>31</v>
      </c>
      <c r="C1047" s="248" t="s">
        <v>2691</v>
      </c>
      <c r="D1047" s="248" t="s">
        <v>2988</v>
      </c>
      <c r="E1047" s="248" t="s">
        <v>3189</v>
      </c>
      <c r="F1047" s="248" t="s">
        <v>2697</v>
      </c>
      <c r="G1047" s="248" t="s">
        <v>2497</v>
      </c>
      <c r="H1047" s="249" t="s">
        <v>3190</v>
      </c>
      <c r="I1047" s="249" t="s">
        <v>2746</v>
      </c>
      <c r="J1047" s="248" t="s">
        <v>3028</v>
      </c>
      <c r="K1047" s="249" t="s">
        <v>3129</v>
      </c>
      <c r="L1047" s="249" t="s">
        <v>2794</v>
      </c>
      <c r="M1047" s="248" t="s">
        <v>2795</v>
      </c>
      <c r="N1047" s="293"/>
      <c r="O1047" s="293" t="str">
        <f>TablaPOA[[#This Row],[Cod_Sub_acción_especifica]]&amp;"_"&amp;TablaPOA[[#This Row],[Tipo de agente]]</f>
        <v>K31.4.1.1_Distribuidores mayoristas, Importadores y Comercializadores</v>
      </c>
      <c r="P1047" s="250" t="s">
        <v>2852</v>
      </c>
      <c r="Q1047" s="292" t="str">
        <f>TablaPOA[[#This Row],[Cod_Sub_acción_especifica]]&amp;"_"&amp;TablaPOA[[#This Row],[Cod_Tipo_agente]]</f>
        <v>K31.4.1.1_TA4</v>
      </c>
      <c r="R1047" s="250" t="s">
        <v>2853</v>
      </c>
      <c r="S1047" s="251" t="s">
        <v>2872</v>
      </c>
      <c r="T1047" s="269" t="s">
        <v>2873</v>
      </c>
    </row>
    <row r="1048" spans="1:20" ht="25.5" x14ac:dyDescent="0.25">
      <c r="A1048" s="268" t="s">
        <v>2314</v>
      </c>
      <c r="B1048" s="248">
        <v>31</v>
      </c>
      <c r="C1048" s="248" t="s">
        <v>2691</v>
      </c>
      <c r="D1048" s="248" t="s">
        <v>2988</v>
      </c>
      <c r="E1048" s="248" t="s">
        <v>3189</v>
      </c>
      <c r="F1048" s="248" t="s">
        <v>2697</v>
      </c>
      <c r="G1048" s="248" t="s">
        <v>2497</v>
      </c>
      <c r="H1048" s="249" t="s">
        <v>3190</v>
      </c>
      <c r="I1048" s="249" t="s">
        <v>2746</v>
      </c>
      <c r="J1048" s="248" t="s">
        <v>3028</v>
      </c>
      <c r="K1048" s="249" t="s">
        <v>3129</v>
      </c>
      <c r="L1048" s="249" t="s">
        <v>2794</v>
      </c>
      <c r="M1048" s="248" t="s">
        <v>2795</v>
      </c>
      <c r="N1048" s="293"/>
      <c r="O1048" s="293" t="str">
        <f>TablaPOA[[#This Row],[Cod_Sub_acción_especifica]]&amp;"_"&amp;TablaPOA[[#This Row],[Tipo de agente]]</f>
        <v>K31.4.1.1_Distribuidores mayoristas, Importadores y Comercializadores</v>
      </c>
      <c r="P1048" s="250" t="s">
        <v>2852</v>
      </c>
      <c r="Q1048" s="292" t="str">
        <f>TablaPOA[[#This Row],[Cod_Sub_acción_especifica]]&amp;"_"&amp;TablaPOA[[#This Row],[Cod_Tipo_agente]]</f>
        <v>K31.4.1.1_TA4</v>
      </c>
      <c r="R1048" s="250" t="s">
        <v>2853</v>
      </c>
      <c r="S1048" s="251" t="s">
        <v>2874</v>
      </c>
      <c r="T1048" s="269" t="s">
        <v>2875</v>
      </c>
    </row>
    <row r="1049" spans="1:20" ht="25.5" x14ac:dyDescent="0.25">
      <c r="A1049" s="268" t="s">
        <v>2314</v>
      </c>
      <c r="B1049" s="248">
        <v>31</v>
      </c>
      <c r="C1049" s="248" t="s">
        <v>2691</v>
      </c>
      <c r="D1049" s="248" t="s">
        <v>2988</v>
      </c>
      <c r="E1049" s="248" t="s">
        <v>3189</v>
      </c>
      <c r="F1049" s="248" t="s">
        <v>2697</v>
      </c>
      <c r="G1049" s="248" t="s">
        <v>2497</v>
      </c>
      <c r="H1049" s="249" t="s">
        <v>3190</v>
      </c>
      <c r="I1049" s="249" t="s">
        <v>2746</v>
      </c>
      <c r="J1049" s="248" t="s">
        <v>3028</v>
      </c>
      <c r="K1049" s="249" t="s">
        <v>3129</v>
      </c>
      <c r="L1049" s="249" t="s">
        <v>2794</v>
      </c>
      <c r="M1049" s="248" t="s">
        <v>2795</v>
      </c>
      <c r="N1049" s="293"/>
      <c r="O1049" s="293" t="str">
        <f>TablaPOA[[#This Row],[Cod_Sub_acción_especifica]]&amp;"_"&amp;TablaPOA[[#This Row],[Tipo de agente]]</f>
        <v>K31.4.1.1_Envasadoras de GLP</v>
      </c>
      <c r="P1049" s="250" t="s">
        <v>2876</v>
      </c>
      <c r="Q1049" s="292" t="str">
        <f>TablaPOA[[#This Row],[Cod_Sub_acción_especifica]]&amp;"_"&amp;TablaPOA[[#This Row],[Cod_Tipo_agente]]</f>
        <v>K31.4.1.1_TA5</v>
      </c>
      <c r="R1049" s="250" t="s">
        <v>2877</v>
      </c>
      <c r="S1049" s="251" t="s">
        <v>2878</v>
      </c>
      <c r="T1049" s="269" t="s">
        <v>2879</v>
      </c>
    </row>
    <row r="1050" spans="1:20" ht="25.5" x14ac:dyDescent="0.25">
      <c r="A1050" s="268" t="s">
        <v>2314</v>
      </c>
      <c r="B1050" s="248">
        <v>31</v>
      </c>
      <c r="C1050" s="248" t="s">
        <v>2691</v>
      </c>
      <c r="D1050" s="248" t="s">
        <v>2988</v>
      </c>
      <c r="E1050" s="248" t="s">
        <v>3189</v>
      </c>
      <c r="F1050" s="248" t="s">
        <v>2697</v>
      </c>
      <c r="G1050" s="248" t="s">
        <v>2497</v>
      </c>
      <c r="H1050" s="249" t="s">
        <v>3190</v>
      </c>
      <c r="I1050" s="249" t="s">
        <v>2746</v>
      </c>
      <c r="J1050" s="248" t="s">
        <v>3028</v>
      </c>
      <c r="K1050" s="249" t="s">
        <v>3129</v>
      </c>
      <c r="L1050" s="249" t="s">
        <v>2794</v>
      </c>
      <c r="M1050" s="248" t="s">
        <v>2795</v>
      </c>
      <c r="N1050" s="293"/>
      <c r="O1050" s="293" t="str">
        <f>TablaPOA[[#This Row],[Cod_Sub_acción_especifica]]&amp;"_"&amp;TablaPOA[[#This Row],[Tipo de agente]]</f>
        <v>K31.4.1.1_Envasadoras de GLP</v>
      </c>
      <c r="P1050" s="250" t="s">
        <v>2876</v>
      </c>
      <c r="Q1050" s="292" t="str">
        <f>TablaPOA[[#This Row],[Cod_Sub_acción_especifica]]&amp;"_"&amp;TablaPOA[[#This Row],[Cod_Tipo_agente]]</f>
        <v>K31.4.1.1_TA5</v>
      </c>
      <c r="R1050" s="250" t="s">
        <v>2877</v>
      </c>
      <c r="S1050" s="251" t="s">
        <v>2880</v>
      </c>
      <c r="T1050" s="269" t="s">
        <v>2881</v>
      </c>
    </row>
    <row r="1051" spans="1:20" ht="25.5" x14ac:dyDescent="0.25">
      <c r="A1051" s="268" t="s">
        <v>2314</v>
      </c>
      <c r="B1051" s="248">
        <v>31</v>
      </c>
      <c r="C1051" s="248" t="s">
        <v>2691</v>
      </c>
      <c r="D1051" s="248" t="s">
        <v>2988</v>
      </c>
      <c r="E1051" s="248" t="s">
        <v>3189</v>
      </c>
      <c r="F1051" s="248" t="s">
        <v>2697</v>
      </c>
      <c r="G1051" s="248" t="s">
        <v>2497</v>
      </c>
      <c r="H1051" s="249" t="s">
        <v>3190</v>
      </c>
      <c r="I1051" s="249" t="s">
        <v>2746</v>
      </c>
      <c r="J1051" s="248" t="s">
        <v>3028</v>
      </c>
      <c r="K1051" s="249" t="s">
        <v>3129</v>
      </c>
      <c r="L1051" s="249" t="s">
        <v>2794</v>
      </c>
      <c r="M1051" s="248" t="s">
        <v>2795</v>
      </c>
      <c r="N1051" s="293"/>
      <c r="O1051" s="293" t="str">
        <f>TablaPOA[[#This Row],[Cod_Sub_acción_especifica]]&amp;"_"&amp;TablaPOA[[#This Row],[Tipo de agente]]</f>
        <v>K31.4.1.1_EVP combustibles de uso automotor</v>
      </c>
      <c r="P1051" s="250" t="s">
        <v>2882</v>
      </c>
      <c r="Q1051" s="292" t="str">
        <f>TablaPOA[[#This Row],[Cod_Sub_acción_especifica]]&amp;"_"&amp;TablaPOA[[#This Row],[Cod_Tipo_agente]]</f>
        <v>K31.4.1.1_TA6</v>
      </c>
      <c r="R1051" s="250" t="s">
        <v>2883</v>
      </c>
      <c r="S1051" s="251" t="s">
        <v>2884</v>
      </c>
      <c r="T1051" s="269" t="s">
        <v>2885</v>
      </c>
    </row>
    <row r="1052" spans="1:20" ht="25.5" x14ac:dyDescent="0.25">
      <c r="A1052" s="268" t="s">
        <v>2314</v>
      </c>
      <c r="B1052" s="248">
        <v>31</v>
      </c>
      <c r="C1052" s="248" t="s">
        <v>2691</v>
      </c>
      <c r="D1052" s="248" t="s">
        <v>2988</v>
      </c>
      <c r="E1052" s="248" t="s">
        <v>3189</v>
      </c>
      <c r="F1052" s="248" t="s">
        <v>2697</v>
      </c>
      <c r="G1052" s="248" t="s">
        <v>2497</v>
      </c>
      <c r="H1052" s="249" t="s">
        <v>3190</v>
      </c>
      <c r="I1052" s="249" t="s">
        <v>2746</v>
      </c>
      <c r="J1052" s="248" t="s">
        <v>3028</v>
      </c>
      <c r="K1052" s="249" t="s">
        <v>3129</v>
      </c>
      <c r="L1052" s="249" t="s">
        <v>2794</v>
      </c>
      <c r="M1052" s="248" t="s">
        <v>2795</v>
      </c>
      <c r="N1052" s="293"/>
      <c r="O1052" s="293" t="str">
        <f>TablaPOA[[#This Row],[Cod_Sub_acción_especifica]]&amp;"_"&amp;TablaPOA[[#This Row],[Tipo de agente]]</f>
        <v>K31.4.1.1_EVP combustibles de uso automotor</v>
      </c>
      <c r="P1052" s="250" t="s">
        <v>2882</v>
      </c>
      <c r="Q1052" s="292" t="str">
        <f>TablaPOA[[#This Row],[Cod_Sub_acción_especifica]]&amp;"_"&amp;TablaPOA[[#This Row],[Cod_Tipo_agente]]</f>
        <v>K31.4.1.1_TA6</v>
      </c>
      <c r="R1052" s="250" t="s">
        <v>2883</v>
      </c>
      <c r="S1052" s="251" t="s">
        <v>2886</v>
      </c>
      <c r="T1052" s="269" t="s">
        <v>2887</v>
      </c>
    </row>
    <row r="1053" spans="1:20" ht="25.5" x14ac:dyDescent="0.25">
      <c r="A1053" s="268" t="s">
        <v>2314</v>
      </c>
      <c r="B1053" s="248">
        <v>31</v>
      </c>
      <c r="C1053" s="248" t="s">
        <v>2691</v>
      </c>
      <c r="D1053" s="248" t="s">
        <v>2988</v>
      </c>
      <c r="E1053" s="248" t="s">
        <v>3189</v>
      </c>
      <c r="F1053" s="248" t="s">
        <v>2697</v>
      </c>
      <c r="G1053" s="248" t="s">
        <v>2497</v>
      </c>
      <c r="H1053" s="249" t="s">
        <v>3190</v>
      </c>
      <c r="I1053" s="249" t="s">
        <v>2746</v>
      </c>
      <c r="J1053" s="248" t="s">
        <v>3028</v>
      </c>
      <c r="K1053" s="249" t="s">
        <v>3129</v>
      </c>
      <c r="L1053" s="249" t="s">
        <v>2794</v>
      </c>
      <c r="M1053" s="248" t="s">
        <v>2795</v>
      </c>
      <c r="N1053" s="293"/>
      <c r="O1053" s="293" t="str">
        <f>TablaPOA[[#This Row],[Cod_Sub_acción_especifica]]&amp;"_"&amp;TablaPOA[[#This Row],[Tipo de agente]]</f>
        <v>K31.4.1.1_EVP combustibles de uso automotor</v>
      </c>
      <c r="P1053" s="250" t="s">
        <v>2882</v>
      </c>
      <c r="Q1053" s="292" t="str">
        <f>TablaPOA[[#This Row],[Cod_Sub_acción_especifica]]&amp;"_"&amp;TablaPOA[[#This Row],[Cod_Tipo_agente]]</f>
        <v>K31.4.1.1_TA6</v>
      </c>
      <c r="R1053" s="250" t="s">
        <v>2883</v>
      </c>
      <c r="S1053" s="251" t="s">
        <v>2888</v>
      </c>
      <c r="T1053" s="269" t="s">
        <v>2889</v>
      </c>
    </row>
    <row r="1054" spans="1:20" ht="25.5" x14ac:dyDescent="0.25">
      <c r="A1054" s="268" t="s">
        <v>2314</v>
      </c>
      <c r="B1054" s="248">
        <v>31</v>
      </c>
      <c r="C1054" s="248" t="s">
        <v>2691</v>
      </c>
      <c r="D1054" s="248" t="s">
        <v>2988</v>
      </c>
      <c r="E1054" s="248" t="s">
        <v>3189</v>
      </c>
      <c r="F1054" s="248" t="s">
        <v>2697</v>
      </c>
      <c r="G1054" s="248" t="s">
        <v>2497</v>
      </c>
      <c r="H1054" s="249" t="s">
        <v>3190</v>
      </c>
      <c r="I1054" s="249" t="s">
        <v>2746</v>
      </c>
      <c r="J1054" s="248" t="s">
        <v>3028</v>
      </c>
      <c r="K1054" s="249" t="s">
        <v>3129</v>
      </c>
      <c r="L1054" s="249" t="s">
        <v>2794</v>
      </c>
      <c r="M1054" s="248" t="s">
        <v>2795</v>
      </c>
      <c r="N1054" s="293"/>
      <c r="O1054" s="293" t="str">
        <f>TablaPOA[[#This Row],[Cod_Sub_acción_especifica]]&amp;"_"&amp;TablaPOA[[#This Row],[Tipo de agente]]</f>
        <v>K31.4.1.1_EVP combustibles de uso automotor</v>
      </c>
      <c r="P1054" s="250" t="s">
        <v>2882</v>
      </c>
      <c r="Q1054" s="292" t="str">
        <f>TablaPOA[[#This Row],[Cod_Sub_acción_especifica]]&amp;"_"&amp;TablaPOA[[#This Row],[Cod_Tipo_agente]]</f>
        <v>K31.4.1.1_TA6</v>
      </c>
      <c r="R1054" s="250" t="s">
        <v>2883</v>
      </c>
      <c r="S1054" s="251" t="s">
        <v>2890</v>
      </c>
      <c r="T1054" s="269" t="s">
        <v>2891</v>
      </c>
    </row>
    <row r="1055" spans="1:20" ht="25.5" x14ac:dyDescent="0.25">
      <c r="A1055" s="268" t="s">
        <v>2314</v>
      </c>
      <c r="B1055" s="248">
        <v>31</v>
      </c>
      <c r="C1055" s="248" t="s">
        <v>2691</v>
      </c>
      <c r="D1055" s="248" t="s">
        <v>2988</v>
      </c>
      <c r="E1055" s="248" t="s">
        <v>3189</v>
      </c>
      <c r="F1055" s="248" t="s">
        <v>2697</v>
      </c>
      <c r="G1055" s="248" t="s">
        <v>2497</v>
      </c>
      <c r="H1055" s="249" t="s">
        <v>3190</v>
      </c>
      <c r="I1055" s="249" t="s">
        <v>2746</v>
      </c>
      <c r="J1055" s="248" t="s">
        <v>3028</v>
      </c>
      <c r="K1055" s="249" t="s">
        <v>3129</v>
      </c>
      <c r="L1055" s="249" t="s">
        <v>2794</v>
      </c>
      <c r="M1055" s="248" t="s">
        <v>2795</v>
      </c>
      <c r="N1055" s="293"/>
      <c r="O1055" s="293" t="str">
        <f>TablaPOA[[#This Row],[Cod_Sub_acción_especifica]]&amp;"_"&amp;TablaPOA[[#This Row],[Tipo de agente]]</f>
        <v>K31.4.1.1_EVP combustibles de uso automotor</v>
      </c>
      <c r="P1055" s="250" t="s">
        <v>2882</v>
      </c>
      <c r="Q1055" s="292" t="str">
        <f>TablaPOA[[#This Row],[Cod_Sub_acción_especifica]]&amp;"_"&amp;TablaPOA[[#This Row],[Cod_Tipo_agente]]</f>
        <v>K31.4.1.1_TA6</v>
      </c>
      <c r="R1055" s="250" t="s">
        <v>2883</v>
      </c>
      <c r="S1055" s="251" t="s">
        <v>2892</v>
      </c>
      <c r="T1055" s="269" t="s">
        <v>2893</v>
      </c>
    </row>
    <row r="1056" spans="1:20" ht="25.5" x14ac:dyDescent="0.25">
      <c r="A1056" s="268" t="s">
        <v>2314</v>
      </c>
      <c r="B1056" s="248">
        <v>31</v>
      </c>
      <c r="C1056" s="248" t="s">
        <v>2691</v>
      </c>
      <c r="D1056" s="248" t="s">
        <v>2988</v>
      </c>
      <c r="E1056" s="248" t="s">
        <v>3189</v>
      </c>
      <c r="F1056" s="248" t="s">
        <v>2697</v>
      </c>
      <c r="G1056" s="248" t="s">
        <v>2497</v>
      </c>
      <c r="H1056" s="249" t="s">
        <v>3190</v>
      </c>
      <c r="I1056" s="249" t="s">
        <v>2746</v>
      </c>
      <c r="J1056" s="248" t="s">
        <v>3028</v>
      </c>
      <c r="K1056" s="249" t="s">
        <v>3129</v>
      </c>
      <c r="L1056" s="249" t="s">
        <v>2794</v>
      </c>
      <c r="M1056" s="248" t="s">
        <v>2795</v>
      </c>
      <c r="N1056" s="293"/>
      <c r="O1056" s="293" t="str">
        <f>TablaPOA[[#This Row],[Cod_Sub_acción_especifica]]&amp;"_"&amp;TablaPOA[[#This Row],[Tipo de agente]]</f>
        <v>K31.4.1.1_EVP combustibles de uso automotor</v>
      </c>
      <c r="P1056" s="250" t="s">
        <v>2882</v>
      </c>
      <c r="Q1056" s="292" t="str">
        <f>TablaPOA[[#This Row],[Cod_Sub_acción_especifica]]&amp;"_"&amp;TablaPOA[[#This Row],[Cod_Tipo_agente]]</f>
        <v>K31.4.1.1_TA6</v>
      </c>
      <c r="R1056" s="250" t="s">
        <v>2883</v>
      </c>
      <c r="S1056" s="251" t="s">
        <v>2894</v>
      </c>
      <c r="T1056" s="269" t="s">
        <v>2895</v>
      </c>
    </row>
    <row r="1057" spans="1:20" ht="25.5" x14ac:dyDescent="0.25">
      <c r="A1057" s="268" t="s">
        <v>2314</v>
      </c>
      <c r="B1057" s="248">
        <v>31</v>
      </c>
      <c r="C1057" s="248" t="s">
        <v>2691</v>
      </c>
      <c r="D1057" s="248" t="s">
        <v>2988</v>
      </c>
      <c r="E1057" s="248" t="s">
        <v>3189</v>
      </c>
      <c r="F1057" s="248" t="s">
        <v>2697</v>
      </c>
      <c r="G1057" s="248" t="s">
        <v>2497</v>
      </c>
      <c r="H1057" s="249" t="s">
        <v>3190</v>
      </c>
      <c r="I1057" s="249" t="s">
        <v>2746</v>
      </c>
      <c r="J1057" s="248" t="s">
        <v>3028</v>
      </c>
      <c r="K1057" s="249" t="s">
        <v>3129</v>
      </c>
      <c r="L1057" s="249" t="s">
        <v>2794</v>
      </c>
      <c r="M1057" s="248" t="s">
        <v>2795</v>
      </c>
      <c r="N1057" s="293"/>
      <c r="O1057" s="293" t="str">
        <f>TablaPOA[[#This Row],[Cod_Sub_acción_especifica]]&amp;"_"&amp;TablaPOA[[#This Row],[Tipo de agente]]</f>
        <v>K31.4.1.1_EVP combustibles de uso automotor</v>
      </c>
      <c r="P1057" s="250" t="s">
        <v>2882</v>
      </c>
      <c r="Q1057" s="292" t="str">
        <f>TablaPOA[[#This Row],[Cod_Sub_acción_especifica]]&amp;"_"&amp;TablaPOA[[#This Row],[Cod_Tipo_agente]]</f>
        <v>K31.4.1.1_TA6</v>
      </c>
      <c r="R1057" s="250" t="s">
        <v>2883</v>
      </c>
      <c r="S1057" s="251" t="s">
        <v>2896</v>
      </c>
      <c r="T1057" s="269" t="s">
        <v>2897</v>
      </c>
    </row>
    <row r="1058" spans="1:20" ht="25.5" x14ac:dyDescent="0.25">
      <c r="A1058" s="268" t="s">
        <v>2314</v>
      </c>
      <c r="B1058" s="248">
        <v>31</v>
      </c>
      <c r="C1058" s="248" t="s">
        <v>2691</v>
      </c>
      <c r="D1058" s="248" t="s">
        <v>2988</v>
      </c>
      <c r="E1058" s="248" t="s">
        <v>3189</v>
      </c>
      <c r="F1058" s="248" t="s">
        <v>2697</v>
      </c>
      <c r="G1058" s="248" t="s">
        <v>2497</v>
      </c>
      <c r="H1058" s="249" t="s">
        <v>3190</v>
      </c>
      <c r="I1058" s="249" t="s">
        <v>2746</v>
      </c>
      <c r="J1058" s="248" t="s">
        <v>3028</v>
      </c>
      <c r="K1058" s="249" t="s">
        <v>3129</v>
      </c>
      <c r="L1058" s="249" t="s">
        <v>2794</v>
      </c>
      <c r="M1058" s="248" t="s">
        <v>2795</v>
      </c>
      <c r="N1058" s="293"/>
      <c r="O1058" s="293" t="str">
        <f>TablaPOA[[#This Row],[Cod_Sub_acción_especifica]]&amp;"_"&amp;TablaPOA[[#This Row],[Tipo de agente]]</f>
        <v>K31.4.1.1_EVP combustibles de uso automotor</v>
      </c>
      <c r="P1058" s="250" t="s">
        <v>2882</v>
      </c>
      <c r="Q1058" s="292" t="str">
        <f>TablaPOA[[#This Row],[Cod_Sub_acción_especifica]]&amp;"_"&amp;TablaPOA[[#This Row],[Cod_Tipo_agente]]</f>
        <v>K31.4.1.1_TA6</v>
      </c>
      <c r="R1058" s="250" t="s">
        <v>2883</v>
      </c>
      <c r="S1058" s="251" t="s">
        <v>2898</v>
      </c>
      <c r="T1058" s="269" t="s">
        <v>2899</v>
      </c>
    </row>
    <row r="1059" spans="1:20" ht="25.5" x14ac:dyDescent="0.25">
      <c r="A1059" s="268" t="s">
        <v>2314</v>
      </c>
      <c r="B1059" s="248">
        <v>31</v>
      </c>
      <c r="C1059" s="248" t="s">
        <v>2691</v>
      </c>
      <c r="D1059" s="248" t="s">
        <v>2988</v>
      </c>
      <c r="E1059" s="248" t="s">
        <v>3189</v>
      </c>
      <c r="F1059" s="248" t="s">
        <v>2697</v>
      </c>
      <c r="G1059" s="248" t="s">
        <v>2497</v>
      </c>
      <c r="H1059" s="249" t="s">
        <v>3190</v>
      </c>
      <c r="I1059" s="249" t="s">
        <v>2746</v>
      </c>
      <c r="J1059" s="248" t="s">
        <v>3028</v>
      </c>
      <c r="K1059" s="249" t="s">
        <v>3129</v>
      </c>
      <c r="L1059" s="249" t="s">
        <v>2794</v>
      </c>
      <c r="M1059" s="248" t="s">
        <v>2795</v>
      </c>
      <c r="N1059" s="293"/>
      <c r="O1059" s="293" t="str">
        <f>TablaPOA[[#This Row],[Cod_Sub_acción_especifica]]&amp;"_"&amp;TablaPOA[[#This Row],[Tipo de agente]]</f>
        <v>K31.4.1.1_EVP combustibles de uso automotor</v>
      </c>
      <c r="P1059" s="250" t="s">
        <v>2882</v>
      </c>
      <c r="Q1059" s="292" t="str">
        <f>TablaPOA[[#This Row],[Cod_Sub_acción_especifica]]&amp;"_"&amp;TablaPOA[[#This Row],[Cod_Tipo_agente]]</f>
        <v>K31.4.1.1_TA6</v>
      </c>
      <c r="R1059" s="250" t="s">
        <v>2883</v>
      </c>
      <c r="S1059" s="251" t="s">
        <v>2900</v>
      </c>
      <c r="T1059" s="269" t="s">
        <v>2901</v>
      </c>
    </row>
    <row r="1060" spans="1:20" ht="25.5" x14ac:dyDescent="0.25">
      <c r="A1060" s="268" t="s">
        <v>2314</v>
      </c>
      <c r="B1060" s="248">
        <v>31</v>
      </c>
      <c r="C1060" s="248" t="s">
        <v>2691</v>
      </c>
      <c r="D1060" s="248" t="s">
        <v>2988</v>
      </c>
      <c r="E1060" s="248" t="s">
        <v>3189</v>
      </c>
      <c r="F1060" s="248" t="s">
        <v>2697</v>
      </c>
      <c r="G1060" s="248" t="s">
        <v>2497</v>
      </c>
      <c r="H1060" s="249" t="s">
        <v>3190</v>
      </c>
      <c r="I1060" s="249" t="s">
        <v>2746</v>
      </c>
      <c r="J1060" s="248" t="s">
        <v>3028</v>
      </c>
      <c r="K1060" s="249" t="s">
        <v>3129</v>
      </c>
      <c r="L1060" s="249" t="s">
        <v>2794</v>
      </c>
      <c r="M1060" s="248" t="s">
        <v>2795</v>
      </c>
      <c r="N1060" s="293"/>
      <c r="O1060" s="293" t="str">
        <f>TablaPOA[[#This Row],[Cod_Sub_acción_especifica]]&amp;"_"&amp;TablaPOA[[#This Row],[Tipo de agente]]</f>
        <v>K31.4.1.1_Locales de venta de GLP</v>
      </c>
      <c r="P1060" s="250" t="s">
        <v>2912</v>
      </c>
      <c r="Q1060" s="292" t="str">
        <f>TablaPOA[[#This Row],[Cod_Sub_acción_especifica]]&amp;"_"&amp;TablaPOA[[#This Row],[Cod_Tipo_agente]]</f>
        <v>K31.4.1.1_TA8</v>
      </c>
      <c r="R1060" s="250" t="s">
        <v>2913</v>
      </c>
      <c r="S1060" s="251" t="s">
        <v>2914</v>
      </c>
      <c r="T1060" s="269" t="s">
        <v>2915</v>
      </c>
    </row>
    <row r="1061" spans="1:20" ht="25.5" x14ac:dyDescent="0.25">
      <c r="A1061" s="268" t="s">
        <v>2314</v>
      </c>
      <c r="B1061" s="248">
        <v>31</v>
      </c>
      <c r="C1061" s="248" t="s">
        <v>2691</v>
      </c>
      <c r="D1061" s="248" t="s">
        <v>2988</v>
      </c>
      <c r="E1061" s="248" t="s">
        <v>3189</v>
      </c>
      <c r="F1061" s="248" t="s">
        <v>2697</v>
      </c>
      <c r="G1061" s="248" t="s">
        <v>2497</v>
      </c>
      <c r="H1061" s="249" t="s">
        <v>3190</v>
      </c>
      <c r="I1061" s="249" t="s">
        <v>2746</v>
      </c>
      <c r="J1061" s="248" t="s">
        <v>3028</v>
      </c>
      <c r="K1061" s="249" t="s">
        <v>3129</v>
      </c>
      <c r="L1061" s="249" t="s">
        <v>2794</v>
      </c>
      <c r="M1061" s="248" t="s">
        <v>2795</v>
      </c>
      <c r="N1061" s="293"/>
      <c r="O1061" s="293" t="str">
        <f>TablaPOA[[#This Row],[Cod_Sub_acción_especifica]]&amp;"_"&amp;TablaPOA[[#This Row],[Tipo de agente]]</f>
        <v>K31.4.1.1_Locales de venta de GLP</v>
      </c>
      <c r="P1061" s="250" t="s">
        <v>2912</v>
      </c>
      <c r="Q1061" s="292" t="str">
        <f>TablaPOA[[#This Row],[Cod_Sub_acción_especifica]]&amp;"_"&amp;TablaPOA[[#This Row],[Cod_Tipo_agente]]</f>
        <v>K31.4.1.1_TA8</v>
      </c>
      <c r="R1061" s="250" t="s">
        <v>2913</v>
      </c>
      <c r="S1061" s="251" t="s">
        <v>2916</v>
      </c>
      <c r="T1061" s="269" t="s">
        <v>2917</v>
      </c>
    </row>
    <row r="1062" spans="1:20" ht="25.5" x14ac:dyDescent="0.25">
      <c r="A1062" s="268" t="s">
        <v>2314</v>
      </c>
      <c r="B1062" s="248">
        <v>31</v>
      </c>
      <c r="C1062" s="248" t="s">
        <v>2691</v>
      </c>
      <c r="D1062" s="248" t="s">
        <v>2988</v>
      </c>
      <c r="E1062" s="248" t="s">
        <v>3189</v>
      </c>
      <c r="F1062" s="248" t="s">
        <v>2697</v>
      </c>
      <c r="G1062" s="248" t="s">
        <v>2497</v>
      </c>
      <c r="H1062" s="249" t="s">
        <v>3190</v>
      </c>
      <c r="I1062" s="249" t="s">
        <v>2746</v>
      </c>
      <c r="J1062" s="248" t="s">
        <v>3028</v>
      </c>
      <c r="K1062" s="249" t="s">
        <v>3129</v>
      </c>
      <c r="L1062" s="249" t="s">
        <v>2794</v>
      </c>
      <c r="M1062" s="248" t="s">
        <v>2795</v>
      </c>
      <c r="N1062" s="293"/>
      <c r="O1062" s="293" t="str">
        <f>TablaPOA[[#This Row],[Cod_Sub_acción_especifica]]&amp;"_"&amp;TablaPOA[[#This Row],[Tipo de agente]]</f>
        <v>K31.4.1.1_Medios de transporte</v>
      </c>
      <c r="P1062" s="250" t="s">
        <v>2918</v>
      </c>
      <c r="Q1062" s="292" t="str">
        <f>TablaPOA[[#This Row],[Cod_Sub_acción_especifica]]&amp;"_"&amp;TablaPOA[[#This Row],[Cod_Tipo_agente]]</f>
        <v>K31.4.1.1_TA9</v>
      </c>
      <c r="R1062" s="250" t="s">
        <v>2919</v>
      </c>
      <c r="S1062" s="251" t="s">
        <v>2920</v>
      </c>
      <c r="T1062" s="269" t="s">
        <v>2921</v>
      </c>
    </row>
    <row r="1063" spans="1:20" ht="25.5" x14ac:dyDescent="0.25">
      <c r="A1063" s="268" t="s">
        <v>2314</v>
      </c>
      <c r="B1063" s="248">
        <v>31</v>
      </c>
      <c r="C1063" s="248" t="s">
        <v>2691</v>
      </c>
      <c r="D1063" s="248" t="s">
        <v>2988</v>
      </c>
      <c r="E1063" s="248" t="s">
        <v>3189</v>
      </c>
      <c r="F1063" s="248" t="s">
        <v>2697</v>
      </c>
      <c r="G1063" s="248" t="s">
        <v>2497</v>
      </c>
      <c r="H1063" s="249" t="s">
        <v>3190</v>
      </c>
      <c r="I1063" s="249" t="s">
        <v>2746</v>
      </c>
      <c r="J1063" s="248" t="s">
        <v>3028</v>
      </c>
      <c r="K1063" s="249" t="s">
        <v>3129</v>
      </c>
      <c r="L1063" s="249" t="s">
        <v>2794</v>
      </c>
      <c r="M1063" s="248" t="s">
        <v>2795</v>
      </c>
      <c r="N1063" s="293"/>
      <c r="O1063" s="293" t="str">
        <f>TablaPOA[[#This Row],[Cod_Sub_acción_especifica]]&amp;"_"&amp;TablaPOA[[#This Row],[Tipo de agente]]</f>
        <v>K31.4.1.1_Medios de transporte</v>
      </c>
      <c r="P1063" s="250" t="s">
        <v>2918</v>
      </c>
      <c r="Q1063" s="292" t="str">
        <f>TablaPOA[[#This Row],[Cod_Sub_acción_especifica]]&amp;"_"&amp;TablaPOA[[#This Row],[Cod_Tipo_agente]]</f>
        <v>K31.4.1.1_TA9</v>
      </c>
      <c r="R1063" s="250" t="s">
        <v>2919</v>
      </c>
      <c r="S1063" s="251" t="s">
        <v>2922</v>
      </c>
      <c r="T1063" s="269" t="s">
        <v>2923</v>
      </c>
    </row>
    <row r="1064" spans="1:20" ht="25.5" x14ac:dyDescent="0.25">
      <c r="A1064" s="268" t="s">
        <v>2314</v>
      </c>
      <c r="B1064" s="248">
        <v>31</v>
      </c>
      <c r="C1064" s="248" t="s">
        <v>2691</v>
      </c>
      <c r="D1064" s="248" t="s">
        <v>2988</v>
      </c>
      <c r="E1064" s="248" t="s">
        <v>3189</v>
      </c>
      <c r="F1064" s="248" t="s">
        <v>2697</v>
      </c>
      <c r="G1064" s="248" t="s">
        <v>2497</v>
      </c>
      <c r="H1064" s="249" t="s">
        <v>3190</v>
      </c>
      <c r="I1064" s="249" t="s">
        <v>2746</v>
      </c>
      <c r="J1064" s="248" t="s">
        <v>3028</v>
      </c>
      <c r="K1064" s="249" t="s">
        <v>3129</v>
      </c>
      <c r="L1064" s="249" t="s">
        <v>2794</v>
      </c>
      <c r="M1064" s="248" t="s">
        <v>2795</v>
      </c>
      <c r="N1064" s="293"/>
      <c r="O1064" s="293" t="str">
        <f>TablaPOA[[#This Row],[Cod_Sub_acción_especifica]]&amp;"_"&amp;TablaPOA[[#This Row],[Tipo de agente]]</f>
        <v>K31.4.1.1_Medios de transporte</v>
      </c>
      <c r="P1064" s="250" t="s">
        <v>2918</v>
      </c>
      <c r="Q1064" s="292" t="str">
        <f>TablaPOA[[#This Row],[Cod_Sub_acción_especifica]]&amp;"_"&amp;TablaPOA[[#This Row],[Cod_Tipo_agente]]</f>
        <v>K31.4.1.1_TA9</v>
      </c>
      <c r="R1064" s="250" t="s">
        <v>2919</v>
      </c>
      <c r="S1064" s="251" t="s">
        <v>2924</v>
      </c>
      <c r="T1064" s="269" t="s">
        <v>2925</v>
      </c>
    </row>
    <row r="1065" spans="1:20" ht="25.5" x14ac:dyDescent="0.25">
      <c r="A1065" s="268" t="s">
        <v>2314</v>
      </c>
      <c r="B1065" s="248">
        <v>31</v>
      </c>
      <c r="C1065" s="248" t="s">
        <v>2691</v>
      </c>
      <c r="D1065" s="248" t="s">
        <v>2988</v>
      </c>
      <c r="E1065" s="248" t="s">
        <v>3189</v>
      </c>
      <c r="F1065" s="248" t="s">
        <v>2697</v>
      </c>
      <c r="G1065" s="248" t="s">
        <v>2497</v>
      </c>
      <c r="H1065" s="249" t="s">
        <v>3190</v>
      </c>
      <c r="I1065" s="249" t="s">
        <v>2746</v>
      </c>
      <c r="J1065" s="248" t="s">
        <v>3028</v>
      </c>
      <c r="K1065" s="249" t="s">
        <v>3129</v>
      </c>
      <c r="L1065" s="249" t="s">
        <v>2794</v>
      </c>
      <c r="M1065" s="248" t="s">
        <v>2795</v>
      </c>
      <c r="N1065" s="293"/>
      <c r="O1065" s="293" t="str">
        <f>TablaPOA[[#This Row],[Cod_Sub_acción_especifica]]&amp;"_"&amp;TablaPOA[[#This Row],[Tipo de agente]]</f>
        <v>K31.4.1.1_Medios de transporte</v>
      </c>
      <c r="P1065" s="250" t="s">
        <v>2918</v>
      </c>
      <c r="Q1065" s="292" t="str">
        <f>TablaPOA[[#This Row],[Cod_Sub_acción_especifica]]&amp;"_"&amp;TablaPOA[[#This Row],[Cod_Tipo_agente]]</f>
        <v>K31.4.1.1_TA9</v>
      </c>
      <c r="R1065" s="250" t="s">
        <v>2919</v>
      </c>
      <c r="S1065" s="251" t="s">
        <v>2926</v>
      </c>
      <c r="T1065" s="269" t="s">
        <v>2927</v>
      </c>
    </row>
    <row r="1066" spans="1:20" ht="25.5" x14ac:dyDescent="0.25">
      <c r="A1066" s="268" t="s">
        <v>2314</v>
      </c>
      <c r="B1066" s="248">
        <v>31</v>
      </c>
      <c r="C1066" s="248" t="s">
        <v>2691</v>
      </c>
      <c r="D1066" s="248" t="s">
        <v>2988</v>
      </c>
      <c r="E1066" s="248" t="s">
        <v>3189</v>
      </c>
      <c r="F1066" s="248" t="s">
        <v>2697</v>
      </c>
      <c r="G1066" s="248" t="s">
        <v>2497</v>
      </c>
      <c r="H1066" s="249" t="s">
        <v>3190</v>
      </c>
      <c r="I1066" s="249" t="s">
        <v>2746</v>
      </c>
      <c r="J1066" s="248" t="s">
        <v>3028</v>
      </c>
      <c r="K1066" s="249" t="s">
        <v>3129</v>
      </c>
      <c r="L1066" s="249" t="s">
        <v>2794</v>
      </c>
      <c r="M1066" s="248" t="s">
        <v>2795</v>
      </c>
      <c r="N1066" s="293"/>
      <c r="O1066" s="293" t="str">
        <f>TablaPOA[[#This Row],[Cod_Sub_acción_especifica]]&amp;"_"&amp;TablaPOA[[#This Row],[Tipo de agente]]</f>
        <v>K31.4.1.1_Medios de transporte</v>
      </c>
      <c r="P1066" s="250" t="s">
        <v>2918</v>
      </c>
      <c r="Q1066" s="292" t="str">
        <f>TablaPOA[[#This Row],[Cod_Sub_acción_especifica]]&amp;"_"&amp;TablaPOA[[#This Row],[Cod_Tipo_agente]]</f>
        <v>K31.4.1.1_TA9</v>
      </c>
      <c r="R1066" s="250" t="s">
        <v>2919</v>
      </c>
      <c r="S1066" s="251" t="s">
        <v>2928</v>
      </c>
      <c r="T1066" s="269" t="s">
        <v>2929</v>
      </c>
    </row>
    <row r="1067" spans="1:20" ht="25.5" x14ac:dyDescent="0.25">
      <c r="A1067" s="268" t="s">
        <v>2314</v>
      </c>
      <c r="B1067" s="248">
        <v>31</v>
      </c>
      <c r="C1067" s="248" t="s">
        <v>2691</v>
      </c>
      <c r="D1067" s="248" t="s">
        <v>2988</v>
      </c>
      <c r="E1067" s="248" t="s">
        <v>3189</v>
      </c>
      <c r="F1067" s="248" t="s">
        <v>2697</v>
      </c>
      <c r="G1067" s="248" t="s">
        <v>2497</v>
      </c>
      <c r="H1067" s="249" t="s">
        <v>3190</v>
      </c>
      <c r="I1067" s="249" t="s">
        <v>2746</v>
      </c>
      <c r="J1067" s="248" t="s">
        <v>3028</v>
      </c>
      <c r="K1067" s="249" t="s">
        <v>3129</v>
      </c>
      <c r="L1067" s="249" t="s">
        <v>2794</v>
      </c>
      <c r="M1067" s="248" t="s">
        <v>2795</v>
      </c>
      <c r="N1067" s="293"/>
      <c r="O1067" s="293" t="str">
        <f>TablaPOA[[#This Row],[Cod_Sub_acción_especifica]]&amp;"_"&amp;TablaPOA[[#This Row],[Tipo de agente]]</f>
        <v>K31.4.1.1_Medios de transporte</v>
      </c>
      <c r="P1067" s="250" t="s">
        <v>2918</v>
      </c>
      <c r="Q1067" s="292" t="str">
        <f>TablaPOA[[#This Row],[Cod_Sub_acción_especifica]]&amp;"_"&amp;TablaPOA[[#This Row],[Cod_Tipo_agente]]</f>
        <v>K31.4.1.1_TA9</v>
      </c>
      <c r="R1067" s="250" t="s">
        <v>2919</v>
      </c>
      <c r="S1067" s="251" t="s">
        <v>2930</v>
      </c>
      <c r="T1067" s="269" t="s">
        <v>2931</v>
      </c>
    </row>
    <row r="1068" spans="1:20" ht="25.5" x14ac:dyDescent="0.25">
      <c r="A1068" s="268" t="s">
        <v>2314</v>
      </c>
      <c r="B1068" s="248">
        <v>31</v>
      </c>
      <c r="C1068" s="248" t="s">
        <v>2691</v>
      </c>
      <c r="D1068" s="248" t="s">
        <v>2988</v>
      </c>
      <c r="E1068" s="248" t="s">
        <v>3189</v>
      </c>
      <c r="F1068" s="248" t="s">
        <v>2697</v>
      </c>
      <c r="G1068" s="248" t="s">
        <v>2497</v>
      </c>
      <c r="H1068" s="249" t="s">
        <v>3190</v>
      </c>
      <c r="I1068" s="249" t="s">
        <v>2746</v>
      </c>
      <c r="J1068" s="248" t="s">
        <v>3028</v>
      </c>
      <c r="K1068" s="249" t="s">
        <v>3129</v>
      </c>
      <c r="L1068" s="249" t="s">
        <v>2794</v>
      </c>
      <c r="M1068" s="248" t="s">
        <v>2795</v>
      </c>
      <c r="N1068" s="293"/>
      <c r="O1068" s="293" t="str">
        <f>TablaPOA[[#This Row],[Cod_Sub_acción_especifica]]&amp;"_"&amp;TablaPOA[[#This Row],[Tipo de agente]]</f>
        <v>K31.4.1.1_Medios de transporte</v>
      </c>
      <c r="P1068" s="250" t="s">
        <v>2918</v>
      </c>
      <c r="Q1068" s="292" t="str">
        <f>TablaPOA[[#This Row],[Cod_Sub_acción_especifica]]&amp;"_"&amp;TablaPOA[[#This Row],[Cod_Tipo_agente]]</f>
        <v>K31.4.1.1_TA9</v>
      </c>
      <c r="R1068" s="250" t="s">
        <v>2919</v>
      </c>
      <c r="S1068" s="251" t="s">
        <v>2932</v>
      </c>
      <c r="T1068" s="269" t="s">
        <v>2933</v>
      </c>
    </row>
    <row r="1069" spans="1:20" ht="25.5" x14ac:dyDescent="0.25">
      <c r="A1069" s="268" t="s">
        <v>2314</v>
      </c>
      <c r="B1069" s="248">
        <v>31</v>
      </c>
      <c r="C1069" s="248" t="s">
        <v>2691</v>
      </c>
      <c r="D1069" s="248" t="s">
        <v>2988</v>
      </c>
      <c r="E1069" s="248" t="s">
        <v>3189</v>
      </c>
      <c r="F1069" s="248" t="s">
        <v>2697</v>
      </c>
      <c r="G1069" s="248" t="s">
        <v>2497</v>
      </c>
      <c r="H1069" s="249" t="s">
        <v>3190</v>
      </c>
      <c r="I1069" s="249" t="s">
        <v>2746</v>
      </c>
      <c r="J1069" s="248" t="s">
        <v>3028</v>
      </c>
      <c r="K1069" s="249" t="s">
        <v>3129</v>
      </c>
      <c r="L1069" s="249" t="s">
        <v>2794</v>
      </c>
      <c r="M1069" s="248" t="s">
        <v>2795</v>
      </c>
      <c r="N1069" s="293"/>
      <c r="O1069" s="293" t="str">
        <f>TablaPOA[[#This Row],[Cod_Sub_acción_especifica]]&amp;"_"&amp;TablaPOA[[#This Row],[Tipo de agente]]</f>
        <v>K31.4.1.1_Medios de transporte</v>
      </c>
      <c r="P1069" s="250" t="s">
        <v>2918</v>
      </c>
      <c r="Q1069" s="292" t="str">
        <f>TablaPOA[[#This Row],[Cod_Sub_acción_especifica]]&amp;"_"&amp;TablaPOA[[#This Row],[Cod_Tipo_agente]]</f>
        <v>K31.4.1.1_TA9</v>
      </c>
      <c r="R1069" s="250" t="s">
        <v>2919</v>
      </c>
      <c r="S1069" s="251" t="s">
        <v>2934</v>
      </c>
      <c r="T1069" s="269" t="s">
        <v>2935</v>
      </c>
    </row>
    <row r="1070" spans="1:20" ht="25.5" x14ac:dyDescent="0.25">
      <c r="A1070" s="268" t="s">
        <v>2314</v>
      </c>
      <c r="B1070" s="248">
        <v>31</v>
      </c>
      <c r="C1070" s="248" t="s">
        <v>2691</v>
      </c>
      <c r="D1070" s="248" t="s">
        <v>2988</v>
      </c>
      <c r="E1070" s="248" t="s">
        <v>3189</v>
      </c>
      <c r="F1070" s="248" t="s">
        <v>2697</v>
      </c>
      <c r="G1070" s="248" t="s">
        <v>2497</v>
      </c>
      <c r="H1070" s="249" t="s">
        <v>3190</v>
      </c>
      <c r="I1070" s="249" t="s">
        <v>2746</v>
      </c>
      <c r="J1070" s="248" t="s">
        <v>3028</v>
      </c>
      <c r="K1070" s="249" t="s">
        <v>3129</v>
      </c>
      <c r="L1070" s="249" t="s">
        <v>2794</v>
      </c>
      <c r="M1070" s="248" t="s">
        <v>2795</v>
      </c>
      <c r="N1070" s="293"/>
      <c r="O1070" s="293" t="str">
        <f>TablaPOA[[#This Row],[Cod_Sub_acción_especifica]]&amp;"_"&amp;TablaPOA[[#This Row],[Tipo de agente]]</f>
        <v>K31.4.1.1_Medios de transporte</v>
      </c>
      <c r="P1070" s="250" t="s">
        <v>2918</v>
      </c>
      <c r="Q1070" s="292" t="str">
        <f>TablaPOA[[#This Row],[Cod_Sub_acción_especifica]]&amp;"_"&amp;TablaPOA[[#This Row],[Cod_Tipo_agente]]</f>
        <v>K31.4.1.1_TA9</v>
      </c>
      <c r="R1070" s="250" t="s">
        <v>2919</v>
      </c>
      <c r="S1070" s="251" t="s">
        <v>2936</v>
      </c>
      <c r="T1070" s="269" t="s">
        <v>2937</v>
      </c>
    </row>
    <row r="1071" spans="1:20" ht="25.5" x14ac:dyDescent="0.25">
      <c r="A1071" s="268" t="s">
        <v>2314</v>
      </c>
      <c r="B1071" s="248">
        <v>31</v>
      </c>
      <c r="C1071" s="248" t="s">
        <v>2691</v>
      </c>
      <c r="D1071" s="248" t="s">
        <v>2988</v>
      </c>
      <c r="E1071" s="248" t="s">
        <v>3189</v>
      </c>
      <c r="F1071" s="248" t="s">
        <v>2697</v>
      </c>
      <c r="G1071" s="248" t="s">
        <v>2497</v>
      </c>
      <c r="H1071" s="249" t="s">
        <v>3190</v>
      </c>
      <c r="I1071" s="249" t="s">
        <v>2746</v>
      </c>
      <c r="J1071" s="248" t="s">
        <v>3028</v>
      </c>
      <c r="K1071" s="249" t="s">
        <v>3129</v>
      </c>
      <c r="L1071" s="249" t="s">
        <v>2794</v>
      </c>
      <c r="M1071" s="248" t="s">
        <v>2795</v>
      </c>
      <c r="N1071" s="293"/>
      <c r="O1071" s="293" t="str">
        <f>TablaPOA[[#This Row],[Cod_Sub_acción_especifica]]&amp;"_"&amp;TablaPOA[[#This Row],[Tipo de agente]]</f>
        <v>K31.4.1.1_Medios de transporte</v>
      </c>
      <c r="P1071" s="250" t="s">
        <v>2918</v>
      </c>
      <c r="Q1071" s="292" t="str">
        <f>TablaPOA[[#This Row],[Cod_Sub_acción_especifica]]&amp;"_"&amp;TablaPOA[[#This Row],[Cod_Tipo_agente]]</f>
        <v>K31.4.1.1_TA9</v>
      </c>
      <c r="R1071" s="250" t="s">
        <v>2919</v>
      </c>
      <c r="S1071" s="251" t="s">
        <v>2938</v>
      </c>
      <c r="T1071" s="269" t="s">
        <v>2939</v>
      </c>
    </row>
    <row r="1072" spans="1:20" ht="25.5" x14ac:dyDescent="0.25">
      <c r="A1072" s="268" t="s">
        <v>2314</v>
      </c>
      <c r="B1072" s="248">
        <v>31</v>
      </c>
      <c r="C1072" s="248" t="s">
        <v>2691</v>
      </c>
      <c r="D1072" s="248" t="s">
        <v>2988</v>
      </c>
      <c r="E1072" s="248" t="s">
        <v>3189</v>
      </c>
      <c r="F1072" s="248" t="s">
        <v>2697</v>
      </c>
      <c r="G1072" s="248" t="s">
        <v>2497</v>
      </c>
      <c r="H1072" s="249" t="s">
        <v>3190</v>
      </c>
      <c r="I1072" s="249" t="s">
        <v>2746</v>
      </c>
      <c r="J1072" s="248" t="s">
        <v>3028</v>
      </c>
      <c r="K1072" s="249" t="s">
        <v>3129</v>
      </c>
      <c r="L1072" s="249" t="s">
        <v>2794</v>
      </c>
      <c r="M1072" s="248" t="s">
        <v>2795</v>
      </c>
      <c r="N1072" s="293"/>
      <c r="O1072" s="293" t="str">
        <f>TablaPOA[[#This Row],[Cod_Sub_acción_especifica]]&amp;"_"&amp;TablaPOA[[#This Row],[Tipo de agente]]</f>
        <v>K31.4.1.1_Medios de transporte</v>
      </c>
      <c r="P1072" s="250" t="s">
        <v>2918</v>
      </c>
      <c r="Q1072" s="292" t="str">
        <f>TablaPOA[[#This Row],[Cod_Sub_acción_especifica]]&amp;"_"&amp;TablaPOA[[#This Row],[Cod_Tipo_agente]]</f>
        <v>K31.4.1.1_TA9</v>
      </c>
      <c r="R1072" s="250" t="s">
        <v>2919</v>
      </c>
      <c r="S1072" s="251" t="s">
        <v>2940</v>
      </c>
      <c r="T1072" s="269" t="s">
        <v>2941</v>
      </c>
    </row>
    <row r="1073" spans="1:20" ht="25.5" x14ac:dyDescent="0.25">
      <c r="A1073" s="268" t="s">
        <v>2314</v>
      </c>
      <c r="B1073" s="248">
        <v>31</v>
      </c>
      <c r="C1073" s="248" t="s">
        <v>2691</v>
      </c>
      <c r="D1073" s="248" t="s">
        <v>2988</v>
      </c>
      <c r="E1073" s="248" t="s">
        <v>3189</v>
      </c>
      <c r="F1073" s="248" t="s">
        <v>2697</v>
      </c>
      <c r="G1073" s="248" t="s">
        <v>2497</v>
      </c>
      <c r="H1073" s="249" t="s">
        <v>3190</v>
      </c>
      <c r="I1073" s="249" t="s">
        <v>2746</v>
      </c>
      <c r="J1073" s="248" t="s">
        <v>3028</v>
      </c>
      <c r="K1073" s="249" t="s">
        <v>3129</v>
      </c>
      <c r="L1073" s="249" t="s">
        <v>2794</v>
      </c>
      <c r="M1073" s="248" t="s">
        <v>2795</v>
      </c>
      <c r="N1073" s="293"/>
      <c r="O1073" s="293" t="str">
        <f>TablaPOA[[#This Row],[Cod_Sub_acción_especifica]]&amp;"_"&amp;TablaPOA[[#This Row],[Tipo de agente]]</f>
        <v>K31.4.1.1_Medios de transporte</v>
      </c>
      <c r="P1073" s="250" t="s">
        <v>2918</v>
      </c>
      <c r="Q1073" s="292" t="str">
        <f>TablaPOA[[#This Row],[Cod_Sub_acción_especifica]]&amp;"_"&amp;TablaPOA[[#This Row],[Cod_Tipo_agente]]</f>
        <v>K31.4.1.1_TA9</v>
      </c>
      <c r="R1073" s="250" t="s">
        <v>2919</v>
      </c>
      <c r="S1073" s="251" t="s">
        <v>2942</v>
      </c>
      <c r="T1073" s="269" t="s">
        <v>2943</v>
      </c>
    </row>
    <row r="1074" spans="1:20" ht="25.5" x14ac:dyDescent="0.25">
      <c r="A1074" s="268" t="s">
        <v>2314</v>
      </c>
      <c r="B1074" s="248">
        <v>31</v>
      </c>
      <c r="C1074" s="248" t="s">
        <v>2691</v>
      </c>
      <c r="D1074" s="248" t="s">
        <v>2988</v>
      </c>
      <c r="E1074" s="248" t="s">
        <v>3189</v>
      </c>
      <c r="F1074" s="248" t="s">
        <v>2697</v>
      </c>
      <c r="G1074" s="248" t="s">
        <v>2497</v>
      </c>
      <c r="H1074" s="249" t="s">
        <v>3190</v>
      </c>
      <c r="I1074" s="249" t="s">
        <v>2746</v>
      </c>
      <c r="J1074" s="248" t="s">
        <v>3028</v>
      </c>
      <c r="K1074" s="249" t="s">
        <v>3129</v>
      </c>
      <c r="L1074" s="249" t="s">
        <v>2794</v>
      </c>
      <c r="M1074" s="248" t="s">
        <v>2795</v>
      </c>
      <c r="N1074" s="293"/>
      <c r="O1074" s="293" t="str">
        <f>TablaPOA[[#This Row],[Cod_Sub_acción_especifica]]&amp;"_"&amp;TablaPOA[[#This Row],[Tipo de agente]]</f>
        <v>K31.4.1.1_Medios de transporte</v>
      </c>
      <c r="P1074" s="250" t="s">
        <v>2918</v>
      </c>
      <c r="Q1074" s="292" t="str">
        <f>TablaPOA[[#This Row],[Cod_Sub_acción_especifica]]&amp;"_"&amp;TablaPOA[[#This Row],[Cod_Tipo_agente]]</f>
        <v>K31.4.1.1_TA9</v>
      </c>
      <c r="R1074" s="250" t="s">
        <v>2919</v>
      </c>
      <c r="S1074" s="251" t="s">
        <v>2944</v>
      </c>
      <c r="T1074" s="269" t="s">
        <v>2945</v>
      </c>
    </row>
    <row r="1075" spans="1:20" ht="25.5" x14ac:dyDescent="0.25">
      <c r="A1075" s="268" t="s">
        <v>2314</v>
      </c>
      <c r="B1075" s="248">
        <v>31</v>
      </c>
      <c r="C1075" s="248" t="s">
        <v>2691</v>
      </c>
      <c r="D1075" s="248" t="s">
        <v>2988</v>
      </c>
      <c r="E1075" s="248" t="s">
        <v>3189</v>
      </c>
      <c r="F1075" s="248" t="s">
        <v>2697</v>
      </c>
      <c r="G1075" s="248" t="s">
        <v>2497</v>
      </c>
      <c r="H1075" s="249" t="s">
        <v>3190</v>
      </c>
      <c r="I1075" s="249" t="s">
        <v>2746</v>
      </c>
      <c r="J1075" s="248" t="s">
        <v>3028</v>
      </c>
      <c r="K1075" s="249" t="s">
        <v>3129</v>
      </c>
      <c r="L1075" s="249" t="s">
        <v>2794</v>
      </c>
      <c r="M1075" s="248" t="s">
        <v>2795</v>
      </c>
      <c r="N1075" s="293"/>
      <c r="O1075" s="293" t="str">
        <f>TablaPOA[[#This Row],[Cod_Sub_acción_especifica]]&amp;"_"&amp;TablaPOA[[#This Row],[Tipo de agente]]</f>
        <v>K31.4.1.1_Medios de transporte</v>
      </c>
      <c r="P1075" s="250" t="s">
        <v>2918</v>
      </c>
      <c r="Q1075" s="292" t="str">
        <f>TablaPOA[[#This Row],[Cod_Sub_acción_especifica]]&amp;"_"&amp;TablaPOA[[#This Row],[Cod_Tipo_agente]]</f>
        <v>K31.4.1.1_TA9</v>
      </c>
      <c r="R1075" s="250" t="s">
        <v>2919</v>
      </c>
      <c r="S1075" s="251" t="s">
        <v>2946</v>
      </c>
      <c r="T1075" s="269" t="s">
        <v>2947</v>
      </c>
    </row>
    <row r="1076" spans="1:20" ht="25.5" x14ac:dyDescent="0.25">
      <c r="A1076" s="268" t="s">
        <v>2314</v>
      </c>
      <c r="B1076" s="248">
        <v>31</v>
      </c>
      <c r="C1076" s="248" t="s">
        <v>2691</v>
      </c>
      <c r="D1076" s="248" t="s">
        <v>2988</v>
      </c>
      <c r="E1076" s="248" t="s">
        <v>3189</v>
      </c>
      <c r="F1076" s="248" t="s">
        <v>2697</v>
      </c>
      <c r="G1076" s="248" t="s">
        <v>2497</v>
      </c>
      <c r="H1076" s="249" t="s">
        <v>3190</v>
      </c>
      <c r="I1076" s="249" t="s">
        <v>2746</v>
      </c>
      <c r="J1076" s="248" t="s">
        <v>3028</v>
      </c>
      <c r="K1076" s="249" t="s">
        <v>3129</v>
      </c>
      <c r="L1076" s="249" t="s">
        <v>2794</v>
      </c>
      <c r="M1076" s="248" t="s">
        <v>2795</v>
      </c>
      <c r="N1076" s="293"/>
      <c r="O1076" s="293" t="str">
        <f>TablaPOA[[#This Row],[Cod_Sub_acción_especifica]]&amp;"_"&amp;TablaPOA[[#This Row],[Tipo de agente]]</f>
        <v>K31.4.1.1_Medios de transporte</v>
      </c>
      <c r="P1076" s="250" t="s">
        <v>2918</v>
      </c>
      <c r="Q1076" s="292" t="str">
        <f>TablaPOA[[#This Row],[Cod_Sub_acción_especifica]]&amp;"_"&amp;TablaPOA[[#This Row],[Cod_Tipo_agente]]</f>
        <v>K31.4.1.1_TA9</v>
      </c>
      <c r="R1076" s="250" t="s">
        <v>2919</v>
      </c>
      <c r="S1076" s="251" t="s">
        <v>2948</v>
      </c>
      <c r="T1076" s="269" t="s">
        <v>2949</v>
      </c>
    </row>
    <row r="1077" spans="1:20" ht="25.5" x14ac:dyDescent="0.25">
      <c r="A1077" s="268" t="s">
        <v>2314</v>
      </c>
      <c r="B1077" s="248">
        <v>31</v>
      </c>
      <c r="C1077" s="248" t="s">
        <v>2691</v>
      </c>
      <c r="D1077" s="248" t="s">
        <v>2988</v>
      </c>
      <c r="E1077" s="248" t="s">
        <v>3189</v>
      </c>
      <c r="F1077" s="248" t="s">
        <v>2697</v>
      </c>
      <c r="G1077" s="248" t="s">
        <v>2497</v>
      </c>
      <c r="H1077" s="249" t="s">
        <v>3190</v>
      </c>
      <c r="I1077" s="249" t="s">
        <v>2746</v>
      </c>
      <c r="J1077" s="248" t="s">
        <v>3028</v>
      </c>
      <c r="K1077" s="249" t="s">
        <v>3129</v>
      </c>
      <c r="L1077" s="249" t="s">
        <v>2794</v>
      </c>
      <c r="M1077" s="248" t="s">
        <v>2795</v>
      </c>
      <c r="N1077" s="293"/>
      <c r="O1077" s="293" t="str">
        <f>TablaPOA[[#This Row],[Cod_Sub_acción_especifica]]&amp;"_"&amp;TablaPOA[[#This Row],[Tipo de agente]]</f>
        <v>K31.4.1.1_Plantas de abastecimiento y despacho</v>
      </c>
      <c r="P1077" s="250" t="s">
        <v>2950</v>
      </c>
      <c r="Q1077" s="292" t="str">
        <f>TablaPOA[[#This Row],[Cod_Sub_acción_especifica]]&amp;"_"&amp;TablaPOA[[#This Row],[Cod_Tipo_agente]]</f>
        <v>K31.4.1.1_TA10</v>
      </c>
      <c r="R1077" s="250" t="s">
        <v>2951</v>
      </c>
      <c r="S1077" s="251" t="s">
        <v>2952</v>
      </c>
      <c r="T1077" s="269" t="s">
        <v>2953</v>
      </c>
    </row>
    <row r="1078" spans="1:20" ht="25.5" x14ac:dyDescent="0.25">
      <c r="A1078" s="268" t="s">
        <v>2314</v>
      </c>
      <c r="B1078" s="248">
        <v>31</v>
      </c>
      <c r="C1078" s="248" t="s">
        <v>2691</v>
      </c>
      <c r="D1078" s="248" t="s">
        <v>2988</v>
      </c>
      <c r="E1078" s="248" t="s">
        <v>3189</v>
      </c>
      <c r="F1078" s="248" t="s">
        <v>2697</v>
      </c>
      <c r="G1078" s="248" t="s">
        <v>2497</v>
      </c>
      <c r="H1078" s="249" t="s">
        <v>3190</v>
      </c>
      <c r="I1078" s="249" t="s">
        <v>2746</v>
      </c>
      <c r="J1078" s="248" t="s">
        <v>3028</v>
      </c>
      <c r="K1078" s="249" t="s">
        <v>3129</v>
      </c>
      <c r="L1078" s="249" t="s">
        <v>2794</v>
      </c>
      <c r="M1078" s="248" t="s">
        <v>2795</v>
      </c>
      <c r="N1078" s="293"/>
      <c r="O1078" s="293" t="str">
        <f>TablaPOA[[#This Row],[Cod_Sub_acción_especifica]]&amp;"_"&amp;TablaPOA[[#This Row],[Tipo de agente]]</f>
        <v>K31.4.1.1_Plantas de abastecimiento y despacho</v>
      </c>
      <c r="P1078" s="250" t="s">
        <v>2950</v>
      </c>
      <c r="Q1078" s="292" t="str">
        <f>TablaPOA[[#This Row],[Cod_Sub_acción_especifica]]&amp;"_"&amp;TablaPOA[[#This Row],[Cod_Tipo_agente]]</f>
        <v>K31.4.1.1_TA10</v>
      </c>
      <c r="R1078" s="250" t="s">
        <v>2951</v>
      </c>
      <c r="S1078" s="251" t="s">
        <v>2954</v>
      </c>
      <c r="T1078" s="269" t="s">
        <v>2955</v>
      </c>
    </row>
    <row r="1079" spans="1:20" ht="25.5" x14ac:dyDescent="0.25">
      <c r="A1079" s="268" t="s">
        <v>2314</v>
      </c>
      <c r="B1079" s="248">
        <v>31</v>
      </c>
      <c r="C1079" s="248" t="s">
        <v>2691</v>
      </c>
      <c r="D1079" s="248" t="s">
        <v>2988</v>
      </c>
      <c r="E1079" s="248" t="s">
        <v>3189</v>
      </c>
      <c r="F1079" s="248" t="s">
        <v>2697</v>
      </c>
      <c r="G1079" s="248" t="s">
        <v>2497</v>
      </c>
      <c r="H1079" s="249" t="s">
        <v>3190</v>
      </c>
      <c r="I1079" s="249" t="s">
        <v>2746</v>
      </c>
      <c r="J1079" s="248" t="s">
        <v>3028</v>
      </c>
      <c r="K1079" s="249" t="s">
        <v>3129</v>
      </c>
      <c r="L1079" s="249" t="s">
        <v>2794</v>
      </c>
      <c r="M1079" s="248" t="s">
        <v>2795</v>
      </c>
      <c r="N1079" s="293"/>
      <c r="O1079" s="293" t="str">
        <f>TablaPOA[[#This Row],[Cod_Sub_acción_especifica]]&amp;"_"&amp;TablaPOA[[#This Row],[Tipo de agente]]</f>
        <v>K31.4.1.1_Plantas de abastecimiento y despacho</v>
      </c>
      <c r="P1079" s="250" t="s">
        <v>2950</v>
      </c>
      <c r="Q1079" s="292" t="str">
        <f>TablaPOA[[#This Row],[Cod_Sub_acción_especifica]]&amp;"_"&amp;TablaPOA[[#This Row],[Cod_Tipo_agente]]</f>
        <v>K31.4.1.1_TA10</v>
      </c>
      <c r="R1079" s="250" t="s">
        <v>2951</v>
      </c>
      <c r="S1079" s="251" t="s">
        <v>2956</v>
      </c>
      <c r="T1079" s="269" t="s">
        <v>2957</v>
      </c>
    </row>
    <row r="1080" spans="1:20" ht="25.5" x14ac:dyDescent="0.25">
      <c r="A1080" s="268" t="s">
        <v>2314</v>
      </c>
      <c r="B1080" s="248">
        <v>31</v>
      </c>
      <c r="C1080" s="248" t="s">
        <v>2691</v>
      </c>
      <c r="D1080" s="248" t="s">
        <v>2988</v>
      </c>
      <c r="E1080" s="248" t="s">
        <v>3189</v>
      </c>
      <c r="F1080" s="248" t="s">
        <v>2697</v>
      </c>
      <c r="G1080" s="248" t="s">
        <v>2497</v>
      </c>
      <c r="H1080" s="249" t="s">
        <v>3190</v>
      </c>
      <c r="I1080" s="249" t="s">
        <v>2746</v>
      </c>
      <c r="J1080" s="248" t="s">
        <v>3028</v>
      </c>
      <c r="K1080" s="249" t="s">
        <v>3129</v>
      </c>
      <c r="L1080" s="249" t="s">
        <v>2794</v>
      </c>
      <c r="M1080" s="248" t="s">
        <v>2795</v>
      </c>
      <c r="N1080" s="293"/>
      <c r="O1080" s="293" t="str">
        <f>TablaPOA[[#This Row],[Cod_Sub_acción_especifica]]&amp;"_"&amp;TablaPOA[[#This Row],[Tipo de agente]]</f>
        <v>K31.4.1.1_Plantas de abastecimiento y despacho</v>
      </c>
      <c r="P1080" s="250" t="s">
        <v>2950</v>
      </c>
      <c r="Q1080" s="292" t="str">
        <f>TablaPOA[[#This Row],[Cod_Sub_acción_especifica]]&amp;"_"&amp;TablaPOA[[#This Row],[Cod_Tipo_agente]]</f>
        <v>K31.4.1.1_TA10</v>
      </c>
      <c r="R1080" s="250" t="s">
        <v>2951</v>
      </c>
      <c r="S1080" s="251" t="s">
        <v>2958</v>
      </c>
      <c r="T1080" s="269" t="s">
        <v>2959</v>
      </c>
    </row>
    <row r="1081" spans="1:20" ht="25.5" x14ac:dyDescent="0.25">
      <c r="A1081" s="268" t="s">
        <v>2314</v>
      </c>
      <c r="B1081" s="248">
        <v>31</v>
      </c>
      <c r="C1081" s="248" t="s">
        <v>2691</v>
      </c>
      <c r="D1081" s="248" t="s">
        <v>2988</v>
      </c>
      <c r="E1081" s="248" t="s">
        <v>3189</v>
      </c>
      <c r="F1081" s="248" t="s">
        <v>2697</v>
      </c>
      <c r="G1081" s="248" t="s">
        <v>2497</v>
      </c>
      <c r="H1081" s="249" t="s">
        <v>3190</v>
      </c>
      <c r="I1081" s="249" t="s">
        <v>2746</v>
      </c>
      <c r="J1081" s="248" t="s">
        <v>3028</v>
      </c>
      <c r="K1081" s="249" t="s">
        <v>3129</v>
      </c>
      <c r="L1081" s="249" t="s">
        <v>2794</v>
      </c>
      <c r="M1081" s="248" t="s">
        <v>2795</v>
      </c>
      <c r="N1081" s="293"/>
      <c r="O1081" s="293" t="str">
        <f>TablaPOA[[#This Row],[Cod_Sub_acción_especifica]]&amp;"_"&amp;TablaPOA[[#This Row],[Tipo de agente]]</f>
        <v>K31.4.1.1_Plantas de abastecimiento y despacho</v>
      </c>
      <c r="P1081" s="250" t="s">
        <v>2950</v>
      </c>
      <c r="Q1081" s="292" t="str">
        <f>TablaPOA[[#This Row],[Cod_Sub_acción_especifica]]&amp;"_"&amp;TablaPOA[[#This Row],[Cod_Tipo_agente]]</f>
        <v>K31.4.1.1_TA10</v>
      </c>
      <c r="R1081" s="250" t="s">
        <v>2951</v>
      </c>
      <c r="S1081" s="251" t="s">
        <v>2960</v>
      </c>
      <c r="T1081" s="269" t="s">
        <v>2961</v>
      </c>
    </row>
    <row r="1082" spans="1:20" ht="38.25" x14ac:dyDescent="0.25">
      <c r="A1082" s="268" t="s">
        <v>2314</v>
      </c>
      <c r="B1082" s="248">
        <v>31</v>
      </c>
      <c r="C1082" s="248" t="s">
        <v>2691</v>
      </c>
      <c r="D1082" s="248" t="s">
        <v>2988</v>
      </c>
      <c r="E1082" s="248" t="s">
        <v>3189</v>
      </c>
      <c r="F1082" s="248" t="s">
        <v>2697</v>
      </c>
      <c r="G1082" s="248" t="s">
        <v>2497</v>
      </c>
      <c r="H1082" s="249" t="s">
        <v>3190</v>
      </c>
      <c r="I1082" s="249" t="s">
        <v>2746</v>
      </c>
      <c r="J1082" s="248" t="s">
        <v>3028</v>
      </c>
      <c r="K1082" s="249" t="s">
        <v>3129</v>
      </c>
      <c r="L1082" s="249" t="s">
        <v>2794</v>
      </c>
      <c r="M1082" s="248" t="s">
        <v>2795</v>
      </c>
      <c r="N1082" s="293"/>
      <c r="O1082" s="293" t="str">
        <f>TablaPOA[[#This Row],[Cod_Sub_acción_especifica]]&amp;"_"&amp;TablaPOA[[#This Row],[Tipo de agente]]</f>
        <v>K31.4.1.1_Instalaciones de compresión, transferencia y descompresión de gas natural</v>
      </c>
      <c r="P1082" s="250" t="s">
        <v>2902</v>
      </c>
      <c r="Q1082" s="292" t="str">
        <f>TablaPOA[[#This Row],[Cod_Sub_acción_especifica]]&amp;"_"&amp;TablaPOA[[#This Row],[Cod_Tipo_agente]]</f>
        <v>K31.4.1.1_TA7</v>
      </c>
      <c r="R1082" s="250" t="s">
        <v>2903</v>
      </c>
      <c r="S1082" s="252">
        <v>607</v>
      </c>
      <c r="T1082" s="274" t="s">
        <v>2905</v>
      </c>
    </row>
    <row r="1083" spans="1:20" ht="38.25" x14ac:dyDescent="0.25">
      <c r="A1083" s="268" t="s">
        <v>2314</v>
      </c>
      <c r="B1083" s="248">
        <v>31</v>
      </c>
      <c r="C1083" s="248" t="s">
        <v>2691</v>
      </c>
      <c r="D1083" s="248" t="s">
        <v>2988</v>
      </c>
      <c r="E1083" s="248" t="s">
        <v>3189</v>
      </c>
      <c r="F1083" s="248" t="s">
        <v>2697</v>
      </c>
      <c r="G1083" s="248" t="s">
        <v>2497</v>
      </c>
      <c r="H1083" s="249" t="s">
        <v>3190</v>
      </c>
      <c r="I1083" s="249" t="s">
        <v>2746</v>
      </c>
      <c r="J1083" s="248" t="s">
        <v>3028</v>
      </c>
      <c r="K1083" s="249" t="s">
        <v>3129</v>
      </c>
      <c r="L1083" s="249" t="s">
        <v>2794</v>
      </c>
      <c r="M1083" s="248" t="s">
        <v>2795</v>
      </c>
      <c r="N1083" s="293"/>
      <c r="O1083" s="293" t="str">
        <f>TablaPOA[[#This Row],[Cod_Sub_acción_especifica]]&amp;"_"&amp;TablaPOA[[#This Row],[Tipo de agente]]</f>
        <v>K31.4.1.1_Instalaciones de compresión, transferencia y descompresión de gas natural</v>
      </c>
      <c r="P1083" s="250" t="s">
        <v>2902</v>
      </c>
      <c r="Q1083" s="292" t="str">
        <f>TablaPOA[[#This Row],[Cod_Sub_acción_especifica]]&amp;"_"&amp;TablaPOA[[#This Row],[Cod_Tipo_agente]]</f>
        <v>K31.4.1.1_TA7</v>
      </c>
      <c r="R1083" s="250" t="s">
        <v>2903</v>
      </c>
      <c r="S1083" s="252" t="s">
        <v>2906</v>
      </c>
      <c r="T1083" s="274" t="s">
        <v>2907</v>
      </c>
    </row>
    <row r="1084" spans="1:20" ht="38.25" x14ac:dyDescent="0.25">
      <c r="A1084" s="268" t="s">
        <v>2314</v>
      </c>
      <c r="B1084" s="248">
        <v>31</v>
      </c>
      <c r="C1084" s="248" t="s">
        <v>2691</v>
      </c>
      <c r="D1084" s="248" t="s">
        <v>2988</v>
      </c>
      <c r="E1084" s="248" t="s">
        <v>3189</v>
      </c>
      <c r="F1084" s="248" t="s">
        <v>2697</v>
      </c>
      <c r="G1084" s="248" t="s">
        <v>2497</v>
      </c>
      <c r="H1084" s="249" t="s">
        <v>3190</v>
      </c>
      <c r="I1084" s="249" t="s">
        <v>2746</v>
      </c>
      <c r="J1084" s="248" t="s">
        <v>3028</v>
      </c>
      <c r="K1084" s="249" t="s">
        <v>3129</v>
      </c>
      <c r="L1084" s="249" t="s">
        <v>2794</v>
      </c>
      <c r="M1084" s="248" t="s">
        <v>2795</v>
      </c>
      <c r="N1084" s="293"/>
      <c r="O1084" s="293" t="str">
        <f>TablaPOA[[#This Row],[Cod_Sub_acción_especifica]]&amp;"_"&amp;TablaPOA[[#This Row],[Tipo de agente]]</f>
        <v>K31.4.1.1_Instalaciones de compresión, transferencia y descompresión de gas natural</v>
      </c>
      <c r="P1084" s="250" t="s">
        <v>2902</v>
      </c>
      <c r="Q1084" s="292" t="str">
        <f>TablaPOA[[#This Row],[Cod_Sub_acción_especifica]]&amp;"_"&amp;TablaPOA[[#This Row],[Cod_Tipo_agente]]</f>
        <v>K31.4.1.1_TA7</v>
      </c>
      <c r="R1084" s="250" t="s">
        <v>2903</v>
      </c>
      <c r="S1084" s="252" t="s">
        <v>2908</v>
      </c>
      <c r="T1084" s="274" t="s">
        <v>2909</v>
      </c>
    </row>
    <row r="1085" spans="1:20" ht="38.25" x14ac:dyDescent="0.25">
      <c r="A1085" s="268" t="s">
        <v>2314</v>
      </c>
      <c r="B1085" s="248">
        <v>31</v>
      </c>
      <c r="C1085" s="248" t="s">
        <v>2691</v>
      </c>
      <c r="D1085" s="248" t="s">
        <v>2988</v>
      </c>
      <c r="E1085" s="248" t="s">
        <v>3189</v>
      </c>
      <c r="F1085" s="248" t="s">
        <v>2697</v>
      </c>
      <c r="G1085" s="248" t="s">
        <v>2497</v>
      </c>
      <c r="H1085" s="249" t="s">
        <v>3190</v>
      </c>
      <c r="I1085" s="249" t="s">
        <v>2746</v>
      </c>
      <c r="J1085" s="248" t="s">
        <v>3028</v>
      </c>
      <c r="K1085" s="249" t="s">
        <v>3129</v>
      </c>
      <c r="L1085" s="249" t="s">
        <v>2794</v>
      </c>
      <c r="M1085" s="248" t="s">
        <v>2795</v>
      </c>
      <c r="N1085" s="293"/>
      <c r="O1085" s="293" t="str">
        <f>TablaPOA[[#This Row],[Cod_Sub_acción_especifica]]&amp;"_"&amp;TablaPOA[[#This Row],[Tipo de agente]]</f>
        <v>K31.4.1.1_Instalaciones de compresión, transferencia y descompresión de gas natural</v>
      </c>
      <c r="P1085" s="250" t="s">
        <v>2902</v>
      </c>
      <c r="Q1085" s="292" t="str">
        <f>TablaPOA[[#This Row],[Cod_Sub_acción_especifica]]&amp;"_"&amp;TablaPOA[[#This Row],[Cod_Tipo_agente]]</f>
        <v>K31.4.1.1_TA7</v>
      </c>
      <c r="R1085" s="250" t="s">
        <v>2903</v>
      </c>
      <c r="S1085" s="252" t="s">
        <v>2910</v>
      </c>
      <c r="T1085" s="274" t="s">
        <v>2911</v>
      </c>
    </row>
    <row r="1086" spans="1:20" ht="25.5" x14ac:dyDescent="0.25">
      <c r="A1086" s="268" t="s">
        <v>2314</v>
      </c>
      <c r="B1086" s="248">
        <v>31</v>
      </c>
      <c r="C1086" s="248" t="s">
        <v>2691</v>
      </c>
      <c r="D1086" s="248" t="s">
        <v>2988</v>
      </c>
      <c r="E1086" s="248" t="s">
        <v>3189</v>
      </c>
      <c r="F1086" s="248" t="s">
        <v>2697</v>
      </c>
      <c r="G1086" s="248" t="s">
        <v>2497</v>
      </c>
      <c r="H1086" s="249" t="s">
        <v>3190</v>
      </c>
      <c r="I1086" s="249" t="s">
        <v>2746</v>
      </c>
      <c r="J1086" s="248" t="s">
        <v>3028</v>
      </c>
      <c r="K1086" s="249" t="s">
        <v>3129</v>
      </c>
      <c r="L1086" s="249" t="s">
        <v>2794</v>
      </c>
      <c r="M1086" s="248" t="s">
        <v>2795</v>
      </c>
      <c r="N1086" s="293"/>
      <c r="O1086" s="293" t="str">
        <f>TablaPOA[[#This Row],[Cod_Sub_acción_especifica]]&amp;"_"&amp;TablaPOA[[#This Row],[Tipo de agente]]</f>
        <v>K31.4.1.1_Productores y Plantas de procesamiento</v>
      </c>
      <c r="P1086" s="250" t="s">
        <v>2962</v>
      </c>
      <c r="Q1086" s="292" t="str">
        <f>TablaPOA[[#This Row],[Cod_Sub_acción_especifica]]&amp;"_"&amp;TablaPOA[[#This Row],[Cod_Tipo_agente]]</f>
        <v>K31.4.1.1_TA11</v>
      </c>
      <c r="R1086" s="250" t="s">
        <v>2963</v>
      </c>
      <c r="S1086" s="251" t="s">
        <v>2964</v>
      </c>
      <c r="T1086" s="269" t="s">
        <v>2965</v>
      </c>
    </row>
    <row r="1087" spans="1:20" ht="25.5" x14ac:dyDescent="0.25">
      <c r="A1087" s="268" t="s">
        <v>2314</v>
      </c>
      <c r="B1087" s="248">
        <v>31</v>
      </c>
      <c r="C1087" s="248" t="s">
        <v>2691</v>
      </c>
      <c r="D1087" s="248" t="s">
        <v>2988</v>
      </c>
      <c r="E1087" s="248" t="s">
        <v>3189</v>
      </c>
      <c r="F1087" s="248" t="s">
        <v>2697</v>
      </c>
      <c r="G1087" s="248" t="s">
        <v>2497</v>
      </c>
      <c r="H1087" s="249" t="s">
        <v>3190</v>
      </c>
      <c r="I1087" s="249" t="s">
        <v>2746</v>
      </c>
      <c r="J1087" s="248" t="s">
        <v>3028</v>
      </c>
      <c r="K1087" s="249" t="s">
        <v>3129</v>
      </c>
      <c r="L1087" s="249" t="s">
        <v>2794</v>
      </c>
      <c r="M1087" s="248" t="s">
        <v>2795</v>
      </c>
      <c r="N1087" s="293"/>
      <c r="O1087" s="293" t="str">
        <f>TablaPOA[[#This Row],[Cod_Sub_acción_especifica]]&amp;"_"&amp;TablaPOA[[#This Row],[Tipo de agente]]</f>
        <v>K31.4.1.1_Productores y Plantas de procesamiento</v>
      </c>
      <c r="P1087" s="250" t="s">
        <v>2962</v>
      </c>
      <c r="Q1087" s="292" t="str">
        <f>TablaPOA[[#This Row],[Cod_Sub_acción_especifica]]&amp;"_"&amp;TablaPOA[[#This Row],[Cod_Tipo_agente]]</f>
        <v>K31.4.1.1_TA11</v>
      </c>
      <c r="R1087" s="250" t="s">
        <v>2963</v>
      </c>
      <c r="S1087" s="251" t="s">
        <v>2966</v>
      </c>
      <c r="T1087" s="269" t="s">
        <v>2967</v>
      </c>
    </row>
    <row r="1088" spans="1:20" ht="25.5" x14ac:dyDescent="0.25">
      <c r="A1088" s="268" t="s">
        <v>2314</v>
      </c>
      <c r="B1088" s="248">
        <v>31</v>
      </c>
      <c r="C1088" s="248" t="s">
        <v>2691</v>
      </c>
      <c r="D1088" s="248" t="s">
        <v>2988</v>
      </c>
      <c r="E1088" s="248" t="s">
        <v>3189</v>
      </c>
      <c r="F1088" s="248" t="s">
        <v>2697</v>
      </c>
      <c r="G1088" s="248" t="s">
        <v>2497</v>
      </c>
      <c r="H1088" s="249" t="s">
        <v>3190</v>
      </c>
      <c r="I1088" s="249" t="s">
        <v>2746</v>
      </c>
      <c r="J1088" s="248" t="s">
        <v>3028</v>
      </c>
      <c r="K1088" s="249" t="s">
        <v>3129</v>
      </c>
      <c r="L1088" s="249" t="s">
        <v>2794</v>
      </c>
      <c r="M1088" s="248" t="s">
        <v>2795</v>
      </c>
      <c r="N1088" s="293"/>
      <c r="O1088" s="293" t="str">
        <f>TablaPOA[[#This Row],[Cod_Sub_acción_especifica]]&amp;"_"&amp;TablaPOA[[#This Row],[Tipo de agente]]</f>
        <v>K31.4.1.1_Productores y Plantas de procesamiento</v>
      </c>
      <c r="P1088" s="250" t="s">
        <v>2962</v>
      </c>
      <c r="Q1088" s="292" t="str">
        <f>TablaPOA[[#This Row],[Cod_Sub_acción_especifica]]&amp;"_"&amp;TablaPOA[[#This Row],[Cod_Tipo_agente]]</f>
        <v>K31.4.1.1_TA11</v>
      </c>
      <c r="R1088" s="250" t="s">
        <v>2963</v>
      </c>
      <c r="S1088" s="251" t="s">
        <v>2968</v>
      </c>
      <c r="T1088" s="269" t="s">
        <v>2969</v>
      </c>
    </row>
    <row r="1089" spans="1:20" ht="25.5" x14ac:dyDescent="0.25">
      <c r="A1089" s="268" t="s">
        <v>2314</v>
      </c>
      <c r="B1089" s="248">
        <v>31</v>
      </c>
      <c r="C1089" s="248" t="s">
        <v>2691</v>
      </c>
      <c r="D1089" s="248" t="s">
        <v>2988</v>
      </c>
      <c r="E1089" s="248" t="s">
        <v>3189</v>
      </c>
      <c r="F1089" s="248" t="s">
        <v>2697</v>
      </c>
      <c r="G1089" s="248" t="s">
        <v>2497</v>
      </c>
      <c r="H1089" s="249" t="s">
        <v>3190</v>
      </c>
      <c r="I1089" s="249" t="s">
        <v>2746</v>
      </c>
      <c r="J1089" s="248" t="s">
        <v>3028</v>
      </c>
      <c r="K1089" s="249" t="s">
        <v>3129</v>
      </c>
      <c r="L1089" s="249" t="s">
        <v>2794</v>
      </c>
      <c r="M1089" s="248" t="s">
        <v>2795</v>
      </c>
      <c r="N1089" s="293"/>
      <c r="O1089" s="293" t="str">
        <f>TablaPOA[[#This Row],[Cod_Sub_acción_especifica]]&amp;"_"&amp;TablaPOA[[#This Row],[Tipo de agente]]</f>
        <v>K31.4.1.1_Productores y Plantas de procesamiento</v>
      </c>
      <c r="P1089" s="250" t="s">
        <v>2962</v>
      </c>
      <c r="Q1089" s="292" t="str">
        <f>TablaPOA[[#This Row],[Cod_Sub_acción_especifica]]&amp;"_"&amp;TablaPOA[[#This Row],[Cod_Tipo_agente]]</f>
        <v>K31.4.1.1_TA11</v>
      </c>
      <c r="R1089" s="250" t="s">
        <v>2963</v>
      </c>
      <c r="S1089" s="251" t="s">
        <v>2970</v>
      </c>
      <c r="T1089" s="269" t="s">
        <v>2971</v>
      </c>
    </row>
    <row r="1090" spans="1:20" ht="25.5" x14ac:dyDescent="0.25">
      <c r="A1090" s="268" t="s">
        <v>2314</v>
      </c>
      <c r="B1090" s="248">
        <v>31</v>
      </c>
      <c r="C1090" s="248" t="s">
        <v>2691</v>
      </c>
      <c r="D1090" s="248" t="s">
        <v>2988</v>
      </c>
      <c r="E1090" s="248" t="s">
        <v>3189</v>
      </c>
      <c r="F1090" s="248" t="s">
        <v>2697</v>
      </c>
      <c r="G1090" s="248" t="s">
        <v>2497</v>
      </c>
      <c r="H1090" s="249" t="s">
        <v>3190</v>
      </c>
      <c r="I1090" s="249" t="s">
        <v>2746</v>
      </c>
      <c r="J1090" s="248" t="s">
        <v>3028</v>
      </c>
      <c r="K1090" s="249" t="s">
        <v>3129</v>
      </c>
      <c r="L1090" s="249" t="s">
        <v>2794</v>
      </c>
      <c r="M1090" s="248" t="s">
        <v>2795</v>
      </c>
      <c r="N1090" s="293"/>
      <c r="O1090" s="293" t="str">
        <f>TablaPOA[[#This Row],[Cod_Sub_acción_especifica]]&amp;"_"&amp;TablaPOA[[#This Row],[Tipo de agente]]</f>
        <v>K31.4.1.1_Productores y Plantas de procesamiento</v>
      </c>
      <c r="P1090" s="250" t="s">
        <v>2962</v>
      </c>
      <c r="Q1090" s="292" t="str">
        <f>TablaPOA[[#This Row],[Cod_Sub_acción_especifica]]&amp;"_"&amp;TablaPOA[[#This Row],[Cod_Tipo_agente]]</f>
        <v>K31.4.1.1_TA11</v>
      </c>
      <c r="R1090" s="250" t="s">
        <v>2963</v>
      </c>
      <c r="S1090" s="251" t="s">
        <v>2972</v>
      </c>
      <c r="T1090" s="269" t="s">
        <v>2973</v>
      </c>
    </row>
    <row r="1091" spans="1:20" ht="25.5" x14ac:dyDescent="0.25">
      <c r="A1091" s="268" t="s">
        <v>2314</v>
      </c>
      <c r="B1091" s="248">
        <v>31</v>
      </c>
      <c r="C1091" s="248" t="s">
        <v>2691</v>
      </c>
      <c r="D1091" s="248" t="s">
        <v>2988</v>
      </c>
      <c r="E1091" s="248" t="s">
        <v>3189</v>
      </c>
      <c r="F1091" s="248" t="s">
        <v>2697</v>
      </c>
      <c r="G1091" s="248" t="s">
        <v>2497</v>
      </c>
      <c r="H1091" s="249" t="s">
        <v>3190</v>
      </c>
      <c r="I1091" s="249" t="s">
        <v>2746</v>
      </c>
      <c r="J1091" s="248" t="s">
        <v>3028</v>
      </c>
      <c r="K1091" s="249" t="s">
        <v>3129</v>
      </c>
      <c r="L1091" s="249" t="s">
        <v>2794</v>
      </c>
      <c r="M1091" s="248" t="s">
        <v>2795</v>
      </c>
      <c r="N1091" s="293"/>
      <c r="O1091" s="293" t="str">
        <f>TablaPOA[[#This Row],[Cod_Sub_acción_especifica]]&amp;"_"&amp;TablaPOA[[#This Row],[Tipo de agente]]</f>
        <v>K31.4.1.1_Productores y Plantas de procesamiento</v>
      </c>
      <c r="P1091" s="250" t="s">
        <v>2962</v>
      </c>
      <c r="Q1091" s="292" t="str">
        <f>TablaPOA[[#This Row],[Cod_Sub_acción_especifica]]&amp;"_"&amp;TablaPOA[[#This Row],[Cod_Tipo_agente]]</f>
        <v>K31.4.1.1_TA11</v>
      </c>
      <c r="R1091" s="250" t="s">
        <v>2963</v>
      </c>
      <c r="S1091" s="251" t="s">
        <v>2974</v>
      </c>
      <c r="T1091" s="269" t="s">
        <v>2975</v>
      </c>
    </row>
    <row r="1092" spans="1:20" ht="25.5" x14ac:dyDescent="0.25">
      <c r="A1092" s="268" t="s">
        <v>2314</v>
      </c>
      <c r="B1092" s="248">
        <v>31</v>
      </c>
      <c r="C1092" s="248" t="s">
        <v>2691</v>
      </c>
      <c r="D1092" s="248" t="s">
        <v>2988</v>
      </c>
      <c r="E1092" s="248" t="s">
        <v>3189</v>
      </c>
      <c r="F1092" s="248" t="s">
        <v>2697</v>
      </c>
      <c r="G1092" s="248" t="s">
        <v>2497</v>
      </c>
      <c r="H1092" s="249" t="s">
        <v>3190</v>
      </c>
      <c r="I1092" s="249" t="s">
        <v>2746</v>
      </c>
      <c r="J1092" s="248" t="s">
        <v>3028</v>
      </c>
      <c r="K1092" s="249" t="s">
        <v>3129</v>
      </c>
      <c r="L1092" s="249" t="s">
        <v>2794</v>
      </c>
      <c r="M1092" s="248" t="s">
        <v>2795</v>
      </c>
      <c r="N1092" s="293"/>
      <c r="O1092" s="293" t="str">
        <f>TablaPOA[[#This Row],[Cod_Sub_acción_especifica]]&amp;"_"&amp;TablaPOA[[#This Row],[Tipo de agente]]</f>
        <v>K31.4.1.1_Productores y Plantas de procesamiento</v>
      </c>
      <c r="P1092" s="250" t="s">
        <v>2962</v>
      </c>
      <c r="Q1092" s="292" t="str">
        <f>TablaPOA[[#This Row],[Cod_Sub_acción_especifica]]&amp;"_"&amp;TablaPOA[[#This Row],[Cod_Tipo_agente]]</f>
        <v>K31.4.1.1_TA11</v>
      </c>
      <c r="R1092" s="250" t="s">
        <v>2963</v>
      </c>
      <c r="S1092" s="251" t="s">
        <v>2976</v>
      </c>
      <c r="T1092" s="269" t="s">
        <v>2977</v>
      </c>
    </row>
    <row r="1093" spans="1:20" ht="25.5" x14ac:dyDescent="0.25">
      <c r="A1093" s="219" t="s">
        <v>2314</v>
      </c>
      <c r="B1093" s="227">
        <v>31</v>
      </c>
      <c r="C1093" s="227" t="s">
        <v>2691</v>
      </c>
      <c r="D1093" s="227" t="s">
        <v>2988</v>
      </c>
      <c r="E1093" s="227" t="s">
        <v>3189</v>
      </c>
      <c r="F1093" s="227" t="s">
        <v>2697</v>
      </c>
      <c r="G1093" s="227" t="s">
        <v>2497</v>
      </c>
      <c r="H1093" s="253" t="s">
        <v>3190</v>
      </c>
      <c r="I1093" s="253" t="s">
        <v>2746</v>
      </c>
      <c r="J1093" s="227" t="s">
        <v>2548</v>
      </c>
      <c r="K1093" s="253" t="s">
        <v>3130</v>
      </c>
      <c r="L1093" s="253" t="s">
        <v>2796</v>
      </c>
      <c r="M1093" s="227" t="s">
        <v>2797</v>
      </c>
      <c r="N1093" s="299" t="s">
        <v>2809</v>
      </c>
      <c r="O1093" s="292" t="str">
        <f>TablaPOA[[#This Row],[Cod_Sub_acción_especifica]]&amp;"_"&amp;TablaPOA[[#This Row],[Tipo de agente]]</f>
        <v>K31.4.1.2_Consumidores directos de combustibles líquidos y OPDH</v>
      </c>
      <c r="P1093" s="254" t="s">
        <v>2808</v>
      </c>
      <c r="Q1093" s="292" t="str">
        <f>TablaPOA[[#This Row],[Cod_Sub_acción_especifica]]&amp;"_"&amp;TablaPOA[[#This Row],[Cod_Tipo_agente]]</f>
        <v>K31.4.1.2_TA1</v>
      </c>
      <c r="R1093" s="254" t="s">
        <v>2809</v>
      </c>
      <c r="S1093" s="255" t="s">
        <v>2810</v>
      </c>
      <c r="T1093" s="271" t="s">
        <v>2811</v>
      </c>
    </row>
    <row r="1094" spans="1:20" ht="25.5" x14ac:dyDescent="0.25">
      <c r="A1094" s="219" t="s">
        <v>2314</v>
      </c>
      <c r="B1094" s="227">
        <v>31</v>
      </c>
      <c r="C1094" s="227" t="s">
        <v>2691</v>
      </c>
      <c r="D1094" s="227" t="s">
        <v>2988</v>
      </c>
      <c r="E1094" s="227" t="s">
        <v>3189</v>
      </c>
      <c r="F1094" s="227" t="s">
        <v>2697</v>
      </c>
      <c r="G1094" s="227" t="s">
        <v>2497</v>
      </c>
      <c r="H1094" s="253" t="s">
        <v>3190</v>
      </c>
      <c r="I1094" s="253" t="s">
        <v>2746</v>
      </c>
      <c r="J1094" s="227" t="s">
        <v>2548</v>
      </c>
      <c r="K1094" s="253" t="s">
        <v>3130</v>
      </c>
      <c r="L1094" s="253" t="s">
        <v>2796</v>
      </c>
      <c r="M1094" s="227" t="s">
        <v>2797</v>
      </c>
      <c r="N1094" s="299" t="s">
        <v>2831</v>
      </c>
      <c r="O1094" s="292" t="str">
        <f>TablaPOA[[#This Row],[Cod_Sub_acción_especifica]]&amp;"_"&amp;TablaPOA[[#This Row],[Tipo de agente]]</f>
        <v>K31.4.1.2_Consumidores directos de combustibles líquidos y OPDH</v>
      </c>
      <c r="P1094" s="254" t="s">
        <v>2808</v>
      </c>
      <c r="Q1094" s="292" t="str">
        <f>TablaPOA[[#This Row],[Cod_Sub_acción_especifica]]&amp;"_"&amp;TablaPOA[[#This Row],[Cod_Tipo_agente]]</f>
        <v>K31.4.1.2_TA1</v>
      </c>
      <c r="R1094" s="254" t="s">
        <v>2809</v>
      </c>
      <c r="S1094" s="255" t="s">
        <v>2812</v>
      </c>
      <c r="T1094" s="271" t="s">
        <v>2813</v>
      </c>
    </row>
    <row r="1095" spans="1:20" ht="25.5" x14ac:dyDescent="0.25">
      <c r="A1095" s="219" t="s">
        <v>2314</v>
      </c>
      <c r="B1095" s="227">
        <v>31</v>
      </c>
      <c r="C1095" s="227" t="s">
        <v>2691</v>
      </c>
      <c r="D1095" s="227" t="s">
        <v>2988</v>
      </c>
      <c r="E1095" s="227" t="s">
        <v>3189</v>
      </c>
      <c r="F1095" s="227" t="s">
        <v>2697</v>
      </c>
      <c r="G1095" s="227" t="s">
        <v>2497</v>
      </c>
      <c r="H1095" s="253" t="s">
        <v>3190</v>
      </c>
      <c r="I1095" s="253" t="s">
        <v>2746</v>
      </c>
      <c r="J1095" s="227" t="s">
        <v>2548</v>
      </c>
      <c r="K1095" s="253" t="s">
        <v>3130</v>
      </c>
      <c r="L1095" s="253" t="s">
        <v>2796</v>
      </c>
      <c r="M1095" s="227" t="s">
        <v>2797</v>
      </c>
      <c r="N1095" s="299" t="s">
        <v>2840</v>
      </c>
      <c r="O1095" s="292" t="str">
        <f>TablaPOA[[#This Row],[Cod_Sub_acción_especifica]]&amp;"_"&amp;TablaPOA[[#This Row],[Tipo de agente]]</f>
        <v>K31.4.1.2_Consumidores directos de combustibles líquidos y OPDH</v>
      </c>
      <c r="P1095" s="254" t="s">
        <v>2808</v>
      </c>
      <c r="Q1095" s="292" t="str">
        <f>TablaPOA[[#This Row],[Cod_Sub_acción_especifica]]&amp;"_"&amp;TablaPOA[[#This Row],[Cod_Tipo_agente]]</f>
        <v>K31.4.1.2_TA1</v>
      </c>
      <c r="R1095" s="254" t="s">
        <v>2809</v>
      </c>
      <c r="S1095" s="255" t="s">
        <v>2814</v>
      </c>
      <c r="T1095" s="271" t="s">
        <v>2815</v>
      </c>
    </row>
    <row r="1096" spans="1:20" ht="25.5" x14ac:dyDescent="0.25">
      <c r="A1096" s="219" t="s">
        <v>2314</v>
      </c>
      <c r="B1096" s="227">
        <v>31</v>
      </c>
      <c r="C1096" s="227" t="s">
        <v>2691</v>
      </c>
      <c r="D1096" s="227" t="s">
        <v>2988</v>
      </c>
      <c r="E1096" s="227" t="s">
        <v>3189</v>
      </c>
      <c r="F1096" s="227" t="s">
        <v>2697</v>
      </c>
      <c r="G1096" s="227" t="s">
        <v>2497</v>
      </c>
      <c r="H1096" s="253" t="s">
        <v>3190</v>
      </c>
      <c r="I1096" s="253" t="s">
        <v>2746</v>
      </c>
      <c r="J1096" s="227" t="s">
        <v>2548</v>
      </c>
      <c r="K1096" s="253" t="s">
        <v>3130</v>
      </c>
      <c r="L1096" s="253" t="s">
        <v>2796</v>
      </c>
      <c r="M1096" s="227" t="s">
        <v>2797</v>
      </c>
      <c r="N1096" s="299" t="s">
        <v>2853</v>
      </c>
      <c r="O1096" s="292" t="str">
        <f>TablaPOA[[#This Row],[Cod_Sub_acción_especifica]]&amp;"_"&amp;TablaPOA[[#This Row],[Tipo de agente]]</f>
        <v>K31.4.1.2_Consumidores directos de combustibles líquidos y OPDH</v>
      </c>
      <c r="P1096" s="254" t="s">
        <v>2808</v>
      </c>
      <c r="Q1096" s="292" t="str">
        <f>TablaPOA[[#This Row],[Cod_Sub_acción_especifica]]&amp;"_"&amp;TablaPOA[[#This Row],[Cod_Tipo_agente]]</f>
        <v>K31.4.1.2_TA1</v>
      </c>
      <c r="R1096" s="254" t="s">
        <v>2809</v>
      </c>
      <c r="S1096" s="255" t="s">
        <v>2816</v>
      </c>
      <c r="T1096" s="271" t="s">
        <v>2817</v>
      </c>
    </row>
    <row r="1097" spans="1:20" ht="25.5" x14ac:dyDescent="0.25">
      <c r="A1097" s="219" t="s">
        <v>2314</v>
      </c>
      <c r="B1097" s="227">
        <v>31</v>
      </c>
      <c r="C1097" s="227" t="s">
        <v>2691</v>
      </c>
      <c r="D1097" s="227" t="s">
        <v>2988</v>
      </c>
      <c r="E1097" s="227" t="s">
        <v>3189</v>
      </c>
      <c r="F1097" s="227" t="s">
        <v>2697</v>
      </c>
      <c r="G1097" s="227" t="s">
        <v>2497</v>
      </c>
      <c r="H1097" s="253" t="s">
        <v>3190</v>
      </c>
      <c r="I1097" s="253" t="s">
        <v>2746</v>
      </c>
      <c r="J1097" s="227" t="s">
        <v>2548</v>
      </c>
      <c r="K1097" s="253" t="s">
        <v>3130</v>
      </c>
      <c r="L1097" s="253" t="s">
        <v>2796</v>
      </c>
      <c r="M1097" s="227" t="s">
        <v>2797</v>
      </c>
      <c r="N1097" s="299" t="s">
        <v>2877</v>
      </c>
      <c r="O1097" s="292" t="str">
        <f>TablaPOA[[#This Row],[Cod_Sub_acción_especifica]]&amp;"_"&amp;TablaPOA[[#This Row],[Tipo de agente]]</f>
        <v>K31.4.1.2_Consumidores directos de combustibles líquidos y OPDH</v>
      </c>
      <c r="P1097" s="254" t="s">
        <v>2808</v>
      </c>
      <c r="Q1097" s="292" t="str">
        <f>TablaPOA[[#This Row],[Cod_Sub_acción_especifica]]&amp;"_"&amp;TablaPOA[[#This Row],[Cod_Tipo_agente]]</f>
        <v>K31.4.1.2_TA1</v>
      </c>
      <c r="R1097" s="254" t="s">
        <v>2809</v>
      </c>
      <c r="S1097" s="255" t="s">
        <v>2818</v>
      </c>
      <c r="T1097" s="271" t="s">
        <v>2819</v>
      </c>
    </row>
    <row r="1098" spans="1:20" ht="25.5" x14ac:dyDescent="0.25">
      <c r="A1098" s="219" t="s">
        <v>2314</v>
      </c>
      <c r="B1098" s="227">
        <v>31</v>
      </c>
      <c r="C1098" s="227" t="s">
        <v>2691</v>
      </c>
      <c r="D1098" s="227" t="s">
        <v>2988</v>
      </c>
      <c r="E1098" s="227" t="s">
        <v>3189</v>
      </c>
      <c r="F1098" s="227" t="s">
        <v>2697</v>
      </c>
      <c r="G1098" s="227" t="s">
        <v>2497</v>
      </c>
      <c r="H1098" s="253" t="s">
        <v>3190</v>
      </c>
      <c r="I1098" s="253" t="s">
        <v>2746</v>
      </c>
      <c r="J1098" s="227" t="s">
        <v>2548</v>
      </c>
      <c r="K1098" s="253" t="s">
        <v>3130</v>
      </c>
      <c r="L1098" s="253" t="s">
        <v>2796</v>
      </c>
      <c r="M1098" s="227" t="s">
        <v>2797</v>
      </c>
      <c r="N1098" s="299" t="s">
        <v>2883</v>
      </c>
      <c r="O1098" s="292" t="str">
        <f>TablaPOA[[#This Row],[Cod_Sub_acción_especifica]]&amp;"_"&amp;TablaPOA[[#This Row],[Tipo de agente]]</f>
        <v>K31.4.1.2_Consumidores directos de combustibles líquidos y OPDH</v>
      </c>
      <c r="P1098" s="254" t="s">
        <v>2808</v>
      </c>
      <c r="Q1098" s="292" t="str">
        <f>TablaPOA[[#This Row],[Cod_Sub_acción_especifica]]&amp;"_"&amp;TablaPOA[[#This Row],[Cod_Tipo_agente]]</f>
        <v>K31.4.1.2_TA1</v>
      </c>
      <c r="R1098" s="254" t="s">
        <v>2809</v>
      </c>
      <c r="S1098" s="255" t="s">
        <v>2820</v>
      </c>
      <c r="T1098" s="271" t="s">
        <v>2821</v>
      </c>
    </row>
    <row r="1099" spans="1:20" ht="25.5" x14ac:dyDescent="0.25">
      <c r="A1099" s="219" t="s">
        <v>2314</v>
      </c>
      <c r="B1099" s="227">
        <v>31</v>
      </c>
      <c r="C1099" s="227" t="s">
        <v>2691</v>
      </c>
      <c r="D1099" s="227" t="s">
        <v>2988</v>
      </c>
      <c r="E1099" s="227" t="s">
        <v>3189</v>
      </c>
      <c r="F1099" s="227" t="s">
        <v>2697</v>
      </c>
      <c r="G1099" s="227" t="s">
        <v>2497</v>
      </c>
      <c r="H1099" s="253" t="s">
        <v>3190</v>
      </c>
      <c r="I1099" s="253" t="s">
        <v>2746</v>
      </c>
      <c r="J1099" s="227" t="s">
        <v>2548</v>
      </c>
      <c r="K1099" s="253" t="s">
        <v>3130</v>
      </c>
      <c r="L1099" s="253" t="s">
        <v>2796</v>
      </c>
      <c r="M1099" s="227" t="s">
        <v>2797</v>
      </c>
      <c r="N1099" s="299" t="s">
        <v>2913</v>
      </c>
      <c r="O1099" s="292" t="str">
        <f>TablaPOA[[#This Row],[Cod_Sub_acción_especifica]]&amp;"_"&amp;TablaPOA[[#This Row],[Tipo de agente]]</f>
        <v>K31.4.1.2_Consumidores directos de combustibles líquidos y OPDH</v>
      </c>
      <c r="P1099" s="254" t="s">
        <v>2808</v>
      </c>
      <c r="Q1099" s="292" t="str">
        <f>TablaPOA[[#This Row],[Cod_Sub_acción_especifica]]&amp;"_"&amp;TablaPOA[[#This Row],[Cod_Tipo_agente]]</f>
        <v>K31.4.1.2_TA1</v>
      </c>
      <c r="R1099" s="254" t="s">
        <v>2809</v>
      </c>
      <c r="S1099" s="255" t="s">
        <v>2822</v>
      </c>
      <c r="T1099" s="271" t="s">
        <v>2823</v>
      </c>
    </row>
    <row r="1100" spans="1:20" ht="25.5" x14ac:dyDescent="0.25">
      <c r="A1100" s="219" t="s">
        <v>2314</v>
      </c>
      <c r="B1100" s="227">
        <v>31</v>
      </c>
      <c r="C1100" s="227" t="s">
        <v>2691</v>
      </c>
      <c r="D1100" s="227" t="s">
        <v>2988</v>
      </c>
      <c r="E1100" s="227" t="s">
        <v>3189</v>
      </c>
      <c r="F1100" s="227" t="s">
        <v>2697</v>
      </c>
      <c r="G1100" s="227" t="s">
        <v>2497</v>
      </c>
      <c r="H1100" s="253" t="s">
        <v>3190</v>
      </c>
      <c r="I1100" s="253" t="s">
        <v>2746</v>
      </c>
      <c r="J1100" s="227" t="s">
        <v>2548</v>
      </c>
      <c r="K1100" s="253" t="s">
        <v>3130</v>
      </c>
      <c r="L1100" s="253" t="s">
        <v>2796</v>
      </c>
      <c r="M1100" s="227" t="s">
        <v>2797</v>
      </c>
      <c r="N1100" s="299" t="s">
        <v>2919</v>
      </c>
      <c r="O1100" s="292" t="str">
        <f>TablaPOA[[#This Row],[Cod_Sub_acción_especifica]]&amp;"_"&amp;TablaPOA[[#This Row],[Tipo de agente]]</f>
        <v>K31.4.1.2_Consumidores directos de combustibles líquidos y OPDH</v>
      </c>
      <c r="P1100" s="254" t="s">
        <v>2808</v>
      </c>
      <c r="Q1100" s="292" t="str">
        <f>TablaPOA[[#This Row],[Cod_Sub_acción_especifica]]&amp;"_"&amp;TablaPOA[[#This Row],[Cod_Tipo_agente]]</f>
        <v>K31.4.1.2_TA1</v>
      </c>
      <c r="R1100" s="254" t="s">
        <v>2809</v>
      </c>
      <c r="S1100" s="255" t="s">
        <v>2824</v>
      </c>
      <c r="T1100" s="271" t="s">
        <v>2825</v>
      </c>
    </row>
    <row r="1101" spans="1:20" ht="25.5" x14ac:dyDescent="0.25">
      <c r="A1101" s="219" t="s">
        <v>2314</v>
      </c>
      <c r="B1101" s="227">
        <v>31</v>
      </c>
      <c r="C1101" s="227" t="s">
        <v>2691</v>
      </c>
      <c r="D1101" s="227" t="s">
        <v>2988</v>
      </c>
      <c r="E1101" s="227" t="s">
        <v>3189</v>
      </c>
      <c r="F1101" s="227" t="s">
        <v>2697</v>
      </c>
      <c r="G1101" s="227" t="s">
        <v>2497</v>
      </c>
      <c r="H1101" s="253" t="s">
        <v>3190</v>
      </c>
      <c r="I1101" s="253" t="s">
        <v>2746</v>
      </c>
      <c r="J1101" s="227" t="s">
        <v>2548</v>
      </c>
      <c r="K1101" s="253" t="s">
        <v>3130</v>
      </c>
      <c r="L1101" s="253" t="s">
        <v>2796</v>
      </c>
      <c r="M1101" s="227" t="s">
        <v>2797</v>
      </c>
      <c r="N1101" s="299" t="s">
        <v>2951</v>
      </c>
      <c r="O1101" s="292" t="str">
        <f>TablaPOA[[#This Row],[Cod_Sub_acción_especifica]]&amp;"_"&amp;TablaPOA[[#This Row],[Tipo de agente]]</f>
        <v>K31.4.1.2_Consumidores directos de combustibles líquidos y OPDH</v>
      </c>
      <c r="P1101" s="254" t="s">
        <v>2808</v>
      </c>
      <c r="Q1101" s="292" t="str">
        <f>TablaPOA[[#This Row],[Cod_Sub_acción_especifica]]&amp;"_"&amp;TablaPOA[[#This Row],[Cod_Tipo_agente]]</f>
        <v>K31.4.1.2_TA1</v>
      </c>
      <c r="R1101" s="254" t="s">
        <v>2809</v>
      </c>
      <c r="S1101" s="255" t="s">
        <v>2826</v>
      </c>
      <c r="T1101" s="271" t="s">
        <v>2827</v>
      </c>
    </row>
    <row r="1102" spans="1:20" ht="25.5" x14ac:dyDescent="0.25">
      <c r="A1102" s="219" t="s">
        <v>2314</v>
      </c>
      <c r="B1102" s="227">
        <v>31</v>
      </c>
      <c r="C1102" s="227" t="s">
        <v>2691</v>
      </c>
      <c r="D1102" s="227" t="s">
        <v>2988</v>
      </c>
      <c r="E1102" s="227" t="s">
        <v>3189</v>
      </c>
      <c r="F1102" s="227" t="s">
        <v>2697</v>
      </c>
      <c r="G1102" s="227" t="s">
        <v>2497</v>
      </c>
      <c r="H1102" s="253" t="s">
        <v>3190</v>
      </c>
      <c r="I1102" s="253" t="s">
        <v>2746</v>
      </c>
      <c r="J1102" s="227" t="s">
        <v>2548</v>
      </c>
      <c r="K1102" s="253" t="s">
        <v>3130</v>
      </c>
      <c r="L1102" s="253" t="s">
        <v>2796</v>
      </c>
      <c r="M1102" s="227" t="s">
        <v>2797</v>
      </c>
      <c r="N1102" s="299" t="s">
        <v>2903</v>
      </c>
      <c r="O1102" s="292" t="str">
        <f>TablaPOA[[#This Row],[Cod_Sub_acción_especifica]]&amp;"_"&amp;TablaPOA[[#This Row],[Tipo de agente]]</f>
        <v>K31.4.1.2_Consumidores directos de combustibles líquidos y OPDH</v>
      </c>
      <c r="P1102" s="254" t="s">
        <v>2808</v>
      </c>
      <c r="Q1102" s="292" t="str">
        <f>TablaPOA[[#This Row],[Cod_Sub_acción_especifica]]&amp;"_"&amp;TablaPOA[[#This Row],[Cod_Tipo_agente]]</f>
        <v>K31.4.1.2_TA1</v>
      </c>
      <c r="R1102" s="254" t="s">
        <v>2809</v>
      </c>
      <c r="S1102" s="255" t="s">
        <v>2828</v>
      </c>
      <c r="T1102" s="271" t="s">
        <v>2829</v>
      </c>
    </row>
    <row r="1103" spans="1:20" ht="25.5" x14ac:dyDescent="0.25">
      <c r="A1103" s="219" t="s">
        <v>2314</v>
      </c>
      <c r="B1103" s="227">
        <v>31</v>
      </c>
      <c r="C1103" s="227" t="s">
        <v>2691</v>
      </c>
      <c r="D1103" s="227" t="s">
        <v>2988</v>
      </c>
      <c r="E1103" s="227" t="s">
        <v>3189</v>
      </c>
      <c r="F1103" s="227" t="s">
        <v>2697</v>
      </c>
      <c r="G1103" s="227" t="s">
        <v>2497</v>
      </c>
      <c r="H1103" s="253" t="s">
        <v>3190</v>
      </c>
      <c r="I1103" s="253" t="s">
        <v>2746</v>
      </c>
      <c r="J1103" s="227" t="s">
        <v>2548</v>
      </c>
      <c r="K1103" s="253" t="s">
        <v>3130</v>
      </c>
      <c r="L1103" s="253" t="s">
        <v>2796</v>
      </c>
      <c r="M1103" s="227" t="s">
        <v>2797</v>
      </c>
      <c r="N1103" s="299" t="s">
        <v>2963</v>
      </c>
      <c r="O1103" s="292" t="str">
        <f>TablaPOA[[#This Row],[Cod_Sub_acción_especifica]]&amp;"_"&amp;TablaPOA[[#This Row],[Tipo de agente]]</f>
        <v>K31.4.1.2_Consumidores directos de gas natural</v>
      </c>
      <c r="P1103" s="254" t="s">
        <v>2830</v>
      </c>
      <c r="Q1103" s="292" t="str">
        <f>TablaPOA[[#This Row],[Cod_Sub_acción_especifica]]&amp;"_"&amp;TablaPOA[[#This Row],[Cod_Tipo_agente]]</f>
        <v>K31.4.1.2_TA2</v>
      </c>
      <c r="R1103" s="254" t="s">
        <v>2831</v>
      </c>
      <c r="S1103" s="254">
        <v>101</v>
      </c>
      <c r="T1103" s="271" t="s">
        <v>2832</v>
      </c>
    </row>
    <row r="1104" spans="1:20" ht="25.5" x14ac:dyDescent="0.25">
      <c r="A1104" s="219" t="s">
        <v>2314</v>
      </c>
      <c r="B1104" s="227">
        <v>31</v>
      </c>
      <c r="C1104" s="227" t="s">
        <v>2691</v>
      </c>
      <c r="D1104" s="227" t="s">
        <v>2988</v>
      </c>
      <c r="E1104" s="227" t="s">
        <v>3189</v>
      </c>
      <c r="F1104" s="227" t="s">
        <v>2697</v>
      </c>
      <c r="G1104" s="227" t="s">
        <v>2497</v>
      </c>
      <c r="H1104" s="253" t="s">
        <v>3190</v>
      </c>
      <c r="I1104" s="253" t="s">
        <v>2746</v>
      </c>
      <c r="J1104" s="227" t="s">
        <v>2548</v>
      </c>
      <c r="K1104" s="253" t="s">
        <v>3130</v>
      </c>
      <c r="L1104" s="253" t="s">
        <v>2796</v>
      </c>
      <c r="M1104" s="227" t="s">
        <v>2797</v>
      </c>
      <c r="N1104" s="293"/>
      <c r="O1104" s="293" t="str">
        <f>TablaPOA[[#This Row],[Cod_Sub_acción_especifica]]&amp;"_"&amp;TablaPOA[[#This Row],[Tipo de agente]]</f>
        <v>K31.4.1.2_Consumidores directos de gas natural</v>
      </c>
      <c r="P1104" s="254" t="s">
        <v>2830</v>
      </c>
      <c r="Q1104" s="292" t="str">
        <f>TablaPOA[[#This Row],[Cod_Sub_acción_especifica]]&amp;"_"&amp;TablaPOA[[#This Row],[Cod_Tipo_agente]]</f>
        <v>K31.4.1.2_TA2</v>
      </c>
      <c r="R1104" s="254" t="s">
        <v>2831</v>
      </c>
      <c r="S1104" s="254" t="s">
        <v>2833</v>
      </c>
      <c r="T1104" s="271" t="s">
        <v>2834</v>
      </c>
    </row>
    <row r="1105" spans="1:20" ht="25.5" x14ac:dyDescent="0.25">
      <c r="A1105" s="219" t="s">
        <v>2314</v>
      </c>
      <c r="B1105" s="227">
        <v>31</v>
      </c>
      <c r="C1105" s="227" t="s">
        <v>2691</v>
      </c>
      <c r="D1105" s="227" t="s">
        <v>2988</v>
      </c>
      <c r="E1105" s="227" t="s">
        <v>3189</v>
      </c>
      <c r="F1105" s="227" t="s">
        <v>2697</v>
      </c>
      <c r="G1105" s="227" t="s">
        <v>2497</v>
      </c>
      <c r="H1105" s="253" t="s">
        <v>3190</v>
      </c>
      <c r="I1105" s="253" t="s">
        <v>2746</v>
      </c>
      <c r="J1105" s="227" t="s">
        <v>2548</v>
      </c>
      <c r="K1105" s="253" t="s">
        <v>3130</v>
      </c>
      <c r="L1105" s="253" t="s">
        <v>2796</v>
      </c>
      <c r="M1105" s="227" t="s">
        <v>2797</v>
      </c>
      <c r="N1105" s="293"/>
      <c r="O1105" s="293" t="str">
        <f>TablaPOA[[#This Row],[Cod_Sub_acción_especifica]]&amp;"_"&amp;TablaPOA[[#This Row],[Tipo de agente]]</f>
        <v>K31.4.1.2_Consumidores directos de gas natural</v>
      </c>
      <c r="P1105" s="254" t="s">
        <v>2830</v>
      </c>
      <c r="Q1105" s="292" t="str">
        <f>TablaPOA[[#This Row],[Cod_Sub_acción_especifica]]&amp;"_"&amp;TablaPOA[[#This Row],[Cod_Tipo_agente]]</f>
        <v>K31.4.1.2_TA2</v>
      </c>
      <c r="R1105" s="254" t="s">
        <v>2831</v>
      </c>
      <c r="S1105" s="254" t="s">
        <v>2835</v>
      </c>
      <c r="T1105" s="271" t="s">
        <v>2836</v>
      </c>
    </row>
    <row r="1106" spans="1:20" ht="25.5" x14ac:dyDescent="0.25">
      <c r="A1106" s="219" t="s">
        <v>2314</v>
      </c>
      <c r="B1106" s="227">
        <v>31</v>
      </c>
      <c r="C1106" s="227" t="s">
        <v>2691</v>
      </c>
      <c r="D1106" s="227" t="s">
        <v>2988</v>
      </c>
      <c r="E1106" s="227" t="s">
        <v>3189</v>
      </c>
      <c r="F1106" s="227" t="s">
        <v>2697</v>
      </c>
      <c r="G1106" s="227" t="s">
        <v>2497</v>
      </c>
      <c r="H1106" s="253" t="s">
        <v>3190</v>
      </c>
      <c r="I1106" s="253" t="s">
        <v>2746</v>
      </c>
      <c r="J1106" s="227" t="s">
        <v>2548</v>
      </c>
      <c r="K1106" s="253" t="s">
        <v>3130</v>
      </c>
      <c r="L1106" s="253" t="s">
        <v>2796</v>
      </c>
      <c r="M1106" s="227" t="s">
        <v>2797</v>
      </c>
      <c r="N1106" s="293"/>
      <c r="O1106" s="293" t="str">
        <f>TablaPOA[[#This Row],[Cod_Sub_acción_especifica]]&amp;"_"&amp;TablaPOA[[#This Row],[Tipo de agente]]</f>
        <v>K31.4.1.2_Consumidores directos de gas natural</v>
      </c>
      <c r="P1106" s="254" t="s">
        <v>2830</v>
      </c>
      <c r="Q1106" s="292" t="str">
        <f>TablaPOA[[#This Row],[Cod_Sub_acción_especifica]]&amp;"_"&amp;TablaPOA[[#This Row],[Cod_Tipo_agente]]</f>
        <v>K31.4.1.2_TA2</v>
      </c>
      <c r="R1106" s="254" t="s">
        <v>2831</v>
      </c>
      <c r="S1106" s="254" t="s">
        <v>2837</v>
      </c>
      <c r="T1106" s="271" t="s">
        <v>2838</v>
      </c>
    </row>
    <row r="1107" spans="1:20" ht="25.5" x14ac:dyDescent="0.25">
      <c r="A1107" s="219" t="s">
        <v>2314</v>
      </c>
      <c r="B1107" s="227">
        <v>31</v>
      </c>
      <c r="C1107" s="227" t="s">
        <v>2691</v>
      </c>
      <c r="D1107" s="227" t="s">
        <v>2988</v>
      </c>
      <c r="E1107" s="227" t="s">
        <v>3189</v>
      </c>
      <c r="F1107" s="227" t="s">
        <v>2697</v>
      </c>
      <c r="G1107" s="227" t="s">
        <v>2497</v>
      </c>
      <c r="H1107" s="253" t="s">
        <v>3190</v>
      </c>
      <c r="I1107" s="253" t="s">
        <v>2746</v>
      </c>
      <c r="J1107" s="227" t="s">
        <v>2548</v>
      </c>
      <c r="K1107" s="253" t="s">
        <v>3130</v>
      </c>
      <c r="L1107" s="253" t="s">
        <v>2796</v>
      </c>
      <c r="M1107" s="227" t="s">
        <v>2797</v>
      </c>
      <c r="N1107" s="293"/>
      <c r="O1107" s="293" t="str">
        <f>TablaPOA[[#This Row],[Cod_Sub_acción_especifica]]&amp;"_"&amp;TablaPOA[[#This Row],[Tipo de agente]]</f>
        <v>K31.4.1.2_Consumidores directos de GLP y redes de distribución</v>
      </c>
      <c r="P1107" s="254" t="s">
        <v>2839</v>
      </c>
      <c r="Q1107" s="292" t="str">
        <f>TablaPOA[[#This Row],[Cod_Sub_acción_especifica]]&amp;"_"&amp;TablaPOA[[#This Row],[Cod_Tipo_agente]]</f>
        <v>K31.4.1.2_TA3</v>
      </c>
      <c r="R1107" s="254" t="s">
        <v>2840</v>
      </c>
      <c r="S1107" s="254">
        <v>400</v>
      </c>
      <c r="T1107" s="271" t="s">
        <v>2841</v>
      </c>
    </row>
    <row r="1108" spans="1:20" ht="25.5" x14ac:dyDescent="0.25">
      <c r="A1108" s="219" t="s">
        <v>2314</v>
      </c>
      <c r="B1108" s="227">
        <v>31</v>
      </c>
      <c r="C1108" s="227" t="s">
        <v>2691</v>
      </c>
      <c r="D1108" s="227" t="s">
        <v>2988</v>
      </c>
      <c r="E1108" s="227" t="s">
        <v>3189</v>
      </c>
      <c r="F1108" s="227" t="s">
        <v>2697</v>
      </c>
      <c r="G1108" s="227" t="s">
        <v>2497</v>
      </c>
      <c r="H1108" s="253" t="s">
        <v>3190</v>
      </c>
      <c r="I1108" s="253" t="s">
        <v>2746</v>
      </c>
      <c r="J1108" s="227" t="s">
        <v>2548</v>
      </c>
      <c r="K1108" s="253" t="s">
        <v>3130</v>
      </c>
      <c r="L1108" s="253" t="s">
        <v>2796</v>
      </c>
      <c r="M1108" s="227" t="s">
        <v>2797</v>
      </c>
      <c r="N1108" s="293"/>
      <c r="O1108" s="293" t="str">
        <f>TablaPOA[[#This Row],[Cod_Sub_acción_especifica]]&amp;"_"&amp;TablaPOA[[#This Row],[Tipo de agente]]</f>
        <v>K31.4.1.2_Consumidores directos de GLP y redes de distribución</v>
      </c>
      <c r="P1108" s="254" t="s">
        <v>2839</v>
      </c>
      <c r="Q1108" s="292" t="str">
        <f>TablaPOA[[#This Row],[Cod_Sub_acción_especifica]]&amp;"_"&amp;TablaPOA[[#This Row],[Cod_Tipo_agente]]</f>
        <v>K31.4.1.2_TA3</v>
      </c>
      <c r="R1108" s="254" t="s">
        <v>2840</v>
      </c>
      <c r="S1108" s="254" t="s">
        <v>2842</v>
      </c>
      <c r="T1108" s="271" t="s">
        <v>2843</v>
      </c>
    </row>
    <row r="1109" spans="1:20" ht="25.5" x14ac:dyDescent="0.25">
      <c r="A1109" s="219" t="s">
        <v>2314</v>
      </c>
      <c r="B1109" s="227">
        <v>31</v>
      </c>
      <c r="C1109" s="227" t="s">
        <v>2691</v>
      </c>
      <c r="D1109" s="227" t="s">
        <v>2988</v>
      </c>
      <c r="E1109" s="227" t="s">
        <v>3189</v>
      </c>
      <c r="F1109" s="227" t="s">
        <v>2697</v>
      </c>
      <c r="G1109" s="227" t="s">
        <v>2497</v>
      </c>
      <c r="H1109" s="253" t="s">
        <v>3190</v>
      </c>
      <c r="I1109" s="253" t="s">
        <v>2746</v>
      </c>
      <c r="J1109" s="227" t="s">
        <v>2548</v>
      </c>
      <c r="K1109" s="253" t="s">
        <v>3130</v>
      </c>
      <c r="L1109" s="253" t="s">
        <v>2796</v>
      </c>
      <c r="M1109" s="227" t="s">
        <v>2797</v>
      </c>
      <c r="N1109" s="293"/>
      <c r="O1109" s="293" t="str">
        <f>TablaPOA[[#This Row],[Cod_Sub_acción_especifica]]&amp;"_"&amp;TablaPOA[[#This Row],[Tipo de agente]]</f>
        <v>K31.4.1.2_Consumidores directos de GLP y redes de distribución</v>
      </c>
      <c r="P1109" s="254" t="s">
        <v>2839</v>
      </c>
      <c r="Q1109" s="292" t="str">
        <f>TablaPOA[[#This Row],[Cod_Sub_acción_especifica]]&amp;"_"&amp;TablaPOA[[#This Row],[Cod_Tipo_agente]]</f>
        <v>K31.4.1.2_TA3</v>
      </c>
      <c r="R1109" s="254" t="s">
        <v>2840</v>
      </c>
      <c r="S1109" s="254" t="s">
        <v>2844</v>
      </c>
      <c r="T1109" s="271" t="s">
        <v>2845</v>
      </c>
    </row>
    <row r="1110" spans="1:20" ht="25.5" x14ac:dyDescent="0.25">
      <c r="A1110" s="219" t="s">
        <v>2314</v>
      </c>
      <c r="B1110" s="227">
        <v>31</v>
      </c>
      <c r="C1110" s="227" t="s">
        <v>2691</v>
      </c>
      <c r="D1110" s="227" t="s">
        <v>2988</v>
      </c>
      <c r="E1110" s="227" t="s">
        <v>3189</v>
      </c>
      <c r="F1110" s="227" t="s">
        <v>2697</v>
      </c>
      <c r="G1110" s="227" t="s">
        <v>2497</v>
      </c>
      <c r="H1110" s="253" t="s">
        <v>3190</v>
      </c>
      <c r="I1110" s="253" t="s">
        <v>2746</v>
      </c>
      <c r="J1110" s="227" t="s">
        <v>2548</v>
      </c>
      <c r="K1110" s="253" t="s">
        <v>3130</v>
      </c>
      <c r="L1110" s="253" t="s">
        <v>2796</v>
      </c>
      <c r="M1110" s="227" t="s">
        <v>2797</v>
      </c>
      <c r="N1110" s="293"/>
      <c r="O1110" s="293" t="str">
        <f>TablaPOA[[#This Row],[Cod_Sub_acción_especifica]]&amp;"_"&amp;TablaPOA[[#This Row],[Tipo de agente]]</f>
        <v>K31.4.1.2_Consumidores directos de GLP y redes de distribución</v>
      </c>
      <c r="P1110" s="254" t="s">
        <v>2839</v>
      </c>
      <c r="Q1110" s="292" t="str">
        <f>TablaPOA[[#This Row],[Cod_Sub_acción_especifica]]&amp;"_"&amp;TablaPOA[[#This Row],[Cod_Tipo_agente]]</f>
        <v>K31.4.1.2_TA3</v>
      </c>
      <c r="R1110" s="254" t="s">
        <v>2840</v>
      </c>
      <c r="S1110" s="254" t="s">
        <v>2846</v>
      </c>
      <c r="T1110" s="271" t="s">
        <v>2847</v>
      </c>
    </row>
    <row r="1111" spans="1:20" ht="25.5" x14ac:dyDescent="0.25">
      <c r="A1111" s="219" t="s">
        <v>2314</v>
      </c>
      <c r="B1111" s="227">
        <v>31</v>
      </c>
      <c r="C1111" s="227" t="s">
        <v>2691</v>
      </c>
      <c r="D1111" s="227" t="s">
        <v>2988</v>
      </c>
      <c r="E1111" s="227" t="s">
        <v>3189</v>
      </c>
      <c r="F1111" s="227" t="s">
        <v>2697</v>
      </c>
      <c r="G1111" s="227" t="s">
        <v>2497</v>
      </c>
      <c r="H1111" s="253" t="s">
        <v>3190</v>
      </c>
      <c r="I1111" s="253" t="s">
        <v>2746</v>
      </c>
      <c r="J1111" s="227" t="s">
        <v>2548</v>
      </c>
      <c r="K1111" s="253" t="s">
        <v>3130</v>
      </c>
      <c r="L1111" s="253" t="s">
        <v>2796</v>
      </c>
      <c r="M1111" s="227" t="s">
        <v>2797</v>
      </c>
      <c r="N1111" s="293"/>
      <c r="O1111" s="293" t="str">
        <f>TablaPOA[[#This Row],[Cod_Sub_acción_especifica]]&amp;"_"&amp;TablaPOA[[#This Row],[Tipo de agente]]</f>
        <v>K31.4.1.2_Consumidores directos de GLP y redes de distribución</v>
      </c>
      <c r="P1111" s="254" t="s">
        <v>2839</v>
      </c>
      <c r="Q1111" s="292" t="str">
        <f>TablaPOA[[#This Row],[Cod_Sub_acción_especifica]]&amp;"_"&amp;TablaPOA[[#This Row],[Cod_Tipo_agente]]</f>
        <v>K31.4.1.2_TA3</v>
      </c>
      <c r="R1111" s="254" t="s">
        <v>2840</v>
      </c>
      <c r="S1111" s="254" t="s">
        <v>2848</v>
      </c>
      <c r="T1111" s="271" t="s">
        <v>2849</v>
      </c>
    </row>
    <row r="1112" spans="1:20" ht="25.5" x14ac:dyDescent="0.25">
      <c r="A1112" s="219" t="s">
        <v>2314</v>
      </c>
      <c r="B1112" s="227">
        <v>31</v>
      </c>
      <c r="C1112" s="227" t="s">
        <v>2691</v>
      </c>
      <c r="D1112" s="227" t="s">
        <v>2988</v>
      </c>
      <c r="E1112" s="227" t="s">
        <v>3189</v>
      </c>
      <c r="F1112" s="227" t="s">
        <v>2697</v>
      </c>
      <c r="G1112" s="227" t="s">
        <v>2497</v>
      </c>
      <c r="H1112" s="253" t="s">
        <v>3190</v>
      </c>
      <c r="I1112" s="253" t="s">
        <v>2746</v>
      </c>
      <c r="J1112" s="227" t="s">
        <v>2548</v>
      </c>
      <c r="K1112" s="253" t="s">
        <v>3130</v>
      </c>
      <c r="L1112" s="253" t="s">
        <v>2796</v>
      </c>
      <c r="M1112" s="227" t="s">
        <v>2797</v>
      </c>
      <c r="N1112" s="293"/>
      <c r="O1112" s="293" t="str">
        <f>TablaPOA[[#This Row],[Cod_Sub_acción_especifica]]&amp;"_"&amp;TablaPOA[[#This Row],[Tipo de agente]]</f>
        <v>K31.4.1.2_Consumidores directos de GLP y redes de distribución</v>
      </c>
      <c r="P1112" s="254" t="s">
        <v>2839</v>
      </c>
      <c r="Q1112" s="292" t="str">
        <f>TablaPOA[[#This Row],[Cod_Sub_acción_especifica]]&amp;"_"&amp;TablaPOA[[#This Row],[Cod_Tipo_agente]]</f>
        <v>K31.4.1.2_TA3</v>
      </c>
      <c r="R1112" s="254" t="s">
        <v>2840</v>
      </c>
      <c r="S1112" s="254" t="s">
        <v>2850</v>
      </c>
      <c r="T1112" s="271" t="s">
        <v>2851</v>
      </c>
    </row>
    <row r="1113" spans="1:20" ht="25.5" x14ac:dyDescent="0.25">
      <c r="A1113" s="219" t="s">
        <v>2314</v>
      </c>
      <c r="B1113" s="227">
        <v>31</v>
      </c>
      <c r="C1113" s="227" t="s">
        <v>2691</v>
      </c>
      <c r="D1113" s="227" t="s">
        <v>2988</v>
      </c>
      <c r="E1113" s="227" t="s">
        <v>3189</v>
      </c>
      <c r="F1113" s="227" t="s">
        <v>2697</v>
      </c>
      <c r="G1113" s="227" t="s">
        <v>2497</v>
      </c>
      <c r="H1113" s="253" t="s">
        <v>3190</v>
      </c>
      <c r="I1113" s="253" t="s">
        <v>2746</v>
      </c>
      <c r="J1113" s="227" t="s">
        <v>2548</v>
      </c>
      <c r="K1113" s="253" t="s">
        <v>3130</v>
      </c>
      <c r="L1113" s="253" t="s">
        <v>2796</v>
      </c>
      <c r="M1113" s="227" t="s">
        <v>2797</v>
      </c>
      <c r="N1113" s="293"/>
      <c r="O1113" s="293" t="str">
        <f>TablaPOA[[#This Row],[Cod_Sub_acción_especifica]]&amp;"_"&amp;TablaPOA[[#This Row],[Tipo de agente]]</f>
        <v>K31.4.1.2_Distribuidores mayoristas, Importadores y Comercializadores</v>
      </c>
      <c r="P1113" s="254" t="s">
        <v>2852</v>
      </c>
      <c r="Q1113" s="292" t="str">
        <f>TablaPOA[[#This Row],[Cod_Sub_acción_especifica]]&amp;"_"&amp;TablaPOA[[#This Row],[Cod_Tipo_agente]]</f>
        <v>K31.4.1.2_TA4</v>
      </c>
      <c r="R1113" s="254" t="s">
        <v>2853</v>
      </c>
      <c r="S1113" s="255" t="s">
        <v>2854</v>
      </c>
      <c r="T1113" s="271" t="s">
        <v>2855</v>
      </c>
    </row>
    <row r="1114" spans="1:20" ht="25.5" x14ac:dyDescent="0.25">
      <c r="A1114" s="219" t="s">
        <v>2314</v>
      </c>
      <c r="B1114" s="227">
        <v>31</v>
      </c>
      <c r="C1114" s="227" t="s">
        <v>2691</v>
      </c>
      <c r="D1114" s="227" t="s">
        <v>2988</v>
      </c>
      <c r="E1114" s="227" t="s">
        <v>3189</v>
      </c>
      <c r="F1114" s="227" t="s">
        <v>2697</v>
      </c>
      <c r="G1114" s="227" t="s">
        <v>2497</v>
      </c>
      <c r="H1114" s="253" t="s">
        <v>3190</v>
      </c>
      <c r="I1114" s="253" t="s">
        <v>2746</v>
      </c>
      <c r="J1114" s="227" t="s">
        <v>2548</v>
      </c>
      <c r="K1114" s="253" t="s">
        <v>3130</v>
      </c>
      <c r="L1114" s="253" t="s">
        <v>2796</v>
      </c>
      <c r="M1114" s="227" t="s">
        <v>2797</v>
      </c>
      <c r="N1114" s="293"/>
      <c r="O1114" s="293" t="str">
        <f>TablaPOA[[#This Row],[Cod_Sub_acción_especifica]]&amp;"_"&amp;TablaPOA[[#This Row],[Tipo de agente]]</f>
        <v>K31.4.1.2_Distribuidores mayoristas, Importadores y Comercializadores</v>
      </c>
      <c r="P1114" s="254" t="s">
        <v>2852</v>
      </c>
      <c r="Q1114" s="292" t="str">
        <f>TablaPOA[[#This Row],[Cod_Sub_acción_especifica]]&amp;"_"&amp;TablaPOA[[#This Row],[Cod_Tipo_agente]]</f>
        <v>K31.4.1.2_TA4</v>
      </c>
      <c r="R1114" s="254" t="s">
        <v>2853</v>
      </c>
      <c r="S1114" s="255" t="s">
        <v>2856</v>
      </c>
      <c r="T1114" s="271" t="s">
        <v>2857</v>
      </c>
    </row>
    <row r="1115" spans="1:20" ht="25.5" x14ac:dyDescent="0.25">
      <c r="A1115" s="219" t="s">
        <v>2314</v>
      </c>
      <c r="B1115" s="227">
        <v>31</v>
      </c>
      <c r="C1115" s="227" t="s">
        <v>2691</v>
      </c>
      <c r="D1115" s="227" t="s">
        <v>2988</v>
      </c>
      <c r="E1115" s="227" t="s">
        <v>3189</v>
      </c>
      <c r="F1115" s="227" t="s">
        <v>2697</v>
      </c>
      <c r="G1115" s="227" t="s">
        <v>2497</v>
      </c>
      <c r="H1115" s="253" t="s">
        <v>3190</v>
      </c>
      <c r="I1115" s="253" t="s">
        <v>2746</v>
      </c>
      <c r="J1115" s="227" t="s">
        <v>2548</v>
      </c>
      <c r="K1115" s="253" t="s">
        <v>3130</v>
      </c>
      <c r="L1115" s="253" t="s">
        <v>2796</v>
      </c>
      <c r="M1115" s="227" t="s">
        <v>2797</v>
      </c>
      <c r="N1115" s="293"/>
      <c r="O1115" s="293" t="str">
        <f>TablaPOA[[#This Row],[Cod_Sub_acción_especifica]]&amp;"_"&amp;TablaPOA[[#This Row],[Tipo de agente]]</f>
        <v>K31.4.1.2_Distribuidores mayoristas, Importadores y Comercializadores</v>
      </c>
      <c r="P1115" s="254" t="s">
        <v>2852</v>
      </c>
      <c r="Q1115" s="292" t="str">
        <f>TablaPOA[[#This Row],[Cod_Sub_acción_especifica]]&amp;"_"&amp;TablaPOA[[#This Row],[Cod_Tipo_agente]]</f>
        <v>K31.4.1.2_TA4</v>
      </c>
      <c r="R1115" s="254" t="s">
        <v>2853</v>
      </c>
      <c r="S1115" s="255" t="s">
        <v>2858</v>
      </c>
      <c r="T1115" s="271" t="s">
        <v>2859</v>
      </c>
    </row>
    <row r="1116" spans="1:20" ht="25.5" x14ac:dyDescent="0.25">
      <c r="A1116" s="219" t="s">
        <v>2314</v>
      </c>
      <c r="B1116" s="227">
        <v>31</v>
      </c>
      <c r="C1116" s="227" t="s">
        <v>2691</v>
      </c>
      <c r="D1116" s="227" t="s">
        <v>2988</v>
      </c>
      <c r="E1116" s="227" t="s">
        <v>3189</v>
      </c>
      <c r="F1116" s="227" t="s">
        <v>2697</v>
      </c>
      <c r="G1116" s="227" t="s">
        <v>2497</v>
      </c>
      <c r="H1116" s="253" t="s">
        <v>3190</v>
      </c>
      <c r="I1116" s="253" t="s">
        <v>2746</v>
      </c>
      <c r="J1116" s="227" t="s">
        <v>2548</v>
      </c>
      <c r="K1116" s="253" t="s">
        <v>3130</v>
      </c>
      <c r="L1116" s="253" t="s">
        <v>2796</v>
      </c>
      <c r="M1116" s="227" t="s">
        <v>2797</v>
      </c>
      <c r="N1116" s="293"/>
      <c r="O1116" s="293" t="str">
        <f>TablaPOA[[#This Row],[Cod_Sub_acción_especifica]]&amp;"_"&amp;TablaPOA[[#This Row],[Tipo de agente]]</f>
        <v>K31.4.1.2_Distribuidores mayoristas, Importadores y Comercializadores</v>
      </c>
      <c r="P1116" s="254" t="s">
        <v>2852</v>
      </c>
      <c r="Q1116" s="292" t="str">
        <f>TablaPOA[[#This Row],[Cod_Sub_acción_especifica]]&amp;"_"&amp;TablaPOA[[#This Row],[Cod_Tipo_agente]]</f>
        <v>K31.4.1.2_TA4</v>
      </c>
      <c r="R1116" s="254" t="s">
        <v>2853</v>
      </c>
      <c r="S1116" s="255" t="s">
        <v>2860</v>
      </c>
      <c r="T1116" s="271" t="s">
        <v>2861</v>
      </c>
    </row>
    <row r="1117" spans="1:20" ht="25.5" x14ac:dyDescent="0.25">
      <c r="A1117" s="219" t="s">
        <v>2314</v>
      </c>
      <c r="B1117" s="227">
        <v>31</v>
      </c>
      <c r="C1117" s="227" t="s">
        <v>2691</v>
      </c>
      <c r="D1117" s="227" t="s">
        <v>2988</v>
      </c>
      <c r="E1117" s="227" t="s">
        <v>3189</v>
      </c>
      <c r="F1117" s="227" t="s">
        <v>2697</v>
      </c>
      <c r="G1117" s="227" t="s">
        <v>2497</v>
      </c>
      <c r="H1117" s="253" t="s">
        <v>3190</v>
      </c>
      <c r="I1117" s="253" t="s">
        <v>2746</v>
      </c>
      <c r="J1117" s="227" t="s">
        <v>2548</v>
      </c>
      <c r="K1117" s="253" t="s">
        <v>3130</v>
      </c>
      <c r="L1117" s="253" t="s">
        <v>2796</v>
      </c>
      <c r="M1117" s="227" t="s">
        <v>2797</v>
      </c>
      <c r="N1117" s="293"/>
      <c r="O1117" s="293" t="str">
        <f>TablaPOA[[#This Row],[Cod_Sub_acción_especifica]]&amp;"_"&amp;TablaPOA[[#This Row],[Tipo de agente]]</f>
        <v>K31.4.1.2_Distribuidores mayoristas, Importadores y Comercializadores</v>
      </c>
      <c r="P1117" s="254" t="s">
        <v>2852</v>
      </c>
      <c r="Q1117" s="292" t="str">
        <f>TablaPOA[[#This Row],[Cod_Sub_acción_especifica]]&amp;"_"&amp;TablaPOA[[#This Row],[Cod_Tipo_agente]]</f>
        <v>K31.4.1.2_TA4</v>
      </c>
      <c r="R1117" s="254" t="s">
        <v>2853</v>
      </c>
      <c r="S1117" s="255" t="s">
        <v>2862</v>
      </c>
      <c r="T1117" s="271" t="s">
        <v>2863</v>
      </c>
    </row>
    <row r="1118" spans="1:20" ht="25.5" x14ac:dyDescent="0.25">
      <c r="A1118" s="219" t="s">
        <v>2314</v>
      </c>
      <c r="B1118" s="227">
        <v>31</v>
      </c>
      <c r="C1118" s="227" t="s">
        <v>2691</v>
      </c>
      <c r="D1118" s="227" t="s">
        <v>2988</v>
      </c>
      <c r="E1118" s="227" t="s">
        <v>3189</v>
      </c>
      <c r="F1118" s="227" t="s">
        <v>2697</v>
      </c>
      <c r="G1118" s="227" t="s">
        <v>2497</v>
      </c>
      <c r="H1118" s="253" t="s">
        <v>3190</v>
      </c>
      <c r="I1118" s="253" t="s">
        <v>2746</v>
      </c>
      <c r="J1118" s="227" t="s">
        <v>2548</v>
      </c>
      <c r="K1118" s="253" t="s">
        <v>3130</v>
      </c>
      <c r="L1118" s="253" t="s">
        <v>2796</v>
      </c>
      <c r="M1118" s="227" t="s">
        <v>2797</v>
      </c>
      <c r="N1118" s="293"/>
      <c r="O1118" s="293" t="str">
        <f>TablaPOA[[#This Row],[Cod_Sub_acción_especifica]]&amp;"_"&amp;TablaPOA[[#This Row],[Tipo de agente]]</f>
        <v>K31.4.1.2_Distribuidores mayoristas, Importadores y Comercializadores</v>
      </c>
      <c r="P1118" s="254" t="s">
        <v>2852</v>
      </c>
      <c r="Q1118" s="292" t="str">
        <f>TablaPOA[[#This Row],[Cod_Sub_acción_especifica]]&amp;"_"&amp;TablaPOA[[#This Row],[Cod_Tipo_agente]]</f>
        <v>K31.4.1.2_TA4</v>
      </c>
      <c r="R1118" s="254" t="s">
        <v>2853</v>
      </c>
      <c r="S1118" s="255" t="s">
        <v>2864</v>
      </c>
      <c r="T1118" s="271" t="s">
        <v>2865</v>
      </c>
    </row>
    <row r="1119" spans="1:20" ht="25.5" x14ac:dyDescent="0.25">
      <c r="A1119" s="219" t="s">
        <v>2314</v>
      </c>
      <c r="B1119" s="227">
        <v>31</v>
      </c>
      <c r="C1119" s="227" t="s">
        <v>2691</v>
      </c>
      <c r="D1119" s="227" t="s">
        <v>2988</v>
      </c>
      <c r="E1119" s="227" t="s">
        <v>3189</v>
      </c>
      <c r="F1119" s="227" t="s">
        <v>2697</v>
      </c>
      <c r="G1119" s="227" t="s">
        <v>2497</v>
      </c>
      <c r="H1119" s="253" t="s">
        <v>3190</v>
      </c>
      <c r="I1119" s="253" t="s">
        <v>2746</v>
      </c>
      <c r="J1119" s="227" t="s">
        <v>2548</v>
      </c>
      <c r="K1119" s="253" t="s">
        <v>3130</v>
      </c>
      <c r="L1119" s="253" t="s">
        <v>2796</v>
      </c>
      <c r="M1119" s="227" t="s">
        <v>2797</v>
      </c>
      <c r="N1119" s="293"/>
      <c r="O1119" s="293" t="str">
        <f>TablaPOA[[#This Row],[Cod_Sub_acción_especifica]]&amp;"_"&amp;TablaPOA[[#This Row],[Tipo de agente]]</f>
        <v>K31.4.1.2_Distribuidores mayoristas, Importadores y Comercializadores</v>
      </c>
      <c r="P1119" s="254" t="s">
        <v>2852</v>
      </c>
      <c r="Q1119" s="292" t="str">
        <f>TablaPOA[[#This Row],[Cod_Sub_acción_especifica]]&amp;"_"&amp;TablaPOA[[#This Row],[Cod_Tipo_agente]]</f>
        <v>K31.4.1.2_TA4</v>
      </c>
      <c r="R1119" s="254" t="s">
        <v>2853</v>
      </c>
      <c r="S1119" s="255" t="s">
        <v>2866</v>
      </c>
      <c r="T1119" s="271" t="s">
        <v>2867</v>
      </c>
    </row>
    <row r="1120" spans="1:20" ht="25.5" x14ac:dyDescent="0.25">
      <c r="A1120" s="219" t="s">
        <v>2314</v>
      </c>
      <c r="B1120" s="227">
        <v>31</v>
      </c>
      <c r="C1120" s="227" t="s">
        <v>2691</v>
      </c>
      <c r="D1120" s="227" t="s">
        <v>2988</v>
      </c>
      <c r="E1120" s="227" t="s">
        <v>3189</v>
      </c>
      <c r="F1120" s="227" t="s">
        <v>2697</v>
      </c>
      <c r="G1120" s="227" t="s">
        <v>2497</v>
      </c>
      <c r="H1120" s="253" t="s">
        <v>3190</v>
      </c>
      <c r="I1120" s="253" t="s">
        <v>2746</v>
      </c>
      <c r="J1120" s="227" t="s">
        <v>2548</v>
      </c>
      <c r="K1120" s="253" t="s">
        <v>3130</v>
      </c>
      <c r="L1120" s="253" t="s">
        <v>2796</v>
      </c>
      <c r="M1120" s="227" t="s">
        <v>2797</v>
      </c>
      <c r="N1120" s="293"/>
      <c r="O1120" s="293" t="str">
        <f>TablaPOA[[#This Row],[Cod_Sub_acción_especifica]]&amp;"_"&amp;TablaPOA[[#This Row],[Tipo de agente]]</f>
        <v>K31.4.1.2_Distribuidores mayoristas, Importadores y Comercializadores</v>
      </c>
      <c r="P1120" s="254" t="s">
        <v>2852</v>
      </c>
      <c r="Q1120" s="292" t="str">
        <f>TablaPOA[[#This Row],[Cod_Sub_acción_especifica]]&amp;"_"&amp;TablaPOA[[#This Row],[Cod_Tipo_agente]]</f>
        <v>K31.4.1.2_TA4</v>
      </c>
      <c r="R1120" s="254" t="s">
        <v>2853</v>
      </c>
      <c r="S1120" s="255" t="s">
        <v>2868</v>
      </c>
      <c r="T1120" s="271" t="s">
        <v>2869</v>
      </c>
    </row>
    <row r="1121" spans="1:20" ht="25.5" x14ac:dyDescent="0.25">
      <c r="A1121" s="219" t="s">
        <v>2314</v>
      </c>
      <c r="B1121" s="227">
        <v>31</v>
      </c>
      <c r="C1121" s="227" t="s">
        <v>2691</v>
      </c>
      <c r="D1121" s="227" t="s">
        <v>2988</v>
      </c>
      <c r="E1121" s="227" t="s">
        <v>3189</v>
      </c>
      <c r="F1121" s="227" t="s">
        <v>2697</v>
      </c>
      <c r="G1121" s="227" t="s">
        <v>2497</v>
      </c>
      <c r="H1121" s="253" t="s">
        <v>3190</v>
      </c>
      <c r="I1121" s="253" t="s">
        <v>2746</v>
      </c>
      <c r="J1121" s="227" t="s">
        <v>2548</v>
      </c>
      <c r="K1121" s="253" t="s">
        <v>3130</v>
      </c>
      <c r="L1121" s="253" t="s">
        <v>2796</v>
      </c>
      <c r="M1121" s="227" t="s">
        <v>2797</v>
      </c>
      <c r="N1121" s="293"/>
      <c r="O1121" s="293" t="str">
        <f>TablaPOA[[#This Row],[Cod_Sub_acción_especifica]]&amp;"_"&amp;TablaPOA[[#This Row],[Tipo de agente]]</f>
        <v>K31.4.1.2_Distribuidores mayoristas, Importadores y Comercializadores</v>
      </c>
      <c r="P1121" s="254" t="s">
        <v>2852</v>
      </c>
      <c r="Q1121" s="292" t="str">
        <f>TablaPOA[[#This Row],[Cod_Sub_acción_especifica]]&amp;"_"&amp;TablaPOA[[#This Row],[Cod_Tipo_agente]]</f>
        <v>K31.4.1.2_TA4</v>
      </c>
      <c r="R1121" s="254" t="s">
        <v>2853</v>
      </c>
      <c r="S1121" s="255" t="s">
        <v>2870</v>
      </c>
      <c r="T1121" s="271" t="s">
        <v>2871</v>
      </c>
    </row>
    <row r="1122" spans="1:20" ht="25.5" x14ac:dyDescent="0.25">
      <c r="A1122" s="219" t="s">
        <v>2314</v>
      </c>
      <c r="B1122" s="227">
        <v>31</v>
      </c>
      <c r="C1122" s="227" t="s">
        <v>2691</v>
      </c>
      <c r="D1122" s="227" t="s">
        <v>2988</v>
      </c>
      <c r="E1122" s="227" t="s">
        <v>3189</v>
      </c>
      <c r="F1122" s="227" t="s">
        <v>2697</v>
      </c>
      <c r="G1122" s="227" t="s">
        <v>2497</v>
      </c>
      <c r="H1122" s="253" t="s">
        <v>3190</v>
      </c>
      <c r="I1122" s="253" t="s">
        <v>2746</v>
      </c>
      <c r="J1122" s="227" t="s">
        <v>2548</v>
      </c>
      <c r="K1122" s="253" t="s">
        <v>3130</v>
      </c>
      <c r="L1122" s="253" t="s">
        <v>2796</v>
      </c>
      <c r="M1122" s="227" t="s">
        <v>2797</v>
      </c>
      <c r="N1122" s="293"/>
      <c r="O1122" s="293" t="str">
        <f>TablaPOA[[#This Row],[Cod_Sub_acción_especifica]]&amp;"_"&amp;TablaPOA[[#This Row],[Tipo de agente]]</f>
        <v>K31.4.1.2_Distribuidores mayoristas, Importadores y Comercializadores</v>
      </c>
      <c r="P1122" s="254" t="s">
        <v>2852</v>
      </c>
      <c r="Q1122" s="292" t="str">
        <f>TablaPOA[[#This Row],[Cod_Sub_acción_especifica]]&amp;"_"&amp;TablaPOA[[#This Row],[Cod_Tipo_agente]]</f>
        <v>K31.4.1.2_TA4</v>
      </c>
      <c r="R1122" s="254" t="s">
        <v>2853</v>
      </c>
      <c r="S1122" s="255" t="s">
        <v>2872</v>
      </c>
      <c r="T1122" s="271" t="s">
        <v>2873</v>
      </c>
    </row>
    <row r="1123" spans="1:20" ht="25.5" x14ac:dyDescent="0.25">
      <c r="A1123" s="219" t="s">
        <v>2314</v>
      </c>
      <c r="B1123" s="227">
        <v>31</v>
      </c>
      <c r="C1123" s="227" t="s">
        <v>2691</v>
      </c>
      <c r="D1123" s="227" t="s">
        <v>2988</v>
      </c>
      <c r="E1123" s="227" t="s">
        <v>3189</v>
      </c>
      <c r="F1123" s="227" t="s">
        <v>2697</v>
      </c>
      <c r="G1123" s="227" t="s">
        <v>2497</v>
      </c>
      <c r="H1123" s="253" t="s">
        <v>3190</v>
      </c>
      <c r="I1123" s="253" t="s">
        <v>2746</v>
      </c>
      <c r="J1123" s="227" t="s">
        <v>2548</v>
      </c>
      <c r="K1123" s="253" t="s">
        <v>3130</v>
      </c>
      <c r="L1123" s="253" t="s">
        <v>2796</v>
      </c>
      <c r="M1123" s="227" t="s">
        <v>2797</v>
      </c>
      <c r="N1123" s="293"/>
      <c r="O1123" s="293" t="str">
        <f>TablaPOA[[#This Row],[Cod_Sub_acción_especifica]]&amp;"_"&amp;TablaPOA[[#This Row],[Tipo de agente]]</f>
        <v>K31.4.1.2_Distribuidores mayoristas, Importadores y Comercializadores</v>
      </c>
      <c r="P1123" s="254" t="s">
        <v>2852</v>
      </c>
      <c r="Q1123" s="292" t="str">
        <f>TablaPOA[[#This Row],[Cod_Sub_acción_especifica]]&amp;"_"&amp;TablaPOA[[#This Row],[Cod_Tipo_agente]]</f>
        <v>K31.4.1.2_TA4</v>
      </c>
      <c r="R1123" s="254" t="s">
        <v>2853</v>
      </c>
      <c r="S1123" s="255" t="s">
        <v>2874</v>
      </c>
      <c r="T1123" s="271" t="s">
        <v>2875</v>
      </c>
    </row>
    <row r="1124" spans="1:20" ht="25.5" x14ac:dyDescent="0.25">
      <c r="A1124" s="219" t="s">
        <v>2314</v>
      </c>
      <c r="B1124" s="227">
        <v>31</v>
      </c>
      <c r="C1124" s="227" t="s">
        <v>2691</v>
      </c>
      <c r="D1124" s="227" t="s">
        <v>2988</v>
      </c>
      <c r="E1124" s="227" t="s">
        <v>3189</v>
      </c>
      <c r="F1124" s="227" t="s">
        <v>2697</v>
      </c>
      <c r="G1124" s="227" t="s">
        <v>2497</v>
      </c>
      <c r="H1124" s="253" t="s">
        <v>3190</v>
      </c>
      <c r="I1124" s="253" t="s">
        <v>2746</v>
      </c>
      <c r="J1124" s="227" t="s">
        <v>2548</v>
      </c>
      <c r="K1124" s="253" t="s">
        <v>3130</v>
      </c>
      <c r="L1124" s="253" t="s">
        <v>2796</v>
      </c>
      <c r="M1124" s="227" t="s">
        <v>2797</v>
      </c>
      <c r="N1124" s="293"/>
      <c r="O1124" s="293" t="str">
        <f>TablaPOA[[#This Row],[Cod_Sub_acción_especifica]]&amp;"_"&amp;TablaPOA[[#This Row],[Tipo de agente]]</f>
        <v>K31.4.1.2_Envasadoras de GLP</v>
      </c>
      <c r="P1124" s="254" t="s">
        <v>2876</v>
      </c>
      <c r="Q1124" s="292" t="str">
        <f>TablaPOA[[#This Row],[Cod_Sub_acción_especifica]]&amp;"_"&amp;TablaPOA[[#This Row],[Cod_Tipo_agente]]</f>
        <v>K31.4.1.2_TA5</v>
      </c>
      <c r="R1124" s="254" t="s">
        <v>2877</v>
      </c>
      <c r="S1124" s="255" t="s">
        <v>2878</v>
      </c>
      <c r="T1124" s="271" t="s">
        <v>2879</v>
      </c>
    </row>
    <row r="1125" spans="1:20" ht="25.5" x14ac:dyDescent="0.25">
      <c r="A1125" s="219" t="s">
        <v>2314</v>
      </c>
      <c r="B1125" s="227">
        <v>31</v>
      </c>
      <c r="C1125" s="227" t="s">
        <v>2691</v>
      </c>
      <c r="D1125" s="227" t="s">
        <v>2988</v>
      </c>
      <c r="E1125" s="227" t="s">
        <v>3189</v>
      </c>
      <c r="F1125" s="227" t="s">
        <v>2697</v>
      </c>
      <c r="G1125" s="227" t="s">
        <v>2497</v>
      </c>
      <c r="H1125" s="253" t="s">
        <v>3190</v>
      </c>
      <c r="I1125" s="253" t="s">
        <v>2746</v>
      </c>
      <c r="J1125" s="227" t="s">
        <v>2548</v>
      </c>
      <c r="K1125" s="253" t="s">
        <v>3130</v>
      </c>
      <c r="L1125" s="253" t="s">
        <v>2796</v>
      </c>
      <c r="M1125" s="227" t="s">
        <v>2797</v>
      </c>
      <c r="N1125" s="293"/>
      <c r="O1125" s="293" t="str">
        <f>TablaPOA[[#This Row],[Cod_Sub_acción_especifica]]&amp;"_"&amp;TablaPOA[[#This Row],[Tipo de agente]]</f>
        <v>K31.4.1.2_Envasadoras de GLP</v>
      </c>
      <c r="P1125" s="254" t="s">
        <v>2876</v>
      </c>
      <c r="Q1125" s="292" t="str">
        <f>TablaPOA[[#This Row],[Cod_Sub_acción_especifica]]&amp;"_"&amp;TablaPOA[[#This Row],[Cod_Tipo_agente]]</f>
        <v>K31.4.1.2_TA5</v>
      </c>
      <c r="R1125" s="254" t="s">
        <v>2877</v>
      </c>
      <c r="S1125" s="255" t="s">
        <v>2880</v>
      </c>
      <c r="T1125" s="271" t="s">
        <v>2881</v>
      </c>
    </row>
    <row r="1126" spans="1:20" ht="25.5" x14ac:dyDescent="0.25">
      <c r="A1126" s="219" t="s">
        <v>2314</v>
      </c>
      <c r="B1126" s="227">
        <v>31</v>
      </c>
      <c r="C1126" s="227" t="s">
        <v>2691</v>
      </c>
      <c r="D1126" s="227" t="s">
        <v>2988</v>
      </c>
      <c r="E1126" s="227" t="s">
        <v>3189</v>
      </c>
      <c r="F1126" s="227" t="s">
        <v>2697</v>
      </c>
      <c r="G1126" s="227" t="s">
        <v>2497</v>
      </c>
      <c r="H1126" s="253" t="s">
        <v>3190</v>
      </c>
      <c r="I1126" s="253" t="s">
        <v>2746</v>
      </c>
      <c r="J1126" s="227" t="s">
        <v>2548</v>
      </c>
      <c r="K1126" s="253" t="s">
        <v>3130</v>
      </c>
      <c r="L1126" s="253" t="s">
        <v>2796</v>
      </c>
      <c r="M1126" s="227" t="s">
        <v>2797</v>
      </c>
      <c r="N1126" s="293"/>
      <c r="O1126" s="293" t="str">
        <f>TablaPOA[[#This Row],[Cod_Sub_acción_especifica]]&amp;"_"&amp;TablaPOA[[#This Row],[Tipo de agente]]</f>
        <v>K31.4.1.2_EVP combustibles de uso automotor</v>
      </c>
      <c r="P1126" s="254" t="s">
        <v>2882</v>
      </c>
      <c r="Q1126" s="292" t="str">
        <f>TablaPOA[[#This Row],[Cod_Sub_acción_especifica]]&amp;"_"&amp;TablaPOA[[#This Row],[Cod_Tipo_agente]]</f>
        <v>K31.4.1.2_TA6</v>
      </c>
      <c r="R1126" s="254" t="s">
        <v>2883</v>
      </c>
      <c r="S1126" s="255" t="s">
        <v>2884</v>
      </c>
      <c r="T1126" s="271" t="s">
        <v>2885</v>
      </c>
    </row>
    <row r="1127" spans="1:20" ht="25.5" x14ac:dyDescent="0.25">
      <c r="A1127" s="219" t="s">
        <v>2314</v>
      </c>
      <c r="B1127" s="227">
        <v>31</v>
      </c>
      <c r="C1127" s="227" t="s">
        <v>2691</v>
      </c>
      <c r="D1127" s="227" t="s">
        <v>2988</v>
      </c>
      <c r="E1127" s="227" t="s">
        <v>3189</v>
      </c>
      <c r="F1127" s="227" t="s">
        <v>2697</v>
      </c>
      <c r="G1127" s="227" t="s">
        <v>2497</v>
      </c>
      <c r="H1127" s="253" t="s">
        <v>3190</v>
      </c>
      <c r="I1127" s="253" t="s">
        <v>2746</v>
      </c>
      <c r="J1127" s="227" t="s">
        <v>2548</v>
      </c>
      <c r="K1127" s="253" t="s">
        <v>3130</v>
      </c>
      <c r="L1127" s="253" t="s">
        <v>2796</v>
      </c>
      <c r="M1127" s="227" t="s">
        <v>2797</v>
      </c>
      <c r="N1127" s="293"/>
      <c r="O1127" s="293" t="str">
        <f>TablaPOA[[#This Row],[Cod_Sub_acción_especifica]]&amp;"_"&amp;TablaPOA[[#This Row],[Tipo de agente]]</f>
        <v>K31.4.1.2_EVP combustibles de uso automotor</v>
      </c>
      <c r="P1127" s="254" t="s">
        <v>2882</v>
      </c>
      <c r="Q1127" s="292" t="str">
        <f>TablaPOA[[#This Row],[Cod_Sub_acción_especifica]]&amp;"_"&amp;TablaPOA[[#This Row],[Cod_Tipo_agente]]</f>
        <v>K31.4.1.2_TA6</v>
      </c>
      <c r="R1127" s="254" t="s">
        <v>2883</v>
      </c>
      <c r="S1127" s="255" t="s">
        <v>2886</v>
      </c>
      <c r="T1127" s="271" t="s">
        <v>2887</v>
      </c>
    </row>
    <row r="1128" spans="1:20" ht="25.5" x14ac:dyDescent="0.25">
      <c r="A1128" s="219" t="s">
        <v>2314</v>
      </c>
      <c r="B1128" s="227">
        <v>31</v>
      </c>
      <c r="C1128" s="227" t="s">
        <v>2691</v>
      </c>
      <c r="D1128" s="227" t="s">
        <v>2988</v>
      </c>
      <c r="E1128" s="227" t="s">
        <v>3189</v>
      </c>
      <c r="F1128" s="227" t="s">
        <v>2697</v>
      </c>
      <c r="G1128" s="227" t="s">
        <v>2497</v>
      </c>
      <c r="H1128" s="253" t="s">
        <v>3190</v>
      </c>
      <c r="I1128" s="253" t="s">
        <v>2746</v>
      </c>
      <c r="J1128" s="227" t="s">
        <v>2548</v>
      </c>
      <c r="K1128" s="253" t="s">
        <v>3130</v>
      </c>
      <c r="L1128" s="253" t="s">
        <v>2796</v>
      </c>
      <c r="M1128" s="227" t="s">
        <v>2797</v>
      </c>
      <c r="N1128" s="293"/>
      <c r="O1128" s="293" t="str">
        <f>TablaPOA[[#This Row],[Cod_Sub_acción_especifica]]&amp;"_"&amp;TablaPOA[[#This Row],[Tipo de agente]]</f>
        <v>K31.4.1.2_EVP combustibles de uso automotor</v>
      </c>
      <c r="P1128" s="254" t="s">
        <v>2882</v>
      </c>
      <c r="Q1128" s="292" t="str">
        <f>TablaPOA[[#This Row],[Cod_Sub_acción_especifica]]&amp;"_"&amp;TablaPOA[[#This Row],[Cod_Tipo_agente]]</f>
        <v>K31.4.1.2_TA6</v>
      </c>
      <c r="R1128" s="254" t="s">
        <v>2883</v>
      </c>
      <c r="S1128" s="255" t="s">
        <v>2888</v>
      </c>
      <c r="T1128" s="271" t="s">
        <v>2889</v>
      </c>
    </row>
    <row r="1129" spans="1:20" ht="25.5" x14ac:dyDescent="0.25">
      <c r="A1129" s="219" t="s">
        <v>2314</v>
      </c>
      <c r="B1129" s="227">
        <v>31</v>
      </c>
      <c r="C1129" s="227" t="s">
        <v>2691</v>
      </c>
      <c r="D1129" s="227" t="s">
        <v>2988</v>
      </c>
      <c r="E1129" s="227" t="s">
        <v>3189</v>
      </c>
      <c r="F1129" s="227" t="s">
        <v>2697</v>
      </c>
      <c r="G1129" s="227" t="s">
        <v>2497</v>
      </c>
      <c r="H1129" s="253" t="s">
        <v>3190</v>
      </c>
      <c r="I1129" s="253" t="s">
        <v>2746</v>
      </c>
      <c r="J1129" s="227" t="s">
        <v>2548</v>
      </c>
      <c r="K1129" s="253" t="s">
        <v>3130</v>
      </c>
      <c r="L1129" s="253" t="s">
        <v>2796</v>
      </c>
      <c r="M1129" s="227" t="s">
        <v>2797</v>
      </c>
      <c r="N1129" s="293"/>
      <c r="O1129" s="293" t="str">
        <f>TablaPOA[[#This Row],[Cod_Sub_acción_especifica]]&amp;"_"&amp;TablaPOA[[#This Row],[Tipo de agente]]</f>
        <v>K31.4.1.2_EVP combustibles de uso automotor</v>
      </c>
      <c r="P1129" s="254" t="s">
        <v>2882</v>
      </c>
      <c r="Q1129" s="292" t="str">
        <f>TablaPOA[[#This Row],[Cod_Sub_acción_especifica]]&amp;"_"&amp;TablaPOA[[#This Row],[Cod_Tipo_agente]]</f>
        <v>K31.4.1.2_TA6</v>
      </c>
      <c r="R1129" s="254" t="s">
        <v>2883</v>
      </c>
      <c r="S1129" s="255" t="s">
        <v>2890</v>
      </c>
      <c r="T1129" s="271" t="s">
        <v>2891</v>
      </c>
    </row>
    <row r="1130" spans="1:20" ht="25.5" x14ac:dyDescent="0.25">
      <c r="A1130" s="219" t="s">
        <v>2314</v>
      </c>
      <c r="B1130" s="227">
        <v>31</v>
      </c>
      <c r="C1130" s="227" t="s">
        <v>2691</v>
      </c>
      <c r="D1130" s="227" t="s">
        <v>2988</v>
      </c>
      <c r="E1130" s="227" t="s">
        <v>3189</v>
      </c>
      <c r="F1130" s="227" t="s">
        <v>2697</v>
      </c>
      <c r="G1130" s="227" t="s">
        <v>2497</v>
      </c>
      <c r="H1130" s="253" t="s">
        <v>3190</v>
      </c>
      <c r="I1130" s="253" t="s">
        <v>2746</v>
      </c>
      <c r="J1130" s="227" t="s">
        <v>2548</v>
      </c>
      <c r="K1130" s="253" t="s">
        <v>3130</v>
      </c>
      <c r="L1130" s="253" t="s">
        <v>2796</v>
      </c>
      <c r="M1130" s="227" t="s">
        <v>2797</v>
      </c>
      <c r="N1130" s="293"/>
      <c r="O1130" s="293" t="str">
        <f>TablaPOA[[#This Row],[Cod_Sub_acción_especifica]]&amp;"_"&amp;TablaPOA[[#This Row],[Tipo de agente]]</f>
        <v>K31.4.1.2_EVP combustibles de uso automotor</v>
      </c>
      <c r="P1130" s="254" t="s">
        <v>2882</v>
      </c>
      <c r="Q1130" s="292" t="str">
        <f>TablaPOA[[#This Row],[Cod_Sub_acción_especifica]]&amp;"_"&amp;TablaPOA[[#This Row],[Cod_Tipo_agente]]</f>
        <v>K31.4.1.2_TA6</v>
      </c>
      <c r="R1130" s="254" t="s">
        <v>2883</v>
      </c>
      <c r="S1130" s="255" t="s">
        <v>2892</v>
      </c>
      <c r="T1130" s="271" t="s">
        <v>2893</v>
      </c>
    </row>
    <row r="1131" spans="1:20" ht="25.5" x14ac:dyDescent="0.25">
      <c r="A1131" s="219" t="s">
        <v>2314</v>
      </c>
      <c r="B1131" s="227">
        <v>31</v>
      </c>
      <c r="C1131" s="227" t="s">
        <v>2691</v>
      </c>
      <c r="D1131" s="227" t="s">
        <v>2988</v>
      </c>
      <c r="E1131" s="227" t="s">
        <v>3189</v>
      </c>
      <c r="F1131" s="227" t="s">
        <v>2697</v>
      </c>
      <c r="G1131" s="227" t="s">
        <v>2497</v>
      </c>
      <c r="H1131" s="253" t="s">
        <v>3190</v>
      </c>
      <c r="I1131" s="253" t="s">
        <v>2746</v>
      </c>
      <c r="J1131" s="227" t="s">
        <v>2548</v>
      </c>
      <c r="K1131" s="253" t="s">
        <v>3130</v>
      </c>
      <c r="L1131" s="253" t="s">
        <v>2796</v>
      </c>
      <c r="M1131" s="227" t="s">
        <v>2797</v>
      </c>
      <c r="N1131" s="293"/>
      <c r="O1131" s="293" t="str">
        <f>TablaPOA[[#This Row],[Cod_Sub_acción_especifica]]&amp;"_"&amp;TablaPOA[[#This Row],[Tipo de agente]]</f>
        <v>K31.4.1.2_EVP combustibles de uso automotor</v>
      </c>
      <c r="P1131" s="254" t="s">
        <v>2882</v>
      </c>
      <c r="Q1131" s="292" t="str">
        <f>TablaPOA[[#This Row],[Cod_Sub_acción_especifica]]&amp;"_"&amp;TablaPOA[[#This Row],[Cod_Tipo_agente]]</f>
        <v>K31.4.1.2_TA6</v>
      </c>
      <c r="R1131" s="254" t="s">
        <v>2883</v>
      </c>
      <c r="S1131" s="255" t="s">
        <v>2894</v>
      </c>
      <c r="T1131" s="271" t="s">
        <v>2895</v>
      </c>
    </row>
    <row r="1132" spans="1:20" ht="25.5" x14ac:dyDescent="0.25">
      <c r="A1132" s="219" t="s">
        <v>2314</v>
      </c>
      <c r="B1132" s="227">
        <v>31</v>
      </c>
      <c r="C1132" s="227" t="s">
        <v>2691</v>
      </c>
      <c r="D1132" s="227" t="s">
        <v>2988</v>
      </c>
      <c r="E1132" s="227" t="s">
        <v>3189</v>
      </c>
      <c r="F1132" s="227" t="s">
        <v>2697</v>
      </c>
      <c r="G1132" s="227" t="s">
        <v>2497</v>
      </c>
      <c r="H1132" s="253" t="s">
        <v>3190</v>
      </c>
      <c r="I1132" s="253" t="s">
        <v>2746</v>
      </c>
      <c r="J1132" s="227" t="s">
        <v>2548</v>
      </c>
      <c r="K1132" s="253" t="s">
        <v>3130</v>
      </c>
      <c r="L1132" s="253" t="s">
        <v>2796</v>
      </c>
      <c r="M1132" s="227" t="s">
        <v>2797</v>
      </c>
      <c r="N1132" s="293"/>
      <c r="O1132" s="293" t="str">
        <f>TablaPOA[[#This Row],[Cod_Sub_acción_especifica]]&amp;"_"&amp;TablaPOA[[#This Row],[Tipo de agente]]</f>
        <v>K31.4.1.2_EVP combustibles de uso automotor</v>
      </c>
      <c r="P1132" s="254" t="s">
        <v>2882</v>
      </c>
      <c r="Q1132" s="292" t="str">
        <f>TablaPOA[[#This Row],[Cod_Sub_acción_especifica]]&amp;"_"&amp;TablaPOA[[#This Row],[Cod_Tipo_agente]]</f>
        <v>K31.4.1.2_TA6</v>
      </c>
      <c r="R1132" s="254" t="s">
        <v>2883</v>
      </c>
      <c r="S1132" s="255" t="s">
        <v>2896</v>
      </c>
      <c r="T1132" s="271" t="s">
        <v>2897</v>
      </c>
    </row>
    <row r="1133" spans="1:20" ht="25.5" x14ac:dyDescent="0.25">
      <c r="A1133" s="219" t="s">
        <v>2314</v>
      </c>
      <c r="B1133" s="227">
        <v>31</v>
      </c>
      <c r="C1133" s="227" t="s">
        <v>2691</v>
      </c>
      <c r="D1133" s="227" t="s">
        <v>2988</v>
      </c>
      <c r="E1133" s="227" t="s">
        <v>3189</v>
      </c>
      <c r="F1133" s="227" t="s">
        <v>2697</v>
      </c>
      <c r="G1133" s="227" t="s">
        <v>2497</v>
      </c>
      <c r="H1133" s="253" t="s">
        <v>3190</v>
      </c>
      <c r="I1133" s="253" t="s">
        <v>2746</v>
      </c>
      <c r="J1133" s="227" t="s">
        <v>2548</v>
      </c>
      <c r="K1133" s="253" t="s">
        <v>3130</v>
      </c>
      <c r="L1133" s="253" t="s">
        <v>2796</v>
      </c>
      <c r="M1133" s="227" t="s">
        <v>2797</v>
      </c>
      <c r="N1133" s="293"/>
      <c r="O1133" s="293" t="str">
        <f>TablaPOA[[#This Row],[Cod_Sub_acción_especifica]]&amp;"_"&amp;TablaPOA[[#This Row],[Tipo de agente]]</f>
        <v>K31.4.1.2_EVP combustibles de uso automotor</v>
      </c>
      <c r="P1133" s="254" t="s">
        <v>2882</v>
      </c>
      <c r="Q1133" s="292" t="str">
        <f>TablaPOA[[#This Row],[Cod_Sub_acción_especifica]]&amp;"_"&amp;TablaPOA[[#This Row],[Cod_Tipo_agente]]</f>
        <v>K31.4.1.2_TA6</v>
      </c>
      <c r="R1133" s="254" t="s">
        <v>2883</v>
      </c>
      <c r="S1133" s="255" t="s">
        <v>2898</v>
      </c>
      <c r="T1133" s="271" t="s">
        <v>2899</v>
      </c>
    </row>
    <row r="1134" spans="1:20" ht="25.5" x14ac:dyDescent="0.25">
      <c r="A1134" s="219" t="s">
        <v>2314</v>
      </c>
      <c r="B1134" s="227">
        <v>31</v>
      </c>
      <c r="C1134" s="227" t="s">
        <v>2691</v>
      </c>
      <c r="D1134" s="227" t="s">
        <v>2988</v>
      </c>
      <c r="E1134" s="227" t="s">
        <v>3189</v>
      </c>
      <c r="F1134" s="227" t="s">
        <v>2697</v>
      </c>
      <c r="G1134" s="227" t="s">
        <v>2497</v>
      </c>
      <c r="H1134" s="253" t="s">
        <v>3190</v>
      </c>
      <c r="I1134" s="253" t="s">
        <v>2746</v>
      </c>
      <c r="J1134" s="227" t="s">
        <v>2548</v>
      </c>
      <c r="K1134" s="253" t="s">
        <v>3130</v>
      </c>
      <c r="L1134" s="253" t="s">
        <v>2796</v>
      </c>
      <c r="M1134" s="227" t="s">
        <v>2797</v>
      </c>
      <c r="N1134" s="293"/>
      <c r="O1134" s="293" t="str">
        <f>TablaPOA[[#This Row],[Cod_Sub_acción_especifica]]&amp;"_"&amp;TablaPOA[[#This Row],[Tipo de agente]]</f>
        <v>K31.4.1.2_EVP combustibles de uso automotor</v>
      </c>
      <c r="P1134" s="254" t="s">
        <v>2882</v>
      </c>
      <c r="Q1134" s="292" t="str">
        <f>TablaPOA[[#This Row],[Cod_Sub_acción_especifica]]&amp;"_"&amp;TablaPOA[[#This Row],[Cod_Tipo_agente]]</f>
        <v>K31.4.1.2_TA6</v>
      </c>
      <c r="R1134" s="254" t="s">
        <v>2883</v>
      </c>
      <c r="S1134" s="255" t="s">
        <v>2900</v>
      </c>
      <c r="T1134" s="271" t="s">
        <v>2901</v>
      </c>
    </row>
    <row r="1135" spans="1:20" ht="25.5" x14ac:dyDescent="0.25">
      <c r="A1135" s="219" t="s">
        <v>2314</v>
      </c>
      <c r="B1135" s="227">
        <v>31</v>
      </c>
      <c r="C1135" s="227" t="s">
        <v>2691</v>
      </c>
      <c r="D1135" s="227" t="s">
        <v>2988</v>
      </c>
      <c r="E1135" s="227" t="s">
        <v>3189</v>
      </c>
      <c r="F1135" s="227" t="s">
        <v>2697</v>
      </c>
      <c r="G1135" s="227" t="s">
        <v>2497</v>
      </c>
      <c r="H1135" s="253" t="s">
        <v>3190</v>
      </c>
      <c r="I1135" s="253" t="s">
        <v>2746</v>
      </c>
      <c r="J1135" s="227" t="s">
        <v>2548</v>
      </c>
      <c r="K1135" s="253" t="s">
        <v>3130</v>
      </c>
      <c r="L1135" s="253" t="s">
        <v>2796</v>
      </c>
      <c r="M1135" s="227" t="s">
        <v>2797</v>
      </c>
      <c r="N1135" s="293"/>
      <c r="O1135" s="293" t="str">
        <f>TablaPOA[[#This Row],[Cod_Sub_acción_especifica]]&amp;"_"&amp;TablaPOA[[#This Row],[Tipo de agente]]</f>
        <v>K31.4.1.2_Locales de venta de GLP</v>
      </c>
      <c r="P1135" s="254" t="s">
        <v>2912</v>
      </c>
      <c r="Q1135" s="292" t="str">
        <f>TablaPOA[[#This Row],[Cod_Sub_acción_especifica]]&amp;"_"&amp;TablaPOA[[#This Row],[Cod_Tipo_agente]]</f>
        <v>K31.4.1.2_TA8</v>
      </c>
      <c r="R1135" s="254" t="s">
        <v>2913</v>
      </c>
      <c r="S1135" s="255" t="s">
        <v>2914</v>
      </c>
      <c r="T1135" s="271" t="s">
        <v>2915</v>
      </c>
    </row>
    <row r="1136" spans="1:20" ht="25.5" x14ac:dyDescent="0.25">
      <c r="A1136" s="219" t="s">
        <v>2314</v>
      </c>
      <c r="B1136" s="227">
        <v>31</v>
      </c>
      <c r="C1136" s="227" t="s">
        <v>2691</v>
      </c>
      <c r="D1136" s="227" t="s">
        <v>2988</v>
      </c>
      <c r="E1136" s="227" t="s">
        <v>3189</v>
      </c>
      <c r="F1136" s="227" t="s">
        <v>2697</v>
      </c>
      <c r="G1136" s="227" t="s">
        <v>2497</v>
      </c>
      <c r="H1136" s="253" t="s">
        <v>3190</v>
      </c>
      <c r="I1136" s="253" t="s">
        <v>2746</v>
      </c>
      <c r="J1136" s="227" t="s">
        <v>2548</v>
      </c>
      <c r="K1136" s="253" t="s">
        <v>3130</v>
      </c>
      <c r="L1136" s="253" t="s">
        <v>2796</v>
      </c>
      <c r="M1136" s="227" t="s">
        <v>2797</v>
      </c>
      <c r="N1136" s="293"/>
      <c r="O1136" s="293" t="str">
        <f>TablaPOA[[#This Row],[Cod_Sub_acción_especifica]]&amp;"_"&amp;TablaPOA[[#This Row],[Tipo de agente]]</f>
        <v>K31.4.1.2_Locales de venta de GLP</v>
      </c>
      <c r="P1136" s="254" t="s">
        <v>2912</v>
      </c>
      <c r="Q1136" s="292" t="str">
        <f>TablaPOA[[#This Row],[Cod_Sub_acción_especifica]]&amp;"_"&amp;TablaPOA[[#This Row],[Cod_Tipo_agente]]</f>
        <v>K31.4.1.2_TA8</v>
      </c>
      <c r="R1136" s="254" t="s">
        <v>2913</v>
      </c>
      <c r="S1136" s="255" t="s">
        <v>2916</v>
      </c>
      <c r="T1136" s="271" t="s">
        <v>2917</v>
      </c>
    </row>
    <row r="1137" spans="1:20" ht="25.5" x14ac:dyDescent="0.25">
      <c r="A1137" s="219" t="s">
        <v>2314</v>
      </c>
      <c r="B1137" s="227">
        <v>31</v>
      </c>
      <c r="C1137" s="227" t="s">
        <v>2691</v>
      </c>
      <c r="D1137" s="227" t="s">
        <v>2988</v>
      </c>
      <c r="E1137" s="227" t="s">
        <v>3189</v>
      </c>
      <c r="F1137" s="227" t="s">
        <v>2697</v>
      </c>
      <c r="G1137" s="227" t="s">
        <v>2497</v>
      </c>
      <c r="H1137" s="253" t="s">
        <v>3190</v>
      </c>
      <c r="I1137" s="253" t="s">
        <v>2746</v>
      </c>
      <c r="J1137" s="227" t="s">
        <v>2548</v>
      </c>
      <c r="K1137" s="253" t="s">
        <v>3130</v>
      </c>
      <c r="L1137" s="253" t="s">
        <v>2796</v>
      </c>
      <c r="M1137" s="227" t="s">
        <v>2797</v>
      </c>
      <c r="N1137" s="293"/>
      <c r="O1137" s="293" t="str">
        <f>TablaPOA[[#This Row],[Cod_Sub_acción_especifica]]&amp;"_"&amp;TablaPOA[[#This Row],[Tipo de agente]]</f>
        <v>K31.4.1.2_Medios de transporte</v>
      </c>
      <c r="P1137" s="254" t="s">
        <v>2918</v>
      </c>
      <c r="Q1137" s="292" t="str">
        <f>TablaPOA[[#This Row],[Cod_Sub_acción_especifica]]&amp;"_"&amp;TablaPOA[[#This Row],[Cod_Tipo_agente]]</f>
        <v>K31.4.1.2_TA9</v>
      </c>
      <c r="R1137" s="254" t="s">
        <v>2919</v>
      </c>
      <c r="S1137" s="255" t="s">
        <v>2920</v>
      </c>
      <c r="T1137" s="271" t="s">
        <v>2921</v>
      </c>
    </row>
    <row r="1138" spans="1:20" ht="25.5" x14ac:dyDescent="0.25">
      <c r="A1138" s="219" t="s">
        <v>2314</v>
      </c>
      <c r="B1138" s="227">
        <v>31</v>
      </c>
      <c r="C1138" s="227" t="s">
        <v>2691</v>
      </c>
      <c r="D1138" s="227" t="s">
        <v>2988</v>
      </c>
      <c r="E1138" s="227" t="s">
        <v>3189</v>
      </c>
      <c r="F1138" s="227" t="s">
        <v>2697</v>
      </c>
      <c r="G1138" s="227" t="s">
        <v>2497</v>
      </c>
      <c r="H1138" s="253" t="s">
        <v>3190</v>
      </c>
      <c r="I1138" s="253" t="s">
        <v>2746</v>
      </c>
      <c r="J1138" s="227" t="s">
        <v>2548</v>
      </c>
      <c r="K1138" s="253" t="s">
        <v>3130</v>
      </c>
      <c r="L1138" s="253" t="s">
        <v>2796</v>
      </c>
      <c r="M1138" s="227" t="s">
        <v>2797</v>
      </c>
      <c r="N1138" s="293"/>
      <c r="O1138" s="293" t="str">
        <f>TablaPOA[[#This Row],[Cod_Sub_acción_especifica]]&amp;"_"&amp;TablaPOA[[#This Row],[Tipo de agente]]</f>
        <v>K31.4.1.2_Medios de transporte</v>
      </c>
      <c r="P1138" s="254" t="s">
        <v>2918</v>
      </c>
      <c r="Q1138" s="292" t="str">
        <f>TablaPOA[[#This Row],[Cod_Sub_acción_especifica]]&amp;"_"&amp;TablaPOA[[#This Row],[Cod_Tipo_agente]]</f>
        <v>K31.4.1.2_TA9</v>
      </c>
      <c r="R1138" s="254" t="s">
        <v>2919</v>
      </c>
      <c r="S1138" s="255" t="s">
        <v>2922</v>
      </c>
      <c r="T1138" s="271" t="s">
        <v>2923</v>
      </c>
    </row>
    <row r="1139" spans="1:20" ht="25.5" x14ac:dyDescent="0.25">
      <c r="A1139" s="219" t="s">
        <v>2314</v>
      </c>
      <c r="B1139" s="227">
        <v>31</v>
      </c>
      <c r="C1139" s="227" t="s">
        <v>2691</v>
      </c>
      <c r="D1139" s="227" t="s">
        <v>2988</v>
      </c>
      <c r="E1139" s="227" t="s">
        <v>3189</v>
      </c>
      <c r="F1139" s="227" t="s">
        <v>2697</v>
      </c>
      <c r="G1139" s="227" t="s">
        <v>2497</v>
      </c>
      <c r="H1139" s="253" t="s">
        <v>3190</v>
      </c>
      <c r="I1139" s="253" t="s">
        <v>2746</v>
      </c>
      <c r="J1139" s="227" t="s">
        <v>2548</v>
      </c>
      <c r="K1139" s="253" t="s">
        <v>3130</v>
      </c>
      <c r="L1139" s="253" t="s">
        <v>2796</v>
      </c>
      <c r="M1139" s="227" t="s">
        <v>2797</v>
      </c>
      <c r="N1139" s="293"/>
      <c r="O1139" s="293" t="str">
        <f>TablaPOA[[#This Row],[Cod_Sub_acción_especifica]]&amp;"_"&amp;TablaPOA[[#This Row],[Tipo de agente]]</f>
        <v>K31.4.1.2_Medios de transporte</v>
      </c>
      <c r="P1139" s="254" t="s">
        <v>2918</v>
      </c>
      <c r="Q1139" s="292" t="str">
        <f>TablaPOA[[#This Row],[Cod_Sub_acción_especifica]]&amp;"_"&amp;TablaPOA[[#This Row],[Cod_Tipo_agente]]</f>
        <v>K31.4.1.2_TA9</v>
      </c>
      <c r="R1139" s="254" t="s">
        <v>2919</v>
      </c>
      <c r="S1139" s="255" t="s">
        <v>2924</v>
      </c>
      <c r="T1139" s="271" t="s">
        <v>2925</v>
      </c>
    </row>
    <row r="1140" spans="1:20" ht="25.5" x14ac:dyDescent="0.25">
      <c r="A1140" s="219" t="s">
        <v>2314</v>
      </c>
      <c r="B1140" s="227">
        <v>31</v>
      </c>
      <c r="C1140" s="227" t="s">
        <v>2691</v>
      </c>
      <c r="D1140" s="227" t="s">
        <v>2988</v>
      </c>
      <c r="E1140" s="227" t="s">
        <v>3189</v>
      </c>
      <c r="F1140" s="227" t="s">
        <v>2697</v>
      </c>
      <c r="G1140" s="227" t="s">
        <v>2497</v>
      </c>
      <c r="H1140" s="253" t="s">
        <v>3190</v>
      </c>
      <c r="I1140" s="253" t="s">
        <v>2746</v>
      </c>
      <c r="J1140" s="227" t="s">
        <v>2548</v>
      </c>
      <c r="K1140" s="253" t="s">
        <v>3130</v>
      </c>
      <c r="L1140" s="253" t="s">
        <v>2796</v>
      </c>
      <c r="M1140" s="227" t="s">
        <v>2797</v>
      </c>
      <c r="N1140" s="293"/>
      <c r="O1140" s="293" t="str">
        <f>TablaPOA[[#This Row],[Cod_Sub_acción_especifica]]&amp;"_"&amp;TablaPOA[[#This Row],[Tipo de agente]]</f>
        <v>K31.4.1.2_Medios de transporte</v>
      </c>
      <c r="P1140" s="254" t="s">
        <v>2918</v>
      </c>
      <c r="Q1140" s="292" t="str">
        <f>TablaPOA[[#This Row],[Cod_Sub_acción_especifica]]&amp;"_"&amp;TablaPOA[[#This Row],[Cod_Tipo_agente]]</f>
        <v>K31.4.1.2_TA9</v>
      </c>
      <c r="R1140" s="254" t="s">
        <v>2919</v>
      </c>
      <c r="S1140" s="255" t="s">
        <v>2926</v>
      </c>
      <c r="T1140" s="271" t="s">
        <v>2927</v>
      </c>
    </row>
    <row r="1141" spans="1:20" ht="25.5" x14ac:dyDescent="0.25">
      <c r="A1141" s="219" t="s">
        <v>2314</v>
      </c>
      <c r="B1141" s="227">
        <v>31</v>
      </c>
      <c r="C1141" s="227" t="s">
        <v>2691</v>
      </c>
      <c r="D1141" s="227" t="s">
        <v>2988</v>
      </c>
      <c r="E1141" s="227" t="s">
        <v>3189</v>
      </c>
      <c r="F1141" s="227" t="s">
        <v>2697</v>
      </c>
      <c r="G1141" s="227" t="s">
        <v>2497</v>
      </c>
      <c r="H1141" s="253" t="s">
        <v>3190</v>
      </c>
      <c r="I1141" s="253" t="s">
        <v>2746</v>
      </c>
      <c r="J1141" s="227" t="s">
        <v>2548</v>
      </c>
      <c r="K1141" s="253" t="s">
        <v>3130</v>
      </c>
      <c r="L1141" s="253" t="s">
        <v>2796</v>
      </c>
      <c r="M1141" s="227" t="s">
        <v>2797</v>
      </c>
      <c r="N1141" s="293"/>
      <c r="O1141" s="293" t="str">
        <f>TablaPOA[[#This Row],[Cod_Sub_acción_especifica]]&amp;"_"&amp;TablaPOA[[#This Row],[Tipo de agente]]</f>
        <v>K31.4.1.2_Medios de transporte</v>
      </c>
      <c r="P1141" s="254" t="s">
        <v>2918</v>
      </c>
      <c r="Q1141" s="292" t="str">
        <f>TablaPOA[[#This Row],[Cod_Sub_acción_especifica]]&amp;"_"&amp;TablaPOA[[#This Row],[Cod_Tipo_agente]]</f>
        <v>K31.4.1.2_TA9</v>
      </c>
      <c r="R1141" s="254" t="s">
        <v>2919</v>
      </c>
      <c r="S1141" s="255" t="s">
        <v>2928</v>
      </c>
      <c r="T1141" s="271" t="s">
        <v>2929</v>
      </c>
    </row>
    <row r="1142" spans="1:20" ht="25.5" x14ac:dyDescent="0.25">
      <c r="A1142" s="219" t="s">
        <v>2314</v>
      </c>
      <c r="B1142" s="227">
        <v>31</v>
      </c>
      <c r="C1142" s="227" t="s">
        <v>2691</v>
      </c>
      <c r="D1142" s="227" t="s">
        <v>2988</v>
      </c>
      <c r="E1142" s="227" t="s">
        <v>3189</v>
      </c>
      <c r="F1142" s="227" t="s">
        <v>2697</v>
      </c>
      <c r="G1142" s="227" t="s">
        <v>2497</v>
      </c>
      <c r="H1142" s="253" t="s">
        <v>3190</v>
      </c>
      <c r="I1142" s="253" t="s">
        <v>2746</v>
      </c>
      <c r="J1142" s="227" t="s">
        <v>2548</v>
      </c>
      <c r="K1142" s="253" t="s">
        <v>3130</v>
      </c>
      <c r="L1142" s="253" t="s">
        <v>2796</v>
      </c>
      <c r="M1142" s="227" t="s">
        <v>2797</v>
      </c>
      <c r="N1142" s="293"/>
      <c r="O1142" s="293" t="str">
        <f>TablaPOA[[#This Row],[Cod_Sub_acción_especifica]]&amp;"_"&amp;TablaPOA[[#This Row],[Tipo de agente]]</f>
        <v>K31.4.1.2_Medios de transporte</v>
      </c>
      <c r="P1142" s="254" t="s">
        <v>2918</v>
      </c>
      <c r="Q1142" s="292" t="str">
        <f>TablaPOA[[#This Row],[Cod_Sub_acción_especifica]]&amp;"_"&amp;TablaPOA[[#This Row],[Cod_Tipo_agente]]</f>
        <v>K31.4.1.2_TA9</v>
      </c>
      <c r="R1142" s="254" t="s">
        <v>2919</v>
      </c>
      <c r="S1142" s="255" t="s">
        <v>2930</v>
      </c>
      <c r="T1142" s="271" t="s">
        <v>2931</v>
      </c>
    </row>
    <row r="1143" spans="1:20" ht="25.5" x14ac:dyDescent="0.25">
      <c r="A1143" s="219" t="s">
        <v>2314</v>
      </c>
      <c r="B1143" s="227">
        <v>31</v>
      </c>
      <c r="C1143" s="227" t="s">
        <v>2691</v>
      </c>
      <c r="D1143" s="227" t="s">
        <v>2988</v>
      </c>
      <c r="E1143" s="227" t="s">
        <v>3189</v>
      </c>
      <c r="F1143" s="227" t="s">
        <v>2697</v>
      </c>
      <c r="G1143" s="227" t="s">
        <v>2497</v>
      </c>
      <c r="H1143" s="253" t="s">
        <v>3190</v>
      </c>
      <c r="I1143" s="253" t="s">
        <v>2746</v>
      </c>
      <c r="J1143" s="227" t="s">
        <v>2548</v>
      </c>
      <c r="K1143" s="253" t="s">
        <v>3130</v>
      </c>
      <c r="L1143" s="253" t="s">
        <v>2796</v>
      </c>
      <c r="M1143" s="227" t="s">
        <v>2797</v>
      </c>
      <c r="N1143" s="293"/>
      <c r="O1143" s="293" t="str">
        <f>TablaPOA[[#This Row],[Cod_Sub_acción_especifica]]&amp;"_"&amp;TablaPOA[[#This Row],[Tipo de agente]]</f>
        <v>K31.4.1.2_Medios de transporte</v>
      </c>
      <c r="P1143" s="254" t="s">
        <v>2918</v>
      </c>
      <c r="Q1143" s="292" t="str">
        <f>TablaPOA[[#This Row],[Cod_Sub_acción_especifica]]&amp;"_"&amp;TablaPOA[[#This Row],[Cod_Tipo_agente]]</f>
        <v>K31.4.1.2_TA9</v>
      </c>
      <c r="R1143" s="254" t="s">
        <v>2919</v>
      </c>
      <c r="S1143" s="255" t="s">
        <v>2932</v>
      </c>
      <c r="T1143" s="271" t="s">
        <v>2933</v>
      </c>
    </row>
    <row r="1144" spans="1:20" ht="25.5" x14ac:dyDescent="0.25">
      <c r="A1144" s="219" t="s">
        <v>2314</v>
      </c>
      <c r="B1144" s="227">
        <v>31</v>
      </c>
      <c r="C1144" s="227" t="s">
        <v>2691</v>
      </c>
      <c r="D1144" s="227" t="s">
        <v>2988</v>
      </c>
      <c r="E1144" s="227" t="s">
        <v>3189</v>
      </c>
      <c r="F1144" s="227" t="s">
        <v>2697</v>
      </c>
      <c r="G1144" s="227" t="s">
        <v>2497</v>
      </c>
      <c r="H1144" s="253" t="s">
        <v>3190</v>
      </c>
      <c r="I1144" s="253" t="s">
        <v>2746</v>
      </c>
      <c r="J1144" s="227" t="s">
        <v>2548</v>
      </c>
      <c r="K1144" s="253" t="s">
        <v>3130</v>
      </c>
      <c r="L1144" s="253" t="s">
        <v>2796</v>
      </c>
      <c r="M1144" s="227" t="s">
        <v>2797</v>
      </c>
      <c r="N1144" s="293"/>
      <c r="O1144" s="293" t="str">
        <f>TablaPOA[[#This Row],[Cod_Sub_acción_especifica]]&amp;"_"&amp;TablaPOA[[#This Row],[Tipo de agente]]</f>
        <v>K31.4.1.2_Medios de transporte</v>
      </c>
      <c r="P1144" s="254" t="s">
        <v>2918</v>
      </c>
      <c r="Q1144" s="292" t="str">
        <f>TablaPOA[[#This Row],[Cod_Sub_acción_especifica]]&amp;"_"&amp;TablaPOA[[#This Row],[Cod_Tipo_agente]]</f>
        <v>K31.4.1.2_TA9</v>
      </c>
      <c r="R1144" s="254" t="s">
        <v>2919</v>
      </c>
      <c r="S1144" s="255" t="s">
        <v>2934</v>
      </c>
      <c r="T1144" s="271" t="s">
        <v>2935</v>
      </c>
    </row>
    <row r="1145" spans="1:20" ht="25.5" x14ac:dyDescent="0.25">
      <c r="A1145" s="219" t="s">
        <v>2314</v>
      </c>
      <c r="B1145" s="227">
        <v>31</v>
      </c>
      <c r="C1145" s="227" t="s">
        <v>2691</v>
      </c>
      <c r="D1145" s="227" t="s">
        <v>2988</v>
      </c>
      <c r="E1145" s="227" t="s">
        <v>3189</v>
      </c>
      <c r="F1145" s="227" t="s">
        <v>2697</v>
      </c>
      <c r="G1145" s="227" t="s">
        <v>2497</v>
      </c>
      <c r="H1145" s="253" t="s">
        <v>3190</v>
      </c>
      <c r="I1145" s="253" t="s">
        <v>2746</v>
      </c>
      <c r="J1145" s="227" t="s">
        <v>2548</v>
      </c>
      <c r="K1145" s="253" t="s">
        <v>3130</v>
      </c>
      <c r="L1145" s="253" t="s">
        <v>2796</v>
      </c>
      <c r="M1145" s="227" t="s">
        <v>2797</v>
      </c>
      <c r="N1145" s="293"/>
      <c r="O1145" s="293" t="str">
        <f>TablaPOA[[#This Row],[Cod_Sub_acción_especifica]]&amp;"_"&amp;TablaPOA[[#This Row],[Tipo de agente]]</f>
        <v>K31.4.1.2_Medios de transporte</v>
      </c>
      <c r="P1145" s="254" t="s">
        <v>2918</v>
      </c>
      <c r="Q1145" s="292" t="str">
        <f>TablaPOA[[#This Row],[Cod_Sub_acción_especifica]]&amp;"_"&amp;TablaPOA[[#This Row],[Cod_Tipo_agente]]</f>
        <v>K31.4.1.2_TA9</v>
      </c>
      <c r="R1145" s="254" t="s">
        <v>2919</v>
      </c>
      <c r="S1145" s="255" t="s">
        <v>2936</v>
      </c>
      <c r="T1145" s="271" t="s">
        <v>2937</v>
      </c>
    </row>
    <row r="1146" spans="1:20" ht="25.5" x14ac:dyDescent="0.25">
      <c r="A1146" s="219" t="s">
        <v>2314</v>
      </c>
      <c r="B1146" s="227">
        <v>31</v>
      </c>
      <c r="C1146" s="227" t="s">
        <v>2691</v>
      </c>
      <c r="D1146" s="227" t="s">
        <v>2988</v>
      </c>
      <c r="E1146" s="227" t="s">
        <v>3189</v>
      </c>
      <c r="F1146" s="227" t="s">
        <v>2697</v>
      </c>
      <c r="G1146" s="227" t="s">
        <v>2497</v>
      </c>
      <c r="H1146" s="253" t="s">
        <v>3190</v>
      </c>
      <c r="I1146" s="253" t="s">
        <v>2746</v>
      </c>
      <c r="J1146" s="227" t="s">
        <v>2548</v>
      </c>
      <c r="K1146" s="253" t="s">
        <v>3130</v>
      </c>
      <c r="L1146" s="253" t="s">
        <v>2796</v>
      </c>
      <c r="M1146" s="227" t="s">
        <v>2797</v>
      </c>
      <c r="N1146" s="293"/>
      <c r="O1146" s="293" t="str">
        <f>TablaPOA[[#This Row],[Cod_Sub_acción_especifica]]&amp;"_"&amp;TablaPOA[[#This Row],[Tipo de agente]]</f>
        <v>K31.4.1.2_Medios de transporte</v>
      </c>
      <c r="P1146" s="254" t="s">
        <v>2918</v>
      </c>
      <c r="Q1146" s="292" t="str">
        <f>TablaPOA[[#This Row],[Cod_Sub_acción_especifica]]&amp;"_"&amp;TablaPOA[[#This Row],[Cod_Tipo_agente]]</f>
        <v>K31.4.1.2_TA9</v>
      </c>
      <c r="R1146" s="254" t="s">
        <v>2919</v>
      </c>
      <c r="S1146" s="255" t="s">
        <v>2938</v>
      </c>
      <c r="T1146" s="271" t="s">
        <v>2939</v>
      </c>
    </row>
    <row r="1147" spans="1:20" ht="25.5" x14ac:dyDescent="0.25">
      <c r="A1147" s="219" t="s">
        <v>2314</v>
      </c>
      <c r="B1147" s="227">
        <v>31</v>
      </c>
      <c r="C1147" s="227" t="s">
        <v>2691</v>
      </c>
      <c r="D1147" s="227" t="s">
        <v>2988</v>
      </c>
      <c r="E1147" s="227" t="s">
        <v>3189</v>
      </c>
      <c r="F1147" s="227" t="s">
        <v>2697</v>
      </c>
      <c r="G1147" s="227" t="s">
        <v>2497</v>
      </c>
      <c r="H1147" s="253" t="s">
        <v>3190</v>
      </c>
      <c r="I1147" s="253" t="s">
        <v>2746</v>
      </c>
      <c r="J1147" s="227" t="s">
        <v>2548</v>
      </c>
      <c r="K1147" s="253" t="s">
        <v>3130</v>
      </c>
      <c r="L1147" s="253" t="s">
        <v>2796</v>
      </c>
      <c r="M1147" s="227" t="s">
        <v>2797</v>
      </c>
      <c r="N1147" s="293"/>
      <c r="O1147" s="293" t="str">
        <f>TablaPOA[[#This Row],[Cod_Sub_acción_especifica]]&amp;"_"&amp;TablaPOA[[#This Row],[Tipo de agente]]</f>
        <v>K31.4.1.2_Medios de transporte</v>
      </c>
      <c r="P1147" s="254" t="s">
        <v>2918</v>
      </c>
      <c r="Q1147" s="292" t="str">
        <f>TablaPOA[[#This Row],[Cod_Sub_acción_especifica]]&amp;"_"&amp;TablaPOA[[#This Row],[Cod_Tipo_agente]]</f>
        <v>K31.4.1.2_TA9</v>
      </c>
      <c r="R1147" s="254" t="s">
        <v>2919</v>
      </c>
      <c r="S1147" s="255" t="s">
        <v>2940</v>
      </c>
      <c r="T1147" s="271" t="s">
        <v>2941</v>
      </c>
    </row>
    <row r="1148" spans="1:20" ht="25.5" x14ac:dyDescent="0.25">
      <c r="A1148" s="219" t="s">
        <v>2314</v>
      </c>
      <c r="B1148" s="227">
        <v>31</v>
      </c>
      <c r="C1148" s="227" t="s">
        <v>2691</v>
      </c>
      <c r="D1148" s="227" t="s">
        <v>2988</v>
      </c>
      <c r="E1148" s="227" t="s">
        <v>3189</v>
      </c>
      <c r="F1148" s="227" t="s">
        <v>2697</v>
      </c>
      <c r="G1148" s="227" t="s">
        <v>2497</v>
      </c>
      <c r="H1148" s="253" t="s">
        <v>3190</v>
      </c>
      <c r="I1148" s="253" t="s">
        <v>2746</v>
      </c>
      <c r="J1148" s="227" t="s">
        <v>2548</v>
      </c>
      <c r="K1148" s="253" t="s">
        <v>3130</v>
      </c>
      <c r="L1148" s="253" t="s">
        <v>2796</v>
      </c>
      <c r="M1148" s="227" t="s">
        <v>2797</v>
      </c>
      <c r="N1148" s="293"/>
      <c r="O1148" s="293" t="str">
        <f>TablaPOA[[#This Row],[Cod_Sub_acción_especifica]]&amp;"_"&amp;TablaPOA[[#This Row],[Tipo de agente]]</f>
        <v>K31.4.1.2_Medios de transporte</v>
      </c>
      <c r="P1148" s="254" t="s">
        <v>2918</v>
      </c>
      <c r="Q1148" s="292" t="str">
        <f>TablaPOA[[#This Row],[Cod_Sub_acción_especifica]]&amp;"_"&amp;TablaPOA[[#This Row],[Cod_Tipo_agente]]</f>
        <v>K31.4.1.2_TA9</v>
      </c>
      <c r="R1148" s="254" t="s">
        <v>2919</v>
      </c>
      <c r="S1148" s="255" t="s">
        <v>2942</v>
      </c>
      <c r="T1148" s="271" t="s">
        <v>2943</v>
      </c>
    </row>
    <row r="1149" spans="1:20" ht="25.5" x14ac:dyDescent="0.25">
      <c r="A1149" s="219" t="s">
        <v>2314</v>
      </c>
      <c r="B1149" s="227">
        <v>31</v>
      </c>
      <c r="C1149" s="227" t="s">
        <v>2691</v>
      </c>
      <c r="D1149" s="227" t="s">
        <v>2988</v>
      </c>
      <c r="E1149" s="227" t="s">
        <v>3189</v>
      </c>
      <c r="F1149" s="227" t="s">
        <v>2697</v>
      </c>
      <c r="G1149" s="227" t="s">
        <v>2497</v>
      </c>
      <c r="H1149" s="253" t="s">
        <v>3190</v>
      </c>
      <c r="I1149" s="253" t="s">
        <v>2746</v>
      </c>
      <c r="J1149" s="227" t="s">
        <v>2548</v>
      </c>
      <c r="K1149" s="253" t="s">
        <v>3130</v>
      </c>
      <c r="L1149" s="253" t="s">
        <v>2796</v>
      </c>
      <c r="M1149" s="227" t="s">
        <v>2797</v>
      </c>
      <c r="N1149" s="293"/>
      <c r="O1149" s="293" t="str">
        <f>TablaPOA[[#This Row],[Cod_Sub_acción_especifica]]&amp;"_"&amp;TablaPOA[[#This Row],[Tipo de agente]]</f>
        <v>K31.4.1.2_Medios de transporte</v>
      </c>
      <c r="P1149" s="254" t="s">
        <v>2918</v>
      </c>
      <c r="Q1149" s="292" t="str">
        <f>TablaPOA[[#This Row],[Cod_Sub_acción_especifica]]&amp;"_"&amp;TablaPOA[[#This Row],[Cod_Tipo_agente]]</f>
        <v>K31.4.1.2_TA9</v>
      </c>
      <c r="R1149" s="254" t="s">
        <v>2919</v>
      </c>
      <c r="S1149" s="255" t="s">
        <v>2944</v>
      </c>
      <c r="T1149" s="271" t="s">
        <v>2945</v>
      </c>
    </row>
    <row r="1150" spans="1:20" ht="25.5" x14ac:dyDescent="0.25">
      <c r="A1150" s="219" t="s">
        <v>2314</v>
      </c>
      <c r="B1150" s="227">
        <v>31</v>
      </c>
      <c r="C1150" s="227" t="s">
        <v>2691</v>
      </c>
      <c r="D1150" s="227" t="s">
        <v>2988</v>
      </c>
      <c r="E1150" s="227" t="s">
        <v>3189</v>
      </c>
      <c r="F1150" s="227" t="s">
        <v>2697</v>
      </c>
      <c r="G1150" s="227" t="s">
        <v>2497</v>
      </c>
      <c r="H1150" s="253" t="s">
        <v>3190</v>
      </c>
      <c r="I1150" s="253" t="s">
        <v>2746</v>
      </c>
      <c r="J1150" s="227" t="s">
        <v>2548</v>
      </c>
      <c r="K1150" s="253" t="s">
        <v>3130</v>
      </c>
      <c r="L1150" s="253" t="s">
        <v>2796</v>
      </c>
      <c r="M1150" s="227" t="s">
        <v>2797</v>
      </c>
      <c r="N1150" s="293"/>
      <c r="O1150" s="293" t="str">
        <f>TablaPOA[[#This Row],[Cod_Sub_acción_especifica]]&amp;"_"&amp;TablaPOA[[#This Row],[Tipo de agente]]</f>
        <v>K31.4.1.2_Medios de transporte</v>
      </c>
      <c r="P1150" s="254" t="s">
        <v>2918</v>
      </c>
      <c r="Q1150" s="292" t="str">
        <f>TablaPOA[[#This Row],[Cod_Sub_acción_especifica]]&amp;"_"&amp;TablaPOA[[#This Row],[Cod_Tipo_agente]]</f>
        <v>K31.4.1.2_TA9</v>
      </c>
      <c r="R1150" s="254" t="s">
        <v>2919</v>
      </c>
      <c r="S1150" s="255" t="s">
        <v>2946</v>
      </c>
      <c r="T1150" s="271" t="s">
        <v>2947</v>
      </c>
    </row>
    <row r="1151" spans="1:20" ht="25.5" x14ac:dyDescent="0.25">
      <c r="A1151" s="219" t="s">
        <v>2314</v>
      </c>
      <c r="B1151" s="227">
        <v>31</v>
      </c>
      <c r="C1151" s="227" t="s">
        <v>2691</v>
      </c>
      <c r="D1151" s="227" t="s">
        <v>2988</v>
      </c>
      <c r="E1151" s="227" t="s">
        <v>3189</v>
      </c>
      <c r="F1151" s="227" t="s">
        <v>2697</v>
      </c>
      <c r="G1151" s="227" t="s">
        <v>2497</v>
      </c>
      <c r="H1151" s="253" t="s">
        <v>3190</v>
      </c>
      <c r="I1151" s="253" t="s">
        <v>2746</v>
      </c>
      <c r="J1151" s="227" t="s">
        <v>2548</v>
      </c>
      <c r="K1151" s="253" t="s">
        <v>3130</v>
      </c>
      <c r="L1151" s="253" t="s">
        <v>2796</v>
      </c>
      <c r="M1151" s="227" t="s">
        <v>2797</v>
      </c>
      <c r="N1151" s="293"/>
      <c r="O1151" s="293" t="str">
        <f>TablaPOA[[#This Row],[Cod_Sub_acción_especifica]]&amp;"_"&amp;TablaPOA[[#This Row],[Tipo de agente]]</f>
        <v>K31.4.1.2_Medios de transporte</v>
      </c>
      <c r="P1151" s="254" t="s">
        <v>2918</v>
      </c>
      <c r="Q1151" s="292" t="str">
        <f>TablaPOA[[#This Row],[Cod_Sub_acción_especifica]]&amp;"_"&amp;TablaPOA[[#This Row],[Cod_Tipo_agente]]</f>
        <v>K31.4.1.2_TA9</v>
      </c>
      <c r="R1151" s="254" t="s">
        <v>2919</v>
      </c>
      <c r="S1151" s="255" t="s">
        <v>2948</v>
      </c>
      <c r="T1151" s="271" t="s">
        <v>2949</v>
      </c>
    </row>
    <row r="1152" spans="1:20" ht="25.5" x14ac:dyDescent="0.25">
      <c r="A1152" s="219" t="s">
        <v>2314</v>
      </c>
      <c r="B1152" s="227">
        <v>31</v>
      </c>
      <c r="C1152" s="227" t="s">
        <v>2691</v>
      </c>
      <c r="D1152" s="227" t="s">
        <v>2988</v>
      </c>
      <c r="E1152" s="227" t="s">
        <v>3189</v>
      </c>
      <c r="F1152" s="227" t="s">
        <v>2697</v>
      </c>
      <c r="G1152" s="227" t="s">
        <v>2497</v>
      </c>
      <c r="H1152" s="253" t="s">
        <v>3190</v>
      </c>
      <c r="I1152" s="253" t="s">
        <v>2746</v>
      </c>
      <c r="J1152" s="227" t="s">
        <v>2548</v>
      </c>
      <c r="K1152" s="253" t="s">
        <v>3130</v>
      </c>
      <c r="L1152" s="253" t="s">
        <v>2796</v>
      </c>
      <c r="M1152" s="227" t="s">
        <v>2797</v>
      </c>
      <c r="N1152" s="293"/>
      <c r="O1152" s="293" t="str">
        <f>TablaPOA[[#This Row],[Cod_Sub_acción_especifica]]&amp;"_"&amp;TablaPOA[[#This Row],[Tipo de agente]]</f>
        <v>K31.4.1.2_Plantas de abastecimiento y despacho</v>
      </c>
      <c r="P1152" s="254" t="s">
        <v>2950</v>
      </c>
      <c r="Q1152" s="292" t="str">
        <f>TablaPOA[[#This Row],[Cod_Sub_acción_especifica]]&amp;"_"&amp;TablaPOA[[#This Row],[Cod_Tipo_agente]]</f>
        <v>K31.4.1.2_TA10</v>
      </c>
      <c r="R1152" s="254" t="s">
        <v>2951</v>
      </c>
      <c r="S1152" s="255" t="s">
        <v>2952</v>
      </c>
      <c r="T1152" s="271" t="s">
        <v>2953</v>
      </c>
    </row>
    <row r="1153" spans="1:20" ht="25.5" x14ac:dyDescent="0.25">
      <c r="A1153" s="219" t="s">
        <v>2314</v>
      </c>
      <c r="B1153" s="227">
        <v>31</v>
      </c>
      <c r="C1153" s="227" t="s">
        <v>2691</v>
      </c>
      <c r="D1153" s="227" t="s">
        <v>2988</v>
      </c>
      <c r="E1153" s="227" t="s">
        <v>3189</v>
      </c>
      <c r="F1153" s="227" t="s">
        <v>2697</v>
      </c>
      <c r="G1153" s="227" t="s">
        <v>2497</v>
      </c>
      <c r="H1153" s="253" t="s">
        <v>3190</v>
      </c>
      <c r="I1153" s="253" t="s">
        <v>2746</v>
      </c>
      <c r="J1153" s="227" t="s">
        <v>2548</v>
      </c>
      <c r="K1153" s="253" t="s">
        <v>3130</v>
      </c>
      <c r="L1153" s="253" t="s">
        <v>2796</v>
      </c>
      <c r="M1153" s="227" t="s">
        <v>2797</v>
      </c>
      <c r="N1153" s="293"/>
      <c r="O1153" s="293" t="str">
        <f>TablaPOA[[#This Row],[Cod_Sub_acción_especifica]]&amp;"_"&amp;TablaPOA[[#This Row],[Tipo de agente]]</f>
        <v>K31.4.1.2_Plantas de abastecimiento y despacho</v>
      </c>
      <c r="P1153" s="254" t="s">
        <v>2950</v>
      </c>
      <c r="Q1153" s="292" t="str">
        <f>TablaPOA[[#This Row],[Cod_Sub_acción_especifica]]&amp;"_"&amp;TablaPOA[[#This Row],[Cod_Tipo_agente]]</f>
        <v>K31.4.1.2_TA10</v>
      </c>
      <c r="R1153" s="254" t="s">
        <v>2951</v>
      </c>
      <c r="S1153" s="255" t="s">
        <v>2954</v>
      </c>
      <c r="T1153" s="271" t="s">
        <v>2955</v>
      </c>
    </row>
    <row r="1154" spans="1:20" ht="25.5" x14ac:dyDescent="0.25">
      <c r="A1154" s="219" t="s">
        <v>2314</v>
      </c>
      <c r="B1154" s="227">
        <v>31</v>
      </c>
      <c r="C1154" s="227" t="s">
        <v>2691</v>
      </c>
      <c r="D1154" s="227" t="s">
        <v>2988</v>
      </c>
      <c r="E1154" s="227" t="s">
        <v>3189</v>
      </c>
      <c r="F1154" s="227" t="s">
        <v>2697</v>
      </c>
      <c r="G1154" s="227" t="s">
        <v>2497</v>
      </c>
      <c r="H1154" s="253" t="s">
        <v>3190</v>
      </c>
      <c r="I1154" s="253" t="s">
        <v>2746</v>
      </c>
      <c r="J1154" s="227" t="s">
        <v>2548</v>
      </c>
      <c r="K1154" s="253" t="s">
        <v>3130</v>
      </c>
      <c r="L1154" s="253" t="s">
        <v>2796</v>
      </c>
      <c r="M1154" s="227" t="s">
        <v>2797</v>
      </c>
      <c r="N1154" s="293"/>
      <c r="O1154" s="293" t="str">
        <f>TablaPOA[[#This Row],[Cod_Sub_acción_especifica]]&amp;"_"&amp;TablaPOA[[#This Row],[Tipo de agente]]</f>
        <v>K31.4.1.2_Plantas de abastecimiento y despacho</v>
      </c>
      <c r="P1154" s="254" t="s">
        <v>2950</v>
      </c>
      <c r="Q1154" s="292" t="str">
        <f>TablaPOA[[#This Row],[Cod_Sub_acción_especifica]]&amp;"_"&amp;TablaPOA[[#This Row],[Cod_Tipo_agente]]</f>
        <v>K31.4.1.2_TA10</v>
      </c>
      <c r="R1154" s="254" t="s">
        <v>2951</v>
      </c>
      <c r="S1154" s="255" t="s">
        <v>2956</v>
      </c>
      <c r="T1154" s="271" t="s">
        <v>2957</v>
      </c>
    </row>
    <row r="1155" spans="1:20" ht="25.5" x14ac:dyDescent="0.25">
      <c r="A1155" s="219" t="s">
        <v>2314</v>
      </c>
      <c r="B1155" s="227">
        <v>31</v>
      </c>
      <c r="C1155" s="227" t="s">
        <v>2691</v>
      </c>
      <c r="D1155" s="227" t="s">
        <v>2988</v>
      </c>
      <c r="E1155" s="227" t="s">
        <v>3189</v>
      </c>
      <c r="F1155" s="227" t="s">
        <v>2697</v>
      </c>
      <c r="G1155" s="227" t="s">
        <v>2497</v>
      </c>
      <c r="H1155" s="253" t="s">
        <v>3190</v>
      </c>
      <c r="I1155" s="253" t="s">
        <v>2746</v>
      </c>
      <c r="J1155" s="227" t="s">
        <v>2548</v>
      </c>
      <c r="K1155" s="253" t="s">
        <v>3130</v>
      </c>
      <c r="L1155" s="253" t="s">
        <v>2796</v>
      </c>
      <c r="M1155" s="227" t="s">
        <v>2797</v>
      </c>
      <c r="N1155" s="293"/>
      <c r="O1155" s="293" t="str">
        <f>TablaPOA[[#This Row],[Cod_Sub_acción_especifica]]&amp;"_"&amp;TablaPOA[[#This Row],[Tipo de agente]]</f>
        <v>K31.4.1.2_Plantas de abastecimiento y despacho</v>
      </c>
      <c r="P1155" s="254" t="s">
        <v>2950</v>
      </c>
      <c r="Q1155" s="292" t="str">
        <f>TablaPOA[[#This Row],[Cod_Sub_acción_especifica]]&amp;"_"&amp;TablaPOA[[#This Row],[Cod_Tipo_agente]]</f>
        <v>K31.4.1.2_TA10</v>
      </c>
      <c r="R1155" s="254" t="s">
        <v>2951</v>
      </c>
      <c r="S1155" s="255" t="s">
        <v>2958</v>
      </c>
      <c r="T1155" s="271" t="s">
        <v>2959</v>
      </c>
    </row>
    <row r="1156" spans="1:20" ht="25.5" x14ac:dyDescent="0.25">
      <c r="A1156" s="219" t="s">
        <v>2314</v>
      </c>
      <c r="B1156" s="227">
        <v>31</v>
      </c>
      <c r="C1156" s="227" t="s">
        <v>2691</v>
      </c>
      <c r="D1156" s="227" t="s">
        <v>2988</v>
      </c>
      <c r="E1156" s="227" t="s">
        <v>3189</v>
      </c>
      <c r="F1156" s="227" t="s">
        <v>2697</v>
      </c>
      <c r="G1156" s="227" t="s">
        <v>2497</v>
      </c>
      <c r="H1156" s="253" t="s">
        <v>3190</v>
      </c>
      <c r="I1156" s="253" t="s">
        <v>2746</v>
      </c>
      <c r="J1156" s="227" t="s">
        <v>2548</v>
      </c>
      <c r="K1156" s="253" t="s">
        <v>3130</v>
      </c>
      <c r="L1156" s="253" t="s">
        <v>2796</v>
      </c>
      <c r="M1156" s="227" t="s">
        <v>2797</v>
      </c>
      <c r="N1156" s="293"/>
      <c r="O1156" s="293" t="str">
        <f>TablaPOA[[#This Row],[Cod_Sub_acción_especifica]]&amp;"_"&amp;TablaPOA[[#This Row],[Tipo de agente]]</f>
        <v>K31.4.1.2_Plantas de abastecimiento y despacho</v>
      </c>
      <c r="P1156" s="254" t="s">
        <v>2950</v>
      </c>
      <c r="Q1156" s="292" t="str">
        <f>TablaPOA[[#This Row],[Cod_Sub_acción_especifica]]&amp;"_"&amp;TablaPOA[[#This Row],[Cod_Tipo_agente]]</f>
        <v>K31.4.1.2_TA10</v>
      </c>
      <c r="R1156" s="254" t="s">
        <v>2951</v>
      </c>
      <c r="S1156" s="255" t="s">
        <v>2960</v>
      </c>
      <c r="T1156" s="271" t="s">
        <v>2961</v>
      </c>
    </row>
    <row r="1157" spans="1:20" ht="38.25" x14ac:dyDescent="0.25">
      <c r="A1157" s="219" t="s">
        <v>2314</v>
      </c>
      <c r="B1157" s="227">
        <v>31</v>
      </c>
      <c r="C1157" s="227" t="s">
        <v>2691</v>
      </c>
      <c r="D1157" s="227" t="s">
        <v>2988</v>
      </c>
      <c r="E1157" s="227" t="s">
        <v>3189</v>
      </c>
      <c r="F1157" s="227" t="s">
        <v>2697</v>
      </c>
      <c r="G1157" s="227" t="s">
        <v>2497</v>
      </c>
      <c r="H1157" s="253" t="s">
        <v>3190</v>
      </c>
      <c r="I1157" s="253" t="s">
        <v>2746</v>
      </c>
      <c r="J1157" s="227" t="s">
        <v>2548</v>
      </c>
      <c r="K1157" s="253" t="s">
        <v>3130</v>
      </c>
      <c r="L1157" s="253" t="s">
        <v>2796</v>
      </c>
      <c r="M1157" s="227" t="s">
        <v>2797</v>
      </c>
      <c r="N1157" s="293"/>
      <c r="O1157" s="293" t="str">
        <f>TablaPOA[[#This Row],[Cod_Sub_acción_especifica]]&amp;"_"&amp;TablaPOA[[#This Row],[Tipo de agente]]</f>
        <v>K31.4.1.2_Instalaciones de compresión, transferencia y descompresión de gas natural</v>
      </c>
      <c r="P1157" s="254" t="s">
        <v>2902</v>
      </c>
      <c r="Q1157" s="292" t="str">
        <f>TablaPOA[[#This Row],[Cod_Sub_acción_especifica]]&amp;"_"&amp;TablaPOA[[#This Row],[Cod_Tipo_agente]]</f>
        <v>K31.4.1.2_TA7</v>
      </c>
      <c r="R1157" s="254" t="s">
        <v>2903</v>
      </c>
      <c r="S1157" s="260">
        <v>607</v>
      </c>
      <c r="T1157" s="275" t="s">
        <v>2905</v>
      </c>
    </row>
    <row r="1158" spans="1:20" ht="38.25" x14ac:dyDescent="0.25">
      <c r="A1158" s="219" t="s">
        <v>2314</v>
      </c>
      <c r="B1158" s="227">
        <v>31</v>
      </c>
      <c r="C1158" s="227" t="s">
        <v>2691</v>
      </c>
      <c r="D1158" s="227" t="s">
        <v>2988</v>
      </c>
      <c r="E1158" s="227" t="s">
        <v>3189</v>
      </c>
      <c r="F1158" s="227" t="s">
        <v>2697</v>
      </c>
      <c r="G1158" s="227" t="s">
        <v>2497</v>
      </c>
      <c r="H1158" s="253" t="s">
        <v>3190</v>
      </c>
      <c r="I1158" s="253" t="s">
        <v>2746</v>
      </c>
      <c r="J1158" s="227" t="s">
        <v>2548</v>
      </c>
      <c r="K1158" s="253" t="s">
        <v>3130</v>
      </c>
      <c r="L1158" s="253" t="s">
        <v>2796</v>
      </c>
      <c r="M1158" s="227" t="s">
        <v>2797</v>
      </c>
      <c r="N1158" s="293"/>
      <c r="O1158" s="293" t="str">
        <f>TablaPOA[[#This Row],[Cod_Sub_acción_especifica]]&amp;"_"&amp;TablaPOA[[#This Row],[Tipo de agente]]</f>
        <v>K31.4.1.2_Instalaciones de compresión, transferencia y descompresión de gas natural</v>
      </c>
      <c r="P1158" s="254" t="s">
        <v>2902</v>
      </c>
      <c r="Q1158" s="292" t="str">
        <f>TablaPOA[[#This Row],[Cod_Sub_acción_especifica]]&amp;"_"&amp;TablaPOA[[#This Row],[Cod_Tipo_agente]]</f>
        <v>K31.4.1.2_TA7</v>
      </c>
      <c r="R1158" s="254" t="s">
        <v>2903</v>
      </c>
      <c r="S1158" s="260" t="s">
        <v>2906</v>
      </c>
      <c r="T1158" s="275" t="s">
        <v>2907</v>
      </c>
    </row>
    <row r="1159" spans="1:20" ht="38.25" x14ac:dyDescent="0.25">
      <c r="A1159" s="219" t="s">
        <v>2314</v>
      </c>
      <c r="B1159" s="227">
        <v>31</v>
      </c>
      <c r="C1159" s="227" t="s">
        <v>2691</v>
      </c>
      <c r="D1159" s="227" t="s">
        <v>2988</v>
      </c>
      <c r="E1159" s="227" t="s">
        <v>3189</v>
      </c>
      <c r="F1159" s="227" t="s">
        <v>2697</v>
      </c>
      <c r="G1159" s="227" t="s">
        <v>2497</v>
      </c>
      <c r="H1159" s="253" t="s">
        <v>3190</v>
      </c>
      <c r="I1159" s="253" t="s">
        <v>2746</v>
      </c>
      <c r="J1159" s="227" t="s">
        <v>2548</v>
      </c>
      <c r="K1159" s="253" t="s">
        <v>3130</v>
      </c>
      <c r="L1159" s="253" t="s">
        <v>2796</v>
      </c>
      <c r="M1159" s="227" t="s">
        <v>2797</v>
      </c>
      <c r="N1159" s="293"/>
      <c r="O1159" s="293" t="str">
        <f>TablaPOA[[#This Row],[Cod_Sub_acción_especifica]]&amp;"_"&amp;TablaPOA[[#This Row],[Tipo de agente]]</f>
        <v>K31.4.1.2_Instalaciones de compresión, transferencia y descompresión de gas natural</v>
      </c>
      <c r="P1159" s="254" t="s">
        <v>2902</v>
      </c>
      <c r="Q1159" s="292" t="str">
        <f>TablaPOA[[#This Row],[Cod_Sub_acción_especifica]]&amp;"_"&amp;TablaPOA[[#This Row],[Cod_Tipo_agente]]</f>
        <v>K31.4.1.2_TA7</v>
      </c>
      <c r="R1159" s="254" t="s">
        <v>2903</v>
      </c>
      <c r="S1159" s="260" t="s">
        <v>2908</v>
      </c>
      <c r="T1159" s="275" t="s">
        <v>2909</v>
      </c>
    </row>
    <row r="1160" spans="1:20" ht="38.25" x14ac:dyDescent="0.25">
      <c r="A1160" s="219" t="s">
        <v>2314</v>
      </c>
      <c r="B1160" s="227">
        <v>31</v>
      </c>
      <c r="C1160" s="227" t="s">
        <v>2691</v>
      </c>
      <c r="D1160" s="227" t="s">
        <v>2988</v>
      </c>
      <c r="E1160" s="227" t="s">
        <v>3189</v>
      </c>
      <c r="F1160" s="227" t="s">
        <v>2697</v>
      </c>
      <c r="G1160" s="227" t="s">
        <v>2497</v>
      </c>
      <c r="H1160" s="253" t="s">
        <v>3190</v>
      </c>
      <c r="I1160" s="253" t="s">
        <v>2746</v>
      </c>
      <c r="J1160" s="227" t="s">
        <v>2548</v>
      </c>
      <c r="K1160" s="253" t="s">
        <v>3130</v>
      </c>
      <c r="L1160" s="253" t="s">
        <v>2796</v>
      </c>
      <c r="M1160" s="227" t="s">
        <v>2797</v>
      </c>
      <c r="N1160" s="293"/>
      <c r="O1160" s="293" t="str">
        <f>TablaPOA[[#This Row],[Cod_Sub_acción_especifica]]&amp;"_"&amp;TablaPOA[[#This Row],[Tipo de agente]]</f>
        <v>K31.4.1.2_Instalaciones de compresión, transferencia y descompresión de gas natural</v>
      </c>
      <c r="P1160" s="254" t="s">
        <v>2902</v>
      </c>
      <c r="Q1160" s="292" t="str">
        <f>TablaPOA[[#This Row],[Cod_Sub_acción_especifica]]&amp;"_"&amp;TablaPOA[[#This Row],[Cod_Tipo_agente]]</f>
        <v>K31.4.1.2_TA7</v>
      </c>
      <c r="R1160" s="254" t="s">
        <v>2903</v>
      </c>
      <c r="S1160" s="260" t="s">
        <v>2910</v>
      </c>
      <c r="T1160" s="275" t="s">
        <v>2911</v>
      </c>
    </row>
    <row r="1161" spans="1:20" ht="25.5" x14ac:dyDescent="0.25">
      <c r="A1161" s="219" t="s">
        <v>2314</v>
      </c>
      <c r="B1161" s="227">
        <v>31</v>
      </c>
      <c r="C1161" s="227" t="s">
        <v>2691</v>
      </c>
      <c r="D1161" s="227" t="s">
        <v>2988</v>
      </c>
      <c r="E1161" s="227" t="s">
        <v>3189</v>
      </c>
      <c r="F1161" s="227" t="s">
        <v>2697</v>
      </c>
      <c r="G1161" s="227" t="s">
        <v>2497</v>
      </c>
      <c r="H1161" s="253" t="s">
        <v>3190</v>
      </c>
      <c r="I1161" s="253" t="s">
        <v>2746</v>
      </c>
      <c r="J1161" s="227" t="s">
        <v>2548</v>
      </c>
      <c r="K1161" s="253" t="s">
        <v>3130</v>
      </c>
      <c r="L1161" s="253" t="s">
        <v>2796</v>
      </c>
      <c r="M1161" s="227" t="s">
        <v>2797</v>
      </c>
      <c r="N1161" s="293"/>
      <c r="O1161" s="293" t="str">
        <f>TablaPOA[[#This Row],[Cod_Sub_acción_especifica]]&amp;"_"&amp;TablaPOA[[#This Row],[Tipo de agente]]</f>
        <v>K31.4.1.2_Productores y Plantas de procesamiento</v>
      </c>
      <c r="P1161" s="254" t="s">
        <v>2962</v>
      </c>
      <c r="Q1161" s="292" t="str">
        <f>TablaPOA[[#This Row],[Cod_Sub_acción_especifica]]&amp;"_"&amp;TablaPOA[[#This Row],[Cod_Tipo_agente]]</f>
        <v>K31.4.1.2_TA11</v>
      </c>
      <c r="R1161" s="254" t="s">
        <v>2963</v>
      </c>
      <c r="S1161" s="255" t="s">
        <v>2964</v>
      </c>
      <c r="T1161" s="271" t="s">
        <v>2965</v>
      </c>
    </row>
    <row r="1162" spans="1:20" ht="25.5" x14ac:dyDescent="0.25">
      <c r="A1162" s="219" t="s">
        <v>2314</v>
      </c>
      <c r="B1162" s="227">
        <v>31</v>
      </c>
      <c r="C1162" s="227" t="s">
        <v>2691</v>
      </c>
      <c r="D1162" s="227" t="s">
        <v>2988</v>
      </c>
      <c r="E1162" s="227" t="s">
        <v>3189</v>
      </c>
      <c r="F1162" s="227" t="s">
        <v>2697</v>
      </c>
      <c r="G1162" s="227" t="s">
        <v>2497</v>
      </c>
      <c r="H1162" s="253" t="s">
        <v>3190</v>
      </c>
      <c r="I1162" s="253" t="s">
        <v>2746</v>
      </c>
      <c r="J1162" s="227" t="s">
        <v>2548</v>
      </c>
      <c r="K1162" s="253" t="s">
        <v>3130</v>
      </c>
      <c r="L1162" s="253" t="s">
        <v>2796</v>
      </c>
      <c r="M1162" s="227" t="s">
        <v>2797</v>
      </c>
      <c r="N1162" s="293"/>
      <c r="O1162" s="293" t="str">
        <f>TablaPOA[[#This Row],[Cod_Sub_acción_especifica]]&amp;"_"&amp;TablaPOA[[#This Row],[Tipo de agente]]</f>
        <v>K31.4.1.2_Productores y Plantas de procesamiento</v>
      </c>
      <c r="P1162" s="254" t="s">
        <v>2962</v>
      </c>
      <c r="Q1162" s="292" t="str">
        <f>TablaPOA[[#This Row],[Cod_Sub_acción_especifica]]&amp;"_"&amp;TablaPOA[[#This Row],[Cod_Tipo_agente]]</f>
        <v>K31.4.1.2_TA11</v>
      </c>
      <c r="R1162" s="254" t="s">
        <v>2963</v>
      </c>
      <c r="S1162" s="255" t="s">
        <v>2966</v>
      </c>
      <c r="T1162" s="271" t="s">
        <v>2967</v>
      </c>
    </row>
    <row r="1163" spans="1:20" ht="25.5" x14ac:dyDescent="0.25">
      <c r="A1163" s="219" t="s">
        <v>2314</v>
      </c>
      <c r="B1163" s="227">
        <v>31</v>
      </c>
      <c r="C1163" s="227" t="s">
        <v>2691</v>
      </c>
      <c r="D1163" s="227" t="s">
        <v>2988</v>
      </c>
      <c r="E1163" s="227" t="s">
        <v>3189</v>
      </c>
      <c r="F1163" s="227" t="s">
        <v>2697</v>
      </c>
      <c r="G1163" s="227" t="s">
        <v>2497</v>
      </c>
      <c r="H1163" s="253" t="s">
        <v>3190</v>
      </c>
      <c r="I1163" s="253" t="s">
        <v>2746</v>
      </c>
      <c r="J1163" s="227" t="s">
        <v>2548</v>
      </c>
      <c r="K1163" s="253" t="s">
        <v>3130</v>
      </c>
      <c r="L1163" s="253" t="s">
        <v>2796</v>
      </c>
      <c r="M1163" s="227" t="s">
        <v>2797</v>
      </c>
      <c r="N1163" s="293"/>
      <c r="O1163" s="293" t="str">
        <f>TablaPOA[[#This Row],[Cod_Sub_acción_especifica]]&amp;"_"&amp;TablaPOA[[#This Row],[Tipo de agente]]</f>
        <v>K31.4.1.2_Productores y Plantas de procesamiento</v>
      </c>
      <c r="P1163" s="254" t="s">
        <v>2962</v>
      </c>
      <c r="Q1163" s="292" t="str">
        <f>TablaPOA[[#This Row],[Cod_Sub_acción_especifica]]&amp;"_"&amp;TablaPOA[[#This Row],[Cod_Tipo_agente]]</f>
        <v>K31.4.1.2_TA11</v>
      </c>
      <c r="R1163" s="254" t="s">
        <v>2963</v>
      </c>
      <c r="S1163" s="255" t="s">
        <v>2968</v>
      </c>
      <c r="T1163" s="271" t="s">
        <v>2969</v>
      </c>
    </row>
    <row r="1164" spans="1:20" ht="25.5" x14ac:dyDescent="0.25">
      <c r="A1164" s="219" t="s">
        <v>2314</v>
      </c>
      <c r="B1164" s="227">
        <v>31</v>
      </c>
      <c r="C1164" s="227" t="s">
        <v>2691</v>
      </c>
      <c r="D1164" s="227" t="s">
        <v>2988</v>
      </c>
      <c r="E1164" s="227" t="s">
        <v>3189</v>
      </c>
      <c r="F1164" s="227" t="s">
        <v>2697</v>
      </c>
      <c r="G1164" s="227" t="s">
        <v>2497</v>
      </c>
      <c r="H1164" s="253" t="s">
        <v>3190</v>
      </c>
      <c r="I1164" s="253" t="s">
        <v>2746</v>
      </c>
      <c r="J1164" s="227" t="s">
        <v>2548</v>
      </c>
      <c r="K1164" s="253" t="s">
        <v>3130</v>
      </c>
      <c r="L1164" s="253" t="s">
        <v>2796</v>
      </c>
      <c r="M1164" s="227" t="s">
        <v>2797</v>
      </c>
      <c r="N1164" s="293"/>
      <c r="O1164" s="293" t="str">
        <f>TablaPOA[[#This Row],[Cod_Sub_acción_especifica]]&amp;"_"&amp;TablaPOA[[#This Row],[Tipo de agente]]</f>
        <v>K31.4.1.2_Productores y Plantas de procesamiento</v>
      </c>
      <c r="P1164" s="254" t="s">
        <v>2962</v>
      </c>
      <c r="Q1164" s="292" t="str">
        <f>TablaPOA[[#This Row],[Cod_Sub_acción_especifica]]&amp;"_"&amp;TablaPOA[[#This Row],[Cod_Tipo_agente]]</f>
        <v>K31.4.1.2_TA11</v>
      </c>
      <c r="R1164" s="254" t="s">
        <v>2963</v>
      </c>
      <c r="S1164" s="255" t="s">
        <v>2970</v>
      </c>
      <c r="T1164" s="271" t="s">
        <v>2971</v>
      </c>
    </row>
    <row r="1165" spans="1:20" ht="25.5" x14ac:dyDescent="0.25">
      <c r="A1165" s="219" t="s">
        <v>2314</v>
      </c>
      <c r="B1165" s="227">
        <v>31</v>
      </c>
      <c r="C1165" s="227" t="s">
        <v>2691</v>
      </c>
      <c r="D1165" s="227" t="s">
        <v>2988</v>
      </c>
      <c r="E1165" s="227" t="s">
        <v>3189</v>
      </c>
      <c r="F1165" s="227" t="s">
        <v>2697</v>
      </c>
      <c r="G1165" s="227" t="s">
        <v>2497</v>
      </c>
      <c r="H1165" s="253" t="s">
        <v>3190</v>
      </c>
      <c r="I1165" s="253" t="s">
        <v>2746</v>
      </c>
      <c r="J1165" s="227" t="s">
        <v>2548</v>
      </c>
      <c r="K1165" s="253" t="s">
        <v>3130</v>
      </c>
      <c r="L1165" s="253" t="s">
        <v>2796</v>
      </c>
      <c r="M1165" s="227" t="s">
        <v>2797</v>
      </c>
      <c r="N1165" s="293"/>
      <c r="O1165" s="293" t="str">
        <f>TablaPOA[[#This Row],[Cod_Sub_acción_especifica]]&amp;"_"&amp;TablaPOA[[#This Row],[Tipo de agente]]</f>
        <v>K31.4.1.2_Productores y Plantas de procesamiento</v>
      </c>
      <c r="P1165" s="254" t="s">
        <v>2962</v>
      </c>
      <c r="Q1165" s="292" t="str">
        <f>TablaPOA[[#This Row],[Cod_Sub_acción_especifica]]&amp;"_"&amp;TablaPOA[[#This Row],[Cod_Tipo_agente]]</f>
        <v>K31.4.1.2_TA11</v>
      </c>
      <c r="R1165" s="254" t="s">
        <v>2963</v>
      </c>
      <c r="S1165" s="255" t="s">
        <v>2972</v>
      </c>
      <c r="T1165" s="271" t="s">
        <v>2973</v>
      </c>
    </row>
    <row r="1166" spans="1:20" ht="25.5" x14ac:dyDescent="0.25">
      <c r="A1166" s="219" t="s">
        <v>2314</v>
      </c>
      <c r="B1166" s="227">
        <v>31</v>
      </c>
      <c r="C1166" s="227" t="s">
        <v>2691</v>
      </c>
      <c r="D1166" s="227" t="s">
        <v>2988</v>
      </c>
      <c r="E1166" s="227" t="s">
        <v>3189</v>
      </c>
      <c r="F1166" s="227" t="s">
        <v>2697</v>
      </c>
      <c r="G1166" s="227" t="s">
        <v>2497</v>
      </c>
      <c r="H1166" s="253" t="s">
        <v>3190</v>
      </c>
      <c r="I1166" s="253" t="s">
        <v>2746</v>
      </c>
      <c r="J1166" s="227" t="s">
        <v>2548</v>
      </c>
      <c r="K1166" s="253" t="s">
        <v>3130</v>
      </c>
      <c r="L1166" s="253" t="s">
        <v>2796</v>
      </c>
      <c r="M1166" s="227" t="s">
        <v>2797</v>
      </c>
      <c r="N1166" s="293"/>
      <c r="O1166" s="293" t="str">
        <f>TablaPOA[[#This Row],[Cod_Sub_acción_especifica]]&amp;"_"&amp;TablaPOA[[#This Row],[Tipo de agente]]</f>
        <v>K31.4.1.2_Productores y Plantas de procesamiento</v>
      </c>
      <c r="P1166" s="254" t="s">
        <v>2962</v>
      </c>
      <c r="Q1166" s="292" t="str">
        <f>TablaPOA[[#This Row],[Cod_Sub_acción_especifica]]&amp;"_"&amp;TablaPOA[[#This Row],[Cod_Tipo_agente]]</f>
        <v>K31.4.1.2_TA11</v>
      </c>
      <c r="R1166" s="254" t="s">
        <v>2963</v>
      </c>
      <c r="S1166" s="255" t="s">
        <v>2974</v>
      </c>
      <c r="T1166" s="271" t="s">
        <v>2975</v>
      </c>
    </row>
    <row r="1167" spans="1:20" ht="25.5" x14ac:dyDescent="0.25">
      <c r="A1167" s="219" t="s">
        <v>2314</v>
      </c>
      <c r="B1167" s="227">
        <v>31</v>
      </c>
      <c r="C1167" s="227" t="s">
        <v>2691</v>
      </c>
      <c r="D1167" s="227" t="s">
        <v>2988</v>
      </c>
      <c r="E1167" s="227" t="s">
        <v>3189</v>
      </c>
      <c r="F1167" s="227" t="s">
        <v>2697</v>
      </c>
      <c r="G1167" s="227" t="s">
        <v>2497</v>
      </c>
      <c r="H1167" s="253" t="s">
        <v>3190</v>
      </c>
      <c r="I1167" s="253" t="s">
        <v>2746</v>
      </c>
      <c r="J1167" s="227" t="s">
        <v>2548</v>
      </c>
      <c r="K1167" s="253" t="s">
        <v>3130</v>
      </c>
      <c r="L1167" s="253" t="s">
        <v>2796</v>
      </c>
      <c r="M1167" s="227" t="s">
        <v>2797</v>
      </c>
      <c r="N1167" s="293"/>
      <c r="O1167" s="293" t="str">
        <f>TablaPOA[[#This Row],[Cod_Sub_acción_especifica]]&amp;"_"&amp;TablaPOA[[#This Row],[Tipo de agente]]</f>
        <v>K31.4.1.2_Productores y Plantas de procesamiento</v>
      </c>
      <c r="P1167" s="254" t="s">
        <v>2962</v>
      </c>
      <c r="Q1167" s="292" t="str">
        <f>TablaPOA[[#This Row],[Cod_Sub_acción_especifica]]&amp;"_"&amp;TablaPOA[[#This Row],[Cod_Tipo_agente]]</f>
        <v>K31.4.1.2_TA11</v>
      </c>
      <c r="R1167" s="254" t="s">
        <v>2963</v>
      </c>
      <c r="S1167" s="255" t="s">
        <v>2976</v>
      </c>
      <c r="T1167" s="271" t="s">
        <v>2977</v>
      </c>
    </row>
    <row r="1168" spans="1:20" ht="25.5" x14ac:dyDescent="0.25">
      <c r="A1168" s="268" t="s">
        <v>2314</v>
      </c>
      <c r="B1168" s="248">
        <v>31</v>
      </c>
      <c r="C1168" s="248" t="s">
        <v>2691</v>
      </c>
      <c r="D1168" s="248" t="s">
        <v>2988</v>
      </c>
      <c r="E1168" s="248" t="s">
        <v>3189</v>
      </c>
      <c r="F1168" s="248" t="s">
        <v>2697</v>
      </c>
      <c r="G1168" s="248" t="s">
        <v>2497</v>
      </c>
      <c r="H1168" s="263" t="s">
        <v>3190</v>
      </c>
      <c r="I1168" s="249" t="s">
        <v>2746</v>
      </c>
      <c r="J1168" s="248" t="s">
        <v>2548</v>
      </c>
      <c r="K1168" s="263" t="s">
        <v>3131</v>
      </c>
      <c r="L1168" s="263" t="s">
        <v>2798</v>
      </c>
      <c r="M1168" s="248" t="s">
        <v>2369</v>
      </c>
      <c r="N1168" s="299" t="s">
        <v>2809</v>
      </c>
      <c r="O1168" s="292" t="str">
        <f>TablaPOA[[#This Row],[Cod_Sub_acción_especifica]]&amp;"_"&amp;TablaPOA[[#This Row],[Tipo de agente]]</f>
        <v>K31.4.1.3_Consumidores directos de combustibles líquidos y OPDH</v>
      </c>
      <c r="P1168" s="250" t="s">
        <v>2808</v>
      </c>
      <c r="Q1168" s="292" t="str">
        <f>TablaPOA[[#This Row],[Cod_Sub_acción_especifica]]&amp;"_"&amp;TablaPOA[[#This Row],[Cod_Tipo_agente]]</f>
        <v>K31.4.1.3_TA1</v>
      </c>
      <c r="R1168" s="250" t="s">
        <v>2809</v>
      </c>
      <c r="S1168" s="251" t="s">
        <v>2810</v>
      </c>
      <c r="T1168" s="269" t="s">
        <v>2811</v>
      </c>
    </row>
    <row r="1169" spans="1:20" ht="25.5" x14ac:dyDescent="0.25">
      <c r="A1169" s="268" t="s">
        <v>2314</v>
      </c>
      <c r="B1169" s="248">
        <v>31</v>
      </c>
      <c r="C1169" s="248" t="s">
        <v>2691</v>
      </c>
      <c r="D1169" s="248" t="s">
        <v>2988</v>
      </c>
      <c r="E1169" s="248" t="s">
        <v>3189</v>
      </c>
      <c r="F1169" s="248" t="s">
        <v>2697</v>
      </c>
      <c r="G1169" s="248" t="s">
        <v>2497</v>
      </c>
      <c r="H1169" s="263" t="s">
        <v>3190</v>
      </c>
      <c r="I1169" s="249" t="s">
        <v>2746</v>
      </c>
      <c r="J1169" s="248" t="s">
        <v>2548</v>
      </c>
      <c r="K1169" s="263" t="s">
        <v>3131</v>
      </c>
      <c r="L1169" s="263" t="s">
        <v>2798</v>
      </c>
      <c r="M1169" s="248" t="s">
        <v>2369</v>
      </c>
      <c r="N1169" s="299" t="s">
        <v>2831</v>
      </c>
      <c r="O1169" s="292" t="str">
        <f>TablaPOA[[#This Row],[Cod_Sub_acción_especifica]]&amp;"_"&amp;TablaPOA[[#This Row],[Tipo de agente]]</f>
        <v>K31.4.1.3_Consumidores directos de combustibles líquidos y OPDH</v>
      </c>
      <c r="P1169" s="250" t="s">
        <v>2808</v>
      </c>
      <c r="Q1169" s="292" t="str">
        <f>TablaPOA[[#This Row],[Cod_Sub_acción_especifica]]&amp;"_"&amp;TablaPOA[[#This Row],[Cod_Tipo_agente]]</f>
        <v>K31.4.1.3_TA1</v>
      </c>
      <c r="R1169" s="250" t="s">
        <v>2809</v>
      </c>
      <c r="S1169" s="251" t="s">
        <v>2812</v>
      </c>
      <c r="T1169" s="269" t="s">
        <v>2813</v>
      </c>
    </row>
    <row r="1170" spans="1:20" ht="25.5" x14ac:dyDescent="0.25">
      <c r="A1170" s="268" t="s">
        <v>2314</v>
      </c>
      <c r="B1170" s="248">
        <v>31</v>
      </c>
      <c r="C1170" s="248" t="s">
        <v>2691</v>
      </c>
      <c r="D1170" s="248" t="s">
        <v>2988</v>
      </c>
      <c r="E1170" s="248" t="s">
        <v>3189</v>
      </c>
      <c r="F1170" s="248" t="s">
        <v>2697</v>
      </c>
      <c r="G1170" s="248" t="s">
        <v>2497</v>
      </c>
      <c r="H1170" s="263" t="s">
        <v>3190</v>
      </c>
      <c r="I1170" s="249" t="s">
        <v>2746</v>
      </c>
      <c r="J1170" s="248" t="s">
        <v>2548</v>
      </c>
      <c r="K1170" s="263" t="s">
        <v>3131</v>
      </c>
      <c r="L1170" s="263" t="s">
        <v>2798</v>
      </c>
      <c r="M1170" s="248" t="s">
        <v>2369</v>
      </c>
      <c r="N1170" s="299" t="s">
        <v>2840</v>
      </c>
      <c r="O1170" s="292" t="str">
        <f>TablaPOA[[#This Row],[Cod_Sub_acción_especifica]]&amp;"_"&amp;TablaPOA[[#This Row],[Tipo de agente]]</f>
        <v>K31.4.1.3_Consumidores directos de combustibles líquidos y OPDH</v>
      </c>
      <c r="P1170" s="250" t="s">
        <v>2808</v>
      </c>
      <c r="Q1170" s="292" t="str">
        <f>TablaPOA[[#This Row],[Cod_Sub_acción_especifica]]&amp;"_"&amp;TablaPOA[[#This Row],[Cod_Tipo_agente]]</f>
        <v>K31.4.1.3_TA1</v>
      </c>
      <c r="R1170" s="250" t="s">
        <v>2809</v>
      </c>
      <c r="S1170" s="251" t="s">
        <v>2814</v>
      </c>
      <c r="T1170" s="269" t="s">
        <v>2815</v>
      </c>
    </row>
    <row r="1171" spans="1:20" ht="25.5" x14ac:dyDescent="0.25">
      <c r="A1171" s="268" t="s">
        <v>2314</v>
      </c>
      <c r="B1171" s="248">
        <v>31</v>
      </c>
      <c r="C1171" s="248" t="s">
        <v>2691</v>
      </c>
      <c r="D1171" s="248" t="s">
        <v>2988</v>
      </c>
      <c r="E1171" s="248" t="s">
        <v>3189</v>
      </c>
      <c r="F1171" s="248" t="s">
        <v>2697</v>
      </c>
      <c r="G1171" s="248" t="s">
        <v>2497</v>
      </c>
      <c r="H1171" s="263" t="s">
        <v>3190</v>
      </c>
      <c r="I1171" s="249" t="s">
        <v>2746</v>
      </c>
      <c r="J1171" s="248" t="s">
        <v>2548</v>
      </c>
      <c r="K1171" s="263" t="s">
        <v>3131</v>
      </c>
      <c r="L1171" s="263" t="s">
        <v>2798</v>
      </c>
      <c r="M1171" s="248" t="s">
        <v>2369</v>
      </c>
      <c r="N1171" s="299" t="s">
        <v>2853</v>
      </c>
      <c r="O1171" s="292" t="str">
        <f>TablaPOA[[#This Row],[Cod_Sub_acción_especifica]]&amp;"_"&amp;TablaPOA[[#This Row],[Tipo de agente]]</f>
        <v>K31.4.1.3_Consumidores directos de combustibles líquidos y OPDH</v>
      </c>
      <c r="P1171" s="250" t="s">
        <v>2808</v>
      </c>
      <c r="Q1171" s="292" t="str">
        <f>TablaPOA[[#This Row],[Cod_Sub_acción_especifica]]&amp;"_"&amp;TablaPOA[[#This Row],[Cod_Tipo_agente]]</f>
        <v>K31.4.1.3_TA1</v>
      </c>
      <c r="R1171" s="250" t="s">
        <v>2809</v>
      </c>
      <c r="S1171" s="251" t="s">
        <v>2816</v>
      </c>
      <c r="T1171" s="269" t="s">
        <v>2817</v>
      </c>
    </row>
    <row r="1172" spans="1:20" ht="25.5" x14ac:dyDescent="0.25">
      <c r="A1172" s="268" t="s">
        <v>2314</v>
      </c>
      <c r="B1172" s="248">
        <v>31</v>
      </c>
      <c r="C1172" s="248" t="s">
        <v>2691</v>
      </c>
      <c r="D1172" s="248" t="s">
        <v>2988</v>
      </c>
      <c r="E1172" s="248" t="s">
        <v>3189</v>
      </c>
      <c r="F1172" s="248" t="s">
        <v>2697</v>
      </c>
      <c r="G1172" s="248" t="s">
        <v>2497</v>
      </c>
      <c r="H1172" s="263" t="s">
        <v>3190</v>
      </c>
      <c r="I1172" s="249" t="s">
        <v>2746</v>
      </c>
      <c r="J1172" s="248" t="s">
        <v>2548</v>
      </c>
      <c r="K1172" s="263" t="s">
        <v>3131</v>
      </c>
      <c r="L1172" s="263" t="s">
        <v>2798</v>
      </c>
      <c r="M1172" s="248" t="s">
        <v>2369</v>
      </c>
      <c r="N1172" s="299" t="s">
        <v>2877</v>
      </c>
      <c r="O1172" s="292" t="str">
        <f>TablaPOA[[#This Row],[Cod_Sub_acción_especifica]]&amp;"_"&amp;TablaPOA[[#This Row],[Tipo de agente]]</f>
        <v>K31.4.1.3_Consumidores directos de combustibles líquidos y OPDH</v>
      </c>
      <c r="P1172" s="250" t="s">
        <v>2808</v>
      </c>
      <c r="Q1172" s="292" t="str">
        <f>TablaPOA[[#This Row],[Cod_Sub_acción_especifica]]&amp;"_"&amp;TablaPOA[[#This Row],[Cod_Tipo_agente]]</f>
        <v>K31.4.1.3_TA1</v>
      </c>
      <c r="R1172" s="250" t="s">
        <v>2809</v>
      </c>
      <c r="S1172" s="251" t="s">
        <v>2818</v>
      </c>
      <c r="T1172" s="269" t="s">
        <v>2819</v>
      </c>
    </row>
    <row r="1173" spans="1:20" ht="25.5" x14ac:dyDescent="0.25">
      <c r="A1173" s="268" t="s">
        <v>2314</v>
      </c>
      <c r="B1173" s="248">
        <v>31</v>
      </c>
      <c r="C1173" s="248" t="s">
        <v>2691</v>
      </c>
      <c r="D1173" s="248" t="s">
        <v>2988</v>
      </c>
      <c r="E1173" s="248" t="s">
        <v>3189</v>
      </c>
      <c r="F1173" s="248" t="s">
        <v>2697</v>
      </c>
      <c r="G1173" s="248" t="s">
        <v>2497</v>
      </c>
      <c r="H1173" s="263" t="s">
        <v>3190</v>
      </c>
      <c r="I1173" s="249" t="s">
        <v>2746</v>
      </c>
      <c r="J1173" s="248" t="s">
        <v>2548</v>
      </c>
      <c r="K1173" s="263" t="s">
        <v>3131</v>
      </c>
      <c r="L1173" s="263" t="s">
        <v>2798</v>
      </c>
      <c r="M1173" s="248" t="s">
        <v>2369</v>
      </c>
      <c r="N1173" s="299" t="s">
        <v>2883</v>
      </c>
      <c r="O1173" s="292" t="str">
        <f>TablaPOA[[#This Row],[Cod_Sub_acción_especifica]]&amp;"_"&amp;TablaPOA[[#This Row],[Tipo de agente]]</f>
        <v>K31.4.1.3_Consumidores directos de combustibles líquidos y OPDH</v>
      </c>
      <c r="P1173" s="250" t="s">
        <v>2808</v>
      </c>
      <c r="Q1173" s="292" t="str">
        <f>TablaPOA[[#This Row],[Cod_Sub_acción_especifica]]&amp;"_"&amp;TablaPOA[[#This Row],[Cod_Tipo_agente]]</f>
        <v>K31.4.1.3_TA1</v>
      </c>
      <c r="R1173" s="250" t="s">
        <v>2809</v>
      </c>
      <c r="S1173" s="251" t="s">
        <v>2820</v>
      </c>
      <c r="T1173" s="269" t="s">
        <v>2821</v>
      </c>
    </row>
    <row r="1174" spans="1:20" ht="25.5" x14ac:dyDescent="0.25">
      <c r="A1174" s="268" t="s">
        <v>2314</v>
      </c>
      <c r="B1174" s="248">
        <v>31</v>
      </c>
      <c r="C1174" s="248" t="s">
        <v>2691</v>
      </c>
      <c r="D1174" s="248" t="s">
        <v>2988</v>
      </c>
      <c r="E1174" s="248" t="s">
        <v>3189</v>
      </c>
      <c r="F1174" s="248" t="s">
        <v>2697</v>
      </c>
      <c r="G1174" s="248" t="s">
        <v>2497</v>
      </c>
      <c r="H1174" s="263" t="s">
        <v>3190</v>
      </c>
      <c r="I1174" s="249" t="s">
        <v>2746</v>
      </c>
      <c r="J1174" s="248" t="s">
        <v>2548</v>
      </c>
      <c r="K1174" s="263" t="s">
        <v>3131</v>
      </c>
      <c r="L1174" s="263" t="s">
        <v>2798</v>
      </c>
      <c r="M1174" s="248" t="s">
        <v>2369</v>
      </c>
      <c r="N1174" s="299" t="s">
        <v>2913</v>
      </c>
      <c r="O1174" s="292" t="str">
        <f>TablaPOA[[#This Row],[Cod_Sub_acción_especifica]]&amp;"_"&amp;TablaPOA[[#This Row],[Tipo de agente]]</f>
        <v>K31.4.1.3_Consumidores directos de combustibles líquidos y OPDH</v>
      </c>
      <c r="P1174" s="250" t="s">
        <v>2808</v>
      </c>
      <c r="Q1174" s="292" t="str">
        <f>TablaPOA[[#This Row],[Cod_Sub_acción_especifica]]&amp;"_"&amp;TablaPOA[[#This Row],[Cod_Tipo_agente]]</f>
        <v>K31.4.1.3_TA1</v>
      </c>
      <c r="R1174" s="250" t="s">
        <v>2809</v>
      </c>
      <c r="S1174" s="251" t="s">
        <v>2822</v>
      </c>
      <c r="T1174" s="269" t="s">
        <v>2823</v>
      </c>
    </row>
    <row r="1175" spans="1:20" ht="25.5" x14ac:dyDescent="0.25">
      <c r="A1175" s="268" t="s">
        <v>2314</v>
      </c>
      <c r="B1175" s="248">
        <v>31</v>
      </c>
      <c r="C1175" s="248" t="s">
        <v>2691</v>
      </c>
      <c r="D1175" s="248" t="s">
        <v>2988</v>
      </c>
      <c r="E1175" s="248" t="s">
        <v>3189</v>
      </c>
      <c r="F1175" s="248" t="s">
        <v>2697</v>
      </c>
      <c r="G1175" s="248" t="s">
        <v>2497</v>
      </c>
      <c r="H1175" s="263" t="s">
        <v>3190</v>
      </c>
      <c r="I1175" s="249" t="s">
        <v>2746</v>
      </c>
      <c r="J1175" s="248" t="s">
        <v>2548</v>
      </c>
      <c r="K1175" s="263" t="s">
        <v>3131</v>
      </c>
      <c r="L1175" s="263" t="s">
        <v>2798</v>
      </c>
      <c r="M1175" s="248" t="s">
        <v>2369</v>
      </c>
      <c r="N1175" s="299" t="s">
        <v>2919</v>
      </c>
      <c r="O1175" s="292" t="str">
        <f>TablaPOA[[#This Row],[Cod_Sub_acción_especifica]]&amp;"_"&amp;TablaPOA[[#This Row],[Tipo de agente]]</f>
        <v>K31.4.1.3_Consumidores directos de combustibles líquidos y OPDH</v>
      </c>
      <c r="P1175" s="250" t="s">
        <v>2808</v>
      </c>
      <c r="Q1175" s="292" t="str">
        <f>TablaPOA[[#This Row],[Cod_Sub_acción_especifica]]&amp;"_"&amp;TablaPOA[[#This Row],[Cod_Tipo_agente]]</f>
        <v>K31.4.1.3_TA1</v>
      </c>
      <c r="R1175" s="250" t="s">
        <v>2809</v>
      </c>
      <c r="S1175" s="251" t="s">
        <v>2824</v>
      </c>
      <c r="T1175" s="269" t="s">
        <v>2825</v>
      </c>
    </row>
    <row r="1176" spans="1:20" ht="25.5" x14ac:dyDescent="0.25">
      <c r="A1176" s="268" t="s">
        <v>2314</v>
      </c>
      <c r="B1176" s="248">
        <v>31</v>
      </c>
      <c r="C1176" s="248" t="s">
        <v>2691</v>
      </c>
      <c r="D1176" s="248" t="s">
        <v>2988</v>
      </c>
      <c r="E1176" s="248" t="s">
        <v>3189</v>
      </c>
      <c r="F1176" s="248" t="s">
        <v>2697</v>
      </c>
      <c r="G1176" s="248" t="s">
        <v>2497</v>
      </c>
      <c r="H1176" s="263" t="s">
        <v>3190</v>
      </c>
      <c r="I1176" s="249" t="s">
        <v>2746</v>
      </c>
      <c r="J1176" s="248" t="s">
        <v>2548</v>
      </c>
      <c r="K1176" s="263" t="s">
        <v>3131</v>
      </c>
      <c r="L1176" s="263" t="s">
        <v>2798</v>
      </c>
      <c r="M1176" s="248" t="s">
        <v>2369</v>
      </c>
      <c r="N1176" s="299" t="s">
        <v>2951</v>
      </c>
      <c r="O1176" s="292" t="str">
        <f>TablaPOA[[#This Row],[Cod_Sub_acción_especifica]]&amp;"_"&amp;TablaPOA[[#This Row],[Tipo de agente]]</f>
        <v>K31.4.1.3_Consumidores directos de combustibles líquidos y OPDH</v>
      </c>
      <c r="P1176" s="250" t="s">
        <v>2808</v>
      </c>
      <c r="Q1176" s="292" t="str">
        <f>TablaPOA[[#This Row],[Cod_Sub_acción_especifica]]&amp;"_"&amp;TablaPOA[[#This Row],[Cod_Tipo_agente]]</f>
        <v>K31.4.1.3_TA1</v>
      </c>
      <c r="R1176" s="250" t="s">
        <v>2809</v>
      </c>
      <c r="S1176" s="251" t="s">
        <v>2826</v>
      </c>
      <c r="T1176" s="269" t="s">
        <v>2827</v>
      </c>
    </row>
    <row r="1177" spans="1:20" ht="25.5" x14ac:dyDescent="0.25">
      <c r="A1177" s="268" t="s">
        <v>2314</v>
      </c>
      <c r="B1177" s="248">
        <v>31</v>
      </c>
      <c r="C1177" s="248" t="s">
        <v>2691</v>
      </c>
      <c r="D1177" s="248" t="s">
        <v>2988</v>
      </c>
      <c r="E1177" s="248" t="s">
        <v>3189</v>
      </c>
      <c r="F1177" s="248" t="s">
        <v>2697</v>
      </c>
      <c r="G1177" s="248" t="s">
        <v>2497</v>
      </c>
      <c r="H1177" s="263" t="s">
        <v>3190</v>
      </c>
      <c r="I1177" s="249" t="s">
        <v>2746</v>
      </c>
      <c r="J1177" s="248" t="s">
        <v>2548</v>
      </c>
      <c r="K1177" s="263" t="s">
        <v>3131</v>
      </c>
      <c r="L1177" s="263" t="s">
        <v>2798</v>
      </c>
      <c r="M1177" s="248" t="s">
        <v>2369</v>
      </c>
      <c r="N1177" s="299" t="s">
        <v>2903</v>
      </c>
      <c r="O1177" s="292" t="str">
        <f>TablaPOA[[#This Row],[Cod_Sub_acción_especifica]]&amp;"_"&amp;TablaPOA[[#This Row],[Tipo de agente]]</f>
        <v>K31.4.1.3_Consumidores directos de combustibles líquidos y OPDH</v>
      </c>
      <c r="P1177" s="250" t="s">
        <v>2808</v>
      </c>
      <c r="Q1177" s="292" t="str">
        <f>TablaPOA[[#This Row],[Cod_Sub_acción_especifica]]&amp;"_"&amp;TablaPOA[[#This Row],[Cod_Tipo_agente]]</f>
        <v>K31.4.1.3_TA1</v>
      </c>
      <c r="R1177" s="250" t="s">
        <v>2809</v>
      </c>
      <c r="S1177" s="251" t="s">
        <v>2828</v>
      </c>
      <c r="T1177" s="269" t="s">
        <v>2829</v>
      </c>
    </row>
    <row r="1178" spans="1:20" ht="25.5" x14ac:dyDescent="0.25">
      <c r="A1178" s="268" t="s">
        <v>2314</v>
      </c>
      <c r="B1178" s="248">
        <v>31</v>
      </c>
      <c r="C1178" s="248" t="s">
        <v>2691</v>
      </c>
      <c r="D1178" s="248" t="s">
        <v>2988</v>
      </c>
      <c r="E1178" s="248" t="s">
        <v>3189</v>
      </c>
      <c r="F1178" s="248" t="s">
        <v>2697</v>
      </c>
      <c r="G1178" s="248" t="s">
        <v>2497</v>
      </c>
      <c r="H1178" s="263" t="s">
        <v>3190</v>
      </c>
      <c r="I1178" s="249" t="s">
        <v>2746</v>
      </c>
      <c r="J1178" s="248" t="s">
        <v>2548</v>
      </c>
      <c r="K1178" s="263" t="s">
        <v>3131</v>
      </c>
      <c r="L1178" s="263" t="s">
        <v>2798</v>
      </c>
      <c r="M1178" s="248" t="s">
        <v>2369</v>
      </c>
      <c r="N1178" s="299" t="s">
        <v>2963</v>
      </c>
      <c r="O1178" s="292" t="str">
        <f>TablaPOA[[#This Row],[Cod_Sub_acción_especifica]]&amp;"_"&amp;TablaPOA[[#This Row],[Tipo de agente]]</f>
        <v>K31.4.1.3_Consumidores directos de gas natural</v>
      </c>
      <c r="P1178" s="250" t="s">
        <v>2830</v>
      </c>
      <c r="Q1178" s="292" t="str">
        <f>TablaPOA[[#This Row],[Cod_Sub_acción_especifica]]&amp;"_"&amp;TablaPOA[[#This Row],[Cod_Tipo_agente]]</f>
        <v>K31.4.1.3_TA2</v>
      </c>
      <c r="R1178" s="250" t="s">
        <v>2831</v>
      </c>
      <c r="S1178" s="250">
        <v>101</v>
      </c>
      <c r="T1178" s="269" t="s">
        <v>2832</v>
      </c>
    </row>
    <row r="1179" spans="1:20" ht="25.5" x14ac:dyDescent="0.25">
      <c r="A1179" s="268" t="s">
        <v>2314</v>
      </c>
      <c r="B1179" s="248">
        <v>31</v>
      </c>
      <c r="C1179" s="248" t="s">
        <v>2691</v>
      </c>
      <c r="D1179" s="248" t="s">
        <v>2988</v>
      </c>
      <c r="E1179" s="248" t="s">
        <v>3189</v>
      </c>
      <c r="F1179" s="248" t="s">
        <v>2697</v>
      </c>
      <c r="G1179" s="248" t="s">
        <v>2497</v>
      </c>
      <c r="H1179" s="263" t="s">
        <v>3190</v>
      </c>
      <c r="I1179" s="249" t="s">
        <v>2746</v>
      </c>
      <c r="J1179" s="248" t="s">
        <v>2548</v>
      </c>
      <c r="K1179" s="263" t="s">
        <v>3131</v>
      </c>
      <c r="L1179" s="263" t="s">
        <v>2798</v>
      </c>
      <c r="M1179" s="248" t="s">
        <v>2369</v>
      </c>
      <c r="N1179" s="293"/>
      <c r="O1179" s="293" t="str">
        <f>TablaPOA[[#This Row],[Cod_Sub_acción_especifica]]&amp;"_"&amp;TablaPOA[[#This Row],[Tipo de agente]]</f>
        <v>K31.4.1.3_Consumidores directos de gas natural</v>
      </c>
      <c r="P1179" s="250" t="s">
        <v>2830</v>
      </c>
      <c r="Q1179" s="292" t="str">
        <f>TablaPOA[[#This Row],[Cod_Sub_acción_especifica]]&amp;"_"&amp;TablaPOA[[#This Row],[Cod_Tipo_agente]]</f>
        <v>K31.4.1.3_TA2</v>
      </c>
      <c r="R1179" s="250" t="s">
        <v>2831</v>
      </c>
      <c r="S1179" s="250" t="s">
        <v>2833</v>
      </c>
      <c r="T1179" s="269" t="s">
        <v>2834</v>
      </c>
    </row>
    <row r="1180" spans="1:20" ht="25.5" x14ac:dyDescent="0.25">
      <c r="A1180" s="268" t="s">
        <v>2314</v>
      </c>
      <c r="B1180" s="248">
        <v>31</v>
      </c>
      <c r="C1180" s="248" t="s">
        <v>2691</v>
      </c>
      <c r="D1180" s="248" t="s">
        <v>2988</v>
      </c>
      <c r="E1180" s="248" t="s">
        <v>3189</v>
      </c>
      <c r="F1180" s="248" t="s">
        <v>2697</v>
      </c>
      <c r="G1180" s="248" t="s">
        <v>2497</v>
      </c>
      <c r="H1180" s="263" t="s">
        <v>3190</v>
      </c>
      <c r="I1180" s="249" t="s">
        <v>2746</v>
      </c>
      <c r="J1180" s="248" t="s">
        <v>2548</v>
      </c>
      <c r="K1180" s="263" t="s">
        <v>3131</v>
      </c>
      <c r="L1180" s="263" t="s">
        <v>2798</v>
      </c>
      <c r="M1180" s="248" t="s">
        <v>2369</v>
      </c>
      <c r="N1180" s="293"/>
      <c r="O1180" s="293" t="str">
        <f>TablaPOA[[#This Row],[Cod_Sub_acción_especifica]]&amp;"_"&amp;TablaPOA[[#This Row],[Tipo de agente]]</f>
        <v>K31.4.1.3_Consumidores directos de gas natural</v>
      </c>
      <c r="P1180" s="250" t="s">
        <v>2830</v>
      </c>
      <c r="Q1180" s="292" t="str">
        <f>TablaPOA[[#This Row],[Cod_Sub_acción_especifica]]&amp;"_"&amp;TablaPOA[[#This Row],[Cod_Tipo_agente]]</f>
        <v>K31.4.1.3_TA2</v>
      </c>
      <c r="R1180" s="250" t="s">
        <v>2831</v>
      </c>
      <c r="S1180" s="250" t="s">
        <v>2835</v>
      </c>
      <c r="T1180" s="269" t="s">
        <v>2836</v>
      </c>
    </row>
    <row r="1181" spans="1:20" ht="25.5" x14ac:dyDescent="0.25">
      <c r="A1181" s="268" t="s">
        <v>2314</v>
      </c>
      <c r="B1181" s="248">
        <v>31</v>
      </c>
      <c r="C1181" s="248" t="s">
        <v>2691</v>
      </c>
      <c r="D1181" s="248" t="s">
        <v>2988</v>
      </c>
      <c r="E1181" s="248" t="s">
        <v>3189</v>
      </c>
      <c r="F1181" s="248" t="s">
        <v>2697</v>
      </c>
      <c r="G1181" s="248" t="s">
        <v>2497</v>
      </c>
      <c r="H1181" s="263" t="s">
        <v>3190</v>
      </c>
      <c r="I1181" s="249" t="s">
        <v>2746</v>
      </c>
      <c r="J1181" s="248" t="s">
        <v>2548</v>
      </c>
      <c r="K1181" s="263" t="s">
        <v>3131</v>
      </c>
      <c r="L1181" s="263" t="s">
        <v>2798</v>
      </c>
      <c r="M1181" s="248" t="s">
        <v>2369</v>
      </c>
      <c r="N1181" s="293"/>
      <c r="O1181" s="293" t="str">
        <f>TablaPOA[[#This Row],[Cod_Sub_acción_especifica]]&amp;"_"&amp;TablaPOA[[#This Row],[Tipo de agente]]</f>
        <v>K31.4.1.3_Consumidores directos de gas natural</v>
      </c>
      <c r="P1181" s="250" t="s">
        <v>2830</v>
      </c>
      <c r="Q1181" s="292" t="str">
        <f>TablaPOA[[#This Row],[Cod_Sub_acción_especifica]]&amp;"_"&amp;TablaPOA[[#This Row],[Cod_Tipo_agente]]</f>
        <v>K31.4.1.3_TA2</v>
      </c>
      <c r="R1181" s="250" t="s">
        <v>2831</v>
      </c>
      <c r="S1181" s="250" t="s">
        <v>2837</v>
      </c>
      <c r="T1181" s="269" t="s">
        <v>2838</v>
      </c>
    </row>
    <row r="1182" spans="1:20" ht="25.5" x14ac:dyDescent="0.25">
      <c r="A1182" s="268" t="s">
        <v>2314</v>
      </c>
      <c r="B1182" s="248">
        <v>31</v>
      </c>
      <c r="C1182" s="248" t="s">
        <v>2691</v>
      </c>
      <c r="D1182" s="248" t="s">
        <v>2988</v>
      </c>
      <c r="E1182" s="248" t="s">
        <v>3189</v>
      </c>
      <c r="F1182" s="248" t="s">
        <v>2697</v>
      </c>
      <c r="G1182" s="248" t="s">
        <v>2497</v>
      </c>
      <c r="H1182" s="263" t="s">
        <v>3190</v>
      </c>
      <c r="I1182" s="249" t="s">
        <v>2746</v>
      </c>
      <c r="J1182" s="248" t="s">
        <v>2548</v>
      </c>
      <c r="K1182" s="263" t="s">
        <v>3131</v>
      </c>
      <c r="L1182" s="263" t="s">
        <v>2798</v>
      </c>
      <c r="M1182" s="248" t="s">
        <v>2369</v>
      </c>
      <c r="N1182" s="293"/>
      <c r="O1182" s="293" t="str">
        <f>TablaPOA[[#This Row],[Cod_Sub_acción_especifica]]&amp;"_"&amp;TablaPOA[[#This Row],[Tipo de agente]]</f>
        <v>K31.4.1.3_Consumidores directos de GLP y redes de distribución</v>
      </c>
      <c r="P1182" s="250" t="s">
        <v>2839</v>
      </c>
      <c r="Q1182" s="292" t="str">
        <f>TablaPOA[[#This Row],[Cod_Sub_acción_especifica]]&amp;"_"&amp;TablaPOA[[#This Row],[Cod_Tipo_agente]]</f>
        <v>K31.4.1.3_TA3</v>
      </c>
      <c r="R1182" s="250" t="s">
        <v>2840</v>
      </c>
      <c r="S1182" s="250">
        <v>400</v>
      </c>
      <c r="T1182" s="269" t="s">
        <v>2841</v>
      </c>
    </row>
    <row r="1183" spans="1:20" ht="25.5" x14ac:dyDescent="0.25">
      <c r="A1183" s="268" t="s">
        <v>2314</v>
      </c>
      <c r="B1183" s="248">
        <v>31</v>
      </c>
      <c r="C1183" s="248" t="s">
        <v>2691</v>
      </c>
      <c r="D1183" s="248" t="s">
        <v>2988</v>
      </c>
      <c r="E1183" s="248" t="s">
        <v>3189</v>
      </c>
      <c r="F1183" s="248" t="s">
        <v>2697</v>
      </c>
      <c r="G1183" s="248" t="s">
        <v>2497</v>
      </c>
      <c r="H1183" s="263" t="s">
        <v>3190</v>
      </c>
      <c r="I1183" s="249" t="s">
        <v>2746</v>
      </c>
      <c r="J1183" s="248" t="s">
        <v>2548</v>
      </c>
      <c r="K1183" s="263" t="s">
        <v>3131</v>
      </c>
      <c r="L1183" s="263" t="s">
        <v>2798</v>
      </c>
      <c r="M1183" s="248" t="s">
        <v>2369</v>
      </c>
      <c r="N1183" s="293"/>
      <c r="O1183" s="293" t="str">
        <f>TablaPOA[[#This Row],[Cod_Sub_acción_especifica]]&amp;"_"&amp;TablaPOA[[#This Row],[Tipo de agente]]</f>
        <v>K31.4.1.3_Consumidores directos de GLP y redes de distribución</v>
      </c>
      <c r="P1183" s="250" t="s">
        <v>2839</v>
      </c>
      <c r="Q1183" s="292" t="str">
        <f>TablaPOA[[#This Row],[Cod_Sub_acción_especifica]]&amp;"_"&amp;TablaPOA[[#This Row],[Cod_Tipo_agente]]</f>
        <v>K31.4.1.3_TA3</v>
      </c>
      <c r="R1183" s="250" t="s">
        <v>2840</v>
      </c>
      <c r="S1183" s="250" t="s">
        <v>2842</v>
      </c>
      <c r="T1183" s="269" t="s">
        <v>2843</v>
      </c>
    </row>
    <row r="1184" spans="1:20" ht="25.5" x14ac:dyDescent="0.25">
      <c r="A1184" s="268" t="s">
        <v>2314</v>
      </c>
      <c r="B1184" s="248">
        <v>31</v>
      </c>
      <c r="C1184" s="248" t="s">
        <v>2691</v>
      </c>
      <c r="D1184" s="248" t="s">
        <v>2988</v>
      </c>
      <c r="E1184" s="248" t="s">
        <v>3189</v>
      </c>
      <c r="F1184" s="248" t="s">
        <v>2697</v>
      </c>
      <c r="G1184" s="248" t="s">
        <v>2497</v>
      </c>
      <c r="H1184" s="263" t="s">
        <v>3190</v>
      </c>
      <c r="I1184" s="249" t="s">
        <v>2746</v>
      </c>
      <c r="J1184" s="248" t="s">
        <v>2548</v>
      </c>
      <c r="K1184" s="263" t="s">
        <v>3131</v>
      </c>
      <c r="L1184" s="263" t="s">
        <v>2798</v>
      </c>
      <c r="M1184" s="248" t="s">
        <v>2369</v>
      </c>
      <c r="N1184" s="293"/>
      <c r="O1184" s="293" t="str">
        <f>TablaPOA[[#This Row],[Cod_Sub_acción_especifica]]&amp;"_"&amp;TablaPOA[[#This Row],[Tipo de agente]]</f>
        <v>K31.4.1.3_Consumidores directos de GLP y redes de distribución</v>
      </c>
      <c r="P1184" s="250" t="s">
        <v>2839</v>
      </c>
      <c r="Q1184" s="292" t="str">
        <f>TablaPOA[[#This Row],[Cod_Sub_acción_especifica]]&amp;"_"&amp;TablaPOA[[#This Row],[Cod_Tipo_agente]]</f>
        <v>K31.4.1.3_TA3</v>
      </c>
      <c r="R1184" s="250" t="s">
        <v>2840</v>
      </c>
      <c r="S1184" s="250" t="s">
        <v>2844</v>
      </c>
      <c r="T1184" s="269" t="s">
        <v>2845</v>
      </c>
    </row>
    <row r="1185" spans="1:20" ht="25.5" x14ac:dyDescent="0.25">
      <c r="A1185" s="268" t="s">
        <v>2314</v>
      </c>
      <c r="B1185" s="248">
        <v>31</v>
      </c>
      <c r="C1185" s="248" t="s">
        <v>2691</v>
      </c>
      <c r="D1185" s="248" t="s">
        <v>2988</v>
      </c>
      <c r="E1185" s="248" t="s">
        <v>3189</v>
      </c>
      <c r="F1185" s="248" t="s">
        <v>2697</v>
      </c>
      <c r="G1185" s="248" t="s">
        <v>2497</v>
      </c>
      <c r="H1185" s="263" t="s">
        <v>3190</v>
      </c>
      <c r="I1185" s="249" t="s">
        <v>2746</v>
      </c>
      <c r="J1185" s="248" t="s">
        <v>2548</v>
      </c>
      <c r="K1185" s="263" t="s">
        <v>3131</v>
      </c>
      <c r="L1185" s="263" t="s">
        <v>2798</v>
      </c>
      <c r="M1185" s="248" t="s">
        <v>2369</v>
      </c>
      <c r="N1185" s="293"/>
      <c r="O1185" s="293" t="str">
        <f>TablaPOA[[#This Row],[Cod_Sub_acción_especifica]]&amp;"_"&amp;TablaPOA[[#This Row],[Tipo de agente]]</f>
        <v>K31.4.1.3_Consumidores directos de GLP y redes de distribución</v>
      </c>
      <c r="P1185" s="250" t="s">
        <v>2839</v>
      </c>
      <c r="Q1185" s="292" t="str">
        <f>TablaPOA[[#This Row],[Cod_Sub_acción_especifica]]&amp;"_"&amp;TablaPOA[[#This Row],[Cod_Tipo_agente]]</f>
        <v>K31.4.1.3_TA3</v>
      </c>
      <c r="R1185" s="250" t="s">
        <v>2840</v>
      </c>
      <c r="S1185" s="250" t="s">
        <v>2846</v>
      </c>
      <c r="T1185" s="269" t="s">
        <v>2847</v>
      </c>
    </row>
    <row r="1186" spans="1:20" ht="25.5" x14ac:dyDescent="0.25">
      <c r="A1186" s="268" t="s">
        <v>2314</v>
      </c>
      <c r="B1186" s="248">
        <v>31</v>
      </c>
      <c r="C1186" s="248" t="s">
        <v>2691</v>
      </c>
      <c r="D1186" s="248" t="s">
        <v>2988</v>
      </c>
      <c r="E1186" s="248" t="s">
        <v>3189</v>
      </c>
      <c r="F1186" s="248" t="s">
        <v>2697</v>
      </c>
      <c r="G1186" s="248" t="s">
        <v>2497</v>
      </c>
      <c r="H1186" s="263" t="s">
        <v>3190</v>
      </c>
      <c r="I1186" s="249" t="s">
        <v>2746</v>
      </c>
      <c r="J1186" s="248" t="s">
        <v>2548</v>
      </c>
      <c r="K1186" s="263" t="s">
        <v>3131</v>
      </c>
      <c r="L1186" s="263" t="s">
        <v>2798</v>
      </c>
      <c r="M1186" s="248" t="s">
        <v>2369</v>
      </c>
      <c r="N1186" s="293"/>
      <c r="O1186" s="293" t="str">
        <f>TablaPOA[[#This Row],[Cod_Sub_acción_especifica]]&amp;"_"&amp;TablaPOA[[#This Row],[Tipo de agente]]</f>
        <v>K31.4.1.3_Consumidores directos de GLP y redes de distribución</v>
      </c>
      <c r="P1186" s="250" t="s">
        <v>2839</v>
      </c>
      <c r="Q1186" s="292" t="str">
        <f>TablaPOA[[#This Row],[Cod_Sub_acción_especifica]]&amp;"_"&amp;TablaPOA[[#This Row],[Cod_Tipo_agente]]</f>
        <v>K31.4.1.3_TA3</v>
      </c>
      <c r="R1186" s="250" t="s">
        <v>2840</v>
      </c>
      <c r="S1186" s="250" t="s">
        <v>2848</v>
      </c>
      <c r="T1186" s="269" t="s">
        <v>2849</v>
      </c>
    </row>
    <row r="1187" spans="1:20" ht="25.5" x14ac:dyDescent="0.25">
      <c r="A1187" s="268" t="s">
        <v>2314</v>
      </c>
      <c r="B1187" s="248">
        <v>31</v>
      </c>
      <c r="C1187" s="248" t="s">
        <v>2691</v>
      </c>
      <c r="D1187" s="248" t="s">
        <v>2988</v>
      </c>
      <c r="E1187" s="248" t="s">
        <v>3189</v>
      </c>
      <c r="F1187" s="248" t="s">
        <v>2697</v>
      </c>
      <c r="G1187" s="248" t="s">
        <v>2497</v>
      </c>
      <c r="H1187" s="263" t="s">
        <v>3190</v>
      </c>
      <c r="I1187" s="249" t="s">
        <v>2746</v>
      </c>
      <c r="J1187" s="248" t="s">
        <v>2548</v>
      </c>
      <c r="K1187" s="263" t="s">
        <v>3131</v>
      </c>
      <c r="L1187" s="263" t="s">
        <v>2798</v>
      </c>
      <c r="M1187" s="248" t="s">
        <v>2369</v>
      </c>
      <c r="N1187" s="293"/>
      <c r="O1187" s="293" t="str">
        <f>TablaPOA[[#This Row],[Cod_Sub_acción_especifica]]&amp;"_"&amp;TablaPOA[[#This Row],[Tipo de agente]]</f>
        <v>K31.4.1.3_Consumidores directos de GLP y redes de distribución</v>
      </c>
      <c r="P1187" s="250" t="s">
        <v>2839</v>
      </c>
      <c r="Q1187" s="292" t="str">
        <f>TablaPOA[[#This Row],[Cod_Sub_acción_especifica]]&amp;"_"&amp;TablaPOA[[#This Row],[Cod_Tipo_agente]]</f>
        <v>K31.4.1.3_TA3</v>
      </c>
      <c r="R1187" s="250" t="s">
        <v>2840</v>
      </c>
      <c r="S1187" s="250" t="s">
        <v>2850</v>
      </c>
      <c r="T1187" s="269" t="s">
        <v>2851</v>
      </c>
    </row>
    <row r="1188" spans="1:20" ht="25.5" x14ac:dyDescent="0.25">
      <c r="A1188" s="268" t="s">
        <v>2314</v>
      </c>
      <c r="B1188" s="248">
        <v>31</v>
      </c>
      <c r="C1188" s="248" t="s">
        <v>2691</v>
      </c>
      <c r="D1188" s="248" t="s">
        <v>2988</v>
      </c>
      <c r="E1188" s="248" t="s">
        <v>3189</v>
      </c>
      <c r="F1188" s="248" t="s">
        <v>2697</v>
      </c>
      <c r="G1188" s="248" t="s">
        <v>2497</v>
      </c>
      <c r="H1188" s="263" t="s">
        <v>3190</v>
      </c>
      <c r="I1188" s="249" t="s">
        <v>2746</v>
      </c>
      <c r="J1188" s="248" t="s">
        <v>2548</v>
      </c>
      <c r="K1188" s="263" t="s">
        <v>3131</v>
      </c>
      <c r="L1188" s="263" t="s">
        <v>2798</v>
      </c>
      <c r="M1188" s="248" t="s">
        <v>2369</v>
      </c>
      <c r="N1188" s="293"/>
      <c r="O1188" s="293" t="str">
        <f>TablaPOA[[#This Row],[Cod_Sub_acción_especifica]]&amp;"_"&amp;TablaPOA[[#This Row],[Tipo de agente]]</f>
        <v>K31.4.1.3_Distribuidores mayoristas, Importadores y Comercializadores</v>
      </c>
      <c r="P1188" s="250" t="s">
        <v>2852</v>
      </c>
      <c r="Q1188" s="292" t="str">
        <f>TablaPOA[[#This Row],[Cod_Sub_acción_especifica]]&amp;"_"&amp;TablaPOA[[#This Row],[Cod_Tipo_agente]]</f>
        <v>K31.4.1.3_TA4</v>
      </c>
      <c r="R1188" s="250" t="s">
        <v>2853</v>
      </c>
      <c r="S1188" s="251" t="s">
        <v>2854</v>
      </c>
      <c r="T1188" s="269" t="s">
        <v>2855</v>
      </c>
    </row>
    <row r="1189" spans="1:20" ht="25.5" x14ac:dyDescent="0.25">
      <c r="A1189" s="268" t="s">
        <v>2314</v>
      </c>
      <c r="B1189" s="248">
        <v>31</v>
      </c>
      <c r="C1189" s="248" t="s">
        <v>2691</v>
      </c>
      <c r="D1189" s="248" t="s">
        <v>2988</v>
      </c>
      <c r="E1189" s="248" t="s">
        <v>3189</v>
      </c>
      <c r="F1189" s="248" t="s">
        <v>2697</v>
      </c>
      <c r="G1189" s="248" t="s">
        <v>2497</v>
      </c>
      <c r="H1189" s="263" t="s">
        <v>3190</v>
      </c>
      <c r="I1189" s="249" t="s">
        <v>2746</v>
      </c>
      <c r="J1189" s="248" t="s">
        <v>2548</v>
      </c>
      <c r="K1189" s="263" t="s">
        <v>3131</v>
      </c>
      <c r="L1189" s="263" t="s">
        <v>2798</v>
      </c>
      <c r="M1189" s="248" t="s">
        <v>2369</v>
      </c>
      <c r="N1189" s="293"/>
      <c r="O1189" s="293" t="str">
        <f>TablaPOA[[#This Row],[Cod_Sub_acción_especifica]]&amp;"_"&amp;TablaPOA[[#This Row],[Tipo de agente]]</f>
        <v>K31.4.1.3_Distribuidores mayoristas, Importadores y Comercializadores</v>
      </c>
      <c r="P1189" s="250" t="s">
        <v>2852</v>
      </c>
      <c r="Q1189" s="292" t="str">
        <f>TablaPOA[[#This Row],[Cod_Sub_acción_especifica]]&amp;"_"&amp;TablaPOA[[#This Row],[Cod_Tipo_agente]]</f>
        <v>K31.4.1.3_TA4</v>
      </c>
      <c r="R1189" s="250" t="s">
        <v>2853</v>
      </c>
      <c r="S1189" s="251" t="s">
        <v>2856</v>
      </c>
      <c r="T1189" s="269" t="s">
        <v>2857</v>
      </c>
    </row>
    <row r="1190" spans="1:20" ht="25.5" x14ac:dyDescent="0.25">
      <c r="A1190" s="268" t="s">
        <v>2314</v>
      </c>
      <c r="B1190" s="248">
        <v>31</v>
      </c>
      <c r="C1190" s="248" t="s">
        <v>2691</v>
      </c>
      <c r="D1190" s="248" t="s">
        <v>2988</v>
      </c>
      <c r="E1190" s="248" t="s">
        <v>3189</v>
      </c>
      <c r="F1190" s="248" t="s">
        <v>2697</v>
      </c>
      <c r="G1190" s="248" t="s">
        <v>2497</v>
      </c>
      <c r="H1190" s="263" t="s">
        <v>3190</v>
      </c>
      <c r="I1190" s="249" t="s">
        <v>2746</v>
      </c>
      <c r="J1190" s="248" t="s">
        <v>2548</v>
      </c>
      <c r="K1190" s="263" t="s">
        <v>3131</v>
      </c>
      <c r="L1190" s="263" t="s">
        <v>2798</v>
      </c>
      <c r="M1190" s="248" t="s">
        <v>2369</v>
      </c>
      <c r="N1190" s="293"/>
      <c r="O1190" s="293" t="str">
        <f>TablaPOA[[#This Row],[Cod_Sub_acción_especifica]]&amp;"_"&amp;TablaPOA[[#This Row],[Tipo de agente]]</f>
        <v>K31.4.1.3_Distribuidores mayoristas, Importadores y Comercializadores</v>
      </c>
      <c r="P1190" s="250" t="s">
        <v>2852</v>
      </c>
      <c r="Q1190" s="292" t="str">
        <f>TablaPOA[[#This Row],[Cod_Sub_acción_especifica]]&amp;"_"&amp;TablaPOA[[#This Row],[Cod_Tipo_agente]]</f>
        <v>K31.4.1.3_TA4</v>
      </c>
      <c r="R1190" s="250" t="s">
        <v>2853</v>
      </c>
      <c r="S1190" s="251" t="s">
        <v>2858</v>
      </c>
      <c r="T1190" s="269" t="s">
        <v>2859</v>
      </c>
    </row>
    <row r="1191" spans="1:20" ht="25.5" x14ac:dyDescent="0.25">
      <c r="A1191" s="268" t="s">
        <v>2314</v>
      </c>
      <c r="B1191" s="248">
        <v>31</v>
      </c>
      <c r="C1191" s="248" t="s">
        <v>2691</v>
      </c>
      <c r="D1191" s="248" t="s">
        <v>2988</v>
      </c>
      <c r="E1191" s="248" t="s">
        <v>3189</v>
      </c>
      <c r="F1191" s="248" t="s">
        <v>2697</v>
      </c>
      <c r="G1191" s="248" t="s">
        <v>2497</v>
      </c>
      <c r="H1191" s="263" t="s">
        <v>3190</v>
      </c>
      <c r="I1191" s="249" t="s">
        <v>2746</v>
      </c>
      <c r="J1191" s="248" t="s">
        <v>2548</v>
      </c>
      <c r="K1191" s="263" t="s">
        <v>3131</v>
      </c>
      <c r="L1191" s="263" t="s">
        <v>2798</v>
      </c>
      <c r="M1191" s="248" t="s">
        <v>2369</v>
      </c>
      <c r="N1191" s="293"/>
      <c r="O1191" s="293" t="str">
        <f>TablaPOA[[#This Row],[Cod_Sub_acción_especifica]]&amp;"_"&amp;TablaPOA[[#This Row],[Tipo de agente]]</f>
        <v>K31.4.1.3_Distribuidores mayoristas, Importadores y Comercializadores</v>
      </c>
      <c r="P1191" s="250" t="s">
        <v>2852</v>
      </c>
      <c r="Q1191" s="292" t="str">
        <f>TablaPOA[[#This Row],[Cod_Sub_acción_especifica]]&amp;"_"&amp;TablaPOA[[#This Row],[Cod_Tipo_agente]]</f>
        <v>K31.4.1.3_TA4</v>
      </c>
      <c r="R1191" s="250" t="s">
        <v>2853</v>
      </c>
      <c r="S1191" s="251" t="s">
        <v>2860</v>
      </c>
      <c r="T1191" s="269" t="s">
        <v>2861</v>
      </c>
    </row>
    <row r="1192" spans="1:20" ht="25.5" x14ac:dyDescent="0.25">
      <c r="A1192" s="268" t="s">
        <v>2314</v>
      </c>
      <c r="B1192" s="248">
        <v>31</v>
      </c>
      <c r="C1192" s="248" t="s">
        <v>2691</v>
      </c>
      <c r="D1192" s="248" t="s">
        <v>2988</v>
      </c>
      <c r="E1192" s="248" t="s">
        <v>3189</v>
      </c>
      <c r="F1192" s="248" t="s">
        <v>2697</v>
      </c>
      <c r="G1192" s="248" t="s">
        <v>2497</v>
      </c>
      <c r="H1192" s="263" t="s">
        <v>3190</v>
      </c>
      <c r="I1192" s="249" t="s">
        <v>2746</v>
      </c>
      <c r="J1192" s="248" t="s">
        <v>2548</v>
      </c>
      <c r="K1192" s="263" t="s">
        <v>3131</v>
      </c>
      <c r="L1192" s="263" t="s">
        <v>2798</v>
      </c>
      <c r="M1192" s="248" t="s">
        <v>2369</v>
      </c>
      <c r="N1192" s="293"/>
      <c r="O1192" s="293" t="str">
        <f>TablaPOA[[#This Row],[Cod_Sub_acción_especifica]]&amp;"_"&amp;TablaPOA[[#This Row],[Tipo de agente]]</f>
        <v>K31.4.1.3_Distribuidores mayoristas, Importadores y Comercializadores</v>
      </c>
      <c r="P1192" s="250" t="s">
        <v>2852</v>
      </c>
      <c r="Q1192" s="292" t="str">
        <f>TablaPOA[[#This Row],[Cod_Sub_acción_especifica]]&amp;"_"&amp;TablaPOA[[#This Row],[Cod_Tipo_agente]]</f>
        <v>K31.4.1.3_TA4</v>
      </c>
      <c r="R1192" s="250" t="s">
        <v>2853</v>
      </c>
      <c r="S1192" s="251" t="s">
        <v>2862</v>
      </c>
      <c r="T1192" s="269" t="s">
        <v>2863</v>
      </c>
    </row>
    <row r="1193" spans="1:20" ht="25.5" x14ac:dyDescent="0.25">
      <c r="A1193" s="268" t="s">
        <v>2314</v>
      </c>
      <c r="B1193" s="248">
        <v>31</v>
      </c>
      <c r="C1193" s="248" t="s">
        <v>2691</v>
      </c>
      <c r="D1193" s="248" t="s">
        <v>2988</v>
      </c>
      <c r="E1193" s="248" t="s">
        <v>3189</v>
      </c>
      <c r="F1193" s="248" t="s">
        <v>2697</v>
      </c>
      <c r="G1193" s="248" t="s">
        <v>2497</v>
      </c>
      <c r="H1193" s="263" t="s">
        <v>3190</v>
      </c>
      <c r="I1193" s="249" t="s">
        <v>2746</v>
      </c>
      <c r="J1193" s="248" t="s">
        <v>2548</v>
      </c>
      <c r="K1193" s="263" t="s">
        <v>3131</v>
      </c>
      <c r="L1193" s="263" t="s">
        <v>2798</v>
      </c>
      <c r="M1193" s="248" t="s">
        <v>2369</v>
      </c>
      <c r="N1193" s="293"/>
      <c r="O1193" s="293" t="str">
        <f>TablaPOA[[#This Row],[Cod_Sub_acción_especifica]]&amp;"_"&amp;TablaPOA[[#This Row],[Tipo de agente]]</f>
        <v>K31.4.1.3_Distribuidores mayoristas, Importadores y Comercializadores</v>
      </c>
      <c r="P1193" s="250" t="s">
        <v>2852</v>
      </c>
      <c r="Q1193" s="292" t="str">
        <f>TablaPOA[[#This Row],[Cod_Sub_acción_especifica]]&amp;"_"&amp;TablaPOA[[#This Row],[Cod_Tipo_agente]]</f>
        <v>K31.4.1.3_TA4</v>
      </c>
      <c r="R1193" s="250" t="s">
        <v>2853</v>
      </c>
      <c r="S1193" s="251" t="s">
        <v>2864</v>
      </c>
      <c r="T1193" s="269" t="s">
        <v>2865</v>
      </c>
    </row>
    <row r="1194" spans="1:20" ht="25.5" x14ac:dyDescent="0.25">
      <c r="A1194" s="268" t="s">
        <v>2314</v>
      </c>
      <c r="B1194" s="248">
        <v>31</v>
      </c>
      <c r="C1194" s="248" t="s">
        <v>2691</v>
      </c>
      <c r="D1194" s="248" t="s">
        <v>2988</v>
      </c>
      <c r="E1194" s="248" t="s">
        <v>3189</v>
      </c>
      <c r="F1194" s="248" t="s">
        <v>2697</v>
      </c>
      <c r="G1194" s="248" t="s">
        <v>2497</v>
      </c>
      <c r="H1194" s="263" t="s">
        <v>3190</v>
      </c>
      <c r="I1194" s="249" t="s">
        <v>2746</v>
      </c>
      <c r="J1194" s="248" t="s">
        <v>2548</v>
      </c>
      <c r="K1194" s="263" t="s">
        <v>3131</v>
      </c>
      <c r="L1194" s="263" t="s">
        <v>2798</v>
      </c>
      <c r="M1194" s="248" t="s">
        <v>2369</v>
      </c>
      <c r="N1194" s="293"/>
      <c r="O1194" s="293" t="str">
        <f>TablaPOA[[#This Row],[Cod_Sub_acción_especifica]]&amp;"_"&amp;TablaPOA[[#This Row],[Tipo de agente]]</f>
        <v>K31.4.1.3_Distribuidores mayoristas, Importadores y Comercializadores</v>
      </c>
      <c r="P1194" s="250" t="s">
        <v>2852</v>
      </c>
      <c r="Q1194" s="292" t="str">
        <f>TablaPOA[[#This Row],[Cod_Sub_acción_especifica]]&amp;"_"&amp;TablaPOA[[#This Row],[Cod_Tipo_agente]]</f>
        <v>K31.4.1.3_TA4</v>
      </c>
      <c r="R1194" s="250" t="s">
        <v>2853</v>
      </c>
      <c r="S1194" s="251" t="s">
        <v>2866</v>
      </c>
      <c r="T1194" s="269" t="s">
        <v>2867</v>
      </c>
    </row>
    <row r="1195" spans="1:20" ht="25.5" x14ac:dyDescent="0.25">
      <c r="A1195" s="268" t="s">
        <v>2314</v>
      </c>
      <c r="B1195" s="248">
        <v>31</v>
      </c>
      <c r="C1195" s="248" t="s">
        <v>2691</v>
      </c>
      <c r="D1195" s="248" t="s">
        <v>2988</v>
      </c>
      <c r="E1195" s="248" t="s">
        <v>3189</v>
      </c>
      <c r="F1195" s="248" t="s">
        <v>2697</v>
      </c>
      <c r="G1195" s="248" t="s">
        <v>2497</v>
      </c>
      <c r="H1195" s="263" t="s">
        <v>3190</v>
      </c>
      <c r="I1195" s="249" t="s">
        <v>2746</v>
      </c>
      <c r="J1195" s="248" t="s">
        <v>2548</v>
      </c>
      <c r="K1195" s="263" t="s">
        <v>3131</v>
      </c>
      <c r="L1195" s="263" t="s">
        <v>2798</v>
      </c>
      <c r="M1195" s="248" t="s">
        <v>2369</v>
      </c>
      <c r="N1195" s="293"/>
      <c r="O1195" s="293" t="str">
        <f>TablaPOA[[#This Row],[Cod_Sub_acción_especifica]]&amp;"_"&amp;TablaPOA[[#This Row],[Tipo de agente]]</f>
        <v>K31.4.1.3_Distribuidores mayoristas, Importadores y Comercializadores</v>
      </c>
      <c r="P1195" s="250" t="s">
        <v>2852</v>
      </c>
      <c r="Q1195" s="292" t="str">
        <f>TablaPOA[[#This Row],[Cod_Sub_acción_especifica]]&amp;"_"&amp;TablaPOA[[#This Row],[Cod_Tipo_agente]]</f>
        <v>K31.4.1.3_TA4</v>
      </c>
      <c r="R1195" s="250" t="s">
        <v>2853</v>
      </c>
      <c r="S1195" s="251" t="s">
        <v>2868</v>
      </c>
      <c r="T1195" s="269" t="s">
        <v>2869</v>
      </c>
    </row>
    <row r="1196" spans="1:20" ht="25.5" x14ac:dyDescent="0.25">
      <c r="A1196" s="268" t="s">
        <v>2314</v>
      </c>
      <c r="B1196" s="248">
        <v>31</v>
      </c>
      <c r="C1196" s="248" t="s">
        <v>2691</v>
      </c>
      <c r="D1196" s="248" t="s">
        <v>2988</v>
      </c>
      <c r="E1196" s="248" t="s">
        <v>3189</v>
      </c>
      <c r="F1196" s="248" t="s">
        <v>2697</v>
      </c>
      <c r="G1196" s="248" t="s">
        <v>2497</v>
      </c>
      <c r="H1196" s="263" t="s">
        <v>3190</v>
      </c>
      <c r="I1196" s="249" t="s">
        <v>2746</v>
      </c>
      <c r="J1196" s="248" t="s">
        <v>2548</v>
      </c>
      <c r="K1196" s="263" t="s">
        <v>3131</v>
      </c>
      <c r="L1196" s="263" t="s">
        <v>2798</v>
      </c>
      <c r="M1196" s="248" t="s">
        <v>2369</v>
      </c>
      <c r="N1196" s="293"/>
      <c r="O1196" s="293" t="str">
        <f>TablaPOA[[#This Row],[Cod_Sub_acción_especifica]]&amp;"_"&amp;TablaPOA[[#This Row],[Tipo de agente]]</f>
        <v>K31.4.1.3_Distribuidores mayoristas, Importadores y Comercializadores</v>
      </c>
      <c r="P1196" s="250" t="s">
        <v>2852</v>
      </c>
      <c r="Q1196" s="292" t="str">
        <f>TablaPOA[[#This Row],[Cod_Sub_acción_especifica]]&amp;"_"&amp;TablaPOA[[#This Row],[Cod_Tipo_agente]]</f>
        <v>K31.4.1.3_TA4</v>
      </c>
      <c r="R1196" s="250" t="s">
        <v>2853</v>
      </c>
      <c r="S1196" s="251" t="s">
        <v>2870</v>
      </c>
      <c r="T1196" s="269" t="s">
        <v>2871</v>
      </c>
    </row>
    <row r="1197" spans="1:20" ht="25.5" x14ac:dyDescent="0.25">
      <c r="A1197" s="268" t="s">
        <v>2314</v>
      </c>
      <c r="B1197" s="248">
        <v>31</v>
      </c>
      <c r="C1197" s="248" t="s">
        <v>2691</v>
      </c>
      <c r="D1197" s="248" t="s">
        <v>2988</v>
      </c>
      <c r="E1197" s="248" t="s">
        <v>3189</v>
      </c>
      <c r="F1197" s="248" t="s">
        <v>2697</v>
      </c>
      <c r="G1197" s="248" t="s">
        <v>2497</v>
      </c>
      <c r="H1197" s="263" t="s">
        <v>3190</v>
      </c>
      <c r="I1197" s="249" t="s">
        <v>2746</v>
      </c>
      <c r="J1197" s="248" t="s">
        <v>2548</v>
      </c>
      <c r="K1197" s="263" t="s">
        <v>3131</v>
      </c>
      <c r="L1197" s="263" t="s">
        <v>2798</v>
      </c>
      <c r="M1197" s="248" t="s">
        <v>2369</v>
      </c>
      <c r="N1197" s="293"/>
      <c r="O1197" s="293" t="str">
        <f>TablaPOA[[#This Row],[Cod_Sub_acción_especifica]]&amp;"_"&amp;TablaPOA[[#This Row],[Tipo de agente]]</f>
        <v>K31.4.1.3_Distribuidores mayoristas, Importadores y Comercializadores</v>
      </c>
      <c r="P1197" s="250" t="s">
        <v>2852</v>
      </c>
      <c r="Q1197" s="292" t="str">
        <f>TablaPOA[[#This Row],[Cod_Sub_acción_especifica]]&amp;"_"&amp;TablaPOA[[#This Row],[Cod_Tipo_agente]]</f>
        <v>K31.4.1.3_TA4</v>
      </c>
      <c r="R1197" s="250" t="s">
        <v>2853</v>
      </c>
      <c r="S1197" s="251" t="s">
        <v>2872</v>
      </c>
      <c r="T1197" s="269" t="s">
        <v>2873</v>
      </c>
    </row>
    <row r="1198" spans="1:20" ht="25.5" x14ac:dyDescent="0.25">
      <c r="A1198" s="268" t="s">
        <v>2314</v>
      </c>
      <c r="B1198" s="248">
        <v>31</v>
      </c>
      <c r="C1198" s="248" t="s">
        <v>2691</v>
      </c>
      <c r="D1198" s="248" t="s">
        <v>2988</v>
      </c>
      <c r="E1198" s="248" t="s">
        <v>3189</v>
      </c>
      <c r="F1198" s="248" t="s">
        <v>2697</v>
      </c>
      <c r="G1198" s="248" t="s">
        <v>2497</v>
      </c>
      <c r="H1198" s="263" t="s">
        <v>3190</v>
      </c>
      <c r="I1198" s="249" t="s">
        <v>2746</v>
      </c>
      <c r="J1198" s="248" t="s">
        <v>2548</v>
      </c>
      <c r="K1198" s="263" t="s">
        <v>3131</v>
      </c>
      <c r="L1198" s="263" t="s">
        <v>2798</v>
      </c>
      <c r="M1198" s="248" t="s">
        <v>2369</v>
      </c>
      <c r="N1198" s="293"/>
      <c r="O1198" s="293" t="str">
        <f>TablaPOA[[#This Row],[Cod_Sub_acción_especifica]]&amp;"_"&amp;TablaPOA[[#This Row],[Tipo de agente]]</f>
        <v>K31.4.1.3_Distribuidores mayoristas, Importadores y Comercializadores</v>
      </c>
      <c r="P1198" s="250" t="s">
        <v>2852</v>
      </c>
      <c r="Q1198" s="292" t="str">
        <f>TablaPOA[[#This Row],[Cod_Sub_acción_especifica]]&amp;"_"&amp;TablaPOA[[#This Row],[Cod_Tipo_agente]]</f>
        <v>K31.4.1.3_TA4</v>
      </c>
      <c r="R1198" s="250" t="s">
        <v>2853</v>
      </c>
      <c r="S1198" s="251" t="s">
        <v>2874</v>
      </c>
      <c r="T1198" s="269" t="s">
        <v>2875</v>
      </c>
    </row>
    <row r="1199" spans="1:20" ht="25.5" x14ac:dyDescent="0.25">
      <c r="A1199" s="268" t="s">
        <v>2314</v>
      </c>
      <c r="B1199" s="248">
        <v>31</v>
      </c>
      <c r="C1199" s="248" t="s">
        <v>2691</v>
      </c>
      <c r="D1199" s="248" t="s">
        <v>2988</v>
      </c>
      <c r="E1199" s="248" t="s">
        <v>3189</v>
      </c>
      <c r="F1199" s="248" t="s">
        <v>2697</v>
      </c>
      <c r="G1199" s="248" t="s">
        <v>2497</v>
      </c>
      <c r="H1199" s="263" t="s">
        <v>3190</v>
      </c>
      <c r="I1199" s="249" t="s">
        <v>2746</v>
      </c>
      <c r="J1199" s="248" t="s">
        <v>2548</v>
      </c>
      <c r="K1199" s="263" t="s">
        <v>3131</v>
      </c>
      <c r="L1199" s="263" t="s">
        <v>2798</v>
      </c>
      <c r="M1199" s="248" t="s">
        <v>2369</v>
      </c>
      <c r="N1199" s="293"/>
      <c r="O1199" s="293" t="str">
        <f>TablaPOA[[#This Row],[Cod_Sub_acción_especifica]]&amp;"_"&amp;TablaPOA[[#This Row],[Tipo de agente]]</f>
        <v>K31.4.1.3_Envasadoras de GLP</v>
      </c>
      <c r="P1199" s="250" t="s">
        <v>2876</v>
      </c>
      <c r="Q1199" s="292" t="str">
        <f>TablaPOA[[#This Row],[Cod_Sub_acción_especifica]]&amp;"_"&amp;TablaPOA[[#This Row],[Cod_Tipo_agente]]</f>
        <v>K31.4.1.3_TA5</v>
      </c>
      <c r="R1199" s="250" t="s">
        <v>2877</v>
      </c>
      <c r="S1199" s="251" t="s">
        <v>2878</v>
      </c>
      <c r="T1199" s="269" t="s">
        <v>2879</v>
      </c>
    </row>
    <row r="1200" spans="1:20" ht="25.5" x14ac:dyDescent="0.25">
      <c r="A1200" s="268" t="s">
        <v>2314</v>
      </c>
      <c r="B1200" s="248">
        <v>31</v>
      </c>
      <c r="C1200" s="248" t="s">
        <v>2691</v>
      </c>
      <c r="D1200" s="248" t="s">
        <v>2988</v>
      </c>
      <c r="E1200" s="248" t="s">
        <v>3189</v>
      </c>
      <c r="F1200" s="248" t="s">
        <v>2697</v>
      </c>
      <c r="G1200" s="248" t="s">
        <v>2497</v>
      </c>
      <c r="H1200" s="263" t="s">
        <v>3190</v>
      </c>
      <c r="I1200" s="249" t="s">
        <v>2746</v>
      </c>
      <c r="J1200" s="248" t="s">
        <v>2548</v>
      </c>
      <c r="K1200" s="263" t="s">
        <v>3131</v>
      </c>
      <c r="L1200" s="263" t="s">
        <v>2798</v>
      </c>
      <c r="M1200" s="248" t="s">
        <v>2369</v>
      </c>
      <c r="N1200" s="293"/>
      <c r="O1200" s="293" t="str">
        <f>TablaPOA[[#This Row],[Cod_Sub_acción_especifica]]&amp;"_"&amp;TablaPOA[[#This Row],[Tipo de agente]]</f>
        <v>K31.4.1.3_Envasadoras de GLP</v>
      </c>
      <c r="P1200" s="250" t="s">
        <v>2876</v>
      </c>
      <c r="Q1200" s="292" t="str">
        <f>TablaPOA[[#This Row],[Cod_Sub_acción_especifica]]&amp;"_"&amp;TablaPOA[[#This Row],[Cod_Tipo_agente]]</f>
        <v>K31.4.1.3_TA5</v>
      </c>
      <c r="R1200" s="250" t="s">
        <v>2877</v>
      </c>
      <c r="S1200" s="251" t="s">
        <v>2880</v>
      </c>
      <c r="T1200" s="269" t="s">
        <v>2881</v>
      </c>
    </row>
    <row r="1201" spans="1:20" ht="25.5" x14ac:dyDescent="0.25">
      <c r="A1201" s="268" t="s">
        <v>2314</v>
      </c>
      <c r="B1201" s="248">
        <v>31</v>
      </c>
      <c r="C1201" s="248" t="s">
        <v>2691</v>
      </c>
      <c r="D1201" s="248" t="s">
        <v>2988</v>
      </c>
      <c r="E1201" s="248" t="s">
        <v>3189</v>
      </c>
      <c r="F1201" s="248" t="s">
        <v>2697</v>
      </c>
      <c r="G1201" s="248" t="s">
        <v>2497</v>
      </c>
      <c r="H1201" s="263" t="s">
        <v>3190</v>
      </c>
      <c r="I1201" s="249" t="s">
        <v>2746</v>
      </c>
      <c r="J1201" s="248" t="s">
        <v>2548</v>
      </c>
      <c r="K1201" s="263" t="s">
        <v>3131</v>
      </c>
      <c r="L1201" s="263" t="s">
        <v>2798</v>
      </c>
      <c r="M1201" s="248" t="s">
        <v>2369</v>
      </c>
      <c r="N1201" s="293"/>
      <c r="O1201" s="293" t="str">
        <f>TablaPOA[[#This Row],[Cod_Sub_acción_especifica]]&amp;"_"&amp;TablaPOA[[#This Row],[Tipo de agente]]</f>
        <v>K31.4.1.3_EVP combustibles de uso automotor</v>
      </c>
      <c r="P1201" s="250" t="s">
        <v>2882</v>
      </c>
      <c r="Q1201" s="292" t="str">
        <f>TablaPOA[[#This Row],[Cod_Sub_acción_especifica]]&amp;"_"&amp;TablaPOA[[#This Row],[Cod_Tipo_agente]]</f>
        <v>K31.4.1.3_TA6</v>
      </c>
      <c r="R1201" s="250" t="s">
        <v>2883</v>
      </c>
      <c r="S1201" s="251" t="s">
        <v>2884</v>
      </c>
      <c r="T1201" s="269" t="s">
        <v>2885</v>
      </c>
    </row>
    <row r="1202" spans="1:20" ht="25.5" x14ac:dyDescent="0.25">
      <c r="A1202" s="268" t="s">
        <v>2314</v>
      </c>
      <c r="B1202" s="248">
        <v>31</v>
      </c>
      <c r="C1202" s="248" t="s">
        <v>2691</v>
      </c>
      <c r="D1202" s="248" t="s">
        <v>2988</v>
      </c>
      <c r="E1202" s="248" t="s">
        <v>3189</v>
      </c>
      <c r="F1202" s="248" t="s">
        <v>2697</v>
      </c>
      <c r="G1202" s="248" t="s">
        <v>2497</v>
      </c>
      <c r="H1202" s="263" t="s">
        <v>3190</v>
      </c>
      <c r="I1202" s="249" t="s">
        <v>2746</v>
      </c>
      <c r="J1202" s="248" t="s">
        <v>2548</v>
      </c>
      <c r="K1202" s="263" t="s">
        <v>3131</v>
      </c>
      <c r="L1202" s="263" t="s">
        <v>2798</v>
      </c>
      <c r="M1202" s="248" t="s">
        <v>2369</v>
      </c>
      <c r="N1202" s="293"/>
      <c r="O1202" s="293" t="str">
        <f>TablaPOA[[#This Row],[Cod_Sub_acción_especifica]]&amp;"_"&amp;TablaPOA[[#This Row],[Tipo de agente]]</f>
        <v>K31.4.1.3_EVP combustibles de uso automotor</v>
      </c>
      <c r="P1202" s="250" t="s">
        <v>2882</v>
      </c>
      <c r="Q1202" s="292" t="str">
        <f>TablaPOA[[#This Row],[Cod_Sub_acción_especifica]]&amp;"_"&amp;TablaPOA[[#This Row],[Cod_Tipo_agente]]</f>
        <v>K31.4.1.3_TA6</v>
      </c>
      <c r="R1202" s="250" t="s">
        <v>2883</v>
      </c>
      <c r="S1202" s="251" t="s">
        <v>2886</v>
      </c>
      <c r="T1202" s="269" t="s">
        <v>2887</v>
      </c>
    </row>
    <row r="1203" spans="1:20" ht="25.5" x14ac:dyDescent="0.25">
      <c r="A1203" s="268" t="s">
        <v>2314</v>
      </c>
      <c r="B1203" s="248">
        <v>31</v>
      </c>
      <c r="C1203" s="248" t="s">
        <v>2691</v>
      </c>
      <c r="D1203" s="248" t="s">
        <v>2988</v>
      </c>
      <c r="E1203" s="248" t="s">
        <v>3189</v>
      </c>
      <c r="F1203" s="248" t="s">
        <v>2697</v>
      </c>
      <c r="G1203" s="248" t="s">
        <v>2497</v>
      </c>
      <c r="H1203" s="263" t="s">
        <v>3190</v>
      </c>
      <c r="I1203" s="249" t="s">
        <v>2746</v>
      </c>
      <c r="J1203" s="248" t="s">
        <v>2548</v>
      </c>
      <c r="K1203" s="263" t="s">
        <v>3131</v>
      </c>
      <c r="L1203" s="263" t="s">
        <v>2798</v>
      </c>
      <c r="M1203" s="248" t="s">
        <v>2369</v>
      </c>
      <c r="N1203" s="293"/>
      <c r="O1203" s="293" t="str">
        <f>TablaPOA[[#This Row],[Cod_Sub_acción_especifica]]&amp;"_"&amp;TablaPOA[[#This Row],[Tipo de agente]]</f>
        <v>K31.4.1.3_EVP combustibles de uso automotor</v>
      </c>
      <c r="P1203" s="250" t="s">
        <v>2882</v>
      </c>
      <c r="Q1203" s="292" t="str">
        <f>TablaPOA[[#This Row],[Cod_Sub_acción_especifica]]&amp;"_"&amp;TablaPOA[[#This Row],[Cod_Tipo_agente]]</f>
        <v>K31.4.1.3_TA6</v>
      </c>
      <c r="R1203" s="250" t="s">
        <v>2883</v>
      </c>
      <c r="S1203" s="251" t="s">
        <v>2888</v>
      </c>
      <c r="T1203" s="269" t="s">
        <v>2889</v>
      </c>
    </row>
    <row r="1204" spans="1:20" ht="25.5" x14ac:dyDescent="0.25">
      <c r="A1204" s="268" t="s">
        <v>2314</v>
      </c>
      <c r="B1204" s="248">
        <v>31</v>
      </c>
      <c r="C1204" s="248" t="s">
        <v>2691</v>
      </c>
      <c r="D1204" s="248" t="s">
        <v>2988</v>
      </c>
      <c r="E1204" s="248" t="s">
        <v>3189</v>
      </c>
      <c r="F1204" s="248" t="s">
        <v>2697</v>
      </c>
      <c r="G1204" s="248" t="s">
        <v>2497</v>
      </c>
      <c r="H1204" s="263" t="s">
        <v>3190</v>
      </c>
      <c r="I1204" s="249" t="s">
        <v>2746</v>
      </c>
      <c r="J1204" s="248" t="s">
        <v>2548</v>
      </c>
      <c r="K1204" s="263" t="s">
        <v>3131</v>
      </c>
      <c r="L1204" s="263" t="s">
        <v>2798</v>
      </c>
      <c r="M1204" s="248" t="s">
        <v>2369</v>
      </c>
      <c r="N1204" s="293"/>
      <c r="O1204" s="293" t="str">
        <f>TablaPOA[[#This Row],[Cod_Sub_acción_especifica]]&amp;"_"&amp;TablaPOA[[#This Row],[Tipo de agente]]</f>
        <v>K31.4.1.3_EVP combustibles de uso automotor</v>
      </c>
      <c r="P1204" s="250" t="s">
        <v>2882</v>
      </c>
      <c r="Q1204" s="292" t="str">
        <f>TablaPOA[[#This Row],[Cod_Sub_acción_especifica]]&amp;"_"&amp;TablaPOA[[#This Row],[Cod_Tipo_agente]]</f>
        <v>K31.4.1.3_TA6</v>
      </c>
      <c r="R1204" s="250" t="s">
        <v>2883</v>
      </c>
      <c r="S1204" s="251" t="s">
        <v>2890</v>
      </c>
      <c r="T1204" s="269" t="s">
        <v>2891</v>
      </c>
    </row>
    <row r="1205" spans="1:20" ht="25.5" x14ac:dyDescent="0.25">
      <c r="A1205" s="268" t="s">
        <v>2314</v>
      </c>
      <c r="B1205" s="248">
        <v>31</v>
      </c>
      <c r="C1205" s="248" t="s">
        <v>2691</v>
      </c>
      <c r="D1205" s="248" t="s">
        <v>2988</v>
      </c>
      <c r="E1205" s="248" t="s">
        <v>3189</v>
      </c>
      <c r="F1205" s="248" t="s">
        <v>2697</v>
      </c>
      <c r="G1205" s="248" t="s">
        <v>2497</v>
      </c>
      <c r="H1205" s="263" t="s">
        <v>3190</v>
      </c>
      <c r="I1205" s="249" t="s">
        <v>2746</v>
      </c>
      <c r="J1205" s="248" t="s">
        <v>2548</v>
      </c>
      <c r="K1205" s="263" t="s">
        <v>3131</v>
      </c>
      <c r="L1205" s="263" t="s">
        <v>2798</v>
      </c>
      <c r="M1205" s="248" t="s">
        <v>2369</v>
      </c>
      <c r="N1205" s="293"/>
      <c r="O1205" s="293" t="str">
        <f>TablaPOA[[#This Row],[Cod_Sub_acción_especifica]]&amp;"_"&amp;TablaPOA[[#This Row],[Tipo de agente]]</f>
        <v>K31.4.1.3_EVP combustibles de uso automotor</v>
      </c>
      <c r="P1205" s="250" t="s">
        <v>2882</v>
      </c>
      <c r="Q1205" s="292" t="str">
        <f>TablaPOA[[#This Row],[Cod_Sub_acción_especifica]]&amp;"_"&amp;TablaPOA[[#This Row],[Cod_Tipo_agente]]</f>
        <v>K31.4.1.3_TA6</v>
      </c>
      <c r="R1205" s="250" t="s">
        <v>2883</v>
      </c>
      <c r="S1205" s="251" t="s">
        <v>2892</v>
      </c>
      <c r="T1205" s="269" t="s">
        <v>2893</v>
      </c>
    </row>
    <row r="1206" spans="1:20" ht="25.5" x14ac:dyDescent="0.25">
      <c r="A1206" s="268" t="s">
        <v>2314</v>
      </c>
      <c r="B1206" s="248">
        <v>31</v>
      </c>
      <c r="C1206" s="248" t="s">
        <v>2691</v>
      </c>
      <c r="D1206" s="248" t="s">
        <v>2988</v>
      </c>
      <c r="E1206" s="248" t="s">
        <v>3189</v>
      </c>
      <c r="F1206" s="248" t="s">
        <v>2697</v>
      </c>
      <c r="G1206" s="248" t="s">
        <v>2497</v>
      </c>
      <c r="H1206" s="263" t="s">
        <v>3190</v>
      </c>
      <c r="I1206" s="249" t="s">
        <v>2746</v>
      </c>
      <c r="J1206" s="248" t="s">
        <v>2548</v>
      </c>
      <c r="K1206" s="263" t="s">
        <v>3131</v>
      </c>
      <c r="L1206" s="263" t="s">
        <v>2798</v>
      </c>
      <c r="M1206" s="248" t="s">
        <v>2369</v>
      </c>
      <c r="N1206" s="293"/>
      <c r="O1206" s="293" t="str">
        <f>TablaPOA[[#This Row],[Cod_Sub_acción_especifica]]&amp;"_"&amp;TablaPOA[[#This Row],[Tipo de agente]]</f>
        <v>K31.4.1.3_EVP combustibles de uso automotor</v>
      </c>
      <c r="P1206" s="250" t="s">
        <v>2882</v>
      </c>
      <c r="Q1206" s="292" t="str">
        <f>TablaPOA[[#This Row],[Cod_Sub_acción_especifica]]&amp;"_"&amp;TablaPOA[[#This Row],[Cod_Tipo_agente]]</f>
        <v>K31.4.1.3_TA6</v>
      </c>
      <c r="R1206" s="250" t="s">
        <v>2883</v>
      </c>
      <c r="S1206" s="251" t="s">
        <v>2894</v>
      </c>
      <c r="T1206" s="269" t="s">
        <v>2895</v>
      </c>
    </row>
    <row r="1207" spans="1:20" ht="25.5" x14ac:dyDescent="0.25">
      <c r="A1207" s="268" t="s">
        <v>2314</v>
      </c>
      <c r="B1207" s="248">
        <v>31</v>
      </c>
      <c r="C1207" s="248" t="s">
        <v>2691</v>
      </c>
      <c r="D1207" s="248" t="s">
        <v>2988</v>
      </c>
      <c r="E1207" s="248" t="s">
        <v>3189</v>
      </c>
      <c r="F1207" s="248" t="s">
        <v>2697</v>
      </c>
      <c r="G1207" s="248" t="s">
        <v>2497</v>
      </c>
      <c r="H1207" s="263" t="s">
        <v>3190</v>
      </c>
      <c r="I1207" s="249" t="s">
        <v>2746</v>
      </c>
      <c r="J1207" s="248" t="s">
        <v>2548</v>
      </c>
      <c r="K1207" s="263" t="s">
        <v>3131</v>
      </c>
      <c r="L1207" s="263" t="s">
        <v>2798</v>
      </c>
      <c r="M1207" s="248" t="s">
        <v>2369</v>
      </c>
      <c r="N1207" s="293"/>
      <c r="O1207" s="293" t="str">
        <f>TablaPOA[[#This Row],[Cod_Sub_acción_especifica]]&amp;"_"&amp;TablaPOA[[#This Row],[Tipo de agente]]</f>
        <v>K31.4.1.3_EVP combustibles de uso automotor</v>
      </c>
      <c r="P1207" s="250" t="s">
        <v>2882</v>
      </c>
      <c r="Q1207" s="292" t="str">
        <f>TablaPOA[[#This Row],[Cod_Sub_acción_especifica]]&amp;"_"&amp;TablaPOA[[#This Row],[Cod_Tipo_agente]]</f>
        <v>K31.4.1.3_TA6</v>
      </c>
      <c r="R1207" s="250" t="s">
        <v>2883</v>
      </c>
      <c r="S1207" s="251" t="s">
        <v>2896</v>
      </c>
      <c r="T1207" s="269" t="s">
        <v>2897</v>
      </c>
    </row>
    <row r="1208" spans="1:20" ht="25.5" x14ac:dyDescent="0.25">
      <c r="A1208" s="268" t="s">
        <v>2314</v>
      </c>
      <c r="B1208" s="248">
        <v>31</v>
      </c>
      <c r="C1208" s="248" t="s">
        <v>2691</v>
      </c>
      <c r="D1208" s="248" t="s">
        <v>2988</v>
      </c>
      <c r="E1208" s="248" t="s">
        <v>3189</v>
      </c>
      <c r="F1208" s="248" t="s">
        <v>2697</v>
      </c>
      <c r="G1208" s="248" t="s">
        <v>2497</v>
      </c>
      <c r="H1208" s="263" t="s">
        <v>3190</v>
      </c>
      <c r="I1208" s="249" t="s">
        <v>2746</v>
      </c>
      <c r="J1208" s="248" t="s">
        <v>2548</v>
      </c>
      <c r="K1208" s="263" t="s">
        <v>3131</v>
      </c>
      <c r="L1208" s="263" t="s">
        <v>2798</v>
      </c>
      <c r="M1208" s="248" t="s">
        <v>2369</v>
      </c>
      <c r="N1208" s="293"/>
      <c r="O1208" s="293" t="str">
        <f>TablaPOA[[#This Row],[Cod_Sub_acción_especifica]]&amp;"_"&amp;TablaPOA[[#This Row],[Tipo de agente]]</f>
        <v>K31.4.1.3_EVP combustibles de uso automotor</v>
      </c>
      <c r="P1208" s="250" t="s">
        <v>2882</v>
      </c>
      <c r="Q1208" s="292" t="str">
        <f>TablaPOA[[#This Row],[Cod_Sub_acción_especifica]]&amp;"_"&amp;TablaPOA[[#This Row],[Cod_Tipo_agente]]</f>
        <v>K31.4.1.3_TA6</v>
      </c>
      <c r="R1208" s="250" t="s">
        <v>2883</v>
      </c>
      <c r="S1208" s="251" t="s">
        <v>2898</v>
      </c>
      <c r="T1208" s="269" t="s">
        <v>2899</v>
      </c>
    </row>
    <row r="1209" spans="1:20" ht="25.5" x14ac:dyDescent="0.25">
      <c r="A1209" s="268" t="s">
        <v>2314</v>
      </c>
      <c r="B1209" s="248">
        <v>31</v>
      </c>
      <c r="C1209" s="248" t="s">
        <v>2691</v>
      </c>
      <c r="D1209" s="248" t="s">
        <v>2988</v>
      </c>
      <c r="E1209" s="248" t="s">
        <v>3189</v>
      </c>
      <c r="F1209" s="248" t="s">
        <v>2697</v>
      </c>
      <c r="G1209" s="248" t="s">
        <v>2497</v>
      </c>
      <c r="H1209" s="263" t="s">
        <v>3190</v>
      </c>
      <c r="I1209" s="249" t="s">
        <v>2746</v>
      </c>
      <c r="J1209" s="248" t="s">
        <v>2548</v>
      </c>
      <c r="K1209" s="263" t="s">
        <v>3131</v>
      </c>
      <c r="L1209" s="263" t="s">
        <v>2798</v>
      </c>
      <c r="M1209" s="248" t="s">
        <v>2369</v>
      </c>
      <c r="N1209" s="293"/>
      <c r="O1209" s="293" t="str">
        <f>TablaPOA[[#This Row],[Cod_Sub_acción_especifica]]&amp;"_"&amp;TablaPOA[[#This Row],[Tipo de agente]]</f>
        <v>K31.4.1.3_EVP combustibles de uso automotor</v>
      </c>
      <c r="P1209" s="250" t="s">
        <v>2882</v>
      </c>
      <c r="Q1209" s="292" t="str">
        <f>TablaPOA[[#This Row],[Cod_Sub_acción_especifica]]&amp;"_"&amp;TablaPOA[[#This Row],[Cod_Tipo_agente]]</f>
        <v>K31.4.1.3_TA6</v>
      </c>
      <c r="R1209" s="250" t="s">
        <v>2883</v>
      </c>
      <c r="S1209" s="251" t="s">
        <v>2900</v>
      </c>
      <c r="T1209" s="269" t="s">
        <v>2901</v>
      </c>
    </row>
    <row r="1210" spans="1:20" ht="25.5" x14ac:dyDescent="0.25">
      <c r="A1210" s="268" t="s">
        <v>2314</v>
      </c>
      <c r="B1210" s="248">
        <v>31</v>
      </c>
      <c r="C1210" s="248" t="s">
        <v>2691</v>
      </c>
      <c r="D1210" s="248" t="s">
        <v>2988</v>
      </c>
      <c r="E1210" s="248" t="s">
        <v>3189</v>
      </c>
      <c r="F1210" s="248" t="s">
        <v>2697</v>
      </c>
      <c r="G1210" s="248" t="s">
        <v>2497</v>
      </c>
      <c r="H1210" s="263" t="s">
        <v>3190</v>
      </c>
      <c r="I1210" s="249" t="s">
        <v>2746</v>
      </c>
      <c r="J1210" s="248" t="s">
        <v>2548</v>
      </c>
      <c r="K1210" s="263" t="s">
        <v>3131</v>
      </c>
      <c r="L1210" s="263" t="s">
        <v>2798</v>
      </c>
      <c r="M1210" s="248" t="s">
        <v>2369</v>
      </c>
      <c r="N1210" s="293"/>
      <c r="O1210" s="293" t="str">
        <f>TablaPOA[[#This Row],[Cod_Sub_acción_especifica]]&amp;"_"&amp;TablaPOA[[#This Row],[Tipo de agente]]</f>
        <v>K31.4.1.3_Locales de venta de GLP</v>
      </c>
      <c r="P1210" s="250" t="s">
        <v>2912</v>
      </c>
      <c r="Q1210" s="292" t="str">
        <f>TablaPOA[[#This Row],[Cod_Sub_acción_especifica]]&amp;"_"&amp;TablaPOA[[#This Row],[Cod_Tipo_agente]]</f>
        <v>K31.4.1.3_TA8</v>
      </c>
      <c r="R1210" s="250" t="s">
        <v>2913</v>
      </c>
      <c r="S1210" s="251" t="s">
        <v>2914</v>
      </c>
      <c r="T1210" s="269" t="s">
        <v>2915</v>
      </c>
    </row>
    <row r="1211" spans="1:20" ht="25.5" x14ac:dyDescent="0.25">
      <c r="A1211" s="268" t="s">
        <v>2314</v>
      </c>
      <c r="B1211" s="248">
        <v>31</v>
      </c>
      <c r="C1211" s="248" t="s">
        <v>2691</v>
      </c>
      <c r="D1211" s="248" t="s">
        <v>2988</v>
      </c>
      <c r="E1211" s="248" t="s">
        <v>3189</v>
      </c>
      <c r="F1211" s="248" t="s">
        <v>2697</v>
      </c>
      <c r="G1211" s="248" t="s">
        <v>2497</v>
      </c>
      <c r="H1211" s="263" t="s">
        <v>3190</v>
      </c>
      <c r="I1211" s="249" t="s">
        <v>2746</v>
      </c>
      <c r="J1211" s="248" t="s">
        <v>2548</v>
      </c>
      <c r="K1211" s="263" t="s">
        <v>3131</v>
      </c>
      <c r="L1211" s="263" t="s">
        <v>2798</v>
      </c>
      <c r="M1211" s="248" t="s">
        <v>2369</v>
      </c>
      <c r="N1211" s="293"/>
      <c r="O1211" s="293" t="str">
        <f>TablaPOA[[#This Row],[Cod_Sub_acción_especifica]]&amp;"_"&amp;TablaPOA[[#This Row],[Tipo de agente]]</f>
        <v>K31.4.1.3_Locales de venta de GLP</v>
      </c>
      <c r="P1211" s="250" t="s">
        <v>2912</v>
      </c>
      <c r="Q1211" s="292" t="str">
        <f>TablaPOA[[#This Row],[Cod_Sub_acción_especifica]]&amp;"_"&amp;TablaPOA[[#This Row],[Cod_Tipo_agente]]</f>
        <v>K31.4.1.3_TA8</v>
      </c>
      <c r="R1211" s="250" t="s">
        <v>2913</v>
      </c>
      <c r="S1211" s="251" t="s">
        <v>2916</v>
      </c>
      <c r="T1211" s="269" t="s">
        <v>2917</v>
      </c>
    </row>
    <row r="1212" spans="1:20" ht="25.5" x14ac:dyDescent="0.25">
      <c r="A1212" s="268" t="s">
        <v>2314</v>
      </c>
      <c r="B1212" s="248">
        <v>31</v>
      </c>
      <c r="C1212" s="248" t="s">
        <v>2691</v>
      </c>
      <c r="D1212" s="248" t="s">
        <v>2988</v>
      </c>
      <c r="E1212" s="248" t="s">
        <v>3189</v>
      </c>
      <c r="F1212" s="248" t="s">
        <v>2697</v>
      </c>
      <c r="G1212" s="248" t="s">
        <v>2497</v>
      </c>
      <c r="H1212" s="263" t="s">
        <v>3190</v>
      </c>
      <c r="I1212" s="249" t="s">
        <v>2746</v>
      </c>
      <c r="J1212" s="248" t="s">
        <v>2548</v>
      </c>
      <c r="K1212" s="263" t="s">
        <v>3131</v>
      </c>
      <c r="L1212" s="263" t="s">
        <v>2798</v>
      </c>
      <c r="M1212" s="248" t="s">
        <v>2369</v>
      </c>
      <c r="N1212" s="293"/>
      <c r="O1212" s="293" t="str">
        <f>TablaPOA[[#This Row],[Cod_Sub_acción_especifica]]&amp;"_"&amp;TablaPOA[[#This Row],[Tipo de agente]]</f>
        <v>K31.4.1.3_Medios de transporte</v>
      </c>
      <c r="P1212" s="250" t="s">
        <v>2918</v>
      </c>
      <c r="Q1212" s="292" t="str">
        <f>TablaPOA[[#This Row],[Cod_Sub_acción_especifica]]&amp;"_"&amp;TablaPOA[[#This Row],[Cod_Tipo_agente]]</f>
        <v>K31.4.1.3_TA9</v>
      </c>
      <c r="R1212" s="250" t="s">
        <v>2919</v>
      </c>
      <c r="S1212" s="251" t="s">
        <v>2920</v>
      </c>
      <c r="T1212" s="269" t="s">
        <v>2921</v>
      </c>
    </row>
    <row r="1213" spans="1:20" ht="25.5" x14ac:dyDescent="0.25">
      <c r="A1213" s="268" t="s">
        <v>2314</v>
      </c>
      <c r="B1213" s="248">
        <v>31</v>
      </c>
      <c r="C1213" s="248" t="s">
        <v>2691</v>
      </c>
      <c r="D1213" s="248" t="s">
        <v>2988</v>
      </c>
      <c r="E1213" s="248" t="s">
        <v>3189</v>
      </c>
      <c r="F1213" s="248" t="s">
        <v>2697</v>
      </c>
      <c r="G1213" s="248" t="s">
        <v>2497</v>
      </c>
      <c r="H1213" s="263" t="s">
        <v>3190</v>
      </c>
      <c r="I1213" s="249" t="s">
        <v>2746</v>
      </c>
      <c r="J1213" s="248" t="s">
        <v>2548</v>
      </c>
      <c r="K1213" s="263" t="s">
        <v>3131</v>
      </c>
      <c r="L1213" s="263" t="s">
        <v>2798</v>
      </c>
      <c r="M1213" s="248" t="s">
        <v>2369</v>
      </c>
      <c r="N1213" s="293"/>
      <c r="O1213" s="293" t="str">
        <f>TablaPOA[[#This Row],[Cod_Sub_acción_especifica]]&amp;"_"&amp;TablaPOA[[#This Row],[Tipo de agente]]</f>
        <v>K31.4.1.3_Medios de transporte</v>
      </c>
      <c r="P1213" s="250" t="s">
        <v>2918</v>
      </c>
      <c r="Q1213" s="292" t="str">
        <f>TablaPOA[[#This Row],[Cod_Sub_acción_especifica]]&amp;"_"&amp;TablaPOA[[#This Row],[Cod_Tipo_agente]]</f>
        <v>K31.4.1.3_TA9</v>
      </c>
      <c r="R1213" s="250" t="s">
        <v>2919</v>
      </c>
      <c r="S1213" s="251" t="s">
        <v>2922</v>
      </c>
      <c r="T1213" s="269" t="s">
        <v>2923</v>
      </c>
    </row>
    <row r="1214" spans="1:20" ht="25.5" x14ac:dyDescent="0.25">
      <c r="A1214" s="268" t="s">
        <v>2314</v>
      </c>
      <c r="B1214" s="248">
        <v>31</v>
      </c>
      <c r="C1214" s="248" t="s">
        <v>2691</v>
      </c>
      <c r="D1214" s="248" t="s">
        <v>2988</v>
      </c>
      <c r="E1214" s="248" t="s">
        <v>3189</v>
      </c>
      <c r="F1214" s="248" t="s">
        <v>2697</v>
      </c>
      <c r="G1214" s="248" t="s">
        <v>2497</v>
      </c>
      <c r="H1214" s="263" t="s">
        <v>3190</v>
      </c>
      <c r="I1214" s="249" t="s">
        <v>2746</v>
      </c>
      <c r="J1214" s="248" t="s">
        <v>2548</v>
      </c>
      <c r="K1214" s="263" t="s">
        <v>3131</v>
      </c>
      <c r="L1214" s="263" t="s">
        <v>2798</v>
      </c>
      <c r="M1214" s="248" t="s">
        <v>2369</v>
      </c>
      <c r="N1214" s="293"/>
      <c r="O1214" s="293" t="str">
        <f>TablaPOA[[#This Row],[Cod_Sub_acción_especifica]]&amp;"_"&amp;TablaPOA[[#This Row],[Tipo de agente]]</f>
        <v>K31.4.1.3_Medios de transporte</v>
      </c>
      <c r="P1214" s="250" t="s">
        <v>2918</v>
      </c>
      <c r="Q1214" s="292" t="str">
        <f>TablaPOA[[#This Row],[Cod_Sub_acción_especifica]]&amp;"_"&amp;TablaPOA[[#This Row],[Cod_Tipo_agente]]</f>
        <v>K31.4.1.3_TA9</v>
      </c>
      <c r="R1214" s="250" t="s">
        <v>2919</v>
      </c>
      <c r="S1214" s="251" t="s">
        <v>2924</v>
      </c>
      <c r="T1214" s="269" t="s">
        <v>2925</v>
      </c>
    </row>
    <row r="1215" spans="1:20" ht="25.5" x14ac:dyDescent="0.25">
      <c r="A1215" s="268" t="s">
        <v>2314</v>
      </c>
      <c r="B1215" s="248">
        <v>31</v>
      </c>
      <c r="C1215" s="248" t="s">
        <v>2691</v>
      </c>
      <c r="D1215" s="248" t="s">
        <v>2988</v>
      </c>
      <c r="E1215" s="248" t="s">
        <v>3189</v>
      </c>
      <c r="F1215" s="248" t="s">
        <v>2697</v>
      </c>
      <c r="G1215" s="248" t="s">
        <v>2497</v>
      </c>
      <c r="H1215" s="263" t="s">
        <v>3190</v>
      </c>
      <c r="I1215" s="249" t="s">
        <v>2746</v>
      </c>
      <c r="J1215" s="248" t="s">
        <v>2548</v>
      </c>
      <c r="K1215" s="263" t="s">
        <v>3131</v>
      </c>
      <c r="L1215" s="263" t="s">
        <v>2798</v>
      </c>
      <c r="M1215" s="248" t="s">
        <v>2369</v>
      </c>
      <c r="N1215" s="293"/>
      <c r="O1215" s="293" t="str">
        <f>TablaPOA[[#This Row],[Cod_Sub_acción_especifica]]&amp;"_"&amp;TablaPOA[[#This Row],[Tipo de agente]]</f>
        <v>K31.4.1.3_Medios de transporte</v>
      </c>
      <c r="P1215" s="250" t="s">
        <v>2918</v>
      </c>
      <c r="Q1215" s="292" t="str">
        <f>TablaPOA[[#This Row],[Cod_Sub_acción_especifica]]&amp;"_"&amp;TablaPOA[[#This Row],[Cod_Tipo_agente]]</f>
        <v>K31.4.1.3_TA9</v>
      </c>
      <c r="R1215" s="250" t="s">
        <v>2919</v>
      </c>
      <c r="S1215" s="251" t="s">
        <v>2926</v>
      </c>
      <c r="T1215" s="269" t="s">
        <v>2927</v>
      </c>
    </row>
    <row r="1216" spans="1:20" ht="25.5" x14ac:dyDescent="0.25">
      <c r="A1216" s="268" t="s">
        <v>2314</v>
      </c>
      <c r="B1216" s="248">
        <v>31</v>
      </c>
      <c r="C1216" s="248" t="s">
        <v>2691</v>
      </c>
      <c r="D1216" s="248" t="s">
        <v>2988</v>
      </c>
      <c r="E1216" s="248" t="s">
        <v>3189</v>
      </c>
      <c r="F1216" s="248" t="s">
        <v>2697</v>
      </c>
      <c r="G1216" s="248" t="s">
        <v>2497</v>
      </c>
      <c r="H1216" s="263" t="s">
        <v>3190</v>
      </c>
      <c r="I1216" s="249" t="s">
        <v>2746</v>
      </c>
      <c r="J1216" s="248" t="s">
        <v>2548</v>
      </c>
      <c r="K1216" s="263" t="s">
        <v>3131</v>
      </c>
      <c r="L1216" s="263" t="s">
        <v>2798</v>
      </c>
      <c r="M1216" s="248" t="s">
        <v>2369</v>
      </c>
      <c r="N1216" s="293"/>
      <c r="O1216" s="293" t="str">
        <f>TablaPOA[[#This Row],[Cod_Sub_acción_especifica]]&amp;"_"&amp;TablaPOA[[#This Row],[Tipo de agente]]</f>
        <v>K31.4.1.3_Medios de transporte</v>
      </c>
      <c r="P1216" s="250" t="s">
        <v>2918</v>
      </c>
      <c r="Q1216" s="292" t="str">
        <f>TablaPOA[[#This Row],[Cod_Sub_acción_especifica]]&amp;"_"&amp;TablaPOA[[#This Row],[Cod_Tipo_agente]]</f>
        <v>K31.4.1.3_TA9</v>
      </c>
      <c r="R1216" s="250" t="s">
        <v>2919</v>
      </c>
      <c r="S1216" s="251" t="s">
        <v>2928</v>
      </c>
      <c r="T1216" s="269" t="s">
        <v>2929</v>
      </c>
    </row>
    <row r="1217" spans="1:20" ht="25.5" x14ac:dyDescent="0.25">
      <c r="A1217" s="268" t="s">
        <v>2314</v>
      </c>
      <c r="B1217" s="248">
        <v>31</v>
      </c>
      <c r="C1217" s="248" t="s">
        <v>2691</v>
      </c>
      <c r="D1217" s="248" t="s">
        <v>2988</v>
      </c>
      <c r="E1217" s="248" t="s">
        <v>3189</v>
      </c>
      <c r="F1217" s="248" t="s">
        <v>2697</v>
      </c>
      <c r="G1217" s="248" t="s">
        <v>2497</v>
      </c>
      <c r="H1217" s="263" t="s">
        <v>3190</v>
      </c>
      <c r="I1217" s="249" t="s">
        <v>2746</v>
      </c>
      <c r="J1217" s="248" t="s">
        <v>2548</v>
      </c>
      <c r="K1217" s="263" t="s">
        <v>3131</v>
      </c>
      <c r="L1217" s="263" t="s">
        <v>2798</v>
      </c>
      <c r="M1217" s="248" t="s">
        <v>2369</v>
      </c>
      <c r="N1217" s="293"/>
      <c r="O1217" s="293" t="str">
        <f>TablaPOA[[#This Row],[Cod_Sub_acción_especifica]]&amp;"_"&amp;TablaPOA[[#This Row],[Tipo de agente]]</f>
        <v>K31.4.1.3_Medios de transporte</v>
      </c>
      <c r="P1217" s="250" t="s">
        <v>2918</v>
      </c>
      <c r="Q1217" s="292" t="str">
        <f>TablaPOA[[#This Row],[Cod_Sub_acción_especifica]]&amp;"_"&amp;TablaPOA[[#This Row],[Cod_Tipo_agente]]</f>
        <v>K31.4.1.3_TA9</v>
      </c>
      <c r="R1217" s="250" t="s">
        <v>2919</v>
      </c>
      <c r="S1217" s="251" t="s">
        <v>2930</v>
      </c>
      <c r="T1217" s="269" t="s">
        <v>2931</v>
      </c>
    </row>
    <row r="1218" spans="1:20" ht="25.5" x14ac:dyDescent="0.25">
      <c r="A1218" s="268" t="s">
        <v>2314</v>
      </c>
      <c r="B1218" s="248">
        <v>31</v>
      </c>
      <c r="C1218" s="248" t="s">
        <v>2691</v>
      </c>
      <c r="D1218" s="248" t="s">
        <v>2988</v>
      </c>
      <c r="E1218" s="248" t="s">
        <v>3189</v>
      </c>
      <c r="F1218" s="248" t="s">
        <v>2697</v>
      </c>
      <c r="G1218" s="248" t="s">
        <v>2497</v>
      </c>
      <c r="H1218" s="263" t="s">
        <v>3190</v>
      </c>
      <c r="I1218" s="249" t="s">
        <v>2746</v>
      </c>
      <c r="J1218" s="248" t="s">
        <v>2548</v>
      </c>
      <c r="K1218" s="263" t="s">
        <v>3131</v>
      </c>
      <c r="L1218" s="263" t="s">
        <v>2798</v>
      </c>
      <c r="M1218" s="248" t="s">
        <v>2369</v>
      </c>
      <c r="N1218" s="293"/>
      <c r="O1218" s="293" t="str">
        <f>TablaPOA[[#This Row],[Cod_Sub_acción_especifica]]&amp;"_"&amp;TablaPOA[[#This Row],[Tipo de agente]]</f>
        <v>K31.4.1.3_Medios de transporte</v>
      </c>
      <c r="P1218" s="250" t="s">
        <v>2918</v>
      </c>
      <c r="Q1218" s="292" t="str">
        <f>TablaPOA[[#This Row],[Cod_Sub_acción_especifica]]&amp;"_"&amp;TablaPOA[[#This Row],[Cod_Tipo_agente]]</f>
        <v>K31.4.1.3_TA9</v>
      </c>
      <c r="R1218" s="250" t="s">
        <v>2919</v>
      </c>
      <c r="S1218" s="251" t="s">
        <v>2932</v>
      </c>
      <c r="T1218" s="269" t="s">
        <v>2933</v>
      </c>
    </row>
    <row r="1219" spans="1:20" ht="25.5" x14ac:dyDescent="0.25">
      <c r="A1219" s="268" t="s">
        <v>2314</v>
      </c>
      <c r="B1219" s="248">
        <v>31</v>
      </c>
      <c r="C1219" s="248" t="s">
        <v>2691</v>
      </c>
      <c r="D1219" s="248" t="s">
        <v>2988</v>
      </c>
      <c r="E1219" s="248" t="s">
        <v>3189</v>
      </c>
      <c r="F1219" s="248" t="s">
        <v>2697</v>
      </c>
      <c r="G1219" s="248" t="s">
        <v>2497</v>
      </c>
      <c r="H1219" s="263" t="s">
        <v>3190</v>
      </c>
      <c r="I1219" s="249" t="s">
        <v>2746</v>
      </c>
      <c r="J1219" s="248" t="s">
        <v>2548</v>
      </c>
      <c r="K1219" s="263" t="s">
        <v>3131</v>
      </c>
      <c r="L1219" s="263" t="s">
        <v>2798</v>
      </c>
      <c r="M1219" s="248" t="s">
        <v>2369</v>
      </c>
      <c r="N1219" s="293"/>
      <c r="O1219" s="293" t="str">
        <f>TablaPOA[[#This Row],[Cod_Sub_acción_especifica]]&amp;"_"&amp;TablaPOA[[#This Row],[Tipo de agente]]</f>
        <v>K31.4.1.3_Medios de transporte</v>
      </c>
      <c r="P1219" s="250" t="s">
        <v>2918</v>
      </c>
      <c r="Q1219" s="292" t="str">
        <f>TablaPOA[[#This Row],[Cod_Sub_acción_especifica]]&amp;"_"&amp;TablaPOA[[#This Row],[Cod_Tipo_agente]]</f>
        <v>K31.4.1.3_TA9</v>
      </c>
      <c r="R1219" s="250" t="s">
        <v>2919</v>
      </c>
      <c r="S1219" s="251" t="s">
        <v>2934</v>
      </c>
      <c r="T1219" s="269" t="s">
        <v>2935</v>
      </c>
    </row>
    <row r="1220" spans="1:20" ht="25.5" x14ac:dyDescent="0.25">
      <c r="A1220" s="268" t="s">
        <v>2314</v>
      </c>
      <c r="B1220" s="248">
        <v>31</v>
      </c>
      <c r="C1220" s="248" t="s">
        <v>2691</v>
      </c>
      <c r="D1220" s="248" t="s">
        <v>2988</v>
      </c>
      <c r="E1220" s="248" t="s">
        <v>3189</v>
      </c>
      <c r="F1220" s="248" t="s">
        <v>2697</v>
      </c>
      <c r="G1220" s="248" t="s">
        <v>2497</v>
      </c>
      <c r="H1220" s="263" t="s">
        <v>3190</v>
      </c>
      <c r="I1220" s="249" t="s">
        <v>2746</v>
      </c>
      <c r="J1220" s="248" t="s">
        <v>2548</v>
      </c>
      <c r="K1220" s="263" t="s">
        <v>3131</v>
      </c>
      <c r="L1220" s="263" t="s">
        <v>2798</v>
      </c>
      <c r="M1220" s="248" t="s">
        <v>2369</v>
      </c>
      <c r="N1220" s="293"/>
      <c r="O1220" s="293" t="str">
        <f>TablaPOA[[#This Row],[Cod_Sub_acción_especifica]]&amp;"_"&amp;TablaPOA[[#This Row],[Tipo de agente]]</f>
        <v>K31.4.1.3_Medios de transporte</v>
      </c>
      <c r="P1220" s="250" t="s">
        <v>2918</v>
      </c>
      <c r="Q1220" s="292" t="str">
        <f>TablaPOA[[#This Row],[Cod_Sub_acción_especifica]]&amp;"_"&amp;TablaPOA[[#This Row],[Cod_Tipo_agente]]</f>
        <v>K31.4.1.3_TA9</v>
      </c>
      <c r="R1220" s="250" t="s">
        <v>2919</v>
      </c>
      <c r="S1220" s="251" t="s">
        <v>2936</v>
      </c>
      <c r="T1220" s="269" t="s">
        <v>2937</v>
      </c>
    </row>
    <row r="1221" spans="1:20" ht="25.5" x14ac:dyDescent="0.25">
      <c r="A1221" s="268" t="s">
        <v>2314</v>
      </c>
      <c r="B1221" s="248">
        <v>31</v>
      </c>
      <c r="C1221" s="248" t="s">
        <v>2691</v>
      </c>
      <c r="D1221" s="248" t="s">
        <v>2988</v>
      </c>
      <c r="E1221" s="248" t="s">
        <v>3189</v>
      </c>
      <c r="F1221" s="248" t="s">
        <v>2697</v>
      </c>
      <c r="G1221" s="248" t="s">
        <v>2497</v>
      </c>
      <c r="H1221" s="263" t="s">
        <v>3190</v>
      </c>
      <c r="I1221" s="249" t="s">
        <v>2746</v>
      </c>
      <c r="J1221" s="248" t="s">
        <v>2548</v>
      </c>
      <c r="K1221" s="263" t="s">
        <v>3131</v>
      </c>
      <c r="L1221" s="263" t="s">
        <v>2798</v>
      </c>
      <c r="M1221" s="248" t="s">
        <v>2369</v>
      </c>
      <c r="N1221" s="293"/>
      <c r="O1221" s="293" t="str">
        <f>TablaPOA[[#This Row],[Cod_Sub_acción_especifica]]&amp;"_"&amp;TablaPOA[[#This Row],[Tipo de agente]]</f>
        <v>K31.4.1.3_Medios de transporte</v>
      </c>
      <c r="P1221" s="250" t="s">
        <v>2918</v>
      </c>
      <c r="Q1221" s="292" t="str">
        <f>TablaPOA[[#This Row],[Cod_Sub_acción_especifica]]&amp;"_"&amp;TablaPOA[[#This Row],[Cod_Tipo_agente]]</f>
        <v>K31.4.1.3_TA9</v>
      </c>
      <c r="R1221" s="250" t="s">
        <v>2919</v>
      </c>
      <c r="S1221" s="251" t="s">
        <v>2938</v>
      </c>
      <c r="T1221" s="269" t="s">
        <v>2939</v>
      </c>
    </row>
    <row r="1222" spans="1:20" ht="25.5" x14ac:dyDescent="0.25">
      <c r="A1222" s="268" t="s">
        <v>2314</v>
      </c>
      <c r="B1222" s="248">
        <v>31</v>
      </c>
      <c r="C1222" s="248" t="s">
        <v>2691</v>
      </c>
      <c r="D1222" s="248" t="s">
        <v>2988</v>
      </c>
      <c r="E1222" s="248" t="s">
        <v>3189</v>
      </c>
      <c r="F1222" s="248" t="s">
        <v>2697</v>
      </c>
      <c r="G1222" s="248" t="s">
        <v>2497</v>
      </c>
      <c r="H1222" s="263" t="s">
        <v>3190</v>
      </c>
      <c r="I1222" s="249" t="s">
        <v>2746</v>
      </c>
      <c r="J1222" s="248" t="s">
        <v>2548</v>
      </c>
      <c r="K1222" s="263" t="s">
        <v>3131</v>
      </c>
      <c r="L1222" s="263" t="s">
        <v>2798</v>
      </c>
      <c r="M1222" s="248" t="s">
        <v>2369</v>
      </c>
      <c r="N1222" s="293"/>
      <c r="O1222" s="293" t="str">
        <f>TablaPOA[[#This Row],[Cod_Sub_acción_especifica]]&amp;"_"&amp;TablaPOA[[#This Row],[Tipo de agente]]</f>
        <v>K31.4.1.3_Medios de transporte</v>
      </c>
      <c r="P1222" s="250" t="s">
        <v>2918</v>
      </c>
      <c r="Q1222" s="292" t="str">
        <f>TablaPOA[[#This Row],[Cod_Sub_acción_especifica]]&amp;"_"&amp;TablaPOA[[#This Row],[Cod_Tipo_agente]]</f>
        <v>K31.4.1.3_TA9</v>
      </c>
      <c r="R1222" s="250" t="s">
        <v>2919</v>
      </c>
      <c r="S1222" s="251" t="s">
        <v>2940</v>
      </c>
      <c r="T1222" s="269" t="s">
        <v>2941</v>
      </c>
    </row>
    <row r="1223" spans="1:20" ht="25.5" x14ac:dyDescent="0.25">
      <c r="A1223" s="268" t="s">
        <v>2314</v>
      </c>
      <c r="B1223" s="248">
        <v>31</v>
      </c>
      <c r="C1223" s="248" t="s">
        <v>2691</v>
      </c>
      <c r="D1223" s="248" t="s">
        <v>2988</v>
      </c>
      <c r="E1223" s="248" t="s">
        <v>3189</v>
      </c>
      <c r="F1223" s="248" t="s">
        <v>2697</v>
      </c>
      <c r="G1223" s="248" t="s">
        <v>2497</v>
      </c>
      <c r="H1223" s="263" t="s">
        <v>3190</v>
      </c>
      <c r="I1223" s="249" t="s">
        <v>2746</v>
      </c>
      <c r="J1223" s="248" t="s">
        <v>2548</v>
      </c>
      <c r="K1223" s="263" t="s">
        <v>3131</v>
      </c>
      <c r="L1223" s="263" t="s">
        <v>2798</v>
      </c>
      <c r="M1223" s="248" t="s">
        <v>2369</v>
      </c>
      <c r="N1223" s="293"/>
      <c r="O1223" s="293" t="str">
        <f>TablaPOA[[#This Row],[Cod_Sub_acción_especifica]]&amp;"_"&amp;TablaPOA[[#This Row],[Tipo de agente]]</f>
        <v>K31.4.1.3_Medios de transporte</v>
      </c>
      <c r="P1223" s="250" t="s">
        <v>2918</v>
      </c>
      <c r="Q1223" s="292" t="str">
        <f>TablaPOA[[#This Row],[Cod_Sub_acción_especifica]]&amp;"_"&amp;TablaPOA[[#This Row],[Cod_Tipo_agente]]</f>
        <v>K31.4.1.3_TA9</v>
      </c>
      <c r="R1223" s="250" t="s">
        <v>2919</v>
      </c>
      <c r="S1223" s="251" t="s">
        <v>2942</v>
      </c>
      <c r="T1223" s="269" t="s">
        <v>2943</v>
      </c>
    </row>
    <row r="1224" spans="1:20" ht="25.5" x14ac:dyDescent="0.25">
      <c r="A1224" s="268" t="s">
        <v>2314</v>
      </c>
      <c r="B1224" s="248">
        <v>31</v>
      </c>
      <c r="C1224" s="248" t="s">
        <v>2691</v>
      </c>
      <c r="D1224" s="248" t="s">
        <v>2988</v>
      </c>
      <c r="E1224" s="248" t="s">
        <v>3189</v>
      </c>
      <c r="F1224" s="248" t="s">
        <v>2697</v>
      </c>
      <c r="G1224" s="248" t="s">
        <v>2497</v>
      </c>
      <c r="H1224" s="263" t="s">
        <v>3190</v>
      </c>
      <c r="I1224" s="249" t="s">
        <v>2746</v>
      </c>
      <c r="J1224" s="248" t="s">
        <v>2548</v>
      </c>
      <c r="K1224" s="263" t="s">
        <v>3131</v>
      </c>
      <c r="L1224" s="263" t="s">
        <v>2798</v>
      </c>
      <c r="M1224" s="248" t="s">
        <v>2369</v>
      </c>
      <c r="N1224" s="293"/>
      <c r="O1224" s="293" t="str">
        <f>TablaPOA[[#This Row],[Cod_Sub_acción_especifica]]&amp;"_"&amp;TablaPOA[[#This Row],[Tipo de agente]]</f>
        <v>K31.4.1.3_Medios de transporte</v>
      </c>
      <c r="P1224" s="250" t="s">
        <v>2918</v>
      </c>
      <c r="Q1224" s="292" t="str">
        <f>TablaPOA[[#This Row],[Cod_Sub_acción_especifica]]&amp;"_"&amp;TablaPOA[[#This Row],[Cod_Tipo_agente]]</f>
        <v>K31.4.1.3_TA9</v>
      </c>
      <c r="R1224" s="250" t="s">
        <v>2919</v>
      </c>
      <c r="S1224" s="251" t="s">
        <v>2944</v>
      </c>
      <c r="T1224" s="269" t="s">
        <v>2945</v>
      </c>
    </row>
    <row r="1225" spans="1:20" ht="25.5" x14ac:dyDescent="0.25">
      <c r="A1225" s="268" t="s">
        <v>2314</v>
      </c>
      <c r="B1225" s="248">
        <v>31</v>
      </c>
      <c r="C1225" s="248" t="s">
        <v>2691</v>
      </c>
      <c r="D1225" s="248" t="s">
        <v>2988</v>
      </c>
      <c r="E1225" s="248" t="s">
        <v>3189</v>
      </c>
      <c r="F1225" s="248" t="s">
        <v>2697</v>
      </c>
      <c r="G1225" s="248" t="s">
        <v>2497</v>
      </c>
      <c r="H1225" s="263" t="s">
        <v>3190</v>
      </c>
      <c r="I1225" s="249" t="s">
        <v>2746</v>
      </c>
      <c r="J1225" s="248" t="s">
        <v>2548</v>
      </c>
      <c r="K1225" s="263" t="s">
        <v>3131</v>
      </c>
      <c r="L1225" s="263" t="s">
        <v>2798</v>
      </c>
      <c r="M1225" s="248" t="s">
        <v>2369</v>
      </c>
      <c r="N1225" s="293"/>
      <c r="O1225" s="293" t="str">
        <f>TablaPOA[[#This Row],[Cod_Sub_acción_especifica]]&amp;"_"&amp;TablaPOA[[#This Row],[Tipo de agente]]</f>
        <v>K31.4.1.3_Medios de transporte</v>
      </c>
      <c r="P1225" s="250" t="s">
        <v>2918</v>
      </c>
      <c r="Q1225" s="292" t="str">
        <f>TablaPOA[[#This Row],[Cod_Sub_acción_especifica]]&amp;"_"&amp;TablaPOA[[#This Row],[Cod_Tipo_agente]]</f>
        <v>K31.4.1.3_TA9</v>
      </c>
      <c r="R1225" s="250" t="s">
        <v>2919</v>
      </c>
      <c r="S1225" s="251" t="s">
        <v>2946</v>
      </c>
      <c r="T1225" s="269" t="s">
        <v>2947</v>
      </c>
    </row>
    <row r="1226" spans="1:20" ht="25.5" x14ac:dyDescent="0.25">
      <c r="A1226" s="268" t="s">
        <v>2314</v>
      </c>
      <c r="B1226" s="248">
        <v>31</v>
      </c>
      <c r="C1226" s="248" t="s">
        <v>2691</v>
      </c>
      <c r="D1226" s="248" t="s">
        <v>2988</v>
      </c>
      <c r="E1226" s="248" t="s">
        <v>3189</v>
      </c>
      <c r="F1226" s="248" t="s">
        <v>2697</v>
      </c>
      <c r="G1226" s="248" t="s">
        <v>2497</v>
      </c>
      <c r="H1226" s="263" t="s">
        <v>3190</v>
      </c>
      <c r="I1226" s="249" t="s">
        <v>2746</v>
      </c>
      <c r="J1226" s="248" t="s">
        <v>2548</v>
      </c>
      <c r="K1226" s="263" t="s">
        <v>3131</v>
      </c>
      <c r="L1226" s="263" t="s">
        <v>2798</v>
      </c>
      <c r="M1226" s="248" t="s">
        <v>2369</v>
      </c>
      <c r="N1226" s="293"/>
      <c r="O1226" s="293" t="str">
        <f>TablaPOA[[#This Row],[Cod_Sub_acción_especifica]]&amp;"_"&amp;TablaPOA[[#This Row],[Tipo de agente]]</f>
        <v>K31.4.1.3_Medios de transporte</v>
      </c>
      <c r="P1226" s="250" t="s">
        <v>2918</v>
      </c>
      <c r="Q1226" s="292" t="str">
        <f>TablaPOA[[#This Row],[Cod_Sub_acción_especifica]]&amp;"_"&amp;TablaPOA[[#This Row],[Cod_Tipo_agente]]</f>
        <v>K31.4.1.3_TA9</v>
      </c>
      <c r="R1226" s="250" t="s">
        <v>2919</v>
      </c>
      <c r="S1226" s="251" t="s">
        <v>2948</v>
      </c>
      <c r="T1226" s="269" t="s">
        <v>2949</v>
      </c>
    </row>
    <row r="1227" spans="1:20" ht="25.5" x14ac:dyDescent="0.25">
      <c r="A1227" s="268" t="s">
        <v>2314</v>
      </c>
      <c r="B1227" s="248">
        <v>31</v>
      </c>
      <c r="C1227" s="248" t="s">
        <v>2691</v>
      </c>
      <c r="D1227" s="248" t="s">
        <v>2988</v>
      </c>
      <c r="E1227" s="248" t="s">
        <v>3189</v>
      </c>
      <c r="F1227" s="248" t="s">
        <v>2697</v>
      </c>
      <c r="G1227" s="248" t="s">
        <v>2497</v>
      </c>
      <c r="H1227" s="263" t="s">
        <v>3190</v>
      </c>
      <c r="I1227" s="249" t="s">
        <v>2746</v>
      </c>
      <c r="J1227" s="248" t="s">
        <v>2548</v>
      </c>
      <c r="K1227" s="263" t="s">
        <v>3131</v>
      </c>
      <c r="L1227" s="263" t="s">
        <v>2798</v>
      </c>
      <c r="M1227" s="248" t="s">
        <v>2369</v>
      </c>
      <c r="N1227" s="293"/>
      <c r="O1227" s="293" t="str">
        <f>TablaPOA[[#This Row],[Cod_Sub_acción_especifica]]&amp;"_"&amp;TablaPOA[[#This Row],[Tipo de agente]]</f>
        <v>K31.4.1.3_Plantas de abastecimiento y despacho</v>
      </c>
      <c r="P1227" s="250" t="s">
        <v>2950</v>
      </c>
      <c r="Q1227" s="292" t="str">
        <f>TablaPOA[[#This Row],[Cod_Sub_acción_especifica]]&amp;"_"&amp;TablaPOA[[#This Row],[Cod_Tipo_agente]]</f>
        <v>K31.4.1.3_TA10</v>
      </c>
      <c r="R1227" s="250" t="s">
        <v>2951</v>
      </c>
      <c r="S1227" s="251" t="s">
        <v>2952</v>
      </c>
      <c r="T1227" s="269" t="s">
        <v>2953</v>
      </c>
    </row>
    <row r="1228" spans="1:20" ht="25.5" x14ac:dyDescent="0.25">
      <c r="A1228" s="268" t="s">
        <v>2314</v>
      </c>
      <c r="B1228" s="248">
        <v>31</v>
      </c>
      <c r="C1228" s="248" t="s">
        <v>2691</v>
      </c>
      <c r="D1228" s="248" t="s">
        <v>2988</v>
      </c>
      <c r="E1228" s="248" t="s">
        <v>3189</v>
      </c>
      <c r="F1228" s="248" t="s">
        <v>2697</v>
      </c>
      <c r="G1228" s="248" t="s">
        <v>2497</v>
      </c>
      <c r="H1228" s="263" t="s">
        <v>3190</v>
      </c>
      <c r="I1228" s="249" t="s">
        <v>2746</v>
      </c>
      <c r="J1228" s="248" t="s">
        <v>2548</v>
      </c>
      <c r="K1228" s="263" t="s">
        <v>3131</v>
      </c>
      <c r="L1228" s="263" t="s">
        <v>2798</v>
      </c>
      <c r="M1228" s="248" t="s">
        <v>2369</v>
      </c>
      <c r="N1228" s="293"/>
      <c r="O1228" s="293" t="str">
        <f>TablaPOA[[#This Row],[Cod_Sub_acción_especifica]]&amp;"_"&amp;TablaPOA[[#This Row],[Tipo de agente]]</f>
        <v>K31.4.1.3_Plantas de abastecimiento y despacho</v>
      </c>
      <c r="P1228" s="250" t="s">
        <v>2950</v>
      </c>
      <c r="Q1228" s="292" t="str">
        <f>TablaPOA[[#This Row],[Cod_Sub_acción_especifica]]&amp;"_"&amp;TablaPOA[[#This Row],[Cod_Tipo_agente]]</f>
        <v>K31.4.1.3_TA10</v>
      </c>
      <c r="R1228" s="250" t="s">
        <v>2951</v>
      </c>
      <c r="S1228" s="251" t="s">
        <v>2954</v>
      </c>
      <c r="T1228" s="269" t="s">
        <v>2955</v>
      </c>
    </row>
    <row r="1229" spans="1:20" ht="25.5" x14ac:dyDescent="0.25">
      <c r="A1229" s="268" t="s">
        <v>2314</v>
      </c>
      <c r="B1229" s="248">
        <v>31</v>
      </c>
      <c r="C1229" s="248" t="s">
        <v>2691</v>
      </c>
      <c r="D1229" s="248" t="s">
        <v>2988</v>
      </c>
      <c r="E1229" s="248" t="s">
        <v>3189</v>
      </c>
      <c r="F1229" s="248" t="s">
        <v>2697</v>
      </c>
      <c r="G1229" s="248" t="s">
        <v>2497</v>
      </c>
      <c r="H1229" s="263" t="s">
        <v>3190</v>
      </c>
      <c r="I1229" s="249" t="s">
        <v>2746</v>
      </c>
      <c r="J1229" s="248" t="s">
        <v>2548</v>
      </c>
      <c r="K1229" s="263" t="s">
        <v>3131</v>
      </c>
      <c r="L1229" s="263" t="s">
        <v>2798</v>
      </c>
      <c r="M1229" s="248" t="s">
        <v>2369</v>
      </c>
      <c r="N1229" s="293"/>
      <c r="O1229" s="293" t="str">
        <f>TablaPOA[[#This Row],[Cod_Sub_acción_especifica]]&amp;"_"&amp;TablaPOA[[#This Row],[Tipo de agente]]</f>
        <v>K31.4.1.3_Plantas de abastecimiento y despacho</v>
      </c>
      <c r="P1229" s="250" t="s">
        <v>2950</v>
      </c>
      <c r="Q1229" s="292" t="str">
        <f>TablaPOA[[#This Row],[Cod_Sub_acción_especifica]]&amp;"_"&amp;TablaPOA[[#This Row],[Cod_Tipo_agente]]</f>
        <v>K31.4.1.3_TA10</v>
      </c>
      <c r="R1229" s="250" t="s">
        <v>2951</v>
      </c>
      <c r="S1229" s="251" t="s">
        <v>2956</v>
      </c>
      <c r="T1229" s="269" t="s">
        <v>2957</v>
      </c>
    </row>
    <row r="1230" spans="1:20" ht="25.5" x14ac:dyDescent="0.25">
      <c r="A1230" s="268" t="s">
        <v>2314</v>
      </c>
      <c r="B1230" s="248">
        <v>31</v>
      </c>
      <c r="C1230" s="248" t="s">
        <v>2691</v>
      </c>
      <c r="D1230" s="248" t="s">
        <v>2988</v>
      </c>
      <c r="E1230" s="248" t="s">
        <v>3189</v>
      </c>
      <c r="F1230" s="248" t="s">
        <v>2697</v>
      </c>
      <c r="G1230" s="248" t="s">
        <v>2497</v>
      </c>
      <c r="H1230" s="263" t="s">
        <v>3190</v>
      </c>
      <c r="I1230" s="249" t="s">
        <v>2746</v>
      </c>
      <c r="J1230" s="248" t="s">
        <v>2548</v>
      </c>
      <c r="K1230" s="263" t="s">
        <v>3131</v>
      </c>
      <c r="L1230" s="263" t="s">
        <v>2798</v>
      </c>
      <c r="M1230" s="248" t="s">
        <v>2369</v>
      </c>
      <c r="N1230" s="293"/>
      <c r="O1230" s="293" t="str">
        <f>TablaPOA[[#This Row],[Cod_Sub_acción_especifica]]&amp;"_"&amp;TablaPOA[[#This Row],[Tipo de agente]]</f>
        <v>K31.4.1.3_Plantas de abastecimiento y despacho</v>
      </c>
      <c r="P1230" s="250" t="s">
        <v>2950</v>
      </c>
      <c r="Q1230" s="292" t="str">
        <f>TablaPOA[[#This Row],[Cod_Sub_acción_especifica]]&amp;"_"&amp;TablaPOA[[#This Row],[Cod_Tipo_agente]]</f>
        <v>K31.4.1.3_TA10</v>
      </c>
      <c r="R1230" s="250" t="s">
        <v>2951</v>
      </c>
      <c r="S1230" s="251" t="s">
        <v>2958</v>
      </c>
      <c r="T1230" s="269" t="s">
        <v>2959</v>
      </c>
    </row>
    <row r="1231" spans="1:20" ht="25.5" x14ac:dyDescent="0.25">
      <c r="A1231" s="268" t="s">
        <v>2314</v>
      </c>
      <c r="B1231" s="248">
        <v>31</v>
      </c>
      <c r="C1231" s="248" t="s">
        <v>2691</v>
      </c>
      <c r="D1231" s="248" t="s">
        <v>2988</v>
      </c>
      <c r="E1231" s="248" t="s">
        <v>3189</v>
      </c>
      <c r="F1231" s="248" t="s">
        <v>2697</v>
      </c>
      <c r="G1231" s="248" t="s">
        <v>2497</v>
      </c>
      <c r="H1231" s="263" t="s">
        <v>3190</v>
      </c>
      <c r="I1231" s="249" t="s">
        <v>2746</v>
      </c>
      <c r="J1231" s="248" t="s">
        <v>2548</v>
      </c>
      <c r="K1231" s="263" t="s">
        <v>3131</v>
      </c>
      <c r="L1231" s="263" t="s">
        <v>2798</v>
      </c>
      <c r="M1231" s="248" t="s">
        <v>2369</v>
      </c>
      <c r="N1231" s="293"/>
      <c r="O1231" s="293" t="str">
        <f>TablaPOA[[#This Row],[Cod_Sub_acción_especifica]]&amp;"_"&amp;TablaPOA[[#This Row],[Tipo de agente]]</f>
        <v>K31.4.1.3_Plantas de abastecimiento y despacho</v>
      </c>
      <c r="P1231" s="250" t="s">
        <v>2950</v>
      </c>
      <c r="Q1231" s="292" t="str">
        <f>TablaPOA[[#This Row],[Cod_Sub_acción_especifica]]&amp;"_"&amp;TablaPOA[[#This Row],[Cod_Tipo_agente]]</f>
        <v>K31.4.1.3_TA10</v>
      </c>
      <c r="R1231" s="250" t="s">
        <v>2951</v>
      </c>
      <c r="S1231" s="251" t="s">
        <v>2960</v>
      </c>
      <c r="T1231" s="269" t="s">
        <v>2961</v>
      </c>
    </row>
    <row r="1232" spans="1:20" ht="38.25" x14ac:dyDescent="0.25">
      <c r="A1232" s="268" t="s">
        <v>2314</v>
      </c>
      <c r="B1232" s="248">
        <v>31</v>
      </c>
      <c r="C1232" s="248" t="s">
        <v>2691</v>
      </c>
      <c r="D1232" s="248" t="s">
        <v>2988</v>
      </c>
      <c r="E1232" s="248" t="s">
        <v>3189</v>
      </c>
      <c r="F1232" s="248" t="s">
        <v>2697</v>
      </c>
      <c r="G1232" s="248" t="s">
        <v>2497</v>
      </c>
      <c r="H1232" s="263" t="s">
        <v>3190</v>
      </c>
      <c r="I1232" s="249" t="s">
        <v>2746</v>
      </c>
      <c r="J1232" s="248" t="s">
        <v>2548</v>
      </c>
      <c r="K1232" s="263" t="s">
        <v>3131</v>
      </c>
      <c r="L1232" s="263" t="s">
        <v>2798</v>
      </c>
      <c r="M1232" s="248" t="s">
        <v>2369</v>
      </c>
      <c r="N1232" s="293"/>
      <c r="O1232" s="293" t="str">
        <f>TablaPOA[[#This Row],[Cod_Sub_acción_especifica]]&amp;"_"&amp;TablaPOA[[#This Row],[Tipo de agente]]</f>
        <v>K31.4.1.3_Instalaciones de compresión, transferencia y descompresión de gas natural</v>
      </c>
      <c r="P1232" s="250" t="s">
        <v>2902</v>
      </c>
      <c r="Q1232" s="292" t="str">
        <f>TablaPOA[[#This Row],[Cod_Sub_acción_especifica]]&amp;"_"&amp;TablaPOA[[#This Row],[Cod_Tipo_agente]]</f>
        <v>K31.4.1.3_TA7</v>
      </c>
      <c r="R1232" s="250" t="s">
        <v>2903</v>
      </c>
      <c r="S1232" s="252">
        <v>607</v>
      </c>
      <c r="T1232" s="274" t="s">
        <v>2905</v>
      </c>
    </row>
    <row r="1233" spans="1:20" ht="38.25" x14ac:dyDescent="0.25">
      <c r="A1233" s="268" t="s">
        <v>2314</v>
      </c>
      <c r="B1233" s="248">
        <v>31</v>
      </c>
      <c r="C1233" s="248" t="s">
        <v>2691</v>
      </c>
      <c r="D1233" s="248" t="s">
        <v>2988</v>
      </c>
      <c r="E1233" s="248" t="s">
        <v>3189</v>
      </c>
      <c r="F1233" s="248" t="s">
        <v>2697</v>
      </c>
      <c r="G1233" s="248" t="s">
        <v>2497</v>
      </c>
      <c r="H1233" s="263" t="s">
        <v>3190</v>
      </c>
      <c r="I1233" s="249" t="s">
        <v>2746</v>
      </c>
      <c r="J1233" s="248" t="s">
        <v>2548</v>
      </c>
      <c r="K1233" s="263" t="s">
        <v>3131</v>
      </c>
      <c r="L1233" s="263" t="s">
        <v>2798</v>
      </c>
      <c r="M1233" s="248" t="s">
        <v>2369</v>
      </c>
      <c r="N1233" s="293"/>
      <c r="O1233" s="293" t="str">
        <f>TablaPOA[[#This Row],[Cod_Sub_acción_especifica]]&amp;"_"&amp;TablaPOA[[#This Row],[Tipo de agente]]</f>
        <v>K31.4.1.3_Instalaciones de compresión, transferencia y descompresión de gas natural</v>
      </c>
      <c r="P1233" s="250" t="s">
        <v>2902</v>
      </c>
      <c r="Q1233" s="292" t="str">
        <f>TablaPOA[[#This Row],[Cod_Sub_acción_especifica]]&amp;"_"&amp;TablaPOA[[#This Row],[Cod_Tipo_agente]]</f>
        <v>K31.4.1.3_TA7</v>
      </c>
      <c r="R1233" s="250" t="s">
        <v>2903</v>
      </c>
      <c r="S1233" s="252" t="s">
        <v>2906</v>
      </c>
      <c r="T1233" s="274" t="s">
        <v>2907</v>
      </c>
    </row>
    <row r="1234" spans="1:20" ht="38.25" x14ac:dyDescent="0.25">
      <c r="A1234" s="268" t="s">
        <v>2314</v>
      </c>
      <c r="B1234" s="248">
        <v>31</v>
      </c>
      <c r="C1234" s="248" t="s">
        <v>2691</v>
      </c>
      <c r="D1234" s="248" t="s">
        <v>2988</v>
      </c>
      <c r="E1234" s="248" t="s">
        <v>3189</v>
      </c>
      <c r="F1234" s="248" t="s">
        <v>2697</v>
      </c>
      <c r="G1234" s="248" t="s">
        <v>2497</v>
      </c>
      <c r="H1234" s="263" t="s">
        <v>3190</v>
      </c>
      <c r="I1234" s="249" t="s">
        <v>2746</v>
      </c>
      <c r="J1234" s="248" t="s">
        <v>2548</v>
      </c>
      <c r="K1234" s="263" t="s">
        <v>3131</v>
      </c>
      <c r="L1234" s="263" t="s">
        <v>2798</v>
      </c>
      <c r="M1234" s="248" t="s">
        <v>2369</v>
      </c>
      <c r="N1234" s="293"/>
      <c r="O1234" s="293" t="str">
        <f>TablaPOA[[#This Row],[Cod_Sub_acción_especifica]]&amp;"_"&amp;TablaPOA[[#This Row],[Tipo de agente]]</f>
        <v>K31.4.1.3_Instalaciones de compresión, transferencia y descompresión de gas natural</v>
      </c>
      <c r="P1234" s="250" t="s">
        <v>2902</v>
      </c>
      <c r="Q1234" s="292" t="str">
        <f>TablaPOA[[#This Row],[Cod_Sub_acción_especifica]]&amp;"_"&amp;TablaPOA[[#This Row],[Cod_Tipo_agente]]</f>
        <v>K31.4.1.3_TA7</v>
      </c>
      <c r="R1234" s="250" t="s">
        <v>2903</v>
      </c>
      <c r="S1234" s="252" t="s">
        <v>2908</v>
      </c>
      <c r="T1234" s="274" t="s">
        <v>2909</v>
      </c>
    </row>
    <row r="1235" spans="1:20" ht="38.25" x14ac:dyDescent="0.25">
      <c r="A1235" s="268" t="s">
        <v>2314</v>
      </c>
      <c r="B1235" s="248">
        <v>31</v>
      </c>
      <c r="C1235" s="248" t="s">
        <v>2691</v>
      </c>
      <c r="D1235" s="248" t="s">
        <v>2988</v>
      </c>
      <c r="E1235" s="248" t="s">
        <v>3189</v>
      </c>
      <c r="F1235" s="248" t="s">
        <v>2697</v>
      </c>
      <c r="G1235" s="248" t="s">
        <v>2497</v>
      </c>
      <c r="H1235" s="263" t="s">
        <v>3190</v>
      </c>
      <c r="I1235" s="249" t="s">
        <v>2746</v>
      </c>
      <c r="J1235" s="248" t="s">
        <v>2548</v>
      </c>
      <c r="K1235" s="263" t="s">
        <v>3131</v>
      </c>
      <c r="L1235" s="263" t="s">
        <v>2798</v>
      </c>
      <c r="M1235" s="248" t="s">
        <v>2369</v>
      </c>
      <c r="N1235" s="293"/>
      <c r="O1235" s="293" t="str">
        <f>TablaPOA[[#This Row],[Cod_Sub_acción_especifica]]&amp;"_"&amp;TablaPOA[[#This Row],[Tipo de agente]]</f>
        <v>K31.4.1.3_Instalaciones de compresión, transferencia y descompresión de gas natural</v>
      </c>
      <c r="P1235" s="250" t="s">
        <v>2902</v>
      </c>
      <c r="Q1235" s="292" t="str">
        <f>TablaPOA[[#This Row],[Cod_Sub_acción_especifica]]&amp;"_"&amp;TablaPOA[[#This Row],[Cod_Tipo_agente]]</f>
        <v>K31.4.1.3_TA7</v>
      </c>
      <c r="R1235" s="250" t="s">
        <v>2903</v>
      </c>
      <c r="S1235" s="252" t="s">
        <v>2910</v>
      </c>
      <c r="T1235" s="274" t="s">
        <v>2911</v>
      </c>
    </row>
    <row r="1236" spans="1:20" ht="25.5" x14ac:dyDescent="0.25">
      <c r="A1236" s="268" t="s">
        <v>2314</v>
      </c>
      <c r="B1236" s="248">
        <v>31</v>
      </c>
      <c r="C1236" s="248" t="s">
        <v>2691</v>
      </c>
      <c r="D1236" s="248" t="s">
        <v>2988</v>
      </c>
      <c r="E1236" s="248" t="s">
        <v>3189</v>
      </c>
      <c r="F1236" s="248" t="s">
        <v>2697</v>
      </c>
      <c r="G1236" s="248" t="s">
        <v>2497</v>
      </c>
      <c r="H1236" s="263" t="s">
        <v>3190</v>
      </c>
      <c r="I1236" s="249" t="s">
        <v>2746</v>
      </c>
      <c r="J1236" s="248" t="s">
        <v>2548</v>
      </c>
      <c r="K1236" s="263" t="s">
        <v>3131</v>
      </c>
      <c r="L1236" s="263" t="s">
        <v>2798</v>
      </c>
      <c r="M1236" s="248" t="s">
        <v>2369</v>
      </c>
      <c r="N1236" s="293"/>
      <c r="O1236" s="293" t="str">
        <f>TablaPOA[[#This Row],[Cod_Sub_acción_especifica]]&amp;"_"&amp;TablaPOA[[#This Row],[Tipo de agente]]</f>
        <v>K31.4.1.3_Productores y Plantas de procesamiento</v>
      </c>
      <c r="P1236" s="250" t="s">
        <v>2962</v>
      </c>
      <c r="Q1236" s="292" t="str">
        <f>TablaPOA[[#This Row],[Cod_Sub_acción_especifica]]&amp;"_"&amp;TablaPOA[[#This Row],[Cod_Tipo_agente]]</f>
        <v>K31.4.1.3_TA11</v>
      </c>
      <c r="R1236" s="250" t="s">
        <v>2963</v>
      </c>
      <c r="S1236" s="251" t="s">
        <v>2964</v>
      </c>
      <c r="T1236" s="269" t="s">
        <v>2965</v>
      </c>
    </row>
    <row r="1237" spans="1:20" ht="25.5" x14ac:dyDescent="0.25">
      <c r="A1237" s="268" t="s">
        <v>2314</v>
      </c>
      <c r="B1237" s="248">
        <v>31</v>
      </c>
      <c r="C1237" s="248" t="s">
        <v>2691</v>
      </c>
      <c r="D1237" s="248" t="s">
        <v>2988</v>
      </c>
      <c r="E1237" s="248" t="s">
        <v>3189</v>
      </c>
      <c r="F1237" s="248" t="s">
        <v>2697</v>
      </c>
      <c r="G1237" s="248" t="s">
        <v>2497</v>
      </c>
      <c r="H1237" s="263" t="s">
        <v>3190</v>
      </c>
      <c r="I1237" s="249" t="s">
        <v>2746</v>
      </c>
      <c r="J1237" s="248" t="s">
        <v>2548</v>
      </c>
      <c r="K1237" s="263" t="s">
        <v>3131</v>
      </c>
      <c r="L1237" s="263" t="s">
        <v>2798</v>
      </c>
      <c r="M1237" s="248" t="s">
        <v>2369</v>
      </c>
      <c r="N1237" s="293"/>
      <c r="O1237" s="293" t="str">
        <f>TablaPOA[[#This Row],[Cod_Sub_acción_especifica]]&amp;"_"&amp;TablaPOA[[#This Row],[Tipo de agente]]</f>
        <v>K31.4.1.3_Productores y Plantas de procesamiento</v>
      </c>
      <c r="P1237" s="250" t="s">
        <v>2962</v>
      </c>
      <c r="Q1237" s="292" t="str">
        <f>TablaPOA[[#This Row],[Cod_Sub_acción_especifica]]&amp;"_"&amp;TablaPOA[[#This Row],[Cod_Tipo_agente]]</f>
        <v>K31.4.1.3_TA11</v>
      </c>
      <c r="R1237" s="250" t="s">
        <v>2963</v>
      </c>
      <c r="S1237" s="251" t="s">
        <v>2966</v>
      </c>
      <c r="T1237" s="269" t="s">
        <v>2967</v>
      </c>
    </row>
    <row r="1238" spans="1:20" ht="25.5" x14ac:dyDescent="0.25">
      <c r="A1238" s="268" t="s">
        <v>2314</v>
      </c>
      <c r="B1238" s="248">
        <v>31</v>
      </c>
      <c r="C1238" s="248" t="s">
        <v>2691</v>
      </c>
      <c r="D1238" s="248" t="s">
        <v>2988</v>
      </c>
      <c r="E1238" s="248" t="s">
        <v>3189</v>
      </c>
      <c r="F1238" s="248" t="s">
        <v>2697</v>
      </c>
      <c r="G1238" s="248" t="s">
        <v>2497</v>
      </c>
      <c r="H1238" s="263" t="s">
        <v>3190</v>
      </c>
      <c r="I1238" s="249" t="s">
        <v>2746</v>
      </c>
      <c r="J1238" s="248" t="s">
        <v>2548</v>
      </c>
      <c r="K1238" s="263" t="s">
        <v>3131</v>
      </c>
      <c r="L1238" s="263" t="s">
        <v>2798</v>
      </c>
      <c r="M1238" s="248" t="s">
        <v>2369</v>
      </c>
      <c r="N1238" s="293"/>
      <c r="O1238" s="293" t="str">
        <f>TablaPOA[[#This Row],[Cod_Sub_acción_especifica]]&amp;"_"&amp;TablaPOA[[#This Row],[Tipo de agente]]</f>
        <v>K31.4.1.3_Productores y Plantas de procesamiento</v>
      </c>
      <c r="P1238" s="250" t="s">
        <v>2962</v>
      </c>
      <c r="Q1238" s="292" t="str">
        <f>TablaPOA[[#This Row],[Cod_Sub_acción_especifica]]&amp;"_"&amp;TablaPOA[[#This Row],[Cod_Tipo_agente]]</f>
        <v>K31.4.1.3_TA11</v>
      </c>
      <c r="R1238" s="250" t="s">
        <v>2963</v>
      </c>
      <c r="S1238" s="251" t="s">
        <v>2968</v>
      </c>
      <c r="T1238" s="269" t="s">
        <v>2969</v>
      </c>
    </row>
    <row r="1239" spans="1:20" ht="25.5" x14ac:dyDescent="0.25">
      <c r="A1239" s="268" t="s">
        <v>2314</v>
      </c>
      <c r="B1239" s="248">
        <v>31</v>
      </c>
      <c r="C1239" s="248" t="s">
        <v>2691</v>
      </c>
      <c r="D1239" s="248" t="s">
        <v>2988</v>
      </c>
      <c r="E1239" s="248" t="s">
        <v>3189</v>
      </c>
      <c r="F1239" s="248" t="s">
        <v>2697</v>
      </c>
      <c r="G1239" s="248" t="s">
        <v>2497</v>
      </c>
      <c r="H1239" s="263" t="s">
        <v>3190</v>
      </c>
      <c r="I1239" s="249" t="s">
        <v>2746</v>
      </c>
      <c r="J1239" s="248" t="s">
        <v>2548</v>
      </c>
      <c r="K1239" s="263" t="s">
        <v>3131</v>
      </c>
      <c r="L1239" s="263" t="s">
        <v>2798</v>
      </c>
      <c r="M1239" s="248" t="s">
        <v>2369</v>
      </c>
      <c r="N1239" s="293"/>
      <c r="O1239" s="293" t="str">
        <f>TablaPOA[[#This Row],[Cod_Sub_acción_especifica]]&amp;"_"&amp;TablaPOA[[#This Row],[Tipo de agente]]</f>
        <v>K31.4.1.3_Productores y Plantas de procesamiento</v>
      </c>
      <c r="P1239" s="250" t="s">
        <v>2962</v>
      </c>
      <c r="Q1239" s="292" t="str">
        <f>TablaPOA[[#This Row],[Cod_Sub_acción_especifica]]&amp;"_"&amp;TablaPOA[[#This Row],[Cod_Tipo_agente]]</f>
        <v>K31.4.1.3_TA11</v>
      </c>
      <c r="R1239" s="250" t="s">
        <v>2963</v>
      </c>
      <c r="S1239" s="251" t="s">
        <v>2970</v>
      </c>
      <c r="T1239" s="269" t="s">
        <v>2971</v>
      </c>
    </row>
    <row r="1240" spans="1:20" ht="25.5" x14ac:dyDescent="0.25">
      <c r="A1240" s="268" t="s">
        <v>2314</v>
      </c>
      <c r="B1240" s="248">
        <v>31</v>
      </c>
      <c r="C1240" s="248" t="s">
        <v>2691</v>
      </c>
      <c r="D1240" s="248" t="s">
        <v>2988</v>
      </c>
      <c r="E1240" s="248" t="s">
        <v>3189</v>
      </c>
      <c r="F1240" s="248" t="s">
        <v>2697</v>
      </c>
      <c r="G1240" s="248" t="s">
        <v>2497</v>
      </c>
      <c r="H1240" s="263" t="s">
        <v>3190</v>
      </c>
      <c r="I1240" s="249" t="s">
        <v>2746</v>
      </c>
      <c r="J1240" s="248" t="s">
        <v>2548</v>
      </c>
      <c r="K1240" s="263" t="s">
        <v>3131</v>
      </c>
      <c r="L1240" s="263" t="s">
        <v>2798</v>
      </c>
      <c r="M1240" s="248" t="s">
        <v>2369</v>
      </c>
      <c r="N1240" s="293"/>
      <c r="O1240" s="293" t="str">
        <f>TablaPOA[[#This Row],[Cod_Sub_acción_especifica]]&amp;"_"&amp;TablaPOA[[#This Row],[Tipo de agente]]</f>
        <v>K31.4.1.3_Productores y Plantas de procesamiento</v>
      </c>
      <c r="P1240" s="250" t="s">
        <v>2962</v>
      </c>
      <c r="Q1240" s="292" t="str">
        <f>TablaPOA[[#This Row],[Cod_Sub_acción_especifica]]&amp;"_"&amp;TablaPOA[[#This Row],[Cod_Tipo_agente]]</f>
        <v>K31.4.1.3_TA11</v>
      </c>
      <c r="R1240" s="250" t="s">
        <v>2963</v>
      </c>
      <c r="S1240" s="251" t="s">
        <v>2972</v>
      </c>
      <c r="T1240" s="269" t="s">
        <v>2973</v>
      </c>
    </row>
    <row r="1241" spans="1:20" ht="25.5" x14ac:dyDescent="0.25">
      <c r="A1241" s="268" t="s">
        <v>2314</v>
      </c>
      <c r="B1241" s="248">
        <v>31</v>
      </c>
      <c r="C1241" s="248" t="s">
        <v>2691</v>
      </c>
      <c r="D1241" s="248" t="s">
        <v>2988</v>
      </c>
      <c r="E1241" s="248" t="s">
        <v>3189</v>
      </c>
      <c r="F1241" s="248" t="s">
        <v>2697</v>
      </c>
      <c r="G1241" s="248" t="s">
        <v>2497</v>
      </c>
      <c r="H1241" s="263" t="s">
        <v>3190</v>
      </c>
      <c r="I1241" s="249" t="s">
        <v>2746</v>
      </c>
      <c r="J1241" s="248" t="s">
        <v>2548</v>
      </c>
      <c r="K1241" s="263" t="s">
        <v>3131</v>
      </c>
      <c r="L1241" s="263" t="s">
        <v>2798</v>
      </c>
      <c r="M1241" s="248" t="s">
        <v>2369</v>
      </c>
      <c r="N1241" s="293"/>
      <c r="O1241" s="293" t="str">
        <f>TablaPOA[[#This Row],[Cod_Sub_acción_especifica]]&amp;"_"&amp;TablaPOA[[#This Row],[Tipo de agente]]</f>
        <v>K31.4.1.3_Productores y Plantas de procesamiento</v>
      </c>
      <c r="P1241" s="250" t="s">
        <v>2962</v>
      </c>
      <c r="Q1241" s="292" t="str">
        <f>TablaPOA[[#This Row],[Cod_Sub_acción_especifica]]&amp;"_"&amp;TablaPOA[[#This Row],[Cod_Tipo_agente]]</f>
        <v>K31.4.1.3_TA11</v>
      </c>
      <c r="R1241" s="250" t="s">
        <v>2963</v>
      </c>
      <c r="S1241" s="251" t="s">
        <v>2974</v>
      </c>
      <c r="T1241" s="269" t="s">
        <v>2975</v>
      </c>
    </row>
    <row r="1242" spans="1:20" ht="25.5" x14ac:dyDescent="0.25">
      <c r="A1242" s="268" t="s">
        <v>2314</v>
      </c>
      <c r="B1242" s="248">
        <v>31</v>
      </c>
      <c r="C1242" s="248" t="s">
        <v>2691</v>
      </c>
      <c r="D1242" s="248" t="s">
        <v>2988</v>
      </c>
      <c r="E1242" s="248" t="s">
        <v>3189</v>
      </c>
      <c r="F1242" s="248" t="s">
        <v>2697</v>
      </c>
      <c r="G1242" s="248" t="s">
        <v>2497</v>
      </c>
      <c r="H1242" s="263" t="s">
        <v>3190</v>
      </c>
      <c r="I1242" s="249" t="s">
        <v>2746</v>
      </c>
      <c r="J1242" s="248" t="s">
        <v>2548</v>
      </c>
      <c r="K1242" s="263" t="s">
        <v>3131</v>
      </c>
      <c r="L1242" s="263" t="s">
        <v>2798</v>
      </c>
      <c r="M1242" s="248" t="s">
        <v>2369</v>
      </c>
      <c r="N1242" s="293"/>
      <c r="O1242" s="293" t="str">
        <f>TablaPOA[[#This Row],[Cod_Sub_acción_especifica]]&amp;"_"&amp;TablaPOA[[#This Row],[Tipo de agente]]</f>
        <v>K31.4.1.3_Productores y Plantas de procesamiento</v>
      </c>
      <c r="P1242" s="250" t="s">
        <v>2962</v>
      </c>
      <c r="Q1242" s="292" t="str">
        <f>TablaPOA[[#This Row],[Cod_Sub_acción_especifica]]&amp;"_"&amp;TablaPOA[[#This Row],[Cod_Tipo_agente]]</f>
        <v>K31.4.1.3_TA11</v>
      </c>
      <c r="R1242" s="250" t="s">
        <v>2963</v>
      </c>
      <c r="S1242" s="251" t="s">
        <v>2976</v>
      </c>
      <c r="T1242" s="269" t="s">
        <v>2977</v>
      </c>
    </row>
    <row r="1243" spans="1:20" ht="25.5" x14ac:dyDescent="0.25">
      <c r="A1243" s="219" t="s">
        <v>2314</v>
      </c>
      <c r="B1243" s="227">
        <v>31</v>
      </c>
      <c r="C1243" s="227" t="s">
        <v>2691</v>
      </c>
      <c r="D1243" s="227" t="s">
        <v>2988</v>
      </c>
      <c r="E1243" s="227" t="s">
        <v>3189</v>
      </c>
      <c r="F1243" s="227" t="s">
        <v>2697</v>
      </c>
      <c r="G1243" s="227" t="s">
        <v>2497</v>
      </c>
      <c r="H1243" s="264" t="s">
        <v>3190</v>
      </c>
      <c r="I1243" s="253" t="s">
        <v>2746</v>
      </c>
      <c r="J1243" s="227" t="s">
        <v>2548</v>
      </c>
      <c r="K1243" s="264" t="s">
        <v>3132</v>
      </c>
      <c r="L1243" s="264" t="s">
        <v>2799</v>
      </c>
      <c r="M1243" s="227" t="s">
        <v>2370</v>
      </c>
      <c r="N1243" s="299" t="s">
        <v>2809</v>
      </c>
      <c r="O1243" s="292" t="str">
        <f>TablaPOA[[#This Row],[Cod_Sub_acción_especifica]]&amp;"_"&amp;TablaPOA[[#This Row],[Tipo de agente]]</f>
        <v>K31.4.1.4_Consumidores directos de combustibles líquidos y OPDH</v>
      </c>
      <c r="P1243" s="254" t="s">
        <v>2808</v>
      </c>
      <c r="Q1243" s="292" t="str">
        <f>TablaPOA[[#This Row],[Cod_Sub_acción_especifica]]&amp;"_"&amp;TablaPOA[[#This Row],[Cod_Tipo_agente]]</f>
        <v>K31.4.1.4_TA1</v>
      </c>
      <c r="R1243" s="254" t="s">
        <v>2809</v>
      </c>
      <c r="S1243" s="255" t="s">
        <v>2810</v>
      </c>
      <c r="T1243" s="271" t="s">
        <v>2811</v>
      </c>
    </row>
    <row r="1244" spans="1:20" ht="25.5" x14ac:dyDescent="0.25">
      <c r="A1244" s="219" t="s">
        <v>2314</v>
      </c>
      <c r="B1244" s="227">
        <v>31</v>
      </c>
      <c r="C1244" s="227" t="s">
        <v>2691</v>
      </c>
      <c r="D1244" s="227" t="s">
        <v>2988</v>
      </c>
      <c r="E1244" s="227" t="s">
        <v>3189</v>
      </c>
      <c r="F1244" s="227" t="s">
        <v>2697</v>
      </c>
      <c r="G1244" s="227" t="s">
        <v>2497</v>
      </c>
      <c r="H1244" s="264" t="s">
        <v>3190</v>
      </c>
      <c r="I1244" s="253" t="s">
        <v>2746</v>
      </c>
      <c r="J1244" s="227" t="s">
        <v>2548</v>
      </c>
      <c r="K1244" s="264" t="s">
        <v>3132</v>
      </c>
      <c r="L1244" s="264" t="s">
        <v>2799</v>
      </c>
      <c r="M1244" s="227" t="s">
        <v>2370</v>
      </c>
      <c r="N1244" s="299" t="s">
        <v>2831</v>
      </c>
      <c r="O1244" s="292" t="str">
        <f>TablaPOA[[#This Row],[Cod_Sub_acción_especifica]]&amp;"_"&amp;TablaPOA[[#This Row],[Tipo de agente]]</f>
        <v>K31.4.1.4_Consumidores directos de combustibles líquidos y OPDH</v>
      </c>
      <c r="P1244" s="254" t="s">
        <v>2808</v>
      </c>
      <c r="Q1244" s="292" t="str">
        <f>TablaPOA[[#This Row],[Cod_Sub_acción_especifica]]&amp;"_"&amp;TablaPOA[[#This Row],[Cod_Tipo_agente]]</f>
        <v>K31.4.1.4_TA1</v>
      </c>
      <c r="R1244" s="254" t="s">
        <v>2809</v>
      </c>
      <c r="S1244" s="255" t="s">
        <v>2812</v>
      </c>
      <c r="T1244" s="271" t="s">
        <v>2813</v>
      </c>
    </row>
    <row r="1245" spans="1:20" ht="25.5" x14ac:dyDescent="0.25">
      <c r="A1245" s="219" t="s">
        <v>2314</v>
      </c>
      <c r="B1245" s="227">
        <v>31</v>
      </c>
      <c r="C1245" s="227" t="s">
        <v>2691</v>
      </c>
      <c r="D1245" s="227" t="s">
        <v>2988</v>
      </c>
      <c r="E1245" s="227" t="s">
        <v>3189</v>
      </c>
      <c r="F1245" s="227" t="s">
        <v>2697</v>
      </c>
      <c r="G1245" s="227" t="s">
        <v>2497</v>
      </c>
      <c r="H1245" s="264" t="s">
        <v>3190</v>
      </c>
      <c r="I1245" s="253" t="s">
        <v>2746</v>
      </c>
      <c r="J1245" s="227" t="s">
        <v>2548</v>
      </c>
      <c r="K1245" s="264" t="s">
        <v>3132</v>
      </c>
      <c r="L1245" s="264" t="s">
        <v>2799</v>
      </c>
      <c r="M1245" s="227" t="s">
        <v>2370</v>
      </c>
      <c r="N1245" s="299" t="s">
        <v>2840</v>
      </c>
      <c r="O1245" s="292" t="str">
        <f>TablaPOA[[#This Row],[Cod_Sub_acción_especifica]]&amp;"_"&amp;TablaPOA[[#This Row],[Tipo de agente]]</f>
        <v>K31.4.1.4_Consumidores directos de combustibles líquidos y OPDH</v>
      </c>
      <c r="P1245" s="254" t="s">
        <v>2808</v>
      </c>
      <c r="Q1245" s="292" t="str">
        <f>TablaPOA[[#This Row],[Cod_Sub_acción_especifica]]&amp;"_"&amp;TablaPOA[[#This Row],[Cod_Tipo_agente]]</f>
        <v>K31.4.1.4_TA1</v>
      </c>
      <c r="R1245" s="254" t="s">
        <v>2809</v>
      </c>
      <c r="S1245" s="255" t="s">
        <v>2814</v>
      </c>
      <c r="T1245" s="271" t="s">
        <v>2815</v>
      </c>
    </row>
    <row r="1246" spans="1:20" ht="25.5" x14ac:dyDescent="0.25">
      <c r="A1246" s="219" t="s">
        <v>2314</v>
      </c>
      <c r="B1246" s="227">
        <v>31</v>
      </c>
      <c r="C1246" s="227" t="s">
        <v>2691</v>
      </c>
      <c r="D1246" s="227" t="s">
        <v>2988</v>
      </c>
      <c r="E1246" s="227" t="s">
        <v>3189</v>
      </c>
      <c r="F1246" s="227" t="s">
        <v>2697</v>
      </c>
      <c r="G1246" s="227" t="s">
        <v>2497</v>
      </c>
      <c r="H1246" s="264" t="s">
        <v>3190</v>
      </c>
      <c r="I1246" s="253" t="s">
        <v>2746</v>
      </c>
      <c r="J1246" s="227" t="s">
        <v>2548</v>
      </c>
      <c r="K1246" s="264" t="s">
        <v>3132</v>
      </c>
      <c r="L1246" s="264" t="s">
        <v>2799</v>
      </c>
      <c r="M1246" s="227" t="s">
        <v>2370</v>
      </c>
      <c r="N1246" s="299" t="s">
        <v>2853</v>
      </c>
      <c r="O1246" s="292" t="str">
        <f>TablaPOA[[#This Row],[Cod_Sub_acción_especifica]]&amp;"_"&amp;TablaPOA[[#This Row],[Tipo de agente]]</f>
        <v>K31.4.1.4_Consumidores directos de combustibles líquidos y OPDH</v>
      </c>
      <c r="P1246" s="254" t="s">
        <v>2808</v>
      </c>
      <c r="Q1246" s="292" t="str">
        <f>TablaPOA[[#This Row],[Cod_Sub_acción_especifica]]&amp;"_"&amp;TablaPOA[[#This Row],[Cod_Tipo_agente]]</f>
        <v>K31.4.1.4_TA1</v>
      </c>
      <c r="R1246" s="254" t="s">
        <v>2809</v>
      </c>
      <c r="S1246" s="255" t="s">
        <v>2816</v>
      </c>
      <c r="T1246" s="271" t="s">
        <v>2817</v>
      </c>
    </row>
    <row r="1247" spans="1:20" ht="25.5" x14ac:dyDescent="0.25">
      <c r="A1247" s="219" t="s">
        <v>2314</v>
      </c>
      <c r="B1247" s="227">
        <v>31</v>
      </c>
      <c r="C1247" s="227" t="s">
        <v>2691</v>
      </c>
      <c r="D1247" s="227" t="s">
        <v>2988</v>
      </c>
      <c r="E1247" s="227" t="s">
        <v>3189</v>
      </c>
      <c r="F1247" s="227" t="s">
        <v>2697</v>
      </c>
      <c r="G1247" s="227" t="s">
        <v>2497</v>
      </c>
      <c r="H1247" s="264" t="s">
        <v>3190</v>
      </c>
      <c r="I1247" s="253" t="s">
        <v>2746</v>
      </c>
      <c r="J1247" s="227" t="s">
        <v>2548</v>
      </c>
      <c r="K1247" s="264" t="s">
        <v>3132</v>
      </c>
      <c r="L1247" s="264" t="s">
        <v>2799</v>
      </c>
      <c r="M1247" s="227" t="s">
        <v>2370</v>
      </c>
      <c r="N1247" s="299" t="s">
        <v>2877</v>
      </c>
      <c r="O1247" s="292" t="str">
        <f>TablaPOA[[#This Row],[Cod_Sub_acción_especifica]]&amp;"_"&amp;TablaPOA[[#This Row],[Tipo de agente]]</f>
        <v>K31.4.1.4_Consumidores directos de combustibles líquidos y OPDH</v>
      </c>
      <c r="P1247" s="254" t="s">
        <v>2808</v>
      </c>
      <c r="Q1247" s="292" t="str">
        <f>TablaPOA[[#This Row],[Cod_Sub_acción_especifica]]&amp;"_"&amp;TablaPOA[[#This Row],[Cod_Tipo_agente]]</f>
        <v>K31.4.1.4_TA1</v>
      </c>
      <c r="R1247" s="254" t="s">
        <v>2809</v>
      </c>
      <c r="S1247" s="255" t="s">
        <v>2818</v>
      </c>
      <c r="T1247" s="271" t="s">
        <v>2819</v>
      </c>
    </row>
    <row r="1248" spans="1:20" ht="25.5" x14ac:dyDescent="0.25">
      <c r="A1248" s="219" t="s">
        <v>2314</v>
      </c>
      <c r="B1248" s="227">
        <v>31</v>
      </c>
      <c r="C1248" s="227" t="s">
        <v>2691</v>
      </c>
      <c r="D1248" s="227" t="s">
        <v>2988</v>
      </c>
      <c r="E1248" s="227" t="s">
        <v>3189</v>
      </c>
      <c r="F1248" s="227" t="s">
        <v>2697</v>
      </c>
      <c r="G1248" s="227" t="s">
        <v>2497</v>
      </c>
      <c r="H1248" s="264" t="s">
        <v>3190</v>
      </c>
      <c r="I1248" s="253" t="s">
        <v>2746</v>
      </c>
      <c r="J1248" s="227" t="s">
        <v>2548</v>
      </c>
      <c r="K1248" s="264" t="s">
        <v>3132</v>
      </c>
      <c r="L1248" s="264" t="s">
        <v>2799</v>
      </c>
      <c r="M1248" s="227" t="s">
        <v>2370</v>
      </c>
      <c r="N1248" s="299" t="s">
        <v>2883</v>
      </c>
      <c r="O1248" s="292" t="str">
        <f>TablaPOA[[#This Row],[Cod_Sub_acción_especifica]]&amp;"_"&amp;TablaPOA[[#This Row],[Tipo de agente]]</f>
        <v>K31.4.1.4_Consumidores directos de combustibles líquidos y OPDH</v>
      </c>
      <c r="P1248" s="254" t="s">
        <v>2808</v>
      </c>
      <c r="Q1248" s="292" t="str">
        <f>TablaPOA[[#This Row],[Cod_Sub_acción_especifica]]&amp;"_"&amp;TablaPOA[[#This Row],[Cod_Tipo_agente]]</f>
        <v>K31.4.1.4_TA1</v>
      </c>
      <c r="R1248" s="254" t="s">
        <v>2809</v>
      </c>
      <c r="S1248" s="255" t="s">
        <v>2820</v>
      </c>
      <c r="T1248" s="271" t="s">
        <v>2821</v>
      </c>
    </row>
    <row r="1249" spans="1:20" ht="25.5" x14ac:dyDescent="0.25">
      <c r="A1249" s="219" t="s">
        <v>2314</v>
      </c>
      <c r="B1249" s="227">
        <v>31</v>
      </c>
      <c r="C1249" s="227" t="s">
        <v>2691</v>
      </c>
      <c r="D1249" s="227" t="s">
        <v>2988</v>
      </c>
      <c r="E1249" s="227" t="s">
        <v>3189</v>
      </c>
      <c r="F1249" s="227" t="s">
        <v>2697</v>
      </c>
      <c r="G1249" s="227" t="s">
        <v>2497</v>
      </c>
      <c r="H1249" s="264" t="s">
        <v>3190</v>
      </c>
      <c r="I1249" s="253" t="s">
        <v>2746</v>
      </c>
      <c r="J1249" s="227" t="s">
        <v>2548</v>
      </c>
      <c r="K1249" s="264" t="s">
        <v>3132</v>
      </c>
      <c r="L1249" s="264" t="s">
        <v>2799</v>
      </c>
      <c r="M1249" s="227" t="s">
        <v>2370</v>
      </c>
      <c r="N1249" s="299" t="s">
        <v>2913</v>
      </c>
      <c r="O1249" s="292" t="str">
        <f>TablaPOA[[#This Row],[Cod_Sub_acción_especifica]]&amp;"_"&amp;TablaPOA[[#This Row],[Tipo de agente]]</f>
        <v>K31.4.1.4_Consumidores directos de combustibles líquidos y OPDH</v>
      </c>
      <c r="P1249" s="254" t="s">
        <v>2808</v>
      </c>
      <c r="Q1249" s="292" t="str">
        <f>TablaPOA[[#This Row],[Cod_Sub_acción_especifica]]&amp;"_"&amp;TablaPOA[[#This Row],[Cod_Tipo_agente]]</f>
        <v>K31.4.1.4_TA1</v>
      </c>
      <c r="R1249" s="254" t="s">
        <v>2809</v>
      </c>
      <c r="S1249" s="255" t="s">
        <v>2822</v>
      </c>
      <c r="T1249" s="271" t="s">
        <v>2823</v>
      </c>
    </row>
    <row r="1250" spans="1:20" ht="25.5" x14ac:dyDescent="0.25">
      <c r="A1250" s="219" t="s">
        <v>2314</v>
      </c>
      <c r="B1250" s="227">
        <v>31</v>
      </c>
      <c r="C1250" s="227" t="s">
        <v>2691</v>
      </c>
      <c r="D1250" s="227" t="s">
        <v>2988</v>
      </c>
      <c r="E1250" s="227" t="s">
        <v>3189</v>
      </c>
      <c r="F1250" s="227" t="s">
        <v>2697</v>
      </c>
      <c r="G1250" s="227" t="s">
        <v>2497</v>
      </c>
      <c r="H1250" s="264" t="s">
        <v>3190</v>
      </c>
      <c r="I1250" s="253" t="s">
        <v>2746</v>
      </c>
      <c r="J1250" s="227" t="s">
        <v>2548</v>
      </c>
      <c r="K1250" s="264" t="s">
        <v>3132</v>
      </c>
      <c r="L1250" s="264" t="s">
        <v>2799</v>
      </c>
      <c r="M1250" s="227" t="s">
        <v>2370</v>
      </c>
      <c r="N1250" s="299" t="s">
        <v>2919</v>
      </c>
      <c r="O1250" s="292" t="str">
        <f>TablaPOA[[#This Row],[Cod_Sub_acción_especifica]]&amp;"_"&amp;TablaPOA[[#This Row],[Tipo de agente]]</f>
        <v>K31.4.1.4_Consumidores directos de combustibles líquidos y OPDH</v>
      </c>
      <c r="P1250" s="254" t="s">
        <v>2808</v>
      </c>
      <c r="Q1250" s="292" t="str">
        <f>TablaPOA[[#This Row],[Cod_Sub_acción_especifica]]&amp;"_"&amp;TablaPOA[[#This Row],[Cod_Tipo_agente]]</f>
        <v>K31.4.1.4_TA1</v>
      </c>
      <c r="R1250" s="254" t="s">
        <v>2809</v>
      </c>
      <c r="S1250" s="255" t="s">
        <v>2824</v>
      </c>
      <c r="T1250" s="271" t="s">
        <v>2825</v>
      </c>
    </row>
    <row r="1251" spans="1:20" ht="25.5" x14ac:dyDescent="0.25">
      <c r="A1251" s="219" t="s">
        <v>2314</v>
      </c>
      <c r="B1251" s="227">
        <v>31</v>
      </c>
      <c r="C1251" s="227" t="s">
        <v>2691</v>
      </c>
      <c r="D1251" s="227" t="s">
        <v>2988</v>
      </c>
      <c r="E1251" s="227" t="s">
        <v>3189</v>
      </c>
      <c r="F1251" s="227" t="s">
        <v>2697</v>
      </c>
      <c r="G1251" s="227" t="s">
        <v>2497</v>
      </c>
      <c r="H1251" s="264" t="s">
        <v>3190</v>
      </c>
      <c r="I1251" s="253" t="s">
        <v>2746</v>
      </c>
      <c r="J1251" s="227" t="s">
        <v>2548</v>
      </c>
      <c r="K1251" s="264" t="s">
        <v>3132</v>
      </c>
      <c r="L1251" s="264" t="s">
        <v>2799</v>
      </c>
      <c r="M1251" s="227" t="s">
        <v>2370</v>
      </c>
      <c r="N1251" s="299" t="s">
        <v>2951</v>
      </c>
      <c r="O1251" s="292" t="str">
        <f>TablaPOA[[#This Row],[Cod_Sub_acción_especifica]]&amp;"_"&amp;TablaPOA[[#This Row],[Tipo de agente]]</f>
        <v>K31.4.1.4_Consumidores directos de combustibles líquidos y OPDH</v>
      </c>
      <c r="P1251" s="254" t="s">
        <v>2808</v>
      </c>
      <c r="Q1251" s="292" t="str">
        <f>TablaPOA[[#This Row],[Cod_Sub_acción_especifica]]&amp;"_"&amp;TablaPOA[[#This Row],[Cod_Tipo_agente]]</f>
        <v>K31.4.1.4_TA1</v>
      </c>
      <c r="R1251" s="254" t="s">
        <v>2809</v>
      </c>
      <c r="S1251" s="255" t="s">
        <v>2826</v>
      </c>
      <c r="T1251" s="271" t="s">
        <v>2827</v>
      </c>
    </row>
    <row r="1252" spans="1:20" ht="25.5" x14ac:dyDescent="0.25">
      <c r="A1252" s="219" t="s">
        <v>2314</v>
      </c>
      <c r="B1252" s="227">
        <v>31</v>
      </c>
      <c r="C1252" s="227" t="s">
        <v>2691</v>
      </c>
      <c r="D1252" s="227" t="s">
        <v>2988</v>
      </c>
      <c r="E1252" s="227" t="s">
        <v>3189</v>
      </c>
      <c r="F1252" s="227" t="s">
        <v>2697</v>
      </c>
      <c r="G1252" s="227" t="s">
        <v>2497</v>
      </c>
      <c r="H1252" s="264" t="s">
        <v>3190</v>
      </c>
      <c r="I1252" s="253" t="s">
        <v>2746</v>
      </c>
      <c r="J1252" s="227" t="s">
        <v>2548</v>
      </c>
      <c r="K1252" s="264" t="s">
        <v>3132</v>
      </c>
      <c r="L1252" s="264" t="s">
        <v>2799</v>
      </c>
      <c r="M1252" s="227" t="s">
        <v>2370</v>
      </c>
      <c r="N1252" s="299" t="s">
        <v>2903</v>
      </c>
      <c r="O1252" s="292" t="str">
        <f>TablaPOA[[#This Row],[Cod_Sub_acción_especifica]]&amp;"_"&amp;TablaPOA[[#This Row],[Tipo de agente]]</f>
        <v>K31.4.1.4_Consumidores directos de combustibles líquidos y OPDH</v>
      </c>
      <c r="P1252" s="254" t="s">
        <v>2808</v>
      </c>
      <c r="Q1252" s="292" t="str">
        <f>TablaPOA[[#This Row],[Cod_Sub_acción_especifica]]&amp;"_"&amp;TablaPOA[[#This Row],[Cod_Tipo_agente]]</f>
        <v>K31.4.1.4_TA1</v>
      </c>
      <c r="R1252" s="254" t="s">
        <v>2809</v>
      </c>
      <c r="S1252" s="255" t="s">
        <v>2828</v>
      </c>
      <c r="T1252" s="271" t="s">
        <v>2829</v>
      </c>
    </row>
    <row r="1253" spans="1:20" ht="25.5" x14ac:dyDescent="0.25">
      <c r="A1253" s="219" t="s">
        <v>2314</v>
      </c>
      <c r="B1253" s="227">
        <v>31</v>
      </c>
      <c r="C1253" s="227" t="s">
        <v>2691</v>
      </c>
      <c r="D1253" s="227" t="s">
        <v>2988</v>
      </c>
      <c r="E1253" s="227" t="s">
        <v>3189</v>
      </c>
      <c r="F1253" s="227" t="s">
        <v>2697</v>
      </c>
      <c r="G1253" s="227" t="s">
        <v>2497</v>
      </c>
      <c r="H1253" s="264" t="s">
        <v>3190</v>
      </c>
      <c r="I1253" s="253" t="s">
        <v>2746</v>
      </c>
      <c r="J1253" s="227" t="s">
        <v>2548</v>
      </c>
      <c r="K1253" s="264" t="s">
        <v>3132</v>
      </c>
      <c r="L1253" s="264" t="s">
        <v>2799</v>
      </c>
      <c r="M1253" s="227" t="s">
        <v>2370</v>
      </c>
      <c r="N1253" s="299" t="s">
        <v>2963</v>
      </c>
      <c r="O1253" s="292" t="str">
        <f>TablaPOA[[#This Row],[Cod_Sub_acción_especifica]]&amp;"_"&amp;TablaPOA[[#This Row],[Tipo de agente]]</f>
        <v>K31.4.1.4_Consumidores directos de gas natural</v>
      </c>
      <c r="P1253" s="254" t="s">
        <v>2830</v>
      </c>
      <c r="Q1253" s="292" t="str">
        <f>TablaPOA[[#This Row],[Cod_Sub_acción_especifica]]&amp;"_"&amp;TablaPOA[[#This Row],[Cod_Tipo_agente]]</f>
        <v>K31.4.1.4_TA2</v>
      </c>
      <c r="R1253" s="254" t="s">
        <v>2831</v>
      </c>
      <c r="S1253" s="254">
        <v>101</v>
      </c>
      <c r="T1253" s="271" t="s">
        <v>2832</v>
      </c>
    </row>
    <row r="1254" spans="1:20" ht="25.5" x14ac:dyDescent="0.25">
      <c r="A1254" s="219" t="s">
        <v>2314</v>
      </c>
      <c r="B1254" s="227">
        <v>31</v>
      </c>
      <c r="C1254" s="227" t="s">
        <v>2691</v>
      </c>
      <c r="D1254" s="227" t="s">
        <v>2988</v>
      </c>
      <c r="E1254" s="227" t="s">
        <v>3189</v>
      </c>
      <c r="F1254" s="227" t="s">
        <v>2697</v>
      </c>
      <c r="G1254" s="227" t="s">
        <v>2497</v>
      </c>
      <c r="H1254" s="264" t="s">
        <v>3190</v>
      </c>
      <c r="I1254" s="253" t="s">
        <v>2746</v>
      </c>
      <c r="J1254" s="227" t="s">
        <v>2548</v>
      </c>
      <c r="K1254" s="264" t="s">
        <v>3132</v>
      </c>
      <c r="L1254" s="264" t="s">
        <v>2799</v>
      </c>
      <c r="M1254" s="227" t="s">
        <v>2370</v>
      </c>
      <c r="N1254" s="293"/>
      <c r="O1254" s="293" t="str">
        <f>TablaPOA[[#This Row],[Cod_Sub_acción_especifica]]&amp;"_"&amp;TablaPOA[[#This Row],[Tipo de agente]]</f>
        <v>K31.4.1.4_Consumidores directos de gas natural</v>
      </c>
      <c r="P1254" s="254" t="s">
        <v>2830</v>
      </c>
      <c r="Q1254" s="292" t="str">
        <f>TablaPOA[[#This Row],[Cod_Sub_acción_especifica]]&amp;"_"&amp;TablaPOA[[#This Row],[Cod_Tipo_agente]]</f>
        <v>K31.4.1.4_TA2</v>
      </c>
      <c r="R1254" s="254" t="s">
        <v>2831</v>
      </c>
      <c r="S1254" s="254" t="s">
        <v>2833</v>
      </c>
      <c r="T1254" s="271" t="s">
        <v>2834</v>
      </c>
    </row>
    <row r="1255" spans="1:20" ht="25.5" x14ac:dyDescent="0.25">
      <c r="A1255" s="219" t="s">
        <v>2314</v>
      </c>
      <c r="B1255" s="227">
        <v>31</v>
      </c>
      <c r="C1255" s="227" t="s">
        <v>2691</v>
      </c>
      <c r="D1255" s="227" t="s">
        <v>2988</v>
      </c>
      <c r="E1255" s="227" t="s">
        <v>3189</v>
      </c>
      <c r="F1255" s="227" t="s">
        <v>2697</v>
      </c>
      <c r="G1255" s="227" t="s">
        <v>2497</v>
      </c>
      <c r="H1255" s="264" t="s">
        <v>3190</v>
      </c>
      <c r="I1255" s="253" t="s">
        <v>2746</v>
      </c>
      <c r="J1255" s="227" t="s">
        <v>2548</v>
      </c>
      <c r="K1255" s="264" t="s">
        <v>3132</v>
      </c>
      <c r="L1255" s="264" t="s">
        <v>2799</v>
      </c>
      <c r="M1255" s="227" t="s">
        <v>2370</v>
      </c>
      <c r="N1255" s="293"/>
      <c r="O1255" s="293" t="str">
        <f>TablaPOA[[#This Row],[Cod_Sub_acción_especifica]]&amp;"_"&amp;TablaPOA[[#This Row],[Tipo de agente]]</f>
        <v>K31.4.1.4_Consumidores directos de gas natural</v>
      </c>
      <c r="P1255" s="254" t="s">
        <v>2830</v>
      </c>
      <c r="Q1255" s="292" t="str">
        <f>TablaPOA[[#This Row],[Cod_Sub_acción_especifica]]&amp;"_"&amp;TablaPOA[[#This Row],[Cod_Tipo_agente]]</f>
        <v>K31.4.1.4_TA2</v>
      </c>
      <c r="R1255" s="254" t="s">
        <v>2831</v>
      </c>
      <c r="S1255" s="254" t="s">
        <v>2835</v>
      </c>
      <c r="T1255" s="271" t="s">
        <v>2836</v>
      </c>
    </row>
    <row r="1256" spans="1:20" ht="25.5" x14ac:dyDescent="0.25">
      <c r="A1256" s="219" t="s">
        <v>2314</v>
      </c>
      <c r="B1256" s="227">
        <v>31</v>
      </c>
      <c r="C1256" s="227" t="s">
        <v>2691</v>
      </c>
      <c r="D1256" s="227" t="s">
        <v>2988</v>
      </c>
      <c r="E1256" s="227" t="s">
        <v>3189</v>
      </c>
      <c r="F1256" s="227" t="s">
        <v>2697</v>
      </c>
      <c r="G1256" s="227" t="s">
        <v>2497</v>
      </c>
      <c r="H1256" s="264" t="s">
        <v>3190</v>
      </c>
      <c r="I1256" s="253" t="s">
        <v>2746</v>
      </c>
      <c r="J1256" s="227" t="s">
        <v>2548</v>
      </c>
      <c r="K1256" s="264" t="s">
        <v>3132</v>
      </c>
      <c r="L1256" s="264" t="s">
        <v>2799</v>
      </c>
      <c r="M1256" s="227" t="s">
        <v>2370</v>
      </c>
      <c r="N1256" s="293"/>
      <c r="O1256" s="293" t="str">
        <f>TablaPOA[[#This Row],[Cod_Sub_acción_especifica]]&amp;"_"&amp;TablaPOA[[#This Row],[Tipo de agente]]</f>
        <v>K31.4.1.4_Consumidores directos de gas natural</v>
      </c>
      <c r="P1256" s="254" t="s">
        <v>2830</v>
      </c>
      <c r="Q1256" s="292" t="str">
        <f>TablaPOA[[#This Row],[Cod_Sub_acción_especifica]]&amp;"_"&amp;TablaPOA[[#This Row],[Cod_Tipo_agente]]</f>
        <v>K31.4.1.4_TA2</v>
      </c>
      <c r="R1256" s="254" t="s">
        <v>2831</v>
      </c>
      <c r="S1256" s="254" t="s">
        <v>2837</v>
      </c>
      <c r="T1256" s="271" t="s">
        <v>2838</v>
      </c>
    </row>
    <row r="1257" spans="1:20" ht="25.5" x14ac:dyDescent="0.25">
      <c r="A1257" s="219" t="s">
        <v>2314</v>
      </c>
      <c r="B1257" s="227">
        <v>31</v>
      </c>
      <c r="C1257" s="227" t="s">
        <v>2691</v>
      </c>
      <c r="D1257" s="227" t="s">
        <v>2988</v>
      </c>
      <c r="E1257" s="227" t="s">
        <v>3189</v>
      </c>
      <c r="F1257" s="227" t="s">
        <v>2697</v>
      </c>
      <c r="G1257" s="227" t="s">
        <v>2497</v>
      </c>
      <c r="H1257" s="264" t="s">
        <v>3190</v>
      </c>
      <c r="I1257" s="253" t="s">
        <v>2746</v>
      </c>
      <c r="J1257" s="227" t="s">
        <v>2548</v>
      </c>
      <c r="K1257" s="264" t="s">
        <v>3132</v>
      </c>
      <c r="L1257" s="264" t="s">
        <v>2799</v>
      </c>
      <c r="M1257" s="227" t="s">
        <v>2370</v>
      </c>
      <c r="N1257" s="293"/>
      <c r="O1257" s="293" t="str">
        <f>TablaPOA[[#This Row],[Cod_Sub_acción_especifica]]&amp;"_"&amp;TablaPOA[[#This Row],[Tipo de agente]]</f>
        <v>K31.4.1.4_Consumidores directos de GLP y redes de distribución</v>
      </c>
      <c r="P1257" s="254" t="s">
        <v>2839</v>
      </c>
      <c r="Q1257" s="292" t="str">
        <f>TablaPOA[[#This Row],[Cod_Sub_acción_especifica]]&amp;"_"&amp;TablaPOA[[#This Row],[Cod_Tipo_agente]]</f>
        <v>K31.4.1.4_TA3</v>
      </c>
      <c r="R1257" s="254" t="s">
        <v>2840</v>
      </c>
      <c r="S1257" s="254">
        <v>400</v>
      </c>
      <c r="T1257" s="271" t="s">
        <v>2841</v>
      </c>
    </row>
    <row r="1258" spans="1:20" ht="25.5" x14ac:dyDescent="0.25">
      <c r="A1258" s="219" t="s">
        <v>2314</v>
      </c>
      <c r="B1258" s="227">
        <v>31</v>
      </c>
      <c r="C1258" s="227" t="s">
        <v>2691</v>
      </c>
      <c r="D1258" s="227" t="s">
        <v>2988</v>
      </c>
      <c r="E1258" s="227" t="s">
        <v>3189</v>
      </c>
      <c r="F1258" s="227" t="s">
        <v>2697</v>
      </c>
      <c r="G1258" s="227" t="s">
        <v>2497</v>
      </c>
      <c r="H1258" s="264" t="s">
        <v>3190</v>
      </c>
      <c r="I1258" s="253" t="s">
        <v>2746</v>
      </c>
      <c r="J1258" s="227" t="s">
        <v>2548</v>
      </c>
      <c r="K1258" s="264" t="s">
        <v>3132</v>
      </c>
      <c r="L1258" s="264" t="s">
        <v>2799</v>
      </c>
      <c r="M1258" s="227" t="s">
        <v>2370</v>
      </c>
      <c r="N1258" s="293"/>
      <c r="O1258" s="293" t="str">
        <f>TablaPOA[[#This Row],[Cod_Sub_acción_especifica]]&amp;"_"&amp;TablaPOA[[#This Row],[Tipo de agente]]</f>
        <v>K31.4.1.4_Consumidores directos de GLP y redes de distribución</v>
      </c>
      <c r="P1258" s="254" t="s">
        <v>2839</v>
      </c>
      <c r="Q1258" s="292" t="str">
        <f>TablaPOA[[#This Row],[Cod_Sub_acción_especifica]]&amp;"_"&amp;TablaPOA[[#This Row],[Cod_Tipo_agente]]</f>
        <v>K31.4.1.4_TA3</v>
      </c>
      <c r="R1258" s="254" t="s">
        <v>2840</v>
      </c>
      <c r="S1258" s="254" t="s">
        <v>2842</v>
      </c>
      <c r="T1258" s="271" t="s">
        <v>2843</v>
      </c>
    </row>
    <row r="1259" spans="1:20" ht="25.5" x14ac:dyDescent="0.25">
      <c r="A1259" s="219" t="s">
        <v>2314</v>
      </c>
      <c r="B1259" s="227">
        <v>31</v>
      </c>
      <c r="C1259" s="227" t="s">
        <v>2691</v>
      </c>
      <c r="D1259" s="227" t="s">
        <v>2988</v>
      </c>
      <c r="E1259" s="227" t="s">
        <v>3189</v>
      </c>
      <c r="F1259" s="227" t="s">
        <v>2697</v>
      </c>
      <c r="G1259" s="227" t="s">
        <v>2497</v>
      </c>
      <c r="H1259" s="264" t="s">
        <v>3190</v>
      </c>
      <c r="I1259" s="253" t="s">
        <v>2746</v>
      </c>
      <c r="J1259" s="227" t="s">
        <v>2548</v>
      </c>
      <c r="K1259" s="264" t="s">
        <v>3132</v>
      </c>
      <c r="L1259" s="264" t="s">
        <v>2799</v>
      </c>
      <c r="M1259" s="227" t="s">
        <v>2370</v>
      </c>
      <c r="N1259" s="293"/>
      <c r="O1259" s="293" t="str">
        <f>TablaPOA[[#This Row],[Cod_Sub_acción_especifica]]&amp;"_"&amp;TablaPOA[[#This Row],[Tipo de agente]]</f>
        <v>K31.4.1.4_Consumidores directos de GLP y redes de distribución</v>
      </c>
      <c r="P1259" s="254" t="s">
        <v>2839</v>
      </c>
      <c r="Q1259" s="292" t="str">
        <f>TablaPOA[[#This Row],[Cod_Sub_acción_especifica]]&amp;"_"&amp;TablaPOA[[#This Row],[Cod_Tipo_agente]]</f>
        <v>K31.4.1.4_TA3</v>
      </c>
      <c r="R1259" s="254" t="s">
        <v>2840</v>
      </c>
      <c r="S1259" s="254" t="s">
        <v>2844</v>
      </c>
      <c r="T1259" s="271" t="s">
        <v>2845</v>
      </c>
    </row>
    <row r="1260" spans="1:20" ht="25.5" x14ac:dyDescent="0.25">
      <c r="A1260" s="219" t="s">
        <v>2314</v>
      </c>
      <c r="B1260" s="227">
        <v>31</v>
      </c>
      <c r="C1260" s="227" t="s">
        <v>2691</v>
      </c>
      <c r="D1260" s="227" t="s">
        <v>2988</v>
      </c>
      <c r="E1260" s="227" t="s">
        <v>3189</v>
      </c>
      <c r="F1260" s="227" t="s">
        <v>2697</v>
      </c>
      <c r="G1260" s="227" t="s">
        <v>2497</v>
      </c>
      <c r="H1260" s="264" t="s">
        <v>3190</v>
      </c>
      <c r="I1260" s="253" t="s">
        <v>2746</v>
      </c>
      <c r="J1260" s="227" t="s">
        <v>2548</v>
      </c>
      <c r="K1260" s="264" t="s">
        <v>3132</v>
      </c>
      <c r="L1260" s="264" t="s">
        <v>2799</v>
      </c>
      <c r="M1260" s="227" t="s">
        <v>2370</v>
      </c>
      <c r="N1260" s="293"/>
      <c r="O1260" s="293" t="str">
        <f>TablaPOA[[#This Row],[Cod_Sub_acción_especifica]]&amp;"_"&amp;TablaPOA[[#This Row],[Tipo de agente]]</f>
        <v>K31.4.1.4_Consumidores directos de GLP y redes de distribución</v>
      </c>
      <c r="P1260" s="254" t="s">
        <v>2839</v>
      </c>
      <c r="Q1260" s="292" t="str">
        <f>TablaPOA[[#This Row],[Cod_Sub_acción_especifica]]&amp;"_"&amp;TablaPOA[[#This Row],[Cod_Tipo_agente]]</f>
        <v>K31.4.1.4_TA3</v>
      </c>
      <c r="R1260" s="254" t="s">
        <v>2840</v>
      </c>
      <c r="S1260" s="254" t="s">
        <v>2846</v>
      </c>
      <c r="T1260" s="271" t="s">
        <v>2847</v>
      </c>
    </row>
    <row r="1261" spans="1:20" ht="25.5" x14ac:dyDescent="0.25">
      <c r="A1261" s="219" t="s">
        <v>2314</v>
      </c>
      <c r="B1261" s="227">
        <v>31</v>
      </c>
      <c r="C1261" s="227" t="s">
        <v>2691</v>
      </c>
      <c r="D1261" s="227" t="s">
        <v>2988</v>
      </c>
      <c r="E1261" s="227" t="s">
        <v>3189</v>
      </c>
      <c r="F1261" s="227" t="s">
        <v>2697</v>
      </c>
      <c r="G1261" s="227" t="s">
        <v>2497</v>
      </c>
      <c r="H1261" s="264" t="s">
        <v>3190</v>
      </c>
      <c r="I1261" s="253" t="s">
        <v>2746</v>
      </c>
      <c r="J1261" s="227" t="s">
        <v>2548</v>
      </c>
      <c r="K1261" s="264" t="s">
        <v>3132</v>
      </c>
      <c r="L1261" s="264" t="s">
        <v>2799</v>
      </c>
      <c r="M1261" s="227" t="s">
        <v>2370</v>
      </c>
      <c r="N1261" s="293"/>
      <c r="O1261" s="293" t="str">
        <f>TablaPOA[[#This Row],[Cod_Sub_acción_especifica]]&amp;"_"&amp;TablaPOA[[#This Row],[Tipo de agente]]</f>
        <v>K31.4.1.4_Consumidores directos de GLP y redes de distribución</v>
      </c>
      <c r="P1261" s="254" t="s">
        <v>2839</v>
      </c>
      <c r="Q1261" s="292" t="str">
        <f>TablaPOA[[#This Row],[Cod_Sub_acción_especifica]]&amp;"_"&amp;TablaPOA[[#This Row],[Cod_Tipo_agente]]</f>
        <v>K31.4.1.4_TA3</v>
      </c>
      <c r="R1261" s="254" t="s">
        <v>2840</v>
      </c>
      <c r="S1261" s="254" t="s">
        <v>2848</v>
      </c>
      <c r="T1261" s="271" t="s">
        <v>2849</v>
      </c>
    </row>
    <row r="1262" spans="1:20" ht="25.5" x14ac:dyDescent="0.25">
      <c r="A1262" s="219" t="s">
        <v>2314</v>
      </c>
      <c r="B1262" s="227">
        <v>31</v>
      </c>
      <c r="C1262" s="227" t="s">
        <v>2691</v>
      </c>
      <c r="D1262" s="227" t="s">
        <v>2988</v>
      </c>
      <c r="E1262" s="227" t="s">
        <v>3189</v>
      </c>
      <c r="F1262" s="227" t="s">
        <v>2697</v>
      </c>
      <c r="G1262" s="227" t="s">
        <v>2497</v>
      </c>
      <c r="H1262" s="264" t="s">
        <v>3190</v>
      </c>
      <c r="I1262" s="253" t="s">
        <v>2746</v>
      </c>
      <c r="J1262" s="227" t="s">
        <v>2548</v>
      </c>
      <c r="K1262" s="264" t="s">
        <v>3132</v>
      </c>
      <c r="L1262" s="264" t="s">
        <v>2799</v>
      </c>
      <c r="M1262" s="227" t="s">
        <v>2370</v>
      </c>
      <c r="N1262" s="293"/>
      <c r="O1262" s="293" t="str">
        <f>TablaPOA[[#This Row],[Cod_Sub_acción_especifica]]&amp;"_"&amp;TablaPOA[[#This Row],[Tipo de agente]]</f>
        <v>K31.4.1.4_Consumidores directos de GLP y redes de distribución</v>
      </c>
      <c r="P1262" s="254" t="s">
        <v>2839</v>
      </c>
      <c r="Q1262" s="292" t="str">
        <f>TablaPOA[[#This Row],[Cod_Sub_acción_especifica]]&amp;"_"&amp;TablaPOA[[#This Row],[Cod_Tipo_agente]]</f>
        <v>K31.4.1.4_TA3</v>
      </c>
      <c r="R1262" s="254" t="s">
        <v>2840</v>
      </c>
      <c r="S1262" s="254" t="s">
        <v>2850</v>
      </c>
      <c r="T1262" s="271" t="s">
        <v>2851</v>
      </c>
    </row>
    <row r="1263" spans="1:20" ht="25.5" x14ac:dyDescent="0.25">
      <c r="A1263" s="219" t="s">
        <v>2314</v>
      </c>
      <c r="B1263" s="227">
        <v>31</v>
      </c>
      <c r="C1263" s="227" t="s">
        <v>2691</v>
      </c>
      <c r="D1263" s="227" t="s">
        <v>2988</v>
      </c>
      <c r="E1263" s="227" t="s">
        <v>3189</v>
      </c>
      <c r="F1263" s="227" t="s">
        <v>2697</v>
      </c>
      <c r="G1263" s="227" t="s">
        <v>2497</v>
      </c>
      <c r="H1263" s="264" t="s">
        <v>3190</v>
      </c>
      <c r="I1263" s="253" t="s">
        <v>2746</v>
      </c>
      <c r="J1263" s="227" t="s">
        <v>2548</v>
      </c>
      <c r="K1263" s="264" t="s">
        <v>3132</v>
      </c>
      <c r="L1263" s="264" t="s">
        <v>2799</v>
      </c>
      <c r="M1263" s="227" t="s">
        <v>2370</v>
      </c>
      <c r="N1263" s="293"/>
      <c r="O1263" s="293" t="str">
        <f>TablaPOA[[#This Row],[Cod_Sub_acción_especifica]]&amp;"_"&amp;TablaPOA[[#This Row],[Tipo de agente]]</f>
        <v>K31.4.1.4_Distribuidores mayoristas, Importadores y Comercializadores</v>
      </c>
      <c r="P1263" s="254" t="s">
        <v>2852</v>
      </c>
      <c r="Q1263" s="292" t="str">
        <f>TablaPOA[[#This Row],[Cod_Sub_acción_especifica]]&amp;"_"&amp;TablaPOA[[#This Row],[Cod_Tipo_agente]]</f>
        <v>K31.4.1.4_TA4</v>
      </c>
      <c r="R1263" s="254" t="s">
        <v>2853</v>
      </c>
      <c r="S1263" s="255" t="s">
        <v>2854</v>
      </c>
      <c r="T1263" s="271" t="s">
        <v>2855</v>
      </c>
    </row>
    <row r="1264" spans="1:20" ht="25.5" x14ac:dyDescent="0.25">
      <c r="A1264" s="219" t="s">
        <v>2314</v>
      </c>
      <c r="B1264" s="227">
        <v>31</v>
      </c>
      <c r="C1264" s="227" t="s">
        <v>2691</v>
      </c>
      <c r="D1264" s="227" t="s">
        <v>2988</v>
      </c>
      <c r="E1264" s="227" t="s">
        <v>3189</v>
      </c>
      <c r="F1264" s="227" t="s">
        <v>2697</v>
      </c>
      <c r="G1264" s="227" t="s">
        <v>2497</v>
      </c>
      <c r="H1264" s="264" t="s">
        <v>3190</v>
      </c>
      <c r="I1264" s="253" t="s">
        <v>2746</v>
      </c>
      <c r="J1264" s="227" t="s">
        <v>2548</v>
      </c>
      <c r="K1264" s="264" t="s">
        <v>3132</v>
      </c>
      <c r="L1264" s="264" t="s">
        <v>2799</v>
      </c>
      <c r="M1264" s="227" t="s">
        <v>2370</v>
      </c>
      <c r="N1264" s="293"/>
      <c r="O1264" s="293" t="str">
        <f>TablaPOA[[#This Row],[Cod_Sub_acción_especifica]]&amp;"_"&amp;TablaPOA[[#This Row],[Tipo de agente]]</f>
        <v>K31.4.1.4_Distribuidores mayoristas, Importadores y Comercializadores</v>
      </c>
      <c r="P1264" s="254" t="s">
        <v>2852</v>
      </c>
      <c r="Q1264" s="292" t="str">
        <f>TablaPOA[[#This Row],[Cod_Sub_acción_especifica]]&amp;"_"&amp;TablaPOA[[#This Row],[Cod_Tipo_agente]]</f>
        <v>K31.4.1.4_TA4</v>
      </c>
      <c r="R1264" s="254" t="s">
        <v>2853</v>
      </c>
      <c r="S1264" s="255" t="s">
        <v>2856</v>
      </c>
      <c r="T1264" s="271" t="s">
        <v>2857</v>
      </c>
    </row>
    <row r="1265" spans="1:20" ht="25.5" x14ac:dyDescent="0.25">
      <c r="A1265" s="219" t="s">
        <v>2314</v>
      </c>
      <c r="B1265" s="227">
        <v>31</v>
      </c>
      <c r="C1265" s="227" t="s">
        <v>2691</v>
      </c>
      <c r="D1265" s="227" t="s">
        <v>2988</v>
      </c>
      <c r="E1265" s="227" t="s">
        <v>3189</v>
      </c>
      <c r="F1265" s="227" t="s">
        <v>2697</v>
      </c>
      <c r="G1265" s="227" t="s">
        <v>2497</v>
      </c>
      <c r="H1265" s="264" t="s">
        <v>3190</v>
      </c>
      <c r="I1265" s="253" t="s">
        <v>2746</v>
      </c>
      <c r="J1265" s="227" t="s">
        <v>2548</v>
      </c>
      <c r="K1265" s="264" t="s">
        <v>3132</v>
      </c>
      <c r="L1265" s="264" t="s">
        <v>2799</v>
      </c>
      <c r="M1265" s="227" t="s">
        <v>2370</v>
      </c>
      <c r="N1265" s="293"/>
      <c r="O1265" s="293" t="str">
        <f>TablaPOA[[#This Row],[Cod_Sub_acción_especifica]]&amp;"_"&amp;TablaPOA[[#This Row],[Tipo de agente]]</f>
        <v>K31.4.1.4_Distribuidores mayoristas, Importadores y Comercializadores</v>
      </c>
      <c r="P1265" s="254" t="s">
        <v>2852</v>
      </c>
      <c r="Q1265" s="292" t="str">
        <f>TablaPOA[[#This Row],[Cod_Sub_acción_especifica]]&amp;"_"&amp;TablaPOA[[#This Row],[Cod_Tipo_agente]]</f>
        <v>K31.4.1.4_TA4</v>
      </c>
      <c r="R1265" s="254" t="s">
        <v>2853</v>
      </c>
      <c r="S1265" s="255" t="s">
        <v>2858</v>
      </c>
      <c r="T1265" s="271" t="s">
        <v>2859</v>
      </c>
    </row>
    <row r="1266" spans="1:20" ht="25.5" x14ac:dyDescent="0.25">
      <c r="A1266" s="219" t="s">
        <v>2314</v>
      </c>
      <c r="B1266" s="227">
        <v>31</v>
      </c>
      <c r="C1266" s="227" t="s">
        <v>2691</v>
      </c>
      <c r="D1266" s="227" t="s">
        <v>2988</v>
      </c>
      <c r="E1266" s="227" t="s">
        <v>3189</v>
      </c>
      <c r="F1266" s="227" t="s">
        <v>2697</v>
      </c>
      <c r="G1266" s="227" t="s">
        <v>2497</v>
      </c>
      <c r="H1266" s="264" t="s">
        <v>3190</v>
      </c>
      <c r="I1266" s="253" t="s">
        <v>2746</v>
      </c>
      <c r="J1266" s="227" t="s">
        <v>2548</v>
      </c>
      <c r="K1266" s="264" t="s">
        <v>3132</v>
      </c>
      <c r="L1266" s="264" t="s">
        <v>2799</v>
      </c>
      <c r="M1266" s="227" t="s">
        <v>2370</v>
      </c>
      <c r="N1266" s="293"/>
      <c r="O1266" s="293" t="str">
        <f>TablaPOA[[#This Row],[Cod_Sub_acción_especifica]]&amp;"_"&amp;TablaPOA[[#This Row],[Tipo de agente]]</f>
        <v>K31.4.1.4_Distribuidores mayoristas, Importadores y Comercializadores</v>
      </c>
      <c r="P1266" s="254" t="s">
        <v>2852</v>
      </c>
      <c r="Q1266" s="292" t="str">
        <f>TablaPOA[[#This Row],[Cod_Sub_acción_especifica]]&amp;"_"&amp;TablaPOA[[#This Row],[Cod_Tipo_agente]]</f>
        <v>K31.4.1.4_TA4</v>
      </c>
      <c r="R1266" s="254" t="s">
        <v>2853</v>
      </c>
      <c r="S1266" s="255" t="s">
        <v>2860</v>
      </c>
      <c r="T1266" s="271" t="s">
        <v>2861</v>
      </c>
    </row>
    <row r="1267" spans="1:20" ht="25.5" x14ac:dyDescent="0.25">
      <c r="A1267" s="219" t="s">
        <v>2314</v>
      </c>
      <c r="B1267" s="227">
        <v>31</v>
      </c>
      <c r="C1267" s="227" t="s">
        <v>2691</v>
      </c>
      <c r="D1267" s="227" t="s">
        <v>2988</v>
      </c>
      <c r="E1267" s="227" t="s">
        <v>3189</v>
      </c>
      <c r="F1267" s="227" t="s">
        <v>2697</v>
      </c>
      <c r="G1267" s="227" t="s">
        <v>2497</v>
      </c>
      <c r="H1267" s="264" t="s">
        <v>3190</v>
      </c>
      <c r="I1267" s="253" t="s">
        <v>2746</v>
      </c>
      <c r="J1267" s="227" t="s">
        <v>2548</v>
      </c>
      <c r="K1267" s="264" t="s">
        <v>3132</v>
      </c>
      <c r="L1267" s="264" t="s">
        <v>2799</v>
      </c>
      <c r="M1267" s="227" t="s">
        <v>2370</v>
      </c>
      <c r="N1267" s="293"/>
      <c r="O1267" s="293" t="str">
        <f>TablaPOA[[#This Row],[Cod_Sub_acción_especifica]]&amp;"_"&amp;TablaPOA[[#This Row],[Tipo de agente]]</f>
        <v>K31.4.1.4_Distribuidores mayoristas, Importadores y Comercializadores</v>
      </c>
      <c r="P1267" s="254" t="s">
        <v>2852</v>
      </c>
      <c r="Q1267" s="292" t="str">
        <f>TablaPOA[[#This Row],[Cod_Sub_acción_especifica]]&amp;"_"&amp;TablaPOA[[#This Row],[Cod_Tipo_agente]]</f>
        <v>K31.4.1.4_TA4</v>
      </c>
      <c r="R1267" s="254" t="s">
        <v>2853</v>
      </c>
      <c r="S1267" s="255" t="s">
        <v>2862</v>
      </c>
      <c r="T1267" s="271" t="s">
        <v>2863</v>
      </c>
    </row>
    <row r="1268" spans="1:20" ht="25.5" x14ac:dyDescent="0.25">
      <c r="A1268" s="219" t="s">
        <v>2314</v>
      </c>
      <c r="B1268" s="227">
        <v>31</v>
      </c>
      <c r="C1268" s="227" t="s">
        <v>2691</v>
      </c>
      <c r="D1268" s="227" t="s">
        <v>2988</v>
      </c>
      <c r="E1268" s="227" t="s">
        <v>3189</v>
      </c>
      <c r="F1268" s="227" t="s">
        <v>2697</v>
      </c>
      <c r="G1268" s="227" t="s">
        <v>2497</v>
      </c>
      <c r="H1268" s="264" t="s">
        <v>3190</v>
      </c>
      <c r="I1268" s="253" t="s">
        <v>2746</v>
      </c>
      <c r="J1268" s="227" t="s">
        <v>2548</v>
      </c>
      <c r="K1268" s="264" t="s">
        <v>3132</v>
      </c>
      <c r="L1268" s="264" t="s">
        <v>2799</v>
      </c>
      <c r="M1268" s="227" t="s">
        <v>2370</v>
      </c>
      <c r="N1268" s="293"/>
      <c r="O1268" s="293" t="str">
        <f>TablaPOA[[#This Row],[Cod_Sub_acción_especifica]]&amp;"_"&amp;TablaPOA[[#This Row],[Tipo de agente]]</f>
        <v>K31.4.1.4_Distribuidores mayoristas, Importadores y Comercializadores</v>
      </c>
      <c r="P1268" s="254" t="s">
        <v>2852</v>
      </c>
      <c r="Q1268" s="292" t="str">
        <f>TablaPOA[[#This Row],[Cod_Sub_acción_especifica]]&amp;"_"&amp;TablaPOA[[#This Row],[Cod_Tipo_agente]]</f>
        <v>K31.4.1.4_TA4</v>
      </c>
      <c r="R1268" s="254" t="s">
        <v>2853</v>
      </c>
      <c r="S1268" s="255" t="s">
        <v>2864</v>
      </c>
      <c r="T1268" s="271" t="s">
        <v>2865</v>
      </c>
    </row>
    <row r="1269" spans="1:20" ht="25.5" x14ac:dyDescent="0.25">
      <c r="A1269" s="219" t="s">
        <v>2314</v>
      </c>
      <c r="B1269" s="227">
        <v>31</v>
      </c>
      <c r="C1269" s="227" t="s">
        <v>2691</v>
      </c>
      <c r="D1269" s="227" t="s">
        <v>2988</v>
      </c>
      <c r="E1269" s="227" t="s">
        <v>3189</v>
      </c>
      <c r="F1269" s="227" t="s">
        <v>2697</v>
      </c>
      <c r="G1269" s="227" t="s">
        <v>2497</v>
      </c>
      <c r="H1269" s="264" t="s">
        <v>3190</v>
      </c>
      <c r="I1269" s="253" t="s">
        <v>2746</v>
      </c>
      <c r="J1269" s="227" t="s">
        <v>2548</v>
      </c>
      <c r="K1269" s="264" t="s">
        <v>3132</v>
      </c>
      <c r="L1269" s="264" t="s">
        <v>2799</v>
      </c>
      <c r="M1269" s="227" t="s">
        <v>2370</v>
      </c>
      <c r="N1269" s="293"/>
      <c r="O1269" s="293" t="str">
        <f>TablaPOA[[#This Row],[Cod_Sub_acción_especifica]]&amp;"_"&amp;TablaPOA[[#This Row],[Tipo de agente]]</f>
        <v>K31.4.1.4_Distribuidores mayoristas, Importadores y Comercializadores</v>
      </c>
      <c r="P1269" s="254" t="s">
        <v>2852</v>
      </c>
      <c r="Q1269" s="292" t="str">
        <f>TablaPOA[[#This Row],[Cod_Sub_acción_especifica]]&amp;"_"&amp;TablaPOA[[#This Row],[Cod_Tipo_agente]]</f>
        <v>K31.4.1.4_TA4</v>
      </c>
      <c r="R1269" s="254" t="s">
        <v>2853</v>
      </c>
      <c r="S1269" s="255" t="s">
        <v>2866</v>
      </c>
      <c r="T1269" s="271" t="s">
        <v>2867</v>
      </c>
    </row>
    <row r="1270" spans="1:20" ht="25.5" x14ac:dyDescent="0.25">
      <c r="A1270" s="219" t="s">
        <v>2314</v>
      </c>
      <c r="B1270" s="227">
        <v>31</v>
      </c>
      <c r="C1270" s="227" t="s">
        <v>2691</v>
      </c>
      <c r="D1270" s="227" t="s">
        <v>2988</v>
      </c>
      <c r="E1270" s="227" t="s">
        <v>3189</v>
      </c>
      <c r="F1270" s="227" t="s">
        <v>2697</v>
      </c>
      <c r="G1270" s="227" t="s">
        <v>2497</v>
      </c>
      <c r="H1270" s="264" t="s">
        <v>3190</v>
      </c>
      <c r="I1270" s="253" t="s">
        <v>2746</v>
      </c>
      <c r="J1270" s="227" t="s">
        <v>2548</v>
      </c>
      <c r="K1270" s="264" t="s">
        <v>3132</v>
      </c>
      <c r="L1270" s="264" t="s">
        <v>2799</v>
      </c>
      <c r="M1270" s="227" t="s">
        <v>2370</v>
      </c>
      <c r="N1270" s="293"/>
      <c r="O1270" s="293" t="str">
        <f>TablaPOA[[#This Row],[Cod_Sub_acción_especifica]]&amp;"_"&amp;TablaPOA[[#This Row],[Tipo de agente]]</f>
        <v>K31.4.1.4_Distribuidores mayoristas, Importadores y Comercializadores</v>
      </c>
      <c r="P1270" s="254" t="s">
        <v>2852</v>
      </c>
      <c r="Q1270" s="292" t="str">
        <f>TablaPOA[[#This Row],[Cod_Sub_acción_especifica]]&amp;"_"&amp;TablaPOA[[#This Row],[Cod_Tipo_agente]]</f>
        <v>K31.4.1.4_TA4</v>
      </c>
      <c r="R1270" s="254" t="s">
        <v>2853</v>
      </c>
      <c r="S1270" s="255" t="s">
        <v>2868</v>
      </c>
      <c r="T1270" s="271" t="s">
        <v>2869</v>
      </c>
    </row>
    <row r="1271" spans="1:20" ht="25.5" x14ac:dyDescent="0.25">
      <c r="A1271" s="219" t="s">
        <v>2314</v>
      </c>
      <c r="B1271" s="227">
        <v>31</v>
      </c>
      <c r="C1271" s="227" t="s">
        <v>2691</v>
      </c>
      <c r="D1271" s="227" t="s">
        <v>2988</v>
      </c>
      <c r="E1271" s="227" t="s">
        <v>3189</v>
      </c>
      <c r="F1271" s="227" t="s">
        <v>2697</v>
      </c>
      <c r="G1271" s="227" t="s">
        <v>2497</v>
      </c>
      <c r="H1271" s="264" t="s">
        <v>3190</v>
      </c>
      <c r="I1271" s="253" t="s">
        <v>2746</v>
      </c>
      <c r="J1271" s="227" t="s">
        <v>2548</v>
      </c>
      <c r="K1271" s="264" t="s">
        <v>3132</v>
      </c>
      <c r="L1271" s="264" t="s">
        <v>2799</v>
      </c>
      <c r="M1271" s="227" t="s">
        <v>2370</v>
      </c>
      <c r="N1271" s="293"/>
      <c r="O1271" s="293" t="str">
        <f>TablaPOA[[#This Row],[Cod_Sub_acción_especifica]]&amp;"_"&amp;TablaPOA[[#This Row],[Tipo de agente]]</f>
        <v>K31.4.1.4_Distribuidores mayoristas, Importadores y Comercializadores</v>
      </c>
      <c r="P1271" s="254" t="s">
        <v>2852</v>
      </c>
      <c r="Q1271" s="292" t="str">
        <f>TablaPOA[[#This Row],[Cod_Sub_acción_especifica]]&amp;"_"&amp;TablaPOA[[#This Row],[Cod_Tipo_agente]]</f>
        <v>K31.4.1.4_TA4</v>
      </c>
      <c r="R1271" s="254" t="s">
        <v>2853</v>
      </c>
      <c r="S1271" s="255" t="s">
        <v>2870</v>
      </c>
      <c r="T1271" s="271" t="s">
        <v>2871</v>
      </c>
    </row>
    <row r="1272" spans="1:20" ht="25.5" x14ac:dyDescent="0.25">
      <c r="A1272" s="219" t="s">
        <v>2314</v>
      </c>
      <c r="B1272" s="227">
        <v>31</v>
      </c>
      <c r="C1272" s="227" t="s">
        <v>2691</v>
      </c>
      <c r="D1272" s="227" t="s">
        <v>2988</v>
      </c>
      <c r="E1272" s="227" t="s">
        <v>3189</v>
      </c>
      <c r="F1272" s="227" t="s">
        <v>2697</v>
      </c>
      <c r="G1272" s="227" t="s">
        <v>2497</v>
      </c>
      <c r="H1272" s="264" t="s">
        <v>3190</v>
      </c>
      <c r="I1272" s="253" t="s">
        <v>2746</v>
      </c>
      <c r="J1272" s="227" t="s">
        <v>2548</v>
      </c>
      <c r="K1272" s="264" t="s">
        <v>3132</v>
      </c>
      <c r="L1272" s="264" t="s">
        <v>2799</v>
      </c>
      <c r="M1272" s="227" t="s">
        <v>2370</v>
      </c>
      <c r="N1272" s="293"/>
      <c r="O1272" s="293" t="str">
        <f>TablaPOA[[#This Row],[Cod_Sub_acción_especifica]]&amp;"_"&amp;TablaPOA[[#This Row],[Tipo de agente]]</f>
        <v>K31.4.1.4_Distribuidores mayoristas, Importadores y Comercializadores</v>
      </c>
      <c r="P1272" s="254" t="s">
        <v>2852</v>
      </c>
      <c r="Q1272" s="292" t="str">
        <f>TablaPOA[[#This Row],[Cod_Sub_acción_especifica]]&amp;"_"&amp;TablaPOA[[#This Row],[Cod_Tipo_agente]]</f>
        <v>K31.4.1.4_TA4</v>
      </c>
      <c r="R1272" s="254" t="s">
        <v>2853</v>
      </c>
      <c r="S1272" s="255" t="s">
        <v>2872</v>
      </c>
      <c r="T1272" s="271" t="s">
        <v>2873</v>
      </c>
    </row>
    <row r="1273" spans="1:20" ht="25.5" x14ac:dyDescent="0.25">
      <c r="A1273" s="219" t="s">
        <v>2314</v>
      </c>
      <c r="B1273" s="227">
        <v>31</v>
      </c>
      <c r="C1273" s="227" t="s">
        <v>2691</v>
      </c>
      <c r="D1273" s="227" t="s">
        <v>2988</v>
      </c>
      <c r="E1273" s="227" t="s">
        <v>3189</v>
      </c>
      <c r="F1273" s="227" t="s">
        <v>2697</v>
      </c>
      <c r="G1273" s="227" t="s">
        <v>2497</v>
      </c>
      <c r="H1273" s="264" t="s">
        <v>3190</v>
      </c>
      <c r="I1273" s="253" t="s">
        <v>2746</v>
      </c>
      <c r="J1273" s="227" t="s">
        <v>2548</v>
      </c>
      <c r="K1273" s="264" t="s">
        <v>3132</v>
      </c>
      <c r="L1273" s="264" t="s">
        <v>2799</v>
      </c>
      <c r="M1273" s="227" t="s">
        <v>2370</v>
      </c>
      <c r="N1273" s="293"/>
      <c r="O1273" s="293" t="str">
        <f>TablaPOA[[#This Row],[Cod_Sub_acción_especifica]]&amp;"_"&amp;TablaPOA[[#This Row],[Tipo de agente]]</f>
        <v>K31.4.1.4_Distribuidores mayoristas, Importadores y Comercializadores</v>
      </c>
      <c r="P1273" s="254" t="s">
        <v>2852</v>
      </c>
      <c r="Q1273" s="292" t="str">
        <f>TablaPOA[[#This Row],[Cod_Sub_acción_especifica]]&amp;"_"&amp;TablaPOA[[#This Row],[Cod_Tipo_agente]]</f>
        <v>K31.4.1.4_TA4</v>
      </c>
      <c r="R1273" s="254" t="s">
        <v>2853</v>
      </c>
      <c r="S1273" s="255" t="s">
        <v>2874</v>
      </c>
      <c r="T1273" s="271" t="s">
        <v>2875</v>
      </c>
    </row>
    <row r="1274" spans="1:20" ht="25.5" x14ac:dyDescent="0.25">
      <c r="A1274" s="219" t="s">
        <v>2314</v>
      </c>
      <c r="B1274" s="227">
        <v>31</v>
      </c>
      <c r="C1274" s="227" t="s">
        <v>2691</v>
      </c>
      <c r="D1274" s="227" t="s">
        <v>2988</v>
      </c>
      <c r="E1274" s="227" t="s">
        <v>3189</v>
      </c>
      <c r="F1274" s="227" t="s">
        <v>2697</v>
      </c>
      <c r="G1274" s="227" t="s">
        <v>2497</v>
      </c>
      <c r="H1274" s="264" t="s">
        <v>3190</v>
      </c>
      <c r="I1274" s="253" t="s">
        <v>2746</v>
      </c>
      <c r="J1274" s="227" t="s">
        <v>2548</v>
      </c>
      <c r="K1274" s="264" t="s">
        <v>3132</v>
      </c>
      <c r="L1274" s="264" t="s">
        <v>2799</v>
      </c>
      <c r="M1274" s="227" t="s">
        <v>2370</v>
      </c>
      <c r="N1274" s="293"/>
      <c r="O1274" s="293" t="str">
        <f>TablaPOA[[#This Row],[Cod_Sub_acción_especifica]]&amp;"_"&amp;TablaPOA[[#This Row],[Tipo de agente]]</f>
        <v>K31.4.1.4_Envasadoras de GLP</v>
      </c>
      <c r="P1274" s="254" t="s">
        <v>2876</v>
      </c>
      <c r="Q1274" s="292" t="str">
        <f>TablaPOA[[#This Row],[Cod_Sub_acción_especifica]]&amp;"_"&amp;TablaPOA[[#This Row],[Cod_Tipo_agente]]</f>
        <v>K31.4.1.4_TA5</v>
      </c>
      <c r="R1274" s="254" t="s">
        <v>2877</v>
      </c>
      <c r="S1274" s="255" t="s">
        <v>2878</v>
      </c>
      <c r="T1274" s="271" t="s">
        <v>2879</v>
      </c>
    </row>
    <row r="1275" spans="1:20" ht="25.5" x14ac:dyDescent="0.25">
      <c r="A1275" s="219" t="s">
        <v>2314</v>
      </c>
      <c r="B1275" s="227">
        <v>31</v>
      </c>
      <c r="C1275" s="227" t="s">
        <v>2691</v>
      </c>
      <c r="D1275" s="227" t="s">
        <v>2988</v>
      </c>
      <c r="E1275" s="227" t="s">
        <v>3189</v>
      </c>
      <c r="F1275" s="227" t="s">
        <v>2697</v>
      </c>
      <c r="G1275" s="227" t="s">
        <v>2497</v>
      </c>
      <c r="H1275" s="264" t="s">
        <v>3190</v>
      </c>
      <c r="I1275" s="253" t="s">
        <v>2746</v>
      </c>
      <c r="J1275" s="227" t="s">
        <v>2548</v>
      </c>
      <c r="K1275" s="264" t="s">
        <v>3132</v>
      </c>
      <c r="L1275" s="264" t="s">
        <v>2799</v>
      </c>
      <c r="M1275" s="227" t="s">
        <v>2370</v>
      </c>
      <c r="N1275" s="293"/>
      <c r="O1275" s="293" t="str">
        <f>TablaPOA[[#This Row],[Cod_Sub_acción_especifica]]&amp;"_"&amp;TablaPOA[[#This Row],[Tipo de agente]]</f>
        <v>K31.4.1.4_Envasadoras de GLP</v>
      </c>
      <c r="P1275" s="254" t="s">
        <v>2876</v>
      </c>
      <c r="Q1275" s="292" t="str">
        <f>TablaPOA[[#This Row],[Cod_Sub_acción_especifica]]&amp;"_"&amp;TablaPOA[[#This Row],[Cod_Tipo_agente]]</f>
        <v>K31.4.1.4_TA5</v>
      </c>
      <c r="R1275" s="254" t="s">
        <v>2877</v>
      </c>
      <c r="S1275" s="255" t="s">
        <v>2880</v>
      </c>
      <c r="T1275" s="271" t="s">
        <v>2881</v>
      </c>
    </row>
    <row r="1276" spans="1:20" ht="25.5" x14ac:dyDescent="0.25">
      <c r="A1276" s="219" t="s">
        <v>2314</v>
      </c>
      <c r="B1276" s="227">
        <v>31</v>
      </c>
      <c r="C1276" s="227" t="s">
        <v>2691</v>
      </c>
      <c r="D1276" s="227" t="s">
        <v>2988</v>
      </c>
      <c r="E1276" s="227" t="s">
        <v>3189</v>
      </c>
      <c r="F1276" s="227" t="s">
        <v>2697</v>
      </c>
      <c r="G1276" s="227" t="s">
        <v>2497</v>
      </c>
      <c r="H1276" s="264" t="s">
        <v>3190</v>
      </c>
      <c r="I1276" s="253" t="s">
        <v>2746</v>
      </c>
      <c r="J1276" s="227" t="s">
        <v>2548</v>
      </c>
      <c r="K1276" s="264" t="s">
        <v>3132</v>
      </c>
      <c r="L1276" s="264" t="s">
        <v>2799</v>
      </c>
      <c r="M1276" s="227" t="s">
        <v>2370</v>
      </c>
      <c r="N1276" s="293"/>
      <c r="O1276" s="293" t="str">
        <f>TablaPOA[[#This Row],[Cod_Sub_acción_especifica]]&amp;"_"&amp;TablaPOA[[#This Row],[Tipo de agente]]</f>
        <v>K31.4.1.4_EVP combustibles de uso automotor</v>
      </c>
      <c r="P1276" s="254" t="s">
        <v>2882</v>
      </c>
      <c r="Q1276" s="292" t="str">
        <f>TablaPOA[[#This Row],[Cod_Sub_acción_especifica]]&amp;"_"&amp;TablaPOA[[#This Row],[Cod_Tipo_agente]]</f>
        <v>K31.4.1.4_TA6</v>
      </c>
      <c r="R1276" s="254" t="s">
        <v>2883</v>
      </c>
      <c r="S1276" s="255" t="s">
        <v>2884</v>
      </c>
      <c r="T1276" s="271" t="s">
        <v>2885</v>
      </c>
    </row>
    <row r="1277" spans="1:20" ht="25.5" x14ac:dyDescent="0.25">
      <c r="A1277" s="219" t="s">
        <v>2314</v>
      </c>
      <c r="B1277" s="227">
        <v>31</v>
      </c>
      <c r="C1277" s="227" t="s">
        <v>2691</v>
      </c>
      <c r="D1277" s="227" t="s">
        <v>2988</v>
      </c>
      <c r="E1277" s="227" t="s">
        <v>3189</v>
      </c>
      <c r="F1277" s="227" t="s">
        <v>2697</v>
      </c>
      <c r="G1277" s="227" t="s">
        <v>2497</v>
      </c>
      <c r="H1277" s="264" t="s">
        <v>3190</v>
      </c>
      <c r="I1277" s="253" t="s">
        <v>2746</v>
      </c>
      <c r="J1277" s="227" t="s">
        <v>2548</v>
      </c>
      <c r="K1277" s="264" t="s">
        <v>3132</v>
      </c>
      <c r="L1277" s="264" t="s">
        <v>2799</v>
      </c>
      <c r="M1277" s="227" t="s">
        <v>2370</v>
      </c>
      <c r="N1277" s="293"/>
      <c r="O1277" s="293" t="str">
        <f>TablaPOA[[#This Row],[Cod_Sub_acción_especifica]]&amp;"_"&amp;TablaPOA[[#This Row],[Tipo de agente]]</f>
        <v>K31.4.1.4_EVP combustibles de uso automotor</v>
      </c>
      <c r="P1277" s="254" t="s">
        <v>2882</v>
      </c>
      <c r="Q1277" s="292" t="str">
        <f>TablaPOA[[#This Row],[Cod_Sub_acción_especifica]]&amp;"_"&amp;TablaPOA[[#This Row],[Cod_Tipo_agente]]</f>
        <v>K31.4.1.4_TA6</v>
      </c>
      <c r="R1277" s="254" t="s">
        <v>2883</v>
      </c>
      <c r="S1277" s="255" t="s">
        <v>2886</v>
      </c>
      <c r="T1277" s="271" t="s">
        <v>2887</v>
      </c>
    </row>
    <row r="1278" spans="1:20" ht="25.5" x14ac:dyDescent="0.25">
      <c r="A1278" s="219" t="s">
        <v>2314</v>
      </c>
      <c r="B1278" s="227">
        <v>31</v>
      </c>
      <c r="C1278" s="227" t="s">
        <v>2691</v>
      </c>
      <c r="D1278" s="227" t="s">
        <v>2988</v>
      </c>
      <c r="E1278" s="227" t="s">
        <v>3189</v>
      </c>
      <c r="F1278" s="227" t="s">
        <v>2697</v>
      </c>
      <c r="G1278" s="227" t="s">
        <v>2497</v>
      </c>
      <c r="H1278" s="264" t="s">
        <v>3190</v>
      </c>
      <c r="I1278" s="253" t="s">
        <v>2746</v>
      </c>
      <c r="J1278" s="227" t="s">
        <v>2548</v>
      </c>
      <c r="K1278" s="264" t="s">
        <v>3132</v>
      </c>
      <c r="L1278" s="264" t="s">
        <v>2799</v>
      </c>
      <c r="M1278" s="227" t="s">
        <v>2370</v>
      </c>
      <c r="N1278" s="293"/>
      <c r="O1278" s="293" t="str">
        <f>TablaPOA[[#This Row],[Cod_Sub_acción_especifica]]&amp;"_"&amp;TablaPOA[[#This Row],[Tipo de agente]]</f>
        <v>K31.4.1.4_EVP combustibles de uso automotor</v>
      </c>
      <c r="P1278" s="254" t="s">
        <v>2882</v>
      </c>
      <c r="Q1278" s="292" t="str">
        <f>TablaPOA[[#This Row],[Cod_Sub_acción_especifica]]&amp;"_"&amp;TablaPOA[[#This Row],[Cod_Tipo_agente]]</f>
        <v>K31.4.1.4_TA6</v>
      </c>
      <c r="R1278" s="254" t="s">
        <v>2883</v>
      </c>
      <c r="S1278" s="255" t="s">
        <v>2888</v>
      </c>
      <c r="T1278" s="271" t="s">
        <v>2889</v>
      </c>
    </row>
    <row r="1279" spans="1:20" ht="25.5" x14ac:dyDescent="0.25">
      <c r="A1279" s="219" t="s">
        <v>2314</v>
      </c>
      <c r="B1279" s="227">
        <v>31</v>
      </c>
      <c r="C1279" s="227" t="s">
        <v>2691</v>
      </c>
      <c r="D1279" s="227" t="s">
        <v>2988</v>
      </c>
      <c r="E1279" s="227" t="s">
        <v>3189</v>
      </c>
      <c r="F1279" s="227" t="s">
        <v>2697</v>
      </c>
      <c r="G1279" s="227" t="s">
        <v>2497</v>
      </c>
      <c r="H1279" s="264" t="s">
        <v>3190</v>
      </c>
      <c r="I1279" s="253" t="s">
        <v>2746</v>
      </c>
      <c r="J1279" s="227" t="s">
        <v>2548</v>
      </c>
      <c r="K1279" s="264" t="s">
        <v>3132</v>
      </c>
      <c r="L1279" s="264" t="s">
        <v>2799</v>
      </c>
      <c r="M1279" s="227" t="s">
        <v>2370</v>
      </c>
      <c r="N1279" s="293"/>
      <c r="O1279" s="293" t="str">
        <f>TablaPOA[[#This Row],[Cod_Sub_acción_especifica]]&amp;"_"&amp;TablaPOA[[#This Row],[Tipo de agente]]</f>
        <v>K31.4.1.4_EVP combustibles de uso automotor</v>
      </c>
      <c r="P1279" s="254" t="s">
        <v>2882</v>
      </c>
      <c r="Q1279" s="292" t="str">
        <f>TablaPOA[[#This Row],[Cod_Sub_acción_especifica]]&amp;"_"&amp;TablaPOA[[#This Row],[Cod_Tipo_agente]]</f>
        <v>K31.4.1.4_TA6</v>
      </c>
      <c r="R1279" s="254" t="s">
        <v>2883</v>
      </c>
      <c r="S1279" s="255" t="s">
        <v>2890</v>
      </c>
      <c r="T1279" s="271" t="s">
        <v>2891</v>
      </c>
    </row>
    <row r="1280" spans="1:20" ht="25.5" x14ac:dyDescent="0.25">
      <c r="A1280" s="219" t="s">
        <v>2314</v>
      </c>
      <c r="B1280" s="227">
        <v>31</v>
      </c>
      <c r="C1280" s="227" t="s">
        <v>2691</v>
      </c>
      <c r="D1280" s="227" t="s">
        <v>2988</v>
      </c>
      <c r="E1280" s="227" t="s">
        <v>3189</v>
      </c>
      <c r="F1280" s="227" t="s">
        <v>2697</v>
      </c>
      <c r="G1280" s="227" t="s">
        <v>2497</v>
      </c>
      <c r="H1280" s="264" t="s">
        <v>3190</v>
      </c>
      <c r="I1280" s="253" t="s">
        <v>2746</v>
      </c>
      <c r="J1280" s="227" t="s">
        <v>2548</v>
      </c>
      <c r="K1280" s="264" t="s">
        <v>3132</v>
      </c>
      <c r="L1280" s="264" t="s">
        <v>2799</v>
      </c>
      <c r="M1280" s="227" t="s">
        <v>2370</v>
      </c>
      <c r="N1280" s="293"/>
      <c r="O1280" s="293" t="str">
        <f>TablaPOA[[#This Row],[Cod_Sub_acción_especifica]]&amp;"_"&amp;TablaPOA[[#This Row],[Tipo de agente]]</f>
        <v>K31.4.1.4_EVP combustibles de uso automotor</v>
      </c>
      <c r="P1280" s="254" t="s">
        <v>2882</v>
      </c>
      <c r="Q1280" s="292" t="str">
        <f>TablaPOA[[#This Row],[Cod_Sub_acción_especifica]]&amp;"_"&amp;TablaPOA[[#This Row],[Cod_Tipo_agente]]</f>
        <v>K31.4.1.4_TA6</v>
      </c>
      <c r="R1280" s="254" t="s">
        <v>2883</v>
      </c>
      <c r="S1280" s="255" t="s">
        <v>2892</v>
      </c>
      <c r="T1280" s="271" t="s">
        <v>2893</v>
      </c>
    </row>
    <row r="1281" spans="1:20" ht="25.5" x14ac:dyDescent="0.25">
      <c r="A1281" s="219" t="s">
        <v>2314</v>
      </c>
      <c r="B1281" s="227">
        <v>31</v>
      </c>
      <c r="C1281" s="227" t="s">
        <v>2691</v>
      </c>
      <c r="D1281" s="227" t="s">
        <v>2988</v>
      </c>
      <c r="E1281" s="227" t="s">
        <v>3189</v>
      </c>
      <c r="F1281" s="227" t="s">
        <v>2697</v>
      </c>
      <c r="G1281" s="227" t="s">
        <v>2497</v>
      </c>
      <c r="H1281" s="264" t="s">
        <v>3190</v>
      </c>
      <c r="I1281" s="253" t="s">
        <v>2746</v>
      </c>
      <c r="J1281" s="227" t="s">
        <v>2548</v>
      </c>
      <c r="K1281" s="264" t="s">
        <v>3132</v>
      </c>
      <c r="L1281" s="264" t="s">
        <v>2799</v>
      </c>
      <c r="M1281" s="227" t="s">
        <v>2370</v>
      </c>
      <c r="N1281" s="293"/>
      <c r="O1281" s="293" t="str">
        <f>TablaPOA[[#This Row],[Cod_Sub_acción_especifica]]&amp;"_"&amp;TablaPOA[[#This Row],[Tipo de agente]]</f>
        <v>K31.4.1.4_EVP combustibles de uso automotor</v>
      </c>
      <c r="P1281" s="254" t="s">
        <v>2882</v>
      </c>
      <c r="Q1281" s="292" t="str">
        <f>TablaPOA[[#This Row],[Cod_Sub_acción_especifica]]&amp;"_"&amp;TablaPOA[[#This Row],[Cod_Tipo_agente]]</f>
        <v>K31.4.1.4_TA6</v>
      </c>
      <c r="R1281" s="254" t="s">
        <v>2883</v>
      </c>
      <c r="S1281" s="255" t="s">
        <v>2894</v>
      </c>
      <c r="T1281" s="271" t="s">
        <v>2895</v>
      </c>
    </row>
    <row r="1282" spans="1:20" ht="25.5" x14ac:dyDescent="0.25">
      <c r="A1282" s="219" t="s">
        <v>2314</v>
      </c>
      <c r="B1282" s="227">
        <v>31</v>
      </c>
      <c r="C1282" s="227" t="s">
        <v>2691</v>
      </c>
      <c r="D1282" s="227" t="s">
        <v>2988</v>
      </c>
      <c r="E1282" s="227" t="s">
        <v>3189</v>
      </c>
      <c r="F1282" s="227" t="s">
        <v>2697</v>
      </c>
      <c r="G1282" s="227" t="s">
        <v>2497</v>
      </c>
      <c r="H1282" s="264" t="s">
        <v>3190</v>
      </c>
      <c r="I1282" s="253" t="s">
        <v>2746</v>
      </c>
      <c r="J1282" s="227" t="s">
        <v>2548</v>
      </c>
      <c r="K1282" s="264" t="s">
        <v>3132</v>
      </c>
      <c r="L1282" s="264" t="s">
        <v>2799</v>
      </c>
      <c r="M1282" s="227" t="s">
        <v>2370</v>
      </c>
      <c r="N1282" s="293"/>
      <c r="O1282" s="293" t="str">
        <f>TablaPOA[[#This Row],[Cod_Sub_acción_especifica]]&amp;"_"&amp;TablaPOA[[#This Row],[Tipo de agente]]</f>
        <v>K31.4.1.4_EVP combustibles de uso automotor</v>
      </c>
      <c r="P1282" s="254" t="s">
        <v>2882</v>
      </c>
      <c r="Q1282" s="292" t="str">
        <f>TablaPOA[[#This Row],[Cod_Sub_acción_especifica]]&amp;"_"&amp;TablaPOA[[#This Row],[Cod_Tipo_agente]]</f>
        <v>K31.4.1.4_TA6</v>
      </c>
      <c r="R1282" s="254" t="s">
        <v>2883</v>
      </c>
      <c r="S1282" s="255" t="s">
        <v>2896</v>
      </c>
      <c r="T1282" s="271" t="s">
        <v>2897</v>
      </c>
    </row>
    <row r="1283" spans="1:20" ht="25.5" x14ac:dyDescent="0.25">
      <c r="A1283" s="219" t="s">
        <v>2314</v>
      </c>
      <c r="B1283" s="227">
        <v>31</v>
      </c>
      <c r="C1283" s="227" t="s">
        <v>2691</v>
      </c>
      <c r="D1283" s="227" t="s">
        <v>2988</v>
      </c>
      <c r="E1283" s="227" t="s">
        <v>3189</v>
      </c>
      <c r="F1283" s="227" t="s">
        <v>2697</v>
      </c>
      <c r="G1283" s="227" t="s">
        <v>2497</v>
      </c>
      <c r="H1283" s="264" t="s">
        <v>3190</v>
      </c>
      <c r="I1283" s="253" t="s">
        <v>2746</v>
      </c>
      <c r="J1283" s="227" t="s">
        <v>2548</v>
      </c>
      <c r="K1283" s="264" t="s">
        <v>3132</v>
      </c>
      <c r="L1283" s="264" t="s">
        <v>2799</v>
      </c>
      <c r="M1283" s="227" t="s">
        <v>2370</v>
      </c>
      <c r="N1283" s="293"/>
      <c r="O1283" s="293" t="str">
        <f>TablaPOA[[#This Row],[Cod_Sub_acción_especifica]]&amp;"_"&amp;TablaPOA[[#This Row],[Tipo de agente]]</f>
        <v>K31.4.1.4_EVP combustibles de uso automotor</v>
      </c>
      <c r="P1283" s="254" t="s">
        <v>2882</v>
      </c>
      <c r="Q1283" s="292" t="str">
        <f>TablaPOA[[#This Row],[Cod_Sub_acción_especifica]]&amp;"_"&amp;TablaPOA[[#This Row],[Cod_Tipo_agente]]</f>
        <v>K31.4.1.4_TA6</v>
      </c>
      <c r="R1283" s="254" t="s">
        <v>2883</v>
      </c>
      <c r="S1283" s="255" t="s">
        <v>2898</v>
      </c>
      <c r="T1283" s="271" t="s">
        <v>2899</v>
      </c>
    </row>
    <row r="1284" spans="1:20" ht="25.5" x14ac:dyDescent="0.25">
      <c r="A1284" s="219" t="s">
        <v>2314</v>
      </c>
      <c r="B1284" s="227">
        <v>31</v>
      </c>
      <c r="C1284" s="227" t="s">
        <v>2691</v>
      </c>
      <c r="D1284" s="227" t="s">
        <v>2988</v>
      </c>
      <c r="E1284" s="227" t="s">
        <v>3189</v>
      </c>
      <c r="F1284" s="227" t="s">
        <v>2697</v>
      </c>
      <c r="G1284" s="227" t="s">
        <v>2497</v>
      </c>
      <c r="H1284" s="264" t="s">
        <v>3190</v>
      </c>
      <c r="I1284" s="253" t="s">
        <v>2746</v>
      </c>
      <c r="J1284" s="227" t="s">
        <v>2548</v>
      </c>
      <c r="K1284" s="264" t="s">
        <v>3132</v>
      </c>
      <c r="L1284" s="264" t="s">
        <v>2799</v>
      </c>
      <c r="M1284" s="227" t="s">
        <v>2370</v>
      </c>
      <c r="N1284" s="293"/>
      <c r="O1284" s="293" t="str">
        <f>TablaPOA[[#This Row],[Cod_Sub_acción_especifica]]&amp;"_"&amp;TablaPOA[[#This Row],[Tipo de agente]]</f>
        <v>K31.4.1.4_EVP combustibles de uso automotor</v>
      </c>
      <c r="P1284" s="254" t="s">
        <v>2882</v>
      </c>
      <c r="Q1284" s="292" t="str">
        <f>TablaPOA[[#This Row],[Cod_Sub_acción_especifica]]&amp;"_"&amp;TablaPOA[[#This Row],[Cod_Tipo_agente]]</f>
        <v>K31.4.1.4_TA6</v>
      </c>
      <c r="R1284" s="254" t="s">
        <v>2883</v>
      </c>
      <c r="S1284" s="255" t="s">
        <v>2900</v>
      </c>
      <c r="T1284" s="271" t="s">
        <v>2901</v>
      </c>
    </row>
    <row r="1285" spans="1:20" ht="25.5" x14ac:dyDescent="0.25">
      <c r="A1285" s="219" t="s">
        <v>2314</v>
      </c>
      <c r="B1285" s="227">
        <v>31</v>
      </c>
      <c r="C1285" s="227" t="s">
        <v>2691</v>
      </c>
      <c r="D1285" s="227" t="s">
        <v>2988</v>
      </c>
      <c r="E1285" s="227" t="s">
        <v>3189</v>
      </c>
      <c r="F1285" s="227" t="s">
        <v>2697</v>
      </c>
      <c r="G1285" s="227" t="s">
        <v>2497</v>
      </c>
      <c r="H1285" s="264" t="s">
        <v>3190</v>
      </c>
      <c r="I1285" s="253" t="s">
        <v>2746</v>
      </c>
      <c r="J1285" s="227" t="s">
        <v>2548</v>
      </c>
      <c r="K1285" s="264" t="s">
        <v>3132</v>
      </c>
      <c r="L1285" s="264" t="s">
        <v>2799</v>
      </c>
      <c r="M1285" s="227" t="s">
        <v>2370</v>
      </c>
      <c r="N1285" s="293"/>
      <c r="O1285" s="293" t="str">
        <f>TablaPOA[[#This Row],[Cod_Sub_acción_especifica]]&amp;"_"&amp;TablaPOA[[#This Row],[Tipo de agente]]</f>
        <v>K31.4.1.4_Locales de venta de GLP</v>
      </c>
      <c r="P1285" s="254" t="s">
        <v>2912</v>
      </c>
      <c r="Q1285" s="292" t="str">
        <f>TablaPOA[[#This Row],[Cod_Sub_acción_especifica]]&amp;"_"&amp;TablaPOA[[#This Row],[Cod_Tipo_agente]]</f>
        <v>K31.4.1.4_TA8</v>
      </c>
      <c r="R1285" s="254" t="s">
        <v>2913</v>
      </c>
      <c r="S1285" s="255" t="s">
        <v>2914</v>
      </c>
      <c r="T1285" s="271" t="s">
        <v>2915</v>
      </c>
    </row>
    <row r="1286" spans="1:20" ht="25.5" x14ac:dyDescent="0.25">
      <c r="A1286" s="219" t="s">
        <v>2314</v>
      </c>
      <c r="B1286" s="227">
        <v>31</v>
      </c>
      <c r="C1286" s="227" t="s">
        <v>2691</v>
      </c>
      <c r="D1286" s="227" t="s">
        <v>2988</v>
      </c>
      <c r="E1286" s="227" t="s">
        <v>3189</v>
      </c>
      <c r="F1286" s="227" t="s">
        <v>2697</v>
      </c>
      <c r="G1286" s="227" t="s">
        <v>2497</v>
      </c>
      <c r="H1286" s="264" t="s">
        <v>3190</v>
      </c>
      <c r="I1286" s="253" t="s">
        <v>2746</v>
      </c>
      <c r="J1286" s="227" t="s">
        <v>2548</v>
      </c>
      <c r="K1286" s="264" t="s">
        <v>3132</v>
      </c>
      <c r="L1286" s="264" t="s">
        <v>2799</v>
      </c>
      <c r="M1286" s="227" t="s">
        <v>2370</v>
      </c>
      <c r="N1286" s="293"/>
      <c r="O1286" s="293" t="str">
        <f>TablaPOA[[#This Row],[Cod_Sub_acción_especifica]]&amp;"_"&amp;TablaPOA[[#This Row],[Tipo de agente]]</f>
        <v>K31.4.1.4_Locales de venta de GLP</v>
      </c>
      <c r="P1286" s="254" t="s">
        <v>2912</v>
      </c>
      <c r="Q1286" s="292" t="str">
        <f>TablaPOA[[#This Row],[Cod_Sub_acción_especifica]]&amp;"_"&amp;TablaPOA[[#This Row],[Cod_Tipo_agente]]</f>
        <v>K31.4.1.4_TA8</v>
      </c>
      <c r="R1286" s="254" t="s">
        <v>2913</v>
      </c>
      <c r="S1286" s="255" t="s">
        <v>2916</v>
      </c>
      <c r="T1286" s="271" t="s">
        <v>2917</v>
      </c>
    </row>
    <row r="1287" spans="1:20" ht="25.5" x14ac:dyDescent="0.25">
      <c r="A1287" s="219" t="s">
        <v>2314</v>
      </c>
      <c r="B1287" s="227">
        <v>31</v>
      </c>
      <c r="C1287" s="227" t="s">
        <v>2691</v>
      </c>
      <c r="D1287" s="227" t="s">
        <v>2988</v>
      </c>
      <c r="E1287" s="227" t="s">
        <v>3189</v>
      </c>
      <c r="F1287" s="227" t="s">
        <v>2697</v>
      </c>
      <c r="G1287" s="227" t="s">
        <v>2497</v>
      </c>
      <c r="H1287" s="264" t="s">
        <v>3190</v>
      </c>
      <c r="I1287" s="253" t="s">
        <v>2746</v>
      </c>
      <c r="J1287" s="227" t="s">
        <v>2548</v>
      </c>
      <c r="K1287" s="264" t="s">
        <v>3132</v>
      </c>
      <c r="L1287" s="264" t="s">
        <v>2799</v>
      </c>
      <c r="M1287" s="227" t="s">
        <v>2370</v>
      </c>
      <c r="N1287" s="293"/>
      <c r="O1287" s="293" t="str">
        <f>TablaPOA[[#This Row],[Cod_Sub_acción_especifica]]&amp;"_"&amp;TablaPOA[[#This Row],[Tipo de agente]]</f>
        <v>K31.4.1.4_Medios de transporte</v>
      </c>
      <c r="P1287" s="254" t="s">
        <v>2918</v>
      </c>
      <c r="Q1287" s="292" t="str">
        <f>TablaPOA[[#This Row],[Cod_Sub_acción_especifica]]&amp;"_"&amp;TablaPOA[[#This Row],[Cod_Tipo_agente]]</f>
        <v>K31.4.1.4_TA9</v>
      </c>
      <c r="R1287" s="254" t="s">
        <v>2919</v>
      </c>
      <c r="S1287" s="255" t="s">
        <v>2920</v>
      </c>
      <c r="T1287" s="271" t="s">
        <v>2921</v>
      </c>
    </row>
    <row r="1288" spans="1:20" ht="25.5" x14ac:dyDescent="0.25">
      <c r="A1288" s="219" t="s">
        <v>2314</v>
      </c>
      <c r="B1288" s="227">
        <v>31</v>
      </c>
      <c r="C1288" s="227" t="s">
        <v>2691</v>
      </c>
      <c r="D1288" s="227" t="s">
        <v>2988</v>
      </c>
      <c r="E1288" s="227" t="s">
        <v>3189</v>
      </c>
      <c r="F1288" s="227" t="s">
        <v>2697</v>
      </c>
      <c r="G1288" s="227" t="s">
        <v>2497</v>
      </c>
      <c r="H1288" s="264" t="s">
        <v>3190</v>
      </c>
      <c r="I1288" s="253" t="s">
        <v>2746</v>
      </c>
      <c r="J1288" s="227" t="s">
        <v>2548</v>
      </c>
      <c r="K1288" s="264" t="s">
        <v>3132</v>
      </c>
      <c r="L1288" s="264" t="s">
        <v>2799</v>
      </c>
      <c r="M1288" s="227" t="s">
        <v>2370</v>
      </c>
      <c r="N1288" s="293"/>
      <c r="O1288" s="293" t="str">
        <f>TablaPOA[[#This Row],[Cod_Sub_acción_especifica]]&amp;"_"&amp;TablaPOA[[#This Row],[Tipo de agente]]</f>
        <v>K31.4.1.4_Medios de transporte</v>
      </c>
      <c r="P1288" s="254" t="s">
        <v>2918</v>
      </c>
      <c r="Q1288" s="292" t="str">
        <f>TablaPOA[[#This Row],[Cod_Sub_acción_especifica]]&amp;"_"&amp;TablaPOA[[#This Row],[Cod_Tipo_agente]]</f>
        <v>K31.4.1.4_TA9</v>
      </c>
      <c r="R1288" s="254" t="s">
        <v>2919</v>
      </c>
      <c r="S1288" s="255" t="s">
        <v>2922</v>
      </c>
      <c r="T1288" s="271" t="s">
        <v>2923</v>
      </c>
    </row>
    <row r="1289" spans="1:20" ht="25.5" x14ac:dyDescent="0.25">
      <c r="A1289" s="219" t="s">
        <v>2314</v>
      </c>
      <c r="B1289" s="227">
        <v>31</v>
      </c>
      <c r="C1289" s="227" t="s">
        <v>2691</v>
      </c>
      <c r="D1289" s="227" t="s">
        <v>2988</v>
      </c>
      <c r="E1289" s="227" t="s">
        <v>3189</v>
      </c>
      <c r="F1289" s="227" t="s">
        <v>2697</v>
      </c>
      <c r="G1289" s="227" t="s">
        <v>2497</v>
      </c>
      <c r="H1289" s="264" t="s">
        <v>3190</v>
      </c>
      <c r="I1289" s="253" t="s">
        <v>2746</v>
      </c>
      <c r="J1289" s="227" t="s">
        <v>2548</v>
      </c>
      <c r="K1289" s="264" t="s">
        <v>3132</v>
      </c>
      <c r="L1289" s="264" t="s">
        <v>2799</v>
      </c>
      <c r="M1289" s="227" t="s">
        <v>2370</v>
      </c>
      <c r="N1289" s="293"/>
      <c r="O1289" s="293" t="str">
        <f>TablaPOA[[#This Row],[Cod_Sub_acción_especifica]]&amp;"_"&amp;TablaPOA[[#This Row],[Tipo de agente]]</f>
        <v>K31.4.1.4_Medios de transporte</v>
      </c>
      <c r="P1289" s="254" t="s">
        <v>2918</v>
      </c>
      <c r="Q1289" s="292" t="str">
        <f>TablaPOA[[#This Row],[Cod_Sub_acción_especifica]]&amp;"_"&amp;TablaPOA[[#This Row],[Cod_Tipo_agente]]</f>
        <v>K31.4.1.4_TA9</v>
      </c>
      <c r="R1289" s="254" t="s">
        <v>2919</v>
      </c>
      <c r="S1289" s="255" t="s">
        <v>2924</v>
      </c>
      <c r="T1289" s="271" t="s">
        <v>2925</v>
      </c>
    </row>
    <row r="1290" spans="1:20" ht="25.5" x14ac:dyDescent="0.25">
      <c r="A1290" s="219" t="s">
        <v>2314</v>
      </c>
      <c r="B1290" s="227">
        <v>31</v>
      </c>
      <c r="C1290" s="227" t="s">
        <v>2691</v>
      </c>
      <c r="D1290" s="227" t="s">
        <v>2988</v>
      </c>
      <c r="E1290" s="227" t="s">
        <v>3189</v>
      </c>
      <c r="F1290" s="227" t="s">
        <v>2697</v>
      </c>
      <c r="G1290" s="227" t="s">
        <v>2497</v>
      </c>
      <c r="H1290" s="264" t="s">
        <v>3190</v>
      </c>
      <c r="I1290" s="253" t="s">
        <v>2746</v>
      </c>
      <c r="J1290" s="227" t="s">
        <v>2548</v>
      </c>
      <c r="K1290" s="264" t="s">
        <v>3132</v>
      </c>
      <c r="L1290" s="264" t="s">
        <v>2799</v>
      </c>
      <c r="M1290" s="227" t="s">
        <v>2370</v>
      </c>
      <c r="N1290" s="293"/>
      <c r="O1290" s="293" t="str">
        <f>TablaPOA[[#This Row],[Cod_Sub_acción_especifica]]&amp;"_"&amp;TablaPOA[[#This Row],[Tipo de agente]]</f>
        <v>K31.4.1.4_Medios de transporte</v>
      </c>
      <c r="P1290" s="254" t="s">
        <v>2918</v>
      </c>
      <c r="Q1290" s="292" t="str">
        <f>TablaPOA[[#This Row],[Cod_Sub_acción_especifica]]&amp;"_"&amp;TablaPOA[[#This Row],[Cod_Tipo_agente]]</f>
        <v>K31.4.1.4_TA9</v>
      </c>
      <c r="R1290" s="254" t="s">
        <v>2919</v>
      </c>
      <c r="S1290" s="255" t="s">
        <v>2926</v>
      </c>
      <c r="T1290" s="271" t="s">
        <v>2927</v>
      </c>
    </row>
    <row r="1291" spans="1:20" ht="25.5" x14ac:dyDescent="0.25">
      <c r="A1291" s="219" t="s">
        <v>2314</v>
      </c>
      <c r="B1291" s="227">
        <v>31</v>
      </c>
      <c r="C1291" s="227" t="s">
        <v>2691</v>
      </c>
      <c r="D1291" s="227" t="s">
        <v>2988</v>
      </c>
      <c r="E1291" s="227" t="s">
        <v>3189</v>
      </c>
      <c r="F1291" s="227" t="s">
        <v>2697</v>
      </c>
      <c r="G1291" s="227" t="s">
        <v>2497</v>
      </c>
      <c r="H1291" s="264" t="s">
        <v>3190</v>
      </c>
      <c r="I1291" s="253" t="s">
        <v>2746</v>
      </c>
      <c r="J1291" s="227" t="s">
        <v>2548</v>
      </c>
      <c r="K1291" s="264" t="s">
        <v>3132</v>
      </c>
      <c r="L1291" s="264" t="s">
        <v>2799</v>
      </c>
      <c r="M1291" s="227" t="s">
        <v>2370</v>
      </c>
      <c r="N1291" s="293"/>
      <c r="O1291" s="293" t="str">
        <f>TablaPOA[[#This Row],[Cod_Sub_acción_especifica]]&amp;"_"&amp;TablaPOA[[#This Row],[Tipo de agente]]</f>
        <v>K31.4.1.4_Medios de transporte</v>
      </c>
      <c r="P1291" s="254" t="s">
        <v>2918</v>
      </c>
      <c r="Q1291" s="292" t="str">
        <f>TablaPOA[[#This Row],[Cod_Sub_acción_especifica]]&amp;"_"&amp;TablaPOA[[#This Row],[Cod_Tipo_agente]]</f>
        <v>K31.4.1.4_TA9</v>
      </c>
      <c r="R1291" s="254" t="s">
        <v>2919</v>
      </c>
      <c r="S1291" s="255" t="s">
        <v>2928</v>
      </c>
      <c r="T1291" s="271" t="s">
        <v>2929</v>
      </c>
    </row>
    <row r="1292" spans="1:20" ht="25.5" x14ac:dyDescent="0.25">
      <c r="A1292" s="219" t="s">
        <v>2314</v>
      </c>
      <c r="B1292" s="227">
        <v>31</v>
      </c>
      <c r="C1292" s="227" t="s">
        <v>2691</v>
      </c>
      <c r="D1292" s="227" t="s">
        <v>2988</v>
      </c>
      <c r="E1292" s="227" t="s">
        <v>3189</v>
      </c>
      <c r="F1292" s="227" t="s">
        <v>2697</v>
      </c>
      <c r="G1292" s="227" t="s">
        <v>2497</v>
      </c>
      <c r="H1292" s="264" t="s">
        <v>3190</v>
      </c>
      <c r="I1292" s="253" t="s">
        <v>2746</v>
      </c>
      <c r="J1292" s="227" t="s">
        <v>2548</v>
      </c>
      <c r="K1292" s="264" t="s">
        <v>3132</v>
      </c>
      <c r="L1292" s="264" t="s">
        <v>2799</v>
      </c>
      <c r="M1292" s="227" t="s">
        <v>2370</v>
      </c>
      <c r="N1292" s="293"/>
      <c r="O1292" s="293" t="str">
        <f>TablaPOA[[#This Row],[Cod_Sub_acción_especifica]]&amp;"_"&amp;TablaPOA[[#This Row],[Tipo de agente]]</f>
        <v>K31.4.1.4_Medios de transporte</v>
      </c>
      <c r="P1292" s="254" t="s">
        <v>2918</v>
      </c>
      <c r="Q1292" s="292" t="str">
        <f>TablaPOA[[#This Row],[Cod_Sub_acción_especifica]]&amp;"_"&amp;TablaPOA[[#This Row],[Cod_Tipo_agente]]</f>
        <v>K31.4.1.4_TA9</v>
      </c>
      <c r="R1292" s="254" t="s">
        <v>2919</v>
      </c>
      <c r="S1292" s="255" t="s">
        <v>2930</v>
      </c>
      <c r="T1292" s="271" t="s">
        <v>2931</v>
      </c>
    </row>
    <row r="1293" spans="1:20" ht="25.5" x14ac:dyDescent="0.25">
      <c r="A1293" s="219" t="s">
        <v>2314</v>
      </c>
      <c r="B1293" s="227">
        <v>31</v>
      </c>
      <c r="C1293" s="227" t="s">
        <v>2691</v>
      </c>
      <c r="D1293" s="227" t="s">
        <v>2988</v>
      </c>
      <c r="E1293" s="227" t="s">
        <v>3189</v>
      </c>
      <c r="F1293" s="227" t="s">
        <v>2697</v>
      </c>
      <c r="G1293" s="227" t="s">
        <v>2497</v>
      </c>
      <c r="H1293" s="264" t="s">
        <v>3190</v>
      </c>
      <c r="I1293" s="253" t="s">
        <v>2746</v>
      </c>
      <c r="J1293" s="227" t="s">
        <v>2548</v>
      </c>
      <c r="K1293" s="264" t="s">
        <v>3132</v>
      </c>
      <c r="L1293" s="264" t="s">
        <v>2799</v>
      </c>
      <c r="M1293" s="227" t="s">
        <v>2370</v>
      </c>
      <c r="N1293" s="293"/>
      <c r="O1293" s="293" t="str">
        <f>TablaPOA[[#This Row],[Cod_Sub_acción_especifica]]&amp;"_"&amp;TablaPOA[[#This Row],[Tipo de agente]]</f>
        <v>K31.4.1.4_Medios de transporte</v>
      </c>
      <c r="P1293" s="254" t="s">
        <v>2918</v>
      </c>
      <c r="Q1293" s="292" t="str">
        <f>TablaPOA[[#This Row],[Cod_Sub_acción_especifica]]&amp;"_"&amp;TablaPOA[[#This Row],[Cod_Tipo_agente]]</f>
        <v>K31.4.1.4_TA9</v>
      </c>
      <c r="R1293" s="254" t="s">
        <v>2919</v>
      </c>
      <c r="S1293" s="255" t="s">
        <v>2932</v>
      </c>
      <c r="T1293" s="271" t="s">
        <v>2933</v>
      </c>
    </row>
    <row r="1294" spans="1:20" ht="25.5" x14ac:dyDescent="0.25">
      <c r="A1294" s="219" t="s">
        <v>2314</v>
      </c>
      <c r="B1294" s="227">
        <v>31</v>
      </c>
      <c r="C1294" s="227" t="s">
        <v>2691</v>
      </c>
      <c r="D1294" s="227" t="s">
        <v>2988</v>
      </c>
      <c r="E1294" s="227" t="s">
        <v>3189</v>
      </c>
      <c r="F1294" s="227" t="s">
        <v>2697</v>
      </c>
      <c r="G1294" s="227" t="s">
        <v>2497</v>
      </c>
      <c r="H1294" s="264" t="s">
        <v>3190</v>
      </c>
      <c r="I1294" s="253" t="s">
        <v>2746</v>
      </c>
      <c r="J1294" s="227" t="s">
        <v>2548</v>
      </c>
      <c r="K1294" s="264" t="s">
        <v>3132</v>
      </c>
      <c r="L1294" s="264" t="s">
        <v>2799</v>
      </c>
      <c r="M1294" s="227" t="s">
        <v>2370</v>
      </c>
      <c r="N1294" s="293"/>
      <c r="O1294" s="293" t="str">
        <f>TablaPOA[[#This Row],[Cod_Sub_acción_especifica]]&amp;"_"&amp;TablaPOA[[#This Row],[Tipo de agente]]</f>
        <v>K31.4.1.4_Medios de transporte</v>
      </c>
      <c r="P1294" s="254" t="s">
        <v>2918</v>
      </c>
      <c r="Q1294" s="292" t="str">
        <f>TablaPOA[[#This Row],[Cod_Sub_acción_especifica]]&amp;"_"&amp;TablaPOA[[#This Row],[Cod_Tipo_agente]]</f>
        <v>K31.4.1.4_TA9</v>
      </c>
      <c r="R1294" s="254" t="s">
        <v>2919</v>
      </c>
      <c r="S1294" s="255" t="s">
        <v>2934</v>
      </c>
      <c r="T1294" s="271" t="s">
        <v>2935</v>
      </c>
    </row>
    <row r="1295" spans="1:20" ht="25.5" x14ac:dyDescent="0.25">
      <c r="A1295" s="219" t="s">
        <v>2314</v>
      </c>
      <c r="B1295" s="227">
        <v>31</v>
      </c>
      <c r="C1295" s="227" t="s">
        <v>2691</v>
      </c>
      <c r="D1295" s="227" t="s">
        <v>2988</v>
      </c>
      <c r="E1295" s="227" t="s">
        <v>3189</v>
      </c>
      <c r="F1295" s="227" t="s">
        <v>2697</v>
      </c>
      <c r="G1295" s="227" t="s">
        <v>2497</v>
      </c>
      <c r="H1295" s="264" t="s">
        <v>3190</v>
      </c>
      <c r="I1295" s="253" t="s">
        <v>2746</v>
      </c>
      <c r="J1295" s="227" t="s">
        <v>2548</v>
      </c>
      <c r="K1295" s="264" t="s">
        <v>3132</v>
      </c>
      <c r="L1295" s="264" t="s">
        <v>2799</v>
      </c>
      <c r="M1295" s="227" t="s">
        <v>2370</v>
      </c>
      <c r="N1295" s="293"/>
      <c r="O1295" s="293" t="str">
        <f>TablaPOA[[#This Row],[Cod_Sub_acción_especifica]]&amp;"_"&amp;TablaPOA[[#This Row],[Tipo de agente]]</f>
        <v>K31.4.1.4_Medios de transporte</v>
      </c>
      <c r="P1295" s="254" t="s">
        <v>2918</v>
      </c>
      <c r="Q1295" s="292" t="str">
        <f>TablaPOA[[#This Row],[Cod_Sub_acción_especifica]]&amp;"_"&amp;TablaPOA[[#This Row],[Cod_Tipo_agente]]</f>
        <v>K31.4.1.4_TA9</v>
      </c>
      <c r="R1295" s="254" t="s">
        <v>2919</v>
      </c>
      <c r="S1295" s="255" t="s">
        <v>2936</v>
      </c>
      <c r="T1295" s="271" t="s">
        <v>2937</v>
      </c>
    </row>
    <row r="1296" spans="1:20" ht="25.5" x14ac:dyDescent="0.25">
      <c r="A1296" s="219" t="s">
        <v>2314</v>
      </c>
      <c r="B1296" s="227">
        <v>31</v>
      </c>
      <c r="C1296" s="227" t="s">
        <v>2691</v>
      </c>
      <c r="D1296" s="227" t="s">
        <v>2988</v>
      </c>
      <c r="E1296" s="227" t="s">
        <v>3189</v>
      </c>
      <c r="F1296" s="227" t="s">
        <v>2697</v>
      </c>
      <c r="G1296" s="227" t="s">
        <v>2497</v>
      </c>
      <c r="H1296" s="264" t="s">
        <v>3190</v>
      </c>
      <c r="I1296" s="253" t="s">
        <v>2746</v>
      </c>
      <c r="J1296" s="227" t="s">
        <v>2548</v>
      </c>
      <c r="K1296" s="264" t="s">
        <v>3132</v>
      </c>
      <c r="L1296" s="264" t="s">
        <v>2799</v>
      </c>
      <c r="M1296" s="227" t="s">
        <v>2370</v>
      </c>
      <c r="N1296" s="293"/>
      <c r="O1296" s="293" t="str">
        <f>TablaPOA[[#This Row],[Cod_Sub_acción_especifica]]&amp;"_"&amp;TablaPOA[[#This Row],[Tipo de agente]]</f>
        <v>K31.4.1.4_Medios de transporte</v>
      </c>
      <c r="P1296" s="254" t="s">
        <v>2918</v>
      </c>
      <c r="Q1296" s="292" t="str">
        <f>TablaPOA[[#This Row],[Cod_Sub_acción_especifica]]&amp;"_"&amp;TablaPOA[[#This Row],[Cod_Tipo_agente]]</f>
        <v>K31.4.1.4_TA9</v>
      </c>
      <c r="R1296" s="254" t="s">
        <v>2919</v>
      </c>
      <c r="S1296" s="255" t="s">
        <v>2938</v>
      </c>
      <c r="T1296" s="271" t="s">
        <v>2939</v>
      </c>
    </row>
    <row r="1297" spans="1:20" ht="25.5" x14ac:dyDescent="0.25">
      <c r="A1297" s="219" t="s">
        <v>2314</v>
      </c>
      <c r="B1297" s="227">
        <v>31</v>
      </c>
      <c r="C1297" s="227" t="s">
        <v>2691</v>
      </c>
      <c r="D1297" s="227" t="s">
        <v>2988</v>
      </c>
      <c r="E1297" s="227" t="s">
        <v>3189</v>
      </c>
      <c r="F1297" s="227" t="s">
        <v>2697</v>
      </c>
      <c r="G1297" s="227" t="s">
        <v>2497</v>
      </c>
      <c r="H1297" s="264" t="s">
        <v>3190</v>
      </c>
      <c r="I1297" s="253" t="s">
        <v>2746</v>
      </c>
      <c r="J1297" s="227" t="s">
        <v>2548</v>
      </c>
      <c r="K1297" s="264" t="s">
        <v>3132</v>
      </c>
      <c r="L1297" s="264" t="s">
        <v>2799</v>
      </c>
      <c r="M1297" s="227" t="s">
        <v>2370</v>
      </c>
      <c r="N1297" s="293"/>
      <c r="O1297" s="293" t="str">
        <f>TablaPOA[[#This Row],[Cod_Sub_acción_especifica]]&amp;"_"&amp;TablaPOA[[#This Row],[Tipo de agente]]</f>
        <v>K31.4.1.4_Medios de transporte</v>
      </c>
      <c r="P1297" s="254" t="s">
        <v>2918</v>
      </c>
      <c r="Q1297" s="292" t="str">
        <f>TablaPOA[[#This Row],[Cod_Sub_acción_especifica]]&amp;"_"&amp;TablaPOA[[#This Row],[Cod_Tipo_agente]]</f>
        <v>K31.4.1.4_TA9</v>
      </c>
      <c r="R1297" s="254" t="s">
        <v>2919</v>
      </c>
      <c r="S1297" s="255" t="s">
        <v>2940</v>
      </c>
      <c r="T1297" s="271" t="s">
        <v>2941</v>
      </c>
    </row>
    <row r="1298" spans="1:20" ht="25.5" x14ac:dyDescent="0.25">
      <c r="A1298" s="219" t="s">
        <v>2314</v>
      </c>
      <c r="B1298" s="227">
        <v>31</v>
      </c>
      <c r="C1298" s="227" t="s">
        <v>2691</v>
      </c>
      <c r="D1298" s="227" t="s">
        <v>2988</v>
      </c>
      <c r="E1298" s="227" t="s">
        <v>3189</v>
      </c>
      <c r="F1298" s="227" t="s">
        <v>2697</v>
      </c>
      <c r="G1298" s="227" t="s">
        <v>2497</v>
      </c>
      <c r="H1298" s="264" t="s">
        <v>3190</v>
      </c>
      <c r="I1298" s="253" t="s">
        <v>2746</v>
      </c>
      <c r="J1298" s="227" t="s">
        <v>2548</v>
      </c>
      <c r="K1298" s="264" t="s">
        <v>3132</v>
      </c>
      <c r="L1298" s="264" t="s">
        <v>2799</v>
      </c>
      <c r="M1298" s="227" t="s">
        <v>2370</v>
      </c>
      <c r="N1298" s="293"/>
      <c r="O1298" s="293" t="str">
        <f>TablaPOA[[#This Row],[Cod_Sub_acción_especifica]]&amp;"_"&amp;TablaPOA[[#This Row],[Tipo de agente]]</f>
        <v>K31.4.1.4_Medios de transporte</v>
      </c>
      <c r="P1298" s="254" t="s">
        <v>2918</v>
      </c>
      <c r="Q1298" s="292" t="str">
        <f>TablaPOA[[#This Row],[Cod_Sub_acción_especifica]]&amp;"_"&amp;TablaPOA[[#This Row],[Cod_Tipo_agente]]</f>
        <v>K31.4.1.4_TA9</v>
      </c>
      <c r="R1298" s="254" t="s">
        <v>2919</v>
      </c>
      <c r="S1298" s="255" t="s">
        <v>2942</v>
      </c>
      <c r="T1298" s="271" t="s">
        <v>2943</v>
      </c>
    </row>
    <row r="1299" spans="1:20" ht="25.5" x14ac:dyDescent="0.25">
      <c r="A1299" s="219" t="s">
        <v>2314</v>
      </c>
      <c r="B1299" s="227">
        <v>31</v>
      </c>
      <c r="C1299" s="227" t="s">
        <v>2691</v>
      </c>
      <c r="D1299" s="227" t="s">
        <v>2988</v>
      </c>
      <c r="E1299" s="227" t="s">
        <v>3189</v>
      </c>
      <c r="F1299" s="227" t="s">
        <v>2697</v>
      </c>
      <c r="G1299" s="227" t="s">
        <v>2497</v>
      </c>
      <c r="H1299" s="264" t="s">
        <v>3190</v>
      </c>
      <c r="I1299" s="253" t="s">
        <v>2746</v>
      </c>
      <c r="J1299" s="227" t="s">
        <v>2548</v>
      </c>
      <c r="K1299" s="264" t="s">
        <v>3132</v>
      </c>
      <c r="L1299" s="264" t="s">
        <v>2799</v>
      </c>
      <c r="M1299" s="227" t="s">
        <v>2370</v>
      </c>
      <c r="N1299" s="293"/>
      <c r="O1299" s="293" t="str">
        <f>TablaPOA[[#This Row],[Cod_Sub_acción_especifica]]&amp;"_"&amp;TablaPOA[[#This Row],[Tipo de agente]]</f>
        <v>K31.4.1.4_Medios de transporte</v>
      </c>
      <c r="P1299" s="254" t="s">
        <v>2918</v>
      </c>
      <c r="Q1299" s="292" t="str">
        <f>TablaPOA[[#This Row],[Cod_Sub_acción_especifica]]&amp;"_"&amp;TablaPOA[[#This Row],[Cod_Tipo_agente]]</f>
        <v>K31.4.1.4_TA9</v>
      </c>
      <c r="R1299" s="254" t="s">
        <v>2919</v>
      </c>
      <c r="S1299" s="255" t="s">
        <v>2944</v>
      </c>
      <c r="T1299" s="271" t="s">
        <v>2945</v>
      </c>
    </row>
    <row r="1300" spans="1:20" ht="25.5" x14ac:dyDescent="0.25">
      <c r="A1300" s="219" t="s">
        <v>2314</v>
      </c>
      <c r="B1300" s="227">
        <v>31</v>
      </c>
      <c r="C1300" s="227" t="s">
        <v>2691</v>
      </c>
      <c r="D1300" s="227" t="s">
        <v>2988</v>
      </c>
      <c r="E1300" s="227" t="s">
        <v>3189</v>
      </c>
      <c r="F1300" s="227" t="s">
        <v>2697</v>
      </c>
      <c r="G1300" s="227" t="s">
        <v>2497</v>
      </c>
      <c r="H1300" s="264" t="s">
        <v>3190</v>
      </c>
      <c r="I1300" s="253" t="s">
        <v>2746</v>
      </c>
      <c r="J1300" s="227" t="s">
        <v>2548</v>
      </c>
      <c r="K1300" s="264" t="s">
        <v>3132</v>
      </c>
      <c r="L1300" s="264" t="s">
        <v>2799</v>
      </c>
      <c r="M1300" s="227" t="s">
        <v>2370</v>
      </c>
      <c r="N1300" s="293"/>
      <c r="O1300" s="293" t="str">
        <f>TablaPOA[[#This Row],[Cod_Sub_acción_especifica]]&amp;"_"&amp;TablaPOA[[#This Row],[Tipo de agente]]</f>
        <v>K31.4.1.4_Medios de transporte</v>
      </c>
      <c r="P1300" s="254" t="s">
        <v>2918</v>
      </c>
      <c r="Q1300" s="292" t="str">
        <f>TablaPOA[[#This Row],[Cod_Sub_acción_especifica]]&amp;"_"&amp;TablaPOA[[#This Row],[Cod_Tipo_agente]]</f>
        <v>K31.4.1.4_TA9</v>
      </c>
      <c r="R1300" s="254" t="s">
        <v>2919</v>
      </c>
      <c r="S1300" s="255" t="s">
        <v>2946</v>
      </c>
      <c r="T1300" s="271" t="s">
        <v>2947</v>
      </c>
    </row>
    <row r="1301" spans="1:20" ht="25.5" x14ac:dyDescent="0.25">
      <c r="A1301" s="219" t="s">
        <v>2314</v>
      </c>
      <c r="B1301" s="227">
        <v>31</v>
      </c>
      <c r="C1301" s="227" t="s">
        <v>2691</v>
      </c>
      <c r="D1301" s="227" t="s">
        <v>2988</v>
      </c>
      <c r="E1301" s="227" t="s">
        <v>3189</v>
      </c>
      <c r="F1301" s="227" t="s">
        <v>2697</v>
      </c>
      <c r="G1301" s="227" t="s">
        <v>2497</v>
      </c>
      <c r="H1301" s="264" t="s">
        <v>3190</v>
      </c>
      <c r="I1301" s="253" t="s">
        <v>2746</v>
      </c>
      <c r="J1301" s="227" t="s">
        <v>2548</v>
      </c>
      <c r="K1301" s="264" t="s">
        <v>3132</v>
      </c>
      <c r="L1301" s="264" t="s">
        <v>2799</v>
      </c>
      <c r="M1301" s="227" t="s">
        <v>2370</v>
      </c>
      <c r="N1301" s="293"/>
      <c r="O1301" s="293" t="str">
        <f>TablaPOA[[#This Row],[Cod_Sub_acción_especifica]]&amp;"_"&amp;TablaPOA[[#This Row],[Tipo de agente]]</f>
        <v>K31.4.1.4_Medios de transporte</v>
      </c>
      <c r="P1301" s="254" t="s">
        <v>2918</v>
      </c>
      <c r="Q1301" s="292" t="str">
        <f>TablaPOA[[#This Row],[Cod_Sub_acción_especifica]]&amp;"_"&amp;TablaPOA[[#This Row],[Cod_Tipo_agente]]</f>
        <v>K31.4.1.4_TA9</v>
      </c>
      <c r="R1301" s="254" t="s">
        <v>2919</v>
      </c>
      <c r="S1301" s="255" t="s">
        <v>2948</v>
      </c>
      <c r="T1301" s="271" t="s">
        <v>2949</v>
      </c>
    </row>
    <row r="1302" spans="1:20" ht="25.5" x14ac:dyDescent="0.25">
      <c r="A1302" s="219" t="s">
        <v>2314</v>
      </c>
      <c r="B1302" s="227">
        <v>31</v>
      </c>
      <c r="C1302" s="227" t="s">
        <v>2691</v>
      </c>
      <c r="D1302" s="227" t="s">
        <v>2988</v>
      </c>
      <c r="E1302" s="227" t="s">
        <v>3189</v>
      </c>
      <c r="F1302" s="227" t="s">
        <v>2697</v>
      </c>
      <c r="G1302" s="227" t="s">
        <v>2497</v>
      </c>
      <c r="H1302" s="264" t="s">
        <v>3190</v>
      </c>
      <c r="I1302" s="253" t="s">
        <v>2746</v>
      </c>
      <c r="J1302" s="227" t="s">
        <v>2548</v>
      </c>
      <c r="K1302" s="264" t="s">
        <v>3132</v>
      </c>
      <c r="L1302" s="264" t="s">
        <v>2799</v>
      </c>
      <c r="M1302" s="227" t="s">
        <v>2370</v>
      </c>
      <c r="N1302" s="293"/>
      <c r="O1302" s="293" t="str">
        <f>TablaPOA[[#This Row],[Cod_Sub_acción_especifica]]&amp;"_"&amp;TablaPOA[[#This Row],[Tipo de agente]]</f>
        <v>K31.4.1.4_Plantas de abastecimiento y despacho</v>
      </c>
      <c r="P1302" s="254" t="s">
        <v>2950</v>
      </c>
      <c r="Q1302" s="292" t="str">
        <f>TablaPOA[[#This Row],[Cod_Sub_acción_especifica]]&amp;"_"&amp;TablaPOA[[#This Row],[Cod_Tipo_agente]]</f>
        <v>K31.4.1.4_TA10</v>
      </c>
      <c r="R1302" s="254" t="s">
        <v>2951</v>
      </c>
      <c r="S1302" s="255" t="s">
        <v>2952</v>
      </c>
      <c r="T1302" s="271" t="s">
        <v>2953</v>
      </c>
    </row>
    <row r="1303" spans="1:20" ht="25.5" x14ac:dyDescent="0.25">
      <c r="A1303" s="219" t="s">
        <v>2314</v>
      </c>
      <c r="B1303" s="227">
        <v>31</v>
      </c>
      <c r="C1303" s="227" t="s">
        <v>2691</v>
      </c>
      <c r="D1303" s="227" t="s">
        <v>2988</v>
      </c>
      <c r="E1303" s="227" t="s">
        <v>3189</v>
      </c>
      <c r="F1303" s="227" t="s">
        <v>2697</v>
      </c>
      <c r="G1303" s="227" t="s">
        <v>2497</v>
      </c>
      <c r="H1303" s="264" t="s">
        <v>3190</v>
      </c>
      <c r="I1303" s="253" t="s">
        <v>2746</v>
      </c>
      <c r="J1303" s="227" t="s">
        <v>2548</v>
      </c>
      <c r="K1303" s="264" t="s">
        <v>3132</v>
      </c>
      <c r="L1303" s="264" t="s">
        <v>2799</v>
      </c>
      <c r="M1303" s="227" t="s">
        <v>2370</v>
      </c>
      <c r="N1303" s="293"/>
      <c r="O1303" s="293" t="str">
        <f>TablaPOA[[#This Row],[Cod_Sub_acción_especifica]]&amp;"_"&amp;TablaPOA[[#This Row],[Tipo de agente]]</f>
        <v>K31.4.1.4_Plantas de abastecimiento y despacho</v>
      </c>
      <c r="P1303" s="254" t="s">
        <v>2950</v>
      </c>
      <c r="Q1303" s="292" t="str">
        <f>TablaPOA[[#This Row],[Cod_Sub_acción_especifica]]&amp;"_"&amp;TablaPOA[[#This Row],[Cod_Tipo_agente]]</f>
        <v>K31.4.1.4_TA10</v>
      </c>
      <c r="R1303" s="254" t="s">
        <v>2951</v>
      </c>
      <c r="S1303" s="255" t="s">
        <v>2954</v>
      </c>
      <c r="T1303" s="271" t="s">
        <v>2955</v>
      </c>
    </row>
    <row r="1304" spans="1:20" ht="25.5" x14ac:dyDescent="0.25">
      <c r="A1304" s="219" t="s">
        <v>2314</v>
      </c>
      <c r="B1304" s="227">
        <v>31</v>
      </c>
      <c r="C1304" s="227" t="s">
        <v>2691</v>
      </c>
      <c r="D1304" s="227" t="s">
        <v>2988</v>
      </c>
      <c r="E1304" s="227" t="s">
        <v>3189</v>
      </c>
      <c r="F1304" s="227" t="s">
        <v>2697</v>
      </c>
      <c r="G1304" s="227" t="s">
        <v>2497</v>
      </c>
      <c r="H1304" s="264" t="s">
        <v>3190</v>
      </c>
      <c r="I1304" s="253" t="s">
        <v>2746</v>
      </c>
      <c r="J1304" s="227" t="s">
        <v>2548</v>
      </c>
      <c r="K1304" s="264" t="s">
        <v>3132</v>
      </c>
      <c r="L1304" s="264" t="s">
        <v>2799</v>
      </c>
      <c r="M1304" s="227" t="s">
        <v>2370</v>
      </c>
      <c r="N1304" s="293"/>
      <c r="O1304" s="293" t="str">
        <f>TablaPOA[[#This Row],[Cod_Sub_acción_especifica]]&amp;"_"&amp;TablaPOA[[#This Row],[Tipo de agente]]</f>
        <v>K31.4.1.4_Plantas de abastecimiento y despacho</v>
      </c>
      <c r="P1304" s="254" t="s">
        <v>2950</v>
      </c>
      <c r="Q1304" s="292" t="str">
        <f>TablaPOA[[#This Row],[Cod_Sub_acción_especifica]]&amp;"_"&amp;TablaPOA[[#This Row],[Cod_Tipo_agente]]</f>
        <v>K31.4.1.4_TA10</v>
      </c>
      <c r="R1304" s="254" t="s">
        <v>2951</v>
      </c>
      <c r="S1304" s="255" t="s">
        <v>2956</v>
      </c>
      <c r="T1304" s="271" t="s">
        <v>2957</v>
      </c>
    </row>
    <row r="1305" spans="1:20" ht="25.5" x14ac:dyDescent="0.25">
      <c r="A1305" s="219" t="s">
        <v>2314</v>
      </c>
      <c r="B1305" s="227">
        <v>31</v>
      </c>
      <c r="C1305" s="227" t="s">
        <v>2691</v>
      </c>
      <c r="D1305" s="227" t="s">
        <v>2988</v>
      </c>
      <c r="E1305" s="227" t="s">
        <v>3189</v>
      </c>
      <c r="F1305" s="227" t="s">
        <v>2697</v>
      </c>
      <c r="G1305" s="227" t="s">
        <v>2497</v>
      </c>
      <c r="H1305" s="264" t="s">
        <v>3190</v>
      </c>
      <c r="I1305" s="253" t="s">
        <v>2746</v>
      </c>
      <c r="J1305" s="227" t="s">
        <v>2548</v>
      </c>
      <c r="K1305" s="264" t="s">
        <v>3132</v>
      </c>
      <c r="L1305" s="264" t="s">
        <v>2799</v>
      </c>
      <c r="M1305" s="227" t="s">
        <v>2370</v>
      </c>
      <c r="N1305" s="293"/>
      <c r="O1305" s="293" t="str">
        <f>TablaPOA[[#This Row],[Cod_Sub_acción_especifica]]&amp;"_"&amp;TablaPOA[[#This Row],[Tipo de agente]]</f>
        <v>K31.4.1.4_Plantas de abastecimiento y despacho</v>
      </c>
      <c r="P1305" s="254" t="s">
        <v>2950</v>
      </c>
      <c r="Q1305" s="292" t="str">
        <f>TablaPOA[[#This Row],[Cod_Sub_acción_especifica]]&amp;"_"&amp;TablaPOA[[#This Row],[Cod_Tipo_agente]]</f>
        <v>K31.4.1.4_TA10</v>
      </c>
      <c r="R1305" s="254" t="s">
        <v>2951</v>
      </c>
      <c r="S1305" s="255" t="s">
        <v>2958</v>
      </c>
      <c r="T1305" s="271" t="s">
        <v>2959</v>
      </c>
    </row>
    <row r="1306" spans="1:20" ht="25.5" x14ac:dyDescent="0.25">
      <c r="A1306" s="219" t="s">
        <v>2314</v>
      </c>
      <c r="B1306" s="227">
        <v>31</v>
      </c>
      <c r="C1306" s="227" t="s">
        <v>2691</v>
      </c>
      <c r="D1306" s="227" t="s">
        <v>2988</v>
      </c>
      <c r="E1306" s="227" t="s">
        <v>3189</v>
      </c>
      <c r="F1306" s="227" t="s">
        <v>2697</v>
      </c>
      <c r="G1306" s="227" t="s">
        <v>2497</v>
      </c>
      <c r="H1306" s="264" t="s">
        <v>3190</v>
      </c>
      <c r="I1306" s="253" t="s">
        <v>2746</v>
      </c>
      <c r="J1306" s="227" t="s">
        <v>2548</v>
      </c>
      <c r="K1306" s="264" t="s">
        <v>3132</v>
      </c>
      <c r="L1306" s="264" t="s">
        <v>2799</v>
      </c>
      <c r="M1306" s="227" t="s">
        <v>2370</v>
      </c>
      <c r="N1306" s="293"/>
      <c r="O1306" s="293" t="str">
        <f>TablaPOA[[#This Row],[Cod_Sub_acción_especifica]]&amp;"_"&amp;TablaPOA[[#This Row],[Tipo de agente]]</f>
        <v>K31.4.1.4_Plantas de abastecimiento y despacho</v>
      </c>
      <c r="P1306" s="254" t="s">
        <v>2950</v>
      </c>
      <c r="Q1306" s="292" t="str">
        <f>TablaPOA[[#This Row],[Cod_Sub_acción_especifica]]&amp;"_"&amp;TablaPOA[[#This Row],[Cod_Tipo_agente]]</f>
        <v>K31.4.1.4_TA10</v>
      </c>
      <c r="R1306" s="254" t="s">
        <v>2951</v>
      </c>
      <c r="S1306" s="255" t="s">
        <v>2960</v>
      </c>
      <c r="T1306" s="271" t="s">
        <v>2961</v>
      </c>
    </row>
    <row r="1307" spans="1:20" ht="38.25" x14ac:dyDescent="0.25">
      <c r="A1307" s="219" t="s">
        <v>2314</v>
      </c>
      <c r="B1307" s="227">
        <v>31</v>
      </c>
      <c r="C1307" s="227" t="s">
        <v>2691</v>
      </c>
      <c r="D1307" s="227" t="s">
        <v>2988</v>
      </c>
      <c r="E1307" s="227" t="s">
        <v>3189</v>
      </c>
      <c r="F1307" s="227" t="s">
        <v>2697</v>
      </c>
      <c r="G1307" s="227" t="s">
        <v>2497</v>
      </c>
      <c r="H1307" s="264" t="s">
        <v>3190</v>
      </c>
      <c r="I1307" s="253" t="s">
        <v>2746</v>
      </c>
      <c r="J1307" s="227" t="s">
        <v>2548</v>
      </c>
      <c r="K1307" s="264" t="s">
        <v>3132</v>
      </c>
      <c r="L1307" s="264" t="s">
        <v>2799</v>
      </c>
      <c r="M1307" s="227" t="s">
        <v>2370</v>
      </c>
      <c r="N1307" s="293"/>
      <c r="O1307" s="293" t="str">
        <f>TablaPOA[[#This Row],[Cod_Sub_acción_especifica]]&amp;"_"&amp;TablaPOA[[#This Row],[Tipo de agente]]</f>
        <v>K31.4.1.4_Instalaciones de compresión, transferencia y descompresión de gas natural</v>
      </c>
      <c r="P1307" s="254" t="s">
        <v>2902</v>
      </c>
      <c r="Q1307" s="292" t="str">
        <f>TablaPOA[[#This Row],[Cod_Sub_acción_especifica]]&amp;"_"&amp;TablaPOA[[#This Row],[Cod_Tipo_agente]]</f>
        <v>K31.4.1.4_TA7</v>
      </c>
      <c r="R1307" s="254" t="s">
        <v>2903</v>
      </c>
      <c r="S1307" s="260">
        <v>607</v>
      </c>
      <c r="T1307" s="275" t="s">
        <v>2905</v>
      </c>
    </row>
    <row r="1308" spans="1:20" ht="38.25" x14ac:dyDescent="0.25">
      <c r="A1308" s="219" t="s">
        <v>2314</v>
      </c>
      <c r="B1308" s="227">
        <v>31</v>
      </c>
      <c r="C1308" s="227" t="s">
        <v>2691</v>
      </c>
      <c r="D1308" s="227" t="s">
        <v>2988</v>
      </c>
      <c r="E1308" s="227" t="s">
        <v>3189</v>
      </c>
      <c r="F1308" s="227" t="s">
        <v>2697</v>
      </c>
      <c r="G1308" s="227" t="s">
        <v>2497</v>
      </c>
      <c r="H1308" s="264" t="s">
        <v>3190</v>
      </c>
      <c r="I1308" s="253" t="s">
        <v>2746</v>
      </c>
      <c r="J1308" s="227" t="s">
        <v>2548</v>
      </c>
      <c r="K1308" s="264" t="s">
        <v>3132</v>
      </c>
      <c r="L1308" s="264" t="s">
        <v>2799</v>
      </c>
      <c r="M1308" s="227" t="s">
        <v>2370</v>
      </c>
      <c r="N1308" s="293"/>
      <c r="O1308" s="293" t="str">
        <f>TablaPOA[[#This Row],[Cod_Sub_acción_especifica]]&amp;"_"&amp;TablaPOA[[#This Row],[Tipo de agente]]</f>
        <v>K31.4.1.4_Instalaciones de compresión, transferencia y descompresión de gas natural</v>
      </c>
      <c r="P1308" s="254" t="s">
        <v>2902</v>
      </c>
      <c r="Q1308" s="292" t="str">
        <f>TablaPOA[[#This Row],[Cod_Sub_acción_especifica]]&amp;"_"&amp;TablaPOA[[#This Row],[Cod_Tipo_agente]]</f>
        <v>K31.4.1.4_TA7</v>
      </c>
      <c r="R1308" s="254" t="s">
        <v>2903</v>
      </c>
      <c r="S1308" s="260" t="s">
        <v>2906</v>
      </c>
      <c r="T1308" s="275" t="s">
        <v>2907</v>
      </c>
    </row>
    <row r="1309" spans="1:20" ht="38.25" x14ac:dyDescent="0.25">
      <c r="A1309" s="219" t="s">
        <v>2314</v>
      </c>
      <c r="B1309" s="227">
        <v>31</v>
      </c>
      <c r="C1309" s="227" t="s">
        <v>2691</v>
      </c>
      <c r="D1309" s="227" t="s">
        <v>2988</v>
      </c>
      <c r="E1309" s="227" t="s">
        <v>3189</v>
      </c>
      <c r="F1309" s="227" t="s">
        <v>2697</v>
      </c>
      <c r="G1309" s="227" t="s">
        <v>2497</v>
      </c>
      <c r="H1309" s="264" t="s">
        <v>3190</v>
      </c>
      <c r="I1309" s="253" t="s">
        <v>2746</v>
      </c>
      <c r="J1309" s="227" t="s">
        <v>2548</v>
      </c>
      <c r="K1309" s="264" t="s">
        <v>3132</v>
      </c>
      <c r="L1309" s="264" t="s">
        <v>2799</v>
      </c>
      <c r="M1309" s="227" t="s">
        <v>2370</v>
      </c>
      <c r="N1309" s="293"/>
      <c r="O1309" s="293" t="str">
        <f>TablaPOA[[#This Row],[Cod_Sub_acción_especifica]]&amp;"_"&amp;TablaPOA[[#This Row],[Tipo de agente]]</f>
        <v>K31.4.1.4_Instalaciones de compresión, transferencia y descompresión de gas natural</v>
      </c>
      <c r="P1309" s="254" t="s">
        <v>2902</v>
      </c>
      <c r="Q1309" s="292" t="str">
        <f>TablaPOA[[#This Row],[Cod_Sub_acción_especifica]]&amp;"_"&amp;TablaPOA[[#This Row],[Cod_Tipo_agente]]</f>
        <v>K31.4.1.4_TA7</v>
      </c>
      <c r="R1309" s="254" t="s">
        <v>2903</v>
      </c>
      <c r="S1309" s="260" t="s">
        <v>2908</v>
      </c>
      <c r="T1309" s="275" t="s">
        <v>2909</v>
      </c>
    </row>
    <row r="1310" spans="1:20" ht="38.25" x14ac:dyDescent="0.25">
      <c r="A1310" s="219" t="s">
        <v>2314</v>
      </c>
      <c r="B1310" s="227">
        <v>31</v>
      </c>
      <c r="C1310" s="227" t="s">
        <v>2691</v>
      </c>
      <c r="D1310" s="227" t="s">
        <v>2988</v>
      </c>
      <c r="E1310" s="227" t="s">
        <v>3189</v>
      </c>
      <c r="F1310" s="227" t="s">
        <v>2697</v>
      </c>
      <c r="G1310" s="227" t="s">
        <v>2497</v>
      </c>
      <c r="H1310" s="264" t="s">
        <v>3190</v>
      </c>
      <c r="I1310" s="253" t="s">
        <v>2746</v>
      </c>
      <c r="J1310" s="227" t="s">
        <v>2548</v>
      </c>
      <c r="K1310" s="264" t="s">
        <v>3132</v>
      </c>
      <c r="L1310" s="264" t="s">
        <v>2799</v>
      </c>
      <c r="M1310" s="227" t="s">
        <v>2370</v>
      </c>
      <c r="N1310" s="293"/>
      <c r="O1310" s="293" t="str">
        <f>TablaPOA[[#This Row],[Cod_Sub_acción_especifica]]&amp;"_"&amp;TablaPOA[[#This Row],[Tipo de agente]]</f>
        <v>K31.4.1.4_Instalaciones de compresión, transferencia y descompresión de gas natural</v>
      </c>
      <c r="P1310" s="254" t="s">
        <v>2902</v>
      </c>
      <c r="Q1310" s="292" t="str">
        <f>TablaPOA[[#This Row],[Cod_Sub_acción_especifica]]&amp;"_"&amp;TablaPOA[[#This Row],[Cod_Tipo_agente]]</f>
        <v>K31.4.1.4_TA7</v>
      </c>
      <c r="R1310" s="254" t="s">
        <v>2903</v>
      </c>
      <c r="S1310" s="260" t="s">
        <v>2910</v>
      </c>
      <c r="T1310" s="275" t="s">
        <v>2911</v>
      </c>
    </row>
    <row r="1311" spans="1:20" ht="25.5" x14ac:dyDescent="0.25">
      <c r="A1311" s="219" t="s">
        <v>2314</v>
      </c>
      <c r="B1311" s="227">
        <v>31</v>
      </c>
      <c r="C1311" s="227" t="s">
        <v>2691</v>
      </c>
      <c r="D1311" s="227" t="s">
        <v>2988</v>
      </c>
      <c r="E1311" s="227" t="s">
        <v>3189</v>
      </c>
      <c r="F1311" s="227" t="s">
        <v>2697</v>
      </c>
      <c r="G1311" s="227" t="s">
        <v>2497</v>
      </c>
      <c r="H1311" s="264" t="s">
        <v>3190</v>
      </c>
      <c r="I1311" s="253" t="s">
        <v>2746</v>
      </c>
      <c r="J1311" s="227" t="s">
        <v>2548</v>
      </c>
      <c r="K1311" s="264" t="s">
        <v>3132</v>
      </c>
      <c r="L1311" s="264" t="s">
        <v>2799</v>
      </c>
      <c r="M1311" s="227" t="s">
        <v>2370</v>
      </c>
      <c r="N1311" s="293"/>
      <c r="O1311" s="293" t="str">
        <f>TablaPOA[[#This Row],[Cod_Sub_acción_especifica]]&amp;"_"&amp;TablaPOA[[#This Row],[Tipo de agente]]</f>
        <v>K31.4.1.4_Productores y Plantas de procesamiento</v>
      </c>
      <c r="P1311" s="254" t="s">
        <v>2962</v>
      </c>
      <c r="Q1311" s="292" t="str">
        <f>TablaPOA[[#This Row],[Cod_Sub_acción_especifica]]&amp;"_"&amp;TablaPOA[[#This Row],[Cod_Tipo_agente]]</f>
        <v>K31.4.1.4_TA11</v>
      </c>
      <c r="R1311" s="254" t="s">
        <v>2963</v>
      </c>
      <c r="S1311" s="255" t="s">
        <v>2964</v>
      </c>
      <c r="T1311" s="271" t="s">
        <v>2965</v>
      </c>
    </row>
    <row r="1312" spans="1:20" ht="25.5" x14ac:dyDescent="0.25">
      <c r="A1312" s="219" t="s">
        <v>2314</v>
      </c>
      <c r="B1312" s="227">
        <v>31</v>
      </c>
      <c r="C1312" s="227" t="s">
        <v>2691</v>
      </c>
      <c r="D1312" s="227" t="s">
        <v>2988</v>
      </c>
      <c r="E1312" s="227" t="s">
        <v>3189</v>
      </c>
      <c r="F1312" s="227" t="s">
        <v>2697</v>
      </c>
      <c r="G1312" s="227" t="s">
        <v>2497</v>
      </c>
      <c r="H1312" s="264" t="s">
        <v>3190</v>
      </c>
      <c r="I1312" s="253" t="s">
        <v>2746</v>
      </c>
      <c r="J1312" s="227" t="s">
        <v>2548</v>
      </c>
      <c r="K1312" s="264" t="s">
        <v>3132</v>
      </c>
      <c r="L1312" s="264" t="s">
        <v>2799</v>
      </c>
      <c r="M1312" s="227" t="s">
        <v>2370</v>
      </c>
      <c r="N1312" s="293"/>
      <c r="O1312" s="293" t="str">
        <f>TablaPOA[[#This Row],[Cod_Sub_acción_especifica]]&amp;"_"&amp;TablaPOA[[#This Row],[Tipo de agente]]</f>
        <v>K31.4.1.4_Productores y Plantas de procesamiento</v>
      </c>
      <c r="P1312" s="254" t="s">
        <v>2962</v>
      </c>
      <c r="Q1312" s="292" t="str">
        <f>TablaPOA[[#This Row],[Cod_Sub_acción_especifica]]&amp;"_"&amp;TablaPOA[[#This Row],[Cod_Tipo_agente]]</f>
        <v>K31.4.1.4_TA11</v>
      </c>
      <c r="R1312" s="254" t="s">
        <v>2963</v>
      </c>
      <c r="S1312" s="255" t="s">
        <v>2966</v>
      </c>
      <c r="T1312" s="271" t="s">
        <v>2967</v>
      </c>
    </row>
    <row r="1313" spans="1:20" ht="25.5" x14ac:dyDescent="0.25">
      <c r="A1313" s="219" t="s">
        <v>2314</v>
      </c>
      <c r="B1313" s="227">
        <v>31</v>
      </c>
      <c r="C1313" s="227" t="s">
        <v>2691</v>
      </c>
      <c r="D1313" s="227" t="s">
        <v>2988</v>
      </c>
      <c r="E1313" s="227" t="s">
        <v>3189</v>
      </c>
      <c r="F1313" s="227" t="s">
        <v>2697</v>
      </c>
      <c r="G1313" s="227" t="s">
        <v>2497</v>
      </c>
      <c r="H1313" s="264" t="s">
        <v>3190</v>
      </c>
      <c r="I1313" s="253" t="s">
        <v>2746</v>
      </c>
      <c r="J1313" s="227" t="s">
        <v>2548</v>
      </c>
      <c r="K1313" s="264" t="s">
        <v>3132</v>
      </c>
      <c r="L1313" s="264" t="s">
        <v>2799</v>
      </c>
      <c r="M1313" s="227" t="s">
        <v>2370</v>
      </c>
      <c r="N1313" s="293"/>
      <c r="O1313" s="293" t="str">
        <f>TablaPOA[[#This Row],[Cod_Sub_acción_especifica]]&amp;"_"&amp;TablaPOA[[#This Row],[Tipo de agente]]</f>
        <v>K31.4.1.4_Productores y Plantas de procesamiento</v>
      </c>
      <c r="P1313" s="254" t="s">
        <v>2962</v>
      </c>
      <c r="Q1313" s="292" t="str">
        <f>TablaPOA[[#This Row],[Cod_Sub_acción_especifica]]&amp;"_"&amp;TablaPOA[[#This Row],[Cod_Tipo_agente]]</f>
        <v>K31.4.1.4_TA11</v>
      </c>
      <c r="R1313" s="254" t="s">
        <v>2963</v>
      </c>
      <c r="S1313" s="255" t="s">
        <v>2968</v>
      </c>
      <c r="T1313" s="271" t="s">
        <v>2969</v>
      </c>
    </row>
    <row r="1314" spans="1:20" ht="25.5" x14ac:dyDescent="0.25">
      <c r="A1314" s="219" t="s">
        <v>2314</v>
      </c>
      <c r="B1314" s="227">
        <v>31</v>
      </c>
      <c r="C1314" s="227" t="s">
        <v>2691</v>
      </c>
      <c r="D1314" s="227" t="s">
        <v>2988</v>
      </c>
      <c r="E1314" s="227" t="s">
        <v>3189</v>
      </c>
      <c r="F1314" s="227" t="s">
        <v>2697</v>
      </c>
      <c r="G1314" s="227" t="s">
        <v>2497</v>
      </c>
      <c r="H1314" s="264" t="s">
        <v>3190</v>
      </c>
      <c r="I1314" s="253" t="s">
        <v>2746</v>
      </c>
      <c r="J1314" s="227" t="s">
        <v>2548</v>
      </c>
      <c r="K1314" s="264" t="s">
        <v>3132</v>
      </c>
      <c r="L1314" s="264" t="s">
        <v>2799</v>
      </c>
      <c r="M1314" s="227" t="s">
        <v>2370</v>
      </c>
      <c r="N1314" s="293"/>
      <c r="O1314" s="293" t="str">
        <f>TablaPOA[[#This Row],[Cod_Sub_acción_especifica]]&amp;"_"&amp;TablaPOA[[#This Row],[Tipo de agente]]</f>
        <v>K31.4.1.4_Productores y Plantas de procesamiento</v>
      </c>
      <c r="P1314" s="254" t="s">
        <v>2962</v>
      </c>
      <c r="Q1314" s="292" t="str">
        <f>TablaPOA[[#This Row],[Cod_Sub_acción_especifica]]&amp;"_"&amp;TablaPOA[[#This Row],[Cod_Tipo_agente]]</f>
        <v>K31.4.1.4_TA11</v>
      </c>
      <c r="R1314" s="254" t="s">
        <v>2963</v>
      </c>
      <c r="S1314" s="255" t="s">
        <v>2970</v>
      </c>
      <c r="T1314" s="271" t="s">
        <v>2971</v>
      </c>
    </row>
    <row r="1315" spans="1:20" ht="25.5" x14ac:dyDescent="0.25">
      <c r="A1315" s="219" t="s">
        <v>2314</v>
      </c>
      <c r="B1315" s="227">
        <v>31</v>
      </c>
      <c r="C1315" s="227" t="s">
        <v>2691</v>
      </c>
      <c r="D1315" s="227" t="s">
        <v>2988</v>
      </c>
      <c r="E1315" s="227" t="s">
        <v>3189</v>
      </c>
      <c r="F1315" s="227" t="s">
        <v>2697</v>
      </c>
      <c r="G1315" s="227" t="s">
        <v>2497</v>
      </c>
      <c r="H1315" s="264" t="s">
        <v>3190</v>
      </c>
      <c r="I1315" s="253" t="s">
        <v>2746</v>
      </c>
      <c r="J1315" s="227" t="s">
        <v>2548</v>
      </c>
      <c r="K1315" s="264" t="s">
        <v>3132</v>
      </c>
      <c r="L1315" s="264" t="s">
        <v>2799</v>
      </c>
      <c r="M1315" s="227" t="s">
        <v>2370</v>
      </c>
      <c r="N1315" s="293"/>
      <c r="O1315" s="293" t="str">
        <f>TablaPOA[[#This Row],[Cod_Sub_acción_especifica]]&amp;"_"&amp;TablaPOA[[#This Row],[Tipo de agente]]</f>
        <v>K31.4.1.4_Productores y Plantas de procesamiento</v>
      </c>
      <c r="P1315" s="254" t="s">
        <v>2962</v>
      </c>
      <c r="Q1315" s="292" t="str">
        <f>TablaPOA[[#This Row],[Cod_Sub_acción_especifica]]&amp;"_"&amp;TablaPOA[[#This Row],[Cod_Tipo_agente]]</f>
        <v>K31.4.1.4_TA11</v>
      </c>
      <c r="R1315" s="254" t="s">
        <v>2963</v>
      </c>
      <c r="S1315" s="255" t="s">
        <v>2972</v>
      </c>
      <c r="T1315" s="271" t="s">
        <v>2973</v>
      </c>
    </row>
    <row r="1316" spans="1:20" ht="25.5" x14ac:dyDescent="0.25">
      <c r="A1316" s="219" t="s">
        <v>2314</v>
      </c>
      <c r="B1316" s="227">
        <v>31</v>
      </c>
      <c r="C1316" s="227" t="s">
        <v>2691</v>
      </c>
      <c r="D1316" s="227" t="s">
        <v>2988</v>
      </c>
      <c r="E1316" s="227" t="s">
        <v>3189</v>
      </c>
      <c r="F1316" s="227" t="s">
        <v>2697</v>
      </c>
      <c r="G1316" s="227" t="s">
        <v>2497</v>
      </c>
      <c r="H1316" s="264" t="s">
        <v>3190</v>
      </c>
      <c r="I1316" s="253" t="s">
        <v>2746</v>
      </c>
      <c r="J1316" s="227" t="s">
        <v>2548</v>
      </c>
      <c r="K1316" s="264" t="s">
        <v>3132</v>
      </c>
      <c r="L1316" s="264" t="s">
        <v>2799</v>
      </c>
      <c r="M1316" s="227" t="s">
        <v>2370</v>
      </c>
      <c r="N1316" s="293"/>
      <c r="O1316" s="293" t="str">
        <f>TablaPOA[[#This Row],[Cod_Sub_acción_especifica]]&amp;"_"&amp;TablaPOA[[#This Row],[Tipo de agente]]</f>
        <v>K31.4.1.4_Productores y Plantas de procesamiento</v>
      </c>
      <c r="P1316" s="254" t="s">
        <v>2962</v>
      </c>
      <c r="Q1316" s="292" t="str">
        <f>TablaPOA[[#This Row],[Cod_Sub_acción_especifica]]&amp;"_"&amp;TablaPOA[[#This Row],[Cod_Tipo_agente]]</f>
        <v>K31.4.1.4_TA11</v>
      </c>
      <c r="R1316" s="254" t="s">
        <v>2963</v>
      </c>
      <c r="S1316" s="255" t="s">
        <v>2974</v>
      </c>
      <c r="T1316" s="271" t="s">
        <v>2975</v>
      </c>
    </row>
    <row r="1317" spans="1:20" ht="25.5" x14ac:dyDescent="0.25">
      <c r="A1317" s="219" t="s">
        <v>2314</v>
      </c>
      <c r="B1317" s="227">
        <v>31</v>
      </c>
      <c r="C1317" s="227" t="s">
        <v>2691</v>
      </c>
      <c r="D1317" s="227" t="s">
        <v>2988</v>
      </c>
      <c r="E1317" s="227" t="s">
        <v>3189</v>
      </c>
      <c r="F1317" s="227" t="s">
        <v>2697</v>
      </c>
      <c r="G1317" s="227" t="s">
        <v>2497</v>
      </c>
      <c r="H1317" s="264" t="s">
        <v>3190</v>
      </c>
      <c r="I1317" s="253" t="s">
        <v>2746</v>
      </c>
      <c r="J1317" s="227" t="s">
        <v>2548</v>
      </c>
      <c r="K1317" s="264" t="s">
        <v>3132</v>
      </c>
      <c r="L1317" s="264" t="s">
        <v>2799</v>
      </c>
      <c r="M1317" s="227" t="s">
        <v>2370</v>
      </c>
      <c r="N1317" s="293"/>
      <c r="O1317" s="293" t="str">
        <f>TablaPOA[[#This Row],[Cod_Sub_acción_especifica]]&amp;"_"&amp;TablaPOA[[#This Row],[Tipo de agente]]</f>
        <v>K31.4.1.4_Productores y Plantas de procesamiento</v>
      </c>
      <c r="P1317" s="254" t="s">
        <v>2962</v>
      </c>
      <c r="Q1317" s="292" t="str">
        <f>TablaPOA[[#This Row],[Cod_Sub_acción_especifica]]&amp;"_"&amp;TablaPOA[[#This Row],[Cod_Tipo_agente]]</f>
        <v>K31.4.1.4_TA11</v>
      </c>
      <c r="R1317" s="254" t="s">
        <v>2963</v>
      </c>
      <c r="S1317" s="255" t="s">
        <v>2976</v>
      </c>
      <c r="T1317" s="271" t="s">
        <v>2977</v>
      </c>
    </row>
    <row r="1318" spans="1:20" ht="25.5" x14ac:dyDescent="0.25">
      <c r="A1318" s="268" t="s">
        <v>2314</v>
      </c>
      <c r="B1318" s="248">
        <v>31</v>
      </c>
      <c r="C1318" s="248" t="s">
        <v>2691</v>
      </c>
      <c r="D1318" s="248" t="s">
        <v>2988</v>
      </c>
      <c r="E1318" s="248" t="s">
        <v>3189</v>
      </c>
      <c r="F1318" s="248" t="s">
        <v>2697</v>
      </c>
      <c r="G1318" s="248" t="s">
        <v>2497</v>
      </c>
      <c r="H1318" s="263" t="s">
        <v>3190</v>
      </c>
      <c r="I1318" s="249" t="s">
        <v>2746</v>
      </c>
      <c r="J1318" s="248" t="s">
        <v>2548</v>
      </c>
      <c r="K1318" s="263" t="s">
        <v>3133</v>
      </c>
      <c r="L1318" s="263" t="s">
        <v>2800</v>
      </c>
      <c r="M1318" s="248" t="s">
        <v>2371</v>
      </c>
      <c r="N1318" s="299" t="s">
        <v>2809</v>
      </c>
      <c r="O1318" s="292" t="str">
        <f>TablaPOA[[#This Row],[Cod_Sub_acción_especifica]]&amp;"_"&amp;TablaPOA[[#This Row],[Tipo de agente]]</f>
        <v>K31.4.1.5_Consumidores directos de combustibles líquidos y OPDH</v>
      </c>
      <c r="P1318" s="250" t="s">
        <v>2808</v>
      </c>
      <c r="Q1318" s="292" t="str">
        <f>TablaPOA[[#This Row],[Cod_Sub_acción_especifica]]&amp;"_"&amp;TablaPOA[[#This Row],[Cod_Tipo_agente]]</f>
        <v>K31.4.1.5_TA1</v>
      </c>
      <c r="R1318" s="250" t="s">
        <v>2809</v>
      </c>
      <c r="S1318" s="251" t="s">
        <v>2810</v>
      </c>
      <c r="T1318" s="269" t="s">
        <v>2811</v>
      </c>
    </row>
    <row r="1319" spans="1:20" ht="25.5" x14ac:dyDescent="0.25">
      <c r="A1319" s="268" t="s">
        <v>2314</v>
      </c>
      <c r="B1319" s="248">
        <v>31</v>
      </c>
      <c r="C1319" s="248" t="s">
        <v>2691</v>
      </c>
      <c r="D1319" s="248" t="s">
        <v>2988</v>
      </c>
      <c r="E1319" s="248" t="s">
        <v>3189</v>
      </c>
      <c r="F1319" s="248" t="s">
        <v>2697</v>
      </c>
      <c r="G1319" s="248" t="s">
        <v>2497</v>
      </c>
      <c r="H1319" s="263" t="s">
        <v>3190</v>
      </c>
      <c r="I1319" s="249" t="s">
        <v>2746</v>
      </c>
      <c r="J1319" s="248" t="s">
        <v>2548</v>
      </c>
      <c r="K1319" s="263" t="s">
        <v>3133</v>
      </c>
      <c r="L1319" s="263" t="s">
        <v>2800</v>
      </c>
      <c r="M1319" s="248" t="s">
        <v>2371</v>
      </c>
      <c r="N1319" s="299" t="s">
        <v>2831</v>
      </c>
      <c r="O1319" s="292" t="str">
        <f>TablaPOA[[#This Row],[Cod_Sub_acción_especifica]]&amp;"_"&amp;TablaPOA[[#This Row],[Tipo de agente]]</f>
        <v>K31.4.1.5_Consumidores directos de combustibles líquidos y OPDH</v>
      </c>
      <c r="P1319" s="250" t="s">
        <v>2808</v>
      </c>
      <c r="Q1319" s="292" t="str">
        <f>TablaPOA[[#This Row],[Cod_Sub_acción_especifica]]&amp;"_"&amp;TablaPOA[[#This Row],[Cod_Tipo_agente]]</f>
        <v>K31.4.1.5_TA1</v>
      </c>
      <c r="R1319" s="250" t="s">
        <v>2809</v>
      </c>
      <c r="S1319" s="251" t="s">
        <v>2812</v>
      </c>
      <c r="T1319" s="269" t="s">
        <v>2813</v>
      </c>
    </row>
    <row r="1320" spans="1:20" ht="25.5" x14ac:dyDescent="0.25">
      <c r="A1320" s="268" t="s">
        <v>2314</v>
      </c>
      <c r="B1320" s="248">
        <v>31</v>
      </c>
      <c r="C1320" s="248" t="s">
        <v>2691</v>
      </c>
      <c r="D1320" s="248" t="s">
        <v>2988</v>
      </c>
      <c r="E1320" s="248" t="s">
        <v>3189</v>
      </c>
      <c r="F1320" s="248" t="s">
        <v>2697</v>
      </c>
      <c r="G1320" s="248" t="s">
        <v>2497</v>
      </c>
      <c r="H1320" s="263" t="s">
        <v>3190</v>
      </c>
      <c r="I1320" s="249" t="s">
        <v>2746</v>
      </c>
      <c r="J1320" s="248" t="s">
        <v>2548</v>
      </c>
      <c r="K1320" s="263" t="s">
        <v>3133</v>
      </c>
      <c r="L1320" s="263" t="s">
        <v>2800</v>
      </c>
      <c r="M1320" s="248" t="s">
        <v>2371</v>
      </c>
      <c r="N1320" s="299" t="s">
        <v>2840</v>
      </c>
      <c r="O1320" s="292" t="str">
        <f>TablaPOA[[#This Row],[Cod_Sub_acción_especifica]]&amp;"_"&amp;TablaPOA[[#This Row],[Tipo de agente]]</f>
        <v>K31.4.1.5_Consumidores directos de combustibles líquidos y OPDH</v>
      </c>
      <c r="P1320" s="250" t="s">
        <v>2808</v>
      </c>
      <c r="Q1320" s="292" t="str">
        <f>TablaPOA[[#This Row],[Cod_Sub_acción_especifica]]&amp;"_"&amp;TablaPOA[[#This Row],[Cod_Tipo_agente]]</f>
        <v>K31.4.1.5_TA1</v>
      </c>
      <c r="R1320" s="250" t="s">
        <v>2809</v>
      </c>
      <c r="S1320" s="251" t="s">
        <v>2814</v>
      </c>
      <c r="T1320" s="269" t="s">
        <v>2815</v>
      </c>
    </row>
    <row r="1321" spans="1:20" ht="25.5" x14ac:dyDescent="0.25">
      <c r="A1321" s="268" t="s">
        <v>2314</v>
      </c>
      <c r="B1321" s="248">
        <v>31</v>
      </c>
      <c r="C1321" s="248" t="s">
        <v>2691</v>
      </c>
      <c r="D1321" s="248" t="s">
        <v>2988</v>
      </c>
      <c r="E1321" s="248" t="s">
        <v>3189</v>
      </c>
      <c r="F1321" s="248" t="s">
        <v>2697</v>
      </c>
      <c r="G1321" s="248" t="s">
        <v>2497</v>
      </c>
      <c r="H1321" s="263" t="s">
        <v>3190</v>
      </c>
      <c r="I1321" s="249" t="s">
        <v>2746</v>
      </c>
      <c r="J1321" s="248" t="s">
        <v>2548</v>
      </c>
      <c r="K1321" s="263" t="s">
        <v>3133</v>
      </c>
      <c r="L1321" s="263" t="s">
        <v>2800</v>
      </c>
      <c r="M1321" s="248" t="s">
        <v>2371</v>
      </c>
      <c r="N1321" s="299" t="s">
        <v>2853</v>
      </c>
      <c r="O1321" s="292" t="str">
        <f>TablaPOA[[#This Row],[Cod_Sub_acción_especifica]]&amp;"_"&amp;TablaPOA[[#This Row],[Tipo de agente]]</f>
        <v>K31.4.1.5_Consumidores directos de combustibles líquidos y OPDH</v>
      </c>
      <c r="P1321" s="250" t="s">
        <v>2808</v>
      </c>
      <c r="Q1321" s="292" t="str">
        <f>TablaPOA[[#This Row],[Cod_Sub_acción_especifica]]&amp;"_"&amp;TablaPOA[[#This Row],[Cod_Tipo_agente]]</f>
        <v>K31.4.1.5_TA1</v>
      </c>
      <c r="R1321" s="250" t="s">
        <v>2809</v>
      </c>
      <c r="S1321" s="251" t="s">
        <v>2816</v>
      </c>
      <c r="T1321" s="269" t="s">
        <v>2817</v>
      </c>
    </row>
    <row r="1322" spans="1:20" ht="25.5" x14ac:dyDescent="0.25">
      <c r="A1322" s="268" t="s">
        <v>2314</v>
      </c>
      <c r="B1322" s="248">
        <v>31</v>
      </c>
      <c r="C1322" s="248" t="s">
        <v>2691</v>
      </c>
      <c r="D1322" s="248" t="s">
        <v>2988</v>
      </c>
      <c r="E1322" s="248" t="s">
        <v>3189</v>
      </c>
      <c r="F1322" s="248" t="s">
        <v>2697</v>
      </c>
      <c r="G1322" s="248" t="s">
        <v>2497</v>
      </c>
      <c r="H1322" s="263" t="s">
        <v>3190</v>
      </c>
      <c r="I1322" s="249" t="s">
        <v>2746</v>
      </c>
      <c r="J1322" s="248" t="s">
        <v>2548</v>
      </c>
      <c r="K1322" s="263" t="s">
        <v>3133</v>
      </c>
      <c r="L1322" s="263" t="s">
        <v>2800</v>
      </c>
      <c r="M1322" s="248" t="s">
        <v>2371</v>
      </c>
      <c r="N1322" s="299" t="s">
        <v>2877</v>
      </c>
      <c r="O1322" s="292" t="str">
        <f>TablaPOA[[#This Row],[Cod_Sub_acción_especifica]]&amp;"_"&amp;TablaPOA[[#This Row],[Tipo de agente]]</f>
        <v>K31.4.1.5_Consumidores directos de combustibles líquidos y OPDH</v>
      </c>
      <c r="P1322" s="250" t="s">
        <v>2808</v>
      </c>
      <c r="Q1322" s="292" t="str">
        <f>TablaPOA[[#This Row],[Cod_Sub_acción_especifica]]&amp;"_"&amp;TablaPOA[[#This Row],[Cod_Tipo_agente]]</f>
        <v>K31.4.1.5_TA1</v>
      </c>
      <c r="R1322" s="250" t="s">
        <v>2809</v>
      </c>
      <c r="S1322" s="251" t="s">
        <v>2818</v>
      </c>
      <c r="T1322" s="269" t="s">
        <v>2819</v>
      </c>
    </row>
    <row r="1323" spans="1:20" ht="25.5" x14ac:dyDescent="0.25">
      <c r="A1323" s="268" t="s">
        <v>2314</v>
      </c>
      <c r="B1323" s="248">
        <v>31</v>
      </c>
      <c r="C1323" s="248" t="s">
        <v>2691</v>
      </c>
      <c r="D1323" s="248" t="s">
        <v>2988</v>
      </c>
      <c r="E1323" s="248" t="s">
        <v>3189</v>
      </c>
      <c r="F1323" s="248" t="s">
        <v>2697</v>
      </c>
      <c r="G1323" s="248" t="s">
        <v>2497</v>
      </c>
      <c r="H1323" s="263" t="s">
        <v>3190</v>
      </c>
      <c r="I1323" s="249" t="s">
        <v>2746</v>
      </c>
      <c r="J1323" s="248" t="s">
        <v>2548</v>
      </c>
      <c r="K1323" s="263" t="s">
        <v>3133</v>
      </c>
      <c r="L1323" s="263" t="s">
        <v>2800</v>
      </c>
      <c r="M1323" s="248" t="s">
        <v>2371</v>
      </c>
      <c r="N1323" s="299" t="s">
        <v>2883</v>
      </c>
      <c r="O1323" s="292" t="str">
        <f>TablaPOA[[#This Row],[Cod_Sub_acción_especifica]]&amp;"_"&amp;TablaPOA[[#This Row],[Tipo de agente]]</f>
        <v>K31.4.1.5_Consumidores directos de combustibles líquidos y OPDH</v>
      </c>
      <c r="P1323" s="250" t="s">
        <v>2808</v>
      </c>
      <c r="Q1323" s="292" t="str">
        <f>TablaPOA[[#This Row],[Cod_Sub_acción_especifica]]&amp;"_"&amp;TablaPOA[[#This Row],[Cod_Tipo_agente]]</f>
        <v>K31.4.1.5_TA1</v>
      </c>
      <c r="R1323" s="250" t="s">
        <v>2809</v>
      </c>
      <c r="S1323" s="251" t="s">
        <v>2820</v>
      </c>
      <c r="T1323" s="269" t="s">
        <v>2821</v>
      </c>
    </row>
    <row r="1324" spans="1:20" ht="25.5" x14ac:dyDescent="0.25">
      <c r="A1324" s="268" t="s">
        <v>2314</v>
      </c>
      <c r="B1324" s="248">
        <v>31</v>
      </c>
      <c r="C1324" s="248" t="s">
        <v>2691</v>
      </c>
      <c r="D1324" s="248" t="s">
        <v>2988</v>
      </c>
      <c r="E1324" s="248" t="s">
        <v>3189</v>
      </c>
      <c r="F1324" s="248" t="s">
        <v>2697</v>
      </c>
      <c r="G1324" s="248" t="s">
        <v>2497</v>
      </c>
      <c r="H1324" s="263" t="s">
        <v>3190</v>
      </c>
      <c r="I1324" s="249" t="s">
        <v>2746</v>
      </c>
      <c r="J1324" s="248" t="s">
        <v>2548</v>
      </c>
      <c r="K1324" s="263" t="s">
        <v>3133</v>
      </c>
      <c r="L1324" s="263" t="s">
        <v>2800</v>
      </c>
      <c r="M1324" s="248" t="s">
        <v>2371</v>
      </c>
      <c r="N1324" s="299" t="s">
        <v>2913</v>
      </c>
      <c r="O1324" s="292" t="str">
        <f>TablaPOA[[#This Row],[Cod_Sub_acción_especifica]]&amp;"_"&amp;TablaPOA[[#This Row],[Tipo de agente]]</f>
        <v>K31.4.1.5_Consumidores directos de combustibles líquidos y OPDH</v>
      </c>
      <c r="P1324" s="250" t="s">
        <v>2808</v>
      </c>
      <c r="Q1324" s="292" t="str">
        <f>TablaPOA[[#This Row],[Cod_Sub_acción_especifica]]&amp;"_"&amp;TablaPOA[[#This Row],[Cod_Tipo_agente]]</f>
        <v>K31.4.1.5_TA1</v>
      </c>
      <c r="R1324" s="250" t="s">
        <v>2809</v>
      </c>
      <c r="S1324" s="251" t="s">
        <v>2822</v>
      </c>
      <c r="T1324" s="269" t="s">
        <v>2823</v>
      </c>
    </row>
    <row r="1325" spans="1:20" ht="25.5" x14ac:dyDescent="0.25">
      <c r="A1325" s="268" t="s">
        <v>2314</v>
      </c>
      <c r="B1325" s="248">
        <v>31</v>
      </c>
      <c r="C1325" s="248" t="s">
        <v>2691</v>
      </c>
      <c r="D1325" s="248" t="s">
        <v>2988</v>
      </c>
      <c r="E1325" s="248" t="s">
        <v>3189</v>
      </c>
      <c r="F1325" s="248" t="s">
        <v>2697</v>
      </c>
      <c r="G1325" s="248" t="s">
        <v>2497</v>
      </c>
      <c r="H1325" s="263" t="s">
        <v>3190</v>
      </c>
      <c r="I1325" s="249" t="s">
        <v>2746</v>
      </c>
      <c r="J1325" s="248" t="s">
        <v>2548</v>
      </c>
      <c r="K1325" s="263" t="s">
        <v>3133</v>
      </c>
      <c r="L1325" s="263" t="s">
        <v>2800</v>
      </c>
      <c r="M1325" s="248" t="s">
        <v>2371</v>
      </c>
      <c r="N1325" s="299" t="s">
        <v>2919</v>
      </c>
      <c r="O1325" s="292" t="str">
        <f>TablaPOA[[#This Row],[Cod_Sub_acción_especifica]]&amp;"_"&amp;TablaPOA[[#This Row],[Tipo de agente]]</f>
        <v>K31.4.1.5_Consumidores directos de combustibles líquidos y OPDH</v>
      </c>
      <c r="P1325" s="250" t="s">
        <v>2808</v>
      </c>
      <c r="Q1325" s="292" t="str">
        <f>TablaPOA[[#This Row],[Cod_Sub_acción_especifica]]&amp;"_"&amp;TablaPOA[[#This Row],[Cod_Tipo_agente]]</f>
        <v>K31.4.1.5_TA1</v>
      </c>
      <c r="R1325" s="250" t="s">
        <v>2809</v>
      </c>
      <c r="S1325" s="251" t="s">
        <v>2824</v>
      </c>
      <c r="T1325" s="269" t="s">
        <v>2825</v>
      </c>
    </row>
    <row r="1326" spans="1:20" ht="25.5" x14ac:dyDescent="0.25">
      <c r="A1326" s="268" t="s">
        <v>2314</v>
      </c>
      <c r="B1326" s="248">
        <v>31</v>
      </c>
      <c r="C1326" s="248" t="s">
        <v>2691</v>
      </c>
      <c r="D1326" s="248" t="s">
        <v>2988</v>
      </c>
      <c r="E1326" s="248" t="s">
        <v>3189</v>
      </c>
      <c r="F1326" s="248" t="s">
        <v>2697</v>
      </c>
      <c r="G1326" s="248" t="s">
        <v>2497</v>
      </c>
      <c r="H1326" s="263" t="s">
        <v>3190</v>
      </c>
      <c r="I1326" s="249" t="s">
        <v>2746</v>
      </c>
      <c r="J1326" s="248" t="s">
        <v>2548</v>
      </c>
      <c r="K1326" s="263" t="s">
        <v>3133</v>
      </c>
      <c r="L1326" s="263" t="s">
        <v>2800</v>
      </c>
      <c r="M1326" s="248" t="s">
        <v>2371</v>
      </c>
      <c r="N1326" s="299" t="s">
        <v>2951</v>
      </c>
      <c r="O1326" s="292" t="str">
        <f>TablaPOA[[#This Row],[Cod_Sub_acción_especifica]]&amp;"_"&amp;TablaPOA[[#This Row],[Tipo de agente]]</f>
        <v>K31.4.1.5_Consumidores directos de combustibles líquidos y OPDH</v>
      </c>
      <c r="P1326" s="250" t="s">
        <v>2808</v>
      </c>
      <c r="Q1326" s="292" t="str">
        <f>TablaPOA[[#This Row],[Cod_Sub_acción_especifica]]&amp;"_"&amp;TablaPOA[[#This Row],[Cod_Tipo_agente]]</f>
        <v>K31.4.1.5_TA1</v>
      </c>
      <c r="R1326" s="250" t="s">
        <v>2809</v>
      </c>
      <c r="S1326" s="251" t="s">
        <v>2826</v>
      </c>
      <c r="T1326" s="269" t="s">
        <v>2827</v>
      </c>
    </row>
    <row r="1327" spans="1:20" ht="25.5" x14ac:dyDescent="0.25">
      <c r="A1327" s="268" t="s">
        <v>2314</v>
      </c>
      <c r="B1327" s="248">
        <v>31</v>
      </c>
      <c r="C1327" s="248" t="s">
        <v>2691</v>
      </c>
      <c r="D1327" s="248" t="s">
        <v>2988</v>
      </c>
      <c r="E1327" s="248" t="s">
        <v>3189</v>
      </c>
      <c r="F1327" s="248" t="s">
        <v>2697</v>
      </c>
      <c r="G1327" s="248" t="s">
        <v>2497</v>
      </c>
      <c r="H1327" s="263" t="s">
        <v>3190</v>
      </c>
      <c r="I1327" s="249" t="s">
        <v>2746</v>
      </c>
      <c r="J1327" s="248" t="s">
        <v>2548</v>
      </c>
      <c r="K1327" s="263" t="s">
        <v>3133</v>
      </c>
      <c r="L1327" s="263" t="s">
        <v>2800</v>
      </c>
      <c r="M1327" s="248" t="s">
        <v>2371</v>
      </c>
      <c r="N1327" s="299" t="s">
        <v>2903</v>
      </c>
      <c r="O1327" s="292" t="str">
        <f>TablaPOA[[#This Row],[Cod_Sub_acción_especifica]]&amp;"_"&amp;TablaPOA[[#This Row],[Tipo de agente]]</f>
        <v>K31.4.1.5_Consumidores directos de combustibles líquidos y OPDH</v>
      </c>
      <c r="P1327" s="250" t="s">
        <v>2808</v>
      </c>
      <c r="Q1327" s="292" t="str">
        <f>TablaPOA[[#This Row],[Cod_Sub_acción_especifica]]&amp;"_"&amp;TablaPOA[[#This Row],[Cod_Tipo_agente]]</f>
        <v>K31.4.1.5_TA1</v>
      </c>
      <c r="R1327" s="250" t="s">
        <v>2809</v>
      </c>
      <c r="S1327" s="251" t="s">
        <v>2828</v>
      </c>
      <c r="T1327" s="269" t="s">
        <v>2829</v>
      </c>
    </row>
    <row r="1328" spans="1:20" ht="25.5" x14ac:dyDescent="0.25">
      <c r="A1328" s="268" t="s">
        <v>2314</v>
      </c>
      <c r="B1328" s="248">
        <v>31</v>
      </c>
      <c r="C1328" s="248" t="s">
        <v>2691</v>
      </c>
      <c r="D1328" s="248" t="s">
        <v>2988</v>
      </c>
      <c r="E1328" s="248" t="s">
        <v>3189</v>
      </c>
      <c r="F1328" s="248" t="s">
        <v>2697</v>
      </c>
      <c r="G1328" s="248" t="s">
        <v>2497</v>
      </c>
      <c r="H1328" s="263" t="s">
        <v>3190</v>
      </c>
      <c r="I1328" s="249" t="s">
        <v>2746</v>
      </c>
      <c r="J1328" s="248" t="s">
        <v>2548</v>
      </c>
      <c r="K1328" s="263" t="s">
        <v>3133</v>
      </c>
      <c r="L1328" s="263" t="s">
        <v>2800</v>
      </c>
      <c r="M1328" s="248" t="s">
        <v>2371</v>
      </c>
      <c r="N1328" s="299" t="s">
        <v>2963</v>
      </c>
      <c r="O1328" s="292" t="str">
        <f>TablaPOA[[#This Row],[Cod_Sub_acción_especifica]]&amp;"_"&amp;TablaPOA[[#This Row],[Tipo de agente]]</f>
        <v>K31.4.1.5_Consumidores directos de gas natural</v>
      </c>
      <c r="P1328" s="250" t="s">
        <v>2830</v>
      </c>
      <c r="Q1328" s="292" t="str">
        <f>TablaPOA[[#This Row],[Cod_Sub_acción_especifica]]&amp;"_"&amp;TablaPOA[[#This Row],[Cod_Tipo_agente]]</f>
        <v>K31.4.1.5_TA2</v>
      </c>
      <c r="R1328" s="250" t="s">
        <v>2831</v>
      </c>
      <c r="S1328" s="250">
        <v>101</v>
      </c>
      <c r="T1328" s="269" t="s">
        <v>2832</v>
      </c>
    </row>
    <row r="1329" spans="1:20" ht="25.5" x14ac:dyDescent="0.25">
      <c r="A1329" s="268" t="s">
        <v>2314</v>
      </c>
      <c r="B1329" s="248">
        <v>31</v>
      </c>
      <c r="C1329" s="248" t="s">
        <v>2691</v>
      </c>
      <c r="D1329" s="248" t="s">
        <v>2988</v>
      </c>
      <c r="E1329" s="248" t="s">
        <v>3189</v>
      </c>
      <c r="F1329" s="248" t="s">
        <v>2697</v>
      </c>
      <c r="G1329" s="248" t="s">
        <v>2497</v>
      </c>
      <c r="H1329" s="263" t="s">
        <v>3190</v>
      </c>
      <c r="I1329" s="249" t="s">
        <v>2746</v>
      </c>
      <c r="J1329" s="248" t="s">
        <v>2548</v>
      </c>
      <c r="K1329" s="263" t="s">
        <v>3133</v>
      </c>
      <c r="L1329" s="263" t="s">
        <v>2800</v>
      </c>
      <c r="M1329" s="248" t="s">
        <v>2371</v>
      </c>
      <c r="N1329" s="293"/>
      <c r="O1329" s="293" t="str">
        <f>TablaPOA[[#This Row],[Cod_Sub_acción_especifica]]&amp;"_"&amp;TablaPOA[[#This Row],[Tipo de agente]]</f>
        <v>K31.4.1.5_Consumidores directos de gas natural</v>
      </c>
      <c r="P1329" s="250" t="s">
        <v>2830</v>
      </c>
      <c r="Q1329" s="292" t="str">
        <f>TablaPOA[[#This Row],[Cod_Sub_acción_especifica]]&amp;"_"&amp;TablaPOA[[#This Row],[Cod_Tipo_agente]]</f>
        <v>K31.4.1.5_TA2</v>
      </c>
      <c r="R1329" s="250" t="s">
        <v>2831</v>
      </c>
      <c r="S1329" s="250" t="s">
        <v>2833</v>
      </c>
      <c r="T1329" s="269" t="s">
        <v>2834</v>
      </c>
    </row>
    <row r="1330" spans="1:20" ht="25.5" x14ac:dyDescent="0.25">
      <c r="A1330" s="268" t="s">
        <v>2314</v>
      </c>
      <c r="B1330" s="248">
        <v>31</v>
      </c>
      <c r="C1330" s="248" t="s">
        <v>2691</v>
      </c>
      <c r="D1330" s="248" t="s">
        <v>2988</v>
      </c>
      <c r="E1330" s="248" t="s">
        <v>3189</v>
      </c>
      <c r="F1330" s="248" t="s">
        <v>2697</v>
      </c>
      <c r="G1330" s="248" t="s">
        <v>2497</v>
      </c>
      <c r="H1330" s="263" t="s">
        <v>3190</v>
      </c>
      <c r="I1330" s="249" t="s">
        <v>2746</v>
      </c>
      <c r="J1330" s="248" t="s">
        <v>2548</v>
      </c>
      <c r="K1330" s="263" t="s">
        <v>3133</v>
      </c>
      <c r="L1330" s="263" t="s">
        <v>2800</v>
      </c>
      <c r="M1330" s="248" t="s">
        <v>2371</v>
      </c>
      <c r="N1330" s="293"/>
      <c r="O1330" s="293" t="str">
        <f>TablaPOA[[#This Row],[Cod_Sub_acción_especifica]]&amp;"_"&amp;TablaPOA[[#This Row],[Tipo de agente]]</f>
        <v>K31.4.1.5_Consumidores directos de gas natural</v>
      </c>
      <c r="P1330" s="250" t="s">
        <v>2830</v>
      </c>
      <c r="Q1330" s="292" t="str">
        <f>TablaPOA[[#This Row],[Cod_Sub_acción_especifica]]&amp;"_"&amp;TablaPOA[[#This Row],[Cod_Tipo_agente]]</f>
        <v>K31.4.1.5_TA2</v>
      </c>
      <c r="R1330" s="250" t="s">
        <v>2831</v>
      </c>
      <c r="S1330" s="250" t="s">
        <v>2835</v>
      </c>
      <c r="T1330" s="269" t="s">
        <v>2836</v>
      </c>
    </row>
    <row r="1331" spans="1:20" ht="25.5" x14ac:dyDescent="0.25">
      <c r="A1331" s="268" t="s">
        <v>2314</v>
      </c>
      <c r="B1331" s="248">
        <v>31</v>
      </c>
      <c r="C1331" s="248" t="s">
        <v>2691</v>
      </c>
      <c r="D1331" s="248" t="s">
        <v>2988</v>
      </c>
      <c r="E1331" s="248" t="s">
        <v>3189</v>
      </c>
      <c r="F1331" s="248" t="s">
        <v>2697</v>
      </c>
      <c r="G1331" s="248" t="s">
        <v>2497</v>
      </c>
      <c r="H1331" s="263" t="s">
        <v>3190</v>
      </c>
      <c r="I1331" s="249" t="s">
        <v>2746</v>
      </c>
      <c r="J1331" s="248" t="s">
        <v>2548</v>
      </c>
      <c r="K1331" s="263" t="s">
        <v>3133</v>
      </c>
      <c r="L1331" s="263" t="s">
        <v>2800</v>
      </c>
      <c r="M1331" s="248" t="s">
        <v>2371</v>
      </c>
      <c r="N1331" s="293"/>
      <c r="O1331" s="293" t="str">
        <f>TablaPOA[[#This Row],[Cod_Sub_acción_especifica]]&amp;"_"&amp;TablaPOA[[#This Row],[Tipo de agente]]</f>
        <v>K31.4.1.5_Consumidores directos de gas natural</v>
      </c>
      <c r="P1331" s="250" t="s">
        <v>2830</v>
      </c>
      <c r="Q1331" s="292" t="str">
        <f>TablaPOA[[#This Row],[Cod_Sub_acción_especifica]]&amp;"_"&amp;TablaPOA[[#This Row],[Cod_Tipo_agente]]</f>
        <v>K31.4.1.5_TA2</v>
      </c>
      <c r="R1331" s="250" t="s">
        <v>2831</v>
      </c>
      <c r="S1331" s="250" t="s">
        <v>2837</v>
      </c>
      <c r="T1331" s="269" t="s">
        <v>2838</v>
      </c>
    </row>
    <row r="1332" spans="1:20" ht="25.5" x14ac:dyDescent="0.25">
      <c r="A1332" s="268" t="s">
        <v>2314</v>
      </c>
      <c r="B1332" s="248">
        <v>31</v>
      </c>
      <c r="C1332" s="248" t="s">
        <v>2691</v>
      </c>
      <c r="D1332" s="248" t="s">
        <v>2988</v>
      </c>
      <c r="E1332" s="248" t="s">
        <v>3189</v>
      </c>
      <c r="F1332" s="248" t="s">
        <v>2697</v>
      </c>
      <c r="G1332" s="248" t="s">
        <v>2497</v>
      </c>
      <c r="H1332" s="263" t="s">
        <v>3190</v>
      </c>
      <c r="I1332" s="249" t="s">
        <v>2746</v>
      </c>
      <c r="J1332" s="248" t="s">
        <v>2548</v>
      </c>
      <c r="K1332" s="263" t="s">
        <v>3133</v>
      </c>
      <c r="L1332" s="263" t="s">
        <v>2800</v>
      </c>
      <c r="M1332" s="248" t="s">
        <v>2371</v>
      </c>
      <c r="N1332" s="293"/>
      <c r="O1332" s="293" t="str">
        <f>TablaPOA[[#This Row],[Cod_Sub_acción_especifica]]&amp;"_"&amp;TablaPOA[[#This Row],[Tipo de agente]]</f>
        <v>K31.4.1.5_Consumidores directos de GLP y redes de distribución</v>
      </c>
      <c r="P1332" s="250" t="s">
        <v>2839</v>
      </c>
      <c r="Q1332" s="292" t="str">
        <f>TablaPOA[[#This Row],[Cod_Sub_acción_especifica]]&amp;"_"&amp;TablaPOA[[#This Row],[Cod_Tipo_agente]]</f>
        <v>K31.4.1.5_TA3</v>
      </c>
      <c r="R1332" s="250" t="s">
        <v>2840</v>
      </c>
      <c r="S1332" s="250">
        <v>400</v>
      </c>
      <c r="T1332" s="269" t="s">
        <v>2841</v>
      </c>
    </row>
    <row r="1333" spans="1:20" ht="25.5" x14ac:dyDescent="0.25">
      <c r="A1333" s="268" t="s">
        <v>2314</v>
      </c>
      <c r="B1333" s="248">
        <v>31</v>
      </c>
      <c r="C1333" s="248" t="s">
        <v>2691</v>
      </c>
      <c r="D1333" s="248" t="s">
        <v>2988</v>
      </c>
      <c r="E1333" s="248" t="s">
        <v>3189</v>
      </c>
      <c r="F1333" s="248" t="s">
        <v>2697</v>
      </c>
      <c r="G1333" s="248" t="s">
        <v>2497</v>
      </c>
      <c r="H1333" s="263" t="s">
        <v>3190</v>
      </c>
      <c r="I1333" s="249" t="s">
        <v>2746</v>
      </c>
      <c r="J1333" s="248" t="s">
        <v>2548</v>
      </c>
      <c r="K1333" s="263" t="s">
        <v>3133</v>
      </c>
      <c r="L1333" s="263" t="s">
        <v>2800</v>
      </c>
      <c r="M1333" s="248" t="s">
        <v>2371</v>
      </c>
      <c r="N1333" s="293"/>
      <c r="O1333" s="293" t="str">
        <f>TablaPOA[[#This Row],[Cod_Sub_acción_especifica]]&amp;"_"&amp;TablaPOA[[#This Row],[Tipo de agente]]</f>
        <v>K31.4.1.5_Consumidores directos de GLP y redes de distribución</v>
      </c>
      <c r="P1333" s="250" t="s">
        <v>2839</v>
      </c>
      <c r="Q1333" s="292" t="str">
        <f>TablaPOA[[#This Row],[Cod_Sub_acción_especifica]]&amp;"_"&amp;TablaPOA[[#This Row],[Cod_Tipo_agente]]</f>
        <v>K31.4.1.5_TA3</v>
      </c>
      <c r="R1333" s="250" t="s">
        <v>2840</v>
      </c>
      <c r="S1333" s="250" t="s">
        <v>2842</v>
      </c>
      <c r="T1333" s="269" t="s">
        <v>2843</v>
      </c>
    </row>
    <row r="1334" spans="1:20" ht="25.5" x14ac:dyDescent="0.25">
      <c r="A1334" s="268" t="s">
        <v>2314</v>
      </c>
      <c r="B1334" s="248">
        <v>31</v>
      </c>
      <c r="C1334" s="248" t="s">
        <v>2691</v>
      </c>
      <c r="D1334" s="248" t="s">
        <v>2988</v>
      </c>
      <c r="E1334" s="248" t="s">
        <v>3189</v>
      </c>
      <c r="F1334" s="248" t="s">
        <v>2697</v>
      </c>
      <c r="G1334" s="248" t="s">
        <v>2497</v>
      </c>
      <c r="H1334" s="263" t="s">
        <v>3190</v>
      </c>
      <c r="I1334" s="249" t="s">
        <v>2746</v>
      </c>
      <c r="J1334" s="248" t="s">
        <v>2548</v>
      </c>
      <c r="K1334" s="263" t="s">
        <v>3133</v>
      </c>
      <c r="L1334" s="263" t="s">
        <v>2800</v>
      </c>
      <c r="M1334" s="248" t="s">
        <v>2371</v>
      </c>
      <c r="N1334" s="293"/>
      <c r="O1334" s="293" t="str">
        <f>TablaPOA[[#This Row],[Cod_Sub_acción_especifica]]&amp;"_"&amp;TablaPOA[[#This Row],[Tipo de agente]]</f>
        <v>K31.4.1.5_Consumidores directos de GLP y redes de distribución</v>
      </c>
      <c r="P1334" s="250" t="s">
        <v>2839</v>
      </c>
      <c r="Q1334" s="292" t="str">
        <f>TablaPOA[[#This Row],[Cod_Sub_acción_especifica]]&amp;"_"&amp;TablaPOA[[#This Row],[Cod_Tipo_agente]]</f>
        <v>K31.4.1.5_TA3</v>
      </c>
      <c r="R1334" s="250" t="s">
        <v>2840</v>
      </c>
      <c r="S1334" s="250" t="s">
        <v>2844</v>
      </c>
      <c r="T1334" s="269" t="s">
        <v>2845</v>
      </c>
    </row>
    <row r="1335" spans="1:20" ht="25.5" x14ac:dyDescent="0.25">
      <c r="A1335" s="268" t="s">
        <v>2314</v>
      </c>
      <c r="B1335" s="248">
        <v>31</v>
      </c>
      <c r="C1335" s="248" t="s">
        <v>2691</v>
      </c>
      <c r="D1335" s="248" t="s">
        <v>2988</v>
      </c>
      <c r="E1335" s="248" t="s">
        <v>3189</v>
      </c>
      <c r="F1335" s="248" t="s">
        <v>2697</v>
      </c>
      <c r="G1335" s="248" t="s">
        <v>2497</v>
      </c>
      <c r="H1335" s="263" t="s">
        <v>3190</v>
      </c>
      <c r="I1335" s="249" t="s">
        <v>2746</v>
      </c>
      <c r="J1335" s="248" t="s">
        <v>2548</v>
      </c>
      <c r="K1335" s="263" t="s">
        <v>3133</v>
      </c>
      <c r="L1335" s="263" t="s">
        <v>2800</v>
      </c>
      <c r="M1335" s="248" t="s">
        <v>2371</v>
      </c>
      <c r="N1335" s="293"/>
      <c r="O1335" s="293" t="str">
        <f>TablaPOA[[#This Row],[Cod_Sub_acción_especifica]]&amp;"_"&amp;TablaPOA[[#This Row],[Tipo de agente]]</f>
        <v>K31.4.1.5_Consumidores directos de GLP y redes de distribución</v>
      </c>
      <c r="P1335" s="250" t="s">
        <v>2839</v>
      </c>
      <c r="Q1335" s="292" t="str">
        <f>TablaPOA[[#This Row],[Cod_Sub_acción_especifica]]&amp;"_"&amp;TablaPOA[[#This Row],[Cod_Tipo_agente]]</f>
        <v>K31.4.1.5_TA3</v>
      </c>
      <c r="R1335" s="250" t="s">
        <v>2840</v>
      </c>
      <c r="S1335" s="250" t="s">
        <v>2846</v>
      </c>
      <c r="T1335" s="269" t="s">
        <v>2847</v>
      </c>
    </row>
    <row r="1336" spans="1:20" ht="25.5" x14ac:dyDescent="0.25">
      <c r="A1336" s="268" t="s">
        <v>2314</v>
      </c>
      <c r="B1336" s="248">
        <v>31</v>
      </c>
      <c r="C1336" s="248" t="s">
        <v>2691</v>
      </c>
      <c r="D1336" s="248" t="s">
        <v>2988</v>
      </c>
      <c r="E1336" s="248" t="s">
        <v>3189</v>
      </c>
      <c r="F1336" s="248" t="s">
        <v>2697</v>
      </c>
      <c r="G1336" s="248" t="s">
        <v>2497</v>
      </c>
      <c r="H1336" s="263" t="s">
        <v>3190</v>
      </c>
      <c r="I1336" s="249" t="s">
        <v>2746</v>
      </c>
      <c r="J1336" s="248" t="s">
        <v>2548</v>
      </c>
      <c r="K1336" s="263" t="s">
        <v>3133</v>
      </c>
      <c r="L1336" s="263" t="s">
        <v>2800</v>
      </c>
      <c r="M1336" s="248" t="s">
        <v>2371</v>
      </c>
      <c r="N1336" s="293"/>
      <c r="O1336" s="293" t="str">
        <f>TablaPOA[[#This Row],[Cod_Sub_acción_especifica]]&amp;"_"&amp;TablaPOA[[#This Row],[Tipo de agente]]</f>
        <v>K31.4.1.5_Consumidores directos de GLP y redes de distribución</v>
      </c>
      <c r="P1336" s="250" t="s">
        <v>2839</v>
      </c>
      <c r="Q1336" s="292" t="str">
        <f>TablaPOA[[#This Row],[Cod_Sub_acción_especifica]]&amp;"_"&amp;TablaPOA[[#This Row],[Cod_Tipo_agente]]</f>
        <v>K31.4.1.5_TA3</v>
      </c>
      <c r="R1336" s="250" t="s">
        <v>2840</v>
      </c>
      <c r="S1336" s="250" t="s">
        <v>2848</v>
      </c>
      <c r="T1336" s="269" t="s">
        <v>2849</v>
      </c>
    </row>
    <row r="1337" spans="1:20" ht="25.5" x14ac:dyDescent="0.25">
      <c r="A1337" s="268" t="s">
        <v>2314</v>
      </c>
      <c r="B1337" s="248">
        <v>31</v>
      </c>
      <c r="C1337" s="248" t="s">
        <v>2691</v>
      </c>
      <c r="D1337" s="248" t="s">
        <v>2988</v>
      </c>
      <c r="E1337" s="248" t="s">
        <v>3189</v>
      </c>
      <c r="F1337" s="248" t="s">
        <v>2697</v>
      </c>
      <c r="G1337" s="248" t="s">
        <v>2497</v>
      </c>
      <c r="H1337" s="263" t="s">
        <v>3190</v>
      </c>
      <c r="I1337" s="249" t="s">
        <v>2746</v>
      </c>
      <c r="J1337" s="248" t="s">
        <v>2548</v>
      </c>
      <c r="K1337" s="263" t="s">
        <v>3133</v>
      </c>
      <c r="L1337" s="263" t="s">
        <v>2800</v>
      </c>
      <c r="M1337" s="248" t="s">
        <v>2371</v>
      </c>
      <c r="N1337" s="293"/>
      <c r="O1337" s="293" t="str">
        <f>TablaPOA[[#This Row],[Cod_Sub_acción_especifica]]&amp;"_"&amp;TablaPOA[[#This Row],[Tipo de agente]]</f>
        <v>K31.4.1.5_Consumidores directos de GLP y redes de distribución</v>
      </c>
      <c r="P1337" s="250" t="s">
        <v>2839</v>
      </c>
      <c r="Q1337" s="292" t="str">
        <f>TablaPOA[[#This Row],[Cod_Sub_acción_especifica]]&amp;"_"&amp;TablaPOA[[#This Row],[Cod_Tipo_agente]]</f>
        <v>K31.4.1.5_TA3</v>
      </c>
      <c r="R1337" s="250" t="s">
        <v>2840</v>
      </c>
      <c r="S1337" s="250" t="s">
        <v>2850</v>
      </c>
      <c r="T1337" s="269" t="s">
        <v>2851</v>
      </c>
    </row>
    <row r="1338" spans="1:20" ht="25.5" x14ac:dyDescent="0.25">
      <c r="A1338" s="268" t="s">
        <v>2314</v>
      </c>
      <c r="B1338" s="248">
        <v>31</v>
      </c>
      <c r="C1338" s="248" t="s">
        <v>2691</v>
      </c>
      <c r="D1338" s="248" t="s">
        <v>2988</v>
      </c>
      <c r="E1338" s="248" t="s">
        <v>3189</v>
      </c>
      <c r="F1338" s="248" t="s">
        <v>2697</v>
      </c>
      <c r="G1338" s="248" t="s">
        <v>2497</v>
      </c>
      <c r="H1338" s="263" t="s">
        <v>3190</v>
      </c>
      <c r="I1338" s="249" t="s">
        <v>2746</v>
      </c>
      <c r="J1338" s="248" t="s">
        <v>2548</v>
      </c>
      <c r="K1338" s="263" t="s">
        <v>3133</v>
      </c>
      <c r="L1338" s="263" t="s">
        <v>2800</v>
      </c>
      <c r="M1338" s="248" t="s">
        <v>2371</v>
      </c>
      <c r="N1338" s="293"/>
      <c r="O1338" s="293" t="str">
        <f>TablaPOA[[#This Row],[Cod_Sub_acción_especifica]]&amp;"_"&amp;TablaPOA[[#This Row],[Tipo de agente]]</f>
        <v>K31.4.1.5_Distribuidores mayoristas, Importadores y Comercializadores</v>
      </c>
      <c r="P1338" s="250" t="s">
        <v>2852</v>
      </c>
      <c r="Q1338" s="292" t="str">
        <f>TablaPOA[[#This Row],[Cod_Sub_acción_especifica]]&amp;"_"&amp;TablaPOA[[#This Row],[Cod_Tipo_agente]]</f>
        <v>K31.4.1.5_TA4</v>
      </c>
      <c r="R1338" s="250" t="s">
        <v>2853</v>
      </c>
      <c r="S1338" s="251" t="s">
        <v>2854</v>
      </c>
      <c r="T1338" s="269" t="s">
        <v>2855</v>
      </c>
    </row>
    <row r="1339" spans="1:20" ht="25.5" x14ac:dyDescent="0.25">
      <c r="A1339" s="268" t="s">
        <v>2314</v>
      </c>
      <c r="B1339" s="248">
        <v>31</v>
      </c>
      <c r="C1339" s="248" t="s">
        <v>2691</v>
      </c>
      <c r="D1339" s="248" t="s">
        <v>2988</v>
      </c>
      <c r="E1339" s="248" t="s">
        <v>3189</v>
      </c>
      <c r="F1339" s="248" t="s">
        <v>2697</v>
      </c>
      <c r="G1339" s="248" t="s">
        <v>2497</v>
      </c>
      <c r="H1339" s="263" t="s">
        <v>3190</v>
      </c>
      <c r="I1339" s="249" t="s">
        <v>2746</v>
      </c>
      <c r="J1339" s="248" t="s">
        <v>2548</v>
      </c>
      <c r="K1339" s="263" t="s">
        <v>3133</v>
      </c>
      <c r="L1339" s="263" t="s">
        <v>2800</v>
      </c>
      <c r="M1339" s="248" t="s">
        <v>2371</v>
      </c>
      <c r="N1339" s="293"/>
      <c r="O1339" s="293" t="str">
        <f>TablaPOA[[#This Row],[Cod_Sub_acción_especifica]]&amp;"_"&amp;TablaPOA[[#This Row],[Tipo de agente]]</f>
        <v>K31.4.1.5_Distribuidores mayoristas, Importadores y Comercializadores</v>
      </c>
      <c r="P1339" s="250" t="s">
        <v>2852</v>
      </c>
      <c r="Q1339" s="292" t="str">
        <f>TablaPOA[[#This Row],[Cod_Sub_acción_especifica]]&amp;"_"&amp;TablaPOA[[#This Row],[Cod_Tipo_agente]]</f>
        <v>K31.4.1.5_TA4</v>
      </c>
      <c r="R1339" s="250" t="s">
        <v>2853</v>
      </c>
      <c r="S1339" s="251" t="s">
        <v>2856</v>
      </c>
      <c r="T1339" s="269" t="s">
        <v>2857</v>
      </c>
    </row>
    <row r="1340" spans="1:20" ht="25.5" x14ac:dyDescent="0.25">
      <c r="A1340" s="268" t="s">
        <v>2314</v>
      </c>
      <c r="B1340" s="248">
        <v>31</v>
      </c>
      <c r="C1340" s="248" t="s">
        <v>2691</v>
      </c>
      <c r="D1340" s="248" t="s">
        <v>2988</v>
      </c>
      <c r="E1340" s="248" t="s">
        <v>3189</v>
      </c>
      <c r="F1340" s="248" t="s">
        <v>2697</v>
      </c>
      <c r="G1340" s="248" t="s">
        <v>2497</v>
      </c>
      <c r="H1340" s="263" t="s">
        <v>3190</v>
      </c>
      <c r="I1340" s="249" t="s">
        <v>2746</v>
      </c>
      <c r="J1340" s="248" t="s">
        <v>2548</v>
      </c>
      <c r="K1340" s="263" t="s">
        <v>3133</v>
      </c>
      <c r="L1340" s="263" t="s">
        <v>2800</v>
      </c>
      <c r="M1340" s="248" t="s">
        <v>2371</v>
      </c>
      <c r="N1340" s="293"/>
      <c r="O1340" s="293" t="str">
        <f>TablaPOA[[#This Row],[Cod_Sub_acción_especifica]]&amp;"_"&amp;TablaPOA[[#This Row],[Tipo de agente]]</f>
        <v>K31.4.1.5_Distribuidores mayoristas, Importadores y Comercializadores</v>
      </c>
      <c r="P1340" s="250" t="s">
        <v>2852</v>
      </c>
      <c r="Q1340" s="292" t="str">
        <f>TablaPOA[[#This Row],[Cod_Sub_acción_especifica]]&amp;"_"&amp;TablaPOA[[#This Row],[Cod_Tipo_agente]]</f>
        <v>K31.4.1.5_TA4</v>
      </c>
      <c r="R1340" s="250" t="s">
        <v>2853</v>
      </c>
      <c r="S1340" s="251" t="s">
        <v>2858</v>
      </c>
      <c r="T1340" s="269" t="s">
        <v>2859</v>
      </c>
    </row>
    <row r="1341" spans="1:20" ht="25.5" x14ac:dyDescent="0.25">
      <c r="A1341" s="268" t="s">
        <v>2314</v>
      </c>
      <c r="B1341" s="248">
        <v>31</v>
      </c>
      <c r="C1341" s="248" t="s">
        <v>2691</v>
      </c>
      <c r="D1341" s="248" t="s">
        <v>2988</v>
      </c>
      <c r="E1341" s="248" t="s">
        <v>3189</v>
      </c>
      <c r="F1341" s="248" t="s">
        <v>2697</v>
      </c>
      <c r="G1341" s="248" t="s">
        <v>2497</v>
      </c>
      <c r="H1341" s="263" t="s">
        <v>3190</v>
      </c>
      <c r="I1341" s="249" t="s">
        <v>2746</v>
      </c>
      <c r="J1341" s="248" t="s">
        <v>2548</v>
      </c>
      <c r="K1341" s="263" t="s">
        <v>3133</v>
      </c>
      <c r="L1341" s="263" t="s">
        <v>2800</v>
      </c>
      <c r="M1341" s="248" t="s">
        <v>2371</v>
      </c>
      <c r="N1341" s="293"/>
      <c r="O1341" s="293" t="str">
        <f>TablaPOA[[#This Row],[Cod_Sub_acción_especifica]]&amp;"_"&amp;TablaPOA[[#This Row],[Tipo de agente]]</f>
        <v>K31.4.1.5_Distribuidores mayoristas, Importadores y Comercializadores</v>
      </c>
      <c r="P1341" s="250" t="s">
        <v>2852</v>
      </c>
      <c r="Q1341" s="292" t="str">
        <f>TablaPOA[[#This Row],[Cod_Sub_acción_especifica]]&amp;"_"&amp;TablaPOA[[#This Row],[Cod_Tipo_agente]]</f>
        <v>K31.4.1.5_TA4</v>
      </c>
      <c r="R1341" s="250" t="s">
        <v>2853</v>
      </c>
      <c r="S1341" s="251" t="s">
        <v>2860</v>
      </c>
      <c r="T1341" s="269" t="s">
        <v>2861</v>
      </c>
    </row>
    <row r="1342" spans="1:20" ht="25.5" x14ac:dyDescent="0.25">
      <c r="A1342" s="268" t="s">
        <v>2314</v>
      </c>
      <c r="B1342" s="248">
        <v>31</v>
      </c>
      <c r="C1342" s="248" t="s">
        <v>2691</v>
      </c>
      <c r="D1342" s="248" t="s">
        <v>2988</v>
      </c>
      <c r="E1342" s="248" t="s">
        <v>3189</v>
      </c>
      <c r="F1342" s="248" t="s">
        <v>2697</v>
      </c>
      <c r="G1342" s="248" t="s">
        <v>2497</v>
      </c>
      <c r="H1342" s="263" t="s">
        <v>3190</v>
      </c>
      <c r="I1342" s="249" t="s">
        <v>2746</v>
      </c>
      <c r="J1342" s="248" t="s">
        <v>2548</v>
      </c>
      <c r="K1342" s="263" t="s">
        <v>3133</v>
      </c>
      <c r="L1342" s="263" t="s">
        <v>2800</v>
      </c>
      <c r="M1342" s="248" t="s">
        <v>2371</v>
      </c>
      <c r="N1342" s="293"/>
      <c r="O1342" s="293" t="str">
        <f>TablaPOA[[#This Row],[Cod_Sub_acción_especifica]]&amp;"_"&amp;TablaPOA[[#This Row],[Tipo de agente]]</f>
        <v>K31.4.1.5_Distribuidores mayoristas, Importadores y Comercializadores</v>
      </c>
      <c r="P1342" s="250" t="s">
        <v>2852</v>
      </c>
      <c r="Q1342" s="292" t="str">
        <f>TablaPOA[[#This Row],[Cod_Sub_acción_especifica]]&amp;"_"&amp;TablaPOA[[#This Row],[Cod_Tipo_agente]]</f>
        <v>K31.4.1.5_TA4</v>
      </c>
      <c r="R1342" s="250" t="s">
        <v>2853</v>
      </c>
      <c r="S1342" s="251" t="s">
        <v>2862</v>
      </c>
      <c r="T1342" s="269" t="s">
        <v>2863</v>
      </c>
    </row>
    <row r="1343" spans="1:20" ht="25.5" x14ac:dyDescent="0.25">
      <c r="A1343" s="268" t="s">
        <v>2314</v>
      </c>
      <c r="B1343" s="248">
        <v>31</v>
      </c>
      <c r="C1343" s="248" t="s">
        <v>2691</v>
      </c>
      <c r="D1343" s="248" t="s">
        <v>2988</v>
      </c>
      <c r="E1343" s="248" t="s">
        <v>3189</v>
      </c>
      <c r="F1343" s="248" t="s">
        <v>2697</v>
      </c>
      <c r="G1343" s="248" t="s">
        <v>2497</v>
      </c>
      <c r="H1343" s="263" t="s">
        <v>3190</v>
      </c>
      <c r="I1343" s="249" t="s">
        <v>2746</v>
      </c>
      <c r="J1343" s="248" t="s">
        <v>2548</v>
      </c>
      <c r="K1343" s="263" t="s">
        <v>3133</v>
      </c>
      <c r="L1343" s="263" t="s">
        <v>2800</v>
      </c>
      <c r="M1343" s="248" t="s">
        <v>2371</v>
      </c>
      <c r="N1343" s="293"/>
      <c r="O1343" s="293" t="str">
        <f>TablaPOA[[#This Row],[Cod_Sub_acción_especifica]]&amp;"_"&amp;TablaPOA[[#This Row],[Tipo de agente]]</f>
        <v>K31.4.1.5_Distribuidores mayoristas, Importadores y Comercializadores</v>
      </c>
      <c r="P1343" s="250" t="s">
        <v>2852</v>
      </c>
      <c r="Q1343" s="292" t="str">
        <f>TablaPOA[[#This Row],[Cod_Sub_acción_especifica]]&amp;"_"&amp;TablaPOA[[#This Row],[Cod_Tipo_agente]]</f>
        <v>K31.4.1.5_TA4</v>
      </c>
      <c r="R1343" s="250" t="s">
        <v>2853</v>
      </c>
      <c r="S1343" s="251" t="s">
        <v>2864</v>
      </c>
      <c r="T1343" s="269" t="s">
        <v>2865</v>
      </c>
    </row>
    <row r="1344" spans="1:20" ht="25.5" x14ac:dyDescent="0.25">
      <c r="A1344" s="268" t="s">
        <v>2314</v>
      </c>
      <c r="B1344" s="248">
        <v>31</v>
      </c>
      <c r="C1344" s="248" t="s">
        <v>2691</v>
      </c>
      <c r="D1344" s="248" t="s">
        <v>2988</v>
      </c>
      <c r="E1344" s="248" t="s">
        <v>3189</v>
      </c>
      <c r="F1344" s="248" t="s">
        <v>2697</v>
      </c>
      <c r="G1344" s="248" t="s">
        <v>2497</v>
      </c>
      <c r="H1344" s="263" t="s">
        <v>3190</v>
      </c>
      <c r="I1344" s="249" t="s">
        <v>2746</v>
      </c>
      <c r="J1344" s="248" t="s">
        <v>2548</v>
      </c>
      <c r="K1344" s="263" t="s">
        <v>3133</v>
      </c>
      <c r="L1344" s="263" t="s">
        <v>2800</v>
      </c>
      <c r="M1344" s="248" t="s">
        <v>2371</v>
      </c>
      <c r="N1344" s="293"/>
      <c r="O1344" s="293" t="str">
        <f>TablaPOA[[#This Row],[Cod_Sub_acción_especifica]]&amp;"_"&amp;TablaPOA[[#This Row],[Tipo de agente]]</f>
        <v>K31.4.1.5_Distribuidores mayoristas, Importadores y Comercializadores</v>
      </c>
      <c r="P1344" s="250" t="s">
        <v>2852</v>
      </c>
      <c r="Q1344" s="292" t="str">
        <f>TablaPOA[[#This Row],[Cod_Sub_acción_especifica]]&amp;"_"&amp;TablaPOA[[#This Row],[Cod_Tipo_agente]]</f>
        <v>K31.4.1.5_TA4</v>
      </c>
      <c r="R1344" s="250" t="s">
        <v>2853</v>
      </c>
      <c r="S1344" s="251" t="s">
        <v>2866</v>
      </c>
      <c r="T1344" s="269" t="s">
        <v>2867</v>
      </c>
    </row>
    <row r="1345" spans="1:20" ht="25.5" x14ac:dyDescent="0.25">
      <c r="A1345" s="268" t="s">
        <v>2314</v>
      </c>
      <c r="B1345" s="248">
        <v>31</v>
      </c>
      <c r="C1345" s="248" t="s">
        <v>2691</v>
      </c>
      <c r="D1345" s="248" t="s">
        <v>2988</v>
      </c>
      <c r="E1345" s="248" t="s">
        <v>3189</v>
      </c>
      <c r="F1345" s="248" t="s">
        <v>2697</v>
      </c>
      <c r="G1345" s="248" t="s">
        <v>2497</v>
      </c>
      <c r="H1345" s="263" t="s">
        <v>3190</v>
      </c>
      <c r="I1345" s="249" t="s">
        <v>2746</v>
      </c>
      <c r="J1345" s="248" t="s">
        <v>2548</v>
      </c>
      <c r="K1345" s="263" t="s">
        <v>3133</v>
      </c>
      <c r="L1345" s="263" t="s">
        <v>2800</v>
      </c>
      <c r="M1345" s="248" t="s">
        <v>2371</v>
      </c>
      <c r="N1345" s="293"/>
      <c r="O1345" s="293" t="str">
        <f>TablaPOA[[#This Row],[Cod_Sub_acción_especifica]]&amp;"_"&amp;TablaPOA[[#This Row],[Tipo de agente]]</f>
        <v>K31.4.1.5_Distribuidores mayoristas, Importadores y Comercializadores</v>
      </c>
      <c r="P1345" s="250" t="s">
        <v>2852</v>
      </c>
      <c r="Q1345" s="292" t="str">
        <f>TablaPOA[[#This Row],[Cod_Sub_acción_especifica]]&amp;"_"&amp;TablaPOA[[#This Row],[Cod_Tipo_agente]]</f>
        <v>K31.4.1.5_TA4</v>
      </c>
      <c r="R1345" s="250" t="s">
        <v>2853</v>
      </c>
      <c r="S1345" s="251" t="s">
        <v>2868</v>
      </c>
      <c r="T1345" s="269" t="s">
        <v>2869</v>
      </c>
    </row>
    <row r="1346" spans="1:20" ht="25.5" x14ac:dyDescent="0.25">
      <c r="A1346" s="268" t="s">
        <v>2314</v>
      </c>
      <c r="B1346" s="248">
        <v>31</v>
      </c>
      <c r="C1346" s="248" t="s">
        <v>2691</v>
      </c>
      <c r="D1346" s="248" t="s">
        <v>2988</v>
      </c>
      <c r="E1346" s="248" t="s">
        <v>3189</v>
      </c>
      <c r="F1346" s="248" t="s">
        <v>2697</v>
      </c>
      <c r="G1346" s="248" t="s">
        <v>2497</v>
      </c>
      <c r="H1346" s="263" t="s">
        <v>3190</v>
      </c>
      <c r="I1346" s="249" t="s">
        <v>2746</v>
      </c>
      <c r="J1346" s="248" t="s">
        <v>2548</v>
      </c>
      <c r="K1346" s="263" t="s">
        <v>3133</v>
      </c>
      <c r="L1346" s="263" t="s">
        <v>2800</v>
      </c>
      <c r="M1346" s="248" t="s">
        <v>2371</v>
      </c>
      <c r="N1346" s="293"/>
      <c r="O1346" s="293" t="str">
        <f>TablaPOA[[#This Row],[Cod_Sub_acción_especifica]]&amp;"_"&amp;TablaPOA[[#This Row],[Tipo de agente]]</f>
        <v>K31.4.1.5_Distribuidores mayoristas, Importadores y Comercializadores</v>
      </c>
      <c r="P1346" s="250" t="s">
        <v>2852</v>
      </c>
      <c r="Q1346" s="292" t="str">
        <f>TablaPOA[[#This Row],[Cod_Sub_acción_especifica]]&amp;"_"&amp;TablaPOA[[#This Row],[Cod_Tipo_agente]]</f>
        <v>K31.4.1.5_TA4</v>
      </c>
      <c r="R1346" s="250" t="s">
        <v>2853</v>
      </c>
      <c r="S1346" s="251" t="s">
        <v>2870</v>
      </c>
      <c r="T1346" s="269" t="s">
        <v>2871</v>
      </c>
    </row>
    <row r="1347" spans="1:20" ht="25.5" x14ac:dyDescent="0.25">
      <c r="A1347" s="268" t="s">
        <v>2314</v>
      </c>
      <c r="B1347" s="248">
        <v>31</v>
      </c>
      <c r="C1347" s="248" t="s">
        <v>2691</v>
      </c>
      <c r="D1347" s="248" t="s">
        <v>2988</v>
      </c>
      <c r="E1347" s="248" t="s">
        <v>3189</v>
      </c>
      <c r="F1347" s="248" t="s">
        <v>2697</v>
      </c>
      <c r="G1347" s="248" t="s">
        <v>2497</v>
      </c>
      <c r="H1347" s="263" t="s">
        <v>3190</v>
      </c>
      <c r="I1347" s="249" t="s">
        <v>2746</v>
      </c>
      <c r="J1347" s="248" t="s">
        <v>2548</v>
      </c>
      <c r="K1347" s="263" t="s">
        <v>3133</v>
      </c>
      <c r="L1347" s="263" t="s">
        <v>2800</v>
      </c>
      <c r="M1347" s="248" t="s">
        <v>2371</v>
      </c>
      <c r="N1347" s="293"/>
      <c r="O1347" s="293" t="str">
        <f>TablaPOA[[#This Row],[Cod_Sub_acción_especifica]]&amp;"_"&amp;TablaPOA[[#This Row],[Tipo de agente]]</f>
        <v>K31.4.1.5_Distribuidores mayoristas, Importadores y Comercializadores</v>
      </c>
      <c r="P1347" s="250" t="s">
        <v>2852</v>
      </c>
      <c r="Q1347" s="292" t="str">
        <f>TablaPOA[[#This Row],[Cod_Sub_acción_especifica]]&amp;"_"&amp;TablaPOA[[#This Row],[Cod_Tipo_agente]]</f>
        <v>K31.4.1.5_TA4</v>
      </c>
      <c r="R1347" s="250" t="s">
        <v>2853</v>
      </c>
      <c r="S1347" s="251" t="s">
        <v>2872</v>
      </c>
      <c r="T1347" s="269" t="s">
        <v>2873</v>
      </c>
    </row>
    <row r="1348" spans="1:20" ht="25.5" x14ac:dyDescent="0.25">
      <c r="A1348" s="268" t="s">
        <v>2314</v>
      </c>
      <c r="B1348" s="248">
        <v>31</v>
      </c>
      <c r="C1348" s="248" t="s">
        <v>2691</v>
      </c>
      <c r="D1348" s="248" t="s">
        <v>2988</v>
      </c>
      <c r="E1348" s="248" t="s">
        <v>3189</v>
      </c>
      <c r="F1348" s="248" t="s">
        <v>2697</v>
      </c>
      <c r="G1348" s="248" t="s">
        <v>2497</v>
      </c>
      <c r="H1348" s="263" t="s">
        <v>3190</v>
      </c>
      <c r="I1348" s="249" t="s">
        <v>2746</v>
      </c>
      <c r="J1348" s="248" t="s">
        <v>2548</v>
      </c>
      <c r="K1348" s="263" t="s">
        <v>3133</v>
      </c>
      <c r="L1348" s="263" t="s">
        <v>2800</v>
      </c>
      <c r="M1348" s="248" t="s">
        <v>2371</v>
      </c>
      <c r="N1348" s="293"/>
      <c r="O1348" s="293" t="str">
        <f>TablaPOA[[#This Row],[Cod_Sub_acción_especifica]]&amp;"_"&amp;TablaPOA[[#This Row],[Tipo de agente]]</f>
        <v>K31.4.1.5_Distribuidores mayoristas, Importadores y Comercializadores</v>
      </c>
      <c r="P1348" s="250" t="s">
        <v>2852</v>
      </c>
      <c r="Q1348" s="292" t="str">
        <f>TablaPOA[[#This Row],[Cod_Sub_acción_especifica]]&amp;"_"&amp;TablaPOA[[#This Row],[Cod_Tipo_agente]]</f>
        <v>K31.4.1.5_TA4</v>
      </c>
      <c r="R1348" s="250" t="s">
        <v>2853</v>
      </c>
      <c r="S1348" s="251" t="s">
        <v>2874</v>
      </c>
      <c r="T1348" s="269" t="s">
        <v>2875</v>
      </c>
    </row>
    <row r="1349" spans="1:20" ht="25.5" x14ac:dyDescent="0.25">
      <c r="A1349" s="268" t="s">
        <v>2314</v>
      </c>
      <c r="B1349" s="248">
        <v>31</v>
      </c>
      <c r="C1349" s="248" t="s">
        <v>2691</v>
      </c>
      <c r="D1349" s="248" t="s">
        <v>2988</v>
      </c>
      <c r="E1349" s="248" t="s">
        <v>3189</v>
      </c>
      <c r="F1349" s="248" t="s">
        <v>2697</v>
      </c>
      <c r="G1349" s="248" t="s">
        <v>2497</v>
      </c>
      <c r="H1349" s="263" t="s">
        <v>3190</v>
      </c>
      <c r="I1349" s="249" t="s">
        <v>2746</v>
      </c>
      <c r="J1349" s="248" t="s">
        <v>2548</v>
      </c>
      <c r="K1349" s="263" t="s">
        <v>3133</v>
      </c>
      <c r="L1349" s="263" t="s">
        <v>2800</v>
      </c>
      <c r="M1349" s="248" t="s">
        <v>2371</v>
      </c>
      <c r="N1349" s="293"/>
      <c r="O1349" s="293" t="str">
        <f>TablaPOA[[#This Row],[Cod_Sub_acción_especifica]]&amp;"_"&amp;TablaPOA[[#This Row],[Tipo de agente]]</f>
        <v>K31.4.1.5_Envasadoras de GLP</v>
      </c>
      <c r="P1349" s="250" t="s">
        <v>2876</v>
      </c>
      <c r="Q1349" s="292" t="str">
        <f>TablaPOA[[#This Row],[Cod_Sub_acción_especifica]]&amp;"_"&amp;TablaPOA[[#This Row],[Cod_Tipo_agente]]</f>
        <v>K31.4.1.5_TA5</v>
      </c>
      <c r="R1349" s="250" t="s">
        <v>2877</v>
      </c>
      <c r="S1349" s="251" t="s">
        <v>2878</v>
      </c>
      <c r="T1349" s="269" t="s">
        <v>2879</v>
      </c>
    </row>
    <row r="1350" spans="1:20" ht="25.5" x14ac:dyDescent="0.25">
      <c r="A1350" s="268" t="s">
        <v>2314</v>
      </c>
      <c r="B1350" s="248">
        <v>31</v>
      </c>
      <c r="C1350" s="248" t="s">
        <v>2691</v>
      </c>
      <c r="D1350" s="248" t="s">
        <v>2988</v>
      </c>
      <c r="E1350" s="248" t="s">
        <v>3189</v>
      </c>
      <c r="F1350" s="248" t="s">
        <v>2697</v>
      </c>
      <c r="G1350" s="248" t="s">
        <v>2497</v>
      </c>
      <c r="H1350" s="263" t="s">
        <v>3190</v>
      </c>
      <c r="I1350" s="249" t="s">
        <v>2746</v>
      </c>
      <c r="J1350" s="248" t="s">
        <v>2548</v>
      </c>
      <c r="K1350" s="263" t="s">
        <v>3133</v>
      </c>
      <c r="L1350" s="263" t="s">
        <v>2800</v>
      </c>
      <c r="M1350" s="248" t="s">
        <v>2371</v>
      </c>
      <c r="N1350" s="293"/>
      <c r="O1350" s="293" t="str">
        <f>TablaPOA[[#This Row],[Cod_Sub_acción_especifica]]&amp;"_"&amp;TablaPOA[[#This Row],[Tipo de agente]]</f>
        <v>K31.4.1.5_Envasadoras de GLP</v>
      </c>
      <c r="P1350" s="250" t="s">
        <v>2876</v>
      </c>
      <c r="Q1350" s="292" t="str">
        <f>TablaPOA[[#This Row],[Cod_Sub_acción_especifica]]&amp;"_"&amp;TablaPOA[[#This Row],[Cod_Tipo_agente]]</f>
        <v>K31.4.1.5_TA5</v>
      </c>
      <c r="R1350" s="250" t="s">
        <v>2877</v>
      </c>
      <c r="S1350" s="251" t="s">
        <v>2880</v>
      </c>
      <c r="T1350" s="269" t="s">
        <v>2881</v>
      </c>
    </row>
    <row r="1351" spans="1:20" ht="25.5" x14ac:dyDescent="0.25">
      <c r="A1351" s="268" t="s">
        <v>2314</v>
      </c>
      <c r="B1351" s="248">
        <v>31</v>
      </c>
      <c r="C1351" s="248" t="s">
        <v>2691</v>
      </c>
      <c r="D1351" s="248" t="s">
        <v>2988</v>
      </c>
      <c r="E1351" s="248" t="s">
        <v>3189</v>
      </c>
      <c r="F1351" s="248" t="s">
        <v>2697</v>
      </c>
      <c r="G1351" s="248" t="s">
        <v>2497</v>
      </c>
      <c r="H1351" s="263" t="s">
        <v>3190</v>
      </c>
      <c r="I1351" s="249" t="s">
        <v>2746</v>
      </c>
      <c r="J1351" s="248" t="s">
        <v>2548</v>
      </c>
      <c r="K1351" s="263" t="s">
        <v>3133</v>
      </c>
      <c r="L1351" s="263" t="s">
        <v>2800</v>
      </c>
      <c r="M1351" s="248" t="s">
        <v>2371</v>
      </c>
      <c r="N1351" s="293"/>
      <c r="O1351" s="293" t="str">
        <f>TablaPOA[[#This Row],[Cod_Sub_acción_especifica]]&amp;"_"&amp;TablaPOA[[#This Row],[Tipo de agente]]</f>
        <v>K31.4.1.5_EVP combustibles de uso automotor</v>
      </c>
      <c r="P1351" s="250" t="s">
        <v>2882</v>
      </c>
      <c r="Q1351" s="292" t="str">
        <f>TablaPOA[[#This Row],[Cod_Sub_acción_especifica]]&amp;"_"&amp;TablaPOA[[#This Row],[Cod_Tipo_agente]]</f>
        <v>K31.4.1.5_TA6</v>
      </c>
      <c r="R1351" s="250" t="s">
        <v>2883</v>
      </c>
      <c r="S1351" s="251" t="s">
        <v>2884</v>
      </c>
      <c r="T1351" s="269" t="s">
        <v>2885</v>
      </c>
    </row>
    <row r="1352" spans="1:20" ht="25.5" x14ac:dyDescent="0.25">
      <c r="A1352" s="268" t="s">
        <v>2314</v>
      </c>
      <c r="B1352" s="248">
        <v>31</v>
      </c>
      <c r="C1352" s="248" t="s">
        <v>2691</v>
      </c>
      <c r="D1352" s="248" t="s">
        <v>2988</v>
      </c>
      <c r="E1352" s="248" t="s">
        <v>3189</v>
      </c>
      <c r="F1352" s="248" t="s">
        <v>2697</v>
      </c>
      <c r="G1352" s="248" t="s">
        <v>2497</v>
      </c>
      <c r="H1352" s="263" t="s">
        <v>3190</v>
      </c>
      <c r="I1352" s="249" t="s">
        <v>2746</v>
      </c>
      <c r="J1352" s="248" t="s">
        <v>2548</v>
      </c>
      <c r="K1352" s="263" t="s">
        <v>3133</v>
      </c>
      <c r="L1352" s="263" t="s">
        <v>2800</v>
      </c>
      <c r="M1352" s="248" t="s">
        <v>2371</v>
      </c>
      <c r="N1352" s="293"/>
      <c r="O1352" s="293" t="str">
        <f>TablaPOA[[#This Row],[Cod_Sub_acción_especifica]]&amp;"_"&amp;TablaPOA[[#This Row],[Tipo de agente]]</f>
        <v>K31.4.1.5_EVP combustibles de uso automotor</v>
      </c>
      <c r="P1352" s="250" t="s">
        <v>2882</v>
      </c>
      <c r="Q1352" s="292" t="str">
        <f>TablaPOA[[#This Row],[Cod_Sub_acción_especifica]]&amp;"_"&amp;TablaPOA[[#This Row],[Cod_Tipo_agente]]</f>
        <v>K31.4.1.5_TA6</v>
      </c>
      <c r="R1352" s="250" t="s">
        <v>2883</v>
      </c>
      <c r="S1352" s="251" t="s">
        <v>2886</v>
      </c>
      <c r="T1352" s="269" t="s">
        <v>2887</v>
      </c>
    </row>
    <row r="1353" spans="1:20" ht="25.5" x14ac:dyDescent="0.25">
      <c r="A1353" s="268" t="s">
        <v>2314</v>
      </c>
      <c r="B1353" s="248">
        <v>31</v>
      </c>
      <c r="C1353" s="248" t="s">
        <v>2691</v>
      </c>
      <c r="D1353" s="248" t="s">
        <v>2988</v>
      </c>
      <c r="E1353" s="248" t="s">
        <v>3189</v>
      </c>
      <c r="F1353" s="248" t="s">
        <v>2697</v>
      </c>
      <c r="G1353" s="248" t="s">
        <v>2497</v>
      </c>
      <c r="H1353" s="263" t="s">
        <v>3190</v>
      </c>
      <c r="I1353" s="249" t="s">
        <v>2746</v>
      </c>
      <c r="J1353" s="248" t="s">
        <v>2548</v>
      </c>
      <c r="K1353" s="263" t="s">
        <v>3133</v>
      </c>
      <c r="L1353" s="263" t="s">
        <v>2800</v>
      </c>
      <c r="M1353" s="248" t="s">
        <v>2371</v>
      </c>
      <c r="N1353" s="293"/>
      <c r="O1353" s="293" t="str">
        <f>TablaPOA[[#This Row],[Cod_Sub_acción_especifica]]&amp;"_"&amp;TablaPOA[[#This Row],[Tipo de agente]]</f>
        <v>K31.4.1.5_EVP combustibles de uso automotor</v>
      </c>
      <c r="P1353" s="250" t="s">
        <v>2882</v>
      </c>
      <c r="Q1353" s="292" t="str">
        <f>TablaPOA[[#This Row],[Cod_Sub_acción_especifica]]&amp;"_"&amp;TablaPOA[[#This Row],[Cod_Tipo_agente]]</f>
        <v>K31.4.1.5_TA6</v>
      </c>
      <c r="R1353" s="250" t="s">
        <v>2883</v>
      </c>
      <c r="S1353" s="251" t="s">
        <v>2888</v>
      </c>
      <c r="T1353" s="269" t="s">
        <v>2889</v>
      </c>
    </row>
    <row r="1354" spans="1:20" ht="25.5" x14ac:dyDescent="0.25">
      <c r="A1354" s="268" t="s">
        <v>2314</v>
      </c>
      <c r="B1354" s="248">
        <v>31</v>
      </c>
      <c r="C1354" s="248" t="s">
        <v>2691</v>
      </c>
      <c r="D1354" s="248" t="s">
        <v>2988</v>
      </c>
      <c r="E1354" s="248" t="s">
        <v>3189</v>
      </c>
      <c r="F1354" s="248" t="s">
        <v>2697</v>
      </c>
      <c r="G1354" s="248" t="s">
        <v>2497</v>
      </c>
      <c r="H1354" s="263" t="s">
        <v>3190</v>
      </c>
      <c r="I1354" s="249" t="s">
        <v>2746</v>
      </c>
      <c r="J1354" s="248" t="s">
        <v>2548</v>
      </c>
      <c r="K1354" s="263" t="s">
        <v>3133</v>
      </c>
      <c r="L1354" s="263" t="s">
        <v>2800</v>
      </c>
      <c r="M1354" s="248" t="s">
        <v>2371</v>
      </c>
      <c r="N1354" s="293"/>
      <c r="O1354" s="293" t="str">
        <f>TablaPOA[[#This Row],[Cod_Sub_acción_especifica]]&amp;"_"&amp;TablaPOA[[#This Row],[Tipo de agente]]</f>
        <v>K31.4.1.5_EVP combustibles de uso automotor</v>
      </c>
      <c r="P1354" s="250" t="s">
        <v>2882</v>
      </c>
      <c r="Q1354" s="292" t="str">
        <f>TablaPOA[[#This Row],[Cod_Sub_acción_especifica]]&amp;"_"&amp;TablaPOA[[#This Row],[Cod_Tipo_agente]]</f>
        <v>K31.4.1.5_TA6</v>
      </c>
      <c r="R1354" s="250" t="s">
        <v>2883</v>
      </c>
      <c r="S1354" s="251" t="s">
        <v>2890</v>
      </c>
      <c r="T1354" s="269" t="s">
        <v>2891</v>
      </c>
    </row>
    <row r="1355" spans="1:20" ht="25.5" x14ac:dyDescent="0.25">
      <c r="A1355" s="268" t="s">
        <v>2314</v>
      </c>
      <c r="B1355" s="248">
        <v>31</v>
      </c>
      <c r="C1355" s="248" t="s">
        <v>2691</v>
      </c>
      <c r="D1355" s="248" t="s">
        <v>2988</v>
      </c>
      <c r="E1355" s="248" t="s">
        <v>3189</v>
      </c>
      <c r="F1355" s="248" t="s">
        <v>2697</v>
      </c>
      <c r="G1355" s="248" t="s">
        <v>2497</v>
      </c>
      <c r="H1355" s="263" t="s">
        <v>3190</v>
      </c>
      <c r="I1355" s="249" t="s">
        <v>2746</v>
      </c>
      <c r="J1355" s="248" t="s">
        <v>2548</v>
      </c>
      <c r="K1355" s="263" t="s">
        <v>3133</v>
      </c>
      <c r="L1355" s="263" t="s">
        <v>2800</v>
      </c>
      <c r="M1355" s="248" t="s">
        <v>2371</v>
      </c>
      <c r="N1355" s="293"/>
      <c r="O1355" s="293" t="str">
        <f>TablaPOA[[#This Row],[Cod_Sub_acción_especifica]]&amp;"_"&amp;TablaPOA[[#This Row],[Tipo de agente]]</f>
        <v>K31.4.1.5_EVP combustibles de uso automotor</v>
      </c>
      <c r="P1355" s="250" t="s">
        <v>2882</v>
      </c>
      <c r="Q1355" s="292" t="str">
        <f>TablaPOA[[#This Row],[Cod_Sub_acción_especifica]]&amp;"_"&amp;TablaPOA[[#This Row],[Cod_Tipo_agente]]</f>
        <v>K31.4.1.5_TA6</v>
      </c>
      <c r="R1355" s="250" t="s">
        <v>2883</v>
      </c>
      <c r="S1355" s="251" t="s">
        <v>2892</v>
      </c>
      <c r="T1355" s="269" t="s">
        <v>2893</v>
      </c>
    </row>
    <row r="1356" spans="1:20" ht="25.5" x14ac:dyDescent="0.25">
      <c r="A1356" s="268" t="s">
        <v>2314</v>
      </c>
      <c r="B1356" s="248">
        <v>31</v>
      </c>
      <c r="C1356" s="248" t="s">
        <v>2691</v>
      </c>
      <c r="D1356" s="248" t="s">
        <v>2988</v>
      </c>
      <c r="E1356" s="248" t="s">
        <v>3189</v>
      </c>
      <c r="F1356" s="248" t="s">
        <v>2697</v>
      </c>
      <c r="G1356" s="248" t="s">
        <v>2497</v>
      </c>
      <c r="H1356" s="263" t="s">
        <v>3190</v>
      </c>
      <c r="I1356" s="249" t="s">
        <v>2746</v>
      </c>
      <c r="J1356" s="248" t="s">
        <v>2548</v>
      </c>
      <c r="K1356" s="263" t="s">
        <v>3133</v>
      </c>
      <c r="L1356" s="263" t="s">
        <v>2800</v>
      </c>
      <c r="M1356" s="248" t="s">
        <v>2371</v>
      </c>
      <c r="N1356" s="293"/>
      <c r="O1356" s="293" t="str">
        <f>TablaPOA[[#This Row],[Cod_Sub_acción_especifica]]&amp;"_"&amp;TablaPOA[[#This Row],[Tipo de agente]]</f>
        <v>K31.4.1.5_EVP combustibles de uso automotor</v>
      </c>
      <c r="P1356" s="250" t="s">
        <v>2882</v>
      </c>
      <c r="Q1356" s="292" t="str">
        <f>TablaPOA[[#This Row],[Cod_Sub_acción_especifica]]&amp;"_"&amp;TablaPOA[[#This Row],[Cod_Tipo_agente]]</f>
        <v>K31.4.1.5_TA6</v>
      </c>
      <c r="R1356" s="250" t="s">
        <v>2883</v>
      </c>
      <c r="S1356" s="251" t="s">
        <v>2894</v>
      </c>
      <c r="T1356" s="269" t="s">
        <v>2895</v>
      </c>
    </row>
    <row r="1357" spans="1:20" ht="25.5" x14ac:dyDescent="0.25">
      <c r="A1357" s="268" t="s">
        <v>2314</v>
      </c>
      <c r="B1357" s="248">
        <v>31</v>
      </c>
      <c r="C1357" s="248" t="s">
        <v>2691</v>
      </c>
      <c r="D1357" s="248" t="s">
        <v>2988</v>
      </c>
      <c r="E1357" s="248" t="s">
        <v>3189</v>
      </c>
      <c r="F1357" s="248" t="s">
        <v>2697</v>
      </c>
      <c r="G1357" s="248" t="s">
        <v>2497</v>
      </c>
      <c r="H1357" s="263" t="s">
        <v>3190</v>
      </c>
      <c r="I1357" s="249" t="s">
        <v>2746</v>
      </c>
      <c r="J1357" s="248" t="s">
        <v>2548</v>
      </c>
      <c r="K1357" s="263" t="s">
        <v>3133</v>
      </c>
      <c r="L1357" s="263" t="s">
        <v>2800</v>
      </c>
      <c r="M1357" s="248" t="s">
        <v>2371</v>
      </c>
      <c r="N1357" s="293"/>
      <c r="O1357" s="293" t="str">
        <f>TablaPOA[[#This Row],[Cod_Sub_acción_especifica]]&amp;"_"&amp;TablaPOA[[#This Row],[Tipo de agente]]</f>
        <v>K31.4.1.5_EVP combustibles de uso automotor</v>
      </c>
      <c r="P1357" s="250" t="s">
        <v>2882</v>
      </c>
      <c r="Q1357" s="292" t="str">
        <f>TablaPOA[[#This Row],[Cod_Sub_acción_especifica]]&amp;"_"&amp;TablaPOA[[#This Row],[Cod_Tipo_agente]]</f>
        <v>K31.4.1.5_TA6</v>
      </c>
      <c r="R1357" s="250" t="s">
        <v>2883</v>
      </c>
      <c r="S1357" s="251" t="s">
        <v>2896</v>
      </c>
      <c r="T1357" s="269" t="s">
        <v>2897</v>
      </c>
    </row>
    <row r="1358" spans="1:20" ht="25.5" x14ac:dyDescent="0.25">
      <c r="A1358" s="268" t="s">
        <v>2314</v>
      </c>
      <c r="B1358" s="248">
        <v>31</v>
      </c>
      <c r="C1358" s="248" t="s">
        <v>2691</v>
      </c>
      <c r="D1358" s="248" t="s">
        <v>2988</v>
      </c>
      <c r="E1358" s="248" t="s">
        <v>3189</v>
      </c>
      <c r="F1358" s="248" t="s">
        <v>2697</v>
      </c>
      <c r="G1358" s="248" t="s">
        <v>2497</v>
      </c>
      <c r="H1358" s="263" t="s">
        <v>3190</v>
      </c>
      <c r="I1358" s="249" t="s">
        <v>2746</v>
      </c>
      <c r="J1358" s="248" t="s">
        <v>2548</v>
      </c>
      <c r="K1358" s="263" t="s">
        <v>3133</v>
      </c>
      <c r="L1358" s="263" t="s">
        <v>2800</v>
      </c>
      <c r="M1358" s="248" t="s">
        <v>2371</v>
      </c>
      <c r="N1358" s="293"/>
      <c r="O1358" s="293" t="str">
        <f>TablaPOA[[#This Row],[Cod_Sub_acción_especifica]]&amp;"_"&amp;TablaPOA[[#This Row],[Tipo de agente]]</f>
        <v>K31.4.1.5_EVP combustibles de uso automotor</v>
      </c>
      <c r="P1358" s="250" t="s">
        <v>2882</v>
      </c>
      <c r="Q1358" s="292" t="str">
        <f>TablaPOA[[#This Row],[Cod_Sub_acción_especifica]]&amp;"_"&amp;TablaPOA[[#This Row],[Cod_Tipo_agente]]</f>
        <v>K31.4.1.5_TA6</v>
      </c>
      <c r="R1358" s="250" t="s">
        <v>2883</v>
      </c>
      <c r="S1358" s="251" t="s">
        <v>2898</v>
      </c>
      <c r="T1358" s="269" t="s">
        <v>2899</v>
      </c>
    </row>
    <row r="1359" spans="1:20" ht="25.5" x14ac:dyDescent="0.25">
      <c r="A1359" s="268" t="s">
        <v>2314</v>
      </c>
      <c r="B1359" s="248">
        <v>31</v>
      </c>
      <c r="C1359" s="248" t="s">
        <v>2691</v>
      </c>
      <c r="D1359" s="248" t="s">
        <v>2988</v>
      </c>
      <c r="E1359" s="248" t="s">
        <v>3189</v>
      </c>
      <c r="F1359" s="248" t="s">
        <v>2697</v>
      </c>
      <c r="G1359" s="248" t="s">
        <v>2497</v>
      </c>
      <c r="H1359" s="263" t="s">
        <v>3190</v>
      </c>
      <c r="I1359" s="249" t="s">
        <v>2746</v>
      </c>
      <c r="J1359" s="248" t="s">
        <v>2548</v>
      </c>
      <c r="K1359" s="263" t="s">
        <v>3133</v>
      </c>
      <c r="L1359" s="263" t="s">
        <v>2800</v>
      </c>
      <c r="M1359" s="248" t="s">
        <v>2371</v>
      </c>
      <c r="N1359" s="293"/>
      <c r="O1359" s="293" t="str">
        <f>TablaPOA[[#This Row],[Cod_Sub_acción_especifica]]&amp;"_"&amp;TablaPOA[[#This Row],[Tipo de agente]]</f>
        <v>K31.4.1.5_EVP combustibles de uso automotor</v>
      </c>
      <c r="P1359" s="250" t="s">
        <v>2882</v>
      </c>
      <c r="Q1359" s="292" t="str">
        <f>TablaPOA[[#This Row],[Cod_Sub_acción_especifica]]&amp;"_"&amp;TablaPOA[[#This Row],[Cod_Tipo_agente]]</f>
        <v>K31.4.1.5_TA6</v>
      </c>
      <c r="R1359" s="250" t="s">
        <v>2883</v>
      </c>
      <c r="S1359" s="251" t="s">
        <v>2900</v>
      </c>
      <c r="T1359" s="269" t="s">
        <v>2901</v>
      </c>
    </row>
    <row r="1360" spans="1:20" ht="25.5" x14ac:dyDescent="0.25">
      <c r="A1360" s="268" t="s">
        <v>2314</v>
      </c>
      <c r="B1360" s="248">
        <v>31</v>
      </c>
      <c r="C1360" s="248" t="s">
        <v>2691</v>
      </c>
      <c r="D1360" s="248" t="s">
        <v>2988</v>
      </c>
      <c r="E1360" s="248" t="s">
        <v>3189</v>
      </c>
      <c r="F1360" s="248" t="s">
        <v>2697</v>
      </c>
      <c r="G1360" s="248" t="s">
        <v>2497</v>
      </c>
      <c r="H1360" s="263" t="s">
        <v>3190</v>
      </c>
      <c r="I1360" s="249" t="s">
        <v>2746</v>
      </c>
      <c r="J1360" s="248" t="s">
        <v>2548</v>
      </c>
      <c r="K1360" s="263" t="s">
        <v>3133</v>
      </c>
      <c r="L1360" s="263" t="s">
        <v>2800</v>
      </c>
      <c r="M1360" s="248" t="s">
        <v>2371</v>
      </c>
      <c r="N1360" s="293"/>
      <c r="O1360" s="293" t="str">
        <f>TablaPOA[[#This Row],[Cod_Sub_acción_especifica]]&amp;"_"&amp;TablaPOA[[#This Row],[Tipo de agente]]</f>
        <v>K31.4.1.5_Locales de venta de GLP</v>
      </c>
      <c r="P1360" s="250" t="s">
        <v>2912</v>
      </c>
      <c r="Q1360" s="292" t="str">
        <f>TablaPOA[[#This Row],[Cod_Sub_acción_especifica]]&amp;"_"&amp;TablaPOA[[#This Row],[Cod_Tipo_agente]]</f>
        <v>K31.4.1.5_TA8</v>
      </c>
      <c r="R1360" s="250" t="s">
        <v>2913</v>
      </c>
      <c r="S1360" s="251" t="s">
        <v>2914</v>
      </c>
      <c r="T1360" s="269" t="s">
        <v>2915</v>
      </c>
    </row>
    <row r="1361" spans="1:20" ht="25.5" x14ac:dyDescent="0.25">
      <c r="A1361" s="268" t="s">
        <v>2314</v>
      </c>
      <c r="B1361" s="248">
        <v>31</v>
      </c>
      <c r="C1361" s="248" t="s">
        <v>2691</v>
      </c>
      <c r="D1361" s="248" t="s">
        <v>2988</v>
      </c>
      <c r="E1361" s="248" t="s">
        <v>3189</v>
      </c>
      <c r="F1361" s="248" t="s">
        <v>2697</v>
      </c>
      <c r="G1361" s="248" t="s">
        <v>2497</v>
      </c>
      <c r="H1361" s="263" t="s">
        <v>3190</v>
      </c>
      <c r="I1361" s="249" t="s">
        <v>2746</v>
      </c>
      <c r="J1361" s="248" t="s">
        <v>2548</v>
      </c>
      <c r="K1361" s="263" t="s">
        <v>3133</v>
      </c>
      <c r="L1361" s="263" t="s">
        <v>2800</v>
      </c>
      <c r="M1361" s="248" t="s">
        <v>2371</v>
      </c>
      <c r="N1361" s="293"/>
      <c r="O1361" s="293" t="str">
        <f>TablaPOA[[#This Row],[Cod_Sub_acción_especifica]]&amp;"_"&amp;TablaPOA[[#This Row],[Tipo de agente]]</f>
        <v>K31.4.1.5_Locales de venta de GLP</v>
      </c>
      <c r="P1361" s="250" t="s">
        <v>2912</v>
      </c>
      <c r="Q1361" s="292" t="str">
        <f>TablaPOA[[#This Row],[Cod_Sub_acción_especifica]]&amp;"_"&amp;TablaPOA[[#This Row],[Cod_Tipo_agente]]</f>
        <v>K31.4.1.5_TA8</v>
      </c>
      <c r="R1361" s="250" t="s">
        <v>2913</v>
      </c>
      <c r="S1361" s="251" t="s">
        <v>2916</v>
      </c>
      <c r="T1361" s="269" t="s">
        <v>2917</v>
      </c>
    </row>
    <row r="1362" spans="1:20" ht="25.5" x14ac:dyDescent="0.25">
      <c r="A1362" s="268" t="s">
        <v>2314</v>
      </c>
      <c r="B1362" s="248">
        <v>31</v>
      </c>
      <c r="C1362" s="248" t="s">
        <v>2691</v>
      </c>
      <c r="D1362" s="248" t="s">
        <v>2988</v>
      </c>
      <c r="E1362" s="248" t="s">
        <v>3189</v>
      </c>
      <c r="F1362" s="248" t="s">
        <v>2697</v>
      </c>
      <c r="G1362" s="248" t="s">
        <v>2497</v>
      </c>
      <c r="H1362" s="263" t="s">
        <v>3190</v>
      </c>
      <c r="I1362" s="249" t="s">
        <v>2746</v>
      </c>
      <c r="J1362" s="248" t="s">
        <v>2548</v>
      </c>
      <c r="K1362" s="263" t="s">
        <v>3133</v>
      </c>
      <c r="L1362" s="263" t="s">
        <v>2800</v>
      </c>
      <c r="M1362" s="248" t="s">
        <v>2371</v>
      </c>
      <c r="N1362" s="293"/>
      <c r="O1362" s="293" t="str">
        <f>TablaPOA[[#This Row],[Cod_Sub_acción_especifica]]&amp;"_"&amp;TablaPOA[[#This Row],[Tipo de agente]]</f>
        <v>K31.4.1.5_Medios de transporte</v>
      </c>
      <c r="P1362" s="250" t="s">
        <v>2918</v>
      </c>
      <c r="Q1362" s="292" t="str">
        <f>TablaPOA[[#This Row],[Cod_Sub_acción_especifica]]&amp;"_"&amp;TablaPOA[[#This Row],[Cod_Tipo_agente]]</f>
        <v>K31.4.1.5_TA9</v>
      </c>
      <c r="R1362" s="250" t="s">
        <v>2919</v>
      </c>
      <c r="S1362" s="251" t="s">
        <v>2920</v>
      </c>
      <c r="T1362" s="269" t="s">
        <v>2921</v>
      </c>
    </row>
    <row r="1363" spans="1:20" ht="25.5" x14ac:dyDescent="0.25">
      <c r="A1363" s="268" t="s">
        <v>2314</v>
      </c>
      <c r="B1363" s="248">
        <v>31</v>
      </c>
      <c r="C1363" s="248" t="s">
        <v>2691</v>
      </c>
      <c r="D1363" s="248" t="s">
        <v>2988</v>
      </c>
      <c r="E1363" s="248" t="s">
        <v>3189</v>
      </c>
      <c r="F1363" s="248" t="s">
        <v>2697</v>
      </c>
      <c r="G1363" s="248" t="s">
        <v>2497</v>
      </c>
      <c r="H1363" s="263" t="s">
        <v>3190</v>
      </c>
      <c r="I1363" s="249" t="s">
        <v>2746</v>
      </c>
      <c r="J1363" s="248" t="s">
        <v>2548</v>
      </c>
      <c r="K1363" s="263" t="s">
        <v>3133</v>
      </c>
      <c r="L1363" s="263" t="s">
        <v>2800</v>
      </c>
      <c r="M1363" s="248" t="s">
        <v>2371</v>
      </c>
      <c r="N1363" s="293"/>
      <c r="O1363" s="293" t="str">
        <f>TablaPOA[[#This Row],[Cod_Sub_acción_especifica]]&amp;"_"&amp;TablaPOA[[#This Row],[Tipo de agente]]</f>
        <v>K31.4.1.5_Medios de transporte</v>
      </c>
      <c r="P1363" s="250" t="s">
        <v>2918</v>
      </c>
      <c r="Q1363" s="292" t="str">
        <f>TablaPOA[[#This Row],[Cod_Sub_acción_especifica]]&amp;"_"&amp;TablaPOA[[#This Row],[Cod_Tipo_agente]]</f>
        <v>K31.4.1.5_TA9</v>
      </c>
      <c r="R1363" s="250" t="s">
        <v>2919</v>
      </c>
      <c r="S1363" s="251" t="s">
        <v>2922</v>
      </c>
      <c r="T1363" s="269" t="s">
        <v>2923</v>
      </c>
    </row>
    <row r="1364" spans="1:20" ht="25.5" x14ac:dyDescent="0.25">
      <c r="A1364" s="268" t="s">
        <v>2314</v>
      </c>
      <c r="B1364" s="248">
        <v>31</v>
      </c>
      <c r="C1364" s="248" t="s">
        <v>2691</v>
      </c>
      <c r="D1364" s="248" t="s">
        <v>2988</v>
      </c>
      <c r="E1364" s="248" t="s">
        <v>3189</v>
      </c>
      <c r="F1364" s="248" t="s">
        <v>2697</v>
      </c>
      <c r="G1364" s="248" t="s">
        <v>2497</v>
      </c>
      <c r="H1364" s="263" t="s">
        <v>3190</v>
      </c>
      <c r="I1364" s="249" t="s">
        <v>2746</v>
      </c>
      <c r="J1364" s="248" t="s">
        <v>2548</v>
      </c>
      <c r="K1364" s="263" t="s">
        <v>3133</v>
      </c>
      <c r="L1364" s="263" t="s">
        <v>2800</v>
      </c>
      <c r="M1364" s="248" t="s">
        <v>2371</v>
      </c>
      <c r="N1364" s="293"/>
      <c r="O1364" s="293" t="str">
        <f>TablaPOA[[#This Row],[Cod_Sub_acción_especifica]]&amp;"_"&amp;TablaPOA[[#This Row],[Tipo de agente]]</f>
        <v>K31.4.1.5_Medios de transporte</v>
      </c>
      <c r="P1364" s="250" t="s">
        <v>2918</v>
      </c>
      <c r="Q1364" s="292" t="str">
        <f>TablaPOA[[#This Row],[Cod_Sub_acción_especifica]]&amp;"_"&amp;TablaPOA[[#This Row],[Cod_Tipo_agente]]</f>
        <v>K31.4.1.5_TA9</v>
      </c>
      <c r="R1364" s="250" t="s">
        <v>2919</v>
      </c>
      <c r="S1364" s="251" t="s">
        <v>2924</v>
      </c>
      <c r="T1364" s="269" t="s">
        <v>2925</v>
      </c>
    </row>
    <row r="1365" spans="1:20" ht="25.5" x14ac:dyDescent="0.25">
      <c r="A1365" s="268" t="s">
        <v>2314</v>
      </c>
      <c r="B1365" s="248">
        <v>31</v>
      </c>
      <c r="C1365" s="248" t="s">
        <v>2691</v>
      </c>
      <c r="D1365" s="248" t="s">
        <v>2988</v>
      </c>
      <c r="E1365" s="248" t="s">
        <v>3189</v>
      </c>
      <c r="F1365" s="248" t="s">
        <v>2697</v>
      </c>
      <c r="G1365" s="248" t="s">
        <v>2497</v>
      </c>
      <c r="H1365" s="263" t="s">
        <v>3190</v>
      </c>
      <c r="I1365" s="249" t="s">
        <v>2746</v>
      </c>
      <c r="J1365" s="248" t="s">
        <v>2548</v>
      </c>
      <c r="K1365" s="263" t="s">
        <v>3133</v>
      </c>
      <c r="L1365" s="263" t="s">
        <v>2800</v>
      </c>
      <c r="M1365" s="248" t="s">
        <v>2371</v>
      </c>
      <c r="N1365" s="293"/>
      <c r="O1365" s="293" t="str">
        <f>TablaPOA[[#This Row],[Cod_Sub_acción_especifica]]&amp;"_"&amp;TablaPOA[[#This Row],[Tipo de agente]]</f>
        <v>K31.4.1.5_Medios de transporte</v>
      </c>
      <c r="P1365" s="250" t="s">
        <v>2918</v>
      </c>
      <c r="Q1365" s="292" t="str">
        <f>TablaPOA[[#This Row],[Cod_Sub_acción_especifica]]&amp;"_"&amp;TablaPOA[[#This Row],[Cod_Tipo_agente]]</f>
        <v>K31.4.1.5_TA9</v>
      </c>
      <c r="R1365" s="250" t="s">
        <v>2919</v>
      </c>
      <c r="S1365" s="251" t="s">
        <v>2926</v>
      </c>
      <c r="T1365" s="269" t="s">
        <v>2927</v>
      </c>
    </row>
    <row r="1366" spans="1:20" ht="25.5" x14ac:dyDescent="0.25">
      <c r="A1366" s="268" t="s">
        <v>2314</v>
      </c>
      <c r="B1366" s="248">
        <v>31</v>
      </c>
      <c r="C1366" s="248" t="s">
        <v>2691</v>
      </c>
      <c r="D1366" s="248" t="s">
        <v>2988</v>
      </c>
      <c r="E1366" s="248" t="s">
        <v>3189</v>
      </c>
      <c r="F1366" s="248" t="s">
        <v>2697</v>
      </c>
      <c r="G1366" s="248" t="s">
        <v>2497</v>
      </c>
      <c r="H1366" s="263" t="s">
        <v>3190</v>
      </c>
      <c r="I1366" s="249" t="s">
        <v>2746</v>
      </c>
      <c r="J1366" s="248" t="s">
        <v>2548</v>
      </c>
      <c r="K1366" s="263" t="s">
        <v>3133</v>
      </c>
      <c r="L1366" s="263" t="s">
        <v>2800</v>
      </c>
      <c r="M1366" s="248" t="s">
        <v>2371</v>
      </c>
      <c r="N1366" s="293"/>
      <c r="O1366" s="293" t="str">
        <f>TablaPOA[[#This Row],[Cod_Sub_acción_especifica]]&amp;"_"&amp;TablaPOA[[#This Row],[Tipo de agente]]</f>
        <v>K31.4.1.5_Medios de transporte</v>
      </c>
      <c r="P1366" s="250" t="s">
        <v>2918</v>
      </c>
      <c r="Q1366" s="292" t="str">
        <f>TablaPOA[[#This Row],[Cod_Sub_acción_especifica]]&amp;"_"&amp;TablaPOA[[#This Row],[Cod_Tipo_agente]]</f>
        <v>K31.4.1.5_TA9</v>
      </c>
      <c r="R1366" s="250" t="s">
        <v>2919</v>
      </c>
      <c r="S1366" s="251" t="s">
        <v>2928</v>
      </c>
      <c r="T1366" s="269" t="s">
        <v>2929</v>
      </c>
    </row>
    <row r="1367" spans="1:20" ht="25.5" x14ac:dyDescent="0.25">
      <c r="A1367" s="268" t="s">
        <v>2314</v>
      </c>
      <c r="B1367" s="248">
        <v>31</v>
      </c>
      <c r="C1367" s="248" t="s">
        <v>2691</v>
      </c>
      <c r="D1367" s="248" t="s">
        <v>2988</v>
      </c>
      <c r="E1367" s="248" t="s">
        <v>3189</v>
      </c>
      <c r="F1367" s="248" t="s">
        <v>2697</v>
      </c>
      <c r="G1367" s="248" t="s">
        <v>2497</v>
      </c>
      <c r="H1367" s="263" t="s">
        <v>3190</v>
      </c>
      <c r="I1367" s="249" t="s">
        <v>2746</v>
      </c>
      <c r="J1367" s="248" t="s">
        <v>2548</v>
      </c>
      <c r="K1367" s="263" t="s">
        <v>3133</v>
      </c>
      <c r="L1367" s="263" t="s">
        <v>2800</v>
      </c>
      <c r="M1367" s="248" t="s">
        <v>2371</v>
      </c>
      <c r="N1367" s="293"/>
      <c r="O1367" s="293" t="str">
        <f>TablaPOA[[#This Row],[Cod_Sub_acción_especifica]]&amp;"_"&amp;TablaPOA[[#This Row],[Tipo de agente]]</f>
        <v>K31.4.1.5_Medios de transporte</v>
      </c>
      <c r="P1367" s="250" t="s">
        <v>2918</v>
      </c>
      <c r="Q1367" s="292" t="str">
        <f>TablaPOA[[#This Row],[Cod_Sub_acción_especifica]]&amp;"_"&amp;TablaPOA[[#This Row],[Cod_Tipo_agente]]</f>
        <v>K31.4.1.5_TA9</v>
      </c>
      <c r="R1367" s="250" t="s">
        <v>2919</v>
      </c>
      <c r="S1367" s="251" t="s">
        <v>2930</v>
      </c>
      <c r="T1367" s="269" t="s">
        <v>2931</v>
      </c>
    </row>
    <row r="1368" spans="1:20" ht="25.5" x14ac:dyDescent="0.25">
      <c r="A1368" s="268" t="s">
        <v>2314</v>
      </c>
      <c r="B1368" s="248">
        <v>31</v>
      </c>
      <c r="C1368" s="248" t="s">
        <v>2691</v>
      </c>
      <c r="D1368" s="248" t="s">
        <v>2988</v>
      </c>
      <c r="E1368" s="248" t="s">
        <v>3189</v>
      </c>
      <c r="F1368" s="248" t="s">
        <v>2697</v>
      </c>
      <c r="G1368" s="248" t="s">
        <v>2497</v>
      </c>
      <c r="H1368" s="263" t="s">
        <v>3190</v>
      </c>
      <c r="I1368" s="249" t="s">
        <v>2746</v>
      </c>
      <c r="J1368" s="248" t="s">
        <v>2548</v>
      </c>
      <c r="K1368" s="263" t="s">
        <v>3133</v>
      </c>
      <c r="L1368" s="263" t="s">
        <v>2800</v>
      </c>
      <c r="M1368" s="248" t="s">
        <v>2371</v>
      </c>
      <c r="N1368" s="293"/>
      <c r="O1368" s="293" t="str">
        <f>TablaPOA[[#This Row],[Cod_Sub_acción_especifica]]&amp;"_"&amp;TablaPOA[[#This Row],[Tipo de agente]]</f>
        <v>K31.4.1.5_Medios de transporte</v>
      </c>
      <c r="P1368" s="250" t="s">
        <v>2918</v>
      </c>
      <c r="Q1368" s="292" t="str">
        <f>TablaPOA[[#This Row],[Cod_Sub_acción_especifica]]&amp;"_"&amp;TablaPOA[[#This Row],[Cod_Tipo_agente]]</f>
        <v>K31.4.1.5_TA9</v>
      </c>
      <c r="R1368" s="250" t="s">
        <v>2919</v>
      </c>
      <c r="S1368" s="251" t="s">
        <v>2932</v>
      </c>
      <c r="T1368" s="269" t="s">
        <v>2933</v>
      </c>
    </row>
    <row r="1369" spans="1:20" ht="25.5" x14ac:dyDescent="0.25">
      <c r="A1369" s="268" t="s">
        <v>2314</v>
      </c>
      <c r="B1369" s="248">
        <v>31</v>
      </c>
      <c r="C1369" s="248" t="s">
        <v>2691</v>
      </c>
      <c r="D1369" s="248" t="s">
        <v>2988</v>
      </c>
      <c r="E1369" s="248" t="s">
        <v>3189</v>
      </c>
      <c r="F1369" s="248" t="s">
        <v>2697</v>
      </c>
      <c r="G1369" s="248" t="s">
        <v>2497</v>
      </c>
      <c r="H1369" s="263" t="s">
        <v>3190</v>
      </c>
      <c r="I1369" s="249" t="s">
        <v>2746</v>
      </c>
      <c r="J1369" s="248" t="s">
        <v>2548</v>
      </c>
      <c r="K1369" s="263" t="s">
        <v>3133</v>
      </c>
      <c r="L1369" s="263" t="s">
        <v>2800</v>
      </c>
      <c r="M1369" s="248" t="s">
        <v>2371</v>
      </c>
      <c r="N1369" s="293"/>
      <c r="O1369" s="293" t="str">
        <f>TablaPOA[[#This Row],[Cod_Sub_acción_especifica]]&amp;"_"&amp;TablaPOA[[#This Row],[Tipo de agente]]</f>
        <v>K31.4.1.5_Medios de transporte</v>
      </c>
      <c r="P1369" s="250" t="s">
        <v>2918</v>
      </c>
      <c r="Q1369" s="292" t="str">
        <f>TablaPOA[[#This Row],[Cod_Sub_acción_especifica]]&amp;"_"&amp;TablaPOA[[#This Row],[Cod_Tipo_agente]]</f>
        <v>K31.4.1.5_TA9</v>
      </c>
      <c r="R1369" s="250" t="s">
        <v>2919</v>
      </c>
      <c r="S1369" s="251" t="s">
        <v>2934</v>
      </c>
      <c r="T1369" s="269" t="s">
        <v>2935</v>
      </c>
    </row>
    <row r="1370" spans="1:20" ht="25.5" x14ac:dyDescent="0.25">
      <c r="A1370" s="268" t="s">
        <v>2314</v>
      </c>
      <c r="B1370" s="248">
        <v>31</v>
      </c>
      <c r="C1370" s="248" t="s">
        <v>2691</v>
      </c>
      <c r="D1370" s="248" t="s">
        <v>2988</v>
      </c>
      <c r="E1370" s="248" t="s">
        <v>3189</v>
      </c>
      <c r="F1370" s="248" t="s">
        <v>2697</v>
      </c>
      <c r="G1370" s="248" t="s">
        <v>2497</v>
      </c>
      <c r="H1370" s="263" t="s">
        <v>3190</v>
      </c>
      <c r="I1370" s="249" t="s">
        <v>2746</v>
      </c>
      <c r="J1370" s="248" t="s">
        <v>2548</v>
      </c>
      <c r="K1370" s="263" t="s">
        <v>3133</v>
      </c>
      <c r="L1370" s="263" t="s">
        <v>2800</v>
      </c>
      <c r="M1370" s="248" t="s">
        <v>2371</v>
      </c>
      <c r="N1370" s="293"/>
      <c r="O1370" s="293" t="str">
        <f>TablaPOA[[#This Row],[Cod_Sub_acción_especifica]]&amp;"_"&amp;TablaPOA[[#This Row],[Tipo de agente]]</f>
        <v>K31.4.1.5_Medios de transporte</v>
      </c>
      <c r="P1370" s="250" t="s">
        <v>2918</v>
      </c>
      <c r="Q1370" s="292" t="str">
        <f>TablaPOA[[#This Row],[Cod_Sub_acción_especifica]]&amp;"_"&amp;TablaPOA[[#This Row],[Cod_Tipo_agente]]</f>
        <v>K31.4.1.5_TA9</v>
      </c>
      <c r="R1370" s="250" t="s">
        <v>2919</v>
      </c>
      <c r="S1370" s="251" t="s">
        <v>2936</v>
      </c>
      <c r="T1370" s="269" t="s">
        <v>2937</v>
      </c>
    </row>
    <row r="1371" spans="1:20" ht="25.5" x14ac:dyDescent="0.25">
      <c r="A1371" s="268" t="s">
        <v>2314</v>
      </c>
      <c r="B1371" s="248">
        <v>31</v>
      </c>
      <c r="C1371" s="248" t="s">
        <v>2691</v>
      </c>
      <c r="D1371" s="248" t="s">
        <v>2988</v>
      </c>
      <c r="E1371" s="248" t="s">
        <v>3189</v>
      </c>
      <c r="F1371" s="248" t="s">
        <v>2697</v>
      </c>
      <c r="G1371" s="248" t="s">
        <v>2497</v>
      </c>
      <c r="H1371" s="263" t="s">
        <v>3190</v>
      </c>
      <c r="I1371" s="249" t="s">
        <v>2746</v>
      </c>
      <c r="J1371" s="248" t="s">
        <v>2548</v>
      </c>
      <c r="K1371" s="263" t="s">
        <v>3133</v>
      </c>
      <c r="L1371" s="263" t="s">
        <v>2800</v>
      </c>
      <c r="M1371" s="248" t="s">
        <v>2371</v>
      </c>
      <c r="N1371" s="293"/>
      <c r="O1371" s="293" t="str">
        <f>TablaPOA[[#This Row],[Cod_Sub_acción_especifica]]&amp;"_"&amp;TablaPOA[[#This Row],[Tipo de agente]]</f>
        <v>K31.4.1.5_Medios de transporte</v>
      </c>
      <c r="P1371" s="250" t="s">
        <v>2918</v>
      </c>
      <c r="Q1371" s="292" t="str">
        <f>TablaPOA[[#This Row],[Cod_Sub_acción_especifica]]&amp;"_"&amp;TablaPOA[[#This Row],[Cod_Tipo_agente]]</f>
        <v>K31.4.1.5_TA9</v>
      </c>
      <c r="R1371" s="250" t="s">
        <v>2919</v>
      </c>
      <c r="S1371" s="251" t="s">
        <v>2938</v>
      </c>
      <c r="T1371" s="269" t="s">
        <v>2939</v>
      </c>
    </row>
    <row r="1372" spans="1:20" ht="25.5" x14ac:dyDescent="0.25">
      <c r="A1372" s="268" t="s">
        <v>2314</v>
      </c>
      <c r="B1372" s="248">
        <v>31</v>
      </c>
      <c r="C1372" s="248" t="s">
        <v>2691</v>
      </c>
      <c r="D1372" s="248" t="s">
        <v>2988</v>
      </c>
      <c r="E1372" s="248" t="s">
        <v>3189</v>
      </c>
      <c r="F1372" s="248" t="s">
        <v>2697</v>
      </c>
      <c r="G1372" s="248" t="s">
        <v>2497</v>
      </c>
      <c r="H1372" s="263" t="s">
        <v>3190</v>
      </c>
      <c r="I1372" s="249" t="s">
        <v>2746</v>
      </c>
      <c r="J1372" s="248" t="s">
        <v>2548</v>
      </c>
      <c r="K1372" s="263" t="s">
        <v>3133</v>
      </c>
      <c r="L1372" s="263" t="s">
        <v>2800</v>
      </c>
      <c r="M1372" s="248" t="s">
        <v>2371</v>
      </c>
      <c r="N1372" s="293"/>
      <c r="O1372" s="293" t="str">
        <f>TablaPOA[[#This Row],[Cod_Sub_acción_especifica]]&amp;"_"&amp;TablaPOA[[#This Row],[Tipo de agente]]</f>
        <v>K31.4.1.5_Medios de transporte</v>
      </c>
      <c r="P1372" s="250" t="s">
        <v>2918</v>
      </c>
      <c r="Q1372" s="292" t="str">
        <f>TablaPOA[[#This Row],[Cod_Sub_acción_especifica]]&amp;"_"&amp;TablaPOA[[#This Row],[Cod_Tipo_agente]]</f>
        <v>K31.4.1.5_TA9</v>
      </c>
      <c r="R1372" s="250" t="s">
        <v>2919</v>
      </c>
      <c r="S1372" s="251" t="s">
        <v>2940</v>
      </c>
      <c r="T1372" s="269" t="s">
        <v>2941</v>
      </c>
    </row>
    <row r="1373" spans="1:20" ht="25.5" x14ac:dyDescent="0.25">
      <c r="A1373" s="268" t="s">
        <v>2314</v>
      </c>
      <c r="B1373" s="248">
        <v>31</v>
      </c>
      <c r="C1373" s="248" t="s">
        <v>2691</v>
      </c>
      <c r="D1373" s="248" t="s">
        <v>2988</v>
      </c>
      <c r="E1373" s="248" t="s">
        <v>3189</v>
      </c>
      <c r="F1373" s="248" t="s">
        <v>2697</v>
      </c>
      <c r="G1373" s="248" t="s">
        <v>2497</v>
      </c>
      <c r="H1373" s="263" t="s">
        <v>3190</v>
      </c>
      <c r="I1373" s="249" t="s">
        <v>2746</v>
      </c>
      <c r="J1373" s="248" t="s">
        <v>2548</v>
      </c>
      <c r="K1373" s="263" t="s">
        <v>3133</v>
      </c>
      <c r="L1373" s="263" t="s">
        <v>2800</v>
      </c>
      <c r="M1373" s="248" t="s">
        <v>2371</v>
      </c>
      <c r="N1373" s="293"/>
      <c r="O1373" s="293" t="str">
        <f>TablaPOA[[#This Row],[Cod_Sub_acción_especifica]]&amp;"_"&amp;TablaPOA[[#This Row],[Tipo de agente]]</f>
        <v>K31.4.1.5_Medios de transporte</v>
      </c>
      <c r="P1373" s="250" t="s">
        <v>2918</v>
      </c>
      <c r="Q1373" s="292" t="str">
        <f>TablaPOA[[#This Row],[Cod_Sub_acción_especifica]]&amp;"_"&amp;TablaPOA[[#This Row],[Cod_Tipo_agente]]</f>
        <v>K31.4.1.5_TA9</v>
      </c>
      <c r="R1373" s="250" t="s">
        <v>2919</v>
      </c>
      <c r="S1373" s="251" t="s">
        <v>2942</v>
      </c>
      <c r="T1373" s="269" t="s">
        <v>2943</v>
      </c>
    </row>
    <row r="1374" spans="1:20" ht="25.5" x14ac:dyDescent="0.25">
      <c r="A1374" s="268" t="s">
        <v>2314</v>
      </c>
      <c r="B1374" s="248">
        <v>31</v>
      </c>
      <c r="C1374" s="248" t="s">
        <v>2691</v>
      </c>
      <c r="D1374" s="248" t="s">
        <v>2988</v>
      </c>
      <c r="E1374" s="248" t="s">
        <v>3189</v>
      </c>
      <c r="F1374" s="248" t="s">
        <v>2697</v>
      </c>
      <c r="G1374" s="248" t="s">
        <v>2497</v>
      </c>
      <c r="H1374" s="263" t="s">
        <v>3190</v>
      </c>
      <c r="I1374" s="249" t="s">
        <v>2746</v>
      </c>
      <c r="J1374" s="248" t="s">
        <v>2548</v>
      </c>
      <c r="K1374" s="263" t="s">
        <v>3133</v>
      </c>
      <c r="L1374" s="263" t="s">
        <v>2800</v>
      </c>
      <c r="M1374" s="248" t="s">
        <v>2371</v>
      </c>
      <c r="N1374" s="293"/>
      <c r="O1374" s="293" t="str">
        <f>TablaPOA[[#This Row],[Cod_Sub_acción_especifica]]&amp;"_"&amp;TablaPOA[[#This Row],[Tipo de agente]]</f>
        <v>K31.4.1.5_Medios de transporte</v>
      </c>
      <c r="P1374" s="250" t="s">
        <v>2918</v>
      </c>
      <c r="Q1374" s="292" t="str">
        <f>TablaPOA[[#This Row],[Cod_Sub_acción_especifica]]&amp;"_"&amp;TablaPOA[[#This Row],[Cod_Tipo_agente]]</f>
        <v>K31.4.1.5_TA9</v>
      </c>
      <c r="R1374" s="250" t="s">
        <v>2919</v>
      </c>
      <c r="S1374" s="251" t="s">
        <v>2944</v>
      </c>
      <c r="T1374" s="269" t="s">
        <v>2945</v>
      </c>
    </row>
    <row r="1375" spans="1:20" ht="25.5" x14ac:dyDescent="0.25">
      <c r="A1375" s="268" t="s">
        <v>2314</v>
      </c>
      <c r="B1375" s="248">
        <v>31</v>
      </c>
      <c r="C1375" s="248" t="s">
        <v>2691</v>
      </c>
      <c r="D1375" s="248" t="s">
        <v>2988</v>
      </c>
      <c r="E1375" s="248" t="s">
        <v>3189</v>
      </c>
      <c r="F1375" s="248" t="s">
        <v>2697</v>
      </c>
      <c r="G1375" s="248" t="s">
        <v>2497</v>
      </c>
      <c r="H1375" s="263" t="s">
        <v>3190</v>
      </c>
      <c r="I1375" s="249" t="s">
        <v>2746</v>
      </c>
      <c r="J1375" s="248" t="s">
        <v>2548</v>
      </c>
      <c r="K1375" s="263" t="s">
        <v>3133</v>
      </c>
      <c r="L1375" s="263" t="s">
        <v>2800</v>
      </c>
      <c r="M1375" s="248" t="s">
        <v>2371</v>
      </c>
      <c r="N1375" s="293"/>
      <c r="O1375" s="293" t="str">
        <f>TablaPOA[[#This Row],[Cod_Sub_acción_especifica]]&amp;"_"&amp;TablaPOA[[#This Row],[Tipo de agente]]</f>
        <v>K31.4.1.5_Medios de transporte</v>
      </c>
      <c r="P1375" s="250" t="s">
        <v>2918</v>
      </c>
      <c r="Q1375" s="292" t="str">
        <f>TablaPOA[[#This Row],[Cod_Sub_acción_especifica]]&amp;"_"&amp;TablaPOA[[#This Row],[Cod_Tipo_agente]]</f>
        <v>K31.4.1.5_TA9</v>
      </c>
      <c r="R1375" s="250" t="s">
        <v>2919</v>
      </c>
      <c r="S1375" s="251" t="s">
        <v>2946</v>
      </c>
      <c r="T1375" s="269" t="s">
        <v>2947</v>
      </c>
    </row>
    <row r="1376" spans="1:20" ht="25.5" x14ac:dyDescent="0.25">
      <c r="A1376" s="268" t="s">
        <v>2314</v>
      </c>
      <c r="B1376" s="248">
        <v>31</v>
      </c>
      <c r="C1376" s="248" t="s">
        <v>2691</v>
      </c>
      <c r="D1376" s="248" t="s">
        <v>2988</v>
      </c>
      <c r="E1376" s="248" t="s">
        <v>3189</v>
      </c>
      <c r="F1376" s="248" t="s">
        <v>2697</v>
      </c>
      <c r="G1376" s="248" t="s">
        <v>2497</v>
      </c>
      <c r="H1376" s="263" t="s">
        <v>3190</v>
      </c>
      <c r="I1376" s="249" t="s">
        <v>2746</v>
      </c>
      <c r="J1376" s="248" t="s">
        <v>2548</v>
      </c>
      <c r="K1376" s="263" t="s">
        <v>3133</v>
      </c>
      <c r="L1376" s="263" t="s">
        <v>2800</v>
      </c>
      <c r="M1376" s="248" t="s">
        <v>2371</v>
      </c>
      <c r="N1376" s="293"/>
      <c r="O1376" s="293" t="str">
        <f>TablaPOA[[#This Row],[Cod_Sub_acción_especifica]]&amp;"_"&amp;TablaPOA[[#This Row],[Tipo de agente]]</f>
        <v>K31.4.1.5_Medios de transporte</v>
      </c>
      <c r="P1376" s="250" t="s">
        <v>2918</v>
      </c>
      <c r="Q1376" s="292" t="str">
        <f>TablaPOA[[#This Row],[Cod_Sub_acción_especifica]]&amp;"_"&amp;TablaPOA[[#This Row],[Cod_Tipo_agente]]</f>
        <v>K31.4.1.5_TA9</v>
      </c>
      <c r="R1376" s="250" t="s">
        <v>2919</v>
      </c>
      <c r="S1376" s="251" t="s">
        <v>2948</v>
      </c>
      <c r="T1376" s="269" t="s">
        <v>2949</v>
      </c>
    </row>
    <row r="1377" spans="1:20" ht="25.5" x14ac:dyDescent="0.25">
      <c r="A1377" s="268" t="s">
        <v>2314</v>
      </c>
      <c r="B1377" s="248">
        <v>31</v>
      </c>
      <c r="C1377" s="248" t="s">
        <v>2691</v>
      </c>
      <c r="D1377" s="248" t="s">
        <v>2988</v>
      </c>
      <c r="E1377" s="248" t="s">
        <v>3189</v>
      </c>
      <c r="F1377" s="248" t="s">
        <v>2697</v>
      </c>
      <c r="G1377" s="248" t="s">
        <v>2497</v>
      </c>
      <c r="H1377" s="263" t="s">
        <v>3190</v>
      </c>
      <c r="I1377" s="249" t="s">
        <v>2746</v>
      </c>
      <c r="J1377" s="248" t="s">
        <v>2548</v>
      </c>
      <c r="K1377" s="263" t="s">
        <v>3133</v>
      </c>
      <c r="L1377" s="263" t="s">
        <v>2800</v>
      </c>
      <c r="M1377" s="248" t="s">
        <v>2371</v>
      </c>
      <c r="N1377" s="293"/>
      <c r="O1377" s="293" t="str">
        <f>TablaPOA[[#This Row],[Cod_Sub_acción_especifica]]&amp;"_"&amp;TablaPOA[[#This Row],[Tipo de agente]]</f>
        <v>K31.4.1.5_Plantas de abastecimiento y despacho</v>
      </c>
      <c r="P1377" s="250" t="s">
        <v>2950</v>
      </c>
      <c r="Q1377" s="292" t="str">
        <f>TablaPOA[[#This Row],[Cod_Sub_acción_especifica]]&amp;"_"&amp;TablaPOA[[#This Row],[Cod_Tipo_agente]]</f>
        <v>K31.4.1.5_TA10</v>
      </c>
      <c r="R1377" s="250" t="s">
        <v>2951</v>
      </c>
      <c r="S1377" s="251" t="s">
        <v>2952</v>
      </c>
      <c r="T1377" s="269" t="s">
        <v>2953</v>
      </c>
    </row>
    <row r="1378" spans="1:20" ht="25.5" x14ac:dyDescent="0.25">
      <c r="A1378" s="268" t="s">
        <v>2314</v>
      </c>
      <c r="B1378" s="248">
        <v>31</v>
      </c>
      <c r="C1378" s="248" t="s">
        <v>2691</v>
      </c>
      <c r="D1378" s="248" t="s">
        <v>2988</v>
      </c>
      <c r="E1378" s="248" t="s">
        <v>3189</v>
      </c>
      <c r="F1378" s="248" t="s">
        <v>2697</v>
      </c>
      <c r="G1378" s="248" t="s">
        <v>2497</v>
      </c>
      <c r="H1378" s="263" t="s">
        <v>3190</v>
      </c>
      <c r="I1378" s="249" t="s">
        <v>2746</v>
      </c>
      <c r="J1378" s="248" t="s">
        <v>2548</v>
      </c>
      <c r="K1378" s="263" t="s">
        <v>3133</v>
      </c>
      <c r="L1378" s="263" t="s">
        <v>2800</v>
      </c>
      <c r="M1378" s="248" t="s">
        <v>2371</v>
      </c>
      <c r="N1378" s="293"/>
      <c r="O1378" s="293" t="str">
        <f>TablaPOA[[#This Row],[Cod_Sub_acción_especifica]]&amp;"_"&amp;TablaPOA[[#This Row],[Tipo de agente]]</f>
        <v>K31.4.1.5_Plantas de abastecimiento y despacho</v>
      </c>
      <c r="P1378" s="250" t="s">
        <v>2950</v>
      </c>
      <c r="Q1378" s="292" t="str">
        <f>TablaPOA[[#This Row],[Cod_Sub_acción_especifica]]&amp;"_"&amp;TablaPOA[[#This Row],[Cod_Tipo_agente]]</f>
        <v>K31.4.1.5_TA10</v>
      </c>
      <c r="R1378" s="250" t="s">
        <v>2951</v>
      </c>
      <c r="S1378" s="251" t="s">
        <v>2954</v>
      </c>
      <c r="T1378" s="269" t="s">
        <v>2955</v>
      </c>
    </row>
    <row r="1379" spans="1:20" ht="25.5" x14ac:dyDescent="0.25">
      <c r="A1379" s="268" t="s">
        <v>2314</v>
      </c>
      <c r="B1379" s="248">
        <v>31</v>
      </c>
      <c r="C1379" s="248" t="s">
        <v>2691</v>
      </c>
      <c r="D1379" s="248" t="s">
        <v>2988</v>
      </c>
      <c r="E1379" s="248" t="s">
        <v>3189</v>
      </c>
      <c r="F1379" s="248" t="s">
        <v>2697</v>
      </c>
      <c r="G1379" s="248" t="s">
        <v>2497</v>
      </c>
      <c r="H1379" s="263" t="s">
        <v>3190</v>
      </c>
      <c r="I1379" s="249" t="s">
        <v>2746</v>
      </c>
      <c r="J1379" s="248" t="s">
        <v>2548</v>
      </c>
      <c r="K1379" s="263" t="s">
        <v>3133</v>
      </c>
      <c r="L1379" s="263" t="s">
        <v>2800</v>
      </c>
      <c r="M1379" s="248" t="s">
        <v>2371</v>
      </c>
      <c r="N1379" s="293"/>
      <c r="O1379" s="293" t="str">
        <f>TablaPOA[[#This Row],[Cod_Sub_acción_especifica]]&amp;"_"&amp;TablaPOA[[#This Row],[Tipo de agente]]</f>
        <v>K31.4.1.5_Plantas de abastecimiento y despacho</v>
      </c>
      <c r="P1379" s="250" t="s">
        <v>2950</v>
      </c>
      <c r="Q1379" s="292" t="str">
        <f>TablaPOA[[#This Row],[Cod_Sub_acción_especifica]]&amp;"_"&amp;TablaPOA[[#This Row],[Cod_Tipo_agente]]</f>
        <v>K31.4.1.5_TA10</v>
      </c>
      <c r="R1379" s="250" t="s">
        <v>2951</v>
      </c>
      <c r="S1379" s="251" t="s">
        <v>2956</v>
      </c>
      <c r="T1379" s="269" t="s">
        <v>2957</v>
      </c>
    </row>
    <row r="1380" spans="1:20" ht="25.5" x14ac:dyDescent="0.25">
      <c r="A1380" s="268" t="s">
        <v>2314</v>
      </c>
      <c r="B1380" s="248">
        <v>31</v>
      </c>
      <c r="C1380" s="248" t="s">
        <v>2691</v>
      </c>
      <c r="D1380" s="248" t="s">
        <v>2988</v>
      </c>
      <c r="E1380" s="248" t="s">
        <v>3189</v>
      </c>
      <c r="F1380" s="248" t="s">
        <v>2697</v>
      </c>
      <c r="G1380" s="248" t="s">
        <v>2497</v>
      </c>
      <c r="H1380" s="263" t="s">
        <v>3190</v>
      </c>
      <c r="I1380" s="249" t="s">
        <v>2746</v>
      </c>
      <c r="J1380" s="248" t="s">
        <v>2548</v>
      </c>
      <c r="K1380" s="263" t="s">
        <v>3133</v>
      </c>
      <c r="L1380" s="263" t="s">
        <v>2800</v>
      </c>
      <c r="M1380" s="248" t="s">
        <v>2371</v>
      </c>
      <c r="N1380" s="293"/>
      <c r="O1380" s="293" t="str">
        <f>TablaPOA[[#This Row],[Cod_Sub_acción_especifica]]&amp;"_"&amp;TablaPOA[[#This Row],[Tipo de agente]]</f>
        <v>K31.4.1.5_Plantas de abastecimiento y despacho</v>
      </c>
      <c r="P1380" s="250" t="s">
        <v>2950</v>
      </c>
      <c r="Q1380" s="292" t="str">
        <f>TablaPOA[[#This Row],[Cod_Sub_acción_especifica]]&amp;"_"&amp;TablaPOA[[#This Row],[Cod_Tipo_agente]]</f>
        <v>K31.4.1.5_TA10</v>
      </c>
      <c r="R1380" s="250" t="s">
        <v>2951</v>
      </c>
      <c r="S1380" s="251" t="s">
        <v>2958</v>
      </c>
      <c r="T1380" s="269" t="s">
        <v>2959</v>
      </c>
    </row>
    <row r="1381" spans="1:20" ht="25.5" x14ac:dyDescent="0.25">
      <c r="A1381" s="268" t="s">
        <v>2314</v>
      </c>
      <c r="B1381" s="248">
        <v>31</v>
      </c>
      <c r="C1381" s="248" t="s">
        <v>2691</v>
      </c>
      <c r="D1381" s="248" t="s">
        <v>2988</v>
      </c>
      <c r="E1381" s="248" t="s">
        <v>3189</v>
      </c>
      <c r="F1381" s="248" t="s">
        <v>2697</v>
      </c>
      <c r="G1381" s="248" t="s">
        <v>2497</v>
      </c>
      <c r="H1381" s="263" t="s">
        <v>3190</v>
      </c>
      <c r="I1381" s="249" t="s">
        <v>2746</v>
      </c>
      <c r="J1381" s="248" t="s">
        <v>2548</v>
      </c>
      <c r="K1381" s="263" t="s">
        <v>3133</v>
      </c>
      <c r="L1381" s="263" t="s">
        <v>2800</v>
      </c>
      <c r="M1381" s="248" t="s">
        <v>2371</v>
      </c>
      <c r="N1381" s="293"/>
      <c r="O1381" s="293" t="str">
        <f>TablaPOA[[#This Row],[Cod_Sub_acción_especifica]]&amp;"_"&amp;TablaPOA[[#This Row],[Tipo de agente]]</f>
        <v>K31.4.1.5_Plantas de abastecimiento y despacho</v>
      </c>
      <c r="P1381" s="250" t="s">
        <v>2950</v>
      </c>
      <c r="Q1381" s="292" t="str">
        <f>TablaPOA[[#This Row],[Cod_Sub_acción_especifica]]&amp;"_"&amp;TablaPOA[[#This Row],[Cod_Tipo_agente]]</f>
        <v>K31.4.1.5_TA10</v>
      </c>
      <c r="R1381" s="250" t="s">
        <v>2951</v>
      </c>
      <c r="S1381" s="251" t="s">
        <v>2960</v>
      </c>
      <c r="T1381" s="269" t="s">
        <v>2961</v>
      </c>
    </row>
    <row r="1382" spans="1:20" ht="38.25" x14ac:dyDescent="0.25">
      <c r="A1382" s="268" t="s">
        <v>2314</v>
      </c>
      <c r="B1382" s="248">
        <v>31</v>
      </c>
      <c r="C1382" s="248" t="s">
        <v>2691</v>
      </c>
      <c r="D1382" s="248" t="s">
        <v>2988</v>
      </c>
      <c r="E1382" s="248" t="s">
        <v>3189</v>
      </c>
      <c r="F1382" s="248" t="s">
        <v>2697</v>
      </c>
      <c r="G1382" s="248" t="s">
        <v>2497</v>
      </c>
      <c r="H1382" s="263" t="s">
        <v>3190</v>
      </c>
      <c r="I1382" s="249" t="s">
        <v>2746</v>
      </c>
      <c r="J1382" s="248" t="s">
        <v>2548</v>
      </c>
      <c r="K1382" s="263" t="s">
        <v>3133</v>
      </c>
      <c r="L1382" s="263" t="s">
        <v>2800</v>
      </c>
      <c r="M1382" s="248" t="s">
        <v>2371</v>
      </c>
      <c r="N1382" s="293"/>
      <c r="O1382" s="293" t="str">
        <f>TablaPOA[[#This Row],[Cod_Sub_acción_especifica]]&amp;"_"&amp;TablaPOA[[#This Row],[Tipo de agente]]</f>
        <v>K31.4.1.5_Instalaciones de compresión, transferencia y descompresión de gas natural</v>
      </c>
      <c r="P1382" s="250" t="s">
        <v>2902</v>
      </c>
      <c r="Q1382" s="292" t="str">
        <f>TablaPOA[[#This Row],[Cod_Sub_acción_especifica]]&amp;"_"&amp;TablaPOA[[#This Row],[Cod_Tipo_agente]]</f>
        <v>K31.4.1.5_TA7</v>
      </c>
      <c r="R1382" s="250" t="s">
        <v>2903</v>
      </c>
      <c r="S1382" s="252">
        <v>607</v>
      </c>
      <c r="T1382" s="274" t="s">
        <v>2905</v>
      </c>
    </row>
    <row r="1383" spans="1:20" ht="38.25" x14ac:dyDescent="0.25">
      <c r="A1383" s="268" t="s">
        <v>2314</v>
      </c>
      <c r="B1383" s="248">
        <v>31</v>
      </c>
      <c r="C1383" s="248" t="s">
        <v>2691</v>
      </c>
      <c r="D1383" s="248" t="s">
        <v>2988</v>
      </c>
      <c r="E1383" s="248" t="s">
        <v>3189</v>
      </c>
      <c r="F1383" s="248" t="s">
        <v>2697</v>
      </c>
      <c r="G1383" s="248" t="s">
        <v>2497</v>
      </c>
      <c r="H1383" s="263" t="s">
        <v>3190</v>
      </c>
      <c r="I1383" s="249" t="s">
        <v>2746</v>
      </c>
      <c r="J1383" s="248" t="s">
        <v>2548</v>
      </c>
      <c r="K1383" s="263" t="s">
        <v>3133</v>
      </c>
      <c r="L1383" s="263" t="s">
        <v>2800</v>
      </c>
      <c r="M1383" s="248" t="s">
        <v>2371</v>
      </c>
      <c r="N1383" s="293"/>
      <c r="O1383" s="293" t="str">
        <f>TablaPOA[[#This Row],[Cod_Sub_acción_especifica]]&amp;"_"&amp;TablaPOA[[#This Row],[Tipo de agente]]</f>
        <v>K31.4.1.5_Instalaciones de compresión, transferencia y descompresión de gas natural</v>
      </c>
      <c r="P1383" s="250" t="s">
        <v>2902</v>
      </c>
      <c r="Q1383" s="292" t="str">
        <f>TablaPOA[[#This Row],[Cod_Sub_acción_especifica]]&amp;"_"&amp;TablaPOA[[#This Row],[Cod_Tipo_agente]]</f>
        <v>K31.4.1.5_TA7</v>
      </c>
      <c r="R1383" s="250" t="s">
        <v>2903</v>
      </c>
      <c r="S1383" s="252" t="s">
        <v>2906</v>
      </c>
      <c r="T1383" s="274" t="s">
        <v>2907</v>
      </c>
    </row>
    <row r="1384" spans="1:20" ht="38.25" x14ac:dyDescent="0.25">
      <c r="A1384" s="268" t="s">
        <v>2314</v>
      </c>
      <c r="B1384" s="248">
        <v>31</v>
      </c>
      <c r="C1384" s="248" t="s">
        <v>2691</v>
      </c>
      <c r="D1384" s="248" t="s">
        <v>2988</v>
      </c>
      <c r="E1384" s="248" t="s">
        <v>3189</v>
      </c>
      <c r="F1384" s="248" t="s">
        <v>2697</v>
      </c>
      <c r="G1384" s="248" t="s">
        <v>2497</v>
      </c>
      <c r="H1384" s="263" t="s">
        <v>3190</v>
      </c>
      <c r="I1384" s="249" t="s">
        <v>2746</v>
      </c>
      <c r="J1384" s="248" t="s">
        <v>2548</v>
      </c>
      <c r="K1384" s="263" t="s">
        <v>3133</v>
      </c>
      <c r="L1384" s="263" t="s">
        <v>2800</v>
      </c>
      <c r="M1384" s="248" t="s">
        <v>2371</v>
      </c>
      <c r="N1384" s="293"/>
      <c r="O1384" s="293" t="str">
        <f>TablaPOA[[#This Row],[Cod_Sub_acción_especifica]]&amp;"_"&amp;TablaPOA[[#This Row],[Tipo de agente]]</f>
        <v>K31.4.1.5_Instalaciones de compresión, transferencia y descompresión de gas natural</v>
      </c>
      <c r="P1384" s="250" t="s">
        <v>2902</v>
      </c>
      <c r="Q1384" s="292" t="str">
        <f>TablaPOA[[#This Row],[Cod_Sub_acción_especifica]]&amp;"_"&amp;TablaPOA[[#This Row],[Cod_Tipo_agente]]</f>
        <v>K31.4.1.5_TA7</v>
      </c>
      <c r="R1384" s="250" t="s">
        <v>2903</v>
      </c>
      <c r="S1384" s="252" t="s">
        <v>2908</v>
      </c>
      <c r="T1384" s="274" t="s">
        <v>2909</v>
      </c>
    </row>
    <row r="1385" spans="1:20" ht="38.25" x14ac:dyDescent="0.25">
      <c r="A1385" s="268" t="s">
        <v>2314</v>
      </c>
      <c r="B1385" s="248">
        <v>31</v>
      </c>
      <c r="C1385" s="248" t="s">
        <v>2691</v>
      </c>
      <c r="D1385" s="248" t="s">
        <v>2988</v>
      </c>
      <c r="E1385" s="248" t="s">
        <v>3189</v>
      </c>
      <c r="F1385" s="248" t="s">
        <v>2697</v>
      </c>
      <c r="G1385" s="248" t="s">
        <v>2497</v>
      </c>
      <c r="H1385" s="263" t="s">
        <v>3190</v>
      </c>
      <c r="I1385" s="249" t="s">
        <v>2746</v>
      </c>
      <c r="J1385" s="248" t="s">
        <v>2548</v>
      </c>
      <c r="K1385" s="263" t="s">
        <v>3133</v>
      </c>
      <c r="L1385" s="263" t="s">
        <v>2800</v>
      </c>
      <c r="M1385" s="248" t="s">
        <v>2371</v>
      </c>
      <c r="N1385" s="293"/>
      <c r="O1385" s="293" t="str">
        <f>TablaPOA[[#This Row],[Cod_Sub_acción_especifica]]&amp;"_"&amp;TablaPOA[[#This Row],[Tipo de agente]]</f>
        <v>K31.4.1.5_Instalaciones de compresión, transferencia y descompresión de gas natural</v>
      </c>
      <c r="P1385" s="250" t="s">
        <v>2902</v>
      </c>
      <c r="Q1385" s="292" t="str">
        <f>TablaPOA[[#This Row],[Cod_Sub_acción_especifica]]&amp;"_"&amp;TablaPOA[[#This Row],[Cod_Tipo_agente]]</f>
        <v>K31.4.1.5_TA7</v>
      </c>
      <c r="R1385" s="250" t="s">
        <v>2903</v>
      </c>
      <c r="S1385" s="252" t="s">
        <v>2910</v>
      </c>
      <c r="T1385" s="274" t="s">
        <v>2911</v>
      </c>
    </row>
    <row r="1386" spans="1:20" ht="25.5" x14ac:dyDescent="0.25">
      <c r="A1386" s="268" t="s">
        <v>2314</v>
      </c>
      <c r="B1386" s="248">
        <v>31</v>
      </c>
      <c r="C1386" s="248" t="s">
        <v>2691</v>
      </c>
      <c r="D1386" s="248" t="s">
        <v>2988</v>
      </c>
      <c r="E1386" s="248" t="s">
        <v>3189</v>
      </c>
      <c r="F1386" s="248" t="s">
        <v>2697</v>
      </c>
      <c r="G1386" s="248" t="s">
        <v>2497</v>
      </c>
      <c r="H1386" s="263" t="s">
        <v>3190</v>
      </c>
      <c r="I1386" s="249" t="s">
        <v>2746</v>
      </c>
      <c r="J1386" s="248" t="s">
        <v>2548</v>
      </c>
      <c r="K1386" s="263" t="s">
        <v>3133</v>
      </c>
      <c r="L1386" s="263" t="s">
        <v>2800</v>
      </c>
      <c r="M1386" s="248" t="s">
        <v>2371</v>
      </c>
      <c r="N1386" s="293"/>
      <c r="O1386" s="293" t="str">
        <f>TablaPOA[[#This Row],[Cod_Sub_acción_especifica]]&amp;"_"&amp;TablaPOA[[#This Row],[Tipo de agente]]</f>
        <v>K31.4.1.5_Productores y Plantas de procesamiento</v>
      </c>
      <c r="P1386" s="250" t="s">
        <v>2962</v>
      </c>
      <c r="Q1386" s="292" t="str">
        <f>TablaPOA[[#This Row],[Cod_Sub_acción_especifica]]&amp;"_"&amp;TablaPOA[[#This Row],[Cod_Tipo_agente]]</f>
        <v>K31.4.1.5_TA11</v>
      </c>
      <c r="R1386" s="250" t="s">
        <v>2963</v>
      </c>
      <c r="S1386" s="251" t="s">
        <v>2964</v>
      </c>
      <c r="T1386" s="269" t="s">
        <v>2965</v>
      </c>
    </row>
    <row r="1387" spans="1:20" ht="25.5" x14ac:dyDescent="0.25">
      <c r="A1387" s="268" t="s">
        <v>2314</v>
      </c>
      <c r="B1387" s="248">
        <v>31</v>
      </c>
      <c r="C1387" s="248" t="s">
        <v>2691</v>
      </c>
      <c r="D1387" s="248" t="s">
        <v>2988</v>
      </c>
      <c r="E1387" s="248" t="s">
        <v>3189</v>
      </c>
      <c r="F1387" s="248" t="s">
        <v>2697</v>
      </c>
      <c r="G1387" s="248" t="s">
        <v>2497</v>
      </c>
      <c r="H1387" s="263" t="s">
        <v>3190</v>
      </c>
      <c r="I1387" s="249" t="s">
        <v>2746</v>
      </c>
      <c r="J1387" s="248" t="s">
        <v>2548</v>
      </c>
      <c r="K1387" s="263" t="s">
        <v>3133</v>
      </c>
      <c r="L1387" s="263" t="s">
        <v>2800</v>
      </c>
      <c r="M1387" s="248" t="s">
        <v>2371</v>
      </c>
      <c r="N1387" s="293"/>
      <c r="O1387" s="293" t="str">
        <f>TablaPOA[[#This Row],[Cod_Sub_acción_especifica]]&amp;"_"&amp;TablaPOA[[#This Row],[Tipo de agente]]</f>
        <v>K31.4.1.5_Productores y Plantas de procesamiento</v>
      </c>
      <c r="P1387" s="250" t="s">
        <v>2962</v>
      </c>
      <c r="Q1387" s="292" t="str">
        <f>TablaPOA[[#This Row],[Cod_Sub_acción_especifica]]&amp;"_"&amp;TablaPOA[[#This Row],[Cod_Tipo_agente]]</f>
        <v>K31.4.1.5_TA11</v>
      </c>
      <c r="R1387" s="250" t="s">
        <v>2963</v>
      </c>
      <c r="S1387" s="251" t="s">
        <v>2966</v>
      </c>
      <c r="T1387" s="269" t="s">
        <v>2967</v>
      </c>
    </row>
    <row r="1388" spans="1:20" ht="25.5" x14ac:dyDescent="0.25">
      <c r="A1388" s="268" t="s">
        <v>2314</v>
      </c>
      <c r="B1388" s="248">
        <v>31</v>
      </c>
      <c r="C1388" s="248" t="s">
        <v>2691</v>
      </c>
      <c r="D1388" s="248" t="s">
        <v>2988</v>
      </c>
      <c r="E1388" s="248" t="s">
        <v>3189</v>
      </c>
      <c r="F1388" s="248" t="s">
        <v>2697</v>
      </c>
      <c r="G1388" s="248" t="s">
        <v>2497</v>
      </c>
      <c r="H1388" s="263" t="s">
        <v>3190</v>
      </c>
      <c r="I1388" s="249" t="s">
        <v>2746</v>
      </c>
      <c r="J1388" s="248" t="s">
        <v>2548</v>
      </c>
      <c r="K1388" s="263" t="s">
        <v>3133</v>
      </c>
      <c r="L1388" s="263" t="s">
        <v>2800</v>
      </c>
      <c r="M1388" s="248" t="s">
        <v>2371</v>
      </c>
      <c r="N1388" s="293"/>
      <c r="O1388" s="293" t="str">
        <f>TablaPOA[[#This Row],[Cod_Sub_acción_especifica]]&amp;"_"&amp;TablaPOA[[#This Row],[Tipo de agente]]</f>
        <v>K31.4.1.5_Productores y Plantas de procesamiento</v>
      </c>
      <c r="P1388" s="250" t="s">
        <v>2962</v>
      </c>
      <c r="Q1388" s="292" t="str">
        <f>TablaPOA[[#This Row],[Cod_Sub_acción_especifica]]&amp;"_"&amp;TablaPOA[[#This Row],[Cod_Tipo_agente]]</f>
        <v>K31.4.1.5_TA11</v>
      </c>
      <c r="R1388" s="250" t="s">
        <v>2963</v>
      </c>
      <c r="S1388" s="251" t="s">
        <v>2968</v>
      </c>
      <c r="T1388" s="269" t="s">
        <v>2969</v>
      </c>
    </row>
    <row r="1389" spans="1:20" ht="25.5" x14ac:dyDescent="0.25">
      <c r="A1389" s="268" t="s">
        <v>2314</v>
      </c>
      <c r="B1389" s="248">
        <v>31</v>
      </c>
      <c r="C1389" s="248" t="s">
        <v>2691</v>
      </c>
      <c r="D1389" s="248" t="s">
        <v>2988</v>
      </c>
      <c r="E1389" s="248" t="s">
        <v>3189</v>
      </c>
      <c r="F1389" s="248" t="s">
        <v>2697</v>
      </c>
      <c r="G1389" s="248" t="s">
        <v>2497</v>
      </c>
      <c r="H1389" s="263" t="s">
        <v>3190</v>
      </c>
      <c r="I1389" s="249" t="s">
        <v>2746</v>
      </c>
      <c r="J1389" s="248" t="s">
        <v>2548</v>
      </c>
      <c r="K1389" s="263" t="s">
        <v>3133</v>
      </c>
      <c r="L1389" s="263" t="s">
        <v>2800</v>
      </c>
      <c r="M1389" s="248" t="s">
        <v>2371</v>
      </c>
      <c r="N1389" s="293"/>
      <c r="O1389" s="293" t="str">
        <f>TablaPOA[[#This Row],[Cod_Sub_acción_especifica]]&amp;"_"&amp;TablaPOA[[#This Row],[Tipo de agente]]</f>
        <v>K31.4.1.5_Productores y Plantas de procesamiento</v>
      </c>
      <c r="P1389" s="250" t="s">
        <v>2962</v>
      </c>
      <c r="Q1389" s="292" t="str">
        <f>TablaPOA[[#This Row],[Cod_Sub_acción_especifica]]&amp;"_"&amp;TablaPOA[[#This Row],[Cod_Tipo_agente]]</f>
        <v>K31.4.1.5_TA11</v>
      </c>
      <c r="R1389" s="250" t="s">
        <v>2963</v>
      </c>
      <c r="S1389" s="251" t="s">
        <v>2970</v>
      </c>
      <c r="T1389" s="269" t="s">
        <v>2971</v>
      </c>
    </row>
    <row r="1390" spans="1:20" ht="25.5" x14ac:dyDescent="0.25">
      <c r="A1390" s="268" t="s">
        <v>2314</v>
      </c>
      <c r="B1390" s="248">
        <v>31</v>
      </c>
      <c r="C1390" s="248" t="s">
        <v>2691</v>
      </c>
      <c r="D1390" s="248" t="s">
        <v>2988</v>
      </c>
      <c r="E1390" s="248" t="s">
        <v>3189</v>
      </c>
      <c r="F1390" s="248" t="s">
        <v>2697</v>
      </c>
      <c r="G1390" s="248" t="s">
        <v>2497</v>
      </c>
      <c r="H1390" s="263" t="s">
        <v>3190</v>
      </c>
      <c r="I1390" s="249" t="s">
        <v>2746</v>
      </c>
      <c r="J1390" s="248" t="s">
        <v>2548</v>
      </c>
      <c r="K1390" s="263" t="s">
        <v>3133</v>
      </c>
      <c r="L1390" s="263" t="s">
        <v>2800</v>
      </c>
      <c r="M1390" s="248" t="s">
        <v>2371</v>
      </c>
      <c r="N1390" s="293"/>
      <c r="O1390" s="293" t="str">
        <f>TablaPOA[[#This Row],[Cod_Sub_acción_especifica]]&amp;"_"&amp;TablaPOA[[#This Row],[Tipo de agente]]</f>
        <v>K31.4.1.5_Productores y Plantas de procesamiento</v>
      </c>
      <c r="P1390" s="250" t="s">
        <v>2962</v>
      </c>
      <c r="Q1390" s="292" t="str">
        <f>TablaPOA[[#This Row],[Cod_Sub_acción_especifica]]&amp;"_"&amp;TablaPOA[[#This Row],[Cod_Tipo_agente]]</f>
        <v>K31.4.1.5_TA11</v>
      </c>
      <c r="R1390" s="250" t="s">
        <v>2963</v>
      </c>
      <c r="S1390" s="251" t="s">
        <v>2972</v>
      </c>
      <c r="T1390" s="269" t="s">
        <v>2973</v>
      </c>
    </row>
    <row r="1391" spans="1:20" ht="25.5" x14ac:dyDescent="0.25">
      <c r="A1391" s="268" t="s">
        <v>2314</v>
      </c>
      <c r="B1391" s="248">
        <v>31</v>
      </c>
      <c r="C1391" s="248" t="s">
        <v>2691</v>
      </c>
      <c r="D1391" s="248" t="s">
        <v>2988</v>
      </c>
      <c r="E1391" s="248" t="s">
        <v>3189</v>
      </c>
      <c r="F1391" s="248" t="s">
        <v>2697</v>
      </c>
      <c r="G1391" s="248" t="s">
        <v>2497</v>
      </c>
      <c r="H1391" s="263" t="s">
        <v>3190</v>
      </c>
      <c r="I1391" s="249" t="s">
        <v>2746</v>
      </c>
      <c r="J1391" s="248" t="s">
        <v>2548</v>
      </c>
      <c r="K1391" s="263" t="s">
        <v>3133</v>
      </c>
      <c r="L1391" s="263" t="s">
        <v>2800</v>
      </c>
      <c r="M1391" s="248" t="s">
        <v>2371</v>
      </c>
      <c r="N1391" s="293"/>
      <c r="O1391" s="293" t="str">
        <f>TablaPOA[[#This Row],[Cod_Sub_acción_especifica]]&amp;"_"&amp;TablaPOA[[#This Row],[Tipo de agente]]</f>
        <v>K31.4.1.5_Productores y Plantas de procesamiento</v>
      </c>
      <c r="P1391" s="250" t="s">
        <v>2962</v>
      </c>
      <c r="Q1391" s="292" t="str">
        <f>TablaPOA[[#This Row],[Cod_Sub_acción_especifica]]&amp;"_"&amp;TablaPOA[[#This Row],[Cod_Tipo_agente]]</f>
        <v>K31.4.1.5_TA11</v>
      </c>
      <c r="R1391" s="250" t="s">
        <v>2963</v>
      </c>
      <c r="S1391" s="251" t="s">
        <v>2974</v>
      </c>
      <c r="T1391" s="269" t="s">
        <v>2975</v>
      </c>
    </row>
    <row r="1392" spans="1:20" ht="25.5" x14ac:dyDescent="0.25">
      <c r="A1392" s="268" t="s">
        <v>2314</v>
      </c>
      <c r="B1392" s="248">
        <v>31</v>
      </c>
      <c r="C1392" s="248" t="s">
        <v>2691</v>
      </c>
      <c r="D1392" s="248" t="s">
        <v>2988</v>
      </c>
      <c r="E1392" s="248" t="s">
        <v>3189</v>
      </c>
      <c r="F1392" s="248" t="s">
        <v>2697</v>
      </c>
      <c r="G1392" s="248" t="s">
        <v>2497</v>
      </c>
      <c r="H1392" s="263" t="s">
        <v>3190</v>
      </c>
      <c r="I1392" s="249" t="s">
        <v>2746</v>
      </c>
      <c r="J1392" s="248" t="s">
        <v>2548</v>
      </c>
      <c r="K1392" s="263" t="s">
        <v>3133</v>
      </c>
      <c r="L1392" s="263" t="s">
        <v>2800</v>
      </c>
      <c r="M1392" s="248" t="s">
        <v>2371</v>
      </c>
      <c r="N1392" s="293"/>
      <c r="O1392" s="293" t="str">
        <f>TablaPOA[[#This Row],[Cod_Sub_acción_especifica]]&amp;"_"&amp;TablaPOA[[#This Row],[Tipo de agente]]</f>
        <v>K31.4.1.5_Productores y Plantas de procesamiento</v>
      </c>
      <c r="P1392" s="250" t="s">
        <v>2962</v>
      </c>
      <c r="Q1392" s="292" t="str">
        <f>TablaPOA[[#This Row],[Cod_Sub_acción_especifica]]&amp;"_"&amp;TablaPOA[[#This Row],[Cod_Tipo_agente]]</f>
        <v>K31.4.1.5_TA11</v>
      </c>
      <c r="R1392" s="250" t="s">
        <v>2963</v>
      </c>
      <c r="S1392" s="251" t="s">
        <v>2976</v>
      </c>
      <c r="T1392" s="269" t="s">
        <v>2977</v>
      </c>
    </row>
    <row r="1393" spans="1:20" ht="25.5" x14ac:dyDescent="0.25">
      <c r="A1393" s="219" t="s">
        <v>2314</v>
      </c>
      <c r="B1393" s="227">
        <v>31</v>
      </c>
      <c r="C1393" s="227" t="s">
        <v>2691</v>
      </c>
      <c r="D1393" s="227" t="s">
        <v>2988</v>
      </c>
      <c r="E1393" s="227" t="s">
        <v>3189</v>
      </c>
      <c r="F1393" s="227" t="s">
        <v>2697</v>
      </c>
      <c r="G1393" s="227" t="s">
        <v>2497</v>
      </c>
      <c r="H1393" s="264" t="s">
        <v>3190</v>
      </c>
      <c r="I1393" s="253" t="s">
        <v>2746</v>
      </c>
      <c r="J1393" s="227" t="s">
        <v>2548</v>
      </c>
      <c r="K1393" s="265" t="s">
        <v>3134</v>
      </c>
      <c r="L1393" s="265" t="s">
        <v>2562</v>
      </c>
      <c r="M1393" s="259" t="s">
        <v>2562</v>
      </c>
      <c r="N1393" s="299" t="s">
        <v>2809</v>
      </c>
      <c r="O1393" s="292" t="str">
        <f>TablaPOA[[#This Row],[Cod_Sub_acción_especifica]]&amp;"_"&amp;TablaPOA[[#This Row],[Tipo de agente]]</f>
        <v>K31.4.1.6_Consumidores directos de combustibles líquidos y OPDH</v>
      </c>
      <c r="P1393" s="254" t="s">
        <v>2808</v>
      </c>
      <c r="Q1393" s="292" t="str">
        <f>TablaPOA[[#This Row],[Cod_Sub_acción_especifica]]&amp;"_"&amp;TablaPOA[[#This Row],[Cod_Tipo_agente]]</f>
        <v>K31.4.1.6_TA1</v>
      </c>
      <c r="R1393" s="254" t="s">
        <v>2809</v>
      </c>
      <c r="S1393" s="255" t="s">
        <v>2810</v>
      </c>
      <c r="T1393" s="271" t="s">
        <v>2811</v>
      </c>
    </row>
    <row r="1394" spans="1:20" ht="25.5" x14ac:dyDescent="0.25">
      <c r="A1394" s="219" t="s">
        <v>2314</v>
      </c>
      <c r="B1394" s="227">
        <v>31</v>
      </c>
      <c r="C1394" s="227" t="s">
        <v>2691</v>
      </c>
      <c r="D1394" s="227" t="s">
        <v>2988</v>
      </c>
      <c r="E1394" s="227" t="s">
        <v>3189</v>
      </c>
      <c r="F1394" s="227" t="s">
        <v>2697</v>
      </c>
      <c r="G1394" s="227" t="s">
        <v>2497</v>
      </c>
      <c r="H1394" s="264" t="s">
        <v>3190</v>
      </c>
      <c r="I1394" s="253" t="s">
        <v>2746</v>
      </c>
      <c r="J1394" s="227" t="s">
        <v>2548</v>
      </c>
      <c r="K1394" s="265" t="s">
        <v>3134</v>
      </c>
      <c r="L1394" s="265" t="s">
        <v>2562</v>
      </c>
      <c r="M1394" s="259" t="s">
        <v>2562</v>
      </c>
      <c r="N1394" s="299" t="s">
        <v>2831</v>
      </c>
      <c r="O1394" s="292" t="str">
        <f>TablaPOA[[#This Row],[Cod_Sub_acción_especifica]]&amp;"_"&amp;TablaPOA[[#This Row],[Tipo de agente]]</f>
        <v>K31.4.1.6_Consumidores directos de combustibles líquidos y OPDH</v>
      </c>
      <c r="P1394" s="254" t="s">
        <v>2808</v>
      </c>
      <c r="Q1394" s="292" t="str">
        <f>TablaPOA[[#This Row],[Cod_Sub_acción_especifica]]&amp;"_"&amp;TablaPOA[[#This Row],[Cod_Tipo_agente]]</f>
        <v>K31.4.1.6_TA1</v>
      </c>
      <c r="R1394" s="254" t="s">
        <v>2809</v>
      </c>
      <c r="S1394" s="255" t="s">
        <v>2812</v>
      </c>
      <c r="T1394" s="271" t="s">
        <v>2813</v>
      </c>
    </row>
    <row r="1395" spans="1:20" ht="25.5" x14ac:dyDescent="0.25">
      <c r="A1395" s="219" t="s">
        <v>2314</v>
      </c>
      <c r="B1395" s="227">
        <v>31</v>
      </c>
      <c r="C1395" s="227" t="s">
        <v>2691</v>
      </c>
      <c r="D1395" s="227" t="s">
        <v>2988</v>
      </c>
      <c r="E1395" s="227" t="s">
        <v>3189</v>
      </c>
      <c r="F1395" s="227" t="s">
        <v>2697</v>
      </c>
      <c r="G1395" s="227" t="s">
        <v>2497</v>
      </c>
      <c r="H1395" s="264" t="s">
        <v>3190</v>
      </c>
      <c r="I1395" s="253" t="s">
        <v>2746</v>
      </c>
      <c r="J1395" s="227" t="s">
        <v>2548</v>
      </c>
      <c r="K1395" s="265" t="s">
        <v>3134</v>
      </c>
      <c r="L1395" s="265" t="s">
        <v>2562</v>
      </c>
      <c r="M1395" s="259" t="s">
        <v>2562</v>
      </c>
      <c r="N1395" s="299" t="s">
        <v>2883</v>
      </c>
      <c r="O1395" s="292" t="str">
        <f>TablaPOA[[#This Row],[Cod_Sub_acción_especifica]]&amp;"_"&amp;TablaPOA[[#This Row],[Tipo de agente]]</f>
        <v>K31.4.1.6_Consumidores directos de combustibles líquidos y OPDH</v>
      </c>
      <c r="P1395" s="254" t="s">
        <v>2808</v>
      </c>
      <c r="Q1395" s="292" t="str">
        <f>TablaPOA[[#This Row],[Cod_Sub_acción_especifica]]&amp;"_"&amp;TablaPOA[[#This Row],[Cod_Tipo_agente]]</f>
        <v>K31.4.1.6_TA1</v>
      </c>
      <c r="R1395" s="254" t="s">
        <v>2809</v>
      </c>
      <c r="S1395" s="255" t="s">
        <v>2814</v>
      </c>
      <c r="T1395" s="271" t="s">
        <v>2815</v>
      </c>
    </row>
    <row r="1396" spans="1:20" ht="25.5" x14ac:dyDescent="0.25">
      <c r="A1396" s="219" t="s">
        <v>2314</v>
      </c>
      <c r="B1396" s="227">
        <v>31</v>
      </c>
      <c r="C1396" s="227" t="s">
        <v>2691</v>
      </c>
      <c r="D1396" s="227" t="s">
        <v>2988</v>
      </c>
      <c r="E1396" s="227" t="s">
        <v>3189</v>
      </c>
      <c r="F1396" s="227" t="s">
        <v>2697</v>
      </c>
      <c r="G1396" s="227" t="s">
        <v>2497</v>
      </c>
      <c r="H1396" s="264" t="s">
        <v>3190</v>
      </c>
      <c r="I1396" s="253" t="s">
        <v>2746</v>
      </c>
      <c r="J1396" s="227" t="s">
        <v>2548</v>
      </c>
      <c r="K1396" s="265" t="s">
        <v>3134</v>
      </c>
      <c r="L1396" s="265" t="s">
        <v>2562</v>
      </c>
      <c r="M1396" s="259" t="s">
        <v>2562</v>
      </c>
      <c r="N1396" s="295"/>
      <c r="O1396" s="295" t="str">
        <f>TablaPOA[[#This Row],[Cod_Sub_acción_especifica]]&amp;"_"&amp;TablaPOA[[#This Row],[Tipo de agente]]</f>
        <v>K31.4.1.6_Consumidores directos de combustibles líquidos y OPDH</v>
      </c>
      <c r="P1396" s="254" t="s">
        <v>2808</v>
      </c>
      <c r="Q1396" s="292" t="str">
        <f>TablaPOA[[#This Row],[Cod_Sub_acción_especifica]]&amp;"_"&amp;TablaPOA[[#This Row],[Cod_Tipo_agente]]</f>
        <v>K31.4.1.6_TA1</v>
      </c>
      <c r="R1396" s="254" t="s">
        <v>2809</v>
      </c>
      <c r="S1396" s="255" t="s">
        <v>2816</v>
      </c>
      <c r="T1396" s="271" t="s">
        <v>2817</v>
      </c>
    </row>
    <row r="1397" spans="1:20" ht="25.5" x14ac:dyDescent="0.25">
      <c r="A1397" s="219" t="s">
        <v>2314</v>
      </c>
      <c r="B1397" s="227">
        <v>31</v>
      </c>
      <c r="C1397" s="227" t="s">
        <v>2691</v>
      </c>
      <c r="D1397" s="227" t="s">
        <v>2988</v>
      </c>
      <c r="E1397" s="227" t="s">
        <v>3189</v>
      </c>
      <c r="F1397" s="227" t="s">
        <v>2697</v>
      </c>
      <c r="G1397" s="227" t="s">
        <v>2497</v>
      </c>
      <c r="H1397" s="264" t="s">
        <v>3190</v>
      </c>
      <c r="I1397" s="253" t="s">
        <v>2746</v>
      </c>
      <c r="J1397" s="227" t="s">
        <v>2548</v>
      </c>
      <c r="K1397" s="265" t="s">
        <v>3134</v>
      </c>
      <c r="L1397" s="265" t="s">
        <v>2562</v>
      </c>
      <c r="M1397" s="259" t="s">
        <v>2562</v>
      </c>
      <c r="N1397" s="295"/>
      <c r="O1397" s="295" t="str">
        <f>TablaPOA[[#This Row],[Cod_Sub_acción_especifica]]&amp;"_"&amp;TablaPOA[[#This Row],[Tipo de agente]]</f>
        <v>K31.4.1.6_Consumidores directos de combustibles líquidos y OPDH</v>
      </c>
      <c r="P1397" s="254" t="s">
        <v>2808</v>
      </c>
      <c r="Q1397" s="292" t="str">
        <f>TablaPOA[[#This Row],[Cod_Sub_acción_especifica]]&amp;"_"&amp;TablaPOA[[#This Row],[Cod_Tipo_agente]]</f>
        <v>K31.4.1.6_TA1</v>
      </c>
      <c r="R1397" s="254" t="s">
        <v>2809</v>
      </c>
      <c r="S1397" s="255" t="s">
        <v>2818</v>
      </c>
      <c r="T1397" s="271" t="s">
        <v>2819</v>
      </c>
    </row>
    <row r="1398" spans="1:20" ht="25.5" x14ac:dyDescent="0.25">
      <c r="A1398" s="219" t="s">
        <v>2314</v>
      </c>
      <c r="B1398" s="227">
        <v>31</v>
      </c>
      <c r="C1398" s="227" t="s">
        <v>2691</v>
      </c>
      <c r="D1398" s="227" t="s">
        <v>2988</v>
      </c>
      <c r="E1398" s="227" t="s">
        <v>3189</v>
      </c>
      <c r="F1398" s="227" t="s">
        <v>2697</v>
      </c>
      <c r="G1398" s="227" t="s">
        <v>2497</v>
      </c>
      <c r="H1398" s="264" t="s">
        <v>3190</v>
      </c>
      <c r="I1398" s="253" t="s">
        <v>2746</v>
      </c>
      <c r="J1398" s="227" t="s">
        <v>2548</v>
      </c>
      <c r="K1398" s="265" t="s">
        <v>3134</v>
      </c>
      <c r="L1398" s="265" t="s">
        <v>2562</v>
      </c>
      <c r="M1398" s="259" t="s">
        <v>2562</v>
      </c>
      <c r="N1398" s="295"/>
      <c r="O1398" s="295" t="str">
        <f>TablaPOA[[#This Row],[Cod_Sub_acción_especifica]]&amp;"_"&amp;TablaPOA[[#This Row],[Tipo de agente]]</f>
        <v>K31.4.1.6_Consumidores directos de combustibles líquidos y OPDH</v>
      </c>
      <c r="P1398" s="254" t="s">
        <v>2808</v>
      </c>
      <c r="Q1398" s="292" t="str">
        <f>TablaPOA[[#This Row],[Cod_Sub_acción_especifica]]&amp;"_"&amp;TablaPOA[[#This Row],[Cod_Tipo_agente]]</f>
        <v>K31.4.1.6_TA1</v>
      </c>
      <c r="R1398" s="254" t="s">
        <v>2809</v>
      </c>
      <c r="S1398" s="255" t="s">
        <v>2820</v>
      </c>
      <c r="T1398" s="271" t="s">
        <v>2821</v>
      </c>
    </row>
    <row r="1399" spans="1:20" ht="25.5" x14ac:dyDescent="0.25">
      <c r="A1399" s="219" t="s">
        <v>2314</v>
      </c>
      <c r="B1399" s="227">
        <v>31</v>
      </c>
      <c r="C1399" s="227" t="s">
        <v>2691</v>
      </c>
      <c r="D1399" s="227" t="s">
        <v>2988</v>
      </c>
      <c r="E1399" s="227" t="s">
        <v>3189</v>
      </c>
      <c r="F1399" s="227" t="s">
        <v>2697</v>
      </c>
      <c r="G1399" s="227" t="s">
        <v>2497</v>
      </c>
      <c r="H1399" s="264" t="s">
        <v>3190</v>
      </c>
      <c r="I1399" s="253" t="s">
        <v>2746</v>
      </c>
      <c r="J1399" s="227" t="s">
        <v>2548</v>
      </c>
      <c r="K1399" s="265" t="s">
        <v>3134</v>
      </c>
      <c r="L1399" s="265" t="s">
        <v>2562</v>
      </c>
      <c r="M1399" s="259" t="s">
        <v>2562</v>
      </c>
      <c r="N1399" s="295"/>
      <c r="O1399" s="295" t="str">
        <f>TablaPOA[[#This Row],[Cod_Sub_acción_especifica]]&amp;"_"&amp;TablaPOA[[#This Row],[Tipo de agente]]</f>
        <v>K31.4.1.6_Consumidores directos de combustibles líquidos y OPDH</v>
      </c>
      <c r="P1399" s="254" t="s">
        <v>2808</v>
      </c>
      <c r="Q1399" s="292" t="str">
        <f>TablaPOA[[#This Row],[Cod_Sub_acción_especifica]]&amp;"_"&amp;TablaPOA[[#This Row],[Cod_Tipo_agente]]</f>
        <v>K31.4.1.6_TA1</v>
      </c>
      <c r="R1399" s="254" t="s">
        <v>2809</v>
      </c>
      <c r="S1399" s="255" t="s">
        <v>2822</v>
      </c>
      <c r="T1399" s="271" t="s">
        <v>2823</v>
      </c>
    </row>
    <row r="1400" spans="1:20" ht="25.5" x14ac:dyDescent="0.25">
      <c r="A1400" s="219" t="s">
        <v>2314</v>
      </c>
      <c r="B1400" s="227">
        <v>31</v>
      </c>
      <c r="C1400" s="227" t="s">
        <v>2691</v>
      </c>
      <c r="D1400" s="227" t="s">
        <v>2988</v>
      </c>
      <c r="E1400" s="227" t="s">
        <v>3189</v>
      </c>
      <c r="F1400" s="227" t="s">
        <v>2697</v>
      </c>
      <c r="G1400" s="227" t="s">
        <v>2497</v>
      </c>
      <c r="H1400" s="264" t="s">
        <v>3190</v>
      </c>
      <c r="I1400" s="253" t="s">
        <v>2746</v>
      </c>
      <c r="J1400" s="227" t="s">
        <v>2548</v>
      </c>
      <c r="K1400" s="265" t="s">
        <v>3134</v>
      </c>
      <c r="L1400" s="265" t="s">
        <v>2562</v>
      </c>
      <c r="M1400" s="259" t="s">
        <v>2562</v>
      </c>
      <c r="N1400" s="295"/>
      <c r="O1400" s="295" t="str">
        <f>TablaPOA[[#This Row],[Cod_Sub_acción_especifica]]&amp;"_"&amp;TablaPOA[[#This Row],[Tipo de agente]]</f>
        <v>K31.4.1.6_Consumidores directos de combustibles líquidos y OPDH</v>
      </c>
      <c r="P1400" s="254" t="s">
        <v>2808</v>
      </c>
      <c r="Q1400" s="292" t="str">
        <f>TablaPOA[[#This Row],[Cod_Sub_acción_especifica]]&amp;"_"&amp;TablaPOA[[#This Row],[Cod_Tipo_agente]]</f>
        <v>K31.4.1.6_TA1</v>
      </c>
      <c r="R1400" s="254" t="s">
        <v>2809</v>
      </c>
      <c r="S1400" s="255" t="s">
        <v>2824</v>
      </c>
      <c r="T1400" s="271" t="s">
        <v>2825</v>
      </c>
    </row>
    <row r="1401" spans="1:20" ht="25.5" x14ac:dyDescent="0.25">
      <c r="A1401" s="219" t="s">
        <v>2314</v>
      </c>
      <c r="B1401" s="227">
        <v>31</v>
      </c>
      <c r="C1401" s="227" t="s">
        <v>2691</v>
      </c>
      <c r="D1401" s="227" t="s">
        <v>2988</v>
      </c>
      <c r="E1401" s="227" t="s">
        <v>3189</v>
      </c>
      <c r="F1401" s="227" t="s">
        <v>2697</v>
      </c>
      <c r="G1401" s="227" t="s">
        <v>2497</v>
      </c>
      <c r="H1401" s="264" t="s">
        <v>3190</v>
      </c>
      <c r="I1401" s="253" t="s">
        <v>2746</v>
      </c>
      <c r="J1401" s="227" t="s">
        <v>2548</v>
      </c>
      <c r="K1401" s="265" t="s">
        <v>3134</v>
      </c>
      <c r="L1401" s="265" t="s">
        <v>2562</v>
      </c>
      <c r="M1401" s="259" t="s">
        <v>2562</v>
      </c>
      <c r="N1401" s="295"/>
      <c r="O1401" s="295" t="str">
        <f>TablaPOA[[#This Row],[Cod_Sub_acción_especifica]]&amp;"_"&amp;TablaPOA[[#This Row],[Tipo de agente]]</f>
        <v>K31.4.1.6_Consumidores directos de combustibles líquidos y OPDH</v>
      </c>
      <c r="P1401" s="254" t="s">
        <v>2808</v>
      </c>
      <c r="Q1401" s="292" t="str">
        <f>TablaPOA[[#This Row],[Cod_Sub_acción_especifica]]&amp;"_"&amp;TablaPOA[[#This Row],[Cod_Tipo_agente]]</f>
        <v>K31.4.1.6_TA1</v>
      </c>
      <c r="R1401" s="254" t="s">
        <v>2809</v>
      </c>
      <c r="S1401" s="255" t="s">
        <v>2826</v>
      </c>
      <c r="T1401" s="271" t="s">
        <v>2827</v>
      </c>
    </row>
    <row r="1402" spans="1:20" ht="25.5" x14ac:dyDescent="0.25">
      <c r="A1402" s="219" t="s">
        <v>2314</v>
      </c>
      <c r="B1402" s="227">
        <v>31</v>
      </c>
      <c r="C1402" s="227" t="s">
        <v>2691</v>
      </c>
      <c r="D1402" s="227" t="s">
        <v>2988</v>
      </c>
      <c r="E1402" s="227" t="s">
        <v>3189</v>
      </c>
      <c r="F1402" s="227" t="s">
        <v>2697</v>
      </c>
      <c r="G1402" s="227" t="s">
        <v>2497</v>
      </c>
      <c r="H1402" s="264" t="s">
        <v>3190</v>
      </c>
      <c r="I1402" s="253" t="s">
        <v>2746</v>
      </c>
      <c r="J1402" s="227" t="s">
        <v>2548</v>
      </c>
      <c r="K1402" s="265" t="s">
        <v>3134</v>
      </c>
      <c r="L1402" s="265" t="s">
        <v>2562</v>
      </c>
      <c r="M1402" s="259" t="s">
        <v>2562</v>
      </c>
      <c r="N1402" s="295"/>
      <c r="O1402" s="295" t="str">
        <f>TablaPOA[[#This Row],[Cod_Sub_acción_especifica]]&amp;"_"&amp;TablaPOA[[#This Row],[Tipo de agente]]</f>
        <v>K31.4.1.6_Consumidores directos de combustibles líquidos y OPDH</v>
      </c>
      <c r="P1402" s="254" t="s">
        <v>2808</v>
      </c>
      <c r="Q1402" s="292" t="str">
        <f>TablaPOA[[#This Row],[Cod_Sub_acción_especifica]]&amp;"_"&amp;TablaPOA[[#This Row],[Cod_Tipo_agente]]</f>
        <v>K31.4.1.6_TA1</v>
      </c>
      <c r="R1402" s="254" t="s">
        <v>2809</v>
      </c>
      <c r="S1402" s="255" t="s">
        <v>2828</v>
      </c>
      <c r="T1402" s="271" t="s">
        <v>2829</v>
      </c>
    </row>
    <row r="1403" spans="1:20" ht="25.5" x14ac:dyDescent="0.25">
      <c r="A1403" s="219" t="s">
        <v>2314</v>
      </c>
      <c r="B1403" s="227">
        <v>31</v>
      </c>
      <c r="C1403" s="227" t="s">
        <v>2691</v>
      </c>
      <c r="D1403" s="227" t="s">
        <v>2988</v>
      </c>
      <c r="E1403" s="227" t="s">
        <v>3189</v>
      </c>
      <c r="F1403" s="227" t="s">
        <v>2697</v>
      </c>
      <c r="G1403" s="227" t="s">
        <v>2497</v>
      </c>
      <c r="H1403" s="264" t="s">
        <v>3190</v>
      </c>
      <c r="I1403" s="253" t="s">
        <v>2746</v>
      </c>
      <c r="J1403" s="227" t="s">
        <v>2548</v>
      </c>
      <c r="K1403" s="265" t="s">
        <v>3134</v>
      </c>
      <c r="L1403" s="265" t="s">
        <v>2562</v>
      </c>
      <c r="M1403" s="259" t="s">
        <v>2562</v>
      </c>
      <c r="N1403" s="295"/>
      <c r="O1403" s="295" t="str">
        <f>TablaPOA[[#This Row],[Cod_Sub_acción_especifica]]&amp;"_"&amp;TablaPOA[[#This Row],[Tipo de agente]]</f>
        <v>K31.4.1.6_Consumidores directos de gas natural</v>
      </c>
      <c r="P1403" s="254" t="s">
        <v>2830</v>
      </c>
      <c r="Q1403" s="292" t="str">
        <f>TablaPOA[[#This Row],[Cod_Sub_acción_especifica]]&amp;"_"&amp;TablaPOA[[#This Row],[Cod_Tipo_agente]]</f>
        <v>K31.4.1.6_TA2</v>
      </c>
      <c r="R1403" s="254" t="s">
        <v>2831</v>
      </c>
      <c r="S1403" s="254">
        <v>101</v>
      </c>
      <c r="T1403" s="271" t="s">
        <v>2832</v>
      </c>
    </row>
    <row r="1404" spans="1:20" ht="25.5" x14ac:dyDescent="0.25">
      <c r="A1404" s="219" t="s">
        <v>2314</v>
      </c>
      <c r="B1404" s="227">
        <v>31</v>
      </c>
      <c r="C1404" s="227" t="s">
        <v>2691</v>
      </c>
      <c r="D1404" s="227" t="s">
        <v>2988</v>
      </c>
      <c r="E1404" s="227" t="s">
        <v>3189</v>
      </c>
      <c r="F1404" s="227" t="s">
        <v>2697</v>
      </c>
      <c r="G1404" s="227" t="s">
        <v>2497</v>
      </c>
      <c r="H1404" s="264" t="s">
        <v>3190</v>
      </c>
      <c r="I1404" s="253" t="s">
        <v>2746</v>
      </c>
      <c r="J1404" s="227" t="s">
        <v>2548</v>
      </c>
      <c r="K1404" s="265" t="s">
        <v>3134</v>
      </c>
      <c r="L1404" s="265" t="s">
        <v>2562</v>
      </c>
      <c r="M1404" s="259" t="s">
        <v>2562</v>
      </c>
      <c r="N1404" s="295"/>
      <c r="O1404" s="295" t="str">
        <f>TablaPOA[[#This Row],[Cod_Sub_acción_especifica]]&amp;"_"&amp;TablaPOA[[#This Row],[Tipo de agente]]</f>
        <v>K31.4.1.6_Consumidores directos de gas natural</v>
      </c>
      <c r="P1404" s="254" t="s">
        <v>2830</v>
      </c>
      <c r="Q1404" s="292" t="str">
        <f>TablaPOA[[#This Row],[Cod_Sub_acción_especifica]]&amp;"_"&amp;TablaPOA[[#This Row],[Cod_Tipo_agente]]</f>
        <v>K31.4.1.6_TA2</v>
      </c>
      <c r="R1404" s="254" t="s">
        <v>2831</v>
      </c>
      <c r="S1404" s="254" t="s">
        <v>2833</v>
      </c>
      <c r="T1404" s="271" t="s">
        <v>2834</v>
      </c>
    </row>
    <row r="1405" spans="1:20" ht="25.5" x14ac:dyDescent="0.25">
      <c r="A1405" s="219" t="s">
        <v>2314</v>
      </c>
      <c r="B1405" s="227">
        <v>31</v>
      </c>
      <c r="C1405" s="227" t="s">
        <v>2691</v>
      </c>
      <c r="D1405" s="227" t="s">
        <v>2988</v>
      </c>
      <c r="E1405" s="227" t="s">
        <v>3189</v>
      </c>
      <c r="F1405" s="227" t="s">
        <v>2697</v>
      </c>
      <c r="G1405" s="227" t="s">
        <v>2497</v>
      </c>
      <c r="H1405" s="264" t="s">
        <v>3190</v>
      </c>
      <c r="I1405" s="253" t="s">
        <v>2746</v>
      </c>
      <c r="J1405" s="227" t="s">
        <v>2548</v>
      </c>
      <c r="K1405" s="265" t="s">
        <v>3134</v>
      </c>
      <c r="L1405" s="265" t="s">
        <v>2562</v>
      </c>
      <c r="M1405" s="259" t="s">
        <v>2562</v>
      </c>
      <c r="N1405" s="295"/>
      <c r="O1405" s="295" t="str">
        <f>TablaPOA[[#This Row],[Cod_Sub_acción_especifica]]&amp;"_"&amp;TablaPOA[[#This Row],[Tipo de agente]]</f>
        <v>K31.4.1.6_Consumidores directos de gas natural</v>
      </c>
      <c r="P1405" s="254" t="s">
        <v>2830</v>
      </c>
      <c r="Q1405" s="292" t="str">
        <f>TablaPOA[[#This Row],[Cod_Sub_acción_especifica]]&amp;"_"&amp;TablaPOA[[#This Row],[Cod_Tipo_agente]]</f>
        <v>K31.4.1.6_TA2</v>
      </c>
      <c r="R1405" s="254" t="s">
        <v>2831</v>
      </c>
      <c r="S1405" s="254" t="s">
        <v>2835</v>
      </c>
      <c r="T1405" s="271" t="s">
        <v>2836</v>
      </c>
    </row>
    <row r="1406" spans="1:20" ht="25.5" x14ac:dyDescent="0.25">
      <c r="A1406" s="219" t="s">
        <v>2314</v>
      </c>
      <c r="B1406" s="227">
        <v>31</v>
      </c>
      <c r="C1406" s="227" t="s">
        <v>2691</v>
      </c>
      <c r="D1406" s="227" t="s">
        <v>2988</v>
      </c>
      <c r="E1406" s="227" t="s">
        <v>3189</v>
      </c>
      <c r="F1406" s="227" t="s">
        <v>2697</v>
      </c>
      <c r="G1406" s="227" t="s">
        <v>2497</v>
      </c>
      <c r="H1406" s="264" t="s">
        <v>3190</v>
      </c>
      <c r="I1406" s="253" t="s">
        <v>2746</v>
      </c>
      <c r="J1406" s="227" t="s">
        <v>2548</v>
      </c>
      <c r="K1406" s="265" t="s">
        <v>3134</v>
      </c>
      <c r="L1406" s="265" t="s">
        <v>2562</v>
      </c>
      <c r="M1406" s="259" t="s">
        <v>2562</v>
      </c>
      <c r="N1406" s="295"/>
      <c r="O1406" s="295" t="str">
        <f>TablaPOA[[#This Row],[Cod_Sub_acción_especifica]]&amp;"_"&amp;TablaPOA[[#This Row],[Tipo de agente]]</f>
        <v>K31.4.1.6_Consumidores directos de gas natural</v>
      </c>
      <c r="P1406" s="254" t="s">
        <v>2830</v>
      </c>
      <c r="Q1406" s="292" t="str">
        <f>TablaPOA[[#This Row],[Cod_Sub_acción_especifica]]&amp;"_"&amp;TablaPOA[[#This Row],[Cod_Tipo_agente]]</f>
        <v>K31.4.1.6_TA2</v>
      </c>
      <c r="R1406" s="254" t="s">
        <v>2831</v>
      </c>
      <c r="S1406" s="254" t="s">
        <v>2837</v>
      </c>
      <c r="T1406" s="271" t="s">
        <v>2838</v>
      </c>
    </row>
    <row r="1407" spans="1:20" ht="25.5" x14ac:dyDescent="0.25">
      <c r="A1407" s="219" t="s">
        <v>2314</v>
      </c>
      <c r="B1407" s="227">
        <v>31</v>
      </c>
      <c r="C1407" s="227" t="s">
        <v>2691</v>
      </c>
      <c r="D1407" s="227" t="s">
        <v>2988</v>
      </c>
      <c r="E1407" s="227" t="s">
        <v>3189</v>
      </c>
      <c r="F1407" s="227" t="s">
        <v>2697</v>
      </c>
      <c r="G1407" s="227" t="s">
        <v>2497</v>
      </c>
      <c r="H1407" s="264" t="s">
        <v>3190</v>
      </c>
      <c r="I1407" s="253" t="s">
        <v>2746</v>
      </c>
      <c r="J1407" s="227" t="s">
        <v>2548</v>
      </c>
      <c r="K1407" s="265" t="s">
        <v>3134</v>
      </c>
      <c r="L1407" s="265" t="s">
        <v>2562</v>
      </c>
      <c r="M1407" s="259" t="s">
        <v>2562</v>
      </c>
      <c r="N1407" s="295"/>
      <c r="O1407" s="295" t="str">
        <f>TablaPOA[[#This Row],[Cod_Sub_acción_especifica]]&amp;"_"&amp;TablaPOA[[#This Row],[Tipo de agente]]</f>
        <v>K31.4.1.6_EVP combustibles de uso automotor</v>
      </c>
      <c r="P1407" s="254" t="s">
        <v>2882</v>
      </c>
      <c r="Q1407" s="292" t="str">
        <f>TablaPOA[[#This Row],[Cod_Sub_acción_especifica]]&amp;"_"&amp;TablaPOA[[#This Row],[Cod_Tipo_agente]]</f>
        <v>K31.4.1.6_TA6</v>
      </c>
      <c r="R1407" s="254" t="s">
        <v>2883</v>
      </c>
      <c r="S1407" s="255" t="s">
        <v>2884</v>
      </c>
      <c r="T1407" s="271" t="s">
        <v>2885</v>
      </c>
    </row>
    <row r="1408" spans="1:20" ht="25.5" x14ac:dyDescent="0.25">
      <c r="A1408" s="219" t="s">
        <v>2314</v>
      </c>
      <c r="B1408" s="227">
        <v>31</v>
      </c>
      <c r="C1408" s="227" t="s">
        <v>2691</v>
      </c>
      <c r="D1408" s="227" t="s">
        <v>2988</v>
      </c>
      <c r="E1408" s="227" t="s">
        <v>3189</v>
      </c>
      <c r="F1408" s="227" t="s">
        <v>2697</v>
      </c>
      <c r="G1408" s="227" t="s">
        <v>2497</v>
      </c>
      <c r="H1408" s="264" t="s">
        <v>3190</v>
      </c>
      <c r="I1408" s="253" t="s">
        <v>2746</v>
      </c>
      <c r="J1408" s="227" t="s">
        <v>2548</v>
      </c>
      <c r="K1408" s="265" t="s">
        <v>3134</v>
      </c>
      <c r="L1408" s="265" t="s">
        <v>2562</v>
      </c>
      <c r="M1408" s="259" t="s">
        <v>2562</v>
      </c>
      <c r="N1408" s="295"/>
      <c r="O1408" s="295" t="str">
        <f>TablaPOA[[#This Row],[Cod_Sub_acción_especifica]]&amp;"_"&amp;TablaPOA[[#This Row],[Tipo de agente]]</f>
        <v>K31.4.1.6_EVP combustibles de uso automotor</v>
      </c>
      <c r="P1408" s="254" t="s">
        <v>2882</v>
      </c>
      <c r="Q1408" s="292" t="str">
        <f>TablaPOA[[#This Row],[Cod_Sub_acción_especifica]]&amp;"_"&amp;TablaPOA[[#This Row],[Cod_Tipo_agente]]</f>
        <v>K31.4.1.6_TA6</v>
      </c>
      <c r="R1408" s="254" t="s">
        <v>2883</v>
      </c>
      <c r="S1408" s="255" t="s">
        <v>2886</v>
      </c>
      <c r="T1408" s="271" t="s">
        <v>2887</v>
      </c>
    </row>
    <row r="1409" spans="1:20" ht="25.5" x14ac:dyDescent="0.25">
      <c r="A1409" s="219" t="s">
        <v>2314</v>
      </c>
      <c r="B1409" s="227">
        <v>31</v>
      </c>
      <c r="C1409" s="227" t="s">
        <v>2691</v>
      </c>
      <c r="D1409" s="227" t="s">
        <v>2988</v>
      </c>
      <c r="E1409" s="227" t="s">
        <v>3189</v>
      </c>
      <c r="F1409" s="227" t="s">
        <v>2697</v>
      </c>
      <c r="G1409" s="227" t="s">
        <v>2497</v>
      </c>
      <c r="H1409" s="264" t="s">
        <v>3190</v>
      </c>
      <c r="I1409" s="253" t="s">
        <v>2746</v>
      </c>
      <c r="J1409" s="227" t="s">
        <v>2548</v>
      </c>
      <c r="K1409" s="265" t="s">
        <v>3134</v>
      </c>
      <c r="L1409" s="265" t="s">
        <v>2562</v>
      </c>
      <c r="M1409" s="259" t="s">
        <v>2562</v>
      </c>
      <c r="N1409" s="295"/>
      <c r="O1409" s="295" t="str">
        <f>TablaPOA[[#This Row],[Cod_Sub_acción_especifica]]&amp;"_"&amp;TablaPOA[[#This Row],[Tipo de agente]]</f>
        <v>K31.4.1.6_EVP combustibles de uso automotor</v>
      </c>
      <c r="P1409" s="254" t="s">
        <v>2882</v>
      </c>
      <c r="Q1409" s="292" t="str">
        <f>TablaPOA[[#This Row],[Cod_Sub_acción_especifica]]&amp;"_"&amp;TablaPOA[[#This Row],[Cod_Tipo_agente]]</f>
        <v>K31.4.1.6_TA6</v>
      </c>
      <c r="R1409" s="254" t="s">
        <v>2883</v>
      </c>
      <c r="S1409" s="255" t="s">
        <v>2888</v>
      </c>
      <c r="T1409" s="271" t="s">
        <v>2889</v>
      </c>
    </row>
    <row r="1410" spans="1:20" ht="25.5" x14ac:dyDescent="0.25">
      <c r="A1410" s="219" t="s">
        <v>2314</v>
      </c>
      <c r="B1410" s="227">
        <v>31</v>
      </c>
      <c r="C1410" s="227" t="s">
        <v>2691</v>
      </c>
      <c r="D1410" s="227" t="s">
        <v>2988</v>
      </c>
      <c r="E1410" s="227" t="s">
        <v>3189</v>
      </c>
      <c r="F1410" s="227" t="s">
        <v>2697</v>
      </c>
      <c r="G1410" s="227" t="s">
        <v>2497</v>
      </c>
      <c r="H1410" s="264" t="s">
        <v>3190</v>
      </c>
      <c r="I1410" s="253" t="s">
        <v>2746</v>
      </c>
      <c r="J1410" s="227" t="s">
        <v>2548</v>
      </c>
      <c r="K1410" s="265" t="s">
        <v>3134</v>
      </c>
      <c r="L1410" s="265" t="s">
        <v>2562</v>
      </c>
      <c r="M1410" s="259" t="s">
        <v>2562</v>
      </c>
      <c r="N1410" s="295"/>
      <c r="O1410" s="295" t="str">
        <f>TablaPOA[[#This Row],[Cod_Sub_acción_especifica]]&amp;"_"&amp;TablaPOA[[#This Row],[Tipo de agente]]</f>
        <v>K31.4.1.6_EVP combustibles de uso automotor</v>
      </c>
      <c r="P1410" s="254" t="s">
        <v>2882</v>
      </c>
      <c r="Q1410" s="292" t="str">
        <f>TablaPOA[[#This Row],[Cod_Sub_acción_especifica]]&amp;"_"&amp;TablaPOA[[#This Row],[Cod_Tipo_agente]]</f>
        <v>K31.4.1.6_TA6</v>
      </c>
      <c r="R1410" s="254" t="s">
        <v>2883</v>
      </c>
      <c r="S1410" s="255" t="s">
        <v>2890</v>
      </c>
      <c r="T1410" s="271" t="s">
        <v>2891</v>
      </c>
    </row>
    <row r="1411" spans="1:20" ht="25.5" x14ac:dyDescent="0.25">
      <c r="A1411" s="219" t="s">
        <v>2314</v>
      </c>
      <c r="B1411" s="227">
        <v>31</v>
      </c>
      <c r="C1411" s="227" t="s">
        <v>2691</v>
      </c>
      <c r="D1411" s="227" t="s">
        <v>2988</v>
      </c>
      <c r="E1411" s="227" t="s">
        <v>3189</v>
      </c>
      <c r="F1411" s="227" t="s">
        <v>2697</v>
      </c>
      <c r="G1411" s="227" t="s">
        <v>2497</v>
      </c>
      <c r="H1411" s="264" t="s">
        <v>3190</v>
      </c>
      <c r="I1411" s="253" t="s">
        <v>2746</v>
      </c>
      <c r="J1411" s="227" t="s">
        <v>2548</v>
      </c>
      <c r="K1411" s="265" t="s">
        <v>3134</v>
      </c>
      <c r="L1411" s="265" t="s">
        <v>2562</v>
      </c>
      <c r="M1411" s="259" t="s">
        <v>2562</v>
      </c>
      <c r="N1411" s="295"/>
      <c r="O1411" s="295" t="str">
        <f>TablaPOA[[#This Row],[Cod_Sub_acción_especifica]]&amp;"_"&amp;TablaPOA[[#This Row],[Tipo de agente]]</f>
        <v>K31.4.1.6_EVP combustibles de uso automotor</v>
      </c>
      <c r="P1411" s="254" t="s">
        <v>2882</v>
      </c>
      <c r="Q1411" s="292" t="str">
        <f>TablaPOA[[#This Row],[Cod_Sub_acción_especifica]]&amp;"_"&amp;TablaPOA[[#This Row],[Cod_Tipo_agente]]</f>
        <v>K31.4.1.6_TA6</v>
      </c>
      <c r="R1411" s="254" t="s">
        <v>2883</v>
      </c>
      <c r="S1411" s="255" t="s">
        <v>2892</v>
      </c>
      <c r="T1411" s="271" t="s">
        <v>2893</v>
      </c>
    </row>
    <row r="1412" spans="1:20" ht="25.5" x14ac:dyDescent="0.25">
      <c r="A1412" s="219" t="s">
        <v>2314</v>
      </c>
      <c r="B1412" s="227">
        <v>31</v>
      </c>
      <c r="C1412" s="227" t="s">
        <v>2691</v>
      </c>
      <c r="D1412" s="227" t="s">
        <v>2988</v>
      </c>
      <c r="E1412" s="227" t="s">
        <v>3189</v>
      </c>
      <c r="F1412" s="227" t="s">
        <v>2697</v>
      </c>
      <c r="G1412" s="227" t="s">
        <v>2497</v>
      </c>
      <c r="H1412" s="264" t="s">
        <v>3190</v>
      </c>
      <c r="I1412" s="253" t="s">
        <v>2746</v>
      </c>
      <c r="J1412" s="227" t="s">
        <v>2548</v>
      </c>
      <c r="K1412" s="265" t="s">
        <v>3134</v>
      </c>
      <c r="L1412" s="265" t="s">
        <v>2562</v>
      </c>
      <c r="M1412" s="259" t="s">
        <v>2562</v>
      </c>
      <c r="N1412" s="295"/>
      <c r="O1412" s="295" t="str">
        <f>TablaPOA[[#This Row],[Cod_Sub_acción_especifica]]&amp;"_"&amp;TablaPOA[[#This Row],[Tipo de agente]]</f>
        <v>K31.4.1.6_EVP combustibles de uso automotor</v>
      </c>
      <c r="P1412" s="254" t="s">
        <v>2882</v>
      </c>
      <c r="Q1412" s="292" t="str">
        <f>TablaPOA[[#This Row],[Cod_Sub_acción_especifica]]&amp;"_"&amp;TablaPOA[[#This Row],[Cod_Tipo_agente]]</f>
        <v>K31.4.1.6_TA6</v>
      </c>
      <c r="R1412" s="254" t="s">
        <v>2883</v>
      </c>
      <c r="S1412" s="255" t="s">
        <v>2894</v>
      </c>
      <c r="T1412" s="271" t="s">
        <v>2895</v>
      </c>
    </row>
    <row r="1413" spans="1:20" ht="25.5" x14ac:dyDescent="0.25">
      <c r="A1413" s="219" t="s">
        <v>2314</v>
      </c>
      <c r="B1413" s="227">
        <v>31</v>
      </c>
      <c r="C1413" s="227" t="s">
        <v>2691</v>
      </c>
      <c r="D1413" s="227" t="s">
        <v>2988</v>
      </c>
      <c r="E1413" s="227" t="s">
        <v>3189</v>
      </c>
      <c r="F1413" s="227" t="s">
        <v>2697</v>
      </c>
      <c r="G1413" s="227" t="s">
        <v>2497</v>
      </c>
      <c r="H1413" s="264" t="s">
        <v>3190</v>
      </c>
      <c r="I1413" s="253" t="s">
        <v>2746</v>
      </c>
      <c r="J1413" s="227" t="s">
        <v>2548</v>
      </c>
      <c r="K1413" s="265" t="s">
        <v>3134</v>
      </c>
      <c r="L1413" s="265" t="s">
        <v>2562</v>
      </c>
      <c r="M1413" s="259" t="s">
        <v>2562</v>
      </c>
      <c r="N1413" s="295"/>
      <c r="O1413" s="295" t="str">
        <f>TablaPOA[[#This Row],[Cod_Sub_acción_especifica]]&amp;"_"&amp;TablaPOA[[#This Row],[Tipo de agente]]</f>
        <v>K31.4.1.6_EVP combustibles de uso automotor</v>
      </c>
      <c r="P1413" s="254" t="s">
        <v>2882</v>
      </c>
      <c r="Q1413" s="292" t="str">
        <f>TablaPOA[[#This Row],[Cod_Sub_acción_especifica]]&amp;"_"&amp;TablaPOA[[#This Row],[Cod_Tipo_agente]]</f>
        <v>K31.4.1.6_TA6</v>
      </c>
      <c r="R1413" s="254" t="s">
        <v>2883</v>
      </c>
      <c r="S1413" s="255" t="s">
        <v>2896</v>
      </c>
      <c r="T1413" s="271" t="s">
        <v>2897</v>
      </c>
    </row>
    <row r="1414" spans="1:20" ht="25.5" x14ac:dyDescent="0.25">
      <c r="A1414" s="219" t="s">
        <v>2314</v>
      </c>
      <c r="B1414" s="227">
        <v>31</v>
      </c>
      <c r="C1414" s="227" t="s">
        <v>2691</v>
      </c>
      <c r="D1414" s="227" t="s">
        <v>2988</v>
      </c>
      <c r="E1414" s="227" t="s">
        <v>3189</v>
      </c>
      <c r="F1414" s="227" t="s">
        <v>2697</v>
      </c>
      <c r="G1414" s="227" t="s">
        <v>2497</v>
      </c>
      <c r="H1414" s="264" t="s">
        <v>3190</v>
      </c>
      <c r="I1414" s="253" t="s">
        <v>2746</v>
      </c>
      <c r="J1414" s="227" t="s">
        <v>2548</v>
      </c>
      <c r="K1414" s="265" t="s">
        <v>3134</v>
      </c>
      <c r="L1414" s="265" t="s">
        <v>2562</v>
      </c>
      <c r="M1414" s="259" t="s">
        <v>2562</v>
      </c>
      <c r="N1414" s="295"/>
      <c r="O1414" s="295" t="str">
        <f>TablaPOA[[#This Row],[Cod_Sub_acción_especifica]]&amp;"_"&amp;TablaPOA[[#This Row],[Tipo de agente]]</f>
        <v>K31.4.1.6_EVP combustibles de uso automotor</v>
      </c>
      <c r="P1414" s="254" t="s">
        <v>2882</v>
      </c>
      <c r="Q1414" s="292" t="str">
        <f>TablaPOA[[#This Row],[Cod_Sub_acción_especifica]]&amp;"_"&amp;TablaPOA[[#This Row],[Cod_Tipo_agente]]</f>
        <v>K31.4.1.6_TA6</v>
      </c>
      <c r="R1414" s="254" t="s">
        <v>2883</v>
      </c>
      <c r="S1414" s="255" t="s">
        <v>2898</v>
      </c>
      <c r="T1414" s="271" t="s">
        <v>2899</v>
      </c>
    </row>
    <row r="1415" spans="1:20" ht="25.5" x14ac:dyDescent="0.25">
      <c r="A1415" s="219" t="s">
        <v>2314</v>
      </c>
      <c r="B1415" s="227">
        <v>31</v>
      </c>
      <c r="C1415" s="227" t="s">
        <v>2691</v>
      </c>
      <c r="D1415" s="227" t="s">
        <v>2988</v>
      </c>
      <c r="E1415" s="227" t="s">
        <v>3189</v>
      </c>
      <c r="F1415" s="227" t="s">
        <v>2697</v>
      </c>
      <c r="G1415" s="227" t="s">
        <v>2497</v>
      </c>
      <c r="H1415" s="264" t="s">
        <v>3190</v>
      </c>
      <c r="I1415" s="253" t="s">
        <v>2746</v>
      </c>
      <c r="J1415" s="227" t="s">
        <v>2548</v>
      </c>
      <c r="K1415" s="265" t="s">
        <v>3134</v>
      </c>
      <c r="L1415" s="265" t="s">
        <v>2562</v>
      </c>
      <c r="M1415" s="259" t="s">
        <v>2562</v>
      </c>
      <c r="N1415" s="295"/>
      <c r="O1415" s="295" t="str">
        <f>TablaPOA[[#This Row],[Cod_Sub_acción_especifica]]&amp;"_"&amp;TablaPOA[[#This Row],[Tipo de agente]]</f>
        <v>K31.4.1.6_EVP combustibles de uso automotor</v>
      </c>
      <c r="P1415" s="254" t="s">
        <v>2882</v>
      </c>
      <c r="Q1415" s="292" t="str">
        <f>TablaPOA[[#This Row],[Cod_Sub_acción_especifica]]&amp;"_"&amp;TablaPOA[[#This Row],[Cod_Tipo_agente]]</f>
        <v>K31.4.1.6_TA6</v>
      </c>
      <c r="R1415" s="254" t="s">
        <v>2883</v>
      </c>
      <c r="S1415" s="255" t="s">
        <v>2900</v>
      </c>
      <c r="T1415" s="271" t="s">
        <v>2901</v>
      </c>
    </row>
    <row r="1416" spans="1:20" ht="25.5" x14ac:dyDescent="0.25">
      <c r="A1416" s="268" t="s">
        <v>2314</v>
      </c>
      <c r="B1416" s="248">
        <v>31</v>
      </c>
      <c r="C1416" s="248" t="s">
        <v>2691</v>
      </c>
      <c r="D1416" s="248" t="s">
        <v>2988</v>
      </c>
      <c r="E1416" s="248" t="s">
        <v>3189</v>
      </c>
      <c r="F1416" s="248" t="s">
        <v>2697</v>
      </c>
      <c r="G1416" s="248" t="s">
        <v>2497</v>
      </c>
      <c r="H1416" s="263" t="s">
        <v>3191</v>
      </c>
      <c r="I1416" s="263" t="s">
        <v>2747</v>
      </c>
      <c r="J1416" s="248" t="s">
        <v>3029</v>
      </c>
      <c r="K1416" s="263" t="s">
        <v>3135</v>
      </c>
      <c r="L1416" s="263" t="s">
        <v>2801</v>
      </c>
      <c r="M1416" s="248" t="s">
        <v>3030</v>
      </c>
      <c r="N1416" s="299" t="s">
        <v>2919</v>
      </c>
      <c r="O1416" s="292" t="str">
        <f>TablaPOA[[#This Row],[Cod_Sub_acción_especifica]]&amp;"_"&amp;TablaPOA[[#This Row],[Tipo de agente]]</f>
        <v>K31.4.2.1_Medios de transporte</v>
      </c>
      <c r="P1416" s="250" t="s">
        <v>2918</v>
      </c>
      <c r="Q1416" s="292" t="str">
        <f>TablaPOA[[#This Row],[Cod_Sub_acción_especifica]]&amp;"_"&amp;TablaPOA[[#This Row],[Cod_Tipo_agente]]</f>
        <v>K31.4.2.1_TA9</v>
      </c>
      <c r="R1416" s="250" t="s">
        <v>2919</v>
      </c>
      <c r="S1416" s="251" t="s">
        <v>2920</v>
      </c>
      <c r="T1416" s="269" t="s">
        <v>2921</v>
      </c>
    </row>
    <row r="1417" spans="1:20" ht="25.5" x14ac:dyDescent="0.25">
      <c r="A1417" s="268" t="s">
        <v>2314</v>
      </c>
      <c r="B1417" s="248">
        <v>31</v>
      </c>
      <c r="C1417" s="248" t="s">
        <v>2691</v>
      </c>
      <c r="D1417" s="248" t="s">
        <v>2988</v>
      </c>
      <c r="E1417" s="248" t="s">
        <v>3189</v>
      </c>
      <c r="F1417" s="248" t="s">
        <v>2697</v>
      </c>
      <c r="G1417" s="248" t="s">
        <v>2497</v>
      </c>
      <c r="H1417" s="263" t="s">
        <v>3191</v>
      </c>
      <c r="I1417" s="263" t="s">
        <v>2747</v>
      </c>
      <c r="J1417" s="248" t="s">
        <v>3029</v>
      </c>
      <c r="K1417" s="263" t="s">
        <v>3135</v>
      </c>
      <c r="L1417" s="263" t="s">
        <v>2801</v>
      </c>
      <c r="M1417" s="248" t="s">
        <v>3030</v>
      </c>
      <c r="N1417" s="293"/>
      <c r="O1417" s="293" t="str">
        <f>TablaPOA[[#This Row],[Cod_Sub_acción_especifica]]&amp;"_"&amp;TablaPOA[[#This Row],[Tipo de agente]]</f>
        <v>K31.4.2.1_Medios de transporte</v>
      </c>
      <c r="P1417" s="250" t="s">
        <v>2918</v>
      </c>
      <c r="Q1417" s="292" t="str">
        <f>TablaPOA[[#This Row],[Cod_Sub_acción_especifica]]&amp;"_"&amp;TablaPOA[[#This Row],[Cod_Tipo_agente]]</f>
        <v>K31.4.2.1_TA9</v>
      </c>
      <c r="R1417" s="250" t="s">
        <v>2919</v>
      </c>
      <c r="S1417" s="251" t="s">
        <v>2928</v>
      </c>
      <c r="T1417" s="269" t="s">
        <v>2929</v>
      </c>
    </row>
    <row r="1418" spans="1:20" ht="25.5" x14ac:dyDescent="0.25">
      <c r="A1418" s="219" t="s">
        <v>2314</v>
      </c>
      <c r="B1418" s="227">
        <v>31</v>
      </c>
      <c r="C1418" s="227" t="s">
        <v>2691</v>
      </c>
      <c r="D1418" s="227" t="s">
        <v>2988</v>
      </c>
      <c r="E1418" s="227" t="s">
        <v>3189</v>
      </c>
      <c r="F1418" s="227" t="s">
        <v>2697</v>
      </c>
      <c r="G1418" s="227" t="s">
        <v>2497</v>
      </c>
      <c r="H1418" s="264" t="s">
        <v>3192</v>
      </c>
      <c r="I1418" s="264" t="s">
        <v>2748</v>
      </c>
      <c r="J1418" s="227" t="s">
        <v>2749</v>
      </c>
      <c r="K1418" s="264" t="s">
        <v>3136</v>
      </c>
      <c r="L1418" s="264" t="s">
        <v>2794</v>
      </c>
      <c r="M1418" s="227" t="s">
        <v>2795</v>
      </c>
      <c r="N1418" s="299" t="s">
        <v>2913</v>
      </c>
      <c r="O1418" s="292" t="str">
        <f>TablaPOA[[#This Row],[Cod_Sub_acción_especifica]]&amp;"_"&amp;TablaPOA[[#This Row],[Tipo de agente]]</f>
        <v>K31.4.3.1_Locales de venta de GLP</v>
      </c>
      <c r="P1418" s="254" t="s">
        <v>2912</v>
      </c>
      <c r="Q1418" s="292" t="str">
        <f>TablaPOA[[#This Row],[Cod_Sub_acción_especifica]]&amp;"_"&amp;TablaPOA[[#This Row],[Cod_Tipo_agente]]</f>
        <v>K31.4.3.1_TA8</v>
      </c>
      <c r="R1418" s="254" t="s">
        <v>2913</v>
      </c>
      <c r="S1418" s="255" t="s">
        <v>2914</v>
      </c>
      <c r="T1418" s="271" t="s">
        <v>2915</v>
      </c>
    </row>
    <row r="1419" spans="1:20" ht="25.5" x14ac:dyDescent="0.25">
      <c r="A1419" s="219" t="s">
        <v>2314</v>
      </c>
      <c r="B1419" s="227">
        <v>31</v>
      </c>
      <c r="C1419" s="227" t="s">
        <v>2691</v>
      </c>
      <c r="D1419" s="227" t="s">
        <v>2988</v>
      </c>
      <c r="E1419" s="227" t="s">
        <v>3189</v>
      </c>
      <c r="F1419" s="227" t="s">
        <v>2697</v>
      </c>
      <c r="G1419" s="227" t="s">
        <v>2497</v>
      </c>
      <c r="H1419" s="264" t="s">
        <v>3192</v>
      </c>
      <c r="I1419" s="264" t="s">
        <v>2748</v>
      </c>
      <c r="J1419" s="227" t="s">
        <v>2749</v>
      </c>
      <c r="K1419" s="264" t="s">
        <v>3136</v>
      </c>
      <c r="L1419" s="264" t="s">
        <v>2794</v>
      </c>
      <c r="M1419" s="227" t="s">
        <v>2795</v>
      </c>
      <c r="N1419" s="293"/>
      <c r="O1419" s="293" t="str">
        <f>TablaPOA[[#This Row],[Cod_Sub_acción_especifica]]&amp;"_"&amp;TablaPOA[[#This Row],[Tipo de agente]]</f>
        <v>K31.4.3.1_Locales de venta de GLP</v>
      </c>
      <c r="P1419" s="254" t="s">
        <v>2912</v>
      </c>
      <c r="Q1419" s="292" t="str">
        <f>TablaPOA[[#This Row],[Cod_Sub_acción_especifica]]&amp;"_"&amp;TablaPOA[[#This Row],[Cod_Tipo_agente]]</f>
        <v>K31.4.3.1_TA8</v>
      </c>
      <c r="R1419" s="254" t="s">
        <v>2913</v>
      </c>
      <c r="S1419" s="255" t="s">
        <v>2916</v>
      </c>
      <c r="T1419" s="271" t="s">
        <v>2917</v>
      </c>
    </row>
    <row r="1420" spans="1:20" ht="25.5" x14ac:dyDescent="0.25">
      <c r="A1420" s="268" t="s">
        <v>2314</v>
      </c>
      <c r="B1420" s="248">
        <v>31</v>
      </c>
      <c r="C1420" s="248" t="s">
        <v>2691</v>
      </c>
      <c r="D1420" s="248" t="s">
        <v>2988</v>
      </c>
      <c r="E1420" s="248" t="s">
        <v>3189</v>
      </c>
      <c r="F1420" s="248" t="s">
        <v>2697</v>
      </c>
      <c r="G1420" s="248" t="s">
        <v>2497</v>
      </c>
      <c r="H1420" s="263" t="s">
        <v>3192</v>
      </c>
      <c r="I1420" s="263" t="s">
        <v>2748</v>
      </c>
      <c r="J1420" s="248" t="s">
        <v>2482</v>
      </c>
      <c r="K1420" s="263" t="s">
        <v>3137</v>
      </c>
      <c r="L1420" s="263" t="s">
        <v>2796</v>
      </c>
      <c r="M1420" s="248" t="s">
        <v>2797</v>
      </c>
      <c r="N1420" s="299" t="s">
        <v>2913</v>
      </c>
      <c r="O1420" s="292" t="str">
        <f>TablaPOA[[#This Row],[Cod_Sub_acción_especifica]]&amp;"_"&amp;TablaPOA[[#This Row],[Tipo de agente]]</f>
        <v>K31.4.3.2_Locales de venta de GLP</v>
      </c>
      <c r="P1420" s="250" t="s">
        <v>2912</v>
      </c>
      <c r="Q1420" s="292" t="str">
        <f>TablaPOA[[#This Row],[Cod_Sub_acción_especifica]]&amp;"_"&amp;TablaPOA[[#This Row],[Cod_Tipo_agente]]</f>
        <v>K31.4.3.2_TA8</v>
      </c>
      <c r="R1420" s="250" t="s">
        <v>2913</v>
      </c>
      <c r="S1420" s="251" t="s">
        <v>2914</v>
      </c>
      <c r="T1420" s="269" t="s">
        <v>2915</v>
      </c>
    </row>
    <row r="1421" spans="1:20" ht="25.5" x14ac:dyDescent="0.25">
      <c r="A1421" s="268" t="s">
        <v>2314</v>
      </c>
      <c r="B1421" s="248">
        <v>31</v>
      </c>
      <c r="C1421" s="248" t="s">
        <v>2691</v>
      </c>
      <c r="D1421" s="248" t="s">
        <v>2988</v>
      </c>
      <c r="E1421" s="248" t="s">
        <v>3189</v>
      </c>
      <c r="F1421" s="248" t="s">
        <v>2697</v>
      </c>
      <c r="G1421" s="248" t="s">
        <v>2497</v>
      </c>
      <c r="H1421" s="263" t="s">
        <v>3192</v>
      </c>
      <c r="I1421" s="263" t="s">
        <v>2748</v>
      </c>
      <c r="J1421" s="248" t="s">
        <v>2482</v>
      </c>
      <c r="K1421" s="263" t="s">
        <v>3137</v>
      </c>
      <c r="L1421" s="263" t="s">
        <v>2796</v>
      </c>
      <c r="M1421" s="248" t="s">
        <v>2797</v>
      </c>
      <c r="N1421" s="293"/>
      <c r="O1421" s="293" t="str">
        <f>TablaPOA[[#This Row],[Cod_Sub_acción_especifica]]&amp;"_"&amp;TablaPOA[[#This Row],[Tipo de agente]]</f>
        <v>K31.4.3.2_Locales de venta de GLP</v>
      </c>
      <c r="P1421" s="250" t="s">
        <v>2912</v>
      </c>
      <c r="Q1421" s="292" t="str">
        <f>TablaPOA[[#This Row],[Cod_Sub_acción_especifica]]&amp;"_"&amp;TablaPOA[[#This Row],[Cod_Tipo_agente]]</f>
        <v>K31.4.3.2_TA8</v>
      </c>
      <c r="R1421" s="250" t="s">
        <v>2913</v>
      </c>
      <c r="S1421" s="251" t="s">
        <v>2916</v>
      </c>
      <c r="T1421" s="269" t="s">
        <v>2917</v>
      </c>
    </row>
    <row r="1422" spans="1:20" ht="25.5" x14ac:dyDescent="0.25">
      <c r="A1422" s="219" t="s">
        <v>2314</v>
      </c>
      <c r="B1422" s="227">
        <v>31</v>
      </c>
      <c r="C1422" s="227" t="s">
        <v>2691</v>
      </c>
      <c r="D1422" s="227" t="s">
        <v>2988</v>
      </c>
      <c r="E1422" s="227" t="s">
        <v>3189</v>
      </c>
      <c r="F1422" s="227" t="s">
        <v>2697</v>
      </c>
      <c r="G1422" s="227" t="s">
        <v>2497</v>
      </c>
      <c r="H1422" s="253" t="s">
        <v>3193</v>
      </c>
      <c r="I1422" s="253" t="s">
        <v>2750</v>
      </c>
      <c r="J1422" s="227" t="s">
        <v>2751</v>
      </c>
      <c r="K1422" s="253" t="s">
        <v>3138</v>
      </c>
      <c r="L1422" s="253" t="s">
        <v>2794</v>
      </c>
      <c r="M1422" s="227" t="s">
        <v>2795</v>
      </c>
      <c r="N1422" s="299" t="s">
        <v>2840</v>
      </c>
      <c r="O1422" s="292" t="str">
        <f>TablaPOA[[#This Row],[Cod_Sub_acción_especifica]]&amp;"_"&amp;TablaPOA[[#This Row],[Tipo de agente]]</f>
        <v>K31.4.4.1_Consumidores directos de GLP y redes de distribución</v>
      </c>
      <c r="P1422" s="254" t="s">
        <v>2839</v>
      </c>
      <c r="Q1422" s="292" t="str">
        <f>TablaPOA[[#This Row],[Cod_Sub_acción_especifica]]&amp;"_"&amp;TablaPOA[[#This Row],[Cod_Tipo_agente]]</f>
        <v>K31.4.4.1_TA3</v>
      </c>
      <c r="R1422" s="254" t="s">
        <v>2840</v>
      </c>
      <c r="S1422" s="254">
        <v>400</v>
      </c>
      <c r="T1422" s="271" t="s">
        <v>2841</v>
      </c>
    </row>
    <row r="1423" spans="1:20" ht="25.5" x14ac:dyDescent="0.25">
      <c r="A1423" s="219" t="s">
        <v>2314</v>
      </c>
      <c r="B1423" s="227">
        <v>31</v>
      </c>
      <c r="C1423" s="227" t="s">
        <v>2691</v>
      </c>
      <c r="D1423" s="227" t="s">
        <v>2988</v>
      </c>
      <c r="E1423" s="227" t="s">
        <v>3189</v>
      </c>
      <c r="F1423" s="227" t="s">
        <v>2697</v>
      </c>
      <c r="G1423" s="227" t="s">
        <v>2497</v>
      </c>
      <c r="H1423" s="253" t="s">
        <v>3193</v>
      </c>
      <c r="I1423" s="253" t="s">
        <v>2750</v>
      </c>
      <c r="J1423" s="227" t="s">
        <v>2751</v>
      </c>
      <c r="K1423" s="253" t="s">
        <v>3138</v>
      </c>
      <c r="L1423" s="253" t="s">
        <v>2794</v>
      </c>
      <c r="M1423" s="227" t="s">
        <v>2795</v>
      </c>
      <c r="N1423" s="299" t="s">
        <v>2853</v>
      </c>
      <c r="O1423" s="292" t="str">
        <f>TablaPOA[[#This Row],[Cod_Sub_acción_especifica]]&amp;"_"&amp;TablaPOA[[#This Row],[Tipo de agente]]</f>
        <v>K31.4.4.1_Consumidores directos de GLP y redes de distribución</v>
      </c>
      <c r="P1423" s="254" t="s">
        <v>2839</v>
      </c>
      <c r="Q1423" s="292" t="str">
        <f>TablaPOA[[#This Row],[Cod_Sub_acción_especifica]]&amp;"_"&amp;TablaPOA[[#This Row],[Cod_Tipo_agente]]</f>
        <v>K31.4.4.1_TA3</v>
      </c>
      <c r="R1423" s="254" t="s">
        <v>2840</v>
      </c>
      <c r="S1423" s="254" t="s">
        <v>2842</v>
      </c>
      <c r="T1423" s="271" t="s">
        <v>2843</v>
      </c>
    </row>
    <row r="1424" spans="1:20" ht="25.5" x14ac:dyDescent="0.25">
      <c r="A1424" s="219" t="s">
        <v>2314</v>
      </c>
      <c r="B1424" s="227">
        <v>31</v>
      </c>
      <c r="C1424" s="227" t="s">
        <v>2691</v>
      </c>
      <c r="D1424" s="227" t="s">
        <v>2988</v>
      </c>
      <c r="E1424" s="227" t="s">
        <v>3189</v>
      </c>
      <c r="F1424" s="227" t="s">
        <v>2697</v>
      </c>
      <c r="G1424" s="227" t="s">
        <v>2497</v>
      </c>
      <c r="H1424" s="253" t="s">
        <v>3193</v>
      </c>
      <c r="I1424" s="253" t="s">
        <v>2750</v>
      </c>
      <c r="J1424" s="227" t="s">
        <v>2751</v>
      </c>
      <c r="K1424" s="253" t="s">
        <v>3138</v>
      </c>
      <c r="L1424" s="253" t="s">
        <v>2794</v>
      </c>
      <c r="M1424" s="227" t="s">
        <v>2795</v>
      </c>
      <c r="N1424" s="299" t="s">
        <v>2883</v>
      </c>
      <c r="O1424" s="292" t="str">
        <f>TablaPOA[[#This Row],[Cod_Sub_acción_especifica]]&amp;"_"&amp;TablaPOA[[#This Row],[Tipo de agente]]</f>
        <v>K31.4.4.1_Consumidores directos de GLP y redes de distribución</v>
      </c>
      <c r="P1424" s="254" t="s">
        <v>2839</v>
      </c>
      <c r="Q1424" s="292" t="str">
        <f>TablaPOA[[#This Row],[Cod_Sub_acción_especifica]]&amp;"_"&amp;TablaPOA[[#This Row],[Cod_Tipo_agente]]</f>
        <v>K31.4.4.1_TA3</v>
      </c>
      <c r="R1424" s="254" t="s">
        <v>2840</v>
      </c>
      <c r="S1424" s="254" t="s">
        <v>2844</v>
      </c>
      <c r="T1424" s="271" t="s">
        <v>2845</v>
      </c>
    </row>
    <row r="1425" spans="1:20" ht="25.5" x14ac:dyDescent="0.25">
      <c r="A1425" s="219" t="s">
        <v>2314</v>
      </c>
      <c r="B1425" s="227">
        <v>31</v>
      </c>
      <c r="C1425" s="227" t="s">
        <v>2691</v>
      </c>
      <c r="D1425" s="227" t="s">
        <v>2988</v>
      </c>
      <c r="E1425" s="227" t="s">
        <v>3189</v>
      </c>
      <c r="F1425" s="227" t="s">
        <v>2697</v>
      </c>
      <c r="G1425" s="227" t="s">
        <v>2497</v>
      </c>
      <c r="H1425" s="253" t="s">
        <v>3193</v>
      </c>
      <c r="I1425" s="253" t="s">
        <v>2750</v>
      </c>
      <c r="J1425" s="227" t="s">
        <v>2751</v>
      </c>
      <c r="K1425" s="253" t="s">
        <v>3138</v>
      </c>
      <c r="L1425" s="253" t="s">
        <v>2794</v>
      </c>
      <c r="M1425" s="227" t="s">
        <v>2795</v>
      </c>
      <c r="N1425" s="299" t="s">
        <v>2913</v>
      </c>
      <c r="O1425" s="292" t="str">
        <f>TablaPOA[[#This Row],[Cod_Sub_acción_especifica]]&amp;"_"&amp;TablaPOA[[#This Row],[Tipo de agente]]</f>
        <v>K31.4.4.1_Consumidores directos de GLP y redes de distribución</v>
      </c>
      <c r="P1425" s="254" t="s">
        <v>2839</v>
      </c>
      <c r="Q1425" s="292" t="str">
        <f>TablaPOA[[#This Row],[Cod_Sub_acción_especifica]]&amp;"_"&amp;TablaPOA[[#This Row],[Cod_Tipo_agente]]</f>
        <v>K31.4.4.1_TA3</v>
      </c>
      <c r="R1425" s="254" t="s">
        <v>2840</v>
      </c>
      <c r="S1425" s="254" t="s">
        <v>2846</v>
      </c>
      <c r="T1425" s="271" t="s">
        <v>2847</v>
      </c>
    </row>
    <row r="1426" spans="1:20" ht="25.5" x14ac:dyDescent="0.25">
      <c r="A1426" s="219" t="s">
        <v>2314</v>
      </c>
      <c r="B1426" s="227">
        <v>31</v>
      </c>
      <c r="C1426" s="227" t="s">
        <v>2691</v>
      </c>
      <c r="D1426" s="227" t="s">
        <v>2988</v>
      </c>
      <c r="E1426" s="227" t="s">
        <v>3189</v>
      </c>
      <c r="F1426" s="227" t="s">
        <v>2697</v>
      </c>
      <c r="G1426" s="227" t="s">
        <v>2497</v>
      </c>
      <c r="H1426" s="253" t="s">
        <v>3193</v>
      </c>
      <c r="I1426" s="253" t="s">
        <v>2750</v>
      </c>
      <c r="J1426" s="227" t="s">
        <v>2751</v>
      </c>
      <c r="K1426" s="253" t="s">
        <v>3138</v>
      </c>
      <c r="L1426" s="253" t="s">
        <v>2794</v>
      </c>
      <c r="M1426" s="227" t="s">
        <v>2795</v>
      </c>
      <c r="N1426" s="299" t="s">
        <v>2919</v>
      </c>
      <c r="O1426" s="292" t="str">
        <f>TablaPOA[[#This Row],[Cod_Sub_acción_especifica]]&amp;"_"&amp;TablaPOA[[#This Row],[Tipo de agente]]</f>
        <v>K31.4.4.1_Consumidores directos de GLP y redes de distribución</v>
      </c>
      <c r="P1426" s="254" t="s">
        <v>2839</v>
      </c>
      <c r="Q1426" s="292" t="str">
        <f>TablaPOA[[#This Row],[Cod_Sub_acción_especifica]]&amp;"_"&amp;TablaPOA[[#This Row],[Cod_Tipo_agente]]</f>
        <v>K31.4.4.1_TA3</v>
      </c>
      <c r="R1426" s="254" t="s">
        <v>2840</v>
      </c>
      <c r="S1426" s="254" t="s">
        <v>2848</v>
      </c>
      <c r="T1426" s="271" t="s">
        <v>2849</v>
      </c>
    </row>
    <row r="1427" spans="1:20" ht="25.5" x14ac:dyDescent="0.25">
      <c r="A1427" s="219" t="s">
        <v>2314</v>
      </c>
      <c r="B1427" s="227">
        <v>31</v>
      </c>
      <c r="C1427" s="227" t="s">
        <v>2691</v>
      </c>
      <c r="D1427" s="227" t="s">
        <v>2988</v>
      </c>
      <c r="E1427" s="227" t="s">
        <v>3189</v>
      </c>
      <c r="F1427" s="227" t="s">
        <v>2697</v>
      </c>
      <c r="G1427" s="227" t="s">
        <v>2497</v>
      </c>
      <c r="H1427" s="253" t="s">
        <v>3193</v>
      </c>
      <c r="I1427" s="253" t="s">
        <v>2750</v>
      </c>
      <c r="J1427" s="227" t="s">
        <v>2751</v>
      </c>
      <c r="K1427" s="253" t="s">
        <v>3138</v>
      </c>
      <c r="L1427" s="253" t="s">
        <v>2794</v>
      </c>
      <c r="M1427" s="227" t="s">
        <v>2795</v>
      </c>
      <c r="N1427" s="293"/>
      <c r="O1427" s="293" t="str">
        <f>TablaPOA[[#This Row],[Cod_Sub_acción_especifica]]&amp;"_"&amp;TablaPOA[[#This Row],[Tipo de agente]]</f>
        <v>K31.4.4.1_Consumidores directos de GLP y redes de distribución</v>
      </c>
      <c r="P1427" s="254" t="s">
        <v>2839</v>
      </c>
      <c r="Q1427" s="292" t="str">
        <f>TablaPOA[[#This Row],[Cod_Sub_acción_especifica]]&amp;"_"&amp;TablaPOA[[#This Row],[Cod_Tipo_agente]]</f>
        <v>K31.4.4.1_TA3</v>
      </c>
      <c r="R1427" s="254" t="s">
        <v>2840</v>
      </c>
      <c r="S1427" s="254" t="s">
        <v>2850</v>
      </c>
      <c r="T1427" s="271" t="s">
        <v>2851</v>
      </c>
    </row>
    <row r="1428" spans="1:20" ht="25.5" x14ac:dyDescent="0.25">
      <c r="A1428" s="219" t="s">
        <v>2314</v>
      </c>
      <c r="B1428" s="227">
        <v>31</v>
      </c>
      <c r="C1428" s="227" t="s">
        <v>2691</v>
      </c>
      <c r="D1428" s="227" t="s">
        <v>2988</v>
      </c>
      <c r="E1428" s="227" t="s">
        <v>3189</v>
      </c>
      <c r="F1428" s="227" t="s">
        <v>2697</v>
      </c>
      <c r="G1428" s="227" t="s">
        <v>2497</v>
      </c>
      <c r="H1428" s="253" t="s">
        <v>3193</v>
      </c>
      <c r="I1428" s="253" t="s">
        <v>2750</v>
      </c>
      <c r="J1428" s="227" t="s">
        <v>2751</v>
      </c>
      <c r="K1428" s="253" t="s">
        <v>3138</v>
      </c>
      <c r="L1428" s="253" t="s">
        <v>2794</v>
      </c>
      <c r="M1428" s="227" t="s">
        <v>2795</v>
      </c>
      <c r="N1428" s="293"/>
      <c r="O1428" s="293" t="str">
        <f>TablaPOA[[#This Row],[Cod_Sub_acción_especifica]]&amp;"_"&amp;TablaPOA[[#This Row],[Tipo de agente]]</f>
        <v>K31.4.4.1_Distribuidores mayoristas, Importadores y Comercializadores</v>
      </c>
      <c r="P1428" s="254" t="s">
        <v>2852</v>
      </c>
      <c r="Q1428" s="292" t="str">
        <f>TablaPOA[[#This Row],[Cod_Sub_acción_especifica]]&amp;"_"&amp;TablaPOA[[#This Row],[Cod_Tipo_agente]]</f>
        <v>K31.4.4.1_TA4</v>
      </c>
      <c r="R1428" s="254" t="s">
        <v>2853</v>
      </c>
      <c r="S1428" s="255" t="s">
        <v>2854</v>
      </c>
      <c r="T1428" s="271" t="s">
        <v>2855</v>
      </c>
    </row>
    <row r="1429" spans="1:20" ht="25.5" x14ac:dyDescent="0.25">
      <c r="A1429" s="219" t="s">
        <v>2314</v>
      </c>
      <c r="B1429" s="227">
        <v>31</v>
      </c>
      <c r="C1429" s="227" t="s">
        <v>2691</v>
      </c>
      <c r="D1429" s="227" t="s">
        <v>2988</v>
      </c>
      <c r="E1429" s="227" t="s">
        <v>3189</v>
      </c>
      <c r="F1429" s="227" t="s">
        <v>2697</v>
      </c>
      <c r="G1429" s="227" t="s">
        <v>2497</v>
      </c>
      <c r="H1429" s="253" t="s">
        <v>3193</v>
      </c>
      <c r="I1429" s="253" t="s">
        <v>2750</v>
      </c>
      <c r="J1429" s="227" t="s">
        <v>2751</v>
      </c>
      <c r="K1429" s="253" t="s">
        <v>3138</v>
      </c>
      <c r="L1429" s="253" t="s">
        <v>2794</v>
      </c>
      <c r="M1429" s="227" t="s">
        <v>2795</v>
      </c>
      <c r="N1429" s="293"/>
      <c r="O1429" s="293" t="str">
        <f>TablaPOA[[#This Row],[Cod_Sub_acción_especifica]]&amp;"_"&amp;TablaPOA[[#This Row],[Tipo de agente]]</f>
        <v>K31.4.4.1_Distribuidores mayoristas, Importadores y Comercializadores</v>
      </c>
      <c r="P1429" s="254" t="s">
        <v>2852</v>
      </c>
      <c r="Q1429" s="292" t="str">
        <f>TablaPOA[[#This Row],[Cod_Sub_acción_especifica]]&amp;"_"&amp;TablaPOA[[#This Row],[Cod_Tipo_agente]]</f>
        <v>K31.4.4.1_TA4</v>
      </c>
      <c r="R1429" s="254" t="s">
        <v>2853</v>
      </c>
      <c r="S1429" s="255" t="s">
        <v>2856</v>
      </c>
      <c r="T1429" s="271" t="s">
        <v>2857</v>
      </c>
    </row>
    <row r="1430" spans="1:20" ht="25.5" x14ac:dyDescent="0.25">
      <c r="A1430" s="219" t="s">
        <v>2314</v>
      </c>
      <c r="B1430" s="227">
        <v>31</v>
      </c>
      <c r="C1430" s="227" t="s">
        <v>2691</v>
      </c>
      <c r="D1430" s="227" t="s">
        <v>2988</v>
      </c>
      <c r="E1430" s="227" t="s">
        <v>3189</v>
      </c>
      <c r="F1430" s="227" t="s">
        <v>2697</v>
      </c>
      <c r="G1430" s="227" t="s">
        <v>2497</v>
      </c>
      <c r="H1430" s="253" t="s">
        <v>3193</v>
      </c>
      <c r="I1430" s="253" t="s">
        <v>2750</v>
      </c>
      <c r="J1430" s="227" t="s">
        <v>2751</v>
      </c>
      <c r="K1430" s="253" t="s">
        <v>3138</v>
      </c>
      <c r="L1430" s="253" t="s">
        <v>2794</v>
      </c>
      <c r="M1430" s="227" t="s">
        <v>2795</v>
      </c>
      <c r="N1430" s="293"/>
      <c r="O1430" s="293" t="str">
        <f>TablaPOA[[#This Row],[Cod_Sub_acción_especifica]]&amp;"_"&amp;TablaPOA[[#This Row],[Tipo de agente]]</f>
        <v>K31.4.4.1_Distribuidores mayoristas, Importadores y Comercializadores</v>
      </c>
      <c r="P1430" s="254" t="s">
        <v>2852</v>
      </c>
      <c r="Q1430" s="292" t="str">
        <f>TablaPOA[[#This Row],[Cod_Sub_acción_especifica]]&amp;"_"&amp;TablaPOA[[#This Row],[Cod_Tipo_agente]]</f>
        <v>K31.4.4.1_TA4</v>
      </c>
      <c r="R1430" s="254" t="s">
        <v>2853</v>
      </c>
      <c r="S1430" s="255" t="s">
        <v>2858</v>
      </c>
      <c r="T1430" s="271" t="s">
        <v>2859</v>
      </c>
    </row>
    <row r="1431" spans="1:20" ht="25.5" x14ac:dyDescent="0.25">
      <c r="A1431" s="219" t="s">
        <v>2314</v>
      </c>
      <c r="B1431" s="227">
        <v>31</v>
      </c>
      <c r="C1431" s="227" t="s">
        <v>2691</v>
      </c>
      <c r="D1431" s="227" t="s">
        <v>2988</v>
      </c>
      <c r="E1431" s="227" t="s">
        <v>3189</v>
      </c>
      <c r="F1431" s="227" t="s">
        <v>2697</v>
      </c>
      <c r="G1431" s="227" t="s">
        <v>2497</v>
      </c>
      <c r="H1431" s="253" t="s">
        <v>3193</v>
      </c>
      <c r="I1431" s="253" t="s">
        <v>2750</v>
      </c>
      <c r="J1431" s="227" t="s">
        <v>2751</v>
      </c>
      <c r="K1431" s="253" t="s">
        <v>3138</v>
      </c>
      <c r="L1431" s="253" t="s">
        <v>2794</v>
      </c>
      <c r="M1431" s="227" t="s">
        <v>2795</v>
      </c>
      <c r="N1431" s="293"/>
      <c r="O1431" s="293" t="str">
        <f>TablaPOA[[#This Row],[Cod_Sub_acción_especifica]]&amp;"_"&amp;TablaPOA[[#This Row],[Tipo de agente]]</f>
        <v>K31.4.4.1_Distribuidores mayoristas, Importadores y Comercializadores</v>
      </c>
      <c r="P1431" s="254" t="s">
        <v>2852</v>
      </c>
      <c r="Q1431" s="292" t="str">
        <f>TablaPOA[[#This Row],[Cod_Sub_acción_especifica]]&amp;"_"&amp;TablaPOA[[#This Row],[Cod_Tipo_agente]]</f>
        <v>K31.4.4.1_TA4</v>
      </c>
      <c r="R1431" s="254" t="s">
        <v>2853</v>
      </c>
      <c r="S1431" s="255" t="s">
        <v>2860</v>
      </c>
      <c r="T1431" s="271" t="s">
        <v>2861</v>
      </c>
    </row>
    <row r="1432" spans="1:20" ht="25.5" x14ac:dyDescent="0.25">
      <c r="A1432" s="219" t="s">
        <v>2314</v>
      </c>
      <c r="B1432" s="227">
        <v>31</v>
      </c>
      <c r="C1432" s="227" t="s">
        <v>2691</v>
      </c>
      <c r="D1432" s="227" t="s">
        <v>2988</v>
      </c>
      <c r="E1432" s="227" t="s">
        <v>3189</v>
      </c>
      <c r="F1432" s="227" t="s">
        <v>2697</v>
      </c>
      <c r="G1432" s="227" t="s">
        <v>2497</v>
      </c>
      <c r="H1432" s="253" t="s">
        <v>3193</v>
      </c>
      <c r="I1432" s="253" t="s">
        <v>2750</v>
      </c>
      <c r="J1432" s="227" t="s">
        <v>2751</v>
      </c>
      <c r="K1432" s="253" t="s">
        <v>3138</v>
      </c>
      <c r="L1432" s="253" t="s">
        <v>2794</v>
      </c>
      <c r="M1432" s="227" t="s">
        <v>2795</v>
      </c>
      <c r="N1432" s="293"/>
      <c r="O1432" s="293" t="str">
        <f>TablaPOA[[#This Row],[Cod_Sub_acción_especifica]]&amp;"_"&amp;TablaPOA[[#This Row],[Tipo de agente]]</f>
        <v>K31.4.4.1_Distribuidores mayoristas, Importadores y Comercializadores</v>
      </c>
      <c r="P1432" s="254" t="s">
        <v>2852</v>
      </c>
      <c r="Q1432" s="292" t="str">
        <f>TablaPOA[[#This Row],[Cod_Sub_acción_especifica]]&amp;"_"&amp;TablaPOA[[#This Row],[Cod_Tipo_agente]]</f>
        <v>K31.4.4.1_TA4</v>
      </c>
      <c r="R1432" s="254" t="s">
        <v>2853</v>
      </c>
      <c r="S1432" s="255" t="s">
        <v>2862</v>
      </c>
      <c r="T1432" s="271" t="s">
        <v>2863</v>
      </c>
    </row>
    <row r="1433" spans="1:20" ht="25.5" x14ac:dyDescent="0.25">
      <c r="A1433" s="219" t="s">
        <v>2314</v>
      </c>
      <c r="B1433" s="227">
        <v>31</v>
      </c>
      <c r="C1433" s="227" t="s">
        <v>2691</v>
      </c>
      <c r="D1433" s="227" t="s">
        <v>2988</v>
      </c>
      <c r="E1433" s="227" t="s">
        <v>3189</v>
      </c>
      <c r="F1433" s="227" t="s">
        <v>2697</v>
      </c>
      <c r="G1433" s="227" t="s">
        <v>2497</v>
      </c>
      <c r="H1433" s="253" t="s">
        <v>3193</v>
      </c>
      <c r="I1433" s="253" t="s">
        <v>2750</v>
      </c>
      <c r="J1433" s="227" t="s">
        <v>2751</v>
      </c>
      <c r="K1433" s="253" t="s">
        <v>3138</v>
      </c>
      <c r="L1433" s="253" t="s">
        <v>2794</v>
      </c>
      <c r="M1433" s="227" t="s">
        <v>2795</v>
      </c>
      <c r="N1433" s="293"/>
      <c r="O1433" s="293" t="str">
        <f>TablaPOA[[#This Row],[Cod_Sub_acción_especifica]]&amp;"_"&amp;TablaPOA[[#This Row],[Tipo de agente]]</f>
        <v>K31.4.4.1_Distribuidores mayoristas, Importadores y Comercializadores</v>
      </c>
      <c r="P1433" s="254" t="s">
        <v>2852</v>
      </c>
      <c r="Q1433" s="292" t="str">
        <f>TablaPOA[[#This Row],[Cod_Sub_acción_especifica]]&amp;"_"&amp;TablaPOA[[#This Row],[Cod_Tipo_agente]]</f>
        <v>K31.4.4.1_TA4</v>
      </c>
      <c r="R1433" s="254" t="s">
        <v>2853</v>
      </c>
      <c r="S1433" s="255" t="s">
        <v>2864</v>
      </c>
      <c r="T1433" s="271" t="s">
        <v>2865</v>
      </c>
    </row>
    <row r="1434" spans="1:20" ht="25.5" x14ac:dyDescent="0.25">
      <c r="A1434" s="219" t="s">
        <v>2314</v>
      </c>
      <c r="B1434" s="227">
        <v>31</v>
      </c>
      <c r="C1434" s="227" t="s">
        <v>2691</v>
      </c>
      <c r="D1434" s="227" t="s">
        <v>2988</v>
      </c>
      <c r="E1434" s="227" t="s">
        <v>3189</v>
      </c>
      <c r="F1434" s="227" t="s">
        <v>2697</v>
      </c>
      <c r="G1434" s="227" t="s">
        <v>2497</v>
      </c>
      <c r="H1434" s="253" t="s">
        <v>3193</v>
      </c>
      <c r="I1434" s="253" t="s">
        <v>2750</v>
      </c>
      <c r="J1434" s="227" t="s">
        <v>2751</v>
      </c>
      <c r="K1434" s="253" t="s">
        <v>3138</v>
      </c>
      <c r="L1434" s="253" t="s">
        <v>2794</v>
      </c>
      <c r="M1434" s="227" t="s">
        <v>2795</v>
      </c>
      <c r="N1434" s="293"/>
      <c r="O1434" s="293" t="str">
        <f>TablaPOA[[#This Row],[Cod_Sub_acción_especifica]]&amp;"_"&amp;TablaPOA[[#This Row],[Tipo de agente]]</f>
        <v>K31.4.4.1_Distribuidores mayoristas, Importadores y Comercializadores</v>
      </c>
      <c r="P1434" s="254" t="s">
        <v>2852</v>
      </c>
      <c r="Q1434" s="292" t="str">
        <f>TablaPOA[[#This Row],[Cod_Sub_acción_especifica]]&amp;"_"&amp;TablaPOA[[#This Row],[Cod_Tipo_agente]]</f>
        <v>K31.4.4.1_TA4</v>
      </c>
      <c r="R1434" s="254" t="s">
        <v>2853</v>
      </c>
      <c r="S1434" s="255" t="s">
        <v>2866</v>
      </c>
      <c r="T1434" s="271" t="s">
        <v>2867</v>
      </c>
    </row>
    <row r="1435" spans="1:20" ht="25.5" x14ac:dyDescent="0.25">
      <c r="A1435" s="219" t="s">
        <v>2314</v>
      </c>
      <c r="B1435" s="227">
        <v>31</v>
      </c>
      <c r="C1435" s="227" t="s">
        <v>2691</v>
      </c>
      <c r="D1435" s="227" t="s">
        <v>2988</v>
      </c>
      <c r="E1435" s="227" t="s">
        <v>3189</v>
      </c>
      <c r="F1435" s="227" t="s">
        <v>2697</v>
      </c>
      <c r="G1435" s="227" t="s">
        <v>2497</v>
      </c>
      <c r="H1435" s="253" t="s">
        <v>3193</v>
      </c>
      <c r="I1435" s="253" t="s">
        <v>2750</v>
      </c>
      <c r="J1435" s="227" t="s">
        <v>2751</v>
      </c>
      <c r="K1435" s="253" t="s">
        <v>3138</v>
      </c>
      <c r="L1435" s="253" t="s">
        <v>2794</v>
      </c>
      <c r="M1435" s="227" t="s">
        <v>2795</v>
      </c>
      <c r="N1435" s="293"/>
      <c r="O1435" s="293" t="str">
        <f>TablaPOA[[#This Row],[Cod_Sub_acción_especifica]]&amp;"_"&amp;TablaPOA[[#This Row],[Tipo de agente]]</f>
        <v>K31.4.4.1_Distribuidores mayoristas, Importadores y Comercializadores</v>
      </c>
      <c r="P1435" s="254" t="s">
        <v>2852</v>
      </c>
      <c r="Q1435" s="292" t="str">
        <f>TablaPOA[[#This Row],[Cod_Sub_acción_especifica]]&amp;"_"&amp;TablaPOA[[#This Row],[Cod_Tipo_agente]]</f>
        <v>K31.4.4.1_TA4</v>
      </c>
      <c r="R1435" s="254" t="s">
        <v>2853</v>
      </c>
      <c r="S1435" s="255" t="s">
        <v>2868</v>
      </c>
      <c r="T1435" s="271" t="s">
        <v>2869</v>
      </c>
    </row>
    <row r="1436" spans="1:20" ht="25.5" x14ac:dyDescent="0.25">
      <c r="A1436" s="219" t="s">
        <v>2314</v>
      </c>
      <c r="B1436" s="227">
        <v>31</v>
      </c>
      <c r="C1436" s="227" t="s">
        <v>2691</v>
      </c>
      <c r="D1436" s="227" t="s">
        <v>2988</v>
      </c>
      <c r="E1436" s="227" t="s">
        <v>3189</v>
      </c>
      <c r="F1436" s="227" t="s">
        <v>2697</v>
      </c>
      <c r="G1436" s="227" t="s">
        <v>2497</v>
      </c>
      <c r="H1436" s="253" t="s">
        <v>3193</v>
      </c>
      <c r="I1436" s="253" t="s">
        <v>2750</v>
      </c>
      <c r="J1436" s="227" t="s">
        <v>2751</v>
      </c>
      <c r="K1436" s="253" t="s">
        <v>3138</v>
      </c>
      <c r="L1436" s="253" t="s">
        <v>2794</v>
      </c>
      <c r="M1436" s="227" t="s">
        <v>2795</v>
      </c>
      <c r="N1436" s="293"/>
      <c r="O1436" s="293" t="str">
        <f>TablaPOA[[#This Row],[Cod_Sub_acción_especifica]]&amp;"_"&amp;TablaPOA[[#This Row],[Tipo de agente]]</f>
        <v>K31.4.4.1_Distribuidores mayoristas, Importadores y Comercializadores</v>
      </c>
      <c r="P1436" s="254" t="s">
        <v>2852</v>
      </c>
      <c r="Q1436" s="292" t="str">
        <f>TablaPOA[[#This Row],[Cod_Sub_acción_especifica]]&amp;"_"&amp;TablaPOA[[#This Row],[Cod_Tipo_agente]]</f>
        <v>K31.4.4.1_TA4</v>
      </c>
      <c r="R1436" s="254" t="s">
        <v>2853</v>
      </c>
      <c r="S1436" s="255" t="s">
        <v>2870</v>
      </c>
      <c r="T1436" s="271" t="s">
        <v>2871</v>
      </c>
    </row>
    <row r="1437" spans="1:20" ht="25.5" x14ac:dyDescent="0.25">
      <c r="A1437" s="219" t="s">
        <v>2314</v>
      </c>
      <c r="B1437" s="227">
        <v>31</v>
      </c>
      <c r="C1437" s="227" t="s">
        <v>2691</v>
      </c>
      <c r="D1437" s="227" t="s">
        <v>2988</v>
      </c>
      <c r="E1437" s="227" t="s">
        <v>3189</v>
      </c>
      <c r="F1437" s="227" t="s">
        <v>2697</v>
      </c>
      <c r="G1437" s="227" t="s">
        <v>2497</v>
      </c>
      <c r="H1437" s="253" t="s">
        <v>3193</v>
      </c>
      <c r="I1437" s="253" t="s">
        <v>2750</v>
      </c>
      <c r="J1437" s="227" t="s">
        <v>2751</v>
      </c>
      <c r="K1437" s="253" t="s">
        <v>3138</v>
      </c>
      <c r="L1437" s="253" t="s">
        <v>2794</v>
      </c>
      <c r="M1437" s="227" t="s">
        <v>2795</v>
      </c>
      <c r="N1437" s="293"/>
      <c r="O1437" s="293" t="str">
        <f>TablaPOA[[#This Row],[Cod_Sub_acción_especifica]]&amp;"_"&amp;TablaPOA[[#This Row],[Tipo de agente]]</f>
        <v>K31.4.4.1_Distribuidores mayoristas, Importadores y Comercializadores</v>
      </c>
      <c r="P1437" s="254" t="s">
        <v>2852</v>
      </c>
      <c r="Q1437" s="292" t="str">
        <f>TablaPOA[[#This Row],[Cod_Sub_acción_especifica]]&amp;"_"&amp;TablaPOA[[#This Row],[Cod_Tipo_agente]]</f>
        <v>K31.4.4.1_TA4</v>
      </c>
      <c r="R1437" s="254" t="s">
        <v>2853</v>
      </c>
      <c r="S1437" s="255" t="s">
        <v>2872</v>
      </c>
      <c r="T1437" s="271" t="s">
        <v>2873</v>
      </c>
    </row>
    <row r="1438" spans="1:20" ht="25.5" x14ac:dyDescent="0.25">
      <c r="A1438" s="219" t="s">
        <v>2314</v>
      </c>
      <c r="B1438" s="227">
        <v>31</v>
      </c>
      <c r="C1438" s="227" t="s">
        <v>2691</v>
      </c>
      <c r="D1438" s="227" t="s">
        <v>2988</v>
      </c>
      <c r="E1438" s="227" t="s">
        <v>3189</v>
      </c>
      <c r="F1438" s="227" t="s">
        <v>2697</v>
      </c>
      <c r="G1438" s="227" t="s">
        <v>2497</v>
      </c>
      <c r="H1438" s="253" t="s">
        <v>3193</v>
      </c>
      <c r="I1438" s="253" t="s">
        <v>2750</v>
      </c>
      <c r="J1438" s="227" t="s">
        <v>2751</v>
      </c>
      <c r="K1438" s="253" t="s">
        <v>3138</v>
      </c>
      <c r="L1438" s="253" t="s">
        <v>2794</v>
      </c>
      <c r="M1438" s="227" t="s">
        <v>2795</v>
      </c>
      <c r="N1438" s="293"/>
      <c r="O1438" s="293" t="str">
        <f>TablaPOA[[#This Row],[Cod_Sub_acción_especifica]]&amp;"_"&amp;TablaPOA[[#This Row],[Tipo de agente]]</f>
        <v>K31.4.4.1_Distribuidores mayoristas, Importadores y Comercializadores</v>
      </c>
      <c r="P1438" s="254" t="s">
        <v>2852</v>
      </c>
      <c r="Q1438" s="292" t="str">
        <f>TablaPOA[[#This Row],[Cod_Sub_acción_especifica]]&amp;"_"&amp;TablaPOA[[#This Row],[Cod_Tipo_agente]]</f>
        <v>K31.4.4.1_TA4</v>
      </c>
      <c r="R1438" s="254" t="s">
        <v>2853</v>
      </c>
      <c r="S1438" s="255" t="s">
        <v>2874</v>
      </c>
      <c r="T1438" s="271" t="s">
        <v>2875</v>
      </c>
    </row>
    <row r="1439" spans="1:20" ht="25.5" x14ac:dyDescent="0.25">
      <c r="A1439" s="219" t="s">
        <v>2314</v>
      </c>
      <c r="B1439" s="227">
        <v>31</v>
      </c>
      <c r="C1439" s="227" t="s">
        <v>2691</v>
      </c>
      <c r="D1439" s="227" t="s">
        <v>2988</v>
      </c>
      <c r="E1439" s="227" t="s">
        <v>3189</v>
      </c>
      <c r="F1439" s="227" t="s">
        <v>2697</v>
      </c>
      <c r="G1439" s="227" t="s">
        <v>2497</v>
      </c>
      <c r="H1439" s="253" t="s">
        <v>3193</v>
      </c>
      <c r="I1439" s="253" t="s">
        <v>2750</v>
      </c>
      <c r="J1439" s="227" t="s">
        <v>2751</v>
      </c>
      <c r="K1439" s="253" t="s">
        <v>3138</v>
      </c>
      <c r="L1439" s="253" t="s">
        <v>2794</v>
      </c>
      <c r="M1439" s="227" t="s">
        <v>2795</v>
      </c>
      <c r="N1439" s="293"/>
      <c r="O1439" s="293" t="str">
        <f>TablaPOA[[#This Row],[Cod_Sub_acción_especifica]]&amp;"_"&amp;TablaPOA[[#This Row],[Tipo de agente]]</f>
        <v>K31.4.4.1_EVP combustibles de uso automotor</v>
      </c>
      <c r="P1439" s="254" t="s">
        <v>2882</v>
      </c>
      <c r="Q1439" s="292" t="str">
        <f>TablaPOA[[#This Row],[Cod_Sub_acción_especifica]]&amp;"_"&amp;TablaPOA[[#This Row],[Cod_Tipo_agente]]</f>
        <v>K31.4.4.1_TA6</v>
      </c>
      <c r="R1439" s="254" t="s">
        <v>2883</v>
      </c>
      <c r="S1439" s="255" t="s">
        <v>2884</v>
      </c>
      <c r="T1439" s="271" t="s">
        <v>2885</v>
      </c>
    </row>
    <row r="1440" spans="1:20" ht="25.5" x14ac:dyDescent="0.25">
      <c r="A1440" s="219" t="s">
        <v>2314</v>
      </c>
      <c r="B1440" s="227">
        <v>31</v>
      </c>
      <c r="C1440" s="227" t="s">
        <v>2691</v>
      </c>
      <c r="D1440" s="227" t="s">
        <v>2988</v>
      </c>
      <c r="E1440" s="227" t="s">
        <v>3189</v>
      </c>
      <c r="F1440" s="227" t="s">
        <v>2697</v>
      </c>
      <c r="G1440" s="227" t="s">
        <v>2497</v>
      </c>
      <c r="H1440" s="253" t="s">
        <v>3193</v>
      </c>
      <c r="I1440" s="253" t="s">
        <v>2750</v>
      </c>
      <c r="J1440" s="227" t="s">
        <v>2751</v>
      </c>
      <c r="K1440" s="253" t="s">
        <v>3138</v>
      </c>
      <c r="L1440" s="253" t="s">
        <v>2794</v>
      </c>
      <c r="M1440" s="227" t="s">
        <v>2795</v>
      </c>
      <c r="N1440" s="293"/>
      <c r="O1440" s="293" t="str">
        <f>TablaPOA[[#This Row],[Cod_Sub_acción_especifica]]&amp;"_"&amp;TablaPOA[[#This Row],[Tipo de agente]]</f>
        <v>K31.4.4.1_EVP combustibles de uso automotor</v>
      </c>
      <c r="P1440" s="254" t="s">
        <v>2882</v>
      </c>
      <c r="Q1440" s="292" t="str">
        <f>TablaPOA[[#This Row],[Cod_Sub_acción_especifica]]&amp;"_"&amp;TablaPOA[[#This Row],[Cod_Tipo_agente]]</f>
        <v>K31.4.4.1_TA6</v>
      </c>
      <c r="R1440" s="254" t="s">
        <v>2883</v>
      </c>
      <c r="S1440" s="255" t="s">
        <v>2886</v>
      </c>
      <c r="T1440" s="271" t="s">
        <v>2887</v>
      </c>
    </row>
    <row r="1441" spans="1:20" ht="25.5" x14ac:dyDescent="0.25">
      <c r="A1441" s="219" t="s">
        <v>2314</v>
      </c>
      <c r="B1441" s="227">
        <v>31</v>
      </c>
      <c r="C1441" s="227" t="s">
        <v>2691</v>
      </c>
      <c r="D1441" s="227" t="s">
        <v>2988</v>
      </c>
      <c r="E1441" s="227" t="s">
        <v>3189</v>
      </c>
      <c r="F1441" s="227" t="s">
        <v>2697</v>
      </c>
      <c r="G1441" s="227" t="s">
        <v>2497</v>
      </c>
      <c r="H1441" s="253" t="s">
        <v>3193</v>
      </c>
      <c r="I1441" s="253" t="s">
        <v>2750</v>
      </c>
      <c r="J1441" s="227" t="s">
        <v>2751</v>
      </c>
      <c r="K1441" s="253" t="s">
        <v>3138</v>
      </c>
      <c r="L1441" s="253" t="s">
        <v>2794</v>
      </c>
      <c r="M1441" s="227" t="s">
        <v>2795</v>
      </c>
      <c r="N1441" s="293"/>
      <c r="O1441" s="293" t="str">
        <f>TablaPOA[[#This Row],[Cod_Sub_acción_especifica]]&amp;"_"&amp;TablaPOA[[#This Row],[Tipo de agente]]</f>
        <v>K31.4.4.1_EVP combustibles de uso automotor</v>
      </c>
      <c r="P1441" s="254" t="s">
        <v>2882</v>
      </c>
      <c r="Q1441" s="292" t="str">
        <f>TablaPOA[[#This Row],[Cod_Sub_acción_especifica]]&amp;"_"&amp;TablaPOA[[#This Row],[Cod_Tipo_agente]]</f>
        <v>K31.4.4.1_TA6</v>
      </c>
      <c r="R1441" s="254" t="s">
        <v>2883</v>
      </c>
      <c r="S1441" s="255" t="s">
        <v>2892</v>
      </c>
      <c r="T1441" s="271" t="s">
        <v>2893</v>
      </c>
    </row>
    <row r="1442" spans="1:20" ht="25.5" x14ac:dyDescent="0.25">
      <c r="A1442" s="219" t="s">
        <v>2314</v>
      </c>
      <c r="B1442" s="227">
        <v>31</v>
      </c>
      <c r="C1442" s="227" t="s">
        <v>2691</v>
      </c>
      <c r="D1442" s="227" t="s">
        <v>2988</v>
      </c>
      <c r="E1442" s="227" t="s">
        <v>3189</v>
      </c>
      <c r="F1442" s="227" t="s">
        <v>2697</v>
      </c>
      <c r="G1442" s="227" t="s">
        <v>2497</v>
      </c>
      <c r="H1442" s="253" t="s">
        <v>3193</v>
      </c>
      <c r="I1442" s="253" t="s">
        <v>2750</v>
      </c>
      <c r="J1442" s="227" t="s">
        <v>2751</v>
      </c>
      <c r="K1442" s="253" t="s">
        <v>3138</v>
      </c>
      <c r="L1442" s="253" t="s">
        <v>2794</v>
      </c>
      <c r="M1442" s="227" t="s">
        <v>2795</v>
      </c>
      <c r="N1442" s="293"/>
      <c r="O1442" s="293" t="str">
        <f>TablaPOA[[#This Row],[Cod_Sub_acción_especifica]]&amp;"_"&amp;TablaPOA[[#This Row],[Tipo de agente]]</f>
        <v>K31.4.4.1_EVP combustibles de uso automotor</v>
      </c>
      <c r="P1442" s="254" t="s">
        <v>2882</v>
      </c>
      <c r="Q1442" s="292" t="str">
        <f>TablaPOA[[#This Row],[Cod_Sub_acción_especifica]]&amp;"_"&amp;TablaPOA[[#This Row],[Cod_Tipo_agente]]</f>
        <v>K31.4.4.1_TA6</v>
      </c>
      <c r="R1442" s="254" t="s">
        <v>2883</v>
      </c>
      <c r="S1442" s="255" t="s">
        <v>2894</v>
      </c>
      <c r="T1442" s="271" t="s">
        <v>2895</v>
      </c>
    </row>
    <row r="1443" spans="1:20" ht="25.5" x14ac:dyDescent="0.25">
      <c r="A1443" s="219" t="s">
        <v>2314</v>
      </c>
      <c r="B1443" s="227">
        <v>31</v>
      </c>
      <c r="C1443" s="227" t="s">
        <v>2691</v>
      </c>
      <c r="D1443" s="227" t="s">
        <v>2988</v>
      </c>
      <c r="E1443" s="227" t="s">
        <v>3189</v>
      </c>
      <c r="F1443" s="227" t="s">
        <v>2697</v>
      </c>
      <c r="G1443" s="227" t="s">
        <v>2497</v>
      </c>
      <c r="H1443" s="253" t="s">
        <v>3193</v>
      </c>
      <c r="I1443" s="253" t="s">
        <v>2750</v>
      </c>
      <c r="J1443" s="227" t="s">
        <v>2751</v>
      </c>
      <c r="K1443" s="253" t="s">
        <v>3138</v>
      </c>
      <c r="L1443" s="253" t="s">
        <v>2794</v>
      </c>
      <c r="M1443" s="227" t="s">
        <v>2795</v>
      </c>
      <c r="N1443" s="293"/>
      <c r="O1443" s="293" t="str">
        <f>TablaPOA[[#This Row],[Cod_Sub_acción_especifica]]&amp;"_"&amp;TablaPOA[[#This Row],[Tipo de agente]]</f>
        <v>K31.4.4.1_EVP combustibles de uso automotor</v>
      </c>
      <c r="P1443" s="254" t="s">
        <v>2882</v>
      </c>
      <c r="Q1443" s="292" t="str">
        <f>TablaPOA[[#This Row],[Cod_Sub_acción_especifica]]&amp;"_"&amp;TablaPOA[[#This Row],[Cod_Tipo_agente]]</f>
        <v>K31.4.4.1_TA6</v>
      </c>
      <c r="R1443" s="254" t="s">
        <v>2883</v>
      </c>
      <c r="S1443" s="255" t="s">
        <v>2896</v>
      </c>
      <c r="T1443" s="271" t="s">
        <v>2897</v>
      </c>
    </row>
    <row r="1444" spans="1:20" ht="25.5" x14ac:dyDescent="0.25">
      <c r="A1444" s="219" t="s">
        <v>2314</v>
      </c>
      <c r="B1444" s="227">
        <v>31</v>
      </c>
      <c r="C1444" s="227" t="s">
        <v>2691</v>
      </c>
      <c r="D1444" s="227" t="s">
        <v>2988</v>
      </c>
      <c r="E1444" s="227" t="s">
        <v>3189</v>
      </c>
      <c r="F1444" s="227" t="s">
        <v>2697</v>
      </c>
      <c r="G1444" s="227" t="s">
        <v>2497</v>
      </c>
      <c r="H1444" s="253" t="s">
        <v>3193</v>
      </c>
      <c r="I1444" s="253" t="s">
        <v>2750</v>
      </c>
      <c r="J1444" s="227" t="s">
        <v>2751</v>
      </c>
      <c r="K1444" s="253" t="s">
        <v>3138</v>
      </c>
      <c r="L1444" s="253" t="s">
        <v>2794</v>
      </c>
      <c r="M1444" s="227" t="s">
        <v>2795</v>
      </c>
      <c r="N1444" s="293"/>
      <c r="O1444" s="293" t="str">
        <f>TablaPOA[[#This Row],[Cod_Sub_acción_especifica]]&amp;"_"&amp;TablaPOA[[#This Row],[Tipo de agente]]</f>
        <v>K31.4.4.1_EVP combustibles de uso automotor</v>
      </c>
      <c r="P1444" s="254" t="s">
        <v>2882</v>
      </c>
      <c r="Q1444" s="292" t="str">
        <f>TablaPOA[[#This Row],[Cod_Sub_acción_especifica]]&amp;"_"&amp;TablaPOA[[#This Row],[Cod_Tipo_agente]]</f>
        <v>K31.4.4.1_TA6</v>
      </c>
      <c r="R1444" s="254" t="s">
        <v>2883</v>
      </c>
      <c r="S1444" s="255" t="s">
        <v>2898</v>
      </c>
      <c r="T1444" s="271" t="s">
        <v>2899</v>
      </c>
    </row>
    <row r="1445" spans="1:20" ht="25.5" x14ac:dyDescent="0.25">
      <c r="A1445" s="219" t="s">
        <v>2314</v>
      </c>
      <c r="B1445" s="227">
        <v>31</v>
      </c>
      <c r="C1445" s="227" t="s">
        <v>2691</v>
      </c>
      <c r="D1445" s="227" t="s">
        <v>2988</v>
      </c>
      <c r="E1445" s="227" t="s">
        <v>3189</v>
      </c>
      <c r="F1445" s="227" t="s">
        <v>2697</v>
      </c>
      <c r="G1445" s="227" t="s">
        <v>2497</v>
      </c>
      <c r="H1445" s="253" t="s">
        <v>3193</v>
      </c>
      <c r="I1445" s="253" t="s">
        <v>2750</v>
      </c>
      <c r="J1445" s="227" t="s">
        <v>2751</v>
      </c>
      <c r="K1445" s="253" t="s">
        <v>3138</v>
      </c>
      <c r="L1445" s="253" t="s">
        <v>2794</v>
      </c>
      <c r="M1445" s="227" t="s">
        <v>2795</v>
      </c>
      <c r="N1445" s="293"/>
      <c r="O1445" s="293" t="str">
        <f>TablaPOA[[#This Row],[Cod_Sub_acción_especifica]]&amp;"_"&amp;TablaPOA[[#This Row],[Tipo de agente]]</f>
        <v>K31.4.4.1_EVP combustibles de uso automotor</v>
      </c>
      <c r="P1445" s="254" t="s">
        <v>2882</v>
      </c>
      <c r="Q1445" s="292" t="str">
        <f>TablaPOA[[#This Row],[Cod_Sub_acción_especifica]]&amp;"_"&amp;TablaPOA[[#This Row],[Cod_Tipo_agente]]</f>
        <v>K31.4.4.1_TA6</v>
      </c>
      <c r="R1445" s="254" t="s">
        <v>2883</v>
      </c>
      <c r="S1445" s="255" t="s">
        <v>2900</v>
      </c>
      <c r="T1445" s="271" t="s">
        <v>2901</v>
      </c>
    </row>
    <row r="1446" spans="1:20" ht="25.5" x14ac:dyDescent="0.25">
      <c r="A1446" s="219" t="s">
        <v>2314</v>
      </c>
      <c r="B1446" s="227">
        <v>31</v>
      </c>
      <c r="C1446" s="227" t="s">
        <v>2691</v>
      </c>
      <c r="D1446" s="227" t="s">
        <v>2988</v>
      </c>
      <c r="E1446" s="227" t="s">
        <v>3189</v>
      </c>
      <c r="F1446" s="227" t="s">
        <v>2697</v>
      </c>
      <c r="G1446" s="227" t="s">
        <v>2497</v>
      </c>
      <c r="H1446" s="253" t="s">
        <v>3193</v>
      </c>
      <c r="I1446" s="253" t="s">
        <v>2750</v>
      </c>
      <c r="J1446" s="227" t="s">
        <v>2751</v>
      </c>
      <c r="K1446" s="253" t="s">
        <v>3138</v>
      </c>
      <c r="L1446" s="253" t="s">
        <v>2794</v>
      </c>
      <c r="M1446" s="227" t="s">
        <v>2795</v>
      </c>
      <c r="N1446" s="293"/>
      <c r="O1446" s="293" t="str">
        <f>TablaPOA[[#This Row],[Cod_Sub_acción_especifica]]&amp;"_"&amp;TablaPOA[[#This Row],[Tipo de agente]]</f>
        <v>K31.4.4.1_Locales de venta de GLP</v>
      </c>
      <c r="P1446" s="254" t="s">
        <v>2912</v>
      </c>
      <c r="Q1446" s="292" t="str">
        <f>TablaPOA[[#This Row],[Cod_Sub_acción_especifica]]&amp;"_"&amp;TablaPOA[[#This Row],[Cod_Tipo_agente]]</f>
        <v>K31.4.4.1_TA8</v>
      </c>
      <c r="R1446" s="254" t="s">
        <v>2913</v>
      </c>
      <c r="S1446" s="255" t="s">
        <v>2914</v>
      </c>
      <c r="T1446" s="271" t="s">
        <v>2915</v>
      </c>
    </row>
    <row r="1447" spans="1:20" ht="25.5" x14ac:dyDescent="0.25">
      <c r="A1447" s="219" t="s">
        <v>2314</v>
      </c>
      <c r="B1447" s="227">
        <v>31</v>
      </c>
      <c r="C1447" s="227" t="s">
        <v>2691</v>
      </c>
      <c r="D1447" s="227" t="s">
        <v>2988</v>
      </c>
      <c r="E1447" s="227" t="s">
        <v>3189</v>
      </c>
      <c r="F1447" s="227" t="s">
        <v>2697</v>
      </c>
      <c r="G1447" s="227" t="s">
        <v>2497</v>
      </c>
      <c r="H1447" s="253" t="s">
        <v>3193</v>
      </c>
      <c r="I1447" s="253" t="s">
        <v>2750</v>
      </c>
      <c r="J1447" s="227" t="s">
        <v>2751</v>
      </c>
      <c r="K1447" s="253" t="s">
        <v>3138</v>
      </c>
      <c r="L1447" s="253" t="s">
        <v>2794</v>
      </c>
      <c r="M1447" s="227" t="s">
        <v>2795</v>
      </c>
      <c r="N1447" s="293"/>
      <c r="O1447" s="293" t="str">
        <f>TablaPOA[[#This Row],[Cod_Sub_acción_especifica]]&amp;"_"&amp;TablaPOA[[#This Row],[Tipo de agente]]</f>
        <v>K31.4.4.1_Locales de venta de GLP</v>
      </c>
      <c r="P1447" s="254" t="s">
        <v>2912</v>
      </c>
      <c r="Q1447" s="292" t="str">
        <f>TablaPOA[[#This Row],[Cod_Sub_acción_especifica]]&amp;"_"&amp;TablaPOA[[#This Row],[Cod_Tipo_agente]]</f>
        <v>K31.4.4.1_TA8</v>
      </c>
      <c r="R1447" s="254" t="s">
        <v>2913</v>
      </c>
      <c r="S1447" s="255" t="s">
        <v>2916</v>
      </c>
      <c r="T1447" s="271" t="s">
        <v>2917</v>
      </c>
    </row>
    <row r="1448" spans="1:20" ht="25.5" x14ac:dyDescent="0.25">
      <c r="A1448" s="219" t="s">
        <v>2314</v>
      </c>
      <c r="B1448" s="227">
        <v>31</v>
      </c>
      <c r="C1448" s="227" t="s">
        <v>2691</v>
      </c>
      <c r="D1448" s="227" t="s">
        <v>2988</v>
      </c>
      <c r="E1448" s="227" t="s">
        <v>3189</v>
      </c>
      <c r="F1448" s="227" t="s">
        <v>2697</v>
      </c>
      <c r="G1448" s="227" t="s">
        <v>2497</v>
      </c>
      <c r="H1448" s="253" t="s">
        <v>3193</v>
      </c>
      <c r="I1448" s="253" t="s">
        <v>2750</v>
      </c>
      <c r="J1448" s="227" t="s">
        <v>2751</v>
      </c>
      <c r="K1448" s="253" t="s">
        <v>3138</v>
      </c>
      <c r="L1448" s="253" t="s">
        <v>2794</v>
      </c>
      <c r="M1448" s="227" t="s">
        <v>2795</v>
      </c>
      <c r="N1448" s="293"/>
      <c r="O1448" s="293" t="str">
        <f>TablaPOA[[#This Row],[Cod_Sub_acción_especifica]]&amp;"_"&amp;TablaPOA[[#This Row],[Tipo de agente]]</f>
        <v>K31.4.4.1_Medios de transporte</v>
      </c>
      <c r="P1448" s="254" t="s">
        <v>2918</v>
      </c>
      <c r="Q1448" s="292" t="str">
        <f>TablaPOA[[#This Row],[Cod_Sub_acción_especifica]]&amp;"_"&amp;TablaPOA[[#This Row],[Cod_Tipo_agente]]</f>
        <v>K31.4.4.1_TA9</v>
      </c>
      <c r="R1448" s="254" t="s">
        <v>2919</v>
      </c>
      <c r="S1448" s="255" t="s">
        <v>2920</v>
      </c>
      <c r="T1448" s="271" t="s">
        <v>2921</v>
      </c>
    </row>
    <row r="1449" spans="1:20" ht="25.5" x14ac:dyDescent="0.25">
      <c r="A1449" s="219" t="s">
        <v>2314</v>
      </c>
      <c r="B1449" s="227">
        <v>31</v>
      </c>
      <c r="C1449" s="227" t="s">
        <v>2691</v>
      </c>
      <c r="D1449" s="227" t="s">
        <v>2988</v>
      </c>
      <c r="E1449" s="227" t="s">
        <v>3189</v>
      </c>
      <c r="F1449" s="227" t="s">
        <v>2697</v>
      </c>
      <c r="G1449" s="227" t="s">
        <v>2497</v>
      </c>
      <c r="H1449" s="253" t="s">
        <v>3193</v>
      </c>
      <c r="I1449" s="253" t="s">
        <v>2750</v>
      </c>
      <c r="J1449" s="227" t="s">
        <v>2751</v>
      </c>
      <c r="K1449" s="253" t="s">
        <v>3138</v>
      </c>
      <c r="L1449" s="253" t="s">
        <v>2794</v>
      </c>
      <c r="M1449" s="227" t="s">
        <v>2795</v>
      </c>
      <c r="N1449" s="293"/>
      <c r="O1449" s="293" t="str">
        <f>TablaPOA[[#This Row],[Cod_Sub_acción_especifica]]&amp;"_"&amp;TablaPOA[[#This Row],[Tipo de agente]]</f>
        <v>K31.4.4.1_Medios de transporte</v>
      </c>
      <c r="P1449" s="254" t="s">
        <v>2918</v>
      </c>
      <c r="Q1449" s="292" t="str">
        <f>TablaPOA[[#This Row],[Cod_Sub_acción_especifica]]&amp;"_"&amp;TablaPOA[[#This Row],[Cod_Tipo_agente]]</f>
        <v>K31.4.4.1_TA9</v>
      </c>
      <c r="R1449" s="254" t="s">
        <v>2919</v>
      </c>
      <c r="S1449" s="255" t="s">
        <v>2922</v>
      </c>
      <c r="T1449" s="271" t="s">
        <v>2923</v>
      </c>
    </row>
    <row r="1450" spans="1:20" ht="25.5" x14ac:dyDescent="0.25">
      <c r="A1450" s="219" t="s">
        <v>2314</v>
      </c>
      <c r="B1450" s="227">
        <v>31</v>
      </c>
      <c r="C1450" s="227" t="s">
        <v>2691</v>
      </c>
      <c r="D1450" s="227" t="s">
        <v>2988</v>
      </c>
      <c r="E1450" s="227" t="s">
        <v>3189</v>
      </c>
      <c r="F1450" s="227" t="s">
        <v>2697</v>
      </c>
      <c r="G1450" s="227" t="s">
        <v>2497</v>
      </c>
      <c r="H1450" s="253" t="s">
        <v>3193</v>
      </c>
      <c r="I1450" s="253" t="s">
        <v>2750</v>
      </c>
      <c r="J1450" s="227" t="s">
        <v>2751</v>
      </c>
      <c r="K1450" s="253" t="s">
        <v>3138</v>
      </c>
      <c r="L1450" s="253" t="s">
        <v>2794</v>
      </c>
      <c r="M1450" s="227" t="s">
        <v>2795</v>
      </c>
      <c r="N1450" s="293"/>
      <c r="O1450" s="293" t="str">
        <f>TablaPOA[[#This Row],[Cod_Sub_acción_especifica]]&amp;"_"&amp;TablaPOA[[#This Row],[Tipo de agente]]</f>
        <v>K31.4.4.1_Medios de transporte</v>
      </c>
      <c r="P1450" s="254" t="s">
        <v>2918</v>
      </c>
      <c r="Q1450" s="292" t="str">
        <f>TablaPOA[[#This Row],[Cod_Sub_acción_especifica]]&amp;"_"&amp;TablaPOA[[#This Row],[Cod_Tipo_agente]]</f>
        <v>K31.4.4.1_TA9</v>
      </c>
      <c r="R1450" s="254" t="s">
        <v>2919</v>
      </c>
      <c r="S1450" s="255" t="s">
        <v>2924</v>
      </c>
      <c r="T1450" s="271" t="s">
        <v>2925</v>
      </c>
    </row>
    <row r="1451" spans="1:20" ht="25.5" x14ac:dyDescent="0.25">
      <c r="A1451" s="219" t="s">
        <v>2314</v>
      </c>
      <c r="B1451" s="227">
        <v>31</v>
      </c>
      <c r="C1451" s="227" t="s">
        <v>2691</v>
      </c>
      <c r="D1451" s="227" t="s">
        <v>2988</v>
      </c>
      <c r="E1451" s="227" t="s">
        <v>3189</v>
      </c>
      <c r="F1451" s="227" t="s">
        <v>2697</v>
      </c>
      <c r="G1451" s="227" t="s">
        <v>2497</v>
      </c>
      <c r="H1451" s="253" t="s">
        <v>3193</v>
      </c>
      <c r="I1451" s="253" t="s">
        <v>2750</v>
      </c>
      <c r="J1451" s="227" t="s">
        <v>2751</v>
      </c>
      <c r="K1451" s="253" t="s">
        <v>3138</v>
      </c>
      <c r="L1451" s="253" t="s">
        <v>2794</v>
      </c>
      <c r="M1451" s="227" t="s">
        <v>2795</v>
      </c>
      <c r="N1451" s="293"/>
      <c r="O1451" s="293" t="str">
        <f>TablaPOA[[#This Row],[Cod_Sub_acción_especifica]]&amp;"_"&amp;TablaPOA[[#This Row],[Tipo de agente]]</f>
        <v>K31.4.4.1_Medios de transporte</v>
      </c>
      <c r="P1451" s="254" t="s">
        <v>2918</v>
      </c>
      <c r="Q1451" s="292" t="str">
        <f>TablaPOA[[#This Row],[Cod_Sub_acción_especifica]]&amp;"_"&amp;TablaPOA[[#This Row],[Cod_Tipo_agente]]</f>
        <v>K31.4.4.1_TA9</v>
      </c>
      <c r="R1451" s="254" t="s">
        <v>2919</v>
      </c>
      <c r="S1451" s="255" t="s">
        <v>2926</v>
      </c>
      <c r="T1451" s="271" t="s">
        <v>2927</v>
      </c>
    </row>
    <row r="1452" spans="1:20" ht="25.5" x14ac:dyDescent="0.25">
      <c r="A1452" s="219" t="s">
        <v>2314</v>
      </c>
      <c r="B1452" s="227">
        <v>31</v>
      </c>
      <c r="C1452" s="227" t="s">
        <v>2691</v>
      </c>
      <c r="D1452" s="227" t="s">
        <v>2988</v>
      </c>
      <c r="E1452" s="227" t="s">
        <v>3189</v>
      </c>
      <c r="F1452" s="227" t="s">
        <v>2697</v>
      </c>
      <c r="G1452" s="227" t="s">
        <v>2497</v>
      </c>
      <c r="H1452" s="253" t="s">
        <v>3193</v>
      </c>
      <c r="I1452" s="253" t="s">
        <v>2750</v>
      </c>
      <c r="J1452" s="227" t="s">
        <v>2751</v>
      </c>
      <c r="K1452" s="253" t="s">
        <v>3138</v>
      </c>
      <c r="L1452" s="253" t="s">
        <v>2794</v>
      </c>
      <c r="M1452" s="227" t="s">
        <v>2795</v>
      </c>
      <c r="N1452" s="293"/>
      <c r="O1452" s="293" t="str">
        <f>TablaPOA[[#This Row],[Cod_Sub_acción_especifica]]&amp;"_"&amp;TablaPOA[[#This Row],[Tipo de agente]]</f>
        <v>K31.4.4.1_Medios de transporte</v>
      </c>
      <c r="P1452" s="254" t="s">
        <v>2918</v>
      </c>
      <c r="Q1452" s="292" t="str">
        <f>TablaPOA[[#This Row],[Cod_Sub_acción_especifica]]&amp;"_"&amp;TablaPOA[[#This Row],[Cod_Tipo_agente]]</f>
        <v>K31.4.4.1_TA9</v>
      </c>
      <c r="R1452" s="254" t="s">
        <v>2919</v>
      </c>
      <c r="S1452" s="255" t="s">
        <v>2928</v>
      </c>
      <c r="T1452" s="271" t="s">
        <v>2929</v>
      </c>
    </row>
    <row r="1453" spans="1:20" ht="25.5" x14ac:dyDescent="0.25">
      <c r="A1453" s="219" t="s">
        <v>2314</v>
      </c>
      <c r="B1453" s="227">
        <v>31</v>
      </c>
      <c r="C1453" s="227" t="s">
        <v>2691</v>
      </c>
      <c r="D1453" s="227" t="s">
        <v>2988</v>
      </c>
      <c r="E1453" s="227" t="s">
        <v>3189</v>
      </c>
      <c r="F1453" s="227" t="s">
        <v>2697</v>
      </c>
      <c r="G1453" s="227" t="s">
        <v>2497</v>
      </c>
      <c r="H1453" s="253" t="s">
        <v>3193</v>
      </c>
      <c r="I1453" s="253" t="s">
        <v>2750</v>
      </c>
      <c r="J1453" s="227" t="s">
        <v>2751</v>
      </c>
      <c r="K1453" s="253" t="s">
        <v>3138</v>
      </c>
      <c r="L1453" s="253" t="s">
        <v>2794</v>
      </c>
      <c r="M1453" s="227" t="s">
        <v>2795</v>
      </c>
      <c r="N1453" s="293"/>
      <c r="O1453" s="293" t="str">
        <f>TablaPOA[[#This Row],[Cod_Sub_acción_especifica]]&amp;"_"&amp;TablaPOA[[#This Row],[Tipo de agente]]</f>
        <v>K31.4.4.1_Medios de transporte</v>
      </c>
      <c r="P1453" s="254" t="s">
        <v>2918</v>
      </c>
      <c r="Q1453" s="292" t="str">
        <f>TablaPOA[[#This Row],[Cod_Sub_acción_especifica]]&amp;"_"&amp;TablaPOA[[#This Row],[Cod_Tipo_agente]]</f>
        <v>K31.4.4.1_TA9</v>
      </c>
      <c r="R1453" s="254" t="s">
        <v>2919</v>
      </c>
      <c r="S1453" s="255" t="s">
        <v>2930</v>
      </c>
      <c r="T1453" s="271" t="s">
        <v>2931</v>
      </c>
    </row>
    <row r="1454" spans="1:20" ht="25.5" x14ac:dyDescent="0.25">
      <c r="A1454" s="219" t="s">
        <v>2314</v>
      </c>
      <c r="B1454" s="227">
        <v>31</v>
      </c>
      <c r="C1454" s="227" t="s">
        <v>2691</v>
      </c>
      <c r="D1454" s="227" t="s">
        <v>2988</v>
      </c>
      <c r="E1454" s="227" t="s">
        <v>3189</v>
      </c>
      <c r="F1454" s="227" t="s">
        <v>2697</v>
      </c>
      <c r="G1454" s="227" t="s">
        <v>2497</v>
      </c>
      <c r="H1454" s="253" t="s">
        <v>3193</v>
      </c>
      <c r="I1454" s="253" t="s">
        <v>2750</v>
      </c>
      <c r="J1454" s="227" t="s">
        <v>2751</v>
      </c>
      <c r="K1454" s="253" t="s">
        <v>3138</v>
      </c>
      <c r="L1454" s="253" t="s">
        <v>2794</v>
      </c>
      <c r="M1454" s="227" t="s">
        <v>2795</v>
      </c>
      <c r="N1454" s="293"/>
      <c r="O1454" s="293" t="str">
        <f>TablaPOA[[#This Row],[Cod_Sub_acción_especifica]]&amp;"_"&amp;TablaPOA[[#This Row],[Tipo de agente]]</f>
        <v>K31.4.4.1_Medios de transporte</v>
      </c>
      <c r="P1454" s="254" t="s">
        <v>2918</v>
      </c>
      <c r="Q1454" s="292" t="str">
        <f>TablaPOA[[#This Row],[Cod_Sub_acción_especifica]]&amp;"_"&amp;TablaPOA[[#This Row],[Cod_Tipo_agente]]</f>
        <v>K31.4.4.1_TA9</v>
      </c>
      <c r="R1454" s="254" t="s">
        <v>2919</v>
      </c>
      <c r="S1454" s="255" t="s">
        <v>2932</v>
      </c>
      <c r="T1454" s="271" t="s">
        <v>2933</v>
      </c>
    </row>
    <row r="1455" spans="1:20" ht="25.5" x14ac:dyDescent="0.25">
      <c r="A1455" s="219" t="s">
        <v>2314</v>
      </c>
      <c r="B1455" s="227">
        <v>31</v>
      </c>
      <c r="C1455" s="227" t="s">
        <v>2691</v>
      </c>
      <c r="D1455" s="227" t="s">
        <v>2988</v>
      </c>
      <c r="E1455" s="227" t="s">
        <v>3189</v>
      </c>
      <c r="F1455" s="227" t="s">
        <v>2697</v>
      </c>
      <c r="G1455" s="227" t="s">
        <v>2497</v>
      </c>
      <c r="H1455" s="253" t="s">
        <v>3193</v>
      </c>
      <c r="I1455" s="253" t="s">
        <v>2750</v>
      </c>
      <c r="J1455" s="227" t="s">
        <v>2751</v>
      </c>
      <c r="K1455" s="253" t="s">
        <v>3138</v>
      </c>
      <c r="L1455" s="253" t="s">
        <v>2794</v>
      </c>
      <c r="M1455" s="227" t="s">
        <v>2795</v>
      </c>
      <c r="N1455" s="293"/>
      <c r="O1455" s="293" t="str">
        <f>TablaPOA[[#This Row],[Cod_Sub_acción_especifica]]&amp;"_"&amp;TablaPOA[[#This Row],[Tipo de agente]]</f>
        <v>K31.4.4.1_Medios de transporte</v>
      </c>
      <c r="P1455" s="254" t="s">
        <v>2918</v>
      </c>
      <c r="Q1455" s="292" t="str">
        <f>TablaPOA[[#This Row],[Cod_Sub_acción_especifica]]&amp;"_"&amp;TablaPOA[[#This Row],[Cod_Tipo_agente]]</f>
        <v>K31.4.4.1_TA9</v>
      </c>
      <c r="R1455" s="254" t="s">
        <v>2919</v>
      </c>
      <c r="S1455" s="255" t="s">
        <v>2934</v>
      </c>
      <c r="T1455" s="271" t="s">
        <v>2935</v>
      </c>
    </row>
    <row r="1456" spans="1:20" ht="25.5" x14ac:dyDescent="0.25">
      <c r="A1456" s="219" t="s">
        <v>2314</v>
      </c>
      <c r="B1456" s="227">
        <v>31</v>
      </c>
      <c r="C1456" s="227" t="s">
        <v>2691</v>
      </c>
      <c r="D1456" s="227" t="s">
        <v>2988</v>
      </c>
      <c r="E1456" s="227" t="s">
        <v>3189</v>
      </c>
      <c r="F1456" s="227" t="s">
        <v>2697</v>
      </c>
      <c r="G1456" s="227" t="s">
        <v>2497</v>
      </c>
      <c r="H1456" s="253" t="s">
        <v>3193</v>
      </c>
      <c r="I1456" s="253" t="s">
        <v>2750</v>
      </c>
      <c r="J1456" s="227" t="s">
        <v>2751</v>
      </c>
      <c r="K1456" s="253" t="s">
        <v>3138</v>
      </c>
      <c r="L1456" s="253" t="s">
        <v>2794</v>
      </c>
      <c r="M1456" s="227" t="s">
        <v>2795</v>
      </c>
      <c r="N1456" s="293"/>
      <c r="O1456" s="293" t="str">
        <f>TablaPOA[[#This Row],[Cod_Sub_acción_especifica]]&amp;"_"&amp;TablaPOA[[#This Row],[Tipo de agente]]</f>
        <v>K31.4.4.1_Medios de transporte</v>
      </c>
      <c r="P1456" s="254" t="s">
        <v>2918</v>
      </c>
      <c r="Q1456" s="292" t="str">
        <f>TablaPOA[[#This Row],[Cod_Sub_acción_especifica]]&amp;"_"&amp;TablaPOA[[#This Row],[Cod_Tipo_agente]]</f>
        <v>K31.4.4.1_TA9</v>
      </c>
      <c r="R1456" s="254" t="s">
        <v>2919</v>
      </c>
      <c r="S1456" s="255" t="s">
        <v>2936</v>
      </c>
      <c r="T1456" s="271" t="s">
        <v>2937</v>
      </c>
    </row>
    <row r="1457" spans="1:20" ht="25.5" x14ac:dyDescent="0.25">
      <c r="A1457" s="219" t="s">
        <v>2314</v>
      </c>
      <c r="B1457" s="227">
        <v>31</v>
      </c>
      <c r="C1457" s="227" t="s">
        <v>2691</v>
      </c>
      <c r="D1457" s="227" t="s">
        <v>2988</v>
      </c>
      <c r="E1457" s="227" t="s">
        <v>3189</v>
      </c>
      <c r="F1457" s="227" t="s">
        <v>2697</v>
      </c>
      <c r="G1457" s="227" t="s">
        <v>2497</v>
      </c>
      <c r="H1457" s="253" t="s">
        <v>3193</v>
      </c>
      <c r="I1457" s="253" t="s">
        <v>2750</v>
      </c>
      <c r="J1457" s="227" t="s">
        <v>2751</v>
      </c>
      <c r="K1457" s="253" t="s">
        <v>3138</v>
      </c>
      <c r="L1457" s="253" t="s">
        <v>2794</v>
      </c>
      <c r="M1457" s="227" t="s">
        <v>2795</v>
      </c>
      <c r="N1457" s="293"/>
      <c r="O1457" s="293" t="str">
        <f>TablaPOA[[#This Row],[Cod_Sub_acción_especifica]]&amp;"_"&amp;TablaPOA[[#This Row],[Tipo de agente]]</f>
        <v>K31.4.4.1_Medios de transporte</v>
      </c>
      <c r="P1457" s="254" t="s">
        <v>2918</v>
      </c>
      <c r="Q1457" s="292" t="str">
        <f>TablaPOA[[#This Row],[Cod_Sub_acción_especifica]]&amp;"_"&amp;TablaPOA[[#This Row],[Cod_Tipo_agente]]</f>
        <v>K31.4.4.1_TA9</v>
      </c>
      <c r="R1457" s="254" t="s">
        <v>2919</v>
      </c>
      <c r="S1457" s="255" t="s">
        <v>2938</v>
      </c>
      <c r="T1457" s="271" t="s">
        <v>2939</v>
      </c>
    </row>
    <row r="1458" spans="1:20" ht="25.5" x14ac:dyDescent="0.25">
      <c r="A1458" s="219" t="s">
        <v>2314</v>
      </c>
      <c r="B1458" s="227">
        <v>31</v>
      </c>
      <c r="C1458" s="227" t="s">
        <v>2691</v>
      </c>
      <c r="D1458" s="227" t="s">
        <v>2988</v>
      </c>
      <c r="E1458" s="227" t="s">
        <v>3189</v>
      </c>
      <c r="F1458" s="227" t="s">
        <v>2697</v>
      </c>
      <c r="G1458" s="227" t="s">
        <v>2497</v>
      </c>
      <c r="H1458" s="253" t="s">
        <v>3193</v>
      </c>
      <c r="I1458" s="253" t="s">
        <v>2750</v>
      </c>
      <c r="J1458" s="227" t="s">
        <v>2751</v>
      </c>
      <c r="K1458" s="253" t="s">
        <v>3138</v>
      </c>
      <c r="L1458" s="253" t="s">
        <v>2794</v>
      </c>
      <c r="M1458" s="227" t="s">
        <v>2795</v>
      </c>
      <c r="N1458" s="293"/>
      <c r="O1458" s="293" t="str">
        <f>TablaPOA[[#This Row],[Cod_Sub_acción_especifica]]&amp;"_"&amp;TablaPOA[[#This Row],[Tipo de agente]]</f>
        <v>K31.4.4.1_Medios de transporte</v>
      </c>
      <c r="P1458" s="254" t="s">
        <v>2918</v>
      </c>
      <c r="Q1458" s="292" t="str">
        <f>TablaPOA[[#This Row],[Cod_Sub_acción_especifica]]&amp;"_"&amp;TablaPOA[[#This Row],[Cod_Tipo_agente]]</f>
        <v>K31.4.4.1_TA9</v>
      </c>
      <c r="R1458" s="254" t="s">
        <v>2919</v>
      </c>
      <c r="S1458" s="255" t="s">
        <v>2940</v>
      </c>
      <c r="T1458" s="271" t="s">
        <v>2941</v>
      </c>
    </row>
    <row r="1459" spans="1:20" ht="25.5" x14ac:dyDescent="0.25">
      <c r="A1459" s="219" t="s">
        <v>2314</v>
      </c>
      <c r="B1459" s="227">
        <v>31</v>
      </c>
      <c r="C1459" s="227" t="s">
        <v>2691</v>
      </c>
      <c r="D1459" s="227" t="s">
        <v>2988</v>
      </c>
      <c r="E1459" s="227" t="s">
        <v>3189</v>
      </c>
      <c r="F1459" s="227" t="s">
        <v>2697</v>
      </c>
      <c r="G1459" s="227" t="s">
        <v>2497</v>
      </c>
      <c r="H1459" s="253" t="s">
        <v>3193</v>
      </c>
      <c r="I1459" s="253" t="s">
        <v>2750</v>
      </c>
      <c r="J1459" s="227" t="s">
        <v>2751</v>
      </c>
      <c r="K1459" s="253" t="s">
        <v>3138</v>
      </c>
      <c r="L1459" s="253" t="s">
        <v>2794</v>
      </c>
      <c r="M1459" s="227" t="s">
        <v>2795</v>
      </c>
      <c r="N1459" s="293"/>
      <c r="O1459" s="293" t="str">
        <f>TablaPOA[[#This Row],[Cod_Sub_acción_especifica]]&amp;"_"&amp;TablaPOA[[#This Row],[Tipo de agente]]</f>
        <v>K31.4.4.1_Medios de transporte</v>
      </c>
      <c r="P1459" s="254" t="s">
        <v>2918</v>
      </c>
      <c r="Q1459" s="292" t="str">
        <f>TablaPOA[[#This Row],[Cod_Sub_acción_especifica]]&amp;"_"&amp;TablaPOA[[#This Row],[Cod_Tipo_agente]]</f>
        <v>K31.4.4.1_TA9</v>
      </c>
      <c r="R1459" s="254" t="s">
        <v>2919</v>
      </c>
      <c r="S1459" s="255" t="s">
        <v>2942</v>
      </c>
      <c r="T1459" s="271" t="s">
        <v>2943</v>
      </c>
    </row>
    <row r="1460" spans="1:20" ht="25.5" x14ac:dyDescent="0.25">
      <c r="A1460" s="219" t="s">
        <v>2314</v>
      </c>
      <c r="B1460" s="227">
        <v>31</v>
      </c>
      <c r="C1460" s="227" t="s">
        <v>2691</v>
      </c>
      <c r="D1460" s="227" t="s">
        <v>2988</v>
      </c>
      <c r="E1460" s="227" t="s">
        <v>3189</v>
      </c>
      <c r="F1460" s="227" t="s">
        <v>2697</v>
      </c>
      <c r="G1460" s="227" t="s">
        <v>2497</v>
      </c>
      <c r="H1460" s="253" t="s">
        <v>3193</v>
      </c>
      <c r="I1460" s="253" t="s">
        <v>2750</v>
      </c>
      <c r="J1460" s="227" t="s">
        <v>2751</v>
      </c>
      <c r="K1460" s="253" t="s">
        <v>3138</v>
      </c>
      <c r="L1460" s="253" t="s">
        <v>2794</v>
      </c>
      <c r="M1460" s="227" t="s">
        <v>2795</v>
      </c>
      <c r="N1460" s="293"/>
      <c r="O1460" s="293" t="str">
        <f>TablaPOA[[#This Row],[Cod_Sub_acción_especifica]]&amp;"_"&amp;TablaPOA[[#This Row],[Tipo de agente]]</f>
        <v>K31.4.4.1_Medios de transporte</v>
      </c>
      <c r="P1460" s="254" t="s">
        <v>2918</v>
      </c>
      <c r="Q1460" s="292" t="str">
        <f>TablaPOA[[#This Row],[Cod_Sub_acción_especifica]]&amp;"_"&amp;TablaPOA[[#This Row],[Cod_Tipo_agente]]</f>
        <v>K31.4.4.1_TA9</v>
      </c>
      <c r="R1460" s="254" t="s">
        <v>2919</v>
      </c>
      <c r="S1460" s="255" t="s">
        <v>2944</v>
      </c>
      <c r="T1460" s="271" t="s">
        <v>2945</v>
      </c>
    </row>
    <row r="1461" spans="1:20" ht="25.5" x14ac:dyDescent="0.25">
      <c r="A1461" s="219" t="s">
        <v>2314</v>
      </c>
      <c r="B1461" s="227">
        <v>31</v>
      </c>
      <c r="C1461" s="227" t="s">
        <v>2691</v>
      </c>
      <c r="D1461" s="227" t="s">
        <v>2988</v>
      </c>
      <c r="E1461" s="227" t="s">
        <v>3189</v>
      </c>
      <c r="F1461" s="227" t="s">
        <v>2697</v>
      </c>
      <c r="G1461" s="227" t="s">
        <v>2497</v>
      </c>
      <c r="H1461" s="253" t="s">
        <v>3193</v>
      </c>
      <c r="I1461" s="253" t="s">
        <v>2750</v>
      </c>
      <c r="J1461" s="227" t="s">
        <v>2751</v>
      </c>
      <c r="K1461" s="253" t="s">
        <v>3138</v>
      </c>
      <c r="L1461" s="253" t="s">
        <v>2794</v>
      </c>
      <c r="M1461" s="227" t="s">
        <v>2795</v>
      </c>
      <c r="N1461" s="293"/>
      <c r="O1461" s="293" t="str">
        <f>TablaPOA[[#This Row],[Cod_Sub_acción_especifica]]&amp;"_"&amp;TablaPOA[[#This Row],[Tipo de agente]]</f>
        <v>K31.4.4.1_Medios de transporte</v>
      </c>
      <c r="P1461" s="254" t="s">
        <v>2918</v>
      </c>
      <c r="Q1461" s="292" t="str">
        <f>TablaPOA[[#This Row],[Cod_Sub_acción_especifica]]&amp;"_"&amp;TablaPOA[[#This Row],[Cod_Tipo_agente]]</f>
        <v>K31.4.4.1_TA9</v>
      </c>
      <c r="R1461" s="254" t="s">
        <v>2919</v>
      </c>
      <c r="S1461" s="255" t="s">
        <v>2946</v>
      </c>
      <c r="T1461" s="271" t="s">
        <v>2947</v>
      </c>
    </row>
    <row r="1462" spans="1:20" ht="25.5" x14ac:dyDescent="0.25">
      <c r="A1462" s="219" t="s">
        <v>2314</v>
      </c>
      <c r="B1462" s="227">
        <v>31</v>
      </c>
      <c r="C1462" s="227" t="s">
        <v>2691</v>
      </c>
      <c r="D1462" s="227" t="s">
        <v>2988</v>
      </c>
      <c r="E1462" s="227" t="s">
        <v>3189</v>
      </c>
      <c r="F1462" s="227" t="s">
        <v>2697</v>
      </c>
      <c r="G1462" s="227" t="s">
        <v>2497</v>
      </c>
      <c r="H1462" s="253" t="s">
        <v>3193</v>
      </c>
      <c r="I1462" s="253" t="s">
        <v>2750</v>
      </c>
      <c r="J1462" s="227" t="s">
        <v>2751</v>
      </c>
      <c r="K1462" s="253" t="s">
        <v>3138</v>
      </c>
      <c r="L1462" s="253" t="s">
        <v>2794</v>
      </c>
      <c r="M1462" s="227" t="s">
        <v>2795</v>
      </c>
      <c r="N1462" s="293"/>
      <c r="O1462" s="293" t="str">
        <f>TablaPOA[[#This Row],[Cod_Sub_acción_especifica]]&amp;"_"&amp;TablaPOA[[#This Row],[Tipo de agente]]</f>
        <v>K31.4.4.1_Medios de transporte</v>
      </c>
      <c r="P1462" s="254" t="s">
        <v>2918</v>
      </c>
      <c r="Q1462" s="292" t="str">
        <f>TablaPOA[[#This Row],[Cod_Sub_acción_especifica]]&amp;"_"&amp;TablaPOA[[#This Row],[Cod_Tipo_agente]]</f>
        <v>K31.4.4.1_TA9</v>
      </c>
      <c r="R1462" s="254" t="s">
        <v>2919</v>
      </c>
      <c r="S1462" s="255" t="s">
        <v>2948</v>
      </c>
      <c r="T1462" s="271" t="s">
        <v>2949</v>
      </c>
    </row>
    <row r="1463" spans="1:20" ht="25.5" x14ac:dyDescent="0.25">
      <c r="A1463" s="268" t="s">
        <v>2314</v>
      </c>
      <c r="B1463" s="248">
        <v>31</v>
      </c>
      <c r="C1463" s="248" t="s">
        <v>2691</v>
      </c>
      <c r="D1463" s="248" t="s">
        <v>2988</v>
      </c>
      <c r="E1463" s="248" t="s">
        <v>3189</v>
      </c>
      <c r="F1463" s="248" t="s">
        <v>2697</v>
      </c>
      <c r="G1463" s="248" t="s">
        <v>2497</v>
      </c>
      <c r="H1463" s="249" t="s">
        <v>3193</v>
      </c>
      <c r="I1463" s="249" t="s">
        <v>2750</v>
      </c>
      <c r="J1463" s="248" t="s">
        <v>2751</v>
      </c>
      <c r="K1463" s="249" t="s">
        <v>3139</v>
      </c>
      <c r="L1463" s="249" t="s">
        <v>2796</v>
      </c>
      <c r="M1463" s="248" t="s">
        <v>2797</v>
      </c>
      <c r="N1463" s="299" t="s">
        <v>2840</v>
      </c>
      <c r="O1463" s="292" t="str">
        <f>TablaPOA[[#This Row],[Cod_Sub_acción_especifica]]&amp;"_"&amp;TablaPOA[[#This Row],[Tipo de agente]]</f>
        <v>K31.4.4.2_Consumidores directos de GLP y redes de distribución</v>
      </c>
      <c r="P1463" s="250" t="s">
        <v>2839</v>
      </c>
      <c r="Q1463" s="292" t="str">
        <f>TablaPOA[[#This Row],[Cod_Sub_acción_especifica]]&amp;"_"&amp;TablaPOA[[#This Row],[Cod_Tipo_agente]]</f>
        <v>K31.4.4.2_TA3</v>
      </c>
      <c r="R1463" s="250" t="s">
        <v>2840</v>
      </c>
      <c r="S1463" s="250">
        <v>400</v>
      </c>
      <c r="T1463" s="269" t="s">
        <v>2841</v>
      </c>
    </row>
    <row r="1464" spans="1:20" ht="25.5" x14ac:dyDescent="0.25">
      <c r="A1464" s="268" t="s">
        <v>2314</v>
      </c>
      <c r="B1464" s="248">
        <v>31</v>
      </c>
      <c r="C1464" s="248" t="s">
        <v>2691</v>
      </c>
      <c r="D1464" s="248" t="s">
        <v>2988</v>
      </c>
      <c r="E1464" s="248" t="s">
        <v>3189</v>
      </c>
      <c r="F1464" s="248" t="s">
        <v>2697</v>
      </c>
      <c r="G1464" s="248" t="s">
        <v>2497</v>
      </c>
      <c r="H1464" s="249" t="s">
        <v>3193</v>
      </c>
      <c r="I1464" s="249" t="s">
        <v>2750</v>
      </c>
      <c r="J1464" s="248" t="s">
        <v>2751</v>
      </c>
      <c r="K1464" s="249" t="s">
        <v>3139</v>
      </c>
      <c r="L1464" s="249" t="s">
        <v>2796</v>
      </c>
      <c r="M1464" s="248" t="s">
        <v>2797</v>
      </c>
      <c r="N1464" s="299" t="s">
        <v>2853</v>
      </c>
      <c r="O1464" s="292" t="str">
        <f>TablaPOA[[#This Row],[Cod_Sub_acción_especifica]]&amp;"_"&amp;TablaPOA[[#This Row],[Tipo de agente]]</f>
        <v>K31.4.4.2_Consumidores directos de GLP y redes de distribución</v>
      </c>
      <c r="P1464" s="250" t="s">
        <v>2839</v>
      </c>
      <c r="Q1464" s="292" t="str">
        <f>TablaPOA[[#This Row],[Cod_Sub_acción_especifica]]&amp;"_"&amp;TablaPOA[[#This Row],[Cod_Tipo_agente]]</f>
        <v>K31.4.4.2_TA3</v>
      </c>
      <c r="R1464" s="250" t="s">
        <v>2840</v>
      </c>
      <c r="S1464" s="250" t="s">
        <v>2842</v>
      </c>
      <c r="T1464" s="269" t="s">
        <v>2843</v>
      </c>
    </row>
    <row r="1465" spans="1:20" ht="25.5" x14ac:dyDescent="0.25">
      <c r="A1465" s="268" t="s">
        <v>2314</v>
      </c>
      <c r="B1465" s="248">
        <v>31</v>
      </c>
      <c r="C1465" s="248" t="s">
        <v>2691</v>
      </c>
      <c r="D1465" s="248" t="s">
        <v>2988</v>
      </c>
      <c r="E1465" s="248" t="s">
        <v>3189</v>
      </c>
      <c r="F1465" s="248" t="s">
        <v>2697</v>
      </c>
      <c r="G1465" s="248" t="s">
        <v>2497</v>
      </c>
      <c r="H1465" s="249" t="s">
        <v>3193</v>
      </c>
      <c r="I1465" s="249" t="s">
        <v>2750</v>
      </c>
      <c r="J1465" s="248" t="s">
        <v>2751</v>
      </c>
      <c r="K1465" s="249" t="s">
        <v>3139</v>
      </c>
      <c r="L1465" s="249" t="s">
        <v>2796</v>
      </c>
      <c r="M1465" s="248" t="s">
        <v>2797</v>
      </c>
      <c r="N1465" s="299" t="s">
        <v>2883</v>
      </c>
      <c r="O1465" s="292" t="str">
        <f>TablaPOA[[#This Row],[Cod_Sub_acción_especifica]]&amp;"_"&amp;TablaPOA[[#This Row],[Tipo de agente]]</f>
        <v>K31.4.4.2_Consumidores directos de GLP y redes de distribución</v>
      </c>
      <c r="P1465" s="250" t="s">
        <v>2839</v>
      </c>
      <c r="Q1465" s="292" t="str">
        <f>TablaPOA[[#This Row],[Cod_Sub_acción_especifica]]&amp;"_"&amp;TablaPOA[[#This Row],[Cod_Tipo_agente]]</f>
        <v>K31.4.4.2_TA3</v>
      </c>
      <c r="R1465" s="250" t="s">
        <v>2840</v>
      </c>
      <c r="S1465" s="250" t="s">
        <v>2844</v>
      </c>
      <c r="T1465" s="269" t="s">
        <v>2845</v>
      </c>
    </row>
    <row r="1466" spans="1:20" ht="25.5" x14ac:dyDescent="0.25">
      <c r="A1466" s="268" t="s">
        <v>2314</v>
      </c>
      <c r="B1466" s="248">
        <v>31</v>
      </c>
      <c r="C1466" s="248" t="s">
        <v>2691</v>
      </c>
      <c r="D1466" s="248" t="s">
        <v>2988</v>
      </c>
      <c r="E1466" s="248" t="s">
        <v>3189</v>
      </c>
      <c r="F1466" s="248" t="s">
        <v>2697</v>
      </c>
      <c r="G1466" s="248" t="s">
        <v>2497</v>
      </c>
      <c r="H1466" s="249" t="s">
        <v>3193</v>
      </c>
      <c r="I1466" s="249" t="s">
        <v>2750</v>
      </c>
      <c r="J1466" s="248" t="s">
        <v>2751</v>
      </c>
      <c r="K1466" s="249" t="s">
        <v>3139</v>
      </c>
      <c r="L1466" s="249" t="s">
        <v>2796</v>
      </c>
      <c r="M1466" s="248" t="s">
        <v>2797</v>
      </c>
      <c r="N1466" s="299" t="s">
        <v>2913</v>
      </c>
      <c r="O1466" s="292" t="str">
        <f>TablaPOA[[#This Row],[Cod_Sub_acción_especifica]]&amp;"_"&amp;TablaPOA[[#This Row],[Tipo de agente]]</f>
        <v>K31.4.4.2_Consumidores directos de GLP y redes de distribución</v>
      </c>
      <c r="P1466" s="250" t="s">
        <v>2839</v>
      </c>
      <c r="Q1466" s="292" t="str">
        <f>TablaPOA[[#This Row],[Cod_Sub_acción_especifica]]&amp;"_"&amp;TablaPOA[[#This Row],[Cod_Tipo_agente]]</f>
        <v>K31.4.4.2_TA3</v>
      </c>
      <c r="R1466" s="250" t="s">
        <v>2840</v>
      </c>
      <c r="S1466" s="250" t="s">
        <v>2846</v>
      </c>
      <c r="T1466" s="269" t="s">
        <v>2847</v>
      </c>
    </row>
    <row r="1467" spans="1:20" ht="25.5" x14ac:dyDescent="0.25">
      <c r="A1467" s="268" t="s">
        <v>2314</v>
      </c>
      <c r="B1467" s="248">
        <v>31</v>
      </c>
      <c r="C1467" s="248" t="s">
        <v>2691</v>
      </c>
      <c r="D1467" s="248" t="s">
        <v>2988</v>
      </c>
      <c r="E1467" s="248" t="s">
        <v>3189</v>
      </c>
      <c r="F1467" s="248" t="s">
        <v>2697</v>
      </c>
      <c r="G1467" s="248" t="s">
        <v>2497</v>
      </c>
      <c r="H1467" s="249" t="s">
        <v>3193</v>
      </c>
      <c r="I1467" s="249" t="s">
        <v>2750</v>
      </c>
      <c r="J1467" s="248" t="s">
        <v>2751</v>
      </c>
      <c r="K1467" s="249" t="s">
        <v>3139</v>
      </c>
      <c r="L1467" s="249" t="s">
        <v>2796</v>
      </c>
      <c r="M1467" s="248" t="s">
        <v>2797</v>
      </c>
      <c r="N1467" s="299" t="s">
        <v>2919</v>
      </c>
      <c r="O1467" s="292" t="str">
        <f>TablaPOA[[#This Row],[Cod_Sub_acción_especifica]]&amp;"_"&amp;TablaPOA[[#This Row],[Tipo de agente]]</f>
        <v>K31.4.4.2_Consumidores directos de GLP y redes de distribución</v>
      </c>
      <c r="P1467" s="250" t="s">
        <v>2839</v>
      </c>
      <c r="Q1467" s="292" t="str">
        <f>TablaPOA[[#This Row],[Cod_Sub_acción_especifica]]&amp;"_"&amp;TablaPOA[[#This Row],[Cod_Tipo_agente]]</f>
        <v>K31.4.4.2_TA3</v>
      </c>
      <c r="R1467" s="250" t="s">
        <v>2840</v>
      </c>
      <c r="S1467" s="250" t="s">
        <v>2848</v>
      </c>
      <c r="T1467" s="269" t="s">
        <v>2849</v>
      </c>
    </row>
    <row r="1468" spans="1:20" ht="25.5" x14ac:dyDescent="0.25">
      <c r="A1468" s="268" t="s">
        <v>2314</v>
      </c>
      <c r="B1468" s="248">
        <v>31</v>
      </c>
      <c r="C1468" s="248" t="s">
        <v>2691</v>
      </c>
      <c r="D1468" s="248" t="s">
        <v>2988</v>
      </c>
      <c r="E1468" s="248" t="s">
        <v>3189</v>
      </c>
      <c r="F1468" s="248" t="s">
        <v>2697</v>
      </c>
      <c r="G1468" s="248" t="s">
        <v>2497</v>
      </c>
      <c r="H1468" s="249" t="s">
        <v>3193</v>
      </c>
      <c r="I1468" s="249" t="s">
        <v>2750</v>
      </c>
      <c r="J1468" s="248" t="s">
        <v>2751</v>
      </c>
      <c r="K1468" s="249" t="s">
        <v>3139</v>
      </c>
      <c r="L1468" s="249" t="s">
        <v>2796</v>
      </c>
      <c r="M1468" s="248" t="s">
        <v>2797</v>
      </c>
      <c r="N1468" s="293"/>
      <c r="O1468" s="293" t="str">
        <f>TablaPOA[[#This Row],[Cod_Sub_acción_especifica]]&amp;"_"&amp;TablaPOA[[#This Row],[Tipo de agente]]</f>
        <v>K31.4.4.2_Consumidores directos de GLP y redes de distribución</v>
      </c>
      <c r="P1468" s="250" t="s">
        <v>2839</v>
      </c>
      <c r="Q1468" s="292" t="str">
        <f>TablaPOA[[#This Row],[Cod_Sub_acción_especifica]]&amp;"_"&amp;TablaPOA[[#This Row],[Cod_Tipo_agente]]</f>
        <v>K31.4.4.2_TA3</v>
      </c>
      <c r="R1468" s="250" t="s">
        <v>2840</v>
      </c>
      <c r="S1468" s="250" t="s">
        <v>2850</v>
      </c>
      <c r="T1468" s="269" t="s">
        <v>2851</v>
      </c>
    </row>
    <row r="1469" spans="1:20" ht="25.5" x14ac:dyDescent="0.25">
      <c r="A1469" s="268" t="s">
        <v>2314</v>
      </c>
      <c r="B1469" s="248">
        <v>31</v>
      </c>
      <c r="C1469" s="248" t="s">
        <v>2691</v>
      </c>
      <c r="D1469" s="248" t="s">
        <v>2988</v>
      </c>
      <c r="E1469" s="248" t="s">
        <v>3189</v>
      </c>
      <c r="F1469" s="248" t="s">
        <v>2697</v>
      </c>
      <c r="G1469" s="248" t="s">
        <v>2497</v>
      </c>
      <c r="H1469" s="249" t="s">
        <v>3193</v>
      </c>
      <c r="I1469" s="249" t="s">
        <v>2750</v>
      </c>
      <c r="J1469" s="248" t="s">
        <v>2751</v>
      </c>
      <c r="K1469" s="249" t="s">
        <v>3139</v>
      </c>
      <c r="L1469" s="249" t="s">
        <v>2796</v>
      </c>
      <c r="M1469" s="248" t="s">
        <v>2797</v>
      </c>
      <c r="N1469" s="293"/>
      <c r="O1469" s="293" t="str">
        <f>TablaPOA[[#This Row],[Cod_Sub_acción_especifica]]&amp;"_"&amp;TablaPOA[[#This Row],[Tipo de agente]]</f>
        <v>K31.4.4.2_Distribuidores mayoristas, Importadores y Comercializadores</v>
      </c>
      <c r="P1469" s="250" t="s">
        <v>2852</v>
      </c>
      <c r="Q1469" s="292" t="str">
        <f>TablaPOA[[#This Row],[Cod_Sub_acción_especifica]]&amp;"_"&amp;TablaPOA[[#This Row],[Cod_Tipo_agente]]</f>
        <v>K31.4.4.2_TA4</v>
      </c>
      <c r="R1469" s="250" t="s">
        <v>2853</v>
      </c>
      <c r="S1469" s="251" t="s">
        <v>2854</v>
      </c>
      <c r="T1469" s="269" t="s">
        <v>2855</v>
      </c>
    </row>
    <row r="1470" spans="1:20" ht="25.5" x14ac:dyDescent="0.25">
      <c r="A1470" s="268" t="s">
        <v>2314</v>
      </c>
      <c r="B1470" s="248">
        <v>31</v>
      </c>
      <c r="C1470" s="248" t="s">
        <v>2691</v>
      </c>
      <c r="D1470" s="248" t="s">
        <v>2988</v>
      </c>
      <c r="E1470" s="248" t="s">
        <v>3189</v>
      </c>
      <c r="F1470" s="248" t="s">
        <v>2697</v>
      </c>
      <c r="G1470" s="248" t="s">
        <v>2497</v>
      </c>
      <c r="H1470" s="249" t="s">
        <v>3193</v>
      </c>
      <c r="I1470" s="249" t="s">
        <v>2750</v>
      </c>
      <c r="J1470" s="248" t="s">
        <v>2751</v>
      </c>
      <c r="K1470" s="249" t="s">
        <v>3139</v>
      </c>
      <c r="L1470" s="249" t="s">
        <v>2796</v>
      </c>
      <c r="M1470" s="248" t="s">
        <v>2797</v>
      </c>
      <c r="N1470" s="293"/>
      <c r="O1470" s="293" t="str">
        <f>TablaPOA[[#This Row],[Cod_Sub_acción_especifica]]&amp;"_"&amp;TablaPOA[[#This Row],[Tipo de agente]]</f>
        <v>K31.4.4.2_Distribuidores mayoristas, Importadores y Comercializadores</v>
      </c>
      <c r="P1470" s="250" t="s">
        <v>2852</v>
      </c>
      <c r="Q1470" s="292" t="str">
        <f>TablaPOA[[#This Row],[Cod_Sub_acción_especifica]]&amp;"_"&amp;TablaPOA[[#This Row],[Cod_Tipo_agente]]</f>
        <v>K31.4.4.2_TA4</v>
      </c>
      <c r="R1470" s="250" t="s">
        <v>2853</v>
      </c>
      <c r="S1470" s="251" t="s">
        <v>2856</v>
      </c>
      <c r="T1470" s="269" t="s">
        <v>2857</v>
      </c>
    </row>
    <row r="1471" spans="1:20" ht="25.5" x14ac:dyDescent="0.25">
      <c r="A1471" s="268" t="s">
        <v>2314</v>
      </c>
      <c r="B1471" s="248">
        <v>31</v>
      </c>
      <c r="C1471" s="248" t="s">
        <v>2691</v>
      </c>
      <c r="D1471" s="248" t="s">
        <v>2988</v>
      </c>
      <c r="E1471" s="248" t="s">
        <v>3189</v>
      </c>
      <c r="F1471" s="248" t="s">
        <v>2697</v>
      </c>
      <c r="G1471" s="248" t="s">
        <v>2497</v>
      </c>
      <c r="H1471" s="249" t="s">
        <v>3193</v>
      </c>
      <c r="I1471" s="249" t="s">
        <v>2750</v>
      </c>
      <c r="J1471" s="248" t="s">
        <v>2751</v>
      </c>
      <c r="K1471" s="249" t="s">
        <v>3139</v>
      </c>
      <c r="L1471" s="249" t="s">
        <v>2796</v>
      </c>
      <c r="M1471" s="248" t="s">
        <v>2797</v>
      </c>
      <c r="N1471" s="293"/>
      <c r="O1471" s="293" t="str">
        <f>TablaPOA[[#This Row],[Cod_Sub_acción_especifica]]&amp;"_"&amp;TablaPOA[[#This Row],[Tipo de agente]]</f>
        <v>K31.4.4.2_Distribuidores mayoristas, Importadores y Comercializadores</v>
      </c>
      <c r="P1471" s="250" t="s">
        <v>2852</v>
      </c>
      <c r="Q1471" s="292" t="str">
        <f>TablaPOA[[#This Row],[Cod_Sub_acción_especifica]]&amp;"_"&amp;TablaPOA[[#This Row],[Cod_Tipo_agente]]</f>
        <v>K31.4.4.2_TA4</v>
      </c>
      <c r="R1471" s="250" t="s">
        <v>2853</v>
      </c>
      <c r="S1471" s="251" t="s">
        <v>2858</v>
      </c>
      <c r="T1471" s="269" t="s">
        <v>2859</v>
      </c>
    </row>
    <row r="1472" spans="1:20" ht="25.5" x14ac:dyDescent="0.25">
      <c r="A1472" s="268" t="s">
        <v>2314</v>
      </c>
      <c r="B1472" s="248">
        <v>31</v>
      </c>
      <c r="C1472" s="248" t="s">
        <v>2691</v>
      </c>
      <c r="D1472" s="248" t="s">
        <v>2988</v>
      </c>
      <c r="E1472" s="248" t="s">
        <v>3189</v>
      </c>
      <c r="F1472" s="248" t="s">
        <v>2697</v>
      </c>
      <c r="G1472" s="248" t="s">
        <v>2497</v>
      </c>
      <c r="H1472" s="249" t="s">
        <v>3193</v>
      </c>
      <c r="I1472" s="249" t="s">
        <v>2750</v>
      </c>
      <c r="J1472" s="248" t="s">
        <v>2751</v>
      </c>
      <c r="K1472" s="249" t="s">
        <v>3139</v>
      </c>
      <c r="L1472" s="249" t="s">
        <v>2796</v>
      </c>
      <c r="M1472" s="248" t="s">
        <v>2797</v>
      </c>
      <c r="N1472" s="293"/>
      <c r="O1472" s="293" t="str">
        <f>TablaPOA[[#This Row],[Cod_Sub_acción_especifica]]&amp;"_"&amp;TablaPOA[[#This Row],[Tipo de agente]]</f>
        <v>K31.4.4.2_Distribuidores mayoristas, Importadores y Comercializadores</v>
      </c>
      <c r="P1472" s="250" t="s">
        <v>2852</v>
      </c>
      <c r="Q1472" s="292" t="str">
        <f>TablaPOA[[#This Row],[Cod_Sub_acción_especifica]]&amp;"_"&amp;TablaPOA[[#This Row],[Cod_Tipo_agente]]</f>
        <v>K31.4.4.2_TA4</v>
      </c>
      <c r="R1472" s="250" t="s">
        <v>2853</v>
      </c>
      <c r="S1472" s="251" t="s">
        <v>2860</v>
      </c>
      <c r="T1472" s="269" t="s">
        <v>2861</v>
      </c>
    </row>
    <row r="1473" spans="1:20" ht="25.5" x14ac:dyDescent="0.25">
      <c r="A1473" s="268" t="s">
        <v>2314</v>
      </c>
      <c r="B1473" s="248">
        <v>31</v>
      </c>
      <c r="C1473" s="248" t="s">
        <v>2691</v>
      </c>
      <c r="D1473" s="248" t="s">
        <v>2988</v>
      </c>
      <c r="E1473" s="248" t="s">
        <v>3189</v>
      </c>
      <c r="F1473" s="248" t="s">
        <v>2697</v>
      </c>
      <c r="G1473" s="248" t="s">
        <v>2497</v>
      </c>
      <c r="H1473" s="249" t="s">
        <v>3193</v>
      </c>
      <c r="I1473" s="249" t="s">
        <v>2750</v>
      </c>
      <c r="J1473" s="248" t="s">
        <v>2751</v>
      </c>
      <c r="K1473" s="249" t="s">
        <v>3139</v>
      </c>
      <c r="L1473" s="249" t="s">
        <v>2796</v>
      </c>
      <c r="M1473" s="248" t="s">
        <v>2797</v>
      </c>
      <c r="N1473" s="293"/>
      <c r="O1473" s="293" t="str">
        <f>TablaPOA[[#This Row],[Cod_Sub_acción_especifica]]&amp;"_"&amp;TablaPOA[[#This Row],[Tipo de agente]]</f>
        <v>K31.4.4.2_Distribuidores mayoristas, Importadores y Comercializadores</v>
      </c>
      <c r="P1473" s="250" t="s">
        <v>2852</v>
      </c>
      <c r="Q1473" s="292" t="str">
        <f>TablaPOA[[#This Row],[Cod_Sub_acción_especifica]]&amp;"_"&amp;TablaPOA[[#This Row],[Cod_Tipo_agente]]</f>
        <v>K31.4.4.2_TA4</v>
      </c>
      <c r="R1473" s="250" t="s">
        <v>2853</v>
      </c>
      <c r="S1473" s="251" t="s">
        <v>2862</v>
      </c>
      <c r="T1473" s="269" t="s">
        <v>2863</v>
      </c>
    </row>
    <row r="1474" spans="1:20" ht="25.5" x14ac:dyDescent="0.25">
      <c r="A1474" s="268" t="s">
        <v>2314</v>
      </c>
      <c r="B1474" s="248">
        <v>31</v>
      </c>
      <c r="C1474" s="248" t="s">
        <v>2691</v>
      </c>
      <c r="D1474" s="248" t="s">
        <v>2988</v>
      </c>
      <c r="E1474" s="248" t="s">
        <v>3189</v>
      </c>
      <c r="F1474" s="248" t="s">
        <v>2697</v>
      </c>
      <c r="G1474" s="248" t="s">
        <v>2497</v>
      </c>
      <c r="H1474" s="249" t="s">
        <v>3193</v>
      </c>
      <c r="I1474" s="249" t="s">
        <v>2750</v>
      </c>
      <c r="J1474" s="248" t="s">
        <v>2751</v>
      </c>
      <c r="K1474" s="249" t="s">
        <v>3139</v>
      </c>
      <c r="L1474" s="249" t="s">
        <v>2796</v>
      </c>
      <c r="M1474" s="248" t="s">
        <v>2797</v>
      </c>
      <c r="N1474" s="293"/>
      <c r="O1474" s="293" t="str">
        <f>TablaPOA[[#This Row],[Cod_Sub_acción_especifica]]&amp;"_"&amp;TablaPOA[[#This Row],[Tipo de agente]]</f>
        <v>K31.4.4.2_Distribuidores mayoristas, Importadores y Comercializadores</v>
      </c>
      <c r="P1474" s="250" t="s">
        <v>2852</v>
      </c>
      <c r="Q1474" s="292" t="str">
        <f>TablaPOA[[#This Row],[Cod_Sub_acción_especifica]]&amp;"_"&amp;TablaPOA[[#This Row],[Cod_Tipo_agente]]</f>
        <v>K31.4.4.2_TA4</v>
      </c>
      <c r="R1474" s="250" t="s">
        <v>2853</v>
      </c>
      <c r="S1474" s="251" t="s">
        <v>2864</v>
      </c>
      <c r="T1474" s="269" t="s">
        <v>2865</v>
      </c>
    </row>
    <row r="1475" spans="1:20" ht="25.5" x14ac:dyDescent="0.25">
      <c r="A1475" s="268" t="s">
        <v>2314</v>
      </c>
      <c r="B1475" s="248">
        <v>31</v>
      </c>
      <c r="C1475" s="248" t="s">
        <v>2691</v>
      </c>
      <c r="D1475" s="248" t="s">
        <v>2988</v>
      </c>
      <c r="E1475" s="248" t="s">
        <v>3189</v>
      </c>
      <c r="F1475" s="248" t="s">
        <v>2697</v>
      </c>
      <c r="G1475" s="248" t="s">
        <v>2497</v>
      </c>
      <c r="H1475" s="249" t="s">
        <v>3193</v>
      </c>
      <c r="I1475" s="249" t="s">
        <v>2750</v>
      </c>
      <c r="J1475" s="248" t="s">
        <v>2751</v>
      </c>
      <c r="K1475" s="249" t="s">
        <v>3139</v>
      </c>
      <c r="L1475" s="249" t="s">
        <v>2796</v>
      </c>
      <c r="M1475" s="248" t="s">
        <v>2797</v>
      </c>
      <c r="N1475" s="293"/>
      <c r="O1475" s="293" t="str">
        <f>TablaPOA[[#This Row],[Cod_Sub_acción_especifica]]&amp;"_"&amp;TablaPOA[[#This Row],[Tipo de agente]]</f>
        <v>K31.4.4.2_Distribuidores mayoristas, Importadores y Comercializadores</v>
      </c>
      <c r="P1475" s="250" t="s">
        <v>2852</v>
      </c>
      <c r="Q1475" s="292" t="str">
        <f>TablaPOA[[#This Row],[Cod_Sub_acción_especifica]]&amp;"_"&amp;TablaPOA[[#This Row],[Cod_Tipo_agente]]</f>
        <v>K31.4.4.2_TA4</v>
      </c>
      <c r="R1475" s="250" t="s">
        <v>2853</v>
      </c>
      <c r="S1475" s="251" t="s">
        <v>2866</v>
      </c>
      <c r="T1475" s="269" t="s">
        <v>2867</v>
      </c>
    </row>
    <row r="1476" spans="1:20" ht="25.5" x14ac:dyDescent="0.25">
      <c r="A1476" s="268" t="s">
        <v>2314</v>
      </c>
      <c r="B1476" s="248">
        <v>31</v>
      </c>
      <c r="C1476" s="248" t="s">
        <v>2691</v>
      </c>
      <c r="D1476" s="248" t="s">
        <v>2988</v>
      </c>
      <c r="E1476" s="248" t="s">
        <v>3189</v>
      </c>
      <c r="F1476" s="248" t="s">
        <v>2697</v>
      </c>
      <c r="G1476" s="248" t="s">
        <v>2497</v>
      </c>
      <c r="H1476" s="249" t="s">
        <v>3193</v>
      </c>
      <c r="I1476" s="249" t="s">
        <v>2750</v>
      </c>
      <c r="J1476" s="248" t="s">
        <v>2751</v>
      </c>
      <c r="K1476" s="249" t="s">
        <v>3139</v>
      </c>
      <c r="L1476" s="249" t="s">
        <v>2796</v>
      </c>
      <c r="M1476" s="248" t="s">
        <v>2797</v>
      </c>
      <c r="N1476" s="293"/>
      <c r="O1476" s="293" t="str">
        <f>TablaPOA[[#This Row],[Cod_Sub_acción_especifica]]&amp;"_"&amp;TablaPOA[[#This Row],[Tipo de agente]]</f>
        <v>K31.4.4.2_Distribuidores mayoristas, Importadores y Comercializadores</v>
      </c>
      <c r="P1476" s="250" t="s">
        <v>2852</v>
      </c>
      <c r="Q1476" s="292" t="str">
        <f>TablaPOA[[#This Row],[Cod_Sub_acción_especifica]]&amp;"_"&amp;TablaPOA[[#This Row],[Cod_Tipo_agente]]</f>
        <v>K31.4.4.2_TA4</v>
      </c>
      <c r="R1476" s="250" t="s">
        <v>2853</v>
      </c>
      <c r="S1476" s="251" t="s">
        <v>2868</v>
      </c>
      <c r="T1476" s="269" t="s">
        <v>2869</v>
      </c>
    </row>
    <row r="1477" spans="1:20" ht="25.5" x14ac:dyDescent="0.25">
      <c r="A1477" s="268" t="s">
        <v>2314</v>
      </c>
      <c r="B1477" s="248">
        <v>31</v>
      </c>
      <c r="C1477" s="248" t="s">
        <v>2691</v>
      </c>
      <c r="D1477" s="248" t="s">
        <v>2988</v>
      </c>
      <c r="E1477" s="248" t="s">
        <v>3189</v>
      </c>
      <c r="F1477" s="248" t="s">
        <v>2697</v>
      </c>
      <c r="G1477" s="248" t="s">
        <v>2497</v>
      </c>
      <c r="H1477" s="249" t="s">
        <v>3193</v>
      </c>
      <c r="I1477" s="249" t="s">
        <v>2750</v>
      </c>
      <c r="J1477" s="248" t="s">
        <v>2751</v>
      </c>
      <c r="K1477" s="249" t="s">
        <v>3139</v>
      </c>
      <c r="L1477" s="249" t="s">
        <v>2796</v>
      </c>
      <c r="M1477" s="248" t="s">
        <v>2797</v>
      </c>
      <c r="N1477" s="293"/>
      <c r="O1477" s="293" t="str">
        <f>TablaPOA[[#This Row],[Cod_Sub_acción_especifica]]&amp;"_"&amp;TablaPOA[[#This Row],[Tipo de agente]]</f>
        <v>K31.4.4.2_Distribuidores mayoristas, Importadores y Comercializadores</v>
      </c>
      <c r="P1477" s="250" t="s">
        <v>2852</v>
      </c>
      <c r="Q1477" s="292" t="str">
        <f>TablaPOA[[#This Row],[Cod_Sub_acción_especifica]]&amp;"_"&amp;TablaPOA[[#This Row],[Cod_Tipo_agente]]</f>
        <v>K31.4.4.2_TA4</v>
      </c>
      <c r="R1477" s="250" t="s">
        <v>2853</v>
      </c>
      <c r="S1477" s="251" t="s">
        <v>2870</v>
      </c>
      <c r="T1477" s="269" t="s">
        <v>2871</v>
      </c>
    </row>
    <row r="1478" spans="1:20" ht="25.5" x14ac:dyDescent="0.25">
      <c r="A1478" s="268" t="s">
        <v>2314</v>
      </c>
      <c r="B1478" s="248">
        <v>31</v>
      </c>
      <c r="C1478" s="248" t="s">
        <v>2691</v>
      </c>
      <c r="D1478" s="248" t="s">
        <v>2988</v>
      </c>
      <c r="E1478" s="248" t="s">
        <v>3189</v>
      </c>
      <c r="F1478" s="248" t="s">
        <v>2697</v>
      </c>
      <c r="G1478" s="248" t="s">
        <v>2497</v>
      </c>
      <c r="H1478" s="249" t="s">
        <v>3193</v>
      </c>
      <c r="I1478" s="249" t="s">
        <v>2750</v>
      </c>
      <c r="J1478" s="248" t="s">
        <v>2751</v>
      </c>
      <c r="K1478" s="249" t="s">
        <v>3139</v>
      </c>
      <c r="L1478" s="249" t="s">
        <v>2796</v>
      </c>
      <c r="M1478" s="248" t="s">
        <v>2797</v>
      </c>
      <c r="N1478" s="293"/>
      <c r="O1478" s="293" t="str">
        <f>TablaPOA[[#This Row],[Cod_Sub_acción_especifica]]&amp;"_"&amp;TablaPOA[[#This Row],[Tipo de agente]]</f>
        <v>K31.4.4.2_Distribuidores mayoristas, Importadores y Comercializadores</v>
      </c>
      <c r="P1478" s="250" t="s">
        <v>2852</v>
      </c>
      <c r="Q1478" s="292" t="str">
        <f>TablaPOA[[#This Row],[Cod_Sub_acción_especifica]]&amp;"_"&amp;TablaPOA[[#This Row],[Cod_Tipo_agente]]</f>
        <v>K31.4.4.2_TA4</v>
      </c>
      <c r="R1478" s="250" t="s">
        <v>2853</v>
      </c>
      <c r="S1478" s="251" t="s">
        <v>2872</v>
      </c>
      <c r="T1478" s="269" t="s">
        <v>2873</v>
      </c>
    </row>
    <row r="1479" spans="1:20" ht="25.5" x14ac:dyDescent="0.25">
      <c r="A1479" s="268" t="s">
        <v>2314</v>
      </c>
      <c r="B1479" s="248">
        <v>31</v>
      </c>
      <c r="C1479" s="248" t="s">
        <v>2691</v>
      </c>
      <c r="D1479" s="248" t="s">
        <v>2988</v>
      </c>
      <c r="E1479" s="248" t="s">
        <v>3189</v>
      </c>
      <c r="F1479" s="248" t="s">
        <v>2697</v>
      </c>
      <c r="G1479" s="248" t="s">
        <v>2497</v>
      </c>
      <c r="H1479" s="249" t="s">
        <v>3193</v>
      </c>
      <c r="I1479" s="249" t="s">
        <v>2750</v>
      </c>
      <c r="J1479" s="248" t="s">
        <v>2751</v>
      </c>
      <c r="K1479" s="249" t="s">
        <v>3139</v>
      </c>
      <c r="L1479" s="249" t="s">
        <v>2796</v>
      </c>
      <c r="M1479" s="248" t="s">
        <v>2797</v>
      </c>
      <c r="N1479" s="293"/>
      <c r="O1479" s="293" t="str">
        <f>TablaPOA[[#This Row],[Cod_Sub_acción_especifica]]&amp;"_"&amp;TablaPOA[[#This Row],[Tipo de agente]]</f>
        <v>K31.4.4.2_Distribuidores mayoristas, Importadores y Comercializadores</v>
      </c>
      <c r="P1479" s="250" t="s">
        <v>2852</v>
      </c>
      <c r="Q1479" s="292" t="str">
        <f>TablaPOA[[#This Row],[Cod_Sub_acción_especifica]]&amp;"_"&amp;TablaPOA[[#This Row],[Cod_Tipo_agente]]</f>
        <v>K31.4.4.2_TA4</v>
      </c>
      <c r="R1479" s="250" t="s">
        <v>2853</v>
      </c>
      <c r="S1479" s="251" t="s">
        <v>2874</v>
      </c>
      <c r="T1479" s="269" t="s">
        <v>2875</v>
      </c>
    </row>
    <row r="1480" spans="1:20" ht="25.5" x14ac:dyDescent="0.25">
      <c r="A1480" s="268" t="s">
        <v>2314</v>
      </c>
      <c r="B1480" s="248">
        <v>31</v>
      </c>
      <c r="C1480" s="248" t="s">
        <v>2691</v>
      </c>
      <c r="D1480" s="248" t="s">
        <v>2988</v>
      </c>
      <c r="E1480" s="248" t="s">
        <v>3189</v>
      </c>
      <c r="F1480" s="248" t="s">
        <v>2697</v>
      </c>
      <c r="G1480" s="248" t="s">
        <v>2497</v>
      </c>
      <c r="H1480" s="249" t="s">
        <v>3193</v>
      </c>
      <c r="I1480" s="249" t="s">
        <v>2750</v>
      </c>
      <c r="J1480" s="248" t="s">
        <v>2751</v>
      </c>
      <c r="K1480" s="249" t="s">
        <v>3139</v>
      </c>
      <c r="L1480" s="249" t="s">
        <v>2796</v>
      </c>
      <c r="M1480" s="248" t="s">
        <v>2797</v>
      </c>
      <c r="N1480" s="293"/>
      <c r="O1480" s="293" t="str">
        <f>TablaPOA[[#This Row],[Cod_Sub_acción_especifica]]&amp;"_"&amp;TablaPOA[[#This Row],[Tipo de agente]]</f>
        <v>K31.4.4.2_EVP combustibles de uso automotor</v>
      </c>
      <c r="P1480" s="250" t="s">
        <v>2882</v>
      </c>
      <c r="Q1480" s="292" t="str">
        <f>TablaPOA[[#This Row],[Cod_Sub_acción_especifica]]&amp;"_"&amp;TablaPOA[[#This Row],[Cod_Tipo_agente]]</f>
        <v>K31.4.4.2_TA6</v>
      </c>
      <c r="R1480" s="250" t="s">
        <v>2883</v>
      </c>
      <c r="S1480" s="251" t="s">
        <v>2884</v>
      </c>
      <c r="T1480" s="269" t="s">
        <v>2885</v>
      </c>
    </row>
    <row r="1481" spans="1:20" ht="25.5" x14ac:dyDescent="0.25">
      <c r="A1481" s="268" t="s">
        <v>2314</v>
      </c>
      <c r="B1481" s="248">
        <v>31</v>
      </c>
      <c r="C1481" s="248" t="s">
        <v>2691</v>
      </c>
      <c r="D1481" s="248" t="s">
        <v>2988</v>
      </c>
      <c r="E1481" s="248" t="s">
        <v>3189</v>
      </c>
      <c r="F1481" s="248" t="s">
        <v>2697</v>
      </c>
      <c r="G1481" s="248" t="s">
        <v>2497</v>
      </c>
      <c r="H1481" s="249" t="s">
        <v>3193</v>
      </c>
      <c r="I1481" s="249" t="s">
        <v>2750</v>
      </c>
      <c r="J1481" s="248" t="s">
        <v>2751</v>
      </c>
      <c r="K1481" s="249" t="s">
        <v>3139</v>
      </c>
      <c r="L1481" s="249" t="s">
        <v>2796</v>
      </c>
      <c r="M1481" s="248" t="s">
        <v>2797</v>
      </c>
      <c r="N1481" s="293"/>
      <c r="O1481" s="293" t="str">
        <f>TablaPOA[[#This Row],[Cod_Sub_acción_especifica]]&amp;"_"&amp;TablaPOA[[#This Row],[Tipo de agente]]</f>
        <v>K31.4.4.2_EVP combustibles de uso automotor</v>
      </c>
      <c r="P1481" s="250" t="s">
        <v>2882</v>
      </c>
      <c r="Q1481" s="292" t="str">
        <f>TablaPOA[[#This Row],[Cod_Sub_acción_especifica]]&amp;"_"&amp;TablaPOA[[#This Row],[Cod_Tipo_agente]]</f>
        <v>K31.4.4.2_TA6</v>
      </c>
      <c r="R1481" s="250" t="s">
        <v>2883</v>
      </c>
      <c r="S1481" s="251" t="s">
        <v>2886</v>
      </c>
      <c r="T1481" s="269" t="s">
        <v>2887</v>
      </c>
    </row>
    <row r="1482" spans="1:20" ht="25.5" x14ac:dyDescent="0.25">
      <c r="A1482" s="268" t="s">
        <v>2314</v>
      </c>
      <c r="B1482" s="248">
        <v>31</v>
      </c>
      <c r="C1482" s="248" t="s">
        <v>2691</v>
      </c>
      <c r="D1482" s="248" t="s">
        <v>2988</v>
      </c>
      <c r="E1482" s="248" t="s">
        <v>3189</v>
      </c>
      <c r="F1482" s="248" t="s">
        <v>2697</v>
      </c>
      <c r="G1482" s="248" t="s">
        <v>2497</v>
      </c>
      <c r="H1482" s="249" t="s">
        <v>3193</v>
      </c>
      <c r="I1482" s="249" t="s">
        <v>2750</v>
      </c>
      <c r="J1482" s="248" t="s">
        <v>2751</v>
      </c>
      <c r="K1482" s="249" t="s">
        <v>3139</v>
      </c>
      <c r="L1482" s="249" t="s">
        <v>2796</v>
      </c>
      <c r="M1482" s="248" t="s">
        <v>2797</v>
      </c>
      <c r="N1482" s="293"/>
      <c r="O1482" s="293" t="str">
        <f>TablaPOA[[#This Row],[Cod_Sub_acción_especifica]]&amp;"_"&amp;TablaPOA[[#This Row],[Tipo de agente]]</f>
        <v>K31.4.4.2_EVP combustibles de uso automotor</v>
      </c>
      <c r="P1482" s="250" t="s">
        <v>2882</v>
      </c>
      <c r="Q1482" s="292" t="str">
        <f>TablaPOA[[#This Row],[Cod_Sub_acción_especifica]]&amp;"_"&amp;TablaPOA[[#This Row],[Cod_Tipo_agente]]</f>
        <v>K31.4.4.2_TA6</v>
      </c>
      <c r="R1482" s="250" t="s">
        <v>2883</v>
      </c>
      <c r="S1482" s="251" t="s">
        <v>2892</v>
      </c>
      <c r="T1482" s="269" t="s">
        <v>2893</v>
      </c>
    </row>
    <row r="1483" spans="1:20" ht="25.5" x14ac:dyDescent="0.25">
      <c r="A1483" s="268" t="s">
        <v>2314</v>
      </c>
      <c r="B1483" s="248">
        <v>31</v>
      </c>
      <c r="C1483" s="248" t="s">
        <v>2691</v>
      </c>
      <c r="D1483" s="248" t="s">
        <v>2988</v>
      </c>
      <c r="E1483" s="248" t="s">
        <v>3189</v>
      </c>
      <c r="F1483" s="248" t="s">
        <v>2697</v>
      </c>
      <c r="G1483" s="248" t="s">
        <v>2497</v>
      </c>
      <c r="H1483" s="249" t="s">
        <v>3193</v>
      </c>
      <c r="I1483" s="249" t="s">
        <v>2750</v>
      </c>
      <c r="J1483" s="248" t="s">
        <v>2751</v>
      </c>
      <c r="K1483" s="249" t="s">
        <v>3139</v>
      </c>
      <c r="L1483" s="249" t="s">
        <v>2796</v>
      </c>
      <c r="M1483" s="248" t="s">
        <v>2797</v>
      </c>
      <c r="N1483" s="293"/>
      <c r="O1483" s="293" t="str">
        <f>TablaPOA[[#This Row],[Cod_Sub_acción_especifica]]&amp;"_"&amp;TablaPOA[[#This Row],[Tipo de agente]]</f>
        <v>K31.4.4.2_EVP combustibles de uso automotor</v>
      </c>
      <c r="P1483" s="250" t="s">
        <v>2882</v>
      </c>
      <c r="Q1483" s="292" t="str">
        <f>TablaPOA[[#This Row],[Cod_Sub_acción_especifica]]&amp;"_"&amp;TablaPOA[[#This Row],[Cod_Tipo_agente]]</f>
        <v>K31.4.4.2_TA6</v>
      </c>
      <c r="R1483" s="250" t="s">
        <v>2883</v>
      </c>
      <c r="S1483" s="251" t="s">
        <v>2894</v>
      </c>
      <c r="T1483" s="269" t="s">
        <v>2895</v>
      </c>
    </row>
    <row r="1484" spans="1:20" ht="25.5" x14ac:dyDescent="0.25">
      <c r="A1484" s="268" t="s">
        <v>2314</v>
      </c>
      <c r="B1484" s="248">
        <v>31</v>
      </c>
      <c r="C1484" s="248" t="s">
        <v>2691</v>
      </c>
      <c r="D1484" s="248" t="s">
        <v>2988</v>
      </c>
      <c r="E1484" s="248" t="s">
        <v>3189</v>
      </c>
      <c r="F1484" s="248" t="s">
        <v>2697</v>
      </c>
      <c r="G1484" s="248" t="s">
        <v>2497</v>
      </c>
      <c r="H1484" s="249" t="s">
        <v>3193</v>
      </c>
      <c r="I1484" s="249" t="s">
        <v>2750</v>
      </c>
      <c r="J1484" s="248" t="s">
        <v>2751</v>
      </c>
      <c r="K1484" s="249" t="s">
        <v>3139</v>
      </c>
      <c r="L1484" s="249" t="s">
        <v>2796</v>
      </c>
      <c r="M1484" s="248" t="s">
        <v>2797</v>
      </c>
      <c r="N1484" s="293"/>
      <c r="O1484" s="293" t="str">
        <f>TablaPOA[[#This Row],[Cod_Sub_acción_especifica]]&amp;"_"&amp;TablaPOA[[#This Row],[Tipo de agente]]</f>
        <v>K31.4.4.2_EVP combustibles de uso automotor</v>
      </c>
      <c r="P1484" s="250" t="s">
        <v>2882</v>
      </c>
      <c r="Q1484" s="292" t="str">
        <f>TablaPOA[[#This Row],[Cod_Sub_acción_especifica]]&amp;"_"&amp;TablaPOA[[#This Row],[Cod_Tipo_agente]]</f>
        <v>K31.4.4.2_TA6</v>
      </c>
      <c r="R1484" s="250" t="s">
        <v>2883</v>
      </c>
      <c r="S1484" s="251" t="s">
        <v>2896</v>
      </c>
      <c r="T1484" s="269" t="s">
        <v>2897</v>
      </c>
    </row>
    <row r="1485" spans="1:20" ht="25.5" x14ac:dyDescent="0.25">
      <c r="A1485" s="268" t="s">
        <v>2314</v>
      </c>
      <c r="B1485" s="248">
        <v>31</v>
      </c>
      <c r="C1485" s="248" t="s">
        <v>2691</v>
      </c>
      <c r="D1485" s="248" t="s">
        <v>2988</v>
      </c>
      <c r="E1485" s="248" t="s">
        <v>3189</v>
      </c>
      <c r="F1485" s="248" t="s">
        <v>2697</v>
      </c>
      <c r="G1485" s="248" t="s">
        <v>2497</v>
      </c>
      <c r="H1485" s="249" t="s">
        <v>3193</v>
      </c>
      <c r="I1485" s="249" t="s">
        <v>2750</v>
      </c>
      <c r="J1485" s="248" t="s">
        <v>2751</v>
      </c>
      <c r="K1485" s="249" t="s">
        <v>3139</v>
      </c>
      <c r="L1485" s="249" t="s">
        <v>2796</v>
      </c>
      <c r="M1485" s="248" t="s">
        <v>2797</v>
      </c>
      <c r="N1485" s="293"/>
      <c r="O1485" s="293" t="str">
        <f>TablaPOA[[#This Row],[Cod_Sub_acción_especifica]]&amp;"_"&amp;TablaPOA[[#This Row],[Tipo de agente]]</f>
        <v>K31.4.4.2_EVP combustibles de uso automotor</v>
      </c>
      <c r="P1485" s="250" t="s">
        <v>2882</v>
      </c>
      <c r="Q1485" s="292" t="str">
        <f>TablaPOA[[#This Row],[Cod_Sub_acción_especifica]]&amp;"_"&amp;TablaPOA[[#This Row],[Cod_Tipo_agente]]</f>
        <v>K31.4.4.2_TA6</v>
      </c>
      <c r="R1485" s="250" t="s">
        <v>2883</v>
      </c>
      <c r="S1485" s="251" t="s">
        <v>2898</v>
      </c>
      <c r="T1485" s="269" t="s">
        <v>2899</v>
      </c>
    </row>
    <row r="1486" spans="1:20" ht="25.5" x14ac:dyDescent="0.25">
      <c r="A1486" s="268" t="s">
        <v>2314</v>
      </c>
      <c r="B1486" s="248">
        <v>31</v>
      </c>
      <c r="C1486" s="248" t="s">
        <v>2691</v>
      </c>
      <c r="D1486" s="248" t="s">
        <v>2988</v>
      </c>
      <c r="E1486" s="248" t="s">
        <v>3189</v>
      </c>
      <c r="F1486" s="248" t="s">
        <v>2697</v>
      </c>
      <c r="G1486" s="248" t="s">
        <v>2497</v>
      </c>
      <c r="H1486" s="249" t="s">
        <v>3193</v>
      </c>
      <c r="I1486" s="249" t="s">
        <v>2750</v>
      </c>
      <c r="J1486" s="248" t="s">
        <v>2751</v>
      </c>
      <c r="K1486" s="249" t="s">
        <v>3139</v>
      </c>
      <c r="L1486" s="249" t="s">
        <v>2796</v>
      </c>
      <c r="M1486" s="248" t="s">
        <v>2797</v>
      </c>
      <c r="N1486" s="293"/>
      <c r="O1486" s="293" t="str">
        <f>TablaPOA[[#This Row],[Cod_Sub_acción_especifica]]&amp;"_"&amp;TablaPOA[[#This Row],[Tipo de agente]]</f>
        <v>K31.4.4.2_EVP combustibles de uso automotor</v>
      </c>
      <c r="P1486" s="250" t="s">
        <v>2882</v>
      </c>
      <c r="Q1486" s="292" t="str">
        <f>TablaPOA[[#This Row],[Cod_Sub_acción_especifica]]&amp;"_"&amp;TablaPOA[[#This Row],[Cod_Tipo_agente]]</f>
        <v>K31.4.4.2_TA6</v>
      </c>
      <c r="R1486" s="250" t="s">
        <v>2883</v>
      </c>
      <c r="S1486" s="251" t="s">
        <v>2900</v>
      </c>
      <c r="T1486" s="269" t="s">
        <v>2901</v>
      </c>
    </row>
    <row r="1487" spans="1:20" ht="25.5" x14ac:dyDescent="0.25">
      <c r="A1487" s="268" t="s">
        <v>2314</v>
      </c>
      <c r="B1487" s="248">
        <v>31</v>
      </c>
      <c r="C1487" s="248" t="s">
        <v>2691</v>
      </c>
      <c r="D1487" s="248" t="s">
        <v>2988</v>
      </c>
      <c r="E1487" s="248" t="s">
        <v>3189</v>
      </c>
      <c r="F1487" s="248" t="s">
        <v>2697</v>
      </c>
      <c r="G1487" s="248" t="s">
        <v>2497</v>
      </c>
      <c r="H1487" s="249" t="s">
        <v>3193</v>
      </c>
      <c r="I1487" s="249" t="s">
        <v>2750</v>
      </c>
      <c r="J1487" s="248" t="s">
        <v>2751</v>
      </c>
      <c r="K1487" s="249" t="s">
        <v>3139</v>
      </c>
      <c r="L1487" s="249" t="s">
        <v>2796</v>
      </c>
      <c r="M1487" s="248" t="s">
        <v>2797</v>
      </c>
      <c r="N1487" s="293"/>
      <c r="O1487" s="293" t="str">
        <f>TablaPOA[[#This Row],[Cod_Sub_acción_especifica]]&amp;"_"&amp;TablaPOA[[#This Row],[Tipo de agente]]</f>
        <v>K31.4.4.2_Locales de venta de GLP</v>
      </c>
      <c r="P1487" s="250" t="s">
        <v>2912</v>
      </c>
      <c r="Q1487" s="292" t="str">
        <f>TablaPOA[[#This Row],[Cod_Sub_acción_especifica]]&amp;"_"&amp;TablaPOA[[#This Row],[Cod_Tipo_agente]]</f>
        <v>K31.4.4.2_TA8</v>
      </c>
      <c r="R1487" s="250" t="s">
        <v>2913</v>
      </c>
      <c r="S1487" s="251" t="s">
        <v>2914</v>
      </c>
      <c r="T1487" s="269" t="s">
        <v>2915</v>
      </c>
    </row>
    <row r="1488" spans="1:20" ht="25.5" x14ac:dyDescent="0.25">
      <c r="A1488" s="268" t="s">
        <v>2314</v>
      </c>
      <c r="B1488" s="248">
        <v>31</v>
      </c>
      <c r="C1488" s="248" t="s">
        <v>2691</v>
      </c>
      <c r="D1488" s="248" t="s">
        <v>2988</v>
      </c>
      <c r="E1488" s="248" t="s">
        <v>3189</v>
      </c>
      <c r="F1488" s="248" t="s">
        <v>2697</v>
      </c>
      <c r="G1488" s="248" t="s">
        <v>2497</v>
      </c>
      <c r="H1488" s="249" t="s">
        <v>3193</v>
      </c>
      <c r="I1488" s="249" t="s">
        <v>2750</v>
      </c>
      <c r="J1488" s="248" t="s">
        <v>2751</v>
      </c>
      <c r="K1488" s="249" t="s">
        <v>3139</v>
      </c>
      <c r="L1488" s="249" t="s">
        <v>2796</v>
      </c>
      <c r="M1488" s="248" t="s">
        <v>2797</v>
      </c>
      <c r="N1488" s="293"/>
      <c r="O1488" s="293" t="str">
        <f>TablaPOA[[#This Row],[Cod_Sub_acción_especifica]]&amp;"_"&amp;TablaPOA[[#This Row],[Tipo de agente]]</f>
        <v>K31.4.4.2_Locales de venta de GLP</v>
      </c>
      <c r="P1488" s="250" t="s">
        <v>2912</v>
      </c>
      <c r="Q1488" s="292" t="str">
        <f>TablaPOA[[#This Row],[Cod_Sub_acción_especifica]]&amp;"_"&amp;TablaPOA[[#This Row],[Cod_Tipo_agente]]</f>
        <v>K31.4.4.2_TA8</v>
      </c>
      <c r="R1488" s="250" t="s">
        <v>2913</v>
      </c>
      <c r="S1488" s="251" t="s">
        <v>2916</v>
      </c>
      <c r="T1488" s="269" t="s">
        <v>2917</v>
      </c>
    </row>
    <row r="1489" spans="1:20" ht="25.5" x14ac:dyDescent="0.25">
      <c r="A1489" s="268" t="s">
        <v>2314</v>
      </c>
      <c r="B1489" s="248">
        <v>31</v>
      </c>
      <c r="C1489" s="248" t="s">
        <v>2691</v>
      </c>
      <c r="D1489" s="248" t="s">
        <v>2988</v>
      </c>
      <c r="E1489" s="248" t="s">
        <v>3189</v>
      </c>
      <c r="F1489" s="248" t="s">
        <v>2697</v>
      </c>
      <c r="G1489" s="248" t="s">
        <v>2497</v>
      </c>
      <c r="H1489" s="249" t="s">
        <v>3193</v>
      </c>
      <c r="I1489" s="249" t="s">
        <v>2750</v>
      </c>
      <c r="J1489" s="248" t="s">
        <v>2751</v>
      </c>
      <c r="K1489" s="249" t="s">
        <v>3139</v>
      </c>
      <c r="L1489" s="249" t="s">
        <v>2796</v>
      </c>
      <c r="M1489" s="248" t="s">
        <v>2797</v>
      </c>
      <c r="N1489" s="293"/>
      <c r="O1489" s="293" t="str">
        <f>TablaPOA[[#This Row],[Cod_Sub_acción_especifica]]&amp;"_"&amp;TablaPOA[[#This Row],[Tipo de agente]]</f>
        <v>K31.4.4.2_Medios de transporte</v>
      </c>
      <c r="P1489" s="250" t="s">
        <v>2918</v>
      </c>
      <c r="Q1489" s="292" t="str">
        <f>TablaPOA[[#This Row],[Cod_Sub_acción_especifica]]&amp;"_"&amp;TablaPOA[[#This Row],[Cod_Tipo_agente]]</f>
        <v>K31.4.4.2_TA9</v>
      </c>
      <c r="R1489" s="250" t="s">
        <v>2919</v>
      </c>
      <c r="S1489" s="251" t="s">
        <v>2920</v>
      </c>
      <c r="T1489" s="269" t="s">
        <v>2921</v>
      </c>
    </row>
    <row r="1490" spans="1:20" ht="25.5" x14ac:dyDescent="0.25">
      <c r="A1490" s="268" t="s">
        <v>2314</v>
      </c>
      <c r="B1490" s="248">
        <v>31</v>
      </c>
      <c r="C1490" s="248" t="s">
        <v>2691</v>
      </c>
      <c r="D1490" s="248" t="s">
        <v>2988</v>
      </c>
      <c r="E1490" s="248" t="s">
        <v>3189</v>
      </c>
      <c r="F1490" s="248" t="s">
        <v>2697</v>
      </c>
      <c r="G1490" s="248" t="s">
        <v>2497</v>
      </c>
      <c r="H1490" s="249" t="s">
        <v>3193</v>
      </c>
      <c r="I1490" s="249" t="s">
        <v>2750</v>
      </c>
      <c r="J1490" s="248" t="s">
        <v>2751</v>
      </c>
      <c r="K1490" s="249" t="s">
        <v>3139</v>
      </c>
      <c r="L1490" s="249" t="s">
        <v>2796</v>
      </c>
      <c r="M1490" s="248" t="s">
        <v>2797</v>
      </c>
      <c r="N1490" s="293"/>
      <c r="O1490" s="293" t="str">
        <f>TablaPOA[[#This Row],[Cod_Sub_acción_especifica]]&amp;"_"&amp;TablaPOA[[#This Row],[Tipo de agente]]</f>
        <v>K31.4.4.2_Medios de transporte</v>
      </c>
      <c r="P1490" s="250" t="s">
        <v>2918</v>
      </c>
      <c r="Q1490" s="292" t="str">
        <f>TablaPOA[[#This Row],[Cod_Sub_acción_especifica]]&amp;"_"&amp;TablaPOA[[#This Row],[Cod_Tipo_agente]]</f>
        <v>K31.4.4.2_TA9</v>
      </c>
      <c r="R1490" s="250" t="s">
        <v>2919</v>
      </c>
      <c r="S1490" s="251" t="s">
        <v>2922</v>
      </c>
      <c r="T1490" s="269" t="s">
        <v>2923</v>
      </c>
    </row>
    <row r="1491" spans="1:20" ht="25.5" x14ac:dyDescent="0.25">
      <c r="A1491" s="268" t="s">
        <v>2314</v>
      </c>
      <c r="B1491" s="248">
        <v>31</v>
      </c>
      <c r="C1491" s="248" t="s">
        <v>2691</v>
      </c>
      <c r="D1491" s="248" t="s">
        <v>2988</v>
      </c>
      <c r="E1491" s="248" t="s">
        <v>3189</v>
      </c>
      <c r="F1491" s="248" t="s">
        <v>2697</v>
      </c>
      <c r="G1491" s="248" t="s">
        <v>2497</v>
      </c>
      <c r="H1491" s="249" t="s">
        <v>3193</v>
      </c>
      <c r="I1491" s="249" t="s">
        <v>2750</v>
      </c>
      <c r="J1491" s="248" t="s">
        <v>2751</v>
      </c>
      <c r="K1491" s="249" t="s">
        <v>3139</v>
      </c>
      <c r="L1491" s="249" t="s">
        <v>2796</v>
      </c>
      <c r="M1491" s="248" t="s">
        <v>2797</v>
      </c>
      <c r="N1491" s="293"/>
      <c r="O1491" s="293" t="str">
        <f>TablaPOA[[#This Row],[Cod_Sub_acción_especifica]]&amp;"_"&amp;TablaPOA[[#This Row],[Tipo de agente]]</f>
        <v>K31.4.4.2_Medios de transporte</v>
      </c>
      <c r="P1491" s="250" t="s">
        <v>2918</v>
      </c>
      <c r="Q1491" s="292" t="str">
        <f>TablaPOA[[#This Row],[Cod_Sub_acción_especifica]]&amp;"_"&amp;TablaPOA[[#This Row],[Cod_Tipo_agente]]</f>
        <v>K31.4.4.2_TA9</v>
      </c>
      <c r="R1491" s="250" t="s">
        <v>2919</v>
      </c>
      <c r="S1491" s="251" t="s">
        <v>2924</v>
      </c>
      <c r="T1491" s="269" t="s">
        <v>2925</v>
      </c>
    </row>
    <row r="1492" spans="1:20" ht="25.5" x14ac:dyDescent="0.25">
      <c r="A1492" s="268" t="s">
        <v>2314</v>
      </c>
      <c r="B1492" s="248">
        <v>31</v>
      </c>
      <c r="C1492" s="248" t="s">
        <v>2691</v>
      </c>
      <c r="D1492" s="248" t="s">
        <v>2988</v>
      </c>
      <c r="E1492" s="248" t="s">
        <v>3189</v>
      </c>
      <c r="F1492" s="248" t="s">
        <v>2697</v>
      </c>
      <c r="G1492" s="248" t="s">
        <v>2497</v>
      </c>
      <c r="H1492" s="249" t="s">
        <v>3193</v>
      </c>
      <c r="I1492" s="249" t="s">
        <v>2750</v>
      </c>
      <c r="J1492" s="248" t="s">
        <v>2751</v>
      </c>
      <c r="K1492" s="249" t="s">
        <v>3139</v>
      </c>
      <c r="L1492" s="249" t="s">
        <v>2796</v>
      </c>
      <c r="M1492" s="248" t="s">
        <v>2797</v>
      </c>
      <c r="N1492" s="293"/>
      <c r="O1492" s="293" t="str">
        <f>TablaPOA[[#This Row],[Cod_Sub_acción_especifica]]&amp;"_"&amp;TablaPOA[[#This Row],[Tipo de agente]]</f>
        <v>K31.4.4.2_Medios de transporte</v>
      </c>
      <c r="P1492" s="250" t="s">
        <v>2918</v>
      </c>
      <c r="Q1492" s="292" t="str">
        <f>TablaPOA[[#This Row],[Cod_Sub_acción_especifica]]&amp;"_"&amp;TablaPOA[[#This Row],[Cod_Tipo_agente]]</f>
        <v>K31.4.4.2_TA9</v>
      </c>
      <c r="R1492" s="250" t="s">
        <v>2919</v>
      </c>
      <c r="S1492" s="251" t="s">
        <v>2926</v>
      </c>
      <c r="T1492" s="269" t="s">
        <v>2927</v>
      </c>
    </row>
    <row r="1493" spans="1:20" ht="25.5" x14ac:dyDescent="0.25">
      <c r="A1493" s="268" t="s">
        <v>2314</v>
      </c>
      <c r="B1493" s="248">
        <v>31</v>
      </c>
      <c r="C1493" s="248" t="s">
        <v>2691</v>
      </c>
      <c r="D1493" s="248" t="s">
        <v>2988</v>
      </c>
      <c r="E1493" s="248" t="s">
        <v>3189</v>
      </c>
      <c r="F1493" s="248" t="s">
        <v>2697</v>
      </c>
      <c r="G1493" s="248" t="s">
        <v>2497</v>
      </c>
      <c r="H1493" s="249" t="s">
        <v>3193</v>
      </c>
      <c r="I1493" s="249" t="s">
        <v>2750</v>
      </c>
      <c r="J1493" s="248" t="s">
        <v>2751</v>
      </c>
      <c r="K1493" s="249" t="s">
        <v>3139</v>
      </c>
      <c r="L1493" s="249" t="s">
        <v>2796</v>
      </c>
      <c r="M1493" s="248" t="s">
        <v>2797</v>
      </c>
      <c r="N1493" s="293"/>
      <c r="O1493" s="293" t="str">
        <f>TablaPOA[[#This Row],[Cod_Sub_acción_especifica]]&amp;"_"&amp;TablaPOA[[#This Row],[Tipo de agente]]</f>
        <v>K31.4.4.2_Medios de transporte</v>
      </c>
      <c r="P1493" s="250" t="s">
        <v>2918</v>
      </c>
      <c r="Q1493" s="292" t="str">
        <f>TablaPOA[[#This Row],[Cod_Sub_acción_especifica]]&amp;"_"&amp;TablaPOA[[#This Row],[Cod_Tipo_agente]]</f>
        <v>K31.4.4.2_TA9</v>
      </c>
      <c r="R1493" s="250" t="s">
        <v>2919</v>
      </c>
      <c r="S1493" s="251" t="s">
        <v>2928</v>
      </c>
      <c r="T1493" s="269" t="s">
        <v>2929</v>
      </c>
    </row>
    <row r="1494" spans="1:20" ht="25.5" x14ac:dyDescent="0.25">
      <c r="A1494" s="268" t="s">
        <v>2314</v>
      </c>
      <c r="B1494" s="248">
        <v>31</v>
      </c>
      <c r="C1494" s="248" t="s">
        <v>2691</v>
      </c>
      <c r="D1494" s="248" t="s">
        <v>2988</v>
      </c>
      <c r="E1494" s="248" t="s">
        <v>3189</v>
      </c>
      <c r="F1494" s="248" t="s">
        <v>2697</v>
      </c>
      <c r="G1494" s="248" t="s">
        <v>2497</v>
      </c>
      <c r="H1494" s="249" t="s">
        <v>3193</v>
      </c>
      <c r="I1494" s="249" t="s">
        <v>2750</v>
      </c>
      <c r="J1494" s="248" t="s">
        <v>2751</v>
      </c>
      <c r="K1494" s="249" t="s">
        <v>3139</v>
      </c>
      <c r="L1494" s="249" t="s">
        <v>2796</v>
      </c>
      <c r="M1494" s="248" t="s">
        <v>2797</v>
      </c>
      <c r="N1494" s="293"/>
      <c r="O1494" s="293" t="str">
        <f>TablaPOA[[#This Row],[Cod_Sub_acción_especifica]]&amp;"_"&amp;TablaPOA[[#This Row],[Tipo de agente]]</f>
        <v>K31.4.4.2_Medios de transporte</v>
      </c>
      <c r="P1494" s="250" t="s">
        <v>2918</v>
      </c>
      <c r="Q1494" s="292" t="str">
        <f>TablaPOA[[#This Row],[Cod_Sub_acción_especifica]]&amp;"_"&amp;TablaPOA[[#This Row],[Cod_Tipo_agente]]</f>
        <v>K31.4.4.2_TA9</v>
      </c>
      <c r="R1494" s="250" t="s">
        <v>2919</v>
      </c>
      <c r="S1494" s="251" t="s">
        <v>2930</v>
      </c>
      <c r="T1494" s="269" t="s">
        <v>2931</v>
      </c>
    </row>
    <row r="1495" spans="1:20" ht="25.5" x14ac:dyDescent="0.25">
      <c r="A1495" s="268" t="s">
        <v>2314</v>
      </c>
      <c r="B1495" s="248">
        <v>31</v>
      </c>
      <c r="C1495" s="248" t="s">
        <v>2691</v>
      </c>
      <c r="D1495" s="248" t="s">
        <v>2988</v>
      </c>
      <c r="E1495" s="248" t="s">
        <v>3189</v>
      </c>
      <c r="F1495" s="248" t="s">
        <v>2697</v>
      </c>
      <c r="G1495" s="248" t="s">
        <v>2497</v>
      </c>
      <c r="H1495" s="249" t="s">
        <v>3193</v>
      </c>
      <c r="I1495" s="249" t="s">
        <v>2750</v>
      </c>
      <c r="J1495" s="248" t="s">
        <v>2751</v>
      </c>
      <c r="K1495" s="249" t="s">
        <v>3139</v>
      </c>
      <c r="L1495" s="249" t="s">
        <v>2796</v>
      </c>
      <c r="M1495" s="248" t="s">
        <v>2797</v>
      </c>
      <c r="N1495" s="293"/>
      <c r="O1495" s="293" t="str">
        <f>TablaPOA[[#This Row],[Cod_Sub_acción_especifica]]&amp;"_"&amp;TablaPOA[[#This Row],[Tipo de agente]]</f>
        <v>K31.4.4.2_Medios de transporte</v>
      </c>
      <c r="P1495" s="250" t="s">
        <v>2918</v>
      </c>
      <c r="Q1495" s="292" t="str">
        <f>TablaPOA[[#This Row],[Cod_Sub_acción_especifica]]&amp;"_"&amp;TablaPOA[[#This Row],[Cod_Tipo_agente]]</f>
        <v>K31.4.4.2_TA9</v>
      </c>
      <c r="R1495" s="250" t="s">
        <v>2919</v>
      </c>
      <c r="S1495" s="251" t="s">
        <v>2932</v>
      </c>
      <c r="T1495" s="269" t="s">
        <v>2933</v>
      </c>
    </row>
    <row r="1496" spans="1:20" ht="25.5" x14ac:dyDescent="0.25">
      <c r="A1496" s="268" t="s">
        <v>2314</v>
      </c>
      <c r="B1496" s="248">
        <v>31</v>
      </c>
      <c r="C1496" s="248" t="s">
        <v>2691</v>
      </c>
      <c r="D1496" s="248" t="s">
        <v>2988</v>
      </c>
      <c r="E1496" s="248" t="s">
        <v>3189</v>
      </c>
      <c r="F1496" s="248" t="s">
        <v>2697</v>
      </c>
      <c r="G1496" s="248" t="s">
        <v>2497</v>
      </c>
      <c r="H1496" s="249" t="s">
        <v>3193</v>
      </c>
      <c r="I1496" s="249" t="s">
        <v>2750</v>
      </c>
      <c r="J1496" s="248" t="s">
        <v>2751</v>
      </c>
      <c r="K1496" s="249" t="s">
        <v>3139</v>
      </c>
      <c r="L1496" s="249" t="s">
        <v>2796</v>
      </c>
      <c r="M1496" s="248" t="s">
        <v>2797</v>
      </c>
      <c r="N1496" s="293"/>
      <c r="O1496" s="293" t="str">
        <f>TablaPOA[[#This Row],[Cod_Sub_acción_especifica]]&amp;"_"&amp;TablaPOA[[#This Row],[Tipo de agente]]</f>
        <v>K31.4.4.2_Medios de transporte</v>
      </c>
      <c r="P1496" s="250" t="s">
        <v>2918</v>
      </c>
      <c r="Q1496" s="292" t="str">
        <f>TablaPOA[[#This Row],[Cod_Sub_acción_especifica]]&amp;"_"&amp;TablaPOA[[#This Row],[Cod_Tipo_agente]]</f>
        <v>K31.4.4.2_TA9</v>
      </c>
      <c r="R1496" s="250" t="s">
        <v>2919</v>
      </c>
      <c r="S1496" s="251" t="s">
        <v>2934</v>
      </c>
      <c r="T1496" s="269" t="s">
        <v>2935</v>
      </c>
    </row>
    <row r="1497" spans="1:20" ht="25.5" x14ac:dyDescent="0.25">
      <c r="A1497" s="268" t="s">
        <v>2314</v>
      </c>
      <c r="B1497" s="248">
        <v>31</v>
      </c>
      <c r="C1497" s="248" t="s">
        <v>2691</v>
      </c>
      <c r="D1497" s="248" t="s">
        <v>2988</v>
      </c>
      <c r="E1497" s="248" t="s">
        <v>3189</v>
      </c>
      <c r="F1497" s="248" t="s">
        <v>2697</v>
      </c>
      <c r="G1497" s="248" t="s">
        <v>2497</v>
      </c>
      <c r="H1497" s="249" t="s">
        <v>3193</v>
      </c>
      <c r="I1497" s="249" t="s">
        <v>2750</v>
      </c>
      <c r="J1497" s="248" t="s">
        <v>2751</v>
      </c>
      <c r="K1497" s="249" t="s">
        <v>3139</v>
      </c>
      <c r="L1497" s="249" t="s">
        <v>2796</v>
      </c>
      <c r="M1497" s="248" t="s">
        <v>2797</v>
      </c>
      <c r="N1497" s="293"/>
      <c r="O1497" s="293" t="str">
        <f>TablaPOA[[#This Row],[Cod_Sub_acción_especifica]]&amp;"_"&amp;TablaPOA[[#This Row],[Tipo de agente]]</f>
        <v>K31.4.4.2_Medios de transporte</v>
      </c>
      <c r="P1497" s="250" t="s">
        <v>2918</v>
      </c>
      <c r="Q1497" s="292" t="str">
        <f>TablaPOA[[#This Row],[Cod_Sub_acción_especifica]]&amp;"_"&amp;TablaPOA[[#This Row],[Cod_Tipo_agente]]</f>
        <v>K31.4.4.2_TA9</v>
      </c>
      <c r="R1497" s="250" t="s">
        <v>2919</v>
      </c>
      <c r="S1497" s="251" t="s">
        <v>2936</v>
      </c>
      <c r="T1497" s="269" t="s">
        <v>2937</v>
      </c>
    </row>
    <row r="1498" spans="1:20" ht="25.5" x14ac:dyDescent="0.25">
      <c r="A1498" s="268" t="s">
        <v>2314</v>
      </c>
      <c r="B1498" s="248">
        <v>31</v>
      </c>
      <c r="C1498" s="248" t="s">
        <v>2691</v>
      </c>
      <c r="D1498" s="248" t="s">
        <v>2988</v>
      </c>
      <c r="E1498" s="248" t="s">
        <v>3189</v>
      </c>
      <c r="F1498" s="248" t="s">
        <v>2697</v>
      </c>
      <c r="G1498" s="248" t="s">
        <v>2497</v>
      </c>
      <c r="H1498" s="249" t="s">
        <v>3193</v>
      </c>
      <c r="I1498" s="249" t="s">
        <v>2750</v>
      </c>
      <c r="J1498" s="248" t="s">
        <v>2751</v>
      </c>
      <c r="K1498" s="249" t="s">
        <v>3139</v>
      </c>
      <c r="L1498" s="249" t="s">
        <v>2796</v>
      </c>
      <c r="M1498" s="248" t="s">
        <v>2797</v>
      </c>
      <c r="N1498" s="293"/>
      <c r="O1498" s="293" t="str">
        <f>TablaPOA[[#This Row],[Cod_Sub_acción_especifica]]&amp;"_"&amp;TablaPOA[[#This Row],[Tipo de agente]]</f>
        <v>K31.4.4.2_Medios de transporte</v>
      </c>
      <c r="P1498" s="250" t="s">
        <v>2918</v>
      </c>
      <c r="Q1498" s="292" t="str">
        <f>TablaPOA[[#This Row],[Cod_Sub_acción_especifica]]&amp;"_"&amp;TablaPOA[[#This Row],[Cod_Tipo_agente]]</f>
        <v>K31.4.4.2_TA9</v>
      </c>
      <c r="R1498" s="250" t="s">
        <v>2919</v>
      </c>
      <c r="S1498" s="251" t="s">
        <v>2938</v>
      </c>
      <c r="T1498" s="269" t="s">
        <v>2939</v>
      </c>
    </row>
    <row r="1499" spans="1:20" ht="25.5" x14ac:dyDescent="0.25">
      <c r="A1499" s="268" t="s">
        <v>2314</v>
      </c>
      <c r="B1499" s="248">
        <v>31</v>
      </c>
      <c r="C1499" s="248" t="s">
        <v>2691</v>
      </c>
      <c r="D1499" s="248" t="s">
        <v>2988</v>
      </c>
      <c r="E1499" s="248" t="s">
        <v>3189</v>
      </c>
      <c r="F1499" s="248" t="s">
        <v>2697</v>
      </c>
      <c r="G1499" s="248" t="s">
        <v>2497</v>
      </c>
      <c r="H1499" s="249" t="s">
        <v>3193</v>
      </c>
      <c r="I1499" s="249" t="s">
        <v>2750</v>
      </c>
      <c r="J1499" s="248" t="s">
        <v>2751</v>
      </c>
      <c r="K1499" s="249" t="s">
        <v>3139</v>
      </c>
      <c r="L1499" s="249" t="s">
        <v>2796</v>
      </c>
      <c r="M1499" s="248" t="s">
        <v>2797</v>
      </c>
      <c r="N1499" s="293"/>
      <c r="O1499" s="293" t="str">
        <f>TablaPOA[[#This Row],[Cod_Sub_acción_especifica]]&amp;"_"&amp;TablaPOA[[#This Row],[Tipo de agente]]</f>
        <v>K31.4.4.2_Medios de transporte</v>
      </c>
      <c r="P1499" s="250" t="s">
        <v>2918</v>
      </c>
      <c r="Q1499" s="292" t="str">
        <f>TablaPOA[[#This Row],[Cod_Sub_acción_especifica]]&amp;"_"&amp;TablaPOA[[#This Row],[Cod_Tipo_agente]]</f>
        <v>K31.4.4.2_TA9</v>
      </c>
      <c r="R1499" s="250" t="s">
        <v>2919</v>
      </c>
      <c r="S1499" s="251" t="s">
        <v>2940</v>
      </c>
      <c r="T1499" s="269" t="s">
        <v>2941</v>
      </c>
    </row>
    <row r="1500" spans="1:20" ht="25.5" x14ac:dyDescent="0.25">
      <c r="A1500" s="268" t="s">
        <v>2314</v>
      </c>
      <c r="B1500" s="248">
        <v>31</v>
      </c>
      <c r="C1500" s="248" t="s">
        <v>2691</v>
      </c>
      <c r="D1500" s="248" t="s">
        <v>2988</v>
      </c>
      <c r="E1500" s="248" t="s">
        <v>3189</v>
      </c>
      <c r="F1500" s="248" t="s">
        <v>2697</v>
      </c>
      <c r="G1500" s="248" t="s">
        <v>2497</v>
      </c>
      <c r="H1500" s="249" t="s">
        <v>3193</v>
      </c>
      <c r="I1500" s="249" t="s">
        <v>2750</v>
      </c>
      <c r="J1500" s="248" t="s">
        <v>2751</v>
      </c>
      <c r="K1500" s="249" t="s">
        <v>3139</v>
      </c>
      <c r="L1500" s="249" t="s">
        <v>2796</v>
      </c>
      <c r="M1500" s="248" t="s">
        <v>2797</v>
      </c>
      <c r="N1500" s="293"/>
      <c r="O1500" s="293" t="str">
        <f>TablaPOA[[#This Row],[Cod_Sub_acción_especifica]]&amp;"_"&amp;TablaPOA[[#This Row],[Tipo de agente]]</f>
        <v>K31.4.4.2_Medios de transporte</v>
      </c>
      <c r="P1500" s="250" t="s">
        <v>2918</v>
      </c>
      <c r="Q1500" s="292" t="str">
        <f>TablaPOA[[#This Row],[Cod_Sub_acción_especifica]]&amp;"_"&amp;TablaPOA[[#This Row],[Cod_Tipo_agente]]</f>
        <v>K31.4.4.2_TA9</v>
      </c>
      <c r="R1500" s="250" t="s">
        <v>2919</v>
      </c>
      <c r="S1500" s="251" t="s">
        <v>2942</v>
      </c>
      <c r="T1500" s="269" t="s">
        <v>2943</v>
      </c>
    </row>
    <row r="1501" spans="1:20" ht="25.5" x14ac:dyDescent="0.25">
      <c r="A1501" s="268" t="s">
        <v>2314</v>
      </c>
      <c r="B1501" s="248">
        <v>31</v>
      </c>
      <c r="C1501" s="248" t="s">
        <v>2691</v>
      </c>
      <c r="D1501" s="248" t="s">
        <v>2988</v>
      </c>
      <c r="E1501" s="248" t="s">
        <v>3189</v>
      </c>
      <c r="F1501" s="248" t="s">
        <v>2697</v>
      </c>
      <c r="G1501" s="248" t="s">
        <v>2497</v>
      </c>
      <c r="H1501" s="249" t="s">
        <v>3193</v>
      </c>
      <c r="I1501" s="249" t="s">
        <v>2750</v>
      </c>
      <c r="J1501" s="248" t="s">
        <v>2751</v>
      </c>
      <c r="K1501" s="249" t="s">
        <v>3139</v>
      </c>
      <c r="L1501" s="249" t="s">
        <v>2796</v>
      </c>
      <c r="M1501" s="248" t="s">
        <v>2797</v>
      </c>
      <c r="N1501" s="293"/>
      <c r="O1501" s="293" t="str">
        <f>TablaPOA[[#This Row],[Cod_Sub_acción_especifica]]&amp;"_"&amp;TablaPOA[[#This Row],[Tipo de agente]]</f>
        <v>K31.4.4.2_Medios de transporte</v>
      </c>
      <c r="P1501" s="250" t="s">
        <v>2918</v>
      </c>
      <c r="Q1501" s="292" t="str">
        <f>TablaPOA[[#This Row],[Cod_Sub_acción_especifica]]&amp;"_"&amp;TablaPOA[[#This Row],[Cod_Tipo_agente]]</f>
        <v>K31.4.4.2_TA9</v>
      </c>
      <c r="R1501" s="250" t="s">
        <v>2919</v>
      </c>
      <c r="S1501" s="251" t="s">
        <v>2944</v>
      </c>
      <c r="T1501" s="269" t="s">
        <v>2945</v>
      </c>
    </row>
    <row r="1502" spans="1:20" ht="25.5" x14ac:dyDescent="0.25">
      <c r="A1502" s="268" t="s">
        <v>2314</v>
      </c>
      <c r="B1502" s="248">
        <v>31</v>
      </c>
      <c r="C1502" s="248" t="s">
        <v>2691</v>
      </c>
      <c r="D1502" s="248" t="s">
        <v>2988</v>
      </c>
      <c r="E1502" s="248" t="s">
        <v>3189</v>
      </c>
      <c r="F1502" s="248" t="s">
        <v>2697</v>
      </c>
      <c r="G1502" s="248" t="s">
        <v>2497</v>
      </c>
      <c r="H1502" s="249" t="s">
        <v>3193</v>
      </c>
      <c r="I1502" s="249" t="s">
        <v>2750</v>
      </c>
      <c r="J1502" s="248" t="s">
        <v>2751</v>
      </c>
      <c r="K1502" s="249" t="s">
        <v>3139</v>
      </c>
      <c r="L1502" s="249" t="s">
        <v>2796</v>
      </c>
      <c r="M1502" s="248" t="s">
        <v>2797</v>
      </c>
      <c r="N1502" s="293"/>
      <c r="O1502" s="293" t="str">
        <f>TablaPOA[[#This Row],[Cod_Sub_acción_especifica]]&amp;"_"&amp;TablaPOA[[#This Row],[Tipo de agente]]</f>
        <v>K31.4.4.2_Medios de transporte</v>
      </c>
      <c r="P1502" s="250" t="s">
        <v>2918</v>
      </c>
      <c r="Q1502" s="292" t="str">
        <f>TablaPOA[[#This Row],[Cod_Sub_acción_especifica]]&amp;"_"&amp;TablaPOA[[#This Row],[Cod_Tipo_agente]]</f>
        <v>K31.4.4.2_TA9</v>
      </c>
      <c r="R1502" s="250" t="s">
        <v>2919</v>
      </c>
      <c r="S1502" s="251" t="s">
        <v>2946</v>
      </c>
      <c r="T1502" s="269" t="s">
        <v>2947</v>
      </c>
    </row>
    <row r="1503" spans="1:20" ht="25.5" x14ac:dyDescent="0.25">
      <c r="A1503" s="268" t="s">
        <v>2314</v>
      </c>
      <c r="B1503" s="248">
        <v>31</v>
      </c>
      <c r="C1503" s="248" t="s">
        <v>2691</v>
      </c>
      <c r="D1503" s="248" t="s">
        <v>2988</v>
      </c>
      <c r="E1503" s="248" t="s">
        <v>3189</v>
      </c>
      <c r="F1503" s="248" t="s">
        <v>2697</v>
      </c>
      <c r="G1503" s="248" t="s">
        <v>2497</v>
      </c>
      <c r="H1503" s="249" t="s">
        <v>3193</v>
      </c>
      <c r="I1503" s="249" t="s">
        <v>2750</v>
      </c>
      <c r="J1503" s="248" t="s">
        <v>2751</v>
      </c>
      <c r="K1503" s="249" t="s">
        <v>3139</v>
      </c>
      <c r="L1503" s="249" t="s">
        <v>2796</v>
      </c>
      <c r="M1503" s="248" t="s">
        <v>2797</v>
      </c>
      <c r="N1503" s="293"/>
      <c r="O1503" s="293" t="str">
        <f>TablaPOA[[#This Row],[Cod_Sub_acción_especifica]]&amp;"_"&amp;TablaPOA[[#This Row],[Tipo de agente]]</f>
        <v>K31.4.4.2_Medios de transporte</v>
      </c>
      <c r="P1503" s="250" t="s">
        <v>2918</v>
      </c>
      <c r="Q1503" s="292" t="str">
        <f>TablaPOA[[#This Row],[Cod_Sub_acción_especifica]]&amp;"_"&amp;TablaPOA[[#This Row],[Cod_Tipo_agente]]</f>
        <v>K31.4.4.2_TA9</v>
      </c>
      <c r="R1503" s="250" t="s">
        <v>2919</v>
      </c>
      <c r="S1503" s="251" t="s">
        <v>2948</v>
      </c>
      <c r="T1503" s="269" t="s">
        <v>2949</v>
      </c>
    </row>
    <row r="1504" spans="1:20" ht="25.5" x14ac:dyDescent="0.25">
      <c r="A1504" s="219" t="s">
        <v>2314</v>
      </c>
      <c r="B1504" s="227">
        <v>31</v>
      </c>
      <c r="C1504" s="227" t="s">
        <v>2691</v>
      </c>
      <c r="D1504" s="227" t="s">
        <v>2988</v>
      </c>
      <c r="E1504" s="227" t="s">
        <v>3189</v>
      </c>
      <c r="F1504" s="227" t="s">
        <v>2697</v>
      </c>
      <c r="G1504" s="227" t="s">
        <v>2497</v>
      </c>
      <c r="H1504" s="253" t="s">
        <v>3193</v>
      </c>
      <c r="I1504" s="253" t="s">
        <v>2750</v>
      </c>
      <c r="J1504" s="227" t="s">
        <v>2751</v>
      </c>
      <c r="K1504" s="253" t="s">
        <v>3140</v>
      </c>
      <c r="L1504" s="253" t="s">
        <v>2802</v>
      </c>
      <c r="M1504" s="227" t="s">
        <v>2803</v>
      </c>
      <c r="N1504" s="299" t="s">
        <v>2840</v>
      </c>
      <c r="O1504" s="292" t="str">
        <f>TablaPOA[[#This Row],[Cod_Sub_acción_especifica]]&amp;"_"&amp;TablaPOA[[#This Row],[Tipo de agente]]</f>
        <v>K31.4.4.3_Consumidores directos de GLP y redes de distribución</v>
      </c>
      <c r="P1504" s="254" t="s">
        <v>2839</v>
      </c>
      <c r="Q1504" s="292" t="str">
        <f>TablaPOA[[#This Row],[Cod_Sub_acción_especifica]]&amp;"_"&amp;TablaPOA[[#This Row],[Cod_Tipo_agente]]</f>
        <v>K31.4.4.3_TA3</v>
      </c>
      <c r="R1504" s="254" t="s">
        <v>2840</v>
      </c>
      <c r="S1504" s="254">
        <v>400</v>
      </c>
      <c r="T1504" s="271" t="s">
        <v>2841</v>
      </c>
    </row>
    <row r="1505" spans="1:20" ht="25.5" x14ac:dyDescent="0.25">
      <c r="A1505" s="219" t="s">
        <v>2314</v>
      </c>
      <c r="B1505" s="227">
        <v>31</v>
      </c>
      <c r="C1505" s="227" t="s">
        <v>2691</v>
      </c>
      <c r="D1505" s="227" t="s">
        <v>2988</v>
      </c>
      <c r="E1505" s="227" t="s">
        <v>3189</v>
      </c>
      <c r="F1505" s="227" t="s">
        <v>2697</v>
      </c>
      <c r="G1505" s="227" t="s">
        <v>2497</v>
      </c>
      <c r="H1505" s="253" t="s">
        <v>3193</v>
      </c>
      <c r="I1505" s="253" t="s">
        <v>2750</v>
      </c>
      <c r="J1505" s="227" t="s">
        <v>2751</v>
      </c>
      <c r="K1505" s="253" t="s">
        <v>3140</v>
      </c>
      <c r="L1505" s="253" t="s">
        <v>2802</v>
      </c>
      <c r="M1505" s="227" t="s">
        <v>2803</v>
      </c>
      <c r="N1505" s="299" t="s">
        <v>2853</v>
      </c>
      <c r="O1505" s="292" t="str">
        <f>TablaPOA[[#This Row],[Cod_Sub_acción_especifica]]&amp;"_"&amp;TablaPOA[[#This Row],[Tipo de agente]]</f>
        <v>K31.4.4.3_Consumidores directos de GLP y redes de distribución</v>
      </c>
      <c r="P1505" s="254" t="s">
        <v>2839</v>
      </c>
      <c r="Q1505" s="292" t="str">
        <f>TablaPOA[[#This Row],[Cod_Sub_acción_especifica]]&amp;"_"&amp;TablaPOA[[#This Row],[Cod_Tipo_agente]]</f>
        <v>K31.4.4.3_TA3</v>
      </c>
      <c r="R1505" s="254" t="s">
        <v>2840</v>
      </c>
      <c r="S1505" s="254" t="s">
        <v>2842</v>
      </c>
      <c r="T1505" s="271" t="s">
        <v>2843</v>
      </c>
    </row>
    <row r="1506" spans="1:20" ht="25.5" x14ac:dyDescent="0.25">
      <c r="A1506" s="219" t="s">
        <v>2314</v>
      </c>
      <c r="B1506" s="227">
        <v>31</v>
      </c>
      <c r="C1506" s="227" t="s">
        <v>2691</v>
      </c>
      <c r="D1506" s="227" t="s">
        <v>2988</v>
      </c>
      <c r="E1506" s="227" t="s">
        <v>3189</v>
      </c>
      <c r="F1506" s="227" t="s">
        <v>2697</v>
      </c>
      <c r="G1506" s="227" t="s">
        <v>2497</v>
      </c>
      <c r="H1506" s="253" t="s">
        <v>3193</v>
      </c>
      <c r="I1506" s="253" t="s">
        <v>2750</v>
      </c>
      <c r="J1506" s="227" t="s">
        <v>2751</v>
      </c>
      <c r="K1506" s="253" t="s">
        <v>3140</v>
      </c>
      <c r="L1506" s="253" t="s">
        <v>2802</v>
      </c>
      <c r="M1506" s="227" t="s">
        <v>2803</v>
      </c>
      <c r="N1506" s="293"/>
      <c r="O1506" s="293" t="str">
        <f>TablaPOA[[#This Row],[Cod_Sub_acción_especifica]]&amp;"_"&amp;TablaPOA[[#This Row],[Tipo de agente]]</f>
        <v>K31.4.4.3_Consumidores directos de GLP y redes de distribución</v>
      </c>
      <c r="P1506" s="254" t="s">
        <v>2839</v>
      </c>
      <c r="Q1506" s="292" t="str">
        <f>TablaPOA[[#This Row],[Cod_Sub_acción_especifica]]&amp;"_"&amp;TablaPOA[[#This Row],[Cod_Tipo_agente]]</f>
        <v>K31.4.4.3_TA3</v>
      </c>
      <c r="R1506" s="254" t="s">
        <v>2840</v>
      </c>
      <c r="S1506" s="254" t="s">
        <v>2844</v>
      </c>
      <c r="T1506" s="271" t="s">
        <v>2845</v>
      </c>
    </row>
    <row r="1507" spans="1:20" ht="25.5" x14ac:dyDescent="0.25">
      <c r="A1507" s="219" t="s">
        <v>2314</v>
      </c>
      <c r="B1507" s="227">
        <v>31</v>
      </c>
      <c r="C1507" s="227" t="s">
        <v>2691</v>
      </c>
      <c r="D1507" s="227" t="s">
        <v>2988</v>
      </c>
      <c r="E1507" s="227" t="s">
        <v>3189</v>
      </c>
      <c r="F1507" s="227" t="s">
        <v>2697</v>
      </c>
      <c r="G1507" s="227" t="s">
        <v>2497</v>
      </c>
      <c r="H1507" s="253" t="s">
        <v>3193</v>
      </c>
      <c r="I1507" s="253" t="s">
        <v>2750</v>
      </c>
      <c r="J1507" s="227" t="s">
        <v>2751</v>
      </c>
      <c r="K1507" s="253" t="s">
        <v>3140</v>
      </c>
      <c r="L1507" s="253" t="s">
        <v>2802</v>
      </c>
      <c r="M1507" s="227" t="s">
        <v>2803</v>
      </c>
      <c r="N1507" s="293"/>
      <c r="O1507" s="293" t="str">
        <f>TablaPOA[[#This Row],[Cod_Sub_acción_especifica]]&amp;"_"&amp;TablaPOA[[#This Row],[Tipo de agente]]</f>
        <v>K31.4.4.3_Consumidores directos de GLP y redes de distribución</v>
      </c>
      <c r="P1507" s="254" t="s">
        <v>2839</v>
      </c>
      <c r="Q1507" s="292" t="str">
        <f>TablaPOA[[#This Row],[Cod_Sub_acción_especifica]]&amp;"_"&amp;TablaPOA[[#This Row],[Cod_Tipo_agente]]</f>
        <v>K31.4.4.3_TA3</v>
      </c>
      <c r="R1507" s="254" t="s">
        <v>2840</v>
      </c>
      <c r="S1507" s="254" t="s">
        <v>2846</v>
      </c>
      <c r="T1507" s="271" t="s">
        <v>2847</v>
      </c>
    </row>
    <row r="1508" spans="1:20" ht="25.5" x14ac:dyDescent="0.25">
      <c r="A1508" s="219" t="s">
        <v>2314</v>
      </c>
      <c r="B1508" s="227">
        <v>31</v>
      </c>
      <c r="C1508" s="227" t="s">
        <v>2691</v>
      </c>
      <c r="D1508" s="227" t="s">
        <v>2988</v>
      </c>
      <c r="E1508" s="227" t="s">
        <v>3189</v>
      </c>
      <c r="F1508" s="227" t="s">
        <v>2697</v>
      </c>
      <c r="G1508" s="227" t="s">
        <v>2497</v>
      </c>
      <c r="H1508" s="253" t="s">
        <v>3193</v>
      </c>
      <c r="I1508" s="253" t="s">
        <v>2750</v>
      </c>
      <c r="J1508" s="227" t="s">
        <v>2751</v>
      </c>
      <c r="K1508" s="253" t="s">
        <v>3140</v>
      </c>
      <c r="L1508" s="253" t="s">
        <v>2802</v>
      </c>
      <c r="M1508" s="227" t="s">
        <v>2803</v>
      </c>
      <c r="N1508" s="293"/>
      <c r="O1508" s="293" t="str">
        <f>TablaPOA[[#This Row],[Cod_Sub_acción_especifica]]&amp;"_"&amp;TablaPOA[[#This Row],[Tipo de agente]]</f>
        <v>K31.4.4.3_Consumidores directos de GLP y redes de distribución</v>
      </c>
      <c r="P1508" s="254" t="s">
        <v>2839</v>
      </c>
      <c r="Q1508" s="292" t="str">
        <f>TablaPOA[[#This Row],[Cod_Sub_acción_especifica]]&amp;"_"&amp;TablaPOA[[#This Row],[Cod_Tipo_agente]]</f>
        <v>K31.4.4.3_TA3</v>
      </c>
      <c r="R1508" s="254" t="s">
        <v>2840</v>
      </c>
      <c r="S1508" s="254" t="s">
        <v>2848</v>
      </c>
      <c r="T1508" s="271" t="s">
        <v>2849</v>
      </c>
    </row>
    <row r="1509" spans="1:20" ht="25.5" x14ac:dyDescent="0.25">
      <c r="A1509" s="219" t="s">
        <v>2314</v>
      </c>
      <c r="B1509" s="227">
        <v>31</v>
      </c>
      <c r="C1509" s="227" t="s">
        <v>2691</v>
      </c>
      <c r="D1509" s="227" t="s">
        <v>2988</v>
      </c>
      <c r="E1509" s="227" t="s">
        <v>3189</v>
      </c>
      <c r="F1509" s="227" t="s">
        <v>2697</v>
      </c>
      <c r="G1509" s="227" t="s">
        <v>2497</v>
      </c>
      <c r="H1509" s="253" t="s">
        <v>3193</v>
      </c>
      <c r="I1509" s="253" t="s">
        <v>2750</v>
      </c>
      <c r="J1509" s="227" t="s">
        <v>2751</v>
      </c>
      <c r="K1509" s="253" t="s">
        <v>3140</v>
      </c>
      <c r="L1509" s="253" t="s">
        <v>2802</v>
      </c>
      <c r="M1509" s="227" t="s">
        <v>2803</v>
      </c>
      <c r="N1509" s="293"/>
      <c r="O1509" s="293" t="str">
        <f>TablaPOA[[#This Row],[Cod_Sub_acción_especifica]]&amp;"_"&amp;TablaPOA[[#This Row],[Tipo de agente]]</f>
        <v>K31.4.4.3_Consumidores directos de GLP y redes de distribución</v>
      </c>
      <c r="P1509" s="254" t="s">
        <v>2839</v>
      </c>
      <c r="Q1509" s="292" t="str">
        <f>TablaPOA[[#This Row],[Cod_Sub_acción_especifica]]&amp;"_"&amp;TablaPOA[[#This Row],[Cod_Tipo_agente]]</f>
        <v>K31.4.4.3_TA3</v>
      </c>
      <c r="R1509" s="254" t="s">
        <v>2840</v>
      </c>
      <c r="S1509" s="254" t="s">
        <v>2850</v>
      </c>
      <c r="T1509" s="271" t="s">
        <v>2851</v>
      </c>
    </row>
    <row r="1510" spans="1:20" ht="25.5" x14ac:dyDescent="0.25">
      <c r="A1510" s="219" t="s">
        <v>2314</v>
      </c>
      <c r="B1510" s="227">
        <v>31</v>
      </c>
      <c r="C1510" s="227" t="s">
        <v>2691</v>
      </c>
      <c r="D1510" s="227" t="s">
        <v>2988</v>
      </c>
      <c r="E1510" s="227" t="s">
        <v>3189</v>
      </c>
      <c r="F1510" s="227" t="s">
        <v>2697</v>
      </c>
      <c r="G1510" s="227" t="s">
        <v>2497</v>
      </c>
      <c r="H1510" s="253" t="s">
        <v>3193</v>
      </c>
      <c r="I1510" s="253" t="s">
        <v>2750</v>
      </c>
      <c r="J1510" s="227" t="s">
        <v>2751</v>
      </c>
      <c r="K1510" s="253" t="s">
        <v>3140</v>
      </c>
      <c r="L1510" s="253" t="s">
        <v>2802</v>
      </c>
      <c r="M1510" s="227" t="s">
        <v>2803</v>
      </c>
      <c r="N1510" s="293"/>
      <c r="O1510" s="293" t="str">
        <f>TablaPOA[[#This Row],[Cod_Sub_acción_especifica]]&amp;"_"&amp;TablaPOA[[#This Row],[Tipo de agente]]</f>
        <v>K31.4.4.3_Distribuidores mayoristas, Importadores y Comercializadores</v>
      </c>
      <c r="P1510" s="254" t="s">
        <v>2852</v>
      </c>
      <c r="Q1510" s="292" t="str">
        <f>TablaPOA[[#This Row],[Cod_Sub_acción_especifica]]&amp;"_"&amp;TablaPOA[[#This Row],[Cod_Tipo_agente]]</f>
        <v>K31.4.4.3_TA4</v>
      </c>
      <c r="R1510" s="254" t="s">
        <v>2853</v>
      </c>
      <c r="S1510" s="255" t="s">
        <v>2854</v>
      </c>
      <c r="T1510" s="271" t="s">
        <v>2855</v>
      </c>
    </row>
    <row r="1511" spans="1:20" ht="25.5" x14ac:dyDescent="0.25">
      <c r="A1511" s="219" t="s">
        <v>2314</v>
      </c>
      <c r="B1511" s="227">
        <v>31</v>
      </c>
      <c r="C1511" s="227" t="s">
        <v>2691</v>
      </c>
      <c r="D1511" s="227" t="s">
        <v>2988</v>
      </c>
      <c r="E1511" s="227" t="s">
        <v>3189</v>
      </c>
      <c r="F1511" s="227" t="s">
        <v>2697</v>
      </c>
      <c r="G1511" s="227" t="s">
        <v>2497</v>
      </c>
      <c r="H1511" s="253" t="s">
        <v>3193</v>
      </c>
      <c r="I1511" s="253" t="s">
        <v>2750</v>
      </c>
      <c r="J1511" s="227" t="s">
        <v>2751</v>
      </c>
      <c r="K1511" s="253" t="s">
        <v>3140</v>
      </c>
      <c r="L1511" s="253" t="s">
        <v>2802</v>
      </c>
      <c r="M1511" s="227" t="s">
        <v>2803</v>
      </c>
      <c r="N1511" s="293"/>
      <c r="O1511" s="293" t="str">
        <f>TablaPOA[[#This Row],[Cod_Sub_acción_especifica]]&amp;"_"&amp;TablaPOA[[#This Row],[Tipo de agente]]</f>
        <v>K31.4.4.3_Distribuidores mayoristas, Importadores y Comercializadores</v>
      </c>
      <c r="P1511" s="254" t="s">
        <v>2852</v>
      </c>
      <c r="Q1511" s="292" t="str">
        <f>TablaPOA[[#This Row],[Cod_Sub_acción_especifica]]&amp;"_"&amp;TablaPOA[[#This Row],[Cod_Tipo_agente]]</f>
        <v>K31.4.4.3_TA4</v>
      </c>
      <c r="R1511" s="254" t="s">
        <v>2853</v>
      </c>
      <c r="S1511" s="255" t="s">
        <v>2856</v>
      </c>
      <c r="T1511" s="271" t="s">
        <v>2857</v>
      </c>
    </row>
    <row r="1512" spans="1:20" ht="25.5" x14ac:dyDescent="0.25">
      <c r="A1512" s="219" t="s">
        <v>2314</v>
      </c>
      <c r="B1512" s="227">
        <v>31</v>
      </c>
      <c r="C1512" s="227" t="s">
        <v>2691</v>
      </c>
      <c r="D1512" s="227" t="s">
        <v>2988</v>
      </c>
      <c r="E1512" s="227" t="s">
        <v>3189</v>
      </c>
      <c r="F1512" s="227" t="s">
        <v>2697</v>
      </c>
      <c r="G1512" s="227" t="s">
        <v>2497</v>
      </c>
      <c r="H1512" s="253" t="s">
        <v>3193</v>
      </c>
      <c r="I1512" s="253" t="s">
        <v>2750</v>
      </c>
      <c r="J1512" s="227" t="s">
        <v>2751</v>
      </c>
      <c r="K1512" s="253" t="s">
        <v>3140</v>
      </c>
      <c r="L1512" s="253" t="s">
        <v>2802</v>
      </c>
      <c r="M1512" s="227" t="s">
        <v>2803</v>
      </c>
      <c r="N1512" s="293"/>
      <c r="O1512" s="293" t="str">
        <f>TablaPOA[[#This Row],[Cod_Sub_acción_especifica]]&amp;"_"&amp;TablaPOA[[#This Row],[Tipo de agente]]</f>
        <v>K31.4.4.3_Distribuidores mayoristas, Importadores y Comercializadores</v>
      </c>
      <c r="P1512" s="254" t="s">
        <v>2852</v>
      </c>
      <c r="Q1512" s="292" t="str">
        <f>TablaPOA[[#This Row],[Cod_Sub_acción_especifica]]&amp;"_"&amp;TablaPOA[[#This Row],[Cod_Tipo_agente]]</f>
        <v>K31.4.4.3_TA4</v>
      </c>
      <c r="R1512" s="254" t="s">
        <v>2853</v>
      </c>
      <c r="S1512" s="255" t="s">
        <v>2858</v>
      </c>
      <c r="T1512" s="271" t="s">
        <v>2859</v>
      </c>
    </row>
    <row r="1513" spans="1:20" ht="25.5" x14ac:dyDescent="0.25">
      <c r="A1513" s="219" t="s">
        <v>2314</v>
      </c>
      <c r="B1513" s="227">
        <v>31</v>
      </c>
      <c r="C1513" s="227" t="s">
        <v>2691</v>
      </c>
      <c r="D1513" s="227" t="s">
        <v>2988</v>
      </c>
      <c r="E1513" s="227" t="s">
        <v>3189</v>
      </c>
      <c r="F1513" s="227" t="s">
        <v>2697</v>
      </c>
      <c r="G1513" s="227" t="s">
        <v>2497</v>
      </c>
      <c r="H1513" s="253" t="s">
        <v>3193</v>
      </c>
      <c r="I1513" s="253" t="s">
        <v>2750</v>
      </c>
      <c r="J1513" s="227" t="s">
        <v>2751</v>
      </c>
      <c r="K1513" s="253" t="s">
        <v>3140</v>
      </c>
      <c r="L1513" s="253" t="s">
        <v>2802</v>
      </c>
      <c r="M1513" s="227" t="s">
        <v>2803</v>
      </c>
      <c r="N1513" s="293"/>
      <c r="O1513" s="293" t="str">
        <f>TablaPOA[[#This Row],[Cod_Sub_acción_especifica]]&amp;"_"&amp;TablaPOA[[#This Row],[Tipo de agente]]</f>
        <v>K31.4.4.3_Distribuidores mayoristas, Importadores y Comercializadores</v>
      </c>
      <c r="P1513" s="254" t="s">
        <v>2852</v>
      </c>
      <c r="Q1513" s="292" t="str">
        <f>TablaPOA[[#This Row],[Cod_Sub_acción_especifica]]&amp;"_"&amp;TablaPOA[[#This Row],[Cod_Tipo_agente]]</f>
        <v>K31.4.4.3_TA4</v>
      </c>
      <c r="R1513" s="254" t="s">
        <v>2853</v>
      </c>
      <c r="S1513" s="255" t="s">
        <v>2860</v>
      </c>
      <c r="T1513" s="271" t="s">
        <v>2861</v>
      </c>
    </row>
    <row r="1514" spans="1:20" ht="25.5" x14ac:dyDescent="0.25">
      <c r="A1514" s="219" t="s">
        <v>2314</v>
      </c>
      <c r="B1514" s="227">
        <v>31</v>
      </c>
      <c r="C1514" s="227" t="s">
        <v>2691</v>
      </c>
      <c r="D1514" s="227" t="s">
        <v>2988</v>
      </c>
      <c r="E1514" s="227" t="s">
        <v>3189</v>
      </c>
      <c r="F1514" s="227" t="s">
        <v>2697</v>
      </c>
      <c r="G1514" s="227" t="s">
        <v>2497</v>
      </c>
      <c r="H1514" s="253" t="s">
        <v>3193</v>
      </c>
      <c r="I1514" s="253" t="s">
        <v>2750</v>
      </c>
      <c r="J1514" s="227" t="s">
        <v>2751</v>
      </c>
      <c r="K1514" s="253" t="s">
        <v>3140</v>
      </c>
      <c r="L1514" s="253" t="s">
        <v>2802</v>
      </c>
      <c r="M1514" s="227" t="s">
        <v>2803</v>
      </c>
      <c r="N1514" s="293"/>
      <c r="O1514" s="293" t="str">
        <f>TablaPOA[[#This Row],[Cod_Sub_acción_especifica]]&amp;"_"&amp;TablaPOA[[#This Row],[Tipo de agente]]</f>
        <v>K31.4.4.3_Distribuidores mayoristas, Importadores y Comercializadores</v>
      </c>
      <c r="P1514" s="254" t="s">
        <v>2852</v>
      </c>
      <c r="Q1514" s="292" t="str">
        <f>TablaPOA[[#This Row],[Cod_Sub_acción_especifica]]&amp;"_"&amp;TablaPOA[[#This Row],[Cod_Tipo_agente]]</f>
        <v>K31.4.4.3_TA4</v>
      </c>
      <c r="R1514" s="254" t="s">
        <v>2853</v>
      </c>
      <c r="S1514" s="255" t="s">
        <v>2862</v>
      </c>
      <c r="T1514" s="271" t="s">
        <v>2863</v>
      </c>
    </row>
    <row r="1515" spans="1:20" ht="25.5" x14ac:dyDescent="0.25">
      <c r="A1515" s="219" t="s">
        <v>2314</v>
      </c>
      <c r="B1515" s="227">
        <v>31</v>
      </c>
      <c r="C1515" s="227" t="s">
        <v>2691</v>
      </c>
      <c r="D1515" s="227" t="s">
        <v>2988</v>
      </c>
      <c r="E1515" s="227" t="s">
        <v>3189</v>
      </c>
      <c r="F1515" s="227" t="s">
        <v>2697</v>
      </c>
      <c r="G1515" s="227" t="s">
        <v>2497</v>
      </c>
      <c r="H1515" s="253" t="s">
        <v>3193</v>
      </c>
      <c r="I1515" s="253" t="s">
        <v>2750</v>
      </c>
      <c r="J1515" s="227" t="s">
        <v>2751</v>
      </c>
      <c r="K1515" s="253" t="s">
        <v>3140</v>
      </c>
      <c r="L1515" s="253" t="s">
        <v>2802</v>
      </c>
      <c r="M1515" s="227" t="s">
        <v>2803</v>
      </c>
      <c r="N1515" s="293"/>
      <c r="O1515" s="293" t="str">
        <f>TablaPOA[[#This Row],[Cod_Sub_acción_especifica]]&amp;"_"&amp;TablaPOA[[#This Row],[Tipo de agente]]</f>
        <v>K31.4.4.3_Distribuidores mayoristas, Importadores y Comercializadores</v>
      </c>
      <c r="P1515" s="254" t="s">
        <v>2852</v>
      </c>
      <c r="Q1515" s="292" t="str">
        <f>TablaPOA[[#This Row],[Cod_Sub_acción_especifica]]&amp;"_"&amp;TablaPOA[[#This Row],[Cod_Tipo_agente]]</f>
        <v>K31.4.4.3_TA4</v>
      </c>
      <c r="R1515" s="254" t="s">
        <v>2853</v>
      </c>
      <c r="S1515" s="255" t="s">
        <v>2864</v>
      </c>
      <c r="T1515" s="271" t="s">
        <v>2865</v>
      </c>
    </row>
    <row r="1516" spans="1:20" ht="25.5" x14ac:dyDescent="0.25">
      <c r="A1516" s="219" t="s">
        <v>2314</v>
      </c>
      <c r="B1516" s="227">
        <v>31</v>
      </c>
      <c r="C1516" s="227" t="s">
        <v>2691</v>
      </c>
      <c r="D1516" s="227" t="s">
        <v>2988</v>
      </c>
      <c r="E1516" s="227" t="s">
        <v>3189</v>
      </c>
      <c r="F1516" s="227" t="s">
        <v>2697</v>
      </c>
      <c r="G1516" s="227" t="s">
        <v>2497</v>
      </c>
      <c r="H1516" s="253" t="s">
        <v>3193</v>
      </c>
      <c r="I1516" s="253" t="s">
        <v>2750</v>
      </c>
      <c r="J1516" s="227" t="s">
        <v>2751</v>
      </c>
      <c r="K1516" s="253" t="s">
        <v>3140</v>
      </c>
      <c r="L1516" s="253" t="s">
        <v>2802</v>
      </c>
      <c r="M1516" s="227" t="s">
        <v>2803</v>
      </c>
      <c r="N1516" s="293"/>
      <c r="O1516" s="293" t="str">
        <f>TablaPOA[[#This Row],[Cod_Sub_acción_especifica]]&amp;"_"&amp;TablaPOA[[#This Row],[Tipo de agente]]</f>
        <v>K31.4.4.3_Distribuidores mayoristas, Importadores y Comercializadores</v>
      </c>
      <c r="P1516" s="254" t="s">
        <v>2852</v>
      </c>
      <c r="Q1516" s="292" t="str">
        <f>TablaPOA[[#This Row],[Cod_Sub_acción_especifica]]&amp;"_"&amp;TablaPOA[[#This Row],[Cod_Tipo_agente]]</f>
        <v>K31.4.4.3_TA4</v>
      </c>
      <c r="R1516" s="254" t="s">
        <v>2853</v>
      </c>
      <c r="S1516" s="255" t="s">
        <v>2866</v>
      </c>
      <c r="T1516" s="271" t="s">
        <v>2867</v>
      </c>
    </row>
    <row r="1517" spans="1:20" ht="25.5" x14ac:dyDescent="0.25">
      <c r="A1517" s="219" t="s">
        <v>2314</v>
      </c>
      <c r="B1517" s="227">
        <v>31</v>
      </c>
      <c r="C1517" s="227" t="s">
        <v>2691</v>
      </c>
      <c r="D1517" s="227" t="s">
        <v>2988</v>
      </c>
      <c r="E1517" s="227" t="s">
        <v>3189</v>
      </c>
      <c r="F1517" s="227" t="s">
        <v>2697</v>
      </c>
      <c r="G1517" s="227" t="s">
        <v>2497</v>
      </c>
      <c r="H1517" s="253" t="s">
        <v>3193</v>
      </c>
      <c r="I1517" s="253" t="s">
        <v>2750</v>
      </c>
      <c r="J1517" s="227" t="s">
        <v>2751</v>
      </c>
      <c r="K1517" s="253" t="s">
        <v>3140</v>
      </c>
      <c r="L1517" s="253" t="s">
        <v>2802</v>
      </c>
      <c r="M1517" s="227" t="s">
        <v>2803</v>
      </c>
      <c r="N1517" s="293"/>
      <c r="O1517" s="293" t="str">
        <f>TablaPOA[[#This Row],[Cod_Sub_acción_especifica]]&amp;"_"&amp;TablaPOA[[#This Row],[Tipo de agente]]</f>
        <v>K31.4.4.3_Distribuidores mayoristas, Importadores y Comercializadores</v>
      </c>
      <c r="P1517" s="254" t="s">
        <v>2852</v>
      </c>
      <c r="Q1517" s="292" t="str">
        <f>TablaPOA[[#This Row],[Cod_Sub_acción_especifica]]&amp;"_"&amp;TablaPOA[[#This Row],[Cod_Tipo_agente]]</f>
        <v>K31.4.4.3_TA4</v>
      </c>
      <c r="R1517" s="254" t="s">
        <v>2853</v>
      </c>
      <c r="S1517" s="255" t="s">
        <v>2868</v>
      </c>
      <c r="T1517" s="271" t="s">
        <v>2869</v>
      </c>
    </row>
    <row r="1518" spans="1:20" ht="25.5" x14ac:dyDescent="0.25">
      <c r="A1518" s="219" t="s">
        <v>2314</v>
      </c>
      <c r="B1518" s="227">
        <v>31</v>
      </c>
      <c r="C1518" s="227" t="s">
        <v>2691</v>
      </c>
      <c r="D1518" s="227" t="s">
        <v>2988</v>
      </c>
      <c r="E1518" s="227" t="s">
        <v>3189</v>
      </c>
      <c r="F1518" s="227" t="s">
        <v>2697</v>
      </c>
      <c r="G1518" s="227" t="s">
        <v>2497</v>
      </c>
      <c r="H1518" s="253" t="s">
        <v>3193</v>
      </c>
      <c r="I1518" s="253" t="s">
        <v>2750</v>
      </c>
      <c r="J1518" s="227" t="s">
        <v>2751</v>
      </c>
      <c r="K1518" s="253" t="s">
        <v>3140</v>
      </c>
      <c r="L1518" s="253" t="s">
        <v>2802</v>
      </c>
      <c r="M1518" s="227" t="s">
        <v>2803</v>
      </c>
      <c r="N1518" s="293"/>
      <c r="O1518" s="293" t="str">
        <f>TablaPOA[[#This Row],[Cod_Sub_acción_especifica]]&amp;"_"&amp;TablaPOA[[#This Row],[Tipo de agente]]</f>
        <v>K31.4.4.3_Distribuidores mayoristas, Importadores y Comercializadores</v>
      </c>
      <c r="P1518" s="254" t="s">
        <v>2852</v>
      </c>
      <c r="Q1518" s="292" t="str">
        <f>TablaPOA[[#This Row],[Cod_Sub_acción_especifica]]&amp;"_"&amp;TablaPOA[[#This Row],[Cod_Tipo_agente]]</f>
        <v>K31.4.4.3_TA4</v>
      </c>
      <c r="R1518" s="254" t="s">
        <v>2853</v>
      </c>
      <c r="S1518" s="255" t="s">
        <v>2870</v>
      </c>
      <c r="T1518" s="271" t="s">
        <v>2871</v>
      </c>
    </row>
    <row r="1519" spans="1:20" ht="25.5" x14ac:dyDescent="0.25">
      <c r="A1519" s="219" t="s">
        <v>2314</v>
      </c>
      <c r="B1519" s="227">
        <v>31</v>
      </c>
      <c r="C1519" s="227" t="s">
        <v>2691</v>
      </c>
      <c r="D1519" s="227" t="s">
        <v>2988</v>
      </c>
      <c r="E1519" s="227" t="s">
        <v>3189</v>
      </c>
      <c r="F1519" s="227" t="s">
        <v>2697</v>
      </c>
      <c r="G1519" s="227" t="s">
        <v>2497</v>
      </c>
      <c r="H1519" s="253" t="s">
        <v>3193</v>
      </c>
      <c r="I1519" s="253" t="s">
        <v>2750</v>
      </c>
      <c r="J1519" s="227" t="s">
        <v>2751</v>
      </c>
      <c r="K1519" s="253" t="s">
        <v>3140</v>
      </c>
      <c r="L1519" s="253" t="s">
        <v>2802</v>
      </c>
      <c r="M1519" s="227" t="s">
        <v>2803</v>
      </c>
      <c r="N1519" s="293"/>
      <c r="O1519" s="293" t="str">
        <f>TablaPOA[[#This Row],[Cod_Sub_acción_especifica]]&amp;"_"&amp;TablaPOA[[#This Row],[Tipo de agente]]</f>
        <v>K31.4.4.3_Distribuidores mayoristas, Importadores y Comercializadores</v>
      </c>
      <c r="P1519" s="254" t="s">
        <v>2852</v>
      </c>
      <c r="Q1519" s="292" t="str">
        <f>TablaPOA[[#This Row],[Cod_Sub_acción_especifica]]&amp;"_"&amp;TablaPOA[[#This Row],[Cod_Tipo_agente]]</f>
        <v>K31.4.4.3_TA4</v>
      </c>
      <c r="R1519" s="254" t="s">
        <v>2853</v>
      </c>
      <c r="S1519" s="255" t="s">
        <v>2872</v>
      </c>
      <c r="T1519" s="271" t="s">
        <v>2873</v>
      </c>
    </row>
    <row r="1520" spans="1:20" ht="25.5" x14ac:dyDescent="0.25">
      <c r="A1520" s="219" t="s">
        <v>2314</v>
      </c>
      <c r="B1520" s="227">
        <v>31</v>
      </c>
      <c r="C1520" s="227" t="s">
        <v>2691</v>
      </c>
      <c r="D1520" s="227" t="s">
        <v>2988</v>
      </c>
      <c r="E1520" s="227" t="s">
        <v>3189</v>
      </c>
      <c r="F1520" s="227" t="s">
        <v>2697</v>
      </c>
      <c r="G1520" s="227" t="s">
        <v>2497</v>
      </c>
      <c r="H1520" s="253" t="s">
        <v>3193</v>
      </c>
      <c r="I1520" s="253" t="s">
        <v>2750</v>
      </c>
      <c r="J1520" s="227" t="s">
        <v>2751</v>
      </c>
      <c r="K1520" s="253" t="s">
        <v>3140</v>
      </c>
      <c r="L1520" s="253" t="s">
        <v>2802</v>
      </c>
      <c r="M1520" s="227" t="s">
        <v>2803</v>
      </c>
      <c r="N1520" s="293"/>
      <c r="O1520" s="293" t="str">
        <f>TablaPOA[[#This Row],[Cod_Sub_acción_especifica]]&amp;"_"&amp;TablaPOA[[#This Row],[Tipo de agente]]</f>
        <v>K31.4.4.3_Distribuidores mayoristas, Importadores y Comercializadores</v>
      </c>
      <c r="P1520" s="254" t="s">
        <v>2852</v>
      </c>
      <c r="Q1520" s="292" t="str">
        <f>TablaPOA[[#This Row],[Cod_Sub_acción_especifica]]&amp;"_"&amp;TablaPOA[[#This Row],[Cod_Tipo_agente]]</f>
        <v>K31.4.4.3_TA4</v>
      </c>
      <c r="R1520" s="254" t="s">
        <v>2853</v>
      </c>
      <c r="S1520" s="255" t="s">
        <v>2874</v>
      </c>
      <c r="T1520" s="271" t="s">
        <v>2875</v>
      </c>
    </row>
    <row r="1521" spans="1:20" ht="25.5" x14ac:dyDescent="0.25">
      <c r="A1521" s="268" t="s">
        <v>2314</v>
      </c>
      <c r="B1521" s="248">
        <v>31</v>
      </c>
      <c r="C1521" s="248" t="s">
        <v>2691</v>
      </c>
      <c r="D1521" s="248" t="s">
        <v>2988</v>
      </c>
      <c r="E1521" s="248" t="s">
        <v>3189</v>
      </c>
      <c r="F1521" s="248" t="s">
        <v>2697</v>
      </c>
      <c r="G1521" s="248" t="s">
        <v>2497</v>
      </c>
      <c r="H1521" s="266" t="s">
        <v>3193</v>
      </c>
      <c r="I1521" s="249" t="s">
        <v>2750</v>
      </c>
      <c r="J1521" s="248" t="s">
        <v>2751</v>
      </c>
      <c r="K1521" s="266" t="s">
        <v>3141</v>
      </c>
      <c r="L1521" s="266" t="s">
        <v>2798</v>
      </c>
      <c r="M1521" s="248" t="s">
        <v>2369</v>
      </c>
      <c r="N1521" s="299" t="s">
        <v>2913</v>
      </c>
      <c r="O1521" s="292" t="str">
        <f>TablaPOA[[#This Row],[Cod_Sub_acción_especifica]]&amp;"_"&amp;TablaPOA[[#This Row],[Tipo de agente]]</f>
        <v>K31.4.4.4_Locales de venta de GLP</v>
      </c>
      <c r="P1521" s="250" t="s">
        <v>2912</v>
      </c>
      <c r="Q1521" s="292" t="str">
        <f>TablaPOA[[#This Row],[Cod_Sub_acción_especifica]]&amp;"_"&amp;TablaPOA[[#This Row],[Cod_Tipo_agente]]</f>
        <v>K31.4.4.4_TA8</v>
      </c>
      <c r="R1521" s="250" t="s">
        <v>2913</v>
      </c>
      <c r="S1521" s="251" t="s">
        <v>2914</v>
      </c>
      <c r="T1521" s="269" t="s">
        <v>2915</v>
      </c>
    </row>
    <row r="1522" spans="1:20" ht="25.5" x14ac:dyDescent="0.25">
      <c r="A1522" s="268" t="s">
        <v>2314</v>
      </c>
      <c r="B1522" s="248">
        <v>31</v>
      </c>
      <c r="C1522" s="248" t="s">
        <v>2691</v>
      </c>
      <c r="D1522" s="248" t="s">
        <v>2988</v>
      </c>
      <c r="E1522" s="248" t="s">
        <v>3189</v>
      </c>
      <c r="F1522" s="248" t="s">
        <v>2697</v>
      </c>
      <c r="G1522" s="248" t="s">
        <v>2497</v>
      </c>
      <c r="H1522" s="266" t="s">
        <v>3193</v>
      </c>
      <c r="I1522" s="249" t="s">
        <v>2750</v>
      </c>
      <c r="J1522" s="248" t="s">
        <v>2751</v>
      </c>
      <c r="K1522" s="266" t="s">
        <v>3141</v>
      </c>
      <c r="L1522" s="266" t="s">
        <v>2798</v>
      </c>
      <c r="M1522" s="248" t="s">
        <v>2369</v>
      </c>
      <c r="N1522" s="299" t="s">
        <v>2919</v>
      </c>
      <c r="O1522" s="292" t="str">
        <f>TablaPOA[[#This Row],[Cod_Sub_acción_especifica]]&amp;"_"&amp;TablaPOA[[#This Row],[Tipo de agente]]</f>
        <v>K31.4.4.4_Locales de venta de GLP</v>
      </c>
      <c r="P1522" s="250" t="s">
        <v>2912</v>
      </c>
      <c r="Q1522" s="292" t="str">
        <f>TablaPOA[[#This Row],[Cod_Sub_acción_especifica]]&amp;"_"&amp;TablaPOA[[#This Row],[Cod_Tipo_agente]]</f>
        <v>K31.4.4.4_TA8</v>
      </c>
      <c r="R1522" s="250" t="s">
        <v>2913</v>
      </c>
      <c r="S1522" s="251" t="s">
        <v>2916</v>
      </c>
      <c r="T1522" s="269" t="s">
        <v>2917</v>
      </c>
    </row>
    <row r="1523" spans="1:20" ht="25.5" x14ac:dyDescent="0.25">
      <c r="A1523" s="268" t="s">
        <v>2314</v>
      </c>
      <c r="B1523" s="248">
        <v>31</v>
      </c>
      <c r="C1523" s="248" t="s">
        <v>2691</v>
      </c>
      <c r="D1523" s="248" t="s">
        <v>2988</v>
      </c>
      <c r="E1523" s="248" t="s">
        <v>3189</v>
      </c>
      <c r="F1523" s="248" t="s">
        <v>2697</v>
      </c>
      <c r="G1523" s="248" t="s">
        <v>2497</v>
      </c>
      <c r="H1523" s="266" t="s">
        <v>3193</v>
      </c>
      <c r="I1523" s="249" t="s">
        <v>2750</v>
      </c>
      <c r="J1523" s="248" t="s">
        <v>2751</v>
      </c>
      <c r="K1523" s="266" t="s">
        <v>3141</v>
      </c>
      <c r="L1523" s="266" t="s">
        <v>2798</v>
      </c>
      <c r="M1523" s="248" t="s">
        <v>2369</v>
      </c>
      <c r="N1523" s="293"/>
      <c r="O1523" s="293" t="str">
        <f>TablaPOA[[#This Row],[Cod_Sub_acción_especifica]]&amp;"_"&amp;TablaPOA[[#This Row],[Tipo de agente]]</f>
        <v>K31.4.4.4_Medios de transporte</v>
      </c>
      <c r="P1523" s="250" t="s">
        <v>2918</v>
      </c>
      <c r="Q1523" s="292" t="str">
        <f>TablaPOA[[#This Row],[Cod_Sub_acción_especifica]]&amp;"_"&amp;TablaPOA[[#This Row],[Cod_Tipo_agente]]</f>
        <v>K31.4.4.4_TA9</v>
      </c>
      <c r="R1523" s="250" t="s">
        <v>2919</v>
      </c>
      <c r="S1523" s="251" t="s">
        <v>2920</v>
      </c>
      <c r="T1523" s="269" t="s">
        <v>2921</v>
      </c>
    </row>
    <row r="1524" spans="1:20" ht="25.5" x14ac:dyDescent="0.25">
      <c r="A1524" s="268" t="s">
        <v>2314</v>
      </c>
      <c r="B1524" s="248">
        <v>31</v>
      </c>
      <c r="C1524" s="248" t="s">
        <v>2691</v>
      </c>
      <c r="D1524" s="248" t="s">
        <v>2988</v>
      </c>
      <c r="E1524" s="248" t="s">
        <v>3189</v>
      </c>
      <c r="F1524" s="248" t="s">
        <v>2697</v>
      </c>
      <c r="G1524" s="248" t="s">
        <v>2497</v>
      </c>
      <c r="H1524" s="266" t="s">
        <v>3193</v>
      </c>
      <c r="I1524" s="249" t="s">
        <v>2750</v>
      </c>
      <c r="J1524" s="248" t="s">
        <v>2751</v>
      </c>
      <c r="K1524" s="266" t="s">
        <v>3141</v>
      </c>
      <c r="L1524" s="266" t="s">
        <v>2798</v>
      </c>
      <c r="M1524" s="248" t="s">
        <v>2369</v>
      </c>
      <c r="N1524" s="293"/>
      <c r="O1524" s="293" t="str">
        <f>TablaPOA[[#This Row],[Cod_Sub_acción_especifica]]&amp;"_"&amp;TablaPOA[[#This Row],[Tipo de agente]]</f>
        <v>K31.4.4.4_Medios de transporte</v>
      </c>
      <c r="P1524" s="250" t="s">
        <v>2918</v>
      </c>
      <c r="Q1524" s="292" t="str">
        <f>TablaPOA[[#This Row],[Cod_Sub_acción_especifica]]&amp;"_"&amp;TablaPOA[[#This Row],[Cod_Tipo_agente]]</f>
        <v>K31.4.4.4_TA9</v>
      </c>
      <c r="R1524" s="250" t="s">
        <v>2919</v>
      </c>
      <c r="S1524" s="251" t="s">
        <v>2922</v>
      </c>
      <c r="T1524" s="269" t="s">
        <v>2923</v>
      </c>
    </row>
    <row r="1525" spans="1:20" ht="25.5" x14ac:dyDescent="0.25">
      <c r="A1525" s="268" t="s">
        <v>2314</v>
      </c>
      <c r="B1525" s="248">
        <v>31</v>
      </c>
      <c r="C1525" s="248" t="s">
        <v>2691</v>
      </c>
      <c r="D1525" s="248" t="s">
        <v>2988</v>
      </c>
      <c r="E1525" s="248" t="s">
        <v>3189</v>
      </c>
      <c r="F1525" s="248" t="s">
        <v>2697</v>
      </c>
      <c r="G1525" s="248" t="s">
        <v>2497</v>
      </c>
      <c r="H1525" s="266" t="s">
        <v>3193</v>
      </c>
      <c r="I1525" s="249" t="s">
        <v>2750</v>
      </c>
      <c r="J1525" s="248" t="s">
        <v>2751</v>
      </c>
      <c r="K1525" s="266" t="s">
        <v>3141</v>
      </c>
      <c r="L1525" s="266" t="s">
        <v>2798</v>
      </c>
      <c r="M1525" s="248" t="s">
        <v>2369</v>
      </c>
      <c r="N1525" s="293"/>
      <c r="O1525" s="293" t="str">
        <f>TablaPOA[[#This Row],[Cod_Sub_acción_especifica]]&amp;"_"&amp;TablaPOA[[#This Row],[Tipo de agente]]</f>
        <v>K31.4.4.4_Medios de transporte</v>
      </c>
      <c r="P1525" s="250" t="s">
        <v>2918</v>
      </c>
      <c r="Q1525" s="292" t="str">
        <f>TablaPOA[[#This Row],[Cod_Sub_acción_especifica]]&amp;"_"&amp;TablaPOA[[#This Row],[Cod_Tipo_agente]]</f>
        <v>K31.4.4.4_TA9</v>
      </c>
      <c r="R1525" s="250" t="s">
        <v>2919</v>
      </c>
      <c r="S1525" s="251" t="s">
        <v>2924</v>
      </c>
      <c r="T1525" s="269" t="s">
        <v>2925</v>
      </c>
    </row>
    <row r="1526" spans="1:20" ht="25.5" x14ac:dyDescent="0.25">
      <c r="A1526" s="268" t="s">
        <v>2314</v>
      </c>
      <c r="B1526" s="248">
        <v>31</v>
      </c>
      <c r="C1526" s="248" t="s">
        <v>2691</v>
      </c>
      <c r="D1526" s="248" t="s">
        <v>2988</v>
      </c>
      <c r="E1526" s="248" t="s">
        <v>3189</v>
      </c>
      <c r="F1526" s="248" t="s">
        <v>2697</v>
      </c>
      <c r="G1526" s="248" t="s">
        <v>2497</v>
      </c>
      <c r="H1526" s="266" t="s">
        <v>3193</v>
      </c>
      <c r="I1526" s="249" t="s">
        <v>2750</v>
      </c>
      <c r="J1526" s="248" t="s">
        <v>2751</v>
      </c>
      <c r="K1526" s="266" t="s">
        <v>3141</v>
      </c>
      <c r="L1526" s="266" t="s">
        <v>2798</v>
      </c>
      <c r="M1526" s="248" t="s">
        <v>2369</v>
      </c>
      <c r="N1526" s="293"/>
      <c r="O1526" s="293" t="str">
        <f>TablaPOA[[#This Row],[Cod_Sub_acción_especifica]]&amp;"_"&amp;TablaPOA[[#This Row],[Tipo de agente]]</f>
        <v>K31.4.4.4_Medios de transporte</v>
      </c>
      <c r="P1526" s="250" t="s">
        <v>2918</v>
      </c>
      <c r="Q1526" s="292" t="str">
        <f>TablaPOA[[#This Row],[Cod_Sub_acción_especifica]]&amp;"_"&amp;TablaPOA[[#This Row],[Cod_Tipo_agente]]</f>
        <v>K31.4.4.4_TA9</v>
      </c>
      <c r="R1526" s="250" t="s">
        <v>2919</v>
      </c>
      <c r="S1526" s="251" t="s">
        <v>2926</v>
      </c>
      <c r="T1526" s="269" t="s">
        <v>2927</v>
      </c>
    </row>
    <row r="1527" spans="1:20" ht="25.5" x14ac:dyDescent="0.25">
      <c r="A1527" s="268" t="s">
        <v>2314</v>
      </c>
      <c r="B1527" s="248">
        <v>31</v>
      </c>
      <c r="C1527" s="248" t="s">
        <v>2691</v>
      </c>
      <c r="D1527" s="248" t="s">
        <v>2988</v>
      </c>
      <c r="E1527" s="248" t="s">
        <v>3189</v>
      </c>
      <c r="F1527" s="248" t="s">
        <v>2697</v>
      </c>
      <c r="G1527" s="248" t="s">
        <v>2497</v>
      </c>
      <c r="H1527" s="266" t="s">
        <v>3193</v>
      </c>
      <c r="I1527" s="249" t="s">
        <v>2750</v>
      </c>
      <c r="J1527" s="248" t="s">
        <v>2751</v>
      </c>
      <c r="K1527" s="266" t="s">
        <v>3141</v>
      </c>
      <c r="L1527" s="266" t="s">
        <v>2798</v>
      </c>
      <c r="M1527" s="248" t="s">
        <v>2369</v>
      </c>
      <c r="N1527" s="293"/>
      <c r="O1527" s="293" t="str">
        <f>TablaPOA[[#This Row],[Cod_Sub_acción_especifica]]&amp;"_"&amp;TablaPOA[[#This Row],[Tipo de agente]]</f>
        <v>K31.4.4.4_Medios de transporte</v>
      </c>
      <c r="P1527" s="250" t="s">
        <v>2918</v>
      </c>
      <c r="Q1527" s="292" t="str">
        <f>TablaPOA[[#This Row],[Cod_Sub_acción_especifica]]&amp;"_"&amp;TablaPOA[[#This Row],[Cod_Tipo_agente]]</f>
        <v>K31.4.4.4_TA9</v>
      </c>
      <c r="R1527" s="250" t="s">
        <v>2919</v>
      </c>
      <c r="S1527" s="251" t="s">
        <v>2928</v>
      </c>
      <c r="T1527" s="269" t="s">
        <v>2929</v>
      </c>
    </row>
    <row r="1528" spans="1:20" ht="25.5" x14ac:dyDescent="0.25">
      <c r="A1528" s="268" t="s">
        <v>2314</v>
      </c>
      <c r="B1528" s="248">
        <v>31</v>
      </c>
      <c r="C1528" s="248" t="s">
        <v>2691</v>
      </c>
      <c r="D1528" s="248" t="s">
        <v>2988</v>
      </c>
      <c r="E1528" s="248" t="s">
        <v>3189</v>
      </c>
      <c r="F1528" s="248" t="s">
        <v>2697</v>
      </c>
      <c r="G1528" s="248" t="s">
        <v>2497</v>
      </c>
      <c r="H1528" s="266" t="s">
        <v>3193</v>
      </c>
      <c r="I1528" s="249" t="s">
        <v>2750</v>
      </c>
      <c r="J1528" s="248" t="s">
        <v>2751</v>
      </c>
      <c r="K1528" s="266" t="s">
        <v>3141</v>
      </c>
      <c r="L1528" s="266" t="s">
        <v>2798</v>
      </c>
      <c r="M1528" s="248" t="s">
        <v>2369</v>
      </c>
      <c r="N1528" s="293"/>
      <c r="O1528" s="293" t="str">
        <f>TablaPOA[[#This Row],[Cod_Sub_acción_especifica]]&amp;"_"&amp;TablaPOA[[#This Row],[Tipo de agente]]</f>
        <v>K31.4.4.4_Medios de transporte</v>
      </c>
      <c r="P1528" s="250" t="s">
        <v>2918</v>
      </c>
      <c r="Q1528" s="292" t="str">
        <f>TablaPOA[[#This Row],[Cod_Sub_acción_especifica]]&amp;"_"&amp;TablaPOA[[#This Row],[Cod_Tipo_agente]]</f>
        <v>K31.4.4.4_TA9</v>
      </c>
      <c r="R1528" s="250" t="s">
        <v>2919</v>
      </c>
      <c r="S1528" s="251" t="s">
        <v>2930</v>
      </c>
      <c r="T1528" s="269" t="s">
        <v>2931</v>
      </c>
    </row>
    <row r="1529" spans="1:20" ht="25.5" x14ac:dyDescent="0.25">
      <c r="A1529" s="268" t="s">
        <v>2314</v>
      </c>
      <c r="B1529" s="248">
        <v>31</v>
      </c>
      <c r="C1529" s="248" t="s">
        <v>2691</v>
      </c>
      <c r="D1529" s="248" t="s">
        <v>2988</v>
      </c>
      <c r="E1529" s="248" t="s">
        <v>3189</v>
      </c>
      <c r="F1529" s="248" t="s">
        <v>2697</v>
      </c>
      <c r="G1529" s="248" t="s">
        <v>2497</v>
      </c>
      <c r="H1529" s="266" t="s">
        <v>3193</v>
      </c>
      <c r="I1529" s="249" t="s">
        <v>2750</v>
      </c>
      <c r="J1529" s="248" t="s">
        <v>2751</v>
      </c>
      <c r="K1529" s="266" t="s">
        <v>3141</v>
      </c>
      <c r="L1529" s="266" t="s">
        <v>2798</v>
      </c>
      <c r="M1529" s="248" t="s">
        <v>2369</v>
      </c>
      <c r="N1529" s="293"/>
      <c r="O1529" s="293" t="str">
        <f>TablaPOA[[#This Row],[Cod_Sub_acción_especifica]]&amp;"_"&amp;TablaPOA[[#This Row],[Tipo de agente]]</f>
        <v>K31.4.4.4_Medios de transporte</v>
      </c>
      <c r="P1529" s="250" t="s">
        <v>2918</v>
      </c>
      <c r="Q1529" s="292" t="str">
        <f>TablaPOA[[#This Row],[Cod_Sub_acción_especifica]]&amp;"_"&amp;TablaPOA[[#This Row],[Cod_Tipo_agente]]</f>
        <v>K31.4.4.4_TA9</v>
      </c>
      <c r="R1529" s="250" t="s">
        <v>2919</v>
      </c>
      <c r="S1529" s="251" t="s">
        <v>2932</v>
      </c>
      <c r="T1529" s="269" t="s">
        <v>2933</v>
      </c>
    </row>
    <row r="1530" spans="1:20" ht="25.5" x14ac:dyDescent="0.25">
      <c r="A1530" s="268" t="s">
        <v>2314</v>
      </c>
      <c r="B1530" s="248">
        <v>31</v>
      </c>
      <c r="C1530" s="248" t="s">
        <v>2691</v>
      </c>
      <c r="D1530" s="248" t="s">
        <v>2988</v>
      </c>
      <c r="E1530" s="248" t="s">
        <v>3189</v>
      </c>
      <c r="F1530" s="248" t="s">
        <v>2697</v>
      </c>
      <c r="G1530" s="248" t="s">
        <v>2497</v>
      </c>
      <c r="H1530" s="266" t="s">
        <v>3193</v>
      </c>
      <c r="I1530" s="249" t="s">
        <v>2750</v>
      </c>
      <c r="J1530" s="248" t="s">
        <v>2751</v>
      </c>
      <c r="K1530" s="266" t="s">
        <v>3141</v>
      </c>
      <c r="L1530" s="266" t="s">
        <v>2798</v>
      </c>
      <c r="M1530" s="248" t="s">
        <v>2369</v>
      </c>
      <c r="N1530" s="293"/>
      <c r="O1530" s="293" t="str">
        <f>TablaPOA[[#This Row],[Cod_Sub_acción_especifica]]&amp;"_"&amp;TablaPOA[[#This Row],[Tipo de agente]]</f>
        <v>K31.4.4.4_Medios de transporte</v>
      </c>
      <c r="P1530" s="250" t="s">
        <v>2918</v>
      </c>
      <c r="Q1530" s="292" t="str">
        <f>TablaPOA[[#This Row],[Cod_Sub_acción_especifica]]&amp;"_"&amp;TablaPOA[[#This Row],[Cod_Tipo_agente]]</f>
        <v>K31.4.4.4_TA9</v>
      </c>
      <c r="R1530" s="250" t="s">
        <v>2919</v>
      </c>
      <c r="S1530" s="251" t="s">
        <v>2934</v>
      </c>
      <c r="T1530" s="269" t="s">
        <v>2935</v>
      </c>
    </row>
    <row r="1531" spans="1:20" ht="25.5" x14ac:dyDescent="0.25">
      <c r="A1531" s="268" t="s">
        <v>2314</v>
      </c>
      <c r="B1531" s="248">
        <v>31</v>
      </c>
      <c r="C1531" s="248" t="s">
        <v>2691</v>
      </c>
      <c r="D1531" s="248" t="s">
        <v>2988</v>
      </c>
      <c r="E1531" s="248" t="s">
        <v>3189</v>
      </c>
      <c r="F1531" s="248" t="s">
        <v>2697</v>
      </c>
      <c r="G1531" s="248" t="s">
        <v>2497</v>
      </c>
      <c r="H1531" s="266" t="s">
        <v>3193</v>
      </c>
      <c r="I1531" s="249" t="s">
        <v>2750</v>
      </c>
      <c r="J1531" s="248" t="s">
        <v>2751</v>
      </c>
      <c r="K1531" s="266" t="s">
        <v>3141</v>
      </c>
      <c r="L1531" s="266" t="s">
        <v>2798</v>
      </c>
      <c r="M1531" s="248" t="s">
        <v>2369</v>
      </c>
      <c r="N1531" s="293"/>
      <c r="O1531" s="293" t="str">
        <f>TablaPOA[[#This Row],[Cod_Sub_acción_especifica]]&amp;"_"&amp;TablaPOA[[#This Row],[Tipo de agente]]</f>
        <v>K31.4.4.4_Medios de transporte</v>
      </c>
      <c r="P1531" s="250" t="s">
        <v>2918</v>
      </c>
      <c r="Q1531" s="292" t="str">
        <f>TablaPOA[[#This Row],[Cod_Sub_acción_especifica]]&amp;"_"&amp;TablaPOA[[#This Row],[Cod_Tipo_agente]]</f>
        <v>K31.4.4.4_TA9</v>
      </c>
      <c r="R1531" s="250" t="s">
        <v>2919</v>
      </c>
      <c r="S1531" s="251" t="s">
        <v>2936</v>
      </c>
      <c r="T1531" s="269" t="s">
        <v>2937</v>
      </c>
    </row>
    <row r="1532" spans="1:20" ht="25.5" x14ac:dyDescent="0.25">
      <c r="A1532" s="268" t="s">
        <v>2314</v>
      </c>
      <c r="B1532" s="248">
        <v>31</v>
      </c>
      <c r="C1532" s="248" t="s">
        <v>2691</v>
      </c>
      <c r="D1532" s="248" t="s">
        <v>2988</v>
      </c>
      <c r="E1532" s="248" t="s">
        <v>3189</v>
      </c>
      <c r="F1532" s="248" t="s">
        <v>2697</v>
      </c>
      <c r="G1532" s="248" t="s">
        <v>2497</v>
      </c>
      <c r="H1532" s="266" t="s">
        <v>3193</v>
      </c>
      <c r="I1532" s="249" t="s">
        <v>2750</v>
      </c>
      <c r="J1532" s="248" t="s">
        <v>2751</v>
      </c>
      <c r="K1532" s="266" t="s">
        <v>3141</v>
      </c>
      <c r="L1532" s="266" t="s">
        <v>2798</v>
      </c>
      <c r="M1532" s="248" t="s">
        <v>2369</v>
      </c>
      <c r="N1532" s="293"/>
      <c r="O1532" s="293" t="str">
        <f>TablaPOA[[#This Row],[Cod_Sub_acción_especifica]]&amp;"_"&amp;TablaPOA[[#This Row],[Tipo de agente]]</f>
        <v>K31.4.4.4_Medios de transporte</v>
      </c>
      <c r="P1532" s="250" t="s">
        <v>2918</v>
      </c>
      <c r="Q1532" s="292" t="str">
        <f>TablaPOA[[#This Row],[Cod_Sub_acción_especifica]]&amp;"_"&amp;TablaPOA[[#This Row],[Cod_Tipo_agente]]</f>
        <v>K31.4.4.4_TA9</v>
      </c>
      <c r="R1532" s="250" t="s">
        <v>2919</v>
      </c>
      <c r="S1532" s="251" t="s">
        <v>2938</v>
      </c>
      <c r="T1532" s="269" t="s">
        <v>2939</v>
      </c>
    </row>
    <row r="1533" spans="1:20" ht="25.5" x14ac:dyDescent="0.25">
      <c r="A1533" s="268" t="s">
        <v>2314</v>
      </c>
      <c r="B1533" s="248">
        <v>31</v>
      </c>
      <c r="C1533" s="248" t="s">
        <v>2691</v>
      </c>
      <c r="D1533" s="248" t="s">
        <v>2988</v>
      </c>
      <c r="E1533" s="248" t="s">
        <v>3189</v>
      </c>
      <c r="F1533" s="248" t="s">
        <v>2697</v>
      </c>
      <c r="G1533" s="248" t="s">
        <v>2497</v>
      </c>
      <c r="H1533" s="266" t="s">
        <v>3193</v>
      </c>
      <c r="I1533" s="249" t="s">
        <v>2750</v>
      </c>
      <c r="J1533" s="248" t="s">
        <v>2751</v>
      </c>
      <c r="K1533" s="266" t="s">
        <v>3141</v>
      </c>
      <c r="L1533" s="266" t="s">
        <v>2798</v>
      </c>
      <c r="M1533" s="248" t="s">
        <v>2369</v>
      </c>
      <c r="N1533" s="293"/>
      <c r="O1533" s="293" t="str">
        <f>TablaPOA[[#This Row],[Cod_Sub_acción_especifica]]&amp;"_"&amp;TablaPOA[[#This Row],[Tipo de agente]]</f>
        <v>K31.4.4.4_Medios de transporte</v>
      </c>
      <c r="P1533" s="250" t="s">
        <v>2918</v>
      </c>
      <c r="Q1533" s="292" t="str">
        <f>TablaPOA[[#This Row],[Cod_Sub_acción_especifica]]&amp;"_"&amp;TablaPOA[[#This Row],[Cod_Tipo_agente]]</f>
        <v>K31.4.4.4_TA9</v>
      </c>
      <c r="R1533" s="250" t="s">
        <v>2919</v>
      </c>
      <c r="S1533" s="251" t="s">
        <v>2940</v>
      </c>
      <c r="T1533" s="269" t="s">
        <v>2941</v>
      </c>
    </row>
    <row r="1534" spans="1:20" ht="25.5" x14ac:dyDescent="0.25">
      <c r="A1534" s="268" t="s">
        <v>2314</v>
      </c>
      <c r="B1534" s="248">
        <v>31</v>
      </c>
      <c r="C1534" s="248" t="s">
        <v>2691</v>
      </c>
      <c r="D1534" s="248" t="s">
        <v>2988</v>
      </c>
      <c r="E1534" s="248" t="s">
        <v>3189</v>
      </c>
      <c r="F1534" s="248" t="s">
        <v>2697</v>
      </c>
      <c r="G1534" s="248" t="s">
        <v>2497</v>
      </c>
      <c r="H1534" s="266" t="s">
        <v>3193</v>
      </c>
      <c r="I1534" s="249" t="s">
        <v>2750</v>
      </c>
      <c r="J1534" s="248" t="s">
        <v>2751</v>
      </c>
      <c r="K1534" s="266" t="s">
        <v>3141</v>
      </c>
      <c r="L1534" s="266" t="s">
        <v>2798</v>
      </c>
      <c r="M1534" s="248" t="s">
        <v>2369</v>
      </c>
      <c r="N1534" s="293"/>
      <c r="O1534" s="293" t="str">
        <f>TablaPOA[[#This Row],[Cod_Sub_acción_especifica]]&amp;"_"&amp;TablaPOA[[#This Row],[Tipo de agente]]</f>
        <v>K31.4.4.4_Medios de transporte</v>
      </c>
      <c r="P1534" s="250" t="s">
        <v>2918</v>
      </c>
      <c r="Q1534" s="292" t="str">
        <f>TablaPOA[[#This Row],[Cod_Sub_acción_especifica]]&amp;"_"&amp;TablaPOA[[#This Row],[Cod_Tipo_agente]]</f>
        <v>K31.4.4.4_TA9</v>
      </c>
      <c r="R1534" s="250" t="s">
        <v>2919</v>
      </c>
      <c r="S1534" s="251" t="s">
        <v>2942</v>
      </c>
      <c r="T1534" s="269" t="s">
        <v>2943</v>
      </c>
    </row>
    <row r="1535" spans="1:20" ht="25.5" x14ac:dyDescent="0.25">
      <c r="A1535" s="268" t="s">
        <v>2314</v>
      </c>
      <c r="B1535" s="248">
        <v>31</v>
      </c>
      <c r="C1535" s="248" t="s">
        <v>2691</v>
      </c>
      <c r="D1535" s="248" t="s">
        <v>2988</v>
      </c>
      <c r="E1535" s="248" t="s">
        <v>3189</v>
      </c>
      <c r="F1535" s="248" t="s">
        <v>2697</v>
      </c>
      <c r="G1535" s="248" t="s">
        <v>2497</v>
      </c>
      <c r="H1535" s="266" t="s">
        <v>3193</v>
      </c>
      <c r="I1535" s="249" t="s">
        <v>2750</v>
      </c>
      <c r="J1535" s="248" t="s">
        <v>2751</v>
      </c>
      <c r="K1535" s="266" t="s">
        <v>3141</v>
      </c>
      <c r="L1535" s="266" t="s">
        <v>2798</v>
      </c>
      <c r="M1535" s="248" t="s">
        <v>2369</v>
      </c>
      <c r="N1535" s="293"/>
      <c r="O1535" s="293" t="str">
        <f>TablaPOA[[#This Row],[Cod_Sub_acción_especifica]]&amp;"_"&amp;TablaPOA[[#This Row],[Tipo de agente]]</f>
        <v>K31.4.4.4_Medios de transporte</v>
      </c>
      <c r="P1535" s="250" t="s">
        <v>2918</v>
      </c>
      <c r="Q1535" s="292" t="str">
        <f>TablaPOA[[#This Row],[Cod_Sub_acción_especifica]]&amp;"_"&amp;TablaPOA[[#This Row],[Cod_Tipo_agente]]</f>
        <v>K31.4.4.4_TA9</v>
      </c>
      <c r="R1535" s="250" t="s">
        <v>2919</v>
      </c>
      <c r="S1535" s="251" t="s">
        <v>2944</v>
      </c>
      <c r="T1535" s="269" t="s">
        <v>2945</v>
      </c>
    </row>
    <row r="1536" spans="1:20" ht="25.5" x14ac:dyDescent="0.25">
      <c r="A1536" s="268" t="s">
        <v>2314</v>
      </c>
      <c r="B1536" s="248">
        <v>31</v>
      </c>
      <c r="C1536" s="248" t="s">
        <v>2691</v>
      </c>
      <c r="D1536" s="248" t="s">
        <v>2988</v>
      </c>
      <c r="E1536" s="248" t="s">
        <v>3189</v>
      </c>
      <c r="F1536" s="248" t="s">
        <v>2697</v>
      </c>
      <c r="G1536" s="248" t="s">
        <v>2497</v>
      </c>
      <c r="H1536" s="266" t="s">
        <v>3193</v>
      </c>
      <c r="I1536" s="249" t="s">
        <v>2750</v>
      </c>
      <c r="J1536" s="248" t="s">
        <v>2751</v>
      </c>
      <c r="K1536" s="266" t="s">
        <v>3141</v>
      </c>
      <c r="L1536" s="266" t="s">
        <v>2798</v>
      </c>
      <c r="M1536" s="248" t="s">
        <v>2369</v>
      </c>
      <c r="N1536" s="293"/>
      <c r="O1536" s="293" t="str">
        <f>TablaPOA[[#This Row],[Cod_Sub_acción_especifica]]&amp;"_"&amp;TablaPOA[[#This Row],[Tipo de agente]]</f>
        <v>K31.4.4.4_Medios de transporte</v>
      </c>
      <c r="P1536" s="250" t="s">
        <v>2918</v>
      </c>
      <c r="Q1536" s="292" t="str">
        <f>TablaPOA[[#This Row],[Cod_Sub_acción_especifica]]&amp;"_"&amp;TablaPOA[[#This Row],[Cod_Tipo_agente]]</f>
        <v>K31.4.4.4_TA9</v>
      </c>
      <c r="R1536" s="250" t="s">
        <v>2919</v>
      </c>
      <c r="S1536" s="251" t="s">
        <v>2946</v>
      </c>
      <c r="T1536" s="269" t="s">
        <v>2947</v>
      </c>
    </row>
    <row r="1537" spans="1:20" ht="25.5" x14ac:dyDescent="0.25">
      <c r="A1537" s="268" t="s">
        <v>2314</v>
      </c>
      <c r="B1537" s="248">
        <v>31</v>
      </c>
      <c r="C1537" s="248" t="s">
        <v>2691</v>
      </c>
      <c r="D1537" s="248" t="s">
        <v>2988</v>
      </c>
      <c r="E1537" s="248" t="s">
        <v>3189</v>
      </c>
      <c r="F1537" s="248" t="s">
        <v>2697</v>
      </c>
      <c r="G1537" s="248" t="s">
        <v>2497</v>
      </c>
      <c r="H1537" s="266" t="s">
        <v>3193</v>
      </c>
      <c r="I1537" s="249" t="s">
        <v>2750</v>
      </c>
      <c r="J1537" s="248" t="s">
        <v>2751</v>
      </c>
      <c r="K1537" s="266" t="s">
        <v>3141</v>
      </c>
      <c r="L1537" s="266" t="s">
        <v>2798</v>
      </c>
      <c r="M1537" s="248" t="s">
        <v>2369</v>
      </c>
      <c r="N1537" s="293"/>
      <c r="O1537" s="293" t="str">
        <f>TablaPOA[[#This Row],[Cod_Sub_acción_especifica]]&amp;"_"&amp;TablaPOA[[#This Row],[Tipo de agente]]</f>
        <v>K31.4.4.4_Medios de transporte</v>
      </c>
      <c r="P1537" s="250" t="s">
        <v>2918</v>
      </c>
      <c r="Q1537" s="292" t="str">
        <f>TablaPOA[[#This Row],[Cod_Sub_acción_especifica]]&amp;"_"&amp;TablaPOA[[#This Row],[Cod_Tipo_agente]]</f>
        <v>K31.4.4.4_TA9</v>
      </c>
      <c r="R1537" s="250" t="s">
        <v>2919</v>
      </c>
      <c r="S1537" s="251" t="s">
        <v>2948</v>
      </c>
      <c r="T1537" s="269" t="s">
        <v>2949</v>
      </c>
    </row>
    <row r="1538" spans="1:20" ht="25.5" x14ac:dyDescent="0.25">
      <c r="A1538" s="219" t="s">
        <v>2314</v>
      </c>
      <c r="B1538" s="227">
        <v>31</v>
      </c>
      <c r="C1538" s="227" t="s">
        <v>2691</v>
      </c>
      <c r="D1538" s="227" t="s">
        <v>2988</v>
      </c>
      <c r="E1538" s="227" t="s">
        <v>3189</v>
      </c>
      <c r="F1538" s="227" t="s">
        <v>2697</v>
      </c>
      <c r="G1538" s="227" t="s">
        <v>2497</v>
      </c>
      <c r="H1538" s="267" t="s">
        <v>3193</v>
      </c>
      <c r="I1538" s="253" t="s">
        <v>2750</v>
      </c>
      <c r="J1538" s="227" t="s">
        <v>2751</v>
      </c>
      <c r="K1538" s="267" t="s">
        <v>3142</v>
      </c>
      <c r="L1538" s="267" t="s">
        <v>2799</v>
      </c>
      <c r="M1538" s="227" t="s">
        <v>2370</v>
      </c>
      <c r="N1538" s="299" t="s">
        <v>2840</v>
      </c>
      <c r="O1538" s="292" t="str">
        <f>TablaPOA[[#This Row],[Cod_Sub_acción_especifica]]&amp;"_"&amp;TablaPOA[[#This Row],[Tipo de agente]]</f>
        <v>K31.4.4.5_Consumidores directos de GLP y redes de distribución</v>
      </c>
      <c r="P1538" s="254" t="s">
        <v>2839</v>
      </c>
      <c r="Q1538" s="292" t="str">
        <f>TablaPOA[[#This Row],[Cod_Sub_acción_especifica]]&amp;"_"&amp;TablaPOA[[#This Row],[Cod_Tipo_agente]]</f>
        <v>K31.4.4.5_TA3</v>
      </c>
      <c r="R1538" s="254" t="s">
        <v>2840</v>
      </c>
      <c r="S1538" s="254">
        <v>400</v>
      </c>
      <c r="T1538" s="271" t="s">
        <v>2841</v>
      </c>
    </row>
    <row r="1539" spans="1:20" ht="25.5" x14ac:dyDescent="0.25">
      <c r="A1539" s="219" t="s">
        <v>2314</v>
      </c>
      <c r="B1539" s="227">
        <v>31</v>
      </c>
      <c r="C1539" s="227" t="s">
        <v>2691</v>
      </c>
      <c r="D1539" s="227" t="s">
        <v>2988</v>
      </c>
      <c r="E1539" s="227" t="s">
        <v>3189</v>
      </c>
      <c r="F1539" s="227" t="s">
        <v>2697</v>
      </c>
      <c r="G1539" s="227" t="s">
        <v>2497</v>
      </c>
      <c r="H1539" s="267" t="s">
        <v>3193</v>
      </c>
      <c r="I1539" s="253" t="s">
        <v>2750</v>
      </c>
      <c r="J1539" s="227" t="s">
        <v>2751</v>
      </c>
      <c r="K1539" s="267" t="s">
        <v>3142</v>
      </c>
      <c r="L1539" s="267" t="s">
        <v>2799</v>
      </c>
      <c r="M1539" s="227" t="s">
        <v>2370</v>
      </c>
      <c r="N1539" s="299" t="s">
        <v>2853</v>
      </c>
      <c r="O1539" s="292" t="str">
        <f>TablaPOA[[#This Row],[Cod_Sub_acción_especifica]]&amp;"_"&amp;TablaPOA[[#This Row],[Tipo de agente]]</f>
        <v>K31.4.4.5_Consumidores directos de GLP y redes de distribución</v>
      </c>
      <c r="P1539" s="254" t="s">
        <v>2839</v>
      </c>
      <c r="Q1539" s="292" t="str">
        <f>TablaPOA[[#This Row],[Cod_Sub_acción_especifica]]&amp;"_"&amp;TablaPOA[[#This Row],[Cod_Tipo_agente]]</f>
        <v>K31.4.4.5_TA3</v>
      </c>
      <c r="R1539" s="254" t="s">
        <v>2840</v>
      </c>
      <c r="S1539" s="254" t="s">
        <v>2842</v>
      </c>
      <c r="T1539" s="271" t="s">
        <v>2843</v>
      </c>
    </row>
    <row r="1540" spans="1:20" ht="25.5" x14ac:dyDescent="0.25">
      <c r="A1540" s="219" t="s">
        <v>2314</v>
      </c>
      <c r="B1540" s="227">
        <v>31</v>
      </c>
      <c r="C1540" s="227" t="s">
        <v>2691</v>
      </c>
      <c r="D1540" s="227" t="s">
        <v>2988</v>
      </c>
      <c r="E1540" s="227" t="s">
        <v>3189</v>
      </c>
      <c r="F1540" s="227" t="s">
        <v>2697</v>
      </c>
      <c r="G1540" s="227" t="s">
        <v>2497</v>
      </c>
      <c r="H1540" s="267" t="s">
        <v>3193</v>
      </c>
      <c r="I1540" s="253" t="s">
        <v>2750</v>
      </c>
      <c r="J1540" s="227" t="s">
        <v>2751</v>
      </c>
      <c r="K1540" s="267" t="s">
        <v>3142</v>
      </c>
      <c r="L1540" s="267" t="s">
        <v>2799</v>
      </c>
      <c r="M1540" s="227" t="s">
        <v>2370</v>
      </c>
      <c r="N1540" s="299" t="s">
        <v>2883</v>
      </c>
      <c r="O1540" s="292" t="str">
        <f>TablaPOA[[#This Row],[Cod_Sub_acción_especifica]]&amp;"_"&amp;TablaPOA[[#This Row],[Tipo de agente]]</f>
        <v>K31.4.4.5_Consumidores directos de GLP y redes de distribución</v>
      </c>
      <c r="P1540" s="254" t="s">
        <v>2839</v>
      </c>
      <c r="Q1540" s="292" t="str">
        <f>TablaPOA[[#This Row],[Cod_Sub_acción_especifica]]&amp;"_"&amp;TablaPOA[[#This Row],[Cod_Tipo_agente]]</f>
        <v>K31.4.4.5_TA3</v>
      </c>
      <c r="R1540" s="254" t="s">
        <v>2840</v>
      </c>
      <c r="S1540" s="254" t="s">
        <v>2844</v>
      </c>
      <c r="T1540" s="271" t="s">
        <v>2845</v>
      </c>
    </row>
    <row r="1541" spans="1:20" ht="25.5" x14ac:dyDescent="0.25">
      <c r="A1541" s="219" t="s">
        <v>2314</v>
      </c>
      <c r="B1541" s="227">
        <v>31</v>
      </c>
      <c r="C1541" s="227" t="s">
        <v>2691</v>
      </c>
      <c r="D1541" s="227" t="s">
        <v>2988</v>
      </c>
      <c r="E1541" s="227" t="s">
        <v>3189</v>
      </c>
      <c r="F1541" s="227" t="s">
        <v>2697</v>
      </c>
      <c r="G1541" s="227" t="s">
        <v>2497</v>
      </c>
      <c r="H1541" s="267" t="s">
        <v>3193</v>
      </c>
      <c r="I1541" s="253" t="s">
        <v>2750</v>
      </c>
      <c r="J1541" s="227" t="s">
        <v>2751</v>
      </c>
      <c r="K1541" s="267" t="s">
        <v>3142</v>
      </c>
      <c r="L1541" s="267" t="s">
        <v>2799</v>
      </c>
      <c r="M1541" s="227" t="s">
        <v>2370</v>
      </c>
      <c r="N1541" s="299" t="s">
        <v>2913</v>
      </c>
      <c r="O1541" s="292" t="str">
        <f>TablaPOA[[#This Row],[Cod_Sub_acción_especifica]]&amp;"_"&amp;TablaPOA[[#This Row],[Tipo de agente]]</f>
        <v>K31.4.4.5_Consumidores directos de GLP y redes de distribución</v>
      </c>
      <c r="P1541" s="254" t="s">
        <v>2839</v>
      </c>
      <c r="Q1541" s="292" t="str">
        <f>TablaPOA[[#This Row],[Cod_Sub_acción_especifica]]&amp;"_"&amp;TablaPOA[[#This Row],[Cod_Tipo_agente]]</f>
        <v>K31.4.4.5_TA3</v>
      </c>
      <c r="R1541" s="254" t="s">
        <v>2840</v>
      </c>
      <c r="S1541" s="254" t="s">
        <v>2846</v>
      </c>
      <c r="T1541" s="271" t="s">
        <v>2847</v>
      </c>
    </row>
    <row r="1542" spans="1:20" ht="25.5" x14ac:dyDescent="0.25">
      <c r="A1542" s="219" t="s">
        <v>2314</v>
      </c>
      <c r="B1542" s="227">
        <v>31</v>
      </c>
      <c r="C1542" s="227" t="s">
        <v>2691</v>
      </c>
      <c r="D1542" s="227" t="s">
        <v>2988</v>
      </c>
      <c r="E1542" s="227" t="s">
        <v>3189</v>
      </c>
      <c r="F1542" s="227" t="s">
        <v>2697</v>
      </c>
      <c r="G1542" s="227" t="s">
        <v>2497</v>
      </c>
      <c r="H1542" s="267" t="s">
        <v>3193</v>
      </c>
      <c r="I1542" s="253" t="s">
        <v>2750</v>
      </c>
      <c r="J1542" s="227" t="s">
        <v>2751</v>
      </c>
      <c r="K1542" s="267" t="s">
        <v>3142</v>
      </c>
      <c r="L1542" s="267" t="s">
        <v>2799</v>
      </c>
      <c r="M1542" s="227" t="s">
        <v>2370</v>
      </c>
      <c r="N1542" s="299" t="s">
        <v>2919</v>
      </c>
      <c r="O1542" s="292" t="str">
        <f>TablaPOA[[#This Row],[Cod_Sub_acción_especifica]]&amp;"_"&amp;TablaPOA[[#This Row],[Tipo de agente]]</f>
        <v>K31.4.4.5_Consumidores directos de GLP y redes de distribución</v>
      </c>
      <c r="P1542" s="254" t="s">
        <v>2839</v>
      </c>
      <c r="Q1542" s="292" t="str">
        <f>TablaPOA[[#This Row],[Cod_Sub_acción_especifica]]&amp;"_"&amp;TablaPOA[[#This Row],[Cod_Tipo_agente]]</f>
        <v>K31.4.4.5_TA3</v>
      </c>
      <c r="R1542" s="254" t="s">
        <v>2840</v>
      </c>
      <c r="S1542" s="254" t="s">
        <v>2848</v>
      </c>
      <c r="T1542" s="271" t="s">
        <v>2849</v>
      </c>
    </row>
    <row r="1543" spans="1:20" ht="25.5" x14ac:dyDescent="0.25">
      <c r="A1543" s="219" t="s">
        <v>2314</v>
      </c>
      <c r="B1543" s="227">
        <v>31</v>
      </c>
      <c r="C1543" s="227" t="s">
        <v>2691</v>
      </c>
      <c r="D1543" s="227" t="s">
        <v>2988</v>
      </c>
      <c r="E1543" s="227" t="s">
        <v>3189</v>
      </c>
      <c r="F1543" s="227" t="s">
        <v>2697</v>
      </c>
      <c r="G1543" s="227" t="s">
        <v>2497</v>
      </c>
      <c r="H1543" s="267" t="s">
        <v>3193</v>
      </c>
      <c r="I1543" s="253" t="s">
        <v>2750</v>
      </c>
      <c r="J1543" s="227" t="s">
        <v>2751</v>
      </c>
      <c r="K1543" s="267" t="s">
        <v>3142</v>
      </c>
      <c r="L1543" s="267" t="s">
        <v>2799</v>
      </c>
      <c r="M1543" s="227" t="s">
        <v>2370</v>
      </c>
      <c r="N1543" s="293"/>
      <c r="O1543" s="293" t="str">
        <f>TablaPOA[[#This Row],[Cod_Sub_acción_especifica]]&amp;"_"&amp;TablaPOA[[#This Row],[Tipo de agente]]</f>
        <v>K31.4.4.5_Consumidores directos de GLP y redes de distribución</v>
      </c>
      <c r="P1543" s="254" t="s">
        <v>2839</v>
      </c>
      <c r="Q1543" s="292" t="str">
        <f>TablaPOA[[#This Row],[Cod_Sub_acción_especifica]]&amp;"_"&amp;TablaPOA[[#This Row],[Cod_Tipo_agente]]</f>
        <v>K31.4.4.5_TA3</v>
      </c>
      <c r="R1543" s="254" t="s">
        <v>2840</v>
      </c>
      <c r="S1543" s="254" t="s">
        <v>2850</v>
      </c>
      <c r="T1543" s="271" t="s">
        <v>2851</v>
      </c>
    </row>
    <row r="1544" spans="1:20" ht="25.5" x14ac:dyDescent="0.25">
      <c r="A1544" s="219" t="s">
        <v>2314</v>
      </c>
      <c r="B1544" s="227">
        <v>31</v>
      </c>
      <c r="C1544" s="227" t="s">
        <v>2691</v>
      </c>
      <c r="D1544" s="227" t="s">
        <v>2988</v>
      </c>
      <c r="E1544" s="227" t="s">
        <v>3189</v>
      </c>
      <c r="F1544" s="227" t="s">
        <v>2697</v>
      </c>
      <c r="G1544" s="227" t="s">
        <v>2497</v>
      </c>
      <c r="H1544" s="267" t="s">
        <v>3193</v>
      </c>
      <c r="I1544" s="253" t="s">
        <v>2750</v>
      </c>
      <c r="J1544" s="227" t="s">
        <v>2751</v>
      </c>
      <c r="K1544" s="267" t="s">
        <v>3142</v>
      </c>
      <c r="L1544" s="267" t="s">
        <v>2799</v>
      </c>
      <c r="M1544" s="227" t="s">
        <v>2370</v>
      </c>
      <c r="N1544" s="293"/>
      <c r="O1544" s="293" t="str">
        <f>TablaPOA[[#This Row],[Cod_Sub_acción_especifica]]&amp;"_"&amp;TablaPOA[[#This Row],[Tipo de agente]]</f>
        <v>K31.4.4.5_Distribuidores mayoristas, Importadores y Comercializadores</v>
      </c>
      <c r="P1544" s="254" t="s">
        <v>2852</v>
      </c>
      <c r="Q1544" s="292" t="str">
        <f>TablaPOA[[#This Row],[Cod_Sub_acción_especifica]]&amp;"_"&amp;TablaPOA[[#This Row],[Cod_Tipo_agente]]</f>
        <v>K31.4.4.5_TA4</v>
      </c>
      <c r="R1544" s="254" t="s">
        <v>2853</v>
      </c>
      <c r="S1544" s="255" t="s">
        <v>2854</v>
      </c>
      <c r="T1544" s="271" t="s">
        <v>2855</v>
      </c>
    </row>
    <row r="1545" spans="1:20" ht="25.5" x14ac:dyDescent="0.25">
      <c r="A1545" s="219" t="s">
        <v>2314</v>
      </c>
      <c r="B1545" s="227">
        <v>31</v>
      </c>
      <c r="C1545" s="227" t="s">
        <v>2691</v>
      </c>
      <c r="D1545" s="227" t="s">
        <v>2988</v>
      </c>
      <c r="E1545" s="227" t="s">
        <v>3189</v>
      </c>
      <c r="F1545" s="227" t="s">
        <v>2697</v>
      </c>
      <c r="G1545" s="227" t="s">
        <v>2497</v>
      </c>
      <c r="H1545" s="267" t="s">
        <v>3193</v>
      </c>
      <c r="I1545" s="253" t="s">
        <v>2750</v>
      </c>
      <c r="J1545" s="227" t="s">
        <v>2751</v>
      </c>
      <c r="K1545" s="267" t="s">
        <v>3142</v>
      </c>
      <c r="L1545" s="267" t="s">
        <v>2799</v>
      </c>
      <c r="M1545" s="227" t="s">
        <v>2370</v>
      </c>
      <c r="N1545" s="293"/>
      <c r="O1545" s="293" t="str">
        <f>TablaPOA[[#This Row],[Cod_Sub_acción_especifica]]&amp;"_"&amp;TablaPOA[[#This Row],[Tipo de agente]]</f>
        <v>K31.4.4.5_Distribuidores mayoristas, Importadores y Comercializadores</v>
      </c>
      <c r="P1545" s="254" t="s">
        <v>2852</v>
      </c>
      <c r="Q1545" s="292" t="str">
        <f>TablaPOA[[#This Row],[Cod_Sub_acción_especifica]]&amp;"_"&amp;TablaPOA[[#This Row],[Cod_Tipo_agente]]</f>
        <v>K31.4.4.5_TA4</v>
      </c>
      <c r="R1545" s="254" t="s">
        <v>2853</v>
      </c>
      <c r="S1545" s="255" t="s">
        <v>2856</v>
      </c>
      <c r="T1545" s="271" t="s">
        <v>2857</v>
      </c>
    </row>
    <row r="1546" spans="1:20" ht="25.5" x14ac:dyDescent="0.25">
      <c r="A1546" s="219" t="s">
        <v>2314</v>
      </c>
      <c r="B1546" s="227">
        <v>31</v>
      </c>
      <c r="C1546" s="227" t="s">
        <v>2691</v>
      </c>
      <c r="D1546" s="227" t="s">
        <v>2988</v>
      </c>
      <c r="E1546" s="227" t="s">
        <v>3189</v>
      </c>
      <c r="F1546" s="227" t="s">
        <v>2697</v>
      </c>
      <c r="G1546" s="227" t="s">
        <v>2497</v>
      </c>
      <c r="H1546" s="267" t="s">
        <v>3193</v>
      </c>
      <c r="I1546" s="253" t="s">
        <v>2750</v>
      </c>
      <c r="J1546" s="227" t="s">
        <v>2751</v>
      </c>
      <c r="K1546" s="267" t="s">
        <v>3142</v>
      </c>
      <c r="L1546" s="267" t="s">
        <v>2799</v>
      </c>
      <c r="M1546" s="227" t="s">
        <v>2370</v>
      </c>
      <c r="N1546" s="293"/>
      <c r="O1546" s="293" t="str">
        <f>TablaPOA[[#This Row],[Cod_Sub_acción_especifica]]&amp;"_"&amp;TablaPOA[[#This Row],[Tipo de agente]]</f>
        <v>K31.4.4.5_Distribuidores mayoristas, Importadores y Comercializadores</v>
      </c>
      <c r="P1546" s="254" t="s">
        <v>2852</v>
      </c>
      <c r="Q1546" s="292" t="str">
        <f>TablaPOA[[#This Row],[Cod_Sub_acción_especifica]]&amp;"_"&amp;TablaPOA[[#This Row],[Cod_Tipo_agente]]</f>
        <v>K31.4.4.5_TA4</v>
      </c>
      <c r="R1546" s="254" t="s">
        <v>2853</v>
      </c>
      <c r="S1546" s="255" t="s">
        <v>2858</v>
      </c>
      <c r="T1546" s="271" t="s">
        <v>2859</v>
      </c>
    </row>
    <row r="1547" spans="1:20" ht="25.5" x14ac:dyDescent="0.25">
      <c r="A1547" s="219" t="s">
        <v>2314</v>
      </c>
      <c r="B1547" s="227">
        <v>31</v>
      </c>
      <c r="C1547" s="227" t="s">
        <v>2691</v>
      </c>
      <c r="D1547" s="227" t="s">
        <v>2988</v>
      </c>
      <c r="E1547" s="227" t="s">
        <v>3189</v>
      </c>
      <c r="F1547" s="227" t="s">
        <v>2697</v>
      </c>
      <c r="G1547" s="227" t="s">
        <v>2497</v>
      </c>
      <c r="H1547" s="267" t="s">
        <v>3193</v>
      </c>
      <c r="I1547" s="253" t="s">
        <v>2750</v>
      </c>
      <c r="J1547" s="227" t="s">
        <v>2751</v>
      </c>
      <c r="K1547" s="267" t="s">
        <v>3142</v>
      </c>
      <c r="L1547" s="267" t="s">
        <v>2799</v>
      </c>
      <c r="M1547" s="227" t="s">
        <v>2370</v>
      </c>
      <c r="N1547" s="293"/>
      <c r="O1547" s="293" t="str">
        <f>TablaPOA[[#This Row],[Cod_Sub_acción_especifica]]&amp;"_"&amp;TablaPOA[[#This Row],[Tipo de agente]]</f>
        <v>K31.4.4.5_Distribuidores mayoristas, Importadores y Comercializadores</v>
      </c>
      <c r="P1547" s="254" t="s">
        <v>2852</v>
      </c>
      <c r="Q1547" s="292" t="str">
        <f>TablaPOA[[#This Row],[Cod_Sub_acción_especifica]]&amp;"_"&amp;TablaPOA[[#This Row],[Cod_Tipo_agente]]</f>
        <v>K31.4.4.5_TA4</v>
      </c>
      <c r="R1547" s="254" t="s">
        <v>2853</v>
      </c>
      <c r="S1547" s="255" t="s">
        <v>2860</v>
      </c>
      <c r="T1547" s="271" t="s">
        <v>2861</v>
      </c>
    </row>
    <row r="1548" spans="1:20" ht="25.5" x14ac:dyDescent="0.25">
      <c r="A1548" s="219" t="s">
        <v>2314</v>
      </c>
      <c r="B1548" s="227">
        <v>31</v>
      </c>
      <c r="C1548" s="227" t="s">
        <v>2691</v>
      </c>
      <c r="D1548" s="227" t="s">
        <v>2988</v>
      </c>
      <c r="E1548" s="227" t="s">
        <v>3189</v>
      </c>
      <c r="F1548" s="227" t="s">
        <v>2697</v>
      </c>
      <c r="G1548" s="227" t="s">
        <v>2497</v>
      </c>
      <c r="H1548" s="267" t="s">
        <v>3193</v>
      </c>
      <c r="I1548" s="253" t="s">
        <v>2750</v>
      </c>
      <c r="J1548" s="227" t="s">
        <v>2751</v>
      </c>
      <c r="K1548" s="267" t="s">
        <v>3142</v>
      </c>
      <c r="L1548" s="267" t="s">
        <v>2799</v>
      </c>
      <c r="M1548" s="227" t="s">
        <v>2370</v>
      </c>
      <c r="N1548" s="293"/>
      <c r="O1548" s="293" t="str">
        <f>TablaPOA[[#This Row],[Cod_Sub_acción_especifica]]&amp;"_"&amp;TablaPOA[[#This Row],[Tipo de agente]]</f>
        <v>K31.4.4.5_Distribuidores mayoristas, Importadores y Comercializadores</v>
      </c>
      <c r="P1548" s="254" t="s">
        <v>2852</v>
      </c>
      <c r="Q1548" s="292" t="str">
        <f>TablaPOA[[#This Row],[Cod_Sub_acción_especifica]]&amp;"_"&amp;TablaPOA[[#This Row],[Cod_Tipo_agente]]</f>
        <v>K31.4.4.5_TA4</v>
      </c>
      <c r="R1548" s="254" t="s">
        <v>2853</v>
      </c>
      <c r="S1548" s="255" t="s">
        <v>2862</v>
      </c>
      <c r="T1548" s="271" t="s">
        <v>2863</v>
      </c>
    </row>
    <row r="1549" spans="1:20" ht="25.5" x14ac:dyDescent="0.25">
      <c r="A1549" s="219" t="s">
        <v>2314</v>
      </c>
      <c r="B1549" s="227">
        <v>31</v>
      </c>
      <c r="C1549" s="227" t="s">
        <v>2691</v>
      </c>
      <c r="D1549" s="227" t="s">
        <v>2988</v>
      </c>
      <c r="E1549" s="227" t="s">
        <v>3189</v>
      </c>
      <c r="F1549" s="227" t="s">
        <v>2697</v>
      </c>
      <c r="G1549" s="227" t="s">
        <v>2497</v>
      </c>
      <c r="H1549" s="267" t="s">
        <v>3193</v>
      </c>
      <c r="I1549" s="253" t="s">
        <v>2750</v>
      </c>
      <c r="J1549" s="227" t="s">
        <v>2751</v>
      </c>
      <c r="K1549" s="267" t="s">
        <v>3142</v>
      </c>
      <c r="L1549" s="267" t="s">
        <v>2799</v>
      </c>
      <c r="M1549" s="227" t="s">
        <v>2370</v>
      </c>
      <c r="N1549" s="293"/>
      <c r="O1549" s="293" t="str">
        <f>TablaPOA[[#This Row],[Cod_Sub_acción_especifica]]&amp;"_"&amp;TablaPOA[[#This Row],[Tipo de agente]]</f>
        <v>K31.4.4.5_Distribuidores mayoristas, Importadores y Comercializadores</v>
      </c>
      <c r="P1549" s="254" t="s">
        <v>2852</v>
      </c>
      <c r="Q1549" s="292" t="str">
        <f>TablaPOA[[#This Row],[Cod_Sub_acción_especifica]]&amp;"_"&amp;TablaPOA[[#This Row],[Cod_Tipo_agente]]</f>
        <v>K31.4.4.5_TA4</v>
      </c>
      <c r="R1549" s="254" t="s">
        <v>2853</v>
      </c>
      <c r="S1549" s="255" t="s">
        <v>2864</v>
      </c>
      <c r="T1549" s="271" t="s">
        <v>2865</v>
      </c>
    </row>
    <row r="1550" spans="1:20" ht="25.5" x14ac:dyDescent="0.25">
      <c r="A1550" s="219" t="s">
        <v>2314</v>
      </c>
      <c r="B1550" s="227">
        <v>31</v>
      </c>
      <c r="C1550" s="227" t="s">
        <v>2691</v>
      </c>
      <c r="D1550" s="227" t="s">
        <v>2988</v>
      </c>
      <c r="E1550" s="227" t="s">
        <v>3189</v>
      </c>
      <c r="F1550" s="227" t="s">
        <v>2697</v>
      </c>
      <c r="G1550" s="227" t="s">
        <v>2497</v>
      </c>
      <c r="H1550" s="267" t="s">
        <v>3193</v>
      </c>
      <c r="I1550" s="253" t="s">
        <v>2750</v>
      </c>
      <c r="J1550" s="227" t="s">
        <v>2751</v>
      </c>
      <c r="K1550" s="267" t="s">
        <v>3142</v>
      </c>
      <c r="L1550" s="267" t="s">
        <v>2799</v>
      </c>
      <c r="M1550" s="227" t="s">
        <v>2370</v>
      </c>
      <c r="N1550" s="293"/>
      <c r="O1550" s="293" t="str">
        <f>TablaPOA[[#This Row],[Cod_Sub_acción_especifica]]&amp;"_"&amp;TablaPOA[[#This Row],[Tipo de agente]]</f>
        <v>K31.4.4.5_Distribuidores mayoristas, Importadores y Comercializadores</v>
      </c>
      <c r="P1550" s="254" t="s">
        <v>2852</v>
      </c>
      <c r="Q1550" s="292" t="str">
        <f>TablaPOA[[#This Row],[Cod_Sub_acción_especifica]]&amp;"_"&amp;TablaPOA[[#This Row],[Cod_Tipo_agente]]</f>
        <v>K31.4.4.5_TA4</v>
      </c>
      <c r="R1550" s="254" t="s">
        <v>2853</v>
      </c>
      <c r="S1550" s="255" t="s">
        <v>2866</v>
      </c>
      <c r="T1550" s="271" t="s">
        <v>2867</v>
      </c>
    </row>
    <row r="1551" spans="1:20" ht="25.5" x14ac:dyDescent="0.25">
      <c r="A1551" s="219" t="s">
        <v>2314</v>
      </c>
      <c r="B1551" s="227">
        <v>31</v>
      </c>
      <c r="C1551" s="227" t="s">
        <v>2691</v>
      </c>
      <c r="D1551" s="227" t="s">
        <v>2988</v>
      </c>
      <c r="E1551" s="227" t="s">
        <v>3189</v>
      </c>
      <c r="F1551" s="227" t="s">
        <v>2697</v>
      </c>
      <c r="G1551" s="227" t="s">
        <v>2497</v>
      </c>
      <c r="H1551" s="267" t="s">
        <v>3193</v>
      </c>
      <c r="I1551" s="253" t="s">
        <v>2750</v>
      </c>
      <c r="J1551" s="227" t="s">
        <v>2751</v>
      </c>
      <c r="K1551" s="267" t="s">
        <v>3142</v>
      </c>
      <c r="L1551" s="267" t="s">
        <v>2799</v>
      </c>
      <c r="M1551" s="227" t="s">
        <v>2370</v>
      </c>
      <c r="N1551" s="293"/>
      <c r="O1551" s="293" t="str">
        <f>TablaPOA[[#This Row],[Cod_Sub_acción_especifica]]&amp;"_"&amp;TablaPOA[[#This Row],[Tipo de agente]]</f>
        <v>K31.4.4.5_Distribuidores mayoristas, Importadores y Comercializadores</v>
      </c>
      <c r="P1551" s="254" t="s">
        <v>2852</v>
      </c>
      <c r="Q1551" s="292" t="str">
        <f>TablaPOA[[#This Row],[Cod_Sub_acción_especifica]]&amp;"_"&amp;TablaPOA[[#This Row],[Cod_Tipo_agente]]</f>
        <v>K31.4.4.5_TA4</v>
      </c>
      <c r="R1551" s="254" t="s">
        <v>2853</v>
      </c>
      <c r="S1551" s="255" t="s">
        <v>2868</v>
      </c>
      <c r="T1551" s="271" t="s">
        <v>2869</v>
      </c>
    </row>
    <row r="1552" spans="1:20" ht="25.5" x14ac:dyDescent="0.25">
      <c r="A1552" s="219" t="s">
        <v>2314</v>
      </c>
      <c r="B1552" s="227">
        <v>31</v>
      </c>
      <c r="C1552" s="227" t="s">
        <v>2691</v>
      </c>
      <c r="D1552" s="227" t="s">
        <v>2988</v>
      </c>
      <c r="E1552" s="227" t="s">
        <v>3189</v>
      </c>
      <c r="F1552" s="227" t="s">
        <v>2697</v>
      </c>
      <c r="G1552" s="227" t="s">
        <v>2497</v>
      </c>
      <c r="H1552" s="267" t="s">
        <v>3193</v>
      </c>
      <c r="I1552" s="253" t="s">
        <v>2750</v>
      </c>
      <c r="J1552" s="227" t="s">
        <v>2751</v>
      </c>
      <c r="K1552" s="267" t="s">
        <v>3142</v>
      </c>
      <c r="L1552" s="267" t="s">
        <v>2799</v>
      </c>
      <c r="M1552" s="227" t="s">
        <v>2370</v>
      </c>
      <c r="N1552" s="293"/>
      <c r="O1552" s="293" t="str">
        <f>TablaPOA[[#This Row],[Cod_Sub_acción_especifica]]&amp;"_"&amp;TablaPOA[[#This Row],[Tipo de agente]]</f>
        <v>K31.4.4.5_Distribuidores mayoristas, Importadores y Comercializadores</v>
      </c>
      <c r="P1552" s="254" t="s">
        <v>2852</v>
      </c>
      <c r="Q1552" s="292" t="str">
        <f>TablaPOA[[#This Row],[Cod_Sub_acción_especifica]]&amp;"_"&amp;TablaPOA[[#This Row],[Cod_Tipo_agente]]</f>
        <v>K31.4.4.5_TA4</v>
      </c>
      <c r="R1552" s="254" t="s">
        <v>2853</v>
      </c>
      <c r="S1552" s="255" t="s">
        <v>2870</v>
      </c>
      <c r="T1552" s="271" t="s">
        <v>2871</v>
      </c>
    </row>
    <row r="1553" spans="1:20" ht="25.5" x14ac:dyDescent="0.25">
      <c r="A1553" s="219" t="s">
        <v>2314</v>
      </c>
      <c r="B1553" s="227">
        <v>31</v>
      </c>
      <c r="C1553" s="227" t="s">
        <v>2691</v>
      </c>
      <c r="D1553" s="227" t="s">
        <v>2988</v>
      </c>
      <c r="E1553" s="227" t="s">
        <v>3189</v>
      </c>
      <c r="F1553" s="227" t="s">
        <v>2697</v>
      </c>
      <c r="G1553" s="227" t="s">
        <v>2497</v>
      </c>
      <c r="H1553" s="267" t="s">
        <v>3193</v>
      </c>
      <c r="I1553" s="253" t="s">
        <v>2750</v>
      </c>
      <c r="J1553" s="227" t="s">
        <v>2751</v>
      </c>
      <c r="K1553" s="267" t="s">
        <v>3142</v>
      </c>
      <c r="L1553" s="267" t="s">
        <v>2799</v>
      </c>
      <c r="M1553" s="227" t="s">
        <v>2370</v>
      </c>
      <c r="N1553" s="293"/>
      <c r="O1553" s="293" t="str">
        <f>TablaPOA[[#This Row],[Cod_Sub_acción_especifica]]&amp;"_"&amp;TablaPOA[[#This Row],[Tipo de agente]]</f>
        <v>K31.4.4.5_Distribuidores mayoristas, Importadores y Comercializadores</v>
      </c>
      <c r="P1553" s="254" t="s">
        <v>2852</v>
      </c>
      <c r="Q1553" s="292" t="str">
        <f>TablaPOA[[#This Row],[Cod_Sub_acción_especifica]]&amp;"_"&amp;TablaPOA[[#This Row],[Cod_Tipo_agente]]</f>
        <v>K31.4.4.5_TA4</v>
      </c>
      <c r="R1553" s="254" t="s">
        <v>2853</v>
      </c>
      <c r="S1553" s="255" t="s">
        <v>2872</v>
      </c>
      <c r="T1553" s="271" t="s">
        <v>2873</v>
      </c>
    </row>
    <row r="1554" spans="1:20" ht="25.5" x14ac:dyDescent="0.25">
      <c r="A1554" s="219" t="s">
        <v>2314</v>
      </c>
      <c r="B1554" s="227">
        <v>31</v>
      </c>
      <c r="C1554" s="227" t="s">
        <v>2691</v>
      </c>
      <c r="D1554" s="227" t="s">
        <v>2988</v>
      </c>
      <c r="E1554" s="227" t="s">
        <v>3189</v>
      </c>
      <c r="F1554" s="227" t="s">
        <v>2697</v>
      </c>
      <c r="G1554" s="227" t="s">
        <v>2497</v>
      </c>
      <c r="H1554" s="267" t="s">
        <v>3193</v>
      </c>
      <c r="I1554" s="253" t="s">
        <v>2750</v>
      </c>
      <c r="J1554" s="227" t="s">
        <v>2751</v>
      </c>
      <c r="K1554" s="267" t="s">
        <v>3142</v>
      </c>
      <c r="L1554" s="267" t="s">
        <v>2799</v>
      </c>
      <c r="M1554" s="227" t="s">
        <v>2370</v>
      </c>
      <c r="N1554" s="293"/>
      <c r="O1554" s="293" t="str">
        <f>TablaPOA[[#This Row],[Cod_Sub_acción_especifica]]&amp;"_"&amp;TablaPOA[[#This Row],[Tipo de agente]]</f>
        <v>K31.4.4.5_Distribuidores mayoristas, Importadores y Comercializadores</v>
      </c>
      <c r="P1554" s="254" t="s">
        <v>2852</v>
      </c>
      <c r="Q1554" s="292" t="str">
        <f>TablaPOA[[#This Row],[Cod_Sub_acción_especifica]]&amp;"_"&amp;TablaPOA[[#This Row],[Cod_Tipo_agente]]</f>
        <v>K31.4.4.5_TA4</v>
      </c>
      <c r="R1554" s="254" t="s">
        <v>2853</v>
      </c>
      <c r="S1554" s="255" t="s">
        <v>2874</v>
      </c>
      <c r="T1554" s="271" t="s">
        <v>2875</v>
      </c>
    </row>
    <row r="1555" spans="1:20" ht="25.5" x14ac:dyDescent="0.25">
      <c r="A1555" s="219" t="s">
        <v>2314</v>
      </c>
      <c r="B1555" s="227">
        <v>31</v>
      </c>
      <c r="C1555" s="227" t="s">
        <v>2691</v>
      </c>
      <c r="D1555" s="227" t="s">
        <v>2988</v>
      </c>
      <c r="E1555" s="227" t="s">
        <v>3189</v>
      </c>
      <c r="F1555" s="227" t="s">
        <v>2697</v>
      </c>
      <c r="G1555" s="227" t="s">
        <v>2497</v>
      </c>
      <c r="H1555" s="267" t="s">
        <v>3193</v>
      </c>
      <c r="I1555" s="253" t="s">
        <v>2750</v>
      </c>
      <c r="J1555" s="227" t="s">
        <v>2751</v>
      </c>
      <c r="K1555" s="267" t="s">
        <v>3142</v>
      </c>
      <c r="L1555" s="267" t="s">
        <v>2799</v>
      </c>
      <c r="M1555" s="227" t="s">
        <v>2370</v>
      </c>
      <c r="N1555" s="293"/>
      <c r="O1555" s="293" t="str">
        <f>TablaPOA[[#This Row],[Cod_Sub_acción_especifica]]&amp;"_"&amp;TablaPOA[[#This Row],[Tipo de agente]]</f>
        <v>K31.4.4.5_EVP combustibles de uso automotor</v>
      </c>
      <c r="P1555" s="254" t="s">
        <v>2882</v>
      </c>
      <c r="Q1555" s="292" t="str">
        <f>TablaPOA[[#This Row],[Cod_Sub_acción_especifica]]&amp;"_"&amp;TablaPOA[[#This Row],[Cod_Tipo_agente]]</f>
        <v>K31.4.4.5_TA6</v>
      </c>
      <c r="R1555" s="254" t="s">
        <v>2883</v>
      </c>
      <c r="S1555" s="255" t="s">
        <v>2884</v>
      </c>
      <c r="T1555" s="271" t="s">
        <v>2885</v>
      </c>
    </row>
    <row r="1556" spans="1:20" ht="25.5" x14ac:dyDescent="0.25">
      <c r="A1556" s="219" t="s">
        <v>2314</v>
      </c>
      <c r="B1556" s="227">
        <v>31</v>
      </c>
      <c r="C1556" s="227" t="s">
        <v>2691</v>
      </c>
      <c r="D1556" s="227" t="s">
        <v>2988</v>
      </c>
      <c r="E1556" s="227" t="s">
        <v>3189</v>
      </c>
      <c r="F1556" s="227" t="s">
        <v>2697</v>
      </c>
      <c r="G1556" s="227" t="s">
        <v>2497</v>
      </c>
      <c r="H1556" s="267" t="s">
        <v>3193</v>
      </c>
      <c r="I1556" s="253" t="s">
        <v>2750</v>
      </c>
      <c r="J1556" s="227" t="s">
        <v>2751</v>
      </c>
      <c r="K1556" s="267" t="s">
        <v>3142</v>
      </c>
      <c r="L1556" s="267" t="s">
        <v>2799</v>
      </c>
      <c r="M1556" s="227" t="s">
        <v>2370</v>
      </c>
      <c r="N1556" s="293"/>
      <c r="O1556" s="293" t="str">
        <f>TablaPOA[[#This Row],[Cod_Sub_acción_especifica]]&amp;"_"&amp;TablaPOA[[#This Row],[Tipo de agente]]</f>
        <v>K31.4.4.5_EVP combustibles de uso automotor</v>
      </c>
      <c r="P1556" s="254" t="s">
        <v>2882</v>
      </c>
      <c r="Q1556" s="292" t="str">
        <f>TablaPOA[[#This Row],[Cod_Sub_acción_especifica]]&amp;"_"&amp;TablaPOA[[#This Row],[Cod_Tipo_agente]]</f>
        <v>K31.4.4.5_TA6</v>
      </c>
      <c r="R1556" s="254" t="s">
        <v>2883</v>
      </c>
      <c r="S1556" s="255" t="s">
        <v>2886</v>
      </c>
      <c r="T1556" s="271" t="s">
        <v>2887</v>
      </c>
    </row>
    <row r="1557" spans="1:20" ht="25.5" x14ac:dyDescent="0.25">
      <c r="A1557" s="219" t="s">
        <v>2314</v>
      </c>
      <c r="B1557" s="227">
        <v>31</v>
      </c>
      <c r="C1557" s="227" t="s">
        <v>2691</v>
      </c>
      <c r="D1557" s="227" t="s">
        <v>2988</v>
      </c>
      <c r="E1557" s="227" t="s">
        <v>3189</v>
      </c>
      <c r="F1557" s="227" t="s">
        <v>2697</v>
      </c>
      <c r="G1557" s="227" t="s">
        <v>2497</v>
      </c>
      <c r="H1557" s="267" t="s">
        <v>3193</v>
      </c>
      <c r="I1557" s="253" t="s">
        <v>2750</v>
      </c>
      <c r="J1557" s="227" t="s">
        <v>2751</v>
      </c>
      <c r="K1557" s="267" t="s">
        <v>3142</v>
      </c>
      <c r="L1557" s="267" t="s">
        <v>2799</v>
      </c>
      <c r="M1557" s="227" t="s">
        <v>2370</v>
      </c>
      <c r="N1557" s="293"/>
      <c r="O1557" s="293" t="str">
        <f>TablaPOA[[#This Row],[Cod_Sub_acción_especifica]]&amp;"_"&amp;TablaPOA[[#This Row],[Tipo de agente]]</f>
        <v>K31.4.4.5_EVP combustibles de uso automotor</v>
      </c>
      <c r="P1557" s="254" t="s">
        <v>2882</v>
      </c>
      <c r="Q1557" s="292" t="str">
        <f>TablaPOA[[#This Row],[Cod_Sub_acción_especifica]]&amp;"_"&amp;TablaPOA[[#This Row],[Cod_Tipo_agente]]</f>
        <v>K31.4.4.5_TA6</v>
      </c>
      <c r="R1557" s="254" t="s">
        <v>2883</v>
      </c>
      <c r="S1557" s="255" t="s">
        <v>2892</v>
      </c>
      <c r="T1557" s="271" t="s">
        <v>2893</v>
      </c>
    </row>
    <row r="1558" spans="1:20" ht="25.5" x14ac:dyDescent="0.25">
      <c r="A1558" s="219" t="s">
        <v>2314</v>
      </c>
      <c r="B1558" s="227">
        <v>31</v>
      </c>
      <c r="C1558" s="227" t="s">
        <v>2691</v>
      </c>
      <c r="D1558" s="227" t="s">
        <v>2988</v>
      </c>
      <c r="E1558" s="227" t="s">
        <v>3189</v>
      </c>
      <c r="F1558" s="227" t="s">
        <v>2697</v>
      </c>
      <c r="G1558" s="227" t="s">
        <v>2497</v>
      </c>
      <c r="H1558" s="267" t="s">
        <v>3193</v>
      </c>
      <c r="I1558" s="253" t="s">
        <v>2750</v>
      </c>
      <c r="J1558" s="227" t="s">
        <v>2751</v>
      </c>
      <c r="K1558" s="267" t="s">
        <v>3142</v>
      </c>
      <c r="L1558" s="267" t="s">
        <v>2799</v>
      </c>
      <c r="M1558" s="227" t="s">
        <v>2370</v>
      </c>
      <c r="N1558" s="293"/>
      <c r="O1558" s="293" t="str">
        <f>TablaPOA[[#This Row],[Cod_Sub_acción_especifica]]&amp;"_"&amp;TablaPOA[[#This Row],[Tipo de agente]]</f>
        <v>K31.4.4.5_EVP combustibles de uso automotor</v>
      </c>
      <c r="P1558" s="254" t="s">
        <v>2882</v>
      </c>
      <c r="Q1558" s="292" t="str">
        <f>TablaPOA[[#This Row],[Cod_Sub_acción_especifica]]&amp;"_"&amp;TablaPOA[[#This Row],[Cod_Tipo_agente]]</f>
        <v>K31.4.4.5_TA6</v>
      </c>
      <c r="R1558" s="254" t="s">
        <v>2883</v>
      </c>
      <c r="S1558" s="255" t="s">
        <v>2894</v>
      </c>
      <c r="T1558" s="271" t="s">
        <v>2895</v>
      </c>
    </row>
    <row r="1559" spans="1:20" ht="25.5" x14ac:dyDescent="0.25">
      <c r="A1559" s="219" t="s">
        <v>2314</v>
      </c>
      <c r="B1559" s="227">
        <v>31</v>
      </c>
      <c r="C1559" s="227" t="s">
        <v>2691</v>
      </c>
      <c r="D1559" s="227" t="s">
        <v>2988</v>
      </c>
      <c r="E1559" s="227" t="s">
        <v>3189</v>
      </c>
      <c r="F1559" s="227" t="s">
        <v>2697</v>
      </c>
      <c r="G1559" s="227" t="s">
        <v>2497</v>
      </c>
      <c r="H1559" s="267" t="s">
        <v>3193</v>
      </c>
      <c r="I1559" s="253" t="s">
        <v>2750</v>
      </c>
      <c r="J1559" s="227" t="s">
        <v>2751</v>
      </c>
      <c r="K1559" s="267" t="s">
        <v>3142</v>
      </c>
      <c r="L1559" s="267" t="s">
        <v>2799</v>
      </c>
      <c r="M1559" s="227" t="s">
        <v>2370</v>
      </c>
      <c r="N1559" s="293"/>
      <c r="O1559" s="293" t="str">
        <f>TablaPOA[[#This Row],[Cod_Sub_acción_especifica]]&amp;"_"&amp;TablaPOA[[#This Row],[Tipo de agente]]</f>
        <v>K31.4.4.5_EVP combustibles de uso automotor</v>
      </c>
      <c r="P1559" s="254" t="s">
        <v>2882</v>
      </c>
      <c r="Q1559" s="292" t="str">
        <f>TablaPOA[[#This Row],[Cod_Sub_acción_especifica]]&amp;"_"&amp;TablaPOA[[#This Row],[Cod_Tipo_agente]]</f>
        <v>K31.4.4.5_TA6</v>
      </c>
      <c r="R1559" s="254" t="s">
        <v>2883</v>
      </c>
      <c r="S1559" s="255" t="s">
        <v>2896</v>
      </c>
      <c r="T1559" s="271" t="s">
        <v>2897</v>
      </c>
    </row>
    <row r="1560" spans="1:20" ht="25.5" x14ac:dyDescent="0.25">
      <c r="A1560" s="219" t="s">
        <v>2314</v>
      </c>
      <c r="B1560" s="227">
        <v>31</v>
      </c>
      <c r="C1560" s="227" t="s">
        <v>2691</v>
      </c>
      <c r="D1560" s="227" t="s">
        <v>2988</v>
      </c>
      <c r="E1560" s="227" t="s">
        <v>3189</v>
      </c>
      <c r="F1560" s="227" t="s">
        <v>2697</v>
      </c>
      <c r="G1560" s="227" t="s">
        <v>2497</v>
      </c>
      <c r="H1560" s="267" t="s">
        <v>3193</v>
      </c>
      <c r="I1560" s="253" t="s">
        <v>2750</v>
      </c>
      <c r="J1560" s="227" t="s">
        <v>2751</v>
      </c>
      <c r="K1560" s="267" t="s">
        <v>3142</v>
      </c>
      <c r="L1560" s="267" t="s">
        <v>2799</v>
      </c>
      <c r="M1560" s="227" t="s">
        <v>2370</v>
      </c>
      <c r="N1560" s="293"/>
      <c r="O1560" s="293" t="str">
        <f>TablaPOA[[#This Row],[Cod_Sub_acción_especifica]]&amp;"_"&amp;TablaPOA[[#This Row],[Tipo de agente]]</f>
        <v>K31.4.4.5_EVP combustibles de uso automotor</v>
      </c>
      <c r="P1560" s="254" t="s">
        <v>2882</v>
      </c>
      <c r="Q1560" s="292" t="str">
        <f>TablaPOA[[#This Row],[Cod_Sub_acción_especifica]]&amp;"_"&amp;TablaPOA[[#This Row],[Cod_Tipo_agente]]</f>
        <v>K31.4.4.5_TA6</v>
      </c>
      <c r="R1560" s="254" t="s">
        <v>2883</v>
      </c>
      <c r="S1560" s="255" t="s">
        <v>2898</v>
      </c>
      <c r="T1560" s="271" t="s">
        <v>2899</v>
      </c>
    </row>
    <row r="1561" spans="1:20" ht="25.5" x14ac:dyDescent="0.25">
      <c r="A1561" s="219" t="s">
        <v>2314</v>
      </c>
      <c r="B1561" s="227">
        <v>31</v>
      </c>
      <c r="C1561" s="227" t="s">
        <v>2691</v>
      </c>
      <c r="D1561" s="227" t="s">
        <v>2988</v>
      </c>
      <c r="E1561" s="227" t="s">
        <v>3189</v>
      </c>
      <c r="F1561" s="227" t="s">
        <v>2697</v>
      </c>
      <c r="G1561" s="227" t="s">
        <v>2497</v>
      </c>
      <c r="H1561" s="267" t="s">
        <v>3193</v>
      </c>
      <c r="I1561" s="253" t="s">
        <v>2750</v>
      </c>
      <c r="J1561" s="227" t="s">
        <v>2751</v>
      </c>
      <c r="K1561" s="267" t="s">
        <v>3142</v>
      </c>
      <c r="L1561" s="267" t="s">
        <v>2799</v>
      </c>
      <c r="M1561" s="227" t="s">
        <v>2370</v>
      </c>
      <c r="N1561" s="293"/>
      <c r="O1561" s="293" t="str">
        <f>TablaPOA[[#This Row],[Cod_Sub_acción_especifica]]&amp;"_"&amp;TablaPOA[[#This Row],[Tipo de agente]]</f>
        <v>K31.4.4.5_EVP combustibles de uso automotor</v>
      </c>
      <c r="P1561" s="254" t="s">
        <v>2882</v>
      </c>
      <c r="Q1561" s="292" t="str">
        <f>TablaPOA[[#This Row],[Cod_Sub_acción_especifica]]&amp;"_"&amp;TablaPOA[[#This Row],[Cod_Tipo_agente]]</f>
        <v>K31.4.4.5_TA6</v>
      </c>
      <c r="R1561" s="254" t="s">
        <v>2883</v>
      </c>
      <c r="S1561" s="255" t="s">
        <v>2900</v>
      </c>
      <c r="T1561" s="271" t="s">
        <v>2901</v>
      </c>
    </row>
    <row r="1562" spans="1:20" ht="25.5" x14ac:dyDescent="0.25">
      <c r="A1562" s="219" t="s">
        <v>2314</v>
      </c>
      <c r="B1562" s="227">
        <v>31</v>
      </c>
      <c r="C1562" s="227" t="s">
        <v>2691</v>
      </c>
      <c r="D1562" s="227" t="s">
        <v>2988</v>
      </c>
      <c r="E1562" s="227" t="s">
        <v>3189</v>
      </c>
      <c r="F1562" s="227" t="s">
        <v>2697</v>
      </c>
      <c r="G1562" s="227" t="s">
        <v>2497</v>
      </c>
      <c r="H1562" s="267" t="s">
        <v>3193</v>
      </c>
      <c r="I1562" s="253" t="s">
        <v>2750</v>
      </c>
      <c r="J1562" s="227" t="s">
        <v>2751</v>
      </c>
      <c r="K1562" s="267" t="s">
        <v>3142</v>
      </c>
      <c r="L1562" s="267" t="s">
        <v>2799</v>
      </c>
      <c r="M1562" s="227" t="s">
        <v>2370</v>
      </c>
      <c r="N1562" s="293"/>
      <c r="O1562" s="293" t="str">
        <f>TablaPOA[[#This Row],[Cod_Sub_acción_especifica]]&amp;"_"&amp;TablaPOA[[#This Row],[Tipo de agente]]</f>
        <v>K31.4.4.5_Locales de venta de GLP</v>
      </c>
      <c r="P1562" s="254" t="s">
        <v>2912</v>
      </c>
      <c r="Q1562" s="292" t="str">
        <f>TablaPOA[[#This Row],[Cod_Sub_acción_especifica]]&amp;"_"&amp;TablaPOA[[#This Row],[Cod_Tipo_agente]]</f>
        <v>K31.4.4.5_TA8</v>
      </c>
      <c r="R1562" s="254" t="s">
        <v>2913</v>
      </c>
      <c r="S1562" s="255" t="s">
        <v>2914</v>
      </c>
      <c r="T1562" s="271" t="s">
        <v>2915</v>
      </c>
    </row>
    <row r="1563" spans="1:20" ht="25.5" x14ac:dyDescent="0.25">
      <c r="A1563" s="219" t="s">
        <v>2314</v>
      </c>
      <c r="B1563" s="227">
        <v>31</v>
      </c>
      <c r="C1563" s="227" t="s">
        <v>2691</v>
      </c>
      <c r="D1563" s="227" t="s">
        <v>2988</v>
      </c>
      <c r="E1563" s="227" t="s">
        <v>3189</v>
      </c>
      <c r="F1563" s="227" t="s">
        <v>2697</v>
      </c>
      <c r="G1563" s="227" t="s">
        <v>2497</v>
      </c>
      <c r="H1563" s="267" t="s">
        <v>3193</v>
      </c>
      <c r="I1563" s="253" t="s">
        <v>2750</v>
      </c>
      <c r="J1563" s="227" t="s">
        <v>2751</v>
      </c>
      <c r="K1563" s="267" t="s">
        <v>3142</v>
      </c>
      <c r="L1563" s="267" t="s">
        <v>2799</v>
      </c>
      <c r="M1563" s="227" t="s">
        <v>2370</v>
      </c>
      <c r="N1563" s="293"/>
      <c r="O1563" s="293" t="str">
        <f>TablaPOA[[#This Row],[Cod_Sub_acción_especifica]]&amp;"_"&amp;TablaPOA[[#This Row],[Tipo de agente]]</f>
        <v>K31.4.4.5_Locales de venta de GLP</v>
      </c>
      <c r="P1563" s="254" t="s">
        <v>2912</v>
      </c>
      <c r="Q1563" s="292" t="str">
        <f>TablaPOA[[#This Row],[Cod_Sub_acción_especifica]]&amp;"_"&amp;TablaPOA[[#This Row],[Cod_Tipo_agente]]</f>
        <v>K31.4.4.5_TA8</v>
      </c>
      <c r="R1563" s="254" t="s">
        <v>2913</v>
      </c>
      <c r="S1563" s="255" t="s">
        <v>2916</v>
      </c>
      <c r="T1563" s="271" t="s">
        <v>2917</v>
      </c>
    </row>
    <row r="1564" spans="1:20" ht="25.5" x14ac:dyDescent="0.25">
      <c r="A1564" s="219" t="s">
        <v>2314</v>
      </c>
      <c r="B1564" s="227">
        <v>31</v>
      </c>
      <c r="C1564" s="227" t="s">
        <v>2691</v>
      </c>
      <c r="D1564" s="227" t="s">
        <v>2988</v>
      </c>
      <c r="E1564" s="227" t="s">
        <v>3189</v>
      </c>
      <c r="F1564" s="227" t="s">
        <v>2697</v>
      </c>
      <c r="G1564" s="227" t="s">
        <v>2497</v>
      </c>
      <c r="H1564" s="267" t="s">
        <v>3193</v>
      </c>
      <c r="I1564" s="253" t="s">
        <v>2750</v>
      </c>
      <c r="J1564" s="227" t="s">
        <v>2751</v>
      </c>
      <c r="K1564" s="267" t="s">
        <v>3142</v>
      </c>
      <c r="L1564" s="267" t="s">
        <v>2799</v>
      </c>
      <c r="M1564" s="227" t="s">
        <v>2370</v>
      </c>
      <c r="N1564" s="293"/>
      <c r="O1564" s="293" t="str">
        <f>TablaPOA[[#This Row],[Cod_Sub_acción_especifica]]&amp;"_"&amp;TablaPOA[[#This Row],[Tipo de agente]]</f>
        <v>K31.4.4.5_Medios de transporte</v>
      </c>
      <c r="P1564" s="254" t="s">
        <v>2918</v>
      </c>
      <c r="Q1564" s="292" t="str">
        <f>TablaPOA[[#This Row],[Cod_Sub_acción_especifica]]&amp;"_"&amp;TablaPOA[[#This Row],[Cod_Tipo_agente]]</f>
        <v>K31.4.4.5_TA9</v>
      </c>
      <c r="R1564" s="254" t="s">
        <v>2919</v>
      </c>
      <c r="S1564" s="255" t="s">
        <v>2920</v>
      </c>
      <c r="T1564" s="271" t="s">
        <v>2921</v>
      </c>
    </row>
    <row r="1565" spans="1:20" ht="25.5" x14ac:dyDescent="0.25">
      <c r="A1565" s="219" t="s">
        <v>2314</v>
      </c>
      <c r="B1565" s="227">
        <v>31</v>
      </c>
      <c r="C1565" s="227" t="s">
        <v>2691</v>
      </c>
      <c r="D1565" s="227" t="s">
        <v>2988</v>
      </c>
      <c r="E1565" s="227" t="s">
        <v>3189</v>
      </c>
      <c r="F1565" s="227" t="s">
        <v>2697</v>
      </c>
      <c r="G1565" s="227" t="s">
        <v>2497</v>
      </c>
      <c r="H1565" s="267" t="s">
        <v>3193</v>
      </c>
      <c r="I1565" s="253" t="s">
        <v>2750</v>
      </c>
      <c r="J1565" s="227" t="s">
        <v>2751</v>
      </c>
      <c r="K1565" s="267" t="s">
        <v>3142</v>
      </c>
      <c r="L1565" s="267" t="s">
        <v>2799</v>
      </c>
      <c r="M1565" s="227" t="s">
        <v>2370</v>
      </c>
      <c r="N1565" s="293"/>
      <c r="O1565" s="293" t="str">
        <f>TablaPOA[[#This Row],[Cod_Sub_acción_especifica]]&amp;"_"&amp;TablaPOA[[#This Row],[Tipo de agente]]</f>
        <v>K31.4.4.5_Medios de transporte</v>
      </c>
      <c r="P1565" s="254" t="s">
        <v>2918</v>
      </c>
      <c r="Q1565" s="292" t="str">
        <f>TablaPOA[[#This Row],[Cod_Sub_acción_especifica]]&amp;"_"&amp;TablaPOA[[#This Row],[Cod_Tipo_agente]]</f>
        <v>K31.4.4.5_TA9</v>
      </c>
      <c r="R1565" s="254" t="s">
        <v>2919</v>
      </c>
      <c r="S1565" s="255" t="s">
        <v>2922</v>
      </c>
      <c r="T1565" s="271" t="s">
        <v>2923</v>
      </c>
    </row>
    <row r="1566" spans="1:20" ht="25.5" x14ac:dyDescent="0.25">
      <c r="A1566" s="219" t="s">
        <v>2314</v>
      </c>
      <c r="B1566" s="227">
        <v>31</v>
      </c>
      <c r="C1566" s="227" t="s">
        <v>2691</v>
      </c>
      <c r="D1566" s="227" t="s">
        <v>2988</v>
      </c>
      <c r="E1566" s="227" t="s">
        <v>3189</v>
      </c>
      <c r="F1566" s="227" t="s">
        <v>2697</v>
      </c>
      <c r="G1566" s="227" t="s">
        <v>2497</v>
      </c>
      <c r="H1566" s="267" t="s">
        <v>3193</v>
      </c>
      <c r="I1566" s="253" t="s">
        <v>2750</v>
      </c>
      <c r="J1566" s="227" t="s">
        <v>2751</v>
      </c>
      <c r="K1566" s="267" t="s">
        <v>3142</v>
      </c>
      <c r="L1566" s="267" t="s">
        <v>2799</v>
      </c>
      <c r="M1566" s="227" t="s">
        <v>2370</v>
      </c>
      <c r="N1566" s="293"/>
      <c r="O1566" s="293" t="str">
        <f>TablaPOA[[#This Row],[Cod_Sub_acción_especifica]]&amp;"_"&amp;TablaPOA[[#This Row],[Tipo de agente]]</f>
        <v>K31.4.4.5_Medios de transporte</v>
      </c>
      <c r="P1566" s="254" t="s">
        <v>2918</v>
      </c>
      <c r="Q1566" s="292" t="str">
        <f>TablaPOA[[#This Row],[Cod_Sub_acción_especifica]]&amp;"_"&amp;TablaPOA[[#This Row],[Cod_Tipo_agente]]</f>
        <v>K31.4.4.5_TA9</v>
      </c>
      <c r="R1566" s="254" t="s">
        <v>2919</v>
      </c>
      <c r="S1566" s="255" t="s">
        <v>2924</v>
      </c>
      <c r="T1566" s="271" t="s">
        <v>2925</v>
      </c>
    </row>
    <row r="1567" spans="1:20" ht="25.5" x14ac:dyDescent="0.25">
      <c r="A1567" s="219" t="s">
        <v>2314</v>
      </c>
      <c r="B1567" s="227">
        <v>31</v>
      </c>
      <c r="C1567" s="227" t="s">
        <v>2691</v>
      </c>
      <c r="D1567" s="227" t="s">
        <v>2988</v>
      </c>
      <c r="E1567" s="227" t="s">
        <v>3189</v>
      </c>
      <c r="F1567" s="227" t="s">
        <v>2697</v>
      </c>
      <c r="G1567" s="227" t="s">
        <v>2497</v>
      </c>
      <c r="H1567" s="267" t="s">
        <v>3193</v>
      </c>
      <c r="I1567" s="253" t="s">
        <v>2750</v>
      </c>
      <c r="J1567" s="227" t="s">
        <v>2751</v>
      </c>
      <c r="K1567" s="267" t="s">
        <v>3142</v>
      </c>
      <c r="L1567" s="267" t="s">
        <v>2799</v>
      </c>
      <c r="M1567" s="227" t="s">
        <v>2370</v>
      </c>
      <c r="N1567" s="293"/>
      <c r="O1567" s="293" t="str">
        <f>TablaPOA[[#This Row],[Cod_Sub_acción_especifica]]&amp;"_"&amp;TablaPOA[[#This Row],[Tipo de agente]]</f>
        <v>K31.4.4.5_Medios de transporte</v>
      </c>
      <c r="P1567" s="254" t="s">
        <v>2918</v>
      </c>
      <c r="Q1567" s="292" t="str">
        <f>TablaPOA[[#This Row],[Cod_Sub_acción_especifica]]&amp;"_"&amp;TablaPOA[[#This Row],[Cod_Tipo_agente]]</f>
        <v>K31.4.4.5_TA9</v>
      </c>
      <c r="R1567" s="254" t="s">
        <v>2919</v>
      </c>
      <c r="S1567" s="255" t="s">
        <v>2926</v>
      </c>
      <c r="T1567" s="271" t="s">
        <v>2927</v>
      </c>
    </row>
    <row r="1568" spans="1:20" ht="25.5" x14ac:dyDescent="0.25">
      <c r="A1568" s="219" t="s">
        <v>2314</v>
      </c>
      <c r="B1568" s="227">
        <v>31</v>
      </c>
      <c r="C1568" s="227" t="s">
        <v>2691</v>
      </c>
      <c r="D1568" s="227" t="s">
        <v>2988</v>
      </c>
      <c r="E1568" s="227" t="s">
        <v>3189</v>
      </c>
      <c r="F1568" s="227" t="s">
        <v>2697</v>
      </c>
      <c r="G1568" s="227" t="s">
        <v>2497</v>
      </c>
      <c r="H1568" s="267" t="s">
        <v>3193</v>
      </c>
      <c r="I1568" s="253" t="s">
        <v>2750</v>
      </c>
      <c r="J1568" s="227" t="s">
        <v>2751</v>
      </c>
      <c r="K1568" s="267" t="s">
        <v>3142</v>
      </c>
      <c r="L1568" s="267" t="s">
        <v>2799</v>
      </c>
      <c r="M1568" s="227" t="s">
        <v>2370</v>
      </c>
      <c r="N1568" s="293"/>
      <c r="O1568" s="293" t="str">
        <f>TablaPOA[[#This Row],[Cod_Sub_acción_especifica]]&amp;"_"&amp;TablaPOA[[#This Row],[Tipo de agente]]</f>
        <v>K31.4.4.5_Medios de transporte</v>
      </c>
      <c r="P1568" s="254" t="s">
        <v>2918</v>
      </c>
      <c r="Q1568" s="292" t="str">
        <f>TablaPOA[[#This Row],[Cod_Sub_acción_especifica]]&amp;"_"&amp;TablaPOA[[#This Row],[Cod_Tipo_agente]]</f>
        <v>K31.4.4.5_TA9</v>
      </c>
      <c r="R1568" s="254" t="s">
        <v>2919</v>
      </c>
      <c r="S1568" s="255" t="s">
        <v>2928</v>
      </c>
      <c r="T1568" s="271" t="s">
        <v>2929</v>
      </c>
    </row>
    <row r="1569" spans="1:20" ht="25.5" x14ac:dyDescent="0.25">
      <c r="A1569" s="219" t="s">
        <v>2314</v>
      </c>
      <c r="B1569" s="227">
        <v>31</v>
      </c>
      <c r="C1569" s="227" t="s">
        <v>2691</v>
      </c>
      <c r="D1569" s="227" t="s">
        <v>2988</v>
      </c>
      <c r="E1569" s="227" t="s">
        <v>3189</v>
      </c>
      <c r="F1569" s="227" t="s">
        <v>2697</v>
      </c>
      <c r="G1569" s="227" t="s">
        <v>2497</v>
      </c>
      <c r="H1569" s="267" t="s">
        <v>3193</v>
      </c>
      <c r="I1569" s="253" t="s">
        <v>2750</v>
      </c>
      <c r="J1569" s="227" t="s">
        <v>2751</v>
      </c>
      <c r="K1569" s="267" t="s">
        <v>3142</v>
      </c>
      <c r="L1569" s="267" t="s">
        <v>2799</v>
      </c>
      <c r="M1569" s="227" t="s">
        <v>2370</v>
      </c>
      <c r="N1569" s="293"/>
      <c r="O1569" s="293" t="str">
        <f>TablaPOA[[#This Row],[Cod_Sub_acción_especifica]]&amp;"_"&amp;TablaPOA[[#This Row],[Tipo de agente]]</f>
        <v>K31.4.4.5_Medios de transporte</v>
      </c>
      <c r="P1569" s="254" t="s">
        <v>2918</v>
      </c>
      <c r="Q1569" s="292" t="str">
        <f>TablaPOA[[#This Row],[Cod_Sub_acción_especifica]]&amp;"_"&amp;TablaPOA[[#This Row],[Cod_Tipo_agente]]</f>
        <v>K31.4.4.5_TA9</v>
      </c>
      <c r="R1569" s="254" t="s">
        <v>2919</v>
      </c>
      <c r="S1569" s="255" t="s">
        <v>2930</v>
      </c>
      <c r="T1569" s="271" t="s">
        <v>2931</v>
      </c>
    </row>
    <row r="1570" spans="1:20" ht="25.5" x14ac:dyDescent="0.25">
      <c r="A1570" s="219" t="s">
        <v>2314</v>
      </c>
      <c r="B1570" s="227">
        <v>31</v>
      </c>
      <c r="C1570" s="227" t="s">
        <v>2691</v>
      </c>
      <c r="D1570" s="227" t="s">
        <v>2988</v>
      </c>
      <c r="E1570" s="227" t="s">
        <v>3189</v>
      </c>
      <c r="F1570" s="227" t="s">
        <v>2697</v>
      </c>
      <c r="G1570" s="227" t="s">
        <v>2497</v>
      </c>
      <c r="H1570" s="267" t="s">
        <v>3193</v>
      </c>
      <c r="I1570" s="253" t="s">
        <v>2750</v>
      </c>
      <c r="J1570" s="227" t="s">
        <v>2751</v>
      </c>
      <c r="K1570" s="267" t="s">
        <v>3142</v>
      </c>
      <c r="L1570" s="267" t="s">
        <v>2799</v>
      </c>
      <c r="M1570" s="227" t="s">
        <v>2370</v>
      </c>
      <c r="N1570" s="293"/>
      <c r="O1570" s="293" t="str">
        <f>TablaPOA[[#This Row],[Cod_Sub_acción_especifica]]&amp;"_"&amp;TablaPOA[[#This Row],[Tipo de agente]]</f>
        <v>K31.4.4.5_Medios de transporte</v>
      </c>
      <c r="P1570" s="254" t="s">
        <v>2918</v>
      </c>
      <c r="Q1570" s="292" t="str">
        <f>TablaPOA[[#This Row],[Cod_Sub_acción_especifica]]&amp;"_"&amp;TablaPOA[[#This Row],[Cod_Tipo_agente]]</f>
        <v>K31.4.4.5_TA9</v>
      </c>
      <c r="R1570" s="254" t="s">
        <v>2919</v>
      </c>
      <c r="S1570" s="255" t="s">
        <v>2932</v>
      </c>
      <c r="T1570" s="271" t="s">
        <v>2933</v>
      </c>
    </row>
    <row r="1571" spans="1:20" ht="25.5" x14ac:dyDescent="0.25">
      <c r="A1571" s="219" t="s">
        <v>2314</v>
      </c>
      <c r="B1571" s="227">
        <v>31</v>
      </c>
      <c r="C1571" s="227" t="s">
        <v>2691</v>
      </c>
      <c r="D1571" s="227" t="s">
        <v>2988</v>
      </c>
      <c r="E1571" s="227" t="s">
        <v>3189</v>
      </c>
      <c r="F1571" s="227" t="s">
        <v>2697</v>
      </c>
      <c r="G1571" s="227" t="s">
        <v>2497</v>
      </c>
      <c r="H1571" s="267" t="s">
        <v>3193</v>
      </c>
      <c r="I1571" s="253" t="s">
        <v>2750</v>
      </c>
      <c r="J1571" s="227" t="s">
        <v>2751</v>
      </c>
      <c r="K1571" s="267" t="s">
        <v>3142</v>
      </c>
      <c r="L1571" s="267" t="s">
        <v>2799</v>
      </c>
      <c r="M1571" s="227" t="s">
        <v>2370</v>
      </c>
      <c r="N1571" s="293"/>
      <c r="O1571" s="293" t="str">
        <f>TablaPOA[[#This Row],[Cod_Sub_acción_especifica]]&amp;"_"&amp;TablaPOA[[#This Row],[Tipo de agente]]</f>
        <v>K31.4.4.5_Medios de transporte</v>
      </c>
      <c r="P1571" s="254" t="s">
        <v>2918</v>
      </c>
      <c r="Q1571" s="292" t="str">
        <f>TablaPOA[[#This Row],[Cod_Sub_acción_especifica]]&amp;"_"&amp;TablaPOA[[#This Row],[Cod_Tipo_agente]]</f>
        <v>K31.4.4.5_TA9</v>
      </c>
      <c r="R1571" s="254" t="s">
        <v>2919</v>
      </c>
      <c r="S1571" s="255" t="s">
        <v>2934</v>
      </c>
      <c r="T1571" s="271" t="s">
        <v>2935</v>
      </c>
    </row>
    <row r="1572" spans="1:20" ht="25.5" x14ac:dyDescent="0.25">
      <c r="A1572" s="219" t="s">
        <v>2314</v>
      </c>
      <c r="B1572" s="227">
        <v>31</v>
      </c>
      <c r="C1572" s="227" t="s">
        <v>2691</v>
      </c>
      <c r="D1572" s="227" t="s">
        <v>2988</v>
      </c>
      <c r="E1572" s="227" t="s">
        <v>3189</v>
      </c>
      <c r="F1572" s="227" t="s">
        <v>2697</v>
      </c>
      <c r="G1572" s="227" t="s">
        <v>2497</v>
      </c>
      <c r="H1572" s="267" t="s">
        <v>3193</v>
      </c>
      <c r="I1572" s="253" t="s">
        <v>2750</v>
      </c>
      <c r="J1572" s="227" t="s">
        <v>2751</v>
      </c>
      <c r="K1572" s="267" t="s">
        <v>3142</v>
      </c>
      <c r="L1572" s="267" t="s">
        <v>2799</v>
      </c>
      <c r="M1572" s="227" t="s">
        <v>2370</v>
      </c>
      <c r="N1572" s="293"/>
      <c r="O1572" s="293" t="str">
        <f>TablaPOA[[#This Row],[Cod_Sub_acción_especifica]]&amp;"_"&amp;TablaPOA[[#This Row],[Tipo de agente]]</f>
        <v>K31.4.4.5_Medios de transporte</v>
      </c>
      <c r="P1572" s="254" t="s">
        <v>2918</v>
      </c>
      <c r="Q1572" s="292" t="str">
        <f>TablaPOA[[#This Row],[Cod_Sub_acción_especifica]]&amp;"_"&amp;TablaPOA[[#This Row],[Cod_Tipo_agente]]</f>
        <v>K31.4.4.5_TA9</v>
      </c>
      <c r="R1572" s="254" t="s">
        <v>2919</v>
      </c>
      <c r="S1572" s="255" t="s">
        <v>2936</v>
      </c>
      <c r="T1572" s="271" t="s">
        <v>2937</v>
      </c>
    </row>
    <row r="1573" spans="1:20" ht="25.5" x14ac:dyDescent="0.25">
      <c r="A1573" s="219" t="s">
        <v>2314</v>
      </c>
      <c r="B1573" s="227">
        <v>31</v>
      </c>
      <c r="C1573" s="227" t="s">
        <v>2691</v>
      </c>
      <c r="D1573" s="227" t="s">
        <v>2988</v>
      </c>
      <c r="E1573" s="227" t="s">
        <v>3189</v>
      </c>
      <c r="F1573" s="227" t="s">
        <v>2697</v>
      </c>
      <c r="G1573" s="227" t="s">
        <v>2497</v>
      </c>
      <c r="H1573" s="267" t="s">
        <v>3193</v>
      </c>
      <c r="I1573" s="253" t="s">
        <v>2750</v>
      </c>
      <c r="J1573" s="227" t="s">
        <v>2751</v>
      </c>
      <c r="K1573" s="267" t="s">
        <v>3142</v>
      </c>
      <c r="L1573" s="267" t="s">
        <v>2799</v>
      </c>
      <c r="M1573" s="227" t="s">
        <v>2370</v>
      </c>
      <c r="N1573" s="293"/>
      <c r="O1573" s="293" t="str">
        <f>TablaPOA[[#This Row],[Cod_Sub_acción_especifica]]&amp;"_"&amp;TablaPOA[[#This Row],[Tipo de agente]]</f>
        <v>K31.4.4.5_Medios de transporte</v>
      </c>
      <c r="P1573" s="254" t="s">
        <v>2918</v>
      </c>
      <c r="Q1573" s="292" t="str">
        <f>TablaPOA[[#This Row],[Cod_Sub_acción_especifica]]&amp;"_"&amp;TablaPOA[[#This Row],[Cod_Tipo_agente]]</f>
        <v>K31.4.4.5_TA9</v>
      </c>
      <c r="R1573" s="254" t="s">
        <v>2919</v>
      </c>
      <c r="S1573" s="255" t="s">
        <v>2938</v>
      </c>
      <c r="T1573" s="271" t="s">
        <v>2939</v>
      </c>
    </row>
    <row r="1574" spans="1:20" ht="25.5" x14ac:dyDescent="0.25">
      <c r="A1574" s="219" t="s">
        <v>2314</v>
      </c>
      <c r="B1574" s="227">
        <v>31</v>
      </c>
      <c r="C1574" s="227" t="s">
        <v>2691</v>
      </c>
      <c r="D1574" s="227" t="s">
        <v>2988</v>
      </c>
      <c r="E1574" s="227" t="s">
        <v>3189</v>
      </c>
      <c r="F1574" s="227" t="s">
        <v>2697</v>
      </c>
      <c r="G1574" s="227" t="s">
        <v>2497</v>
      </c>
      <c r="H1574" s="267" t="s">
        <v>3193</v>
      </c>
      <c r="I1574" s="253" t="s">
        <v>2750</v>
      </c>
      <c r="J1574" s="227" t="s">
        <v>2751</v>
      </c>
      <c r="K1574" s="267" t="s">
        <v>3142</v>
      </c>
      <c r="L1574" s="267" t="s">
        <v>2799</v>
      </c>
      <c r="M1574" s="227" t="s">
        <v>2370</v>
      </c>
      <c r="N1574" s="293"/>
      <c r="O1574" s="293" t="str">
        <f>TablaPOA[[#This Row],[Cod_Sub_acción_especifica]]&amp;"_"&amp;TablaPOA[[#This Row],[Tipo de agente]]</f>
        <v>K31.4.4.5_Medios de transporte</v>
      </c>
      <c r="P1574" s="254" t="s">
        <v>2918</v>
      </c>
      <c r="Q1574" s="292" t="str">
        <f>TablaPOA[[#This Row],[Cod_Sub_acción_especifica]]&amp;"_"&amp;TablaPOA[[#This Row],[Cod_Tipo_agente]]</f>
        <v>K31.4.4.5_TA9</v>
      </c>
      <c r="R1574" s="254" t="s">
        <v>2919</v>
      </c>
      <c r="S1574" s="255" t="s">
        <v>2940</v>
      </c>
      <c r="T1574" s="271" t="s">
        <v>2941</v>
      </c>
    </row>
    <row r="1575" spans="1:20" ht="25.5" x14ac:dyDescent="0.25">
      <c r="A1575" s="219" t="s">
        <v>2314</v>
      </c>
      <c r="B1575" s="227">
        <v>31</v>
      </c>
      <c r="C1575" s="227" t="s">
        <v>2691</v>
      </c>
      <c r="D1575" s="227" t="s">
        <v>2988</v>
      </c>
      <c r="E1575" s="227" t="s">
        <v>3189</v>
      </c>
      <c r="F1575" s="227" t="s">
        <v>2697</v>
      </c>
      <c r="G1575" s="227" t="s">
        <v>2497</v>
      </c>
      <c r="H1575" s="267" t="s">
        <v>3193</v>
      </c>
      <c r="I1575" s="253" t="s">
        <v>2750</v>
      </c>
      <c r="J1575" s="227" t="s">
        <v>2751</v>
      </c>
      <c r="K1575" s="267" t="s">
        <v>3142</v>
      </c>
      <c r="L1575" s="267" t="s">
        <v>2799</v>
      </c>
      <c r="M1575" s="227" t="s">
        <v>2370</v>
      </c>
      <c r="N1575" s="293"/>
      <c r="O1575" s="293" t="str">
        <f>TablaPOA[[#This Row],[Cod_Sub_acción_especifica]]&amp;"_"&amp;TablaPOA[[#This Row],[Tipo de agente]]</f>
        <v>K31.4.4.5_Medios de transporte</v>
      </c>
      <c r="P1575" s="254" t="s">
        <v>2918</v>
      </c>
      <c r="Q1575" s="292" t="str">
        <f>TablaPOA[[#This Row],[Cod_Sub_acción_especifica]]&amp;"_"&amp;TablaPOA[[#This Row],[Cod_Tipo_agente]]</f>
        <v>K31.4.4.5_TA9</v>
      </c>
      <c r="R1575" s="254" t="s">
        <v>2919</v>
      </c>
      <c r="S1575" s="255" t="s">
        <v>2942</v>
      </c>
      <c r="T1575" s="271" t="s">
        <v>2943</v>
      </c>
    </row>
    <row r="1576" spans="1:20" ht="25.5" x14ac:dyDescent="0.25">
      <c r="A1576" s="219" t="s">
        <v>2314</v>
      </c>
      <c r="B1576" s="227">
        <v>31</v>
      </c>
      <c r="C1576" s="227" t="s">
        <v>2691</v>
      </c>
      <c r="D1576" s="227" t="s">
        <v>2988</v>
      </c>
      <c r="E1576" s="227" t="s">
        <v>3189</v>
      </c>
      <c r="F1576" s="227" t="s">
        <v>2697</v>
      </c>
      <c r="G1576" s="227" t="s">
        <v>2497</v>
      </c>
      <c r="H1576" s="267" t="s">
        <v>3193</v>
      </c>
      <c r="I1576" s="253" t="s">
        <v>2750</v>
      </c>
      <c r="J1576" s="227" t="s">
        <v>2751</v>
      </c>
      <c r="K1576" s="267" t="s">
        <v>3142</v>
      </c>
      <c r="L1576" s="267" t="s">
        <v>2799</v>
      </c>
      <c r="M1576" s="227" t="s">
        <v>2370</v>
      </c>
      <c r="N1576" s="293"/>
      <c r="O1576" s="293" t="str">
        <f>TablaPOA[[#This Row],[Cod_Sub_acción_especifica]]&amp;"_"&amp;TablaPOA[[#This Row],[Tipo de agente]]</f>
        <v>K31.4.4.5_Medios de transporte</v>
      </c>
      <c r="P1576" s="254" t="s">
        <v>2918</v>
      </c>
      <c r="Q1576" s="292" t="str">
        <f>TablaPOA[[#This Row],[Cod_Sub_acción_especifica]]&amp;"_"&amp;TablaPOA[[#This Row],[Cod_Tipo_agente]]</f>
        <v>K31.4.4.5_TA9</v>
      </c>
      <c r="R1576" s="254" t="s">
        <v>2919</v>
      </c>
      <c r="S1576" s="255" t="s">
        <v>2944</v>
      </c>
      <c r="T1576" s="271" t="s">
        <v>2945</v>
      </c>
    </row>
    <row r="1577" spans="1:20" ht="25.5" x14ac:dyDescent="0.25">
      <c r="A1577" s="219" t="s">
        <v>2314</v>
      </c>
      <c r="B1577" s="227">
        <v>31</v>
      </c>
      <c r="C1577" s="227" t="s">
        <v>2691</v>
      </c>
      <c r="D1577" s="227" t="s">
        <v>2988</v>
      </c>
      <c r="E1577" s="227" t="s">
        <v>3189</v>
      </c>
      <c r="F1577" s="227" t="s">
        <v>2697</v>
      </c>
      <c r="G1577" s="227" t="s">
        <v>2497</v>
      </c>
      <c r="H1577" s="267" t="s">
        <v>3193</v>
      </c>
      <c r="I1577" s="253" t="s">
        <v>2750</v>
      </c>
      <c r="J1577" s="227" t="s">
        <v>2751</v>
      </c>
      <c r="K1577" s="267" t="s">
        <v>3142</v>
      </c>
      <c r="L1577" s="267" t="s">
        <v>2799</v>
      </c>
      <c r="M1577" s="227" t="s">
        <v>2370</v>
      </c>
      <c r="N1577" s="293"/>
      <c r="O1577" s="293" t="str">
        <f>TablaPOA[[#This Row],[Cod_Sub_acción_especifica]]&amp;"_"&amp;TablaPOA[[#This Row],[Tipo de agente]]</f>
        <v>K31.4.4.5_Medios de transporte</v>
      </c>
      <c r="P1577" s="254" t="s">
        <v>2918</v>
      </c>
      <c r="Q1577" s="292" t="str">
        <f>TablaPOA[[#This Row],[Cod_Sub_acción_especifica]]&amp;"_"&amp;TablaPOA[[#This Row],[Cod_Tipo_agente]]</f>
        <v>K31.4.4.5_TA9</v>
      </c>
      <c r="R1577" s="254" t="s">
        <v>2919</v>
      </c>
      <c r="S1577" s="255" t="s">
        <v>2946</v>
      </c>
      <c r="T1577" s="271" t="s">
        <v>2947</v>
      </c>
    </row>
    <row r="1578" spans="1:20" ht="25.5" x14ac:dyDescent="0.25">
      <c r="A1578" s="219" t="s">
        <v>2314</v>
      </c>
      <c r="B1578" s="227">
        <v>31</v>
      </c>
      <c r="C1578" s="227" t="s">
        <v>2691</v>
      </c>
      <c r="D1578" s="227" t="s">
        <v>2988</v>
      </c>
      <c r="E1578" s="227" t="s">
        <v>3189</v>
      </c>
      <c r="F1578" s="227" t="s">
        <v>2697</v>
      </c>
      <c r="G1578" s="227" t="s">
        <v>2497</v>
      </c>
      <c r="H1578" s="267" t="s">
        <v>3193</v>
      </c>
      <c r="I1578" s="253" t="s">
        <v>2750</v>
      </c>
      <c r="J1578" s="227" t="s">
        <v>2751</v>
      </c>
      <c r="K1578" s="267" t="s">
        <v>3142</v>
      </c>
      <c r="L1578" s="267" t="s">
        <v>2799</v>
      </c>
      <c r="M1578" s="227" t="s">
        <v>2370</v>
      </c>
      <c r="N1578" s="293"/>
      <c r="O1578" s="293" t="str">
        <f>TablaPOA[[#This Row],[Cod_Sub_acción_especifica]]&amp;"_"&amp;TablaPOA[[#This Row],[Tipo de agente]]</f>
        <v>K31.4.4.5_Medios de transporte</v>
      </c>
      <c r="P1578" s="254" t="s">
        <v>2918</v>
      </c>
      <c r="Q1578" s="292" t="str">
        <f>TablaPOA[[#This Row],[Cod_Sub_acción_especifica]]&amp;"_"&amp;TablaPOA[[#This Row],[Cod_Tipo_agente]]</f>
        <v>K31.4.4.5_TA9</v>
      </c>
      <c r="R1578" s="254" t="s">
        <v>2919</v>
      </c>
      <c r="S1578" s="255" t="s">
        <v>2948</v>
      </c>
      <c r="T1578" s="271" t="s">
        <v>2949</v>
      </c>
    </row>
    <row r="1579" spans="1:20" ht="25.5" x14ac:dyDescent="0.25">
      <c r="A1579" s="268" t="s">
        <v>2314</v>
      </c>
      <c r="B1579" s="248">
        <v>31</v>
      </c>
      <c r="C1579" s="248" t="s">
        <v>2691</v>
      </c>
      <c r="D1579" s="248" t="s">
        <v>2988</v>
      </c>
      <c r="E1579" s="248" t="s">
        <v>3189</v>
      </c>
      <c r="F1579" s="248" t="s">
        <v>2697</v>
      </c>
      <c r="G1579" s="248" t="s">
        <v>2497</v>
      </c>
      <c r="H1579" s="266" t="s">
        <v>3193</v>
      </c>
      <c r="I1579" s="249" t="s">
        <v>2750</v>
      </c>
      <c r="J1579" s="248" t="s">
        <v>2751</v>
      </c>
      <c r="K1579" s="266" t="s">
        <v>3143</v>
      </c>
      <c r="L1579" s="266" t="s">
        <v>2800</v>
      </c>
      <c r="M1579" s="248" t="s">
        <v>2371</v>
      </c>
      <c r="N1579" s="299" t="s">
        <v>2840</v>
      </c>
      <c r="O1579" s="292" t="str">
        <f>TablaPOA[[#This Row],[Cod_Sub_acción_especifica]]&amp;"_"&amp;TablaPOA[[#This Row],[Tipo de agente]]</f>
        <v>K31.4.4.6_Consumidores directos de GLP y redes de distribución</v>
      </c>
      <c r="P1579" s="250" t="s">
        <v>2839</v>
      </c>
      <c r="Q1579" s="292" t="str">
        <f>TablaPOA[[#This Row],[Cod_Sub_acción_especifica]]&amp;"_"&amp;TablaPOA[[#This Row],[Cod_Tipo_agente]]</f>
        <v>K31.4.4.6_TA3</v>
      </c>
      <c r="R1579" s="250" t="s">
        <v>2840</v>
      </c>
      <c r="S1579" s="250">
        <v>400</v>
      </c>
      <c r="T1579" s="269" t="s">
        <v>2841</v>
      </c>
    </row>
    <row r="1580" spans="1:20" ht="25.5" x14ac:dyDescent="0.25">
      <c r="A1580" s="268" t="s">
        <v>2314</v>
      </c>
      <c r="B1580" s="248">
        <v>31</v>
      </c>
      <c r="C1580" s="248" t="s">
        <v>2691</v>
      </c>
      <c r="D1580" s="248" t="s">
        <v>2988</v>
      </c>
      <c r="E1580" s="248" t="s">
        <v>3189</v>
      </c>
      <c r="F1580" s="248" t="s">
        <v>2697</v>
      </c>
      <c r="G1580" s="248" t="s">
        <v>2497</v>
      </c>
      <c r="H1580" s="266" t="s">
        <v>3193</v>
      </c>
      <c r="I1580" s="249" t="s">
        <v>2750</v>
      </c>
      <c r="J1580" s="248" t="s">
        <v>2751</v>
      </c>
      <c r="K1580" s="266" t="s">
        <v>3143</v>
      </c>
      <c r="L1580" s="266" t="s">
        <v>2800</v>
      </c>
      <c r="M1580" s="248" t="s">
        <v>2371</v>
      </c>
      <c r="N1580" s="299" t="s">
        <v>2853</v>
      </c>
      <c r="O1580" s="292" t="str">
        <f>TablaPOA[[#This Row],[Cod_Sub_acción_especifica]]&amp;"_"&amp;TablaPOA[[#This Row],[Tipo de agente]]</f>
        <v>K31.4.4.6_Consumidores directos de GLP y redes de distribución</v>
      </c>
      <c r="P1580" s="250" t="s">
        <v>2839</v>
      </c>
      <c r="Q1580" s="292" t="str">
        <f>TablaPOA[[#This Row],[Cod_Sub_acción_especifica]]&amp;"_"&amp;TablaPOA[[#This Row],[Cod_Tipo_agente]]</f>
        <v>K31.4.4.6_TA3</v>
      </c>
      <c r="R1580" s="250" t="s">
        <v>2840</v>
      </c>
      <c r="S1580" s="250" t="s">
        <v>2842</v>
      </c>
      <c r="T1580" s="269" t="s">
        <v>2843</v>
      </c>
    </row>
    <row r="1581" spans="1:20" ht="25.5" x14ac:dyDescent="0.25">
      <c r="A1581" s="268" t="s">
        <v>2314</v>
      </c>
      <c r="B1581" s="248">
        <v>31</v>
      </c>
      <c r="C1581" s="248" t="s">
        <v>2691</v>
      </c>
      <c r="D1581" s="248" t="s">
        <v>2988</v>
      </c>
      <c r="E1581" s="248" t="s">
        <v>3189</v>
      </c>
      <c r="F1581" s="248" t="s">
        <v>2697</v>
      </c>
      <c r="G1581" s="248" t="s">
        <v>2497</v>
      </c>
      <c r="H1581" s="266" t="s">
        <v>3193</v>
      </c>
      <c r="I1581" s="249" t="s">
        <v>2750</v>
      </c>
      <c r="J1581" s="248" t="s">
        <v>2751</v>
      </c>
      <c r="K1581" s="266" t="s">
        <v>3143</v>
      </c>
      <c r="L1581" s="266" t="s">
        <v>2800</v>
      </c>
      <c r="M1581" s="248" t="s">
        <v>2371</v>
      </c>
      <c r="N1581" s="299" t="s">
        <v>2883</v>
      </c>
      <c r="O1581" s="292" t="str">
        <f>TablaPOA[[#This Row],[Cod_Sub_acción_especifica]]&amp;"_"&amp;TablaPOA[[#This Row],[Tipo de agente]]</f>
        <v>K31.4.4.6_Consumidores directos de GLP y redes de distribución</v>
      </c>
      <c r="P1581" s="250" t="s">
        <v>2839</v>
      </c>
      <c r="Q1581" s="292" t="str">
        <f>TablaPOA[[#This Row],[Cod_Sub_acción_especifica]]&amp;"_"&amp;TablaPOA[[#This Row],[Cod_Tipo_agente]]</f>
        <v>K31.4.4.6_TA3</v>
      </c>
      <c r="R1581" s="250" t="s">
        <v>2840</v>
      </c>
      <c r="S1581" s="250" t="s">
        <v>2844</v>
      </c>
      <c r="T1581" s="269" t="s">
        <v>2845</v>
      </c>
    </row>
    <row r="1582" spans="1:20" ht="25.5" x14ac:dyDescent="0.25">
      <c r="A1582" s="268" t="s">
        <v>2314</v>
      </c>
      <c r="B1582" s="248">
        <v>31</v>
      </c>
      <c r="C1582" s="248" t="s">
        <v>2691</v>
      </c>
      <c r="D1582" s="248" t="s">
        <v>2988</v>
      </c>
      <c r="E1582" s="248" t="s">
        <v>3189</v>
      </c>
      <c r="F1582" s="248" t="s">
        <v>2697</v>
      </c>
      <c r="G1582" s="248" t="s">
        <v>2497</v>
      </c>
      <c r="H1582" s="266" t="s">
        <v>3193</v>
      </c>
      <c r="I1582" s="249" t="s">
        <v>2750</v>
      </c>
      <c r="J1582" s="248" t="s">
        <v>2751</v>
      </c>
      <c r="K1582" s="266" t="s">
        <v>3143</v>
      </c>
      <c r="L1582" s="266" t="s">
        <v>2800</v>
      </c>
      <c r="M1582" s="248" t="s">
        <v>2371</v>
      </c>
      <c r="N1582" s="299" t="s">
        <v>2913</v>
      </c>
      <c r="O1582" s="292" t="str">
        <f>TablaPOA[[#This Row],[Cod_Sub_acción_especifica]]&amp;"_"&amp;TablaPOA[[#This Row],[Tipo de agente]]</f>
        <v>K31.4.4.6_Consumidores directos de GLP y redes de distribución</v>
      </c>
      <c r="P1582" s="250" t="s">
        <v>2839</v>
      </c>
      <c r="Q1582" s="292" t="str">
        <f>TablaPOA[[#This Row],[Cod_Sub_acción_especifica]]&amp;"_"&amp;TablaPOA[[#This Row],[Cod_Tipo_agente]]</f>
        <v>K31.4.4.6_TA3</v>
      </c>
      <c r="R1582" s="250" t="s">
        <v>2840</v>
      </c>
      <c r="S1582" s="250" t="s">
        <v>2846</v>
      </c>
      <c r="T1582" s="269" t="s">
        <v>2847</v>
      </c>
    </row>
    <row r="1583" spans="1:20" ht="25.5" x14ac:dyDescent="0.25">
      <c r="A1583" s="268" t="s">
        <v>2314</v>
      </c>
      <c r="B1583" s="248">
        <v>31</v>
      </c>
      <c r="C1583" s="248" t="s">
        <v>2691</v>
      </c>
      <c r="D1583" s="248" t="s">
        <v>2988</v>
      </c>
      <c r="E1583" s="248" t="s">
        <v>3189</v>
      </c>
      <c r="F1583" s="248" t="s">
        <v>2697</v>
      </c>
      <c r="G1583" s="248" t="s">
        <v>2497</v>
      </c>
      <c r="H1583" s="266" t="s">
        <v>3193</v>
      </c>
      <c r="I1583" s="249" t="s">
        <v>2750</v>
      </c>
      <c r="J1583" s="248" t="s">
        <v>2751</v>
      </c>
      <c r="K1583" s="266" t="s">
        <v>3143</v>
      </c>
      <c r="L1583" s="266" t="s">
        <v>2800</v>
      </c>
      <c r="M1583" s="248" t="s">
        <v>2371</v>
      </c>
      <c r="N1583" s="299" t="s">
        <v>2919</v>
      </c>
      <c r="O1583" s="292" t="str">
        <f>TablaPOA[[#This Row],[Cod_Sub_acción_especifica]]&amp;"_"&amp;TablaPOA[[#This Row],[Tipo de agente]]</f>
        <v>K31.4.4.6_Consumidores directos de GLP y redes de distribución</v>
      </c>
      <c r="P1583" s="250" t="s">
        <v>2839</v>
      </c>
      <c r="Q1583" s="292" t="str">
        <f>TablaPOA[[#This Row],[Cod_Sub_acción_especifica]]&amp;"_"&amp;TablaPOA[[#This Row],[Cod_Tipo_agente]]</f>
        <v>K31.4.4.6_TA3</v>
      </c>
      <c r="R1583" s="250" t="s">
        <v>2840</v>
      </c>
      <c r="S1583" s="250" t="s">
        <v>2848</v>
      </c>
      <c r="T1583" s="269" t="s">
        <v>2849</v>
      </c>
    </row>
    <row r="1584" spans="1:20" ht="25.5" x14ac:dyDescent="0.25">
      <c r="A1584" s="268" t="s">
        <v>2314</v>
      </c>
      <c r="B1584" s="248">
        <v>31</v>
      </c>
      <c r="C1584" s="248" t="s">
        <v>2691</v>
      </c>
      <c r="D1584" s="248" t="s">
        <v>2988</v>
      </c>
      <c r="E1584" s="248" t="s">
        <v>3189</v>
      </c>
      <c r="F1584" s="248" t="s">
        <v>2697</v>
      </c>
      <c r="G1584" s="248" t="s">
        <v>2497</v>
      </c>
      <c r="H1584" s="266" t="s">
        <v>3193</v>
      </c>
      <c r="I1584" s="249" t="s">
        <v>2750</v>
      </c>
      <c r="J1584" s="248" t="s">
        <v>2751</v>
      </c>
      <c r="K1584" s="266" t="s">
        <v>3143</v>
      </c>
      <c r="L1584" s="266" t="s">
        <v>2800</v>
      </c>
      <c r="M1584" s="248" t="s">
        <v>2371</v>
      </c>
      <c r="N1584" s="293"/>
      <c r="O1584" s="293" t="str">
        <f>TablaPOA[[#This Row],[Cod_Sub_acción_especifica]]&amp;"_"&amp;TablaPOA[[#This Row],[Tipo de agente]]</f>
        <v>K31.4.4.6_Consumidores directos de GLP y redes de distribución</v>
      </c>
      <c r="P1584" s="250" t="s">
        <v>2839</v>
      </c>
      <c r="Q1584" s="292" t="str">
        <f>TablaPOA[[#This Row],[Cod_Sub_acción_especifica]]&amp;"_"&amp;TablaPOA[[#This Row],[Cod_Tipo_agente]]</f>
        <v>K31.4.4.6_TA3</v>
      </c>
      <c r="R1584" s="250" t="s">
        <v>2840</v>
      </c>
      <c r="S1584" s="250" t="s">
        <v>2850</v>
      </c>
      <c r="T1584" s="269" t="s">
        <v>2851</v>
      </c>
    </row>
    <row r="1585" spans="1:20" ht="25.5" x14ac:dyDescent="0.25">
      <c r="A1585" s="268" t="s">
        <v>2314</v>
      </c>
      <c r="B1585" s="248">
        <v>31</v>
      </c>
      <c r="C1585" s="248" t="s">
        <v>2691</v>
      </c>
      <c r="D1585" s="248" t="s">
        <v>2988</v>
      </c>
      <c r="E1585" s="248" t="s">
        <v>3189</v>
      </c>
      <c r="F1585" s="248" t="s">
        <v>2697</v>
      </c>
      <c r="G1585" s="248" t="s">
        <v>2497</v>
      </c>
      <c r="H1585" s="266" t="s">
        <v>3193</v>
      </c>
      <c r="I1585" s="249" t="s">
        <v>2750</v>
      </c>
      <c r="J1585" s="248" t="s">
        <v>2751</v>
      </c>
      <c r="K1585" s="266" t="s">
        <v>3143</v>
      </c>
      <c r="L1585" s="266" t="s">
        <v>2800</v>
      </c>
      <c r="M1585" s="248" t="s">
        <v>2371</v>
      </c>
      <c r="N1585" s="293"/>
      <c r="O1585" s="293" t="str">
        <f>TablaPOA[[#This Row],[Cod_Sub_acción_especifica]]&amp;"_"&amp;TablaPOA[[#This Row],[Tipo de agente]]</f>
        <v>K31.4.4.6_Distribuidores mayoristas, Importadores y Comercializadores</v>
      </c>
      <c r="P1585" s="250" t="s">
        <v>2852</v>
      </c>
      <c r="Q1585" s="292" t="str">
        <f>TablaPOA[[#This Row],[Cod_Sub_acción_especifica]]&amp;"_"&amp;TablaPOA[[#This Row],[Cod_Tipo_agente]]</f>
        <v>K31.4.4.6_TA4</v>
      </c>
      <c r="R1585" s="250" t="s">
        <v>2853</v>
      </c>
      <c r="S1585" s="251" t="s">
        <v>2854</v>
      </c>
      <c r="T1585" s="269" t="s">
        <v>2855</v>
      </c>
    </row>
    <row r="1586" spans="1:20" ht="25.5" x14ac:dyDescent="0.25">
      <c r="A1586" s="268" t="s">
        <v>2314</v>
      </c>
      <c r="B1586" s="248">
        <v>31</v>
      </c>
      <c r="C1586" s="248" t="s">
        <v>2691</v>
      </c>
      <c r="D1586" s="248" t="s">
        <v>2988</v>
      </c>
      <c r="E1586" s="248" t="s">
        <v>3189</v>
      </c>
      <c r="F1586" s="248" t="s">
        <v>2697</v>
      </c>
      <c r="G1586" s="248" t="s">
        <v>2497</v>
      </c>
      <c r="H1586" s="266" t="s">
        <v>3193</v>
      </c>
      <c r="I1586" s="249" t="s">
        <v>2750</v>
      </c>
      <c r="J1586" s="248" t="s">
        <v>2751</v>
      </c>
      <c r="K1586" s="266" t="s">
        <v>3143</v>
      </c>
      <c r="L1586" s="266" t="s">
        <v>2800</v>
      </c>
      <c r="M1586" s="248" t="s">
        <v>2371</v>
      </c>
      <c r="N1586" s="293"/>
      <c r="O1586" s="293" t="str">
        <f>TablaPOA[[#This Row],[Cod_Sub_acción_especifica]]&amp;"_"&amp;TablaPOA[[#This Row],[Tipo de agente]]</f>
        <v>K31.4.4.6_Distribuidores mayoristas, Importadores y Comercializadores</v>
      </c>
      <c r="P1586" s="250" t="s">
        <v>2852</v>
      </c>
      <c r="Q1586" s="292" t="str">
        <f>TablaPOA[[#This Row],[Cod_Sub_acción_especifica]]&amp;"_"&amp;TablaPOA[[#This Row],[Cod_Tipo_agente]]</f>
        <v>K31.4.4.6_TA4</v>
      </c>
      <c r="R1586" s="250" t="s">
        <v>2853</v>
      </c>
      <c r="S1586" s="251" t="s">
        <v>2856</v>
      </c>
      <c r="T1586" s="269" t="s">
        <v>2857</v>
      </c>
    </row>
    <row r="1587" spans="1:20" ht="25.5" x14ac:dyDescent="0.25">
      <c r="A1587" s="268" t="s">
        <v>2314</v>
      </c>
      <c r="B1587" s="248">
        <v>31</v>
      </c>
      <c r="C1587" s="248" t="s">
        <v>2691</v>
      </c>
      <c r="D1587" s="248" t="s">
        <v>2988</v>
      </c>
      <c r="E1587" s="248" t="s">
        <v>3189</v>
      </c>
      <c r="F1587" s="248" t="s">
        <v>2697</v>
      </c>
      <c r="G1587" s="248" t="s">
        <v>2497</v>
      </c>
      <c r="H1587" s="266" t="s">
        <v>3193</v>
      </c>
      <c r="I1587" s="249" t="s">
        <v>2750</v>
      </c>
      <c r="J1587" s="248" t="s">
        <v>2751</v>
      </c>
      <c r="K1587" s="266" t="s">
        <v>3143</v>
      </c>
      <c r="L1587" s="266" t="s">
        <v>2800</v>
      </c>
      <c r="M1587" s="248" t="s">
        <v>2371</v>
      </c>
      <c r="N1587" s="293"/>
      <c r="O1587" s="293" t="str">
        <f>TablaPOA[[#This Row],[Cod_Sub_acción_especifica]]&amp;"_"&amp;TablaPOA[[#This Row],[Tipo de agente]]</f>
        <v>K31.4.4.6_Distribuidores mayoristas, Importadores y Comercializadores</v>
      </c>
      <c r="P1587" s="250" t="s">
        <v>2852</v>
      </c>
      <c r="Q1587" s="292" t="str">
        <f>TablaPOA[[#This Row],[Cod_Sub_acción_especifica]]&amp;"_"&amp;TablaPOA[[#This Row],[Cod_Tipo_agente]]</f>
        <v>K31.4.4.6_TA4</v>
      </c>
      <c r="R1587" s="250" t="s">
        <v>2853</v>
      </c>
      <c r="S1587" s="251" t="s">
        <v>2858</v>
      </c>
      <c r="T1587" s="269" t="s">
        <v>2859</v>
      </c>
    </row>
    <row r="1588" spans="1:20" ht="25.5" x14ac:dyDescent="0.25">
      <c r="A1588" s="268" t="s">
        <v>2314</v>
      </c>
      <c r="B1588" s="248">
        <v>31</v>
      </c>
      <c r="C1588" s="248" t="s">
        <v>2691</v>
      </c>
      <c r="D1588" s="248" t="s">
        <v>2988</v>
      </c>
      <c r="E1588" s="248" t="s">
        <v>3189</v>
      </c>
      <c r="F1588" s="248" t="s">
        <v>2697</v>
      </c>
      <c r="G1588" s="248" t="s">
        <v>2497</v>
      </c>
      <c r="H1588" s="266" t="s">
        <v>3193</v>
      </c>
      <c r="I1588" s="249" t="s">
        <v>2750</v>
      </c>
      <c r="J1588" s="248" t="s">
        <v>2751</v>
      </c>
      <c r="K1588" s="266" t="s">
        <v>3143</v>
      </c>
      <c r="L1588" s="266" t="s">
        <v>2800</v>
      </c>
      <c r="M1588" s="248" t="s">
        <v>2371</v>
      </c>
      <c r="N1588" s="293"/>
      <c r="O1588" s="293" t="str">
        <f>TablaPOA[[#This Row],[Cod_Sub_acción_especifica]]&amp;"_"&amp;TablaPOA[[#This Row],[Tipo de agente]]</f>
        <v>K31.4.4.6_Distribuidores mayoristas, Importadores y Comercializadores</v>
      </c>
      <c r="P1588" s="250" t="s">
        <v>2852</v>
      </c>
      <c r="Q1588" s="292" t="str">
        <f>TablaPOA[[#This Row],[Cod_Sub_acción_especifica]]&amp;"_"&amp;TablaPOA[[#This Row],[Cod_Tipo_agente]]</f>
        <v>K31.4.4.6_TA4</v>
      </c>
      <c r="R1588" s="250" t="s">
        <v>2853</v>
      </c>
      <c r="S1588" s="251" t="s">
        <v>2860</v>
      </c>
      <c r="T1588" s="269" t="s">
        <v>2861</v>
      </c>
    </row>
    <row r="1589" spans="1:20" ht="25.5" x14ac:dyDescent="0.25">
      <c r="A1589" s="268" t="s">
        <v>2314</v>
      </c>
      <c r="B1589" s="248">
        <v>31</v>
      </c>
      <c r="C1589" s="248" t="s">
        <v>2691</v>
      </c>
      <c r="D1589" s="248" t="s">
        <v>2988</v>
      </c>
      <c r="E1589" s="248" t="s">
        <v>3189</v>
      </c>
      <c r="F1589" s="248" t="s">
        <v>2697</v>
      </c>
      <c r="G1589" s="248" t="s">
        <v>2497</v>
      </c>
      <c r="H1589" s="266" t="s">
        <v>3193</v>
      </c>
      <c r="I1589" s="249" t="s">
        <v>2750</v>
      </c>
      <c r="J1589" s="248" t="s">
        <v>2751</v>
      </c>
      <c r="K1589" s="266" t="s">
        <v>3143</v>
      </c>
      <c r="L1589" s="266" t="s">
        <v>2800</v>
      </c>
      <c r="M1589" s="248" t="s">
        <v>2371</v>
      </c>
      <c r="N1589" s="293"/>
      <c r="O1589" s="293" t="str">
        <f>TablaPOA[[#This Row],[Cod_Sub_acción_especifica]]&amp;"_"&amp;TablaPOA[[#This Row],[Tipo de agente]]</f>
        <v>K31.4.4.6_Distribuidores mayoristas, Importadores y Comercializadores</v>
      </c>
      <c r="P1589" s="250" t="s">
        <v>2852</v>
      </c>
      <c r="Q1589" s="292" t="str">
        <f>TablaPOA[[#This Row],[Cod_Sub_acción_especifica]]&amp;"_"&amp;TablaPOA[[#This Row],[Cod_Tipo_agente]]</f>
        <v>K31.4.4.6_TA4</v>
      </c>
      <c r="R1589" s="250" t="s">
        <v>2853</v>
      </c>
      <c r="S1589" s="251" t="s">
        <v>2862</v>
      </c>
      <c r="T1589" s="269" t="s">
        <v>2863</v>
      </c>
    </row>
    <row r="1590" spans="1:20" ht="25.5" x14ac:dyDescent="0.25">
      <c r="A1590" s="268" t="s">
        <v>2314</v>
      </c>
      <c r="B1590" s="248">
        <v>31</v>
      </c>
      <c r="C1590" s="248" t="s">
        <v>2691</v>
      </c>
      <c r="D1590" s="248" t="s">
        <v>2988</v>
      </c>
      <c r="E1590" s="248" t="s">
        <v>3189</v>
      </c>
      <c r="F1590" s="248" t="s">
        <v>2697</v>
      </c>
      <c r="G1590" s="248" t="s">
        <v>2497</v>
      </c>
      <c r="H1590" s="266" t="s">
        <v>3193</v>
      </c>
      <c r="I1590" s="249" t="s">
        <v>2750</v>
      </c>
      <c r="J1590" s="248" t="s">
        <v>2751</v>
      </c>
      <c r="K1590" s="266" t="s">
        <v>3143</v>
      </c>
      <c r="L1590" s="266" t="s">
        <v>2800</v>
      </c>
      <c r="M1590" s="248" t="s">
        <v>2371</v>
      </c>
      <c r="N1590" s="293"/>
      <c r="O1590" s="293" t="str">
        <f>TablaPOA[[#This Row],[Cod_Sub_acción_especifica]]&amp;"_"&amp;TablaPOA[[#This Row],[Tipo de agente]]</f>
        <v>K31.4.4.6_Distribuidores mayoristas, Importadores y Comercializadores</v>
      </c>
      <c r="P1590" s="250" t="s">
        <v>2852</v>
      </c>
      <c r="Q1590" s="292" t="str">
        <f>TablaPOA[[#This Row],[Cod_Sub_acción_especifica]]&amp;"_"&amp;TablaPOA[[#This Row],[Cod_Tipo_agente]]</f>
        <v>K31.4.4.6_TA4</v>
      </c>
      <c r="R1590" s="250" t="s">
        <v>2853</v>
      </c>
      <c r="S1590" s="251" t="s">
        <v>2864</v>
      </c>
      <c r="T1590" s="269" t="s">
        <v>2865</v>
      </c>
    </row>
    <row r="1591" spans="1:20" ht="25.5" x14ac:dyDescent="0.25">
      <c r="A1591" s="268" t="s">
        <v>2314</v>
      </c>
      <c r="B1591" s="248">
        <v>31</v>
      </c>
      <c r="C1591" s="248" t="s">
        <v>2691</v>
      </c>
      <c r="D1591" s="248" t="s">
        <v>2988</v>
      </c>
      <c r="E1591" s="248" t="s">
        <v>3189</v>
      </c>
      <c r="F1591" s="248" t="s">
        <v>2697</v>
      </c>
      <c r="G1591" s="248" t="s">
        <v>2497</v>
      </c>
      <c r="H1591" s="266" t="s">
        <v>3193</v>
      </c>
      <c r="I1591" s="249" t="s">
        <v>2750</v>
      </c>
      <c r="J1591" s="248" t="s">
        <v>2751</v>
      </c>
      <c r="K1591" s="266" t="s">
        <v>3143</v>
      </c>
      <c r="L1591" s="266" t="s">
        <v>2800</v>
      </c>
      <c r="M1591" s="248" t="s">
        <v>2371</v>
      </c>
      <c r="N1591" s="293"/>
      <c r="O1591" s="293" t="str">
        <f>TablaPOA[[#This Row],[Cod_Sub_acción_especifica]]&amp;"_"&amp;TablaPOA[[#This Row],[Tipo de agente]]</f>
        <v>K31.4.4.6_Distribuidores mayoristas, Importadores y Comercializadores</v>
      </c>
      <c r="P1591" s="250" t="s">
        <v>2852</v>
      </c>
      <c r="Q1591" s="292" t="str">
        <f>TablaPOA[[#This Row],[Cod_Sub_acción_especifica]]&amp;"_"&amp;TablaPOA[[#This Row],[Cod_Tipo_agente]]</f>
        <v>K31.4.4.6_TA4</v>
      </c>
      <c r="R1591" s="250" t="s">
        <v>2853</v>
      </c>
      <c r="S1591" s="251" t="s">
        <v>2866</v>
      </c>
      <c r="T1591" s="269" t="s">
        <v>2867</v>
      </c>
    </row>
    <row r="1592" spans="1:20" ht="25.5" x14ac:dyDescent="0.25">
      <c r="A1592" s="268" t="s">
        <v>2314</v>
      </c>
      <c r="B1592" s="248">
        <v>31</v>
      </c>
      <c r="C1592" s="248" t="s">
        <v>2691</v>
      </c>
      <c r="D1592" s="248" t="s">
        <v>2988</v>
      </c>
      <c r="E1592" s="248" t="s">
        <v>3189</v>
      </c>
      <c r="F1592" s="248" t="s">
        <v>2697</v>
      </c>
      <c r="G1592" s="248" t="s">
        <v>2497</v>
      </c>
      <c r="H1592" s="266" t="s">
        <v>3193</v>
      </c>
      <c r="I1592" s="249" t="s">
        <v>2750</v>
      </c>
      <c r="J1592" s="248" t="s">
        <v>2751</v>
      </c>
      <c r="K1592" s="266" t="s">
        <v>3143</v>
      </c>
      <c r="L1592" s="266" t="s">
        <v>2800</v>
      </c>
      <c r="M1592" s="248" t="s">
        <v>2371</v>
      </c>
      <c r="N1592" s="293"/>
      <c r="O1592" s="293" t="str">
        <f>TablaPOA[[#This Row],[Cod_Sub_acción_especifica]]&amp;"_"&amp;TablaPOA[[#This Row],[Tipo de agente]]</f>
        <v>K31.4.4.6_Distribuidores mayoristas, Importadores y Comercializadores</v>
      </c>
      <c r="P1592" s="250" t="s">
        <v>2852</v>
      </c>
      <c r="Q1592" s="292" t="str">
        <f>TablaPOA[[#This Row],[Cod_Sub_acción_especifica]]&amp;"_"&amp;TablaPOA[[#This Row],[Cod_Tipo_agente]]</f>
        <v>K31.4.4.6_TA4</v>
      </c>
      <c r="R1592" s="250" t="s">
        <v>2853</v>
      </c>
      <c r="S1592" s="251" t="s">
        <v>2868</v>
      </c>
      <c r="T1592" s="269" t="s">
        <v>2869</v>
      </c>
    </row>
    <row r="1593" spans="1:20" ht="25.5" x14ac:dyDescent="0.25">
      <c r="A1593" s="268" t="s">
        <v>2314</v>
      </c>
      <c r="B1593" s="248">
        <v>31</v>
      </c>
      <c r="C1593" s="248" t="s">
        <v>2691</v>
      </c>
      <c r="D1593" s="248" t="s">
        <v>2988</v>
      </c>
      <c r="E1593" s="248" t="s">
        <v>3189</v>
      </c>
      <c r="F1593" s="248" t="s">
        <v>2697</v>
      </c>
      <c r="G1593" s="248" t="s">
        <v>2497</v>
      </c>
      <c r="H1593" s="266" t="s">
        <v>3193</v>
      </c>
      <c r="I1593" s="249" t="s">
        <v>2750</v>
      </c>
      <c r="J1593" s="248" t="s">
        <v>2751</v>
      </c>
      <c r="K1593" s="266" t="s">
        <v>3143</v>
      </c>
      <c r="L1593" s="266" t="s">
        <v>2800</v>
      </c>
      <c r="M1593" s="248" t="s">
        <v>2371</v>
      </c>
      <c r="N1593" s="293"/>
      <c r="O1593" s="293" t="str">
        <f>TablaPOA[[#This Row],[Cod_Sub_acción_especifica]]&amp;"_"&amp;TablaPOA[[#This Row],[Tipo de agente]]</f>
        <v>K31.4.4.6_Distribuidores mayoristas, Importadores y Comercializadores</v>
      </c>
      <c r="P1593" s="250" t="s">
        <v>2852</v>
      </c>
      <c r="Q1593" s="292" t="str">
        <f>TablaPOA[[#This Row],[Cod_Sub_acción_especifica]]&amp;"_"&amp;TablaPOA[[#This Row],[Cod_Tipo_agente]]</f>
        <v>K31.4.4.6_TA4</v>
      </c>
      <c r="R1593" s="250" t="s">
        <v>2853</v>
      </c>
      <c r="S1593" s="251" t="s">
        <v>2870</v>
      </c>
      <c r="T1593" s="269" t="s">
        <v>2871</v>
      </c>
    </row>
    <row r="1594" spans="1:20" ht="25.5" x14ac:dyDescent="0.25">
      <c r="A1594" s="268" t="s">
        <v>2314</v>
      </c>
      <c r="B1594" s="248">
        <v>31</v>
      </c>
      <c r="C1594" s="248" t="s">
        <v>2691</v>
      </c>
      <c r="D1594" s="248" t="s">
        <v>2988</v>
      </c>
      <c r="E1594" s="248" t="s">
        <v>3189</v>
      </c>
      <c r="F1594" s="248" t="s">
        <v>2697</v>
      </c>
      <c r="G1594" s="248" t="s">
        <v>2497</v>
      </c>
      <c r="H1594" s="266" t="s">
        <v>3193</v>
      </c>
      <c r="I1594" s="249" t="s">
        <v>2750</v>
      </c>
      <c r="J1594" s="248" t="s">
        <v>2751</v>
      </c>
      <c r="K1594" s="266" t="s">
        <v>3143</v>
      </c>
      <c r="L1594" s="266" t="s">
        <v>2800</v>
      </c>
      <c r="M1594" s="248" t="s">
        <v>2371</v>
      </c>
      <c r="N1594" s="293"/>
      <c r="O1594" s="293" t="str">
        <f>TablaPOA[[#This Row],[Cod_Sub_acción_especifica]]&amp;"_"&amp;TablaPOA[[#This Row],[Tipo de agente]]</f>
        <v>K31.4.4.6_Distribuidores mayoristas, Importadores y Comercializadores</v>
      </c>
      <c r="P1594" s="250" t="s">
        <v>2852</v>
      </c>
      <c r="Q1594" s="292" t="str">
        <f>TablaPOA[[#This Row],[Cod_Sub_acción_especifica]]&amp;"_"&amp;TablaPOA[[#This Row],[Cod_Tipo_agente]]</f>
        <v>K31.4.4.6_TA4</v>
      </c>
      <c r="R1594" s="250" t="s">
        <v>2853</v>
      </c>
      <c r="S1594" s="251" t="s">
        <v>2872</v>
      </c>
      <c r="T1594" s="269" t="s">
        <v>2873</v>
      </c>
    </row>
    <row r="1595" spans="1:20" ht="25.5" x14ac:dyDescent="0.25">
      <c r="A1595" s="268" t="s">
        <v>2314</v>
      </c>
      <c r="B1595" s="248">
        <v>31</v>
      </c>
      <c r="C1595" s="248" t="s">
        <v>2691</v>
      </c>
      <c r="D1595" s="248" t="s">
        <v>2988</v>
      </c>
      <c r="E1595" s="248" t="s">
        <v>3189</v>
      </c>
      <c r="F1595" s="248" t="s">
        <v>2697</v>
      </c>
      <c r="G1595" s="248" t="s">
        <v>2497</v>
      </c>
      <c r="H1595" s="266" t="s">
        <v>3193</v>
      </c>
      <c r="I1595" s="249" t="s">
        <v>2750</v>
      </c>
      <c r="J1595" s="248" t="s">
        <v>2751</v>
      </c>
      <c r="K1595" s="266" t="s">
        <v>3143</v>
      </c>
      <c r="L1595" s="266" t="s">
        <v>2800</v>
      </c>
      <c r="M1595" s="248" t="s">
        <v>2371</v>
      </c>
      <c r="N1595" s="293"/>
      <c r="O1595" s="293" t="str">
        <f>TablaPOA[[#This Row],[Cod_Sub_acción_especifica]]&amp;"_"&amp;TablaPOA[[#This Row],[Tipo de agente]]</f>
        <v>K31.4.4.6_Distribuidores mayoristas, Importadores y Comercializadores</v>
      </c>
      <c r="P1595" s="250" t="s">
        <v>2852</v>
      </c>
      <c r="Q1595" s="292" t="str">
        <f>TablaPOA[[#This Row],[Cod_Sub_acción_especifica]]&amp;"_"&amp;TablaPOA[[#This Row],[Cod_Tipo_agente]]</f>
        <v>K31.4.4.6_TA4</v>
      </c>
      <c r="R1595" s="250" t="s">
        <v>2853</v>
      </c>
      <c r="S1595" s="251" t="s">
        <v>2874</v>
      </c>
      <c r="T1595" s="269" t="s">
        <v>2875</v>
      </c>
    </row>
    <row r="1596" spans="1:20" ht="25.5" x14ac:dyDescent="0.25">
      <c r="A1596" s="268" t="s">
        <v>2314</v>
      </c>
      <c r="B1596" s="248">
        <v>31</v>
      </c>
      <c r="C1596" s="248" t="s">
        <v>2691</v>
      </c>
      <c r="D1596" s="248" t="s">
        <v>2988</v>
      </c>
      <c r="E1596" s="248" t="s">
        <v>3189</v>
      </c>
      <c r="F1596" s="248" t="s">
        <v>2697</v>
      </c>
      <c r="G1596" s="248" t="s">
        <v>2497</v>
      </c>
      <c r="H1596" s="266" t="s">
        <v>3193</v>
      </c>
      <c r="I1596" s="249" t="s">
        <v>2750</v>
      </c>
      <c r="J1596" s="248" t="s">
        <v>2751</v>
      </c>
      <c r="K1596" s="266" t="s">
        <v>3143</v>
      </c>
      <c r="L1596" s="266" t="s">
        <v>2800</v>
      </c>
      <c r="M1596" s="248" t="s">
        <v>2371</v>
      </c>
      <c r="N1596" s="293"/>
      <c r="O1596" s="293" t="str">
        <f>TablaPOA[[#This Row],[Cod_Sub_acción_especifica]]&amp;"_"&amp;TablaPOA[[#This Row],[Tipo de agente]]</f>
        <v>K31.4.4.6_EVP combustibles de uso automotor</v>
      </c>
      <c r="P1596" s="453" t="s">
        <v>2882</v>
      </c>
      <c r="Q1596" s="292" t="str">
        <f>TablaPOA[[#This Row],[Cod_Sub_acción_especifica]]&amp;"_"&amp;TablaPOA[[#This Row],[Cod_Tipo_agente]]</f>
        <v>K31.4.4.6_TA6</v>
      </c>
      <c r="R1596" s="250" t="s">
        <v>2883</v>
      </c>
      <c r="S1596" s="251" t="s">
        <v>2884</v>
      </c>
      <c r="T1596" s="269" t="s">
        <v>2885</v>
      </c>
    </row>
    <row r="1597" spans="1:20" ht="25.5" x14ac:dyDescent="0.25">
      <c r="A1597" s="268" t="s">
        <v>2314</v>
      </c>
      <c r="B1597" s="248">
        <v>31</v>
      </c>
      <c r="C1597" s="248" t="s">
        <v>2691</v>
      </c>
      <c r="D1597" s="248" t="s">
        <v>2988</v>
      </c>
      <c r="E1597" s="248" t="s">
        <v>3189</v>
      </c>
      <c r="F1597" s="248" t="s">
        <v>2697</v>
      </c>
      <c r="G1597" s="248" t="s">
        <v>2497</v>
      </c>
      <c r="H1597" s="266" t="s">
        <v>3193</v>
      </c>
      <c r="I1597" s="249" t="s">
        <v>2750</v>
      </c>
      <c r="J1597" s="248" t="s">
        <v>2751</v>
      </c>
      <c r="K1597" s="266" t="s">
        <v>3143</v>
      </c>
      <c r="L1597" s="266" t="s">
        <v>2800</v>
      </c>
      <c r="M1597" s="248" t="s">
        <v>2371</v>
      </c>
      <c r="N1597" s="293"/>
      <c r="O1597" s="293" t="str">
        <f>TablaPOA[[#This Row],[Cod_Sub_acción_especifica]]&amp;"_"&amp;TablaPOA[[#This Row],[Tipo de agente]]</f>
        <v>K31.4.4.6_EVP combustibles de uso automotor</v>
      </c>
      <c r="P1597" s="453" t="s">
        <v>2882</v>
      </c>
      <c r="Q1597" s="292" t="str">
        <f>TablaPOA[[#This Row],[Cod_Sub_acción_especifica]]&amp;"_"&amp;TablaPOA[[#This Row],[Cod_Tipo_agente]]</f>
        <v>K31.4.4.6_TA6</v>
      </c>
      <c r="R1597" s="250" t="s">
        <v>2883</v>
      </c>
      <c r="S1597" s="251" t="s">
        <v>2886</v>
      </c>
      <c r="T1597" s="269" t="s">
        <v>2887</v>
      </c>
    </row>
    <row r="1598" spans="1:20" ht="25.5" x14ac:dyDescent="0.25">
      <c r="A1598" s="268" t="s">
        <v>2314</v>
      </c>
      <c r="B1598" s="248">
        <v>31</v>
      </c>
      <c r="C1598" s="248" t="s">
        <v>2691</v>
      </c>
      <c r="D1598" s="248" t="s">
        <v>2988</v>
      </c>
      <c r="E1598" s="248" t="s">
        <v>3189</v>
      </c>
      <c r="F1598" s="248" t="s">
        <v>2697</v>
      </c>
      <c r="G1598" s="248" t="s">
        <v>2497</v>
      </c>
      <c r="H1598" s="266" t="s">
        <v>3193</v>
      </c>
      <c r="I1598" s="249" t="s">
        <v>2750</v>
      </c>
      <c r="J1598" s="248" t="s">
        <v>2751</v>
      </c>
      <c r="K1598" s="266" t="s">
        <v>3143</v>
      </c>
      <c r="L1598" s="266" t="s">
        <v>2800</v>
      </c>
      <c r="M1598" s="248" t="s">
        <v>2371</v>
      </c>
      <c r="N1598" s="293"/>
      <c r="O1598" s="293" t="str">
        <f>TablaPOA[[#This Row],[Cod_Sub_acción_especifica]]&amp;"_"&amp;TablaPOA[[#This Row],[Tipo de agente]]</f>
        <v>K31.4.4.6_EVP combustibles de uso automotor</v>
      </c>
      <c r="P1598" s="453" t="s">
        <v>2882</v>
      </c>
      <c r="Q1598" s="292" t="str">
        <f>TablaPOA[[#This Row],[Cod_Sub_acción_especifica]]&amp;"_"&amp;TablaPOA[[#This Row],[Cod_Tipo_agente]]</f>
        <v>K31.4.4.6_TA6</v>
      </c>
      <c r="R1598" s="250" t="s">
        <v>2883</v>
      </c>
      <c r="S1598" s="251" t="s">
        <v>2892</v>
      </c>
      <c r="T1598" s="269" t="s">
        <v>2893</v>
      </c>
    </row>
    <row r="1599" spans="1:20" ht="25.5" x14ac:dyDescent="0.25">
      <c r="A1599" s="268" t="s">
        <v>2314</v>
      </c>
      <c r="B1599" s="248">
        <v>31</v>
      </c>
      <c r="C1599" s="248" t="s">
        <v>2691</v>
      </c>
      <c r="D1599" s="248" t="s">
        <v>2988</v>
      </c>
      <c r="E1599" s="248" t="s">
        <v>3189</v>
      </c>
      <c r="F1599" s="248" t="s">
        <v>2697</v>
      </c>
      <c r="G1599" s="248" t="s">
        <v>2497</v>
      </c>
      <c r="H1599" s="266" t="s">
        <v>3193</v>
      </c>
      <c r="I1599" s="249" t="s">
        <v>2750</v>
      </c>
      <c r="J1599" s="248" t="s">
        <v>2751</v>
      </c>
      <c r="K1599" s="266" t="s">
        <v>3143</v>
      </c>
      <c r="L1599" s="266" t="s">
        <v>2800</v>
      </c>
      <c r="M1599" s="248" t="s">
        <v>2371</v>
      </c>
      <c r="N1599" s="293"/>
      <c r="O1599" s="293" t="str">
        <f>TablaPOA[[#This Row],[Cod_Sub_acción_especifica]]&amp;"_"&amp;TablaPOA[[#This Row],[Tipo de agente]]</f>
        <v>K31.4.4.6_EVP combustibles de uso automotor</v>
      </c>
      <c r="P1599" s="453" t="s">
        <v>2882</v>
      </c>
      <c r="Q1599" s="292" t="str">
        <f>TablaPOA[[#This Row],[Cod_Sub_acción_especifica]]&amp;"_"&amp;TablaPOA[[#This Row],[Cod_Tipo_agente]]</f>
        <v>K31.4.4.6_TA6</v>
      </c>
      <c r="R1599" s="250" t="s">
        <v>2883</v>
      </c>
      <c r="S1599" s="251" t="s">
        <v>2894</v>
      </c>
      <c r="T1599" s="269" t="s">
        <v>2895</v>
      </c>
    </row>
    <row r="1600" spans="1:20" ht="25.5" x14ac:dyDescent="0.25">
      <c r="A1600" s="268" t="s">
        <v>2314</v>
      </c>
      <c r="B1600" s="248">
        <v>31</v>
      </c>
      <c r="C1600" s="248" t="s">
        <v>2691</v>
      </c>
      <c r="D1600" s="248" t="s">
        <v>2988</v>
      </c>
      <c r="E1600" s="248" t="s">
        <v>3189</v>
      </c>
      <c r="F1600" s="248" t="s">
        <v>2697</v>
      </c>
      <c r="G1600" s="248" t="s">
        <v>2497</v>
      </c>
      <c r="H1600" s="266" t="s">
        <v>3193</v>
      </c>
      <c r="I1600" s="249" t="s">
        <v>2750</v>
      </c>
      <c r="J1600" s="248" t="s">
        <v>2751</v>
      </c>
      <c r="K1600" s="266" t="s">
        <v>3143</v>
      </c>
      <c r="L1600" s="266" t="s">
        <v>2800</v>
      </c>
      <c r="M1600" s="248" t="s">
        <v>2371</v>
      </c>
      <c r="N1600" s="293"/>
      <c r="O1600" s="293" t="str">
        <f>TablaPOA[[#This Row],[Cod_Sub_acción_especifica]]&amp;"_"&amp;TablaPOA[[#This Row],[Tipo de agente]]</f>
        <v>K31.4.4.6_EVP combustibles de uso automotor</v>
      </c>
      <c r="P1600" s="453" t="s">
        <v>2882</v>
      </c>
      <c r="Q1600" s="292" t="str">
        <f>TablaPOA[[#This Row],[Cod_Sub_acción_especifica]]&amp;"_"&amp;TablaPOA[[#This Row],[Cod_Tipo_agente]]</f>
        <v>K31.4.4.6_TA6</v>
      </c>
      <c r="R1600" s="250" t="s">
        <v>2883</v>
      </c>
      <c r="S1600" s="251" t="s">
        <v>2896</v>
      </c>
      <c r="T1600" s="269" t="s">
        <v>2897</v>
      </c>
    </row>
    <row r="1601" spans="1:20" ht="25.5" x14ac:dyDescent="0.25">
      <c r="A1601" s="268" t="s">
        <v>2314</v>
      </c>
      <c r="B1601" s="248">
        <v>31</v>
      </c>
      <c r="C1601" s="248" t="s">
        <v>2691</v>
      </c>
      <c r="D1601" s="248" t="s">
        <v>2988</v>
      </c>
      <c r="E1601" s="248" t="s">
        <v>3189</v>
      </c>
      <c r="F1601" s="248" t="s">
        <v>2697</v>
      </c>
      <c r="G1601" s="248" t="s">
        <v>2497</v>
      </c>
      <c r="H1601" s="266" t="s">
        <v>3193</v>
      </c>
      <c r="I1601" s="249" t="s">
        <v>2750</v>
      </c>
      <c r="J1601" s="248" t="s">
        <v>2751</v>
      </c>
      <c r="K1601" s="266" t="s">
        <v>3143</v>
      </c>
      <c r="L1601" s="266" t="s">
        <v>2800</v>
      </c>
      <c r="M1601" s="248" t="s">
        <v>2371</v>
      </c>
      <c r="N1601" s="293"/>
      <c r="O1601" s="293" t="str">
        <f>TablaPOA[[#This Row],[Cod_Sub_acción_especifica]]&amp;"_"&amp;TablaPOA[[#This Row],[Tipo de agente]]</f>
        <v>K31.4.4.6_EVP combustibles de uso automotor</v>
      </c>
      <c r="P1601" s="453" t="s">
        <v>2882</v>
      </c>
      <c r="Q1601" s="292" t="str">
        <f>TablaPOA[[#This Row],[Cod_Sub_acción_especifica]]&amp;"_"&amp;TablaPOA[[#This Row],[Cod_Tipo_agente]]</f>
        <v>K31.4.4.6_TA6</v>
      </c>
      <c r="R1601" s="250" t="s">
        <v>2883</v>
      </c>
      <c r="S1601" s="251" t="s">
        <v>2898</v>
      </c>
      <c r="T1601" s="269" t="s">
        <v>2899</v>
      </c>
    </row>
    <row r="1602" spans="1:20" ht="25.5" x14ac:dyDescent="0.25">
      <c r="A1602" s="268" t="s">
        <v>2314</v>
      </c>
      <c r="B1602" s="248">
        <v>31</v>
      </c>
      <c r="C1602" s="248" t="s">
        <v>2691</v>
      </c>
      <c r="D1602" s="248" t="s">
        <v>2988</v>
      </c>
      <c r="E1602" s="248" t="s">
        <v>3189</v>
      </c>
      <c r="F1602" s="248" t="s">
        <v>2697</v>
      </c>
      <c r="G1602" s="248" t="s">
        <v>2497</v>
      </c>
      <c r="H1602" s="266" t="s">
        <v>3193</v>
      </c>
      <c r="I1602" s="249" t="s">
        <v>2750</v>
      </c>
      <c r="J1602" s="248" t="s">
        <v>2751</v>
      </c>
      <c r="K1602" s="266" t="s">
        <v>3143</v>
      </c>
      <c r="L1602" s="266" t="s">
        <v>2800</v>
      </c>
      <c r="M1602" s="248" t="s">
        <v>2371</v>
      </c>
      <c r="N1602" s="293"/>
      <c r="O1602" s="293" t="str">
        <f>TablaPOA[[#This Row],[Cod_Sub_acción_especifica]]&amp;"_"&amp;TablaPOA[[#This Row],[Tipo de agente]]</f>
        <v>K31.4.4.6_EVP combustibles de uso automotor</v>
      </c>
      <c r="P1602" s="453" t="s">
        <v>2882</v>
      </c>
      <c r="Q1602" s="292" t="str">
        <f>TablaPOA[[#This Row],[Cod_Sub_acción_especifica]]&amp;"_"&amp;TablaPOA[[#This Row],[Cod_Tipo_agente]]</f>
        <v>K31.4.4.6_TA6</v>
      </c>
      <c r="R1602" s="250" t="s">
        <v>2883</v>
      </c>
      <c r="S1602" s="251" t="s">
        <v>2900</v>
      </c>
      <c r="T1602" s="269" t="s">
        <v>2901</v>
      </c>
    </row>
    <row r="1603" spans="1:20" ht="25.5" x14ac:dyDescent="0.25">
      <c r="A1603" s="268" t="s">
        <v>2314</v>
      </c>
      <c r="B1603" s="248">
        <v>31</v>
      </c>
      <c r="C1603" s="248" t="s">
        <v>2691</v>
      </c>
      <c r="D1603" s="248" t="s">
        <v>2988</v>
      </c>
      <c r="E1603" s="248" t="s">
        <v>3189</v>
      </c>
      <c r="F1603" s="248" t="s">
        <v>2697</v>
      </c>
      <c r="G1603" s="248" t="s">
        <v>2497</v>
      </c>
      <c r="H1603" s="266" t="s">
        <v>3193</v>
      </c>
      <c r="I1603" s="249" t="s">
        <v>2750</v>
      </c>
      <c r="J1603" s="248" t="s">
        <v>2751</v>
      </c>
      <c r="K1603" s="266" t="s">
        <v>3143</v>
      </c>
      <c r="L1603" s="266" t="s">
        <v>2800</v>
      </c>
      <c r="M1603" s="248" t="s">
        <v>2371</v>
      </c>
      <c r="N1603" s="293"/>
      <c r="O1603" s="293" t="str">
        <f>TablaPOA[[#This Row],[Cod_Sub_acción_especifica]]&amp;"_"&amp;TablaPOA[[#This Row],[Tipo de agente]]</f>
        <v>K31.4.4.6_Locales de venta de GLP</v>
      </c>
      <c r="P1603" s="250" t="s">
        <v>2912</v>
      </c>
      <c r="Q1603" s="292" t="str">
        <f>TablaPOA[[#This Row],[Cod_Sub_acción_especifica]]&amp;"_"&amp;TablaPOA[[#This Row],[Cod_Tipo_agente]]</f>
        <v>K31.4.4.6_TA8</v>
      </c>
      <c r="R1603" s="250" t="s">
        <v>2913</v>
      </c>
      <c r="S1603" s="251" t="s">
        <v>2914</v>
      </c>
      <c r="T1603" s="269" t="s">
        <v>2915</v>
      </c>
    </row>
    <row r="1604" spans="1:20" ht="25.5" x14ac:dyDescent="0.25">
      <c r="A1604" s="268" t="s">
        <v>2314</v>
      </c>
      <c r="B1604" s="248">
        <v>31</v>
      </c>
      <c r="C1604" s="248" t="s">
        <v>2691</v>
      </c>
      <c r="D1604" s="248" t="s">
        <v>2988</v>
      </c>
      <c r="E1604" s="248" t="s">
        <v>3189</v>
      </c>
      <c r="F1604" s="248" t="s">
        <v>2697</v>
      </c>
      <c r="G1604" s="248" t="s">
        <v>2497</v>
      </c>
      <c r="H1604" s="266" t="s">
        <v>3193</v>
      </c>
      <c r="I1604" s="249" t="s">
        <v>2750</v>
      </c>
      <c r="J1604" s="248" t="s">
        <v>2751</v>
      </c>
      <c r="K1604" s="266" t="s">
        <v>3143</v>
      </c>
      <c r="L1604" s="266" t="s">
        <v>2800</v>
      </c>
      <c r="M1604" s="248" t="s">
        <v>2371</v>
      </c>
      <c r="N1604" s="293"/>
      <c r="O1604" s="293" t="str">
        <f>TablaPOA[[#This Row],[Cod_Sub_acción_especifica]]&amp;"_"&amp;TablaPOA[[#This Row],[Tipo de agente]]</f>
        <v>K31.4.4.6_Locales de venta de GLP</v>
      </c>
      <c r="P1604" s="250" t="s">
        <v>2912</v>
      </c>
      <c r="Q1604" s="292" t="str">
        <f>TablaPOA[[#This Row],[Cod_Sub_acción_especifica]]&amp;"_"&amp;TablaPOA[[#This Row],[Cod_Tipo_agente]]</f>
        <v>K31.4.4.6_TA8</v>
      </c>
      <c r="R1604" s="250" t="s">
        <v>2913</v>
      </c>
      <c r="S1604" s="251" t="s">
        <v>2916</v>
      </c>
      <c r="T1604" s="269" t="s">
        <v>2917</v>
      </c>
    </row>
    <row r="1605" spans="1:20" ht="25.5" x14ac:dyDescent="0.25">
      <c r="A1605" s="268" t="s">
        <v>2314</v>
      </c>
      <c r="B1605" s="248">
        <v>31</v>
      </c>
      <c r="C1605" s="248" t="s">
        <v>2691</v>
      </c>
      <c r="D1605" s="248" t="s">
        <v>2988</v>
      </c>
      <c r="E1605" s="248" t="s">
        <v>3189</v>
      </c>
      <c r="F1605" s="248" t="s">
        <v>2697</v>
      </c>
      <c r="G1605" s="248" t="s">
        <v>2497</v>
      </c>
      <c r="H1605" s="266" t="s">
        <v>3193</v>
      </c>
      <c r="I1605" s="249" t="s">
        <v>2750</v>
      </c>
      <c r="J1605" s="248" t="s">
        <v>2751</v>
      </c>
      <c r="K1605" s="266" t="s">
        <v>3143</v>
      </c>
      <c r="L1605" s="266" t="s">
        <v>2800</v>
      </c>
      <c r="M1605" s="248" t="s">
        <v>2371</v>
      </c>
      <c r="N1605" s="293"/>
      <c r="O1605" s="293" t="str">
        <f>TablaPOA[[#This Row],[Cod_Sub_acción_especifica]]&amp;"_"&amp;TablaPOA[[#This Row],[Tipo de agente]]</f>
        <v>K31.4.4.6_Medios de transporte</v>
      </c>
      <c r="P1605" s="250" t="s">
        <v>2918</v>
      </c>
      <c r="Q1605" s="292" t="str">
        <f>TablaPOA[[#This Row],[Cod_Sub_acción_especifica]]&amp;"_"&amp;TablaPOA[[#This Row],[Cod_Tipo_agente]]</f>
        <v>K31.4.4.6_TA9</v>
      </c>
      <c r="R1605" s="250" t="s">
        <v>2919</v>
      </c>
      <c r="S1605" s="251" t="s">
        <v>2920</v>
      </c>
      <c r="T1605" s="269" t="s">
        <v>2921</v>
      </c>
    </row>
    <row r="1606" spans="1:20" ht="25.5" x14ac:dyDescent="0.25">
      <c r="A1606" s="268" t="s">
        <v>2314</v>
      </c>
      <c r="B1606" s="248">
        <v>31</v>
      </c>
      <c r="C1606" s="248" t="s">
        <v>2691</v>
      </c>
      <c r="D1606" s="248" t="s">
        <v>2988</v>
      </c>
      <c r="E1606" s="248" t="s">
        <v>3189</v>
      </c>
      <c r="F1606" s="248" t="s">
        <v>2697</v>
      </c>
      <c r="G1606" s="248" t="s">
        <v>2497</v>
      </c>
      <c r="H1606" s="266" t="s">
        <v>3193</v>
      </c>
      <c r="I1606" s="249" t="s">
        <v>2750</v>
      </c>
      <c r="J1606" s="248" t="s">
        <v>2751</v>
      </c>
      <c r="K1606" s="266" t="s">
        <v>3143</v>
      </c>
      <c r="L1606" s="266" t="s">
        <v>2800</v>
      </c>
      <c r="M1606" s="248" t="s">
        <v>2371</v>
      </c>
      <c r="N1606" s="293"/>
      <c r="O1606" s="293" t="str">
        <f>TablaPOA[[#This Row],[Cod_Sub_acción_especifica]]&amp;"_"&amp;TablaPOA[[#This Row],[Tipo de agente]]</f>
        <v>K31.4.4.6_Medios de transporte</v>
      </c>
      <c r="P1606" s="250" t="s">
        <v>2918</v>
      </c>
      <c r="Q1606" s="292" t="str">
        <f>TablaPOA[[#This Row],[Cod_Sub_acción_especifica]]&amp;"_"&amp;TablaPOA[[#This Row],[Cod_Tipo_agente]]</f>
        <v>K31.4.4.6_TA9</v>
      </c>
      <c r="R1606" s="250" t="s">
        <v>2919</v>
      </c>
      <c r="S1606" s="251" t="s">
        <v>2922</v>
      </c>
      <c r="T1606" s="269" t="s">
        <v>2923</v>
      </c>
    </row>
    <row r="1607" spans="1:20" ht="25.5" x14ac:dyDescent="0.25">
      <c r="A1607" s="268" t="s">
        <v>2314</v>
      </c>
      <c r="B1607" s="248">
        <v>31</v>
      </c>
      <c r="C1607" s="248" t="s">
        <v>2691</v>
      </c>
      <c r="D1607" s="248" t="s">
        <v>2988</v>
      </c>
      <c r="E1607" s="248" t="s">
        <v>3189</v>
      </c>
      <c r="F1607" s="248" t="s">
        <v>2697</v>
      </c>
      <c r="G1607" s="248" t="s">
        <v>2497</v>
      </c>
      <c r="H1607" s="266" t="s">
        <v>3193</v>
      </c>
      <c r="I1607" s="249" t="s">
        <v>2750</v>
      </c>
      <c r="J1607" s="248" t="s">
        <v>2751</v>
      </c>
      <c r="K1607" s="266" t="s">
        <v>3143</v>
      </c>
      <c r="L1607" s="266" t="s">
        <v>2800</v>
      </c>
      <c r="M1607" s="248" t="s">
        <v>2371</v>
      </c>
      <c r="N1607" s="293"/>
      <c r="O1607" s="293" t="str">
        <f>TablaPOA[[#This Row],[Cod_Sub_acción_especifica]]&amp;"_"&amp;TablaPOA[[#This Row],[Tipo de agente]]</f>
        <v>K31.4.4.6_Medios de transporte</v>
      </c>
      <c r="P1607" s="250" t="s">
        <v>2918</v>
      </c>
      <c r="Q1607" s="292" t="str">
        <f>TablaPOA[[#This Row],[Cod_Sub_acción_especifica]]&amp;"_"&amp;TablaPOA[[#This Row],[Cod_Tipo_agente]]</f>
        <v>K31.4.4.6_TA9</v>
      </c>
      <c r="R1607" s="250" t="s">
        <v>2919</v>
      </c>
      <c r="S1607" s="251" t="s">
        <v>2924</v>
      </c>
      <c r="T1607" s="269" t="s">
        <v>2925</v>
      </c>
    </row>
    <row r="1608" spans="1:20" ht="25.5" x14ac:dyDescent="0.25">
      <c r="A1608" s="268" t="s">
        <v>2314</v>
      </c>
      <c r="B1608" s="248">
        <v>31</v>
      </c>
      <c r="C1608" s="248" t="s">
        <v>2691</v>
      </c>
      <c r="D1608" s="248" t="s">
        <v>2988</v>
      </c>
      <c r="E1608" s="248" t="s">
        <v>3189</v>
      </c>
      <c r="F1608" s="248" t="s">
        <v>2697</v>
      </c>
      <c r="G1608" s="248" t="s">
        <v>2497</v>
      </c>
      <c r="H1608" s="266" t="s">
        <v>3193</v>
      </c>
      <c r="I1608" s="249" t="s">
        <v>2750</v>
      </c>
      <c r="J1608" s="248" t="s">
        <v>2751</v>
      </c>
      <c r="K1608" s="266" t="s">
        <v>3143</v>
      </c>
      <c r="L1608" s="266" t="s">
        <v>2800</v>
      </c>
      <c r="M1608" s="248" t="s">
        <v>2371</v>
      </c>
      <c r="N1608" s="293"/>
      <c r="O1608" s="293" t="str">
        <f>TablaPOA[[#This Row],[Cod_Sub_acción_especifica]]&amp;"_"&amp;TablaPOA[[#This Row],[Tipo de agente]]</f>
        <v>K31.4.4.6_Medios de transporte</v>
      </c>
      <c r="P1608" s="250" t="s">
        <v>2918</v>
      </c>
      <c r="Q1608" s="292" t="str">
        <f>TablaPOA[[#This Row],[Cod_Sub_acción_especifica]]&amp;"_"&amp;TablaPOA[[#This Row],[Cod_Tipo_agente]]</f>
        <v>K31.4.4.6_TA9</v>
      </c>
      <c r="R1608" s="250" t="s">
        <v>2919</v>
      </c>
      <c r="S1608" s="251" t="s">
        <v>2926</v>
      </c>
      <c r="T1608" s="269" t="s">
        <v>2927</v>
      </c>
    </row>
    <row r="1609" spans="1:20" ht="25.5" x14ac:dyDescent="0.25">
      <c r="A1609" s="268" t="s">
        <v>2314</v>
      </c>
      <c r="B1609" s="248">
        <v>31</v>
      </c>
      <c r="C1609" s="248" t="s">
        <v>2691</v>
      </c>
      <c r="D1609" s="248" t="s">
        <v>2988</v>
      </c>
      <c r="E1609" s="248" t="s">
        <v>3189</v>
      </c>
      <c r="F1609" s="248" t="s">
        <v>2697</v>
      </c>
      <c r="G1609" s="248" t="s">
        <v>2497</v>
      </c>
      <c r="H1609" s="266" t="s">
        <v>3193</v>
      </c>
      <c r="I1609" s="249" t="s">
        <v>2750</v>
      </c>
      <c r="J1609" s="248" t="s">
        <v>2751</v>
      </c>
      <c r="K1609" s="266" t="s">
        <v>3143</v>
      </c>
      <c r="L1609" s="266" t="s">
        <v>2800</v>
      </c>
      <c r="M1609" s="248" t="s">
        <v>2371</v>
      </c>
      <c r="N1609" s="293"/>
      <c r="O1609" s="293" t="str">
        <f>TablaPOA[[#This Row],[Cod_Sub_acción_especifica]]&amp;"_"&amp;TablaPOA[[#This Row],[Tipo de agente]]</f>
        <v>K31.4.4.6_Medios de transporte</v>
      </c>
      <c r="P1609" s="250" t="s">
        <v>2918</v>
      </c>
      <c r="Q1609" s="292" t="str">
        <f>TablaPOA[[#This Row],[Cod_Sub_acción_especifica]]&amp;"_"&amp;TablaPOA[[#This Row],[Cod_Tipo_agente]]</f>
        <v>K31.4.4.6_TA9</v>
      </c>
      <c r="R1609" s="250" t="s">
        <v>2919</v>
      </c>
      <c r="S1609" s="251" t="s">
        <v>2928</v>
      </c>
      <c r="T1609" s="269" t="s">
        <v>2929</v>
      </c>
    </row>
    <row r="1610" spans="1:20" ht="25.5" x14ac:dyDescent="0.25">
      <c r="A1610" s="268" t="s">
        <v>2314</v>
      </c>
      <c r="B1610" s="248">
        <v>31</v>
      </c>
      <c r="C1610" s="248" t="s">
        <v>2691</v>
      </c>
      <c r="D1610" s="248" t="s">
        <v>2988</v>
      </c>
      <c r="E1610" s="248" t="s">
        <v>3189</v>
      </c>
      <c r="F1610" s="248" t="s">
        <v>2697</v>
      </c>
      <c r="G1610" s="248" t="s">
        <v>2497</v>
      </c>
      <c r="H1610" s="266" t="s">
        <v>3193</v>
      </c>
      <c r="I1610" s="249" t="s">
        <v>2750</v>
      </c>
      <c r="J1610" s="248" t="s">
        <v>2751</v>
      </c>
      <c r="K1610" s="266" t="s">
        <v>3143</v>
      </c>
      <c r="L1610" s="266" t="s">
        <v>2800</v>
      </c>
      <c r="M1610" s="248" t="s">
        <v>2371</v>
      </c>
      <c r="N1610" s="293"/>
      <c r="O1610" s="293" t="str">
        <f>TablaPOA[[#This Row],[Cod_Sub_acción_especifica]]&amp;"_"&amp;TablaPOA[[#This Row],[Tipo de agente]]</f>
        <v>K31.4.4.6_Medios de transporte</v>
      </c>
      <c r="P1610" s="250" t="s">
        <v>2918</v>
      </c>
      <c r="Q1610" s="292" t="str">
        <f>TablaPOA[[#This Row],[Cod_Sub_acción_especifica]]&amp;"_"&amp;TablaPOA[[#This Row],[Cod_Tipo_agente]]</f>
        <v>K31.4.4.6_TA9</v>
      </c>
      <c r="R1610" s="250" t="s">
        <v>2919</v>
      </c>
      <c r="S1610" s="251" t="s">
        <v>2930</v>
      </c>
      <c r="T1610" s="269" t="s">
        <v>2931</v>
      </c>
    </row>
    <row r="1611" spans="1:20" ht="25.5" x14ac:dyDescent="0.25">
      <c r="A1611" s="268" t="s">
        <v>2314</v>
      </c>
      <c r="B1611" s="248">
        <v>31</v>
      </c>
      <c r="C1611" s="248" t="s">
        <v>2691</v>
      </c>
      <c r="D1611" s="248" t="s">
        <v>2988</v>
      </c>
      <c r="E1611" s="248" t="s">
        <v>3189</v>
      </c>
      <c r="F1611" s="248" t="s">
        <v>2697</v>
      </c>
      <c r="G1611" s="248" t="s">
        <v>2497</v>
      </c>
      <c r="H1611" s="266" t="s">
        <v>3193</v>
      </c>
      <c r="I1611" s="249" t="s">
        <v>2750</v>
      </c>
      <c r="J1611" s="248" t="s">
        <v>2751</v>
      </c>
      <c r="K1611" s="266" t="s">
        <v>3143</v>
      </c>
      <c r="L1611" s="266" t="s">
        <v>2800</v>
      </c>
      <c r="M1611" s="248" t="s">
        <v>2371</v>
      </c>
      <c r="N1611" s="293"/>
      <c r="O1611" s="293" t="str">
        <f>TablaPOA[[#This Row],[Cod_Sub_acción_especifica]]&amp;"_"&amp;TablaPOA[[#This Row],[Tipo de agente]]</f>
        <v>K31.4.4.6_Medios de transporte</v>
      </c>
      <c r="P1611" s="250" t="s">
        <v>2918</v>
      </c>
      <c r="Q1611" s="292" t="str">
        <f>TablaPOA[[#This Row],[Cod_Sub_acción_especifica]]&amp;"_"&amp;TablaPOA[[#This Row],[Cod_Tipo_agente]]</f>
        <v>K31.4.4.6_TA9</v>
      </c>
      <c r="R1611" s="250" t="s">
        <v>2919</v>
      </c>
      <c r="S1611" s="251" t="s">
        <v>2932</v>
      </c>
      <c r="T1611" s="269" t="s">
        <v>2933</v>
      </c>
    </row>
    <row r="1612" spans="1:20" ht="25.5" x14ac:dyDescent="0.25">
      <c r="A1612" s="268" t="s">
        <v>2314</v>
      </c>
      <c r="B1612" s="248">
        <v>31</v>
      </c>
      <c r="C1612" s="248" t="s">
        <v>2691</v>
      </c>
      <c r="D1612" s="248" t="s">
        <v>2988</v>
      </c>
      <c r="E1612" s="248" t="s">
        <v>3189</v>
      </c>
      <c r="F1612" s="248" t="s">
        <v>2697</v>
      </c>
      <c r="G1612" s="248" t="s">
        <v>2497</v>
      </c>
      <c r="H1612" s="266" t="s">
        <v>3193</v>
      </c>
      <c r="I1612" s="249" t="s">
        <v>2750</v>
      </c>
      <c r="J1612" s="248" t="s">
        <v>2751</v>
      </c>
      <c r="K1612" s="266" t="s">
        <v>3143</v>
      </c>
      <c r="L1612" s="266" t="s">
        <v>2800</v>
      </c>
      <c r="M1612" s="248" t="s">
        <v>2371</v>
      </c>
      <c r="N1612" s="293"/>
      <c r="O1612" s="293" t="str">
        <f>TablaPOA[[#This Row],[Cod_Sub_acción_especifica]]&amp;"_"&amp;TablaPOA[[#This Row],[Tipo de agente]]</f>
        <v>K31.4.4.6_Medios de transporte</v>
      </c>
      <c r="P1612" s="250" t="s">
        <v>2918</v>
      </c>
      <c r="Q1612" s="292" t="str">
        <f>TablaPOA[[#This Row],[Cod_Sub_acción_especifica]]&amp;"_"&amp;TablaPOA[[#This Row],[Cod_Tipo_agente]]</f>
        <v>K31.4.4.6_TA9</v>
      </c>
      <c r="R1612" s="250" t="s">
        <v>2919</v>
      </c>
      <c r="S1612" s="251" t="s">
        <v>2934</v>
      </c>
      <c r="T1612" s="269" t="s">
        <v>2935</v>
      </c>
    </row>
    <row r="1613" spans="1:20" ht="25.5" x14ac:dyDescent="0.25">
      <c r="A1613" s="268" t="s">
        <v>2314</v>
      </c>
      <c r="B1613" s="248">
        <v>31</v>
      </c>
      <c r="C1613" s="248" t="s">
        <v>2691</v>
      </c>
      <c r="D1613" s="248" t="s">
        <v>2988</v>
      </c>
      <c r="E1613" s="248" t="s">
        <v>3189</v>
      </c>
      <c r="F1613" s="248" t="s">
        <v>2697</v>
      </c>
      <c r="G1613" s="248" t="s">
        <v>2497</v>
      </c>
      <c r="H1613" s="266" t="s">
        <v>3193</v>
      </c>
      <c r="I1613" s="249" t="s">
        <v>2750</v>
      </c>
      <c r="J1613" s="248" t="s">
        <v>2751</v>
      </c>
      <c r="K1613" s="266" t="s">
        <v>3143</v>
      </c>
      <c r="L1613" s="266" t="s">
        <v>2800</v>
      </c>
      <c r="M1613" s="248" t="s">
        <v>2371</v>
      </c>
      <c r="N1613" s="293"/>
      <c r="O1613" s="293" t="str">
        <f>TablaPOA[[#This Row],[Cod_Sub_acción_especifica]]&amp;"_"&amp;TablaPOA[[#This Row],[Tipo de agente]]</f>
        <v>K31.4.4.6_Medios de transporte</v>
      </c>
      <c r="P1613" s="250" t="s">
        <v>2918</v>
      </c>
      <c r="Q1613" s="292" t="str">
        <f>TablaPOA[[#This Row],[Cod_Sub_acción_especifica]]&amp;"_"&amp;TablaPOA[[#This Row],[Cod_Tipo_agente]]</f>
        <v>K31.4.4.6_TA9</v>
      </c>
      <c r="R1613" s="250" t="s">
        <v>2919</v>
      </c>
      <c r="S1613" s="251" t="s">
        <v>2936</v>
      </c>
      <c r="T1613" s="269" t="s">
        <v>2937</v>
      </c>
    </row>
    <row r="1614" spans="1:20" ht="25.5" x14ac:dyDescent="0.25">
      <c r="A1614" s="268" t="s">
        <v>2314</v>
      </c>
      <c r="B1614" s="248">
        <v>31</v>
      </c>
      <c r="C1614" s="248" t="s">
        <v>2691</v>
      </c>
      <c r="D1614" s="248" t="s">
        <v>2988</v>
      </c>
      <c r="E1614" s="248" t="s">
        <v>3189</v>
      </c>
      <c r="F1614" s="248" t="s">
        <v>2697</v>
      </c>
      <c r="G1614" s="248" t="s">
        <v>2497</v>
      </c>
      <c r="H1614" s="266" t="s">
        <v>3193</v>
      </c>
      <c r="I1614" s="249" t="s">
        <v>2750</v>
      </c>
      <c r="J1614" s="248" t="s">
        <v>2751</v>
      </c>
      <c r="K1614" s="266" t="s">
        <v>3143</v>
      </c>
      <c r="L1614" s="266" t="s">
        <v>2800</v>
      </c>
      <c r="M1614" s="248" t="s">
        <v>2371</v>
      </c>
      <c r="N1614" s="293"/>
      <c r="O1614" s="293" t="str">
        <f>TablaPOA[[#This Row],[Cod_Sub_acción_especifica]]&amp;"_"&amp;TablaPOA[[#This Row],[Tipo de agente]]</f>
        <v>K31.4.4.6_Medios de transporte</v>
      </c>
      <c r="P1614" s="250" t="s">
        <v>2918</v>
      </c>
      <c r="Q1614" s="292" t="str">
        <f>TablaPOA[[#This Row],[Cod_Sub_acción_especifica]]&amp;"_"&amp;TablaPOA[[#This Row],[Cod_Tipo_agente]]</f>
        <v>K31.4.4.6_TA9</v>
      </c>
      <c r="R1614" s="250" t="s">
        <v>2919</v>
      </c>
      <c r="S1614" s="251" t="s">
        <v>2938</v>
      </c>
      <c r="T1614" s="269" t="s">
        <v>2939</v>
      </c>
    </row>
    <row r="1615" spans="1:20" ht="25.5" x14ac:dyDescent="0.25">
      <c r="A1615" s="268" t="s">
        <v>2314</v>
      </c>
      <c r="B1615" s="248">
        <v>31</v>
      </c>
      <c r="C1615" s="248" t="s">
        <v>2691</v>
      </c>
      <c r="D1615" s="248" t="s">
        <v>2988</v>
      </c>
      <c r="E1615" s="248" t="s">
        <v>3189</v>
      </c>
      <c r="F1615" s="248" t="s">
        <v>2697</v>
      </c>
      <c r="G1615" s="248" t="s">
        <v>2497</v>
      </c>
      <c r="H1615" s="266" t="s">
        <v>3193</v>
      </c>
      <c r="I1615" s="249" t="s">
        <v>2750</v>
      </c>
      <c r="J1615" s="248" t="s">
        <v>2751</v>
      </c>
      <c r="K1615" s="266" t="s">
        <v>3143</v>
      </c>
      <c r="L1615" s="266" t="s">
        <v>2800</v>
      </c>
      <c r="M1615" s="248" t="s">
        <v>2371</v>
      </c>
      <c r="N1615" s="293"/>
      <c r="O1615" s="293" t="str">
        <f>TablaPOA[[#This Row],[Cod_Sub_acción_especifica]]&amp;"_"&amp;TablaPOA[[#This Row],[Tipo de agente]]</f>
        <v>K31.4.4.6_Medios de transporte</v>
      </c>
      <c r="P1615" s="250" t="s">
        <v>2918</v>
      </c>
      <c r="Q1615" s="292" t="str">
        <f>TablaPOA[[#This Row],[Cod_Sub_acción_especifica]]&amp;"_"&amp;TablaPOA[[#This Row],[Cod_Tipo_agente]]</f>
        <v>K31.4.4.6_TA9</v>
      </c>
      <c r="R1615" s="250" t="s">
        <v>2919</v>
      </c>
      <c r="S1615" s="251" t="s">
        <v>2940</v>
      </c>
      <c r="T1615" s="269" t="s">
        <v>2941</v>
      </c>
    </row>
    <row r="1616" spans="1:20" ht="25.5" x14ac:dyDescent="0.25">
      <c r="A1616" s="268" t="s">
        <v>2314</v>
      </c>
      <c r="B1616" s="248">
        <v>31</v>
      </c>
      <c r="C1616" s="248" t="s">
        <v>2691</v>
      </c>
      <c r="D1616" s="248" t="s">
        <v>2988</v>
      </c>
      <c r="E1616" s="248" t="s">
        <v>3189</v>
      </c>
      <c r="F1616" s="248" t="s">
        <v>2697</v>
      </c>
      <c r="G1616" s="248" t="s">
        <v>2497</v>
      </c>
      <c r="H1616" s="266" t="s">
        <v>3193</v>
      </c>
      <c r="I1616" s="249" t="s">
        <v>2750</v>
      </c>
      <c r="J1616" s="248" t="s">
        <v>2751</v>
      </c>
      <c r="K1616" s="266" t="s">
        <v>3143</v>
      </c>
      <c r="L1616" s="266" t="s">
        <v>2800</v>
      </c>
      <c r="M1616" s="248" t="s">
        <v>2371</v>
      </c>
      <c r="N1616" s="293"/>
      <c r="O1616" s="293" t="str">
        <f>TablaPOA[[#This Row],[Cod_Sub_acción_especifica]]&amp;"_"&amp;TablaPOA[[#This Row],[Tipo de agente]]</f>
        <v>K31.4.4.6_Medios de transporte</v>
      </c>
      <c r="P1616" s="250" t="s">
        <v>2918</v>
      </c>
      <c r="Q1616" s="292" t="str">
        <f>TablaPOA[[#This Row],[Cod_Sub_acción_especifica]]&amp;"_"&amp;TablaPOA[[#This Row],[Cod_Tipo_agente]]</f>
        <v>K31.4.4.6_TA9</v>
      </c>
      <c r="R1616" s="250" t="s">
        <v>2919</v>
      </c>
      <c r="S1616" s="251" t="s">
        <v>2942</v>
      </c>
      <c r="T1616" s="269" t="s">
        <v>2943</v>
      </c>
    </row>
    <row r="1617" spans="1:20" ht="25.5" x14ac:dyDescent="0.25">
      <c r="A1617" s="268" t="s">
        <v>2314</v>
      </c>
      <c r="B1617" s="248">
        <v>31</v>
      </c>
      <c r="C1617" s="248" t="s">
        <v>2691</v>
      </c>
      <c r="D1617" s="248" t="s">
        <v>2988</v>
      </c>
      <c r="E1617" s="248" t="s">
        <v>3189</v>
      </c>
      <c r="F1617" s="248" t="s">
        <v>2697</v>
      </c>
      <c r="G1617" s="248" t="s">
        <v>2497</v>
      </c>
      <c r="H1617" s="266" t="s">
        <v>3193</v>
      </c>
      <c r="I1617" s="249" t="s">
        <v>2750</v>
      </c>
      <c r="J1617" s="248" t="s">
        <v>2751</v>
      </c>
      <c r="K1617" s="266" t="s">
        <v>3143</v>
      </c>
      <c r="L1617" s="266" t="s">
        <v>2800</v>
      </c>
      <c r="M1617" s="248" t="s">
        <v>2371</v>
      </c>
      <c r="N1617" s="293"/>
      <c r="O1617" s="293" t="str">
        <f>TablaPOA[[#This Row],[Cod_Sub_acción_especifica]]&amp;"_"&amp;TablaPOA[[#This Row],[Tipo de agente]]</f>
        <v>K31.4.4.6_Medios de transporte</v>
      </c>
      <c r="P1617" s="250" t="s">
        <v>2918</v>
      </c>
      <c r="Q1617" s="292" t="str">
        <f>TablaPOA[[#This Row],[Cod_Sub_acción_especifica]]&amp;"_"&amp;TablaPOA[[#This Row],[Cod_Tipo_agente]]</f>
        <v>K31.4.4.6_TA9</v>
      </c>
      <c r="R1617" s="250" t="s">
        <v>2919</v>
      </c>
      <c r="S1617" s="251" t="s">
        <v>2944</v>
      </c>
      <c r="T1617" s="269" t="s">
        <v>2945</v>
      </c>
    </row>
    <row r="1618" spans="1:20" ht="25.5" x14ac:dyDescent="0.25">
      <c r="A1618" s="268" t="s">
        <v>2314</v>
      </c>
      <c r="B1618" s="248">
        <v>31</v>
      </c>
      <c r="C1618" s="248" t="s">
        <v>2691</v>
      </c>
      <c r="D1618" s="248" t="s">
        <v>2988</v>
      </c>
      <c r="E1618" s="248" t="s">
        <v>3189</v>
      </c>
      <c r="F1618" s="248" t="s">
        <v>2697</v>
      </c>
      <c r="G1618" s="248" t="s">
        <v>2497</v>
      </c>
      <c r="H1618" s="266" t="s">
        <v>3193</v>
      </c>
      <c r="I1618" s="249" t="s">
        <v>2750</v>
      </c>
      <c r="J1618" s="248" t="s">
        <v>2751</v>
      </c>
      <c r="K1618" s="266" t="s">
        <v>3143</v>
      </c>
      <c r="L1618" s="266" t="s">
        <v>2800</v>
      </c>
      <c r="M1618" s="248" t="s">
        <v>2371</v>
      </c>
      <c r="N1618" s="293"/>
      <c r="O1618" s="293" t="str">
        <f>TablaPOA[[#This Row],[Cod_Sub_acción_especifica]]&amp;"_"&amp;TablaPOA[[#This Row],[Tipo de agente]]</f>
        <v>K31.4.4.6_Medios de transporte</v>
      </c>
      <c r="P1618" s="250" t="s">
        <v>2918</v>
      </c>
      <c r="Q1618" s="292" t="str">
        <f>TablaPOA[[#This Row],[Cod_Sub_acción_especifica]]&amp;"_"&amp;TablaPOA[[#This Row],[Cod_Tipo_agente]]</f>
        <v>K31.4.4.6_TA9</v>
      </c>
      <c r="R1618" s="250" t="s">
        <v>2919</v>
      </c>
      <c r="S1618" s="251" t="s">
        <v>2946</v>
      </c>
      <c r="T1618" s="269" t="s">
        <v>2947</v>
      </c>
    </row>
    <row r="1619" spans="1:20" ht="25.5" x14ac:dyDescent="0.25">
      <c r="A1619" s="280" t="s">
        <v>2314</v>
      </c>
      <c r="B1619" s="281">
        <v>31</v>
      </c>
      <c r="C1619" s="281" t="s">
        <v>2691</v>
      </c>
      <c r="D1619" s="281" t="s">
        <v>2988</v>
      </c>
      <c r="E1619" s="281" t="s">
        <v>3189</v>
      </c>
      <c r="F1619" s="281" t="s">
        <v>2697</v>
      </c>
      <c r="G1619" s="281" t="s">
        <v>2497</v>
      </c>
      <c r="H1619" s="282" t="s">
        <v>3193</v>
      </c>
      <c r="I1619" s="283" t="s">
        <v>2750</v>
      </c>
      <c r="J1619" s="281" t="s">
        <v>2751</v>
      </c>
      <c r="K1619" s="282" t="s">
        <v>3143</v>
      </c>
      <c r="L1619" s="282" t="s">
        <v>2800</v>
      </c>
      <c r="M1619" s="281" t="s">
        <v>2371</v>
      </c>
      <c r="N1619" s="296"/>
      <c r="O1619" s="296" t="str">
        <f>TablaPOA[[#This Row],[Cod_Sub_acción_especifica]]&amp;"_"&amp;TablaPOA[[#This Row],[Tipo de agente]]</f>
        <v>K31.4.4.6_Medios de transporte</v>
      </c>
      <c r="P1619" s="284" t="s">
        <v>2918</v>
      </c>
      <c r="Q1619" s="298" t="str">
        <f>TablaPOA[[#This Row],[Cod_Sub_acción_especifica]]&amp;"_"&amp;TablaPOA[[#This Row],[Cod_Tipo_agente]]</f>
        <v>K31.4.4.6_TA9</v>
      </c>
      <c r="R1619" s="284" t="s">
        <v>2919</v>
      </c>
      <c r="S1619" s="285" t="s">
        <v>2948</v>
      </c>
      <c r="T1619" s="286" t="s">
        <v>2949</v>
      </c>
    </row>
    <row r="1620" spans="1:20" ht="38.25" x14ac:dyDescent="0.25">
      <c r="A1620" s="280" t="s">
        <v>2314</v>
      </c>
      <c r="B1620" s="281">
        <v>31</v>
      </c>
      <c r="C1620" s="281" t="s">
        <v>2691</v>
      </c>
      <c r="D1620" s="281" t="s">
        <v>2988</v>
      </c>
      <c r="E1620" s="281" t="s">
        <v>3189</v>
      </c>
      <c r="F1620" s="281" t="s">
        <v>2697</v>
      </c>
      <c r="G1620" s="281" t="s">
        <v>2497</v>
      </c>
      <c r="H1620" s="282" t="s">
        <v>3349</v>
      </c>
      <c r="I1620" s="283" t="s">
        <v>2750</v>
      </c>
      <c r="J1620" s="281" t="s">
        <v>3344</v>
      </c>
      <c r="K1620" s="282" t="s">
        <v>3345</v>
      </c>
      <c r="L1620" s="282" t="s">
        <v>3344</v>
      </c>
      <c r="M1620" s="281" t="s">
        <v>3344</v>
      </c>
      <c r="N1620" s="432"/>
      <c r="O1620" s="296" t="str">
        <f>TablaPOA[[#This Row],[Cod_Sub_acción_especifica]]&amp;"_"&amp;TablaPOA[[#This Row],[Tipo de agente]]</f>
        <v>K31.3.7.3_Vehículos de transporte terrestre internacional ingresan al territorio nacional</v>
      </c>
      <c r="P1620" s="433" t="s">
        <v>3346</v>
      </c>
      <c r="Q1620" s="298" t="str">
        <f>TablaPOA[[#This Row],[Cod_Sub_acción_especifica]]&amp;"_"&amp;TablaPOA[[#This Row],[Cod_Tipo_agente]]</f>
        <v>K31.3.7.3_TA14</v>
      </c>
      <c r="R1620" s="434" t="s">
        <v>3347</v>
      </c>
      <c r="S1620" s="284">
        <v>456</v>
      </c>
      <c r="T1620" s="286" t="s">
        <v>3348</v>
      </c>
    </row>
    <row r="1621" spans="1:20" s="462" customFormat="1" ht="25.5" x14ac:dyDescent="0.25">
      <c r="A1621" s="467" t="s">
        <v>2314</v>
      </c>
      <c r="B1621" s="475">
        <v>31</v>
      </c>
      <c r="C1621" s="475" t="s">
        <v>2691</v>
      </c>
      <c r="D1621" s="475" t="s">
        <v>2988</v>
      </c>
      <c r="E1621" s="475" t="s">
        <v>3189</v>
      </c>
      <c r="F1621" s="475" t="s">
        <v>2697</v>
      </c>
      <c r="G1621" s="475" t="s">
        <v>2497</v>
      </c>
      <c r="H1621" s="476" t="s">
        <v>3349</v>
      </c>
      <c r="I1621" s="476" t="s">
        <v>2750</v>
      </c>
      <c r="J1621" s="480" t="s">
        <v>3344</v>
      </c>
      <c r="K1621" s="476" t="s">
        <v>3345</v>
      </c>
      <c r="L1621" s="476" t="s">
        <v>3344</v>
      </c>
      <c r="M1621" s="475" t="s">
        <v>3344</v>
      </c>
      <c r="N1621" s="483" t="s">
        <v>3351</v>
      </c>
      <c r="O1621" s="482" t="str">
        <f>TablaPOA[[#This Row],[Cod_Sub_acción_especifica]]&amp;"_"&amp;TablaPOA[[#This Row],[Tipo de agente]]</f>
        <v>K31.3.7.3_Vehículos de transporte terrestre internacional habilitados por la MTC</v>
      </c>
      <c r="P1621" s="477" t="s">
        <v>3350</v>
      </c>
      <c r="Q1621" s="481" t="str">
        <f>TablaPOA[[#This Row],[Cod_Sub_acción_especifica]]&amp;"_"&amp;TablaPOA[[#This Row],[Cod_Tipo_agente]]</f>
        <v>K31.3.7.3_TA15</v>
      </c>
      <c r="R1621" s="477" t="s">
        <v>3351</v>
      </c>
      <c r="S1621" s="478" t="s">
        <v>3353</v>
      </c>
      <c r="T1621" s="479" t="s">
        <v>3352</v>
      </c>
    </row>
    <row r="1622" spans="1:20" x14ac:dyDescent="0.25">
      <c r="A1622" s="454"/>
      <c r="B1622" s="454"/>
      <c r="C1622" s="454"/>
      <c r="D1622" s="454"/>
      <c r="E1622" s="454"/>
      <c r="F1622" s="454"/>
      <c r="G1622" s="454"/>
      <c r="H1622" s="455"/>
      <c r="I1622" s="455"/>
      <c r="J1622" s="454"/>
      <c r="K1622" s="455"/>
      <c r="L1622" s="455"/>
      <c r="M1622" s="454"/>
      <c r="N1622" s="456"/>
      <c r="O1622" s="456"/>
      <c r="P1622" s="457"/>
      <c r="Q1622" s="456"/>
      <c r="R1622" s="457"/>
      <c r="S1622" s="457"/>
      <c r="T1622" s="457"/>
    </row>
  </sheetData>
  <phoneticPr fontId="4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8"/>
  </sheetPr>
  <dimension ref="A1:F234"/>
  <sheetViews>
    <sheetView topLeftCell="A223" zoomScale="85" zoomScaleNormal="85" workbookViewId="0">
      <selection activeCell="F237" sqref="F237"/>
    </sheetView>
  </sheetViews>
  <sheetFormatPr baseColWidth="10" defaultColWidth="11.42578125" defaultRowHeight="21" x14ac:dyDescent="0.25"/>
  <cols>
    <col min="1" max="1" width="11.42578125" style="30"/>
    <col min="2" max="2" width="21.42578125" style="306" customWidth="1"/>
    <col min="3" max="3" width="21.42578125" style="303" customWidth="1"/>
    <col min="4" max="4" width="110.28515625" style="304" customWidth="1"/>
    <col min="5" max="5" width="21.7109375" style="31" customWidth="1"/>
    <col min="6" max="6" width="102.7109375" style="31" customWidth="1"/>
    <col min="7" max="7" width="26.140625" style="30" customWidth="1"/>
    <col min="8" max="8" width="26.5703125" style="30" customWidth="1"/>
    <col min="9" max="9" width="29.5703125" style="30" customWidth="1"/>
    <col min="10" max="16384" width="11.42578125" style="30"/>
  </cols>
  <sheetData>
    <row r="1" spans="1:6" ht="18.75" x14ac:dyDescent="0.25">
      <c r="B1" s="302"/>
    </row>
    <row r="2" spans="1:6" ht="18.75" x14ac:dyDescent="0.25">
      <c r="B2" s="302"/>
    </row>
    <row r="3" spans="1:6" x14ac:dyDescent="0.25">
      <c r="B3" s="305" t="s">
        <v>2404</v>
      </c>
      <c r="C3" s="306"/>
    </row>
    <row r="4" spans="1:6" ht="18.75" x14ac:dyDescent="0.25">
      <c r="B4" s="302"/>
    </row>
    <row r="5" spans="1:6" ht="28.5" customHeight="1" x14ac:dyDescent="0.25">
      <c r="B5" s="498" t="s">
        <v>2376</v>
      </c>
      <c r="C5" s="499"/>
      <c r="D5" s="499"/>
      <c r="E5" s="500"/>
      <c r="F5" s="30"/>
    </row>
    <row r="6" spans="1:6" ht="30" customHeight="1" thickBot="1" x14ac:dyDescent="0.3">
      <c r="B6" s="331" t="s">
        <v>2403</v>
      </c>
      <c r="C6" s="331" t="s">
        <v>3211</v>
      </c>
      <c r="D6" s="331" t="s">
        <v>2373</v>
      </c>
      <c r="E6" s="331" t="s">
        <v>2374</v>
      </c>
      <c r="F6" s="331" t="s">
        <v>3212</v>
      </c>
    </row>
    <row r="7" spans="1:6" ht="37.5" customHeight="1" x14ac:dyDescent="0.25">
      <c r="B7" s="501" t="s">
        <v>2378</v>
      </c>
      <c r="C7" s="390" t="s">
        <v>3214</v>
      </c>
      <c r="D7" s="391" t="s">
        <v>3215</v>
      </c>
      <c r="E7" s="390" t="s">
        <v>2415</v>
      </c>
      <c r="F7" s="394" t="str">
        <f t="shared" ref="F7:F62" si="0">C7&amp;"-"&amp;D7</f>
        <v>ERH-ESPECIALISTA REGIONAL DE HIDROCARBUROS</v>
      </c>
    </row>
    <row r="8" spans="1:6" s="307" customFormat="1" ht="37.5" customHeight="1" x14ac:dyDescent="0.25">
      <c r="A8" s="402"/>
      <c r="B8" s="502"/>
      <c r="C8" s="396" t="s">
        <v>3371</v>
      </c>
      <c r="D8" s="411" t="s">
        <v>3216</v>
      </c>
      <c r="E8" s="398" t="s">
        <v>2415</v>
      </c>
      <c r="F8" s="399" t="str">
        <f>C8&amp;"-"&amp;D8</f>
        <v>SUP2400037-EVALUACION Y SUPERVISION EN ENERGIA E.I.R.L.</v>
      </c>
    </row>
    <row r="9" spans="1:6" s="307" customFormat="1" ht="37.5" customHeight="1" x14ac:dyDescent="0.25">
      <c r="A9" s="402"/>
      <c r="B9" s="502"/>
      <c r="C9" s="396" t="s">
        <v>3415</v>
      </c>
      <c r="D9" s="414" t="s">
        <v>3416</v>
      </c>
      <c r="E9" s="398" t="s">
        <v>2415</v>
      </c>
      <c r="F9" s="399" t="str">
        <f>C9&amp;"-"&amp;D9</f>
        <v>SUP2400203-EVZO ASOCIADOS S.A.C.</v>
      </c>
    </row>
    <row r="10" spans="1:6" s="307" customFormat="1" ht="37.5" customHeight="1" x14ac:dyDescent="0.25">
      <c r="A10" s="402"/>
      <c r="B10" s="502"/>
      <c r="C10" s="396" t="s">
        <v>3417</v>
      </c>
      <c r="D10" s="414" t="s">
        <v>3419</v>
      </c>
      <c r="E10" s="398" t="s">
        <v>2415</v>
      </c>
      <c r="F10" s="399" t="str">
        <f>C10&amp;"-"&amp;D10</f>
        <v>SUP2400153-JESUS HUMBERTO CACERES LIVORA</v>
      </c>
    </row>
    <row r="11" spans="1:6" s="307" customFormat="1" ht="37.5" customHeight="1" x14ac:dyDescent="0.25">
      <c r="A11" s="402"/>
      <c r="B11" s="502"/>
      <c r="C11" s="396" t="s">
        <v>3418</v>
      </c>
      <c r="D11" s="414" t="s">
        <v>3420</v>
      </c>
      <c r="E11" s="412" t="s">
        <v>2415</v>
      </c>
      <c r="F11" s="413" t="str">
        <f>C11&amp;"-"&amp;D11</f>
        <v>SUP2400207-GEORGES JUD´AMEITH PRECIADO ARROYO</v>
      </c>
    </row>
    <row r="12" spans="1:6" s="307" customFormat="1" ht="37.5" customHeight="1" x14ac:dyDescent="0.25">
      <c r="A12" s="402"/>
      <c r="B12" s="502"/>
      <c r="C12" s="396"/>
      <c r="D12" s="414"/>
      <c r="E12" s="412" t="s">
        <v>2415</v>
      </c>
      <c r="F12" s="413" t="str">
        <f t="shared" si="0"/>
        <v>-</v>
      </c>
    </row>
    <row r="13" spans="1:6" s="307" customFormat="1" ht="37.5" customHeight="1" x14ac:dyDescent="0.25">
      <c r="A13" s="402"/>
      <c r="B13" s="502"/>
      <c r="C13" s="396"/>
      <c r="D13" s="414"/>
      <c r="E13" s="412" t="s">
        <v>2415</v>
      </c>
      <c r="F13" s="413" t="str">
        <f t="shared" si="0"/>
        <v>-</v>
      </c>
    </row>
    <row r="14" spans="1:6" s="307" customFormat="1" ht="37.5" customHeight="1" thickBot="1" x14ac:dyDescent="0.3">
      <c r="A14" s="402"/>
      <c r="B14" s="503"/>
      <c r="C14" s="429"/>
      <c r="D14" s="430"/>
      <c r="E14" s="416" t="s">
        <v>2415</v>
      </c>
      <c r="F14" s="417" t="str">
        <f t="shared" si="0"/>
        <v>-</v>
      </c>
    </row>
    <row r="15" spans="1:6" s="307" customFormat="1" ht="37.5" customHeight="1" x14ac:dyDescent="0.25">
      <c r="A15" s="30"/>
      <c r="B15" s="504" t="s">
        <v>2395</v>
      </c>
      <c r="C15" s="336" t="s">
        <v>3214</v>
      </c>
      <c r="D15" s="337" t="s">
        <v>3215</v>
      </c>
      <c r="E15" s="336" t="s">
        <v>2415</v>
      </c>
      <c r="F15" s="338" t="str">
        <f t="shared" si="0"/>
        <v>ERH-ESPECIALISTA REGIONAL DE HIDROCARBUROS</v>
      </c>
    </row>
    <row r="16" spans="1:6" s="307" customFormat="1" ht="37.5" customHeight="1" x14ac:dyDescent="0.25">
      <c r="A16" s="402"/>
      <c r="B16" s="505"/>
      <c r="C16" s="396" t="s">
        <v>3354</v>
      </c>
      <c r="D16" s="411" t="s">
        <v>3355</v>
      </c>
      <c r="E16" s="398" t="s">
        <v>2415</v>
      </c>
      <c r="F16" s="399" t="str">
        <f>C16&amp;"-"&amp;D16</f>
        <v>SUP2400014-ALTEISA ENERGY SAC Y ALFREDO SERGIO TELLO IPARRAGUIRRE</v>
      </c>
    </row>
    <row r="17" spans="1:6" s="307" customFormat="1" ht="37.5" customHeight="1" x14ac:dyDescent="0.25">
      <c r="A17" s="402"/>
      <c r="B17" s="505"/>
      <c r="C17" s="396" t="s">
        <v>3382</v>
      </c>
      <c r="D17" s="411" t="s">
        <v>3383</v>
      </c>
      <c r="E17" s="398" t="s">
        <v>2415</v>
      </c>
      <c r="F17" s="399" t="str">
        <f>C17&amp;"-"&amp;D17</f>
        <v>SUP2400065-CONSORCIO EVALUACION Y SUPERVISION EN ENERGIA E.I.R.L. - LUIS ENRIQUE SANCEHZ CARRION</v>
      </c>
    </row>
    <row r="18" spans="1:6" s="307" customFormat="1" ht="37.5" customHeight="1" x14ac:dyDescent="0.25">
      <c r="A18" s="402"/>
      <c r="B18" s="505"/>
      <c r="C18" s="396" t="s">
        <v>3406</v>
      </c>
      <c r="D18" s="414" t="s">
        <v>3407</v>
      </c>
      <c r="E18" s="412" t="s">
        <v>2415</v>
      </c>
      <c r="F18" s="399" t="str">
        <f>C18&amp;"-"&amp;D18</f>
        <v>SUP2400146-CONSORCIO GRUPO SERMINCO S.A.C. - LUIS ENRIQUE SÁNCHEZ CARRIÓN</v>
      </c>
    </row>
    <row r="19" spans="1:6" s="307" customFormat="1" ht="37.5" customHeight="1" x14ac:dyDescent="0.25">
      <c r="A19" s="402"/>
      <c r="B19" s="505"/>
      <c r="C19" s="396" t="s">
        <v>3412</v>
      </c>
      <c r="D19" s="414" t="s">
        <v>3405</v>
      </c>
      <c r="E19" s="412" t="s">
        <v>2415</v>
      </c>
      <c r="F19" s="399" t="str">
        <f>C19&amp;"-"&amp;D19</f>
        <v>SUP2400193-FULL OIL GAS SERVICE S.A.C.</v>
      </c>
    </row>
    <row r="20" spans="1:6" s="307" customFormat="1" ht="37.5" customHeight="1" x14ac:dyDescent="0.25">
      <c r="A20" s="402"/>
      <c r="B20" s="505"/>
      <c r="C20" s="396" t="s">
        <v>3413</v>
      </c>
      <c r="D20" s="414" t="s">
        <v>3414</v>
      </c>
      <c r="E20" s="412" t="s">
        <v>2415</v>
      </c>
      <c r="F20" s="399" t="str">
        <f>C20&amp;"-"&amp;D20</f>
        <v>SUP2300205-LAZARTE PANOCCA ALFREDO JHUNIOR</v>
      </c>
    </row>
    <row r="21" spans="1:6" s="307" customFormat="1" ht="37.5" customHeight="1" x14ac:dyDescent="0.25">
      <c r="A21" s="402"/>
      <c r="B21" s="505"/>
      <c r="C21" s="396"/>
      <c r="D21" s="414"/>
      <c r="E21" s="412" t="s">
        <v>2415</v>
      </c>
      <c r="F21" s="399" t="str">
        <f t="shared" si="0"/>
        <v>-</v>
      </c>
    </row>
    <row r="22" spans="1:6" s="307" customFormat="1" ht="37.5" customHeight="1" x14ac:dyDescent="0.25">
      <c r="A22" s="402"/>
      <c r="B22" s="505"/>
      <c r="C22" s="396"/>
      <c r="D22" s="414"/>
      <c r="E22" s="412" t="s">
        <v>2415</v>
      </c>
      <c r="F22" s="399" t="str">
        <f t="shared" si="0"/>
        <v>-</v>
      </c>
    </row>
    <row r="23" spans="1:6" s="307" customFormat="1" ht="37.5" customHeight="1" thickBot="1" x14ac:dyDescent="0.3">
      <c r="A23" s="402"/>
      <c r="B23" s="506"/>
      <c r="C23" s="396"/>
      <c r="D23" s="414"/>
      <c r="E23" s="393" t="s">
        <v>2415</v>
      </c>
      <c r="F23" s="399" t="str">
        <f t="shared" si="0"/>
        <v>-</v>
      </c>
    </row>
    <row r="24" spans="1:6" s="307" customFormat="1" ht="37.5" customHeight="1" x14ac:dyDescent="0.25">
      <c r="A24" s="402"/>
      <c r="B24" s="501" t="s">
        <v>2398</v>
      </c>
      <c r="C24" s="390" t="s">
        <v>3214</v>
      </c>
      <c r="D24" s="391" t="s">
        <v>3215</v>
      </c>
      <c r="E24" s="390" t="s">
        <v>2415</v>
      </c>
      <c r="F24" s="394" t="str">
        <f t="shared" si="0"/>
        <v>ERH-ESPECIALISTA REGIONAL DE HIDROCARBUROS</v>
      </c>
    </row>
    <row r="25" spans="1:6" s="307" customFormat="1" ht="37.5" customHeight="1" x14ac:dyDescent="0.25">
      <c r="A25" s="402"/>
      <c r="B25" s="502"/>
      <c r="C25" s="396" t="s">
        <v>3356</v>
      </c>
      <c r="D25" s="411" t="s">
        <v>3334</v>
      </c>
      <c r="E25" s="398" t="s">
        <v>2415</v>
      </c>
      <c r="F25" s="399" t="str">
        <f t="shared" si="0"/>
        <v>SUP2400019-COMPAÑIA DE INGENIERIA Y CONSTRUCCION ESPECIALIZADA S.R.L.</v>
      </c>
    </row>
    <row r="26" spans="1:6" s="307" customFormat="1" ht="37.5" customHeight="1" x14ac:dyDescent="0.25">
      <c r="A26" s="402"/>
      <c r="B26" s="502"/>
      <c r="C26" s="396" t="s">
        <v>3384</v>
      </c>
      <c r="D26" s="414" t="s">
        <v>2436</v>
      </c>
      <c r="E26" s="398" t="s">
        <v>2415</v>
      </c>
      <c r="F26" s="399" t="str">
        <f t="shared" si="0"/>
        <v>SUP2400129-COMPAÑÍA DE INGENIERIA Y CONSTRUCCIÓN ESPECIALIZADA S.R.L.</v>
      </c>
    </row>
    <row r="27" spans="1:6" s="307" customFormat="1" ht="37.5" customHeight="1" x14ac:dyDescent="0.25">
      <c r="A27" s="402"/>
      <c r="B27" s="502"/>
      <c r="C27" s="396" t="s">
        <v>3409</v>
      </c>
      <c r="D27" s="414" t="s">
        <v>3334</v>
      </c>
      <c r="E27" s="398" t="s">
        <v>2415</v>
      </c>
      <c r="F27" s="399" t="str">
        <f t="shared" ref="F27" si="1">C27&amp;"-"&amp;D27</f>
        <v>SUP2400145-COMPAÑIA DE INGENIERIA Y CONSTRUCCION ESPECIALIZADA S.R.L.</v>
      </c>
    </row>
    <row r="28" spans="1:6" s="307" customFormat="1" ht="37.5" customHeight="1" x14ac:dyDescent="0.25">
      <c r="A28" s="402"/>
      <c r="B28" s="502"/>
      <c r="C28" s="396"/>
      <c r="D28" s="424"/>
      <c r="E28" s="398" t="s">
        <v>2415</v>
      </c>
      <c r="F28" s="399" t="str">
        <f t="shared" si="0"/>
        <v>-</v>
      </c>
    </row>
    <row r="29" spans="1:6" s="307" customFormat="1" ht="37.5" customHeight="1" x14ac:dyDescent="0.25">
      <c r="A29" s="402"/>
      <c r="B29" s="502"/>
      <c r="C29" s="396"/>
      <c r="D29" s="424"/>
      <c r="E29" s="424" t="s">
        <v>2415</v>
      </c>
      <c r="F29" s="424" t="str">
        <f t="shared" si="0"/>
        <v>-</v>
      </c>
    </row>
    <row r="30" spans="1:6" s="307" customFormat="1" ht="37.5" customHeight="1" x14ac:dyDescent="0.25">
      <c r="A30" s="402"/>
      <c r="B30" s="502"/>
      <c r="C30" s="396"/>
      <c r="D30" s="424"/>
      <c r="E30" s="424" t="s">
        <v>2415</v>
      </c>
      <c r="F30" s="424" t="str">
        <f t="shared" si="0"/>
        <v>-</v>
      </c>
    </row>
    <row r="31" spans="1:6" s="307" customFormat="1" ht="37.5" customHeight="1" x14ac:dyDescent="0.25">
      <c r="A31" s="402"/>
      <c r="B31" s="502"/>
      <c r="C31" s="396"/>
      <c r="D31" s="424"/>
      <c r="E31" s="332" t="s">
        <v>2415</v>
      </c>
      <c r="F31" s="399" t="str">
        <f t="shared" si="0"/>
        <v>-</v>
      </c>
    </row>
    <row r="32" spans="1:6" s="307" customFormat="1" ht="37.5" customHeight="1" thickBot="1" x14ac:dyDescent="0.3">
      <c r="A32" s="402"/>
      <c r="B32" s="503"/>
      <c r="C32" s="396"/>
      <c r="D32" s="424"/>
      <c r="E32" s="332" t="s">
        <v>2415</v>
      </c>
      <c r="F32" s="399" t="str">
        <f t="shared" si="0"/>
        <v>-</v>
      </c>
    </row>
    <row r="33" spans="1:6" s="307" customFormat="1" ht="37.5" customHeight="1" x14ac:dyDescent="0.25">
      <c r="A33" s="402"/>
      <c r="B33" s="504" t="s">
        <v>2379</v>
      </c>
      <c r="C33" s="390" t="s">
        <v>3214</v>
      </c>
      <c r="D33" s="391" t="s">
        <v>3215</v>
      </c>
      <c r="E33" s="390" t="s">
        <v>2415</v>
      </c>
      <c r="F33" s="394" t="str">
        <f t="shared" si="0"/>
        <v>ERH-ESPECIALISTA REGIONAL DE HIDROCARBUROS</v>
      </c>
    </row>
    <row r="34" spans="1:6" s="307" customFormat="1" ht="37.5" customHeight="1" x14ac:dyDescent="0.25">
      <c r="A34" s="402"/>
      <c r="B34" s="505"/>
      <c r="C34" s="396" t="s">
        <v>3372</v>
      </c>
      <c r="D34" s="411" t="s">
        <v>3373</v>
      </c>
      <c r="E34" s="332" t="s">
        <v>2415</v>
      </c>
      <c r="F34" s="334" t="str">
        <f>C34&amp;"-"&amp;D34</f>
        <v>SUP2400035-CONSORCIO ENERGY AA PROYECTOS S.A.C. - CONSULTORIA Y SERVICIOS INGENIEROS Y ABOGADOS S.A.C.</v>
      </c>
    </row>
    <row r="35" spans="1:6" s="307" customFormat="1" ht="37.5" customHeight="1" x14ac:dyDescent="0.25">
      <c r="A35" s="402"/>
      <c r="B35" s="505"/>
      <c r="C35" s="396" t="s">
        <v>3385</v>
      </c>
      <c r="D35" s="411" t="s">
        <v>3386</v>
      </c>
      <c r="E35" s="332" t="s">
        <v>2415</v>
      </c>
      <c r="F35" s="334" t="str">
        <f>C35&amp;"-"&amp;D35</f>
        <v>SUP2400130-GRUPO SERMINCO S.A.C.</v>
      </c>
    </row>
    <row r="36" spans="1:6" s="307" customFormat="1" ht="37.5" customHeight="1" x14ac:dyDescent="0.25">
      <c r="A36" s="402"/>
      <c r="B36" s="505"/>
      <c r="C36" s="396" t="s">
        <v>3421</v>
      </c>
      <c r="D36" s="411" t="s">
        <v>3423</v>
      </c>
      <c r="E36" s="332" t="s">
        <v>2415</v>
      </c>
      <c r="F36" s="334" t="str">
        <f>C36&amp;"-"&amp;D36</f>
        <v>SUP2400199-CONSORCIO KALEV C7 PROYECTOS S.A.C. - CONSULTORIAS Y SERVICIOS INGENIEROS Y ABOGADOS S.A.C.</v>
      </c>
    </row>
    <row r="37" spans="1:6" s="307" customFormat="1" ht="37.5" customHeight="1" x14ac:dyDescent="0.25">
      <c r="A37" s="402"/>
      <c r="B37" s="505"/>
      <c r="C37" s="396" t="s">
        <v>3422</v>
      </c>
      <c r="D37" s="411" t="s">
        <v>3386</v>
      </c>
      <c r="E37" s="332" t="s">
        <v>2415</v>
      </c>
      <c r="F37" s="334" t="str">
        <f>C37&amp;"-"&amp;D37</f>
        <v>SUP2400204-GRUPO SERMINCO S.A.C.</v>
      </c>
    </row>
    <row r="38" spans="1:6" s="307" customFormat="1" ht="37.5" customHeight="1" x14ac:dyDescent="0.25">
      <c r="A38" s="402"/>
      <c r="B38" s="505"/>
      <c r="C38" s="396" t="s">
        <v>3424</v>
      </c>
      <c r="D38" s="411" t="s">
        <v>3425</v>
      </c>
      <c r="E38" s="332" t="s">
        <v>2415</v>
      </c>
      <c r="F38" s="334" t="str">
        <f>C38&amp;"-"&amp;D38</f>
        <v>SUP2400088-ANDERS DICKSON LOPEZ FLORES</v>
      </c>
    </row>
    <row r="39" spans="1:6" s="307" customFormat="1" ht="37.5" customHeight="1" x14ac:dyDescent="0.25">
      <c r="A39" s="402"/>
      <c r="B39" s="505"/>
      <c r="C39" s="396"/>
      <c r="D39" s="411"/>
      <c r="E39" s="332" t="s">
        <v>2415</v>
      </c>
      <c r="F39" s="334" t="str">
        <f t="shared" ref="F39:F43" si="2">C39&amp;"-"&amp;D39</f>
        <v>-</v>
      </c>
    </row>
    <row r="40" spans="1:6" s="307" customFormat="1" ht="37.5" customHeight="1" x14ac:dyDescent="0.25">
      <c r="A40" s="402"/>
      <c r="B40" s="505"/>
      <c r="C40" s="396"/>
      <c r="D40" s="411"/>
      <c r="E40" s="332" t="s">
        <v>2415</v>
      </c>
      <c r="F40" s="334" t="str">
        <f t="shared" si="2"/>
        <v>-</v>
      </c>
    </row>
    <row r="41" spans="1:6" s="307" customFormat="1" ht="37.5" customHeight="1" x14ac:dyDescent="0.25">
      <c r="A41" s="402"/>
      <c r="B41" s="505"/>
      <c r="C41" s="396"/>
      <c r="D41" s="411"/>
      <c r="E41" s="332" t="s">
        <v>2415</v>
      </c>
      <c r="F41" s="334" t="str">
        <f t="shared" si="2"/>
        <v>-</v>
      </c>
    </row>
    <row r="42" spans="1:6" s="307" customFormat="1" ht="37.5" customHeight="1" x14ac:dyDescent="0.25">
      <c r="A42" s="402"/>
      <c r="B42" s="505"/>
      <c r="C42" s="396"/>
      <c r="D42" s="411"/>
      <c r="E42" s="332" t="s">
        <v>2415</v>
      </c>
      <c r="F42" s="334" t="str">
        <f t="shared" si="2"/>
        <v>-</v>
      </c>
    </row>
    <row r="43" spans="1:6" s="307" customFormat="1" ht="37.5" customHeight="1" thickBot="1" x14ac:dyDescent="0.3">
      <c r="A43" s="402"/>
      <c r="B43" s="506"/>
      <c r="C43" s="396"/>
      <c r="D43" s="411"/>
      <c r="E43" s="393" t="s">
        <v>2415</v>
      </c>
      <c r="F43" s="334" t="str">
        <f t="shared" si="2"/>
        <v>-</v>
      </c>
    </row>
    <row r="44" spans="1:6" s="307" customFormat="1" ht="37.5" customHeight="1" x14ac:dyDescent="0.25">
      <c r="A44" s="402"/>
      <c r="B44" s="501" t="s">
        <v>2380</v>
      </c>
      <c r="C44" s="390" t="s">
        <v>3214</v>
      </c>
      <c r="D44" s="391" t="s">
        <v>3215</v>
      </c>
      <c r="E44" s="390" t="s">
        <v>2415</v>
      </c>
      <c r="F44" s="394" t="str">
        <f t="shared" si="0"/>
        <v>ERH-ESPECIALISTA REGIONAL DE HIDROCARBUROS</v>
      </c>
    </row>
    <row r="45" spans="1:6" s="307" customFormat="1" ht="37.5" customHeight="1" x14ac:dyDescent="0.25">
      <c r="A45" s="402"/>
      <c r="B45" s="502"/>
      <c r="C45" s="396" t="s">
        <v>3387</v>
      </c>
      <c r="D45" s="411" t="s">
        <v>3388</v>
      </c>
      <c r="E45" s="332" t="s">
        <v>2415</v>
      </c>
      <c r="F45" s="334" t="str">
        <f>C45&amp;"-"&amp;D45</f>
        <v xml:space="preserve">SUP2400043-EVALUACION Y SUPERVISION EN ENERGIA E.I.R.L. </v>
      </c>
    </row>
    <row r="46" spans="1:6" s="307" customFormat="1" ht="37.5" customHeight="1" x14ac:dyDescent="0.25">
      <c r="A46" s="402"/>
      <c r="B46" s="502"/>
      <c r="C46" s="396" t="s">
        <v>3337</v>
      </c>
      <c r="D46" s="411" t="s">
        <v>3338</v>
      </c>
      <c r="E46" s="332" t="s">
        <v>2415</v>
      </c>
      <c r="F46" s="334" t="str">
        <f>C46&amp;"-"&amp;D46</f>
        <v>SUP2300215-CONSORCIO GRUPO SERMINCO S.A.C. &amp; GAS OIL</v>
      </c>
    </row>
    <row r="47" spans="1:6" s="307" customFormat="1" ht="37.5" customHeight="1" x14ac:dyDescent="0.25">
      <c r="A47" s="402"/>
      <c r="B47" s="502"/>
      <c r="C47" s="396" t="s">
        <v>3389</v>
      </c>
      <c r="D47" s="414" t="s">
        <v>3376</v>
      </c>
      <c r="E47" s="332" t="s">
        <v>2415</v>
      </c>
      <c r="F47" s="334" t="str">
        <f>C47&amp;"-"&amp;D47</f>
        <v>SUP2400057-CONSORCIO EVZO ASOCIADOS S.A.C. - GIZED CONSULTORES S.A.C.</v>
      </c>
    </row>
    <row r="48" spans="1:6" s="307" customFormat="1" ht="37.5" customHeight="1" x14ac:dyDescent="0.25">
      <c r="A48" s="402"/>
      <c r="B48" s="502"/>
      <c r="C48" s="396" t="s">
        <v>3399</v>
      </c>
      <c r="D48" s="414" t="s">
        <v>3376</v>
      </c>
      <c r="E48" s="332" t="s">
        <v>2415</v>
      </c>
      <c r="F48" s="334" t="str">
        <f>C48&amp;"-"&amp;D48</f>
        <v>SUP2400157-CONSORCIO EVZO ASOCIADOS S.A.C. - GIZED CONSULTORES S.A.C.</v>
      </c>
    </row>
    <row r="49" spans="1:6" s="307" customFormat="1" ht="37.5" customHeight="1" x14ac:dyDescent="0.25">
      <c r="A49" s="402"/>
      <c r="B49" s="502"/>
      <c r="C49" s="396"/>
      <c r="D49" s="414"/>
      <c r="E49" s="332" t="s">
        <v>2415</v>
      </c>
      <c r="F49" s="334" t="str">
        <f t="shared" si="0"/>
        <v>-</v>
      </c>
    </row>
    <row r="50" spans="1:6" s="307" customFormat="1" ht="37.5" customHeight="1" x14ac:dyDescent="0.25">
      <c r="A50" s="402"/>
      <c r="B50" s="502"/>
      <c r="C50" s="396"/>
      <c r="D50" s="414"/>
      <c r="E50" s="332" t="s">
        <v>2415</v>
      </c>
      <c r="F50" s="334" t="str">
        <f t="shared" si="0"/>
        <v>-</v>
      </c>
    </row>
    <row r="51" spans="1:6" s="307" customFormat="1" ht="37.5" customHeight="1" x14ac:dyDescent="0.25">
      <c r="A51" s="402"/>
      <c r="B51" s="502"/>
      <c r="C51" s="396"/>
      <c r="D51" s="414"/>
      <c r="E51" s="332" t="s">
        <v>2415</v>
      </c>
      <c r="F51" s="334" t="str">
        <f t="shared" si="0"/>
        <v>-</v>
      </c>
    </row>
    <row r="52" spans="1:6" s="307" customFormat="1" ht="37.5" customHeight="1" thickBot="1" x14ac:dyDescent="0.3">
      <c r="A52" s="402"/>
      <c r="B52" s="503"/>
      <c r="C52" s="485"/>
      <c r="D52" s="486"/>
      <c r="E52" s="393" t="s">
        <v>2415</v>
      </c>
      <c r="F52" s="395" t="str">
        <f t="shared" si="0"/>
        <v>-</v>
      </c>
    </row>
    <row r="53" spans="1:6" s="307" customFormat="1" ht="37.5" customHeight="1" x14ac:dyDescent="0.25">
      <c r="A53" s="402"/>
      <c r="B53" s="495" t="s">
        <v>2381</v>
      </c>
      <c r="C53" s="390" t="s">
        <v>3214</v>
      </c>
      <c r="D53" s="391" t="s">
        <v>3215</v>
      </c>
      <c r="E53" s="390" t="s">
        <v>2415</v>
      </c>
      <c r="F53" s="394" t="str">
        <f t="shared" si="0"/>
        <v>ERH-ESPECIALISTA REGIONAL DE HIDROCARBUROS</v>
      </c>
    </row>
    <row r="54" spans="1:6" s="307" customFormat="1" ht="37.5" customHeight="1" x14ac:dyDescent="0.25">
      <c r="A54" s="402"/>
      <c r="B54" s="496"/>
      <c r="C54" s="396" t="s">
        <v>3368</v>
      </c>
      <c r="D54" s="411" t="s">
        <v>3369</v>
      </c>
      <c r="E54" s="400" t="s">
        <v>2415</v>
      </c>
      <c r="F54" s="401" t="str">
        <f>C54&amp;"-"&amp;D54</f>
        <v>SUP2400033-ELECTRO NOR PERU S.A.C.</v>
      </c>
    </row>
    <row r="55" spans="1:6" s="307" customFormat="1" ht="37.5" customHeight="1" x14ac:dyDescent="0.25">
      <c r="A55" s="402"/>
      <c r="B55" s="496"/>
      <c r="C55" s="396" t="s">
        <v>3406</v>
      </c>
      <c r="D55" s="414" t="s">
        <v>3407</v>
      </c>
      <c r="E55" s="332" t="s">
        <v>2415</v>
      </c>
      <c r="F55" s="334" t="str">
        <f>C55&amp;"-"&amp;D55</f>
        <v>SUP2400146-CONSORCIO GRUPO SERMINCO S.A.C. - LUIS ENRIQUE SÁNCHEZ CARRIÓN</v>
      </c>
    </row>
    <row r="56" spans="1:6" s="307" customFormat="1" ht="37.5" customHeight="1" x14ac:dyDescent="0.25">
      <c r="A56" s="402"/>
      <c r="B56" s="496"/>
      <c r="C56" s="396" t="s">
        <v>3426</v>
      </c>
      <c r="D56" s="414" t="s">
        <v>3427</v>
      </c>
      <c r="E56" s="332" t="s">
        <v>2415</v>
      </c>
      <c r="F56" s="334" t="str">
        <f>C56&amp;"-"&amp;D56</f>
        <v>SUP2400099-LESLIE MILAGROS BRAVO GUERRERO</v>
      </c>
    </row>
    <row r="57" spans="1:6" s="307" customFormat="1" ht="37.5" customHeight="1" x14ac:dyDescent="0.25">
      <c r="A57" s="402"/>
      <c r="B57" s="496"/>
      <c r="C57" s="396"/>
      <c r="D57" s="414"/>
      <c r="E57" s="332" t="s">
        <v>2415</v>
      </c>
      <c r="F57" s="334" t="str">
        <f t="shared" si="0"/>
        <v>-</v>
      </c>
    </row>
    <row r="58" spans="1:6" s="307" customFormat="1" ht="37.5" customHeight="1" x14ac:dyDescent="0.25">
      <c r="A58" s="402"/>
      <c r="B58" s="496"/>
      <c r="C58" s="396"/>
      <c r="D58" s="414"/>
      <c r="E58" s="332" t="s">
        <v>2415</v>
      </c>
      <c r="F58" s="334" t="str">
        <f t="shared" si="0"/>
        <v>-</v>
      </c>
    </row>
    <row r="59" spans="1:6" s="307" customFormat="1" ht="37.5" customHeight="1" x14ac:dyDescent="0.25">
      <c r="A59" s="402"/>
      <c r="B59" s="496"/>
      <c r="C59" s="396"/>
      <c r="D59" s="414"/>
      <c r="E59" s="332" t="s">
        <v>2415</v>
      </c>
      <c r="F59" s="334" t="str">
        <f t="shared" si="0"/>
        <v>-</v>
      </c>
    </row>
    <row r="60" spans="1:6" s="307" customFormat="1" ht="37.5" customHeight="1" x14ac:dyDescent="0.25">
      <c r="A60" s="402"/>
      <c r="B60" s="496"/>
      <c r="C60" s="396"/>
      <c r="D60" s="414"/>
      <c r="E60" s="332" t="s">
        <v>2415</v>
      </c>
      <c r="F60" s="334" t="str">
        <f t="shared" si="0"/>
        <v>-</v>
      </c>
    </row>
    <row r="61" spans="1:6" s="307" customFormat="1" ht="37.5" customHeight="1" thickBot="1" x14ac:dyDescent="0.3">
      <c r="A61" s="402"/>
      <c r="B61" s="497"/>
      <c r="C61" s="396"/>
      <c r="D61" s="414"/>
      <c r="E61" s="393" t="s">
        <v>2415</v>
      </c>
      <c r="F61" s="395" t="str">
        <f t="shared" si="0"/>
        <v>-</v>
      </c>
    </row>
    <row r="62" spans="1:6" s="307" customFormat="1" ht="37.5" customHeight="1" x14ac:dyDescent="0.25">
      <c r="A62" s="402"/>
      <c r="B62" s="507" t="s">
        <v>2382</v>
      </c>
      <c r="C62" s="390" t="s">
        <v>3214</v>
      </c>
      <c r="D62" s="391" t="s">
        <v>3215</v>
      </c>
      <c r="E62" s="390" t="s">
        <v>2415</v>
      </c>
      <c r="F62" s="394" t="str">
        <f t="shared" si="0"/>
        <v>ERH-ESPECIALISTA REGIONAL DE HIDROCARBUROS</v>
      </c>
    </row>
    <row r="63" spans="1:6" s="307" customFormat="1" ht="37.5" customHeight="1" x14ac:dyDescent="0.25">
      <c r="A63" s="402"/>
      <c r="B63" s="508"/>
      <c r="C63" s="396" t="s">
        <v>3357</v>
      </c>
      <c r="D63" s="411" t="s">
        <v>3334</v>
      </c>
      <c r="E63" s="398" t="s">
        <v>2415</v>
      </c>
      <c r="F63" s="399" t="str">
        <f t="shared" ref="F63:F121" si="3">C63&amp;"-"&amp;D63</f>
        <v>SUP2400011-COMPAÑIA DE INGENIERIA Y CONSTRUCCION ESPECIALIZADA S.R.L.</v>
      </c>
    </row>
    <row r="64" spans="1:6" s="307" customFormat="1" ht="37.5" customHeight="1" x14ac:dyDescent="0.25">
      <c r="A64" s="402"/>
      <c r="B64" s="508"/>
      <c r="C64" s="396" t="s">
        <v>3356</v>
      </c>
      <c r="D64" s="411" t="s">
        <v>3334</v>
      </c>
      <c r="E64" s="398" t="s">
        <v>2415</v>
      </c>
      <c r="F64" s="399" t="str">
        <f t="shared" si="3"/>
        <v>SUP2400019-COMPAÑIA DE INGENIERIA Y CONSTRUCCION ESPECIALIZADA S.R.L.</v>
      </c>
    </row>
    <row r="65" spans="1:6" s="307" customFormat="1" ht="37.5" customHeight="1" x14ac:dyDescent="0.25">
      <c r="A65" s="402"/>
      <c r="B65" s="508"/>
      <c r="C65" s="396" t="s">
        <v>3374</v>
      </c>
      <c r="D65" s="411" t="s">
        <v>2436</v>
      </c>
      <c r="E65" s="398" t="s">
        <v>2415</v>
      </c>
      <c r="F65" s="399" t="str">
        <f t="shared" si="3"/>
        <v>SUP2400032-COMPAÑÍA DE INGENIERIA Y CONSTRUCCIÓN ESPECIALIZADA S.R.L.</v>
      </c>
    </row>
    <row r="66" spans="1:6" s="307" customFormat="1" ht="37.5" customHeight="1" x14ac:dyDescent="0.25">
      <c r="A66" s="402"/>
      <c r="B66" s="508"/>
      <c r="C66" s="396" t="s">
        <v>3409</v>
      </c>
      <c r="D66" s="411" t="s">
        <v>3334</v>
      </c>
      <c r="E66" s="398" t="s">
        <v>2415</v>
      </c>
      <c r="F66" s="399" t="str">
        <f t="shared" si="3"/>
        <v>SUP2400145-COMPAÑIA DE INGENIERIA Y CONSTRUCCION ESPECIALIZADA S.R.L.</v>
      </c>
    </row>
    <row r="67" spans="1:6" s="307" customFormat="1" ht="37.5" customHeight="1" x14ac:dyDescent="0.25">
      <c r="A67" s="402"/>
      <c r="B67" s="508"/>
      <c r="C67" s="396" t="s">
        <v>3428</v>
      </c>
      <c r="D67" s="414" t="s">
        <v>3429</v>
      </c>
      <c r="E67" s="398" t="s">
        <v>2415</v>
      </c>
      <c r="F67" s="399" t="str">
        <f t="shared" si="3"/>
        <v>SUP2400201-SERVICIOS DE GESTION EMPRESARIAL SERGEM E.I.R.L.</v>
      </c>
    </row>
    <row r="68" spans="1:6" s="307" customFormat="1" ht="37.5" customHeight="1" x14ac:dyDescent="0.25">
      <c r="A68" s="402"/>
      <c r="B68" s="508"/>
      <c r="C68" s="396" t="s">
        <v>3430</v>
      </c>
      <c r="D68" s="414" t="s">
        <v>3431</v>
      </c>
      <c r="E68" s="398" t="s">
        <v>2415</v>
      </c>
      <c r="F68" s="399" t="str">
        <f t="shared" si="3"/>
        <v>SUP2400121-CESAR AUGUSTO VELARDE CARITA</v>
      </c>
    </row>
    <row r="69" spans="1:6" s="307" customFormat="1" ht="37.5" customHeight="1" x14ac:dyDescent="0.25">
      <c r="A69" s="402"/>
      <c r="B69" s="508"/>
      <c r="C69" s="396"/>
      <c r="D69" s="414"/>
      <c r="E69" s="398" t="s">
        <v>2415</v>
      </c>
      <c r="F69" s="399" t="str">
        <f>C69&amp;"-"&amp;D69</f>
        <v>-</v>
      </c>
    </row>
    <row r="70" spans="1:6" s="307" customFormat="1" ht="37.5" customHeight="1" x14ac:dyDescent="0.25">
      <c r="A70" s="402"/>
      <c r="B70" s="508"/>
      <c r="C70" s="396"/>
      <c r="D70" s="414"/>
      <c r="E70" s="332" t="s">
        <v>2415</v>
      </c>
      <c r="F70" s="413" t="str">
        <f>C70&amp;"-"&amp;D70</f>
        <v>-</v>
      </c>
    </row>
    <row r="71" spans="1:6" s="307" customFormat="1" ht="37.5" customHeight="1" x14ac:dyDescent="0.25">
      <c r="A71" s="402"/>
      <c r="B71" s="508"/>
      <c r="C71" s="335"/>
      <c r="D71" s="333"/>
      <c r="E71" s="332" t="s">
        <v>2415</v>
      </c>
      <c r="F71" s="334" t="str">
        <f t="shared" si="3"/>
        <v>-</v>
      </c>
    </row>
    <row r="72" spans="1:6" s="307" customFormat="1" ht="37.5" customHeight="1" thickBot="1" x14ac:dyDescent="0.3">
      <c r="A72" s="402"/>
      <c r="B72" s="509"/>
      <c r="C72" s="335"/>
      <c r="D72" s="333"/>
      <c r="E72" s="332" t="s">
        <v>2415</v>
      </c>
      <c r="F72" s="334" t="str">
        <f t="shared" si="3"/>
        <v>-</v>
      </c>
    </row>
    <row r="73" spans="1:6" s="307" customFormat="1" ht="37.5" customHeight="1" x14ac:dyDescent="0.25">
      <c r="A73" s="402"/>
      <c r="B73" s="495" t="s">
        <v>2383</v>
      </c>
      <c r="C73" s="437" t="s">
        <v>3214</v>
      </c>
      <c r="D73" s="419" t="s">
        <v>3215</v>
      </c>
      <c r="E73" s="420" t="s">
        <v>2415</v>
      </c>
      <c r="F73" s="421" t="str">
        <f t="shared" si="3"/>
        <v>ERH-ESPECIALISTA REGIONAL DE HIDROCARBUROS</v>
      </c>
    </row>
    <row r="74" spans="1:6" s="307" customFormat="1" ht="37.5" customHeight="1" x14ac:dyDescent="0.25">
      <c r="A74" s="402"/>
      <c r="B74" s="496"/>
      <c r="C74" s="396" t="s">
        <v>3432</v>
      </c>
      <c r="D74" s="414" t="s">
        <v>3335</v>
      </c>
      <c r="E74" s="332" t="s">
        <v>2415</v>
      </c>
      <c r="F74" s="334" t="str">
        <f t="shared" si="3"/>
        <v xml:space="preserve">SUP2400208-TERRAMAR INSPECTION &amp; TRADING S.A.C. </v>
      </c>
    </row>
    <row r="75" spans="1:6" s="307" customFormat="1" ht="37.5" customHeight="1" x14ac:dyDescent="0.25">
      <c r="A75" s="402"/>
      <c r="B75" s="496"/>
      <c r="C75" s="396" t="s">
        <v>3390</v>
      </c>
      <c r="D75" s="414" t="s">
        <v>3391</v>
      </c>
      <c r="E75" s="332" t="s">
        <v>2415</v>
      </c>
      <c r="F75" s="334" t="str">
        <f t="shared" si="3"/>
        <v>SUP2300218-CONSORCIO ENERGY AA PROYECTOS´ S.A.C. &amp; KALEV C7 PROYECTOS S.A.C.</v>
      </c>
    </row>
    <row r="76" spans="1:6" s="307" customFormat="1" ht="37.5" customHeight="1" x14ac:dyDescent="0.25">
      <c r="A76" s="402"/>
      <c r="B76" s="496"/>
      <c r="C76" s="396"/>
      <c r="D76" s="414"/>
      <c r="E76" s="332" t="s">
        <v>2415</v>
      </c>
      <c r="F76" s="334" t="str">
        <f t="shared" si="3"/>
        <v>-</v>
      </c>
    </row>
    <row r="77" spans="1:6" s="307" customFormat="1" ht="37.5" customHeight="1" x14ac:dyDescent="0.25">
      <c r="A77" s="402"/>
      <c r="B77" s="496"/>
      <c r="C77" s="396"/>
      <c r="D77" s="414"/>
      <c r="E77" s="332" t="s">
        <v>2415</v>
      </c>
      <c r="F77" s="334" t="str">
        <f t="shared" si="3"/>
        <v>-</v>
      </c>
    </row>
    <row r="78" spans="1:6" s="307" customFormat="1" ht="37.5" customHeight="1" x14ac:dyDescent="0.25">
      <c r="A78" s="402"/>
      <c r="B78" s="496"/>
      <c r="C78" s="396"/>
      <c r="D78" s="414"/>
      <c r="E78" s="332" t="s">
        <v>2415</v>
      </c>
      <c r="F78" s="334" t="str">
        <f t="shared" si="3"/>
        <v>-</v>
      </c>
    </row>
    <row r="79" spans="1:6" s="307" customFormat="1" ht="37.5" customHeight="1" x14ac:dyDescent="0.25">
      <c r="A79" s="402"/>
      <c r="B79" s="496"/>
      <c r="C79" s="396"/>
      <c r="D79" s="414"/>
      <c r="E79" s="332" t="s">
        <v>2415</v>
      </c>
      <c r="F79" s="334" t="str">
        <f t="shared" si="3"/>
        <v>-</v>
      </c>
    </row>
    <row r="80" spans="1:6" s="307" customFormat="1" ht="37.5" customHeight="1" thickBot="1" x14ac:dyDescent="0.3">
      <c r="A80" s="402"/>
      <c r="B80" s="497"/>
      <c r="C80" s="396"/>
      <c r="D80" s="414"/>
      <c r="E80" s="393" t="s">
        <v>2415</v>
      </c>
      <c r="F80" s="395" t="str">
        <f t="shared" si="3"/>
        <v>-</v>
      </c>
    </row>
    <row r="81" spans="1:6" s="307" customFormat="1" ht="37.5" customHeight="1" x14ac:dyDescent="0.25">
      <c r="A81" s="402"/>
      <c r="B81" s="489" t="s">
        <v>3198</v>
      </c>
      <c r="C81" s="418" t="s">
        <v>3214</v>
      </c>
      <c r="D81" s="419" t="s">
        <v>3215</v>
      </c>
      <c r="E81" s="420" t="s">
        <v>2415</v>
      </c>
      <c r="F81" s="421" t="str">
        <f t="shared" si="3"/>
        <v>ERH-ESPECIALISTA REGIONAL DE HIDROCARBUROS</v>
      </c>
    </row>
    <row r="82" spans="1:6" s="307" customFormat="1" ht="37.5" customHeight="1" x14ac:dyDescent="0.25">
      <c r="A82" s="402"/>
      <c r="B82" s="490"/>
      <c r="C82" s="425" t="s">
        <v>3433</v>
      </c>
      <c r="D82" s="424" t="s">
        <v>3216</v>
      </c>
      <c r="E82" s="332" t="s">
        <v>2415</v>
      </c>
      <c r="F82" s="334" t="str">
        <f t="shared" si="3"/>
        <v>SUP2400176-EVALUACION Y SUPERVISION EN ENERGIA E.I.R.L.</v>
      </c>
    </row>
    <row r="83" spans="1:6" s="307" customFormat="1" ht="37.5" customHeight="1" x14ac:dyDescent="0.25">
      <c r="A83" s="402"/>
      <c r="B83" s="490"/>
      <c r="C83" s="425" t="s">
        <v>3434</v>
      </c>
      <c r="D83" s="424" t="s">
        <v>3216</v>
      </c>
      <c r="E83" s="332" t="s">
        <v>2415</v>
      </c>
      <c r="F83" s="334" t="str">
        <f t="shared" ref="F83" si="4">C83&amp;"-"&amp;D83</f>
        <v>SUP2400158-EVALUACION Y SUPERVISION EN ENERGIA E.I.R.L.</v>
      </c>
    </row>
    <row r="84" spans="1:6" s="307" customFormat="1" ht="37.5" customHeight="1" x14ac:dyDescent="0.25">
      <c r="A84" s="402"/>
      <c r="B84" s="490"/>
      <c r="C84" s="425" t="s">
        <v>3435</v>
      </c>
      <c r="D84" s="414" t="s">
        <v>3436</v>
      </c>
      <c r="E84" s="332" t="s">
        <v>2415</v>
      </c>
      <c r="F84" s="334" t="str">
        <f t="shared" si="3"/>
        <v>SUP2400198-KALEV C7 PROYECTOS S.A.C.</v>
      </c>
    </row>
    <row r="85" spans="1:6" s="307" customFormat="1" ht="37.5" customHeight="1" x14ac:dyDescent="0.25">
      <c r="A85" s="402"/>
      <c r="B85" s="490"/>
      <c r="C85" s="425"/>
      <c r="D85" s="414"/>
      <c r="E85" s="332" t="s">
        <v>2415</v>
      </c>
      <c r="F85" s="334" t="str">
        <f t="shared" si="3"/>
        <v>-</v>
      </c>
    </row>
    <row r="86" spans="1:6" s="307" customFormat="1" ht="37.5" customHeight="1" x14ac:dyDescent="0.25">
      <c r="A86" s="402"/>
      <c r="B86" s="490"/>
      <c r="C86" s="425"/>
      <c r="D86" s="414"/>
      <c r="E86" s="332" t="s">
        <v>2415</v>
      </c>
      <c r="F86" s="334" t="str">
        <f t="shared" si="3"/>
        <v>-</v>
      </c>
    </row>
    <row r="87" spans="1:6" s="307" customFormat="1" ht="37.5" customHeight="1" x14ac:dyDescent="0.25">
      <c r="A87" s="402"/>
      <c r="B87" s="490"/>
      <c r="C87" s="425"/>
      <c r="D87" s="414"/>
      <c r="E87" s="332" t="s">
        <v>2415</v>
      </c>
      <c r="F87" s="334" t="str">
        <f t="shared" si="3"/>
        <v>-</v>
      </c>
    </row>
    <row r="88" spans="1:6" s="307" customFormat="1" ht="37.5" customHeight="1" thickBot="1" x14ac:dyDescent="0.3">
      <c r="A88" s="402"/>
      <c r="B88" s="491"/>
      <c r="C88" s="426"/>
      <c r="D88" s="486"/>
      <c r="E88" s="393" t="s">
        <v>2415</v>
      </c>
      <c r="F88" s="395" t="str">
        <f t="shared" si="3"/>
        <v>-</v>
      </c>
    </row>
    <row r="89" spans="1:6" s="307" customFormat="1" ht="37.5" customHeight="1" x14ac:dyDescent="0.25">
      <c r="A89" s="402"/>
      <c r="B89" s="492" t="s">
        <v>2384</v>
      </c>
      <c r="C89" s="418" t="s">
        <v>3214</v>
      </c>
      <c r="D89" s="419" t="s">
        <v>3215</v>
      </c>
      <c r="E89" s="420" t="s">
        <v>2415</v>
      </c>
      <c r="F89" s="421" t="str">
        <f t="shared" si="3"/>
        <v>ERH-ESPECIALISTA REGIONAL DE HIDROCARBUROS</v>
      </c>
    </row>
    <row r="90" spans="1:6" s="307" customFormat="1" ht="37.5" customHeight="1" x14ac:dyDescent="0.25">
      <c r="A90" s="402"/>
      <c r="B90" s="493"/>
      <c r="C90" s="425" t="s">
        <v>3358</v>
      </c>
      <c r="D90" s="411" t="s">
        <v>3359</v>
      </c>
      <c r="E90" s="332" t="s">
        <v>2415</v>
      </c>
      <c r="F90" s="334" t="str">
        <f t="shared" si="3"/>
        <v>SUP2400004-CONSORCIO SUPERVISION CONSULTORIA Y SERVICIOS EN ENERGIA S.A.C.S. - MORENO &amp;PEREZ ABOGADOS Y CONTADORES S. CIVIL DE R.L.</v>
      </c>
    </row>
    <row r="91" spans="1:6" s="307" customFormat="1" ht="37.5" customHeight="1" x14ac:dyDescent="0.25">
      <c r="A91" s="402"/>
      <c r="B91" s="493"/>
      <c r="C91" s="425" t="s">
        <v>3375</v>
      </c>
      <c r="D91" s="411" t="s">
        <v>3376</v>
      </c>
      <c r="E91" s="332" t="s">
        <v>2415</v>
      </c>
      <c r="F91" s="334" t="str">
        <f t="shared" si="3"/>
        <v>SUP2400040-CONSORCIO EVZO ASOCIADOS S.A.C. - GIZED CONSULTORES S.A.C.</v>
      </c>
    </row>
    <row r="92" spans="1:6" s="307" customFormat="1" ht="37.5" customHeight="1" x14ac:dyDescent="0.25">
      <c r="A92" s="402"/>
      <c r="B92" s="493"/>
      <c r="C92" s="425" t="s">
        <v>3437</v>
      </c>
      <c r="D92" s="414" t="s">
        <v>3438</v>
      </c>
      <c r="E92" s="332" t="s">
        <v>2415</v>
      </c>
      <c r="F92" s="334" t="str">
        <f t="shared" si="3"/>
        <v xml:space="preserve">SUP2400149-COLLANTE CHUMPITAZ FRANCO EDUARDO </v>
      </c>
    </row>
    <row r="93" spans="1:6" s="307" customFormat="1" ht="37.5" customHeight="1" x14ac:dyDescent="0.25">
      <c r="A93" s="402"/>
      <c r="B93" s="493"/>
      <c r="C93" s="425"/>
      <c r="D93" s="414"/>
      <c r="E93" s="332" t="s">
        <v>2415</v>
      </c>
      <c r="F93" s="334" t="str">
        <f t="shared" si="3"/>
        <v>-</v>
      </c>
    </row>
    <row r="94" spans="1:6" s="307" customFormat="1" ht="37.5" customHeight="1" x14ac:dyDescent="0.25">
      <c r="A94" s="402"/>
      <c r="B94" s="493"/>
      <c r="C94" s="425"/>
      <c r="D94" s="414"/>
      <c r="E94" s="332" t="s">
        <v>2415</v>
      </c>
      <c r="F94" s="334" t="str">
        <f t="shared" si="3"/>
        <v>-</v>
      </c>
    </row>
    <row r="95" spans="1:6" s="307" customFormat="1" ht="37.5" customHeight="1" x14ac:dyDescent="0.25">
      <c r="A95" s="402"/>
      <c r="B95" s="493"/>
      <c r="C95" s="425"/>
      <c r="D95" s="414"/>
      <c r="E95" s="332" t="s">
        <v>2415</v>
      </c>
      <c r="F95" s="334" t="str">
        <f t="shared" si="3"/>
        <v>-</v>
      </c>
    </row>
    <row r="96" spans="1:6" s="307" customFormat="1" ht="37.5" customHeight="1" x14ac:dyDescent="0.25">
      <c r="A96" s="402"/>
      <c r="B96" s="493"/>
      <c r="C96" s="425"/>
      <c r="D96" s="414"/>
      <c r="E96" s="332" t="s">
        <v>2415</v>
      </c>
      <c r="F96" s="334" t="str">
        <f t="shared" si="3"/>
        <v>-</v>
      </c>
    </row>
    <row r="97" spans="1:6" s="307" customFormat="1" ht="37.5" customHeight="1" thickBot="1" x14ac:dyDescent="0.3">
      <c r="A97" s="402"/>
      <c r="B97" s="494"/>
      <c r="C97" s="423"/>
      <c r="D97" s="392"/>
      <c r="E97" s="393" t="s">
        <v>2415</v>
      </c>
      <c r="F97" s="395" t="str">
        <f t="shared" si="3"/>
        <v>-</v>
      </c>
    </row>
    <row r="98" spans="1:6" s="307" customFormat="1" ht="37.5" customHeight="1" x14ac:dyDescent="0.25">
      <c r="A98" s="402"/>
      <c r="B98" s="489" t="s">
        <v>2394</v>
      </c>
      <c r="C98" s="418" t="s">
        <v>3214</v>
      </c>
      <c r="D98" s="419" t="s">
        <v>3215</v>
      </c>
      <c r="E98" s="420" t="s">
        <v>2415</v>
      </c>
      <c r="F98" s="421" t="str">
        <f t="shared" si="3"/>
        <v>ERH-ESPECIALISTA REGIONAL DE HIDROCARBUROS</v>
      </c>
    </row>
    <row r="99" spans="1:6" s="307" customFormat="1" ht="37.5" customHeight="1" x14ac:dyDescent="0.25">
      <c r="A99" s="402"/>
      <c r="B99" s="490"/>
      <c r="C99" s="425" t="s">
        <v>3432</v>
      </c>
      <c r="D99" s="414" t="s">
        <v>3335</v>
      </c>
      <c r="E99" s="332" t="s">
        <v>2415</v>
      </c>
      <c r="F99" s="334" t="str">
        <f t="shared" si="3"/>
        <v xml:space="preserve">SUP2400208-TERRAMAR INSPECTION &amp; TRADING S.A.C. </v>
      </c>
    </row>
    <row r="100" spans="1:6" s="307" customFormat="1" ht="37.5" customHeight="1" x14ac:dyDescent="0.25">
      <c r="A100" s="402"/>
      <c r="B100" s="490"/>
      <c r="C100" s="425" t="s">
        <v>3339</v>
      </c>
      <c r="D100" s="414" t="s">
        <v>2436</v>
      </c>
      <c r="E100" s="332" t="s">
        <v>2415</v>
      </c>
      <c r="F100" s="334" t="str">
        <f t="shared" si="3"/>
        <v>SUP2300216-COMPAÑÍA DE INGENIERIA Y CONSTRUCCIÓN ESPECIALIZADA S.R.L.</v>
      </c>
    </row>
    <row r="101" spans="1:6" s="307" customFormat="1" ht="37.5" customHeight="1" x14ac:dyDescent="0.25">
      <c r="A101" s="402"/>
      <c r="B101" s="490"/>
      <c r="C101" s="425" t="s">
        <v>3408</v>
      </c>
      <c r="D101" s="414" t="s">
        <v>2377</v>
      </c>
      <c r="E101" s="332" t="s">
        <v>2415</v>
      </c>
      <c r="F101" s="334" t="str">
        <f t="shared" si="3"/>
        <v>SUP2400138-TERRAMAR INSPECTION &amp; TRADING S.A.C.</v>
      </c>
    </row>
    <row r="102" spans="1:6" s="307" customFormat="1" ht="37.5" customHeight="1" x14ac:dyDescent="0.25">
      <c r="A102" s="402"/>
      <c r="B102" s="490"/>
      <c r="C102" s="425" t="s">
        <v>3439</v>
      </c>
      <c r="D102" s="414" t="s">
        <v>3386</v>
      </c>
      <c r="E102" s="332" t="s">
        <v>2415</v>
      </c>
      <c r="F102" s="334" t="str">
        <f t="shared" si="3"/>
        <v>SUP2400197-GRUPO SERMINCO S.A.C.</v>
      </c>
    </row>
    <row r="103" spans="1:6" s="307" customFormat="1" ht="37.5" customHeight="1" x14ac:dyDescent="0.25">
      <c r="A103" s="402"/>
      <c r="B103" s="490"/>
      <c r="C103" s="425"/>
      <c r="D103" s="414"/>
      <c r="E103" s="332" t="s">
        <v>2415</v>
      </c>
      <c r="F103" s="334" t="str">
        <f t="shared" si="3"/>
        <v>-</v>
      </c>
    </row>
    <row r="104" spans="1:6" s="307" customFormat="1" ht="37.5" customHeight="1" x14ac:dyDescent="0.25">
      <c r="A104" s="402"/>
      <c r="B104" s="490"/>
      <c r="C104" s="425"/>
      <c r="D104" s="414"/>
      <c r="E104" s="332" t="s">
        <v>2415</v>
      </c>
      <c r="F104" s="334" t="str">
        <f t="shared" ref="F104" si="5">C104&amp;"-"&amp;D104</f>
        <v>-</v>
      </c>
    </row>
    <row r="105" spans="1:6" s="307" customFormat="1" ht="37.5" customHeight="1" x14ac:dyDescent="0.25">
      <c r="A105" s="402"/>
      <c r="B105" s="490"/>
      <c r="C105" s="425"/>
      <c r="D105" s="414"/>
      <c r="E105" s="332" t="s">
        <v>2415</v>
      </c>
      <c r="F105" s="334" t="str">
        <f t="shared" si="3"/>
        <v>-</v>
      </c>
    </row>
    <row r="106" spans="1:6" s="307" customFormat="1" ht="37.5" customHeight="1" thickBot="1" x14ac:dyDescent="0.3">
      <c r="A106" s="402"/>
      <c r="B106" s="491"/>
      <c r="C106" s="425"/>
      <c r="D106" s="414"/>
      <c r="E106" s="393" t="s">
        <v>2415</v>
      </c>
      <c r="F106" s="395" t="str">
        <f t="shared" si="3"/>
        <v>-</v>
      </c>
    </row>
    <row r="107" spans="1:6" s="307" customFormat="1" ht="37.5" customHeight="1" x14ac:dyDescent="0.25">
      <c r="A107" s="402"/>
      <c r="B107" s="492" t="s">
        <v>3199</v>
      </c>
      <c r="C107" s="418" t="s">
        <v>3214</v>
      </c>
      <c r="D107" s="419" t="s">
        <v>3215</v>
      </c>
      <c r="E107" s="420" t="s">
        <v>2415</v>
      </c>
      <c r="F107" s="421" t="str">
        <f t="shared" si="3"/>
        <v>ERH-ESPECIALISTA REGIONAL DE HIDROCARBUROS</v>
      </c>
    </row>
    <row r="108" spans="1:6" s="307" customFormat="1" ht="37.5" customHeight="1" x14ac:dyDescent="0.25">
      <c r="A108" s="402"/>
      <c r="B108" s="493"/>
      <c r="C108" s="425" t="s">
        <v>3392</v>
      </c>
      <c r="D108" s="411" t="s">
        <v>3383</v>
      </c>
      <c r="E108" s="332" t="s">
        <v>2415</v>
      </c>
      <c r="F108" s="334" t="str">
        <f t="shared" si="3"/>
        <v>SUP2400067-CONSORCIO EVALUACION Y SUPERVISION EN ENERGIA E.I.R.L. - LUIS ENRIQUE SANCEHZ CARRION</v>
      </c>
    </row>
    <row r="109" spans="1:6" s="307" customFormat="1" ht="37.5" customHeight="1" x14ac:dyDescent="0.25">
      <c r="A109" s="402"/>
      <c r="B109" s="493"/>
      <c r="C109" s="425" t="s">
        <v>3393</v>
      </c>
      <c r="D109" s="414" t="s">
        <v>3383</v>
      </c>
      <c r="E109" s="332" t="s">
        <v>2415</v>
      </c>
      <c r="F109" s="334" t="str">
        <f t="shared" si="3"/>
        <v>SUP2400135-CONSORCIO EVALUACION Y SUPERVISION EN ENERGIA E.I.R.L. - LUIS ENRIQUE SANCEHZ CARRION</v>
      </c>
    </row>
    <row r="110" spans="1:6" s="307" customFormat="1" ht="37.5" customHeight="1" x14ac:dyDescent="0.25">
      <c r="A110" s="402"/>
      <c r="B110" s="493"/>
      <c r="C110" s="425" t="s">
        <v>3406</v>
      </c>
      <c r="D110" s="414" t="s">
        <v>3407</v>
      </c>
      <c r="E110" s="332" t="s">
        <v>2415</v>
      </c>
      <c r="F110" s="334" t="str">
        <f t="shared" si="3"/>
        <v>SUP2400146-CONSORCIO GRUPO SERMINCO S.A.C. - LUIS ENRIQUE SÁNCHEZ CARRIÓN</v>
      </c>
    </row>
    <row r="111" spans="1:6" s="307" customFormat="1" ht="37.5" customHeight="1" x14ac:dyDescent="0.25">
      <c r="A111" s="402"/>
      <c r="B111" s="493"/>
      <c r="C111" s="425" t="s">
        <v>3440</v>
      </c>
      <c r="D111" s="414" t="s">
        <v>3383</v>
      </c>
      <c r="E111" s="332" t="s">
        <v>2415</v>
      </c>
      <c r="F111" s="334" t="str">
        <f t="shared" si="3"/>
        <v>SUP2400192-CONSORCIO EVALUACION Y SUPERVISION EN ENERGIA E.I.R.L. - LUIS ENRIQUE SANCEHZ CARRION</v>
      </c>
    </row>
    <row r="112" spans="1:6" s="307" customFormat="1" ht="37.5" customHeight="1" x14ac:dyDescent="0.25">
      <c r="A112" s="402"/>
      <c r="B112" s="493"/>
      <c r="C112" s="425" t="s">
        <v>3441</v>
      </c>
      <c r="D112" s="414" t="s">
        <v>3442</v>
      </c>
      <c r="E112" s="332" t="s">
        <v>2415</v>
      </c>
      <c r="F112" s="334" t="str">
        <f t="shared" si="3"/>
        <v>SUP2400109-WILMER ALONSO HERRERA HURTADO</v>
      </c>
    </row>
    <row r="113" spans="1:6" s="307" customFormat="1" ht="37.5" customHeight="1" x14ac:dyDescent="0.25">
      <c r="A113" s="402"/>
      <c r="B113" s="493"/>
      <c r="C113" s="425"/>
      <c r="D113" s="414"/>
      <c r="E113" s="332" t="s">
        <v>2415</v>
      </c>
      <c r="F113" s="334" t="str">
        <f t="shared" si="3"/>
        <v>-</v>
      </c>
    </row>
    <row r="114" spans="1:6" s="307" customFormat="1" ht="37.5" customHeight="1" thickBot="1" x14ac:dyDescent="0.3">
      <c r="A114" s="402"/>
      <c r="B114" s="493"/>
      <c r="C114" s="425"/>
      <c r="D114" s="414"/>
      <c r="E114" s="393" t="s">
        <v>2415</v>
      </c>
      <c r="F114" s="395" t="str">
        <f t="shared" si="3"/>
        <v>-</v>
      </c>
    </row>
    <row r="115" spans="1:6" s="307" customFormat="1" ht="37.5" customHeight="1" x14ac:dyDescent="0.25">
      <c r="A115" s="402"/>
      <c r="B115" s="489" t="s">
        <v>2393</v>
      </c>
      <c r="C115" s="418" t="s">
        <v>3214</v>
      </c>
      <c r="D115" s="419" t="s">
        <v>3215</v>
      </c>
      <c r="E115" s="420" t="s">
        <v>2415</v>
      </c>
      <c r="F115" s="421" t="str">
        <f t="shared" si="3"/>
        <v>ERH-ESPECIALISTA REGIONAL DE HIDROCARBUROS</v>
      </c>
    </row>
    <row r="116" spans="1:6" s="307" customFormat="1" ht="37.5" customHeight="1" x14ac:dyDescent="0.25">
      <c r="A116" s="402"/>
      <c r="B116" s="490"/>
      <c r="C116" s="425" t="s">
        <v>3394</v>
      </c>
      <c r="D116" s="411" t="s">
        <v>3395</v>
      </c>
      <c r="E116" s="332" t="s">
        <v>2415</v>
      </c>
      <c r="F116" s="334" t="str">
        <f t="shared" si="3"/>
        <v>SUP2400051-CONSORCIO EVZO ASOCIADOS S.A.C. - GIZED CONSULTORES S.A.C. &amp; PEREZ ABOGADOS Y CONTADORES S. CIVIL. DE R.L.</v>
      </c>
    </row>
    <row r="117" spans="1:6" s="307" customFormat="1" ht="37.5" customHeight="1" x14ac:dyDescent="0.25">
      <c r="A117" s="402"/>
      <c r="B117" s="490"/>
      <c r="C117" s="425" t="s">
        <v>3400</v>
      </c>
      <c r="D117" s="411" t="s">
        <v>3401</v>
      </c>
      <c r="E117" s="332" t="s">
        <v>2415</v>
      </c>
      <c r="F117" s="334" t="str">
        <f t="shared" si="3"/>
        <v>SUP2400159-CONSORCIO ELECTRO NOR PERÚ S.A.C. - ABEL FRANKLIN TAVARA CIEZA</v>
      </c>
    </row>
    <row r="118" spans="1:6" s="307" customFormat="1" ht="37.5" customHeight="1" x14ac:dyDescent="0.25">
      <c r="A118" s="402"/>
      <c r="B118" s="490"/>
      <c r="C118" s="425" t="s">
        <v>3415</v>
      </c>
      <c r="D118" s="411" t="s">
        <v>3416</v>
      </c>
      <c r="E118" s="332" t="s">
        <v>2415</v>
      </c>
      <c r="F118" s="334" t="str">
        <f t="shared" si="3"/>
        <v>SUP2400203-EVZO ASOCIADOS S.A.C.</v>
      </c>
    </row>
    <row r="119" spans="1:6" s="307" customFormat="1" ht="37.5" customHeight="1" x14ac:dyDescent="0.25">
      <c r="A119" s="402"/>
      <c r="B119" s="490"/>
      <c r="C119" s="425" t="s">
        <v>3443</v>
      </c>
      <c r="D119" s="411" t="s">
        <v>3444</v>
      </c>
      <c r="E119" s="332" t="s">
        <v>2415</v>
      </c>
      <c r="F119" s="334" t="str">
        <f t="shared" si="3"/>
        <v>SUP2400083-CESAR AUGUSTO FARFAN MENDOZA</v>
      </c>
    </row>
    <row r="120" spans="1:6" s="307" customFormat="1" ht="37.5" customHeight="1" x14ac:dyDescent="0.25">
      <c r="A120" s="402"/>
      <c r="B120" s="490"/>
      <c r="C120" s="425"/>
      <c r="D120" s="411"/>
      <c r="E120" s="332" t="s">
        <v>2415</v>
      </c>
      <c r="F120" s="334" t="str">
        <f t="shared" si="3"/>
        <v>-</v>
      </c>
    </row>
    <row r="121" spans="1:6" s="307" customFormat="1" ht="37.5" customHeight="1" x14ac:dyDescent="0.25">
      <c r="A121" s="402"/>
      <c r="B121" s="490"/>
      <c r="C121" s="425"/>
      <c r="D121" s="411"/>
      <c r="E121" s="332" t="s">
        <v>2415</v>
      </c>
      <c r="F121" s="334" t="str">
        <f t="shared" si="3"/>
        <v>-</v>
      </c>
    </row>
    <row r="122" spans="1:6" s="307" customFormat="1" ht="37.5" customHeight="1" x14ac:dyDescent="0.25">
      <c r="A122" s="402"/>
      <c r="B122" s="490"/>
      <c r="C122" s="422"/>
      <c r="D122" s="333"/>
      <c r="E122" s="332" t="s">
        <v>2415</v>
      </c>
      <c r="F122" s="334" t="str">
        <f t="shared" ref="F122:F176" si="6">C122&amp;"-"&amp;D122</f>
        <v>-</v>
      </c>
    </row>
    <row r="123" spans="1:6" s="307" customFormat="1" ht="37.5" customHeight="1" thickBot="1" x14ac:dyDescent="0.3">
      <c r="A123" s="402"/>
      <c r="B123" s="491"/>
      <c r="C123" s="423"/>
      <c r="D123" s="392"/>
      <c r="E123" s="393" t="s">
        <v>2415</v>
      </c>
      <c r="F123" s="395" t="str">
        <f t="shared" si="6"/>
        <v>-</v>
      </c>
    </row>
    <row r="124" spans="1:6" s="307" customFormat="1" ht="37.5" customHeight="1" x14ac:dyDescent="0.25">
      <c r="A124" s="402"/>
      <c r="B124" s="492" t="s">
        <v>3200</v>
      </c>
      <c r="C124" s="418" t="s">
        <v>3214</v>
      </c>
      <c r="D124" s="419" t="s">
        <v>3215</v>
      </c>
      <c r="E124" s="420" t="s">
        <v>2415</v>
      </c>
      <c r="F124" s="421" t="str">
        <f t="shared" si="6"/>
        <v>ERH-ESPECIALISTA REGIONAL DE HIDROCARBUROS</v>
      </c>
    </row>
    <row r="125" spans="1:6" s="307" customFormat="1" ht="37.5" customHeight="1" x14ac:dyDescent="0.25">
      <c r="A125" s="402"/>
      <c r="B125" s="493"/>
      <c r="C125" s="425" t="s">
        <v>3367</v>
      </c>
      <c r="D125" s="411" t="s">
        <v>3216</v>
      </c>
      <c r="E125" s="332" t="s">
        <v>2415</v>
      </c>
      <c r="F125" s="334" t="str">
        <f t="shared" si="6"/>
        <v>SUP2400013-EVALUACION Y SUPERVISION EN ENERGIA E.I.R.L.</v>
      </c>
    </row>
    <row r="126" spans="1:6" s="307" customFormat="1" ht="37.5" customHeight="1" x14ac:dyDescent="0.25">
      <c r="A126" s="402"/>
      <c r="B126" s="493"/>
      <c r="C126" s="425" t="s">
        <v>3445</v>
      </c>
      <c r="D126" s="411" t="s">
        <v>3216</v>
      </c>
      <c r="E126" s="332" t="s">
        <v>2415</v>
      </c>
      <c r="F126" s="334" t="str">
        <f t="shared" si="6"/>
        <v>SUP2400165-EVALUACION Y SUPERVISION EN ENERGIA E.I.R.L.</v>
      </c>
    </row>
    <row r="127" spans="1:6" s="307" customFormat="1" ht="37.5" customHeight="1" x14ac:dyDescent="0.25">
      <c r="A127" s="402"/>
      <c r="B127" s="493"/>
      <c r="C127" s="425" t="s">
        <v>3446</v>
      </c>
      <c r="D127" s="411" t="s">
        <v>2377</v>
      </c>
      <c r="E127" s="332" t="s">
        <v>2415</v>
      </c>
      <c r="F127" s="334" t="str">
        <f t="shared" si="6"/>
        <v>SUP2400211-TERRAMAR INSPECTION &amp; TRADING S.A.C.</v>
      </c>
    </row>
    <row r="128" spans="1:6" s="307" customFormat="1" ht="37.5" customHeight="1" x14ac:dyDescent="0.25">
      <c r="A128" s="402"/>
      <c r="B128" s="493"/>
      <c r="C128" s="425" t="s">
        <v>3377</v>
      </c>
      <c r="D128" s="411" t="s">
        <v>3216</v>
      </c>
      <c r="E128" s="332" t="s">
        <v>2415</v>
      </c>
      <c r="F128" s="334" t="str">
        <f t="shared" si="6"/>
        <v>SUP2400030-EVALUACION Y SUPERVISION EN ENERGIA E.I.R.L.</v>
      </c>
    </row>
    <row r="129" spans="1:6" s="307" customFormat="1" ht="37.15" customHeight="1" x14ac:dyDescent="0.25">
      <c r="A129" s="402"/>
      <c r="B129" s="493"/>
      <c r="C129" s="425" t="s">
        <v>3402</v>
      </c>
      <c r="D129" s="414" t="s">
        <v>3403</v>
      </c>
      <c r="E129" s="332" t="s">
        <v>2415</v>
      </c>
      <c r="F129" s="334" t="str">
        <f t="shared" si="6"/>
        <v>SUP2400160-CONSORCIO EVALUACIÓN Y SUPERVISIÓN EN ENERGÍA Y MINERÍA E.I.R.L. - LUIS ENRIQUE SÁNCHEZ CARRIÓN</v>
      </c>
    </row>
    <row r="130" spans="1:6" s="307" customFormat="1" ht="37.15" customHeight="1" x14ac:dyDescent="0.25">
      <c r="A130" s="402"/>
      <c r="B130" s="493"/>
      <c r="C130" s="425" t="s">
        <v>3447</v>
      </c>
      <c r="D130" s="411" t="s">
        <v>3448</v>
      </c>
      <c r="E130" s="332" t="s">
        <v>2415</v>
      </c>
      <c r="F130" s="334" t="str">
        <f t="shared" si="6"/>
        <v>SUP2400152-LESLY MARGARITA RIVEROS TICONA</v>
      </c>
    </row>
    <row r="131" spans="1:6" s="307" customFormat="1" ht="37.5" customHeight="1" x14ac:dyDescent="0.25">
      <c r="A131" s="402"/>
      <c r="B131" s="493"/>
      <c r="C131" s="425"/>
      <c r="D131" s="411"/>
      <c r="E131" s="332" t="s">
        <v>2415</v>
      </c>
      <c r="F131" s="334" t="str">
        <f t="shared" si="6"/>
        <v>-</v>
      </c>
    </row>
    <row r="132" spans="1:6" s="307" customFormat="1" ht="37.5" customHeight="1" x14ac:dyDescent="0.25">
      <c r="A132" s="402"/>
      <c r="B132" s="493"/>
      <c r="C132" s="425"/>
      <c r="D132" s="411"/>
      <c r="E132" s="332" t="s">
        <v>2415</v>
      </c>
      <c r="F132" s="334" t="str">
        <f t="shared" si="6"/>
        <v>-</v>
      </c>
    </row>
    <row r="133" spans="1:6" s="307" customFormat="1" ht="37.5" customHeight="1" x14ac:dyDescent="0.25">
      <c r="A133" s="402"/>
      <c r="B133" s="493"/>
      <c r="C133" s="425"/>
      <c r="D133" s="411"/>
      <c r="E133" s="332" t="s">
        <v>2415</v>
      </c>
      <c r="F133" s="334" t="str">
        <f t="shared" si="6"/>
        <v>-</v>
      </c>
    </row>
    <row r="134" spans="1:6" s="307" customFormat="1" ht="37.5" customHeight="1" thickBot="1" x14ac:dyDescent="0.3">
      <c r="A134" s="402"/>
      <c r="B134" s="494"/>
      <c r="C134" s="425"/>
      <c r="D134" s="411"/>
      <c r="E134" s="393" t="s">
        <v>2415</v>
      </c>
      <c r="F134" s="395" t="str">
        <f t="shared" si="6"/>
        <v>-</v>
      </c>
    </row>
    <row r="135" spans="1:6" s="307" customFormat="1" ht="37.5" customHeight="1" x14ac:dyDescent="0.25">
      <c r="A135" s="402"/>
      <c r="B135" s="489" t="s">
        <v>3201</v>
      </c>
      <c r="C135" s="418" t="s">
        <v>3214</v>
      </c>
      <c r="D135" s="419" t="s">
        <v>3215</v>
      </c>
      <c r="E135" s="420" t="s">
        <v>2415</v>
      </c>
      <c r="F135" s="421" t="str">
        <f t="shared" si="6"/>
        <v>ERH-ESPECIALISTA REGIONAL DE HIDROCARBUROS</v>
      </c>
    </row>
    <row r="136" spans="1:6" s="307" customFormat="1" ht="37.5" customHeight="1" x14ac:dyDescent="0.25">
      <c r="A136" s="402"/>
      <c r="B136" s="490"/>
      <c r="C136" s="425" t="s">
        <v>3449</v>
      </c>
      <c r="D136" s="411" t="s">
        <v>3336</v>
      </c>
      <c r="E136" s="332" t="s">
        <v>2415</v>
      </c>
      <c r="F136" s="334" t="str">
        <f t="shared" si="6"/>
        <v>SUP2400164-EVALUACION Y SUPERVISION EN ENERGIA</v>
      </c>
    </row>
    <row r="137" spans="1:6" s="307" customFormat="1" ht="37.5" customHeight="1" x14ac:dyDescent="0.25">
      <c r="A137" s="402"/>
      <c r="B137" s="490"/>
      <c r="C137" s="425" t="s">
        <v>3360</v>
      </c>
      <c r="D137" s="411" t="s">
        <v>3361</v>
      </c>
      <c r="E137" s="332" t="s">
        <v>2415</v>
      </c>
      <c r="F137" s="334" t="str">
        <f t="shared" si="6"/>
        <v>SUP2400003-CONSORCIO GAS OIL INSPECTION S.A.C. - ENERGY AA PROYECTOS S.A.C.</v>
      </c>
    </row>
    <row r="138" spans="1:6" s="307" customFormat="1" ht="37.5" customHeight="1" x14ac:dyDescent="0.25">
      <c r="A138" s="402"/>
      <c r="B138" s="490"/>
      <c r="C138" s="425" t="s">
        <v>3375</v>
      </c>
      <c r="D138" s="411" t="s">
        <v>3376</v>
      </c>
      <c r="E138" s="332" t="s">
        <v>2415</v>
      </c>
      <c r="F138" s="334" t="str">
        <f t="shared" si="6"/>
        <v>SUP2400040-CONSORCIO EVZO ASOCIADOS S.A.C. - GIZED CONSULTORES S.A.C.</v>
      </c>
    </row>
    <row r="139" spans="1:6" s="307" customFormat="1" ht="37.5" customHeight="1" x14ac:dyDescent="0.25">
      <c r="A139" s="402"/>
      <c r="B139" s="490"/>
      <c r="C139" s="425" t="s">
        <v>3450</v>
      </c>
      <c r="D139" s="411" t="s">
        <v>3451</v>
      </c>
      <c r="E139" s="332" t="s">
        <v>2415</v>
      </c>
      <c r="F139" s="334" t="str">
        <f t="shared" si="6"/>
        <v>SUP2400195-CONSORCIO MRS ENERGÍA Y MINERÍA E.I.R.L. - EVALUACIÓN Y SUPERVISIÓN EN ENERGÍA E.I.R.L.</v>
      </c>
    </row>
    <row r="140" spans="1:6" s="307" customFormat="1" ht="37.5" customHeight="1" x14ac:dyDescent="0.25">
      <c r="A140" s="402"/>
      <c r="B140" s="490"/>
      <c r="C140" s="425" t="s">
        <v>3452</v>
      </c>
      <c r="D140" s="411" t="s">
        <v>3453</v>
      </c>
      <c r="E140" s="332" t="s">
        <v>2415</v>
      </c>
      <c r="F140" s="334" t="str">
        <f t="shared" si="6"/>
        <v>SUP2400096-JACKELINE NICOLL AMAO</v>
      </c>
    </row>
    <row r="141" spans="1:6" s="307" customFormat="1" ht="37.5" customHeight="1" x14ac:dyDescent="0.25">
      <c r="A141" s="402"/>
      <c r="B141" s="490"/>
      <c r="C141" s="425"/>
      <c r="D141" s="411"/>
      <c r="E141" s="332" t="s">
        <v>2415</v>
      </c>
      <c r="F141" s="334" t="str">
        <f t="shared" si="6"/>
        <v>-</v>
      </c>
    </row>
    <row r="142" spans="1:6" s="307" customFormat="1" ht="37.5" customHeight="1" x14ac:dyDescent="0.25">
      <c r="A142" s="402"/>
      <c r="B142" s="490"/>
      <c r="C142" s="425"/>
      <c r="D142" s="411"/>
      <c r="E142" s="332" t="s">
        <v>2415</v>
      </c>
      <c r="F142" s="334" t="str">
        <f t="shared" si="6"/>
        <v>-</v>
      </c>
    </row>
    <row r="143" spans="1:6" s="307" customFormat="1" ht="37.5" customHeight="1" x14ac:dyDescent="0.25">
      <c r="A143" s="402"/>
      <c r="B143" s="490"/>
      <c r="C143" s="425"/>
      <c r="D143" s="411"/>
      <c r="E143" s="332" t="s">
        <v>2415</v>
      </c>
      <c r="F143" s="334" t="str">
        <f t="shared" si="6"/>
        <v>-</v>
      </c>
    </row>
    <row r="144" spans="1:6" s="307" customFormat="1" ht="37.5" customHeight="1" x14ac:dyDescent="0.25">
      <c r="A144" s="402"/>
      <c r="B144" s="490"/>
      <c r="C144" s="425"/>
      <c r="D144" s="411"/>
      <c r="E144" s="332" t="s">
        <v>2415</v>
      </c>
      <c r="F144" s="334" t="str">
        <f t="shared" si="6"/>
        <v>-</v>
      </c>
    </row>
    <row r="145" spans="1:6" s="307" customFormat="1" ht="37.5" customHeight="1" x14ac:dyDescent="0.25">
      <c r="A145" s="402"/>
      <c r="B145" s="490"/>
      <c r="C145" s="425"/>
      <c r="D145" s="411"/>
      <c r="E145" s="332" t="s">
        <v>2415</v>
      </c>
      <c r="F145" s="334" t="str">
        <f t="shared" si="6"/>
        <v>-</v>
      </c>
    </row>
    <row r="146" spans="1:6" s="307" customFormat="1" ht="37.5" customHeight="1" thickBot="1" x14ac:dyDescent="0.3">
      <c r="A146" s="402"/>
      <c r="B146" s="491"/>
      <c r="C146" s="423"/>
      <c r="D146" s="392"/>
      <c r="E146" s="393" t="s">
        <v>2415</v>
      </c>
      <c r="F146" s="395" t="str">
        <f t="shared" si="6"/>
        <v>-</v>
      </c>
    </row>
    <row r="147" spans="1:6" s="307" customFormat="1" ht="37.5" customHeight="1" x14ac:dyDescent="0.25">
      <c r="A147" s="402"/>
      <c r="B147" s="492" t="s">
        <v>2385</v>
      </c>
      <c r="C147" s="418" t="s">
        <v>3214</v>
      </c>
      <c r="D147" s="419" t="s">
        <v>3215</v>
      </c>
      <c r="E147" s="420" t="s">
        <v>2415</v>
      </c>
      <c r="F147" s="421" t="str">
        <f t="shared" si="6"/>
        <v>ERH-ESPECIALISTA REGIONAL DE HIDROCARBUROS</v>
      </c>
    </row>
    <row r="148" spans="1:6" ht="37.5" customHeight="1" x14ac:dyDescent="0.25">
      <c r="A148" s="402"/>
      <c r="B148" s="493"/>
      <c r="C148" s="425" t="s">
        <v>3378</v>
      </c>
      <c r="D148" s="411" t="s">
        <v>3379</v>
      </c>
      <c r="E148" s="332" t="s">
        <v>2415</v>
      </c>
      <c r="F148" s="334" t="str">
        <f t="shared" si="6"/>
        <v>SUP2400039-SUPERVISION CONSULTORIA Y SERVICIOS EN ENERGIA S.A.C.</v>
      </c>
    </row>
    <row r="149" spans="1:6" ht="37.5" customHeight="1" x14ac:dyDescent="0.25">
      <c r="A149" s="402"/>
      <c r="B149" s="493"/>
      <c r="C149" s="425" t="s">
        <v>3454</v>
      </c>
      <c r="D149" s="411" t="s">
        <v>3216</v>
      </c>
      <c r="E149" s="332" t="s">
        <v>2415</v>
      </c>
      <c r="F149" s="334" t="str">
        <f t="shared" si="6"/>
        <v>SUP2400161-EVALUACION Y SUPERVISION EN ENERGIA E.I.R.L.</v>
      </c>
    </row>
    <row r="150" spans="1:6" ht="37.5" customHeight="1" x14ac:dyDescent="0.25">
      <c r="A150" s="402"/>
      <c r="B150" s="493"/>
      <c r="C150" s="425" t="s">
        <v>3455</v>
      </c>
      <c r="D150" s="411" t="s">
        <v>3456</v>
      </c>
      <c r="E150" s="332" t="s">
        <v>2415</v>
      </c>
      <c r="F150" s="334" t="str">
        <f t="shared" si="6"/>
        <v>SUP2400191-MRS ENERGÍA Y MINERÍA E.I.R.L.</v>
      </c>
    </row>
    <row r="151" spans="1:6" ht="37.5" customHeight="1" x14ac:dyDescent="0.25">
      <c r="A151" s="402"/>
      <c r="B151" s="493"/>
      <c r="C151" s="425" t="s">
        <v>3415</v>
      </c>
      <c r="D151" s="411" t="s">
        <v>3416</v>
      </c>
      <c r="E151" s="332" t="s">
        <v>2415</v>
      </c>
      <c r="F151" s="334" t="str">
        <f t="shared" si="6"/>
        <v>SUP2400203-EVZO ASOCIADOS S.A.C.</v>
      </c>
    </row>
    <row r="152" spans="1:6" ht="37.5" customHeight="1" x14ac:dyDescent="0.25">
      <c r="A152" s="402"/>
      <c r="B152" s="493"/>
      <c r="C152" s="425" t="s">
        <v>3457</v>
      </c>
      <c r="D152" s="411" t="s">
        <v>3458</v>
      </c>
      <c r="E152" s="332" t="s">
        <v>2415</v>
      </c>
      <c r="F152" s="334" t="str">
        <f t="shared" si="6"/>
        <v>SUP2400071-JOSE MANUEL GONZALES RAMIREZ</v>
      </c>
    </row>
    <row r="153" spans="1:6" ht="37.5" customHeight="1" x14ac:dyDescent="0.25">
      <c r="A153" s="402"/>
      <c r="B153" s="493"/>
      <c r="C153" s="425"/>
      <c r="D153" s="414"/>
      <c r="E153" s="332" t="s">
        <v>2415</v>
      </c>
      <c r="F153" s="334" t="str">
        <f t="shared" si="6"/>
        <v>-</v>
      </c>
    </row>
    <row r="154" spans="1:6" ht="37.5" customHeight="1" thickBot="1" x14ac:dyDescent="0.3">
      <c r="A154" s="402"/>
      <c r="B154" s="494"/>
      <c r="C154" s="426"/>
      <c r="D154" s="415"/>
      <c r="E154" s="393" t="s">
        <v>2415</v>
      </c>
      <c r="F154" s="395" t="str">
        <f t="shared" si="6"/>
        <v>-</v>
      </c>
    </row>
    <row r="155" spans="1:6" ht="37.5" customHeight="1" x14ac:dyDescent="0.25">
      <c r="A155" s="402"/>
      <c r="B155" s="489" t="s">
        <v>2405</v>
      </c>
      <c r="C155" s="418" t="s">
        <v>3214</v>
      </c>
      <c r="D155" s="419" t="s">
        <v>3215</v>
      </c>
      <c r="E155" s="420" t="s">
        <v>2415</v>
      </c>
      <c r="F155" s="421" t="str">
        <f t="shared" si="6"/>
        <v>ERH-ESPECIALISTA REGIONAL DE HIDROCARBUROS</v>
      </c>
    </row>
    <row r="156" spans="1:6" ht="37.5" customHeight="1" x14ac:dyDescent="0.25">
      <c r="A156" s="402"/>
      <c r="B156" s="490"/>
      <c r="C156" s="425" t="s">
        <v>3357</v>
      </c>
      <c r="D156" s="411" t="s">
        <v>3334</v>
      </c>
      <c r="E156" s="332" t="s">
        <v>2415</v>
      </c>
      <c r="F156" s="334" t="str">
        <f t="shared" si="6"/>
        <v>SUP2400011-COMPAÑIA DE INGENIERIA Y CONSTRUCCION ESPECIALIZADA S.R.L.</v>
      </c>
    </row>
    <row r="157" spans="1:6" ht="37.5" customHeight="1" x14ac:dyDescent="0.25">
      <c r="A157" s="402"/>
      <c r="B157" s="490"/>
      <c r="C157" s="425" t="s">
        <v>3356</v>
      </c>
      <c r="D157" s="411" t="s">
        <v>3334</v>
      </c>
      <c r="E157" s="332" t="s">
        <v>2415</v>
      </c>
      <c r="F157" s="334" t="str">
        <f t="shared" si="6"/>
        <v>SUP2400019-COMPAÑIA DE INGENIERIA Y CONSTRUCCION ESPECIALIZADA S.R.L.</v>
      </c>
    </row>
    <row r="158" spans="1:6" ht="37.5" customHeight="1" x14ac:dyDescent="0.25">
      <c r="A158" s="402"/>
      <c r="B158" s="490"/>
      <c r="C158" s="425" t="s">
        <v>3362</v>
      </c>
      <c r="D158" s="411" t="s">
        <v>2436</v>
      </c>
      <c r="E158" s="332" t="s">
        <v>2415</v>
      </c>
      <c r="F158" s="334" t="str">
        <f t="shared" si="6"/>
        <v>SUP2300222-COMPAÑÍA DE INGENIERIA Y CONSTRUCCIÓN ESPECIALIZADA S.R.L.</v>
      </c>
    </row>
    <row r="159" spans="1:6" ht="37.5" customHeight="1" x14ac:dyDescent="0.25">
      <c r="A159" s="402"/>
      <c r="B159" s="490"/>
      <c r="C159" s="425" t="s">
        <v>3459</v>
      </c>
      <c r="D159" s="411" t="s">
        <v>2436</v>
      </c>
      <c r="E159" s="332" t="s">
        <v>2415</v>
      </c>
      <c r="F159" s="334" t="str">
        <f t="shared" ref="F159" si="7">C159&amp;"-"&amp;D159</f>
        <v>SUP2400175-COMPAÑÍA DE INGENIERIA Y CONSTRUCCIÓN ESPECIALIZADA S.R.L.</v>
      </c>
    </row>
    <row r="160" spans="1:6" ht="37.5" customHeight="1" x14ac:dyDescent="0.25">
      <c r="A160" s="402"/>
      <c r="B160" s="490"/>
      <c r="C160" s="425" t="s">
        <v>3460</v>
      </c>
      <c r="D160" s="414" t="s">
        <v>2436</v>
      </c>
      <c r="E160" s="332" t="s">
        <v>2415</v>
      </c>
      <c r="F160" s="334" t="str">
        <f t="shared" si="6"/>
        <v>SUP2400184-COMPAÑÍA DE INGENIERIA Y CONSTRUCCIÓN ESPECIALIZADA S.R.L.</v>
      </c>
    </row>
    <row r="161" spans="1:6" ht="37.5" customHeight="1" x14ac:dyDescent="0.25">
      <c r="A161" s="402"/>
      <c r="B161" s="490"/>
      <c r="C161" s="425" t="s">
        <v>3374</v>
      </c>
      <c r="D161" s="414" t="s">
        <v>2436</v>
      </c>
      <c r="E161" s="332" t="s">
        <v>2415</v>
      </c>
      <c r="F161" s="334" t="str">
        <f t="shared" si="6"/>
        <v>SUP2400032-COMPAÑÍA DE INGENIERIA Y CONSTRUCCIÓN ESPECIALIZADA S.R.L.</v>
      </c>
    </row>
    <row r="162" spans="1:6" ht="37.5" customHeight="1" x14ac:dyDescent="0.25">
      <c r="A162" s="402"/>
      <c r="B162" s="490"/>
      <c r="C162" s="425" t="s">
        <v>3409</v>
      </c>
      <c r="D162" s="411" t="s">
        <v>3334</v>
      </c>
      <c r="E162" s="332" t="s">
        <v>2415</v>
      </c>
      <c r="F162" s="334" t="str">
        <f t="shared" si="6"/>
        <v>SUP2400145-COMPAÑIA DE INGENIERIA Y CONSTRUCCION ESPECIALIZADA S.R.L.</v>
      </c>
    </row>
    <row r="163" spans="1:6" ht="37.5" customHeight="1" x14ac:dyDescent="0.25">
      <c r="A163" s="402"/>
      <c r="B163" s="490"/>
      <c r="C163" s="425"/>
      <c r="D163" s="411"/>
      <c r="E163" s="332" t="s">
        <v>2415</v>
      </c>
      <c r="F163" s="334" t="str">
        <f t="shared" si="6"/>
        <v>-</v>
      </c>
    </row>
    <row r="164" spans="1:6" ht="37.5" customHeight="1" thickBot="1" x14ac:dyDescent="0.3">
      <c r="A164" s="402"/>
      <c r="B164" s="491"/>
      <c r="C164" s="425"/>
      <c r="D164" s="411"/>
      <c r="E164" s="393" t="s">
        <v>2415</v>
      </c>
      <c r="F164" s="395" t="str">
        <f t="shared" si="6"/>
        <v>-</v>
      </c>
    </row>
    <row r="165" spans="1:6" ht="37.5" customHeight="1" x14ac:dyDescent="0.25">
      <c r="A165" s="402"/>
      <c r="B165" s="492" t="s">
        <v>2386</v>
      </c>
      <c r="C165" s="418" t="s">
        <v>3214</v>
      </c>
      <c r="D165" s="419" t="s">
        <v>3215</v>
      </c>
      <c r="E165" s="420" t="s">
        <v>2415</v>
      </c>
      <c r="F165" s="421" t="str">
        <f t="shared" si="6"/>
        <v>ERH-ESPECIALISTA REGIONAL DE HIDROCARBUROS</v>
      </c>
    </row>
    <row r="166" spans="1:6" ht="37.5" customHeight="1" x14ac:dyDescent="0.25">
      <c r="A166" s="402"/>
      <c r="B166" s="493"/>
      <c r="C166" s="425" t="s">
        <v>3370</v>
      </c>
      <c r="D166" s="411" t="s">
        <v>3216</v>
      </c>
      <c r="E166" s="332" t="s">
        <v>2415</v>
      </c>
      <c r="F166" s="334" t="str">
        <f t="shared" si="6"/>
        <v>SUP2400034-EVALUACION Y SUPERVISION EN ENERGIA E.I.R.L.</v>
      </c>
    </row>
    <row r="167" spans="1:6" ht="37.5" customHeight="1" x14ac:dyDescent="0.25">
      <c r="A167" s="402"/>
      <c r="B167" s="493"/>
      <c r="C167" s="425" t="s">
        <v>3461</v>
      </c>
      <c r="D167" s="411" t="s">
        <v>3456</v>
      </c>
      <c r="E167" s="332" t="s">
        <v>2415</v>
      </c>
      <c r="F167" s="334" t="str">
        <f t="shared" si="6"/>
        <v>SUP2400162-MRS ENERGÍA Y MINERÍA E.I.R.L.</v>
      </c>
    </row>
    <row r="168" spans="1:6" ht="37.5" customHeight="1" x14ac:dyDescent="0.25">
      <c r="A168" s="402"/>
      <c r="B168" s="493"/>
      <c r="C168" s="425" t="s">
        <v>3422</v>
      </c>
      <c r="D168" s="411" t="s">
        <v>3386</v>
      </c>
      <c r="E168" s="332" t="s">
        <v>2415</v>
      </c>
      <c r="F168" s="334" t="str">
        <f t="shared" si="6"/>
        <v>SUP2400204-GRUPO SERMINCO S.A.C.</v>
      </c>
    </row>
    <row r="169" spans="1:6" ht="37.5" customHeight="1" x14ac:dyDescent="0.25">
      <c r="A169" s="402"/>
      <c r="B169" s="493"/>
      <c r="C169" s="425" t="s">
        <v>3462</v>
      </c>
      <c r="D169" s="411" t="s">
        <v>3463</v>
      </c>
      <c r="E169" s="332" t="s">
        <v>2415</v>
      </c>
      <c r="F169" s="334" t="str">
        <f t="shared" si="6"/>
        <v>SUP2400114-SERGIO ALDAZABAL ORTIZ</v>
      </c>
    </row>
    <row r="170" spans="1:6" ht="37.5" customHeight="1" x14ac:dyDescent="0.25">
      <c r="A170" s="402"/>
      <c r="B170" s="493"/>
      <c r="C170" s="425"/>
      <c r="D170" s="414"/>
      <c r="E170" s="332" t="s">
        <v>2415</v>
      </c>
      <c r="F170" s="334" t="str">
        <f t="shared" si="6"/>
        <v>-</v>
      </c>
    </row>
    <row r="171" spans="1:6" ht="37.5" customHeight="1" x14ac:dyDescent="0.25">
      <c r="A171" s="402"/>
      <c r="B171" s="493"/>
      <c r="C171" s="425"/>
      <c r="D171" s="411"/>
      <c r="E171" s="332" t="s">
        <v>2415</v>
      </c>
      <c r="F171" s="334" t="str">
        <f t="shared" si="6"/>
        <v>-</v>
      </c>
    </row>
    <row r="172" spans="1:6" ht="37.5" customHeight="1" x14ac:dyDescent="0.25">
      <c r="A172" s="402"/>
      <c r="B172" s="493"/>
      <c r="C172" s="425"/>
      <c r="D172" s="411"/>
      <c r="E172" s="332" t="s">
        <v>2415</v>
      </c>
      <c r="F172" s="334" t="str">
        <f t="shared" si="6"/>
        <v>-</v>
      </c>
    </row>
    <row r="173" spans="1:6" ht="37.5" customHeight="1" x14ac:dyDescent="0.25">
      <c r="A173" s="402"/>
      <c r="B173" s="493"/>
      <c r="C173" s="425"/>
      <c r="D173" s="397"/>
      <c r="E173" s="332" t="s">
        <v>2415</v>
      </c>
      <c r="F173" s="334" t="str">
        <f t="shared" si="6"/>
        <v>-</v>
      </c>
    </row>
    <row r="174" spans="1:6" ht="37.5" customHeight="1" thickBot="1" x14ac:dyDescent="0.3">
      <c r="A174" s="402"/>
      <c r="B174" s="494"/>
      <c r="C174" s="423"/>
      <c r="D174" s="392"/>
      <c r="E174" s="393" t="s">
        <v>2415</v>
      </c>
      <c r="F174" s="395" t="str">
        <f t="shared" si="6"/>
        <v>-</v>
      </c>
    </row>
    <row r="175" spans="1:6" ht="37.5" customHeight="1" x14ac:dyDescent="0.25">
      <c r="A175" s="402"/>
      <c r="B175" s="489" t="s">
        <v>2387</v>
      </c>
      <c r="C175" s="418" t="s">
        <v>3214</v>
      </c>
      <c r="D175" s="419" t="s">
        <v>3215</v>
      </c>
      <c r="E175" s="420" t="s">
        <v>2415</v>
      </c>
      <c r="F175" s="421" t="str">
        <f t="shared" si="6"/>
        <v>ERH-ESPECIALISTA REGIONAL DE HIDROCARBUROS</v>
      </c>
    </row>
    <row r="176" spans="1:6" ht="37.5" customHeight="1" x14ac:dyDescent="0.25">
      <c r="A176" s="402"/>
      <c r="B176" s="490"/>
      <c r="C176" s="425" t="s">
        <v>3433</v>
      </c>
      <c r="D176" s="424" t="s">
        <v>3216</v>
      </c>
      <c r="E176" s="332" t="s">
        <v>2415</v>
      </c>
      <c r="F176" s="334" t="str">
        <f t="shared" si="6"/>
        <v>SUP2400176-EVALUACION Y SUPERVISION EN ENERGIA E.I.R.L.</v>
      </c>
    </row>
    <row r="177" spans="1:6" s="307" customFormat="1" ht="37.5" customHeight="1" x14ac:dyDescent="0.25">
      <c r="A177" s="402"/>
      <c r="B177" s="490"/>
      <c r="C177" s="425" t="s">
        <v>3432</v>
      </c>
      <c r="D177" s="414" t="s">
        <v>3335</v>
      </c>
      <c r="E177" s="332" t="s">
        <v>2415</v>
      </c>
      <c r="F177" s="334" t="str">
        <f t="shared" ref="F177" si="8">C177&amp;"-"&amp;D177</f>
        <v xml:space="preserve">SUP2400208-TERRAMAR INSPECTION &amp; TRADING S.A.C. </v>
      </c>
    </row>
    <row r="178" spans="1:6" s="307" customFormat="1" ht="37.5" customHeight="1" x14ac:dyDescent="0.25">
      <c r="A178" s="402"/>
      <c r="B178" s="490"/>
      <c r="C178" s="425" t="s">
        <v>3340</v>
      </c>
      <c r="D178" s="414" t="s">
        <v>3338</v>
      </c>
      <c r="E178" s="332" t="s">
        <v>2415</v>
      </c>
      <c r="F178" s="334" t="str">
        <f t="shared" ref="F178" si="9">C178&amp;"-"&amp;D178</f>
        <v>SUP2300219-CONSORCIO GRUPO SERMINCO S.A.C. &amp; GAS OIL</v>
      </c>
    </row>
    <row r="179" spans="1:6" ht="37.5" customHeight="1" x14ac:dyDescent="0.25">
      <c r="A179" s="402"/>
      <c r="B179" s="490"/>
      <c r="C179" s="425" t="s">
        <v>3408</v>
      </c>
      <c r="D179" s="414" t="s">
        <v>2377</v>
      </c>
      <c r="E179" s="332" t="s">
        <v>2415</v>
      </c>
      <c r="F179" s="334" t="str">
        <f t="shared" ref="F179:F210" si="10">C179&amp;"-"&amp;D179</f>
        <v>SUP2400138-TERRAMAR INSPECTION &amp; TRADING S.A.C.</v>
      </c>
    </row>
    <row r="180" spans="1:6" ht="37.5" customHeight="1" x14ac:dyDescent="0.25">
      <c r="A180" s="402"/>
      <c r="B180" s="490"/>
      <c r="C180" s="425"/>
      <c r="D180" s="414"/>
      <c r="E180" s="332" t="s">
        <v>2415</v>
      </c>
      <c r="F180" s="334" t="str">
        <f t="shared" si="10"/>
        <v>-</v>
      </c>
    </row>
    <row r="181" spans="1:6" ht="37.5" customHeight="1" x14ac:dyDescent="0.25">
      <c r="A181" s="402"/>
      <c r="B181" s="490"/>
      <c r="C181" s="425"/>
      <c r="D181" s="414"/>
      <c r="E181" s="332" t="s">
        <v>2415</v>
      </c>
      <c r="F181" s="334" t="str">
        <f t="shared" si="10"/>
        <v>-</v>
      </c>
    </row>
    <row r="182" spans="1:6" ht="37.5" customHeight="1" thickBot="1" x14ac:dyDescent="0.3">
      <c r="A182" s="402"/>
      <c r="B182" s="491"/>
      <c r="C182" s="425"/>
      <c r="D182" s="414"/>
      <c r="E182" s="393" t="s">
        <v>2415</v>
      </c>
      <c r="F182" s="395" t="str">
        <f t="shared" si="10"/>
        <v>-</v>
      </c>
    </row>
    <row r="183" spans="1:6" ht="37.5" customHeight="1" x14ac:dyDescent="0.25">
      <c r="A183" s="402"/>
      <c r="B183" s="492" t="s">
        <v>2388</v>
      </c>
      <c r="C183" s="418" t="s">
        <v>3214</v>
      </c>
      <c r="D183" s="419" t="s">
        <v>3215</v>
      </c>
      <c r="E183" s="420" t="s">
        <v>2415</v>
      </c>
      <c r="F183" s="421" t="str">
        <f t="shared" si="10"/>
        <v>ERH-ESPECIALISTA REGIONAL DE HIDROCARBUROS</v>
      </c>
    </row>
    <row r="184" spans="1:6" ht="37.5" customHeight="1" x14ac:dyDescent="0.25">
      <c r="A184" s="402"/>
      <c r="B184" s="493"/>
      <c r="C184" s="425" t="s">
        <v>3380</v>
      </c>
      <c r="D184" s="411" t="s">
        <v>3381</v>
      </c>
      <c r="E184" s="332" t="s">
        <v>2415</v>
      </c>
      <c r="F184" s="334" t="str">
        <f t="shared" si="10"/>
        <v>SUP2400044-CONSORCIO GRUPO SERMINCO S.A.C. - MORENO Y PEREZ ABOGADOS Y CONTADORES S. CIVIL DE R.L.</v>
      </c>
    </row>
    <row r="185" spans="1:6" ht="37.5" customHeight="1" x14ac:dyDescent="0.25">
      <c r="A185" s="402"/>
      <c r="B185" s="493"/>
      <c r="C185" s="425" t="s">
        <v>3404</v>
      </c>
      <c r="D185" s="411" t="s">
        <v>3405</v>
      </c>
      <c r="E185" s="332" t="s">
        <v>2415</v>
      </c>
      <c r="F185" s="334" t="str">
        <f t="shared" si="10"/>
        <v>SUP2400168-FULL OIL GAS SERVICE S.A.C.</v>
      </c>
    </row>
    <row r="186" spans="1:6" ht="37.5" customHeight="1" x14ac:dyDescent="0.25">
      <c r="A186" s="402"/>
      <c r="B186" s="493"/>
      <c r="C186" s="425" t="s">
        <v>3415</v>
      </c>
      <c r="D186" s="411" t="s">
        <v>3416</v>
      </c>
      <c r="E186" s="332" t="s">
        <v>2415</v>
      </c>
      <c r="F186" s="334" t="str">
        <f t="shared" si="10"/>
        <v>SUP2400203-EVZO ASOCIADOS S.A.C.</v>
      </c>
    </row>
    <row r="187" spans="1:6" ht="37.5" customHeight="1" x14ac:dyDescent="0.25">
      <c r="A187" s="402"/>
      <c r="B187" s="493"/>
      <c r="C187" s="425"/>
      <c r="D187" s="411"/>
      <c r="E187" s="332" t="s">
        <v>2415</v>
      </c>
      <c r="F187" s="334" t="str">
        <f t="shared" si="10"/>
        <v>-</v>
      </c>
    </row>
    <row r="188" spans="1:6" ht="37.5" customHeight="1" x14ac:dyDescent="0.25">
      <c r="A188" s="402"/>
      <c r="B188" s="493"/>
      <c r="C188" s="425"/>
      <c r="D188" s="411"/>
      <c r="E188" s="332" t="s">
        <v>2415</v>
      </c>
      <c r="F188" s="334" t="str">
        <f t="shared" si="10"/>
        <v>-</v>
      </c>
    </row>
    <row r="189" spans="1:6" ht="37.5" customHeight="1" x14ac:dyDescent="0.25">
      <c r="A189" s="402"/>
      <c r="B189" s="493"/>
      <c r="C189" s="425"/>
      <c r="D189" s="414"/>
      <c r="E189" s="332" t="s">
        <v>2415</v>
      </c>
      <c r="F189" s="334" t="str">
        <f t="shared" si="10"/>
        <v>-</v>
      </c>
    </row>
    <row r="190" spans="1:6" ht="37.5" customHeight="1" x14ac:dyDescent="0.25">
      <c r="A190" s="402"/>
      <c r="B190" s="493"/>
      <c r="C190" s="425"/>
      <c r="D190" s="414"/>
      <c r="E190" s="332" t="s">
        <v>2415</v>
      </c>
      <c r="F190" s="334" t="str">
        <f t="shared" si="10"/>
        <v>-</v>
      </c>
    </row>
    <row r="191" spans="1:6" ht="37.5" customHeight="1" thickBot="1" x14ac:dyDescent="0.3">
      <c r="A191" s="402"/>
      <c r="B191" s="494"/>
      <c r="C191" s="426"/>
      <c r="D191" s="415"/>
      <c r="E191" s="393" t="s">
        <v>2415</v>
      </c>
      <c r="F191" s="395" t="str">
        <f t="shared" si="10"/>
        <v>-</v>
      </c>
    </row>
    <row r="192" spans="1:6" ht="37.5" customHeight="1" x14ac:dyDescent="0.25">
      <c r="A192" s="402"/>
      <c r="B192" s="495" t="s">
        <v>2389</v>
      </c>
      <c r="C192" s="418" t="s">
        <v>3214</v>
      </c>
      <c r="D192" s="419" t="s">
        <v>3215</v>
      </c>
      <c r="E192" s="420" t="s">
        <v>2415</v>
      </c>
      <c r="F192" s="421" t="str">
        <f t="shared" si="10"/>
        <v>ERH-ESPECIALISTA REGIONAL DE HIDROCARBUROS</v>
      </c>
    </row>
    <row r="193" spans="1:6" ht="37.5" customHeight="1" x14ac:dyDescent="0.25">
      <c r="A193" s="402"/>
      <c r="B193" s="496"/>
      <c r="C193" s="425" t="s">
        <v>3357</v>
      </c>
      <c r="D193" s="411" t="s">
        <v>3334</v>
      </c>
      <c r="E193" s="332" t="s">
        <v>2415</v>
      </c>
      <c r="F193" s="334" t="str">
        <f t="shared" si="10"/>
        <v>SUP2400011-COMPAÑIA DE INGENIERIA Y CONSTRUCCION ESPECIALIZADA S.R.L.</v>
      </c>
    </row>
    <row r="194" spans="1:6" ht="37.5" customHeight="1" x14ac:dyDescent="0.25">
      <c r="A194" s="402"/>
      <c r="B194" s="496"/>
      <c r="C194" s="425" t="s">
        <v>3356</v>
      </c>
      <c r="D194" s="411" t="s">
        <v>3334</v>
      </c>
      <c r="E194" s="332" t="s">
        <v>2415</v>
      </c>
      <c r="F194" s="334" t="str">
        <f t="shared" si="10"/>
        <v>SUP2400019-COMPAÑIA DE INGENIERIA Y CONSTRUCCION ESPECIALIZADA S.R.L.</v>
      </c>
    </row>
    <row r="195" spans="1:6" ht="37.5" customHeight="1" x14ac:dyDescent="0.25">
      <c r="A195" s="402"/>
      <c r="B195" s="496"/>
      <c r="C195" s="425" t="s">
        <v>3396</v>
      </c>
      <c r="D195" s="411" t="s">
        <v>2436</v>
      </c>
      <c r="E195" s="332" t="s">
        <v>2415</v>
      </c>
      <c r="F195" s="334" t="str">
        <f t="shared" si="10"/>
        <v>SUP2400102-COMPAÑÍA DE INGENIERIA Y CONSTRUCCIÓN ESPECIALIZADA S.R.L.</v>
      </c>
    </row>
    <row r="196" spans="1:6" ht="37.5" customHeight="1" x14ac:dyDescent="0.25">
      <c r="A196" s="402"/>
      <c r="B196" s="496"/>
      <c r="C196" s="425" t="s">
        <v>3363</v>
      </c>
      <c r="D196" s="411" t="s">
        <v>3364</v>
      </c>
      <c r="E196" s="332" t="s">
        <v>2415</v>
      </c>
      <c r="F196" s="334" t="str">
        <f t="shared" si="10"/>
        <v>SUP2400009-CONSORCIO GRUPO SERMINCO S.A.C., GAS OIL INSPECTION S.A.C. Y MRS ENERGIA Y MINERIA E.I.R.L.</v>
      </c>
    </row>
    <row r="197" spans="1:6" ht="37.5" customHeight="1" x14ac:dyDescent="0.25">
      <c r="A197" s="402"/>
      <c r="B197" s="496"/>
      <c r="C197" s="425" t="s">
        <v>3374</v>
      </c>
      <c r="D197" s="414" t="s">
        <v>2436</v>
      </c>
      <c r="E197" s="332" t="s">
        <v>2415</v>
      </c>
      <c r="F197" s="334" t="str">
        <f t="shared" si="10"/>
        <v>SUP2400032-COMPAÑÍA DE INGENIERIA Y CONSTRUCCIÓN ESPECIALIZADA S.R.L.</v>
      </c>
    </row>
    <row r="198" spans="1:6" ht="37.5" customHeight="1" x14ac:dyDescent="0.25">
      <c r="A198" s="402"/>
      <c r="B198" s="496"/>
      <c r="C198" s="425" t="s">
        <v>3409</v>
      </c>
      <c r="D198" s="414" t="s">
        <v>3334</v>
      </c>
      <c r="E198" s="332" t="s">
        <v>2415</v>
      </c>
      <c r="F198" s="334" t="str">
        <f t="shared" si="10"/>
        <v>SUP2400145-COMPAÑIA DE INGENIERIA Y CONSTRUCCION ESPECIALIZADA S.R.L.</v>
      </c>
    </row>
    <row r="199" spans="1:6" ht="37.5" customHeight="1" x14ac:dyDescent="0.25">
      <c r="A199" s="402"/>
      <c r="B199" s="496"/>
      <c r="C199" s="425" t="s">
        <v>3464</v>
      </c>
      <c r="D199" s="414" t="s">
        <v>3465</v>
      </c>
      <c r="E199" s="332" t="s">
        <v>2415</v>
      </c>
      <c r="F199" s="334" t="str">
        <f t="shared" si="10"/>
        <v>SUP2300207-MULLISACA MAMANI FLOR DE MARIA</v>
      </c>
    </row>
    <row r="200" spans="1:6" ht="37.5" customHeight="1" x14ac:dyDescent="0.25">
      <c r="A200" s="402"/>
      <c r="B200" s="496"/>
      <c r="C200" s="425" t="s">
        <v>3466</v>
      </c>
      <c r="D200" s="411" t="s">
        <v>3468</v>
      </c>
      <c r="E200" s="332" t="s">
        <v>2415</v>
      </c>
      <c r="F200" s="334" t="str">
        <f t="shared" si="10"/>
        <v>SUP2400137-FABRICIO ALEXANDER PEÑA ZARATE</v>
      </c>
    </row>
    <row r="201" spans="1:6" ht="37.5" customHeight="1" x14ac:dyDescent="0.25">
      <c r="A201" s="402"/>
      <c r="B201" s="496"/>
      <c r="C201" s="425" t="s">
        <v>3467</v>
      </c>
      <c r="D201" s="411" t="s">
        <v>3469</v>
      </c>
      <c r="E201" s="332" t="s">
        <v>2415</v>
      </c>
      <c r="F201" s="334" t="str">
        <f t="shared" si="10"/>
        <v>SUP2400136-JESUS RAFAEL TURPO CARRILLO</v>
      </c>
    </row>
    <row r="202" spans="1:6" ht="37.5" customHeight="1" thickBot="1" x14ac:dyDescent="0.3">
      <c r="A202" s="402"/>
      <c r="B202" s="497"/>
      <c r="C202" s="425"/>
      <c r="D202" s="411"/>
      <c r="E202" s="332" t="s">
        <v>2415</v>
      </c>
      <c r="F202" s="334" t="str">
        <f t="shared" si="10"/>
        <v>-</v>
      </c>
    </row>
    <row r="203" spans="1:6" ht="37.5" customHeight="1" x14ac:dyDescent="0.25">
      <c r="A203" s="402"/>
      <c r="B203" s="492" t="s">
        <v>3202</v>
      </c>
      <c r="C203" s="427" t="s">
        <v>3214</v>
      </c>
      <c r="D203" s="391" t="s">
        <v>3215</v>
      </c>
      <c r="E203" s="390" t="s">
        <v>2415</v>
      </c>
      <c r="F203" s="394" t="str">
        <f t="shared" si="10"/>
        <v>ERH-ESPECIALISTA REGIONAL DE HIDROCARBUROS</v>
      </c>
    </row>
    <row r="204" spans="1:6" ht="37.5" customHeight="1" x14ac:dyDescent="0.25">
      <c r="A204" s="402"/>
      <c r="B204" s="493"/>
      <c r="C204" s="425" t="s">
        <v>3371</v>
      </c>
      <c r="D204" s="411" t="s">
        <v>3216</v>
      </c>
      <c r="E204" s="332" t="s">
        <v>2415</v>
      </c>
      <c r="F204" s="334" t="str">
        <f t="shared" si="10"/>
        <v>SUP2400037-EVALUACION Y SUPERVISION EN ENERGIA E.I.R.L.</v>
      </c>
    </row>
    <row r="205" spans="1:6" ht="37.5" customHeight="1" x14ac:dyDescent="0.25">
      <c r="A205" s="402"/>
      <c r="B205" s="493"/>
      <c r="C205" s="425" t="s">
        <v>3397</v>
      </c>
      <c r="D205" s="411" t="s">
        <v>3386</v>
      </c>
      <c r="E205" s="332" t="s">
        <v>2415</v>
      </c>
      <c r="F205" s="334" t="str">
        <f t="shared" si="10"/>
        <v>SUP2400131-GRUPO SERMINCO S.A.C.</v>
      </c>
    </row>
    <row r="206" spans="1:6" ht="37.5" customHeight="1" x14ac:dyDescent="0.25">
      <c r="A206" s="402"/>
      <c r="B206" s="493"/>
      <c r="C206" s="425" t="s">
        <v>3415</v>
      </c>
      <c r="D206" s="411" t="s">
        <v>3416</v>
      </c>
      <c r="E206" s="332" t="s">
        <v>2415</v>
      </c>
      <c r="F206" s="334" t="str">
        <f t="shared" si="10"/>
        <v>SUP2400203-EVZO ASOCIADOS S.A.C.</v>
      </c>
    </row>
    <row r="207" spans="1:6" ht="37.5" customHeight="1" x14ac:dyDescent="0.25">
      <c r="A207" s="402"/>
      <c r="B207" s="493"/>
      <c r="C207" s="425" t="s">
        <v>3470</v>
      </c>
      <c r="D207" s="414" t="s">
        <v>3471</v>
      </c>
      <c r="E207" s="332" t="s">
        <v>2415</v>
      </c>
      <c r="F207" s="334" t="str">
        <f t="shared" si="10"/>
        <v>SUP2400106-KEVIN GIAMPOL SANCHEZ CRISANTO</v>
      </c>
    </row>
    <row r="208" spans="1:6" ht="37.5" customHeight="1" x14ac:dyDescent="0.25">
      <c r="A208" s="402"/>
      <c r="B208" s="493"/>
      <c r="C208" s="425"/>
      <c r="D208" s="414"/>
      <c r="E208" s="332" t="s">
        <v>2415</v>
      </c>
      <c r="F208" s="334" t="str">
        <f t="shared" si="10"/>
        <v>-</v>
      </c>
    </row>
    <row r="209" spans="1:6" ht="37.5" customHeight="1" x14ac:dyDescent="0.25">
      <c r="A209" s="402"/>
      <c r="B209" s="493"/>
      <c r="C209" s="425"/>
      <c r="D209" s="414"/>
      <c r="E209" s="332" t="s">
        <v>2415</v>
      </c>
      <c r="F209" s="334" t="str">
        <f t="shared" si="10"/>
        <v>-</v>
      </c>
    </row>
    <row r="210" spans="1:6" ht="37.5" customHeight="1" x14ac:dyDescent="0.25">
      <c r="A210" s="402"/>
      <c r="B210" s="493"/>
      <c r="C210" s="425"/>
      <c r="D210" s="411"/>
      <c r="E210" s="332" t="s">
        <v>2415</v>
      </c>
      <c r="F210" s="334" t="str">
        <f t="shared" si="10"/>
        <v>-</v>
      </c>
    </row>
    <row r="211" spans="1:6" ht="37.5" customHeight="1" thickBot="1" x14ac:dyDescent="0.3">
      <c r="A211" s="402"/>
      <c r="B211" s="494"/>
      <c r="C211" s="425"/>
      <c r="D211" s="411"/>
      <c r="E211" s="332" t="s">
        <v>2415</v>
      </c>
      <c r="F211" s="334" t="str">
        <f t="shared" ref="F211:F234" si="11">C211&amp;"-"&amp;D211</f>
        <v>-</v>
      </c>
    </row>
    <row r="212" spans="1:6" ht="37.5" customHeight="1" x14ac:dyDescent="0.25">
      <c r="A212" s="402"/>
      <c r="B212" s="489" t="s">
        <v>2390</v>
      </c>
      <c r="C212" s="427" t="s">
        <v>3214</v>
      </c>
      <c r="D212" s="391" t="s">
        <v>3215</v>
      </c>
      <c r="E212" s="390" t="s">
        <v>2415</v>
      </c>
      <c r="F212" s="394" t="str">
        <f t="shared" si="11"/>
        <v>ERH-ESPECIALISTA REGIONAL DE HIDROCARBUROS</v>
      </c>
    </row>
    <row r="213" spans="1:6" ht="37.5" customHeight="1" x14ac:dyDescent="0.25">
      <c r="A213" s="402"/>
      <c r="B213" s="490"/>
      <c r="C213" s="425" t="s">
        <v>3370</v>
      </c>
      <c r="D213" s="411" t="s">
        <v>3216</v>
      </c>
      <c r="E213" s="332" t="s">
        <v>2415</v>
      </c>
      <c r="F213" s="334" t="str">
        <f t="shared" si="11"/>
        <v>SUP2400034-EVALUACION Y SUPERVISION EN ENERGIA E.I.R.L.</v>
      </c>
    </row>
    <row r="214" spans="1:6" ht="37.5" customHeight="1" x14ac:dyDescent="0.25">
      <c r="A214" s="402"/>
      <c r="B214" s="490"/>
      <c r="C214" s="425" t="s">
        <v>3472</v>
      </c>
      <c r="D214" s="411" t="s">
        <v>3456</v>
      </c>
      <c r="E214" s="332" t="s">
        <v>2415</v>
      </c>
      <c r="F214" s="334" t="str">
        <f t="shared" si="11"/>
        <v>SUP2400163-MRS ENERGÍA Y MINERÍA E.I.R.L.</v>
      </c>
    </row>
    <row r="215" spans="1:6" ht="37.5" customHeight="1" x14ac:dyDescent="0.25">
      <c r="A215" s="402"/>
      <c r="B215" s="490"/>
      <c r="C215" s="425" t="s">
        <v>3473</v>
      </c>
      <c r="D215" s="414" t="s">
        <v>3436</v>
      </c>
      <c r="E215" s="332" t="s">
        <v>2415</v>
      </c>
      <c r="F215" s="334" t="str">
        <f t="shared" si="11"/>
        <v>SUP2400200-KALEV C7 PROYECTOS S.A.C.</v>
      </c>
    </row>
    <row r="216" spans="1:6" ht="37.5" customHeight="1" x14ac:dyDescent="0.25">
      <c r="A216" s="402"/>
      <c r="B216" s="490"/>
      <c r="C216" s="425" t="s">
        <v>3422</v>
      </c>
      <c r="D216" s="411" t="s">
        <v>3386</v>
      </c>
      <c r="E216" s="332" t="s">
        <v>2415</v>
      </c>
      <c r="F216" s="334" t="str">
        <f t="shared" si="11"/>
        <v>SUP2400204-GRUPO SERMINCO S.A.C.</v>
      </c>
    </row>
    <row r="217" spans="1:6" ht="37.5" customHeight="1" x14ac:dyDescent="0.25">
      <c r="A217" s="402"/>
      <c r="B217" s="490"/>
      <c r="C217" s="425" t="s">
        <v>3366</v>
      </c>
      <c r="D217" s="411" t="s">
        <v>3365</v>
      </c>
      <c r="E217" s="332" t="s">
        <v>2415</v>
      </c>
      <c r="F217" s="334" t="str">
        <f t="shared" si="11"/>
        <v xml:space="preserve">SUP2300220-SANTISTEBAN TUÑOQUE CESAR DEIVI </v>
      </c>
    </row>
    <row r="218" spans="1:6" ht="37.5" customHeight="1" x14ac:dyDescent="0.25">
      <c r="A218" s="402"/>
      <c r="B218" s="490"/>
      <c r="C218" s="425"/>
      <c r="D218" s="411"/>
      <c r="E218" s="332" t="s">
        <v>2415</v>
      </c>
      <c r="F218" s="334" t="str">
        <f t="shared" si="11"/>
        <v>-</v>
      </c>
    </row>
    <row r="219" spans="1:6" ht="37.5" customHeight="1" x14ac:dyDescent="0.25">
      <c r="A219" s="402"/>
      <c r="B219" s="490"/>
      <c r="C219" s="422"/>
      <c r="D219" s="333"/>
      <c r="E219" s="332" t="s">
        <v>2415</v>
      </c>
      <c r="F219" s="334" t="str">
        <f t="shared" si="11"/>
        <v>-</v>
      </c>
    </row>
    <row r="220" spans="1:6" ht="37.5" customHeight="1" thickBot="1" x14ac:dyDescent="0.3">
      <c r="A220" s="402"/>
      <c r="B220" s="491"/>
      <c r="C220" s="423"/>
      <c r="D220" s="392"/>
      <c r="E220" s="393" t="s">
        <v>2415</v>
      </c>
      <c r="F220" s="395" t="str">
        <f t="shared" si="11"/>
        <v>-</v>
      </c>
    </row>
    <row r="221" spans="1:6" ht="37.5" customHeight="1" x14ac:dyDescent="0.25">
      <c r="A221" s="402"/>
      <c r="B221" s="492" t="s">
        <v>2391</v>
      </c>
      <c r="C221" s="427" t="s">
        <v>3214</v>
      </c>
      <c r="D221" s="391" t="s">
        <v>3215</v>
      </c>
      <c r="E221" s="390" t="s">
        <v>2415</v>
      </c>
      <c r="F221" s="394" t="str">
        <f t="shared" si="11"/>
        <v>ERH-ESPECIALISTA REGIONAL DE HIDROCARBUROS</v>
      </c>
    </row>
    <row r="222" spans="1:6" ht="37.5" customHeight="1" x14ac:dyDescent="0.25">
      <c r="A222" s="402"/>
      <c r="B222" s="493"/>
      <c r="C222" s="425" t="s">
        <v>3371</v>
      </c>
      <c r="D222" s="411" t="s">
        <v>3216</v>
      </c>
      <c r="E222" s="332" t="s">
        <v>2415</v>
      </c>
      <c r="F222" s="334" t="str">
        <f t="shared" si="11"/>
        <v>SUP2400037-EVALUACION Y SUPERVISION EN ENERGIA E.I.R.L.</v>
      </c>
    </row>
    <row r="223" spans="1:6" ht="37.5" customHeight="1" x14ac:dyDescent="0.25">
      <c r="A223" s="402"/>
      <c r="B223" s="493"/>
      <c r="C223" s="425" t="s">
        <v>3398</v>
      </c>
      <c r="D223" s="414" t="s">
        <v>3376</v>
      </c>
      <c r="E223" s="332" t="s">
        <v>2415</v>
      </c>
      <c r="F223" s="334" t="str">
        <f t="shared" si="11"/>
        <v>SUP2400113-CONSORCIO EVZO ASOCIADOS S.A.C. - GIZED CONSULTORES S.A.C.</v>
      </c>
    </row>
    <row r="224" spans="1:6" ht="37.5" customHeight="1" x14ac:dyDescent="0.25">
      <c r="A224" s="402"/>
      <c r="B224" s="493"/>
      <c r="C224" s="425" t="s">
        <v>3415</v>
      </c>
      <c r="D224" s="411" t="s">
        <v>3416</v>
      </c>
      <c r="E224" s="332" t="s">
        <v>2415</v>
      </c>
      <c r="F224" s="334" t="str">
        <f t="shared" si="11"/>
        <v>SUP2400203-EVZO ASOCIADOS S.A.C.</v>
      </c>
    </row>
    <row r="225" spans="1:6" s="307" customFormat="1" ht="37.5" customHeight="1" x14ac:dyDescent="0.25">
      <c r="A225" s="402"/>
      <c r="B225" s="493"/>
      <c r="C225" s="425"/>
      <c r="D225" s="411"/>
      <c r="E225" s="332" t="s">
        <v>2415</v>
      </c>
      <c r="F225" s="334" t="str">
        <f t="shared" si="11"/>
        <v>-</v>
      </c>
    </row>
    <row r="226" spans="1:6" ht="37.5" customHeight="1" x14ac:dyDescent="0.25">
      <c r="A226" s="402"/>
      <c r="B226" s="493"/>
      <c r="C226" s="425"/>
      <c r="D226" s="411"/>
      <c r="E226" s="332" t="s">
        <v>2415</v>
      </c>
      <c r="F226" s="334" t="str">
        <f t="shared" si="11"/>
        <v>-</v>
      </c>
    </row>
    <row r="227" spans="1:6" ht="37.5" customHeight="1" thickBot="1" x14ac:dyDescent="0.3">
      <c r="A227" s="402"/>
      <c r="B227" s="494"/>
      <c r="C227" s="425"/>
      <c r="D227" s="411"/>
      <c r="E227" s="393" t="s">
        <v>2415</v>
      </c>
      <c r="F227" s="395" t="str">
        <f t="shared" si="11"/>
        <v>-</v>
      </c>
    </row>
    <row r="228" spans="1:6" ht="37.5" customHeight="1" x14ac:dyDescent="0.25">
      <c r="A228" s="402"/>
      <c r="B228" s="489" t="s">
        <v>2392</v>
      </c>
      <c r="C228" s="427" t="s">
        <v>3214</v>
      </c>
      <c r="D228" s="391" t="s">
        <v>3215</v>
      </c>
      <c r="E228" s="390" t="s">
        <v>2415</v>
      </c>
      <c r="F228" s="394" t="str">
        <f t="shared" si="11"/>
        <v>ERH-ESPECIALISTA REGIONAL DE HIDROCARBUROS</v>
      </c>
    </row>
    <row r="229" spans="1:6" ht="37.5" customHeight="1" x14ac:dyDescent="0.25">
      <c r="A229" s="402"/>
      <c r="B229" s="490"/>
      <c r="C229" s="425" t="s">
        <v>3433</v>
      </c>
      <c r="D229" s="397" t="s">
        <v>3216</v>
      </c>
      <c r="E229" s="332" t="s">
        <v>2415</v>
      </c>
      <c r="F229" s="334" t="str">
        <f t="shared" si="11"/>
        <v>SUP2400176-EVALUACION Y SUPERVISION EN ENERGIA E.I.R.L.</v>
      </c>
    </row>
    <row r="230" spans="1:6" ht="37.5" customHeight="1" x14ac:dyDescent="0.25">
      <c r="A230" s="402"/>
      <c r="B230" s="490"/>
      <c r="C230" s="425" t="s">
        <v>3378</v>
      </c>
      <c r="D230" s="428" t="s">
        <v>3379</v>
      </c>
      <c r="E230" s="332" t="s">
        <v>2415</v>
      </c>
      <c r="F230" s="334" t="str">
        <f t="shared" si="11"/>
        <v>SUP2400039-SUPERVISION CONSULTORIA Y SERVICIOS EN ENERGIA S.A.C.</v>
      </c>
    </row>
    <row r="231" spans="1:6" ht="37.5" customHeight="1" x14ac:dyDescent="0.25">
      <c r="A231" s="402"/>
      <c r="B231" s="490"/>
      <c r="C231" s="425" t="s">
        <v>3474</v>
      </c>
      <c r="D231" s="428" t="s">
        <v>3475</v>
      </c>
      <c r="E231" s="332" t="s">
        <v>2415</v>
      </c>
      <c r="F231" s="334" t="str">
        <f t="shared" si="11"/>
        <v>SUP2400092-BRAYAN YAIR LEON QUISPE</v>
      </c>
    </row>
    <row r="232" spans="1:6" ht="37.5" customHeight="1" x14ac:dyDescent="0.25">
      <c r="A232" s="402"/>
      <c r="B232" s="490"/>
      <c r="C232" s="425" t="s">
        <v>3476</v>
      </c>
      <c r="D232" s="411" t="s">
        <v>3477</v>
      </c>
      <c r="E232" s="332" t="s">
        <v>2415</v>
      </c>
      <c r="F232" s="334" t="str">
        <f t="shared" si="11"/>
        <v>SUP2400127-JORGE MAXIMILIANO CHAVARRIA DELGADO</v>
      </c>
    </row>
    <row r="233" spans="1:6" ht="37.5" customHeight="1" x14ac:dyDescent="0.25">
      <c r="A233" s="402"/>
      <c r="B233" s="490"/>
      <c r="C233" s="425"/>
      <c r="D233" s="411"/>
      <c r="E233" s="332" t="s">
        <v>2415</v>
      </c>
      <c r="F233" s="334" t="str">
        <f t="shared" si="11"/>
        <v>-</v>
      </c>
    </row>
    <row r="234" spans="1:6" ht="37.5" customHeight="1" thickBot="1" x14ac:dyDescent="0.3">
      <c r="A234" s="402"/>
      <c r="B234" s="491"/>
      <c r="C234" s="426"/>
      <c r="D234" s="415"/>
      <c r="E234" s="393" t="s">
        <v>2415</v>
      </c>
      <c r="F234" s="395" t="str">
        <f t="shared" si="11"/>
        <v>-</v>
      </c>
    </row>
  </sheetData>
  <autoFilter ref="A6:F234" xr:uid="{00000000-0009-0000-0000-000002000000}"/>
  <sortState xmlns:xlrd2="http://schemas.microsoft.com/office/spreadsheetml/2017/richdata2" ref="C248:F254">
    <sortCondition sortBy="cellColor" ref="C248:C254" dxfId="96"/>
  </sortState>
  <mergeCells count="26">
    <mergeCell ref="B5:E5"/>
    <mergeCell ref="B115:B123"/>
    <mergeCell ref="B124:B134"/>
    <mergeCell ref="B7:B14"/>
    <mergeCell ref="B33:B43"/>
    <mergeCell ref="B44:B52"/>
    <mergeCell ref="B53:B61"/>
    <mergeCell ref="B24:B32"/>
    <mergeCell ref="B15:B23"/>
    <mergeCell ref="B89:B97"/>
    <mergeCell ref="B98:B106"/>
    <mergeCell ref="B107:B114"/>
    <mergeCell ref="B62:B72"/>
    <mergeCell ref="B73:B80"/>
    <mergeCell ref="B81:B88"/>
    <mergeCell ref="B228:B234"/>
    <mergeCell ref="B183:B191"/>
    <mergeCell ref="B175:B182"/>
    <mergeCell ref="B203:B211"/>
    <mergeCell ref="B212:B220"/>
    <mergeCell ref="B135:B146"/>
    <mergeCell ref="B147:B154"/>
    <mergeCell ref="B155:B164"/>
    <mergeCell ref="B165:B174"/>
    <mergeCell ref="B221:B227"/>
    <mergeCell ref="B192:B202"/>
  </mergeCells>
  <conditionalFormatting sqref="A7">
    <cfRule type="cellIs" dxfId="95" priority="33" operator="greaterThan">
      <formula>10</formula>
    </cfRule>
  </conditionalFormatting>
  <conditionalFormatting sqref="A8">
    <cfRule type="cellIs" dxfId="94" priority="13" operator="equal">
      <formula>"VENCIDO"</formula>
    </cfRule>
    <cfRule type="cellIs" dxfId="93" priority="14" operator="equal">
      <formula>"VIGENTE"</formula>
    </cfRule>
  </conditionalFormatting>
  <conditionalFormatting sqref="A9:A14">
    <cfRule type="cellIs" dxfId="92" priority="11" operator="equal">
      <formula>"VENCIDO"</formula>
    </cfRule>
    <cfRule type="cellIs" dxfId="91" priority="12" operator="equal">
      <formula>"VIGENTE"</formula>
    </cfRule>
  </conditionalFormatting>
  <conditionalFormatting sqref="A16">
    <cfRule type="cellIs" dxfId="90" priority="9" operator="equal">
      <formula>"VENCIDO"</formula>
    </cfRule>
    <cfRule type="cellIs" dxfId="89" priority="10" operator="equal">
      <formula>"VIGENTE"</formula>
    </cfRule>
  </conditionalFormatting>
  <conditionalFormatting sqref="A17:A22">
    <cfRule type="cellIs" dxfId="88" priority="7" operator="equal">
      <formula>"VENCIDO"</formula>
    </cfRule>
    <cfRule type="cellIs" dxfId="87" priority="8" operator="equal">
      <formula>"VIGENTE"</formula>
    </cfRule>
  </conditionalFormatting>
  <conditionalFormatting sqref="A23">
    <cfRule type="cellIs" dxfId="86" priority="5" operator="equal">
      <formula>"VENCIDO"</formula>
    </cfRule>
    <cfRule type="cellIs" dxfId="85" priority="6" operator="equal">
      <formula>"VIGENTE"</formula>
    </cfRule>
  </conditionalFormatting>
  <conditionalFormatting sqref="A24:A31">
    <cfRule type="cellIs" dxfId="84" priority="3" operator="equal">
      <formula>"VENCIDO"</formula>
    </cfRule>
    <cfRule type="cellIs" dxfId="83" priority="4" operator="equal">
      <formula>"VIGENTE"</formula>
    </cfRule>
  </conditionalFormatting>
  <conditionalFormatting sqref="A32:A234">
    <cfRule type="cellIs" dxfId="82" priority="1" operator="equal">
      <formula>"VENCIDO"</formula>
    </cfRule>
    <cfRule type="cellIs" dxfId="81" priority="2" operator="equal">
      <formula>"VIGENTE"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1">
    <tabColor theme="8"/>
  </sheetPr>
  <dimension ref="A1:BJ1939"/>
  <sheetViews>
    <sheetView showGridLines="0" zoomScale="70" zoomScaleNormal="70" workbookViewId="0">
      <pane ySplit="6" topLeftCell="A775" activePane="bottomLeft" state="frozen"/>
      <selection activeCell="B22" sqref="B22"/>
      <selection pane="bottomLeft" activeCell="AJ1830" sqref="AJ1830:AJ1861"/>
    </sheetView>
  </sheetViews>
  <sheetFormatPr baseColWidth="10" defaultColWidth="11.42578125" defaultRowHeight="15" x14ac:dyDescent="0.25"/>
  <cols>
    <col min="1" max="1" width="4.5703125" style="80" customWidth="1"/>
    <col min="2" max="2" width="16.7109375" style="62" customWidth="1"/>
    <col min="3" max="3" width="8.42578125" style="62" customWidth="1"/>
    <col min="4" max="4" width="34.28515625" style="62" customWidth="1"/>
    <col min="5" max="5" width="16.5703125" style="62" customWidth="1"/>
    <col min="6" max="7" width="54.28515625" style="62" customWidth="1"/>
    <col min="8" max="8" width="63.42578125" style="80" customWidth="1"/>
    <col min="9" max="11" width="45.42578125" style="80" customWidth="1"/>
    <col min="12" max="12" width="60.5703125" style="80" customWidth="1"/>
    <col min="13" max="13" width="22.28515625" style="80" customWidth="1"/>
    <col min="14" max="14" width="49.7109375" style="80" customWidth="1"/>
    <col min="15" max="15" width="11.28515625" style="80" customWidth="1"/>
    <col min="16" max="16" width="54.42578125" style="80" customWidth="1"/>
    <col min="17" max="17" width="44.5703125" style="80" customWidth="1"/>
    <col min="18" max="26" width="15.5703125" style="80" customWidth="1"/>
    <col min="27" max="27" width="13.7109375" style="80" customWidth="1"/>
    <col min="28" max="28" width="26.7109375" style="82" customWidth="1"/>
    <col min="29" max="29" width="11.42578125" style="80"/>
    <col min="30" max="30" width="24.28515625" style="2" customWidth="1"/>
    <col min="31" max="31" width="13.42578125" style="2" customWidth="1"/>
    <col min="32" max="32" width="26.28515625" style="2" bestFit="1" customWidth="1"/>
    <col min="33" max="33" width="27" style="2" customWidth="1"/>
    <col min="34" max="34" width="40.5703125" style="2" customWidth="1"/>
    <col min="35" max="35" width="14.42578125" style="2" customWidth="1"/>
    <col min="36" max="36" width="28.5703125" style="2" customWidth="1"/>
    <col min="37" max="37" width="66.42578125" style="2" customWidth="1"/>
    <col min="38" max="40" width="14.28515625" style="80" customWidth="1"/>
    <col min="41" max="41" width="17.28515625" style="80" customWidth="1"/>
    <col min="42" max="44" width="14.28515625" style="80" customWidth="1"/>
    <col min="45" max="45" width="25.7109375" style="80" customWidth="1"/>
    <col min="46" max="47" width="9.5703125" style="80" customWidth="1"/>
    <col min="48" max="48" width="40" style="80" customWidth="1"/>
    <col min="49" max="49" width="11.42578125" style="80"/>
    <col min="50" max="50" width="40" style="80" customWidth="1"/>
    <col min="51" max="51" width="11.42578125" style="80"/>
    <col min="52" max="52" width="40" style="80" customWidth="1"/>
    <col min="53" max="53" width="11.42578125" style="80"/>
    <col min="54" max="54" width="27" style="80" customWidth="1"/>
    <col min="55" max="55" width="19.7109375" style="80" customWidth="1"/>
    <col min="56" max="56" width="11.42578125" style="80"/>
    <col min="57" max="57" width="21.42578125" style="80" customWidth="1"/>
    <col min="58" max="58" width="37.42578125" style="80" customWidth="1"/>
    <col min="59" max="59" width="24.42578125" style="80" customWidth="1"/>
    <col min="60" max="60" width="11.42578125" style="80"/>
    <col min="61" max="61" width="14.7109375" style="80" customWidth="1"/>
    <col min="62" max="62" width="18" style="80" customWidth="1"/>
    <col min="63" max="16384" width="11.42578125" style="80"/>
  </cols>
  <sheetData>
    <row r="1" spans="1:62" ht="48" customHeight="1" x14ac:dyDescent="0.25">
      <c r="H1" s="512" t="s">
        <v>61</v>
      </c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H1" s="29"/>
      <c r="AL1" s="512" t="s">
        <v>2313</v>
      </c>
      <c r="AM1" s="512"/>
      <c r="AN1" s="512"/>
      <c r="AO1" s="512"/>
      <c r="AP1" s="512"/>
      <c r="AQ1" s="512"/>
      <c r="AR1" s="512"/>
      <c r="AS1" s="512"/>
      <c r="AV1" s="510" t="s">
        <v>2314</v>
      </c>
      <c r="AX1" s="510" t="s">
        <v>2315</v>
      </c>
      <c r="AZ1" s="510" t="s">
        <v>2321</v>
      </c>
      <c r="BB1" s="510" t="s">
        <v>2327</v>
      </c>
      <c r="BC1" s="510"/>
      <c r="BE1" s="510" t="s">
        <v>2414</v>
      </c>
      <c r="BF1" s="510"/>
      <c r="BG1" s="69"/>
      <c r="BI1" s="511" t="s">
        <v>2353</v>
      </c>
      <c r="BJ1" s="511"/>
    </row>
    <row r="2" spans="1:62" ht="12" customHeight="1" thickBot="1" x14ac:dyDescent="0.3">
      <c r="A2" s="301"/>
      <c r="AH2" s="29"/>
      <c r="AL2" s="512"/>
      <c r="AM2" s="512"/>
      <c r="AN2" s="512"/>
      <c r="AO2" s="512"/>
      <c r="AP2" s="512"/>
      <c r="AQ2" s="512"/>
      <c r="AR2" s="512"/>
      <c r="AS2" s="512"/>
      <c r="AV2" s="510"/>
      <c r="AX2" s="510"/>
      <c r="AZ2" s="510"/>
      <c r="BB2" s="510"/>
      <c r="BC2" s="510"/>
      <c r="BE2" s="510"/>
      <c r="BF2" s="510"/>
      <c r="BG2" s="69"/>
      <c r="BI2" s="511"/>
      <c r="BJ2" s="511"/>
    </row>
    <row r="3" spans="1:62" ht="40.5" customHeight="1" thickBot="1" x14ac:dyDescent="0.3">
      <c r="A3" s="301"/>
      <c r="H3" s="513" t="s">
        <v>2433</v>
      </c>
      <c r="I3" s="514"/>
      <c r="J3" s="514"/>
      <c r="K3" s="514"/>
      <c r="L3" s="514"/>
      <c r="M3" s="514"/>
      <c r="N3" s="514"/>
      <c r="O3" s="514"/>
      <c r="P3" s="514"/>
      <c r="Q3" s="514"/>
      <c r="R3" s="24">
        <v>240</v>
      </c>
      <c r="BB3" s="54" t="s">
        <v>2326</v>
      </c>
      <c r="BC3" s="54" t="s">
        <v>2305</v>
      </c>
      <c r="BE3" s="55" t="s">
        <v>2328</v>
      </c>
      <c r="BF3" s="56" t="s">
        <v>2329</v>
      </c>
      <c r="BG3" s="57" t="s">
        <v>2330</v>
      </c>
      <c r="BI3" s="58" t="s">
        <v>2352</v>
      </c>
      <c r="BJ3" s="58" t="s">
        <v>2353</v>
      </c>
    </row>
    <row r="4" spans="1:62" ht="19.5" customHeight="1" x14ac:dyDescent="0.25">
      <c r="A4" s="301"/>
      <c r="AH4" s="29"/>
      <c r="AJ4" s="29"/>
      <c r="AL4" s="29"/>
      <c r="AM4" s="2"/>
      <c r="AN4" s="29"/>
      <c r="AO4" s="2"/>
      <c r="AP4" s="29"/>
      <c r="AQ4" s="2"/>
      <c r="AR4" s="29"/>
      <c r="AS4" s="2"/>
      <c r="AV4" s="1" t="s">
        <v>0</v>
      </c>
      <c r="AX4" s="45" t="s">
        <v>2316</v>
      </c>
      <c r="AZ4" s="53" t="s">
        <v>2354</v>
      </c>
      <c r="BB4" s="51" t="s">
        <v>2324</v>
      </c>
      <c r="BC4" s="11">
        <v>2</v>
      </c>
      <c r="BE4" s="14" t="s">
        <v>2331</v>
      </c>
      <c r="BF4" s="20" t="s">
        <v>2358</v>
      </c>
      <c r="BG4" s="15">
        <v>5</v>
      </c>
      <c r="BI4" s="7" t="s">
        <v>2348</v>
      </c>
      <c r="BJ4" s="17">
        <v>11000</v>
      </c>
    </row>
    <row r="5" spans="1:62" ht="22.5" customHeight="1" x14ac:dyDescent="0.25">
      <c r="A5" s="301"/>
      <c r="R5" s="515" t="s">
        <v>57</v>
      </c>
      <c r="S5" s="515"/>
      <c r="T5" s="515"/>
      <c r="U5" s="515" t="s">
        <v>58</v>
      </c>
      <c r="V5" s="515"/>
      <c r="W5" s="515"/>
      <c r="X5" s="515" t="s">
        <v>59</v>
      </c>
      <c r="Y5" s="515"/>
      <c r="Z5" s="515"/>
      <c r="AH5" s="29"/>
      <c r="AL5" s="516" t="s">
        <v>2311</v>
      </c>
      <c r="AM5" s="516"/>
      <c r="AN5" s="516"/>
      <c r="AO5" s="516"/>
      <c r="AP5" s="516" t="s">
        <v>2312</v>
      </c>
      <c r="AQ5" s="516"/>
      <c r="AR5" s="516"/>
      <c r="AS5" s="516"/>
      <c r="AV5" s="21" t="s">
        <v>2314</v>
      </c>
      <c r="AX5" s="18" t="s">
        <v>2378</v>
      </c>
      <c r="AZ5" s="8">
        <v>30</v>
      </c>
      <c r="BB5" s="51" t="s">
        <v>2325</v>
      </c>
      <c r="BC5" s="11">
        <v>1.5</v>
      </c>
      <c r="BE5" s="14" t="s">
        <v>2332</v>
      </c>
      <c r="BF5" s="20" t="s">
        <v>2359</v>
      </c>
      <c r="BG5" s="15">
        <v>3</v>
      </c>
      <c r="BI5" s="7" t="s">
        <v>2349</v>
      </c>
      <c r="BJ5" s="17">
        <v>9700</v>
      </c>
    </row>
    <row r="6" spans="1:62" ht="75" customHeight="1" x14ac:dyDescent="0.25">
      <c r="B6" s="1" t="s">
        <v>2485</v>
      </c>
      <c r="C6" s="1" t="s">
        <v>1</v>
      </c>
      <c r="D6" s="1" t="s">
        <v>2484</v>
      </c>
      <c r="E6" s="1" t="s">
        <v>2570</v>
      </c>
      <c r="F6" s="1" t="s">
        <v>2572</v>
      </c>
      <c r="G6" s="1" t="s">
        <v>2574</v>
      </c>
      <c r="H6" s="1" t="s">
        <v>2566</v>
      </c>
      <c r="I6" s="77" t="s">
        <v>2571</v>
      </c>
      <c r="J6" s="77" t="s">
        <v>2573</v>
      </c>
      <c r="K6" s="77" t="s">
        <v>2319</v>
      </c>
      <c r="L6" s="1" t="s">
        <v>2567</v>
      </c>
      <c r="M6" s="77" t="s">
        <v>2620</v>
      </c>
      <c r="N6" s="79" t="s">
        <v>2317</v>
      </c>
      <c r="O6" s="77" t="s">
        <v>47</v>
      </c>
      <c r="P6" s="1" t="s">
        <v>2568</v>
      </c>
      <c r="Q6" s="77" t="s">
        <v>3</v>
      </c>
      <c r="R6" s="77" t="s">
        <v>48</v>
      </c>
      <c r="S6" s="77" t="s">
        <v>49</v>
      </c>
      <c r="T6" s="77" t="s">
        <v>50</v>
      </c>
      <c r="U6" s="77" t="s">
        <v>51</v>
      </c>
      <c r="V6" s="77" t="s">
        <v>52</v>
      </c>
      <c r="W6" s="77" t="s">
        <v>53</v>
      </c>
      <c r="X6" s="77" t="s">
        <v>54</v>
      </c>
      <c r="Y6" s="77" t="s">
        <v>55</v>
      </c>
      <c r="Z6" s="77" t="s">
        <v>56</v>
      </c>
      <c r="AA6" s="77" t="s">
        <v>60</v>
      </c>
      <c r="AB6" s="79" t="s">
        <v>2569</v>
      </c>
      <c r="AD6" s="1" t="s">
        <v>62</v>
      </c>
      <c r="AE6" s="1" t="s">
        <v>1</v>
      </c>
      <c r="AF6" s="44" t="s">
        <v>63</v>
      </c>
      <c r="AG6" s="1" t="s">
        <v>2</v>
      </c>
      <c r="AH6" s="1" t="s">
        <v>64</v>
      </c>
      <c r="AI6" s="1" t="s">
        <v>47</v>
      </c>
      <c r="AJ6" s="1" t="s">
        <v>65</v>
      </c>
      <c r="AK6" s="1" t="s">
        <v>3</v>
      </c>
      <c r="AL6" s="1" t="s">
        <v>2305</v>
      </c>
      <c r="AM6" s="1" t="s">
        <v>2306</v>
      </c>
      <c r="AN6" s="1" t="s">
        <v>2307</v>
      </c>
      <c r="AO6" s="1" t="s">
        <v>2430</v>
      </c>
      <c r="AP6" s="1" t="s">
        <v>2308</v>
      </c>
      <c r="AQ6" s="1" t="s">
        <v>2309</v>
      </c>
      <c r="AR6" s="1" t="s">
        <v>2310</v>
      </c>
      <c r="AS6" s="1" t="s">
        <v>2429</v>
      </c>
      <c r="AV6" s="21" t="s">
        <v>40</v>
      </c>
      <c r="AX6" s="18" t="s">
        <v>2395</v>
      </c>
      <c r="AZ6" s="3" t="s">
        <v>2355</v>
      </c>
      <c r="BB6" s="51" t="s">
        <v>2432</v>
      </c>
      <c r="BC6" s="11">
        <v>1.5</v>
      </c>
      <c r="BE6" s="46" t="s">
        <v>2333</v>
      </c>
      <c r="BF6" s="83" t="s">
        <v>2360</v>
      </c>
      <c r="BG6" s="16">
        <v>1</v>
      </c>
      <c r="BI6" s="7" t="s">
        <v>2350</v>
      </c>
      <c r="BJ6" s="17">
        <v>7600</v>
      </c>
    </row>
    <row r="7" spans="1:62" ht="42.75" customHeight="1" x14ac:dyDescent="0.25">
      <c r="B7" s="78" t="s">
        <v>2314</v>
      </c>
      <c r="C7" s="199" t="s">
        <v>4</v>
      </c>
      <c r="D7" s="105" t="s">
        <v>2483</v>
      </c>
      <c r="E7" s="105"/>
      <c r="F7" s="105" t="str">
        <f>CONCATENATE(Tabla1[[#This Row],[Simbología]],"_",Tabla1[[#This Row],[Acción]])</f>
        <v>AAA_Supervisión de comercialización de hidrocarburos (CL, GLP, GNV, GNC y GNL)</v>
      </c>
      <c r="G7" s="105" t="s">
        <v>6</v>
      </c>
      <c r="H7" s="103" t="s">
        <v>2533</v>
      </c>
      <c r="I7" s="103" t="s">
        <v>2533</v>
      </c>
      <c r="J7" s="201" t="str">
        <f>CONCATENATE(Tabla1[[#This Row],[Simbología1]],"_",Tabla1[[#This Row],[Acción Especifica]])</f>
        <v>KIN_1_Supervisión por informalidad de comiso de equipos y facilidades de despacho de combustibles</v>
      </c>
      <c r="K7" s="201" t="s">
        <v>2575</v>
      </c>
      <c r="L7" s="105" t="s">
        <v>44</v>
      </c>
      <c r="M7" s="105" t="s">
        <v>44</v>
      </c>
      <c r="N7" s="106" t="str">
        <f>CONCATENATE(Tabla1[[#This Row],[Simbología**]],"_",Tabla1[[#This Row],[Sub Acción Especifica]])</f>
        <v>KKIN_1_Comiso de combustibles</v>
      </c>
      <c r="O7" s="104" t="s">
        <v>2621</v>
      </c>
      <c r="P7" s="105" t="s">
        <v>2363</v>
      </c>
      <c r="Q7" s="106" t="str">
        <f>CONCATENATE(Tabla1[[#This Row],[Simbología*]],"_",Tabla1[[#This Row],[Tipo de instalación relacionado]])</f>
        <v>KKKIN_1_Establecimientos de Venta al Público (Líquidos y/o GLP)</v>
      </c>
      <c r="R7" s="107">
        <v>1</v>
      </c>
      <c r="S7" s="107">
        <v>1.5</v>
      </c>
      <c r="T7" s="108">
        <f>IFERROR(AVERAGE(Tabla1[[#This Row],[T. Mínimo]],Tabla1[[#This Row],[T. Máximo]]),0)</f>
        <v>1.25</v>
      </c>
      <c r="U7" s="107">
        <v>1.5</v>
      </c>
      <c r="V7" s="107">
        <v>3</v>
      </c>
      <c r="W7" s="108">
        <f>IFERROR(AVERAGE(Tabla1[[#This Row],[T. Mínimo*]],Tabla1[[#This Row],[T. Máximo*]]),0)</f>
        <v>2.25</v>
      </c>
      <c r="X7" s="107">
        <v>2</v>
      </c>
      <c r="Y7" s="107">
        <v>3</v>
      </c>
      <c r="Z7" s="108">
        <f>IFERROR(AVERAGE(Tabla1[[#This Row],[T. Mínimo**]],Tabla1[[#This Row],[T. Máximo**]]),0)</f>
        <v>2.5</v>
      </c>
      <c r="AA7" s="109">
        <f>SUM(Tabla1[[#This Row],[Promedio]],Tabla1[[#This Row],[Promedio*]],Tabla1[[#This Row],[Promedio**]])</f>
        <v>6</v>
      </c>
      <c r="AB7" s="110" t="s">
        <v>2486</v>
      </c>
      <c r="AD7" s="20" t="s">
        <v>2378</v>
      </c>
      <c r="AE7" s="10" t="s">
        <v>156</v>
      </c>
      <c r="AF7" s="20" t="s">
        <v>66</v>
      </c>
      <c r="AG7" s="10" t="s">
        <v>66</v>
      </c>
      <c r="AH7" s="22" t="str">
        <f>CONCATENATE(AD7,"_",AF7)</f>
        <v>Amazonas_01 Chachapoyas</v>
      </c>
      <c r="AI7" s="10" t="s">
        <v>155</v>
      </c>
      <c r="AJ7" s="20" t="s">
        <v>66</v>
      </c>
      <c r="AK7" s="22" t="str">
        <f>CONCATENATE(AH7,"_",AJ7)</f>
        <v>Amazonas_01 Chachapoyas_01 Chachapoyas</v>
      </c>
      <c r="AL7" s="25">
        <v>1</v>
      </c>
      <c r="AM7" s="25">
        <v>0</v>
      </c>
      <c r="AN7" s="26">
        <f>Tabla2[[#This Row],[Minutos]]/60</f>
        <v>0</v>
      </c>
      <c r="AO7" s="27">
        <f>SUM(Tabla2[[#This Row],[Horas]],Tabla2[[#This Row],[Minutos a Horas]])</f>
        <v>1</v>
      </c>
      <c r="AP7" s="49">
        <v>1</v>
      </c>
      <c r="AQ7" s="49">
        <v>30</v>
      </c>
      <c r="AR7" s="26">
        <f>Tabla2[[#This Row],[Minutos*]]/60</f>
        <v>0.5</v>
      </c>
      <c r="AS7" s="27">
        <f>SUM(Tabla2[[#This Row],[Horas*]],Tabla2[[#This Row],[Minutos a Horas*]])+(Tabla2[[#This Row],[Tiempo Total a Nivel Proncincial (Horas)]])</f>
        <v>2.5</v>
      </c>
      <c r="AX7" s="18" t="s">
        <v>2398</v>
      </c>
      <c r="AZ7" s="9">
        <f>$AZ$5/60</f>
        <v>0.5</v>
      </c>
      <c r="BB7" s="51" t="s">
        <v>2431</v>
      </c>
      <c r="BC7" s="11">
        <v>1</v>
      </c>
      <c r="BI7" s="7" t="s">
        <v>2351</v>
      </c>
      <c r="BJ7" s="17">
        <v>5400</v>
      </c>
    </row>
    <row r="8" spans="1:62" ht="42.75" customHeight="1" x14ac:dyDescent="0.25">
      <c r="B8" s="78" t="s">
        <v>2314</v>
      </c>
      <c r="C8" s="199" t="s">
        <v>4</v>
      </c>
      <c r="D8" s="105" t="s">
        <v>2483</v>
      </c>
      <c r="E8" s="105"/>
      <c r="F8" s="105" t="str">
        <f>CONCATENATE(Tabla1[[#This Row],[Simbología]],"_",Tabla1[[#This Row],[Acción]])</f>
        <v>AAA_Supervisión de comercialización de hidrocarburos (CL, GLP, GNV, GNC y GNL)</v>
      </c>
      <c r="G8" s="105" t="s">
        <v>6</v>
      </c>
      <c r="H8" s="103" t="s">
        <v>2533</v>
      </c>
      <c r="I8" s="103" t="s">
        <v>2534</v>
      </c>
      <c r="J8" s="201" t="str">
        <f>CONCATENATE(Tabla1[[#This Row],[Simbología1]],"_",Tabla1[[#This Row],[Acción Especifica]])</f>
        <v>KIN_1_Supervisión por informalidad de comiso de equipos y facilidades de despacho de combustibles</v>
      </c>
      <c r="K8" s="201" t="s">
        <v>2575</v>
      </c>
      <c r="L8" s="105" t="s">
        <v>44</v>
      </c>
      <c r="M8" s="111"/>
      <c r="N8" s="106" t="str">
        <f>CONCATENATE(Tabla1[[#This Row],[Simbología**]],"_",Tabla1[[#This Row],[Sub Acción Especifica]])</f>
        <v>KKIN_1_Comiso de combustibles</v>
      </c>
      <c r="O8" s="104" t="s">
        <v>2621</v>
      </c>
      <c r="P8" s="105" t="s">
        <v>2417</v>
      </c>
      <c r="Q8" s="106" t="str">
        <f>CONCATENATE(Tabla1[[#This Row],[Simbología*]],"_",Tabla1[[#This Row],[Tipo de instalación relacionado]])</f>
        <v>KKKIN_1_Grifo Rural con almacenamiento en cilindros con máquinas de despacho</v>
      </c>
      <c r="R8" s="107">
        <v>1</v>
      </c>
      <c r="S8" s="107">
        <v>1.5</v>
      </c>
      <c r="T8" s="108">
        <f>IFERROR(AVERAGE(Tabla1[[#This Row],[T. Mínimo]],Tabla1[[#This Row],[T. Máximo]]),0)</f>
        <v>1.25</v>
      </c>
      <c r="U8" s="107">
        <v>1.5</v>
      </c>
      <c r="V8" s="107">
        <v>3</v>
      </c>
      <c r="W8" s="108">
        <f>IFERROR(AVERAGE(Tabla1[[#This Row],[T. Mínimo*]],Tabla1[[#This Row],[T. Máximo*]]),0)</f>
        <v>2.25</v>
      </c>
      <c r="X8" s="107">
        <v>2</v>
      </c>
      <c r="Y8" s="107">
        <v>3</v>
      </c>
      <c r="Z8" s="108">
        <f>IFERROR(AVERAGE(Tabla1[[#This Row],[T. Mínimo**]],Tabla1[[#This Row],[T. Máximo**]]),0)</f>
        <v>2.5</v>
      </c>
      <c r="AA8" s="109">
        <f>SUM(Tabla1[[#This Row],[Promedio]],Tabla1[[#This Row],[Promedio*]],Tabla1[[#This Row],[Promedio**]])</f>
        <v>6</v>
      </c>
      <c r="AB8" s="110" t="s">
        <v>2486</v>
      </c>
      <c r="AD8" s="20" t="s">
        <v>2378</v>
      </c>
      <c r="AE8" s="10" t="s">
        <v>156</v>
      </c>
      <c r="AF8" s="20" t="s">
        <v>66</v>
      </c>
      <c r="AG8" s="10" t="s">
        <v>67</v>
      </c>
      <c r="AH8" s="22" t="str">
        <f t="shared" ref="AH8:AH70" si="0">CONCATENATE(AD8,"_",AF8)</f>
        <v>Amazonas_01 Chachapoyas</v>
      </c>
      <c r="AI8" s="10" t="s">
        <v>155</v>
      </c>
      <c r="AJ8" s="20" t="s">
        <v>73</v>
      </c>
      <c r="AK8" s="22" t="str">
        <f t="shared" ref="AK8:AK70" si="1">CONCATENATE(AH8,"_",AJ8)</f>
        <v>Amazonas_01 Chachapoyas_02 Asunción</v>
      </c>
      <c r="AL8" s="25">
        <v>1</v>
      </c>
      <c r="AM8" s="25">
        <v>0</v>
      </c>
      <c r="AN8" s="26">
        <f>Tabla2[[#This Row],[Minutos]]/60</f>
        <v>0</v>
      </c>
      <c r="AO8" s="27">
        <f>SUM(Tabla2[[#This Row],[Horas]],Tabla2[[#This Row],[Minutos a Horas]])</f>
        <v>1</v>
      </c>
      <c r="AP8" s="49">
        <v>9</v>
      </c>
      <c r="AQ8" s="49"/>
      <c r="AR8" s="26">
        <f>Tabla2[[#This Row],[Minutos*]]/60</f>
        <v>0</v>
      </c>
      <c r="AS8" s="27">
        <f>SUM(Tabla2[[#This Row],[Horas*]],Tabla2[[#This Row],[Minutos a Horas*]])+(Tabla2[[#This Row],[Tiempo Total a Nivel Proncincial (Horas)]])</f>
        <v>10</v>
      </c>
      <c r="AX8" s="18" t="s">
        <v>2379</v>
      </c>
      <c r="AZ8" s="77" t="s">
        <v>2321</v>
      </c>
      <c r="BB8" s="52" t="s">
        <v>40</v>
      </c>
      <c r="BC8" s="12">
        <v>1</v>
      </c>
      <c r="BI8" s="7" t="s">
        <v>2375</v>
      </c>
      <c r="BJ8" s="17">
        <v>4500</v>
      </c>
    </row>
    <row r="9" spans="1:62" ht="42.75" customHeight="1" x14ac:dyDescent="0.25">
      <c r="B9" s="78" t="s">
        <v>2314</v>
      </c>
      <c r="C9" s="199" t="s">
        <v>4</v>
      </c>
      <c r="D9" s="105" t="s">
        <v>2483</v>
      </c>
      <c r="E9" s="105"/>
      <c r="F9" s="105" t="str">
        <f>CONCATENATE(Tabla1[[#This Row],[Simbología]],"_",Tabla1[[#This Row],[Acción]])</f>
        <v>AAA_Supervisión de comercialización de hidrocarburos (CL, GLP, GNV, GNC y GNL)</v>
      </c>
      <c r="G9" s="105" t="s">
        <v>6</v>
      </c>
      <c r="H9" s="103" t="s">
        <v>2533</v>
      </c>
      <c r="I9" s="105" t="s">
        <v>29</v>
      </c>
      <c r="J9" s="202" t="str">
        <f>CONCATENATE(Tabla1[[#This Row],[Simbología1]],"_",Tabla1[[#This Row],[Acción Especifica]])</f>
        <v>KIN_1_Supervisión por informalidad de comiso de equipos y facilidades de despacho de combustibles</v>
      </c>
      <c r="K9" s="201" t="s">
        <v>2575</v>
      </c>
      <c r="L9" s="105" t="s">
        <v>44</v>
      </c>
      <c r="M9" s="111"/>
      <c r="N9" s="106" t="str">
        <f>CONCATENATE(Tabla1[[#This Row],[Simbología**]],"_",Tabla1[[#This Row],[Sub Acción Especifica]])</f>
        <v>KKIN_1_Comiso de combustibles</v>
      </c>
      <c r="O9" s="104" t="s">
        <v>2621</v>
      </c>
      <c r="P9" s="105" t="s">
        <v>24</v>
      </c>
      <c r="Q9" s="106" t="str">
        <f>CONCATENATE(Tabla1[[#This Row],[Simbología*]],"_",Tabla1[[#This Row],[Tipo de instalación relacionado]])</f>
        <v>KKKIN_1_Locales de Venta de GLP</v>
      </c>
      <c r="R9" s="107">
        <v>1</v>
      </c>
      <c r="S9" s="107">
        <v>1.5</v>
      </c>
      <c r="T9" s="108">
        <f>IFERROR(AVERAGE(Tabla1[[#This Row],[T. Mínimo]],Tabla1[[#This Row],[T. Máximo]]),0)</f>
        <v>1.25</v>
      </c>
      <c r="U9" s="107">
        <v>1.5</v>
      </c>
      <c r="V9" s="107">
        <v>3</v>
      </c>
      <c r="W9" s="108">
        <f>IFERROR(AVERAGE(Tabla1[[#This Row],[T. Mínimo*]],Tabla1[[#This Row],[T. Máximo*]]),0)</f>
        <v>2.25</v>
      </c>
      <c r="X9" s="107">
        <v>2</v>
      </c>
      <c r="Y9" s="107">
        <v>3</v>
      </c>
      <c r="Z9" s="108">
        <f>IFERROR(AVERAGE(Tabla1[[#This Row],[T. Mínimo**]],Tabla1[[#This Row],[T. Máximo**]]),0)</f>
        <v>2.5</v>
      </c>
      <c r="AA9" s="109">
        <f>SUM(Tabla1[[#This Row],[Promedio]],Tabla1[[#This Row],[Promedio*]],Tabla1[[#This Row],[Promedio**]])</f>
        <v>6</v>
      </c>
      <c r="AB9" s="110" t="s">
        <v>2486</v>
      </c>
      <c r="AD9" s="20" t="s">
        <v>2378</v>
      </c>
      <c r="AE9" s="10" t="s">
        <v>156</v>
      </c>
      <c r="AF9" s="20" t="s">
        <v>66</v>
      </c>
      <c r="AG9" s="10" t="s">
        <v>68</v>
      </c>
      <c r="AH9" s="22" t="str">
        <f t="shared" si="0"/>
        <v>Amazonas_01 Chachapoyas</v>
      </c>
      <c r="AI9" s="10" t="s">
        <v>155</v>
      </c>
      <c r="AJ9" s="20" t="s">
        <v>74</v>
      </c>
      <c r="AK9" s="22" t="str">
        <f t="shared" si="1"/>
        <v>Amazonas_01 Chachapoyas_03 Balsas</v>
      </c>
      <c r="AL9" s="25">
        <v>1</v>
      </c>
      <c r="AM9" s="25">
        <v>0</v>
      </c>
      <c r="AN9" s="26">
        <f>Tabla2[[#This Row],[Minutos]]/60</f>
        <v>0</v>
      </c>
      <c r="AO9" s="27">
        <f>SUM(Tabla2[[#This Row],[Horas]],Tabla2[[#This Row],[Minutos a Horas]])</f>
        <v>1</v>
      </c>
      <c r="AP9" s="49">
        <v>5</v>
      </c>
      <c r="AQ9" s="49">
        <v>30</v>
      </c>
      <c r="AR9" s="26">
        <f>Tabla2[[#This Row],[Minutos*]]/60</f>
        <v>0.5</v>
      </c>
      <c r="AS9" s="27">
        <f>SUM(Tabla2[[#This Row],[Horas*]],Tabla2[[#This Row],[Minutos a Horas*]])+(Tabla2[[#This Row],[Tiempo Total a Nivel Proncincial (Horas)]])</f>
        <v>6.5</v>
      </c>
      <c r="AX9" s="18" t="s">
        <v>2380</v>
      </c>
      <c r="AZ9" s="10" t="s">
        <v>2322</v>
      </c>
      <c r="BB9" s="52" t="s">
        <v>2406</v>
      </c>
      <c r="BC9" s="12">
        <v>0</v>
      </c>
    </row>
    <row r="10" spans="1:62" ht="42.75" customHeight="1" x14ac:dyDescent="0.25">
      <c r="B10" s="78" t="s">
        <v>2314</v>
      </c>
      <c r="C10" s="199" t="s">
        <v>4</v>
      </c>
      <c r="D10" s="105" t="s">
        <v>2483</v>
      </c>
      <c r="E10" s="105"/>
      <c r="F10" s="105" t="str">
        <f>CONCATENATE(Tabla1[[#This Row],[Simbología]],"_",Tabla1[[#This Row],[Acción]])</f>
        <v>AAA_Supervisión de comercialización de hidrocarburos (CL, GLP, GNV, GNC y GNL)</v>
      </c>
      <c r="G10" s="105" t="s">
        <v>6</v>
      </c>
      <c r="H10" s="103" t="s">
        <v>2534</v>
      </c>
      <c r="I10" s="105" t="s">
        <v>36</v>
      </c>
      <c r="J10" s="202" t="str">
        <f>CONCATENATE(Tabla1[[#This Row],[Simbología1]],"_",Tabla1[[#This Row],[Acción Especifica]])</f>
        <v>KIN_1_Supervisión por informalidad de oficio</v>
      </c>
      <c r="K10" s="202" t="s">
        <v>2576</v>
      </c>
      <c r="L10" s="105" t="s">
        <v>2500</v>
      </c>
      <c r="M10" s="105" t="s">
        <v>2500</v>
      </c>
      <c r="N10" s="106" t="str">
        <f>CONCATENATE(Tabla1[[#This Row],[Simbología**]],"_",Tabla1[[#This Row],[Sub Acción Especifica]])</f>
        <v>KKIN_2_Informales</v>
      </c>
      <c r="O10" s="104" t="s">
        <v>2622</v>
      </c>
      <c r="P10" s="105" t="s">
        <v>7</v>
      </c>
      <c r="Q10" s="106" t="str">
        <f>CONCATENATE(Tabla1[[#This Row],[Simbología*]],"_",Tabla1[[#This Row],[Tipo de instalación relacionado]])</f>
        <v>KKKIN_2_Establecimientos de Venta al Público (Líquidos, GLP)</v>
      </c>
      <c r="R10" s="107">
        <v>1</v>
      </c>
      <c r="S10" s="107">
        <v>1.5</v>
      </c>
      <c r="T10" s="108">
        <f>IFERROR(AVERAGE(Tabla1[[#This Row],[T. Mínimo]],Tabla1[[#This Row],[T. Máximo]]),0)</f>
        <v>1.25</v>
      </c>
      <c r="U10" s="107">
        <v>1.5</v>
      </c>
      <c r="V10" s="107">
        <v>3</v>
      </c>
      <c r="W10" s="108">
        <f>IFERROR(AVERAGE(Tabla1[[#This Row],[T. Mínimo*]],Tabla1[[#This Row],[T. Máximo*]]),0)</f>
        <v>2.25</v>
      </c>
      <c r="X10" s="107">
        <v>2</v>
      </c>
      <c r="Y10" s="107">
        <v>3</v>
      </c>
      <c r="Z10" s="108">
        <f>IFERROR(AVERAGE(Tabla1[[#This Row],[T. Mínimo**]],Tabla1[[#This Row],[T. Máximo**]]),0)</f>
        <v>2.5</v>
      </c>
      <c r="AA10" s="109">
        <f>SUM(Tabla1[[#This Row],[Promedio]],Tabla1[[#This Row],[Promedio*]],Tabla1[[#This Row],[Promedio**]])</f>
        <v>6</v>
      </c>
      <c r="AB10" s="110" t="s">
        <v>2486</v>
      </c>
      <c r="AD10" s="20" t="s">
        <v>2378</v>
      </c>
      <c r="AE10" s="10" t="s">
        <v>156</v>
      </c>
      <c r="AF10" s="20" t="s">
        <v>66</v>
      </c>
      <c r="AG10" s="10" t="s">
        <v>69</v>
      </c>
      <c r="AH10" s="22" t="str">
        <f t="shared" si="0"/>
        <v>Amazonas_01 Chachapoyas</v>
      </c>
      <c r="AI10" s="10" t="s">
        <v>155</v>
      </c>
      <c r="AJ10" s="20" t="s">
        <v>75</v>
      </c>
      <c r="AK10" s="22" t="str">
        <f t="shared" si="1"/>
        <v>Amazonas_01 Chachapoyas_04 Cheto</v>
      </c>
      <c r="AL10" s="25">
        <v>1</v>
      </c>
      <c r="AM10" s="25">
        <v>0</v>
      </c>
      <c r="AN10" s="26">
        <f>Tabla2[[#This Row],[Minutos]]/60</f>
        <v>0</v>
      </c>
      <c r="AO10" s="27">
        <f>SUM(Tabla2[[#This Row],[Horas]],Tabla2[[#This Row],[Minutos a Horas]])</f>
        <v>1</v>
      </c>
      <c r="AP10" s="49">
        <v>2</v>
      </c>
      <c r="AQ10" s="49">
        <v>20</v>
      </c>
      <c r="AR10" s="26">
        <f>Tabla2[[#This Row],[Minutos*]]/60</f>
        <v>0.33333333333333331</v>
      </c>
      <c r="AS10" s="27">
        <f>SUM(Tabla2[[#This Row],[Horas*]],Tabla2[[#This Row],[Minutos a Horas*]])+(Tabla2[[#This Row],[Tiempo Total a Nivel Proncincial (Horas)]])</f>
        <v>3.3333333333333335</v>
      </c>
      <c r="AX10" s="18" t="s">
        <v>2381</v>
      </c>
      <c r="AZ10" s="10" t="s">
        <v>2323</v>
      </c>
    </row>
    <row r="11" spans="1:62" ht="42.75" customHeight="1" x14ac:dyDescent="0.25">
      <c r="B11" s="78" t="s">
        <v>2314</v>
      </c>
      <c r="C11" s="199" t="s">
        <v>4</v>
      </c>
      <c r="D11" s="105" t="s">
        <v>2483</v>
      </c>
      <c r="E11" s="105"/>
      <c r="F11" s="105" t="str">
        <f>CONCATENATE(Tabla1[[#This Row],[Simbología]],"_",Tabla1[[#This Row],[Acción]])</f>
        <v>AAA_Supervisión de comercialización de hidrocarburos (CL, GLP, GNV, GNC y GNL)</v>
      </c>
      <c r="G11" s="105" t="s">
        <v>6</v>
      </c>
      <c r="H11" s="103" t="s">
        <v>2534</v>
      </c>
      <c r="I11" s="105" t="s">
        <v>31</v>
      </c>
      <c r="J11" s="202" t="str">
        <f>CONCATENATE(Tabla1[[#This Row],[Simbología1]],"_",Tabla1[[#This Row],[Acción Especifica]])</f>
        <v>KIN_1_Supervisión por informalidad de oficio</v>
      </c>
      <c r="K11" s="202" t="s">
        <v>2576</v>
      </c>
      <c r="L11" s="105" t="s">
        <v>2500</v>
      </c>
      <c r="M11" s="105"/>
      <c r="N11" s="106" t="str">
        <f>CONCATENATE(Tabla1[[#This Row],[Simbología**]],"_",Tabla1[[#This Row],[Sub Acción Especifica]])</f>
        <v>KKIN_2_Informales</v>
      </c>
      <c r="O11" s="104" t="s">
        <v>2622</v>
      </c>
      <c r="P11" s="105" t="s">
        <v>26</v>
      </c>
      <c r="Q11" s="106" t="str">
        <f>CONCATENATE(Tabla1[[#This Row],[Simbología*]],"_",Tabla1[[#This Row],[Tipo de instalación relacionado]])</f>
        <v>KKKIN_2_Establecimientos (GNV)</v>
      </c>
      <c r="R11" s="107">
        <v>1</v>
      </c>
      <c r="S11" s="107">
        <v>1.5</v>
      </c>
      <c r="T11" s="108">
        <f>IFERROR(AVERAGE(Tabla1[[#This Row],[T. Mínimo]],Tabla1[[#This Row],[T. Máximo]]),0)</f>
        <v>1.25</v>
      </c>
      <c r="U11" s="107">
        <v>1.5</v>
      </c>
      <c r="V11" s="107">
        <v>3</v>
      </c>
      <c r="W11" s="108">
        <f>IFERROR(AVERAGE(Tabla1[[#This Row],[T. Mínimo*]],Tabla1[[#This Row],[T. Máximo*]]),0)</f>
        <v>2.25</v>
      </c>
      <c r="X11" s="107">
        <v>2</v>
      </c>
      <c r="Y11" s="107">
        <v>3</v>
      </c>
      <c r="Z11" s="108">
        <f>IFERROR(AVERAGE(Tabla1[[#This Row],[T. Mínimo**]],Tabla1[[#This Row],[T. Máximo**]]),0)</f>
        <v>2.5</v>
      </c>
      <c r="AA11" s="109">
        <f>SUM(Tabla1[[#This Row],[Promedio]],Tabla1[[#This Row],[Promedio*]],Tabla1[[#This Row],[Promedio**]])</f>
        <v>6</v>
      </c>
      <c r="AB11" s="110" t="s">
        <v>2486</v>
      </c>
      <c r="AD11" s="20" t="s">
        <v>2378</v>
      </c>
      <c r="AE11" s="10" t="s">
        <v>156</v>
      </c>
      <c r="AF11" s="20" t="s">
        <v>66</v>
      </c>
      <c r="AG11" s="10" t="s">
        <v>70</v>
      </c>
      <c r="AH11" s="22" t="str">
        <f t="shared" si="0"/>
        <v>Amazonas_01 Chachapoyas</v>
      </c>
      <c r="AI11" s="10" t="s">
        <v>155</v>
      </c>
      <c r="AJ11" s="20" t="s">
        <v>76</v>
      </c>
      <c r="AK11" s="22" t="str">
        <f t="shared" si="1"/>
        <v>Amazonas_01 Chachapoyas_05 Chiliquin</v>
      </c>
      <c r="AL11" s="25">
        <v>1</v>
      </c>
      <c r="AM11" s="25">
        <v>0</v>
      </c>
      <c r="AN11" s="26">
        <f>Tabla2[[#This Row],[Minutos]]/60</f>
        <v>0</v>
      </c>
      <c r="AO11" s="27">
        <f>SUM(Tabla2[[#This Row],[Horas]],Tabla2[[#This Row],[Minutos a Horas]])</f>
        <v>1</v>
      </c>
      <c r="AP11" s="49">
        <v>1</v>
      </c>
      <c r="AQ11" s="49">
        <v>50</v>
      </c>
      <c r="AR11" s="26">
        <f>Tabla2[[#This Row],[Minutos*]]/60</f>
        <v>0.83333333333333337</v>
      </c>
      <c r="AS11" s="27">
        <f>SUM(Tabla2[[#This Row],[Horas*]],Tabla2[[#This Row],[Minutos a Horas*]])+(Tabla2[[#This Row],[Tiempo Total a Nivel Proncincial (Horas)]])</f>
        <v>2.8333333333333335</v>
      </c>
      <c r="AX11" s="18" t="s">
        <v>2382</v>
      </c>
      <c r="AZ11" s="4" t="s">
        <v>2335</v>
      </c>
    </row>
    <row r="12" spans="1:62" ht="42.75" customHeight="1" x14ac:dyDescent="0.25">
      <c r="B12" s="78" t="s">
        <v>2314</v>
      </c>
      <c r="C12" s="199" t="s">
        <v>4</v>
      </c>
      <c r="D12" s="105" t="s">
        <v>2483</v>
      </c>
      <c r="E12" s="105"/>
      <c r="F12" s="105" t="str">
        <f>CONCATENATE(Tabla1[[#This Row],[Simbología]],"_",Tabla1[[#This Row],[Acción]])</f>
        <v>AAA_Supervisión de comercialización de hidrocarburos (CL, GLP, GNV, GNC y GNL)</v>
      </c>
      <c r="G12" s="105" t="s">
        <v>6</v>
      </c>
      <c r="H12" s="103" t="s">
        <v>2534</v>
      </c>
      <c r="I12" s="103" t="s">
        <v>2538</v>
      </c>
      <c r="J12" s="201" t="str">
        <f>CONCATENATE(Tabla1[[#This Row],[Simbología1]],"_",Tabla1[[#This Row],[Acción Especifica]])</f>
        <v>KIN_1_Supervisión por informalidad de oficio</v>
      </c>
      <c r="K12" s="202" t="s">
        <v>2576</v>
      </c>
      <c r="L12" s="105" t="s">
        <v>2500</v>
      </c>
      <c r="M12" s="105"/>
      <c r="N12" s="106" t="str">
        <f>CONCATENATE(Tabla1[[#This Row],[Simbología**]],"_",Tabla1[[#This Row],[Sub Acción Especifica]])</f>
        <v>KKIN_2_Informales</v>
      </c>
      <c r="O12" s="104" t="s">
        <v>2622</v>
      </c>
      <c r="P12" s="105" t="s">
        <v>8</v>
      </c>
      <c r="Q12" s="106" t="str">
        <f>CONCATENATE(Tabla1[[#This Row],[Simbología*]],"_",Tabla1[[#This Row],[Tipo de instalación relacionado]])</f>
        <v>KKKIN_2_Consumidores Directos de CL y/u OPDH</v>
      </c>
      <c r="R12" s="107">
        <v>1</v>
      </c>
      <c r="S12" s="107">
        <v>1.5</v>
      </c>
      <c r="T12" s="108">
        <f>IFERROR(AVERAGE(Tabla1[[#This Row],[T. Mínimo]],Tabla1[[#This Row],[T. Máximo]]),0)</f>
        <v>1.25</v>
      </c>
      <c r="U12" s="107">
        <v>1.5</v>
      </c>
      <c r="V12" s="107">
        <v>3</v>
      </c>
      <c r="W12" s="108">
        <f>IFERROR(AVERAGE(Tabla1[[#This Row],[T. Mínimo*]],Tabla1[[#This Row],[T. Máximo*]]),0)</f>
        <v>2.25</v>
      </c>
      <c r="X12" s="107">
        <v>2</v>
      </c>
      <c r="Y12" s="107">
        <v>3</v>
      </c>
      <c r="Z12" s="108">
        <f>IFERROR(AVERAGE(Tabla1[[#This Row],[T. Mínimo**]],Tabla1[[#This Row],[T. Máximo**]]),0)</f>
        <v>2.5</v>
      </c>
      <c r="AA12" s="109">
        <f>SUM(Tabla1[[#This Row],[Promedio]],Tabla1[[#This Row],[Promedio*]],Tabla1[[#This Row],[Promedio**]])</f>
        <v>6</v>
      </c>
      <c r="AB12" s="110" t="s">
        <v>2486</v>
      </c>
      <c r="AD12" s="20" t="s">
        <v>2378</v>
      </c>
      <c r="AE12" s="10" t="s">
        <v>156</v>
      </c>
      <c r="AF12" s="20" t="s">
        <v>66</v>
      </c>
      <c r="AG12" s="10" t="s">
        <v>71</v>
      </c>
      <c r="AH12" s="22" t="str">
        <f t="shared" si="0"/>
        <v>Amazonas_01 Chachapoyas</v>
      </c>
      <c r="AI12" s="10" t="s">
        <v>155</v>
      </c>
      <c r="AJ12" s="20" t="s">
        <v>77</v>
      </c>
      <c r="AK12" s="22" t="str">
        <f t="shared" si="1"/>
        <v>Amazonas_01 Chachapoyas_06 Chuquibamba</v>
      </c>
      <c r="AL12" s="25">
        <v>1</v>
      </c>
      <c r="AM12" s="25">
        <v>0</v>
      </c>
      <c r="AN12" s="26">
        <f>Tabla2[[#This Row],[Minutos]]/60</f>
        <v>0</v>
      </c>
      <c r="AO12" s="27">
        <f>SUM(Tabla2[[#This Row],[Horas]],Tabla2[[#This Row],[Minutos a Horas]])</f>
        <v>1</v>
      </c>
      <c r="AP12" s="49">
        <v>3</v>
      </c>
      <c r="AQ12" s="49">
        <v>30</v>
      </c>
      <c r="AR12" s="26">
        <f>Tabla2[[#This Row],[Minutos*]]/60</f>
        <v>0.5</v>
      </c>
      <c r="AS12" s="27">
        <f>SUM(Tabla2[[#This Row],[Horas*]],Tabla2[[#This Row],[Minutos a Horas*]])+(Tabla2[[#This Row],[Tiempo Total a Nivel Proncincial (Horas)]])</f>
        <v>4.5</v>
      </c>
      <c r="AX12" s="18" t="s">
        <v>2383</v>
      </c>
      <c r="AZ12" s="13" t="s">
        <v>2336</v>
      </c>
    </row>
    <row r="13" spans="1:62" ht="42.75" customHeight="1" x14ac:dyDescent="0.25">
      <c r="B13" s="78" t="s">
        <v>2314</v>
      </c>
      <c r="C13" s="199" t="s">
        <v>4</v>
      </c>
      <c r="D13" s="105" t="s">
        <v>2483</v>
      </c>
      <c r="E13" s="105"/>
      <c r="F13" s="105" t="str">
        <f>CONCATENATE(Tabla1[[#This Row],[Simbología]],"_",Tabla1[[#This Row],[Acción]])</f>
        <v>AAA_Supervisión de comercialización de hidrocarburos (CL, GLP, GNV, GNC y GNL)</v>
      </c>
      <c r="G13" s="105" t="s">
        <v>6</v>
      </c>
      <c r="H13" s="103" t="s">
        <v>2534</v>
      </c>
      <c r="I13" s="105" t="s">
        <v>2469</v>
      </c>
      <c r="J13" s="202" t="str">
        <f>CONCATENATE(Tabla1[[#This Row],[Simbología1]],"_",Tabla1[[#This Row],[Acción Especifica]])</f>
        <v>KIN_1_Supervisión por informalidad de oficio</v>
      </c>
      <c r="K13" s="202" t="s">
        <v>2576</v>
      </c>
      <c r="L13" s="105" t="s">
        <v>2500</v>
      </c>
      <c r="M13" s="105"/>
      <c r="N13" s="106" t="str">
        <f>CONCATENATE(Tabla1[[#This Row],[Simbología**]],"_",Tabla1[[#This Row],[Sub Acción Especifica]])</f>
        <v>KKIN_2_Informales</v>
      </c>
      <c r="O13" s="104" t="s">
        <v>2622</v>
      </c>
      <c r="P13" s="105" t="s">
        <v>22</v>
      </c>
      <c r="Q13" s="106" t="str">
        <f>CONCATENATE(Tabla1[[#This Row],[Simbología*]],"_",Tabla1[[#This Row],[Tipo de instalación relacionado]])</f>
        <v>KKKIN_2_Consumidores Directos GLP y Redes de Distribución</v>
      </c>
      <c r="R13" s="107">
        <v>1</v>
      </c>
      <c r="S13" s="107">
        <v>1.5</v>
      </c>
      <c r="T13" s="108">
        <f>IFERROR(AVERAGE(Tabla1[[#This Row],[T. Mínimo]],Tabla1[[#This Row],[T. Máximo]]),0)</f>
        <v>1.25</v>
      </c>
      <c r="U13" s="107">
        <v>1.5</v>
      </c>
      <c r="V13" s="107">
        <v>3</v>
      </c>
      <c r="W13" s="108">
        <f>IFERROR(AVERAGE(Tabla1[[#This Row],[T. Mínimo*]],Tabla1[[#This Row],[T. Máximo*]]),0)</f>
        <v>2.25</v>
      </c>
      <c r="X13" s="107">
        <v>2</v>
      </c>
      <c r="Y13" s="107">
        <v>3</v>
      </c>
      <c r="Z13" s="108">
        <f>IFERROR(AVERAGE(Tabla1[[#This Row],[T. Mínimo**]],Tabla1[[#This Row],[T. Máximo**]]),0)</f>
        <v>2.5</v>
      </c>
      <c r="AA13" s="109">
        <f>SUM(Tabla1[[#This Row],[Promedio]],Tabla1[[#This Row],[Promedio*]],Tabla1[[#This Row],[Promedio**]])</f>
        <v>6</v>
      </c>
      <c r="AB13" s="110" t="s">
        <v>2486</v>
      </c>
      <c r="AD13" s="20" t="s">
        <v>2378</v>
      </c>
      <c r="AE13" s="10" t="s">
        <v>156</v>
      </c>
      <c r="AF13" s="20" t="s">
        <v>66</v>
      </c>
      <c r="AG13" s="10" t="s">
        <v>72</v>
      </c>
      <c r="AH13" s="22" t="str">
        <f t="shared" si="0"/>
        <v>Amazonas_01 Chachapoyas</v>
      </c>
      <c r="AI13" s="10" t="s">
        <v>155</v>
      </c>
      <c r="AJ13" s="20" t="s">
        <v>78</v>
      </c>
      <c r="AK13" s="22" t="str">
        <f t="shared" si="1"/>
        <v>Amazonas_01 Chachapoyas_07 Granada</v>
      </c>
      <c r="AL13" s="25">
        <v>1</v>
      </c>
      <c r="AM13" s="25">
        <v>0</v>
      </c>
      <c r="AN13" s="26">
        <f>Tabla2[[#This Row],[Minutos]]/60</f>
        <v>0</v>
      </c>
      <c r="AO13" s="27">
        <f>SUM(Tabla2[[#This Row],[Horas]],Tabla2[[#This Row],[Minutos a Horas]])</f>
        <v>1</v>
      </c>
      <c r="AP13" s="49">
        <v>2</v>
      </c>
      <c r="AQ13" s="49">
        <v>30</v>
      </c>
      <c r="AR13" s="26">
        <f>Tabla2[[#This Row],[Minutos*]]/60</f>
        <v>0.5</v>
      </c>
      <c r="AS13" s="27">
        <f>SUM(Tabla2[[#This Row],[Horas*]],Tabla2[[#This Row],[Minutos a Horas*]])+(Tabla2[[#This Row],[Tiempo Total a Nivel Proncincial (Horas)]])</f>
        <v>3.5</v>
      </c>
      <c r="AX13" s="18" t="s">
        <v>2399</v>
      </c>
      <c r="AZ13" s="13" t="s">
        <v>2337</v>
      </c>
    </row>
    <row r="14" spans="1:62" ht="42.75" customHeight="1" x14ac:dyDescent="0.25">
      <c r="B14" s="78" t="s">
        <v>2314</v>
      </c>
      <c r="C14" s="199" t="s">
        <v>4</v>
      </c>
      <c r="D14" s="105" t="s">
        <v>2483</v>
      </c>
      <c r="E14" s="105"/>
      <c r="F14" s="105" t="str">
        <f>CONCATENATE(Tabla1[[#This Row],[Simbología]],"_",Tabla1[[#This Row],[Acción]])</f>
        <v>AAA_Supervisión de comercialización de hidrocarburos (CL, GLP, GNV, GNC y GNL)</v>
      </c>
      <c r="G14" s="105" t="s">
        <v>6</v>
      </c>
      <c r="H14" s="103" t="s">
        <v>2534</v>
      </c>
      <c r="I14" s="105" t="s">
        <v>2470</v>
      </c>
      <c r="J14" s="202" t="str">
        <f>CONCATENATE(Tabla1[[#This Row],[Simbología1]],"_",Tabla1[[#This Row],[Acción Especifica]])</f>
        <v>KIN_1_Supervisión por informalidad de oficio</v>
      </c>
      <c r="K14" s="202" t="s">
        <v>2576</v>
      </c>
      <c r="L14" s="105" t="s">
        <v>2500</v>
      </c>
      <c r="M14" s="111"/>
      <c r="N14" s="106" t="str">
        <f>CONCATENATE(Tabla1[[#This Row],[Simbología**]],"_",Tabla1[[#This Row],[Sub Acción Especifica]])</f>
        <v>KKIN_2_Informales</v>
      </c>
      <c r="O14" s="104" t="s">
        <v>2622</v>
      </c>
      <c r="P14" s="105" t="s">
        <v>23</v>
      </c>
      <c r="Q14" s="106" t="str">
        <f>CONCATENATE(Tabla1[[#This Row],[Simbología*]],"_",Tabla1[[#This Row],[Tipo de instalación relacionado]])</f>
        <v>KKKIN_2_Medios de Transporte y Distribuidores (Líquidos, GLP)</v>
      </c>
      <c r="R14" s="107">
        <v>1</v>
      </c>
      <c r="S14" s="107">
        <v>1.5</v>
      </c>
      <c r="T14" s="108">
        <f>IFERROR(AVERAGE(Tabla1[[#This Row],[T. Mínimo]],Tabla1[[#This Row],[T. Máximo]]),0)</f>
        <v>1.25</v>
      </c>
      <c r="U14" s="107">
        <v>1.5</v>
      </c>
      <c r="V14" s="107">
        <v>3</v>
      </c>
      <c r="W14" s="108">
        <f>IFERROR(AVERAGE(Tabla1[[#This Row],[T. Mínimo*]],Tabla1[[#This Row],[T. Máximo*]]),0)</f>
        <v>2.25</v>
      </c>
      <c r="X14" s="107">
        <v>2</v>
      </c>
      <c r="Y14" s="107">
        <v>3</v>
      </c>
      <c r="Z14" s="108">
        <f>IFERROR(AVERAGE(Tabla1[[#This Row],[T. Mínimo**]],Tabla1[[#This Row],[T. Máximo**]]),0)</f>
        <v>2.5</v>
      </c>
      <c r="AA14" s="109">
        <f>SUM(Tabla1[[#This Row],[Promedio]],Tabla1[[#This Row],[Promedio*]],Tabla1[[#This Row],[Promedio**]])</f>
        <v>6</v>
      </c>
      <c r="AB14" s="110" t="s">
        <v>2486</v>
      </c>
      <c r="AD14" s="20" t="s">
        <v>2378</v>
      </c>
      <c r="AE14" s="10" t="s">
        <v>156</v>
      </c>
      <c r="AF14" s="20" t="s">
        <v>66</v>
      </c>
      <c r="AG14" s="10"/>
      <c r="AH14" s="22" t="str">
        <f t="shared" si="0"/>
        <v>Amazonas_01 Chachapoyas</v>
      </c>
      <c r="AI14" s="10" t="s">
        <v>155</v>
      </c>
      <c r="AJ14" s="20" t="s">
        <v>79</v>
      </c>
      <c r="AK14" s="22" t="str">
        <f t="shared" si="1"/>
        <v>Amazonas_01 Chachapoyas_08 Huancas</v>
      </c>
      <c r="AL14" s="25">
        <v>1</v>
      </c>
      <c r="AM14" s="25">
        <v>0</v>
      </c>
      <c r="AN14" s="26">
        <f>Tabla2[[#This Row],[Minutos]]/60</f>
        <v>0</v>
      </c>
      <c r="AO14" s="27">
        <f>SUM(Tabla2[[#This Row],[Horas]],Tabla2[[#This Row],[Minutos a Horas]])</f>
        <v>1</v>
      </c>
      <c r="AP14" s="49"/>
      <c r="AQ14" s="49">
        <v>30</v>
      </c>
      <c r="AR14" s="26">
        <f>Tabla2[[#This Row],[Minutos*]]/60</f>
        <v>0.5</v>
      </c>
      <c r="AS14" s="27">
        <f>SUM(Tabla2[[#This Row],[Horas*]],Tabla2[[#This Row],[Minutos a Horas*]])+(Tabla2[[#This Row],[Tiempo Total a Nivel Proncincial (Horas)]])</f>
        <v>1.5</v>
      </c>
      <c r="AX14" s="18" t="s">
        <v>2384</v>
      </c>
      <c r="AZ14" s="13" t="s">
        <v>2338</v>
      </c>
    </row>
    <row r="15" spans="1:62" ht="44.25" customHeight="1" x14ac:dyDescent="0.25">
      <c r="B15" s="78" t="s">
        <v>2314</v>
      </c>
      <c r="C15" s="199" t="s">
        <v>4</v>
      </c>
      <c r="D15" s="105" t="s">
        <v>2483</v>
      </c>
      <c r="E15" s="105"/>
      <c r="F15" s="105" t="str">
        <f>CONCATENATE(Tabla1[[#This Row],[Simbología]],"_",Tabla1[[#This Row],[Acción]])</f>
        <v>AAA_Supervisión de comercialización de hidrocarburos (CL, GLP, GNV, GNC y GNL)</v>
      </c>
      <c r="G15" s="105" t="s">
        <v>6</v>
      </c>
      <c r="H15" s="103" t="s">
        <v>2534</v>
      </c>
      <c r="I15" s="103" t="s">
        <v>2472</v>
      </c>
      <c r="J15" s="201" t="str">
        <f>CONCATENATE(Tabla1[[#This Row],[Simbología1]],"_",Tabla1[[#This Row],[Acción Especifica]])</f>
        <v>KIN_1_Supervisión por informalidad de oficio</v>
      </c>
      <c r="K15" s="202" t="s">
        <v>2576</v>
      </c>
      <c r="L15" s="105" t="s">
        <v>2500</v>
      </c>
      <c r="M15" s="105"/>
      <c r="N15" s="106" t="str">
        <f>CONCATENATE(Tabla1[[#This Row],[Simbología**]],"_",Tabla1[[#This Row],[Sub Acción Especifica]])</f>
        <v>KKIN_2_Informales</v>
      </c>
      <c r="O15" s="104" t="s">
        <v>2622</v>
      </c>
      <c r="P15" s="105" t="s">
        <v>45</v>
      </c>
      <c r="Q15" s="106" t="str">
        <f>CONCATENATE(Tabla1[[#This Row],[Simbología*]],"_",Tabla1[[#This Row],[Tipo de instalación relacionado]])</f>
        <v>KKKIN_2_Medios de Transporte (GNC, GNL)</v>
      </c>
      <c r="R15" s="107">
        <v>1</v>
      </c>
      <c r="S15" s="107">
        <v>1.5</v>
      </c>
      <c r="T15" s="108">
        <f>IFERROR(AVERAGE(Tabla1[[#This Row],[T. Mínimo]],Tabla1[[#This Row],[T. Máximo]]),0)</f>
        <v>1.25</v>
      </c>
      <c r="U15" s="107">
        <v>1.5</v>
      </c>
      <c r="V15" s="107">
        <v>3</v>
      </c>
      <c r="W15" s="108">
        <f>IFERROR(AVERAGE(Tabla1[[#This Row],[T. Mínimo*]],Tabla1[[#This Row],[T. Máximo*]]),0)</f>
        <v>2.25</v>
      </c>
      <c r="X15" s="107">
        <v>2</v>
      </c>
      <c r="Y15" s="107">
        <v>3</v>
      </c>
      <c r="Z15" s="108">
        <f>IFERROR(AVERAGE(Tabla1[[#This Row],[T. Mínimo**]],Tabla1[[#This Row],[T. Máximo**]]),0)</f>
        <v>2.5</v>
      </c>
      <c r="AA15" s="109">
        <f>SUM(Tabla1[[#This Row],[Promedio]],Tabla1[[#This Row],[Promedio*]],Tabla1[[#This Row],[Promedio**]])</f>
        <v>6</v>
      </c>
      <c r="AB15" s="110" t="s">
        <v>2486</v>
      </c>
      <c r="AD15" s="20" t="s">
        <v>2378</v>
      </c>
      <c r="AE15" s="10" t="s">
        <v>156</v>
      </c>
      <c r="AF15" s="20" t="s">
        <v>66</v>
      </c>
      <c r="AG15" s="10"/>
      <c r="AH15" s="22" t="str">
        <f t="shared" si="0"/>
        <v>Amazonas_01 Chachapoyas</v>
      </c>
      <c r="AI15" s="10" t="s">
        <v>155</v>
      </c>
      <c r="AJ15" s="20" t="s">
        <v>80</v>
      </c>
      <c r="AK15" s="22" t="str">
        <f t="shared" si="1"/>
        <v>Amazonas_01 Chachapoyas_09 La Jalca</v>
      </c>
      <c r="AL15" s="25">
        <v>1</v>
      </c>
      <c r="AM15" s="25">
        <v>0</v>
      </c>
      <c r="AN15" s="26">
        <f>Tabla2[[#This Row],[Minutos]]/60</f>
        <v>0</v>
      </c>
      <c r="AO15" s="27">
        <f>SUM(Tabla2[[#This Row],[Horas]],Tabla2[[#This Row],[Minutos a Horas]])</f>
        <v>1</v>
      </c>
      <c r="AP15" s="49">
        <v>3</v>
      </c>
      <c r="AQ15" s="49"/>
      <c r="AR15" s="26">
        <f>Tabla2[[#This Row],[Minutos*]]/60</f>
        <v>0</v>
      </c>
      <c r="AS15" s="27">
        <f>SUM(Tabla2[[#This Row],[Horas*]],Tabla2[[#This Row],[Minutos a Horas*]])+(Tabla2[[#This Row],[Tiempo Total a Nivel Proncincial (Horas)]])</f>
        <v>4</v>
      </c>
      <c r="AX15" s="18" t="s">
        <v>2394</v>
      </c>
      <c r="AZ15" s="13" t="s">
        <v>2339</v>
      </c>
    </row>
    <row r="16" spans="1:62" ht="42.75" customHeight="1" x14ac:dyDescent="0.25">
      <c r="B16" s="78" t="s">
        <v>2314</v>
      </c>
      <c r="C16" s="199" t="s">
        <v>4</v>
      </c>
      <c r="D16" s="105" t="s">
        <v>2483</v>
      </c>
      <c r="E16" s="105"/>
      <c r="F16" s="105" t="str">
        <f>CONCATENATE(Tabla1[[#This Row],[Simbología]],"_",Tabla1[[#This Row],[Acción]])</f>
        <v>AAA_Supervisión de comercialización de hidrocarburos (CL, GLP, GNV, GNC y GNL)</v>
      </c>
      <c r="G16" s="105" t="s">
        <v>6</v>
      </c>
      <c r="H16" s="103" t="s">
        <v>2534</v>
      </c>
      <c r="I16" s="105" t="s">
        <v>2560</v>
      </c>
      <c r="J16" s="202" t="str">
        <f>CONCATENATE(Tabla1[[#This Row],[Simbología1]],"_",Tabla1[[#This Row],[Acción Especifica]])</f>
        <v>KIN_1_Supervisión por informalidad de oficio</v>
      </c>
      <c r="K16" s="202" t="s">
        <v>2576</v>
      </c>
      <c r="L16" s="105" t="s">
        <v>2500</v>
      </c>
      <c r="M16" s="105"/>
      <c r="N16" s="106" t="str">
        <f>CONCATENATE(Tabla1[[#This Row],[Simbología**]],"_",Tabla1[[#This Row],[Sub Acción Especifica]])</f>
        <v>KKIN_2_Informales</v>
      </c>
      <c r="O16" s="104" t="s">
        <v>2622</v>
      </c>
      <c r="P16" s="105" t="s">
        <v>24</v>
      </c>
      <c r="Q16" s="106" t="str">
        <f>CONCATENATE(Tabla1[[#This Row],[Simbología*]],"_",Tabla1[[#This Row],[Tipo de instalación relacionado]])</f>
        <v>KKKIN_2_Locales de Venta de GLP</v>
      </c>
      <c r="R16" s="107">
        <v>1</v>
      </c>
      <c r="S16" s="107">
        <v>1.5</v>
      </c>
      <c r="T16" s="108">
        <f>IFERROR(AVERAGE(Tabla1[[#This Row],[T. Mínimo]],Tabla1[[#This Row],[T. Máximo]]),0)</f>
        <v>1.25</v>
      </c>
      <c r="U16" s="107">
        <v>1.5</v>
      </c>
      <c r="V16" s="107">
        <v>3</v>
      </c>
      <c r="W16" s="108">
        <f>IFERROR(AVERAGE(Tabla1[[#This Row],[T. Mínimo*]],Tabla1[[#This Row],[T. Máximo*]]),0)</f>
        <v>2.25</v>
      </c>
      <c r="X16" s="107">
        <v>2</v>
      </c>
      <c r="Y16" s="107">
        <v>3</v>
      </c>
      <c r="Z16" s="108">
        <f>IFERROR(AVERAGE(Tabla1[[#This Row],[T. Mínimo**]],Tabla1[[#This Row],[T. Máximo**]]),0)</f>
        <v>2.5</v>
      </c>
      <c r="AA16" s="109">
        <f>SUM(Tabla1[[#This Row],[Promedio]],Tabla1[[#This Row],[Promedio*]],Tabla1[[#This Row],[Promedio**]])</f>
        <v>6</v>
      </c>
      <c r="AB16" s="110" t="s">
        <v>2486</v>
      </c>
      <c r="AD16" s="20" t="s">
        <v>2378</v>
      </c>
      <c r="AE16" s="10" t="s">
        <v>156</v>
      </c>
      <c r="AF16" s="20" t="s">
        <v>66</v>
      </c>
      <c r="AG16" s="10"/>
      <c r="AH16" s="22" t="str">
        <f t="shared" si="0"/>
        <v>Amazonas_01 Chachapoyas</v>
      </c>
      <c r="AI16" s="10" t="s">
        <v>155</v>
      </c>
      <c r="AJ16" s="20" t="s">
        <v>81</v>
      </c>
      <c r="AK16" s="22" t="str">
        <f t="shared" si="1"/>
        <v>Amazonas_01 Chachapoyas_10 Leimebamba</v>
      </c>
      <c r="AL16" s="25">
        <v>1</v>
      </c>
      <c r="AM16" s="25">
        <v>0</v>
      </c>
      <c r="AN16" s="26">
        <f>Tabla2[[#This Row],[Minutos]]/60</f>
        <v>0</v>
      </c>
      <c r="AO16" s="27">
        <f>SUM(Tabla2[[#This Row],[Horas]],Tabla2[[#This Row],[Minutos a Horas]])</f>
        <v>1</v>
      </c>
      <c r="AP16" s="49">
        <v>3</v>
      </c>
      <c r="AQ16" s="49"/>
      <c r="AR16" s="26">
        <f>Tabla2[[#This Row],[Minutos*]]/60</f>
        <v>0</v>
      </c>
      <c r="AS16" s="27">
        <f>SUM(Tabla2[[#This Row],[Horas*]],Tabla2[[#This Row],[Minutos a Horas*]])+(Tabla2[[#This Row],[Tiempo Total a Nivel Proncincial (Horas)]])</f>
        <v>4</v>
      </c>
      <c r="AX16" s="18" t="s">
        <v>2396</v>
      </c>
      <c r="AZ16" s="13" t="s">
        <v>2340</v>
      </c>
    </row>
    <row r="17" spans="2:52" ht="42.75" customHeight="1" x14ac:dyDescent="0.25">
      <c r="B17" s="78" t="s">
        <v>2314</v>
      </c>
      <c r="C17" s="199" t="s">
        <v>4</v>
      </c>
      <c r="D17" s="105" t="s">
        <v>2483</v>
      </c>
      <c r="E17" s="105"/>
      <c r="F17" s="105" t="str">
        <f>CONCATENATE(Tabla1[[#This Row],[Simbología]],"_",Tabla1[[#This Row],[Acción]])</f>
        <v>AAA_Supervisión de comercialización de hidrocarburos (CL, GLP, GNV, GNC y GNL)</v>
      </c>
      <c r="G17" s="105" t="s">
        <v>6</v>
      </c>
      <c r="H17" s="103" t="s">
        <v>2534</v>
      </c>
      <c r="I17" s="104"/>
      <c r="J17" s="202" t="str">
        <f>CONCATENATE(Tabla1[[#This Row],[Simbología1]],"_",Tabla1[[#This Row],[Acción Especifica]])</f>
        <v>KIN_1_Supervisión por informalidad de oficio</v>
      </c>
      <c r="K17" s="202" t="s">
        <v>2576</v>
      </c>
      <c r="L17" s="105" t="s">
        <v>2500</v>
      </c>
      <c r="M17" s="105"/>
      <c r="N17" s="106" t="str">
        <f>CONCATENATE(Tabla1[[#This Row],[Simbología**]],"_",Tabla1[[#This Row],[Sub Acción Especifica]])</f>
        <v>KKIN_2_Informales</v>
      </c>
      <c r="O17" s="104" t="s">
        <v>2622</v>
      </c>
      <c r="P17" s="105" t="s">
        <v>2416</v>
      </c>
      <c r="Q17" s="106" t="str">
        <f>CONCATENATE(Tabla1[[#This Row],[Simbología*]],"_",Tabla1[[#This Row],[Tipo de instalación relacionado]])</f>
        <v>KKKIN_2_Grifo Rural con almacenamiento en cilindros</v>
      </c>
      <c r="R17" s="107">
        <v>1</v>
      </c>
      <c r="S17" s="107">
        <v>1.5</v>
      </c>
      <c r="T17" s="108">
        <f>IFERROR(AVERAGE(Tabla1[[#This Row],[T. Mínimo]],Tabla1[[#This Row],[T. Máximo]]),0)</f>
        <v>1.25</v>
      </c>
      <c r="U17" s="107">
        <v>1.5</v>
      </c>
      <c r="V17" s="107">
        <v>3</v>
      </c>
      <c r="W17" s="108">
        <f>IFERROR(AVERAGE(Tabla1[[#This Row],[T. Mínimo*]],Tabla1[[#This Row],[T. Máximo*]]),0)</f>
        <v>2.25</v>
      </c>
      <c r="X17" s="107">
        <v>2</v>
      </c>
      <c r="Y17" s="107">
        <v>3</v>
      </c>
      <c r="Z17" s="108">
        <f>IFERROR(AVERAGE(Tabla1[[#This Row],[T. Mínimo**]],Tabla1[[#This Row],[T. Máximo**]]),0)</f>
        <v>2.5</v>
      </c>
      <c r="AA17" s="109">
        <f>SUM(Tabla1[[#This Row],[Promedio]],Tabla1[[#This Row],[Promedio*]],Tabla1[[#This Row],[Promedio**]])</f>
        <v>6</v>
      </c>
      <c r="AB17" s="110" t="s">
        <v>2486</v>
      </c>
      <c r="AD17" s="20" t="s">
        <v>2378</v>
      </c>
      <c r="AE17" s="10" t="s">
        <v>156</v>
      </c>
      <c r="AF17" s="20" t="s">
        <v>66</v>
      </c>
      <c r="AG17" s="10"/>
      <c r="AH17" s="22" t="str">
        <f t="shared" si="0"/>
        <v>Amazonas_01 Chachapoyas</v>
      </c>
      <c r="AI17" s="10" t="s">
        <v>155</v>
      </c>
      <c r="AJ17" s="20" t="s">
        <v>82</v>
      </c>
      <c r="AK17" s="22" t="str">
        <f t="shared" si="1"/>
        <v>Amazonas_01 Chachapoyas_11 Levanto</v>
      </c>
      <c r="AL17" s="25">
        <v>1</v>
      </c>
      <c r="AM17" s="25">
        <v>0</v>
      </c>
      <c r="AN17" s="26">
        <f>Tabla2[[#This Row],[Minutos]]/60</f>
        <v>0</v>
      </c>
      <c r="AO17" s="27">
        <f>SUM(Tabla2[[#This Row],[Horas]],Tabla2[[#This Row],[Minutos a Horas]])</f>
        <v>1</v>
      </c>
      <c r="AP17" s="49">
        <v>1</v>
      </c>
      <c r="AQ17" s="49"/>
      <c r="AR17" s="26">
        <f>Tabla2[[#This Row],[Minutos*]]/60</f>
        <v>0</v>
      </c>
      <c r="AS17" s="27">
        <f>SUM(Tabla2[[#This Row],[Horas*]],Tabla2[[#This Row],[Minutos a Horas*]])+(Tabla2[[#This Row],[Tiempo Total a Nivel Proncincial (Horas)]])</f>
        <v>2</v>
      </c>
      <c r="AX17" s="18" t="s">
        <v>2393</v>
      </c>
      <c r="AZ17" s="13" t="s">
        <v>2341</v>
      </c>
    </row>
    <row r="18" spans="2:52" ht="42.75" customHeight="1" x14ac:dyDescent="0.25">
      <c r="B18" s="78" t="s">
        <v>2314</v>
      </c>
      <c r="C18" s="199" t="s">
        <v>4</v>
      </c>
      <c r="D18" s="105" t="s">
        <v>2483</v>
      </c>
      <c r="E18" s="105"/>
      <c r="F18" s="105" t="str">
        <f>CONCATENATE(Tabla1[[#This Row],[Simbología]],"_",Tabla1[[#This Row],[Acción]])</f>
        <v>AAA_Supervisión de comercialización de hidrocarburos (CL, GLP, GNV, GNC y GNL)</v>
      </c>
      <c r="G18" s="105" t="s">
        <v>6</v>
      </c>
      <c r="H18" s="105" t="s">
        <v>29</v>
      </c>
      <c r="I18" s="104"/>
      <c r="J18" s="202" t="str">
        <f>CONCATENATE(Tabla1[[#This Row],[Simbología1]],"_",Tabla1[[#This Row],[Acción Especifica]])</f>
        <v>KIN_1_Supervisión PRICE</v>
      </c>
      <c r="K18" s="202" t="s">
        <v>2577</v>
      </c>
      <c r="L18" s="105" t="s">
        <v>30</v>
      </c>
      <c r="M18" s="105" t="s">
        <v>30</v>
      </c>
      <c r="N18" s="106" t="str">
        <f>CONCATENATE(Tabla1[[#This Row],[Simbología**]],"_",Tabla1[[#This Row],[Sub Acción Especifica]])</f>
        <v>KKIN_3_PRICE</v>
      </c>
      <c r="O18" s="104" t="s">
        <v>2623</v>
      </c>
      <c r="P18" s="105" t="s">
        <v>2363</v>
      </c>
      <c r="Q18" s="106" t="str">
        <f>CONCATENATE(Tabla1[[#This Row],[Simbología*]],"_",Tabla1[[#This Row],[Tipo de instalación relacionado]])</f>
        <v>KKKIN_3_Establecimientos de Venta al Público (Líquidos y/o GLP)</v>
      </c>
      <c r="R18" s="112">
        <v>0.5</v>
      </c>
      <c r="S18" s="107">
        <v>1</v>
      </c>
      <c r="T18" s="108">
        <f>IFERROR(AVERAGE(Tabla1[[#This Row],[T. Mínimo]],Tabla1[[#This Row],[T. Máximo]]),0)</f>
        <v>0.75</v>
      </c>
      <c r="U18" s="107">
        <v>1</v>
      </c>
      <c r="V18" s="107">
        <v>1.5</v>
      </c>
      <c r="W18" s="108">
        <f>IFERROR(AVERAGE(Tabla1[[#This Row],[T. Mínimo*]],Tabla1[[#This Row],[T. Máximo*]]),0)</f>
        <v>1.25</v>
      </c>
      <c r="X18" s="107">
        <v>1</v>
      </c>
      <c r="Y18" s="107">
        <v>2</v>
      </c>
      <c r="Z18" s="108">
        <f>IFERROR(AVERAGE(Tabla1[[#This Row],[T. Mínimo**]],Tabla1[[#This Row],[T. Máximo**]]),0)</f>
        <v>1.5</v>
      </c>
      <c r="AA18" s="109">
        <f>SUM(Tabla1[[#This Row],[Promedio]],Tabla1[[#This Row],[Promedio*]],Tabla1[[#This Row],[Promedio**]])</f>
        <v>3.5</v>
      </c>
      <c r="AB18" s="110" t="s">
        <v>2486</v>
      </c>
      <c r="AD18" s="20" t="s">
        <v>2378</v>
      </c>
      <c r="AE18" s="10" t="s">
        <v>156</v>
      </c>
      <c r="AF18" s="20" t="s">
        <v>66</v>
      </c>
      <c r="AG18" s="10"/>
      <c r="AH18" s="22" t="str">
        <f t="shared" si="0"/>
        <v>Amazonas_01 Chachapoyas</v>
      </c>
      <c r="AI18" s="10" t="s">
        <v>155</v>
      </c>
      <c r="AJ18" s="20" t="s">
        <v>83</v>
      </c>
      <c r="AK18" s="22" t="str">
        <f t="shared" si="1"/>
        <v>Amazonas_01 Chachapoyas_12 Magdalena</v>
      </c>
      <c r="AL18" s="25">
        <v>1</v>
      </c>
      <c r="AM18" s="25">
        <v>0</v>
      </c>
      <c r="AN18" s="26">
        <f>Tabla2[[#This Row],[Minutos]]/60</f>
        <v>0</v>
      </c>
      <c r="AO18" s="27">
        <f>SUM(Tabla2[[#This Row],[Horas]],Tabla2[[#This Row],[Minutos a Horas]])</f>
        <v>1</v>
      </c>
      <c r="AP18" s="49">
        <v>1</v>
      </c>
      <c r="AQ18" s="49"/>
      <c r="AR18" s="26">
        <f>Tabla2[[#This Row],[Minutos*]]/60</f>
        <v>0</v>
      </c>
      <c r="AS18" s="27">
        <f>SUM(Tabla2[[#This Row],[Horas*]],Tabla2[[#This Row],[Minutos a Horas*]])+(Tabla2[[#This Row],[Tiempo Total a Nivel Proncincial (Horas)]])</f>
        <v>2</v>
      </c>
      <c r="AX18" s="18" t="s">
        <v>2401</v>
      </c>
      <c r="AZ18" s="13" t="s">
        <v>2342</v>
      </c>
    </row>
    <row r="19" spans="2:52" ht="42.75" customHeight="1" x14ac:dyDescent="0.25">
      <c r="B19" s="78" t="s">
        <v>2314</v>
      </c>
      <c r="C19" s="199" t="s">
        <v>4</v>
      </c>
      <c r="D19" s="105" t="s">
        <v>2483</v>
      </c>
      <c r="E19" s="105"/>
      <c r="F19" s="105" t="str">
        <f>CONCATENATE(Tabla1[[#This Row],[Simbología]],"_",Tabla1[[#This Row],[Acción]])</f>
        <v>AAA_Supervisión de comercialización de hidrocarburos (CL, GLP, GNV, GNC y GNL)</v>
      </c>
      <c r="G19" s="105" t="s">
        <v>6</v>
      </c>
      <c r="H19" s="105" t="s">
        <v>29</v>
      </c>
      <c r="I19" s="104"/>
      <c r="J19" s="202" t="str">
        <f>CONCATENATE(Tabla1[[#This Row],[Simbología1]],"_",Tabla1[[#This Row],[Acción Especifica]])</f>
        <v>KIN_1_Supervisión PRICE</v>
      </c>
      <c r="K19" s="202" t="s">
        <v>2577</v>
      </c>
      <c r="L19" s="105" t="s">
        <v>30</v>
      </c>
      <c r="M19" s="113"/>
      <c r="N19" s="106" t="str">
        <f>CONCATENATE(Tabla1[[#This Row],[Simbología**]],"_",Tabla1[[#This Row],[Sub Acción Especifica]])</f>
        <v>KKIN_3_PRICE</v>
      </c>
      <c r="O19" s="104" t="s">
        <v>2623</v>
      </c>
      <c r="P19" s="105" t="s">
        <v>2407</v>
      </c>
      <c r="Q19" s="106" t="str">
        <f>CONCATENATE(Tabla1[[#This Row],[Simbología*]],"_",Tabla1[[#This Row],[Tipo de instalación relacionado]])</f>
        <v>KKKIN_3_Establecimientos de Venta al Público (GNV)</v>
      </c>
      <c r="R19" s="112">
        <v>0.5</v>
      </c>
      <c r="S19" s="107">
        <v>1</v>
      </c>
      <c r="T19" s="108">
        <f>IFERROR(AVERAGE(Tabla1[[#This Row],[T. Mínimo]],Tabla1[[#This Row],[T. Máximo]]),0)</f>
        <v>0.75</v>
      </c>
      <c r="U19" s="107">
        <v>1</v>
      </c>
      <c r="V19" s="107">
        <v>1.5</v>
      </c>
      <c r="W19" s="108">
        <f>IFERROR(AVERAGE(Tabla1[[#This Row],[T. Mínimo*]],Tabla1[[#This Row],[T. Máximo*]]),0)</f>
        <v>1.25</v>
      </c>
      <c r="X19" s="107">
        <v>1</v>
      </c>
      <c r="Y19" s="107">
        <v>2</v>
      </c>
      <c r="Z19" s="108">
        <f>IFERROR(AVERAGE(Tabla1[[#This Row],[T. Mínimo**]],Tabla1[[#This Row],[T. Máximo**]]),0)</f>
        <v>1.5</v>
      </c>
      <c r="AA19" s="109">
        <f>SUM(Tabla1[[#This Row],[Promedio]],Tabla1[[#This Row],[Promedio*]],Tabla1[[#This Row],[Promedio**]])</f>
        <v>3.5</v>
      </c>
      <c r="AB19" s="110" t="s">
        <v>2486</v>
      </c>
      <c r="AD19" s="20" t="s">
        <v>2378</v>
      </c>
      <c r="AE19" s="10" t="s">
        <v>156</v>
      </c>
      <c r="AF19" s="20" t="s">
        <v>66</v>
      </c>
      <c r="AG19" s="10"/>
      <c r="AH19" s="22" t="str">
        <f t="shared" si="0"/>
        <v>Amazonas_01 Chachapoyas</v>
      </c>
      <c r="AI19" s="10" t="s">
        <v>155</v>
      </c>
      <c r="AJ19" s="20" t="s">
        <v>84</v>
      </c>
      <c r="AK19" s="22" t="str">
        <f t="shared" si="1"/>
        <v>Amazonas_01 Chachapoyas_13 Mariscal Castilla</v>
      </c>
      <c r="AL19" s="25">
        <v>1</v>
      </c>
      <c r="AM19" s="25">
        <v>0</v>
      </c>
      <c r="AN19" s="26">
        <f>Tabla2[[#This Row],[Minutos]]/60</f>
        <v>0</v>
      </c>
      <c r="AO19" s="27">
        <f>SUM(Tabla2[[#This Row],[Horas]],Tabla2[[#This Row],[Minutos a Horas]])</f>
        <v>1</v>
      </c>
      <c r="AP19" s="49">
        <v>1</v>
      </c>
      <c r="AQ19" s="49">
        <v>45</v>
      </c>
      <c r="AR19" s="26">
        <f>Tabla2[[#This Row],[Minutos*]]/60</f>
        <v>0.75</v>
      </c>
      <c r="AS19" s="27">
        <f>SUM(Tabla2[[#This Row],[Horas*]],Tabla2[[#This Row],[Minutos a Horas*]])+(Tabla2[[#This Row],[Tiempo Total a Nivel Proncincial (Horas)]])</f>
        <v>2.75</v>
      </c>
      <c r="AX19" s="18" t="s">
        <v>2402</v>
      </c>
      <c r="AZ19" s="13" t="s">
        <v>2343</v>
      </c>
    </row>
    <row r="20" spans="2:52" ht="42.75" customHeight="1" x14ac:dyDescent="0.25">
      <c r="B20" s="78" t="s">
        <v>2314</v>
      </c>
      <c r="C20" s="199" t="s">
        <v>4</v>
      </c>
      <c r="D20" s="105" t="s">
        <v>2483</v>
      </c>
      <c r="E20" s="105"/>
      <c r="F20" s="105" t="str">
        <f>CONCATENATE(Tabla1[[#This Row],[Simbología]],"_",Tabla1[[#This Row],[Acción]])</f>
        <v>AAA_Supervisión de comercialización de hidrocarburos (CL, GLP, GNV, GNC y GNL)</v>
      </c>
      <c r="G20" s="105" t="s">
        <v>6</v>
      </c>
      <c r="H20" s="105" t="s">
        <v>29</v>
      </c>
      <c r="I20" s="104"/>
      <c r="J20" s="202" t="str">
        <f>CONCATENATE(Tabla1[[#This Row],[Simbología1]],"_",Tabla1[[#This Row],[Acción Especifica]])</f>
        <v>KIN_1_Supervisión PRICE</v>
      </c>
      <c r="K20" s="202" t="s">
        <v>2577</v>
      </c>
      <c r="L20" s="105" t="s">
        <v>30</v>
      </c>
      <c r="M20" s="113"/>
      <c r="N20" s="106" t="str">
        <f>CONCATENATE(Tabla1[[#This Row],[Simbología**]],"_",Tabla1[[#This Row],[Sub Acción Especifica]])</f>
        <v>KKIN_3_PRICE</v>
      </c>
      <c r="O20" s="104" t="s">
        <v>2623</v>
      </c>
      <c r="P20" s="105" t="s">
        <v>24</v>
      </c>
      <c r="Q20" s="106" t="str">
        <f>CONCATENATE(Tabla1[[#This Row],[Simbología*]],"_",Tabla1[[#This Row],[Tipo de instalación relacionado]])</f>
        <v>KKKIN_3_Locales de Venta de GLP</v>
      </c>
      <c r="R20" s="112">
        <v>0.5</v>
      </c>
      <c r="S20" s="107">
        <v>1</v>
      </c>
      <c r="T20" s="108">
        <f>IFERROR(AVERAGE(Tabla1[[#This Row],[T. Mínimo]],Tabla1[[#This Row],[T. Máximo]]),0)</f>
        <v>0.75</v>
      </c>
      <c r="U20" s="107">
        <v>0.5</v>
      </c>
      <c r="V20" s="107">
        <v>1</v>
      </c>
      <c r="W20" s="108">
        <f>IFERROR(AVERAGE(Tabla1[[#This Row],[T. Mínimo*]],Tabla1[[#This Row],[T. Máximo*]]),0)</f>
        <v>0.75</v>
      </c>
      <c r="X20" s="107">
        <v>1</v>
      </c>
      <c r="Y20" s="107">
        <v>2</v>
      </c>
      <c r="Z20" s="108">
        <f>IFERROR(AVERAGE(Tabla1[[#This Row],[T. Mínimo**]],Tabla1[[#This Row],[T. Máximo**]]),0)</f>
        <v>1.5</v>
      </c>
      <c r="AA20" s="109">
        <f>SUM(Tabla1[[#This Row],[Promedio]],Tabla1[[#This Row],[Promedio*]],Tabla1[[#This Row],[Promedio**]])</f>
        <v>3</v>
      </c>
      <c r="AB20" s="110" t="s">
        <v>2486</v>
      </c>
      <c r="AD20" s="20" t="s">
        <v>2378</v>
      </c>
      <c r="AE20" s="10" t="s">
        <v>156</v>
      </c>
      <c r="AF20" s="20" t="s">
        <v>66</v>
      </c>
      <c r="AG20" s="10"/>
      <c r="AH20" s="22" t="str">
        <f t="shared" si="0"/>
        <v>Amazonas_01 Chachapoyas</v>
      </c>
      <c r="AI20" s="10" t="s">
        <v>155</v>
      </c>
      <c r="AJ20" s="20" t="s">
        <v>85</v>
      </c>
      <c r="AK20" s="22" t="str">
        <f t="shared" si="1"/>
        <v>Amazonas_01 Chachapoyas_14 Molinopampa</v>
      </c>
      <c r="AL20" s="25">
        <v>1</v>
      </c>
      <c r="AM20" s="25">
        <v>0</v>
      </c>
      <c r="AN20" s="26">
        <f>Tabla2[[#This Row],[Minutos]]/60</f>
        <v>0</v>
      </c>
      <c r="AO20" s="27">
        <f>SUM(Tabla2[[#This Row],[Horas]],Tabla2[[#This Row],[Minutos a Horas]])</f>
        <v>1</v>
      </c>
      <c r="AP20" s="49">
        <v>1</v>
      </c>
      <c r="AQ20" s="49">
        <v>50</v>
      </c>
      <c r="AR20" s="26">
        <f>Tabla2[[#This Row],[Minutos*]]/60</f>
        <v>0.83333333333333337</v>
      </c>
      <c r="AS20" s="27">
        <f>SUM(Tabla2[[#This Row],[Horas*]],Tabla2[[#This Row],[Minutos a Horas*]])+(Tabla2[[#This Row],[Tiempo Total a Nivel Proncincial (Horas)]])</f>
        <v>2.8333333333333335</v>
      </c>
      <c r="AX20" s="18" t="s">
        <v>2385</v>
      </c>
      <c r="AZ20" s="13" t="s">
        <v>2344</v>
      </c>
    </row>
    <row r="21" spans="2:52" ht="42.75" customHeight="1" x14ac:dyDescent="0.25">
      <c r="B21" s="78" t="s">
        <v>2314</v>
      </c>
      <c r="C21" s="199" t="s">
        <v>4</v>
      </c>
      <c r="D21" s="105" t="s">
        <v>2483</v>
      </c>
      <c r="E21" s="105"/>
      <c r="F21" s="105" t="str">
        <f>CONCATENATE(Tabla1[[#This Row],[Simbología]],"_",Tabla1[[#This Row],[Acción]])</f>
        <v>AAA_Supervisión de comercialización de hidrocarburos (CL, GLP, GNV, GNC y GNL)</v>
      </c>
      <c r="G21" s="105" t="s">
        <v>6</v>
      </c>
      <c r="H21" s="105" t="s">
        <v>36</v>
      </c>
      <c r="I21" s="104"/>
      <c r="J21" s="202" t="str">
        <f>CONCATENATE(Tabla1[[#This Row],[Simbología1]],"_",Tabla1[[#This Row],[Acción Especifica]])</f>
        <v>KIN_1_Supervisión SCOP</v>
      </c>
      <c r="K21" s="202" t="s">
        <v>2578</v>
      </c>
      <c r="L21" s="105" t="s">
        <v>37</v>
      </c>
      <c r="M21" s="105" t="s">
        <v>37</v>
      </c>
      <c r="N21" s="106" t="str">
        <f>CONCATENATE(Tabla1[[#This Row],[Simbología**]],"_",Tabla1[[#This Row],[Sub Acción Especifica]])</f>
        <v>KKIN_4_SCOP</v>
      </c>
      <c r="O21" s="104" t="s">
        <v>2624</v>
      </c>
      <c r="P21" s="105" t="s">
        <v>2363</v>
      </c>
      <c r="Q21" s="106" t="str">
        <f>CONCATENATE(Tabla1[[#This Row],[Simbología*]],"_",Tabla1[[#This Row],[Tipo de instalación relacionado]])</f>
        <v>KKKIN_4_Establecimientos de Venta al Público (Líquidos y/o GLP)</v>
      </c>
      <c r="R21" s="112">
        <v>0.5</v>
      </c>
      <c r="S21" s="107">
        <v>1</v>
      </c>
      <c r="T21" s="108">
        <f>IFERROR(AVERAGE(Tabla1[[#This Row],[T. Mínimo]],Tabla1[[#This Row],[T. Máximo]]),0)</f>
        <v>0.75</v>
      </c>
      <c r="U21" s="107">
        <v>3</v>
      </c>
      <c r="V21" s="107">
        <v>4</v>
      </c>
      <c r="W21" s="108">
        <f>IFERROR(AVERAGE(Tabla1[[#This Row],[T. Mínimo*]],Tabla1[[#This Row],[T. Máximo*]]),0)</f>
        <v>3.5</v>
      </c>
      <c r="X21" s="107">
        <v>1.5</v>
      </c>
      <c r="Y21" s="107">
        <v>2</v>
      </c>
      <c r="Z21" s="108">
        <f>IFERROR(AVERAGE(Tabla1[[#This Row],[T. Mínimo**]],Tabla1[[#This Row],[T. Máximo**]]),0)</f>
        <v>1.75</v>
      </c>
      <c r="AA21" s="109">
        <f>SUM(Tabla1[[#This Row],[Promedio]],Tabla1[[#This Row],[Promedio*]],Tabla1[[#This Row],[Promedio**]])</f>
        <v>6</v>
      </c>
      <c r="AB21" s="110" t="s">
        <v>2486</v>
      </c>
      <c r="AD21" s="20" t="s">
        <v>2378</v>
      </c>
      <c r="AE21" s="10" t="s">
        <v>156</v>
      </c>
      <c r="AF21" s="20" t="s">
        <v>66</v>
      </c>
      <c r="AG21" s="10"/>
      <c r="AH21" s="22" t="str">
        <f t="shared" si="0"/>
        <v>Amazonas_01 Chachapoyas</v>
      </c>
      <c r="AI21" s="10" t="s">
        <v>155</v>
      </c>
      <c r="AJ21" s="20" t="s">
        <v>86</v>
      </c>
      <c r="AK21" s="22" t="str">
        <f t="shared" si="1"/>
        <v>Amazonas_01 Chachapoyas_15 Montevideo</v>
      </c>
      <c r="AL21" s="25">
        <v>1</v>
      </c>
      <c r="AM21" s="25">
        <v>0</v>
      </c>
      <c r="AN21" s="26">
        <f>Tabla2[[#This Row],[Minutos]]/60</f>
        <v>0</v>
      </c>
      <c r="AO21" s="27">
        <f>SUM(Tabla2[[#This Row],[Horas]],Tabla2[[#This Row],[Minutos a Horas]])</f>
        <v>1</v>
      </c>
      <c r="AP21" s="49">
        <v>2</v>
      </c>
      <c r="AQ21" s="49"/>
      <c r="AR21" s="26">
        <f>Tabla2[[#This Row],[Minutos*]]/60</f>
        <v>0</v>
      </c>
      <c r="AS21" s="27">
        <f>SUM(Tabla2[[#This Row],[Horas*]],Tabla2[[#This Row],[Minutos a Horas*]])+(Tabla2[[#This Row],[Tiempo Total a Nivel Proncincial (Horas)]])</f>
        <v>3</v>
      </c>
      <c r="AX21" s="18" t="s">
        <v>2397</v>
      </c>
      <c r="AZ21" s="13" t="s">
        <v>2345</v>
      </c>
    </row>
    <row r="22" spans="2:52" ht="42.75" customHeight="1" x14ac:dyDescent="0.25">
      <c r="B22" s="78" t="s">
        <v>2314</v>
      </c>
      <c r="C22" s="199" t="s">
        <v>4</v>
      </c>
      <c r="D22" s="105" t="s">
        <v>2483</v>
      </c>
      <c r="E22" s="105"/>
      <c r="F22" s="105" t="str">
        <f>CONCATENATE(Tabla1[[#This Row],[Simbología]],"_",Tabla1[[#This Row],[Acción]])</f>
        <v>AAA_Supervisión de comercialización de hidrocarburos (CL, GLP, GNV, GNC y GNL)</v>
      </c>
      <c r="G22" s="105" t="s">
        <v>6</v>
      </c>
      <c r="H22" s="105" t="s">
        <v>36</v>
      </c>
      <c r="I22" s="104"/>
      <c r="J22" s="202" t="str">
        <f>CONCATENATE(Tabla1[[#This Row],[Simbología1]],"_",Tabla1[[#This Row],[Acción Especifica]])</f>
        <v>KIN_1_Supervisión SCOP</v>
      </c>
      <c r="K22" s="202" t="s">
        <v>2578</v>
      </c>
      <c r="L22" s="105" t="s">
        <v>37</v>
      </c>
      <c r="M22" s="111"/>
      <c r="N22" s="106" t="str">
        <f>CONCATENATE(Tabla1[[#This Row],[Simbología**]],"_",Tabla1[[#This Row],[Sub Acción Especifica]])</f>
        <v>KKIN_4_SCOP</v>
      </c>
      <c r="O22" s="104" t="s">
        <v>2624</v>
      </c>
      <c r="P22" s="105" t="s">
        <v>2361</v>
      </c>
      <c r="Q22" s="106" t="str">
        <f>CONCATENATE(Tabla1[[#This Row],[Simbología*]],"_",Tabla1[[#This Row],[Tipo de instalación relacionado]])</f>
        <v>KKKIN_4_Establecimientos de Venta al Público (GLP y GNV)</v>
      </c>
      <c r="R22" s="112">
        <v>0.5</v>
      </c>
      <c r="S22" s="107">
        <v>1</v>
      </c>
      <c r="T22" s="108">
        <f>IFERROR(AVERAGE(Tabla1[[#This Row],[T. Mínimo]],Tabla1[[#This Row],[T. Máximo]]),0)</f>
        <v>0.75</v>
      </c>
      <c r="U22" s="107">
        <v>3</v>
      </c>
      <c r="V22" s="107">
        <v>4</v>
      </c>
      <c r="W22" s="108">
        <f>IFERROR(AVERAGE(Tabla1[[#This Row],[T. Mínimo*]],Tabla1[[#This Row],[T. Máximo*]]),0)</f>
        <v>3.5</v>
      </c>
      <c r="X22" s="107">
        <v>1.5</v>
      </c>
      <c r="Y22" s="107">
        <v>2</v>
      </c>
      <c r="Z22" s="108">
        <f>IFERROR(AVERAGE(Tabla1[[#This Row],[T. Mínimo**]],Tabla1[[#This Row],[T. Máximo**]]),0)</f>
        <v>1.75</v>
      </c>
      <c r="AA22" s="109">
        <f>SUM(Tabla1[[#This Row],[Promedio]],Tabla1[[#This Row],[Promedio*]],Tabla1[[#This Row],[Promedio**]])</f>
        <v>6</v>
      </c>
      <c r="AB22" s="110" t="s">
        <v>2486</v>
      </c>
      <c r="AD22" s="20" t="s">
        <v>2378</v>
      </c>
      <c r="AE22" s="10" t="s">
        <v>156</v>
      </c>
      <c r="AF22" s="20" t="s">
        <v>66</v>
      </c>
      <c r="AG22" s="10"/>
      <c r="AH22" s="22" t="str">
        <f t="shared" si="0"/>
        <v>Amazonas_01 Chachapoyas</v>
      </c>
      <c r="AI22" s="10" t="s">
        <v>155</v>
      </c>
      <c r="AJ22" s="20" t="s">
        <v>87</v>
      </c>
      <c r="AK22" s="22" t="str">
        <f t="shared" si="1"/>
        <v>Amazonas_01 Chachapoyas_16 Olleros</v>
      </c>
      <c r="AL22" s="25">
        <v>1</v>
      </c>
      <c r="AM22" s="25">
        <v>0</v>
      </c>
      <c r="AN22" s="26">
        <f>Tabla2[[#This Row],[Minutos]]/60</f>
        <v>0</v>
      </c>
      <c r="AO22" s="27">
        <f>SUM(Tabla2[[#This Row],[Horas]],Tabla2[[#This Row],[Minutos a Horas]])</f>
        <v>1</v>
      </c>
      <c r="AP22" s="49">
        <v>6</v>
      </c>
      <c r="AQ22" s="49"/>
      <c r="AR22" s="26">
        <f>Tabla2[[#This Row],[Minutos*]]/60</f>
        <v>0</v>
      </c>
      <c r="AS22" s="27">
        <f>SUM(Tabla2[[#This Row],[Horas*]],Tabla2[[#This Row],[Minutos a Horas*]])+(Tabla2[[#This Row],[Tiempo Total a Nivel Proncincial (Horas)]])</f>
        <v>7</v>
      </c>
      <c r="AX22" s="18" t="s">
        <v>2386</v>
      </c>
      <c r="AZ22" s="13" t="s">
        <v>2346</v>
      </c>
    </row>
    <row r="23" spans="2:52" ht="42.75" customHeight="1" x14ac:dyDescent="0.25">
      <c r="B23" s="78" t="s">
        <v>2314</v>
      </c>
      <c r="C23" s="199" t="s">
        <v>4</v>
      </c>
      <c r="D23" s="105" t="s">
        <v>2483</v>
      </c>
      <c r="E23" s="105"/>
      <c r="F23" s="105" t="str">
        <f>CONCATENATE(Tabla1[[#This Row],[Simbología]],"_",Tabla1[[#This Row],[Acción]])</f>
        <v>AAA_Supervisión de comercialización de hidrocarburos (CL, GLP, GNV, GNC y GNL)</v>
      </c>
      <c r="G23" s="105" t="s">
        <v>6</v>
      </c>
      <c r="H23" s="105" t="s">
        <v>36</v>
      </c>
      <c r="I23" s="104"/>
      <c r="J23" s="202" t="str">
        <f>CONCATENATE(Tabla1[[#This Row],[Simbología1]],"_",Tabla1[[#This Row],[Acción Especifica]])</f>
        <v>KIN_1_Supervisión SCOP</v>
      </c>
      <c r="K23" s="202" t="s">
        <v>2578</v>
      </c>
      <c r="L23" s="105" t="s">
        <v>37</v>
      </c>
      <c r="M23" s="105"/>
      <c r="N23" s="106" t="str">
        <f>CONCATENATE(Tabla1[[#This Row],[Simbología**]],"_",Tabla1[[#This Row],[Sub Acción Especifica]])</f>
        <v>KKIN_4_SCOP</v>
      </c>
      <c r="O23" s="104" t="s">
        <v>2624</v>
      </c>
      <c r="P23" s="105" t="s">
        <v>8</v>
      </c>
      <c r="Q23" s="106" t="str">
        <f>CONCATENATE(Tabla1[[#This Row],[Simbología*]],"_",Tabla1[[#This Row],[Tipo de instalación relacionado]])</f>
        <v>KKKIN_4_Consumidores Directos de CL y/u OPDH</v>
      </c>
      <c r="R23" s="112">
        <v>0.5</v>
      </c>
      <c r="S23" s="107">
        <v>1</v>
      </c>
      <c r="T23" s="108">
        <f>IFERROR(AVERAGE(Tabla1[[#This Row],[T. Mínimo]],Tabla1[[#This Row],[T. Máximo]]),0)</f>
        <v>0.75</v>
      </c>
      <c r="U23" s="107">
        <v>3</v>
      </c>
      <c r="V23" s="107">
        <v>4</v>
      </c>
      <c r="W23" s="108">
        <f>IFERROR(AVERAGE(Tabla1[[#This Row],[T. Mínimo*]],Tabla1[[#This Row],[T. Máximo*]]),0)</f>
        <v>3.5</v>
      </c>
      <c r="X23" s="107">
        <v>1.5</v>
      </c>
      <c r="Y23" s="107">
        <v>2</v>
      </c>
      <c r="Z23" s="108">
        <f>IFERROR(AVERAGE(Tabla1[[#This Row],[T. Mínimo**]],Tabla1[[#This Row],[T. Máximo**]]),0)</f>
        <v>1.75</v>
      </c>
      <c r="AA23" s="109">
        <f>SUM(Tabla1[[#This Row],[Promedio]],Tabla1[[#This Row],[Promedio*]],Tabla1[[#This Row],[Promedio**]])</f>
        <v>6</v>
      </c>
      <c r="AB23" s="110" t="s">
        <v>2486</v>
      </c>
      <c r="AD23" s="20" t="s">
        <v>2378</v>
      </c>
      <c r="AE23" s="10" t="s">
        <v>156</v>
      </c>
      <c r="AF23" s="20" t="s">
        <v>66</v>
      </c>
      <c r="AG23" s="10"/>
      <c r="AH23" s="22" t="str">
        <f t="shared" si="0"/>
        <v>Amazonas_01 Chachapoyas</v>
      </c>
      <c r="AI23" s="10" t="s">
        <v>155</v>
      </c>
      <c r="AJ23" s="20" t="s">
        <v>88</v>
      </c>
      <c r="AK23" s="22" t="str">
        <f t="shared" si="1"/>
        <v>Amazonas_01 Chachapoyas_17 Quinjalca</v>
      </c>
      <c r="AL23" s="25">
        <v>1</v>
      </c>
      <c r="AM23" s="25">
        <v>0</v>
      </c>
      <c r="AN23" s="26">
        <f>Tabla2[[#This Row],[Minutos]]/60</f>
        <v>0</v>
      </c>
      <c r="AO23" s="27">
        <f>SUM(Tabla2[[#This Row],[Horas]],Tabla2[[#This Row],[Minutos a Horas]])</f>
        <v>1</v>
      </c>
      <c r="AP23" s="49">
        <v>3</v>
      </c>
      <c r="AQ23" s="49">
        <v>30</v>
      </c>
      <c r="AR23" s="26">
        <f>Tabla2[[#This Row],[Minutos*]]/60</f>
        <v>0.5</v>
      </c>
      <c r="AS23" s="27">
        <f>SUM(Tabla2[[#This Row],[Horas*]],Tabla2[[#This Row],[Minutos a Horas*]])+(Tabla2[[#This Row],[Tiempo Total a Nivel Proncincial (Horas)]])</f>
        <v>4.5</v>
      </c>
      <c r="AX23" s="18" t="s">
        <v>2387</v>
      </c>
      <c r="AZ23" s="13" t="s">
        <v>2347</v>
      </c>
    </row>
    <row r="24" spans="2:52" ht="42.75" customHeight="1" x14ac:dyDescent="0.25">
      <c r="B24" s="78" t="s">
        <v>2314</v>
      </c>
      <c r="C24" s="199" t="s">
        <v>4</v>
      </c>
      <c r="D24" s="105" t="s">
        <v>2483</v>
      </c>
      <c r="E24" s="105"/>
      <c r="F24" s="105" t="str">
        <f>CONCATENATE(Tabla1[[#This Row],[Simbología]],"_",Tabla1[[#This Row],[Acción]])</f>
        <v>AAA_Supervisión de comercialización de hidrocarburos (CL, GLP, GNV, GNC y GNL)</v>
      </c>
      <c r="G24" s="105" t="s">
        <v>6</v>
      </c>
      <c r="H24" s="105" t="s">
        <v>36</v>
      </c>
      <c r="I24" s="104"/>
      <c r="J24" s="202" t="str">
        <f>CONCATENATE(Tabla1[[#This Row],[Simbología1]],"_",Tabla1[[#This Row],[Acción Especifica]])</f>
        <v>KIN_1_Supervisión SCOP</v>
      </c>
      <c r="K24" s="202" t="s">
        <v>2578</v>
      </c>
      <c r="L24" s="105" t="s">
        <v>37</v>
      </c>
      <c r="M24" s="105"/>
      <c r="N24" s="106" t="str">
        <f>CONCATENATE(Tabla1[[#This Row],[Simbología**]],"_",Tabla1[[#This Row],[Sub Acción Especifica]])</f>
        <v>KKIN_4_SCOP</v>
      </c>
      <c r="O24" s="104" t="s">
        <v>2624</v>
      </c>
      <c r="P24" s="105" t="s">
        <v>22</v>
      </c>
      <c r="Q24" s="106" t="str">
        <f>CONCATENATE(Tabla1[[#This Row],[Simbología*]],"_",Tabla1[[#This Row],[Tipo de instalación relacionado]])</f>
        <v>KKKIN_4_Consumidores Directos GLP y Redes de Distribución</v>
      </c>
      <c r="R24" s="112">
        <v>0.5</v>
      </c>
      <c r="S24" s="107">
        <v>1</v>
      </c>
      <c r="T24" s="108">
        <f>IFERROR(AVERAGE(Tabla1[[#This Row],[T. Mínimo]],Tabla1[[#This Row],[T. Máximo]]),0)</f>
        <v>0.75</v>
      </c>
      <c r="U24" s="107">
        <v>3</v>
      </c>
      <c r="V24" s="107">
        <v>4</v>
      </c>
      <c r="W24" s="108">
        <f>IFERROR(AVERAGE(Tabla1[[#This Row],[T. Mínimo*]],Tabla1[[#This Row],[T. Máximo*]]),0)</f>
        <v>3.5</v>
      </c>
      <c r="X24" s="107">
        <v>1.5</v>
      </c>
      <c r="Y24" s="107">
        <v>2</v>
      </c>
      <c r="Z24" s="108">
        <f>IFERROR(AVERAGE(Tabla1[[#This Row],[T. Mínimo**]],Tabla1[[#This Row],[T. Máximo**]]),0)</f>
        <v>1.75</v>
      </c>
      <c r="AA24" s="109">
        <f>SUM(Tabla1[[#This Row],[Promedio]],Tabla1[[#This Row],[Promedio*]],Tabla1[[#This Row],[Promedio**]])</f>
        <v>6</v>
      </c>
      <c r="AB24" s="110" t="s">
        <v>2486</v>
      </c>
      <c r="AD24" s="20" t="s">
        <v>2378</v>
      </c>
      <c r="AE24" s="10" t="s">
        <v>156</v>
      </c>
      <c r="AF24" s="20" t="s">
        <v>66</v>
      </c>
      <c r="AG24" s="10"/>
      <c r="AH24" s="22" t="str">
        <f t="shared" si="0"/>
        <v>Amazonas_01 Chachapoyas</v>
      </c>
      <c r="AI24" s="10" t="s">
        <v>155</v>
      </c>
      <c r="AJ24" s="20" t="s">
        <v>89</v>
      </c>
      <c r="AK24" s="22" t="str">
        <f t="shared" si="1"/>
        <v>Amazonas_01 Chachapoyas_18 San Francisco de Daguas</v>
      </c>
      <c r="AL24" s="25">
        <v>1</v>
      </c>
      <c r="AM24" s="25">
        <v>0</v>
      </c>
      <c r="AN24" s="26">
        <f>Tabla2[[#This Row],[Minutos]]/60</f>
        <v>0</v>
      </c>
      <c r="AO24" s="27">
        <f>SUM(Tabla2[[#This Row],[Horas]],Tabla2[[#This Row],[Minutos a Horas]])</f>
        <v>1</v>
      </c>
      <c r="AP24" s="49">
        <v>1</v>
      </c>
      <c r="AQ24" s="49">
        <v>40</v>
      </c>
      <c r="AR24" s="26">
        <f>Tabla2[[#This Row],[Minutos*]]/60</f>
        <v>0.66666666666666663</v>
      </c>
      <c r="AS24" s="27">
        <f>SUM(Tabla2[[#This Row],[Horas*]],Tabla2[[#This Row],[Minutos a Horas*]])+(Tabla2[[#This Row],[Tiempo Total a Nivel Proncincial (Horas)]])</f>
        <v>2.6666666666666665</v>
      </c>
      <c r="AX24" s="18" t="s">
        <v>2388</v>
      </c>
      <c r="AZ24" s="13" t="s">
        <v>2336</v>
      </c>
    </row>
    <row r="25" spans="2:52" ht="42.75" customHeight="1" x14ac:dyDescent="0.25">
      <c r="B25" s="78" t="s">
        <v>2314</v>
      </c>
      <c r="C25" s="199" t="s">
        <v>4</v>
      </c>
      <c r="D25" s="105" t="s">
        <v>2483</v>
      </c>
      <c r="E25" s="105"/>
      <c r="F25" s="105" t="str">
        <f>CONCATENATE(Tabla1[[#This Row],[Simbología]],"_",Tabla1[[#This Row],[Acción]])</f>
        <v>AAA_Supervisión de comercialización de hidrocarburos (CL, GLP, GNV, GNC y GNL)</v>
      </c>
      <c r="G25" s="105" t="s">
        <v>6</v>
      </c>
      <c r="H25" s="105" t="s">
        <v>36</v>
      </c>
      <c r="I25" s="104"/>
      <c r="J25" s="202" t="str">
        <f>CONCATENATE(Tabla1[[#This Row],[Simbología1]],"_",Tabla1[[#This Row],[Acción Especifica]])</f>
        <v>KIN_1_Supervisión SCOP</v>
      </c>
      <c r="K25" s="202" t="s">
        <v>2578</v>
      </c>
      <c r="L25" s="105" t="s">
        <v>37</v>
      </c>
      <c r="M25" s="111"/>
      <c r="N25" s="106" t="str">
        <f>CONCATENATE(Tabla1[[#This Row],[Simbología**]],"_",Tabla1[[#This Row],[Sub Acción Especifica]])</f>
        <v>KKIN_4_SCOP</v>
      </c>
      <c r="O25" s="104" t="s">
        <v>2624</v>
      </c>
      <c r="P25" s="105" t="s">
        <v>38</v>
      </c>
      <c r="Q25" s="106" t="str">
        <f>CONCATENATE(Tabla1[[#This Row],[Simbología*]],"_",Tabla1[[#This Row],[Tipo de instalación relacionado]])</f>
        <v>KKKIN_4_Plantas de abastecimientos (Líquidos)</v>
      </c>
      <c r="R25" s="112">
        <v>0.5</v>
      </c>
      <c r="S25" s="107">
        <v>1</v>
      </c>
      <c r="T25" s="108">
        <f>IFERROR(AVERAGE(Tabla1[[#This Row],[T. Mínimo]],Tabla1[[#This Row],[T. Máximo]]),0)</f>
        <v>0.75</v>
      </c>
      <c r="U25" s="107">
        <v>3</v>
      </c>
      <c r="V25" s="107">
        <v>4</v>
      </c>
      <c r="W25" s="108">
        <f>IFERROR(AVERAGE(Tabla1[[#This Row],[T. Mínimo*]],Tabla1[[#This Row],[T. Máximo*]]),0)</f>
        <v>3.5</v>
      </c>
      <c r="X25" s="107">
        <v>1.5</v>
      </c>
      <c r="Y25" s="107">
        <v>2</v>
      </c>
      <c r="Z25" s="108">
        <f>IFERROR(AVERAGE(Tabla1[[#This Row],[T. Mínimo**]],Tabla1[[#This Row],[T. Máximo**]]),0)</f>
        <v>1.75</v>
      </c>
      <c r="AA25" s="109">
        <f>SUM(Tabla1[[#This Row],[Promedio]],Tabla1[[#This Row],[Promedio*]],Tabla1[[#This Row],[Promedio**]])</f>
        <v>6</v>
      </c>
      <c r="AB25" s="110" t="s">
        <v>2486</v>
      </c>
      <c r="AD25" s="20" t="s">
        <v>2378</v>
      </c>
      <c r="AE25" s="10" t="s">
        <v>156</v>
      </c>
      <c r="AF25" s="20" t="s">
        <v>66</v>
      </c>
      <c r="AG25" s="10"/>
      <c r="AH25" s="22" t="str">
        <f t="shared" si="0"/>
        <v>Amazonas_01 Chachapoyas</v>
      </c>
      <c r="AI25" s="10" t="s">
        <v>155</v>
      </c>
      <c r="AJ25" s="20" t="s">
        <v>90</v>
      </c>
      <c r="AK25" s="22" t="str">
        <f t="shared" si="1"/>
        <v>Amazonas_01 Chachapoyas_19 San Isidro de Maino</v>
      </c>
      <c r="AL25" s="25">
        <v>1</v>
      </c>
      <c r="AM25" s="25">
        <v>0</v>
      </c>
      <c r="AN25" s="26">
        <f>Tabla2[[#This Row],[Minutos]]/60</f>
        <v>0</v>
      </c>
      <c r="AO25" s="27">
        <f>SUM(Tabla2[[#This Row],[Horas]],Tabla2[[#This Row],[Minutos a Horas]])</f>
        <v>1</v>
      </c>
      <c r="AP25" s="49">
        <v>2</v>
      </c>
      <c r="AQ25" s="49">
        <v>45</v>
      </c>
      <c r="AR25" s="26">
        <f>Tabla2[[#This Row],[Minutos*]]/60</f>
        <v>0.75</v>
      </c>
      <c r="AS25" s="27">
        <f>SUM(Tabla2[[#This Row],[Horas*]],Tabla2[[#This Row],[Minutos a Horas*]])+(Tabla2[[#This Row],[Tiempo Total a Nivel Proncincial (Horas)]])</f>
        <v>3.75</v>
      </c>
      <c r="AX25" s="18" t="s">
        <v>2389</v>
      </c>
      <c r="AZ25" s="13" t="s">
        <v>2337</v>
      </c>
    </row>
    <row r="26" spans="2:52" ht="42.75" customHeight="1" x14ac:dyDescent="0.25">
      <c r="B26" s="78" t="s">
        <v>2314</v>
      </c>
      <c r="C26" s="199" t="s">
        <v>4</v>
      </c>
      <c r="D26" s="105" t="s">
        <v>2483</v>
      </c>
      <c r="E26" s="105"/>
      <c r="F26" s="105" t="str">
        <f>CONCATENATE(Tabla1[[#This Row],[Simbología]],"_",Tabla1[[#This Row],[Acción]])</f>
        <v>AAA_Supervisión de comercialización de hidrocarburos (CL, GLP, GNV, GNC y GNL)</v>
      </c>
      <c r="G26" s="105" t="s">
        <v>6</v>
      </c>
      <c r="H26" s="105" t="s">
        <v>36</v>
      </c>
      <c r="I26" s="104"/>
      <c r="J26" s="202" t="str">
        <f>CONCATENATE(Tabla1[[#This Row],[Simbología1]],"_",Tabla1[[#This Row],[Acción Especifica]])</f>
        <v>KIN_1_Supervisión SCOP</v>
      </c>
      <c r="K26" s="202" t="s">
        <v>2578</v>
      </c>
      <c r="L26" s="105" t="s">
        <v>37</v>
      </c>
      <c r="M26" s="105"/>
      <c r="N26" s="106" t="str">
        <f>CONCATENATE(Tabla1[[#This Row],[Simbología**]],"_",Tabla1[[#This Row],[Sub Acción Especifica]])</f>
        <v>KKIN_4_SCOP</v>
      </c>
      <c r="O26" s="104" t="s">
        <v>2624</v>
      </c>
      <c r="P26" s="105" t="s">
        <v>39</v>
      </c>
      <c r="Q26" s="106" t="str">
        <f>CONCATENATE(Tabla1[[#This Row],[Simbología*]],"_",Tabla1[[#This Row],[Tipo de instalación relacionado]])</f>
        <v>KKKIN_4_Plantas Envasadoras (GLP)</v>
      </c>
      <c r="R26" s="112">
        <v>0.5</v>
      </c>
      <c r="S26" s="107">
        <v>1</v>
      </c>
      <c r="T26" s="108">
        <f>IFERROR(AVERAGE(Tabla1[[#This Row],[T. Mínimo]],Tabla1[[#This Row],[T. Máximo]]),0)</f>
        <v>0.75</v>
      </c>
      <c r="U26" s="107">
        <v>3</v>
      </c>
      <c r="V26" s="107">
        <v>4</v>
      </c>
      <c r="W26" s="108">
        <f>IFERROR(AVERAGE(Tabla1[[#This Row],[T. Mínimo*]],Tabla1[[#This Row],[T. Máximo*]]),0)</f>
        <v>3.5</v>
      </c>
      <c r="X26" s="107">
        <v>1.5</v>
      </c>
      <c r="Y26" s="107">
        <v>2</v>
      </c>
      <c r="Z26" s="108">
        <f>IFERROR(AVERAGE(Tabla1[[#This Row],[T. Mínimo**]],Tabla1[[#This Row],[T. Máximo**]]),0)</f>
        <v>1.75</v>
      </c>
      <c r="AA26" s="109">
        <f>SUM(Tabla1[[#This Row],[Promedio]],Tabla1[[#This Row],[Promedio*]],Tabla1[[#This Row],[Promedio**]])</f>
        <v>6</v>
      </c>
      <c r="AB26" s="110" t="s">
        <v>2486</v>
      </c>
      <c r="AD26" s="20" t="s">
        <v>2378</v>
      </c>
      <c r="AE26" s="10" t="s">
        <v>156</v>
      </c>
      <c r="AF26" s="20" t="s">
        <v>66</v>
      </c>
      <c r="AG26" s="10"/>
      <c r="AH26" s="22" t="str">
        <f t="shared" si="0"/>
        <v>Amazonas_01 Chachapoyas</v>
      </c>
      <c r="AI26" s="10" t="s">
        <v>155</v>
      </c>
      <c r="AJ26" s="20" t="s">
        <v>91</v>
      </c>
      <c r="AK26" s="22" t="str">
        <f t="shared" si="1"/>
        <v>Amazonas_01 Chachapoyas_20 Soloco</v>
      </c>
      <c r="AL26" s="25">
        <v>1</v>
      </c>
      <c r="AM26" s="25">
        <v>0</v>
      </c>
      <c r="AN26" s="26">
        <f>Tabla2[[#This Row],[Minutos]]/60</f>
        <v>0</v>
      </c>
      <c r="AO26" s="27">
        <f>SUM(Tabla2[[#This Row],[Horas]],Tabla2[[#This Row],[Minutos a Horas]])</f>
        <v>1</v>
      </c>
      <c r="AP26" s="49">
        <v>1</v>
      </c>
      <c r="AQ26" s="49">
        <v>20</v>
      </c>
      <c r="AR26" s="26">
        <f>Tabla2[[#This Row],[Minutos*]]/60</f>
        <v>0.33333333333333331</v>
      </c>
      <c r="AS26" s="27">
        <f>SUM(Tabla2[[#This Row],[Horas*]],Tabla2[[#This Row],[Minutos a Horas*]])+(Tabla2[[#This Row],[Tiempo Total a Nivel Proncincial (Horas)]])</f>
        <v>2.333333333333333</v>
      </c>
      <c r="AX26" s="18" t="s">
        <v>2400</v>
      </c>
      <c r="AZ26" s="13" t="s">
        <v>2338</v>
      </c>
    </row>
    <row r="27" spans="2:52" ht="42.75" customHeight="1" x14ac:dyDescent="0.25">
      <c r="B27" s="78" t="s">
        <v>2314</v>
      </c>
      <c r="C27" s="199" t="s">
        <v>4</v>
      </c>
      <c r="D27" s="105" t="s">
        <v>2483</v>
      </c>
      <c r="E27" s="105"/>
      <c r="F27" s="105" t="str">
        <f>CONCATENATE(Tabla1[[#This Row],[Simbología]],"_",Tabla1[[#This Row],[Acción]])</f>
        <v>AAA_Supervisión de comercialización de hidrocarburos (CL, GLP, GNV, GNC y GNL)</v>
      </c>
      <c r="G27" s="105" t="s">
        <v>6</v>
      </c>
      <c r="H27" s="105" t="s">
        <v>36</v>
      </c>
      <c r="I27" s="104"/>
      <c r="J27" s="202" t="str">
        <f>CONCATENATE(Tabla1[[#This Row],[Simbología1]],"_",Tabla1[[#This Row],[Acción Especifica]])</f>
        <v>KIN_1_Supervisión SCOP</v>
      </c>
      <c r="K27" s="202" t="s">
        <v>2578</v>
      </c>
      <c r="L27" s="105" t="s">
        <v>37</v>
      </c>
      <c r="M27" s="105"/>
      <c r="N27" s="106" t="str">
        <f>CONCATENATE(Tabla1[[#This Row],[Simbología**]],"_",Tabla1[[#This Row],[Sub Acción Especifica]])</f>
        <v>KKIN_4_SCOP</v>
      </c>
      <c r="O27" s="104" t="s">
        <v>2624</v>
      </c>
      <c r="P27" s="105" t="s">
        <v>2362</v>
      </c>
      <c r="Q27" s="106" t="str">
        <f>CONCATENATE(Tabla1[[#This Row],[Simbología*]],"_",Tabla1[[#This Row],[Tipo de instalación relacionado]])</f>
        <v>KKKIN_4_Distribuidores de GLP en Cilindros</v>
      </c>
      <c r="R27" s="112">
        <v>0.5</v>
      </c>
      <c r="S27" s="107">
        <v>1</v>
      </c>
      <c r="T27" s="108">
        <f>IFERROR(AVERAGE(Tabla1[[#This Row],[T. Mínimo]],Tabla1[[#This Row],[T. Máximo]]),0)</f>
        <v>0.75</v>
      </c>
      <c r="U27" s="107">
        <v>3</v>
      </c>
      <c r="V27" s="107">
        <v>4</v>
      </c>
      <c r="W27" s="108">
        <f>IFERROR(AVERAGE(Tabla1[[#This Row],[T. Mínimo*]],Tabla1[[#This Row],[T. Máximo*]]),0)</f>
        <v>3.5</v>
      </c>
      <c r="X27" s="107">
        <v>1.5</v>
      </c>
      <c r="Y27" s="107">
        <v>2</v>
      </c>
      <c r="Z27" s="108">
        <f>IFERROR(AVERAGE(Tabla1[[#This Row],[T. Mínimo**]],Tabla1[[#This Row],[T. Máximo**]]),0)</f>
        <v>1.75</v>
      </c>
      <c r="AA27" s="109">
        <f>SUM(Tabla1[[#This Row],[Promedio]],Tabla1[[#This Row],[Promedio*]],Tabla1[[#This Row],[Promedio**]])</f>
        <v>6</v>
      </c>
      <c r="AB27" s="110" t="s">
        <v>2486</v>
      </c>
      <c r="AD27" s="20" t="s">
        <v>2378</v>
      </c>
      <c r="AE27" s="10" t="s">
        <v>156</v>
      </c>
      <c r="AF27" s="20" t="s">
        <v>66</v>
      </c>
      <c r="AG27" s="10"/>
      <c r="AH27" s="22" t="str">
        <f t="shared" si="0"/>
        <v>Amazonas_01 Chachapoyas</v>
      </c>
      <c r="AI27" s="10" t="s">
        <v>155</v>
      </c>
      <c r="AJ27" s="20" t="s">
        <v>92</v>
      </c>
      <c r="AK27" s="22" t="str">
        <f t="shared" si="1"/>
        <v>Amazonas_01 Chachapoyas_21 Sonche</v>
      </c>
      <c r="AL27" s="25">
        <v>1</v>
      </c>
      <c r="AM27" s="25">
        <v>0</v>
      </c>
      <c r="AN27" s="26">
        <f>Tabla2[[#This Row],[Minutos]]/60</f>
        <v>0</v>
      </c>
      <c r="AO27" s="27">
        <f>SUM(Tabla2[[#This Row],[Horas]],Tabla2[[#This Row],[Minutos a Horas]])</f>
        <v>1</v>
      </c>
      <c r="AP27" s="49">
        <v>1</v>
      </c>
      <c r="AQ27" s="49">
        <v>20</v>
      </c>
      <c r="AR27" s="26">
        <f>Tabla2[[#This Row],[Minutos*]]/60</f>
        <v>0.33333333333333331</v>
      </c>
      <c r="AS27" s="27">
        <f>SUM(Tabla2[[#This Row],[Horas*]],Tabla2[[#This Row],[Minutos a Horas*]])+(Tabla2[[#This Row],[Tiempo Total a Nivel Proncincial (Horas)]])</f>
        <v>2.333333333333333</v>
      </c>
      <c r="AX27" s="18" t="s">
        <v>2390</v>
      </c>
      <c r="AZ27" s="13" t="s">
        <v>2339</v>
      </c>
    </row>
    <row r="28" spans="2:52" ht="42.75" customHeight="1" x14ac:dyDescent="0.25">
      <c r="B28" s="78" t="s">
        <v>2314</v>
      </c>
      <c r="C28" s="199" t="s">
        <v>4</v>
      </c>
      <c r="D28" s="105" t="s">
        <v>2483</v>
      </c>
      <c r="E28" s="105"/>
      <c r="F28" s="105" t="str">
        <f>CONCATENATE(Tabla1[[#This Row],[Simbología]],"_",Tabla1[[#This Row],[Acción]])</f>
        <v>AAA_Supervisión de comercialización de hidrocarburos (CL, GLP, GNV, GNC y GNL)</v>
      </c>
      <c r="G28" s="105" t="s">
        <v>6</v>
      </c>
      <c r="H28" s="105" t="s">
        <v>36</v>
      </c>
      <c r="I28" s="104"/>
      <c r="J28" s="202" t="str">
        <f>CONCATENATE(Tabla1[[#This Row],[Simbología1]],"_",Tabla1[[#This Row],[Acción Especifica]])</f>
        <v>KIN_1_Supervisión SCOP</v>
      </c>
      <c r="K28" s="202" t="s">
        <v>2578</v>
      </c>
      <c r="L28" s="105" t="s">
        <v>37</v>
      </c>
      <c r="M28" s="105"/>
      <c r="N28" s="106" t="str">
        <f>CONCATENATE(Tabla1[[#This Row],[Simbología**]],"_",Tabla1[[#This Row],[Sub Acción Especifica]])</f>
        <v>KKIN_4_SCOP</v>
      </c>
      <c r="O28" s="104" t="s">
        <v>2624</v>
      </c>
      <c r="P28" s="105" t="s">
        <v>24</v>
      </c>
      <c r="Q28" s="106" t="str">
        <f>CONCATENATE(Tabla1[[#This Row],[Simbología*]],"_",Tabla1[[#This Row],[Tipo de instalación relacionado]])</f>
        <v>KKKIN_4_Locales de Venta de GLP</v>
      </c>
      <c r="R28" s="112">
        <v>0.5</v>
      </c>
      <c r="S28" s="107">
        <v>1</v>
      </c>
      <c r="T28" s="108">
        <f>IFERROR(AVERAGE(Tabla1[[#This Row],[T. Mínimo]],Tabla1[[#This Row],[T. Máximo]]),0)</f>
        <v>0.75</v>
      </c>
      <c r="U28" s="107">
        <v>3</v>
      </c>
      <c r="V28" s="107">
        <v>4</v>
      </c>
      <c r="W28" s="108">
        <f>IFERROR(AVERAGE(Tabla1[[#This Row],[T. Mínimo*]],Tabla1[[#This Row],[T. Máximo*]]),0)</f>
        <v>3.5</v>
      </c>
      <c r="X28" s="107">
        <v>1.5</v>
      </c>
      <c r="Y28" s="107">
        <v>2</v>
      </c>
      <c r="Z28" s="108">
        <f>IFERROR(AVERAGE(Tabla1[[#This Row],[T. Mínimo**]],Tabla1[[#This Row],[T. Máximo**]]),0)</f>
        <v>1.75</v>
      </c>
      <c r="AA28" s="109">
        <f>SUM(Tabla1[[#This Row],[Promedio]],Tabla1[[#This Row],[Promedio*]],Tabla1[[#This Row],[Promedio**]])</f>
        <v>6</v>
      </c>
      <c r="AB28" s="110" t="s">
        <v>2486</v>
      </c>
      <c r="AD28" s="20" t="s">
        <v>2378</v>
      </c>
      <c r="AE28" s="10" t="s">
        <v>156</v>
      </c>
      <c r="AF28" s="20" t="s">
        <v>67</v>
      </c>
      <c r="AG28" s="10"/>
      <c r="AH28" s="22" t="str">
        <f t="shared" si="0"/>
        <v>Amazonas_02 Bagua</v>
      </c>
      <c r="AI28" s="10" t="s">
        <v>157</v>
      </c>
      <c r="AJ28" s="20" t="s">
        <v>93</v>
      </c>
      <c r="AK28" s="22" t="str">
        <f t="shared" si="1"/>
        <v>Amazonas_02 Bagua_01 Bagua</v>
      </c>
      <c r="AL28" s="25">
        <v>2</v>
      </c>
      <c r="AM28" s="25">
        <v>41</v>
      </c>
      <c r="AN28" s="26">
        <f>Tabla2[[#This Row],[Minutos]]/60</f>
        <v>0.68333333333333335</v>
      </c>
      <c r="AO28" s="27">
        <f>SUM(Tabla2[[#This Row],[Horas]],Tabla2[[#This Row],[Minutos a Horas]])</f>
        <v>2.6833333333333336</v>
      </c>
      <c r="AP28" s="49">
        <v>4</v>
      </c>
      <c r="AQ28" s="49"/>
      <c r="AR28" s="26">
        <f>Tabla2[[#This Row],[Minutos*]]/60</f>
        <v>0</v>
      </c>
      <c r="AS28" s="27">
        <f>SUM(Tabla2[[#This Row],[Horas*]],Tabla2[[#This Row],[Minutos a Horas*]])+(Tabla2[[#This Row],[Tiempo Total a Nivel Proncincial (Horas)]])</f>
        <v>6.6833333333333336</v>
      </c>
      <c r="AX28" s="18" t="s">
        <v>2391</v>
      </c>
      <c r="AZ28" s="13" t="s">
        <v>2340</v>
      </c>
    </row>
    <row r="29" spans="2:52" ht="42.75" customHeight="1" x14ac:dyDescent="0.25">
      <c r="B29" s="78" t="s">
        <v>2314</v>
      </c>
      <c r="C29" s="199" t="s">
        <v>4</v>
      </c>
      <c r="D29" s="105" t="s">
        <v>2483</v>
      </c>
      <c r="E29" s="105"/>
      <c r="F29" s="105" t="str">
        <f>CONCATENATE(Tabla1[[#This Row],[Simbología]],"_",Tabla1[[#This Row],[Acción]])</f>
        <v>AAA_Supervisión de comercialización de hidrocarburos (CL, GLP, GNV, GNC y GNL)</v>
      </c>
      <c r="G29" s="105" t="s">
        <v>6</v>
      </c>
      <c r="H29" s="105" t="s">
        <v>31</v>
      </c>
      <c r="I29" s="104"/>
      <c r="J29" s="202" t="str">
        <f>CONCATENATE(Tabla1[[#This Row],[Simbología1]],"_",Tabla1[[#This Row],[Acción Especifica]])</f>
        <v>KIN_1_Supervisión GPS</v>
      </c>
      <c r="K29" s="202" t="s">
        <v>2579</v>
      </c>
      <c r="L29" s="105" t="s">
        <v>32</v>
      </c>
      <c r="M29" s="105" t="s">
        <v>32</v>
      </c>
      <c r="N29" s="106" t="str">
        <f>CONCATENATE(Tabla1[[#This Row],[Simbología**]],"_",Tabla1[[#This Row],[Sub Acción Especifica]])</f>
        <v>KKIN_5_GPS</v>
      </c>
      <c r="O29" s="104" t="s">
        <v>2625</v>
      </c>
      <c r="P29" s="105" t="s">
        <v>23</v>
      </c>
      <c r="Q29" s="106" t="str">
        <f>CONCATENATE(Tabla1[[#This Row],[Simbología*]],"_",Tabla1[[#This Row],[Tipo de instalación relacionado]])</f>
        <v>KKKIN_5_Medios de Transporte y Distribuidores (Líquidos, GLP)</v>
      </c>
      <c r="R29" s="112">
        <v>0.5</v>
      </c>
      <c r="S29" s="107">
        <v>1</v>
      </c>
      <c r="T29" s="108">
        <f>IFERROR(AVERAGE(Tabla1[[#This Row],[T. Mínimo]],Tabla1[[#This Row],[T. Máximo]]),0)</f>
        <v>0.75</v>
      </c>
      <c r="U29" s="107">
        <v>0.5</v>
      </c>
      <c r="V29" s="107">
        <v>1</v>
      </c>
      <c r="W29" s="108">
        <f>IFERROR(AVERAGE(Tabla1[[#This Row],[T. Mínimo*]],Tabla1[[#This Row],[T. Máximo*]]),0)</f>
        <v>0.75</v>
      </c>
      <c r="X29" s="107">
        <v>1</v>
      </c>
      <c r="Y29" s="107">
        <v>2</v>
      </c>
      <c r="Z29" s="108">
        <f>IFERROR(AVERAGE(Tabla1[[#This Row],[T. Mínimo**]],Tabla1[[#This Row],[T. Máximo**]]),0)</f>
        <v>1.5</v>
      </c>
      <c r="AA29" s="109">
        <f>SUM(Tabla1[[#This Row],[Promedio]],Tabla1[[#This Row],[Promedio*]],Tabla1[[#This Row],[Promedio**]])</f>
        <v>3</v>
      </c>
      <c r="AB29" s="110" t="s">
        <v>2486</v>
      </c>
      <c r="AD29" s="20" t="s">
        <v>2378</v>
      </c>
      <c r="AE29" s="10" t="s">
        <v>156</v>
      </c>
      <c r="AF29" s="20" t="s">
        <v>67</v>
      </c>
      <c r="AG29" s="10"/>
      <c r="AH29" s="22" t="str">
        <f t="shared" si="0"/>
        <v>Amazonas_02 Bagua</v>
      </c>
      <c r="AI29" s="10" t="s">
        <v>157</v>
      </c>
      <c r="AJ29" s="20" t="s">
        <v>94</v>
      </c>
      <c r="AK29" s="22" t="str">
        <f t="shared" si="1"/>
        <v>Amazonas_02 Bagua_02 Aramango</v>
      </c>
      <c r="AL29" s="25">
        <v>2</v>
      </c>
      <c r="AM29" s="25">
        <v>41</v>
      </c>
      <c r="AN29" s="26">
        <f>Tabla2[[#This Row],[Minutos]]/60</f>
        <v>0.68333333333333335</v>
      </c>
      <c r="AO29" s="27">
        <f>SUM(Tabla2[[#This Row],[Horas]],Tabla2[[#This Row],[Minutos a Horas]])</f>
        <v>2.6833333333333336</v>
      </c>
      <c r="AP29" s="49">
        <v>5</v>
      </c>
      <c r="AQ29" s="49">
        <v>15</v>
      </c>
      <c r="AR29" s="26">
        <f>Tabla2[[#This Row],[Minutos*]]/60</f>
        <v>0.25</v>
      </c>
      <c r="AS29" s="27">
        <f>SUM(Tabla2[[#This Row],[Horas*]],Tabla2[[#This Row],[Minutos a Horas*]])+(Tabla2[[#This Row],[Tiempo Total a Nivel Proncincial (Horas)]])</f>
        <v>7.9333333333333336</v>
      </c>
      <c r="AX29" s="19" t="s">
        <v>2392</v>
      </c>
      <c r="AZ29" s="13" t="s">
        <v>2341</v>
      </c>
    </row>
    <row r="30" spans="2:52" ht="42.75" customHeight="1" x14ac:dyDescent="0.25">
      <c r="B30" s="78" t="s">
        <v>2314</v>
      </c>
      <c r="C30" s="199" t="s">
        <v>4</v>
      </c>
      <c r="D30" s="105" t="s">
        <v>2483</v>
      </c>
      <c r="E30" s="105"/>
      <c r="F30" s="105" t="str">
        <f>CONCATENATE(Tabla1[[#This Row],[Simbología]],"_",Tabla1[[#This Row],[Acción]])</f>
        <v>AAA_Supervisión de comercialización de hidrocarburos (CL, GLP, GNV, GNC y GNL)</v>
      </c>
      <c r="G30" s="105" t="s">
        <v>6</v>
      </c>
      <c r="H30" s="103" t="s">
        <v>2538</v>
      </c>
      <c r="I30" s="104"/>
      <c r="J30" s="202" t="str">
        <f>CONCATENATE(Tabla1[[#This Row],[Simbología1]],"_",Tabla1[[#This Row],[Acción Especifica]])</f>
        <v>KIN_1_Supervisión de obligaciones respecto al envasado, pintado y canje de cilindros de GLP</v>
      </c>
      <c r="K30" s="202" t="s">
        <v>2580</v>
      </c>
      <c r="L30" s="105" t="s">
        <v>2539</v>
      </c>
      <c r="M30" s="105" t="s">
        <v>2539</v>
      </c>
      <c r="N30" s="106" t="str">
        <f>CONCATENATE(Tabla1[[#This Row],[Simbología**]],"_",Tabla1[[#This Row],[Sub Acción Especifica]])</f>
        <v>KKIN_6_Cilindros de GLP (Pintado)</v>
      </c>
      <c r="O30" s="104" t="s">
        <v>2626</v>
      </c>
      <c r="P30" s="103" t="s">
        <v>39</v>
      </c>
      <c r="Q30" s="106" t="str">
        <f>CONCATENATE(Tabla1[[#This Row],[Simbología*]],"_",Tabla1[[#This Row],[Tipo de instalación relacionado]])</f>
        <v>KKKIN_7_Plantas Envasadoras (GLP)</v>
      </c>
      <c r="R30" s="112"/>
      <c r="S30" s="112"/>
      <c r="T30" s="108">
        <f>IFERROR(AVERAGE(Tabla1[[#This Row],[T. Mínimo]],Tabla1[[#This Row],[T. Máximo]]),0)</f>
        <v>0</v>
      </c>
      <c r="U30" s="107"/>
      <c r="V30" s="107"/>
      <c r="W30" s="108">
        <f>IFERROR(AVERAGE(Tabla1[[#This Row],[T. Mínimo*]],Tabla1[[#This Row],[T. Máximo*]]),0)</f>
        <v>0</v>
      </c>
      <c r="X30" s="107"/>
      <c r="Y30" s="107"/>
      <c r="Z30" s="108">
        <f>IFERROR(AVERAGE(Tabla1[[#This Row],[T. Mínimo**]],Tabla1[[#This Row],[T. Máximo**]]),0)</f>
        <v>0</v>
      </c>
      <c r="AA30" s="109">
        <f>SUM(Tabla1[[#This Row],[Promedio]],Tabla1[[#This Row],[Promedio*]],Tabla1[[#This Row],[Promedio**]])</f>
        <v>0</v>
      </c>
      <c r="AB30" s="110" t="s">
        <v>2486</v>
      </c>
      <c r="AD30" s="20" t="s">
        <v>2378</v>
      </c>
      <c r="AE30" s="10" t="s">
        <v>156</v>
      </c>
      <c r="AF30" s="20" t="s">
        <v>67</v>
      </c>
      <c r="AG30" s="10"/>
      <c r="AH30" s="22" t="str">
        <f t="shared" si="0"/>
        <v>Amazonas_02 Bagua</v>
      </c>
      <c r="AI30" s="10" t="s">
        <v>157</v>
      </c>
      <c r="AJ30" s="20" t="s">
        <v>95</v>
      </c>
      <c r="AK30" s="22" t="str">
        <f t="shared" si="1"/>
        <v>Amazonas_02 Bagua_04 El Parco</v>
      </c>
      <c r="AL30" s="25">
        <v>2</v>
      </c>
      <c r="AM30" s="25">
        <v>41</v>
      </c>
      <c r="AN30" s="26">
        <f>Tabla2[[#This Row],[Minutos]]/60</f>
        <v>0.68333333333333335</v>
      </c>
      <c r="AO30" s="27">
        <f>SUM(Tabla2[[#This Row],[Horas]],Tabla2[[#This Row],[Minutos a Horas]])</f>
        <v>2.6833333333333336</v>
      </c>
      <c r="AP30" s="49">
        <v>5</v>
      </c>
      <c r="AQ30" s="49">
        <v>15</v>
      </c>
      <c r="AR30" s="26">
        <f>Tabla2[[#This Row],[Minutos*]]/60</f>
        <v>0.25</v>
      </c>
      <c r="AS30" s="27">
        <f>SUM(Tabla2[[#This Row],[Horas*]],Tabla2[[#This Row],[Minutos a Horas*]])+(Tabla2[[#This Row],[Tiempo Total a Nivel Proncincial (Horas)]])</f>
        <v>7.9333333333333336</v>
      </c>
      <c r="AZ30" s="13" t="s">
        <v>2343</v>
      </c>
    </row>
    <row r="31" spans="2:52" ht="42.75" customHeight="1" x14ac:dyDescent="0.25">
      <c r="B31" s="78" t="s">
        <v>2314</v>
      </c>
      <c r="C31" s="199" t="s">
        <v>4</v>
      </c>
      <c r="D31" s="105" t="s">
        <v>2483</v>
      </c>
      <c r="E31" s="105"/>
      <c r="F31" s="105" t="str">
        <f>CONCATENATE(Tabla1[[#This Row],[Simbología]],"_",Tabla1[[#This Row],[Acción]])</f>
        <v>AAA_Supervisión de comercialización de hidrocarburos (CL, GLP, GNV, GNC y GNL)</v>
      </c>
      <c r="G31" s="105" t="s">
        <v>6</v>
      </c>
      <c r="H31" s="103" t="s">
        <v>2538</v>
      </c>
      <c r="I31" s="114"/>
      <c r="J31" s="203" t="str">
        <f>CONCATENATE(Tabla1[[#This Row],[Simbología1]],"_",Tabla1[[#This Row],[Acción Especifica]])</f>
        <v>KIN_1_Supervisión de obligaciones respecto al envasado, pintado y canje de cilindros de GLP</v>
      </c>
      <c r="K31" s="202" t="s">
        <v>2580</v>
      </c>
      <c r="L31" s="105" t="s">
        <v>2540</v>
      </c>
      <c r="M31" s="105" t="s">
        <v>2540</v>
      </c>
      <c r="N31" s="106" t="str">
        <f>CONCATENATE(Tabla1[[#This Row],[Simbología**]],"_",Tabla1[[#This Row],[Sub Acción Especifica]])</f>
        <v>KKIN_6_Cilindros de GLP (Canje de cilindros)</v>
      </c>
      <c r="O31" s="104" t="s">
        <v>2627</v>
      </c>
      <c r="P31" s="103" t="s">
        <v>39</v>
      </c>
      <c r="Q31" s="106" t="str">
        <f>CONCATENATE(Tabla1[[#This Row],[Simbología*]],"_",Tabla1[[#This Row],[Tipo de instalación relacionado]])</f>
        <v>KKKIN_8_Plantas Envasadoras (GLP)</v>
      </c>
      <c r="R31" s="115"/>
      <c r="S31" s="115"/>
      <c r="T31" s="116">
        <f>IFERROR(AVERAGE(Tabla1[[#This Row],[T. Mínimo]],Tabla1[[#This Row],[T. Máximo]]),0)</f>
        <v>0</v>
      </c>
      <c r="U31" s="117"/>
      <c r="V31" s="117"/>
      <c r="W31" s="116">
        <f>IFERROR(AVERAGE(Tabla1[[#This Row],[T. Mínimo*]],Tabla1[[#This Row],[T. Máximo*]]),0)</f>
        <v>0</v>
      </c>
      <c r="X31" s="117"/>
      <c r="Y31" s="117"/>
      <c r="Z31" s="116">
        <f>IFERROR(AVERAGE(Tabla1[[#This Row],[T. Mínimo**]],Tabla1[[#This Row],[T. Máximo**]]),0)</f>
        <v>0</v>
      </c>
      <c r="AA31" s="118">
        <f>SUM(Tabla1[[#This Row],[Promedio]],Tabla1[[#This Row],[Promedio*]],Tabla1[[#This Row],[Promedio**]])</f>
        <v>0</v>
      </c>
      <c r="AB31" s="110" t="s">
        <v>2486</v>
      </c>
      <c r="AD31" s="20" t="s">
        <v>2378</v>
      </c>
      <c r="AE31" s="10" t="s">
        <v>156</v>
      </c>
      <c r="AF31" s="20" t="s">
        <v>67</v>
      </c>
      <c r="AG31" s="10"/>
      <c r="AH31" s="22" t="str">
        <f t="shared" si="0"/>
        <v>Amazonas_02 Bagua</v>
      </c>
      <c r="AI31" s="10" t="s">
        <v>157</v>
      </c>
      <c r="AJ31" s="20" t="s">
        <v>96</v>
      </c>
      <c r="AK31" s="22" t="str">
        <f t="shared" si="1"/>
        <v>Amazonas_02 Bagua_05 Imaza</v>
      </c>
      <c r="AL31" s="25">
        <v>2</v>
      </c>
      <c r="AM31" s="25">
        <v>41</v>
      </c>
      <c r="AN31" s="26">
        <f>Tabla2[[#This Row],[Minutos]]/60</f>
        <v>0.68333333333333335</v>
      </c>
      <c r="AO31" s="27">
        <f>SUM(Tabla2[[#This Row],[Horas]],Tabla2[[#This Row],[Minutos a Horas]])</f>
        <v>2.6833333333333336</v>
      </c>
      <c r="AP31" s="49">
        <v>4</v>
      </c>
      <c r="AQ31" s="49">
        <v>30</v>
      </c>
      <c r="AR31" s="26">
        <f>Tabla2[[#This Row],[Minutos*]]/60</f>
        <v>0.5</v>
      </c>
      <c r="AS31" s="27">
        <f>SUM(Tabla2[[#This Row],[Horas*]],Tabla2[[#This Row],[Minutos a Horas*]])+(Tabla2[[#This Row],[Tiempo Total a Nivel Proncincial (Horas)]])</f>
        <v>7.1833333333333336</v>
      </c>
      <c r="AZ31" s="13" t="s">
        <v>2344</v>
      </c>
    </row>
    <row r="32" spans="2:52" ht="42.75" customHeight="1" x14ac:dyDescent="0.25">
      <c r="B32" s="78" t="s">
        <v>2314</v>
      </c>
      <c r="C32" s="199" t="s">
        <v>4</v>
      </c>
      <c r="D32" s="105" t="s">
        <v>2483</v>
      </c>
      <c r="E32" s="105"/>
      <c r="F32" s="105" t="str">
        <f>CONCATENATE(Tabla1[[#This Row],[Simbología]],"_",Tabla1[[#This Row],[Acción]])</f>
        <v>AAA_Supervisión de comercialización de hidrocarburos (CL, GLP, GNV, GNC y GNL)</v>
      </c>
      <c r="G32" s="105" t="s">
        <v>6</v>
      </c>
      <c r="H32" s="103" t="s">
        <v>2538</v>
      </c>
      <c r="I32" s="104"/>
      <c r="J32" s="202" t="str">
        <f>CONCATENATE(Tabla1[[#This Row],[Simbología1]],"_",Tabla1[[#This Row],[Acción Especifica]])</f>
        <v>KIN_1_Supervisión de obligaciones respecto al envasado, pintado y canje de cilindros de GLP</v>
      </c>
      <c r="K32" s="202" t="s">
        <v>2580</v>
      </c>
      <c r="L32" s="105" t="s">
        <v>2543</v>
      </c>
      <c r="M32" s="105" t="s">
        <v>2543</v>
      </c>
      <c r="N32" s="106" t="str">
        <f>CONCATENATE(Tabla1[[#This Row],[Simbología**]],"_",Tabla1[[#This Row],[Sub Acción Especifica]])</f>
        <v>KKIN_6_Integridad, Envasado de GLP, Pintado de cililndros de GLP y Canje  de cilindros de GLP</v>
      </c>
      <c r="O32" s="104" t="s">
        <v>2628</v>
      </c>
      <c r="P32" s="105" t="s">
        <v>39</v>
      </c>
      <c r="Q32" s="106" t="str">
        <f>CONCATENATE(Tabla1[[#This Row],[Simbología*]],"_",Tabla1[[#This Row],[Tipo de instalación relacionado]])</f>
        <v>KKKIN_9_Plantas Envasadoras (GLP)</v>
      </c>
      <c r="R32" s="112">
        <v>0.5</v>
      </c>
      <c r="S32" s="112">
        <v>1</v>
      </c>
      <c r="T32" s="108">
        <f>IFERROR(AVERAGE(Tabla1[[#This Row],[T. Mínimo]],Tabla1[[#This Row],[T. Máximo]]),0)</f>
        <v>0.75</v>
      </c>
      <c r="U32" s="107">
        <v>2</v>
      </c>
      <c r="V32" s="107">
        <v>3.5</v>
      </c>
      <c r="W32" s="108">
        <f>IFERROR(AVERAGE(Tabla1[[#This Row],[T. Mínimo*]],Tabla1[[#This Row],[T. Máximo*]]),0)</f>
        <v>2.75</v>
      </c>
      <c r="X32" s="107">
        <v>2</v>
      </c>
      <c r="Y32" s="107">
        <v>3</v>
      </c>
      <c r="Z32" s="108">
        <f>IFERROR(AVERAGE(Tabla1[[#This Row],[T. Mínimo**]],Tabla1[[#This Row],[T. Máximo**]]),0)</f>
        <v>2.5</v>
      </c>
      <c r="AA32" s="109">
        <f>SUM(Tabla1[[#This Row],[Promedio]],Tabla1[[#This Row],[Promedio*]],Tabla1[[#This Row],[Promedio**]])</f>
        <v>6</v>
      </c>
      <c r="AB32" s="110" t="s">
        <v>2486</v>
      </c>
      <c r="AD32" s="20" t="s">
        <v>2378</v>
      </c>
      <c r="AE32" s="10" t="s">
        <v>156</v>
      </c>
      <c r="AF32" s="20" t="s">
        <v>67</v>
      </c>
      <c r="AG32" s="10"/>
      <c r="AH32" s="22" t="str">
        <f t="shared" si="0"/>
        <v>Amazonas_02 Bagua</v>
      </c>
      <c r="AI32" s="10" t="s">
        <v>157</v>
      </c>
      <c r="AJ32" s="20" t="s">
        <v>97</v>
      </c>
      <c r="AK32" s="22" t="str">
        <f t="shared" si="1"/>
        <v>Amazonas_02 Bagua_06 La Peca</v>
      </c>
      <c r="AL32" s="25">
        <v>2</v>
      </c>
      <c r="AM32" s="25">
        <v>41</v>
      </c>
      <c r="AN32" s="26">
        <f>Tabla2[[#This Row],[Minutos]]/60</f>
        <v>0.68333333333333335</v>
      </c>
      <c r="AO32" s="27">
        <f>SUM(Tabla2[[#This Row],[Horas]],Tabla2[[#This Row],[Minutos a Horas]])</f>
        <v>2.6833333333333336</v>
      </c>
      <c r="AP32" s="49">
        <v>5</v>
      </c>
      <c r="AQ32" s="49">
        <v>30</v>
      </c>
      <c r="AR32" s="26">
        <f>Tabla2[[#This Row],[Minutos*]]/60</f>
        <v>0.5</v>
      </c>
      <c r="AS32" s="27">
        <f>SUM(Tabla2[[#This Row],[Horas*]],Tabla2[[#This Row],[Minutos a Horas*]])+(Tabla2[[#This Row],[Tiempo Total a Nivel Proncincial (Horas)]])</f>
        <v>8.1833333333333336</v>
      </c>
      <c r="AZ32" s="13" t="s">
        <v>2345</v>
      </c>
    </row>
    <row r="33" spans="2:52" ht="42.75" customHeight="1" x14ac:dyDescent="0.25">
      <c r="B33" s="78" t="s">
        <v>2314</v>
      </c>
      <c r="C33" s="199" t="s">
        <v>4</v>
      </c>
      <c r="D33" s="105" t="s">
        <v>2483</v>
      </c>
      <c r="E33" s="105"/>
      <c r="F33" s="105" t="str">
        <f>CONCATENATE(Tabla1[[#This Row],[Simbología]],"_",Tabla1[[#This Row],[Acción]])</f>
        <v>AAA_Supervisión de comercialización de hidrocarburos (CL, GLP, GNV, GNC y GNL)</v>
      </c>
      <c r="G33" s="105" t="s">
        <v>6</v>
      </c>
      <c r="H33" s="105" t="s">
        <v>2469</v>
      </c>
      <c r="I33" s="104"/>
      <c r="J33" s="202" t="str">
        <f>CONCATENATE(Tabla1[[#This Row],[Simbología1]],"_",Tabla1[[#This Row],[Acción Especifica]])</f>
        <v>KIN_1_Supervisión de Control Volumétrico</v>
      </c>
      <c r="K33" s="202" t="s">
        <v>2581</v>
      </c>
      <c r="L33" s="105" t="s">
        <v>2563</v>
      </c>
      <c r="M33" s="105" t="s">
        <v>2563</v>
      </c>
      <c r="N33" s="106" t="str">
        <f>CONCATENATE(Tabla1[[#This Row],[Simbología**]],"_",Tabla1[[#This Row],[Sub Acción Especifica]])</f>
        <v>KKIN_7_Control Volumétrico</v>
      </c>
      <c r="O33" s="104" t="s">
        <v>2629</v>
      </c>
      <c r="P33" s="119" t="s">
        <v>2363</v>
      </c>
      <c r="Q33" s="106" t="str">
        <f>CONCATENATE(Tabla1[[#This Row],[Simbología*]],"_",Tabla1[[#This Row],[Tipo de instalación relacionado]])</f>
        <v>KKKIN_10_Establecimientos de Venta al Público (Líquidos y/o GLP)</v>
      </c>
      <c r="R33" s="112">
        <v>1</v>
      </c>
      <c r="S33" s="112">
        <v>1.5</v>
      </c>
      <c r="T33" s="108">
        <f>IFERROR(AVERAGE(Tabla1[[#This Row],[T. Mínimo]],Tabla1[[#This Row],[T. Máximo]]),0)</f>
        <v>1.25</v>
      </c>
      <c r="U33" s="107">
        <v>1.5</v>
      </c>
      <c r="V33" s="107">
        <v>3</v>
      </c>
      <c r="W33" s="108">
        <f>IFERROR(AVERAGE(Tabla1[[#This Row],[T. Mínimo*]],Tabla1[[#This Row],[T. Máximo*]]),0)</f>
        <v>2.25</v>
      </c>
      <c r="X33" s="107">
        <v>1.5</v>
      </c>
      <c r="Y33" s="107">
        <v>3</v>
      </c>
      <c r="Z33" s="108">
        <f>IFERROR(AVERAGE(Tabla1[[#This Row],[T. Mínimo**]],Tabla1[[#This Row],[T. Máximo**]]),0)</f>
        <v>2.25</v>
      </c>
      <c r="AA33" s="109">
        <f>SUM(Tabla1[[#This Row],[Promedio]],Tabla1[[#This Row],[Promedio*]],Tabla1[[#This Row],[Promedio**]])</f>
        <v>5.75</v>
      </c>
      <c r="AB33" s="110" t="s">
        <v>2486</v>
      </c>
      <c r="AD33" s="20" t="s">
        <v>2378</v>
      </c>
      <c r="AE33" s="10" t="s">
        <v>156</v>
      </c>
      <c r="AF33" s="20" t="s">
        <v>68</v>
      </c>
      <c r="AG33" s="10"/>
      <c r="AH33" s="22" t="str">
        <f t="shared" si="0"/>
        <v>Amazonas_03 Bongará</v>
      </c>
      <c r="AI33" s="10" t="s">
        <v>158</v>
      </c>
      <c r="AJ33" s="20" t="s">
        <v>98</v>
      </c>
      <c r="AK33" s="22" t="str">
        <f t="shared" si="1"/>
        <v>Amazonas_03 Bongará_01 Jumbilla</v>
      </c>
      <c r="AL33" s="25">
        <v>1</v>
      </c>
      <c r="AM33" s="25">
        <v>2</v>
      </c>
      <c r="AN33" s="26">
        <f>Tabla2[[#This Row],[Minutos]]/60</f>
        <v>3.3333333333333333E-2</v>
      </c>
      <c r="AO33" s="27">
        <f>SUM(Tabla2[[#This Row],[Horas]],Tabla2[[#This Row],[Minutos a Horas]])</f>
        <v>1.0333333333333334</v>
      </c>
      <c r="AP33" s="49">
        <v>3</v>
      </c>
      <c r="AQ33" s="49">
        <v>30</v>
      </c>
      <c r="AR33" s="26">
        <f>Tabla2[[#This Row],[Minutos*]]/60</f>
        <v>0.5</v>
      </c>
      <c r="AS33" s="27">
        <f>SUM(Tabla2[[#This Row],[Horas*]],Tabla2[[#This Row],[Minutos a Horas*]])+(Tabla2[[#This Row],[Tiempo Total a Nivel Proncincial (Horas)]])</f>
        <v>4.5333333333333332</v>
      </c>
      <c r="AZ33" s="13" t="s">
        <v>2346</v>
      </c>
    </row>
    <row r="34" spans="2:52" ht="42.75" customHeight="1" x14ac:dyDescent="0.25">
      <c r="B34" s="78" t="s">
        <v>2314</v>
      </c>
      <c r="C34" s="199" t="s">
        <v>4</v>
      </c>
      <c r="D34" s="105" t="s">
        <v>2483</v>
      </c>
      <c r="E34" s="105"/>
      <c r="F34" s="105" t="str">
        <f>CONCATENATE(Tabla1[[#This Row],[Simbología]],"_",Tabla1[[#This Row],[Acción]])</f>
        <v>AAA_Supervisión de comercialización de hidrocarburos (CL, GLP, GNV, GNC y GNL)</v>
      </c>
      <c r="G34" s="105" t="s">
        <v>6</v>
      </c>
      <c r="H34" s="105" t="s">
        <v>2469</v>
      </c>
      <c r="I34" s="104"/>
      <c r="J34" s="202" t="str">
        <f>CONCATENATE(Tabla1[[#This Row],[Simbología1]],"_",Tabla1[[#This Row],[Acción Especifica]])</f>
        <v>KIN_1_Supervisión de Control Volumétrico</v>
      </c>
      <c r="K34" s="202" t="s">
        <v>2581</v>
      </c>
      <c r="L34" s="105" t="s">
        <v>2563</v>
      </c>
      <c r="M34" s="105"/>
      <c r="N34" s="106" t="str">
        <f>CONCATENATE(Tabla1[[#This Row],[Simbología**]],"_",Tabla1[[#This Row],[Sub Acción Especifica]])</f>
        <v>KKIN_7_Control Volumétrico</v>
      </c>
      <c r="O34" s="104" t="s">
        <v>2629</v>
      </c>
      <c r="P34" s="119" t="s">
        <v>13</v>
      </c>
      <c r="Q34" s="106" t="str">
        <f>CONCATENATE(Tabla1[[#This Row],[Simbología*]],"_",Tabla1[[#This Row],[Tipo de instalación relacionado]])</f>
        <v>KKKIN_10_Establecimientos (GNV, GNC, GNL)</v>
      </c>
      <c r="R34" s="112">
        <v>1</v>
      </c>
      <c r="S34" s="112">
        <v>1.5</v>
      </c>
      <c r="T34" s="108">
        <f>IFERROR(AVERAGE(Tabla1[[#This Row],[T. Mínimo]],Tabla1[[#This Row],[T. Máximo]]),0)</f>
        <v>1.25</v>
      </c>
      <c r="U34" s="107">
        <v>1.5</v>
      </c>
      <c r="V34" s="107">
        <v>3</v>
      </c>
      <c r="W34" s="108">
        <f>IFERROR(AVERAGE(Tabla1[[#This Row],[T. Mínimo*]],Tabla1[[#This Row],[T. Máximo*]]),0)</f>
        <v>2.25</v>
      </c>
      <c r="X34" s="107">
        <v>1.5</v>
      </c>
      <c r="Y34" s="107">
        <v>3</v>
      </c>
      <c r="Z34" s="108">
        <f>IFERROR(AVERAGE(Tabla1[[#This Row],[T. Mínimo**]],Tabla1[[#This Row],[T. Máximo**]]),0)</f>
        <v>2.25</v>
      </c>
      <c r="AA34" s="109">
        <f>SUM(Tabla1[[#This Row],[Promedio]],Tabla1[[#This Row],[Promedio*]],Tabla1[[#This Row],[Promedio**]])</f>
        <v>5.75</v>
      </c>
      <c r="AB34" s="110" t="s">
        <v>2486</v>
      </c>
      <c r="AD34" s="20" t="s">
        <v>2378</v>
      </c>
      <c r="AE34" s="10" t="s">
        <v>156</v>
      </c>
      <c r="AF34" s="20" t="s">
        <v>68</v>
      </c>
      <c r="AG34" s="10"/>
      <c r="AH34" s="22" t="str">
        <f t="shared" si="0"/>
        <v>Amazonas_03 Bongará</v>
      </c>
      <c r="AI34" s="10" t="s">
        <v>158</v>
      </c>
      <c r="AJ34" s="20" t="s">
        <v>99</v>
      </c>
      <c r="AK34" s="22" t="str">
        <f t="shared" si="1"/>
        <v>Amazonas_03 Bongará_02 Chisquilla</v>
      </c>
      <c r="AL34" s="25">
        <v>1</v>
      </c>
      <c r="AM34" s="25">
        <v>2</v>
      </c>
      <c r="AN34" s="26">
        <f>Tabla2[[#This Row],[Minutos]]/60</f>
        <v>3.3333333333333333E-2</v>
      </c>
      <c r="AO34" s="27">
        <f>SUM(Tabla2[[#This Row],[Horas]],Tabla2[[#This Row],[Minutos a Horas]])</f>
        <v>1.0333333333333334</v>
      </c>
      <c r="AP34" s="49">
        <v>4</v>
      </c>
      <c r="AQ34" s="49"/>
      <c r="AR34" s="26">
        <f>Tabla2[[#This Row],[Minutos*]]/60</f>
        <v>0</v>
      </c>
      <c r="AS34" s="27">
        <f>SUM(Tabla2[[#This Row],[Horas*]],Tabla2[[#This Row],[Minutos a Horas*]])+(Tabla2[[#This Row],[Tiempo Total a Nivel Proncincial (Horas)]])</f>
        <v>5.0333333333333332</v>
      </c>
      <c r="AZ34" s="13" t="s">
        <v>2347</v>
      </c>
    </row>
    <row r="35" spans="2:52" ht="42.75" customHeight="1" x14ac:dyDescent="0.25">
      <c r="B35" s="78" t="s">
        <v>2314</v>
      </c>
      <c r="C35" s="199" t="s">
        <v>4</v>
      </c>
      <c r="D35" s="105" t="s">
        <v>2483</v>
      </c>
      <c r="E35" s="105"/>
      <c r="F35" s="105" t="str">
        <f>CONCATENATE(Tabla1[[#This Row],[Simbología]],"_",Tabla1[[#This Row],[Acción]])</f>
        <v>AAA_Supervisión de comercialización de hidrocarburos (CL, GLP, GNV, GNC y GNL)</v>
      </c>
      <c r="G35" s="105" t="s">
        <v>6</v>
      </c>
      <c r="H35" s="105" t="s">
        <v>2470</v>
      </c>
      <c r="I35" s="104"/>
      <c r="J35" s="202" t="str">
        <f>CONCATENATE(Tabla1[[#This Row],[Simbología1]],"_",Tabla1[[#This Row],[Acción Especifica]])</f>
        <v>KIN_1_Supervisión del SPIC</v>
      </c>
      <c r="K35" s="202" t="s">
        <v>2582</v>
      </c>
      <c r="L35" s="105" t="s">
        <v>2564</v>
      </c>
      <c r="M35" s="105" t="s">
        <v>2564</v>
      </c>
      <c r="N35" s="106" t="str">
        <f>CONCATENATE(Tabla1[[#This Row],[Simbología**]],"_",Tabla1[[#This Row],[Sub Acción Especifica]])</f>
        <v>KKIN_8_SPIC</v>
      </c>
      <c r="O35" s="104" t="s">
        <v>2630</v>
      </c>
      <c r="P35" s="103" t="s">
        <v>2565</v>
      </c>
      <c r="Q35" s="106" t="str">
        <f>CONCATENATE(Tabla1[[#This Row],[Simbología*]],"_",Tabla1[[#This Row],[Tipo de instalación relacionado]])</f>
        <v>KKKIN_11_Distribuidor minorista de líquidos</v>
      </c>
      <c r="R35" s="112"/>
      <c r="S35" s="112"/>
      <c r="T35" s="108">
        <f>IFERROR(AVERAGE(Tabla1[[#This Row],[T. Mínimo]],Tabla1[[#This Row],[T. Máximo]]),0)</f>
        <v>0</v>
      </c>
      <c r="U35" s="107"/>
      <c r="V35" s="107"/>
      <c r="W35" s="108">
        <f>IFERROR(AVERAGE(Tabla1[[#This Row],[T. Mínimo*]],Tabla1[[#This Row],[T. Máximo*]]),0)</f>
        <v>0</v>
      </c>
      <c r="X35" s="107">
        <v>2</v>
      </c>
      <c r="Y35" s="107">
        <v>3</v>
      </c>
      <c r="Z35" s="108">
        <f>IFERROR(AVERAGE(Tabla1[[#This Row],[T. Mínimo**]],Tabla1[[#This Row],[T. Máximo**]]),0)</f>
        <v>2.5</v>
      </c>
      <c r="AA35" s="120">
        <f>SUM(Tabla1[[#This Row],[Promedio]],Tabla1[[#This Row],[Promedio*]],Tabla1[[#This Row],[Promedio**]])</f>
        <v>2.5</v>
      </c>
      <c r="AB35" s="110" t="s">
        <v>2486</v>
      </c>
      <c r="AD35" s="20" t="s">
        <v>2378</v>
      </c>
      <c r="AE35" s="10" t="s">
        <v>156</v>
      </c>
      <c r="AF35" s="20" t="s">
        <v>68</v>
      </c>
      <c r="AG35" s="10"/>
      <c r="AH35" s="22" t="str">
        <f t="shared" si="0"/>
        <v>Amazonas_03 Bongará</v>
      </c>
      <c r="AI35" s="10" t="s">
        <v>158</v>
      </c>
      <c r="AJ35" s="20" t="s">
        <v>100</v>
      </c>
      <c r="AK35" s="22" t="str">
        <f t="shared" si="1"/>
        <v>Amazonas_03 Bongará_03 Churuja</v>
      </c>
      <c r="AL35" s="25">
        <v>1</v>
      </c>
      <c r="AM35" s="25">
        <v>2</v>
      </c>
      <c r="AN35" s="26">
        <f>Tabla2[[#This Row],[Minutos]]/60</f>
        <v>3.3333333333333333E-2</v>
      </c>
      <c r="AO35" s="27">
        <f>SUM(Tabla2[[#This Row],[Horas]],Tabla2[[#This Row],[Minutos a Horas]])</f>
        <v>1.0333333333333334</v>
      </c>
      <c r="AP35" s="49"/>
      <c r="AQ35" s="49">
        <v>50</v>
      </c>
      <c r="AR35" s="26">
        <f>Tabla2[[#This Row],[Minutos*]]/60</f>
        <v>0.83333333333333337</v>
      </c>
      <c r="AS35" s="27">
        <f>SUM(Tabla2[[#This Row],[Horas*]],Tabla2[[#This Row],[Minutos a Horas*]])+(Tabla2[[#This Row],[Tiempo Total a Nivel Proncincial (Horas)]])</f>
        <v>1.8666666666666667</v>
      </c>
    </row>
    <row r="36" spans="2:52" ht="42.75" customHeight="1" x14ac:dyDescent="0.25">
      <c r="B36" s="78" t="s">
        <v>2314</v>
      </c>
      <c r="C36" s="199" t="s">
        <v>4</v>
      </c>
      <c r="D36" s="105" t="s">
        <v>2483</v>
      </c>
      <c r="E36" s="105"/>
      <c r="F36" s="105" t="str">
        <f>CONCATENATE(Tabla1[[#This Row],[Simbología]],"_",Tabla1[[#This Row],[Acción]])</f>
        <v>AAA_Supervisión de comercialización de hidrocarburos (CL, GLP, GNV, GNC y GNL)</v>
      </c>
      <c r="G36" s="105" t="s">
        <v>6</v>
      </c>
      <c r="H36" s="103" t="s">
        <v>2472</v>
      </c>
      <c r="I36" s="121"/>
      <c r="J36" s="201" t="str">
        <f>CONCATENATE(Tabla1[[#This Row],[Simbología1]],"_",Tabla1[[#This Row],[Acción Especifica]])</f>
        <v>KIN_1_Fiscalización Orientativa SCOP - RGG 24-2021-OS/GGRGG (Acción de Supervisión: Informe de Fiscalización Orientativa)</v>
      </c>
      <c r="K36" s="201" t="s">
        <v>2583</v>
      </c>
      <c r="L36" s="103" t="s">
        <v>2502</v>
      </c>
      <c r="M36" s="103" t="s">
        <v>2502</v>
      </c>
      <c r="N36" s="106" t="str">
        <f>CONCATENATE(Tabla1[[#This Row],[Simbología**]],"_",Tabla1[[#This Row],[Sub Acción Especifica]])</f>
        <v>KKIN_9_Orientativa SCOP</v>
      </c>
      <c r="O36" s="104" t="s">
        <v>2631</v>
      </c>
      <c r="P36" s="103" t="s">
        <v>24</v>
      </c>
      <c r="Q36" s="106" t="str">
        <f>CONCATENATE(Tabla1[[#This Row],[Simbología*]],"_",Tabla1[[#This Row],[Tipo de instalación relacionado]])</f>
        <v>KKKIN_12_Locales de Venta de GLP</v>
      </c>
      <c r="R36" s="122"/>
      <c r="S36" s="122"/>
      <c r="T36" s="123"/>
      <c r="U36" s="122"/>
      <c r="V36" s="122"/>
      <c r="W36" s="123"/>
      <c r="X36" s="124"/>
      <c r="Y36" s="124"/>
      <c r="Z36" s="123"/>
      <c r="AA36" s="125"/>
      <c r="AB36" s="110" t="s">
        <v>2486</v>
      </c>
      <c r="AD36" s="20" t="s">
        <v>2378</v>
      </c>
      <c r="AE36" s="10" t="s">
        <v>156</v>
      </c>
      <c r="AF36" s="20" t="s">
        <v>68</v>
      </c>
      <c r="AG36" s="10"/>
      <c r="AH36" s="22" t="str">
        <f t="shared" si="0"/>
        <v>Amazonas_03 Bongará</v>
      </c>
      <c r="AI36" s="10" t="s">
        <v>158</v>
      </c>
      <c r="AJ36" s="20" t="s">
        <v>101</v>
      </c>
      <c r="AK36" s="22" t="str">
        <f t="shared" si="1"/>
        <v>Amazonas_03 Bongará_04 Corosha</v>
      </c>
      <c r="AL36" s="25">
        <v>1</v>
      </c>
      <c r="AM36" s="25">
        <v>2</v>
      </c>
      <c r="AN36" s="26">
        <f>Tabla2[[#This Row],[Minutos]]/60</f>
        <v>3.3333333333333333E-2</v>
      </c>
      <c r="AO36" s="27">
        <f>SUM(Tabla2[[#This Row],[Horas]],Tabla2[[#This Row],[Minutos a Horas]])</f>
        <v>1.0333333333333334</v>
      </c>
      <c r="AP36" s="49">
        <v>4</v>
      </c>
      <c r="AQ36" s="49">
        <v>15</v>
      </c>
      <c r="AR36" s="26">
        <f>Tabla2[[#This Row],[Minutos*]]/60</f>
        <v>0.25</v>
      </c>
      <c r="AS36" s="27">
        <f>SUM(Tabla2[[#This Row],[Horas*]],Tabla2[[#This Row],[Minutos a Horas*]])+(Tabla2[[#This Row],[Tiempo Total a Nivel Proncincial (Horas)]])</f>
        <v>5.2833333333333332</v>
      </c>
    </row>
    <row r="37" spans="2:52" ht="42.75" customHeight="1" x14ac:dyDescent="0.25">
      <c r="B37" s="78" t="s">
        <v>2314</v>
      </c>
      <c r="C37" s="199" t="s">
        <v>4</v>
      </c>
      <c r="D37" s="105" t="s">
        <v>2483</v>
      </c>
      <c r="E37" s="105"/>
      <c r="F37" s="105" t="str">
        <f>CONCATENATE(Tabla1[[#This Row],[Simbología]],"_",Tabla1[[#This Row],[Acción]])</f>
        <v>AAA_Supervisión de comercialización de hidrocarburos (CL, GLP, GNV, GNC y GNL)</v>
      </c>
      <c r="G37" s="105" t="s">
        <v>6</v>
      </c>
      <c r="H37" s="103" t="s">
        <v>2472</v>
      </c>
      <c r="I37" s="121"/>
      <c r="J37" s="201" t="str">
        <f>CONCATENATE(Tabla1[[#This Row],[Simbología1]],"_",Tabla1[[#This Row],[Acción Especifica]])</f>
        <v>KIN_1_Fiscalización Orientativa SCOP - RGG 24-2021-OS/GGRGG (Acción de Supervisión: Informe de Fiscalización Orientativa)</v>
      </c>
      <c r="K37" s="201" t="s">
        <v>2583</v>
      </c>
      <c r="L37" s="103" t="s">
        <v>2502</v>
      </c>
      <c r="M37" s="103"/>
      <c r="N37" s="106" t="str">
        <f>CONCATENATE(Tabla1[[#This Row],[Simbología**]],"_",Tabla1[[#This Row],[Sub Acción Especifica]])</f>
        <v>KKIN_9_Orientativa SCOP</v>
      </c>
      <c r="O37" s="104" t="s">
        <v>2631</v>
      </c>
      <c r="P37" s="103" t="s">
        <v>35</v>
      </c>
      <c r="Q37" s="106" t="str">
        <f>CONCATENATE(Tabla1[[#This Row],[Simbología*]],"_",Tabla1[[#This Row],[Tipo de instalación relacionado]])</f>
        <v>KKKIN_12_Distribuidores de GLP en cilindros</v>
      </c>
      <c r="R37" s="122"/>
      <c r="S37" s="122"/>
      <c r="T37" s="123"/>
      <c r="U37" s="122"/>
      <c r="V37" s="122"/>
      <c r="W37" s="123"/>
      <c r="X37" s="124"/>
      <c r="Y37" s="124"/>
      <c r="Z37" s="123"/>
      <c r="AA37" s="125"/>
      <c r="AB37" s="110" t="s">
        <v>2486</v>
      </c>
      <c r="AD37" s="20" t="s">
        <v>2378</v>
      </c>
      <c r="AE37" s="10" t="s">
        <v>156</v>
      </c>
      <c r="AF37" s="20" t="s">
        <v>68</v>
      </c>
      <c r="AG37" s="10"/>
      <c r="AH37" s="22" t="str">
        <f t="shared" si="0"/>
        <v>Amazonas_03 Bongará</v>
      </c>
      <c r="AI37" s="10" t="s">
        <v>158</v>
      </c>
      <c r="AJ37" s="20" t="s">
        <v>102</v>
      </c>
      <c r="AK37" s="22" t="str">
        <f t="shared" si="1"/>
        <v>Amazonas_03 Bongará_05 Cuispes</v>
      </c>
      <c r="AL37" s="25">
        <v>1</v>
      </c>
      <c r="AM37" s="25">
        <v>2</v>
      </c>
      <c r="AN37" s="26">
        <f>Tabla2[[#This Row],[Minutos]]/60</f>
        <v>3.3333333333333333E-2</v>
      </c>
      <c r="AO37" s="27">
        <f>SUM(Tabla2[[#This Row],[Horas]],Tabla2[[#This Row],[Minutos a Horas]])</f>
        <v>1.0333333333333334</v>
      </c>
      <c r="AP37" s="49">
        <v>1</v>
      </c>
      <c r="AQ37" s="49">
        <v>45</v>
      </c>
      <c r="AR37" s="26">
        <f>Tabla2[[#This Row],[Minutos*]]/60</f>
        <v>0.75</v>
      </c>
      <c r="AS37" s="27">
        <f>SUM(Tabla2[[#This Row],[Horas*]],Tabla2[[#This Row],[Minutos a Horas*]])+(Tabla2[[#This Row],[Tiempo Total a Nivel Proncincial (Horas)]])</f>
        <v>2.7833333333333332</v>
      </c>
    </row>
    <row r="38" spans="2:52" ht="38.25" x14ac:dyDescent="0.25">
      <c r="B38" s="78" t="s">
        <v>2314</v>
      </c>
      <c r="C38" s="199" t="s">
        <v>4</v>
      </c>
      <c r="D38" s="105" t="s">
        <v>2483</v>
      </c>
      <c r="E38" s="105"/>
      <c r="F38" s="105" t="str">
        <f>CONCATENATE(Tabla1[[#This Row],[Simbología]],"_",Tabla1[[#This Row],[Acción]])</f>
        <v>AAA_Supervisión de comercialización de hidrocarburos (CL, GLP, GNV, GNC y GNL)</v>
      </c>
      <c r="G38" s="105" t="s">
        <v>6</v>
      </c>
      <c r="H38" s="103" t="s">
        <v>2472</v>
      </c>
      <c r="I38" s="121"/>
      <c r="J38" s="201" t="str">
        <f>CONCATENATE(Tabla1[[#This Row],[Simbología1]],"_",Tabla1[[#This Row],[Acción Especifica]])</f>
        <v>KIN_1_Fiscalización Orientativa SCOP - RGG 24-2021-OS/GGRGG (Acción de Supervisión: Informe de Fiscalización Orientativa)</v>
      </c>
      <c r="K38" s="201" t="s">
        <v>2583</v>
      </c>
      <c r="L38" s="103" t="s">
        <v>2502</v>
      </c>
      <c r="M38" s="103"/>
      <c r="N38" s="106" t="str">
        <f>CONCATENATE(Tabla1[[#This Row],[Simbología**]],"_",Tabla1[[#This Row],[Sub Acción Especifica]])</f>
        <v>KKIN_9_Orientativa SCOP</v>
      </c>
      <c r="O38" s="104" t="s">
        <v>2631</v>
      </c>
      <c r="P38" s="103" t="s">
        <v>2416</v>
      </c>
      <c r="Q38" s="106" t="str">
        <f>CONCATENATE(Tabla1[[#This Row],[Simbología*]],"_",Tabla1[[#This Row],[Tipo de instalación relacionado]])</f>
        <v>KKKIN_12_Grifo Rural con almacenamiento en cilindros</v>
      </c>
      <c r="R38" s="122"/>
      <c r="S38" s="122"/>
      <c r="T38" s="123"/>
      <c r="U38" s="122"/>
      <c r="V38" s="122"/>
      <c r="W38" s="123"/>
      <c r="X38" s="124"/>
      <c r="Y38" s="124"/>
      <c r="Z38" s="123"/>
      <c r="AA38" s="125"/>
      <c r="AB38" s="110" t="s">
        <v>2486</v>
      </c>
      <c r="AD38" s="20" t="s">
        <v>2378</v>
      </c>
      <c r="AE38" s="10" t="s">
        <v>156</v>
      </c>
      <c r="AF38" s="20" t="s">
        <v>68</v>
      </c>
      <c r="AG38" s="10"/>
      <c r="AH38" s="22" t="str">
        <f t="shared" si="0"/>
        <v>Amazonas_03 Bongará</v>
      </c>
      <c r="AI38" s="10" t="s">
        <v>158</v>
      </c>
      <c r="AJ38" s="20" t="s">
        <v>103</v>
      </c>
      <c r="AK38" s="22" t="str">
        <f t="shared" si="1"/>
        <v>Amazonas_03 Bongará_06 Florida</v>
      </c>
      <c r="AL38" s="25">
        <v>1</v>
      </c>
      <c r="AM38" s="25">
        <v>2</v>
      </c>
      <c r="AN38" s="26">
        <f>Tabla2[[#This Row],[Minutos]]/60</f>
        <v>3.3333333333333333E-2</v>
      </c>
      <c r="AO38" s="27">
        <f>SUM(Tabla2[[#This Row],[Horas]],Tabla2[[#This Row],[Minutos a Horas]])</f>
        <v>1.0333333333333334</v>
      </c>
      <c r="AP38" s="49">
        <v>2</v>
      </c>
      <c r="AQ38" s="49">
        <v>30</v>
      </c>
      <c r="AR38" s="26">
        <f>Tabla2[[#This Row],[Minutos*]]/60</f>
        <v>0.5</v>
      </c>
      <c r="AS38" s="27">
        <f>SUM(Tabla2[[#This Row],[Horas*]],Tabla2[[#This Row],[Minutos a Horas*]])+(Tabla2[[#This Row],[Tiempo Total a Nivel Proncincial (Horas)]])</f>
        <v>3.5333333333333332</v>
      </c>
    </row>
    <row r="39" spans="2:52" ht="46.5" customHeight="1" x14ac:dyDescent="0.25">
      <c r="B39" s="78" t="s">
        <v>2314</v>
      </c>
      <c r="C39" s="199" t="s">
        <v>4</v>
      </c>
      <c r="D39" s="105" t="s">
        <v>2483</v>
      </c>
      <c r="E39" s="105"/>
      <c r="F39" s="105" t="str">
        <f>CONCATENATE(Tabla1[[#This Row],[Simbología]],"_",Tabla1[[#This Row],[Acción]])</f>
        <v>AAA_Supervisión de comercialización de hidrocarburos (CL, GLP, GNV, GNC y GNL)</v>
      </c>
      <c r="G39" s="105" t="s">
        <v>6</v>
      </c>
      <c r="H39" s="103" t="s">
        <v>2472</v>
      </c>
      <c r="I39" s="121"/>
      <c r="J39" s="201" t="str">
        <f>CONCATENATE(Tabla1[[#This Row],[Simbología1]],"_",Tabla1[[#This Row],[Acción Especifica]])</f>
        <v>KIN_1_Fiscalización Orientativa SCOP - RGG 24-2021-OS/GGRGG (Acción de Supervisión: Informe de Fiscalización Orientativa)</v>
      </c>
      <c r="K39" s="201" t="s">
        <v>2583</v>
      </c>
      <c r="L39" s="103" t="s">
        <v>2502</v>
      </c>
      <c r="M39" s="103"/>
      <c r="N39" s="106" t="str">
        <f>CONCATENATE(Tabla1[[#This Row],[Simbología**]],"_",Tabla1[[#This Row],[Sub Acción Especifica]])</f>
        <v>KKIN_9_Orientativa SCOP</v>
      </c>
      <c r="O39" s="104" t="s">
        <v>2631</v>
      </c>
      <c r="P39" s="103" t="s">
        <v>2503</v>
      </c>
      <c r="Q39" s="106" t="str">
        <f>CONCATENATE(Tabla1[[#This Row],[Simbología*]],"_",Tabla1[[#This Row],[Tipo de instalación relacionado]])</f>
        <v>KKKIN_12_Consumidores Directos GLP</v>
      </c>
      <c r="R39" s="122"/>
      <c r="S39" s="122"/>
      <c r="T39" s="123"/>
      <c r="U39" s="122"/>
      <c r="V39" s="122"/>
      <c r="W39" s="123"/>
      <c r="X39" s="124"/>
      <c r="Y39" s="124"/>
      <c r="Z39" s="123"/>
      <c r="AA39" s="125"/>
      <c r="AB39" s="110" t="s">
        <v>2486</v>
      </c>
      <c r="AD39" s="20" t="s">
        <v>2378</v>
      </c>
      <c r="AE39" s="10" t="s">
        <v>156</v>
      </c>
      <c r="AF39" s="20" t="s">
        <v>68</v>
      </c>
      <c r="AG39" s="10"/>
      <c r="AH39" s="22" t="str">
        <f t="shared" si="0"/>
        <v>Amazonas_03 Bongará</v>
      </c>
      <c r="AI39" s="10" t="s">
        <v>158</v>
      </c>
      <c r="AJ39" s="20" t="s">
        <v>104</v>
      </c>
      <c r="AK39" s="22" t="str">
        <f t="shared" si="1"/>
        <v>Amazonas_03 Bongará_07 Jazan</v>
      </c>
      <c r="AL39" s="25">
        <v>1</v>
      </c>
      <c r="AM39" s="25">
        <v>2</v>
      </c>
      <c r="AN39" s="26">
        <f>Tabla2[[#This Row],[Minutos]]/60</f>
        <v>3.3333333333333333E-2</v>
      </c>
      <c r="AO39" s="27">
        <f>SUM(Tabla2[[#This Row],[Horas]],Tabla2[[#This Row],[Minutos a Horas]])</f>
        <v>1.0333333333333334</v>
      </c>
      <c r="AP39" s="49">
        <v>1</v>
      </c>
      <c r="AQ39" s="49"/>
      <c r="AR39" s="26">
        <f>Tabla2[[#This Row],[Minutos*]]/60</f>
        <v>0</v>
      </c>
      <c r="AS39" s="27">
        <f>SUM(Tabla2[[#This Row],[Horas*]],Tabla2[[#This Row],[Minutos a Horas*]])+(Tabla2[[#This Row],[Tiempo Total a Nivel Proncincial (Horas)]])</f>
        <v>2.0333333333333332</v>
      </c>
    </row>
    <row r="40" spans="2:52" ht="74.25" customHeight="1" x14ac:dyDescent="0.25">
      <c r="B40" s="78" t="s">
        <v>2314</v>
      </c>
      <c r="C40" s="199" t="s">
        <v>4</v>
      </c>
      <c r="D40" s="105" t="s">
        <v>2483</v>
      </c>
      <c r="E40" s="105"/>
      <c r="F40" s="105" t="str">
        <f>CONCATENATE(Tabla1[[#This Row],[Simbología]],"_",Tabla1[[#This Row],[Acción]])</f>
        <v>AAA_Supervisión de comercialización de hidrocarburos (CL, GLP, GNV, GNC y GNL)</v>
      </c>
      <c r="G40" s="105" t="s">
        <v>6</v>
      </c>
      <c r="H40" s="105" t="s">
        <v>2560</v>
      </c>
      <c r="I40" s="104"/>
      <c r="J40" s="202" t="str">
        <f>CONCATENATE(Tabla1[[#This Row],[Simbología1]],"_",Tabla1[[#This Row],[Acción Especifica]])</f>
        <v>KIN_1_Supervisión RIC</v>
      </c>
      <c r="K40" s="202" t="s">
        <v>2584</v>
      </c>
      <c r="L40" s="103" t="s">
        <v>2561</v>
      </c>
      <c r="M40" s="103" t="s">
        <v>2561</v>
      </c>
      <c r="N40" s="106" t="str">
        <f>CONCATENATE(Tabla1[[#This Row],[Simbología**]],"_",Tabla1[[#This Row],[Sub Acción Especifica]])</f>
        <v>KKIN_10_RIC</v>
      </c>
      <c r="O40" s="104" t="s">
        <v>2632</v>
      </c>
      <c r="P40" s="119" t="s">
        <v>2363</v>
      </c>
      <c r="Q40" s="106" t="str">
        <f>CONCATENATE(Tabla1[[#This Row],[Simbología*]],"_",Tabla1[[#This Row],[Tipo de instalación relacionado]])</f>
        <v>KKKIN_13_Establecimientos de Venta al Público (Líquidos y/o GLP)</v>
      </c>
      <c r="R40" s="112"/>
      <c r="S40" s="112"/>
      <c r="T40" s="108">
        <f>IFERROR(AVERAGE(Tabla1[[#This Row],[T. Mínimo]],Tabla1[[#This Row],[T. Máximo]]),0)</f>
        <v>0</v>
      </c>
      <c r="U40" s="107"/>
      <c r="V40" s="107"/>
      <c r="W40" s="108">
        <f>IFERROR(AVERAGE(Tabla1[[#This Row],[T. Mínimo*]],Tabla1[[#This Row],[T. Máximo*]]),0)</f>
        <v>0</v>
      </c>
      <c r="X40" s="107">
        <v>2</v>
      </c>
      <c r="Y40" s="107">
        <v>3</v>
      </c>
      <c r="Z40" s="108">
        <f>IFERROR(AVERAGE(Tabla1[[#This Row],[T. Mínimo**]],Tabla1[[#This Row],[T. Máximo**]]),0)</f>
        <v>2.5</v>
      </c>
      <c r="AA40" s="109">
        <f>SUM(Tabla1[[#This Row],[Promedio]],Tabla1[[#This Row],[Promedio*]],Tabla1[[#This Row],[Promedio**]])</f>
        <v>2.5</v>
      </c>
      <c r="AB40" s="110" t="s">
        <v>2486</v>
      </c>
      <c r="AD40" s="20" t="s">
        <v>2378</v>
      </c>
      <c r="AE40" s="10" t="s">
        <v>156</v>
      </c>
      <c r="AF40" s="20" t="s">
        <v>68</v>
      </c>
      <c r="AG40" s="10"/>
      <c r="AH40" s="22" t="str">
        <f t="shared" si="0"/>
        <v>Amazonas_03 Bongará</v>
      </c>
      <c r="AI40" s="10" t="s">
        <v>158</v>
      </c>
      <c r="AJ40" s="20" t="s">
        <v>105</v>
      </c>
      <c r="AK40" s="22" t="str">
        <f t="shared" si="1"/>
        <v>Amazonas_03 Bongará_08 Recta</v>
      </c>
      <c r="AL40" s="25">
        <v>1</v>
      </c>
      <c r="AM40" s="25">
        <v>2</v>
      </c>
      <c r="AN40" s="26">
        <f>Tabla2[[#This Row],[Minutos]]/60</f>
        <v>3.3333333333333333E-2</v>
      </c>
      <c r="AO40" s="27">
        <f>SUM(Tabla2[[#This Row],[Horas]],Tabla2[[#This Row],[Minutos a Horas]])</f>
        <v>1.0333333333333334</v>
      </c>
      <c r="AP40" s="49">
        <v>3</v>
      </c>
      <c r="AQ40" s="49">
        <v>45</v>
      </c>
      <c r="AR40" s="26">
        <f>Tabla2[[#This Row],[Minutos*]]/60</f>
        <v>0.75</v>
      </c>
      <c r="AS40" s="27">
        <f>SUM(Tabla2[[#This Row],[Horas*]],Tabla2[[#This Row],[Minutos a Horas*]])+(Tabla2[[#This Row],[Tiempo Total a Nivel Proncincial (Horas)]])</f>
        <v>4.7833333333333332</v>
      </c>
    </row>
    <row r="41" spans="2:52" ht="72.75" customHeight="1" x14ac:dyDescent="0.25">
      <c r="B41" s="78" t="s">
        <v>2314</v>
      </c>
      <c r="C41" s="199" t="s">
        <v>4</v>
      </c>
      <c r="D41" s="105" t="s">
        <v>2483</v>
      </c>
      <c r="E41" s="105" t="s">
        <v>2483</v>
      </c>
      <c r="F41" s="105" t="str">
        <f>CONCATENATE(Tabla1[[#This Row],[Simbología]],"_",Tabla1[[#This Row],[Acción]])</f>
        <v>AAA_Supervisión de comercialización de hidrocarburos (CL, GLP, GNV, GNC y GNL)</v>
      </c>
      <c r="G41" s="105" t="s">
        <v>6</v>
      </c>
      <c r="H41" s="105" t="s">
        <v>2560</v>
      </c>
      <c r="I41" s="104"/>
      <c r="J41" s="202" t="str">
        <f>CONCATENATE(Tabla1[[#This Row],[Simbología1]],"_",Tabla1[[#This Row],[Acción Especifica]])</f>
        <v>KIN_1_Supervisión RIC</v>
      </c>
      <c r="K41" s="202" t="s">
        <v>2584</v>
      </c>
      <c r="L41" s="103" t="s">
        <v>2561</v>
      </c>
      <c r="M41" s="105"/>
      <c r="N41" s="106" t="str">
        <f>CONCATENATE(Tabla1[[#This Row],[Simbología**]],"_",Tabla1[[#This Row],[Sub Acción Especifica]])</f>
        <v>KKIN_10_RIC</v>
      </c>
      <c r="O41" s="104" t="s">
        <v>2632</v>
      </c>
      <c r="P41" s="119" t="s">
        <v>13</v>
      </c>
      <c r="Q41" s="106" t="str">
        <f>CONCATENATE(Tabla1[[#This Row],[Simbología*]],"_",Tabla1[[#This Row],[Tipo de instalación relacionado]])</f>
        <v>KKKIN_13_Establecimientos (GNV, GNC, GNL)</v>
      </c>
      <c r="R41" s="112"/>
      <c r="S41" s="112"/>
      <c r="T41" s="108">
        <f>IFERROR(AVERAGE(Tabla1[[#This Row],[T. Mínimo]],Tabla1[[#This Row],[T. Máximo]]),0)</f>
        <v>0</v>
      </c>
      <c r="U41" s="107"/>
      <c r="V41" s="107"/>
      <c r="W41" s="108">
        <f>IFERROR(AVERAGE(Tabla1[[#This Row],[T. Mínimo*]],Tabla1[[#This Row],[T. Máximo*]]),0)</f>
        <v>0</v>
      </c>
      <c r="X41" s="107">
        <v>2</v>
      </c>
      <c r="Y41" s="107">
        <v>3</v>
      </c>
      <c r="Z41" s="108">
        <f>IFERROR(AVERAGE(Tabla1[[#This Row],[T. Mínimo**]],Tabla1[[#This Row],[T. Máximo**]]),0)</f>
        <v>2.5</v>
      </c>
      <c r="AA41" s="109">
        <f>SUM(Tabla1[[#This Row],[Promedio]],Tabla1[[#This Row],[Promedio*]],Tabla1[[#This Row],[Promedio**]])</f>
        <v>2.5</v>
      </c>
      <c r="AB41" s="110" t="s">
        <v>2486</v>
      </c>
      <c r="AD41" s="20" t="s">
        <v>2378</v>
      </c>
      <c r="AE41" s="10" t="s">
        <v>156</v>
      </c>
      <c r="AF41" s="20" t="s">
        <v>68</v>
      </c>
      <c r="AG41" s="10"/>
      <c r="AH41" s="22" t="str">
        <f t="shared" si="0"/>
        <v>Amazonas_03 Bongará</v>
      </c>
      <c r="AI41" s="10" t="s">
        <v>158</v>
      </c>
      <c r="AJ41" s="20" t="s">
        <v>106</v>
      </c>
      <c r="AK41" s="22" t="str">
        <f t="shared" si="1"/>
        <v>Amazonas_03 Bongará_09 San Carlos</v>
      </c>
      <c r="AL41" s="25">
        <v>1</v>
      </c>
      <c r="AM41" s="25">
        <v>2</v>
      </c>
      <c r="AN41" s="26">
        <f>Tabla2[[#This Row],[Minutos]]/60</f>
        <v>3.3333333333333333E-2</v>
      </c>
      <c r="AO41" s="27">
        <f>SUM(Tabla2[[#This Row],[Horas]],Tabla2[[#This Row],[Minutos a Horas]])</f>
        <v>1.0333333333333334</v>
      </c>
      <c r="AP41" s="49">
        <v>1</v>
      </c>
      <c r="AQ41" s="49">
        <v>50</v>
      </c>
      <c r="AR41" s="26">
        <f>Tabla2[[#This Row],[Minutos*]]/60</f>
        <v>0.83333333333333337</v>
      </c>
      <c r="AS41" s="27">
        <f>SUM(Tabla2[[#This Row],[Horas*]],Tabla2[[#This Row],[Minutos a Horas*]])+(Tabla2[[#This Row],[Tiempo Total a Nivel Proncincial (Horas)]])</f>
        <v>2.8666666666666671</v>
      </c>
    </row>
    <row r="42" spans="2:52" ht="69" customHeight="1" x14ac:dyDescent="0.25">
      <c r="B42" s="78" t="s">
        <v>2314</v>
      </c>
      <c r="C42" s="199" t="s">
        <v>4</v>
      </c>
      <c r="D42" s="127" t="s">
        <v>2488</v>
      </c>
      <c r="E42" s="127" t="s">
        <v>2488</v>
      </c>
      <c r="F42" s="127" t="str">
        <f>CONCATENATE(Tabla1[[#This Row],[Simbología]],"_",Tabla1[[#This Row],[Acción]])</f>
        <v>AAA_Supervisión de la calidad y cantidad de combustibles</v>
      </c>
      <c r="G42" s="127" t="s">
        <v>10</v>
      </c>
      <c r="H42" s="126" t="s">
        <v>2535</v>
      </c>
      <c r="I42" s="126" t="s">
        <v>2535</v>
      </c>
      <c r="J42" s="204" t="str">
        <f>CONCATENATE(Tabla1[[#This Row],[Simbología1]],"_",Tabla1[[#This Row],[Acción Especifica]])</f>
        <v>KIN_2_Visitas de supervisión metrológica o de peso en establecimientos de venta al público o plantas u otros centros de comercialización de combustibles líquidos o GLP (especiales o de parte)</v>
      </c>
      <c r="K42" s="204" t="s">
        <v>2586</v>
      </c>
      <c r="L42" s="127" t="s">
        <v>41</v>
      </c>
      <c r="M42" s="127" t="s">
        <v>41</v>
      </c>
      <c r="N42" s="130" t="str">
        <f>CONCATENATE(Tabla1[[#This Row],[Simbología**]],"_",Tabla1[[#This Row],[Sub Acción Especifica]])</f>
        <v>KKIN_12_Control Metrologico</v>
      </c>
      <c r="O42" s="128" t="s">
        <v>2633</v>
      </c>
      <c r="P42" s="127" t="s">
        <v>20</v>
      </c>
      <c r="Q42" s="130" t="str">
        <f>CONCATENATE(Tabla1[[#This Row],[Simbología*]],"_",Tabla1[[#This Row],[Tipo de instalación relacionado]])</f>
        <v>KKKIN_14_Establecimientos de Venta al Público (Líquidos)</v>
      </c>
      <c r="R42" s="131">
        <v>1</v>
      </c>
      <c r="S42" s="132">
        <v>1.5</v>
      </c>
      <c r="T42" s="133">
        <f>IFERROR(AVERAGE(Tabla1[[#This Row],[T. Mínimo]],Tabla1[[#This Row],[T. Máximo]]),0)</f>
        <v>1.25</v>
      </c>
      <c r="U42" s="132">
        <v>1.5</v>
      </c>
      <c r="V42" s="132">
        <v>3</v>
      </c>
      <c r="W42" s="133">
        <f>IFERROR(AVERAGE(Tabla1[[#This Row],[T. Mínimo*]],Tabla1[[#This Row],[T. Máximo*]]),0)</f>
        <v>2.25</v>
      </c>
      <c r="X42" s="132">
        <v>1.5</v>
      </c>
      <c r="Y42" s="132">
        <v>3</v>
      </c>
      <c r="Z42" s="133">
        <f>IFERROR(AVERAGE(Tabla1[[#This Row],[T. Mínimo**]],Tabla1[[#This Row],[T. Máximo**]]),0)</f>
        <v>2.25</v>
      </c>
      <c r="AA42" s="134">
        <f>SUM(Tabla1[[#This Row],[Promedio]],Tabla1[[#This Row],[Promedio*]],Tabla1[[#This Row],[Promedio**]])</f>
        <v>5.75</v>
      </c>
      <c r="AB42" s="135" t="s">
        <v>2487</v>
      </c>
      <c r="AD42" s="20" t="s">
        <v>2378</v>
      </c>
      <c r="AE42" s="10" t="s">
        <v>156</v>
      </c>
      <c r="AF42" s="20" t="s">
        <v>68</v>
      </c>
      <c r="AG42" s="10"/>
      <c r="AH42" s="22" t="str">
        <f t="shared" si="0"/>
        <v>Amazonas_03 Bongará</v>
      </c>
      <c r="AI42" s="10" t="s">
        <v>158</v>
      </c>
      <c r="AJ42" s="20" t="s">
        <v>107</v>
      </c>
      <c r="AK42" s="22" t="str">
        <f t="shared" si="1"/>
        <v>Amazonas_03 Bongará_10 Shipasbamba</v>
      </c>
      <c r="AL42" s="25">
        <v>1</v>
      </c>
      <c r="AM42" s="25">
        <v>2</v>
      </c>
      <c r="AN42" s="26">
        <f>Tabla2[[#This Row],[Minutos]]/60</f>
        <v>3.3333333333333333E-2</v>
      </c>
      <c r="AO42" s="27">
        <f>SUM(Tabla2[[#This Row],[Horas]],Tabla2[[#This Row],[Minutos a Horas]])</f>
        <v>1.0333333333333334</v>
      </c>
      <c r="AP42" s="49">
        <v>1</v>
      </c>
      <c r="AQ42" s="49">
        <v>20</v>
      </c>
      <c r="AR42" s="26">
        <f>Tabla2[[#This Row],[Minutos*]]/60</f>
        <v>0.33333333333333331</v>
      </c>
      <c r="AS42" s="27">
        <f>SUM(Tabla2[[#This Row],[Horas*]],Tabla2[[#This Row],[Minutos a Horas*]])+(Tabla2[[#This Row],[Tiempo Total a Nivel Proncincial (Horas)]])</f>
        <v>2.3666666666666667</v>
      </c>
    </row>
    <row r="43" spans="2:52" ht="73.5" customHeight="1" x14ac:dyDescent="0.25">
      <c r="B43" s="78" t="s">
        <v>2314</v>
      </c>
      <c r="C43" s="199" t="s">
        <v>4</v>
      </c>
      <c r="D43" s="127" t="s">
        <v>2488</v>
      </c>
      <c r="E43" s="127" t="s">
        <v>2490</v>
      </c>
      <c r="F43" s="127" t="str">
        <f>CONCATENATE(Tabla1[[#This Row],[Simbología]],"_",Tabla1[[#This Row],[Acción]])</f>
        <v>AAA_Supervisión de la calidad y cantidad de combustibles</v>
      </c>
      <c r="G43" s="127" t="s">
        <v>10</v>
      </c>
      <c r="H43" s="126" t="s">
        <v>2535</v>
      </c>
      <c r="I43" s="126" t="s">
        <v>2536</v>
      </c>
      <c r="J43" s="204" t="str">
        <f>CONCATENATE(Tabla1[[#This Row],[Simbología1]],"_",Tabla1[[#This Row],[Acción Especifica]])</f>
        <v>KIN_2_Visitas de supervisión metrológica o de peso en establecimientos de venta al público o plantas u otros centros de comercialización de combustibles líquidos o GLP (especiales o de parte)</v>
      </c>
      <c r="K43" s="204" t="s">
        <v>2586</v>
      </c>
      <c r="L43" s="127" t="s">
        <v>41</v>
      </c>
      <c r="M43" s="127" t="s">
        <v>2498</v>
      </c>
      <c r="N43" s="130" t="str">
        <f>CONCATENATE(Tabla1[[#This Row],[Simbología**]],"_",Tabla1[[#This Row],[Sub Acción Especifica]])</f>
        <v>KKIN_12_Control Metrologico</v>
      </c>
      <c r="O43" s="128" t="s">
        <v>2633</v>
      </c>
      <c r="P43" s="127" t="s">
        <v>42</v>
      </c>
      <c r="Q43" s="130" t="str">
        <f>CONCATENATE(Tabla1[[#This Row],[Simbología*]],"_",Tabla1[[#This Row],[Tipo de instalación relacionado]])</f>
        <v>KKKIN_14_Establecimientos de Venta al Público (GLP)</v>
      </c>
      <c r="R43" s="131">
        <v>1</v>
      </c>
      <c r="S43" s="131">
        <v>1.5</v>
      </c>
      <c r="T43" s="133">
        <f>IFERROR(AVERAGE(Tabla1[[#This Row],[T. Mínimo]],Tabla1[[#This Row],[T. Máximo]]),0)</f>
        <v>1.25</v>
      </c>
      <c r="U43" s="132">
        <v>1.5</v>
      </c>
      <c r="V43" s="132">
        <v>3</v>
      </c>
      <c r="W43" s="133">
        <f>IFERROR(AVERAGE(Tabla1[[#This Row],[T. Mínimo*]],Tabla1[[#This Row],[T. Máximo*]]),0)</f>
        <v>2.25</v>
      </c>
      <c r="X43" s="132">
        <v>1.5</v>
      </c>
      <c r="Y43" s="132">
        <v>3</v>
      </c>
      <c r="Z43" s="133">
        <f>IFERROR(AVERAGE(Tabla1[[#This Row],[T. Mínimo**]],Tabla1[[#This Row],[T. Máximo**]]),0)</f>
        <v>2.25</v>
      </c>
      <c r="AA43" s="134">
        <f>SUM(Tabla1[[#This Row],[Promedio]],Tabla1[[#This Row],[Promedio*]],Tabla1[[#This Row],[Promedio**]])</f>
        <v>5.75</v>
      </c>
      <c r="AB43" s="135" t="s">
        <v>2487</v>
      </c>
      <c r="AD43" s="20" t="s">
        <v>2378</v>
      </c>
      <c r="AE43" s="10" t="s">
        <v>156</v>
      </c>
      <c r="AF43" s="20" t="s">
        <v>68</v>
      </c>
      <c r="AG43" s="10"/>
      <c r="AH43" s="22" t="str">
        <f t="shared" si="0"/>
        <v>Amazonas_03 Bongará</v>
      </c>
      <c r="AI43" s="10" t="s">
        <v>158</v>
      </c>
      <c r="AJ43" s="20" t="s">
        <v>108</v>
      </c>
      <c r="AK43" s="22" t="str">
        <f t="shared" si="1"/>
        <v>Amazonas_03 Bongará_11 Valera</v>
      </c>
      <c r="AL43" s="25">
        <v>1</v>
      </c>
      <c r="AM43" s="25">
        <v>2</v>
      </c>
      <c r="AN43" s="26">
        <f>Tabla2[[#This Row],[Minutos]]/60</f>
        <v>3.3333333333333333E-2</v>
      </c>
      <c r="AO43" s="27">
        <f>SUM(Tabla2[[#This Row],[Horas]],Tabla2[[#This Row],[Minutos a Horas]])</f>
        <v>1.0333333333333334</v>
      </c>
      <c r="AP43" s="49">
        <v>1</v>
      </c>
      <c r="AQ43" s="49">
        <v>15</v>
      </c>
      <c r="AR43" s="26">
        <f>Tabla2[[#This Row],[Minutos*]]/60</f>
        <v>0.25</v>
      </c>
      <c r="AS43" s="27">
        <f>SUM(Tabla2[[#This Row],[Horas*]],Tabla2[[#This Row],[Minutos a Horas*]])+(Tabla2[[#This Row],[Tiempo Total a Nivel Proncincial (Horas)]])</f>
        <v>2.2833333333333332</v>
      </c>
    </row>
    <row r="44" spans="2:52" ht="73.5" customHeight="1" x14ac:dyDescent="0.25">
      <c r="B44" s="78" t="s">
        <v>2314</v>
      </c>
      <c r="C44" s="199" t="s">
        <v>4</v>
      </c>
      <c r="D44" s="127" t="s">
        <v>2488</v>
      </c>
      <c r="E44" s="127" t="s">
        <v>2497</v>
      </c>
      <c r="F44" s="127" t="str">
        <f>CONCATENATE(Tabla1[[#This Row],[Simbología]],"_",Tabla1[[#This Row],[Acción]])</f>
        <v>AAA_Supervisión de la calidad y cantidad de combustibles</v>
      </c>
      <c r="G44" s="127" t="s">
        <v>10</v>
      </c>
      <c r="H44" s="126" t="s">
        <v>2535</v>
      </c>
      <c r="I44" s="126" t="s">
        <v>2537</v>
      </c>
      <c r="J44" s="204" t="str">
        <f>CONCATENATE(Tabla1[[#This Row],[Simbología1]],"_",Tabla1[[#This Row],[Acción Especifica]])</f>
        <v>KIN_2_Visitas de supervisión metrológica o de peso en establecimientos de venta al público o plantas u otros centros de comercialización de combustibles líquidos o GLP (especiales o de parte)</v>
      </c>
      <c r="K44" s="204" t="s">
        <v>2586</v>
      </c>
      <c r="L44" s="127" t="s">
        <v>41</v>
      </c>
      <c r="M44" s="129"/>
      <c r="N44" s="130" t="str">
        <f>CONCATENATE(Tabla1[[#This Row],[Simbología**]],"_",Tabla1[[#This Row],[Sub Acción Especifica]])</f>
        <v>KKIN_12_Control Metrologico</v>
      </c>
      <c r="O44" s="128" t="s">
        <v>2633</v>
      </c>
      <c r="P44" s="127"/>
      <c r="Q44" s="130" t="str">
        <f>CONCATENATE(Tabla1[[#This Row],[Simbología*]],"_",Tabla1[[#This Row],[Tipo de instalación relacionado]])</f>
        <v>KKKIN_14_</v>
      </c>
      <c r="R44" s="131"/>
      <c r="S44" s="131"/>
      <c r="T44" s="133">
        <f>IFERROR(AVERAGE(Tabla1[[#This Row],[T. Mínimo]],Tabla1[[#This Row],[T. Máximo]]),0)</f>
        <v>0</v>
      </c>
      <c r="U44" s="132"/>
      <c r="V44" s="132"/>
      <c r="W44" s="133">
        <f>IFERROR(AVERAGE(Tabla1[[#This Row],[T. Mínimo*]],Tabla1[[#This Row],[T. Máximo*]]),0)</f>
        <v>0</v>
      </c>
      <c r="X44" s="132"/>
      <c r="Y44" s="132"/>
      <c r="Z44" s="133">
        <f>IFERROR(AVERAGE(Tabla1[[#This Row],[T. Mínimo**]],Tabla1[[#This Row],[T. Máximo**]]),0)</f>
        <v>0</v>
      </c>
      <c r="AA44" s="134">
        <f>SUM(Tabla1[[#This Row],[Promedio]],Tabla1[[#This Row],[Promedio*]],Tabla1[[#This Row],[Promedio**]])</f>
        <v>0</v>
      </c>
      <c r="AB44" s="135" t="s">
        <v>2487</v>
      </c>
      <c r="AD44" s="20" t="s">
        <v>2378</v>
      </c>
      <c r="AE44" s="10" t="s">
        <v>156</v>
      </c>
      <c r="AF44" s="20" t="s">
        <v>68</v>
      </c>
      <c r="AG44" s="10"/>
      <c r="AH44" s="22" t="str">
        <f t="shared" si="0"/>
        <v>Amazonas_03 Bongará</v>
      </c>
      <c r="AI44" s="10" t="s">
        <v>158</v>
      </c>
      <c r="AJ44" s="20" t="s">
        <v>109</v>
      </c>
      <c r="AK44" s="22" t="str">
        <f t="shared" si="1"/>
        <v>Amazonas_03 Bongará_12 Yambrasbamba</v>
      </c>
      <c r="AL44" s="25">
        <v>1</v>
      </c>
      <c r="AM44" s="25">
        <v>2</v>
      </c>
      <c r="AN44" s="26">
        <f>Tabla2[[#This Row],[Minutos]]/60</f>
        <v>3.3333333333333333E-2</v>
      </c>
      <c r="AO44" s="27">
        <f>SUM(Tabla2[[#This Row],[Horas]],Tabla2[[#This Row],[Minutos a Horas]])</f>
        <v>1.0333333333333334</v>
      </c>
      <c r="AP44" s="49">
        <v>3</v>
      </c>
      <c r="AQ44" s="49">
        <v>30</v>
      </c>
      <c r="AR44" s="26">
        <f>Tabla2[[#This Row],[Minutos*]]/60</f>
        <v>0.5</v>
      </c>
      <c r="AS44" s="27">
        <f>SUM(Tabla2[[#This Row],[Horas*]],Tabla2[[#This Row],[Minutos a Horas*]])+(Tabla2[[#This Row],[Tiempo Total a Nivel Proncincial (Horas)]])</f>
        <v>4.5333333333333332</v>
      </c>
      <c r="AV44" s="23"/>
    </row>
    <row r="45" spans="2:52" ht="75.75" customHeight="1" x14ac:dyDescent="0.25">
      <c r="B45" s="78" t="s">
        <v>2314</v>
      </c>
      <c r="C45" s="199" t="s">
        <v>4</v>
      </c>
      <c r="D45" s="127" t="s">
        <v>2488</v>
      </c>
      <c r="E45" s="127"/>
      <c r="F45" s="127" t="str">
        <f>CONCATENATE(Tabla1[[#This Row],[Simbología]],"_",Tabla1[[#This Row],[Acción]])</f>
        <v>AAA_Supervisión de la calidad y cantidad de combustibles</v>
      </c>
      <c r="G45" s="127" t="s">
        <v>10</v>
      </c>
      <c r="H45" s="126" t="s">
        <v>2536</v>
      </c>
      <c r="I45" s="126" t="s">
        <v>2542</v>
      </c>
      <c r="J45" s="204" t="str">
        <f>CONCATENATE(Tabla1[[#This Row],[Simbología1]],"_",Tabla1[[#This Row],[Acción Especifica]])</f>
        <v>KIN_2_Visitas de control de peso del GLP envasado en plantas u otros centros de distribución o comercialización</v>
      </c>
      <c r="K45" s="204" t="s">
        <v>2586</v>
      </c>
      <c r="L45" s="127" t="s">
        <v>2498</v>
      </c>
      <c r="M45" s="127"/>
      <c r="N45" s="130" t="str">
        <f>CONCATENATE(Tabla1[[#This Row],[Simbología**]],"_",Tabla1[[#This Row],[Sub Acción Especifica]])</f>
        <v>KKIN_12_Control de Peso Neto de cilindros</v>
      </c>
      <c r="O45" s="128" t="s">
        <v>2634</v>
      </c>
      <c r="P45" s="127" t="s">
        <v>39</v>
      </c>
      <c r="Q45" s="130" t="str">
        <f>CONCATENATE(Tabla1[[#This Row],[Simbología*]],"_",Tabla1[[#This Row],[Tipo de instalación relacionado]])</f>
        <v>KKKIN_15_Plantas Envasadoras (GLP)</v>
      </c>
      <c r="R45" s="131">
        <v>1</v>
      </c>
      <c r="S45" s="131">
        <v>1.5</v>
      </c>
      <c r="T45" s="133">
        <f>IFERROR(AVERAGE(Tabla1[[#This Row],[T. Mínimo]],Tabla1[[#This Row],[T. Máximo]]),0)</f>
        <v>1.25</v>
      </c>
      <c r="U45" s="132">
        <v>2</v>
      </c>
      <c r="V45" s="132">
        <v>3.5</v>
      </c>
      <c r="W45" s="133">
        <f>IFERROR(AVERAGE(Tabla1[[#This Row],[T. Mínimo*]],Tabla1[[#This Row],[T. Máximo*]]),0)</f>
        <v>2.75</v>
      </c>
      <c r="X45" s="132">
        <v>2</v>
      </c>
      <c r="Y45" s="132">
        <v>3</v>
      </c>
      <c r="Z45" s="133">
        <f>IFERROR(AVERAGE(Tabla1[[#This Row],[T. Mínimo**]],Tabla1[[#This Row],[T. Máximo**]]),0)</f>
        <v>2.5</v>
      </c>
      <c r="AA45" s="134">
        <f>SUM(Tabla1[[#This Row],[Promedio]],Tabla1[[#This Row],[Promedio*]],Tabla1[[#This Row],[Promedio**]])</f>
        <v>6.5</v>
      </c>
      <c r="AB45" s="135" t="s">
        <v>2487</v>
      </c>
      <c r="AD45" s="20" t="s">
        <v>2378</v>
      </c>
      <c r="AE45" s="10" t="s">
        <v>156</v>
      </c>
      <c r="AF45" s="20" t="s">
        <v>69</v>
      </c>
      <c r="AG45" s="10"/>
      <c r="AH45" s="22" t="str">
        <f t="shared" si="0"/>
        <v>Amazonas_04 Condorcanqui</v>
      </c>
      <c r="AI45" s="10" t="s">
        <v>159</v>
      </c>
      <c r="AJ45" s="20" t="s">
        <v>110</v>
      </c>
      <c r="AK45" s="22" t="str">
        <f t="shared" si="1"/>
        <v>Amazonas_04 Condorcanqui_01 Nieva</v>
      </c>
      <c r="AL45" s="25">
        <v>5</v>
      </c>
      <c r="AM45" s="25">
        <v>39</v>
      </c>
      <c r="AN45" s="26">
        <f>Tabla2[[#This Row],[Minutos]]/60</f>
        <v>0.65</v>
      </c>
      <c r="AO45" s="27">
        <f>SUM(Tabla2[[#This Row],[Horas]],Tabla2[[#This Row],[Minutos a Horas]])</f>
        <v>5.65</v>
      </c>
      <c r="AP45" s="49">
        <v>8</v>
      </c>
      <c r="AQ45" s="49"/>
      <c r="AR45" s="26">
        <f>Tabla2[[#This Row],[Minutos*]]/60</f>
        <v>0</v>
      </c>
      <c r="AS45" s="27">
        <f>SUM(Tabla2[[#This Row],[Horas*]],Tabla2[[#This Row],[Minutos a Horas*]])+(Tabla2[[#This Row],[Tiempo Total a Nivel Proncincial (Horas)]])</f>
        <v>13.65</v>
      </c>
      <c r="AV45" s="62"/>
    </row>
    <row r="46" spans="2:52" ht="74.25" customHeight="1" x14ac:dyDescent="0.25">
      <c r="B46" s="78" t="s">
        <v>2314</v>
      </c>
      <c r="C46" s="199" t="s">
        <v>4</v>
      </c>
      <c r="D46" s="127" t="s">
        <v>2488</v>
      </c>
      <c r="E46" s="127"/>
      <c r="F46" s="127" t="str">
        <f>CONCATENATE(Tabla1[[#This Row],[Simbología]],"_",Tabla1[[#This Row],[Acción]])</f>
        <v>AAA_Supervisión de la calidad y cantidad de combustibles</v>
      </c>
      <c r="G46" s="127" t="s">
        <v>10</v>
      </c>
      <c r="H46" s="126" t="s">
        <v>2536</v>
      </c>
      <c r="I46" s="126" t="s">
        <v>2478</v>
      </c>
      <c r="J46" s="204" t="str">
        <f>CONCATENATE(Tabla1[[#This Row],[Simbología1]],"_",Tabla1[[#This Row],[Acción Especifica]])</f>
        <v>KIN_2_Visitas de control de peso del GLP envasado en plantas u otros centros de distribución o comercialización</v>
      </c>
      <c r="K46" s="204" t="s">
        <v>2586</v>
      </c>
      <c r="L46" s="127" t="s">
        <v>2498</v>
      </c>
      <c r="M46" s="136"/>
      <c r="N46" s="130" t="str">
        <f>CONCATENATE(Tabla1[[#This Row],[Simbología**]],"_",Tabla1[[#This Row],[Sub Acción Especifica]])</f>
        <v>KKIN_12_Control de Peso Neto de cilindros</v>
      </c>
      <c r="O46" s="128" t="s">
        <v>2634</v>
      </c>
      <c r="P46" s="127"/>
      <c r="Q46" s="130" t="str">
        <f>CONCATENATE(Tabla1[[#This Row],[Simbología*]],"_",Tabla1[[#This Row],[Tipo de instalación relacionado]])</f>
        <v>KKKIN_15_</v>
      </c>
      <c r="R46" s="131"/>
      <c r="S46" s="131"/>
      <c r="T46" s="133">
        <f>IFERROR(AVERAGE(Tabla1[[#This Row],[T. Mínimo]],Tabla1[[#This Row],[T. Máximo]]),0)</f>
        <v>0</v>
      </c>
      <c r="U46" s="132"/>
      <c r="V46" s="132"/>
      <c r="W46" s="133">
        <f>IFERROR(AVERAGE(Tabla1[[#This Row],[T. Mínimo*]],Tabla1[[#This Row],[T. Máximo*]]),0)</f>
        <v>0</v>
      </c>
      <c r="X46" s="132"/>
      <c r="Y46" s="132"/>
      <c r="Z46" s="133">
        <f>IFERROR(AVERAGE(Tabla1[[#This Row],[T. Mínimo**]],Tabla1[[#This Row],[T. Máximo**]]),0)</f>
        <v>0</v>
      </c>
      <c r="AA46" s="134">
        <f>SUM(Tabla1[[#This Row],[Promedio]],Tabla1[[#This Row],[Promedio*]],Tabla1[[#This Row],[Promedio**]])</f>
        <v>0</v>
      </c>
      <c r="AB46" s="135" t="s">
        <v>2487</v>
      </c>
      <c r="AD46" s="20" t="s">
        <v>2378</v>
      </c>
      <c r="AE46" s="10" t="s">
        <v>156</v>
      </c>
      <c r="AF46" s="20" t="s">
        <v>69</v>
      </c>
      <c r="AG46" s="10"/>
      <c r="AH46" s="22" t="str">
        <f t="shared" si="0"/>
        <v>Amazonas_04 Condorcanqui</v>
      </c>
      <c r="AI46" s="10" t="s">
        <v>159</v>
      </c>
      <c r="AJ46" s="20" t="s">
        <v>111</v>
      </c>
      <c r="AK46" s="22" t="str">
        <f t="shared" si="1"/>
        <v>Amazonas_04 Condorcanqui_02 El Cenepa</v>
      </c>
      <c r="AL46" s="25">
        <v>5</v>
      </c>
      <c r="AM46" s="25">
        <v>39</v>
      </c>
      <c r="AN46" s="26">
        <f>Tabla2[[#This Row],[Minutos]]/60</f>
        <v>0.65</v>
      </c>
      <c r="AO46" s="27">
        <f>SUM(Tabla2[[#This Row],[Horas]],Tabla2[[#This Row],[Minutos a Horas]])</f>
        <v>5.65</v>
      </c>
      <c r="AP46" s="49">
        <v>12</v>
      </c>
      <c r="AQ46" s="49"/>
      <c r="AR46" s="26">
        <f>Tabla2[[#This Row],[Minutos*]]/60</f>
        <v>0</v>
      </c>
      <c r="AS46" s="27">
        <f>SUM(Tabla2[[#This Row],[Horas*]],Tabla2[[#This Row],[Minutos a Horas*]])+(Tabla2[[#This Row],[Tiempo Total a Nivel Proncincial (Horas)]])</f>
        <v>17.649999999999999</v>
      </c>
      <c r="AV46" s="62"/>
    </row>
    <row r="47" spans="2:52" ht="42.75" customHeight="1" x14ac:dyDescent="0.25">
      <c r="B47" s="78" t="s">
        <v>2314</v>
      </c>
      <c r="C47" s="199" t="s">
        <v>4</v>
      </c>
      <c r="D47" s="127" t="s">
        <v>2488</v>
      </c>
      <c r="E47" s="127"/>
      <c r="F47" s="127" t="str">
        <f>CONCATENATE(Tabla1[[#This Row],[Simbología]],"_",Tabla1[[#This Row],[Acción]])</f>
        <v>AAA_Supervisión de la calidad y cantidad de combustibles</v>
      </c>
      <c r="G47" s="127" t="s">
        <v>10</v>
      </c>
      <c r="H47" s="126" t="s">
        <v>2537</v>
      </c>
      <c r="I47" s="126" t="s">
        <v>2479</v>
      </c>
      <c r="J47" s="204" t="str">
        <f>CONCATENATE(Tabla1[[#This Row],[Simbología1]],"_",Tabla1[[#This Row],[Acción Especifica]])</f>
        <v>KIN_2_Visitas de supervisión para el control de calidad de los combustibles / GLP despachados en establecimientos de venta al público, plantas de abastecimiento o refinerías (especiales o de parte)</v>
      </c>
      <c r="K47" s="204" t="s">
        <v>2587</v>
      </c>
      <c r="L47" s="127" t="s">
        <v>43</v>
      </c>
      <c r="M47" s="127" t="s">
        <v>43</v>
      </c>
      <c r="N47" s="130" t="str">
        <f>CONCATENATE(Tabla1[[#This Row],[Simbología**]],"_",Tabla1[[#This Row],[Sub Acción Especifica]])</f>
        <v>KKIN_13_Control de Calidad</v>
      </c>
      <c r="O47" s="128" t="s">
        <v>2635</v>
      </c>
      <c r="P47" s="127" t="s">
        <v>20</v>
      </c>
      <c r="Q47" s="130" t="str">
        <f>CONCATENATE(Tabla1[[#This Row],[Simbología*]],"_",Tabla1[[#This Row],[Tipo de instalación relacionado]])</f>
        <v>KKKIN_16_Establecimientos de Venta al Público (Líquidos)</v>
      </c>
      <c r="R47" s="131">
        <v>1</v>
      </c>
      <c r="S47" s="131">
        <v>1.5</v>
      </c>
      <c r="T47" s="133">
        <f>IFERROR(AVERAGE(Tabla1[[#This Row],[T. Mínimo]],Tabla1[[#This Row],[T. Máximo]]),0)</f>
        <v>1.25</v>
      </c>
      <c r="U47" s="132">
        <v>2</v>
      </c>
      <c r="V47" s="132">
        <v>3</v>
      </c>
      <c r="W47" s="133">
        <f>IFERROR(AVERAGE(Tabla1[[#This Row],[T. Mínimo*]],Tabla1[[#This Row],[T. Máximo*]]),0)</f>
        <v>2.5</v>
      </c>
      <c r="X47" s="132">
        <v>2</v>
      </c>
      <c r="Y47" s="132">
        <v>3</v>
      </c>
      <c r="Z47" s="133">
        <f>IFERROR(AVERAGE(Tabla1[[#This Row],[T. Mínimo**]],Tabla1[[#This Row],[T. Máximo**]]),0)</f>
        <v>2.5</v>
      </c>
      <c r="AA47" s="134">
        <f>SUM(Tabla1[[#This Row],[Promedio]],Tabla1[[#This Row],[Promedio*]],Tabla1[[#This Row],[Promedio**]])</f>
        <v>6.25</v>
      </c>
      <c r="AB47" s="135" t="s">
        <v>2487</v>
      </c>
      <c r="AD47" s="20" t="s">
        <v>2378</v>
      </c>
      <c r="AE47" s="10" t="s">
        <v>156</v>
      </c>
      <c r="AF47" s="20" t="s">
        <v>69</v>
      </c>
      <c r="AG47" s="10"/>
      <c r="AH47" s="22" t="str">
        <f t="shared" si="0"/>
        <v>Amazonas_04 Condorcanqui</v>
      </c>
      <c r="AI47" s="10" t="s">
        <v>159</v>
      </c>
      <c r="AJ47" s="20" t="s">
        <v>112</v>
      </c>
      <c r="AK47" s="22" t="str">
        <f t="shared" si="1"/>
        <v>Amazonas_04 Condorcanqui_03 Río Santiago</v>
      </c>
      <c r="AL47" s="25">
        <v>5</v>
      </c>
      <c r="AM47" s="25">
        <v>39</v>
      </c>
      <c r="AN47" s="26">
        <f>Tabla2[[#This Row],[Minutos]]/60</f>
        <v>0.65</v>
      </c>
      <c r="AO47" s="27">
        <f>SUM(Tabla2[[#This Row],[Horas]],Tabla2[[#This Row],[Minutos a Horas]])</f>
        <v>5.65</v>
      </c>
      <c r="AP47" s="49">
        <v>10</v>
      </c>
      <c r="AQ47" s="49">
        <v>30</v>
      </c>
      <c r="AR47" s="26">
        <f>Tabla2[[#This Row],[Minutos*]]/60</f>
        <v>0.5</v>
      </c>
      <c r="AS47" s="27">
        <f>SUM(Tabla2[[#This Row],[Horas*]],Tabla2[[#This Row],[Minutos a Horas*]])+(Tabla2[[#This Row],[Tiempo Total a Nivel Proncincial (Horas)]])</f>
        <v>16.149999999999999</v>
      </c>
      <c r="AV47" s="62"/>
    </row>
    <row r="48" spans="2:52" ht="42.75" customHeight="1" x14ac:dyDescent="0.25">
      <c r="B48" s="78" t="s">
        <v>2314</v>
      </c>
      <c r="C48" s="199" t="s">
        <v>4</v>
      </c>
      <c r="D48" s="127" t="s">
        <v>2488</v>
      </c>
      <c r="E48" s="127"/>
      <c r="F48" s="127" t="str">
        <f>CONCATENATE(Tabla1[[#This Row],[Simbología]],"_",Tabla1[[#This Row],[Acción]])</f>
        <v>AAA_Supervisión de la calidad y cantidad de combustibles</v>
      </c>
      <c r="G48" s="127" t="s">
        <v>10</v>
      </c>
      <c r="H48" s="126" t="s">
        <v>2537</v>
      </c>
      <c r="I48" s="126" t="s">
        <v>2480</v>
      </c>
      <c r="J48" s="204" t="str">
        <f>CONCATENATE(Tabla1[[#This Row],[Simbología1]],"_",Tabla1[[#This Row],[Acción Especifica]])</f>
        <v>KIN_2_Visitas de supervisión para el control de calidad de los combustibles / GLP despachados en establecimientos de venta al público, plantas de abastecimiento o refinerías (especiales o de parte)</v>
      </c>
      <c r="K48" s="204" t="s">
        <v>2587</v>
      </c>
      <c r="L48" s="127" t="s">
        <v>43</v>
      </c>
      <c r="M48" s="136"/>
      <c r="N48" s="130" t="str">
        <f>CONCATENATE(Tabla1[[#This Row],[Simbología**]],"_",Tabla1[[#This Row],[Sub Acción Especifica]])</f>
        <v>KKIN_13_Control de Calidad</v>
      </c>
      <c r="O48" s="128" t="s">
        <v>2635</v>
      </c>
      <c r="P48" s="127" t="s">
        <v>39</v>
      </c>
      <c r="Q48" s="130" t="str">
        <f>CONCATENATE(Tabla1[[#This Row],[Simbología*]],"_",Tabla1[[#This Row],[Tipo de instalación relacionado]])</f>
        <v>KKKIN_16_Plantas Envasadoras (GLP)</v>
      </c>
      <c r="R48" s="131">
        <v>1</v>
      </c>
      <c r="S48" s="131">
        <v>1.5</v>
      </c>
      <c r="T48" s="133">
        <f>IFERROR(AVERAGE(Tabla1[[#This Row],[T. Mínimo]],Tabla1[[#This Row],[T. Máximo]]),0)</f>
        <v>1.25</v>
      </c>
      <c r="U48" s="132">
        <v>2</v>
      </c>
      <c r="V48" s="132">
        <v>3</v>
      </c>
      <c r="W48" s="133">
        <f>IFERROR(AVERAGE(Tabla1[[#This Row],[T. Mínimo*]],Tabla1[[#This Row],[T. Máximo*]]),0)</f>
        <v>2.5</v>
      </c>
      <c r="X48" s="132">
        <v>2</v>
      </c>
      <c r="Y48" s="132">
        <v>3</v>
      </c>
      <c r="Z48" s="133">
        <f>IFERROR(AVERAGE(Tabla1[[#This Row],[T. Mínimo**]],Tabla1[[#This Row],[T. Máximo**]]),0)</f>
        <v>2.5</v>
      </c>
      <c r="AA48" s="134">
        <f>SUM(Tabla1[[#This Row],[Promedio]],Tabla1[[#This Row],[Promedio*]],Tabla1[[#This Row],[Promedio**]])</f>
        <v>6.25</v>
      </c>
      <c r="AB48" s="135" t="s">
        <v>2487</v>
      </c>
      <c r="AD48" s="20" t="s">
        <v>2378</v>
      </c>
      <c r="AE48" s="10" t="s">
        <v>156</v>
      </c>
      <c r="AF48" s="20" t="s">
        <v>70</v>
      </c>
      <c r="AG48" s="10"/>
      <c r="AH48" s="22" t="str">
        <f t="shared" si="0"/>
        <v>Amazonas_05 Luya</v>
      </c>
      <c r="AI48" s="10" t="s">
        <v>160</v>
      </c>
      <c r="AJ48" s="20" t="s">
        <v>113</v>
      </c>
      <c r="AK48" s="22" t="str">
        <f t="shared" si="1"/>
        <v>Amazonas_05 Luya_01 Lamud</v>
      </c>
      <c r="AL48" s="25">
        <v>1</v>
      </c>
      <c r="AM48" s="25">
        <v>58</v>
      </c>
      <c r="AN48" s="26">
        <f>Tabla2[[#This Row],[Minutos]]/60</f>
        <v>0.96666666666666667</v>
      </c>
      <c r="AO48" s="27">
        <f>SUM(Tabla2[[#This Row],[Horas]],Tabla2[[#This Row],[Minutos a Horas]])</f>
        <v>1.9666666666666668</v>
      </c>
      <c r="AP48" s="49">
        <v>1</v>
      </c>
      <c r="AQ48" s="49"/>
      <c r="AR48" s="26">
        <f>Tabla2[[#This Row],[Minutos*]]/60</f>
        <v>0</v>
      </c>
      <c r="AS48" s="27">
        <f>SUM(Tabla2[[#This Row],[Horas*]],Tabla2[[#This Row],[Minutos a Horas*]])+(Tabla2[[#This Row],[Tiempo Total a Nivel Proncincial (Horas)]])</f>
        <v>2.9666666666666668</v>
      </c>
      <c r="AV48" s="62"/>
    </row>
    <row r="49" spans="2:48" ht="42.75" customHeight="1" x14ac:dyDescent="0.25">
      <c r="B49" s="78" t="s">
        <v>2314</v>
      </c>
      <c r="C49" s="199" t="s">
        <v>4</v>
      </c>
      <c r="D49" s="127" t="s">
        <v>2488</v>
      </c>
      <c r="E49" s="127"/>
      <c r="F49" s="127" t="str">
        <f>CONCATENATE(Tabla1[[#This Row],[Simbología]],"_",Tabla1[[#This Row],[Acción]])</f>
        <v>AAA_Supervisión de la calidad y cantidad de combustibles</v>
      </c>
      <c r="G49" s="127" t="s">
        <v>10</v>
      </c>
      <c r="H49" s="126" t="s">
        <v>2537</v>
      </c>
      <c r="I49" s="128"/>
      <c r="J49" s="205" t="str">
        <f>CONCATENATE(Tabla1[[#This Row],[Simbología1]],"_",Tabla1[[#This Row],[Acción Especifica]])</f>
        <v>KIN_2_Visitas de supervisión para el control de calidad de los combustibles / GLP despachados en establecimientos de venta al público, plantas de abastecimiento o refinerías (especiales o de parte)</v>
      </c>
      <c r="K49" s="204" t="s">
        <v>2587</v>
      </c>
      <c r="L49" s="127" t="s">
        <v>43</v>
      </c>
      <c r="M49" s="136"/>
      <c r="N49" s="130" t="str">
        <f>CONCATENATE(Tabla1[[#This Row],[Simbología**]],"_",Tabla1[[#This Row],[Sub Acción Especifica]])</f>
        <v>KKIN_13_Control de Calidad</v>
      </c>
      <c r="O49" s="128" t="s">
        <v>2635</v>
      </c>
      <c r="P49" s="127" t="s">
        <v>2438</v>
      </c>
      <c r="Q49" s="130" t="str">
        <f>CONCATENATE(Tabla1[[#This Row],[Simbología*]],"_",Tabla1[[#This Row],[Tipo de instalación relacionado]])</f>
        <v>KKKIN_16_Planta de Abastecimiento</v>
      </c>
      <c r="R49" s="131">
        <v>1</v>
      </c>
      <c r="S49" s="131">
        <v>1.5</v>
      </c>
      <c r="T49" s="133">
        <f>IFERROR(AVERAGE(Tabla1[[#This Row],[T. Mínimo]],Tabla1[[#This Row],[T. Máximo]]),0)</f>
        <v>1.25</v>
      </c>
      <c r="U49" s="132">
        <v>2</v>
      </c>
      <c r="V49" s="132">
        <v>3</v>
      </c>
      <c r="W49" s="133">
        <f>IFERROR(AVERAGE(Tabla1[[#This Row],[T. Mínimo*]],Tabla1[[#This Row],[T. Máximo*]]),0)</f>
        <v>2.5</v>
      </c>
      <c r="X49" s="132">
        <v>2</v>
      </c>
      <c r="Y49" s="132">
        <v>3</v>
      </c>
      <c r="Z49" s="133">
        <f>IFERROR(AVERAGE(Tabla1[[#This Row],[T. Mínimo**]],Tabla1[[#This Row],[T. Máximo**]]),0)</f>
        <v>2.5</v>
      </c>
      <c r="AA49" s="134">
        <f>SUM(Tabla1[[#This Row],[Promedio]],Tabla1[[#This Row],[Promedio*]],Tabla1[[#This Row],[Promedio**]])</f>
        <v>6.25</v>
      </c>
      <c r="AB49" s="135" t="s">
        <v>2487</v>
      </c>
      <c r="AD49" s="20" t="s">
        <v>2378</v>
      </c>
      <c r="AE49" s="10" t="s">
        <v>156</v>
      </c>
      <c r="AF49" s="20" t="s">
        <v>70</v>
      </c>
      <c r="AG49" s="10"/>
      <c r="AH49" s="22" t="str">
        <f t="shared" si="0"/>
        <v>Amazonas_05 Luya</v>
      </c>
      <c r="AI49" s="10" t="s">
        <v>160</v>
      </c>
      <c r="AJ49" s="20" t="s">
        <v>114</v>
      </c>
      <c r="AK49" s="22" t="str">
        <f t="shared" si="1"/>
        <v>Amazonas_05 Luya_02 Camporredondo</v>
      </c>
      <c r="AL49" s="25">
        <v>1</v>
      </c>
      <c r="AM49" s="25">
        <v>58</v>
      </c>
      <c r="AN49" s="26">
        <f>Tabla2[[#This Row],[Minutos]]/60</f>
        <v>0.96666666666666667</v>
      </c>
      <c r="AO49" s="27">
        <f>SUM(Tabla2[[#This Row],[Horas]],Tabla2[[#This Row],[Minutos a Horas]])</f>
        <v>1.9666666666666668</v>
      </c>
      <c r="AP49" s="49">
        <v>9</v>
      </c>
      <c r="AQ49" s="49"/>
      <c r="AR49" s="26">
        <f>Tabla2[[#This Row],[Minutos*]]/60</f>
        <v>0</v>
      </c>
      <c r="AS49" s="27">
        <f>SUM(Tabla2[[#This Row],[Horas*]],Tabla2[[#This Row],[Minutos a Horas*]])+(Tabla2[[#This Row],[Tiempo Total a Nivel Proncincial (Horas)]])</f>
        <v>10.966666666666667</v>
      </c>
      <c r="AV49" s="62"/>
    </row>
    <row r="50" spans="2:48" ht="42.75" customHeight="1" x14ac:dyDescent="0.25">
      <c r="B50" s="78" t="s">
        <v>2314</v>
      </c>
      <c r="C50" s="199" t="s">
        <v>4</v>
      </c>
      <c r="D50" s="127" t="s">
        <v>2488</v>
      </c>
      <c r="E50" s="127"/>
      <c r="F50" s="127" t="str">
        <f>CONCATENATE(Tabla1[[#This Row],[Simbología]],"_",Tabla1[[#This Row],[Acción]])</f>
        <v>AAA_Supervisión de la calidad y cantidad de combustibles</v>
      </c>
      <c r="G50" s="127" t="s">
        <v>10</v>
      </c>
      <c r="H50" s="126" t="s">
        <v>2537</v>
      </c>
      <c r="I50" s="128"/>
      <c r="J50" s="205" t="str">
        <f>CONCATENATE(Tabla1[[#This Row],[Simbología1]],"_",Tabla1[[#This Row],[Acción Especifica]])</f>
        <v>KIN_2_Visitas de supervisión para el control de calidad de los combustibles / GLP despachados en establecimientos de venta al público, plantas de abastecimiento o refinerías (especiales o de parte)</v>
      </c>
      <c r="K50" s="204" t="s">
        <v>2587</v>
      </c>
      <c r="L50" s="127" t="s">
        <v>43</v>
      </c>
      <c r="M50" s="136"/>
      <c r="N50" s="130" t="str">
        <f>CONCATENATE(Tabla1[[#This Row],[Simbología**]],"_",Tabla1[[#This Row],[Sub Acción Especifica]])</f>
        <v>KKIN_13_Control de Calidad</v>
      </c>
      <c r="O50" s="128" t="s">
        <v>2635</v>
      </c>
      <c r="P50" s="127" t="s">
        <v>2437</v>
      </c>
      <c r="Q50" s="130" t="str">
        <f>CONCATENATE(Tabla1[[#This Row],[Simbología*]],"_",Tabla1[[#This Row],[Tipo de instalación relacionado]])</f>
        <v xml:space="preserve">KKKIN_16_Refinería </v>
      </c>
      <c r="R50" s="131">
        <v>1</v>
      </c>
      <c r="S50" s="131">
        <v>1.5</v>
      </c>
      <c r="T50" s="133">
        <f>IFERROR(AVERAGE(Tabla1[[#This Row],[T. Mínimo]],Tabla1[[#This Row],[T. Máximo]]),0)</f>
        <v>1.25</v>
      </c>
      <c r="U50" s="132">
        <v>2</v>
      </c>
      <c r="V50" s="132">
        <v>3</v>
      </c>
      <c r="W50" s="133">
        <f>IFERROR(AVERAGE(Tabla1[[#This Row],[T. Mínimo*]],Tabla1[[#This Row],[T. Máximo*]]),0)</f>
        <v>2.5</v>
      </c>
      <c r="X50" s="132">
        <v>2</v>
      </c>
      <c r="Y50" s="132">
        <v>3</v>
      </c>
      <c r="Z50" s="133">
        <f>IFERROR(AVERAGE(Tabla1[[#This Row],[T. Mínimo**]],Tabla1[[#This Row],[T. Máximo**]]),0)</f>
        <v>2.5</v>
      </c>
      <c r="AA50" s="134">
        <f>SUM(Tabla1[[#This Row],[Promedio]],Tabla1[[#This Row],[Promedio*]],Tabla1[[#This Row],[Promedio**]])</f>
        <v>6.25</v>
      </c>
      <c r="AB50" s="135" t="s">
        <v>2487</v>
      </c>
      <c r="AD50" s="20" t="s">
        <v>2378</v>
      </c>
      <c r="AE50" s="10" t="s">
        <v>156</v>
      </c>
      <c r="AF50" s="20" t="s">
        <v>70</v>
      </c>
      <c r="AG50" s="10"/>
      <c r="AH50" s="22" t="str">
        <f t="shared" si="0"/>
        <v>Amazonas_05 Luya</v>
      </c>
      <c r="AI50" s="10" t="s">
        <v>160</v>
      </c>
      <c r="AJ50" s="20" t="s">
        <v>115</v>
      </c>
      <c r="AK50" s="22" t="str">
        <f t="shared" si="1"/>
        <v>Amazonas_05 Luya_03 Cocabamba</v>
      </c>
      <c r="AL50" s="25">
        <v>1</v>
      </c>
      <c r="AM50" s="25">
        <v>58</v>
      </c>
      <c r="AN50" s="26">
        <f>Tabla2[[#This Row],[Minutos]]/60</f>
        <v>0.96666666666666667</v>
      </c>
      <c r="AO50" s="27">
        <f>SUM(Tabla2[[#This Row],[Horas]],Tabla2[[#This Row],[Minutos a Horas]])</f>
        <v>1.9666666666666668</v>
      </c>
      <c r="AP50" s="49">
        <v>5</v>
      </c>
      <c r="AQ50" s="49">
        <v>45</v>
      </c>
      <c r="AR50" s="26">
        <f>Tabla2[[#This Row],[Minutos*]]/60</f>
        <v>0.75</v>
      </c>
      <c r="AS50" s="27">
        <f>SUM(Tabla2[[#This Row],[Horas*]],Tabla2[[#This Row],[Minutos a Horas*]])+(Tabla2[[#This Row],[Tiempo Total a Nivel Proncincial (Horas)]])</f>
        <v>7.7166666666666668</v>
      </c>
      <c r="AV50" s="62"/>
    </row>
    <row r="51" spans="2:48" ht="42.75" customHeight="1" x14ac:dyDescent="0.25">
      <c r="B51" s="78" t="s">
        <v>2314</v>
      </c>
      <c r="C51" s="199" t="s">
        <v>4</v>
      </c>
      <c r="D51" s="127" t="s">
        <v>2488</v>
      </c>
      <c r="E51" s="127"/>
      <c r="F51" s="127" t="str">
        <f>CONCATENATE(Tabla1[[#This Row],[Simbología]],"_",Tabla1[[#This Row],[Acción]])</f>
        <v>AAA_Supervisión de la calidad y cantidad de combustibles</v>
      </c>
      <c r="G51" s="127" t="s">
        <v>10</v>
      </c>
      <c r="H51" s="126" t="s">
        <v>2542</v>
      </c>
      <c r="I51" s="128"/>
      <c r="J51" s="205" t="str">
        <f>CONCATENATE(Tabla1[[#This Row],[Simbología1]],"_",Tabla1[[#This Row],[Acción Especifica]])</f>
        <v>KIN_2_Verificación del etiquetado de balones</v>
      </c>
      <c r="K51" s="205" t="s">
        <v>2588</v>
      </c>
      <c r="L51" s="126" t="s">
        <v>2541</v>
      </c>
      <c r="M51" s="126" t="s">
        <v>2541</v>
      </c>
      <c r="N51" s="130" t="str">
        <f>CONCATENATE(Tabla1[[#This Row],[Simbología**]],"_",Tabla1[[#This Row],[Sub Acción Especifica]])</f>
        <v>KKIN_14_Etiquetado o cartilla de seguridad en cilindros de GLP</v>
      </c>
      <c r="O51" s="128" t="s">
        <v>2636</v>
      </c>
      <c r="P51" s="127" t="s">
        <v>39</v>
      </c>
      <c r="Q51" s="130" t="str">
        <f>CONCATENATE(Tabla1[[#This Row],[Simbología*]],"_",Tabla1[[#This Row],[Tipo de instalación relacionado]])</f>
        <v>KKKIN_17_Plantas Envasadoras (GLP)</v>
      </c>
      <c r="R51" s="131">
        <v>0.5</v>
      </c>
      <c r="S51" s="131">
        <v>1</v>
      </c>
      <c r="T51" s="133">
        <f>IFERROR(AVERAGE(Tabla1[[#This Row],[T. Mínimo]],Tabla1[[#This Row],[T. Máximo]]),0)</f>
        <v>0.75</v>
      </c>
      <c r="U51" s="132">
        <v>2</v>
      </c>
      <c r="V51" s="132">
        <v>3.5</v>
      </c>
      <c r="W51" s="133">
        <f>IFERROR(AVERAGE(Tabla1[[#This Row],[T. Mínimo*]],Tabla1[[#This Row],[T. Máximo*]]),0)</f>
        <v>2.75</v>
      </c>
      <c r="X51" s="132">
        <v>2</v>
      </c>
      <c r="Y51" s="132">
        <v>3</v>
      </c>
      <c r="Z51" s="133">
        <f>IFERROR(AVERAGE(Tabla1[[#This Row],[T. Mínimo**]],Tabla1[[#This Row],[T. Máximo**]]),0)</f>
        <v>2.5</v>
      </c>
      <c r="AA51" s="134">
        <f>SUM(Tabla1[[#This Row],[Promedio]],Tabla1[[#This Row],[Promedio*]],Tabla1[[#This Row],[Promedio**]])</f>
        <v>6</v>
      </c>
      <c r="AB51" s="135" t="s">
        <v>2487</v>
      </c>
      <c r="AD51" s="20" t="s">
        <v>2378</v>
      </c>
      <c r="AE51" s="10" t="s">
        <v>156</v>
      </c>
      <c r="AF51" s="20" t="s">
        <v>70</v>
      </c>
      <c r="AG51" s="10"/>
      <c r="AH51" s="22" t="str">
        <f t="shared" si="0"/>
        <v>Amazonas_05 Luya</v>
      </c>
      <c r="AI51" s="10" t="s">
        <v>160</v>
      </c>
      <c r="AJ51" s="20" t="s">
        <v>116</v>
      </c>
      <c r="AK51" s="22" t="str">
        <f t="shared" si="1"/>
        <v>Amazonas_05 Luya_04 Colcamar</v>
      </c>
      <c r="AL51" s="25">
        <v>1</v>
      </c>
      <c r="AM51" s="25">
        <v>58</v>
      </c>
      <c r="AN51" s="26">
        <f>Tabla2[[#This Row],[Minutos]]/60</f>
        <v>0.96666666666666667</v>
      </c>
      <c r="AO51" s="27">
        <f>SUM(Tabla2[[#This Row],[Horas]],Tabla2[[#This Row],[Minutos a Horas]])</f>
        <v>1.9666666666666668</v>
      </c>
      <c r="AP51" s="49">
        <v>2</v>
      </c>
      <c r="AQ51" s="49"/>
      <c r="AR51" s="26">
        <f>Tabla2[[#This Row],[Minutos*]]/60</f>
        <v>0</v>
      </c>
      <c r="AS51" s="27">
        <f>SUM(Tabla2[[#This Row],[Horas*]],Tabla2[[#This Row],[Minutos a Horas*]])+(Tabla2[[#This Row],[Tiempo Total a Nivel Proncincial (Horas)]])</f>
        <v>3.9666666666666668</v>
      </c>
      <c r="AV51" s="62"/>
    </row>
    <row r="52" spans="2:48" ht="42.75" customHeight="1" x14ac:dyDescent="0.25">
      <c r="B52" s="78" t="s">
        <v>2314</v>
      </c>
      <c r="C52" s="199" t="s">
        <v>4</v>
      </c>
      <c r="D52" s="127" t="s">
        <v>2488</v>
      </c>
      <c r="E52" s="127"/>
      <c r="F52" s="127" t="str">
        <f>CONCATENATE(Tabla1[[#This Row],[Simbología]],"_",Tabla1[[#This Row],[Acción]])</f>
        <v>AAA_Supervisión de la calidad y cantidad de combustibles</v>
      </c>
      <c r="G52" s="127" t="s">
        <v>10</v>
      </c>
      <c r="H52" s="126" t="s">
        <v>2542</v>
      </c>
      <c r="I52" s="128"/>
      <c r="J52" s="205" t="str">
        <f>CONCATENATE(Tabla1[[#This Row],[Simbología1]],"_",Tabla1[[#This Row],[Acción Especifica]])</f>
        <v>KIN_2_Verificación del etiquetado de balones</v>
      </c>
      <c r="K52" s="205" t="s">
        <v>2588</v>
      </c>
      <c r="L52" s="126" t="s">
        <v>2541</v>
      </c>
      <c r="M52" s="129"/>
      <c r="N52" s="130" t="str">
        <f>CONCATENATE(Tabla1[[#This Row],[Simbología**]],"_",Tabla1[[#This Row],[Sub Acción Especifica]])</f>
        <v>KKIN_14_Etiquetado o cartilla de seguridad en cilindros de GLP</v>
      </c>
      <c r="O52" s="128" t="s">
        <v>2636</v>
      </c>
      <c r="P52" s="127" t="s">
        <v>24</v>
      </c>
      <c r="Q52" s="130" t="str">
        <f>CONCATENATE(Tabla1[[#This Row],[Simbología*]],"_",Tabla1[[#This Row],[Tipo de instalación relacionado]])</f>
        <v>KKKIN_17_Locales de Venta de GLP</v>
      </c>
      <c r="R52" s="131">
        <v>0.5</v>
      </c>
      <c r="S52" s="131">
        <v>1</v>
      </c>
      <c r="T52" s="133">
        <f>IFERROR(AVERAGE(Tabla1[[#This Row],[T. Mínimo]],Tabla1[[#This Row],[T. Máximo]]),0)</f>
        <v>0.75</v>
      </c>
      <c r="U52" s="132">
        <v>2</v>
      </c>
      <c r="V52" s="132">
        <v>3.5</v>
      </c>
      <c r="W52" s="133">
        <f>IFERROR(AVERAGE(Tabla1[[#This Row],[T. Mínimo*]],Tabla1[[#This Row],[T. Máximo*]]),0)</f>
        <v>2.75</v>
      </c>
      <c r="X52" s="132">
        <v>2</v>
      </c>
      <c r="Y52" s="132">
        <v>3</v>
      </c>
      <c r="Z52" s="133">
        <f>IFERROR(AVERAGE(Tabla1[[#This Row],[T. Mínimo**]],Tabla1[[#This Row],[T. Máximo**]]),0)</f>
        <v>2.5</v>
      </c>
      <c r="AA52" s="134">
        <f>SUM(Tabla1[[#This Row],[Promedio]],Tabla1[[#This Row],[Promedio*]],Tabla1[[#This Row],[Promedio**]])</f>
        <v>6</v>
      </c>
      <c r="AB52" s="135" t="s">
        <v>2487</v>
      </c>
      <c r="AD52" s="20" t="s">
        <v>2378</v>
      </c>
      <c r="AE52" s="10" t="s">
        <v>156</v>
      </c>
      <c r="AF52" s="20" t="s">
        <v>70</v>
      </c>
      <c r="AG52" s="10"/>
      <c r="AH52" s="22" t="str">
        <f t="shared" si="0"/>
        <v>Amazonas_05 Luya</v>
      </c>
      <c r="AI52" s="10" t="s">
        <v>160</v>
      </c>
      <c r="AJ52" s="20" t="s">
        <v>117</v>
      </c>
      <c r="AK52" s="22" t="str">
        <f t="shared" si="1"/>
        <v>Amazonas_05 Luya_05 Conila</v>
      </c>
      <c r="AL52" s="25">
        <v>1</v>
      </c>
      <c r="AM52" s="25">
        <v>58</v>
      </c>
      <c r="AN52" s="26">
        <f>Tabla2[[#This Row],[Minutos]]/60</f>
        <v>0.96666666666666667</v>
      </c>
      <c r="AO52" s="27">
        <f>SUM(Tabla2[[#This Row],[Horas]],Tabla2[[#This Row],[Minutos a Horas]])</f>
        <v>1.9666666666666668</v>
      </c>
      <c r="AP52" s="49">
        <v>3</v>
      </c>
      <c r="AQ52" s="49">
        <v>30</v>
      </c>
      <c r="AR52" s="26">
        <f>Tabla2[[#This Row],[Minutos*]]/60</f>
        <v>0.5</v>
      </c>
      <c r="AS52" s="27">
        <f>SUM(Tabla2[[#This Row],[Horas*]],Tabla2[[#This Row],[Minutos a Horas*]])+(Tabla2[[#This Row],[Tiempo Total a Nivel Proncincial (Horas)]])</f>
        <v>5.4666666666666668</v>
      </c>
      <c r="AV52" s="62"/>
    </row>
    <row r="53" spans="2:48" ht="42.75" customHeight="1" x14ac:dyDescent="0.25">
      <c r="B53" s="78" t="s">
        <v>2314</v>
      </c>
      <c r="C53" s="199" t="s">
        <v>4</v>
      </c>
      <c r="D53" s="127" t="s">
        <v>2488</v>
      </c>
      <c r="E53" s="127"/>
      <c r="F53" s="127" t="str">
        <f>CONCATENATE(Tabla1[[#This Row],[Simbología]],"_",Tabla1[[#This Row],[Acción]])</f>
        <v>AAA_Supervisión de la calidad y cantidad de combustibles</v>
      </c>
      <c r="G53" s="127" t="s">
        <v>10</v>
      </c>
      <c r="H53" s="126" t="s">
        <v>2542</v>
      </c>
      <c r="I53" s="128"/>
      <c r="J53" s="205" t="str">
        <f>CONCATENATE(Tabla1[[#This Row],[Simbología1]],"_",Tabla1[[#This Row],[Acción Especifica]])</f>
        <v>KIN_2_Verificación del etiquetado de balones</v>
      </c>
      <c r="K53" s="205" t="s">
        <v>2588</v>
      </c>
      <c r="L53" s="126" t="s">
        <v>2541</v>
      </c>
      <c r="M53" s="129"/>
      <c r="N53" s="130" t="str">
        <f>CONCATENATE(Tabla1[[#This Row],[Simbología**]],"_",Tabla1[[#This Row],[Sub Acción Especifica]])</f>
        <v>KKIN_14_Etiquetado o cartilla de seguridad en cilindros de GLP</v>
      </c>
      <c r="O53" s="128" t="s">
        <v>2636</v>
      </c>
      <c r="P53" s="127" t="s">
        <v>2544</v>
      </c>
      <c r="Q53" s="130" t="str">
        <f>CONCATENATE(Tabla1[[#This Row],[Simbología*]],"_",Tabla1[[#This Row],[Tipo de instalación relacionado]])</f>
        <v>KKKIN_17_Establecimientos de Venta al Público</v>
      </c>
      <c r="R53" s="131">
        <v>0.5</v>
      </c>
      <c r="S53" s="131">
        <v>1</v>
      </c>
      <c r="T53" s="133">
        <f>IFERROR(AVERAGE(Tabla1[[#This Row],[T. Mínimo]],Tabla1[[#This Row],[T. Máximo]]),0)</f>
        <v>0.75</v>
      </c>
      <c r="U53" s="132">
        <v>2</v>
      </c>
      <c r="V53" s="132">
        <v>3.5</v>
      </c>
      <c r="W53" s="133">
        <f>IFERROR(AVERAGE(Tabla1[[#This Row],[T. Mínimo*]],Tabla1[[#This Row],[T. Máximo*]]),0)</f>
        <v>2.75</v>
      </c>
      <c r="X53" s="132">
        <v>2</v>
      </c>
      <c r="Y53" s="132">
        <v>3</v>
      </c>
      <c r="Z53" s="133">
        <f>IFERROR(AVERAGE(Tabla1[[#This Row],[T. Mínimo**]],Tabla1[[#This Row],[T. Máximo**]]),0)</f>
        <v>2.5</v>
      </c>
      <c r="AA53" s="134">
        <f>SUM(Tabla1[[#This Row],[Promedio]],Tabla1[[#This Row],[Promedio*]],Tabla1[[#This Row],[Promedio**]])</f>
        <v>6</v>
      </c>
      <c r="AB53" s="135" t="s">
        <v>2487</v>
      </c>
      <c r="AD53" s="20" t="s">
        <v>2378</v>
      </c>
      <c r="AE53" s="10" t="s">
        <v>156</v>
      </c>
      <c r="AF53" s="20" t="s">
        <v>70</v>
      </c>
      <c r="AG53" s="10"/>
      <c r="AH53" s="22" t="str">
        <f t="shared" si="0"/>
        <v>Amazonas_05 Luya</v>
      </c>
      <c r="AI53" s="10" t="s">
        <v>160</v>
      </c>
      <c r="AJ53" s="20" t="s">
        <v>118</v>
      </c>
      <c r="AK53" s="22" t="str">
        <f t="shared" si="1"/>
        <v>Amazonas_05 Luya_06 Inguilpata</v>
      </c>
      <c r="AL53" s="25">
        <v>1</v>
      </c>
      <c r="AM53" s="25">
        <v>58</v>
      </c>
      <c r="AN53" s="26">
        <f>Tabla2[[#This Row],[Minutos]]/60</f>
        <v>0.96666666666666667</v>
      </c>
      <c r="AO53" s="27">
        <f>SUM(Tabla2[[#This Row],[Horas]],Tabla2[[#This Row],[Minutos a Horas]])</f>
        <v>1.9666666666666668</v>
      </c>
      <c r="AP53" s="49">
        <v>3</v>
      </c>
      <c r="AQ53" s="49">
        <v>45</v>
      </c>
      <c r="AR53" s="26">
        <f>Tabla2[[#This Row],[Minutos*]]/60</f>
        <v>0.75</v>
      </c>
      <c r="AS53" s="27">
        <f>SUM(Tabla2[[#This Row],[Horas*]],Tabla2[[#This Row],[Minutos a Horas*]])+(Tabla2[[#This Row],[Tiempo Total a Nivel Proncincial (Horas)]])</f>
        <v>5.7166666666666668</v>
      </c>
      <c r="AV53" s="62"/>
    </row>
    <row r="54" spans="2:48" ht="56.25" customHeight="1" x14ac:dyDescent="0.25">
      <c r="B54" s="78" t="s">
        <v>2314</v>
      </c>
      <c r="C54" s="199" t="s">
        <v>4</v>
      </c>
      <c r="D54" s="127" t="s">
        <v>2488</v>
      </c>
      <c r="E54" s="127"/>
      <c r="F54" s="127" t="str">
        <f>CONCATENATE(Tabla1[[#This Row],[Simbología]],"_",Tabla1[[#This Row],[Acción]])</f>
        <v>AAA_Supervisión de la calidad y cantidad de combustibles</v>
      </c>
      <c r="G54" s="127" t="s">
        <v>10</v>
      </c>
      <c r="H54" s="126" t="s">
        <v>2478</v>
      </c>
      <c r="I54" s="137"/>
      <c r="J54" s="204" t="str">
        <f>CONCATENATE(Tabla1[[#This Row],[Simbología1]],"_",Tabla1[[#This Row],[Acción Especifica]])</f>
        <v>KIN_2_Visitas de supervisión para el control de calidad de los combustibles / GLP despachados / producidos en establecimientos de venta al público (muestrales)</v>
      </c>
      <c r="K54" s="204" t="s">
        <v>2589</v>
      </c>
      <c r="L54" s="126" t="s">
        <v>2527</v>
      </c>
      <c r="M54" s="126" t="s">
        <v>2527</v>
      </c>
      <c r="N54" s="130" t="str">
        <f>CONCATENATE(Tabla1[[#This Row],[Simbología**]],"_",Tabla1[[#This Row],[Sub Acción Especifica]])</f>
        <v>KKIN_16_Control de calidad de los combustibles / GLP despachados</v>
      </c>
      <c r="O54" s="128" t="s">
        <v>2637</v>
      </c>
      <c r="P54" s="126" t="s">
        <v>7</v>
      </c>
      <c r="Q54" s="130" t="str">
        <f>CONCATENATE(Tabla1[[#This Row],[Simbología*]],"_",Tabla1[[#This Row],[Tipo de instalación relacionado]])</f>
        <v>KKKIN_18_Establecimientos de Venta al Público (Líquidos, GLP)</v>
      </c>
      <c r="R54" s="138"/>
      <c r="S54" s="138"/>
      <c r="T54" s="139"/>
      <c r="U54" s="138"/>
      <c r="V54" s="138"/>
      <c r="W54" s="139"/>
      <c r="X54" s="140"/>
      <c r="Y54" s="140"/>
      <c r="Z54" s="139"/>
      <c r="AA54" s="141"/>
      <c r="AB54" s="135" t="s">
        <v>2487</v>
      </c>
      <c r="AD54" s="20" t="s">
        <v>2378</v>
      </c>
      <c r="AE54" s="10" t="s">
        <v>156</v>
      </c>
      <c r="AF54" s="20" t="s">
        <v>70</v>
      </c>
      <c r="AG54" s="10"/>
      <c r="AH54" s="22" t="str">
        <f t="shared" si="0"/>
        <v>Amazonas_05 Luya</v>
      </c>
      <c r="AI54" s="10" t="s">
        <v>160</v>
      </c>
      <c r="AJ54" s="20" t="s">
        <v>119</v>
      </c>
      <c r="AK54" s="22" t="str">
        <f t="shared" si="1"/>
        <v>Amazonas_05 Luya_07 Longuita</v>
      </c>
      <c r="AL54" s="25">
        <v>1</v>
      </c>
      <c r="AM54" s="25">
        <v>58</v>
      </c>
      <c r="AN54" s="26">
        <f>Tabla2[[#This Row],[Minutos]]/60</f>
        <v>0.96666666666666667</v>
      </c>
      <c r="AO54" s="27">
        <f>SUM(Tabla2[[#This Row],[Horas]],Tabla2[[#This Row],[Minutos a Horas]])</f>
        <v>1.9666666666666668</v>
      </c>
      <c r="AP54" s="49">
        <v>3</v>
      </c>
      <c r="AQ54" s="49">
        <v>30</v>
      </c>
      <c r="AR54" s="26">
        <f>Tabla2[[#This Row],[Minutos*]]/60</f>
        <v>0.5</v>
      </c>
      <c r="AS54" s="27">
        <f>SUM(Tabla2[[#This Row],[Horas*]],Tabla2[[#This Row],[Minutos a Horas*]])+(Tabla2[[#This Row],[Tiempo Total a Nivel Proncincial (Horas)]])</f>
        <v>5.4666666666666668</v>
      </c>
      <c r="AV54" s="62"/>
    </row>
    <row r="55" spans="2:48" ht="42.75" customHeight="1" x14ac:dyDescent="0.25">
      <c r="B55" s="78" t="s">
        <v>2314</v>
      </c>
      <c r="C55" s="199" t="s">
        <v>4</v>
      </c>
      <c r="D55" s="127" t="s">
        <v>2488</v>
      </c>
      <c r="E55" s="127"/>
      <c r="F55" s="127" t="str">
        <f>CONCATENATE(Tabla1[[#This Row],[Simbología]],"_",Tabla1[[#This Row],[Acción]])</f>
        <v>AAA_Supervisión de la calidad y cantidad de combustibles</v>
      </c>
      <c r="G55" s="127" t="s">
        <v>10</v>
      </c>
      <c r="H55" s="126" t="s">
        <v>2479</v>
      </c>
      <c r="I55" s="137"/>
      <c r="J55" s="204" t="str">
        <f>CONCATENATE(Tabla1[[#This Row],[Simbología1]],"_",Tabla1[[#This Row],[Acción Especifica]])</f>
        <v>KIN_2_Visitas de supervisión para el control de calidad de los combustibles / GLP despachados / producidos en plantas de abastecimiento o refinerías (censales)</v>
      </c>
      <c r="K55" s="204" t="s">
        <v>2590</v>
      </c>
      <c r="L55" s="126" t="s">
        <v>2527</v>
      </c>
      <c r="M55" s="126" t="s">
        <v>2527</v>
      </c>
      <c r="N55" s="130" t="str">
        <f>CONCATENATE(Tabla1[[#This Row],[Simbología**]],"_",Tabla1[[#This Row],[Sub Acción Especifica]])</f>
        <v>KKIN_17_Control de calidad de los combustibles / GLP despachados</v>
      </c>
      <c r="O55" s="128" t="s">
        <v>2638</v>
      </c>
      <c r="P55" s="126" t="s">
        <v>2528</v>
      </c>
      <c r="Q55" s="130" t="str">
        <f>CONCATENATE(Tabla1[[#This Row],[Simbología*]],"_",Tabla1[[#This Row],[Tipo de instalación relacionado]])</f>
        <v>KKKIN_19_Plantas de Abastecimiento</v>
      </c>
      <c r="R55" s="138"/>
      <c r="S55" s="138"/>
      <c r="T55" s="139"/>
      <c r="U55" s="138"/>
      <c r="V55" s="138"/>
      <c r="W55" s="139"/>
      <c r="X55" s="140"/>
      <c r="Y55" s="140"/>
      <c r="Z55" s="139"/>
      <c r="AA55" s="141"/>
      <c r="AB55" s="135" t="s">
        <v>2487</v>
      </c>
      <c r="AD55" s="20" t="s">
        <v>2378</v>
      </c>
      <c r="AE55" s="10" t="s">
        <v>156</v>
      </c>
      <c r="AF55" s="20" t="s">
        <v>70</v>
      </c>
      <c r="AG55" s="10"/>
      <c r="AH55" s="22" t="str">
        <f t="shared" si="0"/>
        <v>Amazonas_05 Luya</v>
      </c>
      <c r="AI55" s="10" t="s">
        <v>160</v>
      </c>
      <c r="AJ55" s="20" t="s">
        <v>120</v>
      </c>
      <c r="AK55" s="22" t="str">
        <f t="shared" si="1"/>
        <v>Amazonas_05 Luya_08 Lonya Chico</v>
      </c>
      <c r="AL55" s="25">
        <v>1</v>
      </c>
      <c r="AM55" s="25">
        <v>58</v>
      </c>
      <c r="AN55" s="26">
        <f>Tabla2[[#This Row],[Minutos]]/60</f>
        <v>0.96666666666666667</v>
      </c>
      <c r="AO55" s="27">
        <f>SUM(Tabla2[[#This Row],[Horas]],Tabla2[[#This Row],[Minutos a Horas]])</f>
        <v>1.9666666666666668</v>
      </c>
      <c r="AP55" s="49">
        <v>6</v>
      </c>
      <c r="AQ55" s="49"/>
      <c r="AR55" s="26">
        <f>Tabla2[[#This Row],[Minutos*]]/60</f>
        <v>0</v>
      </c>
      <c r="AS55" s="27">
        <f>SUM(Tabla2[[#This Row],[Horas*]],Tabla2[[#This Row],[Minutos a Horas*]])+(Tabla2[[#This Row],[Tiempo Total a Nivel Proncincial (Horas)]])</f>
        <v>7.9666666666666668</v>
      </c>
      <c r="AV55" s="62"/>
    </row>
    <row r="56" spans="2:48" ht="42.75" customHeight="1" x14ac:dyDescent="0.25">
      <c r="B56" s="78" t="s">
        <v>2314</v>
      </c>
      <c r="C56" s="199" t="s">
        <v>4</v>
      </c>
      <c r="D56" s="127" t="s">
        <v>2488</v>
      </c>
      <c r="E56" s="127"/>
      <c r="F56" s="127" t="str">
        <f>CONCATENATE(Tabla1[[#This Row],[Simbología]],"_",Tabla1[[#This Row],[Acción]])</f>
        <v>AAA_Supervisión de la calidad y cantidad de combustibles</v>
      </c>
      <c r="G56" s="127" t="s">
        <v>10</v>
      </c>
      <c r="H56" s="126" t="s">
        <v>2479</v>
      </c>
      <c r="I56" s="137"/>
      <c r="J56" s="204" t="str">
        <f>CONCATENATE(Tabla1[[#This Row],[Simbología1]],"_",Tabla1[[#This Row],[Acción Especifica]])</f>
        <v>KIN_2_Visitas de supervisión para el control de calidad de los combustibles / GLP despachados / producidos en plantas de abastecimiento o refinerías (censales)</v>
      </c>
      <c r="K56" s="204" t="s">
        <v>2590</v>
      </c>
      <c r="L56" s="126" t="s">
        <v>2527</v>
      </c>
      <c r="M56" s="126"/>
      <c r="N56" s="130" t="str">
        <f>CONCATENATE(Tabla1[[#This Row],[Simbología**]],"_",Tabla1[[#This Row],[Sub Acción Especifica]])</f>
        <v>KKIN_17_Control de calidad de los combustibles / GLP despachados</v>
      </c>
      <c r="O56" s="128" t="s">
        <v>2638</v>
      </c>
      <c r="P56" s="126" t="s">
        <v>2529</v>
      </c>
      <c r="Q56" s="130" t="str">
        <f>CONCATENATE(Tabla1[[#This Row],[Simbología*]],"_",Tabla1[[#This Row],[Tipo de instalación relacionado]])</f>
        <v>KKKIN_19_Refinerias</v>
      </c>
      <c r="R56" s="138"/>
      <c r="S56" s="138"/>
      <c r="T56" s="139"/>
      <c r="U56" s="138"/>
      <c r="V56" s="138"/>
      <c r="W56" s="139"/>
      <c r="X56" s="140"/>
      <c r="Y56" s="140"/>
      <c r="Z56" s="139"/>
      <c r="AA56" s="141"/>
      <c r="AB56" s="135" t="s">
        <v>2487</v>
      </c>
      <c r="AD56" s="20" t="s">
        <v>2378</v>
      </c>
      <c r="AE56" s="10" t="s">
        <v>156</v>
      </c>
      <c r="AF56" s="20" t="s">
        <v>70</v>
      </c>
      <c r="AG56" s="10"/>
      <c r="AH56" s="22" t="str">
        <f t="shared" si="0"/>
        <v>Amazonas_05 Luya</v>
      </c>
      <c r="AI56" s="10" t="s">
        <v>160</v>
      </c>
      <c r="AJ56" s="20" t="s">
        <v>121</v>
      </c>
      <c r="AK56" s="22" t="str">
        <f t="shared" si="1"/>
        <v>Amazonas_05 Luya_09 Luya</v>
      </c>
      <c r="AL56" s="25">
        <v>1</v>
      </c>
      <c r="AM56" s="25">
        <v>58</v>
      </c>
      <c r="AN56" s="26">
        <f>Tabla2[[#This Row],[Minutos]]/60</f>
        <v>0.96666666666666667</v>
      </c>
      <c r="AO56" s="27">
        <f>SUM(Tabla2[[#This Row],[Horas]],Tabla2[[#This Row],[Minutos a Horas]])</f>
        <v>1.9666666666666668</v>
      </c>
      <c r="AP56" s="49">
        <v>1</v>
      </c>
      <c r="AQ56" s="49">
        <v>50</v>
      </c>
      <c r="AR56" s="26">
        <f>Tabla2[[#This Row],[Minutos*]]/60</f>
        <v>0.83333333333333337</v>
      </c>
      <c r="AS56" s="27">
        <f>SUM(Tabla2[[#This Row],[Horas*]],Tabla2[[#This Row],[Minutos a Horas*]])+(Tabla2[[#This Row],[Tiempo Total a Nivel Proncincial (Horas)]])</f>
        <v>3.8000000000000003</v>
      </c>
      <c r="AV56" s="62"/>
    </row>
    <row r="57" spans="2:48" ht="42.75" customHeight="1" x14ac:dyDescent="0.25">
      <c r="B57" s="78" t="s">
        <v>2314</v>
      </c>
      <c r="C57" s="199" t="s">
        <v>4</v>
      </c>
      <c r="D57" s="127" t="s">
        <v>2488</v>
      </c>
      <c r="E57" s="127"/>
      <c r="F57" s="127" t="str">
        <f>CONCATENATE(Tabla1[[#This Row],[Simbología]],"_",Tabla1[[#This Row],[Acción]])</f>
        <v>AAA_Supervisión de la calidad y cantidad de combustibles</v>
      </c>
      <c r="G57" s="127" t="s">
        <v>10</v>
      </c>
      <c r="H57" s="126" t="s">
        <v>2480</v>
      </c>
      <c r="I57" s="137"/>
      <c r="J57" s="204" t="str">
        <f>CONCATENATE(Tabla1[[#This Row],[Simbología1]],"_",Tabla1[[#This Row],[Acción Especifica]])</f>
        <v>KIN_2_Visitas de supervisión metrológica de combustibles despachados en establecimientos de venta al público (muestrales / censales)</v>
      </c>
      <c r="K57" s="204" t="s">
        <v>2591</v>
      </c>
      <c r="L57" s="126" t="s">
        <v>2530</v>
      </c>
      <c r="M57" s="126" t="s">
        <v>2530</v>
      </c>
      <c r="N57" s="130" t="str">
        <f>CONCATENATE(Tabla1[[#This Row],[Simbología**]],"_",Tabla1[[#This Row],[Sub Acción Especifica]])</f>
        <v>KKIN_18_Control metrológico de combustibles despachados</v>
      </c>
      <c r="O57" s="128" t="s">
        <v>2640</v>
      </c>
      <c r="P57" s="126" t="s">
        <v>7</v>
      </c>
      <c r="Q57" s="130" t="str">
        <f>CONCATENATE(Tabla1[[#This Row],[Simbología*]],"_",Tabla1[[#This Row],[Tipo de instalación relacionado]])</f>
        <v>KKKIN_20_Establecimientos de Venta al Público (Líquidos, GLP)</v>
      </c>
      <c r="R57" s="138"/>
      <c r="S57" s="138"/>
      <c r="T57" s="139"/>
      <c r="U57" s="138"/>
      <c r="V57" s="138"/>
      <c r="W57" s="139"/>
      <c r="X57" s="140"/>
      <c r="Y57" s="140"/>
      <c r="Z57" s="139"/>
      <c r="AA57" s="141"/>
      <c r="AB57" s="135" t="s">
        <v>2487</v>
      </c>
      <c r="AD57" s="20" t="s">
        <v>2378</v>
      </c>
      <c r="AE57" s="10" t="s">
        <v>156</v>
      </c>
      <c r="AF57" s="20" t="s">
        <v>70</v>
      </c>
      <c r="AG57" s="10"/>
      <c r="AH57" s="22" t="str">
        <f t="shared" si="0"/>
        <v>Amazonas_05 Luya</v>
      </c>
      <c r="AI57" s="10" t="s">
        <v>160</v>
      </c>
      <c r="AJ57" s="20" t="s">
        <v>122</v>
      </c>
      <c r="AK57" s="22" t="str">
        <f t="shared" si="1"/>
        <v>Amazonas_05 Luya_10 Luya Viejo</v>
      </c>
      <c r="AL57" s="25">
        <v>1</v>
      </c>
      <c r="AM57" s="25">
        <v>58</v>
      </c>
      <c r="AN57" s="26">
        <f>Tabla2[[#This Row],[Minutos]]/60</f>
        <v>0.96666666666666667</v>
      </c>
      <c r="AO57" s="27">
        <f>SUM(Tabla2[[#This Row],[Horas]],Tabla2[[#This Row],[Minutos a Horas]])</f>
        <v>1.9666666666666668</v>
      </c>
      <c r="AP57" s="49">
        <v>2</v>
      </c>
      <c r="AQ57" s="49">
        <v>20</v>
      </c>
      <c r="AR57" s="26">
        <f>Tabla2[[#This Row],[Minutos*]]/60</f>
        <v>0.33333333333333331</v>
      </c>
      <c r="AS57" s="27">
        <f>SUM(Tabla2[[#This Row],[Horas*]],Tabla2[[#This Row],[Minutos a Horas*]])+(Tabla2[[#This Row],[Tiempo Total a Nivel Proncincial (Horas)]])</f>
        <v>4.3000000000000007</v>
      </c>
      <c r="AV57" s="62"/>
    </row>
    <row r="58" spans="2:48" ht="42.75" customHeight="1" x14ac:dyDescent="0.25">
      <c r="B58" s="78" t="s">
        <v>2314</v>
      </c>
      <c r="C58" s="199" t="s">
        <v>4</v>
      </c>
      <c r="D58" s="143" t="s">
        <v>2490</v>
      </c>
      <c r="E58" s="143"/>
      <c r="F58" s="143" t="str">
        <f>CONCATENATE(Tabla1[[#This Row],[Simbología]],"_",Tabla1[[#This Row],[Acción]])</f>
        <v>AAA_Supervisión de instalaciones y medios de transporte (CL, GLP, GNV, GNC,GNL y OPDH)</v>
      </c>
      <c r="G58" s="143" t="s">
        <v>12</v>
      </c>
      <c r="H58" s="142" t="s">
        <v>2499</v>
      </c>
      <c r="I58" s="142" t="s">
        <v>2499</v>
      </c>
      <c r="J58" s="206" t="str">
        <f>CONCATENATE(Tabla1[[#This Row],[Simbología1]],"_",Tabla1[[#This Row],[Acción Especifica]])</f>
        <v>KIN_3_Supervisión de Denuncias (Supervisión Especial de las Instalaciones y Medios de Transporte)</v>
      </c>
      <c r="K58" s="206" t="s">
        <v>2592</v>
      </c>
      <c r="L58" s="143" t="s">
        <v>2558</v>
      </c>
      <c r="M58" s="143" t="s">
        <v>2558</v>
      </c>
      <c r="N58" s="146" t="str">
        <f>CONCATENATE(Tabla1[[#This Row],[Simbología**]],"_",Tabla1[[#This Row],[Sub Acción Especifica]])</f>
        <v>KKIN_19_Agentes Formales</v>
      </c>
      <c r="O58" s="144" t="s">
        <v>2641</v>
      </c>
      <c r="P58" s="147" t="s">
        <v>2363</v>
      </c>
      <c r="Q58" s="146" t="str">
        <f>CONCATENATE(Tabla1[[#This Row],[Simbología*]],"_",Tabla1[[#This Row],[Tipo de instalación relacionado]])</f>
        <v>KKKIN_21_Establecimientos de Venta al Público (Líquidos y/o GLP)</v>
      </c>
      <c r="R58" s="148">
        <v>1</v>
      </c>
      <c r="S58" s="148">
        <v>2</v>
      </c>
      <c r="T58" s="149">
        <f>IFERROR(AVERAGE(Tabla1[[#This Row],[T. Mínimo]],Tabla1[[#This Row],[T. Máximo]]),0)</f>
        <v>1.5</v>
      </c>
      <c r="U58" s="150">
        <v>1.5</v>
      </c>
      <c r="V58" s="150">
        <v>3</v>
      </c>
      <c r="W58" s="149">
        <f>IFERROR(AVERAGE(Tabla1[[#This Row],[T. Mínimo*]],Tabla1[[#This Row],[T. Máximo*]]),0)</f>
        <v>2.25</v>
      </c>
      <c r="X58" s="150">
        <v>2</v>
      </c>
      <c r="Y58" s="150">
        <v>3</v>
      </c>
      <c r="Z58" s="149">
        <f>IFERROR(AVERAGE(Tabla1[[#This Row],[T. Mínimo**]],Tabla1[[#This Row],[T. Máximo**]]),0)</f>
        <v>2.5</v>
      </c>
      <c r="AA58" s="151">
        <f>SUM(Tabla1[[#This Row],[Promedio]],Tabla1[[#This Row],[Promedio*]],Tabla1[[#This Row],[Promedio**]])</f>
        <v>6.25</v>
      </c>
      <c r="AB58" s="152" t="s">
        <v>2486</v>
      </c>
      <c r="AD58" s="20" t="s">
        <v>2378</v>
      </c>
      <c r="AE58" s="10" t="s">
        <v>156</v>
      </c>
      <c r="AF58" s="20" t="s">
        <v>70</v>
      </c>
      <c r="AG58" s="10"/>
      <c r="AH58" s="22" t="str">
        <f t="shared" si="0"/>
        <v>Amazonas_05 Luya</v>
      </c>
      <c r="AI58" s="10" t="s">
        <v>160</v>
      </c>
      <c r="AJ58" s="20" t="s">
        <v>123</v>
      </c>
      <c r="AK58" s="22" t="str">
        <f t="shared" si="1"/>
        <v>Amazonas_05 Luya_11 María</v>
      </c>
      <c r="AL58" s="25">
        <v>1</v>
      </c>
      <c r="AM58" s="25">
        <v>58</v>
      </c>
      <c r="AN58" s="26">
        <f>Tabla2[[#This Row],[Minutos]]/60</f>
        <v>0.96666666666666667</v>
      </c>
      <c r="AO58" s="27">
        <f>SUM(Tabla2[[#This Row],[Horas]],Tabla2[[#This Row],[Minutos a Horas]])</f>
        <v>1.9666666666666668</v>
      </c>
      <c r="AP58" s="49">
        <v>3</v>
      </c>
      <c r="AQ58" s="49">
        <v>30</v>
      </c>
      <c r="AR58" s="26">
        <f>Tabla2[[#This Row],[Minutos*]]/60</f>
        <v>0.5</v>
      </c>
      <c r="AS58" s="27">
        <f>SUM(Tabla2[[#This Row],[Horas*]],Tabla2[[#This Row],[Minutos a Horas*]])+(Tabla2[[#This Row],[Tiempo Total a Nivel Proncincial (Horas)]])</f>
        <v>5.4666666666666668</v>
      </c>
      <c r="AV58" s="62"/>
    </row>
    <row r="59" spans="2:48" ht="42.75" customHeight="1" x14ac:dyDescent="0.25">
      <c r="B59" s="78" t="s">
        <v>2314</v>
      </c>
      <c r="C59" s="199" t="s">
        <v>4</v>
      </c>
      <c r="D59" s="143" t="s">
        <v>2490</v>
      </c>
      <c r="E59" s="143"/>
      <c r="F59" s="143" t="str">
        <f>CONCATENATE(Tabla1[[#This Row],[Simbología]],"_",Tabla1[[#This Row],[Acción]])</f>
        <v>AAA_Supervisión de instalaciones y medios de transporte (CL, GLP, GNV, GNC,GNL y OPDH)</v>
      </c>
      <c r="G59" s="143" t="s">
        <v>12</v>
      </c>
      <c r="H59" s="142" t="s">
        <v>2499</v>
      </c>
      <c r="I59" s="143" t="s">
        <v>2489</v>
      </c>
      <c r="J59" s="207" t="str">
        <f>CONCATENATE(Tabla1[[#This Row],[Simbología1]],"_",Tabla1[[#This Row],[Acción Especifica]])</f>
        <v>KIN_3_Supervisión de Denuncias (Supervisión Especial de las Instalaciones y Medios de Transporte)</v>
      </c>
      <c r="K59" s="206" t="s">
        <v>2592</v>
      </c>
      <c r="L59" s="143" t="s">
        <v>2558</v>
      </c>
      <c r="M59" s="145"/>
      <c r="N59" s="146" t="str">
        <f>CONCATENATE(Tabla1[[#This Row],[Simbología**]],"_",Tabla1[[#This Row],[Sub Acción Especifica]])</f>
        <v>KKIN_19_Agentes Formales</v>
      </c>
      <c r="O59" s="144" t="s">
        <v>2641</v>
      </c>
      <c r="P59" s="147" t="s">
        <v>26</v>
      </c>
      <c r="Q59" s="146" t="str">
        <f>CONCATENATE(Tabla1[[#This Row],[Simbología*]],"_",Tabla1[[#This Row],[Tipo de instalación relacionado]])</f>
        <v>KKKIN_21_Establecimientos (GNV)</v>
      </c>
      <c r="R59" s="148">
        <v>1</v>
      </c>
      <c r="S59" s="148">
        <v>2</v>
      </c>
      <c r="T59" s="149">
        <f>IFERROR(AVERAGE(Tabla1[[#This Row],[T. Mínimo]],Tabla1[[#This Row],[T. Máximo]]),0)</f>
        <v>1.5</v>
      </c>
      <c r="U59" s="150">
        <v>1.5</v>
      </c>
      <c r="V59" s="150">
        <v>3</v>
      </c>
      <c r="W59" s="149">
        <f>IFERROR(AVERAGE(Tabla1[[#This Row],[T. Mínimo*]],Tabla1[[#This Row],[T. Máximo*]]),0)</f>
        <v>2.25</v>
      </c>
      <c r="X59" s="150">
        <v>2</v>
      </c>
      <c r="Y59" s="150">
        <v>3</v>
      </c>
      <c r="Z59" s="149">
        <f>IFERROR(AVERAGE(Tabla1[[#This Row],[T. Mínimo**]],Tabla1[[#This Row],[T. Máximo**]]),0)</f>
        <v>2.5</v>
      </c>
      <c r="AA59" s="151">
        <f>SUM(Tabla1[[#This Row],[Promedio]],Tabla1[[#This Row],[Promedio*]],Tabla1[[#This Row],[Promedio**]])</f>
        <v>6.25</v>
      </c>
      <c r="AB59" s="152" t="s">
        <v>2486</v>
      </c>
      <c r="AD59" s="20" t="s">
        <v>2378</v>
      </c>
      <c r="AE59" s="10" t="s">
        <v>156</v>
      </c>
      <c r="AF59" s="20" t="s">
        <v>70</v>
      </c>
      <c r="AG59" s="10"/>
      <c r="AH59" s="22" t="str">
        <f t="shared" si="0"/>
        <v>Amazonas_05 Luya</v>
      </c>
      <c r="AI59" s="10" t="s">
        <v>160</v>
      </c>
      <c r="AJ59" s="20" t="s">
        <v>124</v>
      </c>
      <c r="AK59" s="22" t="str">
        <f t="shared" si="1"/>
        <v>Amazonas_05 Luya_12 Ocalli</v>
      </c>
      <c r="AL59" s="25">
        <v>1</v>
      </c>
      <c r="AM59" s="25">
        <v>58</v>
      </c>
      <c r="AN59" s="26">
        <f>Tabla2[[#This Row],[Minutos]]/60</f>
        <v>0.96666666666666667</v>
      </c>
      <c r="AO59" s="27">
        <f>SUM(Tabla2[[#This Row],[Horas]],Tabla2[[#This Row],[Minutos a Horas]])</f>
        <v>1.9666666666666668</v>
      </c>
      <c r="AP59" s="49">
        <v>7</v>
      </c>
      <c r="AQ59" s="49"/>
      <c r="AR59" s="26">
        <f>Tabla2[[#This Row],[Minutos*]]/60</f>
        <v>0</v>
      </c>
      <c r="AS59" s="27">
        <f>SUM(Tabla2[[#This Row],[Horas*]],Tabla2[[#This Row],[Minutos a Horas*]])+(Tabla2[[#This Row],[Tiempo Total a Nivel Proncincial (Horas)]])</f>
        <v>8.9666666666666668</v>
      </c>
      <c r="AV59" s="62"/>
    </row>
    <row r="60" spans="2:48" ht="42.75" customHeight="1" x14ac:dyDescent="0.25">
      <c r="B60" s="78" t="s">
        <v>2314</v>
      </c>
      <c r="C60" s="199" t="s">
        <v>4</v>
      </c>
      <c r="D60" s="143" t="s">
        <v>2490</v>
      </c>
      <c r="E60" s="143"/>
      <c r="F60" s="143" t="str">
        <f>CONCATENATE(Tabla1[[#This Row],[Simbología]],"_",Tabla1[[#This Row],[Acción]])</f>
        <v>AAA_Supervisión de instalaciones y medios de transporte (CL, GLP, GNV, GNC,GNL y OPDH)</v>
      </c>
      <c r="G60" s="143" t="s">
        <v>12</v>
      </c>
      <c r="H60" s="142" t="s">
        <v>2499</v>
      </c>
      <c r="I60" s="142" t="s">
        <v>2545</v>
      </c>
      <c r="J60" s="206" t="str">
        <f>CONCATENATE(Tabla1[[#This Row],[Simbología1]],"_",Tabla1[[#This Row],[Acción Especifica]])</f>
        <v>KIN_3_Supervisión de Denuncias (Supervisión Especial de las Instalaciones y Medios de Transporte)</v>
      </c>
      <c r="K60" s="206" t="s">
        <v>2592</v>
      </c>
      <c r="L60" s="143" t="s">
        <v>2558</v>
      </c>
      <c r="M60" s="143"/>
      <c r="N60" s="146" t="str">
        <f>CONCATENATE(Tabla1[[#This Row],[Simbología**]],"_",Tabla1[[#This Row],[Sub Acción Especifica]])</f>
        <v>KKIN_19_Agentes Formales</v>
      </c>
      <c r="O60" s="144" t="s">
        <v>2641</v>
      </c>
      <c r="P60" s="147" t="s">
        <v>8</v>
      </c>
      <c r="Q60" s="146" t="str">
        <f>CONCATENATE(Tabla1[[#This Row],[Simbología*]],"_",Tabla1[[#This Row],[Tipo de instalación relacionado]])</f>
        <v>KKKIN_21_Consumidores Directos de CL y/u OPDH</v>
      </c>
      <c r="R60" s="148">
        <v>1</v>
      </c>
      <c r="S60" s="148">
        <v>2</v>
      </c>
      <c r="T60" s="149">
        <f>IFERROR(AVERAGE(Tabla1[[#This Row],[T. Mínimo]],Tabla1[[#This Row],[T. Máximo]]),0)</f>
        <v>1.5</v>
      </c>
      <c r="U60" s="150">
        <v>1.5</v>
      </c>
      <c r="V60" s="150">
        <v>3</v>
      </c>
      <c r="W60" s="149">
        <f>IFERROR(AVERAGE(Tabla1[[#This Row],[T. Mínimo*]],Tabla1[[#This Row],[T. Máximo*]]),0)</f>
        <v>2.25</v>
      </c>
      <c r="X60" s="150">
        <v>2</v>
      </c>
      <c r="Y60" s="150">
        <v>3</v>
      </c>
      <c r="Z60" s="149">
        <f>IFERROR(AVERAGE(Tabla1[[#This Row],[T. Mínimo**]],Tabla1[[#This Row],[T. Máximo**]]),0)</f>
        <v>2.5</v>
      </c>
      <c r="AA60" s="151">
        <f>SUM(Tabla1[[#This Row],[Promedio]],Tabla1[[#This Row],[Promedio*]],Tabla1[[#This Row],[Promedio**]])</f>
        <v>6.25</v>
      </c>
      <c r="AB60" s="152" t="s">
        <v>2486</v>
      </c>
      <c r="AD60" s="20" t="s">
        <v>2378</v>
      </c>
      <c r="AE60" s="10" t="s">
        <v>156</v>
      </c>
      <c r="AF60" s="20" t="s">
        <v>70</v>
      </c>
      <c r="AG60" s="10"/>
      <c r="AH60" s="22" t="str">
        <f t="shared" si="0"/>
        <v>Amazonas_05 Luya</v>
      </c>
      <c r="AI60" s="10" t="s">
        <v>160</v>
      </c>
      <c r="AJ60" s="20" t="s">
        <v>125</v>
      </c>
      <c r="AK60" s="22" t="str">
        <f t="shared" si="1"/>
        <v>Amazonas_05 Luya_13 Ocumal</v>
      </c>
      <c r="AL60" s="25">
        <v>1</v>
      </c>
      <c r="AM60" s="25">
        <v>58</v>
      </c>
      <c r="AN60" s="26">
        <f>Tabla2[[#This Row],[Minutos]]/60</f>
        <v>0.96666666666666667</v>
      </c>
      <c r="AO60" s="27">
        <f>SUM(Tabla2[[#This Row],[Horas]],Tabla2[[#This Row],[Minutos a Horas]])</f>
        <v>1.9666666666666668</v>
      </c>
      <c r="AP60" s="49">
        <v>3</v>
      </c>
      <c r="AQ60" s="49"/>
      <c r="AR60" s="26">
        <f>Tabla2[[#This Row],[Minutos*]]/60</f>
        <v>0</v>
      </c>
      <c r="AS60" s="27">
        <f>SUM(Tabla2[[#This Row],[Horas*]],Tabla2[[#This Row],[Minutos a Horas*]])+(Tabla2[[#This Row],[Tiempo Total a Nivel Proncincial (Horas)]])</f>
        <v>4.9666666666666668</v>
      </c>
      <c r="AV60" s="62"/>
    </row>
    <row r="61" spans="2:48" ht="42.75" customHeight="1" x14ac:dyDescent="0.25">
      <c r="B61" s="78" t="s">
        <v>2314</v>
      </c>
      <c r="C61" s="199" t="s">
        <v>4</v>
      </c>
      <c r="D61" s="143" t="s">
        <v>2490</v>
      </c>
      <c r="E61" s="143"/>
      <c r="F61" s="143" t="str">
        <f>CONCATENATE(Tabla1[[#This Row],[Simbología]],"_",Tabla1[[#This Row],[Acción]])</f>
        <v>AAA_Supervisión de instalaciones y medios de transporte (CL, GLP, GNV, GNC,GNL y OPDH)</v>
      </c>
      <c r="G61" s="143" t="s">
        <v>12</v>
      </c>
      <c r="H61" s="142" t="s">
        <v>2499</v>
      </c>
      <c r="I61" s="142" t="s">
        <v>2546</v>
      </c>
      <c r="J61" s="206" t="str">
        <f>CONCATENATE(Tabla1[[#This Row],[Simbología1]],"_",Tabla1[[#This Row],[Acción Especifica]])</f>
        <v>KIN_3_Supervisión de Denuncias (Supervisión Especial de las Instalaciones y Medios de Transporte)</v>
      </c>
      <c r="K61" s="206" t="s">
        <v>2592</v>
      </c>
      <c r="L61" s="143" t="s">
        <v>2558</v>
      </c>
      <c r="M61" s="143"/>
      <c r="N61" s="146" t="str">
        <f>CONCATENATE(Tabla1[[#This Row],[Simbología**]],"_",Tabla1[[#This Row],[Sub Acción Especifica]])</f>
        <v>KKIN_19_Agentes Formales</v>
      </c>
      <c r="O61" s="144" t="s">
        <v>2641</v>
      </c>
      <c r="P61" s="147" t="s">
        <v>22</v>
      </c>
      <c r="Q61" s="146" t="str">
        <f>CONCATENATE(Tabla1[[#This Row],[Simbología*]],"_",Tabla1[[#This Row],[Tipo de instalación relacionado]])</f>
        <v>KKKIN_21_Consumidores Directos GLP y Redes de Distribución</v>
      </c>
      <c r="R61" s="148">
        <v>1</v>
      </c>
      <c r="S61" s="148">
        <v>2</v>
      </c>
      <c r="T61" s="149">
        <f>IFERROR(AVERAGE(Tabla1[[#This Row],[T. Mínimo]],Tabla1[[#This Row],[T. Máximo]]),0)</f>
        <v>1.5</v>
      </c>
      <c r="U61" s="150">
        <v>1.5</v>
      </c>
      <c r="V61" s="150">
        <v>3</v>
      </c>
      <c r="W61" s="149">
        <f>IFERROR(AVERAGE(Tabla1[[#This Row],[T. Mínimo*]],Tabla1[[#This Row],[T. Máximo*]]),0)</f>
        <v>2.25</v>
      </c>
      <c r="X61" s="150">
        <v>2</v>
      </c>
      <c r="Y61" s="150">
        <v>3</v>
      </c>
      <c r="Z61" s="149">
        <f>IFERROR(AVERAGE(Tabla1[[#This Row],[T. Mínimo**]],Tabla1[[#This Row],[T. Máximo**]]),0)</f>
        <v>2.5</v>
      </c>
      <c r="AA61" s="151">
        <f>SUM(Tabla1[[#This Row],[Promedio]],Tabla1[[#This Row],[Promedio*]],Tabla1[[#This Row],[Promedio**]])</f>
        <v>6.25</v>
      </c>
      <c r="AB61" s="152" t="s">
        <v>2486</v>
      </c>
      <c r="AD61" s="20" t="s">
        <v>2378</v>
      </c>
      <c r="AE61" s="10" t="s">
        <v>156</v>
      </c>
      <c r="AF61" s="20" t="s">
        <v>70</v>
      </c>
      <c r="AG61" s="10"/>
      <c r="AH61" s="22" t="str">
        <f t="shared" si="0"/>
        <v>Amazonas_05 Luya</v>
      </c>
      <c r="AI61" s="10" t="s">
        <v>160</v>
      </c>
      <c r="AJ61" s="20" t="s">
        <v>126</v>
      </c>
      <c r="AK61" s="22" t="str">
        <f t="shared" si="1"/>
        <v>Amazonas_05 Luya_14 Pisuquia</v>
      </c>
      <c r="AL61" s="25">
        <v>1</v>
      </c>
      <c r="AM61" s="25">
        <v>58</v>
      </c>
      <c r="AN61" s="26">
        <f>Tabla2[[#This Row],[Minutos]]/60</f>
        <v>0.96666666666666667</v>
      </c>
      <c r="AO61" s="27">
        <f>SUM(Tabla2[[#This Row],[Horas]],Tabla2[[#This Row],[Minutos a Horas]])</f>
        <v>1.9666666666666668</v>
      </c>
      <c r="AP61" s="49">
        <v>5</v>
      </c>
      <c r="AQ61" s="49"/>
      <c r="AR61" s="26">
        <f>Tabla2[[#This Row],[Minutos*]]/60</f>
        <v>0</v>
      </c>
      <c r="AS61" s="27">
        <f>SUM(Tabla2[[#This Row],[Horas*]],Tabla2[[#This Row],[Minutos a Horas*]])+(Tabla2[[#This Row],[Tiempo Total a Nivel Proncincial (Horas)]])</f>
        <v>6.9666666666666668</v>
      </c>
      <c r="AV61" s="62"/>
    </row>
    <row r="62" spans="2:48" ht="42.75" customHeight="1" x14ac:dyDescent="0.25">
      <c r="B62" s="78" t="s">
        <v>2314</v>
      </c>
      <c r="C62" s="199" t="s">
        <v>4</v>
      </c>
      <c r="D62" s="143" t="s">
        <v>2490</v>
      </c>
      <c r="E62" s="143"/>
      <c r="F62" s="143" t="str">
        <f>CONCATENATE(Tabla1[[#This Row],[Simbología]],"_",Tabla1[[#This Row],[Acción]])</f>
        <v>AAA_Supervisión de instalaciones y medios de transporte (CL, GLP, GNV, GNC,GNL y OPDH)</v>
      </c>
      <c r="G62" s="143" t="s">
        <v>12</v>
      </c>
      <c r="H62" s="142" t="s">
        <v>2499</v>
      </c>
      <c r="I62" s="142" t="s">
        <v>2547</v>
      </c>
      <c r="J62" s="206" t="str">
        <f>CONCATENATE(Tabla1[[#This Row],[Simbología1]],"_",Tabla1[[#This Row],[Acción Especifica]])</f>
        <v>KIN_3_Supervisión de Denuncias (Supervisión Especial de las Instalaciones y Medios de Transporte)</v>
      </c>
      <c r="K62" s="206" t="s">
        <v>2592</v>
      </c>
      <c r="L62" s="143" t="s">
        <v>2558</v>
      </c>
      <c r="M62" s="143"/>
      <c r="N62" s="146" t="str">
        <f>CONCATENATE(Tabla1[[#This Row],[Simbología**]],"_",Tabla1[[#This Row],[Sub Acción Especifica]])</f>
        <v>KKIN_19_Agentes Formales</v>
      </c>
      <c r="O62" s="144" t="s">
        <v>2641</v>
      </c>
      <c r="P62" s="147" t="s">
        <v>23</v>
      </c>
      <c r="Q62" s="146" t="str">
        <f>CONCATENATE(Tabla1[[#This Row],[Simbología*]],"_",Tabla1[[#This Row],[Tipo de instalación relacionado]])</f>
        <v>KKKIN_21_Medios de Transporte y Distribuidores (Líquidos, GLP)</v>
      </c>
      <c r="R62" s="148">
        <v>1</v>
      </c>
      <c r="S62" s="148">
        <v>1.5</v>
      </c>
      <c r="T62" s="149">
        <f>IFERROR(AVERAGE(Tabla1[[#This Row],[T. Mínimo]],Tabla1[[#This Row],[T. Máximo]]),0)</f>
        <v>1.25</v>
      </c>
      <c r="U62" s="150">
        <v>1.5</v>
      </c>
      <c r="V62" s="150">
        <v>3</v>
      </c>
      <c r="W62" s="149">
        <f>IFERROR(AVERAGE(Tabla1[[#This Row],[T. Mínimo*]],Tabla1[[#This Row],[T. Máximo*]]),0)</f>
        <v>2.25</v>
      </c>
      <c r="X62" s="150">
        <v>2</v>
      </c>
      <c r="Y62" s="150">
        <v>3</v>
      </c>
      <c r="Z62" s="149">
        <f>IFERROR(AVERAGE(Tabla1[[#This Row],[T. Mínimo**]],Tabla1[[#This Row],[T. Máximo**]]),0)</f>
        <v>2.5</v>
      </c>
      <c r="AA62" s="151">
        <f>SUM(Tabla1[[#This Row],[Promedio]],Tabla1[[#This Row],[Promedio*]],Tabla1[[#This Row],[Promedio**]])</f>
        <v>6</v>
      </c>
      <c r="AB62" s="152" t="s">
        <v>2486</v>
      </c>
      <c r="AD62" s="20" t="s">
        <v>2378</v>
      </c>
      <c r="AE62" s="10" t="s">
        <v>156</v>
      </c>
      <c r="AF62" s="20" t="s">
        <v>70</v>
      </c>
      <c r="AG62" s="10"/>
      <c r="AH62" s="22" t="str">
        <f t="shared" si="0"/>
        <v>Amazonas_05 Luya</v>
      </c>
      <c r="AI62" s="10" t="s">
        <v>160</v>
      </c>
      <c r="AJ62" s="20" t="s">
        <v>127</v>
      </c>
      <c r="AK62" s="22" t="str">
        <f t="shared" si="1"/>
        <v>Amazonas_05 Luya_15 Providencia</v>
      </c>
      <c r="AL62" s="25">
        <v>1</v>
      </c>
      <c r="AM62" s="25">
        <v>58</v>
      </c>
      <c r="AN62" s="26">
        <f>Tabla2[[#This Row],[Minutos]]/60</f>
        <v>0.96666666666666667</v>
      </c>
      <c r="AO62" s="27">
        <f>SUM(Tabla2[[#This Row],[Horas]],Tabla2[[#This Row],[Minutos a Horas]])</f>
        <v>1.9666666666666668</v>
      </c>
      <c r="AP62" s="49">
        <v>3</v>
      </c>
      <c r="AQ62" s="49"/>
      <c r="AR62" s="26">
        <f>Tabla2[[#This Row],[Minutos*]]/60</f>
        <v>0</v>
      </c>
      <c r="AS62" s="27">
        <f>SUM(Tabla2[[#This Row],[Horas*]],Tabla2[[#This Row],[Minutos a Horas*]])+(Tabla2[[#This Row],[Tiempo Total a Nivel Proncincial (Horas)]])</f>
        <v>4.9666666666666668</v>
      </c>
      <c r="AV62" s="62"/>
    </row>
    <row r="63" spans="2:48" ht="42.75" customHeight="1" x14ac:dyDescent="0.25">
      <c r="B63" s="78" t="s">
        <v>2314</v>
      </c>
      <c r="C63" s="199" t="s">
        <v>4</v>
      </c>
      <c r="D63" s="143" t="s">
        <v>2490</v>
      </c>
      <c r="E63" s="143"/>
      <c r="F63" s="143" t="str">
        <f>CONCATENATE(Tabla1[[#This Row],[Simbología]],"_",Tabla1[[#This Row],[Acción]])</f>
        <v>AAA_Supervisión de instalaciones y medios de transporte (CL, GLP, GNV, GNC,GNL y OPDH)</v>
      </c>
      <c r="G63" s="143" t="s">
        <v>12</v>
      </c>
      <c r="H63" s="142" t="s">
        <v>2499</v>
      </c>
      <c r="I63" s="142" t="s">
        <v>2553</v>
      </c>
      <c r="J63" s="206" t="str">
        <f>CONCATENATE(Tabla1[[#This Row],[Simbología1]],"_",Tabla1[[#This Row],[Acción Especifica]])</f>
        <v>KIN_3_Supervisión de Denuncias (Supervisión Especial de las Instalaciones y Medios de Transporte)</v>
      </c>
      <c r="K63" s="206" t="s">
        <v>2592</v>
      </c>
      <c r="L63" s="143" t="s">
        <v>2558</v>
      </c>
      <c r="M63" s="143"/>
      <c r="N63" s="146" t="str">
        <f>CONCATENATE(Tabla1[[#This Row],[Simbología**]],"_",Tabla1[[#This Row],[Sub Acción Especifica]])</f>
        <v>KKIN_19_Agentes Formales</v>
      </c>
      <c r="O63" s="144" t="s">
        <v>2641</v>
      </c>
      <c r="P63" s="147" t="s">
        <v>45</v>
      </c>
      <c r="Q63" s="146" t="str">
        <f>CONCATENATE(Tabla1[[#This Row],[Simbología*]],"_",Tabla1[[#This Row],[Tipo de instalación relacionado]])</f>
        <v>KKKIN_21_Medios de Transporte (GNC, GNL)</v>
      </c>
      <c r="R63" s="148">
        <v>1</v>
      </c>
      <c r="S63" s="148">
        <v>1.5</v>
      </c>
      <c r="T63" s="149">
        <f>IFERROR(AVERAGE(Tabla1[[#This Row],[T. Mínimo]],Tabla1[[#This Row],[T. Máximo]]),0)</f>
        <v>1.25</v>
      </c>
      <c r="U63" s="150">
        <v>1.5</v>
      </c>
      <c r="V63" s="150">
        <v>3</v>
      </c>
      <c r="W63" s="149">
        <f>IFERROR(AVERAGE(Tabla1[[#This Row],[T. Mínimo*]],Tabla1[[#This Row],[T. Máximo*]]),0)</f>
        <v>2.25</v>
      </c>
      <c r="X63" s="150">
        <v>2</v>
      </c>
      <c r="Y63" s="150">
        <v>3</v>
      </c>
      <c r="Z63" s="149">
        <f>IFERROR(AVERAGE(Tabla1[[#This Row],[T. Mínimo**]],Tabla1[[#This Row],[T. Máximo**]]),0)</f>
        <v>2.5</v>
      </c>
      <c r="AA63" s="151">
        <f>SUM(Tabla1[[#This Row],[Promedio]],Tabla1[[#This Row],[Promedio*]],Tabla1[[#This Row],[Promedio**]])</f>
        <v>6</v>
      </c>
      <c r="AB63" s="152" t="s">
        <v>2486</v>
      </c>
      <c r="AD63" s="20" t="s">
        <v>2378</v>
      </c>
      <c r="AE63" s="10" t="s">
        <v>156</v>
      </c>
      <c r="AF63" s="20" t="s">
        <v>70</v>
      </c>
      <c r="AG63" s="10"/>
      <c r="AH63" s="22" t="str">
        <f t="shared" si="0"/>
        <v>Amazonas_05 Luya</v>
      </c>
      <c r="AI63" s="10" t="s">
        <v>160</v>
      </c>
      <c r="AJ63" s="20" t="s">
        <v>128</v>
      </c>
      <c r="AK63" s="22" t="str">
        <f t="shared" si="1"/>
        <v>Amazonas_05 Luya_16 San Cristóbal</v>
      </c>
      <c r="AL63" s="25">
        <v>1</v>
      </c>
      <c r="AM63" s="25">
        <v>58</v>
      </c>
      <c r="AN63" s="26">
        <f>Tabla2[[#This Row],[Minutos]]/60</f>
        <v>0.96666666666666667</v>
      </c>
      <c r="AO63" s="27">
        <f>SUM(Tabla2[[#This Row],[Horas]],Tabla2[[#This Row],[Minutos a Horas]])</f>
        <v>1.9666666666666668</v>
      </c>
      <c r="AP63" s="49">
        <v>3</v>
      </c>
      <c r="AQ63" s="49"/>
      <c r="AR63" s="26">
        <f>Tabla2[[#This Row],[Minutos*]]/60</f>
        <v>0</v>
      </c>
      <c r="AS63" s="27">
        <f>SUM(Tabla2[[#This Row],[Horas*]],Tabla2[[#This Row],[Minutos a Horas*]])+(Tabla2[[#This Row],[Tiempo Total a Nivel Proncincial (Horas)]])</f>
        <v>4.9666666666666668</v>
      </c>
      <c r="AV63" s="62"/>
    </row>
    <row r="64" spans="2:48" ht="42.75" customHeight="1" x14ac:dyDescent="0.25">
      <c r="B64" s="78" t="s">
        <v>2314</v>
      </c>
      <c r="C64" s="199" t="s">
        <v>4</v>
      </c>
      <c r="D64" s="143" t="s">
        <v>2490</v>
      </c>
      <c r="E64" s="143"/>
      <c r="F64" s="143" t="str">
        <f>CONCATENATE(Tabla1[[#This Row],[Simbología]],"_",Tabla1[[#This Row],[Acción]])</f>
        <v>AAA_Supervisión de instalaciones y medios de transporte (CL, GLP, GNV, GNC,GNL y OPDH)</v>
      </c>
      <c r="G64" s="143" t="s">
        <v>12</v>
      </c>
      <c r="H64" s="142" t="s">
        <v>2499</v>
      </c>
      <c r="I64" s="142" t="s">
        <v>2555</v>
      </c>
      <c r="J64" s="206" t="str">
        <f>CONCATENATE(Tabla1[[#This Row],[Simbología1]],"_",Tabla1[[#This Row],[Acción Especifica]])</f>
        <v>KIN_3_Supervisión de Denuncias (Supervisión Especial de las Instalaciones y Medios de Transporte)</v>
      </c>
      <c r="K64" s="206" t="s">
        <v>2592</v>
      </c>
      <c r="L64" s="143" t="s">
        <v>2558</v>
      </c>
      <c r="M64" s="147"/>
      <c r="N64" s="146" t="str">
        <f>CONCATENATE(Tabla1[[#This Row],[Simbología**]],"_",Tabla1[[#This Row],[Sub Acción Especifica]])</f>
        <v>KKIN_19_Agentes Formales</v>
      </c>
      <c r="O64" s="144" t="s">
        <v>2641</v>
      </c>
      <c r="P64" s="147" t="s">
        <v>24</v>
      </c>
      <c r="Q64" s="146" t="str">
        <f>CONCATENATE(Tabla1[[#This Row],[Simbología*]],"_",Tabla1[[#This Row],[Tipo de instalación relacionado]])</f>
        <v>KKKIN_21_Locales de Venta de GLP</v>
      </c>
      <c r="R64" s="148">
        <v>1</v>
      </c>
      <c r="S64" s="148">
        <v>1.5</v>
      </c>
      <c r="T64" s="149">
        <f>IFERROR(AVERAGE(Tabla1[[#This Row],[T. Mínimo]],Tabla1[[#This Row],[T. Máximo]]),0)</f>
        <v>1.25</v>
      </c>
      <c r="U64" s="150">
        <v>1.5</v>
      </c>
      <c r="V64" s="150">
        <v>3</v>
      </c>
      <c r="W64" s="149">
        <f>IFERROR(AVERAGE(Tabla1[[#This Row],[T. Mínimo*]],Tabla1[[#This Row],[T. Máximo*]]),0)</f>
        <v>2.25</v>
      </c>
      <c r="X64" s="150">
        <v>2</v>
      </c>
      <c r="Y64" s="150">
        <v>3</v>
      </c>
      <c r="Z64" s="149">
        <f>IFERROR(AVERAGE(Tabla1[[#This Row],[T. Mínimo**]],Tabla1[[#This Row],[T. Máximo**]]),0)</f>
        <v>2.5</v>
      </c>
      <c r="AA64" s="151">
        <f>SUM(Tabla1[[#This Row],[Promedio]],Tabla1[[#This Row],[Promedio*]],Tabla1[[#This Row],[Promedio**]])</f>
        <v>6</v>
      </c>
      <c r="AB64" s="152" t="s">
        <v>2486</v>
      </c>
      <c r="AD64" s="20" t="s">
        <v>2378</v>
      </c>
      <c r="AE64" s="10" t="s">
        <v>156</v>
      </c>
      <c r="AF64" s="20" t="s">
        <v>70</v>
      </c>
      <c r="AG64" s="10"/>
      <c r="AH64" s="22" t="str">
        <f t="shared" si="0"/>
        <v>Amazonas_05 Luya</v>
      </c>
      <c r="AI64" s="10" t="s">
        <v>160</v>
      </c>
      <c r="AJ64" s="20" t="s">
        <v>129</v>
      </c>
      <c r="AK64" s="22" t="str">
        <f t="shared" si="1"/>
        <v>Amazonas_05 Luya_17 San Francisco de Yeso</v>
      </c>
      <c r="AL64" s="25">
        <v>1</v>
      </c>
      <c r="AM64" s="25">
        <v>58</v>
      </c>
      <c r="AN64" s="26">
        <f>Tabla2[[#This Row],[Minutos]]/60</f>
        <v>0.96666666666666667</v>
      </c>
      <c r="AO64" s="27">
        <f>SUM(Tabla2[[#This Row],[Horas]],Tabla2[[#This Row],[Minutos a Horas]])</f>
        <v>1.9666666666666668</v>
      </c>
      <c r="AP64" s="49">
        <v>2</v>
      </c>
      <c r="AQ64" s="49">
        <v>45</v>
      </c>
      <c r="AR64" s="26">
        <f>Tabla2[[#This Row],[Minutos*]]/60</f>
        <v>0.75</v>
      </c>
      <c r="AS64" s="27">
        <f>SUM(Tabla2[[#This Row],[Horas*]],Tabla2[[#This Row],[Minutos a Horas*]])+(Tabla2[[#This Row],[Tiempo Total a Nivel Proncincial (Horas)]])</f>
        <v>4.7166666666666668</v>
      </c>
      <c r="AV64" s="62"/>
    </row>
    <row r="65" spans="2:48" ht="42.75" customHeight="1" x14ac:dyDescent="0.25">
      <c r="B65" s="78" t="s">
        <v>2314</v>
      </c>
      <c r="C65" s="199" t="s">
        <v>4</v>
      </c>
      <c r="D65" s="143" t="s">
        <v>2490</v>
      </c>
      <c r="E65" s="143"/>
      <c r="F65" s="143" t="str">
        <f>CONCATENATE(Tabla1[[#This Row],[Simbología]],"_",Tabla1[[#This Row],[Acción]])</f>
        <v>AAA_Supervisión de instalaciones y medios de transporte (CL, GLP, GNV, GNC,GNL y OPDH)</v>
      </c>
      <c r="G65" s="143" t="s">
        <v>12</v>
      </c>
      <c r="H65" s="143" t="s">
        <v>2489</v>
      </c>
      <c r="I65" s="143" t="s">
        <v>2471</v>
      </c>
      <c r="J65" s="207" t="str">
        <f>CONCATENATE(Tabla1[[#This Row],[Simbología1]],"_",Tabla1[[#This Row],[Acción Especifica]])</f>
        <v>KIN_3_Atención de Solicitudes de Informe Técnico Favorable</v>
      </c>
      <c r="K65" s="207" t="s">
        <v>2585</v>
      </c>
      <c r="L65" s="143" t="s">
        <v>5</v>
      </c>
      <c r="M65" s="143" t="s">
        <v>5</v>
      </c>
      <c r="N65" s="146" t="str">
        <f>CONCATENATE(Tabla1[[#This Row],[Simbología**]],"_",Tabla1[[#This Row],[Sub Acción Especifica]])</f>
        <v>KKIN_20_Instalación</v>
      </c>
      <c r="O65" s="144" t="s">
        <v>2642</v>
      </c>
      <c r="P65" s="143" t="s">
        <v>7</v>
      </c>
      <c r="Q65" s="146" t="str">
        <f>CONCATENATE(Tabla1[[#This Row],[Simbología*]],"_",Tabla1[[#This Row],[Tipo de instalación relacionado]])</f>
        <v>KKKIN_22_Establecimientos de Venta al Público (Líquidos, GLP)</v>
      </c>
      <c r="R65" s="148">
        <v>4</v>
      </c>
      <c r="S65" s="148">
        <v>5</v>
      </c>
      <c r="T65" s="149">
        <f>IFERROR(AVERAGE(Tabla1[[#This Row],[T. Mínimo]],Tabla1[[#This Row],[T. Máximo]]),0)</f>
        <v>4.5</v>
      </c>
      <c r="U65" s="150">
        <v>1</v>
      </c>
      <c r="V65" s="150">
        <v>2</v>
      </c>
      <c r="W65" s="149">
        <f>IFERROR(AVERAGE(Tabla1[[#This Row],[T. Mínimo*]],Tabla1[[#This Row],[T. Máximo*]]),0)</f>
        <v>1.5</v>
      </c>
      <c r="X65" s="150">
        <v>3</v>
      </c>
      <c r="Y65" s="150">
        <v>4</v>
      </c>
      <c r="Z65" s="149">
        <f>IFERROR(AVERAGE(Tabla1[[#This Row],[T. Mínimo**]],Tabla1[[#This Row],[T. Máximo**]]),0)</f>
        <v>3.5</v>
      </c>
      <c r="AA65" s="151">
        <f>SUM(Tabla1[[#This Row],[Promedio]],Tabla1[[#This Row],[Promedio*]],Tabla1[[#This Row],[Promedio**]])</f>
        <v>9.5</v>
      </c>
      <c r="AB65" s="152" t="s">
        <v>2491</v>
      </c>
      <c r="AD65" s="20" t="s">
        <v>2378</v>
      </c>
      <c r="AE65" s="10" t="s">
        <v>156</v>
      </c>
      <c r="AF65" s="20" t="s">
        <v>70</v>
      </c>
      <c r="AG65" s="10"/>
      <c r="AH65" s="22" t="str">
        <f t="shared" si="0"/>
        <v>Amazonas_05 Luya</v>
      </c>
      <c r="AI65" s="10" t="s">
        <v>160</v>
      </c>
      <c r="AJ65" s="20" t="s">
        <v>130</v>
      </c>
      <c r="AK65" s="22" t="str">
        <f t="shared" si="1"/>
        <v>Amazonas_05 Luya_18 San Jerónimo</v>
      </c>
      <c r="AL65" s="25">
        <v>1</v>
      </c>
      <c r="AM65" s="25">
        <v>58</v>
      </c>
      <c r="AN65" s="26">
        <f>Tabla2[[#This Row],[Minutos]]/60</f>
        <v>0.96666666666666667</v>
      </c>
      <c r="AO65" s="27">
        <f>SUM(Tabla2[[#This Row],[Horas]],Tabla2[[#This Row],[Minutos a Horas]])</f>
        <v>1.9666666666666668</v>
      </c>
      <c r="AP65" s="49">
        <v>2</v>
      </c>
      <c r="AQ65" s="49"/>
      <c r="AR65" s="26">
        <f>Tabla2[[#This Row],[Minutos*]]/60</f>
        <v>0</v>
      </c>
      <c r="AS65" s="27">
        <f>SUM(Tabla2[[#This Row],[Horas*]],Tabla2[[#This Row],[Minutos a Horas*]])+(Tabla2[[#This Row],[Tiempo Total a Nivel Proncincial (Horas)]])</f>
        <v>3.9666666666666668</v>
      </c>
      <c r="AV65" s="62"/>
    </row>
    <row r="66" spans="2:48" ht="42.75" customHeight="1" x14ac:dyDescent="0.25">
      <c r="B66" s="78" t="s">
        <v>2314</v>
      </c>
      <c r="C66" s="199" t="s">
        <v>4</v>
      </c>
      <c r="D66" s="143" t="s">
        <v>2490</v>
      </c>
      <c r="E66" s="143"/>
      <c r="F66" s="143" t="str">
        <f>CONCATENATE(Tabla1[[#This Row],[Simbología]],"_",Tabla1[[#This Row],[Acción]])</f>
        <v>AAA_Supervisión de instalaciones y medios de transporte (CL, GLP, GNV, GNC,GNL y OPDH)</v>
      </c>
      <c r="G66" s="143" t="s">
        <v>12</v>
      </c>
      <c r="H66" s="143" t="s">
        <v>2489</v>
      </c>
      <c r="I66" s="142" t="s">
        <v>2559</v>
      </c>
      <c r="J66" s="206" t="str">
        <f>CONCATENATE(Tabla1[[#This Row],[Simbología1]],"_",Tabla1[[#This Row],[Acción Especifica]])</f>
        <v>KIN_3_Atención de Solicitudes de Informe Técnico Favorable</v>
      </c>
      <c r="K66" s="207" t="s">
        <v>2585</v>
      </c>
      <c r="L66" s="143" t="s">
        <v>5</v>
      </c>
      <c r="M66" s="143" t="s">
        <v>9</v>
      </c>
      <c r="N66" s="146" t="str">
        <f>CONCATENATE(Tabla1[[#This Row],[Simbología**]],"_",Tabla1[[#This Row],[Sub Acción Especifica]])</f>
        <v>KKIN_20_Instalación</v>
      </c>
      <c r="O66" s="144" t="s">
        <v>2642</v>
      </c>
      <c r="P66" s="143" t="s">
        <v>2364</v>
      </c>
      <c r="Q66" s="146" t="str">
        <f>CONCATENATE(Tabla1[[#This Row],[Simbología*]],"_",Tabla1[[#This Row],[Tipo de instalación relacionado]])</f>
        <v>KKKIN_22_Establecimientos de Venta al Público (Líquidos o GLP)</v>
      </c>
      <c r="R66" s="148">
        <v>4</v>
      </c>
      <c r="S66" s="148">
        <v>5</v>
      </c>
      <c r="T66" s="149">
        <f>IFERROR(AVERAGE(Tabla1[[#This Row],[T. Mínimo]],Tabla1[[#This Row],[T. Máximo]]),0)</f>
        <v>4.5</v>
      </c>
      <c r="U66" s="150">
        <v>1</v>
      </c>
      <c r="V66" s="150">
        <v>2</v>
      </c>
      <c r="W66" s="149">
        <f>IFERROR(AVERAGE(Tabla1[[#This Row],[T. Mínimo*]],Tabla1[[#This Row],[T. Máximo*]]),0)</f>
        <v>1.5</v>
      </c>
      <c r="X66" s="150">
        <v>3</v>
      </c>
      <c r="Y66" s="150">
        <v>4</v>
      </c>
      <c r="Z66" s="149">
        <f>IFERROR(AVERAGE(Tabla1[[#This Row],[T. Mínimo**]],Tabla1[[#This Row],[T. Máximo**]]),0)</f>
        <v>3.5</v>
      </c>
      <c r="AA66" s="151">
        <f>SUM(Tabla1[[#This Row],[Promedio]],Tabla1[[#This Row],[Promedio*]],Tabla1[[#This Row],[Promedio**]])</f>
        <v>9.5</v>
      </c>
      <c r="AB66" s="152" t="s">
        <v>2491</v>
      </c>
      <c r="AD66" s="20" t="s">
        <v>2378</v>
      </c>
      <c r="AE66" s="10" t="s">
        <v>156</v>
      </c>
      <c r="AF66" s="20" t="s">
        <v>70</v>
      </c>
      <c r="AG66" s="10"/>
      <c r="AH66" s="22" t="str">
        <f t="shared" si="0"/>
        <v>Amazonas_05 Luya</v>
      </c>
      <c r="AI66" s="10" t="s">
        <v>160</v>
      </c>
      <c r="AJ66" s="20" t="s">
        <v>131</v>
      </c>
      <c r="AK66" s="22" t="str">
        <f t="shared" si="1"/>
        <v>Amazonas_05 Luya_19 San Juan de Lopecancha</v>
      </c>
      <c r="AL66" s="25">
        <v>1</v>
      </c>
      <c r="AM66" s="25">
        <v>58</v>
      </c>
      <c r="AN66" s="26">
        <f>Tabla2[[#This Row],[Minutos]]/60</f>
        <v>0.96666666666666667</v>
      </c>
      <c r="AO66" s="27">
        <f>SUM(Tabla2[[#This Row],[Horas]],Tabla2[[#This Row],[Minutos a Horas]])</f>
        <v>1.9666666666666668</v>
      </c>
      <c r="AP66" s="49">
        <v>2</v>
      </c>
      <c r="AQ66" s="49"/>
      <c r="AR66" s="26">
        <f>Tabla2[[#This Row],[Minutos*]]/60</f>
        <v>0</v>
      </c>
      <c r="AS66" s="27">
        <f>SUM(Tabla2[[#This Row],[Horas*]],Tabla2[[#This Row],[Minutos a Horas*]])+(Tabla2[[#This Row],[Tiempo Total a Nivel Proncincial (Horas)]])</f>
        <v>3.9666666666666668</v>
      </c>
      <c r="AV66" s="62"/>
    </row>
    <row r="67" spans="2:48" ht="38.25" x14ac:dyDescent="0.25">
      <c r="B67" s="78" t="s">
        <v>2314</v>
      </c>
      <c r="C67" s="199" t="s">
        <v>4</v>
      </c>
      <c r="D67" s="143" t="s">
        <v>2490</v>
      </c>
      <c r="E67" s="143"/>
      <c r="F67" s="143" t="str">
        <f>CONCATENATE(Tabla1[[#This Row],[Simbología]],"_",Tabla1[[#This Row],[Acción]])</f>
        <v>AAA_Supervisión de instalaciones y medios de transporte (CL, GLP, GNV, GNC,GNL y OPDH)</v>
      </c>
      <c r="G67" s="143" t="s">
        <v>12</v>
      </c>
      <c r="H67" s="143" t="s">
        <v>2489</v>
      </c>
      <c r="I67" s="142" t="s">
        <v>2499</v>
      </c>
      <c r="J67" s="206" t="str">
        <f>CONCATENATE(Tabla1[[#This Row],[Simbología1]],"_",Tabla1[[#This Row],[Acción Especifica]])</f>
        <v>KIN_3_Atención de Solicitudes de Informe Técnico Favorable</v>
      </c>
      <c r="K67" s="207" t="s">
        <v>2585</v>
      </c>
      <c r="L67" s="143" t="s">
        <v>5</v>
      </c>
      <c r="M67" s="143"/>
      <c r="N67" s="146" t="str">
        <f>CONCATENATE(Tabla1[[#This Row],[Simbología**]],"_",Tabla1[[#This Row],[Sub Acción Especifica]])</f>
        <v>KKIN_20_Instalación</v>
      </c>
      <c r="O67" s="144" t="s">
        <v>2642</v>
      </c>
      <c r="P67" s="143" t="s">
        <v>8</v>
      </c>
      <c r="Q67" s="146" t="str">
        <f>CONCATENATE(Tabla1[[#This Row],[Simbología*]],"_",Tabla1[[#This Row],[Tipo de instalación relacionado]])</f>
        <v>KKKIN_22_Consumidores Directos de CL y/u OPDH</v>
      </c>
      <c r="R67" s="148">
        <v>8</v>
      </c>
      <c r="S67" s="148">
        <v>10</v>
      </c>
      <c r="T67" s="149">
        <f>IFERROR(AVERAGE(Tabla1[[#This Row],[T. Mínimo]],Tabla1[[#This Row],[T. Máximo]]),0)</f>
        <v>9</v>
      </c>
      <c r="U67" s="150">
        <v>2</v>
      </c>
      <c r="V67" s="150">
        <v>4</v>
      </c>
      <c r="W67" s="149">
        <f>IFERROR(AVERAGE(Tabla1[[#This Row],[T. Mínimo*]],Tabla1[[#This Row],[T. Máximo*]]),0)</f>
        <v>3</v>
      </c>
      <c r="X67" s="150">
        <v>6</v>
      </c>
      <c r="Y67" s="150">
        <v>8</v>
      </c>
      <c r="Z67" s="149">
        <f>IFERROR(AVERAGE(Tabla1[[#This Row],[T. Mínimo**]],Tabla1[[#This Row],[T. Máximo**]]),0)</f>
        <v>7</v>
      </c>
      <c r="AA67" s="151">
        <f>SUM(Tabla1[[#This Row],[Promedio]],Tabla1[[#This Row],[Promedio*]],Tabla1[[#This Row],[Promedio**]])</f>
        <v>19</v>
      </c>
      <c r="AB67" s="152" t="s">
        <v>2491</v>
      </c>
      <c r="AD67" s="20" t="s">
        <v>2378</v>
      </c>
      <c r="AE67" s="10" t="s">
        <v>156</v>
      </c>
      <c r="AF67" s="20" t="s">
        <v>70</v>
      </c>
      <c r="AG67" s="10"/>
      <c r="AH67" s="22" t="str">
        <f t="shared" si="0"/>
        <v>Amazonas_05 Luya</v>
      </c>
      <c r="AI67" s="10" t="s">
        <v>160</v>
      </c>
      <c r="AJ67" s="20" t="s">
        <v>132</v>
      </c>
      <c r="AK67" s="22" t="str">
        <f t="shared" si="1"/>
        <v>Amazonas_05 Luya_20 Santa Catalina</v>
      </c>
      <c r="AL67" s="25">
        <v>1</v>
      </c>
      <c r="AM67" s="25">
        <v>58</v>
      </c>
      <c r="AN67" s="26">
        <f>Tabla2[[#This Row],[Minutos]]/60</f>
        <v>0.96666666666666667</v>
      </c>
      <c r="AO67" s="27">
        <f>SUM(Tabla2[[#This Row],[Horas]],Tabla2[[#This Row],[Minutos a Horas]])</f>
        <v>1.9666666666666668</v>
      </c>
      <c r="AP67" s="49">
        <v>1</v>
      </c>
      <c r="AQ67" s="49">
        <v>50</v>
      </c>
      <c r="AR67" s="26">
        <f>Tabla2[[#This Row],[Minutos*]]/60</f>
        <v>0.83333333333333337</v>
      </c>
      <c r="AS67" s="27">
        <f>SUM(Tabla2[[#This Row],[Horas*]],Tabla2[[#This Row],[Minutos a Horas*]])+(Tabla2[[#This Row],[Tiempo Total a Nivel Proncincial (Horas)]])</f>
        <v>3.8000000000000003</v>
      </c>
      <c r="AV67" s="62"/>
    </row>
    <row r="68" spans="2:48" ht="38.25" x14ac:dyDescent="0.25">
      <c r="B68" s="78" t="s">
        <v>2314</v>
      </c>
      <c r="C68" s="199" t="s">
        <v>4</v>
      </c>
      <c r="D68" s="143" t="s">
        <v>2490</v>
      </c>
      <c r="E68" s="143"/>
      <c r="F68" s="143" t="str">
        <f>CONCATENATE(Tabla1[[#This Row],[Simbología]],"_",Tabla1[[#This Row],[Acción]])</f>
        <v>AAA_Supervisión de instalaciones y medios de transporte (CL, GLP, GNV, GNC,GNL y OPDH)</v>
      </c>
      <c r="G68" s="143" t="s">
        <v>12</v>
      </c>
      <c r="H68" s="143" t="s">
        <v>2489</v>
      </c>
      <c r="I68" s="142" t="s">
        <v>2473</v>
      </c>
      <c r="J68" s="206" t="str">
        <f>CONCATENATE(Tabla1[[#This Row],[Simbología1]],"_",Tabla1[[#This Row],[Acción Especifica]])</f>
        <v>KIN_3_Atención de Solicitudes de Informe Técnico Favorable</v>
      </c>
      <c r="K68" s="207" t="s">
        <v>2585</v>
      </c>
      <c r="L68" s="143" t="s">
        <v>9</v>
      </c>
      <c r="M68" s="153"/>
      <c r="N68" s="146" t="str">
        <f>CONCATENATE(Tabla1[[#This Row],[Simbología**]],"_",Tabla1[[#This Row],[Sub Acción Especifica]])</f>
        <v>KKIN_20_Modificación de instalación</v>
      </c>
      <c r="O68" s="144" t="s">
        <v>2643</v>
      </c>
      <c r="P68" s="143" t="s">
        <v>8</v>
      </c>
      <c r="Q68" s="146" t="str">
        <f>CONCATENATE(Tabla1[[#This Row],[Simbología*]],"_",Tabla1[[#This Row],[Tipo de instalación relacionado]])</f>
        <v>KKKIN_23_Consumidores Directos de CL y/u OPDH</v>
      </c>
      <c r="R68" s="148">
        <v>5</v>
      </c>
      <c r="S68" s="148">
        <v>6</v>
      </c>
      <c r="T68" s="149">
        <f>IFERROR(AVERAGE(Tabla1[[#This Row],[T. Mínimo]],Tabla1[[#This Row],[T. Máximo]]),0)</f>
        <v>5.5</v>
      </c>
      <c r="U68" s="150">
        <v>1.5</v>
      </c>
      <c r="V68" s="150">
        <v>2.5</v>
      </c>
      <c r="W68" s="149">
        <f>IFERROR(AVERAGE(Tabla1[[#This Row],[T. Mínimo*]],Tabla1[[#This Row],[T. Máximo*]]),0)</f>
        <v>2</v>
      </c>
      <c r="X68" s="150">
        <v>3</v>
      </c>
      <c r="Y68" s="150">
        <v>4</v>
      </c>
      <c r="Z68" s="149">
        <f>IFERROR(AVERAGE(Tabla1[[#This Row],[T. Mínimo**]],Tabla1[[#This Row],[T. Máximo**]]),0)</f>
        <v>3.5</v>
      </c>
      <c r="AA68" s="151">
        <f>SUM(Tabla1[[#This Row],[Promedio]],Tabla1[[#This Row],[Promedio*]],Tabla1[[#This Row],[Promedio**]])</f>
        <v>11</v>
      </c>
      <c r="AB68" s="152" t="s">
        <v>2491</v>
      </c>
      <c r="AD68" s="20" t="s">
        <v>2378</v>
      </c>
      <c r="AE68" s="10" t="s">
        <v>156</v>
      </c>
      <c r="AF68" s="20" t="s">
        <v>70</v>
      </c>
      <c r="AG68" s="10"/>
      <c r="AH68" s="22" t="str">
        <f t="shared" si="0"/>
        <v>Amazonas_05 Luya</v>
      </c>
      <c r="AI68" s="10" t="s">
        <v>160</v>
      </c>
      <c r="AJ68" s="20" t="s">
        <v>133</v>
      </c>
      <c r="AK68" s="22" t="str">
        <f t="shared" si="1"/>
        <v>Amazonas_05 Luya_21 Santo Tomas</v>
      </c>
      <c r="AL68" s="25">
        <v>1</v>
      </c>
      <c r="AM68" s="25">
        <v>58</v>
      </c>
      <c r="AN68" s="26">
        <f>Tabla2[[#This Row],[Minutos]]/60</f>
        <v>0.96666666666666667</v>
      </c>
      <c r="AO68" s="27">
        <f>SUM(Tabla2[[#This Row],[Horas]],Tabla2[[#This Row],[Minutos a Horas]])</f>
        <v>1.9666666666666668</v>
      </c>
      <c r="AP68" s="49">
        <v>3</v>
      </c>
      <c r="AQ68" s="49"/>
      <c r="AR68" s="26">
        <f>Tabla2[[#This Row],[Minutos*]]/60</f>
        <v>0</v>
      </c>
      <c r="AS68" s="27">
        <f>SUM(Tabla2[[#This Row],[Horas*]],Tabla2[[#This Row],[Minutos a Horas*]])+(Tabla2[[#This Row],[Tiempo Total a Nivel Proncincial (Horas)]])</f>
        <v>4.9666666666666668</v>
      </c>
      <c r="AV68" s="62"/>
    </row>
    <row r="69" spans="2:48" ht="41.25" customHeight="1" x14ac:dyDescent="0.25">
      <c r="B69" s="78" t="s">
        <v>2314</v>
      </c>
      <c r="C69" s="199" t="s">
        <v>4</v>
      </c>
      <c r="D69" s="143" t="s">
        <v>2490</v>
      </c>
      <c r="E69" s="143"/>
      <c r="F69" s="143" t="str">
        <f>CONCATENATE(Tabla1[[#This Row],[Simbología]],"_",Tabla1[[#This Row],[Acción]])</f>
        <v>AAA_Supervisión de instalaciones y medios de transporte (CL, GLP, GNV, GNC,GNL y OPDH)</v>
      </c>
      <c r="G69" s="143" t="s">
        <v>12</v>
      </c>
      <c r="H69" s="143" t="s">
        <v>2489</v>
      </c>
      <c r="I69" s="142" t="s">
        <v>2474</v>
      </c>
      <c r="J69" s="206" t="str">
        <f>CONCATENATE(Tabla1[[#This Row],[Simbología1]],"_",Tabla1[[#This Row],[Acción Especifica]])</f>
        <v>KIN_3_Atención de Solicitudes de Informe Técnico Favorable</v>
      </c>
      <c r="K69" s="207" t="s">
        <v>2585</v>
      </c>
      <c r="L69" s="143" t="s">
        <v>9</v>
      </c>
      <c r="M69" s="143"/>
      <c r="N69" s="146" t="str">
        <f>CONCATENATE(Tabla1[[#This Row],[Simbología**]],"_",Tabla1[[#This Row],[Sub Acción Especifica]])</f>
        <v>KKIN_20_Modificación de instalación</v>
      </c>
      <c r="O69" s="144" t="s">
        <v>2643</v>
      </c>
      <c r="P69" s="143" t="s">
        <v>2364</v>
      </c>
      <c r="Q69" s="146" t="str">
        <f>CONCATENATE(Tabla1[[#This Row],[Simbología*]],"_",Tabla1[[#This Row],[Tipo de instalación relacionado]])</f>
        <v>KKKIN_23_Establecimientos de Venta al Público (Líquidos o GLP)</v>
      </c>
      <c r="R69" s="148">
        <v>5</v>
      </c>
      <c r="S69" s="148">
        <v>6</v>
      </c>
      <c r="T69" s="149">
        <f>IFERROR(AVERAGE(Tabla1[[#This Row],[T. Mínimo]],Tabla1[[#This Row],[T. Máximo]]),0)</f>
        <v>5.5</v>
      </c>
      <c r="U69" s="150">
        <v>2</v>
      </c>
      <c r="V69" s="150">
        <v>3</v>
      </c>
      <c r="W69" s="149">
        <f>IFERROR(AVERAGE(Tabla1[[#This Row],[T. Mínimo*]],Tabla1[[#This Row],[T. Máximo*]]),0)</f>
        <v>2.5</v>
      </c>
      <c r="X69" s="150">
        <v>3</v>
      </c>
      <c r="Y69" s="150">
        <v>4</v>
      </c>
      <c r="Z69" s="149">
        <f>IFERROR(AVERAGE(Tabla1[[#This Row],[T. Mínimo**]],Tabla1[[#This Row],[T. Máximo**]]),0)</f>
        <v>3.5</v>
      </c>
      <c r="AA69" s="151">
        <f>SUM(Tabla1[[#This Row],[Promedio]],Tabla1[[#This Row],[Promedio*]],Tabla1[[#This Row],[Promedio**]])</f>
        <v>11.5</v>
      </c>
      <c r="AB69" s="152" t="s">
        <v>2491</v>
      </c>
      <c r="AD69" s="20" t="s">
        <v>2378</v>
      </c>
      <c r="AE69" s="10" t="s">
        <v>156</v>
      </c>
      <c r="AF69" s="20" t="s">
        <v>70</v>
      </c>
      <c r="AG69" s="10"/>
      <c r="AH69" s="22" t="str">
        <f t="shared" si="0"/>
        <v>Amazonas_05 Luya</v>
      </c>
      <c r="AI69" s="10" t="s">
        <v>160</v>
      </c>
      <c r="AJ69" s="20" t="s">
        <v>134</v>
      </c>
      <c r="AK69" s="22" t="str">
        <f t="shared" si="1"/>
        <v>Amazonas_05 Luya_22 Tingo</v>
      </c>
      <c r="AL69" s="25">
        <v>1</v>
      </c>
      <c r="AM69" s="25">
        <v>58</v>
      </c>
      <c r="AN69" s="26">
        <f>Tabla2[[#This Row],[Minutos]]/60</f>
        <v>0.96666666666666667</v>
      </c>
      <c r="AO69" s="27">
        <f>SUM(Tabla2[[#This Row],[Horas]],Tabla2[[#This Row],[Minutos a Horas]])</f>
        <v>1.9666666666666668</v>
      </c>
      <c r="AP69" s="49">
        <v>1</v>
      </c>
      <c r="AQ69" s="49">
        <v>30</v>
      </c>
      <c r="AR69" s="26">
        <f>Tabla2[[#This Row],[Minutos*]]/60</f>
        <v>0.5</v>
      </c>
      <c r="AS69" s="27">
        <f>SUM(Tabla2[[#This Row],[Horas*]],Tabla2[[#This Row],[Minutos a Horas*]])+(Tabla2[[#This Row],[Tiempo Total a Nivel Proncincial (Horas)]])</f>
        <v>3.4666666666666668</v>
      </c>
      <c r="AV69" s="62"/>
    </row>
    <row r="70" spans="2:48" ht="38.25" x14ac:dyDescent="0.25">
      <c r="B70" s="78" t="s">
        <v>2314</v>
      </c>
      <c r="C70" s="199" t="s">
        <v>4</v>
      </c>
      <c r="D70" s="143" t="s">
        <v>2490</v>
      </c>
      <c r="E70" s="143"/>
      <c r="F70" s="143" t="str">
        <f>CONCATENATE(Tabla1[[#This Row],[Simbología]],"_",Tabla1[[#This Row],[Acción]])</f>
        <v>AAA_Supervisión de instalaciones y medios de transporte (CL, GLP, GNV, GNC,GNL y OPDH)</v>
      </c>
      <c r="G70" s="143" t="s">
        <v>12</v>
      </c>
      <c r="H70" s="143" t="s">
        <v>2489</v>
      </c>
      <c r="I70" s="142" t="s">
        <v>2475</v>
      </c>
      <c r="J70" s="206" t="str">
        <f>CONCATENATE(Tabla1[[#This Row],[Simbología1]],"_",Tabla1[[#This Row],[Acción Especifica]])</f>
        <v>KIN_3_Atención de Solicitudes de Informe Técnico Favorable</v>
      </c>
      <c r="K70" s="207" t="s">
        <v>2585</v>
      </c>
      <c r="L70" s="143" t="s">
        <v>9</v>
      </c>
      <c r="M70" s="143"/>
      <c r="N70" s="146" t="str">
        <f>CONCATENATE(Tabla1[[#This Row],[Simbología**]],"_",Tabla1[[#This Row],[Sub Acción Especifica]])</f>
        <v>KKIN_20_Modificación de instalación</v>
      </c>
      <c r="O70" s="144" t="s">
        <v>2643</v>
      </c>
      <c r="P70" s="143" t="s">
        <v>2365</v>
      </c>
      <c r="Q70" s="146" t="str">
        <f>CONCATENATE(Tabla1[[#This Row],[Simbología*]],"_",Tabla1[[#This Row],[Tipo de instalación relacionado]])</f>
        <v>KKKIN_23_Establecimientos de Venta al Público (Líquidos y GLP)</v>
      </c>
      <c r="R70" s="148">
        <v>10</v>
      </c>
      <c r="S70" s="148">
        <v>12</v>
      </c>
      <c r="T70" s="149">
        <f>IFERROR(AVERAGE(Tabla1[[#This Row],[T. Mínimo]],Tabla1[[#This Row],[T. Máximo]]),0)</f>
        <v>11</v>
      </c>
      <c r="U70" s="150">
        <v>4</v>
      </c>
      <c r="V70" s="150">
        <v>6</v>
      </c>
      <c r="W70" s="149">
        <f>IFERROR(AVERAGE(Tabla1[[#This Row],[T. Mínimo*]],Tabla1[[#This Row],[T. Máximo*]]),0)</f>
        <v>5</v>
      </c>
      <c r="X70" s="150">
        <v>6</v>
      </c>
      <c r="Y70" s="150">
        <v>8</v>
      </c>
      <c r="Z70" s="149">
        <f>IFERROR(AVERAGE(Tabla1[[#This Row],[T. Mínimo**]],Tabla1[[#This Row],[T. Máximo**]]),0)</f>
        <v>7</v>
      </c>
      <c r="AA70" s="151">
        <f>SUM(Tabla1[[#This Row],[Promedio]],Tabla1[[#This Row],[Promedio*]],Tabla1[[#This Row],[Promedio**]])</f>
        <v>23</v>
      </c>
      <c r="AB70" s="152" t="s">
        <v>2491</v>
      </c>
      <c r="AD70" s="20" t="s">
        <v>2378</v>
      </c>
      <c r="AE70" s="10" t="s">
        <v>156</v>
      </c>
      <c r="AF70" s="20" t="s">
        <v>70</v>
      </c>
      <c r="AG70" s="10"/>
      <c r="AH70" s="22" t="str">
        <f t="shared" si="0"/>
        <v>Amazonas_05 Luya</v>
      </c>
      <c r="AI70" s="10" t="s">
        <v>160</v>
      </c>
      <c r="AJ70" s="20" t="s">
        <v>135</v>
      </c>
      <c r="AK70" s="22" t="str">
        <f t="shared" si="1"/>
        <v>Amazonas_05 Luya_23 Trita</v>
      </c>
      <c r="AL70" s="25">
        <v>1</v>
      </c>
      <c r="AM70" s="25">
        <v>58</v>
      </c>
      <c r="AN70" s="26">
        <f>Tabla2[[#This Row],[Minutos]]/60</f>
        <v>0.96666666666666667</v>
      </c>
      <c r="AO70" s="27">
        <f>SUM(Tabla2[[#This Row],[Horas]],Tabla2[[#This Row],[Minutos a Horas]])</f>
        <v>1.9666666666666668</v>
      </c>
      <c r="AP70" s="49">
        <v>2</v>
      </c>
      <c r="AQ70" s="49">
        <v>30</v>
      </c>
      <c r="AR70" s="26">
        <f>Tabla2[[#This Row],[Minutos*]]/60</f>
        <v>0.5</v>
      </c>
      <c r="AS70" s="27">
        <f>SUM(Tabla2[[#This Row],[Horas*]],Tabla2[[#This Row],[Minutos a Horas*]])+(Tabla2[[#This Row],[Tiempo Total a Nivel Proncincial (Horas)]])</f>
        <v>4.4666666666666668</v>
      </c>
      <c r="AV70" s="62"/>
    </row>
    <row r="71" spans="2:48" ht="38.25" x14ac:dyDescent="0.25">
      <c r="B71" s="78" t="s">
        <v>2314</v>
      </c>
      <c r="C71" s="199" t="s">
        <v>4</v>
      </c>
      <c r="D71" s="143" t="s">
        <v>2490</v>
      </c>
      <c r="E71" s="143"/>
      <c r="F71" s="143" t="str">
        <f>CONCATENATE(Tabla1[[#This Row],[Simbología]],"_",Tabla1[[#This Row],[Acción]])</f>
        <v>AAA_Supervisión de instalaciones y medios de transporte (CL, GLP, GNV, GNC,GNL y OPDH)</v>
      </c>
      <c r="G71" s="143" t="s">
        <v>12</v>
      </c>
      <c r="H71" s="142" t="s">
        <v>2545</v>
      </c>
      <c r="I71" s="142" t="s">
        <v>2509</v>
      </c>
      <c r="J71" s="206" t="str">
        <f>CONCATENATE(Tabla1[[#This Row],[Simbología1]],"_",Tabla1[[#This Row],[Acción Especifica]])</f>
        <v>KIN_3_Atención solicitudes de certificado de supervisión de diseño, fin de construcción y funcionamiento (GNV, GNC. GNL)</v>
      </c>
      <c r="K71" s="206" t="s">
        <v>2593</v>
      </c>
      <c r="L71" s="143" t="s">
        <v>2492</v>
      </c>
      <c r="M71" s="143" t="s">
        <v>2492</v>
      </c>
      <c r="N71" s="146" t="str">
        <f>CONCATENATE(Tabla1[[#This Row],[Simbología**]],"_",Tabla1[[#This Row],[Sub Acción Especifica]])</f>
        <v>KKIN_21_Certificado de Supervisión de Diseño</v>
      </c>
      <c r="O71" s="144" t="s">
        <v>2644</v>
      </c>
      <c r="P71" s="143" t="s">
        <v>2366</v>
      </c>
      <c r="Q71" s="146" t="str">
        <f>CONCATENATE(Tabla1[[#This Row],[Simbología*]],"_",Tabla1[[#This Row],[Tipo de instalación relacionado]])</f>
        <v>KKKIN_24_Establecimientos (GNV o GNC o GNL)</v>
      </c>
      <c r="R71" s="148">
        <v>4</v>
      </c>
      <c r="S71" s="148">
        <v>5</v>
      </c>
      <c r="T71" s="149">
        <f>IFERROR(AVERAGE(Tabla1[[#This Row],[T. Mínimo]],Tabla1[[#This Row],[T. Máximo]]),0)</f>
        <v>4.5</v>
      </c>
      <c r="U71" s="150">
        <v>1</v>
      </c>
      <c r="V71" s="150">
        <v>2</v>
      </c>
      <c r="W71" s="149">
        <f>IFERROR(AVERAGE(Tabla1[[#This Row],[T. Mínimo*]],Tabla1[[#This Row],[T. Máximo*]]),0)</f>
        <v>1.5</v>
      </c>
      <c r="X71" s="150">
        <v>3</v>
      </c>
      <c r="Y71" s="150">
        <v>4</v>
      </c>
      <c r="Z71" s="149">
        <f>IFERROR(AVERAGE(Tabla1[[#This Row],[T. Mínimo**]],Tabla1[[#This Row],[T. Máximo**]]),0)</f>
        <v>3.5</v>
      </c>
      <c r="AA71" s="151">
        <f>SUM(Tabla1[[#This Row],[Promedio]],Tabla1[[#This Row],[Promedio*]],Tabla1[[#This Row],[Promedio**]])</f>
        <v>9.5</v>
      </c>
      <c r="AB71" s="152" t="s">
        <v>2491</v>
      </c>
      <c r="AD71" s="20" t="s">
        <v>2378</v>
      </c>
      <c r="AE71" s="10" t="s">
        <v>156</v>
      </c>
      <c r="AF71" s="20" t="s">
        <v>71</v>
      </c>
      <c r="AG71" s="10"/>
      <c r="AH71" s="22" t="str">
        <f t="shared" ref="AH71:AH134" si="2">CONCATENATE(AD71,"_",AF71)</f>
        <v>Amazonas_06 Rodríguez de Mendoza</v>
      </c>
      <c r="AI71" s="10" t="s">
        <v>161</v>
      </c>
      <c r="AJ71" s="20" t="s">
        <v>136</v>
      </c>
      <c r="AK71" s="22" t="str">
        <f t="shared" ref="AK71:AK134" si="3">CONCATENATE(AH71,"_",AJ71)</f>
        <v>Amazonas_06 Rodríguez de Mendoza_01 San Nicolás</v>
      </c>
      <c r="AL71" s="25">
        <v>1</v>
      </c>
      <c r="AM71" s="25">
        <v>47</v>
      </c>
      <c r="AN71" s="26">
        <f>Tabla2[[#This Row],[Minutos]]/60</f>
        <v>0.78333333333333333</v>
      </c>
      <c r="AO71" s="27">
        <f>SUM(Tabla2[[#This Row],[Horas]],Tabla2[[#This Row],[Minutos a Horas]])</f>
        <v>1.7833333333333332</v>
      </c>
      <c r="AP71" s="49">
        <v>3</v>
      </c>
      <c r="AQ71" s="49">
        <v>30</v>
      </c>
      <c r="AR71" s="26">
        <f>Tabla2[[#This Row],[Minutos*]]/60</f>
        <v>0.5</v>
      </c>
      <c r="AS71" s="27">
        <f>SUM(Tabla2[[#This Row],[Horas*]],Tabla2[[#This Row],[Minutos a Horas*]])+(Tabla2[[#This Row],[Tiempo Total a Nivel Proncincial (Horas)]])</f>
        <v>5.2833333333333332</v>
      </c>
      <c r="AV71" s="62"/>
    </row>
    <row r="72" spans="2:48" ht="38.25" x14ac:dyDescent="0.25">
      <c r="B72" s="78" t="s">
        <v>2314</v>
      </c>
      <c r="C72" s="199" t="s">
        <v>4</v>
      </c>
      <c r="D72" s="143" t="s">
        <v>2490</v>
      </c>
      <c r="E72" s="143"/>
      <c r="F72" s="143" t="str">
        <f>CONCATENATE(Tabla1[[#This Row],[Simbología]],"_",Tabla1[[#This Row],[Acción]])</f>
        <v>AAA_Supervisión de instalaciones y medios de transporte (CL, GLP, GNV, GNC,GNL y OPDH)</v>
      </c>
      <c r="G72" s="143" t="s">
        <v>12</v>
      </c>
      <c r="H72" s="142" t="s">
        <v>2545</v>
      </c>
      <c r="I72" s="142" t="s">
        <v>2476</v>
      </c>
      <c r="J72" s="206" t="str">
        <f>CONCATENATE(Tabla1[[#This Row],[Simbología1]],"_",Tabla1[[#This Row],[Acción Especifica]])</f>
        <v>KIN_3_Atención solicitudes de certificado de supervisión de diseño, fin de construcción y funcionamiento (GNV, GNC. GNL)</v>
      </c>
      <c r="K72" s="206" t="s">
        <v>2593</v>
      </c>
      <c r="L72" s="143" t="s">
        <v>2493</v>
      </c>
      <c r="M72" s="143" t="s">
        <v>2493</v>
      </c>
      <c r="N72" s="146" t="str">
        <f>CONCATENATE(Tabla1[[#This Row],[Simbología**]],"_",Tabla1[[#This Row],[Sub Acción Especifica]])</f>
        <v>KKIN_21_Certificado de Fin de Construcción</v>
      </c>
      <c r="O72" s="144" t="s">
        <v>2645</v>
      </c>
      <c r="P72" s="143" t="s">
        <v>2366</v>
      </c>
      <c r="Q72" s="146" t="str">
        <f>CONCATENATE(Tabla1[[#This Row],[Simbología*]],"_",Tabla1[[#This Row],[Tipo de instalación relacionado]])</f>
        <v>KKKIN_25_Establecimientos (GNV o GNC o GNL)</v>
      </c>
      <c r="R72" s="148">
        <v>5</v>
      </c>
      <c r="S72" s="148">
        <v>6</v>
      </c>
      <c r="T72" s="149">
        <f>IFERROR(AVERAGE(Tabla1[[#This Row],[T. Mínimo]],Tabla1[[#This Row],[T. Máximo]]),0)</f>
        <v>5.5</v>
      </c>
      <c r="U72" s="150">
        <v>2</v>
      </c>
      <c r="V72" s="150">
        <v>3</v>
      </c>
      <c r="W72" s="149">
        <f>IFERROR(AVERAGE(Tabla1[[#This Row],[T. Mínimo*]],Tabla1[[#This Row],[T. Máximo*]]),0)</f>
        <v>2.5</v>
      </c>
      <c r="X72" s="150">
        <v>3</v>
      </c>
      <c r="Y72" s="150">
        <v>4</v>
      </c>
      <c r="Z72" s="149">
        <f>IFERROR(AVERAGE(Tabla1[[#This Row],[T. Mínimo**]],Tabla1[[#This Row],[T. Máximo**]]),0)</f>
        <v>3.5</v>
      </c>
      <c r="AA72" s="151">
        <f>SUM(Tabla1[[#This Row],[Promedio]],Tabla1[[#This Row],[Promedio*]],Tabla1[[#This Row],[Promedio**]])</f>
        <v>11.5</v>
      </c>
      <c r="AB72" s="152" t="s">
        <v>2491</v>
      </c>
      <c r="AD72" s="20" t="s">
        <v>2378</v>
      </c>
      <c r="AE72" s="10" t="s">
        <v>156</v>
      </c>
      <c r="AF72" s="20" t="s">
        <v>71</v>
      </c>
      <c r="AG72" s="10"/>
      <c r="AH72" s="22" t="str">
        <f t="shared" si="2"/>
        <v>Amazonas_06 Rodríguez de Mendoza</v>
      </c>
      <c r="AI72" s="10" t="s">
        <v>161</v>
      </c>
      <c r="AJ72" s="20" t="s">
        <v>137</v>
      </c>
      <c r="AK72" s="22" t="str">
        <f t="shared" si="3"/>
        <v>Amazonas_06 Rodríguez de Mendoza_02 Chirimoto</v>
      </c>
      <c r="AL72" s="25">
        <v>1</v>
      </c>
      <c r="AM72" s="25">
        <v>47</v>
      </c>
      <c r="AN72" s="26">
        <f>Tabla2[[#This Row],[Minutos]]/60</f>
        <v>0.78333333333333333</v>
      </c>
      <c r="AO72" s="27">
        <f>SUM(Tabla2[[#This Row],[Horas]],Tabla2[[#This Row],[Minutos a Horas]])</f>
        <v>1.7833333333333332</v>
      </c>
      <c r="AP72" s="49">
        <v>4</v>
      </c>
      <c r="AQ72" s="49"/>
      <c r="AR72" s="26">
        <f>Tabla2[[#This Row],[Minutos*]]/60</f>
        <v>0</v>
      </c>
      <c r="AS72" s="27">
        <f>SUM(Tabla2[[#This Row],[Horas*]],Tabla2[[#This Row],[Minutos a Horas*]])+(Tabla2[[#This Row],[Tiempo Total a Nivel Proncincial (Horas)]])</f>
        <v>5.7833333333333332</v>
      </c>
      <c r="AV72" s="62"/>
    </row>
    <row r="73" spans="2:48" ht="38.25" x14ac:dyDescent="0.25">
      <c r="B73" s="78" t="s">
        <v>2314</v>
      </c>
      <c r="C73" s="199" t="s">
        <v>4</v>
      </c>
      <c r="D73" s="143" t="s">
        <v>2490</v>
      </c>
      <c r="E73" s="143"/>
      <c r="F73" s="143" t="str">
        <f>CONCATENATE(Tabla1[[#This Row],[Simbología]],"_",Tabla1[[#This Row],[Acción]])</f>
        <v>AAA_Supervisión de instalaciones y medios de transporte (CL, GLP, GNV, GNC,GNL y OPDH)</v>
      </c>
      <c r="G73" s="143" t="s">
        <v>12</v>
      </c>
      <c r="H73" s="142" t="s">
        <v>2545</v>
      </c>
      <c r="I73" s="142" t="s">
        <v>2512</v>
      </c>
      <c r="J73" s="206" t="str">
        <f>CONCATENATE(Tabla1[[#This Row],[Simbología1]],"_",Tabla1[[#This Row],[Acción Especifica]])</f>
        <v>KIN_3_Atención solicitudes de certificado de supervisión de diseño, fin de construcción y funcionamiento (GNV, GNC. GNL)</v>
      </c>
      <c r="K73" s="206" t="s">
        <v>2593</v>
      </c>
      <c r="L73" s="143" t="s">
        <v>2496</v>
      </c>
      <c r="M73" s="143" t="s">
        <v>2496</v>
      </c>
      <c r="N73" s="146" t="str">
        <f>CONCATENATE(Tabla1[[#This Row],[Simbología**]],"_",Tabla1[[#This Row],[Sub Acción Especifica]])</f>
        <v>KKIN_21_Certificado de Supervisión de Diseño de  Modificación</v>
      </c>
      <c r="O73" s="144" t="s">
        <v>2646</v>
      </c>
      <c r="P73" s="143" t="s">
        <v>2366</v>
      </c>
      <c r="Q73" s="146" t="str">
        <f>CONCATENATE(Tabla1[[#This Row],[Simbología*]],"_",Tabla1[[#This Row],[Tipo de instalación relacionado]])</f>
        <v>KKKIN_26_Establecimientos (GNV o GNC o GNL)</v>
      </c>
      <c r="R73" s="148">
        <v>4</v>
      </c>
      <c r="S73" s="148">
        <v>5</v>
      </c>
      <c r="T73" s="149">
        <f>IFERROR(AVERAGE(Tabla1[[#This Row],[T. Mínimo]],Tabla1[[#This Row],[T. Máximo]]),0)</f>
        <v>4.5</v>
      </c>
      <c r="U73" s="150">
        <v>1</v>
      </c>
      <c r="V73" s="150">
        <v>2</v>
      </c>
      <c r="W73" s="149">
        <f>IFERROR(AVERAGE(Tabla1[[#This Row],[T. Mínimo*]],Tabla1[[#This Row],[T. Máximo*]]),0)</f>
        <v>1.5</v>
      </c>
      <c r="X73" s="150">
        <v>3</v>
      </c>
      <c r="Y73" s="150">
        <v>4</v>
      </c>
      <c r="Z73" s="149">
        <f>IFERROR(AVERAGE(Tabla1[[#This Row],[T. Mínimo**]],Tabla1[[#This Row],[T. Máximo**]]),0)</f>
        <v>3.5</v>
      </c>
      <c r="AA73" s="151">
        <f>SUM(Tabla1[[#This Row],[Promedio]],Tabla1[[#This Row],[Promedio*]],Tabla1[[#This Row],[Promedio**]])</f>
        <v>9.5</v>
      </c>
      <c r="AB73" s="152" t="s">
        <v>2491</v>
      </c>
      <c r="AD73" s="20" t="s">
        <v>2378</v>
      </c>
      <c r="AE73" s="10" t="s">
        <v>156</v>
      </c>
      <c r="AF73" s="20" t="s">
        <v>71</v>
      </c>
      <c r="AG73" s="10"/>
      <c r="AH73" s="22" t="str">
        <f t="shared" si="2"/>
        <v>Amazonas_06 Rodríguez de Mendoza</v>
      </c>
      <c r="AI73" s="10" t="s">
        <v>161</v>
      </c>
      <c r="AJ73" s="20" t="s">
        <v>138</v>
      </c>
      <c r="AK73" s="22" t="str">
        <f t="shared" si="3"/>
        <v>Amazonas_06 Rodríguez de Mendoza_03 Cochamal</v>
      </c>
      <c r="AL73" s="25">
        <v>1</v>
      </c>
      <c r="AM73" s="25">
        <v>47</v>
      </c>
      <c r="AN73" s="26">
        <f>Tabla2[[#This Row],[Minutos]]/60</f>
        <v>0.78333333333333333</v>
      </c>
      <c r="AO73" s="27">
        <f>SUM(Tabla2[[#This Row],[Horas]],Tabla2[[#This Row],[Minutos a Horas]])</f>
        <v>1.7833333333333332</v>
      </c>
      <c r="AP73" s="49">
        <v>3</v>
      </c>
      <c r="AQ73" s="49">
        <v>40</v>
      </c>
      <c r="AR73" s="26">
        <f>Tabla2[[#This Row],[Minutos*]]/60</f>
        <v>0.66666666666666663</v>
      </c>
      <c r="AS73" s="27">
        <f>SUM(Tabla2[[#This Row],[Horas*]],Tabla2[[#This Row],[Minutos a Horas*]])+(Tabla2[[#This Row],[Tiempo Total a Nivel Proncincial (Horas)]])</f>
        <v>5.4499999999999993</v>
      </c>
      <c r="AV73" s="62"/>
    </row>
    <row r="74" spans="2:48" ht="38.25" x14ac:dyDescent="0.25">
      <c r="B74" s="78" t="s">
        <v>2314</v>
      </c>
      <c r="C74" s="199" t="s">
        <v>4</v>
      </c>
      <c r="D74" s="143" t="s">
        <v>2490</v>
      </c>
      <c r="E74" s="143"/>
      <c r="F74" s="143" t="str">
        <f>CONCATENATE(Tabla1[[#This Row],[Simbología]],"_",Tabla1[[#This Row],[Acción]])</f>
        <v>AAA_Supervisión de instalaciones y medios de transporte (CL, GLP, GNV, GNC,GNL y OPDH)</v>
      </c>
      <c r="G74" s="143" t="s">
        <v>12</v>
      </c>
      <c r="H74" s="142" t="s">
        <v>2545</v>
      </c>
      <c r="I74" s="142" t="s">
        <v>2513</v>
      </c>
      <c r="J74" s="206" t="str">
        <f>CONCATENATE(Tabla1[[#This Row],[Simbología1]],"_",Tabla1[[#This Row],[Acción Especifica]])</f>
        <v>KIN_3_Atención solicitudes de certificado de supervisión de diseño, fin de construcción y funcionamiento (GNV, GNC. GNL)</v>
      </c>
      <c r="K74" s="206" t="s">
        <v>2593</v>
      </c>
      <c r="L74" s="143" t="s">
        <v>2494</v>
      </c>
      <c r="M74" s="143" t="s">
        <v>2494</v>
      </c>
      <c r="N74" s="146" t="str">
        <f>CONCATENATE(Tabla1[[#This Row],[Simbología**]],"_",Tabla1[[#This Row],[Sub Acción Especifica]])</f>
        <v>KKIN_21_Certificado de Supervisión de Funcionamiento</v>
      </c>
      <c r="O74" s="144" t="s">
        <v>2647</v>
      </c>
      <c r="P74" s="143" t="s">
        <v>2368</v>
      </c>
      <c r="Q74" s="146" t="str">
        <f>CONCATENATE(Tabla1[[#This Row],[Simbología*]],"_",Tabla1[[#This Row],[Tipo de instalación relacionado]])</f>
        <v>KKKIN_27_Medios de Transporte (GNC o GNL)</v>
      </c>
      <c r="R74" s="148">
        <v>3</v>
      </c>
      <c r="S74" s="148">
        <v>5</v>
      </c>
      <c r="T74" s="149">
        <f>IFERROR(AVERAGE(Tabla1[[#This Row],[T. Mínimo]],Tabla1[[#This Row],[T. Máximo]]),0)</f>
        <v>4</v>
      </c>
      <c r="U74" s="150">
        <v>2</v>
      </c>
      <c r="V74" s="150">
        <v>3</v>
      </c>
      <c r="W74" s="149">
        <f>IFERROR(AVERAGE(Tabla1[[#This Row],[T. Mínimo*]],Tabla1[[#This Row],[T. Máximo*]]),0)</f>
        <v>2.5</v>
      </c>
      <c r="X74" s="150">
        <v>3</v>
      </c>
      <c r="Y74" s="150">
        <v>5</v>
      </c>
      <c r="Z74" s="149">
        <f>IFERROR(AVERAGE(Tabla1[[#This Row],[T. Mínimo**]],Tabla1[[#This Row],[T. Máximo**]]),0)</f>
        <v>4</v>
      </c>
      <c r="AA74" s="151">
        <f>SUM(Tabla1[[#This Row],[Promedio]],Tabla1[[#This Row],[Promedio*]],Tabla1[[#This Row],[Promedio**]])</f>
        <v>10.5</v>
      </c>
      <c r="AB74" s="152" t="s">
        <v>2491</v>
      </c>
      <c r="AD74" s="20" t="s">
        <v>2378</v>
      </c>
      <c r="AE74" s="10" t="s">
        <v>156</v>
      </c>
      <c r="AF74" s="20" t="s">
        <v>71</v>
      </c>
      <c r="AG74" s="10"/>
      <c r="AH74" s="22" t="str">
        <f t="shared" si="2"/>
        <v>Amazonas_06 Rodríguez de Mendoza</v>
      </c>
      <c r="AI74" s="10" t="s">
        <v>161</v>
      </c>
      <c r="AJ74" s="20" t="s">
        <v>139</v>
      </c>
      <c r="AK74" s="22" t="str">
        <f t="shared" si="3"/>
        <v>Amazonas_06 Rodríguez de Mendoza_04 Huambo</v>
      </c>
      <c r="AL74" s="25">
        <v>1</v>
      </c>
      <c r="AM74" s="25">
        <v>47</v>
      </c>
      <c r="AN74" s="26">
        <f>Tabla2[[#This Row],[Minutos]]/60</f>
        <v>0.78333333333333333</v>
      </c>
      <c r="AO74" s="27">
        <f>SUM(Tabla2[[#This Row],[Horas]],Tabla2[[#This Row],[Minutos a Horas]])</f>
        <v>1.7833333333333332</v>
      </c>
      <c r="AP74" s="49">
        <v>3</v>
      </c>
      <c r="AQ74" s="49">
        <v>20</v>
      </c>
      <c r="AR74" s="26">
        <f>Tabla2[[#This Row],[Minutos*]]/60</f>
        <v>0.33333333333333331</v>
      </c>
      <c r="AS74" s="27">
        <f>SUM(Tabla2[[#This Row],[Horas*]],Tabla2[[#This Row],[Minutos a Horas*]])+(Tabla2[[#This Row],[Tiempo Total a Nivel Proncincial (Horas)]])</f>
        <v>5.1166666666666671</v>
      </c>
      <c r="AV74" s="62"/>
    </row>
    <row r="75" spans="2:48" ht="38.25" x14ac:dyDescent="0.25">
      <c r="B75" s="78" t="s">
        <v>2314</v>
      </c>
      <c r="C75" s="199" t="s">
        <v>4</v>
      </c>
      <c r="D75" s="143" t="s">
        <v>2490</v>
      </c>
      <c r="E75" s="143"/>
      <c r="F75" s="143" t="str">
        <f>CONCATENATE(Tabla1[[#This Row],[Simbología]],"_",Tabla1[[#This Row],[Acción]])</f>
        <v>AAA_Supervisión de instalaciones y medios de transporte (CL, GLP, GNV, GNC,GNL y OPDH)</v>
      </c>
      <c r="G75" s="143" t="s">
        <v>12</v>
      </c>
      <c r="H75" s="142" t="s">
        <v>2545</v>
      </c>
      <c r="I75" s="142" t="s">
        <v>2516</v>
      </c>
      <c r="J75" s="206" t="str">
        <f>CONCATENATE(Tabla1[[#This Row],[Simbología1]],"_",Tabla1[[#This Row],[Acción Especifica]])</f>
        <v>KIN_3_Atención solicitudes de certificado de supervisión de diseño, fin de construcción y funcionamiento (GNV, GNC. GNL)</v>
      </c>
      <c r="K75" s="206" t="s">
        <v>2593</v>
      </c>
      <c r="L75" s="143" t="s">
        <v>2494</v>
      </c>
      <c r="M75" s="143" t="s">
        <v>2495</v>
      </c>
      <c r="N75" s="146" t="str">
        <f>CONCATENATE(Tabla1[[#This Row],[Simbología**]],"_",Tabla1[[#This Row],[Sub Acción Especifica]])</f>
        <v>KKIN_21_Certificado de Supervisión de Funcionamiento</v>
      </c>
      <c r="O75" s="144" t="s">
        <v>2647</v>
      </c>
      <c r="P75" s="143" t="s">
        <v>2418</v>
      </c>
      <c r="Q75" s="146" t="str">
        <f>CONCATENATE(Tabla1[[#This Row],[Simbología*]],"_",Tabla1[[#This Row],[Tipo de instalación relacionado]])</f>
        <v>KKKIN_27_Consumidores Directos de GNC</v>
      </c>
      <c r="R75" s="148">
        <v>3</v>
      </c>
      <c r="S75" s="148">
        <v>5</v>
      </c>
      <c r="T75" s="149">
        <f>IFERROR(AVERAGE(Tabla1[[#This Row],[T. Mínimo]],Tabla1[[#This Row],[T. Máximo]]),0)</f>
        <v>4</v>
      </c>
      <c r="U75" s="150">
        <v>2</v>
      </c>
      <c r="V75" s="150">
        <v>3</v>
      </c>
      <c r="W75" s="149">
        <f>IFERROR(AVERAGE(Tabla1[[#This Row],[T. Mínimo*]],Tabla1[[#This Row],[T. Máximo*]]),0)</f>
        <v>2.5</v>
      </c>
      <c r="X75" s="150">
        <v>3</v>
      </c>
      <c r="Y75" s="150">
        <v>5</v>
      </c>
      <c r="Z75" s="149">
        <f>IFERROR(AVERAGE(Tabla1[[#This Row],[T. Mínimo**]],Tabla1[[#This Row],[T. Máximo**]]),0)</f>
        <v>4</v>
      </c>
      <c r="AA75" s="151">
        <f>SUM(Tabla1[[#This Row],[Promedio]],Tabla1[[#This Row],[Promedio*]],Tabla1[[#This Row],[Promedio**]])</f>
        <v>10.5</v>
      </c>
      <c r="AB75" s="152" t="s">
        <v>2491</v>
      </c>
      <c r="AD75" s="20" t="s">
        <v>2378</v>
      </c>
      <c r="AE75" s="10" t="s">
        <v>156</v>
      </c>
      <c r="AF75" s="20" t="s">
        <v>71</v>
      </c>
      <c r="AG75" s="10"/>
      <c r="AH75" s="22" t="str">
        <f t="shared" si="2"/>
        <v>Amazonas_06 Rodríguez de Mendoza</v>
      </c>
      <c r="AI75" s="10" t="s">
        <v>161</v>
      </c>
      <c r="AJ75" s="20" t="s">
        <v>140</v>
      </c>
      <c r="AK75" s="22" t="str">
        <f t="shared" si="3"/>
        <v>Amazonas_06 Rodríguez de Mendoza_05 Limabamba</v>
      </c>
      <c r="AL75" s="25">
        <v>1</v>
      </c>
      <c r="AM75" s="25">
        <v>47</v>
      </c>
      <c r="AN75" s="26">
        <f>Tabla2[[#This Row],[Minutos]]/60</f>
        <v>0.78333333333333333</v>
      </c>
      <c r="AO75" s="27">
        <f>SUM(Tabla2[[#This Row],[Horas]],Tabla2[[#This Row],[Minutos a Horas]])</f>
        <v>1.7833333333333332</v>
      </c>
      <c r="AP75" s="49">
        <v>4</v>
      </c>
      <c r="AQ75" s="49">
        <v>20</v>
      </c>
      <c r="AR75" s="26">
        <f>Tabla2[[#This Row],[Minutos*]]/60</f>
        <v>0.33333333333333331</v>
      </c>
      <c r="AS75" s="27">
        <f>SUM(Tabla2[[#This Row],[Horas*]],Tabla2[[#This Row],[Minutos a Horas*]])+(Tabla2[[#This Row],[Tiempo Total a Nivel Proncincial (Horas)]])</f>
        <v>6.1166666666666663</v>
      </c>
      <c r="AV75" s="62"/>
    </row>
    <row r="76" spans="2:48" ht="38.25" x14ac:dyDescent="0.25">
      <c r="B76" s="78" t="s">
        <v>2314</v>
      </c>
      <c r="C76" s="199" t="s">
        <v>4</v>
      </c>
      <c r="D76" s="143" t="s">
        <v>2490</v>
      </c>
      <c r="E76" s="143"/>
      <c r="F76" s="143" t="str">
        <f>CONCATENATE(Tabla1[[#This Row],[Simbología]],"_",Tabla1[[#This Row],[Acción]])</f>
        <v>AAA_Supervisión de instalaciones y medios de transporte (CL, GLP, GNV, GNC,GNL y OPDH)</v>
      </c>
      <c r="G76" s="143" t="s">
        <v>12</v>
      </c>
      <c r="H76" s="142" t="s">
        <v>2545</v>
      </c>
      <c r="I76" s="142" t="s">
        <v>2517</v>
      </c>
      <c r="J76" s="206" t="str">
        <f>CONCATENATE(Tabla1[[#This Row],[Simbología1]],"_",Tabla1[[#This Row],[Acción Especifica]])</f>
        <v>KIN_3_Atención solicitudes de certificado de supervisión de diseño, fin de construcción y funcionamiento (GNV, GNC. GNL)</v>
      </c>
      <c r="K76" s="206" t="s">
        <v>2593</v>
      </c>
      <c r="L76" s="143" t="s">
        <v>2495</v>
      </c>
      <c r="M76" s="153"/>
      <c r="N76" s="146" t="str">
        <f>CONCATENATE(Tabla1[[#This Row],[Simbología**]],"_",Tabla1[[#This Row],[Sub Acción Especifica]])</f>
        <v>KKIN_21_Certicado de Supervisión de Modificación de Funcionamiento</v>
      </c>
      <c r="O76" s="144" t="s">
        <v>2648</v>
      </c>
      <c r="P76" s="143" t="s">
        <v>2368</v>
      </c>
      <c r="Q76" s="146" t="str">
        <f>CONCATENATE(Tabla1[[#This Row],[Simbología*]],"_",Tabla1[[#This Row],[Tipo de instalación relacionado]])</f>
        <v>KKKIN_28_Medios de Transporte (GNC o GNL)</v>
      </c>
      <c r="R76" s="148">
        <v>3</v>
      </c>
      <c r="S76" s="148">
        <v>5</v>
      </c>
      <c r="T76" s="149">
        <f>IFERROR(AVERAGE(Tabla1[[#This Row],[T. Mínimo]],Tabla1[[#This Row],[T. Máximo]]),0)</f>
        <v>4</v>
      </c>
      <c r="U76" s="150">
        <v>2</v>
      </c>
      <c r="V76" s="150">
        <v>3</v>
      </c>
      <c r="W76" s="149">
        <f>IFERROR(AVERAGE(Tabla1[[#This Row],[T. Mínimo*]],Tabla1[[#This Row],[T. Máximo*]]),0)</f>
        <v>2.5</v>
      </c>
      <c r="X76" s="150">
        <v>3</v>
      </c>
      <c r="Y76" s="150">
        <v>5</v>
      </c>
      <c r="Z76" s="149">
        <f>IFERROR(AVERAGE(Tabla1[[#This Row],[T. Mínimo**]],Tabla1[[#This Row],[T. Máximo**]]),0)</f>
        <v>4</v>
      </c>
      <c r="AA76" s="151">
        <f>SUM(Tabla1[[#This Row],[Promedio]],Tabla1[[#This Row],[Promedio*]],Tabla1[[#This Row],[Promedio**]])</f>
        <v>10.5</v>
      </c>
      <c r="AB76" s="152" t="s">
        <v>2491</v>
      </c>
      <c r="AD76" s="20" t="s">
        <v>2378</v>
      </c>
      <c r="AE76" s="10" t="s">
        <v>156</v>
      </c>
      <c r="AF76" s="20" t="s">
        <v>71</v>
      </c>
      <c r="AG76" s="10"/>
      <c r="AH76" s="22" t="str">
        <f t="shared" si="2"/>
        <v>Amazonas_06 Rodríguez de Mendoza</v>
      </c>
      <c r="AI76" s="10" t="s">
        <v>161</v>
      </c>
      <c r="AJ76" s="20" t="s">
        <v>141</v>
      </c>
      <c r="AK76" s="22" t="str">
        <f t="shared" si="3"/>
        <v>Amazonas_06 Rodríguez de Mendoza_06 Longar</v>
      </c>
      <c r="AL76" s="25">
        <v>1</v>
      </c>
      <c r="AM76" s="25">
        <v>47</v>
      </c>
      <c r="AN76" s="26">
        <f>Tabla2[[#This Row],[Minutos]]/60</f>
        <v>0.78333333333333333</v>
      </c>
      <c r="AO76" s="27">
        <f>SUM(Tabla2[[#This Row],[Horas]],Tabla2[[#This Row],[Minutos a Horas]])</f>
        <v>1.7833333333333332</v>
      </c>
      <c r="AP76" s="49">
        <v>2</v>
      </c>
      <c r="AQ76" s="49"/>
      <c r="AR76" s="26">
        <f>Tabla2[[#This Row],[Minutos*]]/60</f>
        <v>0</v>
      </c>
      <c r="AS76" s="27">
        <f>SUM(Tabla2[[#This Row],[Horas*]],Tabla2[[#This Row],[Minutos a Horas*]])+(Tabla2[[#This Row],[Tiempo Total a Nivel Proncincial (Horas)]])</f>
        <v>3.7833333333333332</v>
      </c>
      <c r="AV76" s="62"/>
    </row>
    <row r="77" spans="2:48" ht="38.25" x14ac:dyDescent="0.25">
      <c r="B77" s="78" t="s">
        <v>2314</v>
      </c>
      <c r="C77" s="199" t="s">
        <v>4</v>
      </c>
      <c r="D77" s="143" t="s">
        <v>2490</v>
      </c>
      <c r="E77" s="143"/>
      <c r="F77" s="143" t="str">
        <f>CONCATENATE(Tabla1[[#This Row],[Simbología]],"_",Tabla1[[#This Row],[Acción]])</f>
        <v>AAA_Supervisión de instalaciones y medios de transporte (CL, GLP, GNV, GNC,GNL y OPDH)</v>
      </c>
      <c r="G77" s="143" t="s">
        <v>12</v>
      </c>
      <c r="H77" s="142" t="s">
        <v>2546</v>
      </c>
      <c r="I77" s="142" t="s">
        <v>2477</v>
      </c>
      <c r="J77" s="206" t="str">
        <f>CONCATENATE(Tabla1[[#This Row],[Simbología1]],"_",Tabla1[[#This Row],[Acción Especifica]])</f>
        <v>KIN_3_Actas de verificación de pruebas y de conformidad</v>
      </c>
      <c r="K77" s="206" t="s">
        <v>2594</v>
      </c>
      <c r="L77" s="143" t="s">
        <v>17</v>
      </c>
      <c r="M77" s="143" t="s">
        <v>17</v>
      </c>
      <c r="N77" s="146" t="str">
        <f>CONCATENATE(Tabla1[[#This Row],[Simbología**]],"_",Tabla1[[#This Row],[Sub Acción Especifica]])</f>
        <v>KKIN_22_VPH Tuberías</v>
      </c>
      <c r="O77" s="144" t="s">
        <v>2639</v>
      </c>
      <c r="P77" s="143" t="s">
        <v>2365</v>
      </c>
      <c r="Q77" s="146" t="str">
        <f>CONCATENATE(Tabla1[[#This Row],[Simbología*]],"_",Tabla1[[#This Row],[Tipo de instalación relacionado]])</f>
        <v>KKKIN_29_Establecimientos de Venta al Público (Líquidos y GLP)</v>
      </c>
      <c r="R77" s="148">
        <v>4</v>
      </c>
      <c r="S77" s="148">
        <v>5</v>
      </c>
      <c r="T77" s="149">
        <f>IFERROR(AVERAGE(Tabla1[[#This Row],[T. Mínimo]],Tabla1[[#This Row],[T. Máximo]]),0)</f>
        <v>4.5</v>
      </c>
      <c r="U77" s="150">
        <v>4</v>
      </c>
      <c r="V77" s="150">
        <v>6</v>
      </c>
      <c r="W77" s="149">
        <f>IFERROR(AVERAGE(Tabla1[[#This Row],[T. Mínimo*]],Tabla1[[#This Row],[T. Máximo*]]),0)</f>
        <v>5</v>
      </c>
      <c r="X77" s="150">
        <v>3</v>
      </c>
      <c r="Y77" s="150">
        <v>4</v>
      </c>
      <c r="Z77" s="149">
        <f>IFERROR(AVERAGE(Tabla1[[#This Row],[T. Mínimo**]],Tabla1[[#This Row],[T. Máximo**]]),0)</f>
        <v>3.5</v>
      </c>
      <c r="AA77" s="151">
        <f>SUM(Tabla1[[#This Row],[Promedio]],Tabla1[[#This Row],[Promedio*]],Tabla1[[#This Row],[Promedio**]])</f>
        <v>13</v>
      </c>
      <c r="AB77" s="152" t="s">
        <v>2491</v>
      </c>
      <c r="AD77" s="20" t="s">
        <v>2378</v>
      </c>
      <c r="AE77" s="10" t="s">
        <v>156</v>
      </c>
      <c r="AF77" s="20" t="s">
        <v>71</v>
      </c>
      <c r="AG77" s="10"/>
      <c r="AH77" s="22" t="str">
        <f t="shared" si="2"/>
        <v>Amazonas_06 Rodríguez de Mendoza</v>
      </c>
      <c r="AI77" s="10" t="s">
        <v>161</v>
      </c>
      <c r="AJ77" s="20" t="s">
        <v>142</v>
      </c>
      <c r="AK77" s="22" t="str">
        <f t="shared" si="3"/>
        <v>Amazonas_06 Rodríguez de Mendoza_07 Mariscal Benavides</v>
      </c>
      <c r="AL77" s="25">
        <v>1</v>
      </c>
      <c r="AM77" s="25">
        <v>47</v>
      </c>
      <c r="AN77" s="26">
        <f>Tabla2[[#This Row],[Minutos]]/60</f>
        <v>0.78333333333333333</v>
      </c>
      <c r="AO77" s="27">
        <f>SUM(Tabla2[[#This Row],[Horas]],Tabla2[[#This Row],[Minutos a Horas]])</f>
        <v>1.7833333333333332</v>
      </c>
      <c r="AP77" s="49">
        <v>2</v>
      </c>
      <c r="AQ77" s="49"/>
      <c r="AR77" s="26">
        <f>Tabla2[[#This Row],[Minutos*]]/60</f>
        <v>0</v>
      </c>
      <c r="AS77" s="27">
        <f>SUM(Tabla2[[#This Row],[Horas*]],Tabla2[[#This Row],[Minutos a Horas*]])+(Tabla2[[#This Row],[Tiempo Total a Nivel Proncincial (Horas)]])</f>
        <v>3.7833333333333332</v>
      </c>
      <c r="AV77" s="62"/>
    </row>
    <row r="78" spans="2:48" ht="38.25" x14ac:dyDescent="0.25">
      <c r="B78" s="78" t="s">
        <v>2314</v>
      </c>
      <c r="C78" s="199" t="s">
        <v>4</v>
      </c>
      <c r="D78" s="143" t="s">
        <v>2490</v>
      </c>
      <c r="E78" s="143"/>
      <c r="F78" s="143" t="str">
        <f>CONCATENATE(Tabla1[[#This Row],[Simbología]],"_",Tabla1[[#This Row],[Acción]])</f>
        <v>AAA_Supervisión de instalaciones y medios de transporte (CL, GLP, GNV, GNC,GNL y OPDH)</v>
      </c>
      <c r="G78" s="143" t="s">
        <v>12</v>
      </c>
      <c r="H78" s="142" t="s">
        <v>2546</v>
      </c>
      <c r="I78" s="142" t="s">
        <v>2526</v>
      </c>
      <c r="J78" s="206" t="str">
        <f>CONCATENATE(Tabla1[[#This Row],[Simbología1]],"_",Tabla1[[#This Row],[Acción Especifica]])</f>
        <v>KIN_3_Actas de verificación de pruebas y de conformidad</v>
      </c>
      <c r="K78" s="206" t="s">
        <v>2594</v>
      </c>
      <c r="L78" s="143" t="s">
        <v>17</v>
      </c>
      <c r="M78" s="143" t="s">
        <v>19</v>
      </c>
      <c r="N78" s="146" t="str">
        <f>CONCATENATE(Tabla1[[#This Row],[Simbología**]],"_",Tabla1[[#This Row],[Sub Acción Especifica]])</f>
        <v>KKIN_22_VPH Tuberías</v>
      </c>
      <c r="O78" s="144" t="s">
        <v>2639</v>
      </c>
      <c r="P78" s="143" t="s">
        <v>2364</v>
      </c>
      <c r="Q78" s="146" t="str">
        <f>CONCATENATE(Tabla1[[#This Row],[Simbología*]],"_",Tabla1[[#This Row],[Tipo de instalación relacionado]])</f>
        <v>KKKIN_29_Establecimientos de Venta al Público (Líquidos o GLP)</v>
      </c>
      <c r="R78" s="148">
        <v>2</v>
      </c>
      <c r="S78" s="148">
        <v>2.5</v>
      </c>
      <c r="T78" s="149">
        <f>IFERROR(AVERAGE(Tabla1[[#This Row],[T. Mínimo]],Tabla1[[#This Row],[T. Máximo]]),0)</f>
        <v>2.25</v>
      </c>
      <c r="U78" s="150">
        <v>2</v>
      </c>
      <c r="V78" s="150">
        <v>3</v>
      </c>
      <c r="W78" s="149">
        <f>IFERROR(AVERAGE(Tabla1[[#This Row],[T. Mínimo*]],Tabla1[[#This Row],[T. Máximo*]]),0)</f>
        <v>2.5</v>
      </c>
      <c r="X78" s="150">
        <v>1.5</v>
      </c>
      <c r="Y78" s="150">
        <v>2</v>
      </c>
      <c r="Z78" s="149">
        <f>IFERROR(AVERAGE(Tabla1[[#This Row],[T. Mínimo**]],Tabla1[[#This Row],[T. Máximo**]]),0)</f>
        <v>1.75</v>
      </c>
      <c r="AA78" s="151">
        <f>SUM(Tabla1[[#This Row],[Promedio]],Tabla1[[#This Row],[Promedio*]],Tabla1[[#This Row],[Promedio**]])</f>
        <v>6.5</v>
      </c>
      <c r="AB78" s="152" t="s">
        <v>2491</v>
      </c>
      <c r="AD78" s="20" t="s">
        <v>2378</v>
      </c>
      <c r="AE78" s="10" t="s">
        <v>156</v>
      </c>
      <c r="AF78" s="20" t="s">
        <v>71</v>
      </c>
      <c r="AG78" s="10"/>
      <c r="AH78" s="22" t="str">
        <f t="shared" si="2"/>
        <v>Amazonas_06 Rodríguez de Mendoza</v>
      </c>
      <c r="AI78" s="10" t="s">
        <v>161</v>
      </c>
      <c r="AJ78" s="20" t="s">
        <v>143</v>
      </c>
      <c r="AK78" s="22" t="str">
        <f t="shared" si="3"/>
        <v>Amazonas_06 Rodríguez de Mendoza_08 Milpuc</v>
      </c>
      <c r="AL78" s="25">
        <v>1</v>
      </c>
      <c r="AM78" s="25">
        <v>47</v>
      </c>
      <c r="AN78" s="26">
        <f>Tabla2[[#This Row],[Minutos]]/60</f>
        <v>0.78333333333333333</v>
      </c>
      <c r="AO78" s="27">
        <f>SUM(Tabla2[[#This Row],[Horas]],Tabla2[[#This Row],[Minutos a Horas]])</f>
        <v>1.7833333333333332</v>
      </c>
      <c r="AP78" s="49">
        <v>2</v>
      </c>
      <c r="AQ78" s="49">
        <v>45</v>
      </c>
      <c r="AR78" s="26">
        <f>Tabla2[[#This Row],[Minutos*]]/60</f>
        <v>0.75</v>
      </c>
      <c r="AS78" s="27">
        <f>SUM(Tabla2[[#This Row],[Horas*]],Tabla2[[#This Row],[Minutos a Horas*]])+(Tabla2[[#This Row],[Tiempo Total a Nivel Proncincial (Horas)]])</f>
        <v>4.5333333333333332</v>
      </c>
      <c r="AV78" s="62"/>
    </row>
    <row r="79" spans="2:48" ht="38.25" x14ac:dyDescent="0.25">
      <c r="B79" s="78" t="s">
        <v>2314</v>
      </c>
      <c r="C79" s="199" t="s">
        <v>4</v>
      </c>
      <c r="D79" s="143" t="s">
        <v>2490</v>
      </c>
      <c r="E79" s="143"/>
      <c r="F79" s="143" t="str">
        <f>CONCATENATE(Tabla1[[#This Row],[Simbología]],"_",Tabla1[[#This Row],[Acción]])</f>
        <v>AAA_Supervisión de instalaciones y medios de transporte (CL, GLP, GNV, GNC,GNL y OPDH)</v>
      </c>
      <c r="G79" s="143" t="s">
        <v>12</v>
      </c>
      <c r="H79" s="142" t="s">
        <v>2546</v>
      </c>
      <c r="I79" s="144"/>
      <c r="J79" s="207" t="str">
        <f>CONCATENATE(Tabla1[[#This Row],[Simbología1]],"_",Tabla1[[#This Row],[Acción Especifica]])</f>
        <v>KIN_3_Actas de verificación de pruebas y de conformidad</v>
      </c>
      <c r="K79" s="206" t="s">
        <v>2594</v>
      </c>
      <c r="L79" s="143" t="s">
        <v>17</v>
      </c>
      <c r="M79" s="143"/>
      <c r="N79" s="146" t="str">
        <f>CONCATENATE(Tabla1[[#This Row],[Simbología**]],"_",Tabla1[[#This Row],[Sub Acción Especifica]])</f>
        <v>KKIN_22_VPH Tuberías</v>
      </c>
      <c r="O79" s="144" t="s">
        <v>2639</v>
      </c>
      <c r="P79" s="143" t="s">
        <v>2366</v>
      </c>
      <c r="Q79" s="146" t="str">
        <f>CONCATENATE(Tabla1[[#This Row],[Simbología*]],"_",Tabla1[[#This Row],[Tipo de instalación relacionado]])</f>
        <v>KKKIN_29_Establecimientos (GNV o GNC o GNL)</v>
      </c>
      <c r="R79" s="148">
        <v>2</v>
      </c>
      <c r="S79" s="148">
        <v>2.5</v>
      </c>
      <c r="T79" s="149">
        <f>IFERROR(AVERAGE(Tabla1[[#This Row],[T. Mínimo]],Tabla1[[#This Row],[T. Máximo]]),0)</f>
        <v>2.25</v>
      </c>
      <c r="U79" s="150">
        <v>2</v>
      </c>
      <c r="V79" s="150">
        <v>3</v>
      </c>
      <c r="W79" s="149">
        <f>IFERROR(AVERAGE(Tabla1[[#This Row],[T. Mínimo*]],Tabla1[[#This Row],[T. Máximo*]]),0)</f>
        <v>2.5</v>
      </c>
      <c r="X79" s="150">
        <v>1.5</v>
      </c>
      <c r="Y79" s="150">
        <v>2</v>
      </c>
      <c r="Z79" s="149">
        <f>IFERROR(AVERAGE(Tabla1[[#This Row],[T. Mínimo**]],Tabla1[[#This Row],[T. Máximo**]]),0)</f>
        <v>1.75</v>
      </c>
      <c r="AA79" s="151">
        <f>SUM(Tabla1[[#This Row],[Promedio]],Tabla1[[#This Row],[Promedio*]],Tabla1[[#This Row],[Promedio**]])</f>
        <v>6.5</v>
      </c>
      <c r="AB79" s="152" t="s">
        <v>2491</v>
      </c>
      <c r="AD79" s="20" t="s">
        <v>2378</v>
      </c>
      <c r="AE79" s="10" t="s">
        <v>156</v>
      </c>
      <c r="AF79" s="20" t="s">
        <v>71</v>
      </c>
      <c r="AG79" s="10"/>
      <c r="AH79" s="22" t="str">
        <f t="shared" si="2"/>
        <v>Amazonas_06 Rodríguez de Mendoza</v>
      </c>
      <c r="AI79" s="10" t="s">
        <v>161</v>
      </c>
      <c r="AJ79" s="20" t="s">
        <v>144</v>
      </c>
      <c r="AK79" s="22" t="str">
        <f t="shared" si="3"/>
        <v>Amazonas_06 Rodríguez de Mendoza_09 Omia</v>
      </c>
      <c r="AL79" s="25">
        <v>1</v>
      </c>
      <c r="AM79" s="25">
        <v>47</v>
      </c>
      <c r="AN79" s="26">
        <f>Tabla2[[#This Row],[Minutos]]/60</f>
        <v>0.78333333333333333</v>
      </c>
      <c r="AO79" s="27">
        <f>SUM(Tabla2[[#This Row],[Horas]],Tabla2[[#This Row],[Minutos a Horas]])</f>
        <v>1.7833333333333332</v>
      </c>
      <c r="AP79" s="49">
        <v>2</v>
      </c>
      <c r="AQ79" s="49">
        <v>20</v>
      </c>
      <c r="AR79" s="26">
        <f>Tabla2[[#This Row],[Minutos*]]/60</f>
        <v>0.33333333333333331</v>
      </c>
      <c r="AS79" s="27">
        <f>SUM(Tabla2[[#This Row],[Horas*]],Tabla2[[#This Row],[Minutos a Horas*]])+(Tabla2[[#This Row],[Tiempo Total a Nivel Proncincial (Horas)]])</f>
        <v>4.1166666666666671</v>
      </c>
      <c r="AV79" s="62"/>
    </row>
    <row r="80" spans="2:48" ht="42.75" customHeight="1" x14ac:dyDescent="0.25">
      <c r="B80" s="78" t="s">
        <v>2314</v>
      </c>
      <c r="C80" s="199" t="s">
        <v>4</v>
      </c>
      <c r="D80" s="143" t="s">
        <v>2490</v>
      </c>
      <c r="E80" s="143"/>
      <c r="F80" s="143" t="str">
        <f>CONCATENATE(Tabla1[[#This Row],[Simbología]],"_",Tabla1[[#This Row],[Acción]])</f>
        <v>AAA_Supervisión de instalaciones y medios de transporte (CL, GLP, GNV, GNC,GNL y OPDH)</v>
      </c>
      <c r="G80" s="143" t="s">
        <v>12</v>
      </c>
      <c r="H80" s="142" t="s">
        <v>2546</v>
      </c>
      <c r="I80" s="144"/>
      <c r="J80" s="207" t="str">
        <f>CONCATENATE(Tabla1[[#This Row],[Simbología1]],"_",Tabla1[[#This Row],[Acción Especifica]])</f>
        <v>KIN_3_Actas de verificación de pruebas y de conformidad</v>
      </c>
      <c r="K80" s="206" t="s">
        <v>2594</v>
      </c>
      <c r="L80" s="143" t="s">
        <v>17</v>
      </c>
      <c r="M80" s="143"/>
      <c r="N80" s="146" t="str">
        <f>CONCATENATE(Tabla1[[#This Row],[Simbología**]],"_",Tabla1[[#This Row],[Sub Acción Especifica]])</f>
        <v>KKIN_22_VPH Tuberías</v>
      </c>
      <c r="O80" s="144" t="s">
        <v>2639</v>
      </c>
      <c r="P80" s="143" t="s">
        <v>18</v>
      </c>
      <c r="Q80" s="146" t="str">
        <f>CONCATENATE(Tabla1[[#This Row],[Simbología*]],"_",Tabla1[[#This Row],[Tipo de instalación relacionado]])</f>
        <v>KKKIN_29_Consumidores Directos de CL y/u OPDHn (idem anterior)</v>
      </c>
      <c r="R80" s="148">
        <v>2</v>
      </c>
      <c r="S80" s="148">
        <v>2.5</v>
      </c>
      <c r="T80" s="149">
        <f>IFERROR(AVERAGE(Tabla1[[#This Row],[T. Mínimo]],Tabla1[[#This Row],[T. Máximo]]),0)</f>
        <v>2.25</v>
      </c>
      <c r="U80" s="150">
        <v>2</v>
      </c>
      <c r="V80" s="150">
        <v>3</v>
      </c>
      <c r="W80" s="149">
        <f>IFERROR(AVERAGE(Tabla1[[#This Row],[T. Mínimo*]],Tabla1[[#This Row],[T. Máximo*]]),0)</f>
        <v>2.5</v>
      </c>
      <c r="X80" s="150">
        <v>1.5</v>
      </c>
      <c r="Y80" s="150">
        <v>2</v>
      </c>
      <c r="Z80" s="149">
        <f>IFERROR(AVERAGE(Tabla1[[#This Row],[T. Mínimo**]],Tabla1[[#This Row],[T. Máximo**]]),0)</f>
        <v>1.75</v>
      </c>
      <c r="AA80" s="151">
        <f>SUM(Tabla1[[#This Row],[Promedio]],Tabla1[[#This Row],[Promedio*]],Tabla1[[#This Row],[Promedio**]])</f>
        <v>6.5</v>
      </c>
      <c r="AB80" s="152" t="s">
        <v>2491</v>
      </c>
      <c r="AD80" s="20" t="s">
        <v>2378</v>
      </c>
      <c r="AE80" s="10" t="s">
        <v>156</v>
      </c>
      <c r="AF80" s="20" t="s">
        <v>71</v>
      </c>
      <c r="AG80" s="10"/>
      <c r="AH80" s="22" t="str">
        <f t="shared" si="2"/>
        <v>Amazonas_06 Rodríguez de Mendoza</v>
      </c>
      <c r="AI80" s="10" t="s">
        <v>161</v>
      </c>
      <c r="AJ80" s="20" t="s">
        <v>145</v>
      </c>
      <c r="AK80" s="22" t="str">
        <f t="shared" si="3"/>
        <v>Amazonas_06 Rodríguez de Mendoza_10 Santa Rosa</v>
      </c>
      <c r="AL80" s="25">
        <v>1</v>
      </c>
      <c r="AM80" s="25">
        <v>47</v>
      </c>
      <c r="AN80" s="26">
        <f>Tabla2[[#This Row],[Minutos]]/60</f>
        <v>0.78333333333333333</v>
      </c>
      <c r="AO80" s="27">
        <f>SUM(Tabla2[[#This Row],[Horas]],Tabla2[[#This Row],[Minutos a Horas]])</f>
        <v>1.7833333333333332</v>
      </c>
      <c r="AP80" s="49">
        <v>3</v>
      </c>
      <c r="AQ80" s="49">
        <v>20</v>
      </c>
      <c r="AR80" s="26">
        <f>Tabla2[[#This Row],[Minutos*]]/60</f>
        <v>0.33333333333333331</v>
      </c>
      <c r="AS80" s="27">
        <f>SUM(Tabla2[[#This Row],[Horas*]],Tabla2[[#This Row],[Minutos a Horas*]])+(Tabla2[[#This Row],[Tiempo Total a Nivel Proncincial (Horas)]])</f>
        <v>5.1166666666666671</v>
      </c>
      <c r="AV80" s="62"/>
    </row>
    <row r="81" spans="2:48" ht="42.75" customHeight="1" x14ac:dyDescent="0.25">
      <c r="B81" s="78" t="s">
        <v>2314</v>
      </c>
      <c r="C81" s="199" t="s">
        <v>4</v>
      </c>
      <c r="D81" s="143" t="s">
        <v>2490</v>
      </c>
      <c r="E81" s="143"/>
      <c r="F81" s="143" t="str">
        <f>CONCATENATE(Tabla1[[#This Row],[Simbología]],"_",Tabla1[[#This Row],[Acción]])</f>
        <v>AAA_Supervisión de instalaciones y medios de transporte (CL, GLP, GNV, GNC,GNL y OPDH)</v>
      </c>
      <c r="G81" s="143" t="s">
        <v>12</v>
      </c>
      <c r="H81" s="142" t="s">
        <v>2546</v>
      </c>
      <c r="I81" s="144"/>
      <c r="J81" s="207" t="str">
        <f>CONCATENATE(Tabla1[[#This Row],[Simbología1]],"_",Tabla1[[#This Row],[Acción Especifica]])</f>
        <v>KIN_3_Actas de verificación de pruebas y de conformidad</v>
      </c>
      <c r="K81" s="206" t="s">
        <v>2594</v>
      </c>
      <c r="L81" s="143" t="s">
        <v>19</v>
      </c>
      <c r="M81" s="153"/>
      <c r="N81" s="146" t="str">
        <f>CONCATENATE(Tabla1[[#This Row],[Simbología**]],"_",Tabla1[[#This Row],[Sub Acción Especifica]])</f>
        <v>KKIN_22_VPH Tanques</v>
      </c>
      <c r="O81" s="144" t="s">
        <v>2649</v>
      </c>
      <c r="P81" s="143" t="s">
        <v>20</v>
      </c>
      <c r="Q81" s="146" t="str">
        <f>CONCATENATE(Tabla1[[#This Row],[Simbología*]],"_",Tabla1[[#This Row],[Tipo de instalación relacionado]])</f>
        <v>KKKIN_30_Establecimientos de Venta al Público (Líquidos)</v>
      </c>
      <c r="R81" s="148">
        <v>2</v>
      </c>
      <c r="S81" s="148">
        <v>3</v>
      </c>
      <c r="T81" s="149">
        <f>IFERROR(AVERAGE(Tabla1[[#This Row],[T. Mínimo]],Tabla1[[#This Row],[T. Máximo]]),0)</f>
        <v>2.5</v>
      </c>
      <c r="U81" s="150">
        <v>2</v>
      </c>
      <c r="V81" s="150">
        <v>5</v>
      </c>
      <c r="W81" s="149">
        <f>IFERROR(AVERAGE(Tabla1[[#This Row],[T. Mínimo*]],Tabla1[[#This Row],[T. Máximo*]]),0)</f>
        <v>3.5</v>
      </c>
      <c r="X81" s="150">
        <v>2</v>
      </c>
      <c r="Y81" s="150">
        <v>5</v>
      </c>
      <c r="Z81" s="149">
        <f>IFERROR(AVERAGE(Tabla1[[#This Row],[T. Mínimo**]],Tabla1[[#This Row],[T. Máximo**]]),0)</f>
        <v>3.5</v>
      </c>
      <c r="AA81" s="151">
        <f>SUM(Tabla1[[#This Row],[Promedio]],Tabla1[[#This Row],[Promedio*]],Tabla1[[#This Row],[Promedio**]])</f>
        <v>9.5</v>
      </c>
      <c r="AB81" s="152" t="s">
        <v>2491</v>
      </c>
      <c r="AD81" s="20" t="s">
        <v>2378</v>
      </c>
      <c r="AE81" s="10" t="s">
        <v>156</v>
      </c>
      <c r="AF81" s="20" t="s">
        <v>71</v>
      </c>
      <c r="AG81" s="10"/>
      <c r="AH81" s="22" t="str">
        <f t="shared" si="2"/>
        <v>Amazonas_06 Rodríguez de Mendoza</v>
      </c>
      <c r="AI81" s="10" t="s">
        <v>161</v>
      </c>
      <c r="AJ81" s="20" t="s">
        <v>146</v>
      </c>
      <c r="AK81" s="22" t="str">
        <f t="shared" si="3"/>
        <v>Amazonas_06 Rodríguez de Mendoza_11 Totora</v>
      </c>
      <c r="AL81" s="25">
        <v>1</v>
      </c>
      <c r="AM81" s="25">
        <v>47</v>
      </c>
      <c r="AN81" s="26">
        <f>Tabla2[[#This Row],[Minutos]]/60</f>
        <v>0.78333333333333333</v>
      </c>
      <c r="AO81" s="27">
        <f>SUM(Tabla2[[#This Row],[Horas]],Tabla2[[#This Row],[Minutos a Horas]])</f>
        <v>1.7833333333333332</v>
      </c>
      <c r="AP81" s="49">
        <v>3</v>
      </c>
      <c r="AQ81" s="49">
        <v>50</v>
      </c>
      <c r="AR81" s="26">
        <f>Tabla2[[#This Row],[Minutos*]]/60</f>
        <v>0.83333333333333337</v>
      </c>
      <c r="AS81" s="27">
        <f>SUM(Tabla2[[#This Row],[Horas*]],Tabla2[[#This Row],[Minutos a Horas*]])+(Tabla2[[#This Row],[Tiempo Total a Nivel Proncincial (Horas)]])</f>
        <v>5.6166666666666671</v>
      </c>
      <c r="AV81" s="62"/>
    </row>
    <row r="82" spans="2:48" ht="42.75" customHeight="1" x14ac:dyDescent="0.25">
      <c r="B82" s="78" t="s">
        <v>2314</v>
      </c>
      <c r="C82" s="199" t="s">
        <v>4</v>
      </c>
      <c r="D82" s="143" t="s">
        <v>2490</v>
      </c>
      <c r="E82" s="143"/>
      <c r="F82" s="143" t="str">
        <f>CONCATENATE(Tabla1[[#This Row],[Simbología]],"_",Tabla1[[#This Row],[Acción]])</f>
        <v>AAA_Supervisión de instalaciones y medios de transporte (CL, GLP, GNV, GNC,GNL y OPDH)</v>
      </c>
      <c r="G82" s="143" t="s">
        <v>12</v>
      </c>
      <c r="H82" s="142" t="s">
        <v>2546</v>
      </c>
      <c r="I82" s="144"/>
      <c r="J82" s="207" t="str">
        <f>CONCATENATE(Tabla1[[#This Row],[Simbología1]],"_",Tabla1[[#This Row],[Acción Especifica]])</f>
        <v>KIN_3_Actas de verificación de pruebas y de conformidad</v>
      </c>
      <c r="K82" s="206" t="s">
        <v>2594</v>
      </c>
      <c r="L82" s="143" t="s">
        <v>19</v>
      </c>
      <c r="M82" s="143"/>
      <c r="N82" s="146" t="str">
        <f>CONCATENATE(Tabla1[[#This Row],[Simbología**]],"_",Tabla1[[#This Row],[Sub Acción Especifica]])</f>
        <v>KKIN_22_VPH Tanques</v>
      </c>
      <c r="O82" s="144" t="s">
        <v>2649</v>
      </c>
      <c r="P82" s="143" t="s">
        <v>8</v>
      </c>
      <c r="Q82" s="146" t="str">
        <f>CONCATENATE(Tabla1[[#This Row],[Simbología*]],"_",Tabla1[[#This Row],[Tipo de instalación relacionado]])</f>
        <v>KKKIN_30_Consumidores Directos de CL y/u OPDH</v>
      </c>
      <c r="R82" s="148">
        <v>2</v>
      </c>
      <c r="S82" s="148">
        <v>3</v>
      </c>
      <c r="T82" s="149">
        <f>IFERROR(AVERAGE(Tabla1[[#This Row],[T. Mínimo]],Tabla1[[#This Row],[T. Máximo]]),0)</f>
        <v>2.5</v>
      </c>
      <c r="U82" s="150">
        <v>2</v>
      </c>
      <c r="V82" s="150">
        <v>5</v>
      </c>
      <c r="W82" s="149">
        <f>IFERROR(AVERAGE(Tabla1[[#This Row],[T. Mínimo*]],Tabla1[[#This Row],[T. Máximo*]]),0)</f>
        <v>3.5</v>
      </c>
      <c r="X82" s="150">
        <v>2</v>
      </c>
      <c r="Y82" s="150">
        <v>5</v>
      </c>
      <c r="Z82" s="149">
        <f>IFERROR(AVERAGE(Tabla1[[#This Row],[T. Mínimo**]],Tabla1[[#This Row],[T. Máximo**]]),0)</f>
        <v>3.5</v>
      </c>
      <c r="AA82" s="151">
        <f>SUM(Tabla1[[#This Row],[Promedio]],Tabla1[[#This Row],[Promedio*]],Tabla1[[#This Row],[Promedio**]])</f>
        <v>9.5</v>
      </c>
      <c r="AB82" s="152" t="s">
        <v>2491</v>
      </c>
      <c r="AD82" s="20" t="s">
        <v>2378</v>
      </c>
      <c r="AE82" s="10" t="s">
        <v>156</v>
      </c>
      <c r="AF82" s="20" t="s">
        <v>71</v>
      </c>
      <c r="AG82" s="10"/>
      <c r="AH82" s="22" t="str">
        <f t="shared" si="2"/>
        <v>Amazonas_06 Rodríguez de Mendoza</v>
      </c>
      <c r="AI82" s="10" t="s">
        <v>161</v>
      </c>
      <c r="AJ82" s="20" t="s">
        <v>147</v>
      </c>
      <c r="AK82" s="22" t="str">
        <f t="shared" si="3"/>
        <v>Amazonas_06 Rodríguez de Mendoza_12 Vista Alegre</v>
      </c>
      <c r="AL82" s="25">
        <v>1</v>
      </c>
      <c r="AM82" s="25">
        <v>47</v>
      </c>
      <c r="AN82" s="26">
        <f>Tabla2[[#This Row],[Minutos]]/60</f>
        <v>0.78333333333333333</v>
      </c>
      <c r="AO82" s="27">
        <f>SUM(Tabla2[[#This Row],[Horas]],Tabla2[[#This Row],[Minutos a Horas]])</f>
        <v>1.7833333333333332</v>
      </c>
      <c r="AP82" s="49">
        <v>6</v>
      </c>
      <c r="AQ82" s="49"/>
      <c r="AR82" s="26">
        <f>Tabla2[[#This Row],[Minutos*]]/60</f>
        <v>0</v>
      </c>
      <c r="AS82" s="27">
        <f>SUM(Tabla2[[#This Row],[Horas*]],Tabla2[[#This Row],[Minutos a Horas*]])+(Tabla2[[#This Row],[Tiempo Total a Nivel Proncincial (Horas)]])</f>
        <v>7.7833333333333332</v>
      </c>
      <c r="AV82" s="62"/>
    </row>
    <row r="83" spans="2:48" ht="42.75" customHeight="1" x14ac:dyDescent="0.25">
      <c r="B83" s="78" t="s">
        <v>2314</v>
      </c>
      <c r="C83" s="199" t="s">
        <v>4</v>
      </c>
      <c r="D83" s="143" t="s">
        <v>2490</v>
      </c>
      <c r="E83" s="143"/>
      <c r="F83" s="143" t="str">
        <f>CONCATENATE(Tabla1[[#This Row],[Simbología]],"_",Tabla1[[#This Row],[Acción]])</f>
        <v>AAA_Supervisión de instalaciones y medios de transporte (CL, GLP, GNV, GNC,GNL y OPDH)</v>
      </c>
      <c r="G83" s="143" t="s">
        <v>12</v>
      </c>
      <c r="H83" s="142" t="s">
        <v>2547</v>
      </c>
      <c r="I83" s="144"/>
      <c r="J83" s="207" t="str">
        <f>CONCATENATE(Tabla1[[#This Row],[Simbología1]],"_",Tabla1[[#This Row],[Acción Especifica]])</f>
        <v>KIN_3_Supervisión de seguridad por criticidad  de instalaciones</v>
      </c>
      <c r="K83" s="207" t="s">
        <v>2595</v>
      </c>
      <c r="L83" s="143" t="s">
        <v>28</v>
      </c>
      <c r="M83" s="143" t="s">
        <v>28</v>
      </c>
      <c r="N83" s="146" t="str">
        <f>CONCATENATE(Tabla1[[#This Row],[Simbología**]],"_",Tabla1[[#This Row],[Sub Acción Especifica]])</f>
        <v>KKIN_23_Criticidad</v>
      </c>
      <c r="O83" s="144" t="s">
        <v>2650</v>
      </c>
      <c r="P83" s="143" t="s">
        <v>2364</v>
      </c>
      <c r="Q83" s="146" t="str">
        <f>CONCATENATE(Tabla1[[#This Row],[Simbología*]],"_",Tabla1[[#This Row],[Tipo de instalación relacionado]])</f>
        <v>KKKIN_31_Establecimientos de Venta al Público (Líquidos o GLP)</v>
      </c>
      <c r="R83" s="148">
        <v>2</v>
      </c>
      <c r="S83" s="148">
        <v>3</v>
      </c>
      <c r="T83" s="149">
        <f>IFERROR(AVERAGE(Tabla1[[#This Row],[T. Mínimo]],Tabla1[[#This Row],[T. Máximo]]),0)</f>
        <v>2.5</v>
      </c>
      <c r="U83" s="150">
        <v>3</v>
      </c>
      <c r="V83" s="150">
        <v>4</v>
      </c>
      <c r="W83" s="149">
        <f>IFERROR(AVERAGE(Tabla1[[#This Row],[T. Mínimo*]],Tabla1[[#This Row],[T. Máximo*]]),0)</f>
        <v>3.5</v>
      </c>
      <c r="X83" s="150">
        <v>1.5</v>
      </c>
      <c r="Y83" s="150">
        <v>2</v>
      </c>
      <c r="Z83" s="149">
        <f>IFERROR(AVERAGE(Tabla1[[#This Row],[T. Mínimo**]],Tabla1[[#This Row],[T. Máximo**]]),0)</f>
        <v>1.75</v>
      </c>
      <c r="AA83" s="151">
        <f>SUM(Tabla1[[#This Row],[Promedio]],Tabla1[[#This Row],[Promedio*]],Tabla1[[#This Row],[Promedio**]])</f>
        <v>7.75</v>
      </c>
      <c r="AB83" s="152" t="s">
        <v>2486</v>
      </c>
      <c r="AD83" s="20" t="s">
        <v>2378</v>
      </c>
      <c r="AE83" s="10" t="s">
        <v>156</v>
      </c>
      <c r="AF83" s="20" t="s">
        <v>72</v>
      </c>
      <c r="AG83" s="10"/>
      <c r="AH83" s="22" t="str">
        <f t="shared" si="2"/>
        <v>Amazonas_07 Utcubamba</v>
      </c>
      <c r="AI83" s="10" t="s">
        <v>162</v>
      </c>
      <c r="AJ83" s="20" t="s">
        <v>148</v>
      </c>
      <c r="AK83" s="22" t="str">
        <f t="shared" si="3"/>
        <v>Amazonas_07 Utcubamba_01 Bagua Grande</v>
      </c>
      <c r="AL83" s="25">
        <v>2</v>
      </c>
      <c r="AM83" s="25">
        <v>12</v>
      </c>
      <c r="AN83" s="26">
        <f>Tabla2[[#This Row],[Minutos]]/60</f>
        <v>0.2</v>
      </c>
      <c r="AO83" s="27">
        <f>SUM(Tabla2[[#This Row],[Horas]],Tabla2[[#This Row],[Minutos a Horas]])</f>
        <v>2.2000000000000002</v>
      </c>
      <c r="AP83" s="49">
        <v>3</v>
      </c>
      <c r="AQ83" s="49">
        <v>30</v>
      </c>
      <c r="AR83" s="26">
        <f>Tabla2[[#This Row],[Minutos*]]/60</f>
        <v>0.5</v>
      </c>
      <c r="AS83" s="27">
        <f>SUM(Tabla2[[#This Row],[Horas*]],Tabla2[[#This Row],[Minutos a Horas*]])+(Tabla2[[#This Row],[Tiempo Total a Nivel Proncincial (Horas)]])</f>
        <v>5.7</v>
      </c>
      <c r="AV83" s="62"/>
    </row>
    <row r="84" spans="2:48" ht="42.75" customHeight="1" x14ac:dyDescent="0.25">
      <c r="B84" s="78" t="s">
        <v>2314</v>
      </c>
      <c r="C84" s="199" t="s">
        <v>4</v>
      </c>
      <c r="D84" s="143" t="s">
        <v>2490</v>
      </c>
      <c r="E84" s="143"/>
      <c r="F84" s="143" t="str">
        <f>CONCATENATE(Tabla1[[#This Row],[Simbología]],"_",Tabla1[[#This Row],[Acción]])</f>
        <v>AAA_Supervisión de instalaciones y medios de transporte (CL, GLP, GNV, GNC,GNL y OPDH)</v>
      </c>
      <c r="G84" s="143" t="s">
        <v>12</v>
      </c>
      <c r="H84" s="142" t="s">
        <v>2547</v>
      </c>
      <c r="I84" s="144"/>
      <c r="J84" s="207" t="str">
        <f>CONCATENATE(Tabla1[[#This Row],[Simbología1]],"_",Tabla1[[#This Row],[Acción Especifica]])</f>
        <v>KIN_3_Supervisión de seguridad por criticidad  de instalaciones</v>
      </c>
      <c r="K84" s="207" t="s">
        <v>2595</v>
      </c>
      <c r="L84" s="143" t="s">
        <v>28</v>
      </c>
      <c r="M84" s="143"/>
      <c r="N84" s="146" t="str">
        <f>CONCATENATE(Tabla1[[#This Row],[Simbología**]],"_",Tabla1[[#This Row],[Sub Acción Especifica]])</f>
        <v>KKIN_23_Criticidad</v>
      </c>
      <c r="O84" s="144" t="s">
        <v>2650</v>
      </c>
      <c r="P84" s="143" t="s">
        <v>2365</v>
      </c>
      <c r="Q84" s="146" t="str">
        <f>CONCATENATE(Tabla1[[#This Row],[Simbología*]],"_",Tabla1[[#This Row],[Tipo de instalación relacionado]])</f>
        <v>KKKIN_31_Establecimientos de Venta al Público (Líquidos y GLP)</v>
      </c>
      <c r="R84" s="148">
        <v>4</v>
      </c>
      <c r="S84" s="148">
        <v>6</v>
      </c>
      <c r="T84" s="149">
        <f>IFERROR(AVERAGE(Tabla1[[#This Row],[T. Mínimo]],Tabla1[[#This Row],[T. Máximo]]),0)</f>
        <v>5</v>
      </c>
      <c r="U84" s="150">
        <v>6</v>
      </c>
      <c r="V84" s="150">
        <v>8</v>
      </c>
      <c r="W84" s="149">
        <f>IFERROR(AVERAGE(Tabla1[[#This Row],[T. Mínimo*]],Tabla1[[#This Row],[T. Máximo*]]),0)</f>
        <v>7</v>
      </c>
      <c r="X84" s="150">
        <v>1.5</v>
      </c>
      <c r="Y84" s="150">
        <v>2</v>
      </c>
      <c r="Z84" s="149">
        <f>IFERROR(AVERAGE(Tabla1[[#This Row],[T. Mínimo**]],Tabla1[[#This Row],[T. Máximo**]]),0)</f>
        <v>1.75</v>
      </c>
      <c r="AA84" s="151">
        <f>SUM(Tabla1[[#This Row],[Promedio]],Tabla1[[#This Row],[Promedio*]],Tabla1[[#This Row],[Promedio**]])</f>
        <v>13.75</v>
      </c>
      <c r="AB84" s="152" t="s">
        <v>2486</v>
      </c>
      <c r="AD84" s="20" t="s">
        <v>2378</v>
      </c>
      <c r="AE84" s="10" t="s">
        <v>156</v>
      </c>
      <c r="AF84" s="20" t="s">
        <v>72</v>
      </c>
      <c r="AG84" s="10"/>
      <c r="AH84" s="22" t="str">
        <f t="shared" si="2"/>
        <v>Amazonas_07 Utcubamba</v>
      </c>
      <c r="AI84" s="10" t="s">
        <v>162</v>
      </c>
      <c r="AJ84" s="20" t="s">
        <v>149</v>
      </c>
      <c r="AK84" s="22" t="str">
        <f t="shared" si="3"/>
        <v>Amazonas_07 Utcubamba_02 Cajaruro</v>
      </c>
      <c r="AL84" s="25">
        <v>2</v>
      </c>
      <c r="AM84" s="25">
        <v>12</v>
      </c>
      <c r="AN84" s="26">
        <f>Tabla2[[#This Row],[Minutos]]/60</f>
        <v>0.2</v>
      </c>
      <c r="AO84" s="27">
        <f>SUM(Tabla2[[#This Row],[Horas]],Tabla2[[#This Row],[Minutos a Horas]])</f>
        <v>2.2000000000000002</v>
      </c>
      <c r="AP84" s="49">
        <v>3</v>
      </c>
      <c r="AQ84" s="49">
        <v>50</v>
      </c>
      <c r="AR84" s="26">
        <f>Tabla2[[#This Row],[Minutos*]]/60</f>
        <v>0.83333333333333337</v>
      </c>
      <c r="AS84" s="27">
        <f>SUM(Tabla2[[#This Row],[Horas*]],Tabla2[[#This Row],[Minutos a Horas*]])+(Tabla2[[#This Row],[Tiempo Total a Nivel Proncincial (Horas)]])</f>
        <v>6.0333333333333332</v>
      </c>
      <c r="AV84" s="62"/>
    </row>
    <row r="85" spans="2:48" ht="42.75" customHeight="1" x14ac:dyDescent="0.25">
      <c r="B85" s="78" t="s">
        <v>2314</v>
      </c>
      <c r="C85" s="199" t="s">
        <v>4</v>
      </c>
      <c r="D85" s="143" t="s">
        <v>2490</v>
      </c>
      <c r="E85" s="143"/>
      <c r="F85" s="143" t="str">
        <f>CONCATENATE(Tabla1[[#This Row],[Simbología]],"_",Tabla1[[#This Row],[Acción]])</f>
        <v>AAA_Supervisión de instalaciones y medios de transporte (CL, GLP, GNV, GNC,GNL y OPDH)</v>
      </c>
      <c r="G85" s="143" t="s">
        <v>12</v>
      </c>
      <c r="H85" s="142" t="s">
        <v>2547</v>
      </c>
      <c r="I85" s="144"/>
      <c r="J85" s="207" t="str">
        <f>CONCATENATE(Tabla1[[#This Row],[Simbología1]],"_",Tabla1[[#This Row],[Acción Especifica]])</f>
        <v>KIN_3_Supervisión de seguridad por criticidad  de instalaciones</v>
      </c>
      <c r="K85" s="207" t="s">
        <v>2595</v>
      </c>
      <c r="L85" s="143" t="s">
        <v>28</v>
      </c>
      <c r="M85" s="153"/>
      <c r="N85" s="146" t="str">
        <f>CONCATENATE(Tabla1[[#This Row],[Simbología**]],"_",Tabla1[[#This Row],[Sub Acción Especifica]])</f>
        <v>KKIN_23_Criticidad</v>
      </c>
      <c r="O85" s="144" t="s">
        <v>2650</v>
      </c>
      <c r="P85" s="143" t="s">
        <v>8</v>
      </c>
      <c r="Q85" s="146" t="str">
        <f>CONCATENATE(Tabla1[[#This Row],[Simbología*]],"_",Tabla1[[#This Row],[Tipo de instalación relacionado]])</f>
        <v>KKKIN_31_Consumidores Directos de CL y/u OPDH</v>
      </c>
      <c r="R85" s="148">
        <v>2.5</v>
      </c>
      <c r="S85" s="148">
        <v>3.5</v>
      </c>
      <c r="T85" s="149">
        <f>IFERROR(AVERAGE(Tabla1[[#This Row],[T. Mínimo]],Tabla1[[#This Row],[T. Máximo]]),0)</f>
        <v>3</v>
      </c>
      <c r="U85" s="150">
        <v>2</v>
      </c>
      <c r="V85" s="150">
        <v>5</v>
      </c>
      <c r="W85" s="149">
        <f>IFERROR(AVERAGE(Tabla1[[#This Row],[T. Mínimo*]],Tabla1[[#This Row],[T. Máximo*]]),0)</f>
        <v>3.5</v>
      </c>
      <c r="X85" s="150">
        <v>2</v>
      </c>
      <c r="Y85" s="150">
        <v>3</v>
      </c>
      <c r="Z85" s="149">
        <f>IFERROR(AVERAGE(Tabla1[[#This Row],[T. Mínimo**]],Tabla1[[#This Row],[T. Máximo**]]),0)</f>
        <v>2.5</v>
      </c>
      <c r="AA85" s="151">
        <f>SUM(Tabla1[[#This Row],[Promedio]],Tabla1[[#This Row],[Promedio*]],Tabla1[[#This Row],[Promedio**]])</f>
        <v>9</v>
      </c>
      <c r="AB85" s="152" t="s">
        <v>2486</v>
      </c>
      <c r="AD85" s="20" t="s">
        <v>2378</v>
      </c>
      <c r="AE85" s="10" t="s">
        <v>156</v>
      </c>
      <c r="AF85" s="20" t="s">
        <v>72</v>
      </c>
      <c r="AG85" s="10"/>
      <c r="AH85" s="22" t="str">
        <f t="shared" si="2"/>
        <v>Amazonas_07 Utcubamba</v>
      </c>
      <c r="AI85" s="10" t="s">
        <v>162</v>
      </c>
      <c r="AJ85" s="20" t="s">
        <v>150</v>
      </c>
      <c r="AK85" s="22" t="str">
        <f t="shared" si="3"/>
        <v>Amazonas_07 Utcubamba_03 Cumba</v>
      </c>
      <c r="AL85" s="25">
        <v>2</v>
      </c>
      <c r="AM85" s="25">
        <v>12</v>
      </c>
      <c r="AN85" s="26">
        <f>Tabla2[[#This Row],[Minutos]]/60</f>
        <v>0.2</v>
      </c>
      <c r="AO85" s="27">
        <f>SUM(Tabla2[[#This Row],[Horas]],Tabla2[[#This Row],[Minutos a Horas]])</f>
        <v>2.2000000000000002</v>
      </c>
      <c r="AP85" s="49">
        <v>4</v>
      </c>
      <c r="AQ85" s="49">
        <v>30</v>
      </c>
      <c r="AR85" s="26">
        <f>Tabla2[[#This Row],[Minutos*]]/60</f>
        <v>0.5</v>
      </c>
      <c r="AS85" s="27">
        <f>SUM(Tabla2[[#This Row],[Horas*]],Tabla2[[#This Row],[Minutos a Horas*]])+(Tabla2[[#This Row],[Tiempo Total a Nivel Proncincial (Horas)]])</f>
        <v>6.7</v>
      </c>
      <c r="AV85" s="62"/>
    </row>
    <row r="86" spans="2:48" ht="42.75" customHeight="1" x14ac:dyDescent="0.25">
      <c r="B86" s="78" t="s">
        <v>2314</v>
      </c>
      <c r="C86" s="199" t="s">
        <v>4</v>
      </c>
      <c r="D86" s="143" t="s">
        <v>2490</v>
      </c>
      <c r="E86" s="143"/>
      <c r="F86" s="143" t="str">
        <f>CONCATENATE(Tabla1[[#This Row],[Simbología]],"_",Tabla1[[#This Row],[Acción]])</f>
        <v>AAA_Supervisión de instalaciones y medios de transporte (CL, GLP, GNV, GNC,GNL y OPDH)</v>
      </c>
      <c r="G86" s="143" t="s">
        <v>12</v>
      </c>
      <c r="H86" s="142" t="s">
        <v>2553</v>
      </c>
      <c r="I86" s="144"/>
      <c r="J86" s="207" t="str">
        <f>CONCATENATE(Tabla1[[#This Row],[Simbología1]],"_",Tabla1[[#This Row],[Acción Especifica]])</f>
        <v>KIN_3_Supervisión Operativa PDJ</v>
      </c>
      <c r="K86" s="207" t="s">
        <v>2596</v>
      </c>
      <c r="L86" s="143" t="s">
        <v>2554</v>
      </c>
      <c r="M86" s="143" t="s">
        <v>2554</v>
      </c>
      <c r="N86" s="146" t="str">
        <f>CONCATENATE(Tabla1[[#This Row],[Simbología**]],"_",Tabla1[[#This Row],[Sub Acción Especifica]])</f>
        <v>KKIN_24_Operativo Convencional (Por Operaciones, Condiciones de Seguridad)</v>
      </c>
      <c r="O86" s="144" t="s">
        <v>2651</v>
      </c>
      <c r="P86" s="147" t="s">
        <v>2364</v>
      </c>
      <c r="Q86" s="146" t="str">
        <f>CONCATENATE(Tabla1[[#This Row],[Simbología*]],"_",Tabla1[[#This Row],[Tipo de instalación relacionado]])</f>
        <v>KKKIN_32_Establecimientos de Venta al Público (Líquidos o GLP)</v>
      </c>
      <c r="R86" s="148">
        <v>2</v>
      </c>
      <c r="S86" s="148">
        <v>3</v>
      </c>
      <c r="T86" s="149">
        <f>IFERROR(AVERAGE(Tabla1[[#This Row],[T. Mínimo]],Tabla1[[#This Row],[T. Máximo]]),0)</f>
        <v>2.5</v>
      </c>
      <c r="U86" s="150">
        <v>3</v>
      </c>
      <c r="V86" s="150">
        <v>4</v>
      </c>
      <c r="W86" s="149">
        <f>IFERROR(AVERAGE(Tabla1[[#This Row],[T. Mínimo*]],Tabla1[[#This Row],[T. Máximo*]]),0)</f>
        <v>3.5</v>
      </c>
      <c r="X86" s="150">
        <v>2</v>
      </c>
      <c r="Y86" s="150">
        <v>3</v>
      </c>
      <c r="Z86" s="149">
        <f>IFERROR(AVERAGE(Tabla1[[#This Row],[T. Mínimo**]],Tabla1[[#This Row],[T. Máximo**]]),0)</f>
        <v>2.5</v>
      </c>
      <c r="AA86" s="151">
        <f>SUM(Tabla1[[#This Row],[Promedio]],Tabla1[[#This Row],[Promedio*]],Tabla1[[#This Row],[Promedio**]])</f>
        <v>8.5</v>
      </c>
      <c r="AB86" s="152" t="s">
        <v>2486</v>
      </c>
      <c r="AD86" s="20" t="s">
        <v>2378</v>
      </c>
      <c r="AE86" s="10" t="s">
        <v>156</v>
      </c>
      <c r="AF86" s="20" t="s">
        <v>72</v>
      </c>
      <c r="AG86" s="10"/>
      <c r="AH86" s="22" t="str">
        <f t="shared" si="2"/>
        <v>Amazonas_07 Utcubamba</v>
      </c>
      <c r="AI86" s="10" t="s">
        <v>162</v>
      </c>
      <c r="AJ86" s="20" t="s">
        <v>151</v>
      </c>
      <c r="AK86" s="22" t="str">
        <f t="shared" si="3"/>
        <v>Amazonas_07 Utcubamba_04 El Milagro</v>
      </c>
      <c r="AL86" s="25">
        <v>2</v>
      </c>
      <c r="AM86" s="25">
        <v>12</v>
      </c>
      <c r="AN86" s="26">
        <f>Tabla2[[#This Row],[Minutos]]/60</f>
        <v>0.2</v>
      </c>
      <c r="AO86" s="27">
        <f>SUM(Tabla2[[#This Row],[Horas]],Tabla2[[#This Row],[Minutos a Horas]])</f>
        <v>2.2000000000000002</v>
      </c>
      <c r="AP86" s="49">
        <v>4</v>
      </c>
      <c r="AQ86" s="49"/>
      <c r="AR86" s="26">
        <f>Tabla2[[#This Row],[Minutos*]]/60</f>
        <v>0</v>
      </c>
      <c r="AS86" s="27">
        <f>SUM(Tabla2[[#This Row],[Horas*]],Tabla2[[#This Row],[Minutos a Horas*]])+(Tabla2[[#This Row],[Tiempo Total a Nivel Proncincial (Horas)]])</f>
        <v>6.2</v>
      </c>
      <c r="AV86" s="62"/>
    </row>
    <row r="87" spans="2:48" ht="42.75" customHeight="1" x14ac:dyDescent="0.25">
      <c r="B87" s="78" t="s">
        <v>2314</v>
      </c>
      <c r="C87" s="199" t="s">
        <v>4</v>
      </c>
      <c r="D87" s="143" t="s">
        <v>2490</v>
      </c>
      <c r="E87" s="143"/>
      <c r="F87" s="143" t="str">
        <f>CONCATENATE(Tabla1[[#This Row],[Simbología]],"_",Tabla1[[#This Row],[Acción]])</f>
        <v>AAA_Supervisión de instalaciones y medios de transporte (CL, GLP, GNV, GNC,GNL y OPDH)</v>
      </c>
      <c r="G87" s="143" t="s">
        <v>12</v>
      </c>
      <c r="H87" s="142" t="s">
        <v>2553</v>
      </c>
      <c r="I87" s="144"/>
      <c r="J87" s="207" t="str">
        <f>CONCATENATE(Tabla1[[#This Row],[Simbología1]],"_",Tabla1[[#This Row],[Acción Especifica]])</f>
        <v>KIN_3_Supervisión Operativa PDJ</v>
      </c>
      <c r="K87" s="207" t="s">
        <v>2596</v>
      </c>
      <c r="L87" s="143" t="s">
        <v>2554</v>
      </c>
      <c r="M87" s="147"/>
      <c r="N87" s="146" t="str">
        <f>CONCATENATE(Tabla1[[#This Row],[Simbología**]],"_",Tabla1[[#This Row],[Sub Acción Especifica]])</f>
        <v>KKIN_24_Operativo Convencional (Por Operaciones, Condiciones de Seguridad)</v>
      </c>
      <c r="O87" s="144" t="s">
        <v>2651</v>
      </c>
      <c r="P87" s="147" t="s">
        <v>2365</v>
      </c>
      <c r="Q87" s="146" t="str">
        <f>CONCATENATE(Tabla1[[#This Row],[Simbología*]],"_",Tabla1[[#This Row],[Tipo de instalación relacionado]])</f>
        <v>KKKIN_32_Establecimientos de Venta al Público (Líquidos y GLP)</v>
      </c>
      <c r="R87" s="148">
        <v>4</v>
      </c>
      <c r="S87" s="148">
        <v>6</v>
      </c>
      <c r="T87" s="149">
        <f>IFERROR(AVERAGE(Tabla1[[#This Row],[T. Mínimo]],Tabla1[[#This Row],[T. Máximo]]),0)</f>
        <v>5</v>
      </c>
      <c r="U87" s="150">
        <v>6</v>
      </c>
      <c r="V87" s="150">
        <v>8</v>
      </c>
      <c r="W87" s="149">
        <f>IFERROR(AVERAGE(Tabla1[[#This Row],[T. Mínimo*]],Tabla1[[#This Row],[T. Máximo*]]),0)</f>
        <v>7</v>
      </c>
      <c r="X87" s="150">
        <v>4</v>
      </c>
      <c r="Y87" s="150">
        <v>6</v>
      </c>
      <c r="Z87" s="149">
        <f>IFERROR(AVERAGE(Tabla1[[#This Row],[T. Mínimo**]],Tabla1[[#This Row],[T. Máximo**]]),0)</f>
        <v>5</v>
      </c>
      <c r="AA87" s="151">
        <f>SUM(Tabla1[[#This Row],[Promedio]],Tabla1[[#This Row],[Promedio*]],Tabla1[[#This Row],[Promedio**]])</f>
        <v>17</v>
      </c>
      <c r="AB87" s="152" t="s">
        <v>2486</v>
      </c>
      <c r="AD87" s="20" t="s">
        <v>2378</v>
      </c>
      <c r="AE87" s="10" t="s">
        <v>156</v>
      </c>
      <c r="AF87" s="20" t="s">
        <v>72</v>
      </c>
      <c r="AG87" s="10"/>
      <c r="AH87" s="22" t="str">
        <f t="shared" si="2"/>
        <v>Amazonas_07 Utcubamba</v>
      </c>
      <c r="AI87" s="10" t="s">
        <v>162</v>
      </c>
      <c r="AJ87" s="20" t="s">
        <v>152</v>
      </c>
      <c r="AK87" s="22" t="str">
        <f t="shared" si="3"/>
        <v>Amazonas_07 Utcubamba_05 Jamalca</v>
      </c>
      <c r="AL87" s="25">
        <v>2</v>
      </c>
      <c r="AM87" s="25">
        <v>12</v>
      </c>
      <c r="AN87" s="26">
        <f>Tabla2[[#This Row],[Minutos]]/60</f>
        <v>0.2</v>
      </c>
      <c r="AO87" s="27">
        <f>SUM(Tabla2[[#This Row],[Horas]],Tabla2[[#This Row],[Minutos a Horas]])</f>
        <v>2.2000000000000002</v>
      </c>
      <c r="AP87" s="49">
        <v>3</v>
      </c>
      <c r="AQ87" s="49"/>
      <c r="AR87" s="26">
        <f>Tabla2[[#This Row],[Minutos*]]/60</f>
        <v>0</v>
      </c>
      <c r="AS87" s="27">
        <f>SUM(Tabla2[[#This Row],[Horas*]],Tabla2[[#This Row],[Minutos a Horas*]])+(Tabla2[[#This Row],[Tiempo Total a Nivel Proncincial (Horas)]])</f>
        <v>5.2</v>
      </c>
      <c r="AV87" s="62"/>
    </row>
    <row r="88" spans="2:48" ht="42.75" customHeight="1" x14ac:dyDescent="0.25">
      <c r="B88" s="78" t="s">
        <v>2314</v>
      </c>
      <c r="C88" s="199" t="s">
        <v>4</v>
      </c>
      <c r="D88" s="143" t="s">
        <v>2490</v>
      </c>
      <c r="E88" s="143"/>
      <c r="F88" s="143" t="str">
        <f>CONCATENATE(Tabla1[[#This Row],[Simbología]],"_",Tabla1[[#This Row],[Acción]])</f>
        <v>AAA_Supervisión de instalaciones y medios de transporte (CL, GLP, GNV, GNC,GNL y OPDH)</v>
      </c>
      <c r="G88" s="143" t="s">
        <v>12</v>
      </c>
      <c r="H88" s="142" t="s">
        <v>2553</v>
      </c>
      <c r="I88" s="144"/>
      <c r="J88" s="207" t="str">
        <f>CONCATENATE(Tabla1[[#This Row],[Simbología1]],"_",Tabla1[[#This Row],[Acción Especifica]])</f>
        <v>KIN_3_Supervisión Operativa PDJ</v>
      </c>
      <c r="K88" s="207" t="s">
        <v>2596</v>
      </c>
      <c r="L88" s="143" t="s">
        <v>2554</v>
      </c>
      <c r="M88" s="143"/>
      <c r="N88" s="146" t="str">
        <f>CONCATENATE(Tabla1[[#This Row],[Simbología**]],"_",Tabla1[[#This Row],[Sub Acción Especifica]])</f>
        <v>KKIN_24_Operativo Convencional (Por Operaciones, Condiciones de Seguridad)</v>
      </c>
      <c r="O88" s="144" t="s">
        <v>2651</v>
      </c>
      <c r="P88" s="147" t="s">
        <v>26</v>
      </c>
      <c r="Q88" s="146" t="str">
        <f>CONCATENATE(Tabla1[[#This Row],[Simbología*]],"_",Tabla1[[#This Row],[Tipo de instalación relacionado]])</f>
        <v>KKKIN_32_Establecimientos (GNV)</v>
      </c>
      <c r="R88" s="148">
        <v>2</v>
      </c>
      <c r="S88" s="148">
        <v>3</v>
      </c>
      <c r="T88" s="149">
        <f>IFERROR(AVERAGE(Tabla1[[#This Row],[T. Mínimo]],Tabla1[[#This Row],[T. Máximo]]),0)</f>
        <v>2.5</v>
      </c>
      <c r="U88" s="150">
        <v>3</v>
      </c>
      <c r="V88" s="150">
        <v>4</v>
      </c>
      <c r="W88" s="149">
        <f>IFERROR(AVERAGE(Tabla1[[#This Row],[T. Mínimo*]],Tabla1[[#This Row],[T. Máximo*]]),0)</f>
        <v>3.5</v>
      </c>
      <c r="X88" s="150">
        <v>2</v>
      </c>
      <c r="Y88" s="150">
        <v>3</v>
      </c>
      <c r="Z88" s="149">
        <f>IFERROR(AVERAGE(Tabla1[[#This Row],[T. Mínimo**]],Tabla1[[#This Row],[T. Máximo**]]),0)</f>
        <v>2.5</v>
      </c>
      <c r="AA88" s="151">
        <f>SUM(Tabla1[[#This Row],[Promedio]],Tabla1[[#This Row],[Promedio*]],Tabla1[[#This Row],[Promedio**]])</f>
        <v>8.5</v>
      </c>
      <c r="AB88" s="152" t="s">
        <v>2486</v>
      </c>
      <c r="AD88" s="20" t="s">
        <v>2378</v>
      </c>
      <c r="AE88" s="10" t="s">
        <v>156</v>
      </c>
      <c r="AF88" s="20" t="s">
        <v>72</v>
      </c>
      <c r="AG88" s="10"/>
      <c r="AH88" s="22" t="str">
        <f t="shared" si="2"/>
        <v>Amazonas_07 Utcubamba</v>
      </c>
      <c r="AI88" s="10" t="s">
        <v>162</v>
      </c>
      <c r="AJ88" s="20" t="s">
        <v>153</v>
      </c>
      <c r="AK88" s="22" t="str">
        <f t="shared" si="3"/>
        <v>Amazonas_07 Utcubamba_06 Lonya Grande</v>
      </c>
      <c r="AL88" s="25">
        <v>2</v>
      </c>
      <c r="AM88" s="25">
        <v>12</v>
      </c>
      <c r="AN88" s="26">
        <f>Tabla2[[#This Row],[Minutos]]/60</f>
        <v>0.2</v>
      </c>
      <c r="AO88" s="27">
        <f>SUM(Tabla2[[#This Row],[Horas]],Tabla2[[#This Row],[Minutos a Horas]])</f>
        <v>2.2000000000000002</v>
      </c>
      <c r="AP88" s="49">
        <v>6</v>
      </c>
      <c r="AQ88" s="49">
        <v>30</v>
      </c>
      <c r="AR88" s="26">
        <f>Tabla2[[#This Row],[Minutos*]]/60</f>
        <v>0.5</v>
      </c>
      <c r="AS88" s="27">
        <f>SUM(Tabla2[[#This Row],[Horas*]],Tabla2[[#This Row],[Minutos a Horas*]])+(Tabla2[[#This Row],[Tiempo Total a Nivel Proncincial (Horas)]])</f>
        <v>8.6999999999999993</v>
      </c>
      <c r="AV88" s="62"/>
    </row>
    <row r="89" spans="2:48" ht="42.75" customHeight="1" x14ac:dyDescent="0.25">
      <c r="B89" s="78" t="s">
        <v>2314</v>
      </c>
      <c r="C89" s="199" t="s">
        <v>4</v>
      </c>
      <c r="D89" s="143" t="s">
        <v>2490</v>
      </c>
      <c r="E89" s="143"/>
      <c r="F89" s="143" t="str">
        <f>CONCATENATE(Tabla1[[#This Row],[Simbología]],"_",Tabla1[[#This Row],[Acción]])</f>
        <v>AAA_Supervisión de instalaciones y medios de transporte (CL, GLP, GNV, GNC,GNL y OPDH)</v>
      </c>
      <c r="G89" s="143" t="s">
        <v>12</v>
      </c>
      <c r="H89" s="142" t="s">
        <v>2553</v>
      </c>
      <c r="I89" s="144"/>
      <c r="J89" s="207" t="str">
        <f>CONCATENATE(Tabla1[[#This Row],[Simbología1]],"_",Tabla1[[#This Row],[Acción Especifica]])</f>
        <v>KIN_3_Supervisión Operativa PDJ</v>
      </c>
      <c r="K89" s="207" t="s">
        <v>2596</v>
      </c>
      <c r="L89" s="143" t="s">
        <v>2554</v>
      </c>
      <c r="M89" s="143"/>
      <c r="N89" s="146" t="str">
        <f>CONCATENATE(Tabla1[[#This Row],[Simbología**]],"_",Tabla1[[#This Row],[Sub Acción Especifica]])</f>
        <v>KKIN_24_Operativo Convencional (Por Operaciones, Condiciones de Seguridad)</v>
      </c>
      <c r="O89" s="144" t="s">
        <v>2651</v>
      </c>
      <c r="P89" s="147" t="s">
        <v>8</v>
      </c>
      <c r="Q89" s="146" t="str">
        <f>CONCATENATE(Tabla1[[#This Row],[Simbología*]],"_",Tabla1[[#This Row],[Tipo de instalación relacionado]])</f>
        <v>KKKIN_32_Consumidores Directos de CL y/u OPDH</v>
      </c>
      <c r="R89" s="148">
        <v>2</v>
      </c>
      <c r="S89" s="148">
        <v>3</v>
      </c>
      <c r="T89" s="149">
        <f>IFERROR(AVERAGE(Tabla1[[#This Row],[T. Mínimo]],Tabla1[[#This Row],[T. Máximo]]),0)</f>
        <v>2.5</v>
      </c>
      <c r="U89" s="150">
        <v>3</v>
      </c>
      <c r="V89" s="150">
        <v>4</v>
      </c>
      <c r="W89" s="149">
        <f>IFERROR(AVERAGE(Tabla1[[#This Row],[T. Mínimo*]],Tabla1[[#This Row],[T. Máximo*]]),0)</f>
        <v>3.5</v>
      </c>
      <c r="X89" s="150">
        <v>2</v>
      </c>
      <c r="Y89" s="150">
        <v>3</v>
      </c>
      <c r="Z89" s="149">
        <f>IFERROR(AVERAGE(Tabla1[[#This Row],[T. Mínimo**]],Tabla1[[#This Row],[T. Máximo**]]),0)</f>
        <v>2.5</v>
      </c>
      <c r="AA89" s="151">
        <f>SUM(Tabla1[[#This Row],[Promedio]],Tabla1[[#This Row],[Promedio*]],Tabla1[[#This Row],[Promedio**]])</f>
        <v>8.5</v>
      </c>
      <c r="AB89" s="152" t="s">
        <v>2486</v>
      </c>
      <c r="AD89" s="20" t="s">
        <v>2378</v>
      </c>
      <c r="AE89" s="10" t="s">
        <v>156</v>
      </c>
      <c r="AF89" s="20" t="s">
        <v>72</v>
      </c>
      <c r="AG89" s="10"/>
      <c r="AH89" s="22" t="str">
        <f t="shared" si="2"/>
        <v>Amazonas_07 Utcubamba</v>
      </c>
      <c r="AI89" s="10" t="s">
        <v>162</v>
      </c>
      <c r="AJ89" s="20" t="s">
        <v>154</v>
      </c>
      <c r="AK89" s="22" t="str">
        <f t="shared" si="3"/>
        <v>Amazonas_07 Utcubamba_07 Yamon</v>
      </c>
      <c r="AL89" s="25">
        <v>2</v>
      </c>
      <c r="AM89" s="25">
        <v>12</v>
      </c>
      <c r="AN89" s="26">
        <f>Tabla2[[#This Row],[Minutos]]/60</f>
        <v>0.2</v>
      </c>
      <c r="AO89" s="27">
        <f>SUM(Tabla2[[#This Row],[Horas]],Tabla2[[#This Row],[Minutos a Horas]])</f>
        <v>2.2000000000000002</v>
      </c>
      <c r="AP89" s="49">
        <v>5</v>
      </c>
      <c r="AQ89" s="49">
        <v>15</v>
      </c>
      <c r="AR89" s="26">
        <f>Tabla2[[#This Row],[Minutos*]]/60</f>
        <v>0.25</v>
      </c>
      <c r="AS89" s="27">
        <f>SUM(Tabla2[[#This Row],[Horas*]],Tabla2[[#This Row],[Minutos a Horas*]])+(Tabla2[[#This Row],[Tiempo Total a Nivel Proncincial (Horas)]])</f>
        <v>7.45</v>
      </c>
      <c r="AV89" s="62"/>
    </row>
    <row r="90" spans="2:48" ht="42.75" customHeight="1" x14ac:dyDescent="0.25">
      <c r="B90" s="78" t="s">
        <v>2314</v>
      </c>
      <c r="C90" s="199" t="s">
        <v>4</v>
      </c>
      <c r="D90" s="143" t="s">
        <v>2490</v>
      </c>
      <c r="E90" s="143"/>
      <c r="F90" s="143" t="str">
        <f>CONCATENATE(Tabla1[[#This Row],[Simbología]],"_",Tabla1[[#This Row],[Acción]])</f>
        <v>AAA_Supervisión de instalaciones y medios de transporte (CL, GLP, GNV, GNC,GNL y OPDH)</v>
      </c>
      <c r="G90" s="143" t="s">
        <v>12</v>
      </c>
      <c r="H90" s="142" t="s">
        <v>2553</v>
      </c>
      <c r="I90" s="144"/>
      <c r="J90" s="207" t="str">
        <f>CONCATENATE(Tabla1[[#This Row],[Simbología1]],"_",Tabla1[[#This Row],[Acción Especifica]])</f>
        <v>KIN_3_Supervisión Operativa PDJ</v>
      </c>
      <c r="K90" s="207" t="s">
        <v>2596</v>
      </c>
      <c r="L90" s="143" t="s">
        <v>2554</v>
      </c>
      <c r="M90" s="143"/>
      <c r="N90" s="146" t="str">
        <f>CONCATENATE(Tabla1[[#This Row],[Simbología**]],"_",Tabla1[[#This Row],[Sub Acción Especifica]])</f>
        <v>KKIN_24_Operativo Convencional (Por Operaciones, Condiciones de Seguridad)</v>
      </c>
      <c r="O90" s="144" t="s">
        <v>2651</v>
      </c>
      <c r="P90" s="147" t="s">
        <v>23</v>
      </c>
      <c r="Q90" s="146" t="str">
        <f>CONCATENATE(Tabla1[[#This Row],[Simbología*]],"_",Tabla1[[#This Row],[Tipo de instalación relacionado]])</f>
        <v>KKKIN_32_Medios de Transporte y Distribuidores (Líquidos, GLP)</v>
      </c>
      <c r="R90" s="148">
        <v>2</v>
      </c>
      <c r="S90" s="148">
        <v>3</v>
      </c>
      <c r="T90" s="149">
        <f>IFERROR(AVERAGE(Tabla1[[#This Row],[T. Mínimo]],Tabla1[[#This Row],[T. Máximo]]),0)</f>
        <v>2.5</v>
      </c>
      <c r="U90" s="150">
        <v>3</v>
      </c>
      <c r="V90" s="150">
        <v>4</v>
      </c>
      <c r="W90" s="149">
        <f>IFERROR(AVERAGE(Tabla1[[#This Row],[T. Mínimo*]],Tabla1[[#This Row],[T. Máximo*]]),0)</f>
        <v>3.5</v>
      </c>
      <c r="X90" s="150">
        <v>2</v>
      </c>
      <c r="Y90" s="150">
        <v>3</v>
      </c>
      <c r="Z90" s="149">
        <f>IFERROR(AVERAGE(Tabla1[[#This Row],[T. Mínimo**]],Tabla1[[#This Row],[T. Máximo**]]),0)</f>
        <v>2.5</v>
      </c>
      <c r="AA90" s="151">
        <f>SUM(Tabla1[[#This Row],[Promedio]],Tabla1[[#This Row],[Promedio*]],Tabla1[[#This Row],[Promedio**]])</f>
        <v>8.5</v>
      </c>
      <c r="AB90" s="152" t="s">
        <v>2486</v>
      </c>
      <c r="AD90" s="20" t="s">
        <v>2395</v>
      </c>
      <c r="AE90" s="10" t="s">
        <v>163</v>
      </c>
      <c r="AF90" s="20" t="s">
        <v>164</v>
      </c>
      <c r="AG90" s="10" t="s">
        <v>164</v>
      </c>
      <c r="AH90" s="22" t="str">
        <f t="shared" si="2"/>
        <v>Áncash_01 Huaraz</v>
      </c>
      <c r="AI90" s="10" t="s">
        <v>347</v>
      </c>
      <c r="AJ90" s="20" t="s">
        <v>164</v>
      </c>
      <c r="AK90" s="22" t="str">
        <f t="shared" si="3"/>
        <v>Áncash_01 Huaraz_01 Huaraz</v>
      </c>
      <c r="AL90" s="25">
        <v>1</v>
      </c>
      <c r="AM90" s="25">
        <v>56</v>
      </c>
      <c r="AN90" s="26">
        <f>Tabla2[[#This Row],[Minutos]]/60</f>
        <v>0.93333333333333335</v>
      </c>
      <c r="AO90" s="27">
        <f>SUM(Tabla2[[#This Row],[Horas]],Tabla2[[#This Row],[Minutos a Horas]])</f>
        <v>1.9333333333333333</v>
      </c>
      <c r="AP90" s="49"/>
      <c r="AQ90" s="49">
        <v>5</v>
      </c>
      <c r="AR90" s="26">
        <f>Tabla2[[#This Row],[Minutos*]]/60</f>
        <v>8.3333333333333329E-2</v>
      </c>
      <c r="AS90" s="27">
        <f>SUM(Tabla2[[#This Row],[Horas*]],Tabla2[[#This Row],[Minutos a Horas*]])+(Tabla2[[#This Row],[Tiempo Total a Nivel Proncincial (Horas)]])</f>
        <v>2.0166666666666666</v>
      </c>
      <c r="AV90" s="62"/>
    </row>
    <row r="91" spans="2:48" ht="42.75" customHeight="1" x14ac:dyDescent="0.25">
      <c r="B91" s="78" t="s">
        <v>2314</v>
      </c>
      <c r="C91" s="199" t="s">
        <v>4</v>
      </c>
      <c r="D91" s="143" t="s">
        <v>2490</v>
      </c>
      <c r="E91" s="143"/>
      <c r="F91" s="143" t="str">
        <f>CONCATENATE(Tabla1[[#This Row],[Simbología]],"_",Tabla1[[#This Row],[Acción]])</f>
        <v>AAA_Supervisión de instalaciones y medios de transporte (CL, GLP, GNV, GNC,GNL y OPDH)</v>
      </c>
      <c r="G91" s="143" t="s">
        <v>12</v>
      </c>
      <c r="H91" s="142" t="s">
        <v>2553</v>
      </c>
      <c r="I91" s="144"/>
      <c r="J91" s="207" t="str">
        <f>CONCATENATE(Tabla1[[#This Row],[Simbología1]],"_",Tabla1[[#This Row],[Acción Especifica]])</f>
        <v>KIN_3_Supervisión Operativa PDJ</v>
      </c>
      <c r="K91" s="207" t="s">
        <v>2596</v>
      </c>
      <c r="L91" s="143" t="s">
        <v>2554</v>
      </c>
      <c r="M91" s="143"/>
      <c r="N91" s="146" t="str">
        <f>CONCATENATE(Tabla1[[#This Row],[Simbología**]],"_",Tabla1[[#This Row],[Sub Acción Especifica]])</f>
        <v>KKIN_24_Operativo Convencional (Por Operaciones, Condiciones de Seguridad)</v>
      </c>
      <c r="O91" s="144" t="s">
        <v>2651</v>
      </c>
      <c r="P91" s="147" t="s">
        <v>22</v>
      </c>
      <c r="Q91" s="146" t="str">
        <f>CONCATENATE(Tabla1[[#This Row],[Simbología*]],"_",Tabla1[[#This Row],[Tipo de instalación relacionado]])</f>
        <v>KKKIN_32_Consumidores Directos GLP y Redes de Distribución</v>
      </c>
      <c r="R91" s="148">
        <v>2</v>
      </c>
      <c r="S91" s="148">
        <v>3</v>
      </c>
      <c r="T91" s="149">
        <f>IFERROR(AVERAGE(Tabla1[[#This Row],[T. Mínimo]],Tabla1[[#This Row],[T. Máximo]]),0)</f>
        <v>2.5</v>
      </c>
      <c r="U91" s="150">
        <v>3</v>
      </c>
      <c r="V91" s="150">
        <v>4</v>
      </c>
      <c r="W91" s="149">
        <f>IFERROR(AVERAGE(Tabla1[[#This Row],[T. Mínimo*]],Tabla1[[#This Row],[T. Máximo*]]),0)</f>
        <v>3.5</v>
      </c>
      <c r="X91" s="150">
        <v>2</v>
      </c>
      <c r="Y91" s="150">
        <v>3</v>
      </c>
      <c r="Z91" s="149">
        <f>IFERROR(AVERAGE(Tabla1[[#This Row],[T. Mínimo**]],Tabla1[[#This Row],[T. Máximo**]]),0)</f>
        <v>2.5</v>
      </c>
      <c r="AA91" s="151">
        <f>SUM(Tabla1[[#This Row],[Promedio]],Tabla1[[#This Row],[Promedio*]],Tabla1[[#This Row],[Promedio**]])</f>
        <v>8.5</v>
      </c>
      <c r="AB91" s="152" t="s">
        <v>2486</v>
      </c>
      <c r="AD91" s="20" t="s">
        <v>2395</v>
      </c>
      <c r="AE91" s="10" t="s">
        <v>163</v>
      </c>
      <c r="AF91" s="20" t="s">
        <v>164</v>
      </c>
      <c r="AG91" s="10" t="s">
        <v>165</v>
      </c>
      <c r="AH91" s="22" t="str">
        <f t="shared" si="2"/>
        <v>Áncash_01 Huaraz</v>
      </c>
      <c r="AI91" s="10" t="s">
        <v>347</v>
      </c>
      <c r="AJ91" s="20" t="s">
        <v>184</v>
      </c>
      <c r="AK91" s="22" t="str">
        <f t="shared" si="3"/>
        <v>Áncash_01 Huaraz_02 Cochabamba</v>
      </c>
      <c r="AL91" s="25">
        <v>1</v>
      </c>
      <c r="AM91" s="25">
        <v>56</v>
      </c>
      <c r="AN91" s="26">
        <f>Tabla2[[#This Row],[Minutos]]/60</f>
        <v>0.93333333333333335</v>
      </c>
      <c r="AO91" s="27">
        <f>SUM(Tabla2[[#This Row],[Horas]],Tabla2[[#This Row],[Minutos a Horas]])</f>
        <v>1.9333333333333333</v>
      </c>
      <c r="AP91" s="49">
        <v>2</v>
      </c>
      <c r="AQ91" s="49">
        <v>40</v>
      </c>
      <c r="AR91" s="26">
        <f>Tabla2[[#This Row],[Minutos*]]/60</f>
        <v>0.66666666666666663</v>
      </c>
      <c r="AS91" s="27">
        <f>SUM(Tabla2[[#This Row],[Horas*]],Tabla2[[#This Row],[Minutos a Horas*]])+(Tabla2[[#This Row],[Tiempo Total a Nivel Proncincial (Horas)]])</f>
        <v>4.5999999999999996</v>
      </c>
      <c r="AV91" s="62"/>
    </row>
    <row r="92" spans="2:48" ht="42.75" customHeight="1" x14ac:dyDescent="0.25">
      <c r="B92" s="78" t="s">
        <v>2314</v>
      </c>
      <c r="C92" s="199" t="s">
        <v>4</v>
      </c>
      <c r="D92" s="143" t="s">
        <v>2490</v>
      </c>
      <c r="E92" s="143"/>
      <c r="F92" s="143" t="str">
        <f>CONCATENATE(Tabla1[[#This Row],[Simbología]],"_",Tabla1[[#This Row],[Acción]])</f>
        <v>AAA_Supervisión de instalaciones y medios de transporte (CL, GLP, GNV, GNC,GNL y OPDH)</v>
      </c>
      <c r="G92" s="143" t="s">
        <v>12</v>
      </c>
      <c r="H92" s="142" t="s">
        <v>2553</v>
      </c>
      <c r="I92" s="144"/>
      <c r="J92" s="207" t="str">
        <f>CONCATENATE(Tabla1[[#This Row],[Simbología1]],"_",Tabla1[[#This Row],[Acción Especifica]])</f>
        <v>KIN_3_Supervisión Operativa PDJ</v>
      </c>
      <c r="K92" s="207" t="s">
        <v>2596</v>
      </c>
      <c r="L92" s="143" t="s">
        <v>2554</v>
      </c>
      <c r="M92" s="143"/>
      <c r="N92" s="146" t="str">
        <f>CONCATENATE(Tabla1[[#This Row],[Simbología**]],"_",Tabla1[[#This Row],[Sub Acción Especifica]])</f>
        <v>KKIN_24_Operativo Convencional (Por Operaciones, Condiciones de Seguridad)</v>
      </c>
      <c r="O92" s="144" t="s">
        <v>2651</v>
      </c>
      <c r="P92" s="147" t="s">
        <v>24</v>
      </c>
      <c r="Q92" s="146" t="str">
        <f>CONCATENATE(Tabla1[[#This Row],[Simbología*]],"_",Tabla1[[#This Row],[Tipo de instalación relacionado]])</f>
        <v>KKKIN_32_Locales de Venta de GLP</v>
      </c>
      <c r="R92" s="148">
        <v>2</v>
      </c>
      <c r="S92" s="148">
        <v>3</v>
      </c>
      <c r="T92" s="149">
        <f>IFERROR(AVERAGE(Tabla1[[#This Row],[T. Mínimo]],Tabla1[[#This Row],[T. Máximo]]),0)</f>
        <v>2.5</v>
      </c>
      <c r="U92" s="150">
        <v>3</v>
      </c>
      <c r="V92" s="150">
        <v>4</v>
      </c>
      <c r="W92" s="149">
        <f>IFERROR(AVERAGE(Tabla1[[#This Row],[T. Mínimo*]],Tabla1[[#This Row],[T. Máximo*]]),0)</f>
        <v>3.5</v>
      </c>
      <c r="X92" s="150">
        <v>2</v>
      </c>
      <c r="Y92" s="150">
        <v>3</v>
      </c>
      <c r="Z92" s="149">
        <f>IFERROR(AVERAGE(Tabla1[[#This Row],[T. Mínimo**]],Tabla1[[#This Row],[T. Máximo**]]),0)</f>
        <v>2.5</v>
      </c>
      <c r="AA92" s="151">
        <f>SUM(Tabla1[[#This Row],[Promedio]],Tabla1[[#This Row],[Promedio*]],Tabla1[[#This Row],[Promedio**]])</f>
        <v>8.5</v>
      </c>
      <c r="AB92" s="152" t="s">
        <v>2486</v>
      </c>
      <c r="AD92" s="20" t="s">
        <v>2395</v>
      </c>
      <c r="AE92" s="10" t="s">
        <v>163</v>
      </c>
      <c r="AF92" s="20" t="s">
        <v>164</v>
      </c>
      <c r="AG92" s="10" t="s">
        <v>166</v>
      </c>
      <c r="AH92" s="22" t="str">
        <f t="shared" si="2"/>
        <v>Áncash_01 Huaraz</v>
      </c>
      <c r="AI92" s="10" t="s">
        <v>347</v>
      </c>
      <c r="AJ92" s="20" t="s">
        <v>185</v>
      </c>
      <c r="AK92" s="22" t="str">
        <f t="shared" si="3"/>
        <v>Áncash_01 Huaraz_03 Colcabamba</v>
      </c>
      <c r="AL92" s="25">
        <v>1</v>
      </c>
      <c r="AM92" s="25">
        <v>56</v>
      </c>
      <c r="AN92" s="26">
        <f>Tabla2[[#This Row],[Minutos]]/60</f>
        <v>0.93333333333333335</v>
      </c>
      <c r="AO92" s="27">
        <f>SUM(Tabla2[[#This Row],[Horas]],Tabla2[[#This Row],[Minutos a Horas]])</f>
        <v>1.9333333333333333</v>
      </c>
      <c r="AP92" s="49">
        <v>2</v>
      </c>
      <c r="AQ92" s="49">
        <v>40</v>
      </c>
      <c r="AR92" s="26">
        <f>Tabla2[[#This Row],[Minutos*]]/60</f>
        <v>0.66666666666666663</v>
      </c>
      <c r="AS92" s="27">
        <f>SUM(Tabla2[[#This Row],[Horas*]],Tabla2[[#This Row],[Minutos a Horas*]])+(Tabla2[[#This Row],[Tiempo Total a Nivel Proncincial (Horas)]])</f>
        <v>4.5999999999999996</v>
      </c>
      <c r="AV92" s="62"/>
    </row>
    <row r="93" spans="2:48" ht="42.75" customHeight="1" x14ac:dyDescent="0.25">
      <c r="B93" s="78" t="s">
        <v>2314</v>
      </c>
      <c r="C93" s="199" t="s">
        <v>4</v>
      </c>
      <c r="D93" s="143" t="s">
        <v>2490</v>
      </c>
      <c r="E93" s="143"/>
      <c r="F93" s="143" t="str">
        <f>CONCATENATE(Tabla1[[#This Row],[Simbología]],"_",Tabla1[[#This Row],[Acción]])</f>
        <v>AAA_Supervisión de instalaciones y medios de transporte (CL, GLP, GNV, GNC,GNL y OPDH)</v>
      </c>
      <c r="G93" s="143" t="s">
        <v>12</v>
      </c>
      <c r="H93" s="142" t="s">
        <v>2553</v>
      </c>
      <c r="I93" s="144"/>
      <c r="J93" s="207" t="str">
        <f>CONCATENATE(Tabla1[[#This Row],[Simbología1]],"_",Tabla1[[#This Row],[Acción Especifica]])</f>
        <v>KIN_3_Supervisión Operativa PDJ</v>
      </c>
      <c r="K93" s="207" t="s">
        <v>2596</v>
      </c>
      <c r="L93" s="143" t="s">
        <v>2554</v>
      </c>
      <c r="M93" s="147"/>
      <c r="N93" s="146" t="str">
        <f>CONCATENATE(Tabla1[[#This Row],[Simbología**]],"_",Tabla1[[#This Row],[Sub Acción Especifica]])</f>
        <v>KKIN_24_Operativo Convencional (Por Operaciones, Condiciones de Seguridad)</v>
      </c>
      <c r="O93" s="144" t="s">
        <v>2651</v>
      </c>
      <c r="P93" s="143" t="s">
        <v>39</v>
      </c>
      <c r="Q93" s="146" t="str">
        <f>CONCATENATE(Tabla1[[#This Row],[Simbología*]],"_",Tabla1[[#This Row],[Tipo de instalación relacionado]])</f>
        <v>KKKIN_32_Plantas Envasadoras (GLP)</v>
      </c>
      <c r="R93" s="148">
        <v>2</v>
      </c>
      <c r="S93" s="148">
        <v>3</v>
      </c>
      <c r="T93" s="149">
        <f>IFERROR(AVERAGE(Tabla1[[#This Row],[T. Mínimo]],Tabla1[[#This Row],[T. Máximo]]),0)</f>
        <v>2.5</v>
      </c>
      <c r="U93" s="150">
        <v>3</v>
      </c>
      <c r="V93" s="150">
        <v>4</v>
      </c>
      <c r="W93" s="149">
        <f>IFERROR(AVERAGE(Tabla1[[#This Row],[T. Mínimo*]],Tabla1[[#This Row],[T. Máximo*]]),0)</f>
        <v>3.5</v>
      </c>
      <c r="X93" s="150">
        <v>2</v>
      </c>
      <c r="Y93" s="150">
        <v>3</v>
      </c>
      <c r="Z93" s="149">
        <f>IFERROR(AVERAGE(Tabla1[[#This Row],[T. Mínimo**]],Tabla1[[#This Row],[T. Máximo**]]),0)</f>
        <v>2.5</v>
      </c>
      <c r="AA93" s="151">
        <f>SUM(Tabla1[[#This Row],[Promedio]],Tabla1[[#This Row],[Promedio*]],Tabla1[[#This Row],[Promedio**]])</f>
        <v>8.5</v>
      </c>
      <c r="AB93" s="152" t="s">
        <v>2486</v>
      </c>
      <c r="AD93" s="20" t="s">
        <v>2395</v>
      </c>
      <c r="AE93" s="10" t="s">
        <v>163</v>
      </c>
      <c r="AF93" s="20" t="s">
        <v>164</v>
      </c>
      <c r="AG93" s="10" t="s">
        <v>167</v>
      </c>
      <c r="AH93" s="22" t="str">
        <f t="shared" si="2"/>
        <v>Áncash_01 Huaraz</v>
      </c>
      <c r="AI93" s="10" t="s">
        <v>347</v>
      </c>
      <c r="AJ93" s="20" t="s">
        <v>186</v>
      </c>
      <c r="AK93" s="22" t="str">
        <f t="shared" si="3"/>
        <v>Áncash_01 Huaraz_04 Huanchay</v>
      </c>
      <c r="AL93" s="25">
        <v>1</v>
      </c>
      <c r="AM93" s="25">
        <v>56</v>
      </c>
      <c r="AN93" s="26">
        <f>Tabla2[[#This Row],[Minutos]]/60</f>
        <v>0.93333333333333335</v>
      </c>
      <c r="AO93" s="27">
        <f>SUM(Tabla2[[#This Row],[Horas]],Tabla2[[#This Row],[Minutos a Horas]])</f>
        <v>1.9333333333333333</v>
      </c>
      <c r="AP93" s="49">
        <v>2</v>
      </c>
      <c r="AQ93" s="49">
        <v>40</v>
      </c>
      <c r="AR93" s="26">
        <f>Tabla2[[#This Row],[Minutos*]]/60</f>
        <v>0.66666666666666663</v>
      </c>
      <c r="AS93" s="27">
        <f>SUM(Tabla2[[#This Row],[Horas*]],Tabla2[[#This Row],[Minutos a Horas*]])+(Tabla2[[#This Row],[Tiempo Total a Nivel Proncincial (Horas)]])</f>
        <v>4.5999999999999996</v>
      </c>
      <c r="AV93" s="62"/>
    </row>
    <row r="94" spans="2:48" ht="42.75" customHeight="1" x14ac:dyDescent="0.25">
      <c r="B94" s="78" t="s">
        <v>2314</v>
      </c>
      <c r="C94" s="199" t="s">
        <v>4</v>
      </c>
      <c r="D94" s="143" t="s">
        <v>2490</v>
      </c>
      <c r="E94" s="143"/>
      <c r="F94" s="143" t="str">
        <f>CONCATENATE(Tabla1[[#This Row],[Simbología]],"_",Tabla1[[#This Row],[Acción]])</f>
        <v>AAA_Supervisión de instalaciones y medios de transporte (CL, GLP, GNV, GNC,GNL y OPDH)</v>
      </c>
      <c r="G94" s="143" t="s">
        <v>12</v>
      </c>
      <c r="H94" s="142" t="s">
        <v>2555</v>
      </c>
      <c r="I94" s="144"/>
      <c r="J94" s="207" t="str">
        <f>CONCATENATE(Tabla1[[#This Row],[Simbología1]],"_",Tabla1[[#This Row],[Acción Especifica]])</f>
        <v>KIN_3_Supervisión operativa de actos inseguros</v>
      </c>
      <c r="K94" s="207" t="s">
        <v>2597</v>
      </c>
      <c r="L94" s="147" t="s">
        <v>27</v>
      </c>
      <c r="M94" s="147" t="s">
        <v>27</v>
      </c>
      <c r="N94" s="146" t="str">
        <f>CONCATENATE(Tabla1[[#This Row],[Simbología**]],"_",Tabla1[[#This Row],[Sub Acción Especifica]])</f>
        <v>KKIN_25_Actos Inseguros</v>
      </c>
      <c r="O94" s="144" t="s">
        <v>2652</v>
      </c>
      <c r="P94" s="147" t="s">
        <v>2363</v>
      </c>
      <c r="Q94" s="146" t="str">
        <f>CONCATENATE(Tabla1[[#This Row],[Simbología*]],"_",Tabla1[[#This Row],[Tipo de instalación relacionado]])</f>
        <v>KKKIN_33_Establecimientos de Venta al Público (Líquidos y/o GLP)</v>
      </c>
      <c r="R94" s="148">
        <v>1</v>
      </c>
      <c r="S94" s="148">
        <v>2</v>
      </c>
      <c r="T94" s="149">
        <f>IFERROR(AVERAGE(Tabla1[[#This Row],[T. Mínimo]],Tabla1[[#This Row],[T. Máximo]]),0)</f>
        <v>1.5</v>
      </c>
      <c r="U94" s="150">
        <v>1</v>
      </c>
      <c r="V94" s="150">
        <v>1.5</v>
      </c>
      <c r="W94" s="149">
        <f>IFERROR(AVERAGE(Tabla1[[#This Row],[T. Mínimo*]],Tabla1[[#This Row],[T. Máximo*]]),0)</f>
        <v>1.25</v>
      </c>
      <c r="X94" s="150">
        <v>1</v>
      </c>
      <c r="Y94" s="150">
        <v>1.5</v>
      </c>
      <c r="Z94" s="149">
        <f>IFERROR(AVERAGE(Tabla1[[#This Row],[T. Mínimo**]],Tabla1[[#This Row],[T. Máximo**]]),0)</f>
        <v>1.25</v>
      </c>
      <c r="AA94" s="151">
        <f>SUM(Tabla1[[#This Row],[Promedio]],Tabla1[[#This Row],[Promedio*]],Tabla1[[#This Row],[Promedio**]])</f>
        <v>4</v>
      </c>
      <c r="AB94" s="152" t="s">
        <v>2486</v>
      </c>
      <c r="AD94" s="20" t="s">
        <v>2395</v>
      </c>
      <c r="AE94" s="10" t="s">
        <v>163</v>
      </c>
      <c r="AF94" s="20" t="s">
        <v>164</v>
      </c>
      <c r="AG94" s="10" t="s">
        <v>168</v>
      </c>
      <c r="AH94" s="22" t="str">
        <f t="shared" si="2"/>
        <v>Áncash_01 Huaraz</v>
      </c>
      <c r="AI94" s="10" t="s">
        <v>347</v>
      </c>
      <c r="AJ94" s="20" t="s">
        <v>187</v>
      </c>
      <c r="AK94" s="22" t="str">
        <f t="shared" si="3"/>
        <v>Áncash_01 Huaraz_05 Independencia</v>
      </c>
      <c r="AL94" s="25">
        <v>1</v>
      </c>
      <c r="AM94" s="25">
        <v>56</v>
      </c>
      <c r="AN94" s="26">
        <f>Tabla2[[#This Row],[Minutos]]/60</f>
        <v>0.93333333333333335</v>
      </c>
      <c r="AO94" s="27">
        <f>SUM(Tabla2[[#This Row],[Horas]],Tabla2[[#This Row],[Minutos a Horas]])</f>
        <v>1.9333333333333333</v>
      </c>
      <c r="AP94" s="49"/>
      <c r="AQ94" s="49">
        <v>15</v>
      </c>
      <c r="AR94" s="26">
        <f>Tabla2[[#This Row],[Minutos*]]/60</f>
        <v>0.25</v>
      </c>
      <c r="AS94" s="27">
        <f>SUM(Tabla2[[#This Row],[Horas*]],Tabla2[[#This Row],[Minutos a Horas*]])+(Tabla2[[#This Row],[Tiempo Total a Nivel Proncincial (Horas)]])</f>
        <v>2.1833333333333336</v>
      </c>
      <c r="AV94" s="62"/>
    </row>
    <row r="95" spans="2:48" ht="60" customHeight="1" x14ac:dyDescent="0.25">
      <c r="B95" s="78" t="s">
        <v>2314</v>
      </c>
      <c r="C95" s="199" t="s">
        <v>4</v>
      </c>
      <c r="D95" s="143" t="s">
        <v>2490</v>
      </c>
      <c r="E95" s="143"/>
      <c r="F95" s="143" t="str">
        <f>CONCATENATE(Tabla1[[#This Row],[Simbología]],"_",Tabla1[[#This Row],[Acción]])</f>
        <v>AAA_Supervisión de instalaciones y medios de transporte (CL, GLP, GNV, GNC,GNL y OPDH)</v>
      </c>
      <c r="G95" s="143" t="s">
        <v>12</v>
      </c>
      <c r="H95" s="142" t="s">
        <v>2555</v>
      </c>
      <c r="I95" s="144"/>
      <c r="J95" s="207" t="str">
        <f>CONCATENATE(Tabla1[[#This Row],[Simbología1]],"_",Tabla1[[#This Row],[Acción Especifica]])</f>
        <v>KIN_3_Supervisión operativa de actos inseguros</v>
      </c>
      <c r="K95" s="207" t="s">
        <v>2597</v>
      </c>
      <c r="L95" s="147" t="s">
        <v>27</v>
      </c>
      <c r="M95" s="153"/>
      <c r="N95" s="146" t="str">
        <f>CONCATENATE(Tabla1[[#This Row],[Simbología**]],"_",Tabla1[[#This Row],[Sub Acción Especifica]])</f>
        <v>KKIN_25_Actos Inseguros</v>
      </c>
      <c r="O95" s="144" t="s">
        <v>2652</v>
      </c>
      <c r="P95" s="147" t="s">
        <v>26</v>
      </c>
      <c r="Q95" s="146" t="str">
        <f>CONCATENATE(Tabla1[[#This Row],[Simbología*]],"_",Tabla1[[#This Row],[Tipo de instalación relacionado]])</f>
        <v>KKKIN_33_Establecimientos (GNV)</v>
      </c>
      <c r="R95" s="148">
        <v>1</v>
      </c>
      <c r="S95" s="148">
        <v>2</v>
      </c>
      <c r="T95" s="149">
        <f>IFERROR(AVERAGE(Tabla1[[#This Row],[T. Mínimo]],Tabla1[[#This Row],[T. Máximo]]),0)</f>
        <v>1.5</v>
      </c>
      <c r="U95" s="150">
        <v>1</v>
      </c>
      <c r="V95" s="150">
        <v>1.5</v>
      </c>
      <c r="W95" s="149">
        <f>IFERROR(AVERAGE(Tabla1[[#This Row],[T. Mínimo*]],Tabla1[[#This Row],[T. Máximo*]]),0)</f>
        <v>1.25</v>
      </c>
      <c r="X95" s="150">
        <v>1</v>
      </c>
      <c r="Y95" s="150">
        <v>1.5</v>
      </c>
      <c r="Z95" s="149">
        <f>IFERROR(AVERAGE(Tabla1[[#This Row],[T. Mínimo**]],Tabla1[[#This Row],[T. Máximo**]]),0)</f>
        <v>1.25</v>
      </c>
      <c r="AA95" s="151">
        <f>SUM(Tabla1[[#This Row],[Promedio]],Tabla1[[#This Row],[Promedio*]],Tabla1[[#This Row],[Promedio**]])</f>
        <v>4</v>
      </c>
      <c r="AB95" s="152" t="s">
        <v>2486</v>
      </c>
      <c r="AD95" s="20" t="s">
        <v>2395</v>
      </c>
      <c r="AE95" s="10" t="s">
        <v>163</v>
      </c>
      <c r="AF95" s="20" t="s">
        <v>164</v>
      </c>
      <c r="AG95" s="10" t="s">
        <v>169</v>
      </c>
      <c r="AH95" s="22" t="str">
        <f t="shared" si="2"/>
        <v>Áncash_01 Huaraz</v>
      </c>
      <c r="AI95" s="10" t="s">
        <v>347</v>
      </c>
      <c r="AJ95" s="20" t="s">
        <v>188</v>
      </c>
      <c r="AK95" s="22" t="str">
        <f t="shared" si="3"/>
        <v>Áncash_01 Huaraz_06 Jangas</v>
      </c>
      <c r="AL95" s="25">
        <v>1</v>
      </c>
      <c r="AM95" s="25">
        <v>56</v>
      </c>
      <c r="AN95" s="26">
        <f>Tabla2[[#This Row],[Minutos]]/60</f>
        <v>0.93333333333333335</v>
      </c>
      <c r="AO95" s="27">
        <f>SUM(Tabla2[[#This Row],[Horas]],Tabla2[[#This Row],[Minutos a Horas]])</f>
        <v>1.9333333333333333</v>
      </c>
      <c r="AP95" s="49"/>
      <c r="AQ95" s="49">
        <v>40</v>
      </c>
      <c r="AR95" s="26">
        <f>Tabla2[[#This Row],[Minutos*]]/60</f>
        <v>0.66666666666666663</v>
      </c>
      <c r="AS95" s="27">
        <f>SUM(Tabla2[[#This Row],[Horas*]],Tabla2[[#This Row],[Minutos a Horas*]])+(Tabla2[[#This Row],[Tiempo Total a Nivel Proncincial (Horas)]])</f>
        <v>2.6</v>
      </c>
      <c r="AV95" s="62"/>
    </row>
    <row r="96" spans="2:48" ht="60" customHeight="1" x14ac:dyDescent="0.25">
      <c r="B96" s="78" t="s">
        <v>2314</v>
      </c>
      <c r="C96" s="199" t="s">
        <v>4</v>
      </c>
      <c r="D96" s="143" t="s">
        <v>2490</v>
      </c>
      <c r="E96" s="143"/>
      <c r="F96" s="143" t="str">
        <f>CONCATENATE(Tabla1[[#This Row],[Simbología]],"_",Tabla1[[#This Row],[Acción]])</f>
        <v>AAA_Supervisión de instalaciones y medios de transporte (CL, GLP, GNV, GNC,GNL y OPDH)</v>
      </c>
      <c r="G96" s="143" t="s">
        <v>12</v>
      </c>
      <c r="H96" s="142" t="s">
        <v>2555</v>
      </c>
      <c r="I96" s="144"/>
      <c r="J96" s="207" t="str">
        <f>CONCATENATE(Tabla1[[#This Row],[Simbología1]],"_",Tabla1[[#This Row],[Acción Especifica]])</f>
        <v>KIN_3_Supervisión operativa de actos inseguros</v>
      </c>
      <c r="K96" s="207" t="s">
        <v>2597</v>
      </c>
      <c r="L96" s="147" t="s">
        <v>27</v>
      </c>
      <c r="M96" s="147"/>
      <c r="N96" s="146" t="str">
        <f>CONCATENATE(Tabla1[[#This Row],[Simbología**]],"_",Tabla1[[#This Row],[Sub Acción Especifica]])</f>
        <v>KKIN_25_Actos Inseguros</v>
      </c>
      <c r="O96" s="144" t="s">
        <v>2652</v>
      </c>
      <c r="P96" s="147" t="s">
        <v>23</v>
      </c>
      <c r="Q96" s="146" t="str">
        <f>CONCATENATE(Tabla1[[#This Row],[Simbología*]],"_",Tabla1[[#This Row],[Tipo de instalación relacionado]])</f>
        <v>KKKIN_33_Medios de Transporte y Distribuidores (Líquidos, GLP)</v>
      </c>
      <c r="R96" s="148">
        <v>1</v>
      </c>
      <c r="S96" s="148">
        <v>2</v>
      </c>
      <c r="T96" s="149">
        <f>IFERROR(AVERAGE(Tabla1[[#This Row],[T. Mínimo]],Tabla1[[#This Row],[T. Máximo]]),0)</f>
        <v>1.5</v>
      </c>
      <c r="U96" s="150">
        <v>1</v>
      </c>
      <c r="V96" s="150">
        <v>1.5</v>
      </c>
      <c r="W96" s="149">
        <f>IFERROR(AVERAGE(Tabla1[[#This Row],[T. Mínimo*]],Tabla1[[#This Row],[T. Máximo*]]),0)</f>
        <v>1.25</v>
      </c>
      <c r="X96" s="150">
        <v>1</v>
      </c>
      <c r="Y96" s="150">
        <v>1.5</v>
      </c>
      <c r="Z96" s="149">
        <f>IFERROR(AVERAGE(Tabla1[[#This Row],[T. Mínimo**]],Tabla1[[#This Row],[T. Máximo**]]),0)</f>
        <v>1.25</v>
      </c>
      <c r="AA96" s="151">
        <f>SUM(Tabla1[[#This Row],[Promedio]],Tabla1[[#This Row],[Promedio*]],Tabla1[[#This Row],[Promedio**]])</f>
        <v>4</v>
      </c>
      <c r="AB96" s="152" t="s">
        <v>2486</v>
      </c>
      <c r="AD96" s="20" t="s">
        <v>2395</v>
      </c>
      <c r="AE96" s="10" t="s">
        <v>163</v>
      </c>
      <c r="AF96" s="20" t="s">
        <v>164</v>
      </c>
      <c r="AG96" s="10" t="s">
        <v>170</v>
      </c>
      <c r="AH96" s="22" t="str">
        <f t="shared" si="2"/>
        <v>Áncash_01 Huaraz</v>
      </c>
      <c r="AI96" s="10" t="s">
        <v>347</v>
      </c>
      <c r="AJ96" s="20" t="s">
        <v>189</v>
      </c>
      <c r="AK96" s="22" t="str">
        <f t="shared" si="3"/>
        <v>Áncash_01 Huaraz_07 La Libertad</v>
      </c>
      <c r="AL96" s="25">
        <v>1</v>
      </c>
      <c r="AM96" s="25">
        <v>56</v>
      </c>
      <c r="AN96" s="26">
        <f>Tabla2[[#This Row],[Minutos]]/60</f>
        <v>0.93333333333333335</v>
      </c>
      <c r="AO96" s="27">
        <f>SUM(Tabla2[[#This Row],[Horas]],Tabla2[[#This Row],[Minutos a Horas]])</f>
        <v>1.9333333333333333</v>
      </c>
      <c r="AP96" s="49">
        <v>1</v>
      </c>
      <c r="AQ96" s="49">
        <v>20</v>
      </c>
      <c r="AR96" s="26">
        <f>Tabla2[[#This Row],[Minutos*]]/60</f>
        <v>0.33333333333333331</v>
      </c>
      <c r="AS96" s="27">
        <f>SUM(Tabla2[[#This Row],[Horas*]],Tabla2[[#This Row],[Minutos a Horas*]])+(Tabla2[[#This Row],[Tiempo Total a Nivel Proncincial (Horas)]])</f>
        <v>3.2666666666666666</v>
      </c>
      <c r="AV96" s="62"/>
    </row>
    <row r="97" spans="2:48" ht="60" customHeight="1" x14ac:dyDescent="0.25">
      <c r="B97" s="78" t="s">
        <v>2314</v>
      </c>
      <c r="C97" s="199" t="s">
        <v>4</v>
      </c>
      <c r="D97" s="143" t="s">
        <v>2490</v>
      </c>
      <c r="E97" s="143"/>
      <c r="F97" s="143" t="str">
        <f>CONCATENATE(Tabla1[[#This Row],[Simbología]],"_",Tabla1[[#This Row],[Acción]])</f>
        <v>AAA_Supervisión de instalaciones y medios de transporte (CL, GLP, GNV, GNC,GNL y OPDH)</v>
      </c>
      <c r="G97" s="143" t="s">
        <v>12</v>
      </c>
      <c r="H97" s="143" t="s">
        <v>2471</v>
      </c>
      <c r="I97" s="144"/>
      <c r="J97" s="207" t="str">
        <f>CONCATENATE(Tabla1[[#This Row],[Simbología1]],"_",Tabla1[[#This Row],[Acción Especifica]])</f>
        <v>KIN_3_Supervisión Expost de Informes de Indice de Riesgo</v>
      </c>
      <c r="K97" s="207" t="s">
        <v>2598</v>
      </c>
      <c r="L97" s="143" t="s">
        <v>2471</v>
      </c>
      <c r="M97" s="143" t="s">
        <v>2471</v>
      </c>
      <c r="N97" s="146" t="str">
        <f>CONCATENATE(Tabla1[[#This Row],[Simbología**]],"_",Tabla1[[#This Row],[Sub Acción Especifica]])</f>
        <v>KKIN_26_Supervisión Expost de Informes de Indice de Riesgo</v>
      </c>
      <c r="O97" s="144" t="s">
        <v>2653</v>
      </c>
      <c r="P97" s="147" t="s">
        <v>2363</v>
      </c>
      <c r="Q97" s="146" t="str">
        <f>CONCATENATE(Tabla1[[#This Row],[Simbología*]],"_",Tabla1[[#This Row],[Tipo de instalación relacionado]])</f>
        <v>KKKIN_34_Establecimientos de Venta al Público (Líquidos y/o GLP)</v>
      </c>
      <c r="R97" s="148">
        <v>0.5</v>
      </c>
      <c r="S97" s="148">
        <v>1</v>
      </c>
      <c r="T97" s="149">
        <f>IFERROR(AVERAGE(Tabla1[[#This Row],[T. Mínimo]],Tabla1[[#This Row],[T. Máximo]]),0)</f>
        <v>0.75</v>
      </c>
      <c r="U97" s="148">
        <v>1</v>
      </c>
      <c r="V97" s="148">
        <v>1.5</v>
      </c>
      <c r="W97" s="149">
        <f>IFERROR(AVERAGE(Tabla1[[#This Row],[T. Mínimo*]],Tabla1[[#This Row],[T. Máximo*]]),0)</f>
        <v>1.25</v>
      </c>
      <c r="X97" s="155">
        <v>1</v>
      </c>
      <c r="Y97" s="155">
        <v>2</v>
      </c>
      <c r="Z97" s="149">
        <f>IFERROR(AVERAGE(Tabla1[[#This Row],[T. Mínimo**]],Tabla1[[#This Row],[T. Máximo**]]),0)</f>
        <v>1.5</v>
      </c>
      <c r="AA97" s="151">
        <f>SUM(Tabla1[[#This Row],[Promedio]],Tabla1[[#This Row],[Promedio*]],Tabla1[[#This Row],[Promedio**]])</f>
        <v>3.5</v>
      </c>
      <c r="AB97" s="152" t="s">
        <v>2486</v>
      </c>
      <c r="AD97" s="20" t="s">
        <v>2395</v>
      </c>
      <c r="AE97" s="10" t="s">
        <v>163</v>
      </c>
      <c r="AF97" s="20" t="s">
        <v>164</v>
      </c>
      <c r="AG97" s="10" t="s">
        <v>171</v>
      </c>
      <c r="AH97" s="22" t="str">
        <f t="shared" si="2"/>
        <v>Áncash_01 Huaraz</v>
      </c>
      <c r="AI97" s="10" t="s">
        <v>347</v>
      </c>
      <c r="AJ97" s="20" t="s">
        <v>190</v>
      </c>
      <c r="AK97" s="22" t="str">
        <f t="shared" si="3"/>
        <v>Áncash_01 Huaraz_08 Olleros</v>
      </c>
      <c r="AL97" s="25">
        <v>1</v>
      </c>
      <c r="AM97" s="25">
        <v>56</v>
      </c>
      <c r="AN97" s="26">
        <f>Tabla2[[#This Row],[Minutos]]/60</f>
        <v>0.93333333333333335</v>
      </c>
      <c r="AO97" s="27">
        <f>SUM(Tabla2[[#This Row],[Horas]],Tabla2[[#This Row],[Minutos a Horas]])</f>
        <v>1.9333333333333333</v>
      </c>
      <c r="AP97" s="49"/>
      <c r="AQ97" s="49">
        <v>40</v>
      </c>
      <c r="AR97" s="26">
        <f>Tabla2[[#This Row],[Minutos*]]/60</f>
        <v>0.66666666666666663</v>
      </c>
      <c r="AS97" s="27">
        <f>SUM(Tabla2[[#This Row],[Horas*]],Tabla2[[#This Row],[Minutos a Horas*]])+(Tabla2[[#This Row],[Tiempo Total a Nivel Proncincial (Horas)]])</f>
        <v>2.6</v>
      </c>
      <c r="AV97" s="62"/>
    </row>
    <row r="98" spans="2:48" ht="60" customHeight="1" x14ac:dyDescent="0.25">
      <c r="B98" s="78" t="s">
        <v>2314</v>
      </c>
      <c r="C98" s="199" t="s">
        <v>4</v>
      </c>
      <c r="D98" s="143" t="s">
        <v>2490</v>
      </c>
      <c r="E98" s="143"/>
      <c r="F98" s="143" t="str">
        <f>CONCATENATE(Tabla1[[#This Row],[Simbología]],"_",Tabla1[[#This Row],[Acción]])</f>
        <v>AAA_Supervisión de instalaciones y medios de transporte (CL, GLP, GNV, GNC,GNL y OPDH)</v>
      </c>
      <c r="G98" s="143" t="s">
        <v>12</v>
      </c>
      <c r="H98" s="143" t="s">
        <v>2471</v>
      </c>
      <c r="I98" s="144"/>
      <c r="J98" s="207" t="str">
        <f>CONCATENATE(Tabla1[[#This Row],[Simbología1]],"_",Tabla1[[#This Row],[Acción Especifica]])</f>
        <v>KIN_3_Supervisión Expost de Informes de Indice de Riesgo</v>
      </c>
      <c r="K98" s="207" t="s">
        <v>2598</v>
      </c>
      <c r="L98" s="143" t="s">
        <v>2471</v>
      </c>
      <c r="M98" s="154"/>
      <c r="N98" s="146" t="str">
        <f>CONCATENATE(Tabla1[[#This Row],[Simbología**]],"_",Tabla1[[#This Row],[Sub Acción Especifica]])</f>
        <v>KKIN_26_Supervisión Expost de Informes de Indice de Riesgo</v>
      </c>
      <c r="O98" s="144" t="s">
        <v>2653</v>
      </c>
      <c r="P98" s="147" t="s">
        <v>13</v>
      </c>
      <c r="Q98" s="146" t="str">
        <f>CONCATENATE(Tabla1[[#This Row],[Simbología*]],"_",Tabla1[[#This Row],[Tipo de instalación relacionado]])</f>
        <v>KKKIN_34_Establecimientos (GNV, GNC, GNL)</v>
      </c>
      <c r="R98" s="148">
        <v>0.5</v>
      </c>
      <c r="S98" s="148">
        <v>1</v>
      </c>
      <c r="T98" s="149">
        <f>IFERROR(AVERAGE(Tabla1[[#This Row],[T. Mínimo]],Tabla1[[#This Row],[T. Máximo]]),0)</f>
        <v>0.75</v>
      </c>
      <c r="U98" s="148">
        <v>1</v>
      </c>
      <c r="V98" s="148">
        <v>1.5</v>
      </c>
      <c r="W98" s="149">
        <f>IFERROR(AVERAGE(Tabla1[[#This Row],[T. Mínimo*]],Tabla1[[#This Row],[T. Máximo*]]),0)</f>
        <v>1.25</v>
      </c>
      <c r="X98" s="155">
        <v>1</v>
      </c>
      <c r="Y98" s="155">
        <v>2</v>
      </c>
      <c r="Z98" s="149">
        <f>IFERROR(AVERAGE(Tabla1[[#This Row],[T. Mínimo**]],Tabla1[[#This Row],[T. Máximo**]]),0)</f>
        <v>1.5</v>
      </c>
      <c r="AA98" s="151">
        <f>SUM(Tabla1[[#This Row],[Promedio]],Tabla1[[#This Row],[Promedio*]],Tabla1[[#This Row],[Promedio**]])</f>
        <v>3.5</v>
      </c>
      <c r="AB98" s="152" t="s">
        <v>2486</v>
      </c>
      <c r="AD98" s="20" t="s">
        <v>2395</v>
      </c>
      <c r="AE98" s="10" t="s">
        <v>163</v>
      </c>
      <c r="AF98" s="20" t="s">
        <v>164</v>
      </c>
      <c r="AG98" s="10" t="s">
        <v>172</v>
      </c>
      <c r="AH98" s="22" t="str">
        <f t="shared" si="2"/>
        <v>Áncash_01 Huaraz</v>
      </c>
      <c r="AI98" s="10" t="s">
        <v>347</v>
      </c>
      <c r="AJ98" s="20" t="s">
        <v>191</v>
      </c>
      <c r="AK98" s="22" t="str">
        <f t="shared" si="3"/>
        <v>Áncash_01 Huaraz_09 Pampas Grande</v>
      </c>
      <c r="AL98" s="25">
        <v>1</v>
      </c>
      <c r="AM98" s="25">
        <v>56</v>
      </c>
      <c r="AN98" s="26">
        <f>Tabla2[[#This Row],[Minutos]]/60</f>
        <v>0.93333333333333335</v>
      </c>
      <c r="AO98" s="27">
        <f>SUM(Tabla2[[#This Row],[Horas]],Tabla2[[#This Row],[Minutos a Horas]])</f>
        <v>1.9333333333333333</v>
      </c>
      <c r="AP98" s="49">
        <v>3</v>
      </c>
      <c r="AQ98" s="49"/>
      <c r="AR98" s="26">
        <f>Tabla2[[#This Row],[Minutos*]]/60</f>
        <v>0</v>
      </c>
      <c r="AS98" s="27">
        <f>SUM(Tabla2[[#This Row],[Horas*]],Tabla2[[#This Row],[Minutos a Horas*]])+(Tabla2[[#This Row],[Tiempo Total a Nivel Proncincial (Horas)]])</f>
        <v>4.9333333333333336</v>
      </c>
      <c r="AV98" s="62"/>
    </row>
    <row r="99" spans="2:48" ht="60" customHeight="1" x14ac:dyDescent="0.25">
      <c r="B99" s="78" t="s">
        <v>2314</v>
      </c>
      <c r="C99" s="199" t="s">
        <v>4</v>
      </c>
      <c r="D99" s="143" t="s">
        <v>2490</v>
      </c>
      <c r="E99" s="143"/>
      <c r="F99" s="143" t="str">
        <f>CONCATENATE(Tabla1[[#This Row],[Simbología]],"_",Tabla1[[#This Row],[Acción]])</f>
        <v>AAA_Supervisión de instalaciones y medios de transporte (CL, GLP, GNV, GNC,GNL y OPDH)</v>
      </c>
      <c r="G99" s="143" t="s">
        <v>12</v>
      </c>
      <c r="H99" s="143" t="s">
        <v>2471</v>
      </c>
      <c r="I99" s="144"/>
      <c r="J99" s="207" t="str">
        <f>CONCATENATE(Tabla1[[#This Row],[Simbología1]],"_",Tabla1[[#This Row],[Acción Especifica]])</f>
        <v>KIN_3_Supervisión Expost de Informes de Indice de Riesgo</v>
      </c>
      <c r="K99" s="207" t="s">
        <v>2598</v>
      </c>
      <c r="L99" s="143" t="s">
        <v>2471</v>
      </c>
      <c r="M99" s="154"/>
      <c r="N99" s="146" t="str">
        <f>CONCATENATE(Tabla1[[#This Row],[Simbología**]],"_",Tabla1[[#This Row],[Sub Acción Especifica]])</f>
        <v>KKIN_26_Supervisión Expost de Informes de Indice de Riesgo</v>
      </c>
      <c r="O99" s="144" t="s">
        <v>2653</v>
      </c>
      <c r="P99" s="147" t="s">
        <v>8</v>
      </c>
      <c r="Q99" s="146" t="str">
        <f>CONCATENATE(Tabla1[[#This Row],[Simbología*]],"_",Tabla1[[#This Row],[Tipo de instalación relacionado]])</f>
        <v>KKKIN_34_Consumidores Directos de CL y/u OPDH</v>
      </c>
      <c r="R99" s="148">
        <v>0.5</v>
      </c>
      <c r="S99" s="148">
        <v>1</v>
      </c>
      <c r="T99" s="149">
        <f>IFERROR(AVERAGE(Tabla1[[#This Row],[T. Mínimo]],Tabla1[[#This Row],[T. Máximo]]),0)</f>
        <v>0.75</v>
      </c>
      <c r="U99" s="148">
        <v>1</v>
      </c>
      <c r="V99" s="148">
        <v>1.5</v>
      </c>
      <c r="W99" s="149">
        <f>IFERROR(AVERAGE(Tabla1[[#This Row],[T. Mínimo*]],Tabla1[[#This Row],[T. Máximo*]]),0)</f>
        <v>1.25</v>
      </c>
      <c r="X99" s="155">
        <v>1</v>
      </c>
      <c r="Y99" s="155">
        <v>2</v>
      </c>
      <c r="Z99" s="149">
        <f>IFERROR(AVERAGE(Tabla1[[#This Row],[T. Mínimo**]],Tabla1[[#This Row],[T. Máximo**]]),0)</f>
        <v>1.5</v>
      </c>
      <c r="AA99" s="151">
        <f>SUM(Tabla1[[#This Row],[Promedio]],Tabla1[[#This Row],[Promedio*]],Tabla1[[#This Row],[Promedio**]])</f>
        <v>3.5</v>
      </c>
      <c r="AB99" s="152" t="s">
        <v>2486</v>
      </c>
      <c r="AD99" s="20" t="s">
        <v>2395</v>
      </c>
      <c r="AE99" s="10" t="s">
        <v>163</v>
      </c>
      <c r="AF99" s="20" t="s">
        <v>164</v>
      </c>
      <c r="AG99" s="10" t="s">
        <v>173</v>
      </c>
      <c r="AH99" s="22" t="str">
        <f t="shared" si="2"/>
        <v>Áncash_01 Huaraz</v>
      </c>
      <c r="AI99" s="10" t="s">
        <v>347</v>
      </c>
      <c r="AJ99" s="20" t="s">
        <v>192</v>
      </c>
      <c r="AK99" s="22" t="str">
        <f t="shared" si="3"/>
        <v>Áncash_01 Huaraz_10 Pariacoto</v>
      </c>
      <c r="AL99" s="25">
        <v>1</v>
      </c>
      <c r="AM99" s="25">
        <v>56</v>
      </c>
      <c r="AN99" s="26">
        <f>Tabla2[[#This Row],[Minutos]]/60</f>
        <v>0.93333333333333335</v>
      </c>
      <c r="AO99" s="27">
        <f>SUM(Tabla2[[#This Row],[Horas]],Tabla2[[#This Row],[Minutos a Horas]])</f>
        <v>1.9333333333333333</v>
      </c>
      <c r="AP99" s="49">
        <v>2</v>
      </c>
      <c r="AQ99" s="49"/>
      <c r="AR99" s="26">
        <f>Tabla2[[#This Row],[Minutos*]]/60</f>
        <v>0</v>
      </c>
      <c r="AS99" s="27">
        <f>SUM(Tabla2[[#This Row],[Horas*]],Tabla2[[#This Row],[Minutos a Horas*]])+(Tabla2[[#This Row],[Tiempo Total a Nivel Proncincial (Horas)]])</f>
        <v>3.9333333333333336</v>
      </c>
      <c r="AV99" s="62"/>
    </row>
    <row r="100" spans="2:48" ht="60" customHeight="1" x14ac:dyDescent="0.25">
      <c r="B100" s="78" t="s">
        <v>2314</v>
      </c>
      <c r="C100" s="199" t="s">
        <v>4</v>
      </c>
      <c r="D100" s="143" t="s">
        <v>2490</v>
      </c>
      <c r="E100" s="143"/>
      <c r="F100" s="143" t="str">
        <f>CONCATENATE(Tabla1[[#This Row],[Simbología]],"_",Tabla1[[#This Row],[Acción]])</f>
        <v>AAA_Supervisión de instalaciones y medios de transporte (CL, GLP, GNV, GNC,GNL y OPDH)</v>
      </c>
      <c r="G100" s="143" t="s">
        <v>12</v>
      </c>
      <c r="H100" s="143" t="s">
        <v>2471</v>
      </c>
      <c r="I100" s="144"/>
      <c r="J100" s="207" t="str">
        <f>CONCATENATE(Tabla1[[#This Row],[Simbología1]],"_",Tabla1[[#This Row],[Acción Especifica]])</f>
        <v>KIN_3_Supervisión Expost de Informes de Indice de Riesgo</v>
      </c>
      <c r="K100" s="207" t="s">
        <v>2598</v>
      </c>
      <c r="L100" s="143" t="s">
        <v>2471</v>
      </c>
      <c r="M100" s="154"/>
      <c r="N100" s="146" t="str">
        <f>CONCATENATE(Tabla1[[#This Row],[Simbología**]],"_",Tabla1[[#This Row],[Sub Acción Especifica]])</f>
        <v>KKIN_26_Supervisión Expost de Informes de Indice de Riesgo</v>
      </c>
      <c r="O100" s="144" t="s">
        <v>2653</v>
      </c>
      <c r="P100" s="147" t="s">
        <v>22</v>
      </c>
      <c r="Q100" s="146" t="str">
        <f>CONCATENATE(Tabla1[[#This Row],[Simbología*]],"_",Tabla1[[#This Row],[Tipo de instalación relacionado]])</f>
        <v>KKKIN_34_Consumidores Directos GLP y Redes de Distribución</v>
      </c>
      <c r="R100" s="148">
        <v>0.5</v>
      </c>
      <c r="S100" s="148">
        <v>1</v>
      </c>
      <c r="T100" s="149">
        <f>IFERROR(AVERAGE(Tabla1[[#This Row],[T. Mínimo]],Tabla1[[#This Row],[T. Máximo]]),0)</f>
        <v>0.75</v>
      </c>
      <c r="U100" s="148">
        <v>1</v>
      </c>
      <c r="V100" s="148">
        <v>1.5</v>
      </c>
      <c r="W100" s="149">
        <f>IFERROR(AVERAGE(Tabla1[[#This Row],[T. Mínimo*]],Tabla1[[#This Row],[T. Máximo*]]),0)</f>
        <v>1.25</v>
      </c>
      <c r="X100" s="155">
        <v>1</v>
      </c>
      <c r="Y100" s="155">
        <v>2</v>
      </c>
      <c r="Z100" s="149">
        <f>IFERROR(AVERAGE(Tabla1[[#This Row],[T. Mínimo**]],Tabla1[[#This Row],[T. Máximo**]]),0)</f>
        <v>1.5</v>
      </c>
      <c r="AA100" s="151">
        <f>SUM(Tabla1[[#This Row],[Promedio]],Tabla1[[#This Row],[Promedio*]],Tabla1[[#This Row],[Promedio**]])</f>
        <v>3.5</v>
      </c>
      <c r="AB100" s="152" t="s">
        <v>2486</v>
      </c>
      <c r="AD100" s="20" t="s">
        <v>2395</v>
      </c>
      <c r="AE100" s="10" t="s">
        <v>163</v>
      </c>
      <c r="AF100" s="20" t="s">
        <v>164</v>
      </c>
      <c r="AG100" s="10" t="s">
        <v>174</v>
      </c>
      <c r="AH100" s="22" t="str">
        <f t="shared" si="2"/>
        <v>Áncash_01 Huaraz</v>
      </c>
      <c r="AI100" s="10" t="s">
        <v>347</v>
      </c>
      <c r="AJ100" s="20" t="s">
        <v>193</v>
      </c>
      <c r="AK100" s="22" t="str">
        <f t="shared" si="3"/>
        <v>Áncash_01 Huaraz_11 Pira</v>
      </c>
      <c r="AL100" s="25">
        <v>1</v>
      </c>
      <c r="AM100" s="25">
        <v>56</v>
      </c>
      <c r="AN100" s="26">
        <f>Tabla2[[#This Row],[Minutos]]/60</f>
        <v>0.93333333333333335</v>
      </c>
      <c r="AO100" s="27">
        <f>SUM(Tabla2[[#This Row],[Horas]],Tabla2[[#This Row],[Minutos a Horas]])</f>
        <v>1.9333333333333333</v>
      </c>
      <c r="AP100" s="49">
        <v>2</v>
      </c>
      <c r="AQ100" s="49"/>
      <c r="AR100" s="26">
        <f>Tabla2[[#This Row],[Minutos*]]/60</f>
        <v>0</v>
      </c>
      <c r="AS100" s="27">
        <f>SUM(Tabla2[[#This Row],[Horas*]],Tabla2[[#This Row],[Minutos a Horas*]])+(Tabla2[[#This Row],[Tiempo Total a Nivel Proncincial (Horas)]])</f>
        <v>3.9333333333333336</v>
      </c>
      <c r="AV100" s="62"/>
    </row>
    <row r="101" spans="2:48" ht="60" customHeight="1" x14ac:dyDescent="0.25">
      <c r="B101" s="78" t="s">
        <v>2314</v>
      </c>
      <c r="C101" s="199" t="s">
        <v>4</v>
      </c>
      <c r="D101" s="143" t="s">
        <v>2490</v>
      </c>
      <c r="E101" s="143"/>
      <c r="F101" s="143" t="str">
        <f>CONCATENATE(Tabla1[[#This Row],[Simbología]],"_",Tabla1[[#This Row],[Acción]])</f>
        <v>AAA_Supervisión de instalaciones y medios de transporte (CL, GLP, GNV, GNC,GNL y OPDH)</v>
      </c>
      <c r="G101" s="143" t="s">
        <v>12</v>
      </c>
      <c r="H101" s="142" t="s">
        <v>2559</v>
      </c>
      <c r="I101" s="144"/>
      <c r="J101" s="207" t="str">
        <f>CONCATENATE(Tabla1[[#This Row],[Simbología1]],"_",Tabla1[[#This Row],[Acción Especifica]])</f>
        <v>KIN_3_Supervisión de Emergencias (Supervisión Especial de las Instalaciones y Medios de Transporte)</v>
      </c>
      <c r="K101" s="207" t="s">
        <v>2599</v>
      </c>
      <c r="L101" s="147" t="s">
        <v>46</v>
      </c>
      <c r="M101" s="147" t="s">
        <v>46</v>
      </c>
      <c r="N101" s="146" t="str">
        <f>CONCATENATE(Tabla1[[#This Row],[Simbología**]],"_",Tabla1[[#This Row],[Sub Acción Especifica]])</f>
        <v>KKIN_27_Atención de Emergencias</v>
      </c>
      <c r="O101" s="144" t="s">
        <v>2654</v>
      </c>
      <c r="P101" s="147" t="s">
        <v>2363</v>
      </c>
      <c r="Q101" s="146" t="str">
        <f>CONCATENATE(Tabla1[[#This Row],[Simbología*]],"_",Tabla1[[#This Row],[Tipo de instalación relacionado]])</f>
        <v>KKKIN_35_Establecimientos de Venta al Público (Líquidos y/o GLP)</v>
      </c>
      <c r="R101" s="148">
        <v>1</v>
      </c>
      <c r="S101" s="148">
        <v>2</v>
      </c>
      <c r="T101" s="149">
        <f>IFERROR(AVERAGE(Tabla1[[#This Row],[T. Mínimo]],Tabla1[[#This Row],[T. Máximo]]),0)</f>
        <v>1.5</v>
      </c>
      <c r="U101" s="150">
        <v>1.5</v>
      </c>
      <c r="V101" s="150">
        <v>3</v>
      </c>
      <c r="W101" s="149">
        <f>IFERROR(AVERAGE(Tabla1[[#This Row],[T. Mínimo*]],Tabla1[[#This Row],[T. Máximo*]]),0)</f>
        <v>2.25</v>
      </c>
      <c r="X101" s="150">
        <v>2</v>
      </c>
      <c r="Y101" s="150">
        <v>3</v>
      </c>
      <c r="Z101" s="149">
        <f>IFERROR(AVERAGE(Tabla1[[#This Row],[T. Mínimo**]],Tabla1[[#This Row],[T. Máximo**]]),0)</f>
        <v>2.5</v>
      </c>
      <c r="AA101" s="151">
        <f>SUM(Tabla1[[#This Row],[Promedio]],Tabla1[[#This Row],[Promedio*]],Tabla1[[#This Row],[Promedio**]])</f>
        <v>6.25</v>
      </c>
      <c r="AB101" s="152" t="s">
        <v>2486</v>
      </c>
      <c r="AD101" s="20" t="s">
        <v>2395</v>
      </c>
      <c r="AE101" s="10" t="s">
        <v>163</v>
      </c>
      <c r="AF101" s="20" t="s">
        <v>164</v>
      </c>
      <c r="AG101" s="10" t="s">
        <v>175</v>
      </c>
      <c r="AH101" s="22" t="str">
        <f t="shared" si="2"/>
        <v>Áncash_01 Huaraz</v>
      </c>
      <c r="AI101" s="10" t="s">
        <v>347</v>
      </c>
      <c r="AJ101" s="20" t="s">
        <v>194</v>
      </c>
      <c r="AK101" s="22" t="str">
        <f t="shared" si="3"/>
        <v>Áncash_01 Huaraz_12 Tarica</v>
      </c>
      <c r="AL101" s="25">
        <v>1</v>
      </c>
      <c r="AM101" s="25">
        <v>56</v>
      </c>
      <c r="AN101" s="26">
        <f>Tabla2[[#This Row],[Minutos]]/60</f>
        <v>0.93333333333333335</v>
      </c>
      <c r="AO101" s="27">
        <f>SUM(Tabla2[[#This Row],[Horas]],Tabla2[[#This Row],[Minutos a Horas]])</f>
        <v>1.9333333333333333</v>
      </c>
      <c r="AP101" s="49"/>
      <c r="AQ101" s="49">
        <v>40</v>
      </c>
      <c r="AR101" s="26">
        <f>Tabla2[[#This Row],[Minutos*]]/60</f>
        <v>0.66666666666666663</v>
      </c>
      <c r="AS101" s="27">
        <f>SUM(Tabla2[[#This Row],[Horas*]],Tabla2[[#This Row],[Minutos a Horas*]])+(Tabla2[[#This Row],[Tiempo Total a Nivel Proncincial (Horas)]])</f>
        <v>2.6</v>
      </c>
      <c r="AV101" s="62"/>
    </row>
    <row r="102" spans="2:48" ht="60" customHeight="1" x14ac:dyDescent="0.25">
      <c r="B102" s="78" t="s">
        <v>2314</v>
      </c>
      <c r="C102" s="199" t="s">
        <v>4</v>
      </c>
      <c r="D102" s="143" t="s">
        <v>2490</v>
      </c>
      <c r="E102" s="143"/>
      <c r="F102" s="143" t="str">
        <f>CONCATENATE(Tabla1[[#This Row],[Simbología]],"_",Tabla1[[#This Row],[Acción]])</f>
        <v>AAA_Supervisión de instalaciones y medios de transporte (CL, GLP, GNV, GNC,GNL y OPDH)</v>
      </c>
      <c r="G102" s="143" t="s">
        <v>12</v>
      </c>
      <c r="H102" s="142" t="s">
        <v>2559</v>
      </c>
      <c r="I102" s="144"/>
      <c r="J102" s="207" t="str">
        <f>CONCATENATE(Tabla1[[#This Row],[Simbología1]],"_",Tabla1[[#This Row],[Acción Especifica]])</f>
        <v>KIN_3_Supervisión de Emergencias (Supervisión Especial de las Instalaciones y Medios de Transporte)</v>
      </c>
      <c r="K102" s="207" t="s">
        <v>2599</v>
      </c>
      <c r="L102" s="147" t="s">
        <v>46</v>
      </c>
      <c r="M102" s="143"/>
      <c r="N102" s="146" t="str">
        <f>CONCATENATE(Tabla1[[#This Row],[Simbología**]],"_",Tabla1[[#This Row],[Sub Acción Especifica]])</f>
        <v>KKIN_27_Atención de Emergencias</v>
      </c>
      <c r="O102" s="144" t="s">
        <v>2654</v>
      </c>
      <c r="P102" s="147" t="s">
        <v>13</v>
      </c>
      <c r="Q102" s="146" t="str">
        <f>CONCATENATE(Tabla1[[#This Row],[Simbología*]],"_",Tabla1[[#This Row],[Tipo de instalación relacionado]])</f>
        <v>KKKIN_35_Establecimientos (GNV, GNC, GNL)</v>
      </c>
      <c r="R102" s="148">
        <v>1</v>
      </c>
      <c r="S102" s="148">
        <v>2</v>
      </c>
      <c r="T102" s="149">
        <f>IFERROR(AVERAGE(Tabla1[[#This Row],[T. Mínimo]],Tabla1[[#This Row],[T. Máximo]]),0)</f>
        <v>1.5</v>
      </c>
      <c r="U102" s="150">
        <v>1.5</v>
      </c>
      <c r="V102" s="150">
        <v>3</v>
      </c>
      <c r="W102" s="149">
        <f>IFERROR(AVERAGE(Tabla1[[#This Row],[T. Mínimo*]],Tabla1[[#This Row],[T. Máximo*]]),0)</f>
        <v>2.25</v>
      </c>
      <c r="X102" s="150">
        <v>2</v>
      </c>
      <c r="Y102" s="150">
        <v>3</v>
      </c>
      <c r="Z102" s="149">
        <f>IFERROR(AVERAGE(Tabla1[[#This Row],[T. Mínimo**]],Tabla1[[#This Row],[T. Máximo**]]),0)</f>
        <v>2.5</v>
      </c>
      <c r="AA102" s="151">
        <f>SUM(Tabla1[[#This Row],[Promedio]],Tabla1[[#This Row],[Promedio*]],Tabla1[[#This Row],[Promedio**]])</f>
        <v>6.25</v>
      </c>
      <c r="AB102" s="152" t="s">
        <v>2486</v>
      </c>
      <c r="AD102" s="20" t="s">
        <v>2395</v>
      </c>
      <c r="AE102" s="10" t="s">
        <v>163</v>
      </c>
      <c r="AF102" s="20" t="s">
        <v>165</v>
      </c>
      <c r="AG102" s="10" t="s">
        <v>176</v>
      </c>
      <c r="AH102" s="22" t="str">
        <f t="shared" si="2"/>
        <v>Áncash_02 Aija</v>
      </c>
      <c r="AI102" s="10" t="s">
        <v>348</v>
      </c>
      <c r="AJ102" s="20" t="s">
        <v>195</v>
      </c>
      <c r="AK102" s="22" t="str">
        <f t="shared" si="3"/>
        <v>Áncash_02 Aija_01 Aija</v>
      </c>
      <c r="AL102" s="25">
        <v>1</v>
      </c>
      <c r="AM102" s="25">
        <v>45</v>
      </c>
      <c r="AN102" s="26">
        <f>Tabla2[[#This Row],[Minutos]]/60</f>
        <v>0.75</v>
      </c>
      <c r="AO102" s="27">
        <f>SUM(Tabla2[[#This Row],[Horas]],Tabla2[[#This Row],[Minutos a Horas]])</f>
        <v>1.75</v>
      </c>
      <c r="AP102" s="49">
        <v>2</v>
      </c>
      <c r="AQ102" s="49">
        <v>0</v>
      </c>
      <c r="AR102" s="26">
        <f>Tabla2[[#This Row],[Minutos*]]/60</f>
        <v>0</v>
      </c>
      <c r="AS102" s="27">
        <f>SUM(Tabla2[[#This Row],[Horas*]],Tabla2[[#This Row],[Minutos a Horas*]])+(Tabla2[[#This Row],[Tiempo Total a Nivel Proncincial (Horas)]])</f>
        <v>3.75</v>
      </c>
      <c r="AV102" s="62"/>
    </row>
    <row r="103" spans="2:48" ht="60" customHeight="1" x14ac:dyDescent="0.25">
      <c r="B103" s="78" t="s">
        <v>2314</v>
      </c>
      <c r="C103" s="199" t="s">
        <v>4</v>
      </c>
      <c r="D103" s="143" t="s">
        <v>2490</v>
      </c>
      <c r="E103" s="143"/>
      <c r="F103" s="143" t="str">
        <f>CONCATENATE(Tabla1[[#This Row],[Simbología]],"_",Tabla1[[#This Row],[Acción]])</f>
        <v>AAA_Supervisión de instalaciones y medios de transporte (CL, GLP, GNV, GNC,GNL y OPDH)</v>
      </c>
      <c r="G103" s="143" t="s">
        <v>12</v>
      </c>
      <c r="H103" s="142" t="s">
        <v>2559</v>
      </c>
      <c r="I103" s="144"/>
      <c r="J103" s="207" t="str">
        <f>CONCATENATE(Tabla1[[#This Row],[Simbología1]],"_",Tabla1[[#This Row],[Acción Especifica]])</f>
        <v>KIN_3_Supervisión de Emergencias (Supervisión Especial de las Instalaciones y Medios de Transporte)</v>
      </c>
      <c r="K103" s="207" t="s">
        <v>2599</v>
      </c>
      <c r="L103" s="147" t="s">
        <v>46</v>
      </c>
      <c r="M103" s="143"/>
      <c r="N103" s="146" t="str">
        <f>CONCATENATE(Tabla1[[#This Row],[Simbología**]],"_",Tabla1[[#This Row],[Sub Acción Especifica]])</f>
        <v>KKIN_27_Atención de Emergencias</v>
      </c>
      <c r="O103" s="144" t="s">
        <v>2654</v>
      </c>
      <c r="P103" s="147" t="s">
        <v>8</v>
      </c>
      <c r="Q103" s="146" t="str">
        <f>CONCATENATE(Tabla1[[#This Row],[Simbología*]],"_",Tabla1[[#This Row],[Tipo de instalación relacionado]])</f>
        <v>KKKIN_35_Consumidores Directos de CL y/u OPDH</v>
      </c>
      <c r="R103" s="148">
        <v>1</v>
      </c>
      <c r="S103" s="148">
        <v>2</v>
      </c>
      <c r="T103" s="149">
        <f>IFERROR(AVERAGE(Tabla1[[#This Row],[T. Mínimo]],Tabla1[[#This Row],[T. Máximo]]),0)</f>
        <v>1.5</v>
      </c>
      <c r="U103" s="150">
        <v>1.5</v>
      </c>
      <c r="V103" s="150">
        <v>3</v>
      </c>
      <c r="W103" s="149">
        <f>IFERROR(AVERAGE(Tabla1[[#This Row],[T. Mínimo*]],Tabla1[[#This Row],[T. Máximo*]]),0)</f>
        <v>2.25</v>
      </c>
      <c r="X103" s="150">
        <v>2</v>
      </c>
      <c r="Y103" s="150">
        <v>3</v>
      </c>
      <c r="Z103" s="149">
        <f>IFERROR(AVERAGE(Tabla1[[#This Row],[T. Mínimo**]],Tabla1[[#This Row],[T. Máximo**]]),0)</f>
        <v>2.5</v>
      </c>
      <c r="AA103" s="151">
        <f>SUM(Tabla1[[#This Row],[Promedio]],Tabla1[[#This Row],[Promedio*]],Tabla1[[#This Row],[Promedio**]])</f>
        <v>6.25</v>
      </c>
      <c r="AB103" s="152" t="s">
        <v>2486</v>
      </c>
      <c r="AD103" s="20" t="s">
        <v>2395</v>
      </c>
      <c r="AE103" s="10" t="s">
        <v>163</v>
      </c>
      <c r="AF103" s="20" t="s">
        <v>165</v>
      </c>
      <c r="AG103" s="10" t="s">
        <v>177</v>
      </c>
      <c r="AH103" s="22" t="str">
        <f t="shared" si="2"/>
        <v>Áncash_02 Aija</v>
      </c>
      <c r="AI103" s="10" t="s">
        <v>348</v>
      </c>
      <c r="AJ103" s="20" t="s">
        <v>196</v>
      </c>
      <c r="AK103" s="22" t="str">
        <f t="shared" si="3"/>
        <v>Áncash_02 Aija_02 Coris</v>
      </c>
      <c r="AL103" s="25">
        <v>1</v>
      </c>
      <c r="AM103" s="25">
        <v>45</v>
      </c>
      <c r="AN103" s="26">
        <f>Tabla2[[#This Row],[Minutos]]/60</f>
        <v>0.75</v>
      </c>
      <c r="AO103" s="27">
        <f>SUM(Tabla2[[#This Row],[Horas]],Tabla2[[#This Row],[Minutos a Horas]])</f>
        <v>1.75</v>
      </c>
      <c r="AP103" s="49">
        <v>3</v>
      </c>
      <c r="AQ103" s="49"/>
      <c r="AR103" s="26">
        <f>Tabla2[[#This Row],[Minutos*]]/60</f>
        <v>0</v>
      </c>
      <c r="AS103" s="27">
        <f>SUM(Tabla2[[#This Row],[Horas*]],Tabla2[[#This Row],[Minutos a Horas*]])+(Tabla2[[#This Row],[Tiempo Total a Nivel Proncincial (Horas)]])</f>
        <v>4.75</v>
      </c>
      <c r="AV103" s="62"/>
    </row>
    <row r="104" spans="2:48" ht="60" customHeight="1" x14ac:dyDescent="0.25">
      <c r="B104" s="78" t="s">
        <v>2314</v>
      </c>
      <c r="C104" s="199" t="s">
        <v>4</v>
      </c>
      <c r="D104" s="143" t="s">
        <v>2490</v>
      </c>
      <c r="E104" s="143"/>
      <c r="F104" s="143" t="str">
        <f>CONCATENATE(Tabla1[[#This Row],[Simbología]],"_",Tabla1[[#This Row],[Acción]])</f>
        <v>AAA_Supervisión de instalaciones y medios de transporte (CL, GLP, GNV, GNC,GNL y OPDH)</v>
      </c>
      <c r="G104" s="143" t="s">
        <v>12</v>
      </c>
      <c r="H104" s="142" t="s">
        <v>2559</v>
      </c>
      <c r="I104" s="144"/>
      <c r="J104" s="207" t="str">
        <f>CONCATENATE(Tabla1[[#This Row],[Simbología1]],"_",Tabla1[[#This Row],[Acción Especifica]])</f>
        <v>KIN_3_Supervisión de Emergencias (Supervisión Especial de las Instalaciones y Medios de Transporte)</v>
      </c>
      <c r="K104" s="207" t="s">
        <v>2599</v>
      </c>
      <c r="L104" s="147" t="s">
        <v>46</v>
      </c>
      <c r="M104" s="143"/>
      <c r="N104" s="146" t="str">
        <f>CONCATENATE(Tabla1[[#This Row],[Simbología**]],"_",Tabla1[[#This Row],[Sub Acción Especifica]])</f>
        <v>KKIN_27_Atención de Emergencias</v>
      </c>
      <c r="O104" s="144" t="s">
        <v>2654</v>
      </c>
      <c r="P104" s="147" t="s">
        <v>22</v>
      </c>
      <c r="Q104" s="146" t="str">
        <f>CONCATENATE(Tabla1[[#This Row],[Simbología*]],"_",Tabla1[[#This Row],[Tipo de instalación relacionado]])</f>
        <v>KKKIN_35_Consumidores Directos GLP y Redes de Distribución</v>
      </c>
      <c r="R104" s="148">
        <v>1</v>
      </c>
      <c r="S104" s="148">
        <v>2</v>
      </c>
      <c r="T104" s="149">
        <f>IFERROR(AVERAGE(Tabla1[[#This Row],[T. Mínimo]],Tabla1[[#This Row],[T. Máximo]]),0)</f>
        <v>1.5</v>
      </c>
      <c r="U104" s="150">
        <v>1.5</v>
      </c>
      <c r="V104" s="150">
        <v>3</v>
      </c>
      <c r="W104" s="149">
        <f>IFERROR(AVERAGE(Tabla1[[#This Row],[T. Mínimo*]],Tabla1[[#This Row],[T. Máximo*]]),0)</f>
        <v>2.25</v>
      </c>
      <c r="X104" s="150">
        <v>2</v>
      </c>
      <c r="Y104" s="150">
        <v>3</v>
      </c>
      <c r="Z104" s="149">
        <f>IFERROR(AVERAGE(Tabla1[[#This Row],[T. Mínimo**]],Tabla1[[#This Row],[T. Máximo**]]),0)</f>
        <v>2.5</v>
      </c>
      <c r="AA104" s="151">
        <f>SUM(Tabla1[[#This Row],[Promedio]],Tabla1[[#This Row],[Promedio*]],Tabla1[[#This Row],[Promedio**]])</f>
        <v>6.25</v>
      </c>
      <c r="AB104" s="152" t="s">
        <v>2486</v>
      </c>
      <c r="AD104" s="20" t="s">
        <v>2395</v>
      </c>
      <c r="AE104" s="10" t="s">
        <v>163</v>
      </c>
      <c r="AF104" s="20" t="s">
        <v>165</v>
      </c>
      <c r="AG104" s="10" t="s">
        <v>178</v>
      </c>
      <c r="AH104" s="22" t="str">
        <f t="shared" si="2"/>
        <v>Áncash_02 Aija</v>
      </c>
      <c r="AI104" s="10" t="s">
        <v>348</v>
      </c>
      <c r="AJ104" s="20" t="s">
        <v>197</v>
      </c>
      <c r="AK104" s="22" t="str">
        <f t="shared" si="3"/>
        <v>Áncash_02 Aija_03 Huacllan</v>
      </c>
      <c r="AL104" s="25">
        <v>1</v>
      </c>
      <c r="AM104" s="25">
        <v>45</v>
      </c>
      <c r="AN104" s="26">
        <f>Tabla2[[#This Row],[Minutos]]/60</f>
        <v>0.75</v>
      </c>
      <c r="AO104" s="27">
        <f>SUM(Tabla2[[#This Row],[Horas]],Tabla2[[#This Row],[Minutos a Horas]])</f>
        <v>1.75</v>
      </c>
      <c r="AP104" s="49">
        <v>2</v>
      </c>
      <c r="AQ104" s="49">
        <v>30</v>
      </c>
      <c r="AR104" s="26">
        <f>Tabla2[[#This Row],[Minutos*]]/60</f>
        <v>0.5</v>
      </c>
      <c r="AS104" s="27">
        <f>SUM(Tabla2[[#This Row],[Horas*]],Tabla2[[#This Row],[Minutos a Horas*]])+(Tabla2[[#This Row],[Tiempo Total a Nivel Proncincial (Horas)]])</f>
        <v>4.25</v>
      </c>
      <c r="AV104" s="62"/>
    </row>
    <row r="105" spans="2:48" ht="60" customHeight="1" x14ac:dyDescent="0.25">
      <c r="B105" s="78" t="s">
        <v>2314</v>
      </c>
      <c r="C105" s="199" t="s">
        <v>4</v>
      </c>
      <c r="D105" s="143" t="s">
        <v>2490</v>
      </c>
      <c r="E105" s="143"/>
      <c r="F105" s="143" t="str">
        <f>CONCATENATE(Tabla1[[#This Row],[Simbología]],"_",Tabla1[[#This Row],[Acción]])</f>
        <v>AAA_Supervisión de instalaciones y medios de transporte (CL, GLP, GNV, GNC,GNL y OPDH)</v>
      </c>
      <c r="G105" s="143" t="s">
        <v>12</v>
      </c>
      <c r="H105" s="142" t="s">
        <v>2559</v>
      </c>
      <c r="I105" s="144"/>
      <c r="J105" s="207" t="str">
        <f>CONCATENATE(Tabla1[[#This Row],[Simbología1]],"_",Tabla1[[#This Row],[Acción Especifica]])</f>
        <v>KIN_3_Supervisión de Emergencias (Supervisión Especial de las Instalaciones y Medios de Transporte)</v>
      </c>
      <c r="K105" s="207" t="s">
        <v>2599</v>
      </c>
      <c r="L105" s="147" t="s">
        <v>46</v>
      </c>
      <c r="M105" s="143"/>
      <c r="N105" s="146" t="str">
        <f>CONCATENATE(Tabla1[[#This Row],[Simbología**]],"_",Tabla1[[#This Row],[Sub Acción Especifica]])</f>
        <v>KKIN_27_Atención de Emergencias</v>
      </c>
      <c r="O105" s="144" t="s">
        <v>2654</v>
      </c>
      <c r="P105" s="147" t="s">
        <v>45</v>
      </c>
      <c r="Q105" s="146" t="str">
        <f>CONCATENATE(Tabla1[[#This Row],[Simbología*]],"_",Tabla1[[#This Row],[Tipo de instalación relacionado]])</f>
        <v>KKKIN_35_Medios de Transporte (GNC, GNL)</v>
      </c>
      <c r="R105" s="148">
        <v>1</v>
      </c>
      <c r="S105" s="148">
        <v>1.5</v>
      </c>
      <c r="T105" s="149">
        <f>IFERROR(AVERAGE(Tabla1[[#This Row],[T. Mínimo]],Tabla1[[#This Row],[T. Máximo]]),0)</f>
        <v>1.25</v>
      </c>
      <c r="U105" s="150">
        <v>1.5</v>
      </c>
      <c r="V105" s="150">
        <v>3</v>
      </c>
      <c r="W105" s="149">
        <f>IFERROR(AVERAGE(Tabla1[[#This Row],[T. Mínimo*]],Tabla1[[#This Row],[T. Máximo*]]),0)</f>
        <v>2.25</v>
      </c>
      <c r="X105" s="150">
        <v>2</v>
      </c>
      <c r="Y105" s="150">
        <v>3</v>
      </c>
      <c r="Z105" s="149">
        <f>IFERROR(AVERAGE(Tabla1[[#This Row],[T. Mínimo**]],Tabla1[[#This Row],[T. Máximo**]]),0)</f>
        <v>2.5</v>
      </c>
      <c r="AA105" s="151">
        <f>SUM(Tabla1[[#This Row],[Promedio]],Tabla1[[#This Row],[Promedio*]],Tabla1[[#This Row],[Promedio**]])</f>
        <v>6</v>
      </c>
      <c r="AB105" s="152" t="s">
        <v>2486</v>
      </c>
      <c r="AD105" s="20" t="s">
        <v>2395</v>
      </c>
      <c r="AE105" s="10" t="s">
        <v>163</v>
      </c>
      <c r="AF105" s="20" t="s">
        <v>165</v>
      </c>
      <c r="AG105" s="10" t="s">
        <v>179</v>
      </c>
      <c r="AH105" s="22" t="str">
        <f t="shared" si="2"/>
        <v>Áncash_02 Aija</v>
      </c>
      <c r="AI105" s="10" t="s">
        <v>348</v>
      </c>
      <c r="AJ105" s="20" t="s">
        <v>198</v>
      </c>
      <c r="AK105" s="22" t="str">
        <f t="shared" si="3"/>
        <v>Áncash_02 Aija_04 La Merced</v>
      </c>
      <c r="AL105" s="25">
        <v>1</v>
      </c>
      <c r="AM105" s="25">
        <v>45</v>
      </c>
      <c r="AN105" s="26">
        <f>Tabla2[[#This Row],[Minutos]]/60</f>
        <v>0.75</v>
      </c>
      <c r="AO105" s="27">
        <f>SUM(Tabla2[[#This Row],[Horas]],Tabla2[[#This Row],[Minutos a Horas]])</f>
        <v>1.75</v>
      </c>
      <c r="AP105" s="49">
        <v>2</v>
      </c>
      <c r="AQ105" s="49">
        <v>30</v>
      </c>
      <c r="AR105" s="26">
        <f>Tabla2[[#This Row],[Minutos*]]/60</f>
        <v>0.5</v>
      </c>
      <c r="AS105" s="27">
        <f>SUM(Tabla2[[#This Row],[Horas*]],Tabla2[[#This Row],[Minutos a Horas*]])+(Tabla2[[#This Row],[Tiempo Total a Nivel Proncincial (Horas)]])</f>
        <v>4.25</v>
      </c>
      <c r="AV105" s="62"/>
    </row>
    <row r="106" spans="2:48" ht="60" customHeight="1" x14ac:dyDescent="0.25">
      <c r="B106" s="78" t="s">
        <v>2314</v>
      </c>
      <c r="C106" s="199" t="s">
        <v>4</v>
      </c>
      <c r="D106" s="143" t="s">
        <v>2490</v>
      </c>
      <c r="E106" s="143"/>
      <c r="F106" s="143" t="str">
        <f>CONCATENATE(Tabla1[[#This Row],[Simbología]],"_",Tabla1[[#This Row],[Acción]])</f>
        <v>AAA_Supervisión de instalaciones y medios de transporte (CL, GLP, GNV, GNC,GNL y OPDH)</v>
      </c>
      <c r="G106" s="143" t="s">
        <v>12</v>
      </c>
      <c r="H106" s="142" t="s">
        <v>2559</v>
      </c>
      <c r="I106" s="144"/>
      <c r="J106" s="207" t="str">
        <f>CONCATENATE(Tabla1[[#This Row],[Simbología1]],"_",Tabla1[[#This Row],[Acción Especifica]])</f>
        <v>KIN_3_Supervisión de Emergencias (Supervisión Especial de las Instalaciones y Medios de Transporte)</v>
      </c>
      <c r="K106" s="207" t="s">
        <v>2599</v>
      </c>
      <c r="L106" s="147" t="s">
        <v>46</v>
      </c>
      <c r="M106" s="143"/>
      <c r="N106" s="146" t="str">
        <f>CONCATENATE(Tabla1[[#This Row],[Simbología**]],"_",Tabla1[[#This Row],[Sub Acción Especifica]])</f>
        <v>KKIN_27_Atención de Emergencias</v>
      </c>
      <c r="O106" s="144" t="s">
        <v>2654</v>
      </c>
      <c r="P106" s="147" t="s">
        <v>23</v>
      </c>
      <c r="Q106" s="146" t="str">
        <f>CONCATENATE(Tabla1[[#This Row],[Simbología*]],"_",Tabla1[[#This Row],[Tipo de instalación relacionado]])</f>
        <v>KKKIN_35_Medios de Transporte y Distribuidores (Líquidos, GLP)</v>
      </c>
      <c r="R106" s="148">
        <v>1</v>
      </c>
      <c r="S106" s="148">
        <v>1.5</v>
      </c>
      <c r="T106" s="149">
        <f>IFERROR(AVERAGE(Tabla1[[#This Row],[T. Mínimo]],Tabla1[[#This Row],[T. Máximo]]),0)</f>
        <v>1.25</v>
      </c>
      <c r="U106" s="150">
        <v>1.5</v>
      </c>
      <c r="V106" s="150">
        <v>3</v>
      </c>
      <c r="W106" s="149">
        <f>IFERROR(AVERAGE(Tabla1[[#This Row],[T. Mínimo*]],Tabla1[[#This Row],[T. Máximo*]]),0)</f>
        <v>2.25</v>
      </c>
      <c r="X106" s="150">
        <v>2</v>
      </c>
      <c r="Y106" s="150">
        <v>3</v>
      </c>
      <c r="Z106" s="149">
        <f>IFERROR(AVERAGE(Tabla1[[#This Row],[T. Mínimo**]],Tabla1[[#This Row],[T. Máximo**]]),0)</f>
        <v>2.5</v>
      </c>
      <c r="AA106" s="151">
        <f>SUM(Tabla1[[#This Row],[Promedio]],Tabla1[[#This Row],[Promedio*]],Tabla1[[#This Row],[Promedio**]])</f>
        <v>6</v>
      </c>
      <c r="AB106" s="152" t="s">
        <v>2486</v>
      </c>
      <c r="AD106" s="20" t="s">
        <v>2395</v>
      </c>
      <c r="AE106" s="10" t="s">
        <v>163</v>
      </c>
      <c r="AF106" s="20" t="s">
        <v>165</v>
      </c>
      <c r="AG106" s="10" t="s">
        <v>180</v>
      </c>
      <c r="AH106" s="22" t="str">
        <f t="shared" si="2"/>
        <v>Áncash_02 Aija</v>
      </c>
      <c r="AI106" s="10" t="s">
        <v>348</v>
      </c>
      <c r="AJ106" s="20" t="s">
        <v>199</v>
      </c>
      <c r="AK106" s="22" t="str">
        <f t="shared" si="3"/>
        <v>Áncash_02 Aija_05 Succha</v>
      </c>
      <c r="AL106" s="25">
        <v>1</v>
      </c>
      <c r="AM106" s="25">
        <v>45</v>
      </c>
      <c r="AN106" s="26">
        <f>Tabla2[[#This Row],[Minutos]]/60</f>
        <v>0.75</v>
      </c>
      <c r="AO106" s="27">
        <f>SUM(Tabla2[[#This Row],[Horas]],Tabla2[[#This Row],[Minutos a Horas]])</f>
        <v>1.75</v>
      </c>
      <c r="AP106" s="49">
        <v>2</v>
      </c>
      <c r="AQ106" s="49"/>
      <c r="AR106" s="26">
        <f>Tabla2[[#This Row],[Minutos*]]/60</f>
        <v>0</v>
      </c>
      <c r="AS106" s="27">
        <f>SUM(Tabla2[[#This Row],[Horas*]],Tabla2[[#This Row],[Minutos a Horas*]])+(Tabla2[[#This Row],[Tiempo Total a Nivel Proncincial (Horas)]])</f>
        <v>3.75</v>
      </c>
      <c r="AV106" s="62"/>
    </row>
    <row r="107" spans="2:48" ht="60" customHeight="1" x14ac:dyDescent="0.25">
      <c r="B107" s="78" t="s">
        <v>2314</v>
      </c>
      <c r="C107" s="199" t="s">
        <v>4</v>
      </c>
      <c r="D107" s="143" t="s">
        <v>2490</v>
      </c>
      <c r="E107" s="143"/>
      <c r="F107" s="143" t="str">
        <f>CONCATENATE(Tabla1[[#This Row],[Simbología]],"_",Tabla1[[#This Row],[Acción]])</f>
        <v>AAA_Supervisión de instalaciones y medios de transporte (CL, GLP, GNV, GNC,GNL y OPDH)</v>
      </c>
      <c r="G107" s="143" t="s">
        <v>12</v>
      </c>
      <c r="H107" s="142" t="s">
        <v>2559</v>
      </c>
      <c r="I107" s="144"/>
      <c r="J107" s="207" t="str">
        <f>CONCATENATE(Tabla1[[#This Row],[Simbología1]],"_",Tabla1[[#This Row],[Acción Especifica]])</f>
        <v>KIN_3_Supervisión de Emergencias (Supervisión Especial de las Instalaciones y Medios de Transporte)</v>
      </c>
      <c r="K107" s="207" t="s">
        <v>2599</v>
      </c>
      <c r="L107" s="147" t="s">
        <v>46</v>
      </c>
      <c r="M107" s="143"/>
      <c r="N107" s="146" t="str">
        <f>CONCATENATE(Tabla1[[#This Row],[Simbología**]],"_",Tabla1[[#This Row],[Sub Acción Especifica]])</f>
        <v>KKIN_27_Atención de Emergencias</v>
      </c>
      <c r="O107" s="144" t="s">
        <v>2654</v>
      </c>
      <c r="P107" s="147" t="s">
        <v>24</v>
      </c>
      <c r="Q107" s="146" t="str">
        <f>CONCATENATE(Tabla1[[#This Row],[Simbología*]],"_",Tabla1[[#This Row],[Tipo de instalación relacionado]])</f>
        <v>KKKIN_35_Locales de Venta de GLP</v>
      </c>
      <c r="R107" s="148">
        <v>1</v>
      </c>
      <c r="S107" s="148">
        <v>1.5</v>
      </c>
      <c r="T107" s="149">
        <f>IFERROR(AVERAGE(Tabla1[[#This Row],[T. Mínimo]],Tabla1[[#This Row],[T. Máximo]]),0)</f>
        <v>1.25</v>
      </c>
      <c r="U107" s="150">
        <v>1.5</v>
      </c>
      <c r="V107" s="150">
        <v>3</v>
      </c>
      <c r="W107" s="149">
        <f>IFERROR(AVERAGE(Tabla1[[#This Row],[T. Mínimo*]],Tabla1[[#This Row],[T. Máximo*]]),0)</f>
        <v>2.25</v>
      </c>
      <c r="X107" s="150">
        <v>2</v>
      </c>
      <c r="Y107" s="150">
        <v>3</v>
      </c>
      <c r="Z107" s="149">
        <f>IFERROR(AVERAGE(Tabla1[[#This Row],[T. Mínimo**]],Tabla1[[#This Row],[T. Máximo**]]),0)</f>
        <v>2.5</v>
      </c>
      <c r="AA107" s="151">
        <f>SUM(Tabla1[[#This Row],[Promedio]],Tabla1[[#This Row],[Promedio*]],Tabla1[[#This Row],[Promedio**]])</f>
        <v>6</v>
      </c>
      <c r="AB107" s="152" t="s">
        <v>2486</v>
      </c>
      <c r="AD107" s="20" t="s">
        <v>2395</v>
      </c>
      <c r="AE107" s="10" t="s">
        <v>163</v>
      </c>
      <c r="AF107" s="20" t="s">
        <v>166</v>
      </c>
      <c r="AG107" s="10" t="s">
        <v>181</v>
      </c>
      <c r="AH107" s="22" t="str">
        <f t="shared" si="2"/>
        <v>Áncash_03 Antonio Raymondi</v>
      </c>
      <c r="AI107" s="10" t="s">
        <v>349</v>
      </c>
      <c r="AJ107" s="20" t="s">
        <v>200</v>
      </c>
      <c r="AK107" s="22" t="str">
        <f t="shared" si="3"/>
        <v>Áncash_03 Antonio Raymondi_01 Llamellin</v>
      </c>
      <c r="AL107" s="25">
        <v>4</v>
      </c>
      <c r="AM107" s="25">
        <v>37</v>
      </c>
      <c r="AN107" s="26">
        <f>Tabla2[[#This Row],[Minutos]]/60</f>
        <v>0.6166666666666667</v>
      </c>
      <c r="AO107" s="27">
        <f>SUM(Tabla2[[#This Row],[Horas]],Tabla2[[#This Row],[Minutos a Horas]])</f>
        <v>4.6166666666666671</v>
      </c>
      <c r="AP107" s="49">
        <v>8</v>
      </c>
      <c r="AQ107" s="49">
        <v>0</v>
      </c>
      <c r="AR107" s="26">
        <f>Tabla2[[#This Row],[Minutos*]]/60</f>
        <v>0</v>
      </c>
      <c r="AS107" s="27">
        <f>SUM(Tabla2[[#This Row],[Horas*]],Tabla2[[#This Row],[Minutos a Horas*]])+(Tabla2[[#This Row],[Tiempo Total a Nivel Proncincial (Horas)]])</f>
        <v>12.616666666666667</v>
      </c>
      <c r="AV107" s="62"/>
    </row>
    <row r="108" spans="2:48" ht="60" customHeight="1" x14ac:dyDescent="0.25">
      <c r="B108" s="78" t="s">
        <v>2314</v>
      </c>
      <c r="C108" s="199" t="s">
        <v>4</v>
      </c>
      <c r="D108" s="143" t="s">
        <v>2490</v>
      </c>
      <c r="E108" s="143"/>
      <c r="F108" s="143" t="str">
        <f>CONCATENATE(Tabla1[[#This Row],[Simbología]],"_",Tabla1[[#This Row],[Acción]])</f>
        <v>AAA_Supervisión de instalaciones y medios de transporte (CL, GLP, GNV, GNC,GNL y OPDH)</v>
      </c>
      <c r="G108" s="143" t="s">
        <v>12</v>
      </c>
      <c r="H108" s="142" t="s">
        <v>2499</v>
      </c>
      <c r="I108" s="156"/>
      <c r="J108" s="206" t="str">
        <f>CONCATENATE(Tabla1[[#This Row],[Simbología1]],"_",Tabla1[[#This Row],[Acción Especifica]])</f>
        <v>KIN_3_Supervisión de Denuncias (Supervisión Especial de las Instalaciones y Medios de Transporte)</v>
      </c>
      <c r="K108" s="206" t="s">
        <v>2600</v>
      </c>
      <c r="L108" s="142" t="s">
        <v>2500</v>
      </c>
      <c r="M108" s="142" t="s">
        <v>2500</v>
      </c>
      <c r="N108" s="146" t="str">
        <f>CONCATENATE(Tabla1[[#This Row],[Simbología**]],"_",Tabla1[[#This Row],[Sub Acción Especifica]])</f>
        <v>KKIN_28_Informales</v>
      </c>
      <c r="O108" s="144" t="s">
        <v>2655</v>
      </c>
      <c r="P108" s="142" t="s">
        <v>7</v>
      </c>
      <c r="Q108" s="146" t="str">
        <f>CONCATENATE(Tabla1[[#This Row],[Simbología*]],"_",Tabla1[[#This Row],[Tipo de instalación relacionado]])</f>
        <v>KKKIN_36_Establecimientos de Venta al Público (Líquidos, GLP)</v>
      </c>
      <c r="R108" s="157"/>
      <c r="S108" s="157"/>
      <c r="T108" s="158"/>
      <c r="U108" s="157"/>
      <c r="V108" s="157"/>
      <c r="W108" s="158"/>
      <c r="X108" s="159"/>
      <c r="Y108" s="159"/>
      <c r="Z108" s="158"/>
      <c r="AA108" s="160"/>
      <c r="AB108" s="152" t="s">
        <v>2486</v>
      </c>
      <c r="AD108" s="20" t="s">
        <v>2395</v>
      </c>
      <c r="AE108" s="10" t="s">
        <v>163</v>
      </c>
      <c r="AF108" s="20" t="s">
        <v>166</v>
      </c>
      <c r="AG108" s="10" t="s">
        <v>182</v>
      </c>
      <c r="AH108" s="22" t="str">
        <f t="shared" si="2"/>
        <v>Áncash_03 Antonio Raymondi</v>
      </c>
      <c r="AI108" s="10" t="s">
        <v>349</v>
      </c>
      <c r="AJ108" s="20" t="s">
        <v>201</v>
      </c>
      <c r="AK108" s="22" t="str">
        <f t="shared" si="3"/>
        <v>Áncash_03 Antonio Raymondi_02 Aczo</v>
      </c>
      <c r="AL108" s="25">
        <v>4</v>
      </c>
      <c r="AM108" s="25">
        <v>37</v>
      </c>
      <c r="AN108" s="26">
        <f>Tabla2[[#This Row],[Minutos]]/60</f>
        <v>0.6166666666666667</v>
      </c>
      <c r="AO108" s="27">
        <f>SUM(Tabla2[[#This Row],[Horas]],Tabla2[[#This Row],[Minutos a Horas]])</f>
        <v>4.6166666666666671</v>
      </c>
      <c r="AP108" s="49">
        <v>8</v>
      </c>
      <c r="AQ108" s="49">
        <v>0</v>
      </c>
      <c r="AR108" s="26">
        <f>Tabla2[[#This Row],[Minutos*]]/60</f>
        <v>0</v>
      </c>
      <c r="AS108" s="27">
        <f>SUM(Tabla2[[#This Row],[Horas*]],Tabla2[[#This Row],[Minutos a Horas*]])+(Tabla2[[#This Row],[Tiempo Total a Nivel Proncincial (Horas)]])</f>
        <v>12.616666666666667</v>
      </c>
      <c r="AV108" s="62"/>
    </row>
    <row r="109" spans="2:48" ht="60" customHeight="1" x14ac:dyDescent="0.25">
      <c r="B109" s="78" t="s">
        <v>2314</v>
      </c>
      <c r="C109" s="199" t="s">
        <v>4</v>
      </c>
      <c r="D109" s="143" t="s">
        <v>2490</v>
      </c>
      <c r="E109" s="143"/>
      <c r="F109" s="143" t="str">
        <f>CONCATENATE(Tabla1[[#This Row],[Simbología]],"_",Tabla1[[#This Row],[Acción]])</f>
        <v>AAA_Supervisión de instalaciones y medios de transporte (CL, GLP, GNV, GNC,GNL y OPDH)</v>
      </c>
      <c r="G109" s="143" t="s">
        <v>12</v>
      </c>
      <c r="H109" s="142" t="s">
        <v>2499</v>
      </c>
      <c r="I109" s="156"/>
      <c r="J109" s="206" t="str">
        <f>CONCATENATE(Tabla1[[#This Row],[Simbología1]],"_",Tabla1[[#This Row],[Acción Especifica]])</f>
        <v>KIN_3_Supervisión de Denuncias (Supervisión Especial de las Instalaciones y Medios de Transporte)</v>
      </c>
      <c r="K109" s="206" t="s">
        <v>2600</v>
      </c>
      <c r="L109" s="142" t="s">
        <v>2500</v>
      </c>
      <c r="M109" s="142"/>
      <c r="N109" s="146" t="str">
        <f>CONCATENATE(Tabla1[[#This Row],[Simbología**]],"_",Tabla1[[#This Row],[Sub Acción Especifica]])</f>
        <v>KKIN_28_Informales</v>
      </c>
      <c r="O109" s="144" t="s">
        <v>2655</v>
      </c>
      <c r="P109" s="142" t="s">
        <v>26</v>
      </c>
      <c r="Q109" s="146" t="str">
        <f>CONCATENATE(Tabla1[[#This Row],[Simbología*]],"_",Tabla1[[#This Row],[Tipo de instalación relacionado]])</f>
        <v>KKKIN_36_Establecimientos (GNV)</v>
      </c>
      <c r="R109" s="157"/>
      <c r="S109" s="157"/>
      <c r="T109" s="158"/>
      <c r="U109" s="157"/>
      <c r="V109" s="157"/>
      <c r="W109" s="158"/>
      <c r="X109" s="159"/>
      <c r="Y109" s="159"/>
      <c r="Z109" s="158"/>
      <c r="AA109" s="160"/>
      <c r="AB109" s="152" t="s">
        <v>2486</v>
      </c>
      <c r="AD109" s="20" t="s">
        <v>2395</v>
      </c>
      <c r="AE109" s="10" t="s">
        <v>163</v>
      </c>
      <c r="AF109" s="20" t="s">
        <v>166</v>
      </c>
      <c r="AG109" s="10" t="s">
        <v>183</v>
      </c>
      <c r="AH109" s="22" t="str">
        <f t="shared" si="2"/>
        <v>Áncash_03 Antonio Raymondi</v>
      </c>
      <c r="AI109" s="10" t="s">
        <v>349</v>
      </c>
      <c r="AJ109" s="20" t="s">
        <v>202</v>
      </c>
      <c r="AK109" s="22" t="str">
        <f t="shared" si="3"/>
        <v>Áncash_03 Antonio Raymondi_03 Chaccho</v>
      </c>
      <c r="AL109" s="25">
        <v>4</v>
      </c>
      <c r="AM109" s="25">
        <v>37</v>
      </c>
      <c r="AN109" s="26">
        <f>Tabla2[[#This Row],[Minutos]]/60</f>
        <v>0.6166666666666667</v>
      </c>
      <c r="AO109" s="27">
        <f>SUM(Tabla2[[#This Row],[Horas]],Tabla2[[#This Row],[Minutos a Horas]])</f>
        <v>4.6166666666666671</v>
      </c>
      <c r="AP109" s="49">
        <v>8</v>
      </c>
      <c r="AQ109" s="49">
        <v>0</v>
      </c>
      <c r="AR109" s="26">
        <f>Tabla2[[#This Row],[Minutos*]]/60</f>
        <v>0</v>
      </c>
      <c r="AS109" s="27">
        <f>SUM(Tabla2[[#This Row],[Horas*]],Tabla2[[#This Row],[Minutos a Horas*]])+(Tabla2[[#This Row],[Tiempo Total a Nivel Proncincial (Horas)]])</f>
        <v>12.616666666666667</v>
      </c>
      <c r="AV109" s="62"/>
    </row>
    <row r="110" spans="2:48" ht="60" customHeight="1" x14ac:dyDescent="0.25">
      <c r="B110" s="78" t="s">
        <v>2314</v>
      </c>
      <c r="C110" s="199" t="s">
        <v>4</v>
      </c>
      <c r="D110" s="143" t="s">
        <v>2490</v>
      </c>
      <c r="E110" s="143"/>
      <c r="F110" s="143" t="str">
        <f>CONCATENATE(Tabla1[[#This Row],[Simbología]],"_",Tabla1[[#This Row],[Acción]])</f>
        <v>AAA_Supervisión de instalaciones y medios de transporte (CL, GLP, GNV, GNC,GNL y OPDH)</v>
      </c>
      <c r="G110" s="143" t="s">
        <v>12</v>
      </c>
      <c r="H110" s="142" t="s">
        <v>2499</v>
      </c>
      <c r="I110" s="156"/>
      <c r="J110" s="206" t="str">
        <f>CONCATENATE(Tabla1[[#This Row],[Simbología1]],"_",Tabla1[[#This Row],[Acción Especifica]])</f>
        <v>KIN_3_Supervisión de Denuncias (Supervisión Especial de las Instalaciones y Medios de Transporte)</v>
      </c>
      <c r="K110" s="206" t="s">
        <v>2600</v>
      </c>
      <c r="L110" s="142" t="s">
        <v>2500</v>
      </c>
      <c r="M110" s="142"/>
      <c r="N110" s="146" t="str">
        <f>CONCATENATE(Tabla1[[#This Row],[Simbología**]],"_",Tabla1[[#This Row],[Sub Acción Especifica]])</f>
        <v>KKIN_28_Informales</v>
      </c>
      <c r="O110" s="144" t="s">
        <v>2655</v>
      </c>
      <c r="P110" s="142" t="s">
        <v>8</v>
      </c>
      <c r="Q110" s="146" t="str">
        <f>CONCATENATE(Tabla1[[#This Row],[Simbología*]],"_",Tabla1[[#This Row],[Tipo de instalación relacionado]])</f>
        <v>KKKIN_36_Consumidores Directos de CL y/u OPDH</v>
      </c>
      <c r="R110" s="157"/>
      <c r="S110" s="157"/>
      <c r="T110" s="158"/>
      <c r="U110" s="157"/>
      <c r="V110" s="157"/>
      <c r="W110" s="158"/>
      <c r="X110" s="159"/>
      <c r="Y110" s="159"/>
      <c r="Z110" s="158"/>
      <c r="AA110" s="160"/>
      <c r="AB110" s="152" t="s">
        <v>2486</v>
      </c>
      <c r="AD110" s="20" t="s">
        <v>2395</v>
      </c>
      <c r="AE110" s="10" t="s">
        <v>163</v>
      </c>
      <c r="AF110" s="20" t="s">
        <v>166</v>
      </c>
      <c r="AG110" s="10"/>
      <c r="AH110" s="22" t="str">
        <f t="shared" si="2"/>
        <v>Áncash_03 Antonio Raymondi</v>
      </c>
      <c r="AI110" s="10" t="s">
        <v>349</v>
      </c>
      <c r="AJ110" s="20" t="s">
        <v>203</v>
      </c>
      <c r="AK110" s="22" t="str">
        <f t="shared" si="3"/>
        <v>Áncash_03 Antonio Raymondi_04 Chingas</v>
      </c>
      <c r="AL110" s="25">
        <v>4</v>
      </c>
      <c r="AM110" s="25">
        <v>37</v>
      </c>
      <c r="AN110" s="26">
        <f>Tabla2[[#This Row],[Minutos]]/60</f>
        <v>0.6166666666666667</v>
      </c>
      <c r="AO110" s="27">
        <f>SUM(Tabla2[[#This Row],[Horas]],Tabla2[[#This Row],[Minutos a Horas]])</f>
        <v>4.6166666666666671</v>
      </c>
      <c r="AP110" s="49">
        <v>8</v>
      </c>
      <c r="AQ110" s="49">
        <v>0</v>
      </c>
      <c r="AR110" s="26">
        <f>Tabla2[[#This Row],[Minutos*]]/60</f>
        <v>0</v>
      </c>
      <c r="AS110" s="27">
        <f>SUM(Tabla2[[#This Row],[Horas*]],Tabla2[[#This Row],[Minutos a Horas*]])+(Tabla2[[#This Row],[Tiempo Total a Nivel Proncincial (Horas)]])</f>
        <v>12.616666666666667</v>
      </c>
      <c r="AV110" s="62"/>
    </row>
    <row r="111" spans="2:48" ht="60" customHeight="1" x14ac:dyDescent="0.25">
      <c r="B111" s="78" t="s">
        <v>2314</v>
      </c>
      <c r="C111" s="199" t="s">
        <v>4</v>
      </c>
      <c r="D111" s="143" t="s">
        <v>2490</v>
      </c>
      <c r="E111" s="143"/>
      <c r="F111" s="143" t="str">
        <f>CONCATENATE(Tabla1[[#This Row],[Simbología]],"_",Tabla1[[#This Row],[Acción]])</f>
        <v>AAA_Supervisión de instalaciones y medios de transporte (CL, GLP, GNV, GNC,GNL y OPDH)</v>
      </c>
      <c r="G111" s="143" t="s">
        <v>12</v>
      </c>
      <c r="H111" s="142" t="s">
        <v>2499</v>
      </c>
      <c r="I111" s="156"/>
      <c r="J111" s="206" t="str">
        <f>CONCATENATE(Tabla1[[#This Row],[Simbología1]],"_",Tabla1[[#This Row],[Acción Especifica]])</f>
        <v>KIN_3_Supervisión de Denuncias (Supervisión Especial de las Instalaciones y Medios de Transporte)</v>
      </c>
      <c r="K111" s="206" t="s">
        <v>2600</v>
      </c>
      <c r="L111" s="142" t="s">
        <v>2500</v>
      </c>
      <c r="M111" s="142"/>
      <c r="N111" s="146" t="str">
        <f>CONCATENATE(Tabla1[[#This Row],[Simbología**]],"_",Tabla1[[#This Row],[Sub Acción Especifica]])</f>
        <v>KKIN_28_Informales</v>
      </c>
      <c r="O111" s="144" t="s">
        <v>2655</v>
      </c>
      <c r="P111" s="142" t="s">
        <v>22</v>
      </c>
      <c r="Q111" s="146" t="str">
        <f>CONCATENATE(Tabla1[[#This Row],[Simbología*]],"_",Tabla1[[#This Row],[Tipo de instalación relacionado]])</f>
        <v>KKKIN_36_Consumidores Directos GLP y Redes de Distribución</v>
      </c>
      <c r="R111" s="157"/>
      <c r="S111" s="157"/>
      <c r="T111" s="158"/>
      <c r="U111" s="157"/>
      <c r="V111" s="157"/>
      <c r="W111" s="158"/>
      <c r="X111" s="159"/>
      <c r="Y111" s="159"/>
      <c r="Z111" s="158"/>
      <c r="AA111" s="160"/>
      <c r="AB111" s="152" t="s">
        <v>2486</v>
      </c>
      <c r="AD111" s="20" t="s">
        <v>2395</v>
      </c>
      <c r="AE111" s="10" t="s">
        <v>163</v>
      </c>
      <c r="AF111" s="20" t="s">
        <v>166</v>
      </c>
      <c r="AG111" s="10"/>
      <c r="AH111" s="22" t="str">
        <f t="shared" si="2"/>
        <v>Áncash_03 Antonio Raymondi</v>
      </c>
      <c r="AI111" s="10" t="s">
        <v>349</v>
      </c>
      <c r="AJ111" s="20" t="s">
        <v>204</v>
      </c>
      <c r="AK111" s="22" t="str">
        <f t="shared" si="3"/>
        <v>Áncash_03 Antonio Raymondi_05 Mirgas</v>
      </c>
      <c r="AL111" s="25">
        <v>4</v>
      </c>
      <c r="AM111" s="25">
        <v>37</v>
      </c>
      <c r="AN111" s="26">
        <f>Tabla2[[#This Row],[Minutos]]/60</f>
        <v>0.6166666666666667</v>
      </c>
      <c r="AO111" s="27">
        <f>SUM(Tabla2[[#This Row],[Horas]],Tabla2[[#This Row],[Minutos a Horas]])</f>
        <v>4.6166666666666671</v>
      </c>
      <c r="AP111" s="49">
        <v>8</v>
      </c>
      <c r="AQ111" s="49">
        <v>0</v>
      </c>
      <c r="AR111" s="26">
        <f>Tabla2[[#This Row],[Minutos*]]/60</f>
        <v>0</v>
      </c>
      <c r="AS111" s="27">
        <f>SUM(Tabla2[[#This Row],[Horas*]],Tabla2[[#This Row],[Minutos a Horas*]])+(Tabla2[[#This Row],[Tiempo Total a Nivel Proncincial (Horas)]])</f>
        <v>12.616666666666667</v>
      </c>
      <c r="AV111" s="62"/>
    </row>
    <row r="112" spans="2:48" ht="60" customHeight="1" x14ac:dyDescent="0.25">
      <c r="B112" s="78" t="s">
        <v>2314</v>
      </c>
      <c r="C112" s="199" t="s">
        <v>4</v>
      </c>
      <c r="D112" s="143" t="s">
        <v>2490</v>
      </c>
      <c r="E112" s="143"/>
      <c r="F112" s="143" t="str">
        <f>CONCATENATE(Tabla1[[#This Row],[Simbología]],"_",Tabla1[[#This Row],[Acción]])</f>
        <v>AAA_Supervisión de instalaciones y medios de transporte (CL, GLP, GNV, GNC,GNL y OPDH)</v>
      </c>
      <c r="G112" s="143" t="s">
        <v>12</v>
      </c>
      <c r="H112" s="142" t="s">
        <v>2499</v>
      </c>
      <c r="I112" s="156"/>
      <c r="J112" s="206" t="str">
        <f>CONCATENATE(Tabla1[[#This Row],[Simbología1]],"_",Tabla1[[#This Row],[Acción Especifica]])</f>
        <v>KIN_3_Supervisión de Denuncias (Supervisión Especial de las Instalaciones y Medios de Transporte)</v>
      </c>
      <c r="K112" s="206" t="s">
        <v>2600</v>
      </c>
      <c r="L112" s="142" t="s">
        <v>2500</v>
      </c>
      <c r="M112" s="142"/>
      <c r="N112" s="146" t="str">
        <f>CONCATENATE(Tabla1[[#This Row],[Simbología**]],"_",Tabla1[[#This Row],[Sub Acción Especifica]])</f>
        <v>KKIN_28_Informales</v>
      </c>
      <c r="O112" s="144" t="s">
        <v>2655</v>
      </c>
      <c r="P112" s="142" t="s">
        <v>23</v>
      </c>
      <c r="Q112" s="146" t="str">
        <f>CONCATENATE(Tabla1[[#This Row],[Simbología*]],"_",Tabla1[[#This Row],[Tipo de instalación relacionado]])</f>
        <v>KKKIN_36_Medios de Transporte y Distribuidores (Líquidos, GLP)</v>
      </c>
      <c r="R112" s="157"/>
      <c r="S112" s="157"/>
      <c r="T112" s="158"/>
      <c r="U112" s="157"/>
      <c r="V112" s="157"/>
      <c r="W112" s="158"/>
      <c r="X112" s="159"/>
      <c r="Y112" s="159"/>
      <c r="Z112" s="158"/>
      <c r="AA112" s="160"/>
      <c r="AB112" s="152" t="s">
        <v>2486</v>
      </c>
      <c r="AD112" s="20" t="s">
        <v>2395</v>
      </c>
      <c r="AE112" s="10" t="s">
        <v>163</v>
      </c>
      <c r="AF112" s="20" t="s">
        <v>166</v>
      </c>
      <c r="AG112" s="10"/>
      <c r="AH112" s="22" t="str">
        <f t="shared" si="2"/>
        <v>Áncash_03 Antonio Raymondi</v>
      </c>
      <c r="AI112" s="10" t="s">
        <v>349</v>
      </c>
      <c r="AJ112" s="20" t="s">
        <v>205</v>
      </c>
      <c r="AK112" s="22" t="str">
        <f t="shared" si="3"/>
        <v>Áncash_03 Antonio Raymondi_06 San Juan de Rontoy</v>
      </c>
      <c r="AL112" s="25">
        <v>4</v>
      </c>
      <c r="AM112" s="25">
        <v>37</v>
      </c>
      <c r="AN112" s="26">
        <f>Tabla2[[#This Row],[Minutos]]/60</f>
        <v>0.6166666666666667</v>
      </c>
      <c r="AO112" s="27">
        <f>SUM(Tabla2[[#This Row],[Horas]],Tabla2[[#This Row],[Minutos a Horas]])</f>
        <v>4.6166666666666671</v>
      </c>
      <c r="AP112" s="49">
        <v>8</v>
      </c>
      <c r="AQ112" s="49">
        <v>0</v>
      </c>
      <c r="AR112" s="26">
        <f>Tabla2[[#This Row],[Minutos*]]/60</f>
        <v>0</v>
      </c>
      <c r="AS112" s="27">
        <f>SUM(Tabla2[[#This Row],[Horas*]],Tabla2[[#This Row],[Minutos a Horas*]])+(Tabla2[[#This Row],[Tiempo Total a Nivel Proncincial (Horas)]])</f>
        <v>12.616666666666667</v>
      </c>
      <c r="AV112" s="62"/>
    </row>
    <row r="113" spans="2:48" ht="60" customHeight="1" x14ac:dyDescent="0.25">
      <c r="B113" s="78" t="s">
        <v>2314</v>
      </c>
      <c r="C113" s="199" t="s">
        <v>4</v>
      </c>
      <c r="D113" s="143" t="s">
        <v>2490</v>
      </c>
      <c r="E113" s="143"/>
      <c r="F113" s="143" t="str">
        <f>CONCATENATE(Tabla1[[#This Row],[Simbología]],"_",Tabla1[[#This Row],[Acción]])</f>
        <v>AAA_Supervisión de instalaciones y medios de transporte (CL, GLP, GNV, GNC,GNL y OPDH)</v>
      </c>
      <c r="G113" s="143" t="s">
        <v>12</v>
      </c>
      <c r="H113" s="142" t="s">
        <v>2499</v>
      </c>
      <c r="I113" s="156"/>
      <c r="J113" s="206" t="str">
        <f>CONCATENATE(Tabla1[[#This Row],[Simbología1]],"_",Tabla1[[#This Row],[Acción Especifica]])</f>
        <v>KIN_3_Supervisión de Denuncias (Supervisión Especial de las Instalaciones y Medios de Transporte)</v>
      </c>
      <c r="K113" s="206" t="s">
        <v>2600</v>
      </c>
      <c r="L113" s="142" t="s">
        <v>2500</v>
      </c>
      <c r="M113" s="142"/>
      <c r="N113" s="146" t="str">
        <f>CONCATENATE(Tabla1[[#This Row],[Simbología**]],"_",Tabla1[[#This Row],[Sub Acción Especifica]])</f>
        <v>KKIN_28_Informales</v>
      </c>
      <c r="O113" s="144" t="s">
        <v>2655</v>
      </c>
      <c r="P113" s="142" t="s">
        <v>45</v>
      </c>
      <c r="Q113" s="146" t="str">
        <f>CONCATENATE(Tabla1[[#This Row],[Simbología*]],"_",Tabla1[[#This Row],[Tipo de instalación relacionado]])</f>
        <v>KKKIN_36_Medios de Transporte (GNC, GNL)</v>
      </c>
      <c r="R113" s="157"/>
      <c r="S113" s="157"/>
      <c r="T113" s="158"/>
      <c r="U113" s="157"/>
      <c r="V113" s="157"/>
      <c r="W113" s="158"/>
      <c r="X113" s="159"/>
      <c r="Y113" s="159"/>
      <c r="Z113" s="158"/>
      <c r="AA113" s="160"/>
      <c r="AB113" s="152" t="s">
        <v>2486</v>
      </c>
      <c r="AD113" s="20" t="s">
        <v>2395</v>
      </c>
      <c r="AE113" s="10" t="s">
        <v>163</v>
      </c>
      <c r="AF113" s="20" t="s">
        <v>167</v>
      </c>
      <c r="AG113" s="10"/>
      <c r="AH113" s="22" t="str">
        <f t="shared" si="2"/>
        <v>Áncash_04 Asunción</v>
      </c>
      <c r="AI113" s="10" t="s">
        <v>350</v>
      </c>
      <c r="AJ113" s="20" t="s">
        <v>206</v>
      </c>
      <c r="AK113" s="22" t="str">
        <f t="shared" si="3"/>
        <v>Áncash_04 Asunción_01 Chacas</v>
      </c>
      <c r="AL113" s="25">
        <v>2</v>
      </c>
      <c r="AM113" s="25">
        <v>46</v>
      </c>
      <c r="AN113" s="26">
        <f>Tabla2[[#This Row],[Minutos]]/60</f>
        <v>0.76666666666666672</v>
      </c>
      <c r="AO113" s="27">
        <f>SUM(Tabla2[[#This Row],[Horas]],Tabla2[[#This Row],[Minutos a Horas]])</f>
        <v>2.7666666666666666</v>
      </c>
      <c r="AP113" s="49">
        <v>3</v>
      </c>
      <c r="AQ113" s="49">
        <v>0</v>
      </c>
      <c r="AR113" s="26">
        <f>Tabla2[[#This Row],[Minutos*]]/60</f>
        <v>0</v>
      </c>
      <c r="AS113" s="27">
        <f>SUM(Tabla2[[#This Row],[Horas*]],Tabla2[[#This Row],[Minutos a Horas*]])+(Tabla2[[#This Row],[Tiempo Total a Nivel Proncincial (Horas)]])</f>
        <v>5.7666666666666666</v>
      </c>
      <c r="AV113" s="62"/>
    </row>
    <row r="114" spans="2:48" ht="60" customHeight="1" x14ac:dyDescent="0.25">
      <c r="B114" s="78" t="s">
        <v>2314</v>
      </c>
      <c r="C114" s="199" t="s">
        <v>4</v>
      </c>
      <c r="D114" s="143" t="s">
        <v>2490</v>
      </c>
      <c r="E114" s="143"/>
      <c r="F114" s="143" t="str">
        <f>CONCATENATE(Tabla1[[#This Row],[Simbología]],"_",Tabla1[[#This Row],[Acción]])</f>
        <v>AAA_Supervisión de instalaciones y medios de transporte (CL, GLP, GNV, GNC,GNL y OPDH)</v>
      </c>
      <c r="G114" s="143" t="s">
        <v>12</v>
      </c>
      <c r="H114" s="142" t="s">
        <v>2499</v>
      </c>
      <c r="I114" s="156"/>
      <c r="J114" s="206" t="str">
        <f>CONCATENATE(Tabla1[[#This Row],[Simbología1]],"_",Tabla1[[#This Row],[Acción Especifica]])</f>
        <v>KIN_3_Supervisión de Denuncias (Supervisión Especial de las Instalaciones y Medios de Transporte)</v>
      </c>
      <c r="K114" s="206" t="s">
        <v>2600</v>
      </c>
      <c r="L114" s="142" t="s">
        <v>2500</v>
      </c>
      <c r="M114" s="142"/>
      <c r="N114" s="146" t="str">
        <f>CONCATENATE(Tabla1[[#This Row],[Simbología**]],"_",Tabla1[[#This Row],[Sub Acción Especifica]])</f>
        <v>KKIN_28_Informales</v>
      </c>
      <c r="O114" s="144" t="s">
        <v>2655</v>
      </c>
      <c r="P114" s="142" t="s">
        <v>24</v>
      </c>
      <c r="Q114" s="146" t="str">
        <f>CONCATENATE(Tabla1[[#This Row],[Simbología*]],"_",Tabla1[[#This Row],[Tipo de instalación relacionado]])</f>
        <v>KKKIN_36_Locales de Venta de GLP</v>
      </c>
      <c r="R114" s="157"/>
      <c r="S114" s="157"/>
      <c r="T114" s="158"/>
      <c r="U114" s="157"/>
      <c r="V114" s="157"/>
      <c r="W114" s="158"/>
      <c r="X114" s="159"/>
      <c r="Y114" s="159"/>
      <c r="Z114" s="158"/>
      <c r="AA114" s="160"/>
      <c r="AB114" s="152" t="s">
        <v>2486</v>
      </c>
      <c r="AD114" s="20" t="s">
        <v>2395</v>
      </c>
      <c r="AE114" s="10" t="s">
        <v>163</v>
      </c>
      <c r="AF114" s="20" t="s">
        <v>167</v>
      </c>
      <c r="AG114" s="10"/>
      <c r="AH114" s="22" t="str">
        <f t="shared" si="2"/>
        <v>Áncash_04 Asunción</v>
      </c>
      <c r="AI114" s="10" t="s">
        <v>350</v>
      </c>
      <c r="AJ114" s="20" t="s">
        <v>207</v>
      </c>
      <c r="AK114" s="22" t="str">
        <f t="shared" si="3"/>
        <v>Áncash_04 Asunción_02 Acochaca</v>
      </c>
      <c r="AL114" s="25">
        <v>2</v>
      </c>
      <c r="AM114" s="25">
        <v>46</v>
      </c>
      <c r="AN114" s="26">
        <f>Tabla2[[#This Row],[Minutos]]/60</f>
        <v>0.76666666666666672</v>
      </c>
      <c r="AO114" s="27">
        <f>SUM(Tabla2[[#This Row],[Horas]],Tabla2[[#This Row],[Minutos a Horas]])</f>
        <v>2.7666666666666666</v>
      </c>
      <c r="AP114" s="49">
        <v>3</v>
      </c>
      <c r="AQ114" s="49">
        <v>20</v>
      </c>
      <c r="AR114" s="26">
        <f>Tabla2[[#This Row],[Minutos*]]/60</f>
        <v>0.33333333333333331</v>
      </c>
      <c r="AS114" s="27">
        <f>SUM(Tabla2[[#This Row],[Horas*]],Tabla2[[#This Row],[Minutos a Horas*]])+(Tabla2[[#This Row],[Tiempo Total a Nivel Proncincial (Horas)]])</f>
        <v>6.1</v>
      </c>
      <c r="AV114" s="62"/>
    </row>
    <row r="115" spans="2:48" ht="60" customHeight="1" x14ac:dyDescent="0.25">
      <c r="B115" s="78" t="s">
        <v>2314</v>
      </c>
      <c r="C115" s="199" t="s">
        <v>4</v>
      </c>
      <c r="D115" s="143" t="s">
        <v>2490</v>
      </c>
      <c r="E115" s="143"/>
      <c r="F115" s="143" t="str">
        <f>CONCATENATE(Tabla1[[#This Row],[Simbología]],"_",Tabla1[[#This Row],[Acción]])</f>
        <v>AAA_Supervisión de instalaciones y medios de transporte (CL, GLP, GNV, GNC,GNL y OPDH)</v>
      </c>
      <c r="G115" s="143" t="s">
        <v>12</v>
      </c>
      <c r="H115" s="142" t="s">
        <v>2499</v>
      </c>
      <c r="I115" s="156"/>
      <c r="J115" s="206" t="str">
        <f>CONCATENATE(Tabla1[[#This Row],[Simbología1]],"_",Tabla1[[#This Row],[Acción Especifica]])</f>
        <v>KIN_3_Supervisión de Denuncias (Supervisión Especial de las Instalaciones y Medios de Transporte)</v>
      </c>
      <c r="K115" s="206" t="s">
        <v>2600</v>
      </c>
      <c r="L115" s="142" t="s">
        <v>2500</v>
      </c>
      <c r="M115" s="142"/>
      <c r="N115" s="146" t="str">
        <f>CONCATENATE(Tabla1[[#This Row],[Simbología**]],"_",Tabla1[[#This Row],[Sub Acción Especifica]])</f>
        <v>KKIN_28_Informales</v>
      </c>
      <c r="O115" s="144" t="s">
        <v>2655</v>
      </c>
      <c r="P115" s="142" t="s">
        <v>2416</v>
      </c>
      <c r="Q115" s="146" t="str">
        <f>CONCATENATE(Tabla1[[#This Row],[Simbología*]],"_",Tabla1[[#This Row],[Tipo de instalación relacionado]])</f>
        <v>KKKIN_36_Grifo Rural con almacenamiento en cilindros</v>
      </c>
      <c r="R115" s="157"/>
      <c r="S115" s="157"/>
      <c r="T115" s="158"/>
      <c r="U115" s="157"/>
      <c r="V115" s="157"/>
      <c r="W115" s="158"/>
      <c r="X115" s="159"/>
      <c r="Y115" s="159"/>
      <c r="Z115" s="158"/>
      <c r="AA115" s="160"/>
      <c r="AB115" s="152" t="s">
        <v>2486</v>
      </c>
      <c r="AD115" s="20" t="s">
        <v>2395</v>
      </c>
      <c r="AE115" s="10" t="s">
        <v>163</v>
      </c>
      <c r="AF115" s="20" t="s">
        <v>168</v>
      </c>
      <c r="AG115" s="10"/>
      <c r="AH115" s="22" t="str">
        <f t="shared" si="2"/>
        <v>Áncash_05 Bolognesi</v>
      </c>
      <c r="AI115" s="10" t="s">
        <v>351</v>
      </c>
      <c r="AJ115" s="20" t="s">
        <v>208</v>
      </c>
      <c r="AK115" s="22" t="str">
        <f t="shared" si="3"/>
        <v>Áncash_05 Bolognesi_01 Chiquian</v>
      </c>
      <c r="AL115" s="25">
        <v>2</v>
      </c>
      <c r="AM115" s="25">
        <v>15</v>
      </c>
      <c r="AN115" s="26">
        <f>Tabla2[[#This Row],[Minutos]]/60</f>
        <v>0.25</v>
      </c>
      <c r="AO115" s="27">
        <f>SUM(Tabla2[[#This Row],[Horas]],Tabla2[[#This Row],[Minutos a Horas]])</f>
        <v>2.25</v>
      </c>
      <c r="AP115" s="49">
        <v>2</v>
      </c>
      <c r="AQ115" s="49">
        <v>30</v>
      </c>
      <c r="AR115" s="26">
        <f>Tabla2[[#This Row],[Minutos*]]/60</f>
        <v>0.5</v>
      </c>
      <c r="AS115" s="27">
        <f>SUM(Tabla2[[#This Row],[Horas*]],Tabla2[[#This Row],[Minutos a Horas*]])+(Tabla2[[#This Row],[Tiempo Total a Nivel Proncincial (Horas)]])</f>
        <v>4.75</v>
      </c>
      <c r="AV115" s="62"/>
    </row>
    <row r="116" spans="2:48" ht="60" customHeight="1" x14ac:dyDescent="0.25">
      <c r="B116" s="78" t="s">
        <v>2314</v>
      </c>
      <c r="C116" s="199" t="s">
        <v>4</v>
      </c>
      <c r="D116" s="143" t="s">
        <v>2490</v>
      </c>
      <c r="E116" s="143"/>
      <c r="F116" s="143" t="str">
        <f>CONCATENATE(Tabla1[[#This Row],[Simbología]],"_",Tabla1[[#This Row],[Acción]])</f>
        <v>AAA_Supervisión de instalaciones y medios de transporte (CL, GLP, GNV, GNC,GNL y OPDH)</v>
      </c>
      <c r="G116" s="143" t="s">
        <v>12</v>
      </c>
      <c r="H116" s="142" t="s">
        <v>2473</v>
      </c>
      <c r="I116" s="144"/>
      <c r="J116" s="207" t="str">
        <f>CONCATENATE(Tabla1[[#This Row],[Simbología1]],"_",Tabla1[[#This Row],[Acción Especifica]])</f>
        <v>KIN_3_Supervisión Operativa de Seguridad de Locales de Venta (LV) de GLP</v>
      </c>
      <c r="K116" s="207" t="s">
        <v>2601</v>
      </c>
      <c r="L116" s="142" t="s">
        <v>2504</v>
      </c>
      <c r="M116" s="142" t="s">
        <v>2504</v>
      </c>
      <c r="N116" s="146" t="str">
        <f>CONCATENATE(Tabla1[[#This Row],[Simbología**]],"_",Tabla1[[#This Row],[Sub Acción Especifica]])</f>
        <v>KKIN_29_Seguridad de Locales de Venta de GLP</v>
      </c>
      <c r="O116" s="144" t="s">
        <v>2656</v>
      </c>
      <c r="P116" s="142" t="s">
        <v>24</v>
      </c>
      <c r="Q116" s="146" t="str">
        <f>CONCATENATE(Tabla1[[#This Row],[Simbología*]],"_",Tabla1[[#This Row],[Tipo de instalación relacionado]])</f>
        <v>KKKIN_37_Locales de Venta de GLP</v>
      </c>
      <c r="R116" s="157"/>
      <c r="S116" s="157"/>
      <c r="T116" s="158"/>
      <c r="U116" s="157"/>
      <c r="V116" s="157"/>
      <c r="W116" s="158"/>
      <c r="X116" s="159"/>
      <c r="Y116" s="159"/>
      <c r="Z116" s="158"/>
      <c r="AA116" s="160"/>
      <c r="AB116" s="152" t="s">
        <v>2486</v>
      </c>
      <c r="AD116" s="20" t="s">
        <v>2395</v>
      </c>
      <c r="AE116" s="10" t="s">
        <v>163</v>
      </c>
      <c r="AF116" s="20" t="s">
        <v>168</v>
      </c>
      <c r="AG116" s="10"/>
      <c r="AH116" s="22" t="str">
        <f t="shared" si="2"/>
        <v>Áncash_05 Bolognesi</v>
      </c>
      <c r="AI116" s="10" t="s">
        <v>351</v>
      </c>
      <c r="AJ116" s="20" t="s">
        <v>209</v>
      </c>
      <c r="AK116" s="22" t="str">
        <f t="shared" si="3"/>
        <v>Áncash_05 Bolognesi_02 Abelardo Pardo Lezameta</v>
      </c>
      <c r="AL116" s="25">
        <v>2</v>
      </c>
      <c r="AM116" s="25">
        <v>15</v>
      </c>
      <c r="AN116" s="26">
        <f>Tabla2[[#This Row],[Minutos]]/60</f>
        <v>0.25</v>
      </c>
      <c r="AO116" s="27">
        <f>SUM(Tabla2[[#This Row],[Horas]],Tabla2[[#This Row],[Minutos a Horas]])</f>
        <v>2.25</v>
      </c>
      <c r="AP116" s="49">
        <v>3</v>
      </c>
      <c r="AQ116" s="49">
        <v>30</v>
      </c>
      <c r="AR116" s="26">
        <f>Tabla2[[#This Row],[Minutos*]]/60</f>
        <v>0.5</v>
      </c>
      <c r="AS116" s="27">
        <f>SUM(Tabla2[[#This Row],[Horas*]],Tabla2[[#This Row],[Minutos a Horas*]])+(Tabla2[[#This Row],[Tiempo Total a Nivel Proncincial (Horas)]])</f>
        <v>5.75</v>
      </c>
      <c r="AV116" s="62"/>
    </row>
    <row r="117" spans="2:48" ht="60" customHeight="1" x14ac:dyDescent="0.25">
      <c r="B117" s="78" t="s">
        <v>2314</v>
      </c>
      <c r="C117" s="199" t="s">
        <v>4</v>
      </c>
      <c r="D117" s="143" t="s">
        <v>2490</v>
      </c>
      <c r="E117" s="143"/>
      <c r="F117" s="143" t="str">
        <f>CONCATENATE(Tabla1[[#This Row],[Simbología]],"_",Tabla1[[#This Row],[Acción]])</f>
        <v>AAA_Supervisión de instalaciones y medios de transporte (CL, GLP, GNV, GNC,GNL y OPDH)</v>
      </c>
      <c r="G117" s="143" t="s">
        <v>12</v>
      </c>
      <c r="H117" s="142" t="s">
        <v>2474</v>
      </c>
      <c r="I117" s="144"/>
      <c r="J117" s="207" t="str">
        <f>CONCATENATE(Tabla1[[#This Row],[Simbología1]],"_",Tabla1[[#This Row],[Acción Especifica]])</f>
        <v>KIN_3_Supervisión Operativa de Seguridad de Consumidores Directos (CD) ó Redes de Distribución (RD) de GLP</v>
      </c>
      <c r="K117" s="207" t="s">
        <v>2602</v>
      </c>
      <c r="L117" s="142" t="s">
        <v>2505</v>
      </c>
      <c r="M117" s="142" t="s">
        <v>2505</v>
      </c>
      <c r="N117" s="146" t="str">
        <f>CONCATENATE(Tabla1[[#This Row],[Simbología**]],"_",Tabla1[[#This Row],[Sub Acción Especifica]])</f>
        <v>KKIN_30_Seguridad de Consumidores Directos (CD) ó Redes de Distribución (RD) de GLP</v>
      </c>
      <c r="O117" s="144" t="s">
        <v>2657</v>
      </c>
      <c r="P117" s="142" t="s">
        <v>2501</v>
      </c>
      <c r="Q117" s="146" t="str">
        <f>CONCATENATE(Tabla1[[#This Row],[Simbología*]],"_",Tabla1[[#This Row],[Tipo de instalación relacionado]])</f>
        <v>KKKIN_38_Consumidores Directos GLP y Redes de Distribución de GLP</v>
      </c>
      <c r="R117" s="157"/>
      <c r="S117" s="157"/>
      <c r="T117" s="158"/>
      <c r="U117" s="157"/>
      <c r="V117" s="157"/>
      <c r="W117" s="158"/>
      <c r="X117" s="159"/>
      <c r="Y117" s="159"/>
      <c r="Z117" s="158"/>
      <c r="AA117" s="160"/>
      <c r="AB117" s="152" t="s">
        <v>2486</v>
      </c>
      <c r="AD117" s="20" t="s">
        <v>2395</v>
      </c>
      <c r="AE117" s="10" t="s">
        <v>163</v>
      </c>
      <c r="AF117" s="20" t="s">
        <v>168</v>
      </c>
      <c r="AG117" s="10"/>
      <c r="AH117" s="22" t="str">
        <f t="shared" si="2"/>
        <v>Áncash_05 Bolognesi</v>
      </c>
      <c r="AI117" s="10" t="s">
        <v>351</v>
      </c>
      <c r="AJ117" s="20" t="s">
        <v>166</v>
      </c>
      <c r="AK117" s="22" t="str">
        <f t="shared" si="3"/>
        <v>Áncash_05 Bolognesi_03 Antonio Raymondi</v>
      </c>
      <c r="AL117" s="25">
        <v>2</v>
      </c>
      <c r="AM117" s="25">
        <v>15</v>
      </c>
      <c r="AN117" s="26">
        <f>Tabla2[[#This Row],[Minutos]]/60</f>
        <v>0.25</v>
      </c>
      <c r="AO117" s="27">
        <f>SUM(Tabla2[[#This Row],[Horas]],Tabla2[[#This Row],[Minutos a Horas]])</f>
        <v>2.25</v>
      </c>
      <c r="AP117" s="49">
        <v>3</v>
      </c>
      <c r="AQ117" s="49">
        <v>0</v>
      </c>
      <c r="AR117" s="26">
        <f>Tabla2[[#This Row],[Minutos*]]/60</f>
        <v>0</v>
      </c>
      <c r="AS117" s="27">
        <f>SUM(Tabla2[[#This Row],[Horas*]],Tabla2[[#This Row],[Minutos a Horas*]])+(Tabla2[[#This Row],[Tiempo Total a Nivel Proncincial (Horas)]])</f>
        <v>5.25</v>
      </c>
      <c r="AV117" s="62"/>
    </row>
    <row r="118" spans="2:48" ht="60" customHeight="1" x14ac:dyDescent="0.25">
      <c r="B118" s="78" t="s">
        <v>2314</v>
      </c>
      <c r="C118" s="199" t="s">
        <v>4</v>
      </c>
      <c r="D118" s="143" t="s">
        <v>2490</v>
      </c>
      <c r="E118" s="143"/>
      <c r="F118" s="143" t="str">
        <f>CONCATENATE(Tabla1[[#This Row],[Simbología]],"_",Tabla1[[#This Row],[Acción]])</f>
        <v>AAA_Supervisión de instalaciones y medios de transporte (CL, GLP, GNV, GNC,GNL y OPDH)</v>
      </c>
      <c r="G118" s="143" t="s">
        <v>12</v>
      </c>
      <c r="H118" s="142" t="s">
        <v>2475</v>
      </c>
      <c r="I118" s="156"/>
      <c r="J118" s="206" t="str">
        <f>CONCATENATE(Tabla1[[#This Row],[Simbología1]],"_",Tabla1[[#This Row],[Acción Especifica]])</f>
        <v>KIN_3_Supervisión Operativa de Certificación  de Planta Envasadora (PE) ó Distribuidora a Granel (DG) de GLP</v>
      </c>
      <c r="K118" s="206" t="s">
        <v>2603</v>
      </c>
      <c r="L118" s="142" t="s">
        <v>2508</v>
      </c>
      <c r="M118" s="142" t="s">
        <v>2508</v>
      </c>
      <c r="N118" s="146" t="str">
        <f>CONCATENATE(Tabla1[[#This Row],[Simbología**]],"_",Tabla1[[#This Row],[Sub Acción Especifica]])</f>
        <v>KKIN_31_Certificación de Planta Envasadora (PE)</v>
      </c>
      <c r="O118" s="144" t="s">
        <v>2658</v>
      </c>
      <c r="P118" s="142" t="s">
        <v>39</v>
      </c>
      <c r="Q118" s="146" t="str">
        <f>CONCATENATE(Tabla1[[#This Row],[Simbología*]],"_",Tabla1[[#This Row],[Tipo de instalación relacionado]])</f>
        <v>KKKIN_39_Plantas Envasadoras (GLP)</v>
      </c>
      <c r="R118" s="157"/>
      <c r="S118" s="157"/>
      <c r="T118" s="158"/>
      <c r="U118" s="157"/>
      <c r="V118" s="157"/>
      <c r="W118" s="158"/>
      <c r="X118" s="159"/>
      <c r="Y118" s="159"/>
      <c r="Z118" s="158"/>
      <c r="AA118" s="160"/>
      <c r="AB118" s="152" t="s">
        <v>2486</v>
      </c>
      <c r="AD118" s="20" t="s">
        <v>2395</v>
      </c>
      <c r="AE118" s="10" t="s">
        <v>163</v>
      </c>
      <c r="AF118" s="20" t="s">
        <v>168</v>
      </c>
      <c r="AG118" s="10"/>
      <c r="AH118" s="22" t="str">
        <f t="shared" si="2"/>
        <v>Áncash_05 Bolognesi</v>
      </c>
      <c r="AI118" s="10" t="s">
        <v>351</v>
      </c>
      <c r="AJ118" s="20" t="s">
        <v>210</v>
      </c>
      <c r="AK118" s="22" t="str">
        <f t="shared" si="3"/>
        <v>Áncash_05 Bolognesi_04 Aquia</v>
      </c>
      <c r="AL118" s="25">
        <v>2</v>
      </c>
      <c r="AM118" s="25">
        <v>15</v>
      </c>
      <c r="AN118" s="26">
        <f>Tabla2[[#This Row],[Minutos]]/60</f>
        <v>0.25</v>
      </c>
      <c r="AO118" s="27">
        <f>SUM(Tabla2[[#This Row],[Horas]],Tabla2[[#This Row],[Minutos a Horas]])</f>
        <v>2.25</v>
      </c>
      <c r="AP118" s="49">
        <v>3</v>
      </c>
      <c r="AQ118" s="49">
        <v>0</v>
      </c>
      <c r="AR118" s="26">
        <f>Tabla2[[#This Row],[Minutos*]]/60</f>
        <v>0</v>
      </c>
      <c r="AS118" s="27">
        <f>SUM(Tabla2[[#This Row],[Horas*]],Tabla2[[#This Row],[Minutos a Horas*]])+(Tabla2[[#This Row],[Tiempo Total a Nivel Proncincial (Horas)]])</f>
        <v>5.25</v>
      </c>
      <c r="AV118" s="62"/>
    </row>
    <row r="119" spans="2:48" ht="60" customHeight="1" x14ac:dyDescent="0.25">
      <c r="B119" s="78" t="s">
        <v>2314</v>
      </c>
      <c r="C119" s="199" t="s">
        <v>4</v>
      </c>
      <c r="D119" s="143" t="s">
        <v>2490</v>
      </c>
      <c r="E119" s="143"/>
      <c r="F119" s="143" t="str">
        <f>CONCATENATE(Tabla1[[#This Row],[Simbología]],"_",Tabla1[[#This Row],[Acción]])</f>
        <v>AAA_Supervisión de instalaciones y medios de transporte (CL, GLP, GNV, GNC,GNL y OPDH)</v>
      </c>
      <c r="G119" s="143" t="s">
        <v>12</v>
      </c>
      <c r="H119" s="142" t="s">
        <v>2475</v>
      </c>
      <c r="I119" s="156"/>
      <c r="J119" s="206" t="str">
        <f>CONCATENATE(Tabla1[[#This Row],[Simbología1]],"_",Tabla1[[#This Row],[Acción Especifica]])</f>
        <v>KIN_3_Supervisión Operativa de Certificación  de Planta Envasadora (PE) ó Distribuidora a Granel (DG) de GLP</v>
      </c>
      <c r="K119" s="206" t="s">
        <v>2603</v>
      </c>
      <c r="L119" s="142" t="s">
        <v>2507</v>
      </c>
      <c r="M119" s="142" t="s">
        <v>2507</v>
      </c>
      <c r="N119" s="146" t="str">
        <f>CONCATENATE(Tabla1[[#This Row],[Simbología**]],"_",Tabla1[[#This Row],[Sub Acción Especifica]])</f>
        <v>KKIN_31_Certificación de Distribuidora a Granel (DG) de GLP</v>
      </c>
      <c r="O119" s="144" t="s">
        <v>2659</v>
      </c>
      <c r="P119" s="142" t="s">
        <v>2506</v>
      </c>
      <c r="Q119" s="146" t="str">
        <f>CONCATENATE(Tabla1[[#This Row],[Simbología*]],"_",Tabla1[[#This Row],[Tipo de instalación relacionado]])</f>
        <v>KKKIN_40_Distribuidora a Granel (DG) de GLP</v>
      </c>
      <c r="R119" s="157"/>
      <c r="S119" s="157"/>
      <c r="T119" s="158"/>
      <c r="U119" s="157"/>
      <c r="V119" s="157"/>
      <c r="W119" s="158"/>
      <c r="X119" s="159"/>
      <c r="Y119" s="159"/>
      <c r="Z119" s="158"/>
      <c r="AA119" s="160"/>
      <c r="AB119" s="152" t="s">
        <v>2486</v>
      </c>
      <c r="AD119" s="20" t="s">
        <v>2395</v>
      </c>
      <c r="AE119" s="10" t="s">
        <v>163</v>
      </c>
      <c r="AF119" s="20" t="s">
        <v>168</v>
      </c>
      <c r="AG119" s="10"/>
      <c r="AH119" s="22" t="str">
        <f t="shared" si="2"/>
        <v>Áncash_05 Bolognesi</v>
      </c>
      <c r="AI119" s="10" t="s">
        <v>351</v>
      </c>
      <c r="AJ119" s="20" t="s">
        <v>211</v>
      </c>
      <c r="AK119" s="22" t="str">
        <f t="shared" si="3"/>
        <v>Áncash_05 Bolognesi_05 Cajacay</v>
      </c>
      <c r="AL119" s="25">
        <v>2</v>
      </c>
      <c r="AM119" s="25">
        <v>15</v>
      </c>
      <c r="AN119" s="26">
        <f>Tabla2[[#This Row],[Minutos]]/60</f>
        <v>0.25</v>
      </c>
      <c r="AO119" s="27">
        <f>SUM(Tabla2[[#This Row],[Horas]],Tabla2[[#This Row],[Minutos a Horas]])</f>
        <v>2.25</v>
      </c>
      <c r="AP119" s="49">
        <v>2</v>
      </c>
      <c r="AQ119" s="49">
        <v>30</v>
      </c>
      <c r="AR119" s="26">
        <f>Tabla2[[#This Row],[Minutos*]]/60</f>
        <v>0.5</v>
      </c>
      <c r="AS119" s="27">
        <f>SUM(Tabla2[[#This Row],[Horas*]],Tabla2[[#This Row],[Minutos a Horas*]])+(Tabla2[[#This Row],[Tiempo Total a Nivel Proncincial (Horas)]])</f>
        <v>4.75</v>
      </c>
      <c r="AV119" s="62"/>
    </row>
    <row r="120" spans="2:48" ht="60" customHeight="1" x14ac:dyDescent="0.25">
      <c r="B120" s="78" t="s">
        <v>2314</v>
      </c>
      <c r="C120" s="199" t="s">
        <v>4</v>
      </c>
      <c r="D120" s="143" t="s">
        <v>2490</v>
      </c>
      <c r="E120" s="143"/>
      <c r="F120" s="143" t="str">
        <f>CONCATENATE(Tabla1[[#This Row],[Simbología]],"_",Tabla1[[#This Row],[Acción]])</f>
        <v>AAA_Supervisión de instalaciones y medios de transporte (CL, GLP, GNV, GNC,GNL y OPDH)</v>
      </c>
      <c r="G120" s="143" t="s">
        <v>12</v>
      </c>
      <c r="H120" s="142" t="s">
        <v>2509</v>
      </c>
      <c r="I120" s="156"/>
      <c r="J120" s="206" t="str">
        <f>CONCATENATE(Tabla1[[#This Row],[Simbología1]],"_",Tabla1[[#This Row],[Acción Especifica]])</f>
        <v>KIN_3_Supervisión de seguridad por criticidad de cilindros de GLP</v>
      </c>
      <c r="K120" s="206" t="s">
        <v>2604</v>
      </c>
      <c r="L120" s="142" t="s">
        <v>2510</v>
      </c>
      <c r="M120" s="142" t="s">
        <v>2510</v>
      </c>
      <c r="N120" s="146" t="str">
        <f>CONCATENATE(Tabla1[[#This Row],[Simbología**]],"_",Tabla1[[#This Row],[Sub Acción Especifica]])</f>
        <v>KKIN_32_Criticidad de cilindros de GLP</v>
      </c>
      <c r="O120" s="144" t="s">
        <v>2660</v>
      </c>
      <c r="P120" s="142" t="s">
        <v>39</v>
      </c>
      <c r="Q120" s="146" t="str">
        <f>CONCATENATE(Tabla1[[#This Row],[Simbología*]],"_",Tabla1[[#This Row],[Tipo de instalación relacionado]])</f>
        <v>KKKIN_41_Plantas Envasadoras (GLP)</v>
      </c>
      <c r="R120" s="157"/>
      <c r="S120" s="157"/>
      <c r="T120" s="158"/>
      <c r="U120" s="157"/>
      <c r="V120" s="157"/>
      <c r="W120" s="158"/>
      <c r="X120" s="159"/>
      <c r="Y120" s="159"/>
      <c r="Z120" s="158"/>
      <c r="AA120" s="160"/>
      <c r="AB120" s="152" t="s">
        <v>2486</v>
      </c>
      <c r="AD120" s="20" t="s">
        <v>2395</v>
      </c>
      <c r="AE120" s="10" t="s">
        <v>163</v>
      </c>
      <c r="AF120" s="20" t="s">
        <v>168</v>
      </c>
      <c r="AG120" s="10"/>
      <c r="AH120" s="22" t="str">
        <f t="shared" si="2"/>
        <v>Áncash_05 Bolognesi</v>
      </c>
      <c r="AI120" s="10" t="s">
        <v>351</v>
      </c>
      <c r="AJ120" s="20" t="s">
        <v>212</v>
      </c>
      <c r="AK120" s="22" t="str">
        <f t="shared" si="3"/>
        <v>Áncash_05 Bolognesi_06 Canis</v>
      </c>
      <c r="AL120" s="25">
        <v>2</v>
      </c>
      <c r="AM120" s="25">
        <v>15</v>
      </c>
      <c r="AN120" s="26">
        <f>Tabla2[[#This Row],[Minutos]]/60</f>
        <v>0.25</v>
      </c>
      <c r="AO120" s="27">
        <f>SUM(Tabla2[[#This Row],[Horas]],Tabla2[[#This Row],[Minutos a Horas]])</f>
        <v>2.25</v>
      </c>
      <c r="AP120" s="49">
        <v>3</v>
      </c>
      <c r="AQ120" s="49">
        <v>30</v>
      </c>
      <c r="AR120" s="26">
        <f>Tabla2[[#This Row],[Minutos*]]/60</f>
        <v>0.5</v>
      </c>
      <c r="AS120" s="27">
        <f>SUM(Tabla2[[#This Row],[Horas*]],Tabla2[[#This Row],[Minutos a Horas*]])+(Tabla2[[#This Row],[Tiempo Total a Nivel Proncincial (Horas)]])</f>
        <v>5.75</v>
      </c>
      <c r="AV120" s="62"/>
    </row>
    <row r="121" spans="2:48" ht="60" customHeight="1" x14ac:dyDescent="0.25">
      <c r="B121" s="78" t="s">
        <v>2314</v>
      </c>
      <c r="C121" s="199" t="s">
        <v>4</v>
      </c>
      <c r="D121" s="143" t="s">
        <v>2490</v>
      </c>
      <c r="E121" s="143"/>
      <c r="F121" s="143" t="str">
        <f>CONCATENATE(Tabla1[[#This Row],[Simbología]],"_",Tabla1[[#This Row],[Acción]])</f>
        <v>AAA_Supervisión de instalaciones y medios de transporte (CL, GLP, GNV, GNC,GNL y OPDH)</v>
      </c>
      <c r="G121" s="143" t="s">
        <v>12</v>
      </c>
      <c r="H121" s="142" t="s">
        <v>2476</v>
      </c>
      <c r="I121" s="156"/>
      <c r="J121" s="206" t="str">
        <f>CONCATENATE(Tabla1[[#This Row],[Simbología1]],"_",Tabla1[[#This Row],[Acción Especifica]])</f>
        <v>KIN_3_Supervisión Operativa de Agentes Autorizados bajo el régimen de aprobación automática</v>
      </c>
      <c r="K121" s="206" t="s">
        <v>2605</v>
      </c>
      <c r="L121" s="142" t="s">
        <v>2519</v>
      </c>
      <c r="M121" s="142" t="s">
        <v>2519</v>
      </c>
      <c r="N121" s="146" t="str">
        <f>CONCATENATE(Tabla1[[#This Row],[Simbología**]],"_",Tabla1[[#This Row],[Sub Acción Especifica]])</f>
        <v>KKIN_33_Operativos a agentes autorizados bajo el régimen de aprobación automática</v>
      </c>
      <c r="O121" s="144" t="s">
        <v>2661</v>
      </c>
      <c r="P121" s="142" t="s">
        <v>7</v>
      </c>
      <c r="Q121" s="146" t="str">
        <f>CONCATENATE(Tabla1[[#This Row],[Simbología*]],"_",Tabla1[[#This Row],[Tipo de instalación relacionado]])</f>
        <v>KKKIN_42_Establecimientos de Venta al Público (Líquidos, GLP)</v>
      </c>
      <c r="R121" s="157"/>
      <c r="S121" s="157"/>
      <c r="T121" s="158"/>
      <c r="U121" s="157"/>
      <c r="V121" s="157"/>
      <c r="W121" s="158"/>
      <c r="X121" s="159"/>
      <c r="Y121" s="159"/>
      <c r="Z121" s="158"/>
      <c r="AA121" s="160"/>
      <c r="AB121" s="152" t="s">
        <v>2486</v>
      </c>
      <c r="AD121" s="20" t="s">
        <v>2395</v>
      </c>
      <c r="AE121" s="10" t="s">
        <v>163</v>
      </c>
      <c r="AF121" s="20" t="s">
        <v>168</v>
      </c>
      <c r="AG121" s="10"/>
      <c r="AH121" s="22" t="str">
        <f t="shared" si="2"/>
        <v>Áncash_05 Bolognesi</v>
      </c>
      <c r="AI121" s="10" t="s">
        <v>351</v>
      </c>
      <c r="AJ121" s="20" t="s">
        <v>213</v>
      </c>
      <c r="AK121" s="22" t="str">
        <f t="shared" si="3"/>
        <v>Áncash_05 Bolognesi_07 Colquioc</v>
      </c>
      <c r="AL121" s="25">
        <v>2</v>
      </c>
      <c r="AM121" s="25">
        <v>15</v>
      </c>
      <c r="AN121" s="26">
        <f>Tabla2[[#This Row],[Minutos]]/60</f>
        <v>0.25</v>
      </c>
      <c r="AO121" s="27">
        <f>SUM(Tabla2[[#This Row],[Horas]],Tabla2[[#This Row],[Minutos a Horas]])</f>
        <v>2.25</v>
      </c>
      <c r="AP121" s="49">
        <v>3</v>
      </c>
      <c r="AQ121" s="49">
        <v>0</v>
      </c>
      <c r="AR121" s="26">
        <f>Tabla2[[#This Row],[Minutos*]]/60</f>
        <v>0</v>
      </c>
      <c r="AS121" s="27">
        <f>SUM(Tabla2[[#This Row],[Horas*]],Tabla2[[#This Row],[Minutos a Horas*]])+(Tabla2[[#This Row],[Tiempo Total a Nivel Proncincial (Horas)]])</f>
        <v>5.25</v>
      </c>
      <c r="AV121" s="62"/>
    </row>
    <row r="122" spans="2:48" ht="60" customHeight="1" x14ac:dyDescent="0.25">
      <c r="B122" s="78" t="s">
        <v>2314</v>
      </c>
      <c r="C122" s="199" t="s">
        <v>4</v>
      </c>
      <c r="D122" s="143" t="s">
        <v>2490</v>
      </c>
      <c r="E122" s="143"/>
      <c r="F122" s="143" t="str">
        <f>CONCATENATE(Tabla1[[#This Row],[Simbología]],"_",Tabla1[[#This Row],[Acción]])</f>
        <v>AAA_Supervisión de instalaciones y medios de transporte (CL, GLP, GNV, GNC,GNL y OPDH)</v>
      </c>
      <c r="G122" s="143" t="s">
        <v>12</v>
      </c>
      <c r="H122" s="142" t="s">
        <v>2476</v>
      </c>
      <c r="I122" s="156"/>
      <c r="J122" s="206" t="str">
        <f>CONCATENATE(Tabla1[[#This Row],[Simbología1]],"_",Tabla1[[#This Row],[Acción Especifica]])</f>
        <v>KIN_3_Supervisión Operativa de Agentes Autorizados bajo el régimen de aprobación automática</v>
      </c>
      <c r="K122" s="206" t="s">
        <v>2605</v>
      </c>
      <c r="L122" s="142" t="s">
        <v>2519</v>
      </c>
      <c r="M122" s="142"/>
      <c r="N122" s="146" t="str">
        <f>CONCATENATE(Tabla1[[#This Row],[Simbología**]],"_",Tabla1[[#This Row],[Sub Acción Especifica]])</f>
        <v>KKIN_33_Operativos a agentes autorizados bajo el régimen de aprobación automática</v>
      </c>
      <c r="O122" s="144" t="s">
        <v>2661</v>
      </c>
      <c r="P122" s="142" t="s">
        <v>26</v>
      </c>
      <c r="Q122" s="146" t="str">
        <f>CONCATENATE(Tabla1[[#This Row],[Simbología*]],"_",Tabla1[[#This Row],[Tipo de instalación relacionado]])</f>
        <v>KKKIN_42_Establecimientos (GNV)</v>
      </c>
      <c r="R122" s="157"/>
      <c r="S122" s="157"/>
      <c r="T122" s="158"/>
      <c r="U122" s="157"/>
      <c r="V122" s="157"/>
      <c r="W122" s="158"/>
      <c r="X122" s="159"/>
      <c r="Y122" s="159"/>
      <c r="Z122" s="158"/>
      <c r="AA122" s="160"/>
      <c r="AB122" s="152" t="s">
        <v>2486</v>
      </c>
      <c r="AD122" s="20" t="s">
        <v>2395</v>
      </c>
      <c r="AE122" s="10" t="s">
        <v>163</v>
      </c>
      <c r="AF122" s="20" t="s">
        <v>168</v>
      </c>
      <c r="AG122" s="10"/>
      <c r="AH122" s="22" t="str">
        <f t="shared" si="2"/>
        <v>Áncash_05 Bolognesi</v>
      </c>
      <c r="AI122" s="10" t="s">
        <v>351</v>
      </c>
      <c r="AJ122" s="20" t="s">
        <v>214</v>
      </c>
      <c r="AK122" s="22" t="str">
        <f t="shared" si="3"/>
        <v>Áncash_05 Bolognesi_08 Huallanca</v>
      </c>
      <c r="AL122" s="25">
        <v>2</v>
      </c>
      <c r="AM122" s="25">
        <v>15</v>
      </c>
      <c r="AN122" s="26">
        <f>Tabla2[[#This Row],[Minutos]]/60</f>
        <v>0.25</v>
      </c>
      <c r="AO122" s="27">
        <f>SUM(Tabla2[[#This Row],[Horas]],Tabla2[[#This Row],[Minutos a Horas]])</f>
        <v>2.25</v>
      </c>
      <c r="AP122" s="49">
        <v>3</v>
      </c>
      <c r="AQ122" s="49">
        <v>0</v>
      </c>
      <c r="AR122" s="26">
        <f>Tabla2[[#This Row],[Minutos*]]/60</f>
        <v>0</v>
      </c>
      <c r="AS122" s="27">
        <f>SUM(Tabla2[[#This Row],[Horas*]],Tabla2[[#This Row],[Minutos a Horas*]])+(Tabla2[[#This Row],[Tiempo Total a Nivel Proncincial (Horas)]])</f>
        <v>5.25</v>
      </c>
      <c r="AV122" s="62"/>
    </row>
    <row r="123" spans="2:48" ht="60" customHeight="1" x14ac:dyDescent="0.25">
      <c r="B123" s="78" t="s">
        <v>2314</v>
      </c>
      <c r="C123" s="199" t="s">
        <v>4</v>
      </c>
      <c r="D123" s="143" t="s">
        <v>2490</v>
      </c>
      <c r="E123" s="143"/>
      <c r="F123" s="143" t="str">
        <f>CONCATENATE(Tabla1[[#This Row],[Simbología]],"_",Tabla1[[#This Row],[Acción]])</f>
        <v>AAA_Supervisión de instalaciones y medios de transporte (CL, GLP, GNV, GNC,GNL y OPDH)</v>
      </c>
      <c r="G123" s="143" t="s">
        <v>12</v>
      </c>
      <c r="H123" s="142" t="s">
        <v>2476</v>
      </c>
      <c r="I123" s="156"/>
      <c r="J123" s="206" t="str">
        <f>CONCATENATE(Tabla1[[#This Row],[Simbología1]],"_",Tabla1[[#This Row],[Acción Especifica]])</f>
        <v>KIN_3_Supervisión Operativa de Agentes Autorizados bajo el régimen de aprobación automática</v>
      </c>
      <c r="K123" s="206" t="s">
        <v>2605</v>
      </c>
      <c r="L123" s="142" t="s">
        <v>2519</v>
      </c>
      <c r="M123" s="142"/>
      <c r="N123" s="146" t="str">
        <f>CONCATENATE(Tabla1[[#This Row],[Simbología**]],"_",Tabla1[[#This Row],[Sub Acción Especifica]])</f>
        <v>KKIN_33_Operativos a agentes autorizados bajo el régimen de aprobación automática</v>
      </c>
      <c r="O123" s="144" t="s">
        <v>2661</v>
      </c>
      <c r="P123" s="142" t="s">
        <v>8</v>
      </c>
      <c r="Q123" s="146" t="str">
        <f>CONCATENATE(Tabla1[[#This Row],[Simbología*]],"_",Tabla1[[#This Row],[Tipo de instalación relacionado]])</f>
        <v>KKKIN_42_Consumidores Directos de CL y/u OPDH</v>
      </c>
      <c r="R123" s="157"/>
      <c r="S123" s="157"/>
      <c r="T123" s="158"/>
      <c r="U123" s="157"/>
      <c r="V123" s="157"/>
      <c r="W123" s="158"/>
      <c r="X123" s="159"/>
      <c r="Y123" s="159"/>
      <c r="Z123" s="158"/>
      <c r="AA123" s="160"/>
      <c r="AB123" s="152" t="s">
        <v>2486</v>
      </c>
      <c r="AD123" s="20" t="s">
        <v>2395</v>
      </c>
      <c r="AE123" s="10" t="s">
        <v>163</v>
      </c>
      <c r="AF123" s="20" t="s">
        <v>168</v>
      </c>
      <c r="AG123" s="10"/>
      <c r="AH123" s="22" t="str">
        <f t="shared" si="2"/>
        <v>Áncash_05 Bolognesi</v>
      </c>
      <c r="AI123" s="10" t="s">
        <v>351</v>
      </c>
      <c r="AJ123" s="20" t="s">
        <v>215</v>
      </c>
      <c r="AK123" s="22" t="str">
        <f t="shared" si="3"/>
        <v>Áncash_05 Bolognesi_09 Huasta</v>
      </c>
      <c r="AL123" s="25">
        <v>2</v>
      </c>
      <c r="AM123" s="25">
        <v>15</v>
      </c>
      <c r="AN123" s="26">
        <f>Tabla2[[#This Row],[Minutos]]/60</f>
        <v>0.25</v>
      </c>
      <c r="AO123" s="27">
        <f>SUM(Tabla2[[#This Row],[Horas]],Tabla2[[#This Row],[Minutos a Horas]])</f>
        <v>2.25</v>
      </c>
      <c r="AP123" s="49">
        <v>3</v>
      </c>
      <c r="AQ123" s="49">
        <v>0</v>
      </c>
      <c r="AR123" s="26">
        <f>Tabla2[[#This Row],[Minutos*]]/60</f>
        <v>0</v>
      </c>
      <c r="AS123" s="27">
        <f>SUM(Tabla2[[#This Row],[Horas*]],Tabla2[[#This Row],[Minutos a Horas*]])+(Tabla2[[#This Row],[Tiempo Total a Nivel Proncincial (Horas)]])</f>
        <v>5.25</v>
      </c>
      <c r="AV123" s="62"/>
    </row>
    <row r="124" spans="2:48" ht="60" customHeight="1" x14ac:dyDescent="0.25">
      <c r="B124" s="78" t="s">
        <v>2314</v>
      </c>
      <c r="C124" s="199" t="s">
        <v>4</v>
      </c>
      <c r="D124" s="143" t="s">
        <v>2490</v>
      </c>
      <c r="E124" s="143"/>
      <c r="F124" s="143" t="str">
        <f>CONCATENATE(Tabla1[[#This Row],[Simbología]],"_",Tabla1[[#This Row],[Acción]])</f>
        <v>AAA_Supervisión de instalaciones y medios de transporte (CL, GLP, GNV, GNC,GNL y OPDH)</v>
      </c>
      <c r="G124" s="143" t="s">
        <v>12</v>
      </c>
      <c r="H124" s="142" t="s">
        <v>2476</v>
      </c>
      <c r="I124" s="156"/>
      <c r="J124" s="206" t="str">
        <f>CONCATENATE(Tabla1[[#This Row],[Simbología1]],"_",Tabla1[[#This Row],[Acción Especifica]])</f>
        <v>KIN_3_Supervisión Operativa de Agentes Autorizados bajo el régimen de aprobación automática</v>
      </c>
      <c r="K124" s="206" t="s">
        <v>2605</v>
      </c>
      <c r="L124" s="142" t="s">
        <v>2519</v>
      </c>
      <c r="M124" s="142"/>
      <c r="N124" s="146" t="str">
        <f>CONCATENATE(Tabla1[[#This Row],[Simbología**]],"_",Tabla1[[#This Row],[Sub Acción Especifica]])</f>
        <v>KKIN_33_Operativos a agentes autorizados bajo el régimen de aprobación automática</v>
      </c>
      <c r="O124" s="144" t="s">
        <v>2661</v>
      </c>
      <c r="P124" s="142" t="s">
        <v>22</v>
      </c>
      <c r="Q124" s="146" t="str">
        <f>CONCATENATE(Tabla1[[#This Row],[Simbología*]],"_",Tabla1[[#This Row],[Tipo de instalación relacionado]])</f>
        <v>KKKIN_42_Consumidores Directos GLP y Redes de Distribución</v>
      </c>
      <c r="R124" s="157"/>
      <c r="S124" s="157"/>
      <c r="T124" s="158"/>
      <c r="U124" s="157"/>
      <c r="V124" s="157"/>
      <c r="W124" s="158"/>
      <c r="X124" s="159"/>
      <c r="Y124" s="159"/>
      <c r="Z124" s="158"/>
      <c r="AA124" s="160"/>
      <c r="AB124" s="152" t="s">
        <v>2486</v>
      </c>
      <c r="AD124" s="20" t="s">
        <v>2395</v>
      </c>
      <c r="AE124" s="10" t="s">
        <v>163</v>
      </c>
      <c r="AF124" s="20" t="s">
        <v>168</v>
      </c>
      <c r="AG124" s="10"/>
      <c r="AH124" s="22" t="str">
        <f t="shared" si="2"/>
        <v>Áncash_05 Bolognesi</v>
      </c>
      <c r="AI124" s="10" t="s">
        <v>351</v>
      </c>
      <c r="AJ124" s="20" t="s">
        <v>216</v>
      </c>
      <c r="AK124" s="22" t="str">
        <f t="shared" si="3"/>
        <v>Áncash_05 Bolognesi_10 Huayllacayan</v>
      </c>
      <c r="AL124" s="25">
        <v>2</v>
      </c>
      <c r="AM124" s="25">
        <v>15</v>
      </c>
      <c r="AN124" s="26">
        <f>Tabla2[[#This Row],[Minutos]]/60</f>
        <v>0.25</v>
      </c>
      <c r="AO124" s="27">
        <f>SUM(Tabla2[[#This Row],[Horas]],Tabla2[[#This Row],[Minutos a Horas]])</f>
        <v>2.25</v>
      </c>
      <c r="AP124" s="49">
        <v>3</v>
      </c>
      <c r="AQ124" s="49">
        <v>0</v>
      </c>
      <c r="AR124" s="26">
        <f>Tabla2[[#This Row],[Minutos*]]/60</f>
        <v>0</v>
      </c>
      <c r="AS124" s="27">
        <f>SUM(Tabla2[[#This Row],[Horas*]],Tabla2[[#This Row],[Minutos a Horas*]])+(Tabla2[[#This Row],[Tiempo Total a Nivel Proncincial (Horas)]])</f>
        <v>5.25</v>
      </c>
      <c r="AV124" s="62"/>
    </row>
    <row r="125" spans="2:48" ht="60" customHeight="1" x14ac:dyDescent="0.25">
      <c r="B125" s="78" t="s">
        <v>2314</v>
      </c>
      <c r="C125" s="199" t="s">
        <v>4</v>
      </c>
      <c r="D125" s="143" t="s">
        <v>2490</v>
      </c>
      <c r="E125" s="143"/>
      <c r="F125" s="143" t="str">
        <f>CONCATENATE(Tabla1[[#This Row],[Simbología]],"_",Tabla1[[#This Row],[Acción]])</f>
        <v>AAA_Supervisión de instalaciones y medios de transporte (CL, GLP, GNV, GNC,GNL y OPDH)</v>
      </c>
      <c r="G125" s="143" t="s">
        <v>12</v>
      </c>
      <c r="H125" s="142" t="s">
        <v>2476</v>
      </c>
      <c r="I125" s="156"/>
      <c r="J125" s="206" t="str">
        <f>CONCATENATE(Tabla1[[#This Row],[Simbología1]],"_",Tabla1[[#This Row],[Acción Especifica]])</f>
        <v>KIN_3_Supervisión Operativa de Agentes Autorizados bajo el régimen de aprobación automática</v>
      </c>
      <c r="K125" s="206" t="s">
        <v>2605</v>
      </c>
      <c r="L125" s="142" t="s">
        <v>2519</v>
      </c>
      <c r="M125" s="142"/>
      <c r="N125" s="146" t="str">
        <f>CONCATENATE(Tabla1[[#This Row],[Simbología**]],"_",Tabla1[[#This Row],[Sub Acción Especifica]])</f>
        <v>KKIN_33_Operativos a agentes autorizados bajo el régimen de aprobación automática</v>
      </c>
      <c r="O125" s="144" t="s">
        <v>2661</v>
      </c>
      <c r="P125" s="142" t="s">
        <v>23</v>
      </c>
      <c r="Q125" s="146" t="str">
        <f>CONCATENATE(Tabla1[[#This Row],[Simbología*]],"_",Tabla1[[#This Row],[Tipo de instalación relacionado]])</f>
        <v>KKKIN_42_Medios de Transporte y Distribuidores (Líquidos, GLP)</v>
      </c>
      <c r="R125" s="157"/>
      <c r="S125" s="157"/>
      <c r="T125" s="158"/>
      <c r="U125" s="157"/>
      <c r="V125" s="157"/>
      <c r="W125" s="158"/>
      <c r="X125" s="159"/>
      <c r="Y125" s="159"/>
      <c r="Z125" s="158"/>
      <c r="AA125" s="160"/>
      <c r="AB125" s="152" t="s">
        <v>2486</v>
      </c>
      <c r="AD125" s="20" t="s">
        <v>2395</v>
      </c>
      <c r="AE125" s="10" t="s">
        <v>163</v>
      </c>
      <c r="AF125" s="20" t="s">
        <v>168</v>
      </c>
      <c r="AG125" s="10"/>
      <c r="AH125" s="22" t="str">
        <f t="shared" si="2"/>
        <v>Áncash_05 Bolognesi</v>
      </c>
      <c r="AI125" s="10" t="s">
        <v>351</v>
      </c>
      <c r="AJ125" s="20" t="s">
        <v>217</v>
      </c>
      <c r="AK125" s="22" t="str">
        <f t="shared" si="3"/>
        <v>Áncash_05 Bolognesi_11 La Primavera</v>
      </c>
      <c r="AL125" s="25">
        <v>2</v>
      </c>
      <c r="AM125" s="25">
        <v>15</v>
      </c>
      <c r="AN125" s="26">
        <f>Tabla2[[#This Row],[Minutos]]/60</f>
        <v>0.25</v>
      </c>
      <c r="AO125" s="27">
        <f>SUM(Tabla2[[#This Row],[Horas]],Tabla2[[#This Row],[Minutos a Horas]])</f>
        <v>2.25</v>
      </c>
      <c r="AP125" s="49">
        <v>3</v>
      </c>
      <c r="AQ125" s="49">
        <v>0</v>
      </c>
      <c r="AR125" s="26">
        <f>Tabla2[[#This Row],[Minutos*]]/60</f>
        <v>0</v>
      </c>
      <c r="AS125" s="27">
        <f>SUM(Tabla2[[#This Row],[Horas*]],Tabla2[[#This Row],[Minutos a Horas*]])+(Tabla2[[#This Row],[Tiempo Total a Nivel Proncincial (Horas)]])</f>
        <v>5.25</v>
      </c>
      <c r="AV125" s="62"/>
    </row>
    <row r="126" spans="2:48" ht="60" customHeight="1" x14ac:dyDescent="0.25">
      <c r="B126" s="78" t="s">
        <v>2314</v>
      </c>
      <c r="C126" s="199" t="s">
        <v>4</v>
      </c>
      <c r="D126" s="143" t="s">
        <v>2490</v>
      </c>
      <c r="E126" s="143"/>
      <c r="F126" s="143" t="str">
        <f>CONCATENATE(Tabla1[[#This Row],[Simbología]],"_",Tabla1[[#This Row],[Acción]])</f>
        <v>AAA_Supervisión de instalaciones y medios de transporte (CL, GLP, GNV, GNC,GNL y OPDH)</v>
      </c>
      <c r="G126" s="143" t="s">
        <v>12</v>
      </c>
      <c r="H126" s="142" t="s">
        <v>2476</v>
      </c>
      <c r="I126" s="156"/>
      <c r="J126" s="206" t="str">
        <f>CONCATENATE(Tabla1[[#This Row],[Simbología1]],"_",Tabla1[[#This Row],[Acción Especifica]])</f>
        <v>KIN_3_Supervisión Operativa de Agentes Autorizados bajo el régimen de aprobación automática</v>
      </c>
      <c r="K126" s="206" t="s">
        <v>2605</v>
      </c>
      <c r="L126" s="142" t="s">
        <v>2519</v>
      </c>
      <c r="M126" s="142"/>
      <c r="N126" s="146" t="str">
        <f>CONCATENATE(Tabla1[[#This Row],[Simbología**]],"_",Tabla1[[#This Row],[Sub Acción Especifica]])</f>
        <v>KKIN_33_Operativos a agentes autorizados bajo el régimen de aprobación automática</v>
      </c>
      <c r="O126" s="144" t="s">
        <v>2661</v>
      </c>
      <c r="P126" s="142" t="s">
        <v>45</v>
      </c>
      <c r="Q126" s="146" t="str">
        <f>CONCATENATE(Tabla1[[#This Row],[Simbología*]],"_",Tabla1[[#This Row],[Tipo de instalación relacionado]])</f>
        <v>KKKIN_42_Medios de Transporte (GNC, GNL)</v>
      </c>
      <c r="R126" s="157"/>
      <c r="S126" s="157"/>
      <c r="T126" s="158"/>
      <c r="U126" s="157"/>
      <c r="V126" s="157"/>
      <c r="W126" s="158"/>
      <c r="X126" s="159"/>
      <c r="Y126" s="159"/>
      <c r="Z126" s="158"/>
      <c r="AA126" s="160"/>
      <c r="AB126" s="152" t="s">
        <v>2486</v>
      </c>
      <c r="AD126" s="20" t="s">
        <v>2395</v>
      </c>
      <c r="AE126" s="10" t="s">
        <v>163</v>
      </c>
      <c r="AF126" s="20" t="s">
        <v>168</v>
      </c>
      <c r="AG126" s="10"/>
      <c r="AH126" s="22" t="str">
        <f t="shared" si="2"/>
        <v>Áncash_05 Bolognesi</v>
      </c>
      <c r="AI126" s="10" t="s">
        <v>351</v>
      </c>
      <c r="AJ126" s="20" t="s">
        <v>218</v>
      </c>
      <c r="AK126" s="22" t="str">
        <f t="shared" si="3"/>
        <v>Áncash_05 Bolognesi_12 Mangas</v>
      </c>
      <c r="AL126" s="25">
        <v>2</v>
      </c>
      <c r="AM126" s="25">
        <v>15</v>
      </c>
      <c r="AN126" s="26">
        <f>Tabla2[[#This Row],[Minutos]]/60</f>
        <v>0.25</v>
      </c>
      <c r="AO126" s="27">
        <f>SUM(Tabla2[[#This Row],[Horas]],Tabla2[[#This Row],[Minutos a Horas]])</f>
        <v>2.25</v>
      </c>
      <c r="AP126" s="49">
        <v>4</v>
      </c>
      <c r="AQ126" s="49">
        <v>0</v>
      </c>
      <c r="AR126" s="26">
        <f>Tabla2[[#This Row],[Minutos*]]/60</f>
        <v>0</v>
      </c>
      <c r="AS126" s="27">
        <f>SUM(Tabla2[[#This Row],[Horas*]],Tabla2[[#This Row],[Minutos a Horas*]])+(Tabla2[[#This Row],[Tiempo Total a Nivel Proncincial (Horas)]])</f>
        <v>6.25</v>
      </c>
      <c r="AV126" s="62"/>
    </row>
    <row r="127" spans="2:48" ht="60" customHeight="1" x14ac:dyDescent="0.25">
      <c r="B127" s="78" t="s">
        <v>2314</v>
      </c>
      <c r="C127" s="199" t="s">
        <v>4</v>
      </c>
      <c r="D127" s="143" t="s">
        <v>2490</v>
      </c>
      <c r="E127" s="143"/>
      <c r="F127" s="143" t="str">
        <f>CONCATENATE(Tabla1[[#This Row],[Simbología]],"_",Tabla1[[#This Row],[Acción]])</f>
        <v>AAA_Supervisión de instalaciones y medios de transporte (CL, GLP, GNV, GNC,GNL y OPDH)</v>
      </c>
      <c r="G127" s="143" t="s">
        <v>12</v>
      </c>
      <c r="H127" s="142" t="s">
        <v>2476</v>
      </c>
      <c r="I127" s="156"/>
      <c r="J127" s="206" t="str">
        <f>CONCATENATE(Tabla1[[#This Row],[Simbología1]],"_",Tabla1[[#This Row],[Acción Especifica]])</f>
        <v>KIN_3_Supervisión Operativa de Agentes Autorizados bajo el régimen de aprobación automática</v>
      </c>
      <c r="K127" s="206" t="s">
        <v>2605</v>
      </c>
      <c r="L127" s="142" t="s">
        <v>2519</v>
      </c>
      <c r="M127" s="142"/>
      <c r="N127" s="146" t="str">
        <f>CONCATENATE(Tabla1[[#This Row],[Simbología**]],"_",Tabla1[[#This Row],[Sub Acción Especifica]])</f>
        <v>KKIN_33_Operativos a agentes autorizados bajo el régimen de aprobación automática</v>
      </c>
      <c r="O127" s="144" t="s">
        <v>2661</v>
      </c>
      <c r="P127" s="142" t="s">
        <v>24</v>
      </c>
      <c r="Q127" s="146" t="str">
        <f>CONCATENATE(Tabla1[[#This Row],[Simbología*]],"_",Tabla1[[#This Row],[Tipo de instalación relacionado]])</f>
        <v>KKKIN_42_Locales de Venta de GLP</v>
      </c>
      <c r="R127" s="157"/>
      <c r="S127" s="157"/>
      <c r="T127" s="158"/>
      <c r="U127" s="157"/>
      <c r="V127" s="157"/>
      <c r="W127" s="158"/>
      <c r="X127" s="159"/>
      <c r="Y127" s="159"/>
      <c r="Z127" s="158"/>
      <c r="AA127" s="160"/>
      <c r="AB127" s="152" t="s">
        <v>2486</v>
      </c>
      <c r="AD127" s="20" t="s">
        <v>2395</v>
      </c>
      <c r="AE127" s="10" t="s">
        <v>163</v>
      </c>
      <c r="AF127" s="20" t="s">
        <v>168</v>
      </c>
      <c r="AG127" s="10"/>
      <c r="AH127" s="22" t="str">
        <f t="shared" si="2"/>
        <v>Áncash_05 Bolognesi</v>
      </c>
      <c r="AI127" s="10" t="s">
        <v>351</v>
      </c>
      <c r="AJ127" s="20" t="s">
        <v>219</v>
      </c>
      <c r="AK127" s="22" t="str">
        <f t="shared" si="3"/>
        <v>Áncash_05 Bolognesi_13 Pacllon</v>
      </c>
      <c r="AL127" s="25">
        <v>2</v>
      </c>
      <c r="AM127" s="25">
        <v>15</v>
      </c>
      <c r="AN127" s="26">
        <f>Tabla2[[#This Row],[Minutos]]/60</f>
        <v>0.25</v>
      </c>
      <c r="AO127" s="27">
        <f>SUM(Tabla2[[#This Row],[Horas]],Tabla2[[#This Row],[Minutos a Horas]])</f>
        <v>2.25</v>
      </c>
      <c r="AP127" s="49">
        <v>4</v>
      </c>
      <c r="AQ127" s="49">
        <v>0</v>
      </c>
      <c r="AR127" s="26">
        <f>Tabla2[[#This Row],[Minutos*]]/60</f>
        <v>0</v>
      </c>
      <c r="AS127" s="27">
        <f>SUM(Tabla2[[#This Row],[Horas*]],Tabla2[[#This Row],[Minutos a Horas*]])+(Tabla2[[#This Row],[Tiempo Total a Nivel Proncincial (Horas)]])</f>
        <v>6.25</v>
      </c>
      <c r="AV127" s="62"/>
    </row>
    <row r="128" spans="2:48" ht="60" customHeight="1" x14ac:dyDescent="0.25">
      <c r="B128" s="78" t="s">
        <v>2314</v>
      </c>
      <c r="C128" s="199" t="s">
        <v>4</v>
      </c>
      <c r="D128" s="143" t="s">
        <v>2490</v>
      </c>
      <c r="E128" s="143"/>
      <c r="F128" s="143" t="str">
        <f>CONCATENATE(Tabla1[[#This Row],[Simbología]],"_",Tabla1[[#This Row],[Acción]])</f>
        <v>AAA_Supervisión de instalaciones y medios de transporte (CL, GLP, GNV, GNC,GNL y OPDH)</v>
      </c>
      <c r="G128" s="143" t="s">
        <v>12</v>
      </c>
      <c r="H128" s="142" t="s">
        <v>2512</v>
      </c>
      <c r="I128" s="156"/>
      <c r="J128" s="206" t="str">
        <f>CONCATENATE(Tabla1[[#This Row],[Simbología1]],"_",Tabla1[[#This Row],[Acción Especifica]])</f>
        <v xml:space="preserve">KIN_3_Supervisión Operativa a Medios de Transporte Líquidos </v>
      </c>
      <c r="K128" s="206" t="s">
        <v>2606</v>
      </c>
      <c r="L128" s="142" t="s">
        <v>2521</v>
      </c>
      <c r="M128" s="142" t="s">
        <v>2521</v>
      </c>
      <c r="N128" s="146" t="str">
        <f>CONCATENATE(Tabla1[[#This Row],[Simbología**]],"_",Tabla1[[#This Row],[Sub Acción Especifica]])</f>
        <v xml:space="preserve">KKIN_34_Operativos a Medios de Transporte Líquidos </v>
      </c>
      <c r="O128" s="144" t="s">
        <v>2662</v>
      </c>
      <c r="P128" s="142" t="s">
        <v>2511</v>
      </c>
      <c r="Q128" s="146" t="str">
        <f>CONCATENATE(Tabla1[[#This Row],[Simbología*]],"_",Tabla1[[#This Row],[Tipo de instalación relacionado]])</f>
        <v>KKKIN_43_Medios de Transporte y Distribuidores (Líquidos)</v>
      </c>
      <c r="R128" s="157"/>
      <c r="S128" s="157"/>
      <c r="T128" s="158"/>
      <c r="U128" s="157"/>
      <c r="V128" s="157"/>
      <c r="W128" s="158"/>
      <c r="X128" s="159"/>
      <c r="Y128" s="159"/>
      <c r="Z128" s="158"/>
      <c r="AA128" s="160"/>
      <c r="AB128" s="152" t="s">
        <v>2486</v>
      </c>
      <c r="AD128" s="20" t="s">
        <v>2395</v>
      </c>
      <c r="AE128" s="10" t="s">
        <v>163</v>
      </c>
      <c r="AF128" s="20" t="s">
        <v>168</v>
      </c>
      <c r="AG128" s="10"/>
      <c r="AH128" s="22" t="str">
        <f t="shared" si="2"/>
        <v>Áncash_05 Bolognesi</v>
      </c>
      <c r="AI128" s="10" t="s">
        <v>351</v>
      </c>
      <c r="AJ128" s="20" t="s">
        <v>220</v>
      </c>
      <c r="AK128" s="22" t="str">
        <f t="shared" si="3"/>
        <v>Áncash_05 Bolognesi_14 San Miguel de Corpanqui</v>
      </c>
      <c r="AL128" s="25">
        <v>2</v>
      </c>
      <c r="AM128" s="25">
        <v>15</v>
      </c>
      <c r="AN128" s="26">
        <f>Tabla2[[#This Row],[Minutos]]/60</f>
        <v>0.25</v>
      </c>
      <c r="AO128" s="27">
        <f>SUM(Tabla2[[#This Row],[Horas]],Tabla2[[#This Row],[Minutos a Horas]])</f>
        <v>2.25</v>
      </c>
      <c r="AP128" s="49">
        <v>3</v>
      </c>
      <c r="AQ128" s="49">
        <v>0</v>
      </c>
      <c r="AR128" s="26">
        <f>Tabla2[[#This Row],[Minutos*]]/60</f>
        <v>0</v>
      </c>
      <c r="AS128" s="27">
        <f>SUM(Tabla2[[#This Row],[Horas*]],Tabla2[[#This Row],[Minutos a Horas*]])+(Tabla2[[#This Row],[Tiempo Total a Nivel Proncincial (Horas)]])</f>
        <v>5.25</v>
      </c>
      <c r="AV128" s="62"/>
    </row>
    <row r="129" spans="2:48" ht="60" customHeight="1" x14ac:dyDescent="0.25">
      <c r="B129" s="78" t="s">
        <v>2314</v>
      </c>
      <c r="C129" s="199" t="s">
        <v>4</v>
      </c>
      <c r="D129" s="143" t="s">
        <v>2490</v>
      </c>
      <c r="E129" s="143"/>
      <c r="F129" s="143" t="str">
        <f>CONCATENATE(Tabla1[[#This Row],[Simbología]],"_",Tabla1[[#This Row],[Acción]])</f>
        <v>AAA_Supervisión de instalaciones y medios de transporte (CL, GLP, GNV, GNC,GNL y OPDH)</v>
      </c>
      <c r="G129" s="143" t="s">
        <v>12</v>
      </c>
      <c r="H129" s="142" t="s">
        <v>2513</v>
      </c>
      <c r="I129" s="156"/>
      <c r="J129" s="206" t="str">
        <f>CONCATENATE(Tabla1[[#This Row],[Simbología1]],"_",Tabla1[[#This Row],[Acción Especifica]])</f>
        <v>KIN_3_Supervisión Operativa a Medios de Transporte GLP cilindros</v>
      </c>
      <c r="K129" s="206" t="s">
        <v>2607</v>
      </c>
      <c r="L129" s="142" t="s">
        <v>2522</v>
      </c>
      <c r="M129" s="142" t="s">
        <v>2522</v>
      </c>
      <c r="N129" s="146" t="str">
        <f>CONCATENATE(Tabla1[[#This Row],[Simbología**]],"_",Tabla1[[#This Row],[Sub Acción Especifica]])</f>
        <v>KKIN_35_Operativos a Medios de Transporte GLP en cilindros</v>
      </c>
      <c r="O129" s="144" t="s">
        <v>2663</v>
      </c>
      <c r="P129" s="142" t="s">
        <v>2514</v>
      </c>
      <c r="Q129" s="146" t="str">
        <f>CONCATENATE(Tabla1[[#This Row],[Simbología*]],"_",Tabla1[[#This Row],[Tipo de instalación relacionado]])</f>
        <v>KKKIN_44_Medios de Transporte de GLP en cilindros</v>
      </c>
      <c r="R129" s="157"/>
      <c r="S129" s="157"/>
      <c r="T129" s="158"/>
      <c r="U129" s="157"/>
      <c r="V129" s="157"/>
      <c r="W129" s="158"/>
      <c r="X129" s="159"/>
      <c r="Y129" s="159"/>
      <c r="Z129" s="158"/>
      <c r="AA129" s="160"/>
      <c r="AB129" s="152" t="s">
        <v>2486</v>
      </c>
      <c r="AD129" s="20" t="s">
        <v>2395</v>
      </c>
      <c r="AE129" s="10" t="s">
        <v>163</v>
      </c>
      <c r="AF129" s="20" t="s">
        <v>168</v>
      </c>
      <c r="AG129" s="10"/>
      <c r="AH129" s="22" t="str">
        <f t="shared" si="2"/>
        <v>Áncash_05 Bolognesi</v>
      </c>
      <c r="AI129" s="10" t="s">
        <v>351</v>
      </c>
      <c r="AJ129" s="20" t="s">
        <v>221</v>
      </c>
      <c r="AK129" s="22" t="str">
        <f t="shared" si="3"/>
        <v>Áncash_05 Bolognesi_15 Ticllos</v>
      </c>
      <c r="AL129" s="25">
        <v>2</v>
      </c>
      <c r="AM129" s="25">
        <v>15</v>
      </c>
      <c r="AN129" s="26">
        <f>Tabla2[[#This Row],[Minutos]]/60</f>
        <v>0.25</v>
      </c>
      <c r="AO129" s="27">
        <f>SUM(Tabla2[[#This Row],[Horas]],Tabla2[[#This Row],[Minutos a Horas]])</f>
        <v>2.25</v>
      </c>
      <c r="AP129" s="49">
        <v>4</v>
      </c>
      <c r="AQ129" s="49">
        <v>0</v>
      </c>
      <c r="AR129" s="26">
        <f>Tabla2[[#This Row],[Minutos*]]/60</f>
        <v>0</v>
      </c>
      <c r="AS129" s="27">
        <f>SUM(Tabla2[[#This Row],[Horas*]],Tabla2[[#This Row],[Minutos a Horas*]])+(Tabla2[[#This Row],[Tiempo Total a Nivel Proncincial (Horas)]])</f>
        <v>6.25</v>
      </c>
      <c r="AV129" s="62"/>
    </row>
    <row r="130" spans="2:48" ht="60" customHeight="1" x14ac:dyDescent="0.25">
      <c r="B130" s="78" t="s">
        <v>2314</v>
      </c>
      <c r="C130" s="199" t="s">
        <v>4</v>
      </c>
      <c r="D130" s="143" t="s">
        <v>2490</v>
      </c>
      <c r="E130" s="143"/>
      <c r="F130" s="143" t="str">
        <f>CONCATENATE(Tabla1[[#This Row],[Simbología]],"_",Tabla1[[#This Row],[Acción]])</f>
        <v>AAA_Supervisión de instalaciones y medios de transporte (CL, GLP, GNV, GNC,GNL y OPDH)</v>
      </c>
      <c r="G130" s="143" t="s">
        <v>12</v>
      </c>
      <c r="H130" s="142" t="s">
        <v>2516</v>
      </c>
      <c r="I130" s="156"/>
      <c r="J130" s="206" t="str">
        <f>CONCATENATE(Tabla1[[#This Row],[Simbología1]],"_",Tabla1[[#This Row],[Acción Especifica]])</f>
        <v>KIN_3_Supervisión Operativa Transporte-Distribución a Granel de GLP</v>
      </c>
      <c r="K130" s="206" t="s">
        <v>2608</v>
      </c>
      <c r="L130" s="142" t="s">
        <v>2520</v>
      </c>
      <c r="M130" s="142" t="s">
        <v>2520</v>
      </c>
      <c r="N130" s="146" t="str">
        <f>CONCATENATE(Tabla1[[#This Row],[Simbología**]],"_",Tabla1[[#This Row],[Sub Acción Especifica]])</f>
        <v>KKIN_36_Operativos a Medios de Transporte y Distribuidor a Granel de GLP</v>
      </c>
      <c r="O130" s="144" t="s">
        <v>2664</v>
      </c>
      <c r="P130" s="142" t="s">
        <v>2515</v>
      </c>
      <c r="Q130" s="146" t="str">
        <f>CONCATENATE(Tabla1[[#This Row],[Simbología*]],"_",Tabla1[[#This Row],[Tipo de instalación relacionado]])</f>
        <v>KKKIN_45_Medios de Transporte y Distribuidor a Granel de GLP</v>
      </c>
      <c r="R130" s="157"/>
      <c r="S130" s="157"/>
      <c r="T130" s="158"/>
      <c r="U130" s="157"/>
      <c r="V130" s="157"/>
      <c r="W130" s="158"/>
      <c r="X130" s="159"/>
      <c r="Y130" s="159"/>
      <c r="Z130" s="158"/>
      <c r="AA130" s="160"/>
      <c r="AB130" s="152" t="s">
        <v>2486</v>
      </c>
      <c r="AD130" s="20" t="s">
        <v>2395</v>
      </c>
      <c r="AE130" s="10" t="s">
        <v>163</v>
      </c>
      <c r="AF130" s="20" t="s">
        <v>169</v>
      </c>
      <c r="AG130" s="10"/>
      <c r="AH130" s="22" t="str">
        <f t="shared" si="2"/>
        <v>Áncash_06 Carhuaz</v>
      </c>
      <c r="AI130" s="10" t="s">
        <v>352</v>
      </c>
      <c r="AJ130" s="20" t="s">
        <v>222</v>
      </c>
      <c r="AK130" s="22" t="str">
        <f t="shared" si="3"/>
        <v>Áncash_06 Carhuaz_01 Carhuaz</v>
      </c>
      <c r="AL130" s="25">
        <v>0</v>
      </c>
      <c r="AM130" s="25">
        <v>47</v>
      </c>
      <c r="AN130" s="26">
        <f>Tabla2[[#This Row],[Minutos]]/60</f>
        <v>0.78333333333333333</v>
      </c>
      <c r="AO130" s="27">
        <f>SUM(Tabla2[[#This Row],[Horas]],Tabla2[[#This Row],[Minutos a Horas]])</f>
        <v>0.78333333333333333</v>
      </c>
      <c r="AP130" s="49"/>
      <c r="AQ130" s="49">
        <v>45</v>
      </c>
      <c r="AR130" s="26">
        <f>Tabla2[[#This Row],[Minutos*]]/60</f>
        <v>0.75</v>
      </c>
      <c r="AS130" s="27">
        <f>SUM(Tabla2[[#This Row],[Horas*]],Tabla2[[#This Row],[Minutos a Horas*]])+(Tabla2[[#This Row],[Tiempo Total a Nivel Proncincial (Horas)]])</f>
        <v>1.5333333333333332</v>
      </c>
      <c r="AV130" s="62"/>
    </row>
    <row r="131" spans="2:48" ht="60" customHeight="1" x14ac:dyDescent="0.25">
      <c r="B131" s="78" t="s">
        <v>2314</v>
      </c>
      <c r="C131" s="199" t="s">
        <v>4</v>
      </c>
      <c r="D131" s="143" t="s">
        <v>2490</v>
      </c>
      <c r="E131" s="143"/>
      <c r="F131" s="143" t="str">
        <f>CONCATENATE(Tabla1[[#This Row],[Simbología]],"_",Tabla1[[#This Row],[Acción]])</f>
        <v>AAA_Supervisión de instalaciones y medios de transporte (CL, GLP, GNV, GNC,GNL y OPDH)</v>
      </c>
      <c r="G131" s="143" t="s">
        <v>12</v>
      </c>
      <c r="H131" s="142" t="s">
        <v>2517</v>
      </c>
      <c r="I131" s="156"/>
      <c r="J131" s="206" t="str">
        <f>CONCATENATE(Tabla1[[#This Row],[Simbología1]],"_",Tabla1[[#This Row],[Acción Especifica]])</f>
        <v>KIN_3_Supervisión Operativa a Medios de Transporte GNC y GNL</v>
      </c>
      <c r="K131" s="206" t="s">
        <v>2609</v>
      </c>
      <c r="L131" s="142" t="s">
        <v>2523</v>
      </c>
      <c r="M131" s="142" t="s">
        <v>2523</v>
      </c>
      <c r="N131" s="146" t="str">
        <f>CONCATENATE(Tabla1[[#This Row],[Simbología**]],"_",Tabla1[[#This Row],[Sub Acción Especifica]])</f>
        <v>KKIN_37_Operativos a Medios de Transporte (GNC, GNL)</v>
      </c>
      <c r="O131" s="144" t="s">
        <v>2665</v>
      </c>
      <c r="P131" s="142" t="s">
        <v>45</v>
      </c>
      <c r="Q131" s="146" t="str">
        <f>CONCATENATE(Tabla1[[#This Row],[Simbología*]],"_",Tabla1[[#This Row],[Tipo de instalación relacionado]])</f>
        <v>KKKIN_46_Medios de Transporte (GNC, GNL)</v>
      </c>
      <c r="R131" s="157"/>
      <c r="S131" s="157"/>
      <c r="T131" s="158"/>
      <c r="U131" s="157"/>
      <c r="V131" s="157"/>
      <c r="W131" s="158"/>
      <c r="X131" s="159"/>
      <c r="Y131" s="159"/>
      <c r="Z131" s="158"/>
      <c r="AA131" s="160"/>
      <c r="AB131" s="152" t="s">
        <v>2486</v>
      </c>
      <c r="AD131" s="20" t="s">
        <v>2395</v>
      </c>
      <c r="AE131" s="10" t="s">
        <v>163</v>
      </c>
      <c r="AF131" s="20" t="s">
        <v>169</v>
      </c>
      <c r="AG131" s="10"/>
      <c r="AH131" s="22" t="str">
        <f t="shared" si="2"/>
        <v>Áncash_06 Carhuaz</v>
      </c>
      <c r="AI131" s="10" t="s">
        <v>352</v>
      </c>
      <c r="AJ131" s="20" t="s">
        <v>223</v>
      </c>
      <c r="AK131" s="22" t="str">
        <f t="shared" si="3"/>
        <v>Áncash_06 Carhuaz_02 Acopampa</v>
      </c>
      <c r="AL131" s="25">
        <v>0</v>
      </c>
      <c r="AM131" s="25">
        <v>47</v>
      </c>
      <c r="AN131" s="26">
        <f>Tabla2[[#This Row],[Minutos]]/60</f>
        <v>0.78333333333333333</v>
      </c>
      <c r="AO131" s="27">
        <f>SUM(Tabla2[[#This Row],[Horas]],Tabla2[[#This Row],[Minutos a Horas]])</f>
        <v>0.78333333333333333</v>
      </c>
      <c r="AP131" s="49"/>
      <c r="AQ131" s="49">
        <v>45</v>
      </c>
      <c r="AR131" s="26">
        <f>Tabla2[[#This Row],[Minutos*]]/60</f>
        <v>0.75</v>
      </c>
      <c r="AS131" s="27">
        <f>SUM(Tabla2[[#This Row],[Horas*]],Tabla2[[#This Row],[Minutos a Horas*]])+(Tabla2[[#This Row],[Tiempo Total a Nivel Proncincial (Horas)]])</f>
        <v>1.5333333333333332</v>
      </c>
      <c r="AV131" s="62"/>
    </row>
    <row r="132" spans="2:48" ht="60" customHeight="1" x14ac:dyDescent="0.25">
      <c r="B132" s="78" t="s">
        <v>2314</v>
      </c>
      <c r="C132" s="199" t="s">
        <v>4</v>
      </c>
      <c r="D132" s="143" t="s">
        <v>2490</v>
      </c>
      <c r="E132" s="143"/>
      <c r="F132" s="143" t="str">
        <f>CONCATENATE(Tabla1[[#This Row],[Simbología]],"_",Tabla1[[#This Row],[Acción]])</f>
        <v>AAA_Supervisión de instalaciones y medios de transporte (CL, GLP, GNV, GNC,GNL y OPDH)</v>
      </c>
      <c r="G132" s="143" t="s">
        <v>12</v>
      </c>
      <c r="H132" s="142" t="s">
        <v>2477</v>
      </c>
      <c r="I132" s="156"/>
      <c r="J132" s="206" t="str">
        <f>CONCATENATE(Tabla1[[#This Row],[Simbología1]],"_",Tabla1[[#This Row],[Acción Especifica]])</f>
        <v>KIN_3_Supervisión operativa a los agentes con instalaciones fijas de GNV, GNC y GNL</v>
      </c>
      <c r="K132" s="206" t="s">
        <v>2610</v>
      </c>
      <c r="L132" s="142" t="s">
        <v>2524</v>
      </c>
      <c r="M132" s="142" t="s">
        <v>2524</v>
      </c>
      <c r="N132" s="146" t="str">
        <f>CONCATENATE(Tabla1[[#This Row],[Simbología**]],"_",Tabla1[[#This Row],[Sub Acción Especifica]])</f>
        <v>KKIN_38_Operativos a Agentes instalaciones fijas (GNV, GNC y GNL)</v>
      </c>
      <c r="O132" s="144" t="s">
        <v>2666</v>
      </c>
      <c r="P132" s="142" t="s">
        <v>2518</v>
      </c>
      <c r="Q132" s="146" t="str">
        <f>CONCATENATE(Tabla1[[#This Row],[Simbología*]],"_",Tabla1[[#This Row],[Tipo de instalación relacionado]])</f>
        <v>KKKIN_47_Establecimientos (GNV, GNC y GNL)</v>
      </c>
      <c r="R132" s="157"/>
      <c r="S132" s="157"/>
      <c r="T132" s="158"/>
      <c r="U132" s="157"/>
      <c r="V132" s="157"/>
      <c r="W132" s="158"/>
      <c r="X132" s="159"/>
      <c r="Y132" s="159"/>
      <c r="Z132" s="158"/>
      <c r="AA132" s="160"/>
      <c r="AB132" s="152" t="s">
        <v>2486</v>
      </c>
      <c r="AD132" s="20" t="s">
        <v>2395</v>
      </c>
      <c r="AE132" s="10" t="s">
        <v>163</v>
      </c>
      <c r="AF132" s="20" t="s">
        <v>169</v>
      </c>
      <c r="AG132" s="10"/>
      <c r="AH132" s="22" t="str">
        <f t="shared" si="2"/>
        <v>Áncash_06 Carhuaz</v>
      </c>
      <c r="AI132" s="10" t="s">
        <v>352</v>
      </c>
      <c r="AJ132" s="20" t="s">
        <v>224</v>
      </c>
      <c r="AK132" s="22" t="str">
        <f t="shared" si="3"/>
        <v>Áncash_06 Carhuaz_03 Amashca</v>
      </c>
      <c r="AL132" s="25">
        <v>0</v>
      </c>
      <c r="AM132" s="25">
        <v>47</v>
      </c>
      <c r="AN132" s="26">
        <f>Tabla2[[#This Row],[Minutos]]/60</f>
        <v>0.78333333333333333</v>
      </c>
      <c r="AO132" s="27">
        <f>SUM(Tabla2[[#This Row],[Horas]],Tabla2[[#This Row],[Minutos a Horas]])</f>
        <v>0.78333333333333333</v>
      </c>
      <c r="AP132" s="49">
        <v>1</v>
      </c>
      <c r="AQ132" s="49">
        <v>0</v>
      </c>
      <c r="AR132" s="26">
        <f>Tabla2[[#This Row],[Minutos*]]/60</f>
        <v>0</v>
      </c>
      <c r="AS132" s="27">
        <f>SUM(Tabla2[[#This Row],[Horas*]],Tabla2[[#This Row],[Minutos a Horas*]])+(Tabla2[[#This Row],[Tiempo Total a Nivel Proncincial (Horas)]])</f>
        <v>1.7833333333333332</v>
      </c>
      <c r="AV132" s="62"/>
    </row>
    <row r="133" spans="2:48" ht="60" customHeight="1" x14ac:dyDescent="0.25">
      <c r="B133" s="78" t="s">
        <v>2314</v>
      </c>
      <c r="C133" s="199" t="s">
        <v>4</v>
      </c>
      <c r="D133" s="143" t="s">
        <v>2490</v>
      </c>
      <c r="E133" s="143"/>
      <c r="F133" s="143" t="str">
        <f>CONCATENATE(Tabla1[[#This Row],[Simbología]],"_",Tabla1[[#This Row],[Acción]])</f>
        <v>AAA_Supervisión de instalaciones y medios de transporte (CL, GLP, GNV, GNC,GNL y OPDH)</v>
      </c>
      <c r="G133" s="143" t="s">
        <v>12</v>
      </c>
      <c r="H133" s="142" t="s">
        <v>2526</v>
      </c>
      <c r="I133" s="156"/>
      <c r="J133" s="206" t="str">
        <f>CONCATENATE(Tabla1[[#This Row],[Simbología1]],"_",Tabla1[[#This Row],[Acción Especifica]])</f>
        <v>KIN_3_Supervisión Especial - Apoyo en la Lucha Contra la Minería Ilegal</v>
      </c>
      <c r="K133" s="206" t="s">
        <v>2611</v>
      </c>
      <c r="L133" s="142" t="s">
        <v>2525</v>
      </c>
      <c r="M133" s="142" t="s">
        <v>2525</v>
      </c>
      <c r="N133" s="146" t="str">
        <f>CONCATENATE(Tabla1[[#This Row],[Simbología**]],"_",Tabla1[[#This Row],[Sub Acción Especifica]])</f>
        <v>KKIN_39_Operativos de apoyo en la lucha contra la minería ilegal</v>
      </c>
      <c r="O133" s="144" t="s">
        <v>2667</v>
      </c>
      <c r="P133" s="142" t="s">
        <v>2511</v>
      </c>
      <c r="Q133" s="146" t="str">
        <f>CONCATENATE(Tabla1[[#This Row],[Simbología*]],"_",Tabla1[[#This Row],[Tipo de instalación relacionado]])</f>
        <v>KKKIN_48_Medios de Transporte y Distribuidores (Líquidos)</v>
      </c>
      <c r="R133" s="157"/>
      <c r="S133" s="157"/>
      <c r="T133" s="158"/>
      <c r="U133" s="157"/>
      <c r="V133" s="157"/>
      <c r="W133" s="158"/>
      <c r="X133" s="159"/>
      <c r="Y133" s="159"/>
      <c r="Z133" s="158"/>
      <c r="AA133" s="160"/>
      <c r="AB133" s="152" t="s">
        <v>2486</v>
      </c>
      <c r="AD133" s="20" t="s">
        <v>2395</v>
      </c>
      <c r="AE133" s="10" t="s">
        <v>163</v>
      </c>
      <c r="AF133" s="20" t="s">
        <v>169</v>
      </c>
      <c r="AG133" s="10"/>
      <c r="AH133" s="22" t="str">
        <f t="shared" si="2"/>
        <v>Áncash_06 Carhuaz</v>
      </c>
      <c r="AI133" s="10" t="s">
        <v>352</v>
      </c>
      <c r="AJ133" s="20" t="s">
        <v>225</v>
      </c>
      <c r="AK133" s="22" t="str">
        <f t="shared" si="3"/>
        <v>Áncash_06 Carhuaz_04 Anta</v>
      </c>
      <c r="AL133" s="25">
        <v>0</v>
      </c>
      <c r="AM133" s="25">
        <v>47</v>
      </c>
      <c r="AN133" s="26">
        <f>Tabla2[[#This Row],[Minutos]]/60</f>
        <v>0.78333333333333333</v>
      </c>
      <c r="AO133" s="27">
        <f>SUM(Tabla2[[#This Row],[Horas]],Tabla2[[#This Row],[Minutos a Horas]])</f>
        <v>0.78333333333333333</v>
      </c>
      <c r="AP133" s="49"/>
      <c r="AQ133" s="49">
        <v>35</v>
      </c>
      <c r="AR133" s="26">
        <f>Tabla2[[#This Row],[Minutos*]]/60</f>
        <v>0.58333333333333337</v>
      </c>
      <c r="AS133" s="27">
        <f>SUM(Tabla2[[#This Row],[Horas*]],Tabla2[[#This Row],[Minutos a Horas*]])+(Tabla2[[#This Row],[Tiempo Total a Nivel Proncincial (Horas)]])</f>
        <v>1.3666666666666667</v>
      </c>
      <c r="AV133" s="62"/>
    </row>
    <row r="134" spans="2:48" ht="60" customHeight="1" x14ac:dyDescent="0.25">
      <c r="B134" s="78" t="s">
        <v>2314</v>
      </c>
      <c r="C134" s="199" t="s">
        <v>4</v>
      </c>
      <c r="D134" s="162" t="s">
        <v>2497</v>
      </c>
      <c r="E134" s="162"/>
      <c r="F134" s="162" t="str">
        <f>CONCATENATE(Tabla1[[#This Row],[Simbología]],"_",Tabla1[[#This Row],[Acción]])</f>
        <v>AAA_Administración y otorgamiento del Registro de Hidrocarburos en toda la cadena</v>
      </c>
      <c r="G134" s="162" t="s">
        <v>14</v>
      </c>
      <c r="H134" s="161" t="s">
        <v>2548</v>
      </c>
      <c r="I134" s="161" t="s">
        <v>2548</v>
      </c>
      <c r="J134" s="208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34" s="208" t="s">
        <v>2612</v>
      </c>
      <c r="L134" s="162" t="s">
        <v>21</v>
      </c>
      <c r="M134" s="162" t="s">
        <v>21</v>
      </c>
      <c r="N134" s="164" t="str">
        <f>CONCATENATE(Tabla1[[#This Row],[Simbología**]],"_",Tabla1[[#This Row],[Sub Acción Especifica]])</f>
        <v>KKIN_40_RHO Inscripción</v>
      </c>
      <c r="O134" s="163" t="s">
        <v>2668</v>
      </c>
      <c r="P134" s="162" t="s">
        <v>2363</v>
      </c>
      <c r="Q134" s="164" t="str">
        <f>CONCATENATE(Tabla1[[#This Row],[Simbología*]],"_",Tabla1[[#This Row],[Tipo de instalación relacionado]])</f>
        <v>KKKIN_49_Establecimientos de Venta al Público (Líquidos y/o GLP)</v>
      </c>
      <c r="R134" s="165">
        <v>2</v>
      </c>
      <c r="S134" s="165">
        <v>3</v>
      </c>
      <c r="T134" s="166">
        <f>IFERROR(AVERAGE(Tabla1[[#This Row],[T. Mínimo]],Tabla1[[#This Row],[T. Máximo]]),0)</f>
        <v>2.5</v>
      </c>
      <c r="U134" s="167">
        <v>0</v>
      </c>
      <c r="V134" s="167">
        <v>0</v>
      </c>
      <c r="W134" s="166">
        <f>IFERROR(AVERAGE(Tabla1[[#This Row],[T. Mínimo*]],Tabla1[[#This Row],[T. Máximo*]]),0)</f>
        <v>0</v>
      </c>
      <c r="X134" s="167">
        <v>2</v>
      </c>
      <c r="Y134" s="167">
        <v>3</v>
      </c>
      <c r="Z134" s="166">
        <f>IFERROR(AVERAGE(Tabla1[[#This Row],[T. Mínimo**]],Tabla1[[#This Row],[T. Máximo**]]),0)</f>
        <v>2.5</v>
      </c>
      <c r="AA134" s="168">
        <f>SUM(Tabla1[[#This Row],[Promedio]],Tabla1[[#This Row],[Promedio*]],Tabla1[[#This Row],[Promedio**]])</f>
        <v>5</v>
      </c>
      <c r="AB134" s="169" t="s">
        <v>2491</v>
      </c>
      <c r="AD134" s="20" t="s">
        <v>2395</v>
      </c>
      <c r="AE134" s="10" t="s">
        <v>163</v>
      </c>
      <c r="AF134" s="20" t="s">
        <v>169</v>
      </c>
      <c r="AG134" s="10"/>
      <c r="AH134" s="22" t="str">
        <f t="shared" si="2"/>
        <v>Áncash_06 Carhuaz</v>
      </c>
      <c r="AI134" s="10" t="s">
        <v>352</v>
      </c>
      <c r="AJ134" s="20" t="s">
        <v>226</v>
      </c>
      <c r="AK134" s="22" t="str">
        <f t="shared" si="3"/>
        <v>Áncash_06 Carhuaz_05 Ataquero</v>
      </c>
      <c r="AL134" s="25">
        <v>0</v>
      </c>
      <c r="AM134" s="25">
        <v>47</v>
      </c>
      <c r="AN134" s="26">
        <f>Tabla2[[#This Row],[Minutos]]/60</f>
        <v>0.78333333333333333</v>
      </c>
      <c r="AO134" s="27">
        <f>SUM(Tabla2[[#This Row],[Horas]],Tabla2[[#This Row],[Minutos a Horas]])</f>
        <v>0.78333333333333333</v>
      </c>
      <c r="AP134" s="49">
        <v>1</v>
      </c>
      <c r="AQ134" s="49">
        <v>0</v>
      </c>
      <c r="AR134" s="26">
        <f>Tabla2[[#This Row],[Minutos*]]/60</f>
        <v>0</v>
      </c>
      <c r="AS134" s="27">
        <f>SUM(Tabla2[[#This Row],[Horas*]],Tabla2[[#This Row],[Minutos a Horas*]])+(Tabla2[[#This Row],[Tiempo Total a Nivel Proncincial (Horas)]])</f>
        <v>1.7833333333333332</v>
      </c>
      <c r="AV134" s="62"/>
    </row>
    <row r="135" spans="2:48" ht="60" customHeight="1" x14ac:dyDescent="0.25">
      <c r="B135" s="78" t="s">
        <v>2314</v>
      </c>
      <c r="C135" s="199" t="s">
        <v>4</v>
      </c>
      <c r="D135" s="162" t="s">
        <v>2497</v>
      </c>
      <c r="E135" s="162"/>
      <c r="F135" s="162" t="str">
        <f>CONCATENATE(Tabla1[[#This Row],[Simbología]],"_",Tabla1[[#This Row],[Acción]])</f>
        <v>AAA_Administración y otorgamiento del Registro de Hidrocarburos en toda la cadena</v>
      </c>
      <c r="G135" s="162" t="s">
        <v>14</v>
      </c>
      <c r="H135" s="161" t="s">
        <v>2548</v>
      </c>
      <c r="I135" s="161" t="s">
        <v>2551</v>
      </c>
      <c r="J135" s="208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35" s="208" t="s">
        <v>2612</v>
      </c>
      <c r="L135" s="162" t="s">
        <v>21</v>
      </c>
      <c r="M135" s="162" t="s">
        <v>2549</v>
      </c>
      <c r="N135" s="164" t="str">
        <f>CONCATENATE(Tabla1[[#This Row],[Simbología**]],"_",Tabla1[[#This Row],[Sub Acción Especifica]])</f>
        <v>KKIN_40_RHO Inscripción</v>
      </c>
      <c r="O135" s="163" t="s">
        <v>2668</v>
      </c>
      <c r="P135" s="162" t="s">
        <v>2366</v>
      </c>
      <c r="Q135" s="164" t="str">
        <f>CONCATENATE(Tabla1[[#This Row],[Simbología*]],"_",Tabla1[[#This Row],[Tipo de instalación relacionado]])</f>
        <v>KKKIN_49_Establecimientos (GNV o GNC o GNL)</v>
      </c>
      <c r="R135" s="165">
        <v>2</v>
      </c>
      <c r="S135" s="165">
        <v>3</v>
      </c>
      <c r="T135" s="166">
        <f>IFERROR(AVERAGE(Tabla1[[#This Row],[T. Mínimo]],Tabla1[[#This Row],[T. Máximo]]),0)</f>
        <v>2.5</v>
      </c>
      <c r="U135" s="167">
        <v>0</v>
      </c>
      <c r="V135" s="167">
        <v>0</v>
      </c>
      <c r="W135" s="166">
        <f>IFERROR(AVERAGE(Tabla1[[#This Row],[T. Mínimo*]],Tabla1[[#This Row],[T. Máximo*]]),0)</f>
        <v>0</v>
      </c>
      <c r="X135" s="167">
        <v>2</v>
      </c>
      <c r="Y135" s="167">
        <v>3</v>
      </c>
      <c r="Z135" s="166">
        <f>IFERROR(AVERAGE(Tabla1[[#This Row],[T. Mínimo**]],Tabla1[[#This Row],[T. Máximo**]]),0)</f>
        <v>2.5</v>
      </c>
      <c r="AA135" s="168">
        <f>SUM(Tabla1[[#This Row],[Promedio]],Tabla1[[#This Row],[Promedio*]],Tabla1[[#This Row],[Promedio**]])</f>
        <v>5</v>
      </c>
      <c r="AB135" s="169" t="s">
        <v>2491</v>
      </c>
      <c r="AD135" s="20" t="s">
        <v>2395</v>
      </c>
      <c r="AE135" s="10" t="s">
        <v>163</v>
      </c>
      <c r="AF135" s="20" t="s">
        <v>169</v>
      </c>
      <c r="AG135" s="10"/>
      <c r="AH135" s="22" t="str">
        <f t="shared" ref="AH135:AH198" si="4">CONCATENATE(AD135,"_",AF135)</f>
        <v>Áncash_06 Carhuaz</v>
      </c>
      <c r="AI135" s="10" t="s">
        <v>352</v>
      </c>
      <c r="AJ135" s="20" t="s">
        <v>227</v>
      </c>
      <c r="AK135" s="22" t="str">
        <f t="shared" ref="AK135:AK198" si="5">CONCATENATE(AH135,"_",AJ135)</f>
        <v>Áncash_06 Carhuaz_06 Marcara</v>
      </c>
      <c r="AL135" s="25">
        <v>0</v>
      </c>
      <c r="AM135" s="25">
        <v>47</v>
      </c>
      <c r="AN135" s="26">
        <f>Tabla2[[#This Row],[Minutos]]/60</f>
        <v>0.78333333333333333</v>
      </c>
      <c r="AO135" s="27">
        <f>SUM(Tabla2[[#This Row],[Horas]],Tabla2[[#This Row],[Minutos a Horas]])</f>
        <v>0.78333333333333333</v>
      </c>
      <c r="AP135" s="49"/>
      <c r="AQ135" s="49">
        <v>40</v>
      </c>
      <c r="AR135" s="26">
        <f>Tabla2[[#This Row],[Minutos*]]/60</f>
        <v>0.66666666666666663</v>
      </c>
      <c r="AS135" s="27">
        <f>SUM(Tabla2[[#This Row],[Horas*]],Tabla2[[#This Row],[Minutos a Horas*]])+(Tabla2[[#This Row],[Tiempo Total a Nivel Proncincial (Horas)]])</f>
        <v>1.45</v>
      </c>
      <c r="AV135" s="62"/>
    </row>
    <row r="136" spans="2:48" ht="60" customHeight="1" x14ac:dyDescent="0.25">
      <c r="B136" s="78" t="s">
        <v>2314</v>
      </c>
      <c r="C136" s="199" t="s">
        <v>4</v>
      </c>
      <c r="D136" s="162" t="s">
        <v>2497</v>
      </c>
      <c r="E136" s="162"/>
      <c r="F136" s="162" t="str">
        <f>CONCATENATE(Tabla1[[#This Row],[Simbología]],"_",Tabla1[[#This Row],[Acción]])</f>
        <v>AAA_Administración y otorgamiento del Registro de Hidrocarburos en toda la cadena</v>
      </c>
      <c r="G136" s="162" t="s">
        <v>14</v>
      </c>
      <c r="H136" s="161" t="s">
        <v>2548</v>
      </c>
      <c r="I136" s="161" t="s">
        <v>2481</v>
      </c>
      <c r="J136" s="208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36" s="208" t="s">
        <v>2612</v>
      </c>
      <c r="L136" s="162" t="s">
        <v>21</v>
      </c>
      <c r="M136" s="162" t="s">
        <v>2550</v>
      </c>
      <c r="N136" s="164" t="str">
        <f>CONCATENATE(Tabla1[[#This Row],[Simbología**]],"_",Tabla1[[#This Row],[Sub Acción Especifica]])</f>
        <v>KKIN_40_RHO Inscripción</v>
      </c>
      <c r="O136" s="163" t="s">
        <v>2668</v>
      </c>
      <c r="P136" s="162" t="s">
        <v>8</v>
      </c>
      <c r="Q136" s="164" t="str">
        <f>CONCATENATE(Tabla1[[#This Row],[Simbología*]],"_",Tabla1[[#This Row],[Tipo de instalación relacionado]])</f>
        <v>KKKIN_49_Consumidores Directos de CL y/u OPDH</v>
      </c>
      <c r="R136" s="165">
        <v>2.5</v>
      </c>
      <c r="S136" s="165">
        <v>3.5</v>
      </c>
      <c r="T136" s="166">
        <f>IFERROR(AVERAGE(Tabla1[[#This Row],[T. Mínimo]],Tabla1[[#This Row],[T. Máximo]]),0)</f>
        <v>3</v>
      </c>
      <c r="U136" s="167">
        <v>0</v>
      </c>
      <c r="V136" s="167">
        <v>0</v>
      </c>
      <c r="W136" s="166">
        <f>IFERROR(AVERAGE(Tabla1[[#This Row],[T. Mínimo*]],Tabla1[[#This Row],[T. Máximo*]]),0)</f>
        <v>0</v>
      </c>
      <c r="X136" s="167">
        <v>2</v>
      </c>
      <c r="Y136" s="167">
        <v>3</v>
      </c>
      <c r="Z136" s="166">
        <f>IFERROR(AVERAGE(Tabla1[[#This Row],[T. Mínimo**]],Tabla1[[#This Row],[T. Máximo**]]),0)</f>
        <v>2.5</v>
      </c>
      <c r="AA136" s="168">
        <f>SUM(Tabla1[[#This Row],[Promedio]],Tabla1[[#This Row],[Promedio*]],Tabla1[[#This Row],[Promedio**]])</f>
        <v>5.5</v>
      </c>
      <c r="AB136" s="169" t="s">
        <v>2491</v>
      </c>
      <c r="AD136" s="20" t="s">
        <v>2395</v>
      </c>
      <c r="AE136" s="10" t="s">
        <v>163</v>
      </c>
      <c r="AF136" s="20" t="s">
        <v>169</v>
      </c>
      <c r="AG136" s="10"/>
      <c r="AH136" s="22" t="str">
        <f t="shared" si="4"/>
        <v>Áncash_06 Carhuaz</v>
      </c>
      <c r="AI136" s="10" t="s">
        <v>352</v>
      </c>
      <c r="AJ136" s="20" t="s">
        <v>228</v>
      </c>
      <c r="AK136" s="22" t="str">
        <f t="shared" si="5"/>
        <v>Áncash_06 Carhuaz_07 Pariahuanca</v>
      </c>
      <c r="AL136" s="25">
        <v>0</v>
      </c>
      <c r="AM136" s="25">
        <v>47</v>
      </c>
      <c r="AN136" s="26">
        <f>Tabla2[[#This Row],[Minutos]]/60</f>
        <v>0.78333333333333333</v>
      </c>
      <c r="AO136" s="27">
        <f>SUM(Tabla2[[#This Row],[Horas]],Tabla2[[#This Row],[Minutos a Horas]])</f>
        <v>0.78333333333333333</v>
      </c>
      <c r="AP136" s="49"/>
      <c r="AQ136" s="49">
        <v>30</v>
      </c>
      <c r="AR136" s="26">
        <f>Tabla2[[#This Row],[Minutos*]]/60</f>
        <v>0.5</v>
      </c>
      <c r="AS136" s="27">
        <f>SUM(Tabla2[[#This Row],[Horas*]],Tabla2[[#This Row],[Minutos a Horas*]])+(Tabla2[[#This Row],[Tiempo Total a Nivel Proncincial (Horas)]])</f>
        <v>1.2833333333333332</v>
      </c>
      <c r="AV136" s="62"/>
    </row>
    <row r="137" spans="2:48" ht="60" customHeight="1" x14ac:dyDescent="0.25">
      <c r="B137" s="78" t="s">
        <v>2314</v>
      </c>
      <c r="C137" s="199" t="s">
        <v>4</v>
      </c>
      <c r="D137" s="162" t="s">
        <v>2497</v>
      </c>
      <c r="E137" s="162"/>
      <c r="F137" s="162" t="str">
        <f>CONCATENATE(Tabla1[[#This Row],[Simbología]],"_",Tabla1[[#This Row],[Acción]])</f>
        <v>AAA_Administración y otorgamiento del Registro de Hidrocarburos en toda la cadena</v>
      </c>
      <c r="G137" s="162" t="s">
        <v>14</v>
      </c>
      <c r="H137" s="161" t="s">
        <v>2548</v>
      </c>
      <c r="I137" s="161" t="s">
        <v>2482</v>
      </c>
      <c r="J137" s="208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37" s="208" t="s">
        <v>2612</v>
      </c>
      <c r="L137" s="162" t="s">
        <v>21</v>
      </c>
      <c r="M137" s="162" t="s">
        <v>2369</v>
      </c>
      <c r="N137" s="164" t="str">
        <f>CONCATENATE(Tabla1[[#This Row],[Simbología**]],"_",Tabla1[[#This Row],[Sub Acción Especifica]])</f>
        <v>KKIN_40_RHO Inscripción</v>
      </c>
      <c r="O137" s="163" t="s">
        <v>2668</v>
      </c>
      <c r="P137" s="162" t="s">
        <v>22</v>
      </c>
      <c r="Q137" s="164" t="str">
        <f>CONCATENATE(Tabla1[[#This Row],[Simbología*]],"_",Tabla1[[#This Row],[Tipo de instalación relacionado]])</f>
        <v>KKKIN_49_Consumidores Directos GLP y Redes de Distribución</v>
      </c>
      <c r="R137" s="165">
        <v>1.5</v>
      </c>
      <c r="S137" s="165">
        <v>2.5</v>
      </c>
      <c r="T137" s="166">
        <f>IFERROR(AVERAGE(Tabla1[[#This Row],[T. Mínimo]],Tabla1[[#This Row],[T. Máximo]]),0)</f>
        <v>2</v>
      </c>
      <c r="U137" s="167">
        <v>0</v>
      </c>
      <c r="V137" s="167">
        <v>0</v>
      </c>
      <c r="W137" s="166">
        <f>IFERROR(AVERAGE(Tabla1[[#This Row],[T. Mínimo*]],Tabla1[[#This Row],[T. Máximo*]]),0)</f>
        <v>0</v>
      </c>
      <c r="X137" s="167">
        <v>1.5</v>
      </c>
      <c r="Y137" s="167">
        <v>2.5</v>
      </c>
      <c r="Z137" s="166">
        <f>IFERROR(AVERAGE(Tabla1[[#This Row],[T. Mínimo**]],Tabla1[[#This Row],[T. Máximo**]]),0)</f>
        <v>2</v>
      </c>
      <c r="AA137" s="168">
        <f>SUM(Tabla1[[#This Row],[Promedio]],Tabla1[[#This Row],[Promedio*]],Tabla1[[#This Row],[Promedio**]])</f>
        <v>4</v>
      </c>
      <c r="AB137" s="169" t="s">
        <v>2491</v>
      </c>
      <c r="AD137" s="20" t="s">
        <v>2395</v>
      </c>
      <c r="AE137" s="10" t="s">
        <v>163</v>
      </c>
      <c r="AF137" s="20" t="s">
        <v>169</v>
      </c>
      <c r="AG137" s="10"/>
      <c r="AH137" s="22" t="str">
        <f t="shared" si="4"/>
        <v>Áncash_06 Carhuaz</v>
      </c>
      <c r="AI137" s="10" t="s">
        <v>352</v>
      </c>
      <c r="AJ137" s="20" t="s">
        <v>229</v>
      </c>
      <c r="AK137" s="22" t="str">
        <f t="shared" si="5"/>
        <v>Áncash_06 Carhuaz_08 San Miguel de Aco</v>
      </c>
      <c r="AL137" s="25">
        <v>0</v>
      </c>
      <c r="AM137" s="25">
        <v>47</v>
      </c>
      <c r="AN137" s="26">
        <f>Tabla2[[#This Row],[Minutos]]/60</f>
        <v>0.78333333333333333</v>
      </c>
      <c r="AO137" s="27">
        <f>SUM(Tabla2[[#This Row],[Horas]],Tabla2[[#This Row],[Minutos a Horas]])</f>
        <v>0.78333333333333333</v>
      </c>
      <c r="AP137" s="49">
        <v>1</v>
      </c>
      <c r="AQ137" s="49">
        <v>0</v>
      </c>
      <c r="AR137" s="26">
        <f>Tabla2[[#This Row],[Minutos*]]/60</f>
        <v>0</v>
      </c>
      <c r="AS137" s="27">
        <f>SUM(Tabla2[[#This Row],[Horas*]],Tabla2[[#This Row],[Minutos a Horas*]])+(Tabla2[[#This Row],[Tiempo Total a Nivel Proncincial (Horas)]])</f>
        <v>1.7833333333333332</v>
      </c>
      <c r="AV137" s="62"/>
    </row>
    <row r="138" spans="2:48" ht="60" customHeight="1" x14ac:dyDescent="0.25">
      <c r="B138" s="78" t="s">
        <v>2314</v>
      </c>
      <c r="C138" s="199" t="s">
        <v>4</v>
      </c>
      <c r="D138" s="162" t="s">
        <v>2497</v>
      </c>
      <c r="E138" s="162"/>
      <c r="F138" s="162" t="str">
        <f>CONCATENATE(Tabla1[[#This Row],[Simbología]],"_",Tabla1[[#This Row],[Acción]])</f>
        <v>AAA_Administración y otorgamiento del Registro de Hidrocarburos en toda la cadena</v>
      </c>
      <c r="G138" s="162" t="s">
        <v>14</v>
      </c>
      <c r="H138" s="161" t="s">
        <v>2548</v>
      </c>
      <c r="I138" s="163"/>
      <c r="J138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38" s="208" t="s">
        <v>2612</v>
      </c>
      <c r="L138" s="162" t="s">
        <v>21</v>
      </c>
      <c r="M138" s="162" t="s">
        <v>2370</v>
      </c>
      <c r="N138" s="164" t="str">
        <f>CONCATENATE(Tabla1[[#This Row],[Simbología**]],"_",Tabla1[[#This Row],[Sub Acción Especifica]])</f>
        <v>KKIN_40_RHO Inscripción</v>
      </c>
      <c r="O138" s="163" t="s">
        <v>2668</v>
      </c>
      <c r="P138" s="162" t="s">
        <v>23</v>
      </c>
      <c r="Q138" s="164" t="str">
        <f>CONCATENATE(Tabla1[[#This Row],[Simbología*]],"_",Tabla1[[#This Row],[Tipo de instalación relacionado]])</f>
        <v>KKKIN_49_Medios de Transporte y Distribuidores (Líquidos, GLP)</v>
      </c>
      <c r="R138" s="165">
        <v>1</v>
      </c>
      <c r="S138" s="165">
        <v>2</v>
      </c>
      <c r="T138" s="166">
        <f>IFERROR(AVERAGE(Tabla1[[#This Row],[T. Mínimo]],Tabla1[[#This Row],[T. Máximo]]),0)</f>
        <v>1.5</v>
      </c>
      <c r="U138" s="167">
        <v>0</v>
      </c>
      <c r="V138" s="167">
        <v>0</v>
      </c>
      <c r="W138" s="166">
        <f>IFERROR(AVERAGE(Tabla1[[#This Row],[T. Mínimo*]],Tabla1[[#This Row],[T. Máximo*]]),0)</f>
        <v>0</v>
      </c>
      <c r="X138" s="167">
        <v>1.5</v>
      </c>
      <c r="Y138" s="167">
        <v>2.5</v>
      </c>
      <c r="Z138" s="166">
        <f>IFERROR(AVERAGE(Tabla1[[#This Row],[T. Mínimo**]],Tabla1[[#This Row],[T. Máximo**]]),0)</f>
        <v>2</v>
      </c>
      <c r="AA138" s="168">
        <f>SUM(Tabla1[[#This Row],[Promedio]],Tabla1[[#This Row],[Promedio*]],Tabla1[[#This Row],[Promedio**]])</f>
        <v>3.5</v>
      </c>
      <c r="AB138" s="169" t="s">
        <v>2491</v>
      </c>
      <c r="AD138" s="20" t="s">
        <v>2395</v>
      </c>
      <c r="AE138" s="10" t="s">
        <v>163</v>
      </c>
      <c r="AF138" s="20" t="s">
        <v>169</v>
      </c>
      <c r="AG138" s="10"/>
      <c r="AH138" s="22" t="str">
        <f t="shared" si="4"/>
        <v>Áncash_06 Carhuaz</v>
      </c>
      <c r="AI138" s="10" t="s">
        <v>352</v>
      </c>
      <c r="AJ138" s="20" t="s">
        <v>230</v>
      </c>
      <c r="AK138" s="22" t="str">
        <f t="shared" si="5"/>
        <v>Áncash_06 Carhuaz_09 Shilla</v>
      </c>
      <c r="AL138" s="25">
        <v>0</v>
      </c>
      <c r="AM138" s="25">
        <v>47</v>
      </c>
      <c r="AN138" s="26">
        <f>Tabla2[[#This Row],[Minutos]]/60</f>
        <v>0.78333333333333333</v>
      </c>
      <c r="AO138" s="27">
        <f>SUM(Tabla2[[#This Row],[Horas]],Tabla2[[#This Row],[Minutos a Horas]])</f>
        <v>0.78333333333333333</v>
      </c>
      <c r="AP138" s="49">
        <v>1</v>
      </c>
      <c r="AQ138" s="49">
        <v>0</v>
      </c>
      <c r="AR138" s="26">
        <f>Tabla2[[#This Row],[Minutos*]]/60</f>
        <v>0</v>
      </c>
      <c r="AS138" s="27">
        <f>SUM(Tabla2[[#This Row],[Horas*]],Tabla2[[#This Row],[Minutos a Horas*]])+(Tabla2[[#This Row],[Tiempo Total a Nivel Proncincial (Horas)]])</f>
        <v>1.7833333333333332</v>
      </c>
      <c r="AV138" s="62"/>
    </row>
    <row r="139" spans="2:48" ht="60" customHeight="1" x14ac:dyDescent="0.25">
      <c r="B139" s="78" t="s">
        <v>2314</v>
      </c>
      <c r="C139" s="199" t="s">
        <v>4</v>
      </c>
      <c r="D139" s="162" t="s">
        <v>2497</v>
      </c>
      <c r="E139" s="162"/>
      <c r="F139" s="162" t="str">
        <f>CONCATENATE(Tabla1[[#This Row],[Simbología]],"_",Tabla1[[#This Row],[Acción]])</f>
        <v>AAA_Administración y otorgamiento del Registro de Hidrocarburos en toda la cadena</v>
      </c>
      <c r="G139" s="162" t="s">
        <v>14</v>
      </c>
      <c r="H139" s="161" t="s">
        <v>2548</v>
      </c>
      <c r="I139" s="163"/>
      <c r="J139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39" s="208" t="s">
        <v>2612</v>
      </c>
      <c r="L139" s="162" t="s">
        <v>21</v>
      </c>
      <c r="M139" s="162" t="s">
        <v>2371</v>
      </c>
      <c r="N139" s="164" t="str">
        <f>CONCATENATE(Tabla1[[#This Row],[Simbología**]],"_",Tabla1[[#This Row],[Sub Acción Especifica]])</f>
        <v>KKIN_40_RHO Inscripción</v>
      </c>
      <c r="O139" s="163" t="s">
        <v>2668</v>
      </c>
      <c r="P139" s="162" t="s">
        <v>24</v>
      </c>
      <c r="Q139" s="164" t="str">
        <f>CONCATENATE(Tabla1[[#This Row],[Simbología*]],"_",Tabla1[[#This Row],[Tipo de instalación relacionado]])</f>
        <v>KKKIN_49_Locales de Venta de GLP</v>
      </c>
      <c r="R139" s="165">
        <v>1.5</v>
      </c>
      <c r="S139" s="165">
        <v>2.5</v>
      </c>
      <c r="T139" s="166">
        <f>IFERROR(AVERAGE(Tabla1[[#This Row],[T. Mínimo]],Tabla1[[#This Row],[T. Máximo]]),0)</f>
        <v>2</v>
      </c>
      <c r="U139" s="167">
        <v>0</v>
      </c>
      <c r="V139" s="167">
        <v>0</v>
      </c>
      <c r="W139" s="166">
        <f>IFERROR(AVERAGE(Tabla1[[#This Row],[T. Mínimo*]],Tabla1[[#This Row],[T. Máximo*]]),0)</f>
        <v>0</v>
      </c>
      <c r="X139" s="167">
        <v>1.5</v>
      </c>
      <c r="Y139" s="167">
        <v>2.5</v>
      </c>
      <c r="Z139" s="166">
        <f>IFERROR(AVERAGE(Tabla1[[#This Row],[T. Mínimo**]],Tabla1[[#This Row],[T. Máximo**]]),0)</f>
        <v>2</v>
      </c>
      <c r="AA139" s="168">
        <f>SUM(Tabla1[[#This Row],[Promedio]],Tabla1[[#This Row],[Promedio*]],Tabla1[[#This Row],[Promedio**]])</f>
        <v>4</v>
      </c>
      <c r="AB139" s="169" t="s">
        <v>2491</v>
      </c>
      <c r="AD139" s="20" t="s">
        <v>2395</v>
      </c>
      <c r="AE139" s="10" t="s">
        <v>163</v>
      </c>
      <c r="AF139" s="20" t="s">
        <v>169</v>
      </c>
      <c r="AG139" s="10"/>
      <c r="AH139" s="22" t="str">
        <f t="shared" si="4"/>
        <v>Áncash_06 Carhuaz</v>
      </c>
      <c r="AI139" s="10" t="s">
        <v>352</v>
      </c>
      <c r="AJ139" s="20" t="s">
        <v>231</v>
      </c>
      <c r="AK139" s="22" t="str">
        <f t="shared" si="5"/>
        <v>Áncash_06 Carhuaz_10 Tinco</v>
      </c>
      <c r="AL139" s="25">
        <v>0</v>
      </c>
      <c r="AM139" s="25">
        <v>47</v>
      </c>
      <c r="AN139" s="26">
        <f>Tabla2[[#This Row],[Minutos]]/60</f>
        <v>0.78333333333333333</v>
      </c>
      <c r="AO139" s="27">
        <f>SUM(Tabla2[[#This Row],[Horas]],Tabla2[[#This Row],[Minutos a Horas]])</f>
        <v>0.78333333333333333</v>
      </c>
      <c r="AP139" s="49">
        <v>1</v>
      </c>
      <c r="AQ139" s="49">
        <v>20</v>
      </c>
      <c r="AR139" s="26">
        <f>Tabla2[[#This Row],[Minutos*]]/60</f>
        <v>0.33333333333333331</v>
      </c>
      <c r="AS139" s="27">
        <f>SUM(Tabla2[[#This Row],[Horas*]],Tabla2[[#This Row],[Minutos a Horas*]])+(Tabla2[[#This Row],[Tiempo Total a Nivel Proncincial (Horas)]])</f>
        <v>2.1166666666666667</v>
      </c>
      <c r="AV139" s="62"/>
    </row>
    <row r="140" spans="2:48" ht="60" customHeight="1" x14ac:dyDescent="0.25">
      <c r="B140" s="78" t="s">
        <v>2314</v>
      </c>
      <c r="C140" s="199" t="s">
        <v>4</v>
      </c>
      <c r="D140" s="162" t="s">
        <v>2497</v>
      </c>
      <c r="E140" s="162"/>
      <c r="F140" s="162" t="str">
        <f>CONCATENATE(Tabla1[[#This Row],[Simbología]],"_",Tabla1[[#This Row],[Acción]])</f>
        <v>AAA_Administración y otorgamiento del Registro de Hidrocarburos en toda la cadena</v>
      </c>
      <c r="G140" s="162" t="s">
        <v>14</v>
      </c>
      <c r="H140" s="161" t="s">
        <v>2548</v>
      </c>
      <c r="I140" s="163"/>
      <c r="J140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0" s="208" t="s">
        <v>2612</v>
      </c>
      <c r="L140" s="162" t="s">
        <v>21</v>
      </c>
      <c r="M140" s="162"/>
      <c r="N140" s="164" t="str">
        <f>CONCATENATE(Tabla1[[#This Row],[Simbología**]],"_",Tabla1[[#This Row],[Sub Acción Especifica]])</f>
        <v>KKIN_40_RHO Inscripción</v>
      </c>
      <c r="O140" s="163" t="s">
        <v>2668</v>
      </c>
      <c r="P140" s="162" t="s">
        <v>25</v>
      </c>
      <c r="Q140" s="164" t="str">
        <f>CONCATENATE(Tabla1[[#This Row],[Simbología*]],"_",Tabla1[[#This Row],[Tipo de instalación relacionado]])</f>
        <v>KKKIN_49_Unidades Mayores</v>
      </c>
      <c r="R140" s="165">
        <v>1.5</v>
      </c>
      <c r="S140" s="165">
        <v>2.5</v>
      </c>
      <c r="T140" s="166">
        <f>IFERROR(AVERAGE(Tabla1[[#This Row],[T. Mínimo]],Tabla1[[#This Row],[T. Máximo]]),0)</f>
        <v>2</v>
      </c>
      <c r="U140" s="167">
        <v>0</v>
      </c>
      <c r="V140" s="167">
        <v>0</v>
      </c>
      <c r="W140" s="166">
        <f>IFERROR(AVERAGE(Tabla1[[#This Row],[T. Mínimo*]],Tabla1[[#This Row],[T. Máximo*]]),0)</f>
        <v>0</v>
      </c>
      <c r="X140" s="167">
        <v>1.5</v>
      </c>
      <c r="Y140" s="167">
        <v>2.5</v>
      </c>
      <c r="Z140" s="166">
        <f>IFERROR(AVERAGE(Tabla1[[#This Row],[T. Mínimo**]],Tabla1[[#This Row],[T. Máximo**]]),0)</f>
        <v>2</v>
      </c>
      <c r="AA140" s="168">
        <f>SUM(Tabla1[[#This Row],[Promedio]],Tabla1[[#This Row],[Promedio*]],Tabla1[[#This Row],[Promedio**]])</f>
        <v>4</v>
      </c>
      <c r="AB140" s="169" t="s">
        <v>2491</v>
      </c>
      <c r="AD140" s="20" t="s">
        <v>2395</v>
      </c>
      <c r="AE140" s="10" t="s">
        <v>163</v>
      </c>
      <c r="AF140" s="20" t="s">
        <v>169</v>
      </c>
      <c r="AG140" s="10"/>
      <c r="AH140" s="22" t="str">
        <f t="shared" si="4"/>
        <v>Áncash_06 Carhuaz</v>
      </c>
      <c r="AI140" s="10" t="s">
        <v>352</v>
      </c>
      <c r="AJ140" s="20" t="s">
        <v>232</v>
      </c>
      <c r="AK140" s="22" t="str">
        <f t="shared" si="5"/>
        <v>Áncash_06 Carhuaz_11 Yungar</v>
      </c>
      <c r="AL140" s="25">
        <v>0</v>
      </c>
      <c r="AM140" s="25">
        <v>47</v>
      </c>
      <c r="AN140" s="26">
        <f>Tabla2[[#This Row],[Minutos]]/60</f>
        <v>0.78333333333333333</v>
      </c>
      <c r="AO140" s="27">
        <f>SUM(Tabla2[[#This Row],[Horas]],Tabla2[[#This Row],[Minutos a Horas]])</f>
        <v>0.78333333333333333</v>
      </c>
      <c r="AP140" s="49"/>
      <c r="AQ140" s="49">
        <v>30</v>
      </c>
      <c r="AR140" s="26">
        <f>Tabla2[[#This Row],[Minutos*]]/60</f>
        <v>0.5</v>
      </c>
      <c r="AS140" s="27">
        <f>SUM(Tabla2[[#This Row],[Horas*]],Tabla2[[#This Row],[Minutos a Horas*]])+(Tabla2[[#This Row],[Tiempo Total a Nivel Proncincial (Horas)]])</f>
        <v>1.2833333333333332</v>
      </c>
      <c r="AV140" s="62"/>
    </row>
    <row r="141" spans="2:48" ht="60" customHeight="1" x14ac:dyDescent="0.25">
      <c r="B141" s="78" t="s">
        <v>2314</v>
      </c>
      <c r="C141" s="199" t="s">
        <v>4</v>
      </c>
      <c r="D141" s="162" t="s">
        <v>2497</v>
      </c>
      <c r="E141" s="162"/>
      <c r="F141" s="162" t="str">
        <f>CONCATENATE(Tabla1[[#This Row],[Simbología]],"_",Tabla1[[#This Row],[Acción]])</f>
        <v>AAA_Administración y otorgamiento del Registro de Hidrocarburos en toda la cadena</v>
      </c>
      <c r="G141" s="162" t="s">
        <v>14</v>
      </c>
      <c r="H141" s="161" t="s">
        <v>2548</v>
      </c>
      <c r="I141" s="163"/>
      <c r="J141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1" s="208" t="s">
        <v>2612</v>
      </c>
      <c r="L141" s="162" t="s">
        <v>2549</v>
      </c>
      <c r="M141" s="162"/>
      <c r="N141" s="164" t="str">
        <f>CONCATENATE(Tabla1[[#This Row],[Simbología**]],"_",Tabla1[[#This Row],[Sub Acción Especifica]])</f>
        <v>KKIN_40_RHO Modificación de registro</v>
      </c>
      <c r="O141" s="163" t="s">
        <v>2669</v>
      </c>
      <c r="P141" s="162" t="s">
        <v>2363</v>
      </c>
      <c r="Q141" s="164" t="str">
        <f>CONCATENATE(Tabla1[[#This Row],[Simbología*]],"_",Tabla1[[#This Row],[Tipo de instalación relacionado]])</f>
        <v>KKKIN_50_Establecimientos de Venta al Público (Líquidos y/o GLP)</v>
      </c>
      <c r="R141" s="165">
        <v>2</v>
      </c>
      <c r="S141" s="165">
        <v>3</v>
      </c>
      <c r="T141" s="166">
        <f>IFERROR(AVERAGE(Tabla1[[#This Row],[T. Mínimo]],Tabla1[[#This Row],[T. Máximo]]),0)</f>
        <v>2.5</v>
      </c>
      <c r="U141" s="167">
        <v>0</v>
      </c>
      <c r="V141" s="167">
        <v>0</v>
      </c>
      <c r="W141" s="166">
        <f>IFERROR(AVERAGE(Tabla1[[#This Row],[T. Mínimo*]],Tabla1[[#This Row],[T. Máximo*]]),0)</f>
        <v>0</v>
      </c>
      <c r="X141" s="167">
        <v>2</v>
      </c>
      <c r="Y141" s="167">
        <v>3</v>
      </c>
      <c r="Z141" s="166">
        <f>IFERROR(AVERAGE(Tabla1[[#This Row],[T. Mínimo**]],Tabla1[[#This Row],[T. Máximo**]]),0)</f>
        <v>2.5</v>
      </c>
      <c r="AA141" s="168">
        <f>SUM(Tabla1[[#This Row],[Promedio]],Tabla1[[#This Row],[Promedio*]],Tabla1[[#This Row],[Promedio**]])</f>
        <v>5</v>
      </c>
      <c r="AB141" s="169" t="s">
        <v>2491</v>
      </c>
      <c r="AD141" s="20" t="s">
        <v>2395</v>
      </c>
      <c r="AE141" s="10" t="s">
        <v>163</v>
      </c>
      <c r="AF141" s="20" t="s">
        <v>170</v>
      </c>
      <c r="AG141" s="10"/>
      <c r="AH141" s="22" t="str">
        <f t="shared" si="4"/>
        <v>Áncash_07 Carlos Fermín Fitzcarrald</v>
      </c>
      <c r="AI141" s="10" t="s">
        <v>353</v>
      </c>
      <c r="AJ141" s="20" t="s">
        <v>233</v>
      </c>
      <c r="AK141" s="22" t="str">
        <f t="shared" si="5"/>
        <v>Áncash_07 Carlos Fermín Fitzcarrald_01 San Luis</v>
      </c>
      <c r="AL141" s="25">
        <v>5</v>
      </c>
      <c r="AM141" s="25">
        <v>43</v>
      </c>
      <c r="AN141" s="26">
        <f>Tabla2[[#This Row],[Minutos]]/60</f>
        <v>0.71666666666666667</v>
      </c>
      <c r="AO141" s="27">
        <f>SUM(Tabla2[[#This Row],[Horas]],Tabla2[[#This Row],[Minutos a Horas]])</f>
        <v>5.7166666666666668</v>
      </c>
      <c r="AP141" s="49">
        <v>4</v>
      </c>
      <c r="AQ141" s="49">
        <v>0</v>
      </c>
      <c r="AR141" s="26">
        <f>Tabla2[[#This Row],[Minutos*]]/60</f>
        <v>0</v>
      </c>
      <c r="AS141" s="27">
        <f>SUM(Tabla2[[#This Row],[Horas*]],Tabla2[[#This Row],[Minutos a Horas*]])+(Tabla2[[#This Row],[Tiempo Total a Nivel Proncincial (Horas)]])</f>
        <v>9.7166666666666668</v>
      </c>
      <c r="AV141" s="62"/>
    </row>
    <row r="142" spans="2:48" ht="60" customHeight="1" x14ac:dyDescent="0.25">
      <c r="B142" s="78" t="s">
        <v>2314</v>
      </c>
      <c r="C142" s="199" t="s">
        <v>4</v>
      </c>
      <c r="D142" s="162" t="s">
        <v>2497</v>
      </c>
      <c r="E142" s="162"/>
      <c r="F142" s="162" t="str">
        <f>CONCATENATE(Tabla1[[#This Row],[Simbología]],"_",Tabla1[[#This Row],[Acción]])</f>
        <v>AAA_Administración y otorgamiento del Registro de Hidrocarburos en toda la cadena</v>
      </c>
      <c r="G142" s="162" t="s">
        <v>14</v>
      </c>
      <c r="H142" s="161" t="s">
        <v>2548</v>
      </c>
      <c r="I142" s="163"/>
      <c r="J142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2" s="208" t="s">
        <v>2612</v>
      </c>
      <c r="L142" s="162" t="s">
        <v>2549</v>
      </c>
      <c r="M142" s="171"/>
      <c r="N142" s="164" t="str">
        <f>CONCATENATE(Tabla1[[#This Row],[Simbología**]],"_",Tabla1[[#This Row],[Sub Acción Especifica]])</f>
        <v>KKIN_40_RHO Modificación de registro</v>
      </c>
      <c r="O142" s="163" t="s">
        <v>2669</v>
      </c>
      <c r="P142" s="162" t="s">
        <v>2366</v>
      </c>
      <c r="Q142" s="164" t="str">
        <f>CONCATENATE(Tabla1[[#This Row],[Simbología*]],"_",Tabla1[[#This Row],[Tipo de instalación relacionado]])</f>
        <v>KKKIN_50_Establecimientos (GNV o GNC o GNL)</v>
      </c>
      <c r="R142" s="165">
        <v>2</v>
      </c>
      <c r="S142" s="165">
        <v>3</v>
      </c>
      <c r="T142" s="166">
        <f>IFERROR(AVERAGE(Tabla1[[#This Row],[T. Mínimo]],Tabla1[[#This Row],[T. Máximo]]),0)</f>
        <v>2.5</v>
      </c>
      <c r="U142" s="167">
        <v>0</v>
      </c>
      <c r="V142" s="167">
        <v>0</v>
      </c>
      <c r="W142" s="166">
        <f>IFERROR(AVERAGE(Tabla1[[#This Row],[T. Mínimo*]],Tabla1[[#This Row],[T. Máximo*]]),0)</f>
        <v>0</v>
      </c>
      <c r="X142" s="167">
        <v>2</v>
      </c>
      <c r="Y142" s="167">
        <v>3</v>
      </c>
      <c r="Z142" s="166">
        <f>IFERROR(AVERAGE(Tabla1[[#This Row],[T. Mínimo**]],Tabla1[[#This Row],[T. Máximo**]]),0)</f>
        <v>2.5</v>
      </c>
      <c r="AA142" s="168">
        <f>SUM(Tabla1[[#This Row],[Promedio]],Tabla1[[#This Row],[Promedio*]],Tabla1[[#This Row],[Promedio**]])</f>
        <v>5</v>
      </c>
      <c r="AB142" s="169" t="s">
        <v>2491</v>
      </c>
      <c r="AD142" s="20" t="s">
        <v>2395</v>
      </c>
      <c r="AE142" s="10" t="s">
        <v>163</v>
      </c>
      <c r="AF142" s="20" t="s">
        <v>170</v>
      </c>
      <c r="AG142" s="10"/>
      <c r="AH142" s="22" t="str">
        <f t="shared" si="4"/>
        <v>Áncash_07 Carlos Fermín Fitzcarrald</v>
      </c>
      <c r="AI142" s="10" t="s">
        <v>353</v>
      </c>
      <c r="AJ142" s="20" t="s">
        <v>234</v>
      </c>
      <c r="AK142" s="22" t="str">
        <f t="shared" si="5"/>
        <v>Áncash_07 Carlos Fermín Fitzcarrald_02 San Nicolás</v>
      </c>
      <c r="AL142" s="25">
        <v>5</v>
      </c>
      <c r="AM142" s="25">
        <v>43</v>
      </c>
      <c r="AN142" s="26">
        <f>Tabla2[[#This Row],[Minutos]]/60</f>
        <v>0.71666666666666667</v>
      </c>
      <c r="AO142" s="27">
        <f>SUM(Tabla2[[#This Row],[Horas]],Tabla2[[#This Row],[Minutos a Horas]])</f>
        <v>5.7166666666666668</v>
      </c>
      <c r="AP142" s="49">
        <v>5</v>
      </c>
      <c r="AQ142" s="49">
        <v>0</v>
      </c>
      <c r="AR142" s="26">
        <f>Tabla2[[#This Row],[Minutos*]]/60</f>
        <v>0</v>
      </c>
      <c r="AS142" s="27">
        <f>SUM(Tabla2[[#This Row],[Horas*]],Tabla2[[#This Row],[Minutos a Horas*]])+(Tabla2[[#This Row],[Tiempo Total a Nivel Proncincial (Horas)]])</f>
        <v>10.716666666666667</v>
      </c>
      <c r="AV142" s="62"/>
    </row>
    <row r="143" spans="2:48" ht="60" customHeight="1" x14ac:dyDescent="0.25">
      <c r="B143" s="78" t="s">
        <v>2314</v>
      </c>
      <c r="C143" s="199" t="s">
        <v>4</v>
      </c>
      <c r="D143" s="162" t="s">
        <v>2497</v>
      </c>
      <c r="E143" s="162"/>
      <c r="F143" s="162" t="str">
        <f>CONCATENATE(Tabla1[[#This Row],[Simbología]],"_",Tabla1[[#This Row],[Acción]])</f>
        <v>AAA_Administración y otorgamiento del Registro de Hidrocarburos en toda la cadena</v>
      </c>
      <c r="G143" s="162" t="s">
        <v>14</v>
      </c>
      <c r="H143" s="161" t="s">
        <v>2548</v>
      </c>
      <c r="I143" s="163"/>
      <c r="J143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3" s="208" t="s">
        <v>2612</v>
      </c>
      <c r="L143" s="162" t="s">
        <v>2549</v>
      </c>
      <c r="M143" s="162"/>
      <c r="N143" s="164" t="str">
        <f>CONCATENATE(Tabla1[[#This Row],[Simbología**]],"_",Tabla1[[#This Row],[Sub Acción Especifica]])</f>
        <v>KKIN_40_RHO Modificación de registro</v>
      </c>
      <c r="O143" s="163" t="s">
        <v>2669</v>
      </c>
      <c r="P143" s="162" t="s">
        <v>8</v>
      </c>
      <c r="Q143" s="164" t="str">
        <f>CONCATENATE(Tabla1[[#This Row],[Simbología*]],"_",Tabla1[[#This Row],[Tipo de instalación relacionado]])</f>
        <v>KKKIN_50_Consumidores Directos de CL y/u OPDH</v>
      </c>
      <c r="R143" s="165">
        <v>2.5</v>
      </c>
      <c r="S143" s="165">
        <v>3.5</v>
      </c>
      <c r="T143" s="166">
        <f>IFERROR(AVERAGE(Tabla1[[#This Row],[T. Mínimo]],Tabla1[[#This Row],[T. Máximo]]),0)</f>
        <v>3</v>
      </c>
      <c r="U143" s="167">
        <v>0</v>
      </c>
      <c r="V143" s="167">
        <v>0</v>
      </c>
      <c r="W143" s="166">
        <f>IFERROR(AVERAGE(Tabla1[[#This Row],[T. Mínimo*]],Tabla1[[#This Row],[T. Máximo*]]),0)</f>
        <v>0</v>
      </c>
      <c r="X143" s="167">
        <v>2</v>
      </c>
      <c r="Y143" s="167">
        <v>3</v>
      </c>
      <c r="Z143" s="166">
        <f>IFERROR(AVERAGE(Tabla1[[#This Row],[T. Mínimo**]],Tabla1[[#This Row],[T. Máximo**]]),0)</f>
        <v>2.5</v>
      </c>
      <c r="AA143" s="168">
        <f>SUM(Tabla1[[#This Row],[Promedio]],Tabla1[[#This Row],[Promedio*]],Tabla1[[#This Row],[Promedio**]])</f>
        <v>5.5</v>
      </c>
      <c r="AB143" s="169" t="s">
        <v>2491</v>
      </c>
      <c r="AD143" s="20" t="s">
        <v>2395</v>
      </c>
      <c r="AE143" s="10" t="s">
        <v>163</v>
      </c>
      <c r="AF143" s="20" t="s">
        <v>170</v>
      </c>
      <c r="AG143" s="10"/>
      <c r="AH143" s="22" t="str">
        <f t="shared" si="4"/>
        <v>Áncash_07 Carlos Fermín Fitzcarrald</v>
      </c>
      <c r="AI143" s="10" t="s">
        <v>353</v>
      </c>
      <c r="AJ143" s="20" t="s">
        <v>235</v>
      </c>
      <c r="AK143" s="22" t="str">
        <f t="shared" si="5"/>
        <v>Áncash_07 Carlos Fermín Fitzcarrald_03 Yauya</v>
      </c>
      <c r="AL143" s="25">
        <v>5</v>
      </c>
      <c r="AM143" s="25">
        <v>43</v>
      </c>
      <c r="AN143" s="26">
        <f>Tabla2[[#This Row],[Minutos]]/60</f>
        <v>0.71666666666666667</v>
      </c>
      <c r="AO143" s="27">
        <f>SUM(Tabla2[[#This Row],[Horas]],Tabla2[[#This Row],[Minutos a Horas]])</f>
        <v>5.7166666666666668</v>
      </c>
      <c r="AP143" s="49">
        <v>6</v>
      </c>
      <c r="AQ143" s="49">
        <v>0</v>
      </c>
      <c r="AR143" s="26">
        <f>Tabla2[[#This Row],[Minutos*]]/60</f>
        <v>0</v>
      </c>
      <c r="AS143" s="27">
        <f>SUM(Tabla2[[#This Row],[Horas*]],Tabla2[[#This Row],[Minutos a Horas*]])+(Tabla2[[#This Row],[Tiempo Total a Nivel Proncincial (Horas)]])</f>
        <v>11.716666666666667</v>
      </c>
      <c r="AV143" s="62"/>
    </row>
    <row r="144" spans="2:48" ht="60" customHeight="1" x14ac:dyDescent="0.25">
      <c r="B144" s="78" t="s">
        <v>2314</v>
      </c>
      <c r="C144" s="199" t="s">
        <v>4</v>
      </c>
      <c r="D144" s="162" t="s">
        <v>2497</v>
      </c>
      <c r="E144" s="162"/>
      <c r="F144" s="162" t="str">
        <f>CONCATENATE(Tabla1[[#This Row],[Simbología]],"_",Tabla1[[#This Row],[Acción]])</f>
        <v>AAA_Administración y otorgamiento del Registro de Hidrocarburos en toda la cadena</v>
      </c>
      <c r="G144" s="162" t="s">
        <v>14</v>
      </c>
      <c r="H144" s="161" t="s">
        <v>2548</v>
      </c>
      <c r="I144" s="163"/>
      <c r="J144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4" s="208" t="s">
        <v>2612</v>
      </c>
      <c r="L144" s="162" t="s">
        <v>2549</v>
      </c>
      <c r="M144" s="162"/>
      <c r="N144" s="164" t="str">
        <f>CONCATENATE(Tabla1[[#This Row],[Simbología**]],"_",Tabla1[[#This Row],[Sub Acción Especifica]])</f>
        <v>KKIN_40_RHO Modificación de registro</v>
      </c>
      <c r="O144" s="163" t="s">
        <v>2669</v>
      </c>
      <c r="P144" s="162" t="s">
        <v>22</v>
      </c>
      <c r="Q144" s="164" t="str">
        <f>CONCATENATE(Tabla1[[#This Row],[Simbología*]],"_",Tabla1[[#This Row],[Tipo de instalación relacionado]])</f>
        <v>KKKIN_50_Consumidores Directos GLP y Redes de Distribución</v>
      </c>
      <c r="R144" s="165">
        <v>1.5</v>
      </c>
      <c r="S144" s="165">
        <v>2.5</v>
      </c>
      <c r="T144" s="166">
        <f>IFERROR(AVERAGE(Tabla1[[#This Row],[T. Mínimo]],Tabla1[[#This Row],[T. Máximo]]),0)</f>
        <v>2</v>
      </c>
      <c r="U144" s="167">
        <v>0</v>
      </c>
      <c r="V144" s="167">
        <v>0</v>
      </c>
      <c r="W144" s="166">
        <f>IFERROR(AVERAGE(Tabla1[[#This Row],[T. Mínimo*]],Tabla1[[#This Row],[T. Máximo*]]),0)</f>
        <v>0</v>
      </c>
      <c r="X144" s="167">
        <v>1.5</v>
      </c>
      <c r="Y144" s="167">
        <v>2.5</v>
      </c>
      <c r="Z144" s="166">
        <f>IFERROR(AVERAGE(Tabla1[[#This Row],[T. Mínimo**]],Tabla1[[#This Row],[T. Máximo**]]),0)</f>
        <v>2</v>
      </c>
      <c r="AA144" s="168">
        <f>SUM(Tabla1[[#This Row],[Promedio]],Tabla1[[#This Row],[Promedio*]],Tabla1[[#This Row],[Promedio**]])</f>
        <v>4</v>
      </c>
      <c r="AB144" s="169" t="s">
        <v>2491</v>
      </c>
      <c r="AD144" s="20" t="s">
        <v>2395</v>
      </c>
      <c r="AE144" s="10" t="s">
        <v>163</v>
      </c>
      <c r="AF144" s="20" t="s">
        <v>171</v>
      </c>
      <c r="AG144" s="10"/>
      <c r="AH144" s="22" t="str">
        <f t="shared" si="4"/>
        <v>Áncash_08 Casma</v>
      </c>
      <c r="AI144" s="10" t="s">
        <v>354</v>
      </c>
      <c r="AJ144" s="20" t="s">
        <v>236</v>
      </c>
      <c r="AK144" s="22" t="str">
        <f t="shared" si="5"/>
        <v>Áncash_08 Casma_01 Casma</v>
      </c>
      <c r="AL144" s="25">
        <v>3</v>
      </c>
      <c r="AM144" s="25">
        <v>6</v>
      </c>
      <c r="AN144" s="26">
        <f>Tabla2[[#This Row],[Minutos]]/60</f>
        <v>0.1</v>
      </c>
      <c r="AO144" s="27">
        <f>SUM(Tabla2[[#This Row],[Horas]],Tabla2[[#This Row],[Minutos a Horas]])</f>
        <v>3.1</v>
      </c>
      <c r="AP144" s="49">
        <v>3</v>
      </c>
      <c r="AQ144" s="49">
        <v>30</v>
      </c>
      <c r="AR144" s="26">
        <f>Tabla2[[#This Row],[Minutos*]]/60</f>
        <v>0.5</v>
      </c>
      <c r="AS144" s="27">
        <f>SUM(Tabla2[[#This Row],[Horas*]],Tabla2[[#This Row],[Minutos a Horas*]])+(Tabla2[[#This Row],[Tiempo Total a Nivel Proncincial (Horas)]])</f>
        <v>6.6</v>
      </c>
      <c r="AV144" s="62"/>
    </row>
    <row r="145" spans="2:48" ht="60" customHeight="1" x14ac:dyDescent="0.25">
      <c r="B145" s="78" t="s">
        <v>2314</v>
      </c>
      <c r="C145" s="199" t="s">
        <v>4</v>
      </c>
      <c r="D145" s="162" t="s">
        <v>2497</v>
      </c>
      <c r="E145" s="162"/>
      <c r="F145" s="162" t="str">
        <f>CONCATENATE(Tabla1[[#This Row],[Simbología]],"_",Tabla1[[#This Row],[Acción]])</f>
        <v>AAA_Administración y otorgamiento del Registro de Hidrocarburos en toda la cadena</v>
      </c>
      <c r="G145" s="162" t="s">
        <v>14</v>
      </c>
      <c r="H145" s="161" t="s">
        <v>2548</v>
      </c>
      <c r="I145" s="163"/>
      <c r="J145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5" s="208" t="s">
        <v>2612</v>
      </c>
      <c r="L145" s="162" t="s">
        <v>2549</v>
      </c>
      <c r="M145" s="170"/>
      <c r="N145" s="164" t="str">
        <f>CONCATENATE(Tabla1[[#This Row],[Simbología**]],"_",Tabla1[[#This Row],[Sub Acción Especifica]])</f>
        <v>KKIN_40_RHO Modificación de registro</v>
      </c>
      <c r="O145" s="163" t="s">
        <v>2669</v>
      </c>
      <c r="P145" s="162" t="s">
        <v>23</v>
      </c>
      <c r="Q145" s="164" t="str">
        <f>CONCATENATE(Tabla1[[#This Row],[Simbología*]],"_",Tabla1[[#This Row],[Tipo de instalación relacionado]])</f>
        <v>KKKIN_50_Medios de Transporte y Distribuidores (Líquidos, GLP)</v>
      </c>
      <c r="R145" s="165">
        <v>1</v>
      </c>
      <c r="S145" s="165">
        <v>2</v>
      </c>
      <c r="T145" s="166">
        <f>IFERROR(AVERAGE(Tabla1[[#This Row],[T. Mínimo]],Tabla1[[#This Row],[T. Máximo]]),0)</f>
        <v>1.5</v>
      </c>
      <c r="U145" s="167">
        <v>0</v>
      </c>
      <c r="V145" s="167">
        <v>0</v>
      </c>
      <c r="W145" s="166">
        <f>IFERROR(AVERAGE(Tabla1[[#This Row],[T. Mínimo*]],Tabla1[[#This Row],[T. Máximo*]]),0)</f>
        <v>0</v>
      </c>
      <c r="X145" s="167">
        <v>1.5</v>
      </c>
      <c r="Y145" s="167">
        <v>2.5</v>
      </c>
      <c r="Z145" s="166">
        <f>IFERROR(AVERAGE(Tabla1[[#This Row],[T. Mínimo**]],Tabla1[[#This Row],[T. Máximo**]]),0)</f>
        <v>2</v>
      </c>
      <c r="AA145" s="168">
        <f>SUM(Tabla1[[#This Row],[Promedio]],Tabla1[[#This Row],[Promedio*]],Tabla1[[#This Row],[Promedio**]])</f>
        <v>3.5</v>
      </c>
      <c r="AB145" s="169" t="s">
        <v>2491</v>
      </c>
      <c r="AD145" s="20" t="s">
        <v>2395</v>
      </c>
      <c r="AE145" s="10" t="s">
        <v>163</v>
      </c>
      <c r="AF145" s="20" t="s">
        <v>171</v>
      </c>
      <c r="AG145" s="10"/>
      <c r="AH145" s="22" t="str">
        <f t="shared" si="4"/>
        <v>Áncash_08 Casma</v>
      </c>
      <c r="AI145" s="10" t="s">
        <v>354</v>
      </c>
      <c r="AJ145" s="20" t="s">
        <v>237</v>
      </c>
      <c r="AK145" s="22" t="str">
        <f t="shared" si="5"/>
        <v>Áncash_08 Casma_02 Buena Vista Alta</v>
      </c>
      <c r="AL145" s="25">
        <v>3</v>
      </c>
      <c r="AM145" s="25">
        <v>6</v>
      </c>
      <c r="AN145" s="26">
        <f>Tabla2[[#This Row],[Minutos]]/60</f>
        <v>0.1</v>
      </c>
      <c r="AO145" s="27">
        <f>SUM(Tabla2[[#This Row],[Horas]],Tabla2[[#This Row],[Minutos a Horas]])</f>
        <v>3.1</v>
      </c>
      <c r="AP145" s="49">
        <v>3</v>
      </c>
      <c r="AQ145" s="49">
        <v>30</v>
      </c>
      <c r="AR145" s="26">
        <f>Tabla2[[#This Row],[Minutos*]]/60</f>
        <v>0.5</v>
      </c>
      <c r="AS145" s="27">
        <f>SUM(Tabla2[[#This Row],[Horas*]],Tabla2[[#This Row],[Minutos a Horas*]])+(Tabla2[[#This Row],[Tiempo Total a Nivel Proncincial (Horas)]])</f>
        <v>6.6</v>
      </c>
      <c r="AV145" s="62"/>
    </row>
    <row r="146" spans="2:48" ht="60" customHeight="1" x14ac:dyDescent="0.25">
      <c r="B146" s="78" t="s">
        <v>2314</v>
      </c>
      <c r="C146" s="199" t="s">
        <v>4</v>
      </c>
      <c r="D146" s="162" t="s">
        <v>2497</v>
      </c>
      <c r="E146" s="162"/>
      <c r="F146" s="162" t="str">
        <f>CONCATENATE(Tabla1[[#This Row],[Simbología]],"_",Tabla1[[#This Row],[Acción]])</f>
        <v>AAA_Administración y otorgamiento del Registro de Hidrocarburos en toda la cadena</v>
      </c>
      <c r="G146" s="162" t="s">
        <v>14</v>
      </c>
      <c r="H146" s="161" t="s">
        <v>2548</v>
      </c>
      <c r="I146" s="163"/>
      <c r="J146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6" s="208" t="s">
        <v>2612</v>
      </c>
      <c r="L146" s="162" t="s">
        <v>2549</v>
      </c>
      <c r="M146" s="162"/>
      <c r="N146" s="164" t="str">
        <f>CONCATENATE(Tabla1[[#This Row],[Simbología**]],"_",Tabla1[[#This Row],[Sub Acción Especifica]])</f>
        <v>KKIN_40_RHO Modificación de registro</v>
      </c>
      <c r="O146" s="163" t="s">
        <v>2669</v>
      </c>
      <c r="P146" s="162" t="s">
        <v>24</v>
      </c>
      <c r="Q146" s="164" t="str">
        <f>CONCATENATE(Tabla1[[#This Row],[Simbología*]],"_",Tabla1[[#This Row],[Tipo de instalación relacionado]])</f>
        <v>KKKIN_50_Locales de Venta de GLP</v>
      </c>
      <c r="R146" s="165">
        <v>1.5</v>
      </c>
      <c r="S146" s="165">
        <v>2.5</v>
      </c>
      <c r="T146" s="166">
        <f>IFERROR(AVERAGE(Tabla1[[#This Row],[T. Mínimo]],Tabla1[[#This Row],[T. Máximo]]),0)</f>
        <v>2</v>
      </c>
      <c r="U146" s="167">
        <v>0</v>
      </c>
      <c r="V146" s="167">
        <v>0</v>
      </c>
      <c r="W146" s="166">
        <f>IFERROR(AVERAGE(Tabla1[[#This Row],[T. Mínimo*]],Tabla1[[#This Row],[T. Máximo*]]),0)</f>
        <v>0</v>
      </c>
      <c r="X146" s="167">
        <v>1.5</v>
      </c>
      <c r="Y146" s="167">
        <v>2.5</v>
      </c>
      <c r="Z146" s="166">
        <f>IFERROR(AVERAGE(Tabla1[[#This Row],[T. Mínimo**]],Tabla1[[#This Row],[T. Máximo**]]),0)</f>
        <v>2</v>
      </c>
      <c r="AA146" s="168">
        <f>SUM(Tabla1[[#This Row],[Promedio]],Tabla1[[#This Row],[Promedio*]],Tabla1[[#This Row],[Promedio**]])</f>
        <v>4</v>
      </c>
      <c r="AB146" s="169" t="s">
        <v>2491</v>
      </c>
      <c r="AD146" s="20" t="s">
        <v>2395</v>
      </c>
      <c r="AE146" s="10" t="s">
        <v>163</v>
      </c>
      <c r="AF146" s="20" t="s">
        <v>171</v>
      </c>
      <c r="AG146" s="10"/>
      <c r="AH146" s="22" t="str">
        <f t="shared" si="4"/>
        <v>Áncash_08 Casma</v>
      </c>
      <c r="AI146" s="10" t="s">
        <v>354</v>
      </c>
      <c r="AJ146" s="20" t="s">
        <v>238</v>
      </c>
      <c r="AK146" s="22" t="str">
        <f t="shared" si="5"/>
        <v>Áncash_08 Casma_03 Comandante Noel</v>
      </c>
      <c r="AL146" s="25">
        <v>3</v>
      </c>
      <c r="AM146" s="25">
        <v>6</v>
      </c>
      <c r="AN146" s="26">
        <f>Tabla2[[#This Row],[Minutos]]/60</f>
        <v>0.1</v>
      </c>
      <c r="AO146" s="27">
        <f>SUM(Tabla2[[#This Row],[Horas]],Tabla2[[#This Row],[Minutos a Horas]])</f>
        <v>3.1</v>
      </c>
      <c r="AP146" s="49">
        <v>3</v>
      </c>
      <c r="AQ146" s="49">
        <v>30</v>
      </c>
      <c r="AR146" s="26">
        <f>Tabla2[[#This Row],[Minutos*]]/60</f>
        <v>0.5</v>
      </c>
      <c r="AS146" s="27">
        <f>SUM(Tabla2[[#This Row],[Horas*]],Tabla2[[#This Row],[Minutos a Horas*]])+(Tabla2[[#This Row],[Tiempo Total a Nivel Proncincial (Horas)]])</f>
        <v>6.6</v>
      </c>
      <c r="AV146" s="62"/>
    </row>
    <row r="147" spans="2:48" ht="60" customHeight="1" x14ac:dyDescent="0.25">
      <c r="B147" s="78" t="s">
        <v>2314</v>
      </c>
      <c r="C147" s="199" t="s">
        <v>4</v>
      </c>
      <c r="D147" s="162" t="s">
        <v>2497</v>
      </c>
      <c r="E147" s="162"/>
      <c r="F147" s="162" t="str">
        <f>CONCATENATE(Tabla1[[#This Row],[Simbología]],"_",Tabla1[[#This Row],[Acción]])</f>
        <v>AAA_Administración y otorgamiento del Registro de Hidrocarburos en toda la cadena</v>
      </c>
      <c r="G147" s="162" t="s">
        <v>14</v>
      </c>
      <c r="H147" s="161" t="s">
        <v>2548</v>
      </c>
      <c r="I147" s="163"/>
      <c r="J147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7" s="208" t="s">
        <v>2612</v>
      </c>
      <c r="L147" s="162" t="s">
        <v>2549</v>
      </c>
      <c r="M147" s="170"/>
      <c r="N147" s="164" t="str">
        <f>CONCATENATE(Tabla1[[#This Row],[Simbología**]],"_",Tabla1[[#This Row],[Sub Acción Especifica]])</f>
        <v>KKIN_40_RHO Modificación de registro</v>
      </c>
      <c r="O147" s="163" t="s">
        <v>2669</v>
      </c>
      <c r="P147" s="162" t="s">
        <v>25</v>
      </c>
      <c r="Q147" s="164" t="str">
        <f>CONCATENATE(Tabla1[[#This Row],[Simbología*]],"_",Tabla1[[#This Row],[Tipo de instalación relacionado]])</f>
        <v>KKKIN_50_Unidades Mayores</v>
      </c>
      <c r="R147" s="165">
        <v>1.5</v>
      </c>
      <c r="S147" s="165">
        <v>2.5</v>
      </c>
      <c r="T147" s="166">
        <f>IFERROR(AVERAGE(Tabla1[[#This Row],[T. Mínimo]],Tabla1[[#This Row],[T. Máximo]]),0)</f>
        <v>2</v>
      </c>
      <c r="U147" s="167">
        <v>0</v>
      </c>
      <c r="V147" s="167">
        <v>0</v>
      </c>
      <c r="W147" s="166">
        <f>IFERROR(AVERAGE(Tabla1[[#This Row],[T. Mínimo*]],Tabla1[[#This Row],[T. Máximo*]]),0)</f>
        <v>0</v>
      </c>
      <c r="X147" s="167">
        <v>1.5</v>
      </c>
      <c r="Y147" s="167">
        <v>2.5</v>
      </c>
      <c r="Z147" s="166">
        <f>IFERROR(AVERAGE(Tabla1[[#This Row],[T. Mínimo**]],Tabla1[[#This Row],[T. Máximo**]]),0)</f>
        <v>2</v>
      </c>
      <c r="AA147" s="168">
        <f>SUM(Tabla1[[#This Row],[Promedio]],Tabla1[[#This Row],[Promedio*]],Tabla1[[#This Row],[Promedio**]])</f>
        <v>4</v>
      </c>
      <c r="AB147" s="169" t="s">
        <v>2491</v>
      </c>
      <c r="AD147" s="20" t="s">
        <v>2395</v>
      </c>
      <c r="AE147" s="10" t="s">
        <v>163</v>
      </c>
      <c r="AF147" s="20" t="s">
        <v>171</v>
      </c>
      <c r="AG147" s="10"/>
      <c r="AH147" s="22" t="str">
        <f t="shared" si="4"/>
        <v>Áncash_08 Casma</v>
      </c>
      <c r="AI147" s="10" t="s">
        <v>354</v>
      </c>
      <c r="AJ147" s="20" t="s">
        <v>239</v>
      </c>
      <c r="AK147" s="22" t="str">
        <f t="shared" si="5"/>
        <v>Áncash_08 Casma_04 Yautan</v>
      </c>
      <c r="AL147" s="25">
        <v>3</v>
      </c>
      <c r="AM147" s="25">
        <v>6</v>
      </c>
      <c r="AN147" s="26">
        <f>Tabla2[[#This Row],[Minutos]]/60</f>
        <v>0.1</v>
      </c>
      <c r="AO147" s="27">
        <f>SUM(Tabla2[[#This Row],[Horas]],Tabla2[[#This Row],[Minutos a Horas]])</f>
        <v>3.1</v>
      </c>
      <c r="AP147" s="49">
        <v>3</v>
      </c>
      <c r="AQ147" s="49">
        <v>0</v>
      </c>
      <c r="AR147" s="26">
        <f>Tabla2[[#This Row],[Minutos*]]/60</f>
        <v>0</v>
      </c>
      <c r="AS147" s="27">
        <f>SUM(Tabla2[[#This Row],[Horas*]],Tabla2[[#This Row],[Minutos a Horas*]])+(Tabla2[[#This Row],[Tiempo Total a Nivel Proncincial (Horas)]])</f>
        <v>6.1</v>
      </c>
      <c r="AV147" s="62"/>
    </row>
    <row r="148" spans="2:48" ht="60" customHeight="1" x14ac:dyDescent="0.25">
      <c r="B148" s="78" t="s">
        <v>2314</v>
      </c>
      <c r="C148" s="199" t="s">
        <v>4</v>
      </c>
      <c r="D148" s="162" t="s">
        <v>2497</v>
      </c>
      <c r="E148" s="162"/>
      <c r="F148" s="162" t="str">
        <f>CONCATENATE(Tabla1[[#This Row],[Simbología]],"_",Tabla1[[#This Row],[Acción]])</f>
        <v>AAA_Administración y otorgamiento del Registro de Hidrocarburos en toda la cadena</v>
      </c>
      <c r="G148" s="162" t="s">
        <v>14</v>
      </c>
      <c r="H148" s="161" t="s">
        <v>2548</v>
      </c>
      <c r="I148" s="163"/>
      <c r="J148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8" s="208" t="s">
        <v>2612</v>
      </c>
      <c r="L148" s="162" t="s">
        <v>2550</v>
      </c>
      <c r="M148" s="170"/>
      <c r="N148" s="164" t="str">
        <f>CONCATENATE(Tabla1[[#This Row],[Simbología**]],"_",Tabla1[[#This Row],[Sub Acción Especifica]])</f>
        <v>KKIN_40_RHO Modificación de Datos</v>
      </c>
      <c r="O148" s="163" t="s">
        <v>2670</v>
      </c>
      <c r="P148" s="162" t="s">
        <v>2363</v>
      </c>
      <c r="Q148" s="164" t="str">
        <f>CONCATENATE(Tabla1[[#This Row],[Simbología*]],"_",Tabla1[[#This Row],[Tipo de instalación relacionado]])</f>
        <v>KKKIN_51_Establecimientos de Venta al Público (Líquidos y/o GLP)</v>
      </c>
      <c r="R148" s="165">
        <v>2</v>
      </c>
      <c r="S148" s="165">
        <v>3</v>
      </c>
      <c r="T148" s="166">
        <f>IFERROR(AVERAGE(Tabla1[[#This Row],[T. Mínimo]],Tabla1[[#This Row],[T. Máximo]]),0)</f>
        <v>2.5</v>
      </c>
      <c r="U148" s="167">
        <v>0</v>
      </c>
      <c r="V148" s="167">
        <v>0</v>
      </c>
      <c r="W148" s="166">
        <f>IFERROR(AVERAGE(Tabla1[[#This Row],[T. Mínimo*]],Tabla1[[#This Row],[T. Máximo*]]),0)</f>
        <v>0</v>
      </c>
      <c r="X148" s="167">
        <v>2</v>
      </c>
      <c r="Y148" s="167">
        <v>3</v>
      </c>
      <c r="Z148" s="166">
        <f>IFERROR(AVERAGE(Tabla1[[#This Row],[T. Mínimo**]],Tabla1[[#This Row],[T. Máximo**]]),0)</f>
        <v>2.5</v>
      </c>
      <c r="AA148" s="168">
        <f>SUM(Tabla1[[#This Row],[Promedio]],Tabla1[[#This Row],[Promedio*]],Tabla1[[#This Row],[Promedio**]])</f>
        <v>5</v>
      </c>
      <c r="AB148" s="169" t="s">
        <v>2491</v>
      </c>
      <c r="AD148" s="20" t="s">
        <v>2395</v>
      </c>
      <c r="AE148" s="10" t="s">
        <v>163</v>
      </c>
      <c r="AF148" s="20" t="s">
        <v>172</v>
      </c>
      <c r="AG148" s="10"/>
      <c r="AH148" s="22" t="str">
        <f t="shared" si="4"/>
        <v>Áncash_09 Corongo</v>
      </c>
      <c r="AI148" s="10" t="s">
        <v>355</v>
      </c>
      <c r="AJ148" s="20" t="s">
        <v>240</v>
      </c>
      <c r="AK148" s="22" t="str">
        <f t="shared" si="5"/>
        <v>Áncash_09 Corongo_01 Corongo</v>
      </c>
      <c r="AL148" s="25">
        <v>4</v>
      </c>
      <c r="AM148" s="25">
        <v>53</v>
      </c>
      <c r="AN148" s="26">
        <f>Tabla2[[#This Row],[Minutos]]/60</f>
        <v>0.8833333333333333</v>
      </c>
      <c r="AO148" s="27">
        <f>SUM(Tabla2[[#This Row],[Horas]],Tabla2[[#This Row],[Minutos a Horas]])</f>
        <v>4.8833333333333329</v>
      </c>
      <c r="AP148" s="49">
        <v>7</v>
      </c>
      <c r="AQ148" s="49">
        <v>0</v>
      </c>
      <c r="AR148" s="26">
        <f>Tabla2[[#This Row],[Minutos*]]/60</f>
        <v>0</v>
      </c>
      <c r="AS148" s="27">
        <f>SUM(Tabla2[[#This Row],[Horas*]],Tabla2[[#This Row],[Minutos a Horas*]])+(Tabla2[[#This Row],[Tiempo Total a Nivel Proncincial (Horas)]])</f>
        <v>11.883333333333333</v>
      </c>
      <c r="AV148" s="62"/>
    </row>
    <row r="149" spans="2:48" ht="60" customHeight="1" x14ac:dyDescent="0.25">
      <c r="B149" s="78" t="s">
        <v>2314</v>
      </c>
      <c r="C149" s="199" t="s">
        <v>4</v>
      </c>
      <c r="D149" s="162" t="s">
        <v>2497</v>
      </c>
      <c r="E149" s="162"/>
      <c r="F149" s="162" t="str">
        <f>CONCATENATE(Tabla1[[#This Row],[Simbología]],"_",Tabla1[[#This Row],[Acción]])</f>
        <v>AAA_Administración y otorgamiento del Registro de Hidrocarburos en toda la cadena</v>
      </c>
      <c r="G149" s="162" t="s">
        <v>14</v>
      </c>
      <c r="H149" s="161" t="s">
        <v>2548</v>
      </c>
      <c r="I149" s="163"/>
      <c r="J149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9" s="208" t="s">
        <v>2612</v>
      </c>
      <c r="L149" s="162" t="s">
        <v>2550</v>
      </c>
      <c r="M149" s="170"/>
      <c r="N149" s="164" t="str">
        <f>CONCATENATE(Tabla1[[#This Row],[Simbología**]],"_",Tabla1[[#This Row],[Sub Acción Especifica]])</f>
        <v>KKIN_40_RHO Modificación de Datos</v>
      </c>
      <c r="O149" s="163" t="s">
        <v>2670</v>
      </c>
      <c r="P149" s="162" t="s">
        <v>2366</v>
      </c>
      <c r="Q149" s="164" t="str">
        <f>CONCATENATE(Tabla1[[#This Row],[Simbología*]],"_",Tabla1[[#This Row],[Tipo de instalación relacionado]])</f>
        <v>KKKIN_51_Establecimientos (GNV o GNC o GNL)</v>
      </c>
      <c r="R149" s="165">
        <v>2</v>
      </c>
      <c r="S149" s="165">
        <v>3</v>
      </c>
      <c r="T149" s="166">
        <f>IFERROR(AVERAGE(Tabla1[[#This Row],[T. Mínimo]],Tabla1[[#This Row],[T. Máximo]]),0)</f>
        <v>2.5</v>
      </c>
      <c r="U149" s="167">
        <v>0</v>
      </c>
      <c r="V149" s="167">
        <v>0</v>
      </c>
      <c r="W149" s="166">
        <f>IFERROR(AVERAGE(Tabla1[[#This Row],[T. Mínimo*]],Tabla1[[#This Row],[T. Máximo*]]),0)</f>
        <v>0</v>
      </c>
      <c r="X149" s="167">
        <v>2</v>
      </c>
      <c r="Y149" s="167">
        <v>3</v>
      </c>
      <c r="Z149" s="166">
        <f>IFERROR(AVERAGE(Tabla1[[#This Row],[T. Mínimo**]],Tabla1[[#This Row],[T. Máximo**]]),0)</f>
        <v>2.5</v>
      </c>
      <c r="AA149" s="168">
        <f>SUM(Tabla1[[#This Row],[Promedio]],Tabla1[[#This Row],[Promedio*]],Tabla1[[#This Row],[Promedio**]])</f>
        <v>5</v>
      </c>
      <c r="AB149" s="169" t="s">
        <v>2491</v>
      </c>
      <c r="AD149" s="20" t="s">
        <v>2395</v>
      </c>
      <c r="AE149" s="10" t="s">
        <v>163</v>
      </c>
      <c r="AF149" s="20" t="s">
        <v>172</v>
      </c>
      <c r="AG149" s="10"/>
      <c r="AH149" s="22" t="str">
        <f t="shared" si="4"/>
        <v>Áncash_09 Corongo</v>
      </c>
      <c r="AI149" s="10" t="s">
        <v>355</v>
      </c>
      <c r="AJ149" s="20" t="s">
        <v>241</v>
      </c>
      <c r="AK149" s="22" t="str">
        <f t="shared" si="5"/>
        <v>Áncash_09 Corongo_02 Aco</v>
      </c>
      <c r="AL149" s="25">
        <v>4</v>
      </c>
      <c r="AM149" s="25">
        <v>53</v>
      </c>
      <c r="AN149" s="26">
        <f>Tabla2[[#This Row],[Minutos]]/60</f>
        <v>0.8833333333333333</v>
      </c>
      <c r="AO149" s="27">
        <f>SUM(Tabla2[[#This Row],[Horas]],Tabla2[[#This Row],[Minutos a Horas]])</f>
        <v>4.8833333333333329</v>
      </c>
      <c r="AP149" s="49">
        <v>7</v>
      </c>
      <c r="AQ149" s="49">
        <v>30</v>
      </c>
      <c r="AR149" s="26">
        <f>Tabla2[[#This Row],[Minutos*]]/60</f>
        <v>0.5</v>
      </c>
      <c r="AS149" s="27">
        <f>SUM(Tabla2[[#This Row],[Horas*]],Tabla2[[#This Row],[Minutos a Horas*]])+(Tabla2[[#This Row],[Tiempo Total a Nivel Proncincial (Horas)]])</f>
        <v>12.383333333333333</v>
      </c>
      <c r="AV149" s="62"/>
    </row>
    <row r="150" spans="2:48" ht="60" customHeight="1" x14ac:dyDescent="0.25">
      <c r="B150" s="78" t="s">
        <v>2314</v>
      </c>
      <c r="C150" s="199" t="s">
        <v>4</v>
      </c>
      <c r="D150" s="162" t="s">
        <v>2497</v>
      </c>
      <c r="E150" s="162"/>
      <c r="F150" s="162" t="str">
        <f>CONCATENATE(Tabla1[[#This Row],[Simbología]],"_",Tabla1[[#This Row],[Acción]])</f>
        <v>AAA_Administración y otorgamiento del Registro de Hidrocarburos en toda la cadena</v>
      </c>
      <c r="G150" s="162" t="s">
        <v>14</v>
      </c>
      <c r="H150" s="161" t="s">
        <v>2548</v>
      </c>
      <c r="I150" s="163"/>
      <c r="J150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0" s="208" t="s">
        <v>2612</v>
      </c>
      <c r="L150" s="162" t="s">
        <v>2550</v>
      </c>
      <c r="M150" s="170"/>
      <c r="N150" s="164" t="str">
        <f>CONCATENATE(Tabla1[[#This Row],[Simbología**]],"_",Tabla1[[#This Row],[Sub Acción Especifica]])</f>
        <v>KKIN_40_RHO Modificación de Datos</v>
      </c>
      <c r="O150" s="163" t="s">
        <v>2670</v>
      </c>
      <c r="P150" s="162" t="s">
        <v>8</v>
      </c>
      <c r="Q150" s="164" t="str">
        <f>CONCATENATE(Tabla1[[#This Row],[Simbología*]],"_",Tabla1[[#This Row],[Tipo de instalación relacionado]])</f>
        <v>KKKIN_51_Consumidores Directos de CL y/u OPDH</v>
      </c>
      <c r="R150" s="165">
        <v>2.5</v>
      </c>
      <c r="S150" s="165">
        <v>3.5</v>
      </c>
      <c r="T150" s="166">
        <f>IFERROR(AVERAGE(Tabla1[[#This Row],[T. Mínimo]],Tabla1[[#This Row],[T. Máximo]]),0)</f>
        <v>3</v>
      </c>
      <c r="U150" s="167">
        <v>0</v>
      </c>
      <c r="V150" s="167">
        <v>0</v>
      </c>
      <c r="W150" s="166">
        <f>IFERROR(AVERAGE(Tabla1[[#This Row],[T. Mínimo*]],Tabla1[[#This Row],[T. Máximo*]]),0)</f>
        <v>0</v>
      </c>
      <c r="X150" s="167">
        <v>2</v>
      </c>
      <c r="Y150" s="167">
        <v>3</v>
      </c>
      <c r="Z150" s="166">
        <f>IFERROR(AVERAGE(Tabla1[[#This Row],[T. Mínimo**]],Tabla1[[#This Row],[T. Máximo**]]),0)</f>
        <v>2.5</v>
      </c>
      <c r="AA150" s="168">
        <f>SUM(Tabla1[[#This Row],[Promedio]],Tabla1[[#This Row],[Promedio*]],Tabla1[[#This Row],[Promedio**]])</f>
        <v>5.5</v>
      </c>
      <c r="AB150" s="169" t="s">
        <v>2491</v>
      </c>
      <c r="AD150" s="20" t="s">
        <v>2395</v>
      </c>
      <c r="AE150" s="10" t="s">
        <v>163</v>
      </c>
      <c r="AF150" s="20" t="s">
        <v>172</v>
      </c>
      <c r="AG150" s="10"/>
      <c r="AH150" s="22" t="str">
        <f t="shared" si="4"/>
        <v>Áncash_09 Corongo</v>
      </c>
      <c r="AI150" s="10" t="s">
        <v>355</v>
      </c>
      <c r="AJ150" s="20" t="s">
        <v>242</v>
      </c>
      <c r="AK150" s="22" t="str">
        <f t="shared" si="5"/>
        <v>Áncash_09 Corongo_03 Bambas</v>
      </c>
      <c r="AL150" s="25">
        <v>4</v>
      </c>
      <c r="AM150" s="25">
        <v>53</v>
      </c>
      <c r="AN150" s="26">
        <f>Tabla2[[#This Row],[Minutos]]/60</f>
        <v>0.8833333333333333</v>
      </c>
      <c r="AO150" s="27">
        <f>SUM(Tabla2[[#This Row],[Horas]],Tabla2[[#This Row],[Minutos a Horas]])</f>
        <v>4.8833333333333329</v>
      </c>
      <c r="AP150" s="49">
        <v>7</v>
      </c>
      <c r="AQ150" s="49">
        <v>0</v>
      </c>
      <c r="AR150" s="26">
        <f>Tabla2[[#This Row],[Minutos*]]/60</f>
        <v>0</v>
      </c>
      <c r="AS150" s="27">
        <f>SUM(Tabla2[[#This Row],[Horas*]],Tabla2[[#This Row],[Minutos a Horas*]])+(Tabla2[[#This Row],[Tiempo Total a Nivel Proncincial (Horas)]])</f>
        <v>11.883333333333333</v>
      </c>
      <c r="AV150" s="62"/>
    </row>
    <row r="151" spans="2:48" ht="60" customHeight="1" x14ac:dyDescent="0.25">
      <c r="B151" s="78" t="s">
        <v>2314</v>
      </c>
      <c r="C151" s="199" t="s">
        <v>4</v>
      </c>
      <c r="D151" s="162" t="s">
        <v>2497</v>
      </c>
      <c r="E151" s="162"/>
      <c r="F151" s="162" t="str">
        <f>CONCATENATE(Tabla1[[#This Row],[Simbología]],"_",Tabla1[[#This Row],[Acción]])</f>
        <v>AAA_Administración y otorgamiento del Registro de Hidrocarburos en toda la cadena</v>
      </c>
      <c r="G151" s="162" t="s">
        <v>14</v>
      </c>
      <c r="H151" s="161" t="s">
        <v>2548</v>
      </c>
      <c r="I151" s="163"/>
      <c r="J151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1" s="208" t="s">
        <v>2612</v>
      </c>
      <c r="L151" s="162" t="s">
        <v>2550</v>
      </c>
      <c r="M151" s="170"/>
      <c r="N151" s="164" t="str">
        <f>CONCATENATE(Tabla1[[#This Row],[Simbología**]],"_",Tabla1[[#This Row],[Sub Acción Especifica]])</f>
        <v>KKIN_40_RHO Modificación de Datos</v>
      </c>
      <c r="O151" s="163" t="s">
        <v>2670</v>
      </c>
      <c r="P151" s="162" t="s">
        <v>22</v>
      </c>
      <c r="Q151" s="164" t="str">
        <f>CONCATENATE(Tabla1[[#This Row],[Simbología*]],"_",Tabla1[[#This Row],[Tipo de instalación relacionado]])</f>
        <v>KKKIN_51_Consumidores Directos GLP y Redes de Distribución</v>
      </c>
      <c r="R151" s="165">
        <v>1.5</v>
      </c>
      <c r="S151" s="165">
        <v>2.5</v>
      </c>
      <c r="T151" s="166">
        <f>IFERROR(AVERAGE(Tabla1[[#This Row],[T. Mínimo]],Tabla1[[#This Row],[T. Máximo]]),0)</f>
        <v>2</v>
      </c>
      <c r="U151" s="167">
        <v>0</v>
      </c>
      <c r="V151" s="167">
        <v>0</v>
      </c>
      <c r="W151" s="166">
        <f>IFERROR(AVERAGE(Tabla1[[#This Row],[T. Mínimo*]],Tabla1[[#This Row],[T. Máximo*]]),0)</f>
        <v>0</v>
      </c>
      <c r="X151" s="167">
        <v>1.5</v>
      </c>
      <c r="Y151" s="167">
        <v>2.5</v>
      </c>
      <c r="Z151" s="166">
        <f>IFERROR(AVERAGE(Tabla1[[#This Row],[T. Mínimo**]],Tabla1[[#This Row],[T. Máximo**]]),0)</f>
        <v>2</v>
      </c>
      <c r="AA151" s="168">
        <f>SUM(Tabla1[[#This Row],[Promedio]],Tabla1[[#This Row],[Promedio*]],Tabla1[[#This Row],[Promedio**]])</f>
        <v>4</v>
      </c>
      <c r="AB151" s="169" t="s">
        <v>2491</v>
      </c>
      <c r="AD151" s="20" t="s">
        <v>2395</v>
      </c>
      <c r="AE151" s="10" t="s">
        <v>163</v>
      </c>
      <c r="AF151" s="20" t="s">
        <v>172</v>
      </c>
      <c r="AG151" s="10"/>
      <c r="AH151" s="22" t="str">
        <f t="shared" si="4"/>
        <v>Áncash_09 Corongo</v>
      </c>
      <c r="AI151" s="10" t="s">
        <v>355</v>
      </c>
      <c r="AJ151" s="20" t="s">
        <v>243</v>
      </c>
      <c r="AK151" s="22" t="str">
        <f t="shared" si="5"/>
        <v>Áncash_09 Corongo_04 Cusca</v>
      </c>
      <c r="AL151" s="25">
        <v>4</v>
      </c>
      <c r="AM151" s="25">
        <v>53</v>
      </c>
      <c r="AN151" s="26">
        <f>Tabla2[[#This Row],[Minutos]]/60</f>
        <v>0.8833333333333333</v>
      </c>
      <c r="AO151" s="27">
        <f>SUM(Tabla2[[#This Row],[Horas]],Tabla2[[#This Row],[Minutos a Horas]])</f>
        <v>4.8833333333333329</v>
      </c>
      <c r="AP151" s="49">
        <v>7</v>
      </c>
      <c r="AQ151" s="49">
        <v>0</v>
      </c>
      <c r="AR151" s="26">
        <f>Tabla2[[#This Row],[Minutos*]]/60</f>
        <v>0</v>
      </c>
      <c r="AS151" s="27">
        <f>SUM(Tabla2[[#This Row],[Horas*]],Tabla2[[#This Row],[Minutos a Horas*]])+(Tabla2[[#This Row],[Tiempo Total a Nivel Proncincial (Horas)]])</f>
        <v>11.883333333333333</v>
      </c>
      <c r="AV151" s="62"/>
    </row>
    <row r="152" spans="2:48" ht="42.75" customHeight="1" x14ac:dyDescent="0.25">
      <c r="B152" s="78" t="s">
        <v>2314</v>
      </c>
      <c r="C152" s="199" t="s">
        <v>4</v>
      </c>
      <c r="D152" s="162" t="s">
        <v>2497</v>
      </c>
      <c r="E152" s="162"/>
      <c r="F152" s="162" t="str">
        <f>CONCATENATE(Tabla1[[#This Row],[Simbología]],"_",Tabla1[[#This Row],[Acción]])</f>
        <v>AAA_Administración y otorgamiento del Registro de Hidrocarburos en toda la cadena</v>
      </c>
      <c r="G152" s="162" t="s">
        <v>14</v>
      </c>
      <c r="H152" s="161" t="s">
        <v>2548</v>
      </c>
      <c r="I152" s="163"/>
      <c r="J152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2" s="208" t="s">
        <v>2612</v>
      </c>
      <c r="L152" s="162" t="s">
        <v>2550</v>
      </c>
      <c r="M152" s="162"/>
      <c r="N152" s="164" t="str">
        <f>CONCATENATE(Tabla1[[#This Row],[Simbología**]],"_",Tabla1[[#This Row],[Sub Acción Especifica]])</f>
        <v>KKIN_40_RHO Modificación de Datos</v>
      </c>
      <c r="O152" s="163" t="s">
        <v>2670</v>
      </c>
      <c r="P152" s="162" t="s">
        <v>23</v>
      </c>
      <c r="Q152" s="164" t="str">
        <f>CONCATENATE(Tabla1[[#This Row],[Simbología*]],"_",Tabla1[[#This Row],[Tipo de instalación relacionado]])</f>
        <v>KKKIN_51_Medios de Transporte y Distribuidores (Líquidos, GLP)</v>
      </c>
      <c r="R152" s="165">
        <v>1</v>
      </c>
      <c r="S152" s="165">
        <v>2</v>
      </c>
      <c r="T152" s="166">
        <f>IFERROR(AVERAGE(Tabla1[[#This Row],[T. Mínimo]],Tabla1[[#This Row],[T. Máximo]]),0)</f>
        <v>1.5</v>
      </c>
      <c r="U152" s="167">
        <v>0</v>
      </c>
      <c r="V152" s="167">
        <v>0</v>
      </c>
      <c r="W152" s="166">
        <f>IFERROR(AVERAGE(Tabla1[[#This Row],[T. Mínimo*]],Tabla1[[#This Row],[T. Máximo*]]),0)</f>
        <v>0</v>
      </c>
      <c r="X152" s="167">
        <v>1.5</v>
      </c>
      <c r="Y152" s="167">
        <v>2.5</v>
      </c>
      <c r="Z152" s="166">
        <f>IFERROR(AVERAGE(Tabla1[[#This Row],[T. Mínimo**]],Tabla1[[#This Row],[T. Máximo**]]),0)</f>
        <v>2</v>
      </c>
      <c r="AA152" s="168">
        <f>SUM(Tabla1[[#This Row],[Promedio]],Tabla1[[#This Row],[Promedio*]],Tabla1[[#This Row],[Promedio**]])</f>
        <v>3.5</v>
      </c>
      <c r="AB152" s="169" t="s">
        <v>2491</v>
      </c>
      <c r="AD152" s="20" t="s">
        <v>2395</v>
      </c>
      <c r="AE152" s="10" t="s">
        <v>163</v>
      </c>
      <c r="AF152" s="20" t="s">
        <v>172</v>
      </c>
      <c r="AG152" s="10"/>
      <c r="AH152" s="22" t="str">
        <f t="shared" si="4"/>
        <v>Áncash_09 Corongo</v>
      </c>
      <c r="AI152" s="10" t="s">
        <v>355</v>
      </c>
      <c r="AJ152" s="20" t="s">
        <v>244</v>
      </c>
      <c r="AK152" s="22" t="str">
        <f t="shared" si="5"/>
        <v>Áncash_09 Corongo_05 La Pampa</v>
      </c>
      <c r="AL152" s="25">
        <v>4</v>
      </c>
      <c r="AM152" s="25">
        <v>53</v>
      </c>
      <c r="AN152" s="26">
        <f>Tabla2[[#This Row],[Minutos]]/60</f>
        <v>0.8833333333333333</v>
      </c>
      <c r="AO152" s="27">
        <f>SUM(Tabla2[[#This Row],[Horas]],Tabla2[[#This Row],[Minutos a Horas]])</f>
        <v>4.8833333333333329</v>
      </c>
      <c r="AP152" s="49">
        <v>5</v>
      </c>
      <c r="AQ152" s="49">
        <v>0</v>
      </c>
      <c r="AR152" s="26">
        <f>Tabla2[[#This Row],[Minutos*]]/60</f>
        <v>0</v>
      </c>
      <c r="AS152" s="27">
        <f>SUM(Tabla2[[#This Row],[Horas*]],Tabla2[[#This Row],[Minutos a Horas*]])+(Tabla2[[#This Row],[Tiempo Total a Nivel Proncincial (Horas)]])</f>
        <v>9.8833333333333329</v>
      </c>
      <c r="AV152" s="62"/>
    </row>
    <row r="153" spans="2:48" ht="42.75" customHeight="1" x14ac:dyDescent="0.25">
      <c r="B153" s="78" t="s">
        <v>2314</v>
      </c>
      <c r="C153" s="199" t="s">
        <v>4</v>
      </c>
      <c r="D153" s="162" t="s">
        <v>2497</v>
      </c>
      <c r="E153" s="162"/>
      <c r="F153" s="162" t="str">
        <f>CONCATENATE(Tabla1[[#This Row],[Simbología]],"_",Tabla1[[#This Row],[Acción]])</f>
        <v>AAA_Administración y otorgamiento del Registro de Hidrocarburos en toda la cadena</v>
      </c>
      <c r="G153" s="162" t="s">
        <v>14</v>
      </c>
      <c r="H153" s="161" t="s">
        <v>2548</v>
      </c>
      <c r="I153" s="163"/>
      <c r="J153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3" s="208" t="s">
        <v>2612</v>
      </c>
      <c r="L153" s="162" t="s">
        <v>2550</v>
      </c>
      <c r="M153" s="162"/>
      <c r="N153" s="164" t="str">
        <f>CONCATENATE(Tabla1[[#This Row],[Simbología**]],"_",Tabla1[[#This Row],[Sub Acción Especifica]])</f>
        <v>KKIN_40_RHO Modificación de Datos</v>
      </c>
      <c r="O153" s="163" t="s">
        <v>2670</v>
      </c>
      <c r="P153" s="162" t="s">
        <v>24</v>
      </c>
      <c r="Q153" s="164" t="str">
        <f>CONCATENATE(Tabla1[[#This Row],[Simbología*]],"_",Tabla1[[#This Row],[Tipo de instalación relacionado]])</f>
        <v>KKKIN_51_Locales de Venta de GLP</v>
      </c>
      <c r="R153" s="165">
        <v>1.5</v>
      </c>
      <c r="S153" s="165">
        <v>2.5</v>
      </c>
      <c r="T153" s="166">
        <f>IFERROR(AVERAGE(Tabla1[[#This Row],[T. Mínimo]],Tabla1[[#This Row],[T. Máximo]]),0)</f>
        <v>2</v>
      </c>
      <c r="U153" s="167">
        <v>0</v>
      </c>
      <c r="V153" s="167">
        <v>0</v>
      </c>
      <c r="W153" s="166">
        <f>IFERROR(AVERAGE(Tabla1[[#This Row],[T. Mínimo*]],Tabla1[[#This Row],[T. Máximo*]]),0)</f>
        <v>0</v>
      </c>
      <c r="X153" s="167">
        <v>1.5</v>
      </c>
      <c r="Y153" s="167">
        <v>2.5</v>
      </c>
      <c r="Z153" s="166">
        <f>IFERROR(AVERAGE(Tabla1[[#This Row],[T. Mínimo**]],Tabla1[[#This Row],[T. Máximo**]]),0)</f>
        <v>2</v>
      </c>
      <c r="AA153" s="168">
        <f>SUM(Tabla1[[#This Row],[Promedio]],Tabla1[[#This Row],[Promedio*]],Tabla1[[#This Row],[Promedio**]])</f>
        <v>4</v>
      </c>
      <c r="AB153" s="169" t="s">
        <v>2491</v>
      </c>
      <c r="AD153" s="20" t="s">
        <v>2395</v>
      </c>
      <c r="AE153" s="10" t="s">
        <v>163</v>
      </c>
      <c r="AF153" s="20" t="s">
        <v>172</v>
      </c>
      <c r="AG153" s="10"/>
      <c r="AH153" s="22" t="str">
        <f t="shared" si="4"/>
        <v>Áncash_09 Corongo</v>
      </c>
      <c r="AI153" s="10" t="s">
        <v>355</v>
      </c>
      <c r="AJ153" s="20" t="s">
        <v>245</v>
      </c>
      <c r="AK153" s="22" t="str">
        <f t="shared" si="5"/>
        <v>Áncash_09 Corongo_06 Yanac</v>
      </c>
      <c r="AL153" s="25">
        <v>4</v>
      </c>
      <c r="AM153" s="25">
        <v>53</v>
      </c>
      <c r="AN153" s="26">
        <f>Tabla2[[#This Row],[Minutos]]/60</f>
        <v>0.8833333333333333</v>
      </c>
      <c r="AO153" s="27">
        <f>SUM(Tabla2[[#This Row],[Horas]],Tabla2[[#This Row],[Minutos a Horas]])</f>
        <v>4.8833333333333329</v>
      </c>
      <c r="AP153" s="49">
        <v>5</v>
      </c>
      <c r="AQ153" s="49">
        <v>0</v>
      </c>
      <c r="AR153" s="26">
        <f>Tabla2[[#This Row],[Minutos*]]/60</f>
        <v>0</v>
      </c>
      <c r="AS153" s="27">
        <f>SUM(Tabla2[[#This Row],[Horas*]],Tabla2[[#This Row],[Minutos a Horas*]])+(Tabla2[[#This Row],[Tiempo Total a Nivel Proncincial (Horas)]])</f>
        <v>9.8833333333333329</v>
      </c>
      <c r="AV153" s="62"/>
    </row>
    <row r="154" spans="2:48" ht="42.75" customHeight="1" x14ac:dyDescent="0.25">
      <c r="B154" s="78" t="s">
        <v>2314</v>
      </c>
      <c r="C154" s="199" t="s">
        <v>4</v>
      </c>
      <c r="D154" s="162" t="s">
        <v>2497</v>
      </c>
      <c r="E154" s="162"/>
      <c r="F154" s="162" t="str">
        <f>CONCATENATE(Tabla1[[#This Row],[Simbología]],"_",Tabla1[[#This Row],[Acción]])</f>
        <v>AAA_Administración y otorgamiento del Registro de Hidrocarburos en toda la cadena</v>
      </c>
      <c r="G154" s="162" t="s">
        <v>14</v>
      </c>
      <c r="H154" s="161" t="s">
        <v>2548</v>
      </c>
      <c r="I154" s="163"/>
      <c r="J154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4" s="208" t="s">
        <v>2612</v>
      </c>
      <c r="L154" s="162" t="s">
        <v>2550</v>
      </c>
      <c r="M154" s="162"/>
      <c r="N154" s="164" t="str">
        <f>CONCATENATE(Tabla1[[#This Row],[Simbología**]],"_",Tabla1[[#This Row],[Sub Acción Especifica]])</f>
        <v>KKIN_40_RHO Modificación de Datos</v>
      </c>
      <c r="O154" s="163" t="s">
        <v>2670</v>
      </c>
      <c r="P154" s="162" t="s">
        <v>25</v>
      </c>
      <c r="Q154" s="164" t="str">
        <f>CONCATENATE(Tabla1[[#This Row],[Simbología*]],"_",Tabla1[[#This Row],[Tipo de instalación relacionado]])</f>
        <v>KKKIN_51_Unidades Mayores</v>
      </c>
      <c r="R154" s="165">
        <v>1.5</v>
      </c>
      <c r="S154" s="165">
        <v>2.5</v>
      </c>
      <c r="T154" s="166">
        <f>IFERROR(AVERAGE(Tabla1[[#This Row],[T. Mínimo]],Tabla1[[#This Row],[T. Máximo]]),0)</f>
        <v>2</v>
      </c>
      <c r="U154" s="167">
        <v>0</v>
      </c>
      <c r="V154" s="167">
        <v>0</v>
      </c>
      <c r="W154" s="166">
        <f>IFERROR(AVERAGE(Tabla1[[#This Row],[T. Mínimo*]],Tabla1[[#This Row],[T. Máximo*]]),0)</f>
        <v>0</v>
      </c>
      <c r="X154" s="167">
        <v>1.5</v>
      </c>
      <c r="Y154" s="167">
        <v>2.5</v>
      </c>
      <c r="Z154" s="166">
        <f>IFERROR(AVERAGE(Tabla1[[#This Row],[T. Mínimo**]],Tabla1[[#This Row],[T. Máximo**]]),0)</f>
        <v>2</v>
      </c>
      <c r="AA154" s="168">
        <f>SUM(Tabla1[[#This Row],[Promedio]],Tabla1[[#This Row],[Promedio*]],Tabla1[[#This Row],[Promedio**]])</f>
        <v>4</v>
      </c>
      <c r="AB154" s="169" t="s">
        <v>2491</v>
      </c>
      <c r="AD154" s="20" t="s">
        <v>2395</v>
      </c>
      <c r="AE154" s="10" t="s">
        <v>163</v>
      </c>
      <c r="AF154" s="20" t="s">
        <v>172</v>
      </c>
      <c r="AG154" s="10"/>
      <c r="AH154" s="22" t="str">
        <f t="shared" si="4"/>
        <v>Áncash_09 Corongo</v>
      </c>
      <c r="AI154" s="10" t="s">
        <v>355</v>
      </c>
      <c r="AJ154" s="20" t="s">
        <v>246</v>
      </c>
      <c r="AK154" s="22" t="str">
        <f t="shared" si="5"/>
        <v>Áncash_09 Corongo_07 Yupan</v>
      </c>
      <c r="AL154" s="25">
        <v>4</v>
      </c>
      <c r="AM154" s="25">
        <v>53</v>
      </c>
      <c r="AN154" s="26">
        <f>Tabla2[[#This Row],[Minutos]]/60</f>
        <v>0.8833333333333333</v>
      </c>
      <c r="AO154" s="27">
        <f>SUM(Tabla2[[#This Row],[Horas]],Tabla2[[#This Row],[Minutos a Horas]])</f>
        <v>4.8833333333333329</v>
      </c>
      <c r="AP154" s="49">
        <v>7</v>
      </c>
      <c r="AQ154" s="49">
        <v>0</v>
      </c>
      <c r="AR154" s="26">
        <f>Tabla2[[#This Row],[Minutos*]]/60</f>
        <v>0</v>
      </c>
      <c r="AS154" s="27">
        <f>SUM(Tabla2[[#This Row],[Horas*]],Tabla2[[#This Row],[Minutos a Horas*]])+(Tabla2[[#This Row],[Tiempo Total a Nivel Proncincial (Horas)]])</f>
        <v>11.883333333333333</v>
      </c>
      <c r="AV154" s="62"/>
    </row>
    <row r="155" spans="2:48" ht="42.75" customHeight="1" x14ac:dyDescent="0.25">
      <c r="B155" s="78" t="s">
        <v>2314</v>
      </c>
      <c r="C155" s="199" t="s">
        <v>4</v>
      </c>
      <c r="D155" s="162" t="s">
        <v>2497</v>
      </c>
      <c r="E155" s="162"/>
      <c r="F155" s="162" t="str">
        <f>CONCATENATE(Tabla1[[#This Row],[Simbología]],"_",Tabla1[[#This Row],[Acción]])</f>
        <v>AAA_Administración y otorgamiento del Registro de Hidrocarburos en toda la cadena</v>
      </c>
      <c r="G155" s="162" t="s">
        <v>14</v>
      </c>
      <c r="H155" s="162" t="s">
        <v>2548</v>
      </c>
      <c r="I155" s="163"/>
      <c r="J155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5" s="208" t="s">
        <v>2612</v>
      </c>
      <c r="L155" s="162" t="s">
        <v>2369</v>
      </c>
      <c r="M155" s="162"/>
      <c r="N155" s="164" t="str">
        <f>CONCATENATE(Tabla1[[#This Row],[Simbología**]],"_",Tabla1[[#This Row],[Sub Acción Especifica]])</f>
        <v>KKIN_40_Suspensión del RHO</v>
      </c>
      <c r="O155" s="163" t="s">
        <v>2671</v>
      </c>
      <c r="P155" s="162" t="s">
        <v>2363</v>
      </c>
      <c r="Q155" s="164" t="str">
        <f>CONCATENATE(Tabla1[[#This Row],[Simbología*]],"_",Tabla1[[#This Row],[Tipo de instalación relacionado]])</f>
        <v>KKKIN_52_Establecimientos de Venta al Público (Líquidos y/o GLP)</v>
      </c>
      <c r="R155" s="165">
        <v>2</v>
      </c>
      <c r="S155" s="165">
        <v>3</v>
      </c>
      <c r="T155" s="166">
        <f>IFERROR(AVERAGE(Tabla1[[#This Row],[T. Mínimo]],Tabla1[[#This Row],[T. Máximo]]),0)</f>
        <v>2.5</v>
      </c>
      <c r="U155" s="167">
        <v>0</v>
      </c>
      <c r="V155" s="167">
        <v>0</v>
      </c>
      <c r="W155" s="166">
        <f>IFERROR(AVERAGE(Tabla1[[#This Row],[T. Mínimo*]],Tabla1[[#This Row],[T. Máximo*]]),0)</f>
        <v>0</v>
      </c>
      <c r="X155" s="167">
        <v>2</v>
      </c>
      <c r="Y155" s="167">
        <v>3</v>
      </c>
      <c r="Z155" s="166">
        <f>IFERROR(AVERAGE(Tabla1[[#This Row],[T. Mínimo**]],Tabla1[[#This Row],[T. Máximo**]]),0)</f>
        <v>2.5</v>
      </c>
      <c r="AA155" s="168">
        <f>SUM(Tabla1[[#This Row],[Promedio]],Tabla1[[#This Row],[Promedio*]],Tabla1[[#This Row],[Promedio**]])</f>
        <v>5</v>
      </c>
      <c r="AB155" s="169" t="s">
        <v>2491</v>
      </c>
      <c r="AD155" s="20" t="s">
        <v>2395</v>
      </c>
      <c r="AE155" s="10" t="s">
        <v>163</v>
      </c>
      <c r="AF155" s="20" t="s">
        <v>173</v>
      </c>
      <c r="AG155" s="10"/>
      <c r="AH155" s="22" t="str">
        <f t="shared" si="4"/>
        <v>Áncash_10 Huari</v>
      </c>
      <c r="AI155" s="10" t="s">
        <v>356</v>
      </c>
      <c r="AJ155" s="20" t="s">
        <v>247</v>
      </c>
      <c r="AK155" s="22" t="str">
        <f t="shared" si="5"/>
        <v>Áncash_10 Huari_01 Huari</v>
      </c>
      <c r="AL155" s="25">
        <v>3</v>
      </c>
      <c r="AM155" s="25">
        <v>11</v>
      </c>
      <c r="AN155" s="26">
        <f>Tabla2[[#This Row],[Minutos]]/60</f>
        <v>0.18333333333333332</v>
      </c>
      <c r="AO155" s="27">
        <f>SUM(Tabla2[[#This Row],[Horas]],Tabla2[[#This Row],[Minutos a Horas]])</f>
        <v>3.1833333333333331</v>
      </c>
      <c r="AP155" s="49">
        <v>4</v>
      </c>
      <c r="AQ155" s="49">
        <v>0</v>
      </c>
      <c r="AR155" s="26">
        <f>Tabla2[[#This Row],[Minutos*]]/60</f>
        <v>0</v>
      </c>
      <c r="AS155" s="27">
        <f>SUM(Tabla2[[#This Row],[Horas*]],Tabla2[[#This Row],[Minutos a Horas*]])+(Tabla2[[#This Row],[Tiempo Total a Nivel Proncincial (Horas)]])</f>
        <v>7.1833333333333336</v>
      </c>
      <c r="AV155" s="62"/>
    </row>
    <row r="156" spans="2:48" ht="42.75" customHeight="1" x14ac:dyDescent="0.25">
      <c r="B156" s="78" t="s">
        <v>2314</v>
      </c>
      <c r="C156" s="199" t="s">
        <v>4</v>
      </c>
      <c r="D156" s="162" t="s">
        <v>2497</v>
      </c>
      <c r="E156" s="162"/>
      <c r="F156" s="162" t="str">
        <f>CONCATENATE(Tabla1[[#This Row],[Simbología]],"_",Tabla1[[#This Row],[Acción]])</f>
        <v>AAA_Administración y otorgamiento del Registro de Hidrocarburos en toda la cadena</v>
      </c>
      <c r="G156" s="162" t="s">
        <v>14</v>
      </c>
      <c r="H156" s="162" t="s">
        <v>2548</v>
      </c>
      <c r="I156" s="163"/>
      <c r="J156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6" s="208" t="s">
        <v>2612</v>
      </c>
      <c r="L156" s="162" t="s">
        <v>2369</v>
      </c>
      <c r="M156" s="162"/>
      <c r="N156" s="164" t="str">
        <f>CONCATENATE(Tabla1[[#This Row],[Simbología**]],"_",Tabla1[[#This Row],[Sub Acción Especifica]])</f>
        <v>KKIN_40_Suspensión del RHO</v>
      </c>
      <c r="O156" s="163" t="s">
        <v>2671</v>
      </c>
      <c r="P156" s="162" t="s">
        <v>2366</v>
      </c>
      <c r="Q156" s="164" t="str">
        <f>CONCATENATE(Tabla1[[#This Row],[Simbología*]],"_",Tabla1[[#This Row],[Tipo de instalación relacionado]])</f>
        <v>KKKIN_52_Establecimientos (GNV o GNC o GNL)</v>
      </c>
      <c r="R156" s="165">
        <v>2</v>
      </c>
      <c r="S156" s="165">
        <v>3</v>
      </c>
      <c r="T156" s="166">
        <f>IFERROR(AVERAGE(Tabla1[[#This Row],[T. Mínimo]],Tabla1[[#This Row],[T. Máximo]]),0)</f>
        <v>2.5</v>
      </c>
      <c r="U156" s="167">
        <v>0</v>
      </c>
      <c r="V156" s="167">
        <v>0</v>
      </c>
      <c r="W156" s="166">
        <f>IFERROR(AVERAGE(Tabla1[[#This Row],[T. Mínimo*]],Tabla1[[#This Row],[T. Máximo*]]),0)</f>
        <v>0</v>
      </c>
      <c r="X156" s="167">
        <v>2</v>
      </c>
      <c r="Y156" s="167">
        <v>3</v>
      </c>
      <c r="Z156" s="166">
        <f>IFERROR(AVERAGE(Tabla1[[#This Row],[T. Mínimo**]],Tabla1[[#This Row],[T. Máximo**]]),0)</f>
        <v>2.5</v>
      </c>
      <c r="AA156" s="168">
        <f>SUM(Tabla1[[#This Row],[Promedio]],Tabla1[[#This Row],[Promedio*]],Tabla1[[#This Row],[Promedio**]])</f>
        <v>5</v>
      </c>
      <c r="AB156" s="169" t="s">
        <v>2491</v>
      </c>
      <c r="AD156" s="20" t="s">
        <v>2395</v>
      </c>
      <c r="AE156" s="10" t="s">
        <v>163</v>
      </c>
      <c r="AF156" s="20" t="s">
        <v>173</v>
      </c>
      <c r="AG156" s="10"/>
      <c r="AH156" s="22" t="str">
        <f t="shared" si="4"/>
        <v>Áncash_10 Huari</v>
      </c>
      <c r="AI156" s="10" t="s">
        <v>356</v>
      </c>
      <c r="AJ156" s="20" t="s">
        <v>248</v>
      </c>
      <c r="AK156" s="22" t="str">
        <f t="shared" si="5"/>
        <v>Áncash_10 Huari_02 Anra</v>
      </c>
      <c r="AL156" s="25">
        <v>3</v>
      </c>
      <c r="AM156" s="25">
        <v>11</v>
      </c>
      <c r="AN156" s="26">
        <f>Tabla2[[#This Row],[Minutos]]/60</f>
        <v>0.18333333333333332</v>
      </c>
      <c r="AO156" s="27">
        <f>SUM(Tabla2[[#This Row],[Horas]],Tabla2[[#This Row],[Minutos a Horas]])</f>
        <v>3.1833333333333331</v>
      </c>
      <c r="AP156" s="49">
        <v>7</v>
      </c>
      <c r="AQ156" s="49">
        <v>0</v>
      </c>
      <c r="AR156" s="26">
        <f>Tabla2[[#This Row],[Minutos*]]/60</f>
        <v>0</v>
      </c>
      <c r="AS156" s="27">
        <f>SUM(Tabla2[[#This Row],[Horas*]],Tabla2[[#This Row],[Minutos a Horas*]])+(Tabla2[[#This Row],[Tiempo Total a Nivel Proncincial (Horas)]])</f>
        <v>10.183333333333334</v>
      </c>
      <c r="AV156" s="62"/>
    </row>
    <row r="157" spans="2:48" ht="42.75" customHeight="1" x14ac:dyDescent="0.25">
      <c r="B157" s="78" t="s">
        <v>2314</v>
      </c>
      <c r="C157" s="199" t="s">
        <v>4</v>
      </c>
      <c r="D157" s="162" t="s">
        <v>2497</v>
      </c>
      <c r="E157" s="162"/>
      <c r="F157" s="162" t="str">
        <f>CONCATENATE(Tabla1[[#This Row],[Simbología]],"_",Tabla1[[#This Row],[Acción]])</f>
        <v>AAA_Administración y otorgamiento del Registro de Hidrocarburos en toda la cadena</v>
      </c>
      <c r="G157" s="162" t="s">
        <v>14</v>
      </c>
      <c r="H157" s="162" t="s">
        <v>2548</v>
      </c>
      <c r="I157" s="163"/>
      <c r="J157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7" s="208" t="s">
        <v>2612</v>
      </c>
      <c r="L157" s="162" t="s">
        <v>2369</v>
      </c>
      <c r="M157" s="162"/>
      <c r="N157" s="164" t="str">
        <f>CONCATENATE(Tabla1[[#This Row],[Simbología**]],"_",Tabla1[[#This Row],[Sub Acción Especifica]])</f>
        <v>KKIN_40_Suspensión del RHO</v>
      </c>
      <c r="O157" s="163" t="s">
        <v>2671</v>
      </c>
      <c r="P157" s="162" t="s">
        <v>8</v>
      </c>
      <c r="Q157" s="164" t="str">
        <f>CONCATENATE(Tabla1[[#This Row],[Simbología*]],"_",Tabla1[[#This Row],[Tipo de instalación relacionado]])</f>
        <v>KKKIN_52_Consumidores Directos de CL y/u OPDH</v>
      </c>
      <c r="R157" s="165">
        <v>2.5</v>
      </c>
      <c r="S157" s="165">
        <v>3.5</v>
      </c>
      <c r="T157" s="166">
        <f>IFERROR(AVERAGE(Tabla1[[#This Row],[T. Mínimo]],Tabla1[[#This Row],[T. Máximo]]),0)</f>
        <v>3</v>
      </c>
      <c r="U157" s="167">
        <v>0</v>
      </c>
      <c r="V157" s="167">
        <v>0</v>
      </c>
      <c r="W157" s="166">
        <f>IFERROR(AVERAGE(Tabla1[[#This Row],[T. Mínimo*]],Tabla1[[#This Row],[T. Máximo*]]),0)</f>
        <v>0</v>
      </c>
      <c r="X157" s="167">
        <v>2</v>
      </c>
      <c r="Y157" s="167">
        <v>3</v>
      </c>
      <c r="Z157" s="166">
        <f>IFERROR(AVERAGE(Tabla1[[#This Row],[T. Mínimo**]],Tabla1[[#This Row],[T. Máximo**]]),0)</f>
        <v>2.5</v>
      </c>
      <c r="AA157" s="168">
        <f>SUM(Tabla1[[#This Row],[Promedio]],Tabla1[[#This Row],[Promedio*]],Tabla1[[#This Row],[Promedio**]])</f>
        <v>5.5</v>
      </c>
      <c r="AB157" s="169" t="s">
        <v>2491</v>
      </c>
      <c r="AD157" s="20" t="s">
        <v>2395</v>
      </c>
      <c r="AE157" s="10" t="s">
        <v>163</v>
      </c>
      <c r="AF157" s="20" t="s">
        <v>173</v>
      </c>
      <c r="AG157" s="10"/>
      <c r="AH157" s="22" t="str">
        <f t="shared" si="4"/>
        <v>Áncash_10 Huari</v>
      </c>
      <c r="AI157" s="10" t="s">
        <v>356</v>
      </c>
      <c r="AJ157" s="20" t="s">
        <v>249</v>
      </c>
      <c r="AK157" s="22" t="str">
        <f t="shared" si="5"/>
        <v>Áncash_10 Huari_03 Cajay</v>
      </c>
      <c r="AL157" s="25">
        <v>3</v>
      </c>
      <c r="AM157" s="25">
        <v>11</v>
      </c>
      <c r="AN157" s="26">
        <f>Tabla2[[#This Row],[Minutos]]/60</f>
        <v>0.18333333333333332</v>
      </c>
      <c r="AO157" s="27">
        <f>SUM(Tabla2[[#This Row],[Horas]],Tabla2[[#This Row],[Minutos a Horas]])</f>
        <v>3.1833333333333331</v>
      </c>
      <c r="AP157" s="49">
        <v>4</v>
      </c>
      <c r="AQ157" s="49">
        <v>30</v>
      </c>
      <c r="AR157" s="26">
        <f>Tabla2[[#This Row],[Minutos*]]/60</f>
        <v>0.5</v>
      </c>
      <c r="AS157" s="27">
        <f>SUM(Tabla2[[#This Row],[Horas*]],Tabla2[[#This Row],[Minutos a Horas*]])+(Tabla2[[#This Row],[Tiempo Total a Nivel Proncincial (Horas)]])</f>
        <v>7.6833333333333336</v>
      </c>
      <c r="AV157" s="62"/>
    </row>
    <row r="158" spans="2:48" ht="42.75" customHeight="1" x14ac:dyDescent="0.25">
      <c r="B158" s="78" t="s">
        <v>2314</v>
      </c>
      <c r="C158" s="199" t="s">
        <v>4</v>
      </c>
      <c r="D158" s="162" t="s">
        <v>2497</v>
      </c>
      <c r="E158" s="162"/>
      <c r="F158" s="162" t="str">
        <f>CONCATENATE(Tabla1[[#This Row],[Simbología]],"_",Tabla1[[#This Row],[Acción]])</f>
        <v>AAA_Administración y otorgamiento del Registro de Hidrocarburos en toda la cadena</v>
      </c>
      <c r="G158" s="162" t="s">
        <v>14</v>
      </c>
      <c r="H158" s="162" t="s">
        <v>2548</v>
      </c>
      <c r="I158" s="163"/>
      <c r="J158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8" s="208" t="s">
        <v>2612</v>
      </c>
      <c r="L158" s="162" t="s">
        <v>2369</v>
      </c>
      <c r="M158" s="162"/>
      <c r="N158" s="164" t="str">
        <f>CONCATENATE(Tabla1[[#This Row],[Simbología**]],"_",Tabla1[[#This Row],[Sub Acción Especifica]])</f>
        <v>KKIN_40_Suspensión del RHO</v>
      </c>
      <c r="O158" s="163" t="s">
        <v>2671</v>
      </c>
      <c r="P158" s="162" t="s">
        <v>22</v>
      </c>
      <c r="Q158" s="164" t="str">
        <f>CONCATENATE(Tabla1[[#This Row],[Simbología*]],"_",Tabla1[[#This Row],[Tipo de instalación relacionado]])</f>
        <v>KKKIN_52_Consumidores Directos GLP y Redes de Distribución</v>
      </c>
      <c r="R158" s="165">
        <v>1.5</v>
      </c>
      <c r="S158" s="165">
        <v>2.5</v>
      </c>
      <c r="T158" s="166">
        <f>IFERROR(AVERAGE(Tabla1[[#This Row],[T. Mínimo]],Tabla1[[#This Row],[T. Máximo]]),0)</f>
        <v>2</v>
      </c>
      <c r="U158" s="167">
        <v>0</v>
      </c>
      <c r="V158" s="167">
        <v>0</v>
      </c>
      <c r="W158" s="166">
        <f>IFERROR(AVERAGE(Tabla1[[#This Row],[T. Mínimo*]],Tabla1[[#This Row],[T. Máximo*]]),0)</f>
        <v>0</v>
      </c>
      <c r="X158" s="167">
        <v>1.5</v>
      </c>
      <c r="Y158" s="167">
        <v>2.5</v>
      </c>
      <c r="Z158" s="166">
        <f>IFERROR(AVERAGE(Tabla1[[#This Row],[T. Mínimo**]],Tabla1[[#This Row],[T. Máximo**]]),0)</f>
        <v>2</v>
      </c>
      <c r="AA158" s="168">
        <f>SUM(Tabla1[[#This Row],[Promedio]],Tabla1[[#This Row],[Promedio*]],Tabla1[[#This Row],[Promedio**]])</f>
        <v>4</v>
      </c>
      <c r="AB158" s="169" t="s">
        <v>2491</v>
      </c>
      <c r="AD158" s="20" t="s">
        <v>2395</v>
      </c>
      <c r="AE158" s="10" t="s">
        <v>163</v>
      </c>
      <c r="AF158" s="20" t="s">
        <v>173</v>
      </c>
      <c r="AG158" s="10"/>
      <c r="AH158" s="22" t="str">
        <f t="shared" si="4"/>
        <v>Áncash_10 Huari</v>
      </c>
      <c r="AI158" s="10" t="s">
        <v>356</v>
      </c>
      <c r="AJ158" s="20" t="s">
        <v>250</v>
      </c>
      <c r="AK158" s="22" t="str">
        <f t="shared" si="5"/>
        <v>Áncash_10 Huari_04 Chavin de Huantar</v>
      </c>
      <c r="AL158" s="25">
        <v>3</v>
      </c>
      <c r="AM158" s="25">
        <v>11</v>
      </c>
      <c r="AN158" s="26">
        <f>Tabla2[[#This Row],[Minutos]]/60</f>
        <v>0.18333333333333332</v>
      </c>
      <c r="AO158" s="27">
        <f>SUM(Tabla2[[#This Row],[Horas]],Tabla2[[#This Row],[Minutos a Horas]])</f>
        <v>3.1833333333333331</v>
      </c>
      <c r="AP158" s="49">
        <v>3</v>
      </c>
      <c r="AQ158" s="49">
        <v>0</v>
      </c>
      <c r="AR158" s="26">
        <f>Tabla2[[#This Row],[Minutos*]]/60</f>
        <v>0</v>
      </c>
      <c r="AS158" s="27">
        <f>SUM(Tabla2[[#This Row],[Horas*]],Tabla2[[#This Row],[Minutos a Horas*]])+(Tabla2[[#This Row],[Tiempo Total a Nivel Proncincial (Horas)]])</f>
        <v>6.1833333333333336</v>
      </c>
      <c r="AV158" s="62"/>
    </row>
    <row r="159" spans="2:48" ht="42.75" customHeight="1" x14ac:dyDescent="0.25">
      <c r="B159" s="78" t="s">
        <v>2314</v>
      </c>
      <c r="C159" s="199" t="s">
        <v>4</v>
      </c>
      <c r="D159" s="162" t="s">
        <v>2497</v>
      </c>
      <c r="E159" s="162"/>
      <c r="F159" s="162" t="str">
        <f>CONCATENATE(Tabla1[[#This Row],[Simbología]],"_",Tabla1[[#This Row],[Acción]])</f>
        <v>AAA_Administración y otorgamiento del Registro de Hidrocarburos en toda la cadena</v>
      </c>
      <c r="G159" s="162" t="s">
        <v>14</v>
      </c>
      <c r="H159" s="162" t="s">
        <v>2548</v>
      </c>
      <c r="I159" s="163"/>
      <c r="J159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9" s="208" t="s">
        <v>2612</v>
      </c>
      <c r="L159" s="162" t="s">
        <v>2369</v>
      </c>
      <c r="M159" s="162"/>
      <c r="N159" s="164" t="str">
        <f>CONCATENATE(Tabla1[[#This Row],[Simbología**]],"_",Tabla1[[#This Row],[Sub Acción Especifica]])</f>
        <v>KKIN_40_Suspensión del RHO</v>
      </c>
      <c r="O159" s="163" t="s">
        <v>2671</v>
      </c>
      <c r="P159" s="162" t="s">
        <v>23</v>
      </c>
      <c r="Q159" s="164" t="str">
        <f>CONCATENATE(Tabla1[[#This Row],[Simbología*]],"_",Tabla1[[#This Row],[Tipo de instalación relacionado]])</f>
        <v>KKKIN_52_Medios de Transporte y Distribuidores (Líquidos, GLP)</v>
      </c>
      <c r="R159" s="165">
        <v>1</v>
      </c>
      <c r="S159" s="165">
        <v>2</v>
      </c>
      <c r="T159" s="166">
        <f>IFERROR(AVERAGE(Tabla1[[#This Row],[T. Mínimo]],Tabla1[[#This Row],[T. Máximo]]),0)</f>
        <v>1.5</v>
      </c>
      <c r="U159" s="167">
        <v>0</v>
      </c>
      <c r="V159" s="167">
        <v>0</v>
      </c>
      <c r="W159" s="166">
        <f>IFERROR(AVERAGE(Tabla1[[#This Row],[T. Mínimo*]],Tabla1[[#This Row],[T. Máximo*]]),0)</f>
        <v>0</v>
      </c>
      <c r="X159" s="167">
        <v>1.5</v>
      </c>
      <c r="Y159" s="167">
        <v>2.5</v>
      </c>
      <c r="Z159" s="166">
        <f>IFERROR(AVERAGE(Tabla1[[#This Row],[T. Mínimo**]],Tabla1[[#This Row],[T. Máximo**]]),0)</f>
        <v>2</v>
      </c>
      <c r="AA159" s="168">
        <f>SUM(Tabla1[[#This Row],[Promedio]],Tabla1[[#This Row],[Promedio*]],Tabla1[[#This Row],[Promedio**]])</f>
        <v>3.5</v>
      </c>
      <c r="AB159" s="169" t="s">
        <v>2491</v>
      </c>
      <c r="AD159" s="20" t="s">
        <v>2395</v>
      </c>
      <c r="AE159" s="10" t="s">
        <v>163</v>
      </c>
      <c r="AF159" s="20" t="s">
        <v>173</v>
      </c>
      <c r="AG159" s="10"/>
      <c r="AH159" s="22" t="str">
        <f t="shared" si="4"/>
        <v>Áncash_10 Huari</v>
      </c>
      <c r="AI159" s="10" t="s">
        <v>356</v>
      </c>
      <c r="AJ159" s="20" t="s">
        <v>251</v>
      </c>
      <c r="AK159" s="22" t="str">
        <f t="shared" si="5"/>
        <v>Áncash_10 Huari_05 Huacachi</v>
      </c>
      <c r="AL159" s="25">
        <v>3</v>
      </c>
      <c r="AM159" s="25">
        <v>11</v>
      </c>
      <c r="AN159" s="26">
        <f>Tabla2[[#This Row],[Minutos]]/60</f>
        <v>0.18333333333333332</v>
      </c>
      <c r="AO159" s="27">
        <f>SUM(Tabla2[[#This Row],[Horas]],Tabla2[[#This Row],[Minutos a Horas]])</f>
        <v>3.1833333333333331</v>
      </c>
      <c r="AP159" s="49">
        <v>7</v>
      </c>
      <c r="AQ159" s="49">
        <v>0</v>
      </c>
      <c r="AR159" s="26">
        <f>Tabla2[[#This Row],[Minutos*]]/60</f>
        <v>0</v>
      </c>
      <c r="AS159" s="27">
        <f>SUM(Tabla2[[#This Row],[Horas*]],Tabla2[[#This Row],[Minutos a Horas*]])+(Tabla2[[#This Row],[Tiempo Total a Nivel Proncincial (Horas)]])</f>
        <v>10.183333333333334</v>
      </c>
      <c r="AV159" s="62"/>
    </row>
    <row r="160" spans="2:48" ht="42.75" customHeight="1" x14ac:dyDescent="0.25">
      <c r="B160" s="78" t="s">
        <v>2314</v>
      </c>
      <c r="C160" s="199" t="s">
        <v>4</v>
      </c>
      <c r="D160" s="162" t="s">
        <v>2497</v>
      </c>
      <c r="E160" s="162"/>
      <c r="F160" s="162" t="str">
        <f>CONCATENATE(Tabla1[[#This Row],[Simbología]],"_",Tabla1[[#This Row],[Acción]])</f>
        <v>AAA_Administración y otorgamiento del Registro de Hidrocarburos en toda la cadena</v>
      </c>
      <c r="G160" s="162" t="s">
        <v>14</v>
      </c>
      <c r="H160" s="162" t="s">
        <v>2548</v>
      </c>
      <c r="I160" s="163"/>
      <c r="J160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0" s="208" t="s">
        <v>2612</v>
      </c>
      <c r="L160" s="162" t="s">
        <v>2369</v>
      </c>
      <c r="M160" s="162"/>
      <c r="N160" s="164" t="str">
        <f>CONCATENATE(Tabla1[[#This Row],[Simbología**]],"_",Tabla1[[#This Row],[Sub Acción Especifica]])</f>
        <v>KKIN_40_Suspensión del RHO</v>
      </c>
      <c r="O160" s="163" t="s">
        <v>2671</v>
      </c>
      <c r="P160" s="162" t="s">
        <v>24</v>
      </c>
      <c r="Q160" s="164" t="str">
        <f>CONCATENATE(Tabla1[[#This Row],[Simbología*]],"_",Tabla1[[#This Row],[Tipo de instalación relacionado]])</f>
        <v>KKKIN_52_Locales de Venta de GLP</v>
      </c>
      <c r="R160" s="165">
        <v>1.5</v>
      </c>
      <c r="S160" s="165">
        <v>2.5</v>
      </c>
      <c r="T160" s="166">
        <f>IFERROR(AVERAGE(Tabla1[[#This Row],[T. Mínimo]],Tabla1[[#This Row],[T. Máximo]]),0)</f>
        <v>2</v>
      </c>
      <c r="U160" s="167">
        <v>0</v>
      </c>
      <c r="V160" s="167">
        <v>0</v>
      </c>
      <c r="W160" s="166">
        <f>IFERROR(AVERAGE(Tabla1[[#This Row],[T. Mínimo*]],Tabla1[[#This Row],[T. Máximo*]]),0)</f>
        <v>0</v>
      </c>
      <c r="X160" s="167">
        <v>1.5</v>
      </c>
      <c r="Y160" s="167">
        <v>2.5</v>
      </c>
      <c r="Z160" s="166">
        <f>IFERROR(AVERAGE(Tabla1[[#This Row],[T. Mínimo**]],Tabla1[[#This Row],[T. Máximo**]]),0)</f>
        <v>2</v>
      </c>
      <c r="AA160" s="168">
        <f>SUM(Tabla1[[#This Row],[Promedio]],Tabla1[[#This Row],[Promedio*]],Tabla1[[#This Row],[Promedio**]])</f>
        <v>4</v>
      </c>
      <c r="AB160" s="169" t="s">
        <v>2491</v>
      </c>
      <c r="AD160" s="20" t="s">
        <v>2395</v>
      </c>
      <c r="AE160" s="10" t="s">
        <v>163</v>
      </c>
      <c r="AF160" s="20" t="s">
        <v>173</v>
      </c>
      <c r="AG160" s="10"/>
      <c r="AH160" s="22" t="str">
        <f t="shared" si="4"/>
        <v>Áncash_10 Huari</v>
      </c>
      <c r="AI160" s="10" t="s">
        <v>356</v>
      </c>
      <c r="AJ160" s="20" t="s">
        <v>252</v>
      </c>
      <c r="AK160" s="22" t="str">
        <f t="shared" si="5"/>
        <v>Áncash_10 Huari_06 Huacchis</v>
      </c>
      <c r="AL160" s="25">
        <v>3</v>
      </c>
      <c r="AM160" s="25">
        <v>11</v>
      </c>
      <c r="AN160" s="26">
        <f>Tabla2[[#This Row],[Minutos]]/60</f>
        <v>0.18333333333333332</v>
      </c>
      <c r="AO160" s="27">
        <f>SUM(Tabla2[[#This Row],[Horas]],Tabla2[[#This Row],[Minutos a Horas]])</f>
        <v>3.1833333333333331</v>
      </c>
      <c r="AP160" s="49">
        <v>8</v>
      </c>
      <c r="AQ160" s="49">
        <v>0</v>
      </c>
      <c r="AR160" s="26">
        <f>Tabla2[[#This Row],[Minutos*]]/60</f>
        <v>0</v>
      </c>
      <c r="AS160" s="27">
        <f>SUM(Tabla2[[#This Row],[Horas*]],Tabla2[[#This Row],[Minutos a Horas*]])+(Tabla2[[#This Row],[Tiempo Total a Nivel Proncincial (Horas)]])</f>
        <v>11.183333333333334</v>
      </c>
      <c r="AV160" s="62"/>
    </row>
    <row r="161" spans="2:48" ht="42.75" customHeight="1" x14ac:dyDescent="0.25">
      <c r="B161" s="78" t="s">
        <v>2314</v>
      </c>
      <c r="C161" s="199" t="s">
        <v>4</v>
      </c>
      <c r="D161" s="162" t="s">
        <v>2497</v>
      </c>
      <c r="E161" s="162"/>
      <c r="F161" s="162" t="str">
        <f>CONCATENATE(Tabla1[[#This Row],[Simbología]],"_",Tabla1[[#This Row],[Acción]])</f>
        <v>AAA_Administración y otorgamiento del Registro de Hidrocarburos en toda la cadena</v>
      </c>
      <c r="G161" s="162" t="s">
        <v>14</v>
      </c>
      <c r="H161" s="162" t="s">
        <v>2548</v>
      </c>
      <c r="I161" s="163"/>
      <c r="J161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1" s="208" t="s">
        <v>2612</v>
      </c>
      <c r="L161" s="162" t="s">
        <v>2369</v>
      </c>
      <c r="M161" s="162"/>
      <c r="N161" s="164" t="str">
        <f>CONCATENATE(Tabla1[[#This Row],[Simbología**]],"_",Tabla1[[#This Row],[Sub Acción Especifica]])</f>
        <v>KKIN_40_Suspensión del RHO</v>
      </c>
      <c r="O161" s="163" t="s">
        <v>2671</v>
      </c>
      <c r="P161" s="162" t="s">
        <v>25</v>
      </c>
      <c r="Q161" s="164" t="str">
        <f>CONCATENATE(Tabla1[[#This Row],[Simbología*]],"_",Tabla1[[#This Row],[Tipo de instalación relacionado]])</f>
        <v>KKKIN_52_Unidades Mayores</v>
      </c>
      <c r="R161" s="165">
        <v>1.5</v>
      </c>
      <c r="S161" s="165">
        <v>2.5</v>
      </c>
      <c r="T161" s="166">
        <f>IFERROR(AVERAGE(Tabla1[[#This Row],[T. Mínimo]],Tabla1[[#This Row],[T. Máximo]]),0)</f>
        <v>2</v>
      </c>
      <c r="U161" s="167">
        <v>0</v>
      </c>
      <c r="V161" s="167">
        <v>0</v>
      </c>
      <c r="W161" s="166">
        <f>IFERROR(AVERAGE(Tabla1[[#This Row],[T. Mínimo*]],Tabla1[[#This Row],[T. Máximo*]]),0)</f>
        <v>0</v>
      </c>
      <c r="X161" s="167">
        <v>1.5</v>
      </c>
      <c r="Y161" s="167">
        <v>2.5</v>
      </c>
      <c r="Z161" s="166">
        <f>IFERROR(AVERAGE(Tabla1[[#This Row],[T. Mínimo**]],Tabla1[[#This Row],[T. Máximo**]]),0)</f>
        <v>2</v>
      </c>
      <c r="AA161" s="168">
        <f>SUM(Tabla1[[#This Row],[Promedio]],Tabla1[[#This Row],[Promedio*]],Tabla1[[#This Row],[Promedio**]])</f>
        <v>4</v>
      </c>
      <c r="AB161" s="169" t="s">
        <v>2491</v>
      </c>
      <c r="AD161" s="20" t="s">
        <v>2395</v>
      </c>
      <c r="AE161" s="10" t="s">
        <v>163</v>
      </c>
      <c r="AF161" s="20" t="s">
        <v>173</v>
      </c>
      <c r="AG161" s="10"/>
      <c r="AH161" s="22" t="str">
        <f t="shared" si="4"/>
        <v>Áncash_10 Huari</v>
      </c>
      <c r="AI161" s="10" t="s">
        <v>356</v>
      </c>
      <c r="AJ161" s="20" t="s">
        <v>253</v>
      </c>
      <c r="AK161" s="22" t="str">
        <f t="shared" si="5"/>
        <v>Áncash_10 Huari_07 Huachis</v>
      </c>
      <c r="AL161" s="25">
        <v>3</v>
      </c>
      <c r="AM161" s="25">
        <v>11</v>
      </c>
      <c r="AN161" s="26">
        <f>Tabla2[[#This Row],[Minutos]]/60</f>
        <v>0.18333333333333332</v>
      </c>
      <c r="AO161" s="27">
        <f>SUM(Tabla2[[#This Row],[Horas]],Tabla2[[#This Row],[Minutos a Horas]])</f>
        <v>3.1833333333333331</v>
      </c>
      <c r="AP161" s="49">
        <v>5</v>
      </c>
      <c r="AQ161" s="49">
        <v>0</v>
      </c>
      <c r="AR161" s="26">
        <f>Tabla2[[#This Row],[Minutos*]]/60</f>
        <v>0</v>
      </c>
      <c r="AS161" s="27">
        <f>SUM(Tabla2[[#This Row],[Horas*]],Tabla2[[#This Row],[Minutos a Horas*]])+(Tabla2[[#This Row],[Tiempo Total a Nivel Proncincial (Horas)]])</f>
        <v>8.1833333333333336</v>
      </c>
      <c r="AV161" s="62"/>
    </row>
    <row r="162" spans="2:48" ht="42.75" customHeight="1" x14ac:dyDescent="0.25">
      <c r="B162" s="78" t="s">
        <v>2314</v>
      </c>
      <c r="C162" s="199" t="s">
        <v>4</v>
      </c>
      <c r="D162" s="162" t="s">
        <v>2497</v>
      </c>
      <c r="E162" s="162"/>
      <c r="F162" s="162" t="str">
        <f>CONCATENATE(Tabla1[[#This Row],[Simbología]],"_",Tabla1[[#This Row],[Acción]])</f>
        <v>AAA_Administración y otorgamiento del Registro de Hidrocarburos en toda la cadena</v>
      </c>
      <c r="G162" s="162" t="s">
        <v>14</v>
      </c>
      <c r="H162" s="162" t="s">
        <v>2548</v>
      </c>
      <c r="I162" s="163"/>
      <c r="J162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2" s="208" t="s">
        <v>2612</v>
      </c>
      <c r="L162" s="162" t="s">
        <v>2370</v>
      </c>
      <c r="M162" s="162"/>
      <c r="N162" s="164" t="str">
        <f>CONCATENATE(Tabla1[[#This Row],[Simbología**]],"_",Tabla1[[#This Row],[Sub Acción Especifica]])</f>
        <v>KKIN_40_Habilitación del RHO</v>
      </c>
      <c r="O162" s="163" t="s">
        <v>2672</v>
      </c>
      <c r="P162" s="162" t="s">
        <v>2363</v>
      </c>
      <c r="Q162" s="164" t="str">
        <f>CONCATENATE(Tabla1[[#This Row],[Simbología*]],"_",Tabla1[[#This Row],[Tipo de instalación relacionado]])</f>
        <v>KKKIN_53_Establecimientos de Venta al Público (Líquidos y/o GLP)</v>
      </c>
      <c r="R162" s="165">
        <v>2</v>
      </c>
      <c r="S162" s="165">
        <v>3</v>
      </c>
      <c r="T162" s="166">
        <f>IFERROR(AVERAGE(Tabla1[[#This Row],[T. Mínimo]],Tabla1[[#This Row],[T. Máximo]]),0)</f>
        <v>2.5</v>
      </c>
      <c r="U162" s="167">
        <v>0</v>
      </c>
      <c r="V162" s="167">
        <v>0</v>
      </c>
      <c r="W162" s="166">
        <f>IFERROR(AVERAGE(Tabla1[[#This Row],[T. Mínimo*]],Tabla1[[#This Row],[T. Máximo*]]),0)</f>
        <v>0</v>
      </c>
      <c r="X162" s="167">
        <v>2</v>
      </c>
      <c r="Y162" s="167">
        <v>3</v>
      </c>
      <c r="Z162" s="166">
        <f>IFERROR(AVERAGE(Tabla1[[#This Row],[T. Mínimo**]],Tabla1[[#This Row],[T. Máximo**]]),0)</f>
        <v>2.5</v>
      </c>
      <c r="AA162" s="168">
        <f>SUM(Tabla1[[#This Row],[Promedio]],Tabla1[[#This Row],[Promedio*]],Tabla1[[#This Row],[Promedio**]])</f>
        <v>5</v>
      </c>
      <c r="AB162" s="169" t="s">
        <v>2491</v>
      </c>
      <c r="AD162" s="20" t="s">
        <v>2395</v>
      </c>
      <c r="AE162" s="10" t="s">
        <v>163</v>
      </c>
      <c r="AF162" s="20" t="s">
        <v>173</v>
      </c>
      <c r="AG162" s="10"/>
      <c r="AH162" s="22" t="str">
        <f t="shared" si="4"/>
        <v>Áncash_10 Huari</v>
      </c>
      <c r="AI162" s="10" t="s">
        <v>356</v>
      </c>
      <c r="AJ162" s="20" t="s">
        <v>254</v>
      </c>
      <c r="AK162" s="22" t="str">
        <f t="shared" si="5"/>
        <v>Áncash_10 Huari_08 Huantar</v>
      </c>
      <c r="AL162" s="25">
        <v>3</v>
      </c>
      <c r="AM162" s="25">
        <v>11</v>
      </c>
      <c r="AN162" s="26">
        <f>Tabla2[[#This Row],[Minutos]]/60</f>
        <v>0.18333333333333332</v>
      </c>
      <c r="AO162" s="27">
        <f>SUM(Tabla2[[#This Row],[Horas]],Tabla2[[#This Row],[Minutos a Horas]])</f>
        <v>3.1833333333333331</v>
      </c>
      <c r="AP162" s="49">
        <v>4</v>
      </c>
      <c r="AQ162" s="49">
        <v>0</v>
      </c>
      <c r="AR162" s="26">
        <f>Tabla2[[#This Row],[Minutos*]]/60</f>
        <v>0</v>
      </c>
      <c r="AS162" s="27">
        <f>SUM(Tabla2[[#This Row],[Horas*]],Tabla2[[#This Row],[Minutos a Horas*]])+(Tabla2[[#This Row],[Tiempo Total a Nivel Proncincial (Horas)]])</f>
        <v>7.1833333333333336</v>
      </c>
      <c r="AV162" s="62"/>
    </row>
    <row r="163" spans="2:48" ht="42.75" customHeight="1" x14ac:dyDescent="0.25">
      <c r="B163" s="78" t="s">
        <v>2314</v>
      </c>
      <c r="C163" s="199" t="s">
        <v>4</v>
      </c>
      <c r="D163" s="162" t="s">
        <v>2497</v>
      </c>
      <c r="E163" s="162"/>
      <c r="F163" s="162" t="str">
        <f>CONCATENATE(Tabla1[[#This Row],[Simbología]],"_",Tabla1[[#This Row],[Acción]])</f>
        <v>AAA_Administración y otorgamiento del Registro de Hidrocarburos en toda la cadena</v>
      </c>
      <c r="G163" s="162" t="s">
        <v>14</v>
      </c>
      <c r="H163" s="162" t="s">
        <v>2548</v>
      </c>
      <c r="I163" s="163"/>
      <c r="J163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3" s="208" t="s">
        <v>2612</v>
      </c>
      <c r="L163" s="162" t="s">
        <v>2370</v>
      </c>
      <c r="M163" s="171"/>
      <c r="N163" s="164" t="str">
        <f>CONCATENATE(Tabla1[[#This Row],[Simbología**]],"_",Tabla1[[#This Row],[Sub Acción Especifica]])</f>
        <v>KKIN_40_Habilitación del RHO</v>
      </c>
      <c r="O163" s="163" t="s">
        <v>2672</v>
      </c>
      <c r="P163" s="162" t="s">
        <v>2366</v>
      </c>
      <c r="Q163" s="164" t="str">
        <f>CONCATENATE(Tabla1[[#This Row],[Simbología*]],"_",Tabla1[[#This Row],[Tipo de instalación relacionado]])</f>
        <v>KKKIN_53_Establecimientos (GNV o GNC o GNL)</v>
      </c>
      <c r="R163" s="165">
        <v>2</v>
      </c>
      <c r="S163" s="165">
        <v>3</v>
      </c>
      <c r="T163" s="166">
        <f>IFERROR(AVERAGE(Tabla1[[#This Row],[T. Mínimo]],Tabla1[[#This Row],[T. Máximo]]),0)</f>
        <v>2.5</v>
      </c>
      <c r="U163" s="167">
        <v>0</v>
      </c>
      <c r="V163" s="167">
        <v>0</v>
      </c>
      <c r="W163" s="166">
        <f>IFERROR(AVERAGE(Tabla1[[#This Row],[T. Mínimo*]],Tabla1[[#This Row],[T. Máximo*]]),0)</f>
        <v>0</v>
      </c>
      <c r="X163" s="167">
        <v>2</v>
      </c>
      <c r="Y163" s="167">
        <v>3</v>
      </c>
      <c r="Z163" s="166">
        <f>IFERROR(AVERAGE(Tabla1[[#This Row],[T. Mínimo**]],Tabla1[[#This Row],[T. Máximo**]]),0)</f>
        <v>2.5</v>
      </c>
      <c r="AA163" s="168">
        <f>SUM(Tabla1[[#This Row],[Promedio]],Tabla1[[#This Row],[Promedio*]],Tabla1[[#This Row],[Promedio**]])</f>
        <v>5</v>
      </c>
      <c r="AB163" s="169" t="s">
        <v>2491</v>
      </c>
      <c r="AD163" s="20" t="s">
        <v>2395</v>
      </c>
      <c r="AE163" s="10" t="s">
        <v>163</v>
      </c>
      <c r="AF163" s="20" t="s">
        <v>173</v>
      </c>
      <c r="AG163" s="10"/>
      <c r="AH163" s="22" t="str">
        <f t="shared" si="4"/>
        <v>Áncash_10 Huari</v>
      </c>
      <c r="AI163" s="10" t="s">
        <v>356</v>
      </c>
      <c r="AJ163" s="20" t="s">
        <v>255</v>
      </c>
      <c r="AK163" s="22" t="str">
        <f t="shared" si="5"/>
        <v>Áncash_10 Huari_09 Masin</v>
      </c>
      <c r="AL163" s="25">
        <v>3</v>
      </c>
      <c r="AM163" s="25">
        <v>11</v>
      </c>
      <c r="AN163" s="26">
        <f>Tabla2[[#This Row],[Minutos]]/60</f>
        <v>0.18333333333333332</v>
      </c>
      <c r="AO163" s="27">
        <f>SUM(Tabla2[[#This Row],[Horas]],Tabla2[[#This Row],[Minutos a Horas]])</f>
        <v>3.1833333333333331</v>
      </c>
      <c r="AP163" s="49">
        <v>4</v>
      </c>
      <c r="AQ163" s="49">
        <v>0</v>
      </c>
      <c r="AR163" s="26">
        <f>Tabla2[[#This Row],[Minutos*]]/60</f>
        <v>0</v>
      </c>
      <c r="AS163" s="27">
        <f>SUM(Tabla2[[#This Row],[Horas*]],Tabla2[[#This Row],[Minutos a Horas*]])+(Tabla2[[#This Row],[Tiempo Total a Nivel Proncincial (Horas)]])</f>
        <v>7.1833333333333336</v>
      </c>
      <c r="AV163" s="62"/>
    </row>
    <row r="164" spans="2:48" ht="42.75" customHeight="1" x14ac:dyDescent="0.25">
      <c r="B164" s="78" t="s">
        <v>2314</v>
      </c>
      <c r="C164" s="199" t="s">
        <v>4</v>
      </c>
      <c r="D164" s="162" t="s">
        <v>2497</v>
      </c>
      <c r="E164" s="162"/>
      <c r="F164" s="162" t="str">
        <f>CONCATENATE(Tabla1[[#This Row],[Simbología]],"_",Tabla1[[#This Row],[Acción]])</f>
        <v>AAA_Administración y otorgamiento del Registro de Hidrocarburos en toda la cadena</v>
      </c>
      <c r="G164" s="162" t="s">
        <v>14</v>
      </c>
      <c r="H164" s="162" t="s">
        <v>2548</v>
      </c>
      <c r="I164" s="163"/>
      <c r="J164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4" s="208" t="s">
        <v>2612</v>
      </c>
      <c r="L164" s="162" t="s">
        <v>2370</v>
      </c>
      <c r="M164" s="162"/>
      <c r="N164" s="164" t="str">
        <f>CONCATENATE(Tabla1[[#This Row],[Simbología**]],"_",Tabla1[[#This Row],[Sub Acción Especifica]])</f>
        <v>KKIN_40_Habilitación del RHO</v>
      </c>
      <c r="O164" s="163" t="s">
        <v>2672</v>
      </c>
      <c r="P164" s="162" t="s">
        <v>8</v>
      </c>
      <c r="Q164" s="164" t="str">
        <f>CONCATENATE(Tabla1[[#This Row],[Simbología*]],"_",Tabla1[[#This Row],[Tipo de instalación relacionado]])</f>
        <v>KKKIN_53_Consumidores Directos de CL y/u OPDH</v>
      </c>
      <c r="R164" s="165">
        <v>2.5</v>
      </c>
      <c r="S164" s="165">
        <v>3.5</v>
      </c>
      <c r="T164" s="166">
        <f>IFERROR(AVERAGE(Tabla1[[#This Row],[T. Mínimo]],Tabla1[[#This Row],[T. Máximo]]),0)</f>
        <v>3</v>
      </c>
      <c r="U164" s="167">
        <v>0</v>
      </c>
      <c r="V164" s="167">
        <v>0</v>
      </c>
      <c r="W164" s="166">
        <f>IFERROR(AVERAGE(Tabla1[[#This Row],[T. Mínimo*]],Tabla1[[#This Row],[T. Máximo*]]),0)</f>
        <v>0</v>
      </c>
      <c r="X164" s="167">
        <v>2</v>
      </c>
      <c r="Y164" s="167">
        <v>3</v>
      </c>
      <c r="Z164" s="166">
        <f>IFERROR(AVERAGE(Tabla1[[#This Row],[T. Mínimo**]],Tabla1[[#This Row],[T. Máximo**]]),0)</f>
        <v>2.5</v>
      </c>
      <c r="AA164" s="168">
        <f>SUM(Tabla1[[#This Row],[Promedio]],Tabla1[[#This Row],[Promedio*]],Tabla1[[#This Row],[Promedio**]])</f>
        <v>5.5</v>
      </c>
      <c r="AB164" s="169" t="s">
        <v>2491</v>
      </c>
      <c r="AD164" s="20" t="s">
        <v>2395</v>
      </c>
      <c r="AE164" s="10" t="s">
        <v>163</v>
      </c>
      <c r="AF164" s="20" t="s">
        <v>173</v>
      </c>
      <c r="AG164" s="10"/>
      <c r="AH164" s="22" t="str">
        <f t="shared" si="4"/>
        <v>Áncash_10 Huari</v>
      </c>
      <c r="AI164" s="10" t="s">
        <v>356</v>
      </c>
      <c r="AJ164" s="20" t="s">
        <v>256</v>
      </c>
      <c r="AK164" s="22" t="str">
        <f t="shared" si="5"/>
        <v>Áncash_10 Huari_10 Paucas</v>
      </c>
      <c r="AL164" s="25">
        <v>3</v>
      </c>
      <c r="AM164" s="25">
        <v>11</v>
      </c>
      <c r="AN164" s="26">
        <f>Tabla2[[#This Row],[Minutos]]/60</f>
        <v>0.18333333333333332</v>
      </c>
      <c r="AO164" s="27">
        <f>SUM(Tabla2[[#This Row],[Horas]],Tabla2[[#This Row],[Minutos a Horas]])</f>
        <v>3.1833333333333331</v>
      </c>
      <c r="AP164" s="49">
        <v>4</v>
      </c>
      <c r="AQ164" s="49">
        <v>0</v>
      </c>
      <c r="AR164" s="26">
        <f>Tabla2[[#This Row],[Minutos*]]/60</f>
        <v>0</v>
      </c>
      <c r="AS164" s="27">
        <f>SUM(Tabla2[[#This Row],[Horas*]],Tabla2[[#This Row],[Minutos a Horas*]])+(Tabla2[[#This Row],[Tiempo Total a Nivel Proncincial (Horas)]])</f>
        <v>7.1833333333333336</v>
      </c>
      <c r="AV164" s="62"/>
    </row>
    <row r="165" spans="2:48" ht="42.75" customHeight="1" x14ac:dyDescent="0.25">
      <c r="B165" s="78" t="s">
        <v>2314</v>
      </c>
      <c r="C165" s="199" t="s">
        <v>4</v>
      </c>
      <c r="D165" s="162" t="s">
        <v>2497</v>
      </c>
      <c r="E165" s="162"/>
      <c r="F165" s="162" t="str">
        <f>CONCATENATE(Tabla1[[#This Row],[Simbología]],"_",Tabla1[[#This Row],[Acción]])</f>
        <v>AAA_Administración y otorgamiento del Registro de Hidrocarburos en toda la cadena</v>
      </c>
      <c r="G165" s="162" t="s">
        <v>14</v>
      </c>
      <c r="H165" s="162" t="s">
        <v>2548</v>
      </c>
      <c r="I165" s="163"/>
      <c r="J165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5" s="208" t="s">
        <v>2612</v>
      </c>
      <c r="L165" s="162" t="s">
        <v>2370</v>
      </c>
      <c r="M165" s="162"/>
      <c r="N165" s="164" t="str">
        <f>CONCATENATE(Tabla1[[#This Row],[Simbología**]],"_",Tabla1[[#This Row],[Sub Acción Especifica]])</f>
        <v>KKIN_40_Habilitación del RHO</v>
      </c>
      <c r="O165" s="163" t="s">
        <v>2672</v>
      </c>
      <c r="P165" s="162" t="s">
        <v>22</v>
      </c>
      <c r="Q165" s="164" t="str">
        <f>CONCATENATE(Tabla1[[#This Row],[Simbología*]],"_",Tabla1[[#This Row],[Tipo de instalación relacionado]])</f>
        <v>KKKIN_53_Consumidores Directos GLP y Redes de Distribución</v>
      </c>
      <c r="R165" s="165">
        <v>1.5</v>
      </c>
      <c r="S165" s="165">
        <v>2.5</v>
      </c>
      <c r="T165" s="166">
        <f>IFERROR(AVERAGE(Tabla1[[#This Row],[T. Mínimo]],Tabla1[[#This Row],[T. Máximo]]),0)</f>
        <v>2</v>
      </c>
      <c r="U165" s="167">
        <v>0</v>
      </c>
      <c r="V165" s="167">
        <v>0</v>
      </c>
      <c r="W165" s="166">
        <f>IFERROR(AVERAGE(Tabla1[[#This Row],[T. Mínimo*]],Tabla1[[#This Row],[T. Máximo*]]),0)</f>
        <v>0</v>
      </c>
      <c r="X165" s="167">
        <v>1.5</v>
      </c>
      <c r="Y165" s="167">
        <v>2.5</v>
      </c>
      <c r="Z165" s="166">
        <f>IFERROR(AVERAGE(Tabla1[[#This Row],[T. Mínimo**]],Tabla1[[#This Row],[T. Máximo**]]),0)</f>
        <v>2</v>
      </c>
      <c r="AA165" s="168">
        <f>SUM(Tabla1[[#This Row],[Promedio]],Tabla1[[#This Row],[Promedio*]],Tabla1[[#This Row],[Promedio**]])</f>
        <v>4</v>
      </c>
      <c r="AB165" s="169" t="s">
        <v>2491</v>
      </c>
      <c r="AD165" s="20" t="s">
        <v>2395</v>
      </c>
      <c r="AE165" s="10" t="s">
        <v>163</v>
      </c>
      <c r="AF165" s="20" t="s">
        <v>173</v>
      </c>
      <c r="AG165" s="10"/>
      <c r="AH165" s="22" t="str">
        <f t="shared" si="4"/>
        <v>Áncash_10 Huari</v>
      </c>
      <c r="AI165" s="10" t="s">
        <v>356</v>
      </c>
      <c r="AJ165" s="20" t="s">
        <v>257</v>
      </c>
      <c r="AK165" s="22" t="str">
        <f t="shared" si="5"/>
        <v>Áncash_10 Huari_11 Ponto</v>
      </c>
      <c r="AL165" s="25">
        <v>3</v>
      </c>
      <c r="AM165" s="25">
        <v>11</v>
      </c>
      <c r="AN165" s="26">
        <f>Tabla2[[#This Row],[Minutos]]/60</f>
        <v>0.18333333333333332</v>
      </c>
      <c r="AO165" s="27">
        <f>SUM(Tabla2[[#This Row],[Horas]],Tabla2[[#This Row],[Minutos a Horas]])</f>
        <v>3.1833333333333331</v>
      </c>
      <c r="AP165" s="49">
        <v>6</v>
      </c>
      <c r="AQ165" s="49">
        <v>0</v>
      </c>
      <c r="AR165" s="26">
        <f>Tabla2[[#This Row],[Minutos*]]/60</f>
        <v>0</v>
      </c>
      <c r="AS165" s="27">
        <f>SUM(Tabla2[[#This Row],[Horas*]],Tabla2[[#This Row],[Minutos a Horas*]])+(Tabla2[[#This Row],[Tiempo Total a Nivel Proncincial (Horas)]])</f>
        <v>9.1833333333333336</v>
      </c>
      <c r="AV165" s="62"/>
    </row>
    <row r="166" spans="2:48" ht="42.75" customHeight="1" x14ac:dyDescent="0.25">
      <c r="B166" s="78" t="s">
        <v>2314</v>
      </c>
      <c r="C166" s="199" t="s">
        <v>4</v>
      </c>
      <c r="D166" s="162" t="s">
        <v>2497</v>
      </c>
      <c r="E166" s="162"/>
      <c r="F166" s="162" t="str">
        <f>CONCATENATE(Tabla1[[#This Row],[Simbología]],"_",Tabla1[[#This Row],[Acción]])</f>
        <v>AAA_Administración y otorgamiento del Registro de Hidrocarburos en toda la cadena</v>
      </c>
      <c r="G166" s="162" t="s">
        <v>14</v>
      </c>
      <c r="H166" s="162" t="s">
        <v>2548</v>
      </c>
      <c r="I166" s="163"/>
      <c r="J166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6" s="208" t="s">
        <v>2612</v>
      </c>
      <c r="L166" s="162" t="s">
        <v>2370</v>
      </c>
      <c r="M166" s="162"/>
      <c r="N166" s="164" t="str">
        <f>CONCATENATE(Tabla1[[#This Row],[Simbología**]],"_",Tabla1[[#This Row],[Sub Acción Especifica]])</f>
        <v>KKIN_40_Habilitación del RHO</v>
      </c>
      <c r="O166" s="163" t="s">
        <v>2672</v>
      </c>
      <c r="P166" s="162" t="s">
        <v>23</v>
      </c>
      <c r="Q166" s="164" t="str">
        <f>CONCATENATE(Tabla1[[#This Row],[Simbología*]],"_",Tabla1[[#This Row],[Tipo de instalación relacionado]])</f>
        <v>KKKIN_53_Medios de Transporte y Distribuidores (Líquidos, GLP)</v>
      </c>
      <c r="R166" s="165">
        <v>1</v>
      </c>
      <c r="S166" s="165">
        <v>2</v>
      </c>
      <c r="T166" s="166">
        <f>IFERROR(AVERAGE(Tabla1[[#This Row],[T. Mínimo]],Tabla1[[#This Row],[T. Máximo]]),0)</f>
        <v>1.5</v>
      </c>
      <c r="U166" s="167">
        <v>0</v>
      </c>
      <c r="V166" s="167">
        <v>0</v>
      </c>
      <c r="W166" s="166">
        <f>IFERROR(AVERAGE(Tabla1[[#This Row],[T. Mínimo*]],Tabla1[[#This Row],[T. Máximo*]]),0)</f>
        <v>0</v>
      </c>
      <c r="X166" s="167">
        <v>1.5</v>
      </c>
      <c r="Y166" s="167">
        <v>2.5</v>
      </c>
      <c r="Z166" s="166">
        <f>IFERROR(AVERAGE(Tabla1[[#This Row],[T. Mínimo**]],Tabla1[[#This Row],[T. Máximo**]]),0)</f>
        <v>2</v>
      </c>
      <c r="AA166" s="168">
        <f>SUM(Tabla1[[#This Row],[Promedio]],Tabla1[[#This Row],[Promedio*]],Tabla1[[#This Row],[Promedio**]])</f>
        <v>3.5</v>
      </c>
      <c r="AB166" s="169" t="s">
        <v>2491</v>
      </c>
      <c r="AD166" s="20" t="s">
        <v>2395</v>
      </c>
      <c r="AE166" s="10" t="s">
        <v>163</v>
      </c>
      <c r="AF166" s="20" t="s">
        <v>173</v>
      </c>
      <c r="AG166" s="10"/>
      <c r="AH166" s="22" t="str">
        <f t="shared" si="4"/>
        <v>Áncash_10 Huari</v>
      </c>
      <c r="AI166" s="10" t="s">
        <v>356</v>
      </c>
      <c r="AJ166" s="20" t="s">
        <v>258</v>
      </c>
      <c r="AK166" s="22" t="str">
        <f t="shared" si="5"/>
        <v>Áncash_10 Huari_12 Rahuapampa</v>
      </c>
      <c r="AL166" s="25">
        <v>3</v>
      </c>
      <c r="AM166" s="25">
        <v>11</v>
      </c>
      <c r="AN166" s="26">
        <f>Tabla2[[#This Row],[Minutos]]/60</f>
        <v>0.18333333333333332</v>
      </c>
      <c r="AO166" s="27">
        <f>SUM(Tabla2[[#This Row],[Horas]],Tabla2[[#This Row],[Minutos a Horas]])</f>
        <v>3.1833333333333331</v>
      </c>
      <c r="AP166" s="49">
        <v>4</v>
      </c>
      <c r="AQ166" s="49">
        <v>40</v>
      </c>
      <c r="AR166" s="26">
        <f>Tabla2[[#This Row],[Minutos*]]/60</f>
        <v>0.66666666666666663</v>
      </c>
      <c r="AS166" s="27">
        <f>SUM(Tabla2[[#This Row],[Horas*]],Tabla2[[#This Row],[Minutos a Horas*]])+(Tabla2[[#This Row],[Tiempo Total a Nivel Proncincial (Horas)]])</f>
        <v>7.85</v>
      </c>
      <c r="AV166" s="62"/>
    </row>
    <row r="167" spans="2:48" ht="42.75" customHeight="1" x14ac:dyDescent="0.25">
      <c r="B167" s="78" t="s">
        <v>2314</v>
      </c>
      <c r="C167" s="199" t="s">
        <v>4</v>
      </c>
      <c r="D167" s="162" t="s">
        <v>2497</v>
      </c>
      <c r="E167" s="162"/>
      <c r="F167" s="162" t="str">
        <f>CONCATENATE(Tabla1[[#This Row],[Simbología]],"_",Tabla1[[#This Row],[Acción]])</f>
        <v>AAA_Administración y otorgamiento del Registro de Hidrocarburos en toda la cadena</v>
      </c>
      <c r="G167" s="162" t="s">
        <v>14</v>
      </c>
      <c r="H167" s="162" t="s">
        <v>2548</v>
      </c>
      <c r="I167" s="163"/>
      <c r="J167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7" s="208" t="s">
        <v>2612</v>
      </c>
      <c r="L167" s="162" t="s">
        <v>2370</v>
      </c>
      <c r="M167" s="170"/>
      <c r="N167" s="164" t="str">
        <f>CONCATENATE(Tabla1[[#This Row],[Simbología**]],"_",Tabla1[[#This Row],[Sub Acción Especifica]])</f>
        <v>KKIN_40_Habilitación del RHO</v>
      </c>
      <c r="O167" s="163" t="s">
        <v>2672</v>
      </c>
      <c r="P167" s="162" t="s">
        <v>24</v>
      </c>
      <c r="Q167" s="164" t="str">
        <f>CONCATENATE(Tabla1[[#This Row],[Simbología*]],"_",Tabla1[[#This Row],[Tipo de instalación relacionado]])</f>
        <v>KKKIN_53_Locales de Venta de GLP</v>
      </c>
      <c r="R167" s="165">
        <v>1.5</v>
      </c>
      <c r="S167" s="165">
        <v>2.5</v>
      </c>
      <c r="T167" s="166">
        <f>IFERROR(AVERAGE(Tabla1[[#This Row],[T. Mínimo]],Tabla1[[#This Row],[T. Máximo]]),0)</f>
        <v>2</v>
      </c>
      <c r="U167" s="167">
        <v>0</v>
      </c>
      <c r="V167" s="167">
        <v>0</v>
      </c>
      <c r="W167" s="166">
        <f>IFERROR(AVERAGE(Tabla1[[#This Row],[T. Mínimo*]],Tabla1[[#This Row],[T. Máximo*]]),0)</f>
        <v>0</v>
      </c>
      <c r="X167" s="167">
        <v>1.5</v>
      </c>
      <c r="Y167" s="167">
        <v>2.5</v>
      </c>
      <c r="Z167" s="166">
        <f>IFERROR(AVERAGE(Tabla1[[#This Row],[T. Mínimo**]],Tabla1[[#This Row],[T. Máximo**]]),0)</f>
        <v>2</v>
      </c>
      <c r="AA167" s="168">
        <f>SUM(Tabla1[[#This Row],[Promedio]],Tabla1[[#This Row],[Promedio*]],Tabla1[[#This Row],[Promedio**]])</f>
        <v>4</v>
      </c>
      <c r="AB167" s="169" t="s">
        <v>2491</v>
      </c>
      <c r="AD167" s="20" t="s">
        <v>2395</v>
      </c>
      <c r="AE167" s="10" t="s">
        <v>163</v>
      </c>
      <c r="AF167" s="20" t="s">
        <v>173</v>
      </c>
      <c r="AG167" s="10"/>
      <c r="AH167" s="22" t="str">
        <f t="shared" si="4"/>
        <v>Áncash_10 Huari</v>
      </c>
      <c r="AI167" s="10" t="s">
        <v>356</v>
      </c>
      <c r="AJ167" s="20" t="s">
        <v>259</v>
      </c>
      <c r="AK167" s="22" t="str">
        <f t="shared" si="5"/>
        <v>Áncash_10 Huari_13 Rapayan</v>
      </c>
      <c r="AL167" s="25">
        <v>3</v>
      </c>
      <c r="AM167" s="25">
        <v>11</v>
      </c>
      <c r="AN167" s="26">
        <f>Tabla2[[#This Row],[Minutos]]/60</f>
        <v>0.18333333333333332</v>
      </c>
      <c r="AO167" s="27">
        <f>SUM(Tabla2[[#This Row],[Horas]],Tabla2[[#This Row],[Minutos a Horas]])</f>
        <v>3.1833333333333331</v>
      </c>
      <c r="AP167" s="49">
        <v>9</v>
      </c>
      <c r="AQ167" s="49">
        <v>0</v>
      </c>
      <c r="AR167" s="26">
        <f>Tabla2[[#This Row],[Minutos*]]/60</f>
        <v>0</v>
      </c>
      <c r="AS167" s="27">
        <f>SUM(Tabla2[[#This Row],[Horas*]],Tabla2[[#This Row],[Minutos a Horas*]])+(Tabla2[[#This Row],[Tiempo Total a Nivel Proncincial (Horas)]])</f>
        <v>12.183333333333334</v>
      </c>
      <c r="AV167" s="62"/>
    </row>
    <row r="168" spans="2:48" ht="42.75" customHeight="1" x14ac:dyDescent="0.25">
      <c r="B168" s="78" t="s">
        <v>2314</v>
      </c>
      <c r="C168" s="199" t="s">
        <v>4</v>
      </c>
      <c r="D168" s="162" t="s">
        <v>2497</v>
      </c>
      <c r="E168" s="162"/>
      <c r="F168" s="162" t="str">
        <f>CONCATENATE(Tabla1[[#This Row],[Simbología]],"_",Tabla1[[#This Row],[Acción]])</f>
        <v>AAA_Administración y otorgamiento del Registro de Hidrocarburos en toda la cadena</v>
      </c>
      <c r="G168" s="162" t="s">
        <v>14</v>
      </c>
      <c r="H168" s="162" t="s">
        <v>2548</v>
      </c>
      <c r="I168" s="163"/>
      <c r="J168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8" s="208" t="s">
        <v>2612</v>
      </c>
      <c r="L168" s="162" t="s">
        <v>2370</v>
      </c>
      <c r="M168" s="162"/>
      <c r="N168" s="164" t="str">
        <f>CONCATENATE(Tabla1[[#This Row],[Simbología**]],"_",Tabla1[[#This Row],[Sub Acción Especifica]])</f>
        <v>KKIN_40_Habilitación del RHO</v>
      </c>
      <c r="O168" s="163" t="s">
        <v>2672</v>
      </c>
      <c r="P168" s="162" t="s">
        <v>25</v>
      </c>
      <c r="Q168" s="164" t="str">
        <f>CONCATENATE(Tabla1[[#This Row],[Simbología*]],"_",Tabla1[[#This Row],[Tipo de instalación relacionado]])</f>
        <v>KKKIN_53_Unidades Mayores</v>
      </c>
      <c r="R168" s="165">
        <v>1.5</v>
      </c>
      <c r="S168" s="165">
        <v>2.5</v>
      </c>
      <c r="T168" s="166">
        <f>IFERROR(AVERAGE(Tabla1[[#This Row],[T. Mínimo]],Tabla1[[#This Row],[T. Máximo]]),0)</f>
        <v>2</v>
      </c>
      <c r="U168" s="167">
        <v>0</v>
      </c>
      <c r="V168" s="167">
        <v>0</v>
      </c>
      <c r="W168" s="166">
        <f>IFERROR(AVERAGE(Tabla1[[#This Row],[T. Mínimo*]],Tabla1[[#This Row],[T. Máximo*]]),0)</f>
        <v>0</v>
      </c>
      <c r="X168" s="167">
        <v>1.5</v>
      </c>
      <c r="Y168" s="167">
        <v>2.5</v>
      </c>
      <c r="Z168" s="166">
        <f>IFERROR(AVERAGE(Tabla1[[#This Row],[T. Mínimo**]],Tabla1[[#This Row],[T. Máximo**]]),0)</f>
        <v>2</v>
      </c>
      <c r="AA168" s="168">
        <f>SUM(Tabla1[[#This Row],[Promedio]],Tabla1[[#This Row],[Promedio*]],Tabla1[[#This Row],[Promedio**]])</f>
        <v>4</v>
      </c>
      <c r="AB168" s="169" t="s">
        <v>2491</v>
      </c>
      <c r="AD168" s="20" t="s">
        <v>2395</v>
      </c>
      <c r="AE168" s="10" t="s">
        <v>163</v>
      </c>
      <c r="AF168" s="20" t="s">
        <v>173</v>
      </c>
      <c r="AG168" s="10"/>
      <c r="AH168" s="22" t="str">
        <f t="shared" si="4"/>
        <v>Áncash_10 Huari</v>
      </c>
      <c r="AI168" s="10" t="s">
        <v>356</v>
      </c>
      <c r="AJ168" s="20" t="s">
        <v>260</v>
      </c>
      <c r="AK168" s="22" t="str">
        <f t="shared" si="5"/>
        <v>Áncash_10 Huari_14 San Marcos</v>
      </c>
      <c r="AL168" s="25">
        <v>3</v>
      </c>
      <c r="AM168" s="25">
        <v>11</v>
      </c>
      <c r="AN168" s="26">
        <f>Tabla2[[#This Row],[Minutos]]/60</f>
        <v>0.18333333333333332</v>
      </c>
      <c r="AO168" s="27">
        <f>SUM(Tabla2[[#This Row],[Horas]],Tabla2[[#This Row],[Minutos a Horas]])</f>
        <v>3.1833333333333331</v>
      </c>
      <c r="AP168" s="49">
        <v>3</v>
      </c>
      <c r="AQ168" s="49">
        <v>30</v>
      </c>
      <c r="AR168" s="26">
        <f>Tabla2[[#This Row],[Minutos*]]/60</f>
        <v>0.5</v>
      </c>
      <c r="AS168" s="27">
        <f>SUM(Tabla2[[#This Row],[Horas*]],Tabla2[[#This Row],[Minutos a Horas*]])+(Tabla2[[#This Row],[Tiempo Total a Nivel Proncincial (Horas)]])</f>
        <v>6.6833333333333336</v>
      </c>
      <c r="AV168" s="62"/>
    </row>
    <row r="169" spans="2:48" ht="42.75" customHeight="1" x14ac:dyDescent="0.25">
      <c r="B169" s="78" t="s">
        <v>2314</v>
      </c>
      <c r="C169" s="199" t="s">
        <v>4</v>
      </c>
      <c r="D169" s="162" t="s">
        <v>2497</v>
      </c>
      <c r="E169" s="162"/>
      <c r="F169" s="162" t="str">
        <f>CONCATENATE(Tabla1[[#This Row],[Simbología]],"_",Tabla1[[#This Row],[Acción]])</f>
        <v>AAA_Administración y otorgamiento del Registro de Hidrocarburos en toda la cadena</v>
      </c>
      <c r="G169" s="162" t="s">
        <v>14</v>
      </c>
      <c r="H169" s="161" t="s">
        <v>2548</v>
      </c>
      <c r="I169" s="163"/>
      <c r="J169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9" s="208" t="s">
        <v>2612</v>
      </c>
      <c r="L169" s="162" t="s">
        <v>2371</v>
      </c>
      <c r="M169" s="162"/>
      <c r="N169" s="164" t="str">
        <f>CONCATENATE(Tabla1[[#This Row],[Simbología**]],"_",Tabla1[[#This Row],[Sub Acción Especifica]])</f>
        <v>KKIN_40_Cancelación del RHO</v>
      </c>
      <c r="O169" s="163" t="s">
        <v>2673</v>
      </c>
      <c r="P169" s="162" t="s">
        <v>2363</v>
      </c>
      <c r="Q169" s="164" t="str">
        <f>CONCATENATE(Tabla1[[#This Row],[Simbología*]],"_",Tabla1[[#This Row],[Tipo de instalación relacionado]])</f>
        <v>KKKIN_54_Establecimientos de Venta al Público (Líquidos y/o GLP)</v>
      </c>
      <c r="R169" s="165">
        <v>2</v>
      </c>
      <c r="S169" s="165">
        <v>3</v>
      </c>
      <c r="T169" s="166">
        <f>IFERROR(AVERAGE(Tabla1[[#This Row],[T. Mínimo]],Tabla1[[#This Row],[T. Máximo]]),0)</f>
        <v>2.5</v>
      </c>
      <c r="U169" s="167">
        <v>0</v>
      </c>
      <c r="V169" s="167">
        <v>0</v>
      </c>
      <c r="W169" s="166">
        <f>IFERROR(AVERAGE(Tabla1[[#This Row],[T. Mínimo*]],Tabla1[[#This Row],[T. Máximo*]]),0)</f>
        <v>0</v>
      </c>
      <c r="X169" s="167">
        <v>2</v>
      </c>
      <c r="Y169" s="167">
        <v>3</v>
      </c>
      <c r="Z169" s="166">
        <f>IFERROR(AVERAGE(Tabla1[[#This Row],[T. Mínimo**]],Tabla1[[#This Row],[T. Máximo**]]),0)</f>
        <v>2.5</v>
      </c>
      <c r="AA169" s="168">
        <f>SUM(Tabla1[[#This Row],[Promedio]],Tabla1[[#This Row],[Promedio*]],Tabla1[[#This Row],[Promedio**]])</f>
        <v>5</v>
      </c>
      <c r="AB169" s="169" t="s">
        <v>2491</v>
      </c>
      <c r="AD169" s="20" t="s">
        <v>2395</v>
      </c>
      <c r="AE169" s="10" t="s">
        <v>163</v>
      </c>
      <c r="AF169" s="20" t="s">
        <v>173</v>
      </c>
      <c r="AG169" s="10"/>
      <c r="AH169" s="22" t="str">
        <f t="shared" si="4"/>
        <v>Áncash_10 Huari</v>
      </c>
      <c r="AI169" s="10" t="s">
        <v>356</v>
      </c>
      <c r="AJ169" s="20" t="s">
        <v>261</v>
      </c>
      <c r="AK169" s="22" t="str">
        <f t="shared" si="5"/>
        <v>Áncash_10 Huari_15 San Pedro de Chana</v>
      </c>
      <c r="AL169" s="25">
        <v>3</v>
      </c>
      <c r="AM169" s="25">
        <v>11</v>
      </c>
      <c r="AN169" s="26">
        <f>Tabla2[[#This Row],[Minutos]]/60</f>
        <v>0.18333333333333332</v>
      </c>
      <c r="AO169" s="27">
        <f>SUM(Tabla2[[#This Row],[Horas]],Tabla2[[#This Row],[Minutos a Horas]])</f>
        <v>3.1833333333333331</v>
      </c>
      <c r="AP169" s="49">
        <v>6</v>
      </c>
      <c r="AQ169" s="49">
        <v>0</v>
      </c>
      <c r="AR169" s="26">
        <f>Tabla2[[#This Row],[Minutos*]]/60</f>
        <v>0</v>
      </c>
      <c r="AS169" s="27">
        <f>SUM(Tabla2[[#This Row],[Horas*]],Tabla2[[#This Row],[Minutos a Horas*]])+(Tabla2[[#This Row],[Tiempo Total a Nivel Proncincial (Horas)]])</f>
        <v>9.1833333333333336</v>
      </c>
      <c r="AV169" s="62"/>
    </row>
    <row r="170" spans="2:48" ht="42.75" customHeight="1" x14ac:dyDescent="0.25">
      <c r="B170" s="78" t="s">
        <v>2314</v>
      </c>
      <c r="C170" s="199" t="s">
        <v>4</v>
      </c>
      <c r="D170" s="162" t="s">
        <v>2497</v>
      </c>
      <c r="E170" s="162"/>
      <c r="F170" s="162" t="str">
        <f>CONCATENATE(Tabla1[[#This Row],[Simbología]],"_",Tabla1[[#This Row],[Acción]])</f>
        <v>AAA_Administración y otorgamiento del Registro de Hidrocarburos en toda la cadena</v>
      </c>
      <c r="G170" s="162" t="s">
        <v>14</v>
      </c>
      <c r="H170" s="161" t="s">
        <v>2548</v>
      </c>
      <c r="I170" s="163"/>
      <c r="J170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70" s="208" t="s">
        <v>2612</v>
      </c>
      <c r="L170" s="162" t="s">
        <v>2371</v>
      </c>
      <c r="M170" s="162"/>
      <c r="N170" s="164" t="str">
        <f>CONCATENATE(Tabla1[[#This Row],[Simbología**]],"_",Tabla1[[#This Row],[Sub Acción Especifica]])</f>
        <v>KKIN_40_Cancelación del RHO</v>
      </c>
      <c r="O170" s="163" t="s">
        <v>2673</v>
      </c>
      <c r="P170" s="162" t="s">
        <v>2366</v>
      </c>
      <c r="Q170" s="164" t="str">
        <f>CONCATENATE(Tabla1[[#This Row],[Simbología*]],"_",Tabla1[[#This Row],[Tipo de instalación relacionado]])</f>
        <v>KKKIN_54_Establecimientos (GNV o GNC o GNL)</v>
      </c>
      <c r="R170" s="165">
        <v>2</v>
      </c>
      <c r="S170" s="165">
        <v>3</v>
      </c>
      <c r="T170" s="166">
        <f>IFERROR(AVERAGE(Tabla1[[#This Row],[T. Mínimo]],Tabla1[[#This Row],[T. Máximo]]),0)</f>
        <v>2.5</v>
      </c>
      <c r="U170" s="167">
        <v>0</v>
      </c>
      <c r="V170" s="167">
        <v>0</v>
      </c>
      <c r="W170" s="166">
        <f>IFERROR(AVERAGE(Tabla1[[#This Row],[T. Mínimo*]],Tabla1[[#This Row],[T. Máximo*]]),0)</f>
        <v>0</v>
      </c>
      <c r="X170" s="167">
        <v>2</v>
      </c>
      <c r="Y170" s="167">
        <v>3</v>
      </c>
      <c r="Z170" s="166">
        <f>IFERROR(AVERAGE(Tabla1[[#This Row],[T. Mínimo**]],Tabla1[[#This Row],[T. Máximo**]]),0)</f>
        <v>2.5</v>
      </c>
      <c r="AA170" s="168">
        <f>SUM(Tabla1[[#This Row],[Promedio]],Tabla1[[#This Row],[Promedio*]],Tabla1[[#This Row],[Promedio**]])</f>
        <v>5</v>
      </c>
      <c r="AB170" s="169" t="s">
        <v>2491</v>
      </c>
      <c r="AD170" s="20" t="s">
        <v>2395</v>
      </c>
      <c r="AE170" s="10" t="s">
        <v>163</v>
      </c>
      <c r="AF170" s="20" t="s">
        <v>173</v>
      </c>
      <c r="AG170" s="10"/>
      <c r="AH170" s="22" t="str">
        <f t="shared" si="4"/>
        <v>Áncash_10 Huari</v>
      </c>
      <c r="AI170" s="10" t="s">
        <v>356</v>
      </c>
      <c r="AJ170" s="20" t="s">
        <v>262</v>
      </c>
      <c r="AK170" s="22" t="str">
        <f t="shared" si="5"/>
        <v>Áncash_10 Huari_16 Uco</v>
      </c>
      <c r="AL170" s="25">
        <v>3</v>
      </c>
      <c r="AM170" s="25">
        <v>11</v>
      </c>
      <c r="AN170" s="26">
        <f>Tabla2[[#This Row],[Minutos]]/60</f>
        <v>0.18333333333333332</v>
      </c>
      <c r="AO170" s="27">
        <f>SUM(Tabla2[[#This Row],[Horas]],Tabla2[[#This Row],[Minutos a Horas]])</f>
        <v>3.1833333333333331</v>
      </c>
      <c r="AP170" s="49">
        <v>8</v>
      </c>
      <c r="AQ170" s="49">
        <v>0</v>
      </c>
      <c r="AR170" s="26">
        <f>Tabla2[[#This Row],[Minutos*]]/60</f>
        <v>0</v>
      </c>
      <c r="AS170" s="27">
        <f>SUM(Tabla2[[#This Row],[Horas*]],Tabla2[[#This Row],[Minutos a Horas*]])+(Tabla2[[#This Row],[Tiempo Total a Nivel Proncincial (Horas)]])</f>
        <v>11.183333333333334</v>
      </c>
      <c r="AV170" s="62"/>
    </row>
    <row r="171" spans="2:48" ht="42.75" customHeight="1" x14ac:dyDescent="0.25">
      <c r="B171" s="78" t="s">
        <v>2314</v>
      </c>
      <c r="C171" s="199" t="s">
        <v>4</v>
      </c>
      <c r="D171" s="162" t="s">
        <v>2497</v>
      </c>
      <c r="E171" s="162"/>
      <c r="F171" s="162" t="str">
        <f>CONCATENATE(Tabla1[[#This Row],[Simbología]],"_",Tabla1[[#This Row],[Acción]])</f>
        <v>AAA_Administración y otorgamiento del Registro de Hidrocarburos en toda la cadena</v>
      </c>
      <c r="G171" s="162" t="s">
        <v>14</v>
      </c>
      <c r="H171" s="161" t="s">
        <v>2548</v>
      </c>
      <c r="I171" s="163"/>
      <c r="J171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71" s="208" t="s">
        <v>2612</v>
      </c>
      <c r="L171" s="162" t="s">
        <v>2371</v>
      </c>
      <c r="M171" s="162"/>
      <c r="N171" s="164" t="str">
        <f>CONCATENATE(Tabla1[[#This Row],[Simbología**]],"_",Tabla1[[#This Row],[Sub Acción Especifica]])</f>
        <v>KKIN_40_Cancelación del RHO</v>
      </c>
      <c r="O171" s="163" t="s">
        <v>2673</v>
      </c>
      <c r="P171" s="162" t="s">
        <v>8</v>
      </c>
      <c r="Q171" s="164" t="str">
        <f>CONCATENATE(Tabla1[[#This Row],[Simbología*]],"_",Tabla1[[#This Row],[Tipo de instalación relacionado]])</f>
        <v>KKKIN_54_Consumidores Directos de CL y/u OPDH</v>
      </c>
      <c r="R171" s="165">
        <v>2.5</v>
      </c>
      <c r="S171" s="165">
        <v>3.5</v>
      </c>
      <c r="T171" s="166">
        <f>IFERROR(AVERAGE(Tabla1[[#This Row],[T. Mínimo]],Tabla1[[#This Row],[T. Máximo]]),0)</f>
        <v>3</v>
      </c>
      <c r="U171" s="167">
        <v>0</v>
      </c>
      <c r="V171" s="167">
        <v>0</v>
      </c>
      <c r="W171" s="166">
        <f>IFERROR(AVERAGE(Tabla1[[#This Row],[T. Mínimo*]],Tabla1[[#This Row],[T. Máximo*]]),0)</f>
        <v>0</v>
      </c>
      <c r="X171" s="167">
        <v>2</v>
      </c>
      <c r="Y171" s="167">
        <v>3</v>
      </c>
      <c r="Z171" s="166">
        <f>IFERROR(AVERAGE(Tabla1[[#This Row],[T. Mínimo**]],Tabla1[[#This Row],[T. Máximo**]]),0)</f>
        <v>2.5</v>
      </c>
      <c r="AA171" s="168">
        <f>SUM(Tabla1[[#This Row],[Promedio]],Tabla1[[#This Row],[Promedio*]],Tabla1[[#This Row],[Promedio**]])</f>
        <v>5.5</v>
      </c>
      <c r="AB171" s="169" t="s">
        <v>2491</v>
      </c>
      <c r="AD171" s="20" t="s">
        <v>2395</v>
      </c>
      <c r="AE171" s="10" t="s">
        <v>163</v>
      </c>
      <c r="AF171" s="20" t="s">
        <v>174</v>
      </c>
      <c r="AG171" s="10"/>
      <c r="AH171" s="22" t="str">
        <f t="shared" si="4"/>
        <v>Áncash_11 Huarmey</v>
      </c>
      <c r="AI171" s="10" t="s">
        <v>357</v>
      </c>
      <c r="AJ171" s="20" t="s">
        <v>263</v>
      </c>
      <c r="AK171" s="22" t="str">
        <f t="shared" si="5"/>
        <v>Áncash_11 Huarmey_01 Huarmey</v>
      </c>
      <c r="AL171" s="25">
        <v>2</v>
      </c>
      <c r="AM171" s="25">
        <v>58</v>
      </c>
      <c r="AN171" s="26">
        <f>Tabla2[[#This Row],[Minutos]]/60</f>
        <v>0.96666666666666667</v>
      </c>
      <c r="AO171" s="27">
        <f>SUM(Tabla2[[#This Row],[Horas]],Tabla2[[#This Row],[Minutos a Horas]])</f>
        <v>2.9666666666666668</v>
      </c>
      <c r="AP171" s="49">
        <v>4</v>
      </c>
      <c r="AQ171" s="49"/>
      <c r="AR171" s="26">
        <f>Tabla2[[#This Row],[Minutos*]]/60</f>
        <v>0</v>
      </c>
      <c r="AS171" s="27">
        <f>SUM(Tabla2[[#This Row],[Horas*]],Tabla2[[#This Row],[Minutos a Horas*]])+(Tabla2[[#This Row],[Tiempo Total a Nivel Proncincial (Horas)]])</f>
        <v>6.9666666666666668</v>
      </c>
      <c r="AV171" s="62"/>
    </row>
    <row r="172" spans="2:48" ht="42.75" customHeight="1" x14ac:dyDescent="0.25">
      <c r="B172" s="78" t="s">
        <v>2314</v>
      </c>
      <c r="C172" s="199" t="s">
        <v>4</v>
      </c>
      <c r="D172" s="162" t="s">
        <v>2497</v>
      </c>
      <c r="E172" s="162"/>
      <c r="F172" s="162" t="str">
        <f>CONCATENATE(Tabla1[[#This Row],[Simbología]],"_",Tabla1[[#This Row],[Acción]])</f>
        <v>AAA_Administración y otorgamiento del Registro de Hidrocarburos en toda la cadena</v>
      </c>
      <c r="G172" s="162" t="s">
        <v>14</v>
      </c>
      <c r="H172" s="161" t="s">
        <v>2548</v>
      </c>
      <c r="I172" s="163"/>
      <c r="J172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72" s="208" t="s">
        <v>2612</v>
      </c>
      <c r="L172" s="162" t="s">
        <v>2371</v>
      </c>
      <c r="M172" s="162"/>
      <c r="N172" s="164" t="str">
        <f>CONCATENATE(Tabla1[[#This Row],[Simbología**]],"_",Tabla1[[#This Row],[Sub Acción Especifica]])</f>
        <v>KKIN_40_Cancelación del RHO</v>
      </c>
      <c r="O172" s="163" t="s">
        <v>2673</v>
      </c>
      <c r="P172" s="162" t="s">
        <v>22</v>
      </c>
      <c r="Q172" s="164" t="str">
        <f>CONCATENATE(Tabla1[[#This Row],[Simbología*]],"_",Tabla1[[#This Row],[Tipo de instalación relacionado]])</f>
        <v>KKKIN_54_Consumidores Directos GLP y Redes de Distribución</v>
      </c>
      <c r="R172" s="165">
        <v>1.5</v>
      </c>
      <c r="S172" s="165">
        <v>2.5</v>
      </c>
      <c r="T172" s="166">
        <f>IFERROR(AVERAGE(Tabla1[[#This Row],[T. Mínimo]],Tabla1[[#This Row],[T. Máximo]]),0)</f>
        <v>2</v>
      </c>
      <c r="U172" s="167">
        <v>0</v>
      </c>
      <c r="V172" s="167">
        <v>0</v>
      </c>
      <c r="W172" s="166">
        <f>IFERROR(AVERAGE(Tabla1[[#This Row],[T. Mínimo*]],Tabla1[[#This Row],[T. Máximo*]]),0)</f>
        <v>0</v>
      </c>
      <c r="X172" s="167">
        <v>1.5</v>
      </c>
      <c r="Y172" s="167">
        <v>2.5</v>
      </c>
      <c r="Z172" s="166">
        <f>IFERROR(AVERAGE(Tabla1[[#This Row],[T. Mínimo**]],Tabla1[[#This Row],[T. Máximo**]]),0)</f>
        <v>2</v>
      </c>
      <c r="AA172" s="168">
        <f>SUM(Tabla1[[#This Row],[Promedio]],Tabla1[[#This Row],[Promedio*]],Tabla1[[#This Row],[Promedio**]])</f>
        <v>4</v>
      </c>
      <c r="AB172" s="169" t="s">
        <v>2491</v>
      </c>
      <c r="AD172" s="20" t="s">
        <v>2395</v>
      </c>
      <c r="AE172" s="10" t="s">
        <v>163</v>
      </c>
      <c r="AF172" s="20" t="s">
        <v>174</v>
      </c>
      <c r="AG172" s="10"/>
      <c r="AH172" s="22" t="str">
        <f t="shared" si="4"/>
        <v>Áncash_11 Huarmey</v>
      </c>
      <c r="AI172" s="10" t="s">
        <v>357</v>
      </c>
      <c r="AJ172" s="20" t="s">
        <v>264</v>
      </c>
      <c r="AK172" s="22" t="str">
        <f t="shared" si="5"/>
        <v>Áncash_11 Huarmey_02 Cochapeti</v>
      </c>
      <c r="AL172" s="25">
        <v>2</v>
      </c>
      <c r="AM172" s="25">
        <v>58</v>
      </c>
      <c r="AN172" s="26">
        <f>Tabla2[[#This Row],[Minutos]]/60</f>
        <v>0.96666666666666667</v>
      </c>
      <c r="AO172" s="27">
        <f>SUM(Tabla2[[#This Row],[Horas]],Tabla2[[#This Row],[Minutos a Horas]])</f>
        <v>2.9666666666666668</v>
      </c>
      <c r="AP172" s="49">
        <v>5</v>
      </c>
      <c r="AQ172" s="49"/>
      <c r="AR172" s="26">
        <f>Tabla2[[#This Row],[Minutos*]]/60</f>
        <v>0</v>
      </c>
      <c r="AS172" s="27">
        <f>SUM(Tabla2[[#This Row],[Horas*]],Tabla2[[#This Row],[Minutos a Horas*]])+(Tabla2[[#This Row],[Tiempo Total a Nivel Proncincial (Horas)]])</f>
        <v>7.9666666666666668</v>
      </c>
      <c r="AV172" s="62"/>
    </row>
    <row r="173" spans="2:48" ht="42.75" customHeight="1" x14ac:dyDescent="0.25">
      <c r="B173" s="78" t="s">
        <v>2314</v>
      </c>
      <c r="C173" s="199" t="s">
        <v>4</v>
      </c>
      <c r="D173" s="162" t="s">
        <v>2497</v>
      </c>
      <c r="E173" s="162"/>
      <c r="F173" s="162" t="str">
        <f>CONCATENATE(Tabla1[[#This Row],[Simbología]],"_",Tabla1[[#This Row],[Acción]])</f>
        <v>AAA_Administración y otorgamiento del Registro de Hidrocarburos en toda la cadena</v>
      </c>
      <c r="G173" s="162" t="s">
        <v>14</v>
      </c>
      <c r="H173" s="161" t="s">
        <v>2548</v>
      </c>
      <c r="I173" s="163"/>
      <c r="J173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73" s="208" t="s">
        <v>2612</v>
      </c>
      <c r="L173" s="162" t="s">
        <v>2371</v>
      </c>
      <c r="M173" s="162"/>
      <c r="N173" s="164" t="str">
        <f>CONCATENATE(Tabla1[[#This Row],[Simbología**]],"_",Tabla1[[#This Row],[Sub Acción Especifica]])</f>
        <v>KKIN_40_Cancelación del RHO</v>
      </c>
      <c r="O173" s="163" t="s">
        <v>2673</v>
      </c>
      <c r="P173" s="162" t="s">
        <v>23</v>
      </c>
      <c r="Q173" s="164" t="str">
        <f>CONCATENATE(Tabla1[[#This Row],[Simbología*]],"_",Tabla1[[#This Row],[Tipo de instalación relacionado]])</f>
        <v>KKKIN_54_Medios de Transporte y Distribuidores (Líquidos, GLP)</v>
      </c>
      <c r="R173" s="165">
        <v>1</v>
      </c>
      <c r="S173" s="165">
        <v>2</v>
      </c>
      <c r="T173" s="166">
        <f>IFERROR(AVERAGE(Tabla1[[#This Row],[T. Mínimo]],Tabla1[[#This Row],[T. Máximo]]),0)</f>
        <v>1.5</v>
      </c>
      <c r="U173" s="167">
        <v>0</v>
      </c>
      <c r="V173" s="167">
        <v>0</v>
      </c>
      <c r="W173" s="166">
        <f>IFERROR(AVERAGE(Tabla1[[#This Row],[T. Mínimo*]],Tabla1[[#This Row],[T. Máximo*]]),0)</f>
        <v>0</v>
      </c>
      <c r="X173" s="167">
        <v>1.5</v>
      </c>
      <c r="Y173" s="167">
        <v>2.5</v>
      </c>
      <c r="Z173" s="166">
        <f>IFERROR(AVERAGE(Tabla1[[#This Row],[T. Mínimo**]],Tabla1[[#This Row],[T. Máximo**]]),0)</f>
        <v>2</v>
      </c>
      <c r="AA173" s="168">
        <f>SUM(Tabla1[[#This Row],[Promedio]],Tabla1[[#This Row],[Promedio*]],Tabla1[[#This Row],[Promedio**]])</f>
        <v>3.5</v>
      </c>
      <c r="AB173" s="169" t="s">
        <v>2491</v>
      </c>
      <c r="AD173" s="20" t="s">
        <v>2395</v>
      </c>
      <c r="AE173" s="10" t="s">
        <v>163</v>
      </c>
      <c r="AF173" s="20" t="s">
        <v>174</v>
      </c>
      <c r="AG173" s="10"/>
      <c r="AH173" s="22" t="str">
        <f t="shared" si="4"/>
        <v>Áncash_11 Huarmey</v>
      </c>
      <c r="AI173" s="10" t="s">
        <v>357</v>
      </c>
      <c r="AJ173" s="20" t="s">
        <v>265</v>
      </c>
      <c r="AK173" s="22" t="str">
        <f t="shared" si="5"/>
        <v>Áncash_11 Huarmey_03 Culebras</v>
      </c>
      <c r="AL173" s="25">
        <v>2</v>
      </c>
      <c r="AM173" s="25">
        <v>58</v>
      </c>
      <c r="AN173" s="26">
        <f>Tabla2[[#This Row],[Minutos]]/60</f>
        <v>0.96666666666666667</v>
      </c>
      <c r="AO173" s="27">
        <f>SUM(Tabla2[[#This Row],[Horas]],Tabla2[[#This Row],[Minutos a Horas]])</f>
        <v>2.9666666666666668</v>
      </c>
      <c r="AP173" s="49">
        <v>4</v>
      </c>
      <c r="AQ173" s="49"/>
      <c r="AR173" s="26">
        <f>Tabla2[[#This Row],[Minutos*]]/60</f>
        <v>0</v>
      </c>
      <c r="AS173" s="27">
        <f>SUM(Tabla2[[#This Row],[Horas*]],Tabla2[[#This Row],[Minutos a Horas*]])+(Tabla2[[#This Row],[Tiempo Total a Nivel Proncincial (Horas)]])</f>
        <v>6.9666666666666668</v>
      </c>
      <c r="AV173" s="62"/>
    </row>
    <row r="174" spans="2:48" ht="42.75" customHeight="1" x14ac:dyDescent="0.25">
      <c r="B174" s="78" t="s">
        <v>2314</v>
      </c>
      <c r="C174" s="199" t="s">
        <v>4</v>
      </c>
      <c r="D174" s="162" t="s">
        <v>2497</v>
      </c>
      <c r="E174" s="162"/>
      <c r="F174" s="162" t="str">
        <f>CONCATENATE(Tabla1[[#This Row],[Simbología]],"_",Tabla1[[#This Row],[Acción]])</f>
        <v>AAA_Administración y otorgamiento del Registro de Hidrocarburos en toda la cadena</v>
      </c>
      <c r="G174" s="162" t="s">
        <v>14</v>
      </c>
      <c r="H174" s="161" t="s">
        <v>2548</v>
      </c>
      <c r="I174" s="163"/>
      <c r="J174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74" s="208" t="s">
        <v>2612</v>
      </c>
      <c r="L174" s="162" t="s">
        <v>2371</v>
      </c>
      <c r="M174" s="162"/>
      <c r="N174" s="164" t="str">
        <f>CONCATENATE(Tabla1[[#This Row],[Simbología**]],"_",Tabla1[[#This Row],[Sub Acción Especifica]])</f>
        <v>KKIN_40_Cancelación del RHO</v>
      </c>
      <c r="O174" s="163" t="s">
        <v>2673</v>
      </c>
      <c r="P174" s="162" t="s">
        <v>24</v>
      </c>
      <c r="Q174" s="164" t="str">
        <f>CONCATENATE(Tabla1[[#This Row],[Simbología*]],"_",Tabla1[[#This Row],[Tipo de instalación relacionado]])</f>
        <v>KKKIN_54_Locales de Venta de GLP</v>
      </c>
      <c r="R174" s="165">
        <v>1.5</v>
      </c>
      <c r="S174" s="165">
        <v>2.5</v>
      </c>
      <c r="T174" s="166">
        <f>IFERROR(AVERAGE(Tabla1[[#This Row],[T. Mínimo]],Tabla1[[#This Row],[T. Máximo]]),0)</f>
        <v>2</v>
      </c>
      <c r="U174" s="167">
        <v>0</v>
      </c>
      <c r="V174" s="167">
        <v>0</v>
      </c>
      <c r="W174" s="166">
        <f>IFERROR(AVERAGE(Tabla1[[#This Row],[T. Mínimo*]],Tabla1[[#This Row],[T. Máximo*]]),0)</f>
        <v>0</v>
      </c>
      <c r="X174" s="167">
        <v>1.5</v>
      </c>
      <c r="Y174" s="167">
        <v>2.5</v>
      </c>
      <c r="Z174" s="166">
        <f>IFERROR(AVERAGE(Tabla1[[#This Row],[T. Mínimo**]],Tabla1[[#This Row],[T. Máximo**]]),0)</f>
        <v>2</v>
      </c>
      <c r="AA174" s="168">
        <f>SUM(Tabla1[[#This Row],[Promedio]],Tabla1[[#This Row],[Promedio*]],Tabla1[[#This Row],[Promedio**]])</f>
        <v>4</v>
      </c>
      <c r="AB174" s="169" t="s">
        <v>2491</v>
      </c>
      <c r="AD174" s="20" t="s">
        <v>2395</v>
      </c>
      <c r="AE174" s="10" t="s">
        <v>163</v>
      </c>
      <c r="AF174" s="20" t="s">
        <v>174</v>
      </c>
      <c r="AG174" s="10"/>
      <c r="AH174" s="22" t="str">
        <f t="shared" si="4"/>
        <v>Áncash_11 Huarmey</v>
      </c>
      <c r="AI174" s="10" t="s">
        <v>357</v>
      </c>
      <c r="AJ174" s="20" t="s">
        <v>266</v>
      </c>
      <c r="AK174" s="22" t="str">
        <f t="shared" si="5"/>
        <v>Áncash_11 Huarmey_04 Huayan</v>
      </c>
      <c r="AL174" s="25">
        <v>2</v>
      </c>
      <c r="AM174" s="25">
        <v>58</v>
      </c>
      <c r="AN174" s="26">
        <f>Tabla2[[#This Row],[Minutos]]/60</f>
        <v>0.96666666666666667</v>
      </c>
      <c r="AO174" s="27">
        <f>SUM(Tabla2[[#This Row],[Horas]],Tabla2[[#This Row],[Minutos a Horas]])</f>
        <v>2.9666666666666668</v>
      </c>
      <c r="AP174" s="49">
        <v>5</v>
      </c>
      <c r="AQ174" s="49"/>
      <c r="AR174" s="26">
        <f>Tabla2[[#This Row],[Minutos*]]/60</f>
        <v>0</v>
      </c>
      <c r="AS174" s="27">
        <f>SUM(Tabla2[[#This Row],[Horas*]],Tabla2[[#This Row],[Minutos a Horas*]])+(Tabla2[[#This Row],[Tiempo Total a Nivel Proncincial (Horas)]])</f>
        <v>7.9666666666666668</v>
      </c>
      <c r="AV174" s="62"/>
    </row>
    <row r="175" spans="2:48" ht="42.75" customHeight="1" x14ac:dyDescent="0.25">
      <c r="B175" s="78" t="s">
        <v>2314</v>
      </c>
      <c r="C175" s="199" t="s">
        <v>4</v>
      </c>
      <c r="D175" s="162" t="s">
        <v>2497</v>
      </c>
      <c r="E175" s="162"/>
      <c r="F175" s="162" t="str">
        <f>CONCATENATE(Tabla1[[#This Row],[Simbología]],"_",Tabla1[[#This Row],[Acción]])</f>
        <v>AAA_Administración y otorgamiento del Registro de Hidrocarburos en toda la cadena</v>
      </c>
      <c r="G175" s="162" t="s">
        <v>14</v>
      </c>
      <c r="H175" s="161" t="s">
        <v>2548</v>
      </c>
      <c r="I175" s="163"/>
      <c r="J175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75" s="208" t="s">
        <v>2612</v>
      </c>
      <c r="L175" s="162" t="s">
        <v>2371</v>
      </c>
      <c r="M175" s="162"/>
      <c r="N175" s="164" t="str">
        <f>CONCATENATE(Tabla1[[#This Row],[Simbología**]],"_",Tabla1[[#This Row],[Sub Acción Especifica]])</f>
        <v>KKIN_40_Cancelación del RHO</v>
      </c>
      <c r="O175" s="163" t="s">
        <v>2673</v>
      </c>
      <c r="P175" s="162" t="s">
        <v>25</v>
      </c>
      <c r="Q175" s="164" t="str">
        <f>CONCATENATE(Tabla1[[#This Row],[Simbología*]],"_",Tabla1[[#This Row],[Tipo de instalación relacionado]])</f>
        <v>KKKIN_54_Unidades Mayores</v>
      </c>
      <c r="R175" s="165">
        <v>1.5</v>
      </c>
      <c r="S175" s="165">
        <v>2.5</v>
      </c>
      <c r="T175" s="166">
        <f>IFERROR(AVERAGE(Tabla1[[#This Row],[T. Mínimo]],Tabla1[[#This Row],[T. Máximo]]),0)</f>
        <v>2</v>
      </c>
      <c r="U175" s="167">
        <v>0</v>
      </c>
      <c r="V175" s="167">
        <v>0</v>
      </c>
      <c r="W175" s="166">
        <f>IFERROR(AVERAGE(Tabla1[[#This Row],[T. Mínimo*]],Tabla1[[#This Row],[T. Máximo*]]),0)</f>
        <v>0</v>
      </c>
      <c r="X175" s="167">
        <v>1.5</v>
      </c>
      <c r="Y175" s="167">
        <v>2.5</v>
      </c>
      <c r="Z175" s="166">
        <f>IFERROR(AVERAGE(Tabla1[[#This Row],[T. Mínimo**]],Tabla1[[#This Row],[T. Máximo**]]),0)</f>
        <v>2</v>
      </c>
      <c r="AA175" s="168">
        <f>SUM(Tabla1[[#This Row],[Promedio]],Tabla1[[#This Row],[Promedio*]],Tabla1[[#This Row],[Promedio**]])</f>
        <v>4</v>
      </c>
      <c r="AB175" s="169" t="s">
        <v>2491</v>
      </c>
      <c r="AD175" s="20" t="s">
        <v>2395</v>
      </c>
      <c r="AE175" s="10" t="s">
        <v>163</v>
      </c>
      <c r="AF175" s="20" t="s">
        <v>174</v>
      </c>
      <c r="AG175" s="10"/>
      <c r="AH175" s="22" t="str">
        <f t="shared" si="4"/>
        <v>Áncash_11 Huarmey</v>
      </c>
      <c r="AI175" s="10" t="s">
        <v>357</v>
      </c>
      <c r="AJ175" s="20" t="s">
        <v>267</v>
      </c>
      <c r="AK175" s="22" t="str">
        <f t="shared" si="5"/>
        <v>Áncash_11 Huarmey_05 Malvas</v>
      </c>
      <c r="AL175" s="25">
        <v>2</v>
      </c>
      <c r="AM175" s="25">
        <v>58</v>
      </c>
      <c r="AN175" s="26">
        <f>Tabla2[[#This Row],[Minutos]]/60</f>
        <v>0.96666666666666667</v>
      </c>
      <c r="AO175" s="27">
        <f>SUM(Tabla2[[#This Row],[Horas]],Tabla2[[#This Row],[Minutos a Horas]])</f>
        <v>2.9666666666666668</v>
      </c>
      <c r="AP175" s="49">
        <v>6</v>
      </c>
      <c r="AQ175" s="49">
        <v>30</v>
      </c>
      <c r="AR175" s="26">
        <f>Tabla2[[#This Row],[Minutos*]]/60</f>
        <v>0.5</v>
      </c>
      <c r="AS175" s="27">
        <f>SUM(Tabla2[[#This Row],[Horas*]],Tabla2[[#This Row],[Minutos a Horas*]])+(Tabla2[[#This Row],[Tiempo Total a Nivel Proncincial (Horas)]])</f>
        <v>9.4666666666666668</v>
      </c>
      <c r="AV175" s="62"/>
    </row>
    <row r="176" spans="2:48" ht="42.75" customHeight="1" x14ac:dyDescent="0.25">
      <c r="B176" s="78" t="s">
        <v>2314</v>
      </c>
      <c r="C176" s="199" t="s">
        <v>4</v>
      </c>
      <c r="D176" s="162" t="s">
        <v>2497</v>
      </c>
      <c r="E176" s="162"/>
      <c r="F176" s="162" t="str">
        <f>CONCATENATE(Tabla1[[#This Row],[Simbología]],"_",Tabla1[[#This Row],[Acción]])</f>
        <v>AAA_Administración y otorgamiento del Registro de Hidrocarburos en toda la cadena</v>
      </c>
      <c r="G176" s="162" t="s">
        <v>14</v>
      </c>
      <c r="H176" s="161" t="s">
        <v>2551</v>
      </c>
      <c r="I176" s="163"/>
      <c r="J176" s="209" t="str">
        <f>CONCATENATE(Tabla1[[#This Row],[Simbología1]],"_",Tabla1[[#This Row],[Acción Especifica]])</f>
        <v>KIN_4_Supervisión Ex Post del Registro de Hidrocarburos con aprobación automática</v>
      </c>
      <c r="K176" s="209" t="s">
        <v>2613</v>
      </c>
      <c r="L176" s="162" t="s">
        <v>21</v>
      </c>
      <c r="M176" s="162" t="s">
        <v>21</v>
      </c>
      <c r="N176" s="164" t="str">
        <f>CONCATENATE(Tabla1[[#This Row],[Simbología**]],"_",Tabla1[[#This Row],[Sub Acción Especifica]])</f>
        <v>KKIN_41_RHO Inscripción</v>
      </c>
      <c r="O176" s="163" t="s">
        <v>2674</v>
      </c>
      <c r="P176" s="162" t="s">
        <v>2363</v>
      </c>
      <c r="Q176" s="164" t="str">
        <f>CONCATENATE(Tabla1[[#This Row],[Simbología*]],"_",Tabla1[[#This Row],[Tipo de instalación relacionado]])</f>
        <v>KKKIN_55_Establecimientos de Venta al Público (Líquidos y/o GLP)</v>
      </c>
      <c r="R176" s="165">
        <v>2.6</v>
      </c>
      <c r="S176" s="165">
        <v>3.9000000000000004</v>
      </c>
      <c r="T176" s="166">
        <f>IFERROR(AVERAGE(Tabla1[[#This Row],[T. Mínimo]],Tabla1[[#This Row],[T. Máximo]]),0)</f>
        <v>3.25</v>
      </c>
      <c r="U176" s="167">
        <v>0</v>
      </c>
      <c r="V176" s="167">
        <v>0</v>
      </c>
      <c r="W176" s="166">
        <f>IFERROR(AVERAGE(Tabla1[[#This Row],[T. Mínimo*]],Tabla1[[#This Row],[T. Máximo*]]),0)</f>
        <v>0</v>
      </c>
      <c r="X176" s="167">
        <v>2.6</v>
      </c>
      <c r="Y176" s="167">
        <v>3.9000000000000004</v>
      </c>
      <c r="Z176" s="166">
        <f>IFERROR(AVERAGE(Tabla1[[#This Row],[T. Mínimo**]],Tabla1[[#This Row],[T. Máximo**]]),0)</f>
        <v>3.25</v>
      </c>
      <c r="AA176" s="168">
        <f>SUM(Tabla1[[#This Row],[Promedio]],Tabla1[[#This Row],[Promedio*]],Tabla1[[#This Row],[Promedio**]])</f>
        <v>6.5</v>
      </c>
      <c r="AB176" s="169" t="s">
        <v>2486</v>
      </c>
      <c r="AD176" s="20" t="s">
        <v>2395</v>
      </c>
      <c r="AE176" s="10" t="s">
        <v>163</v>
      </c>
      <c r="AF176" s="20" t="s">
        <v>175</v>
      </c>
      <c r="AG176" s="10"/>
      <c r="AH176" s="22" t="str">
        <f t="shared" si="4"/>
        <v>Áncash_12 Huaylas</v>
      </c>
      <c r="AI176" s="10" t="s">
        <v>358</v>
      </c>
      <c r="AJ176" s="20" t="s">
        <v>268</v>
      </c>
      <c r="AK176" s="22" t="str">
        <f t="shared" si="5"/>
        <v>Áncash_12 Huaylas_01 Caraz</v>
      </c>
      <c r="AL176" s="25">
        <v>1</v>
      </c>
      <c r="AM176" s="25">
        <v>34</v>
      </c>
      <c r="AN176" s="26">
        <f>Tabla2[[#This Row],[Minutos]]/60</f>
        <v>0.56666666666666665</v>
      </c>
      <c r="AO176" s="27">
        <f>SUM(Tabla2[[#This Row],[Horas]],Tabla2[[#This Row],[Minutos a Horas]])</f>
        <v>1.5666666666666667</v>
      </c>
      <c r="AP176" s="49">
        <v>1</v>
      </c>
      <c r="AQ176" s="49">
        <v>30</v>
      </c>
      <c r="AR176" s="26">
        <f>Tabla2[[#This Row],[Minutos*]]/60</f>
        <v>0.5</v>
      </c>
      <c r="AS176" s="27">
        <f>SUM(Tabla2[[#This Row],[Horas*]],Tabla2[[#This Row],[Minutos a Horas*]])+(Tabla2[[#This Row],[Tiempo Total a Nivel Proncincial (Horas)]])</f>
        <v>3.0666666666666664</v>
      </c>
      <c r="AV176" s="62"/>
    </row>
    <row r="177" spans="2:48" ht="42.75" customHeight="1" x14ac:dyDescent="0.25">
      <c r="B177" s="78" t="s">
        <v>2314</v>
      </c>
      <c r="C177" s="199" t="s">
        <v>4</v>
      </c>
      <c r="D177" s="162" t="s">
        <v>2497</v>
      </c>
      <c r="E177" s="162"/>
      <c r="F177" s="162" t="str">
        <f>CONCATENATE(Tabla1[[#This Row],[Simbología]],"_",Tabla1[[#This Row],[Acción]])</f>
        <v>AAA_Administración y otorgamiento del Registro de Hidrocarburos en toda la cadena</v>
      </c>
      <c r="G177" s="162" t="s">
        <v>14</v>
      </c>
      <c r="H177" s="161" t="s">
        <v>2551</v>
      </c>
      <c r="I177" s="163"/>
      <c r="J177" s="209" t="str">
        <f>CONCATENATE(Tabla1[[#This Row],[Simbología1]],"_",Tabla1[[#This Row],[Acción Especifica]])</f>
        <v>KIN_4_Supervisión Ex Post del Registro de Hidrocarburos con aprobación automática</v>
      </c>
      <c r="K177" s="209" t="s">
        <v>2613</v>
      </c>
      <c r="L177" s="162" t="s">
        <v>21</v>
      </c>
      <c r="M177" s="162" t="s">
        <v>2552</v>
      </c>
      <c r="N177" s="164" t="str">
        <f>CONCATENATE(Tabla1[[#This Row],[Simbología**]],"_",Tabla1[[#This Row],[Sub Acción Especifica]])</f>
        <v>KKIN_41_RHO Inscripción</v>
      </c>
      <c r="O177" s="163" t="s">
        <v>2674</v>
      </c>
      <c r="P177" s="162" t="s">
        <v>2366</v>
      </c>
      <c r="Q177" s="164" t="str">
        <f>CONCATENATE(Tabla1[[#This Row],[Simbología*]],"_",Tabla1[[#This Row],[Tipo de instalación relacionado]])</f>
        <v>KKKIN_55_Establecimientos (GNV o GNC o GNL)</v>
      </c>
      <c r="R177" s="165">
        <v>2.6</v>
      </c>
      <c r="S177" s="165">
        <v>3.9000000000000004</v>
      </c>
      <c r="T177" s="166">
        <f>IFERROR(AVERAGE(Tabla1[[#This Row],[T. Mínimo]],Tabla1[[#This Row],[T. Máximo]]),0)</f>
        <v>3.25</v>
      </c>
      <c r="U177" s="167">
        <v>0</v>
      </c>
      <c r="V177" s="167">
        <v>0</v>
      </c>
      <c r="W177" s="166">
        <f>IFERROR(AVERAGE(Tabla1[[#This Row],[T. Mínimo*]],Tabla1[[#This Row],[T. Máximo*]]),0)</f>
        <v>0</v>
      </c>
      <c r="X177" s="167">
        <v>2.6</v>
      </c>
      <c r="Y177" s="167">
        <v>3.9000000000000004</v>
      </c>
      <c r="Z177" s="166">
        <f>IFERROR(AVERAGE(Tabla1[[#This Row],[T. Mínimo**]],Tabla1[[#This Row],[T. Máximo**]]),0)</f>
        <v>3.25</v>
      </c>
      <c r="AA177" s="168">
        <f>SUM(Tabla1[[#This Row],[Promedio]],Tabla1[[#This Row],[Promedio*]],Tabla1[[#This Row],[Promedio**]])</f>
        <v>6.5</v>
      </c>
      <c r="AB177" s="169" t="s">
        <v>2486</v>
      </c>
      <c r="AD177" s="20" t="s">
        <v>2395</v>
      </c>
      <c r="AE177" s="10" t="s">
        <v>163</v>
      </c>
      <c r="AF177" s="20" t="s">
        <v>175</v>
      </c>
      <c r="AG177" s="10"/>
      <c r="AH177" s="22" t="str">
        <f t="shared" si="4"/>
        <v>Áncash_12 Huaylas</v>
      </c>
      <c r="AI177" s="10" t="s">
        <v>358</v>
      </c>
      <c r="AJ177" s="20" t="s">
        <v>269</v>
      </c>
      <c r="AK177" s="22" t="str">
        <f t="shared" si="5"/>
        <v>Áncash_12 Huaylas_02 Huallanca</v>
      </c>
      <c r="AL177" s="25">
        <v>1</v>
      </c>
      <c r="AM177" s="25">
        <v>34</v>
      </c>
      <c r="AN177" s="26">
        <f>Tabla2[[#This Row],[Minutos]]/60</f>
        <v>0.56666666666666665</v>
      </c>
      <c r="AO177" s="27">
        <f>SUM(Tabla2[[#This Row],[Horas]],Tabla2[[#This Row],[Minutos a Horas]])</f>
        <v>1.5666666666666667</v>
      </c>
      <c r="AP177" s="49">
        <v>2</v>
      </c>
      <c r="AQ177" s="49">
        <v>30</v>
      </c>
      <c r="AR177" s="26">
        <f>Tabla2[[#This Row],[Minutos*]]/60</f>
        <v>0.5</v>
      </c>
      <c r="AS177" s="27">
        <f>SUM(Tabla2[[#This Row],[Horas*]],Tabla2[[#This Row],[Minutos a Horas*]])+(Tabla2[[#This Row],[Tiempo Total a Nivel Proncincial (Horas)]])</f>
        <v>4.0666666666666664</v>
      </c>
      <c r="AV177" s="62"/>
    </row>
    <row r="178" spans="2:48" ht="42.75" customHeight="1" x14ac:dyDescent="0.25">
      <c r="B178" s="78" t="s">
        <v>2314</v>
      </c>
      <c r="C178" s="199" t="s">
        <v>4</v>
      </c>
      <c r="D178" s="162" t="s">
        <v>2497</v>
      </c>
      <c r="E178" s="162"/>
      <c r="F178" s="162" t="str">
        <f>CONCATENATE(Tabla1[[#This Row],[Simbología]],"_",Tabla1[[#This Row],[Acción]])</f>
        <v>AAA_Administración y otorgamiento del Registro de Hidrocarburos en toda la cadena</v>
      </c>
      <c r="G178" s="162" t="s">
        <v>14</v>
      </c>
      <c r="H178" s="161" t="s">
        <v>2551</v>
      </c>
      <c r="I178" s="163"/>
      <c r="J178" s="209" t="str">
        <f>CONCATENATE(Tabla1[[#This Row],[Simbología1]],"_",Tabla1[[#This Row],[Acción Especifica]])</f>
        <v>KIN_4_Supervisión Ex Post del Registro de Hidrocarburos con aprobación automática</v>
      </c>
      <c r="K178" s="209" t="s">
        <v>2613</v>
      </c>
      <c r="L178" s="162" t="s">
        <v>21</v>
      </c>
      <c r="M178" s="162" t="s">
        <v>2372</v>
      </c>
      <c r="N178" s="164" t="str">
        <f>CONCATENATE(Tabla1[[#This Row],[Simbología**]],"_",Tabla1[[#This Row],[Sub Acción Especifica]])</f>
        <v>KKIN_41_RHO Inscripción</v>
      </c>
      <c r="O178" s="163" t="s">
        <v>2674</v>
      </c>
      <c r="P178" s="162" t="s">
        <v>8</v>
      </c>
      <c r="Q178" s="164" t="str">
        <f>CONCATENATE(Tabla1[[#This Row],[Simbología*]],"_",Tabla1[[#This Row],[Tipo de instalación relacionado]])</f>
        <v>KKKIN_55_Consumidores Directos de CL y/u OPDH</v>
      </c>
      <c r="R178" s="165">
        <v>3.25</v>
      </c>
      <c r="S178" s="165">
        <v>4.55</v>
      </c>
      <c r="T178" s="166">
        <f>IFERROR(AVERAGE(Tabla1[[#This Row],[T. Mínimo]],Tabla1[[#This Row],[T. Máximo]]),0)</f>
        <v>3.9</v>
      </c>
      <c r="U178" s="167">
        <v>0</v>
      </c>
      <c r="V178" s="167">
        <v>0</v>
      </c>
      <c r="W178" s="166">
        <f>IFERROR(AVERAGE(Tabla1[[#This Row],[T. Mínimo*]],Tabla1[[#This Row],[T. Máximo*]]),0)</f>
        <v>0</v>
      </c>
      <c r="X178" s="167">
        <v>2.6</v>
      </c>
      <c r="Y178" s="167">
        <v>3.9000000000000004</v>
      </c>
      <c r="Z178" s="166">
        <f>IFERROR(AVERAGE(Tabla1[[#This Row],[T. Mínimo**]],Tabla1[[#This Row],[T. Máximo**]]),0)</f>
        <v>3.25</v>
      </c>
      <c r="AA178" s="168">
        <f>SUM(Tabla1[[#This Row],[Promedio]],Tabla1[[#This Row],[Promedio*]],Tabla1[[#This Row],[Promedio**]])</f>
        <v>7.15</v>
      </c>
      <c r="AB178" s="169" t="s">
        <v>2486</v>
      </c>
      <c r="AD178" s="20" t="s">
        <v>2395</v>
      </c>
      <c r="AE178" s="10" t="s">
        <v>163</v>
      </c>
      <c r="AF178" s="20" t="s">
        <v>175</v>
      </c>
      <c r="AG178" s="10"/>
      <c r="AH178" s="22" t="str">
        <f t="shared" si="4"/>
        <v>Áncash_12 Huaylas</v>
      </c>
      <c r="AI178" s="10" t="s">
        <v>358</v>
      </c>
      <c r="AJ178" s="20" t="s">
        <v>270</v>
      </c>
      <c r="AK178" s="22" t="str">
        <f t="shared" si="5"/>
        <v>Áncash_12 Huaylas_03 Huata</v>
      </c>
      <c r="AL178" s="25">
        <v>1</v>
      </c>
      <c r="AM178" s="25">
        <v>34</v>
      </c>
      <c r="AN178" s="26">
        <f>Tabla2[[#This Row],[Minutos]]/60</f>
        <v>0.56666666666666665</v>
      </c>
      <c r="AO178" s="27">
        <f>SUM(Tabla2[[#This Row],[Horas]],Tabla2[[#This Row],[Minutos a Horas]])</f>
        <v>1.5666666666666667</v>
      </c>
      <c r="AP178" s="49">
        <v>2</v>
      </c>
      <c r="AQ178" s="49">
        <v>0</v>
      </c>
      <c r="AR178" s="26">
        <f>Tabla2[[#This Row],[Minutos*]]/60</f>
        <v>0</v>
      </c>
      <c r="AS178" s="27">
        <f>SUM(Tabla2[[#This Row],[Horas*]],Tabla2[[#This Row],[Minutos a Horas*]])+(Tabla2[[#This Row],[Tiempo Total a Nivel Proncincial (Horas)]])</f>
        <v>3.5666666666666664</v>
      </c>
      <c r="AV178" s="62"/>
    </row>
    <row r="179" spans="2:48" ht="42.75" customHeight="1" x14ac:dyDescent="0.25">
      <c r="B179" s="78" t="s">
        <v>2314</v>
      </c>
      <c r="C179" s="199" t="s">
        <v>4</v>
      </c>
      <c r="D179" s="162" t="s">
        <v>2497</v>
      </c>
      <c r="E179" s="162"/>
      <c r="F179" s="162" t="str">
        <f>CONCATENATE(Tabla1[[#This Row],[Simbología]],"_",Tabla1[[#This Row],[Acción]])</f>
        <v>AAA_Administración y otorgamiento del Registro de Hidrocarburos en toda la cadena</v>
      </c>
      <c r="G179" s="162" t="s">
        <v>14</v>
      </c>
      <c r="H179" s="161" t="s">
        <v>2551</v>
      </c>
      <c r="I179" s="163"/>
      <c r="J179" s="209" t="str">
        <f>CONCATENATE(Tabla1[[#This Row],[Simbología1]],"_",Tabla1[[#This Row],[Acción Especifica]])</f>
        <v>KIN_4_Supervisión Ex Post del Registro de Hidrocarburos con aprobación automática</v>
      </c>
      <c r="K179" s="209" t="s">
        <v>2613</v>
      </c>
      <c r="L179" s="162" t="s">
        <v>21</v>
      </c>
      <c r="M179" s="172" t="s">
        <v>2369</v>
      </c>
      <c r="N179" s="164" t="str">
        <f>CONCATENATE(Tabla1[[#This Row],[Simbología**]],"_",Tabla1[[#This Row],[Sub Acción Especifica]])</f>
        <v>KKIN_41_RHO Inscripción</v>
      </c>
      <c r="O179" s="163" t="s">
        <v>2674</v>
      </c>
      <c r="P179" s="162" t="s">
        <v>22</v>
      </c>
      <c r="Q179" s="164" t="str">
        <f>CONCATENATE(Tabla1[[#This Row],[Simbología*]],"_",Tabla1[[#This Row],[Tipo de instalación relacionado]])</f>
        <v>KKKIN_55_Consumidores Directos GLP y Redes de Distribución</v>
      </c>
      <c r="R179" s="165">
        <v>1.9500000000000002</v>
      </c>
      <c r="S179" s="165">
        <v>3.25</v>
      </c>
      <c r="T179" s="166">
        <f>IFERROR(AVERAGE(Tabla1[[#This Row],[T. Mínimo]],Tabla1[[#This Row],[T. Máximo]]),0)</f>
        <v>2.6</v>
      </c>
      <c r="U179" s="167">
        <v>0</v>
      </c>
      <c r="V179" s="167">
        <v>0</v>
      </c>
      <c r="W179" s="166">
        <f>IFERROR(AVERAGE(Tabla1[[#This Row],[T. Mínimo*]],Tabla1[[#This Row],[T. Máximo*]]),0)</f>
        <v>0</v>
      </c>
      <c r="X179" s="167">
        <v>1.95</v>
      </c>
      <c r="Y179" s="167">
        <v>3.25</v>
      </c>
      <c r="Z179" s="166">
        <f>IFERROR(AVERAGE(Tabla1[[#This Row],[T. Mínimo**]],Tabla1[[#This Row],[T. Máximo**]]),0)</f>
        <v>2.6</v>
      </c>
      <c r="AA179" s="168">
        <f>SUM(Tabla1[[#This Row],[Promedio]],Tabla1[[#This Row],[Promedio*]],Tabla1[[#This Row],[Promedio**]])</f>
        <v>5.2</v>
      </c>
      <c r="AB179" s="169" t="s">
        <v>2486</v>
      </c>
      <c r="AD179" s="20" t="s">
        <v>2395</v>
      </c>
      <c r="AE179" s="10" t="s">
        <v>163</v>
      </c>
      <c r="AF179" s="20" t="s">
        <v>175</v>
      </c>
      <c r="AG179" s="10"/>
      <c r="AH179" s="22" t="str">
        <f t="shared" si="4"/>
        <v>Áncash_12 Huaylas</v>
      </c>
      <c r="AI179" s="10" t="s">
        <v>358</v>
      </c>
      <c r="AJ179" s="20" t="s">
        <v>271</v>
      </c>
      <c r="AK179" s="22" t="str">
        <f t="shared" si="5"/>
        <v>Áncash_12 Huaylas_04 Huaylas</v>
      </c>
      <c r="AL179" s="25">
        <v>1</v>
      </c>
      <c r="AM179" s="25">
        <v>34</v>
      </c>
      <c r="AN179" s="26">
        <f>Tabla2[[#This Row],[Minutos]]/60</f>
        <v>0.56666666666666665</v>
      </c>
      <c r="AO179" s="27">
        <f>SUM(Tabla2[[#This Row],[Horas]],Tabla2[[#This Row],[Minutos a Horas]])</f>
        <v>1.5666666666666667</v>
      </c>
      <c r="AP179" s="49">
        <v>2</v>
      </c>
      <c r="AQ179" s="49"/>
      <c r="AR179" s="26">
        <f>Tabla2[[#This Row],[Minutos*]]/60</f>
        <v>0</v>
      </c>
      <c r="AS179" s="27">
        <f>SUM(Tabla2[[#This Row],[Horas*]],Tabla2[[#This Row],[Minutos a Horas*]])+(Tabla2[[#This Row],[Tiempo Total a Nivel Proncincial (Horas)]])</f>
        <v>3.5666666666666664</v>
      </c>
      <c r="AV179" s="62"/>
    </row>
    <row r="180" spans="2:48" ht="42.75" customHeight="1" x14ac:dyDescent="0.25">
      <c r="B180" s="78" t="s">
        <v>2314</v>
      </c>
      <c r="C180" s="199" t="s">
        <v>4</v>
      </c>
      <c r="D180" s="162" t="s">
        <v>2497</v>
      </c>
      <c r="E180" s="162"/>
      <c r="F180" s="162" t="str">
        <f>CONCATENATE(Tabla1[[#This Row],[Simbología]],"_",Tabla1[[#This Row],[Acción]])</f>
        <v>AAA_Administración y otorgamiento del Registro de Hidrocarburos en toda la cadena</v>
      </c>
      <c r="G180" s="162" t="s">
        <v>14</v>
      </c>
      <c r="H180" s="161" t="s">
        <v>2551</v>
      </c>
      <c r="I180" s="163"/>
      <c r="J180" s="209" t="str">
        <f>CONCATENATE(Tabla1[[#This Row],[Simbología1]],"_",Tabla1[[#This Row],[Acción Especifica]])</f>
        <v>KIN_4_Supervisión Ex Post del Registro de Hidrocarburos con aprobación automática</v>
      </c>
      <c r="K180" s="209" t="s">
        <v>2613</v>
      </c>
      <c r="L180" s="162" t="s">
        <v>21</v>
      </c>
      <c r="M180" s="172" t="s">
        <v>2370</v>
      </c>
      <c r="N180" s="164" t="str">
        <f>CONCATENATE(Tabla1[[#This Row],[Simbología**]],"_",Tabla1[[#This Row],[Sub Acción Especifica]])</f>
        <v>KKIN_41_RHO Inscripción</v>
      </c>
      <c r="O180" s="163" t="s">
        <v>2674</v>
      </c>
      <c r="P180" s="162" t="s">
        <v>23</v>
      </c>
      <c r="Q180" s="164" t="str">
        <f>CONCATENATE(Tabla1[[#This Row],[Simbología*]],"_",Tabla1[[#This Row],[Tipo de instalación relacionado]])</f>
        <v>KKKIN_55_Medios de Transporte y Distribuidores (Líquidos, GLP)</v>
      </c>
      <c r="R180" s="165">
        <v>1.3</v>
      </c>
      <c r="S180" s="165">
        <v>2.6</v>
      </c>
      <c r="T180" s="166">
        <f>IFERROR(AVERAGE(Tabla1[[#This Row],[T. Mínimo]],Tabla1[[#This Row],[T. Máximo]]),0)</f>
        <v>1.9500000000000002</v>
      </c>
      <c r="U180" s="167">
        <v>0</v>
      </c>
      <c r="V180" s="167">
        <v>0</v>
      </c>
      <c r="W180" s="166">
        <f>IFERROR(AVERAGE(Tabla1[[#This Row],[T. Mínimo*]],Tabla1[[#This Row],[T. Máximo*]]),0)</f>
        <v>0</v>
      </c>
      <c r="X180" s="167">
        <v>1.9500000000000002</v>
      </c>
      <c r="Y180" s="167">
        <v>3.25</v>
      </c>
      <c r="Z180" s="166">
        <f>IFERROR(AVERAGE(Tabla1[[#This Row],[T. Mínimo**]],Tabla1[[#This Row],[T. Máximo**]]),0)</f>
        <v>2.6</v>
      </c>
      <c r="AA180" s="168">
        <f>SUM(Tabla1[[#This Row],[Promedio]],Tabla1[[#This Row],[Promedio*]],Tabla1[[#This Row],[Promedio**]])</f>
        <v>4.5500000000000007</v>
      </c>
      <c r="AB180" s="169" t="s">
        <v>2486</v>
      </c>
      <c r="AD180" s="20" t="s">
        <v>2395</v>
      </c>
      <c r="AE180" s="10" t="s">
        <v>163</v>
      </c>
      <c r="AF180" s="20" t="s">
        <v>175</v>
      </c>
      <c r="AG180" s="10"/>
      <c r="AH180" s="22" t="str">
        <f t="shared" si="4"/>
        <v>Áncash_12 Huaylas</v>
      </c>
      <c r="AI180" s="10" t="s">
        <v>358</v>
      </c>
      <c r="AJ180" s="20" t="s">
        <v>272</v>
      </c>
      <c r="AK180" s="22" t="str">
        <f t="shared" si="5"/>
        <v>Áncash_12 Huaylas_05 Mato</v>
      </c>
      <c r="AL180" s="25">
        <v>1</v>
      </c>
      <c r="AM180" s="25">
        <v>34</v>
      </c>
      <c r="AN180" s="26">
        <f>Tabla2[[#This Row],[Minutos]]/60</f>
        <v>0.56666666666666665</v>
      </c>
      <c r="AO180" s="27">
        <f>SUM(Tabla2[[#This Row],[Horas]],Tabla2[[#This Row],[Minutos a Horas]])</f>
        <v>1.5666666666666667</v>
      </c>
      <c r="AP180" s="49">
        <v>3</v>
      </c>
      <c r="AQ180" s="49">
        <v>0</v>
      </c>
      <c r="AR180" s="26">
        <f>Tabla2[[#This Row],[Minutos*]]/60</f>
        <v>0</v>
      </c>
      <c r="AS180" s="27">
        <f>SUM(Tabla2[[#This Row],[Horas*]],Tabla2[[#This Row],[Minutos a Horas*]])+(Tabla2[[#This Row],[Tiempo Total a Nivel Proncincial (Horas)]])</f>
        <v>4.5666666666666664</v>
      </c>
      <c r="AV180" s="62"/>
    </row>
    <row r="181" spans="2:48" ht="42.75" customHeight="1" x14ac:dyDescent="0.25">
      <c r="B181" s="78" t="s">
        <v>2314</v>
      </c>
      <c r="C181" s="199" t="s">
        <v>4</v>
      </c>
      <c r="D181" s="162" t="s">
        <v>2497</v>
      </c>
      <c r="E181" s="162"/>
      <c r="F181" s="162" t="str">
        <f>CONCATENATE(Tabla1[[#This Row],[Simbología]],"_",Tabla1[[#This Row],[Acción]])</f>
        <v>AAA_Administración y otorgamiento del Registro de Hidrocarburos en toda la cadena</v>
      </c>
      <c r="G181" s="162" t="s">
        <v>14</v>
      </c>
      <c r="H181" s="161" t="s">
        <v>2551</v>
      </c>
      <c r="I181" s="163"/>
      <c r="J181" s="209" t="str">
        <f>CONCATENATE(Tabla1[[#This Row],[Simbología1]],"_",Tabla1[[#This Row],[Acción Especifica]])</f>
        <v>KIN_4_Supervisión Ex Post del Registro de Hidrocarburos con aprobación automática</v>
      </c>
      <c r="K181" s="209" t="s">
        <v>2613</v>
      </c>
      <c r="L181" s="162" t="s">
        <v>21</v>
      </c>
      <c r="M181" s="172" t="s">
        <v>2371</v>
      </c>
      <c r="N181" s="164" t="str">
        <f>CONCATENATE(Tabla1[[#This Row],[Simbología**]],"_",Tabla1[[#This Row],[Sub Acción Especifica]])</f>
        <v>KKIN_41_RHO Inscripción</v>
      </c>
      <c r="O181" s="163" t="s">
        <v>2674</v>
      </c>
      <c r="P181" s="162" t="s">
        <v>24</v>
      </c>
      <c r="Q181" s="164" t="str">
        <f>CONCATENATE(Tabla1[[#This Row],[Simbología*]],"_",Tabla1[[#This Row],[Tipo de instalación relacionado]])</f>
        <v>KKKIN_55_Locales de Venta de GLP</v>
      </c>
      <c r="R181" s="165">
        <v>1.9500000000000002</v>
      </c>
      <c r="S181" s="165">
        <v>3.25</v>
      </c>
      <c r="T181" s="166">
        <f>IFERROR(AVERAGE(Tabla1[[#This Row],[T. Mínimo]],Tabla1[[#This Row],[T. Máximo]]),0)</f>
        <v>2.6</v>
      </c>
      <c r="U181" s="167">
        <v>0</v>
      </c>
      <c r="V181" s="167">
        <v>0</v>
      </c>
      <c r="W181" s="166">
        <f>IFERROR(AVERAGE(Tabla1[[#This Row],[T. Mínimo*]],Tabla1[[#This Row],[T. Máximo*]]),0)</f>
        <v>0</v>
      </c>
      <c r="X181" s="167">
        <v>1.9500000000000002</v>
      </c>
      <c r="Y181" s="167">
        <v>3.25</v>
      </c>
      <c r="Z181" s="166">
        <f>IFERROR(AVERAGE(Tabla1[[#This Row],[T. Mínimo**]],Tabla1[[#This Row],[T. Máximo**]]),0)</f>
        <v>2.6</v>
      </c>
      <c r="AA181" s="168">
        <f>SUM(Tabla1[[#This Row],[Promedio]],Tabla1[[#This Row],[Promedio*]],Tabla1[[#This Row],[Promedio**]])</f>
        <v>5.2</v>
      </c>
      <c r="AB181" s="169" t="s">
        <v>2486</v>
      </c>
      <c r="AD181" s="20" t="s">
        <v>2395</v>
      </c>
      <c r="AE181" s="10" t="s">
        <v>163</v>
      </c>
      <c r="AF181" s="20" t="s">
        <v>175</v>
      </c>
      <c r="AG181" s="10"/>
      <c r="AH181" s="22" t="str">
        <f t="shared" si="4"/>
        <v>Áncash_12 Huaylas</v>
      </c>
      <c r="AI181" s="10" t="s">
        <v>358</v>
      </c>
      <c r="AJ181" s="20" t="s">
        <v>273</v>
      </c>
      <c r="AK181" s="22" t="str">
        <f t="shared" si="5"/>
        <v>Áncash_12 Huaylas_06 Pamparomas</v>
      </c>
      <c r="AL181" s="25">
        <v>1</v>
      </c>
      <c r="AM181" s="25">
        <v>34</v>
      </c>
      <c r="AN181" s="26">
        <f>Tabla2[[#This Row],[Minutos]]/60</f>
        <v>0.56666666666666665</v>
      </c>
      <c r="AO181" s="27">
        <f>SUM(Tabla2[[#This Row],[Horas]],Tabla2[[#This Row],[Minutos a Horas]])</f>
        <v>1.5666666666666667</v>
      </c>
      <c r="AP181" s="49">
        <v>4</v>
      </c>
      <c r="AQ181" s="49">
        <v>0</v>
      </c>
      <c r="AR181" s="26">
        <f>Tabla2[[#This Row],[Minutos*]]/60</f>
        <v>0</v>
      </c>
      <c r="AS181" s="27">
        <f>SUM(Tabla2[[#This Row],[Horas*]],Tabla2[[#This Row],[Minutos a Horas*]])+(Tabla2[[#This Row],[Tiempo Total a Nivel Proncincial (Horas)]])</f>
        <v>5.5666666666666664</v>
      </c>
      <c r="AV181" s="62"/>
    </row>
    <row r="182" spans="2:48" ht="42.75" customHeight="1" x14ac:dyDescent="0.25">
      <c r="B182" s="78" t="s">
        <v>2314</v>
      </c>
      <c r="C182" s="199" t="s">
        <v>4</v>
      </c>
      <c r="D182" s="162" t="s">
        <v>2497</v>
      </c>
      <c r="E182" s="162"/>
      <c r="F182" s="162" t="str">
        <f>CONCATENATE(Tabla1[[#This Row],[Simbología]],"_",Tabla1[[#This Row],[Acción]])</f>
        <v>AAA_Administración y otorgamiento del Registro de Hidrocarburos en toda la cadena</v>
      </c>
      <c r="G182" s="162" t="s">
        <v>14</v>
      </c>
      <c r="H182" s="161" t="s">
        <v>2551</v>
      </c>
      <c r="I182" s="163"/>
      <c r="J182" s="209" t="str">
        <f>CONCATENATE(Tabla1[[#This Row],[Simbología1]],"_",Tabla1[[#This Row],[Acción Especifica]])</f>
        <v>KIN_4_Supervisión Ex Post del Registro de Hidrocarburos con aprobación automática</v>
      </c>
      <c r="K182" s="209" t="s">
        <v>2613</v>
      </c>
      <c r="L182" s="162" t="s">
        <v>21</v>
      </c>
      <c r="M182" s="162"/>
      <c r="N182" s="164" t="str">
        <f>CONCATENATE(Tabla1[[#This Row],[Simbología**]],"_",Tabla1[[#This Row],[Sub Acción Especifica]])</f>
        <v>KKIN_41_RHO Inscripción</v>
      </c>
      <c r="O182" s="163" t="s">
        <v>2674</v>
      </c>
      <c r="P182" s="162" t="s">
        <v>25</v>
      </c>
      <c r="Q182" s="164" t="str">
        <f>CONCATENATE(Tabla1[[#This Row],[Simbología*]],"_",Tabla1[[#This Row],[Tipo de instalación relacionado]])</f>
        <v>KKKIN_55_Unidades Mayores</v>
      </c>
      <c r="R182" s="165">
        <v>1.9500000000000002</v>
      </c>
      <c r="S182" s="165">
        <v>3.25</v>
      </c>
      <c r="T182" s="166">
        <f>IFERROR(AVERAGE(Tabla1[[#This Row],[T. Mínimo]],Tabla1[[#This Row],[T. Máximo]]),0)</f>
        <v>2.6</v>
      </c>
      <c r="U182" s="167">
        <v>0</v>
      </c>
      <c r="V182" s="167">
        <v>0</v>
      </c>
      <c r="W182" s="166">
        <f>IFERROR(AVERAGE(Tabla1[[#This Row],[T. Mínimo*]],Tabla1[[#This Row],[T. Máximo*]]),0)</f>
        <v>0</v>
      </c>
      <c r="X182" s="167">
        <v>1.9500000000000002</v>
      </c>
      <c r="Y182" s="167">
        <v>3.25</v>
      </c>
      <c r="Z182" s="166">
        <f>IFERROR(AVERAGE(Tabla1[[#This Row],[T. Mínimo**]],Tabla1[[#This Row],[T. Máximo**]]),0)</f>
        <v>2.6</v>
      </c>
      <c r="AA182" s="168">
        <f>SUM(Tabla1[[#This Row],[Promedio]],Tabla1[[#This Row],[Promedio*]],Tabla1[[#This Row],[Promedio**]])</f>
        <v>5.2</v>
      </c>
      <c r="AB182" s="169" t="s">
        <v>2486</v>
      </c>
      <c r="AD182" s="20" t="s">
        <v>2395</v>
      </c>
      <c r="AE182" s="10" t="s">
        <v>163</v>
      </c>
      <c r="AF182" s="20" t="s">
        <v>175</v>
      </c>
      <c r="AG182" s="10"/>
      <c r="AH182" s="22" t="str">
        <f t="shared" si="4"/>
        <v>Áncash_12 Huaylas</v>
      </c>
      <c r="AI182" s="10" t="s">
        <v>358</v>
      </c>
      <c r="AJ182" s="20" t="s">
        <v>274</v>
      </c>
      <c r="AK182" s="22" t="str">
        <f t="shared" si="5"/>
        <v>Áncash_12 Huaylas_07 Pueblo Libre</v>
      </c>
      <c r="AL182" s="25">
        <v>1</v>
      </c>
      <c r="AM182" s="25">
        <v>34</v>
      </c>
      <c r="AN182" s="26">
        <f>Tabla2[[#This Row],[Minutos]]/60</f>
        <v>0.56666666666666665</v>
      </c>
      <c r="AO182" s="27">
        <f>SUM(Tabla2[[#This Row],[Horas]],Tabla2[[#This Row],[Minutos a Horas]])</f>
        <v>1.5666666666666667</v>
      </c>
      <c r="AP182" s="49">
        <v>2</v>
      </c>
      <c r="AQ182" s="49">
        <v>0</v>
      </c>
      <c r="AR182" s="26">
        <f>Tabla2[[#This Row],[Minutos*]]/60</f>
        <v>0</v>
      </c>
      <c r="AS182" s="27">
        <f>SUM(Tabla2[[#This Row],[Horas*]],Tabla2[[#This Row],[Minutos a Horas*]])+(Tabla2[[#This Row],[Tiempo Total a Nivel Proncincial (Horas)]])</f>
        <v>3.5666666666666664</v>
      </c>
      <c r="AV182" s="62"/>
    </row>
    <row r="183" spans="2:48" ht="42.75" customHeight="1" x14ac:dyDescent="0.25">
      <c r="B183" s="78" t="s">
        <v>2314</v>
      </c>
      <c r="C183" s="199" t="s">
        <v>4</v>
      </c>
      <c r="D183" s="162" t="s">
        <v>2497</v>
      </c>
      <c r="E183" s="162"/>
      <c r="F183" s="162" t="str">
        <f>CONCATENATE(Tabla1[[#This Row],[Simbología]],"_",Tabla1[[#This Row],[Acción]])</f>
        <v>AAA_Administración y otorgamiento del Registro de Hidrocarburos en toda la cadena</v>
      </c>
      <c r="G183" s="162" t="s">
        <v>14</v>
      </c>
      <c r="H183" s="161" t="s">
        <v>2551</v>
      </c>
      <c r="I183" s="163"/>
      <c r="J183" s="209" t="str">
        <f>CONCATENATE(Tabla1[[#This Row],[Simbología1]],"_",Tabla1[[#This Row],[Acción Especifica]])</f>
        <v>KIN_4_Supervisión Ex Post del Registro de Hidrocarburos con aprobación automática</v>
      </c>
      <c r="K183" s="209" t="s">
        <v>2613</v>
      </c>
      <c r="L183" s="162" t="s">
        <v>2552</v>
      </c>
      <c r="M183" s="162"/>
      <c r="N183" s="164" t="str">
        <f>CONCATENATE(Tabla1[[#This Row],[Simbología**]],"_",Tabla1[[#This Row],[Sub Acción Especifica]])</f>
        <v>KKIN_41_RHO Modificación de Registro</v>
      </c>
      <c r="O183" s="163" t="s">
        <v>2675</v>
      </c>
      <c r="P183" s="162" t="s">
        <v>2363</v>
      </c>
      <c r="Q183" s="164" t="str">
        <f>CONCATENATE(Tabla1[[#This Row],[Simbología*]],"_",Tabla1[[#This Row],[Tipo de instalación relacionado]])</f>
        <v>KKKIN_56_Establecimientos de Venta al Público (Líquidos y/o GLP)</v>
      </c>
      <c r="R183" s="165">
        <v>1.9500000000000002</v>
      </c>
      <c r="S183" s="165">
        <v>2.6</v>
      </c>
      <c r="T183" s="166">
        <f>IFERROR(AVERAGE(Tabla1[[#This Row],[T. Mínimo]],Tabla1[[#This Row],[T. Máximo]]),0)</f>
        <v>2.2750000000000004</v>
      </c>
      <c r="U183" s="167">
        <v>0</v>
      </c>
      <c r="V183" s="167">
        <v>0</v>
      </c>
      <c r="W183" s="166">
        <f>IFERROR(AVERAGE(Tabla1[[#This Row],[T. Mínimo*]],Tabla1[[#This Row],[T. Máximo*]]),0)</f>
        <v>0</v>
      </c>
      <c r="X183" s="167">
        <v>1.9500000000000002</v>
      </c>
      <c r="Y183" s="167">
        <v>3.25</v>
      </c>
      <c r="Z183" s="166">
        <f>IFERROR(AVERAGE(Tabla1[[#This Row],[T. Mínimo**]],Tabla1[[#This Row],[T. Máximo**]]),0)</f>
        <v>2.6</v>
      </c>
      <c r="AA183" s="168">
        <f>SUM(Tabla1[[#This Row],[Promedio]],Tabla1[[#This Row],[Promedio*]],Tabla1[[#This Row],[Promedio**]])</f>
        <v>4.875</v>
      </c>
      <c r="AB183" s="169" t="s">
        <v>2486</v>
      </c>
      <c r="AD183" s="20" t="s">
        <v>2395</v>
      </c>
      <c r="AE183" s="10" t="s">
        <v>163</v>
      </c>
      <c r="AF183" s="20" t="s">
        <v>175</v>
      </c>
      <c r="AG183" s="10"/>
      <c r="AH183" s="22" t="str">
        <f t="shared" si="4"/>
        <v>Áncash_12 Huaylas</v>
      </c>
      <c r="AI183" s="10" t="s">
        <v>358</v>
      </c>
      <c r="AJ183" s="20" t="s">
        <v>275</v>
      </c>
      <c r="AK183" s="22" t="str">
        <f t="shared" si="5"/>
        <v>Áncash_12 Huaylas_08 Santa Cruz</v>
      </c>
      <c r="AL183" s="25">
        <v>1</v>
      </c>
      <c r="AM183" s="25">
        <v>34</v>
      </c>
      <c r="AN183" s="26">
        <f>Tabla2[[#This Row],[Minutos]]/60</f>
        <v>0.56666666666666665</v>
      </c>
      <c r="AO183" s="27">
        <f>SUM(Tabla2[[#This Row],[Horas]],Tabla2[[#This Row],[Minutos a Horas]])</f>
        <v>1.5666666666666667</v>
      </c>
      <c r="AP183" s="49">
        <v>3</v>
      </c>
      <c r="AQ183" s="49">
        <v>0</v>
      </c>
      <c r="AR183" s="26">
        <f>Tabla2[[#This Row],[Minutos*]]/60</f>
        <v>0</v>
      </c>
      <c r="AS183" s="27">
        <f>SUM(Tabla2[[#This Row],[Horas*]],Tabla2[[#This Row],[Minutos a Horas*]])+(Tabla2[[#This Row],[Tiempo Total a Nivel Proncincial (Horas)]])</f>
        <v>4.5666666666666664</v>
      </c>
      <c r="AV183" s="62"/>
    </row>
    <row r="184" spans="2:48" ht="42.75" customHeight="1" x14ac:dyDescent="0.25">
      <c r="B184" s="78" t="s">
        <v>2314</v>
      </c>
      <c r="C184" s="199" t="s">
        <v>4</v>
      </c>
      <c r="D184" s="162" t="s">
        <v>2497</v>
      </c>
      <c r="E184" s="162"/>
      <c r="F184" s="162" t="str">
        <f>CONCATENATE(Tabla1[[#This Row],[Simbología]],"_",Tabla1[[#This Row],[Acción]])</f>
        <v>AAA_Administración y otorgamiento del Registro de Hidrocarburos en toda la cadena</v>
      </c>
      <c r="G184" s="162" t="s">
        <v>14</v>
      </c>
      <c r="H184" s="161" t="s">
        <v>2551</v>
      </c>
      <c r="I184" s="163"/>
      <c r="J184" s="209" t="str">
        <f>CONCATENATE(Tabla1[[#This Row],[Simbología1]],"_",Tabla1[[#This Row],[Acción Especifica]])</f>
        <v>KIN_4_Supervisión Ex Post del Registro de Hidrocarburos con aprobación automática</v>
      </c>
      <c r="K184" s="209" t="s">
        <v>2613</v>
      </c>
      <c r="L184" s="162" t="s">
        <v>2552</v>
      </c>
      <c r="M184" s="162"/>
      <c r="N184" s="164" t="str">
        <f>CONCATENATE(Tabla1[[#This Row],[Simbología**]],"_",Tabla1[[#This Row],[Sub Acción Especifica]])</f>
        <v>KKIN_41_RHO Modificación de Registro</v>
      </c>
      <c r="O184" s="163" t="s">
        <v>2675</v>
      </c>
      <c r="P184" s="162" t="s">
        <v>2366</v>
      </c>
      <c r="Q184" s="164" t="str">
        <f>CONCATENATE(Tabla1[[#This Row],[Simbología*]],"_",Tabla1[[#This Row],[Tipo de instalación relacionado]])</f>
        <v>KKKIN_56_Establecimientos (GNV o GNC o GNL)</v>
      </c>
      <c r="R184" s="165">
        <v>1.9500000000000002</v>
      </c>
      <c r="S184" s="165">
        <v>2.6</v>
      </c>
      <c r="T184" s="166">
        <f>IFERROR(AVERAGE(Tabla1[[#This Row],[T. Mínimo]],Tabla1[[#This Row],[T. Máximo]]),0)</f>
        <v>2.2750000000000004</v>
      </c>
      <c r="U184" s="167">
        <v>0</v>
      </c>
      <c r="V184" s="167">
        <v>0</v>
      </c>
      <c r="W184" s="166">
        <f>IFERROR(AVERAGE(Tabla1[[#This Row],[T. Mínimo*]],Tabla1[[#This Row],[T. Máximo*]]),0)</f>
        <v>0</v>
      </c>
      <c r="X184" s="167">
        <v>1.9500000000000002</v>
      </c>
      <c r="Y184" s="167">
        <v>3.25</v>
      </c>
      <c r="Z184" s="166">
        <f>IFERROR(AVERAGE(Tabla1[[#This Row],[T. Mínimo**]],Tabla1[[#This Row],[T. Máximo**]]),0)</f>
        <v>2.6</v>
      </c>
      <c r="AA184" s="168">
        <f>SUM(Tabla1[[#This Row],[Promedio]],Tabla1[[#This Row],[Promedio*]],Tabla1[[#This Row],[Promedio**]])</f>
        <v>4.875</v>
      </c>
      <c r="AB184" s="169" t="s">
        <v>2486</v>
      </c>
      <c r="AD184" s="20" t="s">
        <v>2395</v>
      </c>
      <c r="AE184" s="10" t="s">
        <v>163</v>
      </c>
      <c r="AF184" s="20" t="s">
        <v>175</v>
      </c>
      <c r="AG184" s="10"/>
      <c r="AH184" s="22" t="str">
        <f t="shared" si="4"/>
        <v>Áncash_12 Huaylas</v>
      </c>
      <c r="AI184" s="10" t="s">
        <v>358</v>
      </c>
      <c r="AJ184" s="20" t="s">
        <v>276</v>
      </c>
      <c r="AK184" s="22" t="str">
        <f t="shared" si="5"/>
        <v>Áncash_12 Huaylas_09 Santo Toribio</v>
      </c>
      <c r="AL184" s="25">
        <v>1</v>
      </c>
      <c r="AM184" s="25">
        <v>34</v>
      </c>
      <c r="AN184" s="26">
        <f>Tabla2[[#This Row],[Minutos]]/60</f>
        <v>0.56666666666666665</v>
      </c>
      <c r="AO184" s="27">
        <f>SUM(Tabla2[[#This Row],[Horas]],Tabla2[[#This Row],[Minutos a Horas]])</f>
        <v>1.5666666666666667</v>
      </c>
      <c r="AP184" s="49">
        <v>3</v>
      </c>
      <c r="AQ184" s="49">
        <v>0</v>
      </c>
      <c r="AR184" s="26">
        <f>Tabla2[[#This Row],[Minutos*]]/60</f>
        <v>0</v>
      </c>
      <c r="AS184" s="27">
        <f>SUM(Tabla2[[#This Row],[Horas*]],Tabla2[[#This Row],[Minutos a Horas*]])+(Tabla2[[#This Row],[Tiempo Total a Nivel Proncincial (Horas)]])</f>
        <v>4.5666666666666664</v>
      </c>
      <c r="AV184" s="62"/>
    </row>
    <row r="185" spans="2:48" ht="42.75" customHeight="1" x14ac:dyDescent="0.25">
      <c r="B185" s="78" t="s">
        <v>2314</v>
      </c>
      <c r="C185" s="199" t="s">
        <v>4</v>
      </c>
      <c r="D185" s="162" t="s">
        <v>2497</v>
      </c>
      <c r="E185" s="162"/>
      <c r="F185" s="162" t="str">
        <f>CONCATENATE(Tabla1[[#This Row],[Simbología]],"_",Tabla1[[#This Row],[Acción]])</f>
        <v>AAA_Administración y otorgamiento del Registro de Hidrocarburos en toda la cadena</v>
      </c>
      <c r="G185" s="162" t="s">
        <v>14</v>
      </c>
      <c r="H185" s="161" t="s">
        <v>2551</v>
      </c>
      <c r="I185" s="163"/>
      <c r="J185" s="209" t="str">
        <f>CONCATENATE(Tabla1[[#This Row],[Simbología1]],"_",Tabla1[[#This Row],[Acción Especifica]])</f>
        <v>KIN_4_Supervisión Ex Post del Registro de Hidrocarburos con aprobación automática</v>
      </c>
      <c r="K185" s="209" t="s">
        <v>2613</v>
      </c>
      <c r="L185" s="162" t="s">
        <v>2552</v>
      </c>
      <c r="M185" s="172"/>
      <c r="N185" s="164" t="str">
        <f>CONCATENATE(Tabla1[[#This Row],[Simbología**]],"_",Tabla1[[#This Row],[Sub Acción Especifica]])</f>
        <v>KKIN_41_RHO Modificación de Registro</v>
      </c>
      <c r="O185" s="163" t="s">
        <v>2675</v>
      </c>
      <c r="P185" s="162" t="s">
        <v>8</v>
      </c>
      <c r="Q185" s="164" t="str">
        <f>CONCATENATE(Tabla1[[#This Row],[Simbología*]],"_",Tabla1[[#This Row],[Tipo de instalación relacionado]])</f>
        <v>KKKIN_56_Consumidores Directos de CL y/u OPDH</v>
      </c>
      <c r="R185" s="165">
        <v>1.9500000000000002</v>
      </c>
      <c r="S185" s="165">
        <v>2.6</v>
      </c>
      <c r="T185" s="166">
        <f>IFERROR(AVERAGE(Tabla1[[#This Row],[T. Mínimo]],Tabla1[[#This Row],[T. Máximo]]),0)</f>
        <v>2.2750000000000004</v>
      </c>
      <c r="U185" s="167">
        <v>0</v>
      </c>
      <c r="V185" s="167">
        <v>0</v>
      </c>
      <c r="W185" s="166">
        <f>IFERROR(AVERAGE(Tabla1[[#This Row],[T. Mínimo*]],Tabla1[[#This Row],[T. Máximo*]]),0)</f>
        <v>0</v>
      </c>
      <c r="X185" s="167">
        <v>1.9500000000000002</v>
      </c>
      <c r="Y185" s="167">
        <v>3.25</v>
      </c>
      <c r="Z185" s="166">
        <f>IFERROR(AVERAGE(Tabla1[[#This Row],[T. Mínimo**]],Tabla1[[#This Row],[T. Máximo**]]),0)</f>
        <v>2.6</v>
      </c>
      <c r="AA185" s="168">
        <f>SUM(Tabla1[[#This Row],[Promedio]],Tabla1[[#This Row],[Promedio*]],Tabla1[[#This Row],[Promedio**]])</f>
        <v>4.875</v>
      </c>
      <c r="AB185" s="169" t="s">
        <v>2486</v>
      </c>
      <c r="AD185" s="20" t="s">
        <v>2395</v>
      </c>
      <c r="AE185" s="10" t="s">
        <v>163</v>
      </c>
      <c r="AF185" s="20" t="s">
        <v>175</v>
      </c>
      <c r="AG185" s="10"/>
      <c r="AH185" s="22" t="str">
        <f t="shared" si="4"/>
        <v>Áncash_12 Huaylas</v>
      </c>
      <c r="AI185" s="10" t="s">
        <v>358</v>
      </c>
      <c r="AJ185" s="20" t="s">
        <v>277</v>
      </c>
      <c r="AK185" s="22" t="str">
        <f t="shared" si="5"/>
        <v>Áncash_12 Huaylas_10 Yuracmarca</v>
      </c>
      <c r="AL185" s="25">
        <v>1</v>
      </c>
      <c r="AM185" s="25">
        <v>34</v>
      </c>
      <c r="AN185" s="26">
        <f>Tabla2[[#This Row],[Minutos]]/60</f>
        <v>0.56666666666666665</v>
      </c>
      <c r="AO185" s="27">
        <f>SUM(Tabla2[[#This Row],[Horas]],Tabla2[[#This Row],[Minutos a Horas]])</f>
        <v>1.5666666666666667</v>
      </c>
      <c r="AP185" s="49">
        <v>3</v>
      </c>
      <c r="AQ185" s="49">
        <v>0</v>
      </c>
      <c r="AR185" s="26">
        <f>Tabla2[[#This Row],[Minutos*]]/60</f>
        <v>0</v>
      </c>
      <c r="AS185" s="27">
        <f>SUM(Tabla2[[#This Row],[Horas*]],Tabla2[[#This Row],[Minutos a Horas*]])+(Tabla2[[#This Row],[Tiempo Total a Nivel Proncincial (Horas)]])</f>
        <v>4.5666666666666664</v>
      </c>
      <c r="AV185" s="62"/>
    </row>
    <row r="186" spans="2:48" ht="42.75" customHeight="1" x14ac:dyDescent="0.25">
      <c r="B186" s="78" t="s">
        <v>2314</v>
      </c>
      <c r="C186" s="199" t="s">
        <v>4</v>
      </c>
      <c r="D186" s="162" t="s">
        <v>2497</v>
      </c>
      <c r="E186" s="162"/>
      <c r="F186" s="162" t="str">
        <f>CONCATENATE(Tabla1[[#This Row],[Simbología]],"_",Tabla1[[#This Row],[Acción]])</f>
        <v>AAA_Administración y otorgamiento del Registro de Hidrocarburos en toda la cadena</v>
      </c>
      <c r="G186" s="162" t="s">
        <v>14</v>
      </c>
      <c r="H186" s="161" t="s">
        <v>2551</v>
      </c>
      <c r="I186" s="163"/>
      <c r="J186" s="209" t="str">
        <f>CONCATENATE(Tabla1[[#This Row],[Simbología1]],"_",Tabla1[[#This Row],[Acción Especifica]])</f>
        <v>KIN_4_Supervisión Ex Post del Registro de Hidrocarburos con aprobación automática</v>
      </c>
      <c r="K186" s="209" t="s">
        <v>2613</v>
      </c>
      <c r="L186" s="162" t="s">
        <v>2552</v>
      </c>
      <c r="M186" s="172"/>
      <c r="N186" s="164" t="str">
        <f>CONCATENATE(Tabla1[[#This Row],[Simbología**]],"_",Tabla1[[#This Row],[Sub Acción Especifica]])</f>
        <v>KKIN_41_RHO Modificación de Registro</v>
      </c>
      <c r="O186" s="163" t="s">
        <v>2675</v>
      </c>
      <c r="P186" s="172" t="s">
        <v>22</v>
      </c>
      <c r="Q186" s="164" t="str">
        <f>CONCATENATE(Tabla1[[#This Row],[Simbología*]],"_",Tabla1[[#This Row],[Tipo de instalación relacionado]])</f>
        <v>KKKIN_56_Consumidores Directos GLP y Redes de Distribución</v>
      </c>
      <c r="R186" s="165">
        <v>1.9500000000000002</v>
      </c>
      <c r="S186" s="165">
        <v>2.6</v>
      </c>
      <c r="T186" s="166">
        <f>IFERROR(AVERAGE(Tabla1[[#This Row],[T. Mínimo]],Tabla1[[#This Row],[T. Máximo]]),0)</f>
        <v>2.2750000000000004</v>
      </c>
      <c r="U186" s="167">
        <v>0</v>
      </c>
      <c r="V186" s="167">
        <v>0</v>
      </c>
      <c r="W186" s="166">
        <f>IFERROR(AVERAGE(Tabla1[[#This Row],[T. Mínimo*]],Tabla1[[#This Row],[T. Máximo*]]),0)</f>
        <v>0</v>
      </c>
      <c r="X186" s="167">
        <v>1.9500000000000002</v>
      </c>
      <c r="Y186" s="167">
        <v>2.6</v>
      </c>
      <c r="Z186" s="166">
        <f>IFERROR(AVERAGE(Tabla1[[#This Row],[T. Mínimo**]],Tabla1[[#This Row],[T. Máximo**]]),0)</f>
        <v>2.2750000000000004</v>
      </c>
      <c r="AA186" s="168">
        <f>SUM(Tabla1[[#This Row],[Promedio]],Tabla1[[#This Row],[Promedio*]],Tabla1[[#This Row],[Promedio**]])</f>
        <v>4.5500000000000007</v>
      </c>
      <c r="AB186" s="169" t="s">
        <v>2486</v>
      </c>
      <c r="AD186" s="20" t="s">
        <v>2395</v>
      </c>
      <c r="AE186" s="10" t="s">
        <v>163</v>
      </c>
      <c r="AF186" s="20" t="s">
        <v>176</v>
      </c>
      <c r="AG186" s="10"/>
      <c r="AH186" s="22" t="str">
        <f t="shared" si="4"/>
        <v>Áncash_13 Mariscal Luzuriaga</v>
      </c>
      <c r="AI186" s="10" t="s">
        <v>359</v>
      </c>
      <c r="AJ186" s="20" t="s">
        <v>278</v>
      </c>
      <c r="AK186" s="22" t="str">
        <f t="shared" si="5"/>
        <v>Áncash_13 Mariscal Luzuriaga_01 Piscobamba</v>
      </c>
      <c r="AL186" s="25">
        <v>6</v>
      </c>
      <c r="AM186" s="25">
        <v>36</v>
      </c>
      <c r="AN186" s="26">
        <f>Tabla2[[#This Row],[Minutos]]/60</f>
        <v>0.6</v>
      </c>
      <c r="AO186" s="27">
        <f>SUM(Tabla2[[#This Row],[Horas]],Tabla2[[#This Row],[Minutos a Horas]])</f>
        <v>6.6</v>
      </c>
      <c r="AP186" s="49">
        <v>7</v>
      </c>
      <c r="AQ186" s="49">
        <v>0</v>
      </c>
      <c r="AR186" s="26">
        <f>Tabla2[[#This Row],[Minutos*]]/60</f>
        <v>0</v>
      </c>
      <c r="AS186" s="27">
        <f>SUM(Tabla2[[#This Row],[Horas*]],Tabla2[[#This Row],[Minutos a Horas*]])+(Tabla2[[#This Row],[Tiempo Total a Nivel Proncincial (Horas)]])</f>
        <v>13.6</v>
      </c>
      <c r="AV186" s="62"/>
    </row>
    <row r="187" spans="2:48" ht="42.75" customHeight="1" x14ac:dyDescent="0.25">
      <c r="B187" s="78" t="s">
        <v>2314</v>
      </c>
      <c r="C187" s="199" t="s">
        <v>4</v>
      </c>
      <c r="D187" s="162" t="s">
        <v>2497</v>
      </c>
      <c r="E187" s="162"/>
      <c r="F187" s="162" t="str">
        <f>CONCATENATE(Tabla1[[#This Row],[Simbología]],"_",Tabla1[[#This Row],[Acción]])</f>
        <v>AAA_Administración y otorgamiento del Registro de Hidrocarburos en toda la cadena</v>
      </c>
      <c r="G187" s="162" t="s">
        <v>14</v>
      </c>
      <c r="H187" s="161" t="s">
        <v>2551</v>
      </c>
      <c r="I187" s="163"/>
      <c r="J187" s="209" t="str">
        <f>CONCATENATE(Tabla1[[#This Row],[Simbología1]],"_",Tabla1[[#This Row],[Acción Especifica]])</f>
        <v>KIN_4_Supervisión Ex Post del Registro de Hidrocarburos con aprobación automática</v>
      </c>
      <c r="K187" s="209" t="s">
        <v>2613</v>
      </c>
      <c r="L187" s="162" t="s">
        <v>2552</v>
      </c>
      <c r="M187" s="162"/>
      <c r="N187" s="164" t="str">
        <f>CONCATENATE(Tabla1[[#This Row],[Simbología**]],"_",Tabla1[[#This Row],[Sub Acción Especifica]])</f>
        <v>KKIN_41_RHO Modificación de Registro</v>
      </c>
      <c r="O187" s="163" t="s">
        <v>2675</v>
      </c>
      <c r="P187" s="172" t="s">
        <v>23</v>
      </c>
      <c r="Q187" s="164" t="str">
        <f>CONCATENATE(Tabla1[[#This Row],[Simbología*]],"_",Tabla1[[#This Row],[Tipo de instalación relacionado]])</f>
        <v>KKKIN_56_Medios de Transporte y Distribuidores (Líquidos, GLP)</v>
      </c>
      <c r="R187" s="165">
        <v>1.9500000000000002</v>
      </c>
      <c r="S187" s="165">
        <v>2.6</v>
      </c>
      <c r="T187" s="166">
        <f>IFERROR(AVERAGE(Tabla1[[#This Row],[T. Mínimo]],Tabla1[[#This Row],[T. Máximo]]),0)</f>
        <v>2.2750000000000004</v>
      </c>
      <c r="U187" s="167">
        <v>0</v>
      </c>
      <c r="V187" s="167">
        <v>0</v>
      </c>
      <c r="W187" s="166">
        <f>IFERROR(AVERAGE(Tabla1[[#This Row],[T. Mínimo*]],Tabla1[[#This Row],[T. Máximo*]]),0)</f>
        <v>0</v>
      </c>
      <c r="X187" s="167">
        <v>1.9500000000000002</v>
      </c>
      <c r="Y187" s="167">
        <v>2.6</v>
      </c>
      <c r="Z187" s="166">
        <f>IFERROR(AVERAGE(Tabla1[[#This Row],[T. Mínimo**]],Tabla1[[#This Row],[T. Máximo**]]),0)</f>
        <v>2.2750000000000004</v>
      </c>
      <c r="AA187" s="168">
        <f>SUM(Tabla1[[#This Row],[Promedio]],Tabla1[[#This Row],[Promedio*]],Tabla1[[#This Row],[Promedio**]])</f>
        <v>4.5500000000000007</v>
      </c>
      <c r="AB187" s="169" t="s">
        <v>2486</v>
      </c>
      <c r="AD187" s="20" t="s">
        <v>2395</v>
      </c>
      <c r="AE187" s="10" t="s">
        <v>163</v>
      </c>
      <c r="AF187" s="20" t="s">
        <v>176</v>
      </c>
      <c r="AG187" s="10"/>
      <c r="AH187" s="22" t="str">
        <f t="shared" si="4"/>
        <v>Áncash_13 Mariscal Luzuriaga</v>
      </c>
      <c r="AI187" s="10" t="s">
        <v>359</v>
      </c>
      <c r="AJ187" s="20" t="s">
        <v>279</v>
      </c>
      <c r="AK187" s="22" t="str">
        <f t="shared" si="5"/>
        <v>Áncash_13 Mariscal Luzuriaga_02 Casca</v>
      </c>
      <c r="AL187" s="25">
        <v>6</v>
      </c>
      <c r="AM187" s="25">
        <v>36</v>
      </c>
      <c r="AN187" s="26">
        <f>Tabla2[[#This Row],[Minutos]]/60</f>
        <v>0.6</v>
      </c>
      <c r="AO187" s="27">
        <f>SUM(Tabla2[[#This Row],[Horas]],Tabla2[[#This Row],[Minutos a Horas]])</f>
        <v>6.6</v>
      </c>
      <c r="AP187" s="49">
        <v>8</v>
      </c>
      <c r="AQ187" s="49">
        <v>0</v>
      </c>
      <c r="AR187" s="26">
        <f>Tabla2[[#This Row],[Minutos*]]/60</f>
        <v>0</v>
      </c>
      <c r="AS187" s="27">
        <f>SUM(Tabla2[[#This Row],[Horas*]],Tabla2[[#This Row],[Minutos a Horas*]])+(Tabla2[[#This Row],[Tiempo Total a Nivel Proncincial (Horas)]])</f>
        <v>14.6</v>
      </c>
      <c r="AV187" s="62"/>
    </row>
    <row r="188" spans="2:48" ht="42.75" customHeight="1" x14ac:dyDescent="0.25">
      <c r="B188" s="78" t="s">
        <v>2314</v>
      </c>
      <c r="C188" s="199" t="s">
        <v>4</v>
      </c>
      <c r="D188" s="162" t="s">
        <v>2497</v>
      </c>
      <c r="E188" s="162"/>
      <c r="F188" s="162" t="str">
        <f>CONCATENATE(Tabla1[[#This Row],[Simbología]],"_",Tabla1[[#This Row],[Acción]])</f>
        <v>AAA_Administración y otorgamiento del Registro de Hidrocarburos en toda la cadena</v>
      </c>
      <c r="G188" s="162" t="s">
        <v>14</v>
      </c>
      <c r="H188" s="161" t="s">
        <v>2551</v>
      </c>
      <c r="I188" s="163"/>
      <c r="J188" s="209" t="str">
        <f>CONCATENATE(Tabla1[[#This Row],[Simbología1]],"_",Tabla1[[#This Row],[Acción Especifica]])</f>
        <v>KIN_4_Supervisión Ex Post del Registro de Hidrocarburos con aprobación automática</v>
      </c>
      <c r="K188" s="209" t="s">
        <v>2613</v>
      </c>
      <c r="L188" s="162" t="s">
        <v>2552</v>
      </c>
      <c r="M188" s="171"/>
      <c r="N188" s="164" t="str">
        <f>CONCATENATE(Tabla1[[#This Row],[Simbología**]],"_",Tabla1[[#This Row],[Sub Acción Especifica]])</f>
        <v>KKIN_41_RHO Modificación de Registro</v>
      </c>
      <c r="O188" s="163" t="s">
        <v>2675</v>
      </c>
      <c r="P188" s="172" t="s">
        <v>24</v>
      </c>
      <c r="Q188" s="164" t="str">
        <f>CONCATENATE(Tabla1[[#This Row],[Simbología*]],"_",Tabla1[[#This Row],[Tipo de instalación relacionado]])</f>
        <v>KKKIN_56_Locales de Venta de GLP</v>
      </c>
      <c r="R188" s="165">
        <v>1.9500000000000002</v>
      </c>
      <c r="S188" s="165">
        <v>2.6</v>
      </c>
      <c r="T188" s="166">
        <f>IFERROR(AVERAGE(Tabla1[[#This Row],[T. Mínimo]],Tabla1[[#This Row],[T. Máximo]]),0)</f>
        <v>2.2750000000000004</v>
      </c>
      <c r="U188" s="167">
        <v>0</v>
      </c>
      <c r="V188" s="167">
        <v>0</v>
      </c>
      <c r="W188" s="166">
        <f>IFERROR(AVERAGE(Tabla1[[#This Row],[T. Mínimo*]],Tabla1[[#This Row],[T. Máximo*]]),0)</f>
        <v>0</v>
      </c>
      <c r="X188" s="167">
        <v>1.9500000000000002</v>
      </c>
      <c r="Y188" s="167">
        <v>3.25</v>
      </c>
      <c r="Z188" s="166">
        <f>IFERROR(AVERAGE(Tabla1[[#This Row],[T. Mínimo**]],Tabla1[[#This Row],[T. Máximo**]]),0)</f>
        <v>2.6</v>
      </c>
      <c r="AA188" s="168">
        <f>SUM(Tabla1[[#This Row],[Promedio]],Tabla1[[#This Row],[Promedio*]],Tabla1[[#This Row],[Promedio**]])</f>
        <v>4.875</v>
      </c>
      <c r="AB188" s="169" t="s">
        <v>2486</v>
      </c>
      <c r="AD188" s="20" t="s">
        <v>2395</v>
      </c>
      <c r="AE188" s="10" t="s">
        <v>163</v>
      </c>
      <c r="AF188" s="20" t="s">
        <v>176</v>
      </c>
      <c r="AG188" s="10"/>
      <c r="AH188" s="22" t="str">
        <f t="shared" si="4"/>
        <v>Áncash_13 Mariscal Luzuriaga</v>
      </c>
      <c r="AI188" s="10" t="s">
        <v>359</v>
      </c>
      <c r="AJ188" s="20" t="s">
        <v>280</v>
      </c>
      <c r="AK188" s="22" t="str">
        <f t="shared" si="5"/>
        <v>Áncash_13 Mariscal Luzuriaga_03 Eleazar Guzmán Barron</v>
      </c>
      <c r="AL188" s="25">
        <v>6</v>
      </c>
      <c r="AM188" s="25">
        <v>36</v>
      </c>
      <c r="AN188" s="26">
        <f>Tabla2[[#This Row],[Minutos]]/60</f>
        <v>0.6</v>
      </c>
      <c r="AO188" s="27">
        <f>SUM(Tabla2[[#This Row],[Horas]],Tabla2[[#This Row],[Minutos a Horas]])</f>
        <v>6.6</v>
      </c>
      <c r="AP188" s="49">
        <v>10</v>
      </c>
      <c r="AQ188" s="49">
        <v>0</v>
      </c>
      <c r="AR188" s="26">
        <f>Tabla2[[#This Row],[Minutos*]]/60</f>
        <v>0</v>
      </c>
      <c r="AS188" s="27">
        <f>SUM(Tabla2[[#This Row],[Horas*]],Tabla2[[#This Row],[Minutos a Horas*]])+(Tabla2[[#This Row],[Tiempo Total a Nivel Proncincial (Horas)]])</f>
        <v>16.600000000000001</v>
      </c>
      <c r="AV188" s="62"/>
    </row>
    <row r="189" spans="2:48" ht="42.75" customHeight="1" x14ac:dyDescent="0.25">
      <c r="B189" s="78" t="s">
        <v>2314</v>
      </c>
      <c r="C189" s="199" t="s">
        <v>4</v>
      </c>
      <c r="D189" s="162" t="s">
        <v>2497</v>
      </c>
      <c r="E189" s="162"/>
      <c r="F189" s="162" t="str">
        <f>CONCATENATE(Tabla1[[#This Row],[Simbología]],"_",Tabla1[[#This Row],[Acción]])</f>
        <v>AAA_Administración y otorgamiento del Registro de Hidrocarburos en toda la cadena</v>
      </c>
      <c r="G189" s="162" t="s">
        <v>14</v>
      </c>
      <c r="H189" s="161" t="s">
        <v>2551</v>
      </c>
      <c r="I189" s="163"/>
      <c r="J189" s="209" t="str">
        <f>CONCATENATE(Tabla1[[#This Row],[Simbología1]],"_",Tabla1[[#This Row],[Acción Especifica]])</f>
        <v>KIN_4_Supervisión Ex Post del Registro de Hidrocarburos con aprobación automática</v>
      </c>
      <c r="K189" s="209" t="s">
        <v>2613</v>
      </c>
      <c r="L189" s="162" t="s">
        <v>2552</v>
      </c>
      <c r="M189" s="162"/>
      <c r="N189" s="164" t="str">
        <f>CONCATENATE(Tabla1[[#This Row],[Simbología**]],"_",Tabla1[[#This Row],[Sub Acción Especifica]])</f>
        <v>KKIN_41_RHO Modificación de Registro</v>
      </c>
      <c r="O189" s="163" t="s">
        <v>2675</v>
      </c>
      <c r="P189" s="172" t="s">
        <v>25</v>
      </c>
      <c r="Q189" s="164" t="str">
        <f>CONCATENATE(Tabla1[[#This Row],[Simbología*]],"_",Tabla1[[#This Row],[Tipo de instalación relacionado]])</f>
        <v>KKKIN_56_Unidades Mayores</v>
      </c>
      <c r="R189" s="165">
        <v>1.9500000000000002</v>
      </c>
      <c r="S189" s="165">
        <v>2.6</v>
      </c>
      <c r="T189" s="166">
        <f>IFERROR(AVERAGE(Tabla1[[#This Row],[T. Mínimo]],Tabla1[[#This Row],[T. Máximo]]),0)</f>
        <v>2.2750000000000004</v>
      </c>
      <c r="U189" s="167">
        <v>0</v>
      </c>
      <c r="V189" s="167">
        <v>0</v>
      </c>
      <c r="W189" s="166">
        <f>IFERROR(AVERAGE(Tabla1[[#This Row],[T. Mínimo*]],Tabla1[[#This Row],[T. Máximo*]]),0)</f>
        <v>0</v>
      </c>
      <c r="X189" s="167">
        <v>1.9500000000000002</v>
      </c>
      <c r="Y189" s="167">
        <v>3.25</v>
      </c>
      <c r="Z189" s="166">
        <f>IFERROR(AVERAGE(Tabla1[[#This Row],[T. Mínimo**]],Tabla1[[#This Row],[T. Máximo**]]),0)</f>
        <v>2.6</v>
      </c>
      <c r="AA189" s="168">
        <f>SUM(Tabla1[[#This Row],[Promedio]],Tabla1[[#This Row],[Promedio*]],Tabla1[[#This Row],[Promedio**]])</f>
        <v>4.875</v>
      </c>
      <c r="AB189" s="169" t="s">
        <v>2486</v>
      </c>
      <c r="AD189" s="20" t="s">
        <v>2395</v>
      </c>
      <c r="AE189" s="10" t="s">
        <v>163</v>
      </c>
      <c r="AF189" s="20" t="s">
        <v>176</v>
      </c>
      <c r="AG189" s="10"/>
      <c r="AH189" s="22" t="str">
        <f t="shared" si="4"/>
        <v>Áncash_13 Mariscal Luzuriaga</v>
      </c>
      <c r="AI189" s="10" t="s">
        <v>359</v>
      </c>
      <c r="AJ189" s="20" t="s">
        <v>281</v>
      </c>
      <c r="AK189" s="22" t="str">
        <f t="shared" si="5"/>
        <v>Áncash_13 Mariscal Luzuriaga_04 Fidel Olivas Escudero</v>
      </c>
      <c r="AL189" s="25">
        <v>6</v>
      </c>
      <c r="AM189" s="25">
        <v>36</v>
      </c>
      <c r="AN189" s="26">
        <f>Tabla2[[#This Row],[Minutos]]/60</f>
        <v>0.6</v>
      </c>
      <c r="AO189" s="27">
        <f>SUM(Tabla2[[#This Row],[Horas]],Tabla2[[#This Row],[Minutos a Horas]])</f>
        <v>6.6</v>
      </c>
      <c r="AP189" s="49">
        <v>8</v>
      </c>
      <c r="AQ189" s="49">
        <v>0</v>
      </c>
      <c r="AR189" s="26">
        <f>Tabla2[[#This Row],[Minutos*]]/60</f>
        <v>0</v>
      </c>
      <c r="AS189" s="27">
        <f>SUM(Tabla2[[#This Row],[Horas*]],Tabla2[[#This Row],[Minutos a Horas*]])+(Tabla2[[#This Row],[Tiempo Total a Nivel Proncincial (Horas)]])</f>
        <v>14.6</v>
      </c>
      <c r="AV189" s="62"/>
    </row>
    <row r="190" spans="2:48" ht="42.75" customHeight="1" x14ac:dyDescent="0.25">
      <c r="B190" s="78" t="s">
        <v>2314</v>
      </c>
      <c r="C190" s="199" t="s">
        <v>4</v>
      </c>
      <c r="D190" s="162" t="s">
        <v>2497</v>
      </c>
      <c r="E190" s="162"/>
      <c r="F190" s="162" t="str">
        <f>CONCATENATE(Tabla1[[#This Row],[Simbología]],"_",Tabla1[[#This Row],[Acción]])</f>
        <v>AAA_Administración y otorgamiento del Registro de Hidrocarburos en toda la cadena</v>
      </c>
      <c r="G190" s="162" t="s">
        <v>14</v>
      </c>
      <c r="H190" s="161" t="s">
        <v>2551</v>
      </c>
      <c r="I190" s="163"/>
      <c r="J190" s="209" t="str">
        <f>CONCATENATE(Tabla1[[#This Row],[Simbología1]],"_",Tabla1[[#This Row],[Acción Especifica]])</f>
        <v>KIN_4_Supervisión Ex Post del Registro de Hidrocarburos con aprobación automática</v>
      </c>
      <c r="K190" s="209" t="s">
        <v>2613</v>
      </c>
      <c r="L190" s="162" t="s">
        <v>2372</v>
      </c>
      <c r="M190" s="162"/>
      <c r="N190" s="164" t="str">
        <f>CONCATENATE(Tabla1[[#This Row],[Simbología**]],"_",Tabla1[[#This Row],[Sub Acción Especifica]])</f>
        <v>KKIN_41_RHO Modificación de Datos  (*)</v>
      </c>
      <c r="O190" s="163" t="s">
        <v>2676</v>
      </c>
      <c r="P190" s="162" t="s">
        <v>2363</v>
      </c>
      <c r="Q190" s="164" t="str">
        <f>CONCATENATE(Tabla1[[#This Row],[Simbología*]],"_",Tabla1[[#This Row],[Tipo de instalación relacionado]])</f>
        <v>KKKIN_57_Establecimientos de Venta al Público (Líquidos y/o GLP)</v>
      </c>
      <c r="R190" s="165">
        <v>2.6</v>
      </c>
      <c r="S190" s="165">
        <v>3.9000000000000004</v>
      </c>
      <c r="T190" s="166">
        <f>IFERROR(AVERAGE(Tabla1[[#This Row],[T. Mínimo]],Tabla1[[#This Row],[T. Máximo]]),0)</f>
        <v>3.25</v>
      </c>
      <c r="U190" s="167">
        <v>0</v>
      </c>
      <c r="V190" s="167">
        <v>0</v>
      </c>
      <c r="W190" s="166">
        <f>IFERROR(AVERAGE(Tabla1[[#This Row],[T. Mínimo*]],Tabla1[[#This Row],[T. Máximo*]]),0)</f>
        <v>0</v>
      </c>
      <c r="X190" s="167">
        <v>1.9500000000000002</v>
      </c>
      <c r="Y190" s="167">
        <v>3.25</v>
      </c>
      <c r="Z190" s="166">
        <f>IFERROR(AVERAGE(Tabla1[[#This Row],[T. Mínimo**]],Tabla1[[#This Row],[T. Máximo**]]),0)</f>
        <v>2.6</v>
      </c>
      <c r="AA190" s="168">
        <f>SUM(Tabla1[[#This Row],[Promedio]],Tabla1[[#This Row],[Promedio*]],Tabla1[[#This Row],[Promedio**]])</f>
        <v>5.85</v>
      </c>
      <c r="AB190" s="169" t="s">
        <v>2486</v>
      </c>
      <c r="AD190" s="20" t="s">
        <v>2395</v>
      </c>
      <c r="AE190" s="10" t="s">
        <v>163</v>
      </c>
      <c r="AF190" s="20" t="s">
        <v>176</v>
      </c>
      <c r="AG190" s="10"/>
      <c r="AH190" s="22" t="str">
        <f t="shared" si="4"/>
        <v>Áncash_13 Mariscal Luzuriaga</v>
      </c>
      <c r="AI190" s="10" t="s">
        <v>359</v>
      </c>
      <c r="AJ190" s="20" t="s">
        <v>282</v>
      </c>
      <c r="AK190" s="22" t="str">
        <f t="shared" si="5"/>
        <v>Áncash_13 Mariscal Luzuriaga_05 Llama</v>
      </c>
      <c r="AL190" s="25">
        <v>6</v>
      </c>
      <c r="AM190" s="25">
        <v>36</v>
      </c>
      <c r="AN190" s="26">
        <f>Tabla2[[#This Row],[Minutos]]/60</f>
        <v>0.6</v>
      </c>
      <c r="AO190" s="27">
        <f>SUM(Tabla2[[#This Row],[Horas]],Tabla2[[#This Row],[Minutos a Horas]])</f>
        <v>6.6</v>
      </c>
      <c r="AP190" s="49">
        <v>8</v>
      </c>
      <c r="AQ190" s="49">
        <v>0</v>
      </c>
      <c r="AR190" s="26">
        <f>Tabla2[[#This Row],[Minutos*]]/60</f>
        <v>0</v>
      </c>
      <c r="AS190" s="27">
        <f>SUM(Tabla2[[#This Row],[Horas*]],Tabla2[[#This Row],[Minutos a Horas*]])+(Tabla2[[#This Row],[Tiempo Total a Nivel Proncincial (Horas)]])</f>
        <v>14.6</v>
      </c>
      <c r="AV190" s="62"/>
    </row>
    <row r="191" spans="2:48" ht="42.75" customHeight="1" x14ac:dyDescent="0.25">
      <c r="B191" s="78" t="s">
        <v>2314</v>
      </c>
      <c r="C191" s="199" t="s">
        <v>4</v>
      </c>
      <c r="D191" s="162" t="s">
        <v>2497</v>
      </c>
      <c r="E191" s="162"/>
      <c r="F191" s="162" t="str">
        <f>CONCATENATE(Tabla1[[#This Row],[Simbología]],"_",Tabla1[[#This Row],[Acción]])</f>
        <v>AAA_Administración y otorgamiento del Registro de Hidrocarburos en toda la cadena</v>
      </c>
      <c r="G191" s="162" t="s">
        <v>14</v>
      </c>
      <c r="H191" s="161" t="s">
        <v>2551</v>
      </c>
      <c r="I191" s="163"/>
      <c r="J191" s="209" t="str">
        <f>CONCATENATE(Tabla1[[#This Row],[Simbología1]],"_",Tabla1[[#This Row],[Acción Especifica]])</f>
        <v>KIN_4_Supervisión Ex Post del Registro de Hidrocarburos con aprobación automática</v>
      </c>
      <c r="K191" s="209" t="s">
        <v>2613</v>
      </c>
      <c r="L191" s="162" t="s">
        <v>2372</v>
      </c>
      <c r="M191" s="170"/>
      <c r="N191" s="164" t="str">
        <f>CONCATENATE(Tabla1[[#This Row],[Simbología**]],"_",Tabla1[[#This Row],[Sub Acción Especifica]])</f>
        <v>KKIN_41_RHO Modificación de Datos  (*)</v>
      </c>
      <c r="O191" s="163" t="s">
        <v>2676</v>
      </c>
      <c r="P191" s="162" t="s">
        <v>13</v>
      </c>
      <c r="Q191" s="164" t="str">
        <f>CONCATENATE(Tabla1[[#This Row],[Simbología*]],"_",Tabla1[[#This Row],[Tipo de instalación relacionado]])</f>
        <v>KKKIN_57_Establecimientos (GNV, GNC, GNL)</v>
      </c>
      <c r="R191" s="165">
        <v>2.6</v>
      </c>
      <c r="S191" s="165">
        <v>3.9000000000000004</v>
      </c>
      <c r="T191" s="166">
        <f>IFERROR(AVERAGE(Tabla1[[#This Row],[T. Mínimo]],Tabla1[[#This Row],[T. Máximo]]),0)</f>
        <v>3.25</v>
      </c>
      <c r="U191" s="167">
        <v>0</v>
      </c>
      <c r="V191" s="167">
        <v>0</v>
      </c>
      <c r="W191" s="166">
        <f>IFERROR(AVERAGE(Tabla1[[#This Row],[T. Mínimo*]],Tabla1[[#This Row],[T. Máximo*]]),0)</f>
        <v>0</v>
      </c>
      <c r="X191" s="167">
        <v>1.9500000000000002</v>
      </c>
      <c r="Y191" s="167">
        <v>3.25</v>
      </c>
      <c r="Z191" s="166">
        <f>IFERROR(AVERAGE(Tabla1[[#This Row],[T. Mínimo**]],Tabla1[[#This Row],[T. Máximo**]]),0)</f>
        <v>2.6</v>
      </c>
      <c r="AA191" s="168">
        <f>SUM(Tabla1[[#This Row],[Promedio]],Tabla1[[#This Row],[Promedio*]],Tabla1[[#This Row],[Promedio**]])</f>
        <v>5.85</v>
      </c>
      <c r="AB191" s="169" t="s">
        <v>2486</v>
      </c>
      <c r="AD191" s="20" t="s">
        <v>2395</v>
      </c>
      <c r="AE191" s="10" t="s">
        <v>163</v>
      </c>
      <c r="AF191" s="20" t="s">
        <v>176</v>
      </c>
      <c r="AG191" s="10"/>
      <c r="AH191" s="22" t="str">
        <f t="shared" si="4"/>
        <v>Áncash_13 Mariscal Luzuriaga</v>
      </c>
      <c r="AI191" s="10" t="s">
        <v>359</v>
      </c>
      <c r="AJ191" s="20" t="s">
        <v>283</v>
      </c>
      <c r="AK191" s="22" t="str">
        <f t="shared" si="5"/>
        <v>Áncash_13 Mariscal Luzuriaga_06 Llumpa</v>
      </c>
      <c r="AL191" s="25">
        <v>6</v>
      </c>
      <c r="AM191" s="25">
        <v>36</v>
      </c>
      <c r="AN191" s="26">
        <f>Tabla2[[#This Row],[Minutos]]/60</f>
        <v>0.6</v>
      </c>
      <c r="AO191" s="27">
        <f>SUM(Tabla2[[#This Row],[Horas]],Tabla2[[#This Row],[Minutos a Horas]])</f>
        <v>6.6</v>
      </c>
      <c r="AP191" s="49">
        <v>7</v>
      </c>
      <c r="AQ191" s="49">
        <v>0</v>
      </c>
      <c r="AR191" s="26">
        <f>Tabla2[[#This Row],[Minutos*]]/60</f>
        <v>0</v>
      </c>
      <c r="AS191" s="27">
        <f>SUM(Tabla2[[#This Row],[Horas*]],Tabla2[[#This Row],[Minutos a Horas*]])+(Tabla2[[#This Row],[Tiempo Total a Nivel Proncincial (Horas)]])</f>
        <v>13.6</v>
      </c>
      <c r="AV191" s="62"/>
    </row>
    <row r="192" spans="2:48" ht="42.75" customHeight="1" x14ac:dyDescent="0.25">
      <c r="B192" s="78" t="s">
        <v>2314</v>
      </c>
      <c r="C192" s="199" t="s">
        <v>4</v>
      </c>
      <c r="D192" s="162" t="s">
        <v>2497</v>
      </c>
      <c r="E192" s="162"/>
      <c r="F192" s="162" t="str">
        <f>CONCATENATE(Tabla1[[#This Row],[Simbología]],"_",Tabla1[[#This Row],[Acción]])</f>
        <v>AAA_Administración y otorgamiento del Registro de Hidrocarburos en toda la cadena</v>
      </c>
      <c r="G192" s="162" t="s">
        <v>14</v>
      </c>
      <c r="H192" s="161" t="s">
        <v>2551</v>
      </c>
      <c r="I192" s="163"/>
      <c r="J192" s="209" t="str">
        <f>CONCATENATE(Tabla1[[#This Row],[Simbología1]],"_",Tabla1[[#This Row],[Acción Especifica]])</f>
        <v>KIN_4_Supervisión Ex Post del Registro de Hidrocarburos con aprobación automática</v>
      </c>
      <c r="K192" s="209" t="s">
        <v>2613</v>
      </c>
      <c r="L192" s="162" t="s">
        <v>2372</v>
      </c>
      <c r="M192" s="170"/>
      <c r="N192" s="164" t="str">
        <f>CONCATENATE(Tabla1[[#This Row],[Simbología**]],"_",Tabla1[[#This Row],[Sub Acción Especifica]])</f>
        <v>KKIN_41_RHO Modificación de Datos  (*)</v>
      </c>
      <c r="O192" s="163" t="s">
        <v>2676</v>
      </c>
      <c r="P192" s="162" t="s">
        <v>8</v>
      </c>
      <c r="Q192" s="164" t="str">
        <f>CONCATENATE(Tabla1[[#This Row],[Simbología*]],"_",Tabla1[[#This Row],[Tipo de instalación relacionado]])</f>
        <v>KKKIN_57_Consumidores Directos de CL y/u OPDH</v>
      </c>
      <c r="R192" s="165">
        <v>1.9500000000000002</v>
      </c>
      <c r="S192" s="165">
        <v>3.25</v>
      </c>
      <c r="T192" s="166">
        <f>IFERROR(AVERAGE(Tabla1[[#This Row],[T. Mínimo]],Tabla1[[#This Row],[T. Máximo]]),0)</f>
        <v>2.6</v>
      </c>
      <c r="U192" s="167">
        <v>0</v>
      </c>
      <c r="V192" s="167">
        <v>0</v>
      </c>
      <c r="W192" s="166">
        <f>IFERROR(AVERAGE(Tabla1[[#This Row],[T. Mínimo*]],Tabla1[[#This Row],[T. Máximo*]]),0)</f>
        <v>0</v>
      </c>
      <c r="X192" s="167">
        <v>1.9500000000000002</v>
      </c>
      <c r="Y192" s="167">
        <v>3.25</v>
      </c>
      <c r="Z192" s="166">
        <f>IFERROR(AVERAGE(Tabla1[[#This Row],[T. Mínimo**]],Tabla1[[#This Row],[T. Máximo**]]),0)</f>
        <v>2.6</v>
      </c>
      <c r="AA192" s="168">
        <f>SUM(Tabla1[[#This Row],[Promedio]],Tabla1[[#This Row],[Promedio*]],Tabla1[[#This Row],[Promedio**]])</f>
        <v>5.2</v>
      </c>
      <c r="AB192" s="169" t="s">
        <v>2486</v>
      </c>
      <c r="AD192" s="20" t="s">
        <v>2395</v>
      </c>
      <c r="AE192" s="10" t="s">
        <v>163</v>
      </c>
      <c r="AF192" s="20" t="s">
        <v>176</v>
      </c>
      <c r="AG192" s="10"/>
      <c r="AH192" s="22" t="str">
        <f t="shared" si="4"/>
        <v>Áncash_13 Mariscal Luzuriaga</v>
      </c>
      <c r="AI192" s="10" t="s">
        <v>359</v>
      </c>
      <c r="AJ192" s="20" t="s">
        <v>284</v>
      </c>
      <c r="AK192" s="22" t="str">
        <f t="shared" si="5"/>
        <v>Áncash_13 Mariscal Luzuriaga_07 Lucma</v>
      </c>
      <c r="AL192" s="25">
        <v>6</v>
      </c>
      <c r="AM192" s="25">
        <v>36</v>
      </c>
      <c r="AN192" s="26">
        <f>Tabla2[[#This Row],[Minutos]]/60</f>
        <v>0.6</v>
      </c>
      <c r="AO192" s="27">
        <f>SUM(Tabla2[[#This Row],[Horas]],Tabla2[[#This Row],[Minutos a Horas]])</f>
        <v>6.6</v>
      </c>
      <c r="AP192" s="49">
        <v>8</v>
      </c>
      <c r="AQ192" s="49">
        <v>0</v>
      </c>
      <c r="AR192" s="26">
        <f>Tabla2[[#This Row],[Minutos*]]/60</f>
        <v>0</v>
      </c>
      <c r="AS192" s="27">
        <f>SUM(Tabla2[[#This Row],[Horas*]],Tabla2[[#This Row],[Minutos a Horas*]])+(Tabla2[[#This Row],[Tiempo Total a Nivel Proncincial (Horas)]])</f>
        <v>14.6</v>
      </c>
      <c r="AV192" s="62"/>
    </row>
    <row r="193" spans="2:48" ht="42.75" customHeight="1" x14ac:dyDescent="0.25">
      <c r="B193" s="78" t="s">
        <v>2314</v>
      </c>
      <c r="C193" s="199" t="s">
        <v>4</v>
      </c>
      <c r="D193" s="162" t="s">
        <v>2497</v>
      </c>
      <c r="E193" s="162"/>
      <c r="F193" s="162" t="str">
        <f>CONCATENATE(Tabla1[[#This Row],[Simbología]],"_",Tabla1[[#This Row],[Acción]])</f>
        <v>AAA_Administración y otorgamiento del Registro de Hidrocarburos en toda la cadena</v>
      </c>
      <c r="G193" s="162" t="s">
        <v>14</v>
      </c>
      <c r="H193" s="161" t="s">
        <v>2551</v>
      </c>
      <c r="I193" s="163"/>
      <c r="J193" s="209" t="str">
        <f>CONCATENATE(Tabla1[[#This Row],[Simbología1]],"_",Tabla1[[#This Row],[Acción Especifica]])</f>
        <v>KIN_4_Supervisión Ex Post del Registro de Hidrocarburos con aprobación automática</v>
      </c>
      <c r="K193" s="209" t="s">
        <v>2613</v>
      </c>
      <c r="L193" s="162" t="s">
        <v>2372</v>
      </c>
      <c r="M193" s="170"/>
      <c r="N193" s="164" t="str">
        <f>CONCATENATE(Tabla1[[#This Row],[Simbología**]],"_",Tabla1[[#This Row],[Sub Acción Especifica]])</f>
        <v>KKIN_41_RHO Modificación de Datos  (*)</v>
      </c>
      <c r="O193" s="163" t="s">
        <v>2676</v>
      </c>
      <c r="P193" s="162" t="s">
        <v>22</v>
      </c>
      <c r="Q193" s="164" t="str">
        <f>CONCATENATE(Tabla1[[#This Row],[Simbología*]],"_",Tabla1[[#This Row],[Tipo de instalación relacionado]])</f>
        <v>KKKIN_57_Consumidores Directos GLP y Redes de Distribución</v>
      </c>
      <c r="R193" s="165">
        <v>1.9500000000000002</v>
      </c>
      <c r="S193" s="165">
        <v>3.25</v>
      </c>
      <c r="T193" s="166">
        <f>IFERROR(AVERAGE(Tabla1[[#This Row],[T. Mínimo]],Tabla1[[#This Row],[T. Máximo]]),0)</f>
        <v>2.6</v>
      </c>
      <c r="U193" s="167">
        <v>0</v>
      </c>
      <c r="V193" s="167">
        <v>0</v>
      </c>
      <c r="W193" s="166">
        <f>IFERROR(AVERAGE(Tabla1[[#This Row],[T. Mínimo*]],Tabla1[[#This Row],[T. Máximo*]]),0)</f>
        <v>0</v>
      </c>
      <c r="X193" s="167">
        <v>1.9500000000000002</v>
      </c>
      <c r="Y193" s="167">
        <v>2.6</v>
      </c>
      <c r="Z193" s="166">
        <f>IFERROR(AVERAGE(Tabla1[[#This Row],[T. Mínimo**]],Tabla1[[#This Row],[T. Máximo**]]),0)</f>
        <v>2.2750000000000004</v>
      </c>
      <c r="AA193" s="168">
        <f>SUM(Tabla1[[#This Row],[Promedio]],Tabla1[[#This Row],[Promedio*]],Tabla1[[#This Row],[Promedio**]])</f>
        <v>4.875</v>
      </c>
      <c r="AB193" s="169" t="s">
        <v>2486</v>
      </c>
      <c r="AD193" s="20" t="s">
        <v>2395</v>
      </c>
      <c r="AE193" s="10" t="s">
        <v>163</v>
      </c>
      <c r="AF193" s="20" t="s">
        <v>176</v>
      </c>
      <c r="AG193" s="10"/>
      <c r="AH193" s="22" t="str">
        <f t="shared" si="4"/>
        <v>Áncash_13 Mariscal Luzuriaga</v>
      </c>
      <c r="AI193" s="10" t="s">
        <v>359</v>
      </c>
      <c r="AJ193" s="20" t="s">
        <v>285</v>
      </c>
      <c r="AK193" s="22" t="str">
        <f t="shared" si="5"/>
        <v>Áncash_13 Mariscal Luzuriaga_08 Musga</v>
      </c>
      <c r="AL193" s="25">
        <v>6</v>
      </c>
      <c r="AM193" s="25">
        <v>36</v>
      </c>
      <c r="AN193" s="26">
        <f>Tabla2[[#This Row],[Minutos]]/60</f>
        <v>0.6</v>
      </c>
      <c r="AO193" s="27">
        <f>SUM(Tabla2[[#This Row],[Horas]],Tabla2[[#This Row],[Minutos a Horas]])</f>
        <v>6.6</v>
      </c>
      <c r="AP193" s="49">
        <v>7</v>
      </c>
      <c r="AQ193" s="49">
        <v>30</v>
      </c>
      <c r="AR193" s="26">
        <f>Tabla2[[#This Row],[Minutos*]]/60</f>
        <v>0.5</v>
      </c>
      <c r="AS193" s="27">
        <f>SUM(Tabla2[[#This Row],[Horas*]],Tabla2[[#This Row],[Minutos a Horas*]])+(Tabla2[[#This Row],[Tiempo Total a Nivel Proncincial (Horas)]])</f>
        <v>14.1</v>
      </c>
      <c r="AV193" s="62"/>
    </row>
    <row r="194" spans="2:48" ht="42.75" customHeight="1" x14ac:dyDescent="0.25">
      <c r="B194" s="78" t="s">
        <v>2314</v>
      </c>
      <c r="C194" s="199" t="s">
        <v>4</v>
      </c>
      <c r="D194" s="162" t="s">
        <v>2497</v>
      </c>
      <c r="E194" s="162"/>
      <c r="F194" s="162" t="str">
        <f>CONCATENATE(Tabla1[[#This Row],[Simbología]],"_",Tabla1[[#This Row],[Acción]])</f>
        <v>AAA_Administración y otorgamiento del Registro de Hidrocarburos en toda la cadena</v>
      </c>
      <c r="G194" s="162" t="s">
        <v>14</v>
      </c>
      <c r="H194" s="161" t="s">
        <v>2551</v>
      </c>
      <c r="I194" s="163"/>
      <c r="J194" s="209" t="str">
        <f>CONCATENATE(Tabla1[[#This Row],[Simbología1]],"_",Tabla1[[#This Row],[Acción Especifica]])</f>
        <v>KIN_4_Supervisión Ex Post del Registro de Hidrocarburos con aprobación automática</v>
      </c>
      <c r="K194" s="209" t="s">
        <v>2613</v>
      </c>
      <c r="L194" s="162" t="s">
        <v>2372</v>
      </c>
      <c r="M194" s="170"/>
      <c r="N194" s="164" t="str">
        <f>CONCATENATE(Tabla1[[#This Row],[Simbología**]],"_",Tabla1[[#This Row],[Sub Acción Especifica]])</f>
        <v>KKIN_41_RHO Modificación de Datos  (*)</v>
      </c>
      <c r="O194" s="163" t="s">
        <v>2676</v>
      </c>
      <c r="P194" s="162" t="s">
        <v>45</v>
      </c>
      <c r="Q194" s="164" t="str">
        <f>CONCATENATE(Tabla1[[#This Row],[Simbología*]],"_",Tabla1[[#This Row],[Tipo de instalación relacionado]])</f>
        <v>KKKIN_57_Medios de Transporte (GNC, GNL)</v>
      </c>
      <c r="R194" s="165">
        <v>1.3</v>
      </c>
      <c r="S194" s="165">
        <v>2.6</v>
      </c>
      <c r="T194" s="166">
        <f>IFERROR(AVERAGE(Tabla1[[#This Row],[T. Mínimo]],Tabla1[[#This Row],[T. Máximo]]),0)</f>
        <v>1.9500000000000002</v>
      </c>
      <c r="U194" s="167">
        <v>0</v>
      </c>
      <c r="V194" s="167">
        <v>0</v>
      </c>
      <c r="W194" s="166">
        <f>IFERROR(AVERAGE(Tabla1[[#This Row],[T. Mínimo*]],Tabla1[[#This Row],[T. Máximo*]]),0)</f>
        <v>0</v>
      </c>
      <c r="X194" s="167">
        <v>1.3</v>
      </c>
      <c r="Y194" s="167">
        <v>2.6</v>
      </c>
      <c r="Z194" s="166">
        <f>IFERROR(AVERAGE(Tabla1[[#This Row],[T. Mínimo**]],Tabla1[[#This Row],[T. Máximo**]]),0)</f>
        <v>1.9500000000000002</v>
      </c>
      <c r="AA194" s="168">
        <f>SUM(Tabla1[[#This Row],[Promedio]],Tabla1[[#This Row],[Promedio*]],Tabla1[[#This Row],[Promedio**]])</f>
        <v>3.9000000000000004</v>
      </c>
      <c r="AB194" s="169" t="s">
        <v>2486</v>
      </c>
      <c r="AD194" s="20" t="s">
        <v>2395</v>
      </c>
      <c r="AE194" s="10" t="s">
        <v>163</v>
      </c>
      <c r="AF194" s="20" t="s">
        <v>177</v>
      </c>
      <c r="AG194" s="10"/>
      <c r="AH194" s="22" t="str">
        <f t="shared" si="4"/>
        <v>Áncash_14 Ocros</v>
      </c>
      <c r="AI194" s="10" t="s">
        <v>360</v>
      </c>
      <c r="AJ194" s="20" t="s">
        <v>286</v>
      </c>
      <c r="AK194" s="22" t="str">
        <f t="shared" si="5"/>
        <v>Áncash_14 Ocros_01 Ocros</v>
      </c>
      <c r="AL194" s="25">
        <v>2</v>
      </c>
      <c r="AM194" s="25">
        <v>26</v>
      </c>
      <c r="AN194" s="26">
        <f>Tabla2[[#This Row],[Minutos]]/60</f>
        <v>0.43333333333333335</v>
      </c>
      <c r="AO194" s="27">
        <f>SUM(Tabla2[[#This Row],[Horas]],Tabla2[[#This Row],[Minutos a Horas]])</f>
        <v>2.4333333333333336</v>
      </c>
      <c r="AP194" s="49">
        <v>6</v>
      </c>
      <c r="AQ194" s="49">
        <v>0</v>
      </c>
      <c r="AR194" s="26">
        <f>Tabla2[[#This Row],[Minutos*]]/60</f>
        <v>0</v>
      </c>
      <c r="AS194" s="27">
        <f>SUM(Tabla2[[#This Row],[Horas*]],Tabla2[[#This Row],[Minutos a Horas*]])+(Tabla2[[#This Row],[Tiempo Total a Nivel Proncincial (Horas)]])</f>
        <v>8.4333333333333336</v>
      </c>
      <c r="AV194" s="62"/>
    </row>
    <row r="195" spans="2:48" ht="42.75" customHeight="1" x14ac:dyDescent="0.25">
      <c r="B195" s="78" t="s">
        <v>2314</v>
      </c>
      <c r="C195" s="199" t="s">
        <v>4</v>
      </c>
      <c r="D195" s="162" t="s">
        <v>2497</v>
      </c>
      <c r="E195" s="162"/>
      <c r="F195" s="162" t="str">
        <f>CONCATENATE(Tabla1[[#This Row],[Simbología]],"_",Tabla1[[#This Row],[Acción]])</f>
        <v>AAA_Administración y otorgamiento del Registro de Hidrocarburos en toda la cadena</v>
      </c>
      <c r="G195" s="162" t="s">
        <v>14</v>
      </c>
      <c r="H195" s="161" t="s">
        <v>2551</v>
      </c>
      <c r="I195" s="163"/>
      <c r="J195" s="209" t="str">
        <f>CONCATENATE(Tabla1[[#This Row],[Simbología1]],"_",Tabla1[[#This Row],[Acción Especifica]])</f>
        <v>KIN_4_Supervisión Ex Post del Registro de Hidrocarburos con aprobación automática</v>
      </c>
      <c r="K195" s="209" t="s">
        <v>2613</v>
      </c>
      <c r="L195" s="162" t="s">
        <v>2372</v>
      </c>
      <c r="M195" s="170"/>
      <c r="N195" s="164" t="str">
        <f>CONCATENATE(Tabla1[[#This Row],[Simbología**]],"_",Tabla1[[#This Row],[Sub Acción Especifica]])</f>
        <v>KKIN_41_RHO Modificación de Datos  (*)</v>
      </c>
      <c r="O195" s="163" t="s">
        <v>2676</v>
      </c>
      <c r="P195" s="162" t="s">
        <v>23</v>
      </c>
      <c r="Q195" s="164" t="str">
        <f>CONCATENATE(Tabla1[[#This Row],[Simbología*]],"_",Tabla1[[#This Row],[Tipo de instalación relacionado]])</f>
        <v>KKKIN_57_Medios de Transporte y Distribuidores (Líquidos, GLP)</v>
      </c>
      <c r="R195" s="165">
        <v>1.9500000000000002</v>
      </c>
      <c r="S195" s="165">
        <v>3.25</v>
      </c>
      <c r="T195" s="166">
        <f>IFERROR(AVERAGE(Tabla1[[#This Row],[T. Mínimo]],Tabla1[[#This Row],[T. Máximo]]),0)</f>
        <v>2.6</v>
      </c>
      <c r="U195" s="167">
        <v>0</v>
      </c>
      <c r="V195" s="167">
        <v>0</v>
      </c>
      <c r="W195" s="166">
        <f>IFERROR(AVERAGE(Tabla1[[#This Row],[T. Mínimo*]],Tabla1[[#This Row],[T. Máximo*]]),0)</f>
        <v>0</v>
      </c>
      <c r="X195" s="167">
        <v>1.9500000000000002</v>
      </c>
      <c r="Y195" s="167">
        <v>3.25</v>
      </c>
      <c r="Z195" s="166">
        <f>IFERROR(AVERAGE(Tabla1[[#This Row],[T. Mínimo**]],Tabla1[[#This Row],[T. Máximo**]]),0)</f>
        <v>2.6</v>
      </c>
      <c r="AA195" s="168">
        <f>SUM(Tabla1[[#This Row],[Promedio]],Tabla1[[#This Row],[Promedio*]],Tabla1[[#This Row],[Promedio**]])</f>
        <v>5.2</v>
      </c>
      <c r="AB195" s="169" t="s">
        <v>2486</v>
      </c>
      <c r="AD195" s="20" t="s">
        <v>2395</v>
      </c>
      <c r="AE195" s="10" t="s">
        <v>163</v>
      </c>
      <c r="AF195" s="20" t="s">
        <v>177</v>
      </c>
      <c r="AG195" s="10"/>
      <c r="AH195" s="22" t="str">
        <f t="shared" si="4"/>
        <v>Áncash_14 Ocros</v>
      </c>
      <c r="AI195" s="10" t="s">
        <v>360</v>
      </c>
      <c r="AJ195" s="20" t="s">
        <v>287</v>
      </c>
      <c r="AK195" s="22" t="str">
        <f t="shared" si="5"/>
        <v>Áncash_14 Ocros_02 Acas</v>
      </c>
      <c r="AL195" s="25">
        <v>2</v>
      </c>
      <c r="AM195" s="25">
        <v>26</v>
      </c>
      <c r="AN195" s="26">
        <f>Tabla2[[#This Row],[Minutos]]/60</f>
        <v>0.43333333333333335</v>
      </c>
      <c r="AO195" s="27">
        <f>SUM(Tabla2[[#This Row],[Horas]],Tabla2[[#This Row],[Minutos a Horas]])</f>
        <v>2.4333333333333336</v>
      </c>
      <c r="AP195" s="49">
        <v>8</v>
      </c>
      <c r="AQ195" s="49">
        <v>0</v>
      </c>
      <c r="AR195" s="26">
        <f>Tabla2[[#This Row],[Minutos*]]/60</f>
        <v>0</v>
      </c>
      <c r="AS195" s="27">
        <f>SUM(Tabla2[[#This Row],[Horas*]],Tabla2[[#This Row],[Minutos a Horas*]])+(Tabla2[[#This Row],[Tiempo Total a Nivel Proncincial (Horas)]])</f>
        <v>10.433333333333334</v>
      </c>
      <c r="AV195" s="62"/>
    </row>
    <row r="196" spans="2:48" ht="42.75" customHeight="1" x14ac:dyDescent="0.25">
      <c r="B196" s="78" t="s">
        <v>2314</v>
      </c>
      <c r="C196" s="199" t="s">
        <v>4</v>
      </c>
      <c r="D196" s="162" t="s">
        <v>2497</v>
      </c>
      <c r="E196" s="162"/>
      <c r="F196" s="162" t="str">
        <f>CONCATENATE(Tabla1[[#This Row],[Simbología]],"_",Tabla1[[#This Row],[Acción]])</f>
        <v>AAA_Administración y otorgamiento del Registro de Hidrocarburos en toda la cadena</v>
      </c>
      <c r="G196" s="162" t="s">
        <v>14</v>
      </c>
      <c r="H196" s="161" t="s">
        <v>2551</v>
      </c>
      <c r="I196" s="163"/>
      <c r="J196" s="209" t="str">
        <f>CONCATENATE(Tabla1[[#This Row],[Simbología1]],"_",Tabla1[[#This Row],[Acción Especifica]])</f>
        <v>KIN_4_Supervisión Ex Post del Registro de Hidrocarburos con aprobación automática</v>
      </c>
      <c r="K196" s="209" t="s">
        <v>2613</v>
      </c>
      <c r="L196" s="162" t="s">
        <v>2372</v>
      </c>
      <c r="M196" s="170"/>
      <c r="N196" s="164" t="str">
        <f>CONCATENATE(Tabla1[[#This Row],[Simbología**]],"_",Tabla1[[#This Row],[Sub Acción Especifica]])</f>
        <v>KKIN_41_RHO Modificación de Datos  (*)</v>
      </c>
      <c r="O196" s="163" t="s">
        <v>2676</v>
      </c>
      <c r="P196" s="162" t="s">
        <v>24</v>
      </c>
      <c r="Q196" s="164" t="str">
        <f>CONCATENATE(Tabla1[[#This Row],[Simbología*]],"_",Tabla1[[#This Row],[Tipo de instalación relacionado]])</f>
        <v>KKKIN_57_Locales de Venta de GLP</v>
      </c>
      <c r="R196" s="165">
        <v>1.9500000000000002</v>
      </c>
      <c r="S196" s="165">
        <v>3.25</v>
      </c>
      <c r="T196" s="166">
        <f>IFERROR(AVERAGE(Tabla1[[#This Row],[T. Mínimo]],Tabla1[[#This Row],[T. Máximo]]),0)</f>
        <v>2.6</v>
      </c>
      <c r="U196" s="167">
        <v>0</v>
      </c>
      <c r="V196" s="167">
        <v>0</v>
      </c>
      <c r="W196" s="166">
        <f>IFERROR(AVERAGE(Tabla1[[#This Row],[T. Mínimo*]],Tabla1[[#This Row],[T. Máximo*]]),0)</f>
        <v>0</v>
      </c>
      <c r="X196" s="167">
        <v>1.9500000000000002</v>
      </c>
      <c r="Y196" s="167">
        <v>3.25</v>
      </c>
      <c r="Z196" s="166">
        <f>IFERROR(AVERAGE(Tabla1[[#This Row],[T. Mínimo**]],Tabla1[[#This Row],[T. Máximo**]]),0)</f>
        <v>2.6</v>
      </c>
      <c r="AA196" s="168">
        <f>SUM(Tabla1[[#This Row],[Promedio]],Tabla1[[#This Row],[Promedio*]],Tabla1[[#This Row],[Promedio**]])</f>
        <v>5.2</v>
      </c>
      <c r="AB196" s="169" t="s">
        <v>2486</v>
      </c>
      <c r="AD196" s="20" t="s">
        <v>2395</v>
      </c>
      <c r="AE196" s="10" t="s">
        <v>163</v>
      </c>
      <c r="AF196" s="20" t="s">
        <v>177</v>
      </c>
      <c r="AG196" s="10"/>
      <c r="AH196" s="22" t="str">
        <f t="shared" si="4"/>
        <v>Áncash_14 Ocros</v>
      </c>
      <c r="AI196" s="10" t="s">
        <v>360</v>
      </c>
      <c r="AJ196" s="20" t="s">
        <v>288</v>
      </c>
      <c r="AK196" s="22" t="str">
        <f t="shared" si="5"/>
        <v>Áncash_14 Ocros_03 Cajamarquilla</v>
      </c>
      <c r="AL196" s="25">
        <v>2</v>
      </c>
      <c r="AM196" s="25">
        <v>26</v>
      </c>
      <c r="AN196" s="26">
        <f>Tabla2[[#This Row],[Minutos]]/60</f>
        <v>0.43333333333333335</v>
      </c>
      <c r="AO196" s="27">
        <f>SUM(Tabla2[[#This Row],[Horas]],Tabla2[[#This Row],[Minutos a Horas]])</f>
        <v>2.4333333333333336</v>
      </c>
      <c r="AP196" s="49">
        <v>6</v>
      </c>
      <c r="AQ196" s="49">
        <v>0</v>
      </c>
      <c r="AR196" s="26">
        <f>Tabla2[[#This Row],[Minutos*]]/60</f>
        <v>0</v>
      </c>
      <c r="AS196" s="27">
        <f>SUM(Tabla2[[#This Row],[Horas*]],Tabla2[[#This Row],[Minutos a Horas*]])+(Tabla2[[#This Row],[Tiempo Total a Nivel Proncincial (Horas)]])</f>
        <v>8.4333333333333336</v>
      </c>
      <c r="AV196" s="62"/>
    </row>
    <row r="197" spans="2:48" ht="42.75" customHeight="1" x14ac:dyDescent="0.25">
      <c r="B197" s="78" t="s">
        <v>2314</v>
      </c>
      <c r="C197" s="199" t="s">
        <v>4</v>
      </c>
      <c r="D197" s="162" t="s">
        <v>2497</v>
      </c>
      <c r="E197" s="162"/>
      <c r="F197" s="162" t="str">
        <f>CONCATENATE(Tabla1[[#This Row],[Simbología]],"_",Tabla1[[#This Row],[Acción]])</f>
        <v>AAA_Administración y otorgamiento del Registro de Hidrocarburos en toda la cadena</v>
      </c>
      <c r="G197" s="162" t="s">
        <v>14</v>
      </c>
      <c r="H197" s="161" t="s">
        <v>2551</v>
      </c>
      <c r="I197" s="163"/>
      <c r="J197" s="209" t="str">
        <f>CONCATENATE(Tabla1[[#This Row],[Simbología1]],"_",Tabla1[[#This Row],[Acción Especifica]])</f>
        <v>KIN_4_Supervisión Ex Post del Registro de Hidrocarburos con aprobación automática</v>
      </c>
      <c r="K197" s="209" t="s">
        <v>2613</v>
      </c>
      <c r="L197" s="172" t="s">
        <v>2369</v>
      </c>
      <c r="M197" s="172"/>
      <c r="N197" s="164" t="str">
        <f>CONCATENATE(Tabla1[[#This Row],[Simbología**]],"_",Tabla1[[#This Row],[Sub Acción Especifica]])</f>
        <v>KKIN_41_Suspensión del RHO</v>
      </c>
      <c r="O197" s="163" t="s">
        <v>2677</v>
      </c>
      <c r="P197" s="162" t="s">
        <v>2363</v>
      </c>
      <c r="Q197" s="164" t="str">
        <f>CONCATENATE(Tabla1[[#This Row],[Simbología*]],"_",Tabla1[[#This Row],[Tipo de instalación relacionado]])</f>
        <v>KKKIN_58_Establecimientos de Venta al Público (Líquidos y/o GLP)</v>
      </c>
      <c r="R197" s="165">
        <v>1.9500000000000002</v>
      </c>
      <c r="S197" s="165">
        <v>3.25</v>
      </c>
      <c r="T197" s="166">
        <f>IFERROR(AVERAGE(Tabla1[[#This Row],[T. Mínimo]],Tabla1[[#This Row],[T. Máximo]]),0)</f>
        <v>2.6</v>
      </c>
      <c r="U197" s="167">
        <v>0</v>
      </c>
      <c r="V197" s="167">
        <v>0</v>
      </c>
      <c r="W197" s="166">
        <f>IFERROR(AVERAGE(Tabla1[[#This Row],[T. Mínimo*]],Tabla1[[#This Row],[T. Máximo*]]),0)</f>
        <v>0</v>
      </c>
      <c r="X197" s="167">
        <v>1.9500000000000002</v>
      </c>
      <c r="Y197" s="167">
        <v>3.25</v>
      </c>
      <c r="Z197" s="166">
        <f>IFERROR(AVERAGE(Tabla1[[#This Row],[T. Mínimo**]],Tabla1[[#This Row],[T. Máximo**]]),0)</f>
        <v>2.6</v>
      </c>
      <c r="AA197" s="168">
        <f>SUM(Tabla1[[#This Row],[Promedio]],Tabla1[[#This Row],[Promedio*]],Tabla1[[#This Row],[Promedio**]])</f>
        <v>5.2</v>
      </c>
      <c r="AB197" s="169" t="s">
        <v>2486</v>
      </c>
      <c r="AD197" s="20" t="s">
        <v>2395</v>
      </c>
      <c r="AE197" s="10" t="s">
        <v>163</v>
      </c>
      <c r="AF197" s="20" t="s">
        <v>177</v>
      </c>
      <c r="AG197" s="10"/>
      <c r="AH197" s="22" t="str">
        <f t="shared" si="4"/>
        <v>Áncash_14 Ocros</v>
      </c>
      <c r="AI197" s="10" t="s">
        <v>360</v>
      </c>
      <c r="AJ197" s="20" t="s">
        <v>289</v>
      </c>
      <c r="AK197" s="22" t="str">
        <f t="shared" si="5"/>
        <v>Áncash_14 Ocros_04 Carhuapampa</v>
      </c>
      <c r="AL197" s="25">
        <v>2</v>
      </c>
      <c r="AM197" s="25">
        <v>26</v>
      </c>
      <c r="AN197" s="26">
        <f>Tabla2[[#This Row],[Minutos]]/60</f>
        <v>0.43333333333333335</v>
      </c>
      <c r="AO197" s="27">
        <f>SUM(Tabla2[[#This Row],[Horas]],Tabla2[[#This Row],[Minutos a Horas]])</f>
        <v>2.4333333333333336</v>
      </c>
      <c r="AP197" s="49">
        <v>10</v>
      </c>
      <c r="AQ197" s="49">
        <v>0</v>
      </c>
      <c r="AR197" s="26">
        <f>Tabla2[[#This Row],[Minutos*]]/60</f>
        <v>0</v>
      </c>
      <c r="AS197" s="27">
        <f>SUM(Tabla2[[#This Row],[Horas*]],Tabla2[[#This Row],[Minutos a Horas*]])+(Tabla2[[#This Row],[Tiempo Total a Nivel Proncincial (Horas)]])</f>
        <v>12.433333333333334</v>
      </c>
      <c r="AV197" s="62"/>
    </row>
    <row r="198" spans="2:48" ht="42.75" customHeight="1" x14ac:dyDescent="0.25">
      <c r="B198" s="78" t="s">
        <v>2314</v>
      </c>
      <c r="C198" s="199" t="s">
        <v>4</v>
      </c>
      <c r="D198" s="162" t="s">
        <v>2497</v>
      </c>
      <c r="E198" s="162"/>
      <c r="F198" s="162" t="str">
        <f>CONCATENATE(Tabla1[[#This Row],[Simbología]],"_",Tabla1[[#This Row],[Acción]])</f>
        <v>AAA_Administración y otorgamiento del Registro de Hidrocarburos en toda la cadena</v>
      </c>
      <c r="G198" s="162" t="s">
        <v>14</v>
      </c>
      <c r="H198" s="161" t="s">
        <v>2551</v>
      </c>
      <c r="I198" s="163"/>
      <c r="J198" s="209" t="str">
        <f>CONCATENATE(Tabla1[[#This Row],[Simbología1]],"_",Tabla1[[#This Row],[Acción Especifica]])</f>
        <v>KIN_4_Supervisión Ex Post del Registro de Hidrocarburos con aprobación automática</v>
      </c>
      <c r="K198" s="209" t="s">
        <v>2613</v>
      </c>
      <c r="L198" s="172" t="s">
        <v>2369</v>
      </c>
      <c r="M198" s="172"/>
      <c r="N198" s="164" t="str">
        <f>CONCATENATE(Tabla1[[#This Row],[Simbología**]],"_",Tabla1[[#This Row],[Sub Acción Especifica]])</f>
        <v>KKIN_41_Suspensión del RHO</v>
      </c>
      <c r="O198" s="163" t="s">
        <v>2677</v>
      </c>
      <c r="P198" s="162" t="s">
        <v>13</v>
      </c>
      <c r="Q198" s="164" t="str">
        <f>CONCATENATE(Tabla1[[#This Row],[Simbología*]],"_",Tabla1[[#This Row],[Tipo de instalación relacionado]])</f>
        <v>KKKIN_58_Establecimientos (GNV, GNC, GNL)</v>
      </c>
      <c r="R198" s="165">
        <v>1.9500000000000002</v>
      </c>
      <c r="S198" s="165">
        <v>3.25</v>
      </c>
      <c r="T198" s="166">
        <f>IFERROR(AVERAGE(Tabla1[[#This Row],[T. Mínimo]],Tabla1[[#This Row],[T. Máximo]]),0)</f>
        <v>2.6</v>
      </c>
      <c r="U198" s="167">
        <v>0</v>
      </c>
      <c r="V198" s="167">
        <v>0</v>
      </c>
      <c r="W198" s="166">
        <f>IFERROR(AVERAGE(Tabla1[[#This Row],[T. Mínimo*]],Tabla1[[#This Row],[T. Máximo*]]),0)</f>
        <v>0</v>
      </c>
      <c r="X198" s="167">
        <v>1.9500000000000002</v>
      </c>
      <c r="Y198" s="167">
        <v>3.25</v>
      </c>
      <c r="Z198" s="166">
        <f>IFERROR(AVERAGE(Tabla1[[#This Row],[T. Mínimo**]],Tabla1[[#This Row],[T. Máximo**]]),0)</f>
        <v>2.6</v>
      </c>
      <c r="AA198" s="168">
        <f>SUM(Tabla1[[#This Row],[Promedio]],Tabla1[[#This Row],[Promedio*]],Tabla1[[#This Row],[Promedio**]])</f>
        <v>5.2</v>
      </c>
      <c r="AB198" s="169" t="s">
        <v>2486</v>
      </c>
      <c r="AD198" s="20" t="s">
        <v>2395</v>
      </c>
      <c r="AE198" s="10" t="s">
        <v>163</v>
      </c>
      <c r="AF198" s="20" t="s">
        <v>177</v>
      </c>
      <c r="AG198" s="10"/>
      <c r="AH198" s="22" t="str">
        <f t="shared" si="4"/>
        <v>Áncash_14 Ocros</v>
      </c>
      <c r="AI198" s="10" t="s">
        <v>360</v>
      </c>
      <c r="AJ198" s="20" t="s">
        <v>290</v>
      </c>
      <c r="AK198" s="22" t="str">
        <f t="shared" si="5"/>
        <v>Áncash_14 Ocros_05 Cochas</v>
      </c>
      <c r="AL198" s="25">
        <v>2</v>
      </c>
      <c r="AM198" s="25">
        <v>26</v>
      </c>
      <c r="AN198" s="26">
        <f>Tabla2[[#This Row],[Minutos]]/60</f>
        <v>0.43333333333333335</v>
      </c>
      <c r="AO198" s="27">
        <f>SUM(Tabla2[[#This Row],[Horas]],Tabla2[[#This Row],[Minutos a Horas]])</f>
        <v>2.4333333333333336</v>
      </c>
      <c r="AP198" s="49">
        <v>9</v>
      </c>
      <c r="AQ198" s="49">
        <v>0</v>
      </c>
      <c r="AR198" s="26">
        <f>Tabla2[[#This Row],[Minutos*]]/60</f>
        <v>0</v>
      </c>
      <c r="AS198" s="27">
        <f>SUM(Tabla2[[#This Row],[Horas*]],Tabla2[[#This Row],[Minutos a Horas*]])+(Tabla2[[#This Row],[Tiempo Total a Nivel Proncincial (Horas)]])</f>
        <v>11.433333333333334</v>
      </c>
      <c r="AV198" s="62"/>
    </row>
    <row r="199" spans="2:48" ht="42.75" customHeight="1" x14ac:dyDescent="0.25">
      <c r="B199" s="78" t="s">
        <v>2314</v>
      </c>
      <c r="C199" s="199" t="s">
        <v>4</v>
      </c>
      <c r="D199" s="162" t="s">
        <v>2497</v>
      </c>
      <c r="E199" s="162"/>
      <c r="F199" s="162" t="str">
        <f>CONCATENATE(Tabla1[[#This Row],[Simbología]],"_",Tabla1[[#This Row],[Acción]])</f>
        <v>AAA_Administración y otorgamiento del Registro de Hidrocarburos en toda la cadena</v>
      </c>
      <c r="G199" s="162" t="s">
        <v>14</v>
      </c>
      <c r="H199" s="161" t="s">
        <v>2551</v>
      </c>
      <c r="I199" s="163"/>
      <c r="J199" s="209" t="str">
        <f>CONCATENATE(Tabla1[[#This Row],[Simbología1]],"_",Tabla1[[#This Row],[Acción Especifica]])</f>
        <v>KIN_4_Supervisión Ex Post del Registro de Hidrocarburos con aprobación automática</v>
      </c>
      <c r="K199" s="209" t="s">
        <v>2613</v>
      </c>
      <c r="L199" s="172" t="s">
        <v>2369</v>
      </c>
      <c r="M199" s="172"/>
      <c r="N199" s="164" t="str">
        <f>CONCATENATE(Tabla1[[#This Row],[Simbología**]],"_",Tabla1[[#This Row],[Sub Acción Especifica]])</f>
        <v>KKIN_41_Suspensión del RHO</v>
      </c>
      <c r="O199" s="163" t="s">
        <v>2677</v>
      </c>
      <c r="P199" s="162" t="s">
        <v>8</v>
      </c>
      <c r="Q199" s="164" t="str">
        <f>CONCATENATE(Tabla1[[#This Row],[Simbología*]],"_",Tabla1[[#This Row],[Tipo de instalación relacionado]])</f>
        <v>KKKIN_58_Consumidores Directos de CL y/u OPDH</v>
      </c>
      <c r="R199" s="165">
        <v>1.9500000000000002</v>
      </c>
      <c r="S199" s="165">
        <v>3.25</v>
      </c>
      <c r="T199" s="166">
        <f>IFERROR(AVERAGE(Tabla1[[#This Row],[T. Mínimo]],Tabla1[[#This Row],[T. Máximo]]),0)</f>
        <v>2.6</v>
      </c>
      <c r="U199" s="167">
        <v>0</v>
      </c>
      <c r="V199" s="167">
        <v>0</v>
      </c>
      <c r="W199" s="166">
        <f>IFERROR(AVERAGE(Tabla1[[#This Row],[T. Mínimo*]],Tabla1[[#This Row],[T. Máximo*]]),0)</f>
        <v>0</v>
      </c>
      <c r="X199" s="167">
        <v>1.9500000000000002</v>
      </c>
      <c r="Y199" s="167">
        <v>3.25</v>
      </c>
      <c r="Z199" s="166">
        <f>IFERROR(AVERAGE(Tabla1[[#This Row],[T. Mínimo**]],Tabla1[[#This Row],[T. Máximo**]]),0)</f>
        <v>2.6</v>
      </c>
      <c r="AA199" s="168">
        <f>SUM(Tabla1[[#This Row],[Promedio]],Tabla1[[#This Row],[Promedio*]],Tabla1[[#This Row],[Promedio**]])</f>
        <v>5.2</v>
      </c>
      <c r="AB199" s="169" t="s">
        <v>2486</v>
      </c>
      <c r="AD199" s="20" t="s">
        <v>2395</v>
      </c>
      <c r="AE199" s="10" t="s">
        <v>163</v>
      </c>
      <c r="AF199" s="20" t="s">
        <v>177</v>
      </c>
      <c r="AG199" s="10"/>
      <c r="AH199" s="22" t="str">
        <f t="shared" ref="AH199:AH262" si="6">CONCATENATE(AD199,"_",AF199)</f>
        <v>Áncash_14 Ocros</v>
      </c>
      <c r="AI199" s="10" t="s">
        <v>360</v>
      </c>
      <c r="AJ199" s="20" t="s">
        <v>291</v>
      </c>
      <c r="AK199" s="22" t="str">
        <f t="shared" ref="AK199:AK262" si="7">CONCATENATE(AH199,"_",AJ199)</f>
        <v>Áncash_14 Ocros_06 Congas</v>
      </c>
      <c r="AL199" s="25">
        <v>2</v>
      </c>
      <c r="AM199" s="25">
        <v>26</v>
      </c>
      <c r="AN199" s="26">
        <f>Tabla2[[#This Row],[Minutos]]/60</f>
        <v>0.43333333333333335</v>
      </c>
      <c r="AO199" s="27">
        <f>SUM(Tabla2[[#This Row],[Horas]],Tabla2[[#This Row],[Minutos a Horas]])</f>
        <v>2.4333333333333336</v>
      </c>
      <c r="AP199" s="49">
        <v>6</v>
      </c>
      <c r="AQ199" s="49">
        <v>0</v>
      </c>
      <c r="AR199" s="26">
        <f>Tabla2[[#This Row],[Minutos*]]/60</f>
        <v>0</v>
      </c>
      <c r="AS199" s="27">
        <f>SUM(Tabla2[[#This Row],[Horas*]],Tabla2[[#This Row],[Minutos a Horas*]])+(Tabla2[[#This Row],[Tiempo Total a Nivel Proncincial (Horas)]])</f>
        <v>8.4333333333333336</v>
      </c>
      <c r="AV199" s="62"/>
    </row>
    <row r="200" spans="2:48" ht="42.75" customHeight="1" x14ac:dyDescent="0.25">
      <c r="B200" s="78" t="s">
        <v>2314</v>
      </c>
      <c r="C200" s="199" t="s">
        <v>4</v>
      </c>
      <c r="D200" s="162" t="s">
        <v>2497</v>
      </c>
      <c r="E200" s="162"/>
      <c r="F200" s="162" t="str">
        <f>CONCATENATE(Tabla1[[#This Row],[Simbología]],"_",Tabla1[[#This Row],[Acción]])</f>
        <v>AAA_Administración y otorgamiento del Registro de Hidrocarburos en toda la cadena</v>
      </c>
      <c r="G200" s="162" t="s">
        <v>14</v>
      </c>
      <c r="H200" s="161" t="s">
        <v>2551</v>
      </c>
      <c r="I200" s="163"/>
      <c r="J200" s="209" t="str">
        <f>CONCATENATE(Tabla1[[#This Row],[Simbología1]],"_",Tabla1[[#This Row],[Acción Especifica]])</f>
        <v>KIN_4_Supervisión Ex Post del Registro de Hidrocarburos con aprobación automática</v>
      </c>
      <c r="K200" s="209" t="s">
        <v>2613</v>
      </c>
      <c r="L200" s="172" t="s">
        <v>2369</v>
      </c>
      <c r="M200" s="162"/>
      <c r="N200" s="164" t="str">
        <f>CONCATENATE(Tabla1[[#This Row],[Simbología**]],"_",Tabla1[[#This Row],[Sub Acción Especifica]])</f>
        <v>KKIN_41_Suspensión del RHO</v>
      </c>
      <c r="O200" s="163" t="s">
        <v>2677</v>
      </c>
      <c r="P200" s="162" t="s">
        <v>22</v>
      </c>
      <c r="Q200" s="164" t="str">
        <f>CONCATENATE(Tabla1[[#This Row],[Simbología*]],"_",Tabla1[[#This Row],[Tipo de instalación relacionado]])</f>
        <v>KKKIN_58_Consumidores Directos GLP y Redes de Distribución</v>
      </c>
      <c r="R200" s="165">
        <v>1.9500000000000002</v>
      </c>
      <c r="S200" s="165">
        <v>3.25</v>
      </c>
      <c r="T200" s="166">
        <f>IFERROR(AVERAGE(Tabla1[[#This Row],[T. Mínimo]],Tabla1[[#This Row],[T. Máximo]]),0)</f>
        <v>2.6</v>
      </c>
      <c r="U200" s="167">
        <v>0</v>
      </c>
      <c r="V200" s="167">
        <v>0</v>
      </c>
      <c r="W200" s="166">
        <f>IFERROR(AVERAGE(Tabla1[[#This Row],[T. Mínimo*]],Tabla1[[#This Row],[T. Máximo*]]),0)</f>
        <v>0</v>
      </c>
      <c r="X200" s="167">
        <v>1.9500000000000002</v>
      </c>
      <c r="Y200" s="167">
        <v>3.25</v>
      </c>
      <c r="Z200" s="166">
        <f>IFERROR(AVERAGE(Tabla1[[#This Row],[T. Mínimo**]],Tabla1[[#This Row],[T. Máximo**]]),0)</f>
        <v>2.6</v>
      </c>
      <c r="AA200" s="168">
        <f>SUM(Tabla1[[#This Row],[Promedio]],Tabla1[[#This Row],[Promedio*]],Tabla1[[#This Row],[Promedio**]])</f>
        <v>5.2</v>
      </c>
      <c r="AB200" s="169" t="s">
        <v>2486</v>
      </c>
      <c r="AD200" s="20" t="s">
        <v>2395</v>
      </c>
      <c r="AE200" s="10" t="s">
        <v>163</v>
      </c>
      <c r="AF200" s="20" t="s">
        <v>177</v>
      </c>
      <c r="AG200" s="10"/>
      <c r="AH200" s="22" t="str">
        <f t="shared" si="6"/>
        <v>Áncash_14 Ocros</v>
      </c>
      <c r="AI200" s="10" t="s">
        <v>360</v>
      </c>
      <c r="AJ200" s="20" t="s">
        <v>292</v>
      </c>
      <c r="AK200" s="22" t="str">
        <f t="shared" si="7"/>
        <v>Áncash_14 Ocros_07 Llipa</v>
      </c>
      <c r="AL200" s="25">
        <v>2</v>
      </c>
      <c r="AM200" s="25">
        <v>26</v>
      </c>
      <c r="AN200" s="26">
        <f>Tabla2[[#This Row],[Minutos]]/60</f>
        <v>0.43333333333333335</v>
      </c>
      <c r="AO200" s="27">
        <f>SUM(Tabla2[[#This Row],[Horas]],Tabla2[[#This Row],[Minutos a Horas]])</f>
        <v>2.4333333333333336</v>
      </c>
      <c r="AP200" s="49">
        <v>7</v>
      </c>
      <c r="AQ200" s="49">
        <v>0</v>
      </c>
      <c r="AR200" s="26">
        <f>Tabla2[[#This Row],[Minutos*]]/60</f>
        <v>0</v>
      </c>
      <c r="AS200" s="27">
        <f>SUM(Tabla2[[#This Row],[Horas*]],Tabla2[[#This Row],[Minutos a Horas*]])+(Tabla2[[#This Row],[Tiempo Total a Nivel Proncincial (Horas)]])</f>
        <v>9.4333333333333336</v>
      </c>
      <c r="AV200" s="62"/>
    </row>
    <row r="201" spans="2:48" ht="42.75" customHeight="1" x14ac:dyDescent="0.25">
      <c r="B201" s="78" t="s">
        <v>2314</v>
      </c>
      <c r="C201" s="199" t="s">
        <v>4</v>
      </c>
      <c r="D201" s="162" t="s">
        <v>2497</v>
      </c>
      <c r="E201" s="162"/>
      <c r="F201" s="162" t="str">
        <f>CONCATENATE(Tabla1[[#This Row],[Simbología]],"_",Tabla1[[#This Row],[Acción]])</f>
        <v>AAA_Administración y otorgamiento del Registro de Hidrocarburos en toda la cadena</v>
      </c>
      <c r="G201" s="162" t="s">
        <v>14</v>
      </c>
      <c r="H201" s="161" t="s">
        <v>2551</v>
      </c>
      <c r="I201" s="163"/>
      <c r="J201" s="209" t="str">
        <f>CONCATENATE(Tabla1[[#This Row],[Simbología1]],"_",Tabla1[[#This Row],[Acción Especifica]])</f>
        <v>KIN_4_Supervisión Ex Post del Registro de Hidrocarburos con aprobación automática</v>
      </c>
      <c r="K201" s="209" t="s">
        <v>2613</v>
      </c>
      <c r="L201" s="172" t="s">
        <v>2369</v>
      </c>
      <c r="M201" s="162"/>
      <c r="N201" s="164" t="str">
        <f>CONCATENATE(Tabla1[[#This Row],[Simbología**]],"_",Tabla1[[#This Row],[Sub Acción Especifica]])</f>
        <v>KKIN_41_Suspensión del RHO</v>
      </c>
      <c r="O201" s="163" t="s">
        <v>2677</v>
      </c>
      <c r="P201" s="162" t="s">
        <v>45</v>
      </c>
      <c r="Q201" s="164" t="str">
        <f>CONCATENATE(Tabla1[[#This Row],[Simbología*]],"_",Tabla1[[#This Row],[Tipo de instalación relacionado]])</f>
        <v>KKKIN_58_Medios de Transporte (GNC, GNL)</v>
      </c>
      <c r="R201" s="165">
        <v>1.9500000000000002</v>
      </c>
      <c r="S201" s="165">
        <v>3.25</v>
      </c>
      <c r="T201" s="166">
        <f>IFERROR(AVERAGE(Tabla1[[#This Row],[T. Mínimo]],Tabla1[[#This Row],[T. Máximo]]),0)</f>
        <v>2.6</v>
      </c>
      <c r="U201" s="167">
        <v>0</v>
      </c>
      <c r="V201" s="167">
        <v>0</v>
      </c>
      <c r="W201" s="166">
        <f>IFERROR(AVERAGE(Tabla1[[#This Row],[T. Mínimo*]],Tabla1[[#This Row],[T. Máximo*]]),0)</f>
        <v>0</v>
      </c>
      <c r="X201" s="167">
        <v>1.9500000000000002</v>
      </c>
      <c r="Y201" s="167">
        <v>3.25</v>
      </c>
      <c r="Z201" s="166">
        <f>IFERROR(AVERAGE(Tabla1[[#This Row],[T. Mínimo**]],Tabla1[[#This Row],[T. Máximo**]]),0)</f>
        <v>2.6</v>
      </c>
      <c r="AA201" s="168">
        <f>SUM(Tabla1[[#This Row],[Promedio]],Tabla1[[#This Row],[Promedio*]],Tabla1[[#This Row],[Promedio**]])</f>
        <v>5.2</v>
      </c>
      <c r="AB201" s="169" t="s">
        <v>2486</v>
      </c>
      <c r="AD201" s="20" t="s">
        <v>2395</v>
      </c>
      <c r="AE201" s="10" t="s">
        <v>163</v>
      </c>
      <c r="AF201" s="20" t="s">
        <v>177</v>
      </c>
      <c r="AG201" s="10"/>
      <c r="AH201" s="22" t="str">
        <f t="shared" si="6"/>
        <v>Áncash_14 Ocros</v>
      </c>
      <c r="AI201" s="10" t="s">
        <v>360</v>
      </c>
      <c r="AJ201" s="20" t="s">
        <v>293</v>
      </c>
      <c r="AK201" s="22" t="str">
        <f t="shared" si="7"/>
        <v>Áncash_14 Ocros_08 San Cristóbal de Rajan</v>
      </c>
      <c r="AL201" s="25">
        <v>2</v>
      </c>
      <c r="AM201" s="25">
        <v>26</v>
      </c>
      <c r="AN201" s="26">
        <f>Tabla2[[#This Row],[Minutos]]/60</f>
        <v>0.43333333333333335</v>
      </c>
      <c r="AO201" s="27">
        <f>SUM(Tabla2[[#This Row],[Horas]],Tabla2[[#This Row],[Minutos a Horas]])</f>
        <v>2.4333333333333336</v>
      </c>
      <c r="AP201" s="49">
        <v>6</v>
      </c>
      <c r="AQ201" s="49">
        <v>30</v>
      </c>
      <c r="AR201" s="26">
        <f>Tabla2[[#This Row],[Minutos*]]/60</f>
        <v>0.5</v>
      </c>
      <c r="AS201" s="27">
        <f>SUM(Tabla2[[#This Row],[Horas*]],Tabla2[[#This Row],[Minutos a Horas*]])+(Tabla2[[#This Row],[Tiempo Total a Nivel Proncincial (Horas)]])</f>
        <v>8.9333333333333336</v>
      </c>
      <c r="AV201" s="62"/>
    </row>
    <row r="202" spans="2:48" ht="42.75" customHeight="1" x14ac:dyDescent="0.25">
      <c r="B202" s="78" t="s">
        <v>2314</v>
      </c>
      <c r="C202" s="199" t="s">
        <v>4</v>
      </c>
      <c r="D202" s="162" t="s">
        <v>2497</v>
      </c>
      <c r="E202" s="162"/>
      <c r="F202" s="162" t="str">
        <f>CONCATENATE(Tabla1[[#This Row],[Simbología]],"_",Tabla1[[#This Row],[Acción]])</f>
        <v>AAA_Administración y otorgamiento del Registro de Hidrocarburos en toda la cadena</v>
      </c>
      <c r="G202" s="162" t="s">
        <v>14</v>
      </c>
      <c r="H202" s="161" t="s">
        <v>2551</v>
      </c>
      <c r="I202" s="163"/>
      <c r="J202" s="209" t="str">
        <f>CONCATENATE(Tabla1[[#This Row],[Simbología1]],"_",Tabla1[[#This Row],[Acción Especifica]])</f>
        <v>KIN_4_Supervisión Ex Post del Registro de Hidrocarburos con aprobación automática</v>
      </c>
      <c r="K202" s="209" t="s">
        <v>2613</v>
      </c>
      <c r="L202" s="172" t="s">
        <v>2369</v>
      </c>
      <c r="M202" s="162"/>
      <c r="N202" s="164" t="str">
        <f>CONCATENATE(Tabla1[[#This Row],[Simbología**]],"_",Tabla1[[#This Row],[Sub Acción Especifica]])</f>
        <v>KKIN_41_Suspensión del RHO</v>
      </c>
      <c r="O202" s="163" t="s">
        <v>2677</v>
      </c>
      <c r="P202" s="162" t="s">
        <v>23</v>
      </c>
      <c r="Q202" s="164" t="str">
        <f>CONCATENATE(Tabla1[[#This Row],[Simbología*]],"_",Tabla1[[#This Row],[Tipo de instalación relacionado]])</f>
        <v>KKKIN_58_Medios de Transporte y Distribuidores (Líquidos, GLP)</v>
      </c>
      <c r="R202" s="165">
        <v>1.9500000000000002</v>
      </c>
      <c r="S202" s="165">
        <v>3.25</v>
      </c>
      <c r="T202" s="166">
        <f>IFERROR(AVERAGE(Tabla1[[#This Row],[T. Mínimo]],Tabla1[[#This Row],[T. Máximo]]),0)</f>
        <v>2.6</v>
      </c>
      <c r="U202" s="167">
        <v>0</v>
      </c>
      <c r="V202" s="167">
        <v>0</v>
      </c>
      <c r="W202" s="166">
        <f>IFERROR(AVERAGE(Tabla1[[#This Row],[T. Mínimo*]],Tabla1[[#This Row],[T. Máximo*]]),0)</f>
        <v>0</v>
      </c>
      <c r="X202" s="167">
        <v>1.9500000000000002</v>
      </c>
      <c r="Y202" s="167">
        <v>3.25</v>
      </c>
      <c r="Z202" s="166">
        <f>IFERROR(AVERAGE(Tabla1[[#This Row],[T. Mínimo**]],Tabla1[[#This Row],[T. Máximo**]]),0)</f>
        <v>2.6</v>
      </c>
      <c r="AA202" s="168">
        <f>SUM(Tabla1[[#This Row],[Promedio]],Tabla1[[#This Row],[Promedio*]],Tabla1[[#This Row],[Promedio**]])</f>
        <v>5.2</v>
      </c>
      <c r="AB202" s="169" t="s">
        <v>2486</v>
      </c>
      <c r="AD202" s="20" t="s">
        <v>2395</v>
      </c>
      <c r="AE202" s="10" t="s">
        <v>163</v>
      </c>
      <c r="AF202" s="20" t="s">
        <v>177</v>
      </c>
      <c r="AG202" s="10"/>
      <c r="AH202" s="22" t="str">
        <f t="shared" si="6"/>
        <v>Áncash_14 Ocros</v>
      </c>
      <c r="AI202" s="10" t="s">
        <v>360</v>
      </c>
      <c r="AJ202" s="20" t="s">
        <v>294</v>
      </c>
      <c r="AK202" s="22" t="str">
        <f t="shared" si="7"/>
        <v>Áncash_14 Ocros_09 San Pedro</v>
      </c>
      <c r="AL202" s="25">
        <v>2</v>
      </c>
      <c r="AM202" s="25">
        <v>26</v>
      </c>
      <c r="AN202" s="26">
        <f>Tabla2[[#This Row],[Minutos]]/60</f>
        <v>0.43333333333333335</v>
      </c>
      <c r="AO202" s="27">
        <f>SUM(Tabla2[[#This Row],[Horas]],Tabla2[[#This Row],[Minutos a Horas]])</f>
        <v>2.4333333333333336</v>
      </c>
      <c r="AP202" s="49">
        <v>7</v>
      </c>
      <c r="AQ202" s="49">
        <v>0</v>
      </c>
      <c r="AR202" s="26">
        <f>Tabla2[[#This Row],[Minutos*]]/60</f>
        <v>0</v>
      </c>
      <c r="AS202" s="27">
        <f>SUM(Tabla2[[#This Row],[Horas*]],Tabla2[[#This Row],[Minutos a Horas*]])+(Tabla2[[#This Row],[Tiempo Total a Nivel Proncincial (Horas)]])</f>
        <v>9.4333333333333336</v>
      </c>
      <c r="AV202" s="62"/>
    </row>
    <row r="203" spans="2:48" ht="42.75" customHeight="1" x14ac:dyDescent="0.25">
      <c r="B203" s="78" t="s">
        <v>2314</v>
      </c>
      <c r="C203" s="199" t="s">
        <v>4</v>
      </c>
      <c r="D203" s="162" t="s">
        <v>2497</v>
      </c>
      <c r="E203" s="162"/>
      <c r="F203" s="162" t="str">
        <f>CONCATENATE(Tabla1[[#This Row],[Simbología]],"_",Tabla1[[#This Row],[Acción]])</f>
        <v>AAA_Administración y otorgamiento del Registro de Hidrocarburos en toda la cadena</v>
      </c>
      <c r="G203" s="162" t="s">
        <v>14</v>
      </c>
      <c r="H203" s="161" t="s">
        <v>2551</v>
      </c>
      <c r="I203" s="163"/>
      <c r="J203" s="209" t="str">
        <f>CONCATENATE(Tabla1[[#This Row],[Simbología1]],"_",Tabla1[[#This Row],[Acción Especifica]])</f>
        <v>KIN_4_Supervisión Ex Post del Registro de Hidrocarburos con aprobación automática</v>
      </c>
      <c r="K203" s="209" t="s">
        <v>2613</v>
      </c>
      <c r="L203" s="172" t="s">
        <v>2369</v>
      </c>
      <c r="M203" s="162"/>
      <c r="N203" s="164" t="str">
        <f>CONCATENATE(Tabla1[[#This Row],[Simbología**]],"_",Tabla1[[#This Row],[Sub Acción Especifica]])</f>
        <v>KKIN_41_Suspensión del RHO</v>
      </c>
      <c r="O203" s="163" t="s">
        <v>2677</v>
      </c>
      <c r="P203" s="162" t="s">
        <v>24</v>
      </c>
      <c r="Q203" s="164" t="str">
        <f>CONCATENATE(Tabla1[[#This Row],[Simbología*]],"_",Tabla1[[#This Row],[Tipo de instalación relacionado]])</f>
        <v>KKKIN_58_Locales de Venta de GLP</v>
      </c>
      <c r="R203" s="165">
        <v>1.9500000000000002</v>
      </c>
      <c r="S203" s="165">
        <v>3.25</v>
      </c>
      <c r="T203" s="166">
        <f>IFERROR(AVERAGE(Tabla1[[#This Row],[T. Mínimo]],Tabla1[[#This Row],[T. Máximo]]),0)</f>
        <v>2.6</v>
      </c>
      <c r="U203" s="167">
        <v>0</v>
      </c>
      <c r="V203" s="167">
        <v>0</v>
      </c>
      <c r="W203" s="166">
        <f>IFERROR(AVERAGE(Tabla1[[#This Row],[T. Mínimo*]],Tabla1[[#This Row],[T. Máximo*]]),0)</f>
        <v>0</v>
      </c>
      <c r="X203" s="167">
        <v>1.9500000000000002</v>
      </c>
      <c r="Y203" s="167">
        <v>3.25</v>
      </c>
      <c r="Z203" s="166">
        <f>IFERROR(AVERAGE(Tabla1[[#This Row],[T. Mínimo**]],Tabla1[[#This Row],[T. Máximo**]]),0)</f>
        <v>2.6</v>
      </c>
      <c r="AA203" s="168">
        <f>SUM(Tabla1[[#This Row],[Promedio]],Tabla1[[#This Row],[Promedio*]],Tabla1[[#This Row],[Promedio**]])</f>
        <v>5.2</v>
      </c>
      <c r="AB203" s="169" t="s">
        <v>2486</v>
      </c>
      <c r="AD203" s="20" t="s">
        <v>2395</v>
      </c>
      <c r="AE203" s="10" t="s">
        <v>163</v>
      </c>
      <c r="AF203" s="20" t="s">
        <v>177</v>
      </c>
      <c r="AG203" s="10"/>
      <c r="AH203" s="22" t="str">
        <f t="shared" si="6"/>
        <v>Áncash_14 Ocros</v>
      </c>
      <c r="AI203" s="10" t="s">
        <v>360</v>
      </c>
      <c r="AJ203" s="20" t="s">
        <v>295</v>
      </c>
      <c r="AK203" s="22" t="str">
        <f t="shared" si="7"/>
        <v>Áncash_14 Ocros_10 Santiago de Chilcas</v>
      </c>
      <c r="AL203" s="25">
        <v>2</v>
      </c>
      <c r="AM203" s="25">
        <v>26</v>
      </c>
      <c r="AN203" s="26">
        <f>Tabla2[[#This Row],[Minutos]]/60</f>
        <v>0.43333333333333335</v>
      </c>
      <c r="AO203" s="27">
        <f>SUM(Tabla2[[#This Row],[Horas]],Tabla2[[#This Row],[Minutos a Horas]])</f>
        <v>2.4333333333333336</v>
      </c>
      <c r="AP203" s="49">
        <v>7</v>
      </c>
      <c r="AQ203" s="49">
        <v>0</v>
      </c>
      <c r="AR203" s="26">
        <f>Tabla2[[#This Row],[Minutos*]]/60</f>
        <v>0</v>
      </c>
      <c r="AS203" s="27">
        <f>SUM(Tabla2[[#This Row],[Horas*]],Tabla2[[#This Row],[Minutos a Horas*]])+(Tabla2[[#This Row],[Tiempo Total a Nivel Proncincial (Horas)]])</f>
        <v>9.4333333333333336</v>
      </c>
      <c r="AV203" s="62"/>
    </row>
    <row r="204" spans="2:48" ht="42.75" customHeight="1" x14ac:dyDescent="0.25">
      <c r="B204" s="78" t="s">
        <v>2314</v>
      </c>
      <c r="C204" s="199" t="s">
        <v>4</v>
      </c>
      <c r="D204" s="162" t="s">
        <v>2497</v>
      </c>
      <c r="E204" s="162"/>
      <c r="F204" s="162" t="str">
        <f>CONCATENATE(Tabla1[[#This Row],[Simbología]],"_",Tabla1[[#This Row],[Acción]])</f>
        <v>AAA_Administración y otorgamiento del Registro de Hidrocarburos en toda la cadena</v>
      </c>
      <c r="G204" s="162" t="s">
        <v>14</v>
      </c>
      <c r="H204" s="161" t="s">
        <v>2551</v>
      </c>
      <c r="I204" s="163"/>
      <c r="J204" s="209" t="str">
        <f>CONCATENATE(Tabla1[[#This Row],[Simbología1]],"_",Tabla1[[#This Row],[Acción Especifica]])</f>
        <v>KIN_4_Supervisión Ex Post del Registro de Hidrocarburos con aprobación automática</v>
      </c>
      <c r="K204" s="209" t="s">
        <v>2613</v>
      </c>
      <c r="L204" s="172" t="s">
        <v>2370</v>
      </c>
      <c r="M204" s="162"/>
      <c r="N204" s="164" t="str">
        <f>CONCATENATE(Tabla1[[#This Row],[Simbología**]],"_",Tabla1[[#This Row],[Sub Acción Especifica]])</f>
        <v>KKIN_41_Habilitación del RHO</v>
      </c>
      <c r="O204" s="163" t="s">
        <v>2678</v>
      </c>
      <c r="P204" s="172" t="s">
        <v>2363</v>
      </c>
      <c r="Q204" s="164" t="str">
        <f>CONCATENATE(Tabla1[[#This Row],[Simbología*]],"_",Tabla1[[#This Row],[Tipo de instalación relacionado]])</f>
        <v>KKKIN_59_Establecimientos de Venta al Público (Líquidos y/o GLP)</v>
      </c>
      <c r="R204" s="165">
        <v>1.9500000000000002</v>
      </c>
      <c r="S204" s="165">
        <v>3.25</v>
      </c>
      <c r="T204" s="166">
        <f>IFERROR(AVERAGE(Tabla1[[#This Row],[T. Mínimo]],Tabla1[[#This Row],[T. Máximo]]),0)</f>
        <v>2.6</v>
      </c>
      <c r="U204" s="167">
        <v>0</v>
      </c>
      <c r="V204" s="167">
        <v>0</v>
      </c>
      <c r="W204" s="166">
        <f>IFERROR(AVERAGE(Tabla1[[#This Row],[T. Mínimo*]],Tabla1[[#This Row],[T. Máximo*]]),0)</f>
        <v>0</v>
      </c>
      <c r="X204" s="167">
        <v>1.9500000000000002</v>
      </c>
      <c r="Y204" s="167">
        <v>3.25</v>
      </c>
      <c r="Z204" s="166">
        <f>IFERROR(AVERAGE(Tabla1[[#This Row],[T. Mínimo**]],Tabla1[[#This Row],[T. Máximo**]]),0)</f>
        <v>2.6</v>
      </c>
      <c r="AA204" s="168">
        <f>SUM(Tabla1[[#This Row],[Promedio]],Tabla1[[#This Row],[Promedio*]],Tabla1[[#This Row],[Promedio**]])</f>
        <v>5.2</v>
      </c>
      <c r="AB204" s="169" t="s">
        <v>2486</v>
      </c>
      <c r="AD204" s="20" t="s">
        <v>2395</v>
      </c>
      <c r="AE204" s="10" t="s">
        <v>163</v>
      </c>
      <c r="AF204" s="20" t="s">
        <v>178</v>
      </c>
      <c r="AG204" s="10"/>
      <c r="AH204" s="22" t="str">
        <f t="shared" si="6"/>
        <v>Áncash_15 Pallasca</v>
      </c>
      <c r="AI204" s="10" t="s">
        <v>361</v>
      </c>
      <c r="AJ204" s="20" t="s">
        <v>296</v>
      </c>
      <c r="AK204" s="22" t="str">
        <f t="shared" si="7"/>
        <v>Áncash_15 Pallasca_01 Cabana</v>
      </c>
      <c r="AL204" s="25">
        <v>5</v>
      </c>
      <c r="AM204" s="25">
        <v>21</v>
      </c>
      <c r="AN204" s="26">
        <f>Tabla2[[#This Row],[Minutos]]/60</f>
        <v>0.35</v>
      </c>
      <c r="AO204" s="27">
        <f>SUM(Tabla2[[#This Row],[Horas]],Tabla2[[#This Row],[Minutos a Horas]])</f>
        <v>5.35</v>
      </c>
      <c r="AP204" s="49">
        <v>8</v>
      </c>
      <c r="AQ204" s="49">
        <v>0</v>
      </c>
      <c r="AR204" s="26">
        <f>Tabla2[[#This Row],[Minutos*]]/60</f>
        <v>0</v>
      </c>
      <c r="AS204" s="27">
        <f>SUM(Tabla2[[#This Row],[Horas*]],Tabla2[[#This Row],[Minutos a Horas*]])+(Tabla2[[#This Row],[Tiempo Total a Nivel Proncincial (Horas)]])</f>
        <v>13.35</v>
      </c>
      <c r="AV204" s="62"/>
    </row>
    <row r="205" spans="2:48" ht="42.75" customHeight="1" x14ac:dyDescent="0.25">
      <c r="B205" s="78" t="s">
        <v>2314</v>
      </c>
      <c r="C205" s="199" t="s">
        <v>4</v>
      </c>
      <c r="D205" s="162" t="s">
        <v>2497</v>
      </c>
      <c r="E205" s="162"/>
      <c r="F205" s="162" t="str">
        <f>CONCATENATE(Tabla1[[#This Row],[Simbología]],"_",Tabla1[[#This Row],[Acción]])</f>
        <v>AAA_Administración y otorgamiento del Registro de Hidrocarburos en toda la cadena</v>
      </c>
      <c r="G205" s="162" t="s">
        <v>14</v>
      </c>
      <c r="H205" s="161" t="s">
        <v>2551</v>
      </c>
      <c r="I205" s="163"/>
      <c r="J205" s="209" t="str">
        <f>CONCATENATE(Tabla1[[#This Row],[Simbología1]],"_",Tabla1[[#This Row],[Acción Especifica]])</f>
        <v>KIN_4_Supervisión Ex Post del Registro de Hidrocarburos con aprobación automática</v>
      </c>
      <c r="K205" s="209" t="s">
        <v>2613</v>
      </c>
      <c r="L205" s="172" t="s">
        <v>2370</v>
      </c>
      <c r="M205" s="162"/>
      <c r="N205" s="164" t="str">
        <f>CONCATENATE(Tabla1[[#This Row],[Simbología**]],"_",Tabla1[[#This Row],[Sub Acción Especifica]])</f>
        <v>KKIN_41_Habilitación del RHO</v>
      </c>
      <c r="O205" s="163" t="s">
        <v>2678</v>
      </c>
      <c r="P205" s="172" t="s">
        <v>2366</v>
      </c>
      <c r="Q205" s="164" t="str">
        <f>CONCATENATE(Tabla1[[#This Row],[Simbología*]],"_",Tabla1[[#This Row],[Tipo de instalación relacionado]])</f>
        <v>KKKIN_59_Establecimientos (GNV o GNC o GNL)</v>
      </c>
      <c r="R205" s="165">
        <v>1.9500000000000002</v>
      </c>
      <c r="S205" s="165">
        <v>3.25</v>
      </c>
      <c r="T205" s="166">
        <f>IFERROR(AVERAGE(Tabla1[[#This Row],[T. Mínimo]],Tabla1[[#This Row],[T. Máximo]]),0)</f>
        <v>2.6</v>
      </c>
      <c r="U205" s="167">
        <v>0</v>
      </c>
      <c r="V205" s="167">
        <v>0</v>
      </c>
      <c r="W205" s="166">
        <f>IFERROR(AVERAGE(Tabla1[[#This Row],[T. Mínimo*]],Tabla1[[#This Row],[T. Máximo*]]),0)</f>
        <v>0</v>
      </c>
      <c r="X205" s="167">
        <v>1.9500000000000002</v>
      </c>
      <c r="Y205" s="167">
        <v>3.25</v>
      </c>
      <c r="Z205" s="166">
        <f>IFERROR(AVERAGE(Tabla1[[#This Row],[T. Mínimo**]],Tabla1[[#This Row],[T. Máximo**]]),0)</f>
        <v>2.6</v>
      </c>
      <c r="AA205" s="168">
        <f>SUM(Tabla1[[#This Row],[Promedio]],Tabla1[[#This Row],[Promedio*]],Tabla1[[#This Row],[Promedio**]])</f>
        <v>5.2</v>
      </c>
      <c r="AB205" s="169" t="s">
        <v>2486</v>
      </c>
      <c r="AD205" s="20" t="s">
        <v>2395</v>
      </c>
      <c r="AE205" s="10" t="s">
        <v>163</v>
      </c>
      <c r="AF205" s="20" t="s">
        <v>178</v>
      </c>
      <c r="AG205" s="10"/>
      <c r="AH205" s="22" t="str">
        <f t="shared" si="6"/>
        <v>Áncash_15 Pallasca</v>
      </c>
      <c r="AI205" s="10" t="s">
        <v>361</v>
      </c>
      <c r="AJ205" s="20" t="s">
        <v>297</v>
      </c>
      <c r="AK205" s="22" t="str">
        <f t="shared" si="7"/>
        <v>Áncash_15 Pallasca_02 Bolognesi</v>
      </c>
      <c r="AL205" s="25">
        <v>5</v>
      </c>
      <c r="AM205" s="25">
        <v>21</v>
      </c>
      <c r="AN205" s="26">
        <f>Tabla2[[#This Row],[Minutos]]/60</f>
        <v>0.35</v>
      </c>
      <c r="AO205" s="27">
        <f>SUM(Tabla2[[#This Row],[Horas]],Tabla2[[#This Row],[Minutos a Horas]])</f>
        <v>5.35</v>
      </c>
      <c r="AP205" s="49">
        <v>9</v>
      </c>
      <c r="AQ205" s="49">
        <v>0</v>
      </c>
      <c r="AR205" s="26">
        <f>Tabla2[[#This Row],[Minutos*]]/60</f>
        <v>0</v>
      </c>
      <c r="AS205" s="27">
        <f>SUM(Tabla2[[#This Row],[Horas*]],Tabla2[[#This Row],[Minutos a Horas*]])+(Tabla2[[#This Row],[Tiempo Total a Nivel Proncincial (Horas)]])</f>
        <v>14.35</v>
      </c>
      <c r="AV205" s="62"/>
    </row>
    <row r="206" spans="2:48" ht="42.75" customHeight="1" x14ac:dyDescent="0.25">
      <c r="B206" s="78" t="s">
        <v>2314</v>
      </c>
      <c r="C206" s="199" t="s">
        <v>4</v>
      </c>
      <c r="D206" s="162" t="s">
        <v>2497</v>
      </c>
      <c r="E206" s="162"/>
      <c r="F206" s="162" t="str">
        <f>CONCATENATE(Tabla1[[#This Row],[Simbología]],"_",Tabla1[[#This Row],[Acción]])</f>
        <v>AAA_Administración y otorgamiento del Registro de Hidrocarburos en toda la cadena</v>
      </c>
      <c r="G206" s="162" t="s">
        <v>14</v>
      </c>
      <c r="H206" s="161" t="s">
        <v>2551</v>
      </c>
      <c r="I206" s="163"/>
      <c r="J206" s="209" t="str">
        <f>CONCATENATE(Tabla1[[#This Row],[Simbología1]],"_",Tabla1[[#This Row],[Acción Especifica]])</f>
        <v>KIN_4_Supervisión Ex Post del Registro de Hidrocarburos con aprobación automática</v>
      </c>
      <c r="K206" s="209" t="s">
        <v>2613</v>
      </c>
      <c r="L206" s="172" t="s">
        <v>2370</v>
      </c>
      <c r="M206" s="162"/>
      <c r="N206" s="164" t="str">
        <f>CONCATENATE(Tabla1[[#This Row],[Simbología**]],"_",Tabla1[[#This Row],[Sub Acción Especifica]])</f>
        <v>KKIN_41_Habilitación del RHO</v>
      </c>
      <c r="O206" s="163" t="s">
        <v>2678</v>
      </c>
      <c r="P206" s="172" t="s">
        <v>8</v>
      </c>
      <c r="Q206" s="164" t="str">
        <f>CONCATENATE(Tabla1[[#This Row],[Simbología*]],"_",Tabla1[[#This Row],[Tipo de instalación relacionado]])</f>
        <v>KKKIN_59_Consumidores Directos de CL y/u OPDH</v>
      </c>
      <c r="R206" s="165">
        <v>1.9500000000000002</v>
      </c>
      <c r="S206" s="165">
        <v>3.25</v>
      </c>
      <c r="T206" s="166">
        <f>IFERROR(AVERAGE(Tabla1[[#This Row],[T. Mínimo]],Tabla1[[#This Row],[T. Máximo]]),0)</f>
        <v>2.6</v>
      </c>
      <c r="U206" s="167">
        <v>0</v>
      </c>
      <c r="V206" s="167">
        <v>0</v>
      </c>
      <c r="W206" s="166">
        <f>IFERROR(AVERAGE(Tabla1[[#This Row],[T. Mínimo*]],Tabla1[[#This Row],[T. Máximo*]]),0)</f>
        <v>0</v>
      </c>
      <c r="X206" s="167">
        <v>1.9500000000000002</v>
      </c>
      <c r="Y206" s="167">
        <v>3.25</v>
      </c>
      <c r="Z206" s="166">
        <f>IFERROR(AVERAGE(Tabla1[[#This Row],[T. Mínimo**]],Tabla1[[#This Row],[T. Máximo**]]),0)</f>
        <v>2.6</v>
      </c>
      <c r="AA206" s="168">
        <f>SUM(Tabla1[[#This Row],[Promedio]],Tabla1[[#This Row],[Promedio*]],Tabla1[[#This Row],[Promedio**]])</f>
        <v>5.2</v>
      </c>
      <c r="AB206" s="169" t="s">
        <v>2486</v>
      </c>
      <c r="AD206" s="20" t="s">
        <v>2395</v>
      </c>
      <c r="AE206" s="10" t="s">
        <v>163</v>
      </c>
      <c r="AF206" s="20" t="s">
        <v>178</v>
      </c>
      <c r="AG206" s="10"/>
      <c r="AH206" s="22" t="str">
        <f t="shared" si="6"/>
        <v>Áncash_15 Pallasca</v>
      </c>
      <c r="AI206" s="10" t="s">
        <v>361</v>
      </c>
      <c r="AJ206" s="20" t="s">
        <v>298</v>
      </c>
      <c r="AK206" s="22" t="str">
        <f t="shared" si="7"/>
        <v>Áncash_15 Pallasca_03 Conchucos</v>
      </c>
      <c r="AL206" s="25">
        <v>5</v>
      </c>
      <c r="AM206" s="25">
        <v>21</v>
      </c>
      <c r="AN206" s="26">
        <f>Tabla2[[#This Row],[Minutos]]/60</f>
        <v>0.35</v>
      </c>
      <c r="AO206" s="27">
        <f>SUM(Tabla2[[#This Row],[Horas]],Tabla2[[#This Row],[Minutos a Horas]])</f>
        <v>5.35</v>
      </c>
      <c r="AP206" s="49">
        <v>10</v>
      </c>
      <c r="AQ206" s="49">
        <v>0</v>
      </c>
      <c r="AR206" s="26">
        <f>Tabla2[[#This Row],[Minutos*]]/60</f>
        <v>0</v>
      </c>
      <c r="AS206" s="27">
        <f>SUM(Tabla2[[#This Row],[Horas*]],Tabla2[[#This Row],[Minutos a Horas*]])+(Tabla2[[#This Row],[Tiempo Total a Nivel Proncincial (Horas)]])</f>
        <v>15.35</v>
      </c>
      <c r="AV206" s="62"/>
    </row>
    <row r="207" spans="2:48" ht="42.75" customHeight="1" x14ac:dyDescent="0.25">
      <c r="B207" s="78" t="s">
        <v>2314</v>
      </c>
      <c r="C207" s="199" t="s">
        <v>4</v>
      </c>
      <c r="D207" s="162" t="s">
        <v>2497</v>
      </c>
      <c r="E207" s="162"/>
      <c r="F207" s="162" t="str">
        <f>CONCATENATE(Tabla1[[#This Row],[Simbología]],"_",Tabla1[[#This Row],[Acción]])</f>
        <v>AAA_Administración y otorgamiento del Registro de Hidrocarburos en toda la cadena</v>
      </c>
      <c r="G207" s="162" t="s">
        <v>14</v>
      </c>
      <c r="H207" s="161" t="s">
        <v>2551</v>
      </c>
      <c r="I207" s="163"/>
      <c r="J207" s="209" t="str">
        <f>CONCATENATE(Tabla1[[#This Row],[Simbología1]],"_",Tabla1[[#This Row],[Acción Especifica]])</f>
        <v>KIN_4_Supervisión Ex Post del Registro de Hidrocarburos con aprobación automática</v>
      </c>
      <c r="K207" s="209" t="s">
        <v>2613</v>
      </c>
      <c r="L207" s="172" t="s">
        <v>2370</v>
      </c>
      <c r="M207" s="162"/>
      <c r="N207" s="164" t="str">
        <f>CONCATENATE(Tabla1[[#This Row],[Simbología**]],"_",Tabla1[[#This Row],[Sub Acción Especifica]])</f>
        <v>KKIN_41_Habilitación del RHO</v>
      </c>
      <c r="O207" s="163" t="s">
        <v>2678</v>
      </c>
      <c r="P207" s="172" t="s">
        <v>22</v>
      </c>
      <c r="Q207" s="164" t="str">
        <f>CONCATENATE(Tabla1[[#This Row],[Simbología*]],"_",Tabla1[[#This Row],[Tipo de instalación relacionado]])</f>
        <v>KKKIN_59_Consumidores Directos GLP y Redes de Distribución</v>
      </c>
      <c r="R207" s="165">
        <v>1.9500000000000002</v>
      </c>
      <c r="S207" s="165">
        <v>3.25</v>
      </c>
      <c r="T207" s="166">
        <f>IFERROR(AVERAGE(Tabla1[[#This Row],[T. Mínimo]],Tabla1[[#This Row],[T. Máximo]]),0)</f>
        <v>2.6</v>
      </c>
      <c r="U207" s="167">
        <v>0</v>
      </c>
      <c r="V207" s="167">
        <v>0</v>
      </c>
      <c r="W207" s="166">
        <f>IFERROR(AVERAGE(Tabla1[[#This Row],[T. Mínimo*]],Tabla1[[#This Row],[T. Máximo*]]),0)</f>
        <v>0</v>
      </c>
      <c r="X207" s="167">
        <v>1.9500000000000002</v>
      </c>
      <c r="Y207" s="167">
        <v>3.25</v>
      </c>
      <c r="Z207" s="166">
        <f>IFERROR(AVERAGE(Tabla1[[#This Row],[T. Mínimo**]],Tabla1[[#This Row],[T. Máximo**]]),0)</f>
        <v>2.6</v>
      </c>
      <c r="AA207" s="168">
        <f>SUM(Tabla1[[#This Row],[Promedio]],Tabla1[[#This Row],[Promedio*]],Tabla1[[#This Row],[Promedio**]])</f>
        <v>5.2</v>
      </c>
      <c r="AB207" s="169" t="s">
        <v>2486</v>
      </c>
      <c r="AD207" s="20" t="s">
        <v>2395</v>
      </c>
      <c r="AE207" s="10" t="s">
        <v>163</v>
      </c>
      <c r="AF207" s="20" t="s">
        <v>178</v>
      </c>
      <c r="AG207" s="10"/>
      <c r="AH207" s="22" t="str">
        <f t="shared" si="6"/>
        <v>Áncash_15 Pallasca</v>
      </c>
      <c r="AI207" s="10" t="s">
        <v>361</v>
      </c>
      <c r="AJ207" s="20" t="s">
        <v>299</v>
      </c>
      <c r="AK207" s="22" t="str">
        <f t="shared" si="7"/>
        <v>Áncash_15 Pallasca_04 Huacaschuque</v>
      </c>
      <c r="AL207" s="25">
        <v>5</v>
      </c>
      <c r="AM207" s="25">
        <v>21</v>
      </c>
      <c r="AN207" s="26">
        <f>Tabla2[[#This Row],[Minutos]]/60</f>
        <v>0.35</v>
      </c>
      <c r="AO207" s="27">
        <f>SUM(Tabla2[[#This Row],[Horas]],Tabla2[[#This Row],[Minutos a Horas]])</f>
        <v>5.35</v>
      </c>
      <c r="AP207" s="49">
        <v>9</v>
      </c>
      <c r="AQ207" s="49">
        <v>0</v>
      </c>
      <c r="AR207" s="26">
        <f>Tabla2[[#This Row],[Minutos*]]/60</f>
        <v>0</v>
      </c>
      <c r="AS207" s="27">
        <f>SUM(Tabla2[[#This Row],[Horas*]],Tabla2[[#This Row],[Minutos a Horas*]])+(Tabla2[[#This Row],[Tiempo Total a Nivel Proncincial (Horas)]])</f>
        <v>14.35</v>
      </c>
      <c r="AV207" s="62"/>
    </row>
    <row r="208" spans="2:48" ht="42.75" customHeight="1" x14ac:dyDescent="0.25">
      <c r="B208" s="78" t="s">
        <v>2314</v>
      </c>
      <c r="C208" s="199" t="s">
        <v>4</v>
      </c>
      <c r="D208" s="162" t="s">
        <v>2497</v>
      </c>
      <c r="E208" s="162"/>
      <c r="F208" s="162" t="str">
        <f>CONCATENATE(Tabla1[[#This Row],[Simbología]],"_",Tabla1[[#This Row],[Acción]])</f>
        <v>AAA_Administración y otorgamiento del Registro de Hidrocarburos en toda la cadena</v>
      </c>
      <c r="G208" s="162" t="s">
        <v>14</v>
      </c>
      <c r="H208" s="161" t="s">
        <v>2551</v>
      </c>
      <c r="I208" s="163"/>
      <c r="J208" s="209" t="str">
        <f>CONCATENATE(Tabla1[[#This Row],[Simbología1]],"_",Tabla1[[#This Row],[Acción Especifica]])</f>
        <v>KIN_4_Supervisión Ex Post del Registro de Hidrocarburos con aprobación automática</v>
      </c>
      <c r="K208" s="209" t="s">
        <v>2613</v>
      </c>
      <c r="L208" s="172" t="s">
        <v>2370</v>
      </c>
      <c r="M208" s="162"/>
      <c r="N208" s="164" t="str">
        <f>CONCATENATE(Tabla1[[#This Row],[Simbología**]],"_",Tabla1[[#This Row],[Sub Acción Especifica]])</f>
        <v>KKIN_41_Habilitación del RHO</v>
      </c>
      <c r="O208" s="163" t="s">
        <v>2678</v>
      </c>
      <c r="P208" s="172" t="s">
        <v>23</v>
      </c>
      <c r="Q208" s="164" t="str">
        <f>CONCATENATE(Tabla1[[#This Row],[Simbología*]],"_",Tabla1[[#This Row],[Tipo de instalación relacionado]])</f>
        <v>KKKIN_59_Medios de Transporte y Distribuidores (Líquidos, GLP)</v>
      </c>
      <c r="R208" s="165">
        <v>1.9500000000000002</v>
      </c>
      <c r="S208" s="165">
        <v>3.25</v>
      </c>
      <c r="T208" s="166">
        <f>IFERROR(AVERAGE(Tabla1[[#This Row],[T. Mínimo]],Tabla1[[#This Row],[T. Máximo]]),0)</f>
        <v>2.6</v>
      </c>
      <c r="U208" s="167">
        <v>0</v>
      </c>
      <c r="V208" s="167">
        <v>0</v>
      </c>
      <c r="W208" s="166">
        <f>IFERROR(AVERAGE(Tabla1[[#This Row],[T. Mínimo*]],Tabla1[[#This Row],[T. Máximo*]]),0)</f>
        <v>0</v>
      </c>
      <c r="X208" s="167">
        <v>1.9500000000000002</v>
      </c>
      <c r="Y208" s="167">
        <v>3.25</v>
      </c>
      <c r="Z208" s="166">
        <f>IFERROR(AVERAGE(Tabla1[[#This Row],[T. Mínimo**]],Tabla1[[#This Row],[T. Máximo**]]),0)</f>
        <v>2.6</v>
      </c>
      <c r="AA208" s="168">
        <f>SUM(Tabla1[[#This Row],[Promedio]],Tabla1[[#This Row],[Promedio*]],Tabla1[[#This Row],[Promedio**]])</f>
        <v>5.2</v>
      </c>
      <c r="AB208" s="169" t="s">
        <v>2486</v>
      </c>
      <c r="AD208" s="20" t="s">
        <v>2395</v>
      </c>
      <c r="AE208" s="10" t="s">
        <v>163</v>
      </c>
      <c r="AF208" s="20" t="s">
        <v>178</v>
      </c>
      <c r="AG208" s="10"/>
      <c r="AH208" s="22" t="str">
        <f t="shared" si="6"/>
        <v>Áncash_15 Pallasca</v>
      </c>
      <c r="AI208" s="10" t="s">
        <v>361</v>
      </c>
      <c r="AJ208" s="20" t="s">
        <v>300</v>
      </c>
      <c r="AK208" s="22" t="str">
        <f t="shared" si="7"/>
        <v>Áncash_15 Pallasca_05 Huandoval</v>
      </c>
      <c r="AL208" s="25">
        <v>5</v>
      </c>
      <c r="AM208" s="25">
        <v>21</v>
      </c>
      <c r="AN208" s="26">
        <f>Tabla2[[#This Row],[Minutos]]/60</f>
        <v>0.35</v>
      </c>
      <c r="AO208" s="27">
        <f>SUM(Tabla2[[#This Row],[Horas]],Tabla2[[#This Row],[Minutos a Horas]])</f>
        <v>5.35</v>
      </c>
      <c r="AP208" s="49">
        <v>9</v>
      </c>
      <c r="AQ208" s="49">
        <v>0</v>
      </c>
      <c r="AR208" s="26">
        <f>Tabla2[[#This Row],[Minutos*]]/60</f>
        <v>0</v>
      </c>
      <c r="AS208" s="27">
        <f>SUM(Tabla2[[#This Row],[Horas*]],Tabla2[[#This Row],[Minutos a Horas*]])+(Tabla2[[#This Row],[Tiempo Total a Nivel Proncincial (Horas)]])</f>
        <v>14.35</v>
      </c>
      <c r="AV208" s="62"/>
    </row>
    <row r="209" spans="2:48" ht="42.75" customHeight="1" x14ac:dyDescent="0.25">
      <c r="B209" s="78" t="s">
        <v>2314</v>
      </c>
      <c r="C209" s="199" t="s">
        <v>4</v>
      </c>
      <c r="D209" s="162" t="s">
        <v>2497</v>
      </c>
      <c r="E209" s="162"/>
      <c r="F209" s="162" t="str">
        <f>CONCATENATE(Tabla1[[#This Row],[Simbología]],"_",Tabla1[[#This Row],[Acción]])</f>
        <v>AAA_Administración y otorgamiento del Registro de Hidrocarburos en toda la cadena</v>
      </c>
      <c r="G209" s="162" t="s">
        <v>14</v>
      </c>
      <c r="H209" s="161" t="s">
        <v>2551</v>
      </c>
      <c r="I209" s="163"/>
      <c r="J209" s="209" t="str">
        <f>CONCATENATE(Tabla1[[#This Row],[Simbología1]],"_",Tabla1[[#This Row],[Acción Especifica]])</f>
        <v>KIN_4_Supervisión Ex Post del Registro de Hidrocarburos con aprobación automática</v>
      </c>
      <c r="K209" s="209" t="s">
        <v>2613</v>
      </c>
      <c r="L209" s="172" t="s">
        <v>2370</v>
      </c>
      <c r="M209" s="162"/>
      <c r="N209" s="164" t="str">
        <f>CONCATENATE(Tabla1[[#This Row],[Simbología**]],"_",Tabla1[[#This Row],[Sub Acción Especifica]])</f>
        <v>KKIN_41_Habilitación del RHO</v>
      </c>
      <c r="O209" s="163" t="s">
        <v>2678</v>
      </c>
      <c r="P209" s="172" t="s">
        <v>24</v>
      </c>
      <c r="Q209" s="164" t="str">
        <f>CONCATENATE(Tabla1[[#This Row],[Simbología*]],"_",Tabla1[[#This Row],[Tipo de instalación relacionado]])</f>
        <v>KKKIN_59_Locales de Venta de GLP</v>
      </c>
      <c r="R209" s="165">
        <v>1.9500000000000002</v>
      </c>
      <c r="S209" s="165">
        <v>3.25</v>
      </c>
      <c r="T209" s="166">
        <f>IFERROR(AVERAGE(Tabla1[[#This Row],[T. Mínimo]],Tabla1[[#This Row],[T. Máximo]]),0)</f>
        <v>2.6</v>
      </c>
      <c r="U209" s="167">
        <v>0</v>
      </c>
      <c r="V209" s="167">
        <v>0</v>
      </c>
      <c r="W209" s="166">
        <f>IFERROR(AVERAGE(Tabla1[[#This Row],[T. Mínimo*]],Tabla1[[#This Row],[T. Máximo*]]),0)</f>
        <v>0</v>
      </c>
      <c r="X209" s="167">
        <v>1.9500000000000002</v>
      </c>
      <c r="Y209" s="167">
        <v>3.25</v>
      </c>
      <c r="Z209" s="166">
        <f>IFERROR(AVERAGE(Tabla1[[#This Row],[T. Mínimo**]],Tabla1[[#This Row],[T. Máximo**]]),0)</f>
        <v>2.6</v>
      </c>
      <c r="AA209" s="168">
        <f>SUM(Tabla1[[#This Row],[Promedio]],Tabla1[[#This Row],[Promedio*]],Tabla1[[#This Row],[Promedio**]])</f>
        <v>5.2</v>
      </c>
      <c r="AB209" s="169" t="s">
        <v>2486</v>
      </c>
      <c r="AD209" s="20" t="s">
        <v>2395</v>
      </c>
      <c r="AE209" s="10" t="s">
        <v>163</v>
      </c>
      <c r="AF209" s="20" t="s">
        <v>178</v>
      </c>
      <c r="AG209" s="10"/>
      <c r="AH209" s="22" t="str">
        <f t="shared" si="6"/>
        <v>Áncash_15 Pallasca</v>
      </c>
      <c r="AI209" s="10" t="s">
        <v>361</v>
      </c>
      <c r="AJ209" s="20" t="s">
        <v>301</v>
      </c>
      <c r="AK209" s="22" t="str">
        <f t="shared" si="7"/>
        <v>Áncash_15 Pallasca_06 Lacabamba</v>
      </c>
      <c r="AL209" s="25">
        <v>5</v>
      </c>
      <c r="AM209" s="25">
        <v>21</v>
      </c>
      <c r="AN209" s="26">
        <f>Tabla2[[#This Row],[Minutos]]/60</f>
        <v>0.35</v>
      </c>
      <c r="AO209" s="27">
        <f>SUM(Tabla2[[#This Row],[Horas]],Tabla2[[#This Row],[Minutos a Horas]])</f>
        <v>5.35</v>
      </c>
      <c r="AP209" s="49">
        <v>9</v>
      </c>
      <c r="AQ209" s="49">
        <v>0</v>
      </c>
      <c r="AR209" s="26">
        <f>Tabla2[[#This Row],[Minutos*]]/60</f>
        <v>0</v>
      </c>
      <c r="AS209" s="27">
        <f>SUM(Tabla2[[#This Row],[Horas*]],Tabla2[[#This Row],[Minutos a Horas*]])+(Tabla2[[#This Row],[Tiempo Total a Nivel Proncincial (Horas)]])</f>
        <v>14.35</v>
      </c>
      <c r="AV209" s="62"/>
    </row>
    <row r="210" spans="2:48" ht="42.75" customHeight="1" x14ac:dyDescent="0.25">
      <c r="B210" s="78" t="s">
        <v>2314</v>
      </c>
      <c r="C210" s="199" t="s">
        <v>4</v>
      </c>
      <c r="D210" s="162" t="s">
        <v>2497</v>
      </c>
      <c r="E210" s="162"/>
      <c r="F210" s="162" t="str">
        <f>CONCATENATE(Tabla1[[#This Row],[Simbología]],"_",Tabla1[[#This Row],[Acción]])</f>
        <v>AAA_Administración y otorgamiento del Registro de Hidrocarburos en toda la cadena</v>
      </c>
      <c r="G210" s="162" t="s">
        <v>14</v>
      </c>
      <c r="H210" s="161" t="s">
        <v>2551</v>
      </c>
      <c r="I210" s="163"/>
      <c r="J210" s="209" t="str">
        <f>CONCATENATE(Tabla1[[#This Row],[Simbología1]],"_",Tabla1[[#This Row],[Acción Especifica]])</f>
        <v>KIN_4_Supervisión Ex Post del Registro de Hidrocarburos con aprobación automática</v>
      </c>
      <c r="K210" s="209" t="s">
        <v>2613</v>
      </c>
      <c r="L210" s="172" t="s">
        <v>2370</v>
      </c>
      <c r="M210" s="162"/>
      <c r="N210" s="164" t="str">
        <f>CONCATENATE(Tabla1[[#This Row],[Simbología**]],"_",Tabla1[[#This Row],[Sub Acción Especifica]])</f>
        <v>KKIN_41_Habilitación del RHO</v>
      </c>
      <c r="O210" s="163" t="s">
        <v>2678</v>
      </c>
      <c r="P210" s="172" t="s">
        <v>25</v>
      </c>
      <c r="Q210" s="164" t="str">
        <f>CONCATENATE(Tabla1[[#This Row],[Simbología*]],"_",Tabla1[[#This Row],[Tipo de instalación relacionado]])</f>
        <v>KKKIN_59_Unidades Mayores</v>
      </c>
      <c r="R210" s="165">
        <v>1.9500000000000002</v>
      </c>
      <c r="S210" s="165">
        <v>3.25</v>
      </c>
      <c r="T210" s="166">
        <f>IFERROR(AVERAGE(Tabla1[[#This Row],[T. Mínimo]],Tabla1[[#This Row],[T. Máximo]]),0)</f>
        <v>2.6</v>
      </c>
      <c r="U210" s="167">
        <v>0</v>
      </c>
      <c r="V210" s="167">
        <v>0</v>
      </c>
      <c r="W210" s="166">
        <f>IFERROR(AVERAGE(Tabla1[[#This Row],[T. Mínimo*]],Tabla1[[#This Row],[T. Máximo*]]),0)</f>
        <v>0</v>
      </c>
      <c r="X210" s="167">
        <v>1.9500000000000002</v>
      </c>
      <c r="Y210" s="167">
        <v>3.25</v>
      </c>
      <c r="Z210" s="166">
        <f>IFERROR(AVERAGE(Tabla1[[#This Row],[T. Mínimo**]],Tabla1[[#This Row],[T. Máximo**]]),0)</f>
        <v>2.6</v>
      </c>
      <c r="AA210" s="168">
        <f>SUM(Tabla1[[#This Row],[Promedio]],Tabla1[[#This Row],[Promedio*]],Tabla1[[#This Row],[Promedio**]])</f>
        <v>5.2</v>
      </c>
      <c r="AB210" s="169" t="s">
        <v>2486</v>
      </c>
      <c r="AD210" s="20" t="s">
        <v>2395</v>
      </c>
      <c r="AE210" s="10" t="s">
        <v>163</v>
      </c>
      <c r="AF210" s="20" t="s">
        <v>178</v>
      </c>
      <c r="AG210" s="10"/>
      <c r="AH210" s="22" t="str">
        <f t="shared" si="6"/>
        <v>Áncash_15 Pallasca</v>
      </c>
      <c r="AI210" s="10" t="s">
        <v>361</v>
      </c>
      <c r="AJ210" s="20" t="s">
        <v>302</v>
      </c>
      <c r="AK210" s="22" t="str">
        <f t="shared" si="7"/>
        <v>Áncash_15 Pallasca_07 Llapo</v>
      </c>
      <c r="AL210" s="25">
        <v>5</v>
      </c>
      <c r="AM210" s="25">
        <v>21</v>
      </c>
      <c r="AN210" s="26">
        <f>Tabla2[[#This Row],[Minutos]]/60</f>
        <v>0.35</v>
      </c>
      <c r="AO210" s="27">
        <f>SUM(Tabla2[[#This Row],[Horas]],Tabla2[[#This Row],[Minutos a Horas]])</f>
        <v>5.35</v>
      </c>
      <c r="AP210" s="49">
        <v>8</v>
      </c>
      <c r="AQ210" s="49">
        <v>30</v>
      </c>
      <c r="AR210" s="26">
        <f>Tabla2[[#This Row],[Minutos*]]/60</f>
        <v>0.5</v>
      </c>
      <c r="AS210" s="27">
        <f>SUM(Tabla2[[#This Row],[Horas*]],Tabla2[[#This Row],[Minutos a Horas*]])+(Tabla2[[#This Row],[Tiempo Total a Nivel Proncincial (Horas)]])</f>
        <v>13.85</v>
      </c>
      <c r="AV210" s="62"/>
    </row>
    <row r="211" spans="2:48" ht="42.75" customHeight="1" x14ac:dyDescent="0.25">
      <c r="B211" s="78" t="s">
        <v>2314</v>
      </c>
      <c r="C211" s="199" t="s">
        <v>4</v>
      </c>
      <c r="D211" s="162" t="s">
        <v>2497</v>
      </c>
      <c r="E211" s="162"/>
      <c r="F211" s="162" t="str">
        <f>CONCATENATE(Tabla1[[#This Row],[Simbología]],"_",Tabla1[[#This Row],[Acción]])</f>
        <v>AAA_Administración y otorgamiento del Registro de Hidrocarburos en toda la cadena</v>
      </c>
      <c r="G211" s="162" t="s">
        <v>14</v>
      </c>
      <c r="H211" s="161" t="s">
        <v>2551</v>
      </c>
      <c r="I211" s="163"/>
      <c r="J211" s="209" t="str">
        <f>CONCATENATE(Tabla1[[#This Row],[Simbología1]],"_",Tabla1[[#This Row],[Acción Especifica]])</f>
        <v>KIN_4_Supervisión Ex Post del Registro de Hidrocarburos con aprobación automática</v>
      </c>
      <c r="K211" s="209" t="s">
        <v>2613</v>
      </c>
      <c r="L211" s="172" t="s">
        <v>2371</v>
      </c>
      <c r="M211" s="162"/>
      <c r="N211" s="164" t="str">
        <f>CONCATENATE(Tabla1[[#This Row],[Simbología**]],"_",Tabla1[[#This Row],[Sub Acción Especifica]])</f>
        <v>KKIN_41_Cancelación del RHO</v>
      </c>
      <c r="O211" s="163" t="s">
        <v>2679</v>
      </c>
      <c r="P211" s="172" t="s">
        <v>2363</v>
      </c>
      <c r="Q211" s="164" t="str">
        <f>CONCATENATE(Tabla1[[#This Row],[Simbología*]],"_",Tabla1[[#This Row],[Tipo de instalación relacionado]])</f>
        <v>KKKIN_60_Establecimientos de Venta al Público (Líquidos y/o GLP)</v>
      </c>
      <c r="R211" s="165">
        <v>1.9500000000000002</v>
      </c>
      <c r="S211" s="165">
        <v>3.25</v>
      </c>
      <c r="T211" s="166">
        <f>IFERROR(AVERAGE(Tabla1[[#This Row],[T. Mínimo]],Tabla1[[#This Row],[T. Máximo]]),0)</f>
        <v>2.6</v>
      </c>
      <c r="U211" s="167">
        <v>0</v>
      </c>
      <c r="V211" s="167">
        <v>0</v>
      </c>
      <c r="W211" s="166">
        <f>IFERROR(AVERAGE(Tabla1[[#This Row],[T. Mínimo*]],Tabla1[[#This Row],[T. Máximo*]]),0)</f>
        <v>0</v>
      </c>
      <c r="X211" s="167">
        <v>1.95</v>
      </c>
      <c r="Y211" s="167">
        <v>3.25</v>
      </c>
      <c r="Z211" s="166">
        <f>IFERROR(AVERAGE(Tabla1[[#This Row],[T. Mínimo**]],Tabla1[[#This Row],[T. Máximo**]]),0)</f>
        <v>2.6</v>
      </c>
      <c r="AA211" s="168">
        <f>SUM(Tabla1[[#This Row],[Promedio]],Tabla1[[#This Row],[Promedio*]],Tabla1[[#This Row],[Promedio**]])</f>
        <v>5.2</v>
      </c>
      <c r="AB211" s="169" t="s">
        <v>2486</v>
      </c>
      <c r="AD211" s="20" t="s">
        <v>2395</v>
      </c>
      <c r="AE211" s="10" t="s">
        <v>163</v>
      </c>
      <c r="AF211" s="20" t="s">
        <v>178</v>
      </c>
      <c r="AG211" s="10"/>
      <c r="AH211" s="22" t="str">
        <f t="shared" si="6"/>
        <v>Áncash_15 Pallasca</v>
      </c>
      <c r="AI211" s="10" t="s">
        <v>361</v>
      </c>
      <c r="AJ211" s="20" t="s">
        <v>303</v>
      </c>
      <c r="AK211" s="22" t="str">
        <f t="shared" si="7"/>
        <v>Áncash_15 Pallasca_08 Pallasca</v>
      </c>
      <c r="AL211" s="25">
        <v>5</v>
      </c>
      <c r="AM211" s="25">
        <v>21</v>
      </c>
      <c r="AN211" s="26">
        <f>Tabla2[[#This Row],[Minutos]]/60</f>
        <v>0.35</v>
      </c>
      <c r="AO211" s="27">
        <f>SUM(Tabla2[[#This Row],[Horas]],Tabla2[[#This Row],[Minutos a Horas]])</f>
        <v>5.35</v>
      </c>
      <c r="AP211" s="49">
        <v>9</v>
      </c>
      <c r="AQ211" s="49">
        <v>0</v>
      </c>
      <c r="AR211" s="26">
        <f>Tabla2[[#This Row],[Minutos*]]/60</f>
        <v>0</v>
      </c>
      <c r="AS211" s="27">
        <f>SUM(Tabla2[[#This Row],[Horas*]],Tabla2[[#This Row],[Minutos a Horas*]])+(Tabla2[[#This Row],[Tiempo Total a Nivel Proncincial (Horas)]])</f>
        <v>14.35</v>
      </c>
      <c r="AV211" s="62"/>
    </row>
    <row r="212" spans="2:48" ht="42.75" customHeight="1" x14ac:dyDescent="0.25">
      <c r="B212" s="78" t="s">
        <v>2314</v>
      </c>
      <c r="C212" s="199" t="s">
        <v>4</v>
      </c>
      <c r="D212" s="162" t="s">
        <v>2497</v>
      </c>
      <c r="E212" s="162"/>
      <c r="F212" s="162" t="str">
        <f>CONCATENATE(Tabla1[[#This Row],[Simbología]],"_",Tabla1[[#This Row],[Acción]])</f>
        <v>AAA_Administración y otorgamiento del Registro de Hidrocarburos en toda la cadena</v>
      </c>
      <c r="G212" s="162" t="s">
        <v>14</v>
      </c>
      <c r="H212" s="161" t="s">
        <v>2551</v>
      </c>
      <c r="I212" s="163"/>
      <c r="J212" s="209" t="str">
        <f>CONCATENATE(Tabla1[[#This Row],[Simbología1]],"_",Tabla1[[#This Row],[Acción Especifica]])</f>
        <v>KIN_4_Supervisión Ex Post del Registro de Hidrocarburos con aprobación automática</v>
      </c>
      <c r="K212" s="209" t="s">
        <v>2613</v>
      </c>
      <c r="L212" s="172" t="s">
        <v>2371</v>
      </c>
      <c r="M212" s="162"/>
      <c r="N212" s="164" t="str">
        <f>CONCATENATE(Tabla1[[#This Row],[Simbología**]],"_",Tabla1[[#This Row],[Sub Acción Especifica]])</f>
        <v>KKIN_41_Cancelación del RHO</v>
      </c>
      <c r="O212" s="163" t="s">
        <v>2679</v>
      </c>
      <c r="P212" s="172" t="s">
        <v>2366</v>
      </c>
      <c r="Q212" s="164" t="str">
        <f>CONCATENATE(Tabla1[[#This Row],[Simbología*]],"_",Tabla1[[#This Row],[Tipo de instalación relacionado]])</f>
        <v>KKKIN_60_Establecimientos (GNV o GNC o GNL)</v>
      </c>
      <c r="R212" s="165">
        <v>1.9500000000000002</v>
      </c>
      <c r="S212" s="165">
        <v>3.25</v>
      </c>
      <c r="T212" s="166">
        <f>IFERROR(AVERAGE(Tabla1[[#This Row],[T. Mínimo]],Tabla1[[#This Row],[T. Máximo]]),0)</f>
        <v>2.6</v>
      </c>
      <c r="U212" s="167">
        <v>0</v>
      </c>
      <c r="V212" s="167">
        <v>0</v>
      </c>
      <c r="W212" s="166">
        <f>IFERROR(AVERAGE(Tabla1[[#This Row],[T. Mínimo*]],Tabla1[[#This Row],[T. Máximo*]]),0)</f>
        <v>0</v>
      </c>
      <c r="X212" s="167">
        <v>1.9500000000000002</v>
      </c>
      <c r="Y212" s="167">
        <v>3.25</v>
      </c>
      <c r="Z212" s="166">
        <f>IFERROR(AVERAGE(Tabla1[[#This Row],[T. Mínimo**]],Tabla1[[#This Row],[T. Máximo**]]),0)</f>
        <v>2.6</v>
      </c>
      <c r="AA212" s="168">
        <f>SUM(Tabla1[[#This Row],[Promedio]],Tabla1[[#This Row],[Promedio*]],Tabla1[[#This Row],[Promedio**]])</f>
        <v>5.2</v>
      </c>
      <c r="AB212" s="169" t="s">
        <v>2486</v>
      </c>
      <c r="AD212" s="20" t="s">
        <v>2395</v>
      </c>
      <c r="AE212" s="10" t="s">
        <v>163</v>
      </c>
      <c r="AF212" s="20" t="s">
        <v>178</v>
      </c>
      <c r="AG212" s="10"/>
      <c r="AH212" s="22" t="str">
        <f t="shared" si="6"/>
        <v>Áncash_15 Pallasca</v>
      </c>
      <c r="AI212" s="10" t="s">
        <v>361</v>
      </c>
      <c r="AJ212" s="20" t="s">
        <v>304</v>
      </c>
      <c r="AK212" s="22" t="str">
        <f t="shared" si="7"/>
        <v>Áncash_15 Pallasca_09 Pampas</v>
      </c>
      <c r="AL212" s="25">
        <v>5</v>
      </c>
      <c r="AM212" s="25">
        <v>21</v>
      </c>
      <c r="AN212" s="26">
        <f>Tabla2[[#This Row],[Minutos]]/60</f>
        <v>0.35</v>
      </c>
      <c r="AO212" s="27">
        <f>SUM(Tabla2[[#This Row],[Horas]],Tabla2[[#This Row],[Minutos a Horas]])</f>
        <v>5.35</v>
      </c>
      <c r="AP212" s="49">
        <v>10</v>
      </c>
      <c r="AQ212" s="49">
        <v>0</v>
      </c>
      <c r="AR212" s="26">
        <f>Tabla2[[#This Row],[Minutos*]]/60</f>
        <v>0</v>
      </c>
      <c r="AS212" s="27">
        <f>SUM(Tabla2[[#This Row],[Horas*]],Tabla2[[#This Row],[Minutos a Horas*]])+(Tabla2[[#This Row],[Tiempo Total a Nivel Proncincial (Horas)]])</f>
        <v>15.35</v>
      </c>
      <c r="AV212" s="62"/>
    </row>
    <row r="213" spans="2:48" ht="42.75" customHeight="1" x14ac:dyDescent="0.25">
      <c r="B213" s="78" t="s">
        <v>2314</v>
      </c>
      <c r="C213" s="199" t="s">
        <v>4</v>
      </c>
      <c r="D213" s="162" t="s">
        <v>2497</v>
      </c>
      <c r="E213" s="162"/>
      <c r="F213" s="162" t="str">
        <f>CONCATENATE(Tabla1[[#This Row],[Simbología]],"_",Tabla1[[#This Row],[Acción]])</f>
        <v>AAA_Administración y otorgamiento del Registro de Hidrocarburos en toda la cadena</v>
      </c>
      <c r="G213" s="162" t="s">
        <v>14</v>
      </c>
      <c r="H213" s="161" t="s">
        <v>2551</v>
      </c>
      <c r="I213" s="163"/>
      <c r="J213" s="209" t="str">
        <f>CONCATENATE(Tabla1[[#This Row],[Simbología1]],"_",Tabla1[[#This Row],[Acción Especifica]])</f>
        <v>KIN_4_Supervisión Ex Post del Registro de Hidrocarburos con aprobación automática</v>
      </c>
      <c r="K213" s="209" t="s">
        <v>2613</v>
      </c>
      <c r="L213" s="172" t="s">
        <v>2371</v>
      </c>
      <c r="M213" s="162"/>
      <c r="N213" s="164" t="str">
        <f>CONCATENATE(Tabla1[[#This Row],[Simbología**]],"_",Tabla1[[#This Row],[Sub Acción Especifica]])</f>
        <v>KKIN_41_Cancelación del RHO</v>
      </c>
      <c r="O213" s="163" t="s">
        <v>2679</v>
      </c>
      <c r="P213" s="172" t="s">
        <v>8</v>
      </c>
      <c r="Q213" s="164" t="str">
        <f>CONCATENATE(Tabla1[[#This Row],[Simbología*]],"_",Tabla1[[#This Row],[Tipo de instalación relacionado]])</f>
        <v>KKKIN_60_Consumidores Directos de CL y/u OPDH</v>
      </c>
      <c r="R213" s="165">
        <v>1.9500000000000002</v>
      </c>
      <c r="S213" s="165">
        <v>3.25</v>
      </c>
      <c r="T213" s="166">
        <f>IFERROR(AVERAGE(Tabla1[[#This Row],[T. Mínimo]],Tabla1[[#This Row],[T. Máximo]]),0)</f>
        <v>2.6</v>
      </c>
      <c r="U213" s="167">
        <v>0</v>
      </c>
      <c r="V213" s="167">
        <v>0</v>
      </c>
      <c r="W213" s="166">
        <f>IFERROR(AVERAGE(Tabla1[[#This Row],[T. Mínimo*]],Tabla1[[#This Row],[T. Máximo*]]),0)</f>
        <v>0</v>
      </c>
      <c r="X213" s="167">
        <v>1.9500000000000002</v>
      </c>
      <c r="Y213" s="167">
        <v>3.25</v>
      </c>
      <c r="Z213" s="166">
        <f>IFERROR(AVERAGE(Tabla1[[#This Row],[T. Mínimo**]],Tabla1[[#This Row],[T. Máximo**]]),0)</f>
        <v>2.6</v>
      </c>
      <c r="AA213" s="168">
        <f>SUM(Tabla1[[#This Row],[Promedio]],Tabla1[[#This Row],[Promedio*]],Tabla1[[#This Row],[Promedio**]])</f>
        <v>5.2</v>
      </c>
      <c r="AB213" s="169" t="s">
        <v>2486</v>
      </c>
      <c r="AD213" s="20" t="s">
        <v>2395</v>
      </c>
      <c r="AE213" s="10" t="s">
        <v>163</v>
      </c>
      <c r="AF213" s="20" t="s">
        <v>178</v>
      </c>
      <c r="AG213" s="10"/>
      <c r="AH213" s="22" t="str">
        <f t="shared" si="6"/>
        <v>Áncash_15 Pallasca</v>
      </c>
      <c r="AI213" s="10" t="s">
        <v>361</v>
      </c>
      <c r="AJ213" s="20" t="s">
        <v>145</v>
      </c>
      <c r="AK213" s="22" t="str">
        <f t="shared" si="7"/>
        <v>Áncash_15 Pallasca_10 Santa Rosa</v>
      </c>
      <c r="AL213" s="25">
        <v>5</v>
      </c>
      <c r="AM213" s="25">
        <v>21</v>
      </c>
      <c r="AN213" s="26">
        <f>Tabla2[[#This Row],[Minutos]]/60</f>
        <v>0.35</v>
      </c>
      <c r="AO213" s="27">
        <f>SUM(Tabla2[[#This Row],[Horas]],Tabla2[[#This Row],[Minutos a Horas]])</f>
        <v>5.35</v>
      </c>
      <c r="AP213" s="49">
        <v>8</v>
      </c>
      <c r="AQ213" s="49">
        <v>0</v>
      </c>
      <c r="AR213" s="26">
        <f>Tabla2[[#This Row],[Minutos*]]/60</f>
        <v>0</v>
      </c>
      <c r="AS213" s="27">
        <f>SUM(Tabla2[[#This Row],[Horas*]],Tabla2[[#This Row],[Minutos a Horas*]])+(Tabla2[[#This Row],[Tiempo Total a Nivel Proncincial (Horas)]])</f>
        <v>13.35</v>
      </c>
      <c r="AV213" s="62"/>
    </row>
    <row r="214" spans="2:48" ht="42.75" customHeight="1" x14ac:dyDescent="0.25">
      <c r="B214" s="78" t="s">
        <v>2314</v>
      </c>
      <c r="C214" s="199" t="s">
        <v>4</v>
      </c>
      <c r="D214" s="162" t="s">
        <v>2497</v>
      </c>
      <c r="E214" s="162"/>
      <c r="F214" s="162" t="str">
        <f>CONCATENATE(Tabla1[[#This Row],[Simbología]],"_",Tabla1[[#This Row],[Acción]])</f>
        <v>AAA_Administración y otorgamiento del Registro de Hidrocarburos en toda la cadena</v>
      </c>
      <c r="G214" s="162" t="s">
        <v>14</v>
      </c>
      <c r="H214" s="161" t="s">
        <v>2551</v>
      </c>
      <c r="I214" s="163"/>
      <c r="J214" s="209" t="str">
        <f>CONCATENATE(Tabla1[[#This Row],[Simbología1]],"_",Tabla1[[#This Row],[Acción Especifica]])</f>
        <v>KIN_4_Supervisión Ex Post del Registro de Hidrocarburos con aprobación automática</v>
      </c>
      <c r="K214" s="209" t="s">
        <v>2613</v>
      </c>
      <c r="L214" s="172" t="s">
        <v>2371</v>
      </c>
      <c r="M214" s="162"/>
      <c r="N214" s="164" t="str">
        <f>CONCATENATE(Tabla1[[#This Row],[Simbología**]],"_",Tabla1[[#This Row],[Sub Acción Especifica]])</f>
        <v>KKIN_41_Cancelación del RHO</v>
      </c>
      <c r="O214" s="163" t="s">
        <v>2679</v>
      </c>
      <c r="P214" s="172" t="s">
        <v>22</v>
      </c>
      <c r="Q214" s="164" t="str">
        <f>CONCATENATE(Tabla1[[#This Row],[Simbología*]],"_",Tabla1[[#This Row],[Tipo de instalación relacionado]])</f>
        <v>KKKIN_60_Consumidores Directos GLP y Redes de Distribución</v>
      </c>
      <c r="R214" s="165">
        <v>1.9500000000000002</v>
      </c>
      <c r="S214" s="165">
        <v>3.25</v>
      </c>
      <c r="T214" s="166">
        <f>IFERROR(AVERAGE(Tabla1[[#This Row],[T. Mínimo]],Tabla1[[#This Row],[T. Máximo]]),0)</f>
        <v>2.6</v>
      </c>
      <c r="U214" s="167">
        <v>0</v>
      </c>
      <c r="V214" s="167">
        <v>0</v>
      </c>
      <c r="W214" s="166">
        <f>IFERROR(AVERAGE(Tabla1[[#This Row],[T. Mínimo*]],Tabla1[[#This Row],[T. Máximo*]]),0)</f>
        <v>0</v>
      </c>
      <c r="X214" s="167">
        <v>1.9500000000000002</v>
      </c>
      <c r="Y214" s="167">
        <v>3.25</v>
      </c>
      <c r="Z214" s="166">
        <f>IFERROR(AVERAGE(Tabla1[[#This Row],[T. Mínimo**]],Tabla1[[#This Row],[T. Máximo**]]),0)</f>
        <v>2.6</v>
      </c>
      <c r="AA214" s="168">
        <f>SUM(Tabla1[[#This Row],[Promedio]],Tabla1[[#This Row],[Promedio*]],Tabla1[[#This Row],[Promedio**]])</f>
        <v>5.2</v>
      </c>
      <c r="AB214" s="169" t="s">
        <v>2486</v>
      </c>
      <c r="AD214" s="20" t="s">
        <v>2395</v>
      </c>
      <c r="AE214" s="10" t="s">
        <v>163</v>
      </c>
      <c r="AF214" s="20" t="s">
        <v>178</v>
      </c>
      <c r="AG214" s="10"/>
      <c r="AH214" s="22" t="str">
        <f t="shared" si="6"/>
        <v>Áncash_15 Pallasca</v>
      </c>
      <c r="AI214" s="10" t="s">
        <v>361</v>
      </c>
      <c r="AJ214" s="20" t="s">
        <v>305</v>
      </c>
      <c r="AK214" s="22" t="str">
        <f t="shared" si="7"/>
        <v>Áncash_15 Pallasca_11 Tauca</v>
      </c>
      <c r="AL214" s="25">
        <v>5</v>
      </c>
      <c r="AM214" s="25">
        <v>21</v>
      </c>
      <c r="AN214" s="26">
        <f>Tabla2[[#This Row],[Minutos]]/60</f>
        <v>0.35</v>
      </c>
      <c r="AO214" s="27">
        <f>SUM(Tabla2[[#This Row],[Horas]],Tabla2[[#This Row],[Minutos a Horas]])</f>
        <v>5.35</v>
      </c>
      <c r="AP214" s="49">
        <v>7</v>
      </c>
      <c r="AQ214" s="49">
        <v>30</v>
      </c>
      <c r="AR214" s="26">
        <f>Tabla2[[#This Row],[Minutos*]]/60</f>
        <v>0.5</v>
      </c>
      <c r="AS214" s="27">
        <f>SUM(Tabla2[[#This Row],[Horas*]],Tabla2[[#This Row],[Minutos a Horas*]])+(Tabla2[[#This Row],[Tiempo Total a Nivel Proncincial (Horas)]])</f>
        <v>12.85</v>
      </c>
      <c r="AV214" s="62"/>
    </row>
    <row r="215" spans="2:48" ht="42.75" customHeight="1" x14ac:dyDescent="0.25">
      <c r="B215" s="78" t="s">
        <v>2314</v>
      </c>
      <c r="C215" s="199" t="s">
        <v>4</v>
      </c>
      <c r="D215" s="162" t="s">
        <v>2497</v>
      </c>
      <c r="E215" s="162"/>
      <c r="F215" s="162" t="str">
        <f>CONCATENATE(Tabla1[[#This Row],[Simbología]],"_",Tabla1[[#This Row],[Acción]])</f>
        <v>AAA_Administración y otorgamiento del Registro de Hidrocarburos en toda la cadena</v>
      </c>
      <c r="G215" s="162" t="s">
        <v>14</v>
      </c>
      <c r="H215" s="161" t="s">
        <v>2551</v>
      </c>
      <c r="I215" s="163"/>
      <c r="J215" s="209" t="str">
        <f>CONCATENATE(Tabla1[[#This Row],[Simbología1]],"_",Tabla1[[#This Row],[Acción Especifica]])</f>
        <v>KIN_4_Supervisión Ex Post del Registro de Hidrocarburos con aprobación automática</v>
      </c>
      <c r="K215" s="209" t="s">
        <v>2613</v>
      </c>
      <c r="L215" s="172" t="s">
        <v>2371</v>
      </c>
      <c r="M215" s="162"/>
      <c r="N215" s="164" t="str">
        <f>CONCATENATE(Tabla1[[#This Row],[Simbología**]],"_",Tabla1[[#This Row],[Sub Acción Especifica]])</f>
        <v>KKIN_41_Cancelación del RHO</v>
      </c>
      <c r="O215" s="163" t="s">
        <v>2679</v>
      </c>
      <c r="P215" s="172" t="s">
        <v>23</v>
      </c>
      <c r="Q215" s="164" t="str">
        <f>CONCATENATE(Tabla1[[#This Row],[Simbología*]],"_",Tabla1[[#This Row],[Tipo de instalación relacionado]])</f>
        <v>KKKIN_60_Medios de Transporte y Distribuidores (Líquidos, GLP)</v>
      </c>
      <c r="R215" s="165">
        <v>1.9500000000000002</v>
      </c>
      <c r="S215" s="165">
        <v>3.25</v>
      </c>
      <c r="T215" s="166">
        <f>IFERROR(AVERAGE(Tabla1[[#This Row],[T. Mínimo]],Tabla1[[#This Row],[T. Máximo]]),0)</f>
        <v>2.6</v>
      </c>
      <c r="U215" s="167">
        <v>0</v>
      </c>
      <c r="V215" s="167">
        <v>0</v>
      </c>
      <c r="W215" s="166">
        <f>IFERROR(AVERAGE(Tabla1[[#This Row],[T. Mínimo*]],Tabla1[[#This Row],[T. Máximo*]]),0)</f>
        <v>0</v>
      </c>
      <c r="X215" s="167">
        <v>1.9500000000000002</v>
      </c>
      <c r="Y215" s="167">
        <v>3.25</v>
      </c>
      <c r="Z215" s="166">
        <f>IFERROR(AVERAGE(Tabla1[[#This Row],[T. Mínimo**]],Tabla1[[#This Row],[T. Máximo**]]),0)</f>
        <v>2.6</v>
      </c>
      <c r="AA215" s="168">
        <f>SUM(Tabla1[[#This Row],[Promedio]],Tabla1[[#This Row],[Promedio*]],Tabla1[[#This Row],[Promedio**]])</f>
        <v>5.2</v>
      </c>
      <c r="AB215" s="169" t="s">
        <v>2486</v>
      </c>
      <c r="AD215" s="20" t="s">
        <v>2395</v>
      </c>
      <c r="AE215" s="10" t="s">
        <v>163</v>
      </c>
      <c r="AF215" s="20" t="s">
        <v>179</v>
      </c>
      <c r="AG215" s="10"/>
      <c r="AH215" s="22" t="str">
        <f t="shared" si="6"/>
        <v>Áncash_16 Pomabamba</v>
      </c>
      <c r="AI215" s="10" t="s">
        <v>362</v>
      </c>
      <c r="AJ215" s="20" t="s">
        <v>306</v>
      </c>
      <c r="AK215" s="22" t="str">
        <f t="shared" si="7"/>
        <v>Áncash_16 Pomabamba_01 Pomabamba</v>
      </c>
      <c r="AL215" s="25">
        <v>5</v>
      </c>
      <c r="AM215" s="25">
        <v>9</v>
      </c>
      <c r="AN215" s="26">
        <f>Tabla2[[#This Row],[Minutos]]/60</f>
        <v>0.15</v>
      </c>
      <c r="AO215" s="27">
        <f>SUM(Tabla2[[#This Row],[Horas]],Tabla2[[#This Row],[Minutos a Horas]])</f>
        <v>5.15</v>
      </c>
      <c r="AP215" s="49">
        <v>8</v>
      </c>
      <c r="AQ215" s="49">
        <v>0</v>
      </c>
      <c r="AR215" s="26">
        <f>Tabla2[[#This Row],[Minutos*]]/60</f>
        <v>0</v>
      </c>
      <c r="AS215" s="27">
        <f>SUM(Tabla2[[#This Row],[Horas*]],Tabla2[[#This Row],[Minutos a Horas*]])+(Tabla2[[#This Row],[Tiempo Total a Nivel Proncincial (Horas)]])</f>
        <v>13.15</v>
      </c>
      <c r="AV215" s="62"/>
    </row>
    <row r="216" spans="2:48" ht="42.75" customHeight="1" x14ac:dyDescent="0.25">
      <c r="B216" s="78" t="s">
        <v>2314</v>
      </c>
      <c r="C216" s="199" t="s">
        <v>4</v>
      </c>
      <c r="D216" s="162" t="s">
        <v>2497</v>
      </c>
      <c r="E216" s="162"/>
      <c r="F216" s="162" t="str">
        <f>CONCATENATE(Tabla1[[#This Row],[Simbología]],"_",Tabla1[[#This Row],[Acción]])</f>
        <v>AAA_Administración y otorgamiento del Registro de Hidrocarburos en toda la cadena</v>
      </c>
      <c r="G216" s="162" t="s">
        <v>14</v>
      </c>
      <c r="H216" s="161" t="s">
        <v>2551</v>
      </c>
      <c r="I216" s="163"/>
      <c r="J216" s="209" t="str">
        <f>CONCATENATE(Tabla1[[#This Row],[Simbología1]],"_",Tabla1[[#This Row],[Acción Especifica]])</f>
        <v>KIN_4_Supervisión Ex Post del Registro de Hidrocarburos con aprobación automática</v>
      </c>
      <c r="K216" s="209" t="s">
        <v>2613</v>
      </c>
      <c r="L216" s="172" t="s">
        <v>2371</v>
      </c>
      <c r="M216" s="162"/>
      <c r="N216" s="164" t="str">
        <f>CONCATENATE(Tabla1[[#This Row],[Simbología**]],"_",Tabla1[[#This Row],[Sub Acción Especifica]])</f>
        <v>KKIN_41_Cancelación del RHO</v>
      </c>
      <c r="O216" s="163" t="s">
        <v>2679</v>
      </c>
      <c r="P216" s="172" t="s">
        <v>24</v>
      </c>
      <c r="Q216" s="164" t="str">
        <f>CONCATENATE(Tabla1[[#This Row],[Simbología*]],"_",Tabla1[[#This Row],[Tipo de instalación relacionado]])</f>
        <v>KKKIN_60_Locales de Venta de GLP</v>
      </c>
      <c r="R216" s="165">
        <v>1.9500000000000002</v>
      </c>
      <c r="S216" s="165">
        <v>3.25</v>
      </c>
      <c r="T216" s="166">
        <f>IFERROR(AVERAGE(Tabla1[[#This Row],[T. Mínimo]],Tabla1[[#This Row],[T. Máximo]]),0)</f>
        <v>2.6</v>
      </c>
      <c r="U216" s="167">
        <v>0</v>
      </c>
      <c r="V216" s="167">
        <v>0</v>
      </c>
      <c r="W216" s="166">
        <f>IFERROR(AVERAGE(Tabla1[[#This Row],[T. Mínimo*]],Tabla1[[#This Row],[T. Máximo*]]),0)</f>
        <v>0</v>
      </c>
      <c r="X216" s="167">
        <v>1.9500000000000002</v>
      </c>
      <c r="Y216" s="167">
        <v>3.25</v>
      </c>
      <c r="Z216" s="166">
        <f>IFERROR(AVERAGE(Tabla1[[#This Row],[T. Mínimo**]],Tabla1[[#This Row],[T. Máximo**]]),0)</f>
        <v>2.6</v>
      </c>
      <c r="AA216" s="168">
        <f>SUM(Tabla1[[#This Row],[Promedio]],Tabla1[[#This Row],[Promedio*]],Tabla1[[#This Row],[Promedio**]])</f>
        <v>5.2</v>
      </c>
      <c r="AB216" s="169" t="s">
        <v>2486</v>
      </c>
      <c r="AD216" s="20" t="s">
        <v>2395</v>
      </c>
      <c r="AE216" s="10" t="s">
        <v>163</v>
      </c>
      <c r="AF216" s="20" t="s">
        <v>179</v>
      </c>
      <c r="AG216" s="10"/>
      <c r="AH216" s="22" t="str">
        <f t="shared" si="6"/>
        <v>Áncash_16 Pomabamba</v>
      </c>
      <c r="AI216" s="10" t="s">
        <v>362</v>
      </c>
      <c r="AJ216" s="20" t="s">
        <v>307</v>
      </c>
      <c r="AK216" s="22" t="str">
        <f t="shared" si="7"/>
        <v>Áncash_16 Pomabamba_02 Huayllan</v>
      </c>
      <c r="AL216" s="25">
        <v>5</v>
      </c>
      <c r="AM216" s="25">
        <v>9</v>
      </c>
      <c r="AN216" s="26">
        <f>Tabla2[[#This Row],[Minutos]]/60</f>
        <v>0.15</v>
      </c>
      <c r="AO216" s="27">
        <f>SUM(Tabla2[[#This Row],[Horas]],Tabla2[[#This Row],[Minutos a Horas]])</f>
        <v>5.15</v>
      </c>
      <c r="AP216" s="49">
        <v>8</v>
      </c>
      <c r="AQ216" s="49">
        <v>0</v>
      </c>
      <c r="AR216" s="26">
        <f>Tabla2[[#This Row],[Minutos*]]/60</f>
        <v>0</v>
      </c>
      <c r="AS216" s="27">
        <f>SUM(Tabla2[[#This Row],[Horas*]],Tabla2[[#This Row],[Minutos a Horas*]])+(Tabla2[[#This Row],[Tiempo Total a Nivel Proncincial (Horas)]])</f>
        <v>13.15</v>
      </c>
      <c r="AV216" s="62"/>
    </row>
    <row r="217" spans="2:48" ht="42.75" customHeight="1" x14ac:dyDescent="0.25">
      <c r="B217" s="78" t="s">
        <v>2314</v>
      </c>
      <c r="C217" s="199" t="s">
        <v>4</v>
      </c>
      <c r="D217" s="162" t="s">
        <v>2497</v>
      </c>
      <c r="E217" s="162"/>
      <c r="F217" s="162" t="str">
        <f>CONCATENATE(Tabla1[[#This Row],[Simbología]],"_",Tabla1[[#This Row],[Acción]])</f>
        <v>AAA_Administración y otorgamiento del Registro de Hidrocarburos en toda la cadena</v>
      </c>
      <c r="G217" s="162" t="s">
        <v>14</v>
      </c>
      <c r="H217" s="161" t="s">
        <v>2551</v>
      </c>
      <c r="I217" s="163"/>
      <c r="J217" s="209" t="str">
        <f>CONCATENATE(Tabla1[[#This Row],[Simbología1]],"_",Tabla1[[#This Row],[Acción Especifica]])</f>
        <v>KIN_4_Supervisión Ex Post del Registro de Hidrocarburos con aprobación automática</v>
      </c>
      <c r="K217" s="209" t="s">
        <v>2613</v>
      </c>
      <c r="L217" s="172" t="s">
        <v>2371</v>
      </c>
      <c r="M217" s="162"/>
      <c r="N217" s="164" t="str">
        <f>CONCATENATE(Tabla1[[#This Row],[Simbología**]],"_",Tabla1[[#This Row],[Sub Acción Especifica]])</f>
        <v>KKIN_41_Cancelación del RHO</v>
      </c>
      <c r="O217" s="163" t="s">
        <v>2679</v>
      </c>
      <c r="P217" s="172" t="s">
        <v>25</v>
      </c>
      <c r="Q217" s="164" t="str">
        <f>CONCATENATE(Tabla1[[#This Row],[Simbología*]],"_",Tabla1[[#This Row],[Tipo de instalación relacionado]])</f>
        <v>KKKIN_60_Unidades Mayores</v>
      </c>
      <c r="R217" s="165">
        <v>1.9500000000000002</v>
      </c>
      <c r="S217" s="165">
        <v>3.25</v>
      </c>
      <c r="T217" s="166">
        <f>IFERROR(AVERAGE(Tabla1[[#This Row],[T. Mínimo]],Tabla1[[#This Row],[T. Máximo]]),0)</f>
        <v>2.6</v>
      </c>
      <c r="U217" s="167">
        <v>0</v>
      </c>
      <c r="V217" s="167">
        <v>0</v>
      </c>
      <c r="W217" s="166">
        <f>IFERROR(AVERAGE(Tabla1[[#This Row],[T. Mínimo*]],Tabla1[[#This Row],[T. Máximo*]]),0)</f>
        <v>0</v>
      </c>
      <c r="X217" s="167">
        <v>1.9500000000000002</v>
      </c>
      <c r="Y217" s="167">
        <v>3.25</v>
      </c>
      <c r="Z217" s="166">
        <f>IFERROR(AVERAGE(Tabla1[[#This Row],[T. Mínimo**]],Tabla1[[#This Row],[T. Máximo**]]),0)</f>
        <v>2.6</v>
      </c>
      <c r="AA217" s="168">
        <f>SUM(Tabla1[[#This Row],[Promedio]],Tabla1[[#This Row],[Promedio*]],Tabla1[[#This Row],[Promedio**]])</f>
        <v>5.2</v>
      </c>
      <c r="AB217" s="169" t="s">
        <v>2486</v>
      </c>
      <c r="AD217" s="20" t="s">
        <v>2395</v>
      </c>
      <c r="AE217" s="10" t="s">
        <v>163</v>
      </c>
      <c r="AF217" s="20" t="s">
        <v>179</v>
      </c>
      <c r="AG217" s="10"/>
      <c r="AH217" s="22" t="str">
        <f t="shared" si="6"/>
        <v>Áncash_16 Pomabamba</v>
      </c>
      <c r="AI217" s="10" t="s">
        <v>362</v>
      </c>
      <c r="AJ217" s="20" t="s">
        <v>308</v>
      </c>
      <c r="AK217" s="22" t="str">
        <f t="shared" si="7"/>
        <v>Áncash_16 Pomabamba_03 Parobamba</v>
      </c>
      <c r="AL217" s="25">
        <v>5</v>
      </c>
      <c r="AM217" s="25">
        <v>9</v>
      </c>
      <c r="AN217" s="26">
        <f>Tabla2[[#This Row],[Minutos]]/60</f>
        <v>0.15</v>
      </c>
      <c r="AO217" s="27">
        <f>SUM(Tabla2[[#This Row],[Horas]],Tabla2[[#This Row],[Minutos a Horas]])</f>
        <v>5.15</v>
      </c>
      <c r="AP217" s="49">
        <v>10</v>
      </c>
      <c r="AQ217" s="49">
        <v>0</v>
      </c>
      <c r="AR217" s="26">
        <f>Tabla2[[#This Row],[Minutos*]]/60</f>
        <v>0</v>
      </c>
      <c r="AS217" s="27">
        <f>SUM(Tabla2[[#This Row],[Horas*]],Tabla2[[#This Row],[Minutos a Horas*]])+(Tabla2[[#This Row],[Tiempo Total a Nivel Proncincial (Horas)]])</f>
        <v>15.15</v>
      </c>
      <c r="AV217" s="62"/>
    </row>
    <row r="218" spans="2:48" ht="42.75" customHeight="1" x14ac:dyDescent="0.25">
      <c r="B218" s="78" t="s">
        <v>2314</v>
      </c>
      <c r="C218" s="199" t="s">
        <v>4</v>
      </c>
      <c r="D218" s="162" t="s">
        <v>2497</v>
      </c>
      <c r="E218" s="162"/>
      <c r="F218" s="162" t="str">
        <f>CONCATENATE(Tabla1[[#This Row],[Simbología]],"_",Tabla1[[#This Row],[Acción]])</f>
        <v>AAA_Administración y otorgamiento del Registro de Hidrocarburos en toda la cadena</v>
      </c>
      <c r="G218" s="162" t="s">
        <v>14</v>
      </c>
      <c r="H218" s="161" t="s">
        <v>2481</v>
      </c>
      <c r="I218" s="173"/>
      <c r="J218" s="208" t="str">
        <f>CONCATENATE(Tabla1[[#This Row],[Simbología1]],"_",Tabla1[[#This Row],[Acción Especifica]])</f>
        <v>KIN_4_Reinscripción de Registro de Hidrocarburos</v>
      </c>
      <c r="K218" s="208" t="s">
        <v>2614</v>
      </c>
      <c r="L218" s="161" t="s">
        <v>2481</v>
      </c>
      <c r="M218" s="161" t="s">
        <v>2481</v>
      </c>
      <c r="N218" s="164" t="str">
        <f>CONCATENATE(Tabla1[[#This Row],[Simbología**]],"_",Tabla1[[#This Row],[Sub Acción Especifica]])</f>
        <v>KKIN_42_Reinscripción de Registro de Hidrocarburos</v>
      </c>
      <c r="O218" s="163" t="s">
        <v>2680</v>
      </c>
      <c r="P218" s="161" t="s">
        <v>22</v>
      </c>
      <c r="Q218" s="164" t="str">
        <f>CONCATENATE(Tabla1[[#This Row],[Simbología*]],"_",Tabla1[[#This Row],[Tipo de instalación relacionado]])</f>
        <v>KKKIN_61_Consumidores Directos GLP y Redes de Distribución</v>
      </c>
      <c r="R218" s="174"/>
      <c r="S218" s="174"/>
      <c r="T218" s="175"/>
      <c r="U218" s="174"/>
      <c r="V218" s="174"/>
      <c r="W218" s="175"/>
      <c r="X218" s="176"/>
      <c r="Y218" s="176"/>
      <c r="Z218" s="175"/>
      <c r="AA218" s="177"/>
      <c r="AB218" s="169" t="s">
        <v>2491</v>
      </c>
      <c r="AD218" s="20" t="s">
        <v>2395</v>
      </c>
      <c r="AE218" s="10" t="s">
        <v>163</v>
      </c>
      <c r="AF218" s="20" t="s">
        <v>179</v>
      </c>
      <c r="AG218" s="10"/>
      <c r="AH218" s="22" t="str">
        <f t="shared" si="6"/>
        <v>Áncash_16 Pomabamba</v>
      </c>
      <c r="AI218" s="10" t="s">
        <v>362</v>
      </c>
      <c r="AJ218" s="20" t="s">
        <v>309</v>
      </c>
      <c r="AK218" s="22" t="str">
        <f t="shared" si="7"/>
        <v>Áncash_16 Pomabamba_04 Quinuabamba</v>
      </c>
      <c r="AL218" s="25">
        <v>5</v>
      </c>
      <c r="AM218" s="25">
        <v>9</v>
      </c>
      <c r="AN218" s="26">
        <f>Tabla2[[#This Row],[Minutos]]/60</f>
        <v>0.15</v>
      </c>
      <c r="AO218" s="27">
        <f>SUM(Tabla2[[#This Row],[Horas]],Tabla2[[#This Row],[Minutos a Horas]])</f>
        <v>5.15</v>
      </c>
      <c r="AP218" s="49">
        <v>11</v>
      </c>
      <c r="AQ218" s="49">
        <v>0</v>
      </c>
      <c r="AR218" s="26">
        <f>Tabla2[[#This Row],[Minutos*]]/60</f>
        <v>0</v>
      </c>
      <c r="AS218" s="27">
        <f>SUM(Tabla2[[#This Row],[Horas*]],Tabla2[[#This Row],[Minutos a Horas*]])+(Tabla2[[#This Row],[Tiempo Total a Nivel Proncincial (Horas)]])</f>
        <v>16.149999999999999</v>
      </c>
      <c r="AV218" s="62"/>
    </row>
    <row r="219" spans="2:48" ht="42.75" customHeight="1" x14ac:dyDescent="0.25">
      <c r="B219" s="78" t="s">
        <v>2314</v>
      </c>
      <c r="C219" s="199" t="s">
        <v>4</v>
      </c>
      <c r="D219" s="162" t="s">
        <v>2497</v>
      </c>
      <c r="E219" s="162"/>
      <c r="F219" s="162" t="str">
        <f>CONCATENATE(Tabla1[[#This Row],[Simbología]],"_",Tabla1[[#This Row],[Acción]])</f>
        <v>AAA_Administración y otorgamiento del Registro de Hidrocarburos en toda la cadena</v>
      </c>
      <c r="G219" s="162" t="s">
        <v>14</v>
      </c>
      <c r="H219" s="161" t="s">
        <v>2481</v>
      </c>
      <c r="I219" s="173"/>
      <c r="J219" s="208" t="str">
        <f>CONCATENATE(Tabla1[[#This Row],[Simbología1]],"_",Tabla1[[#This Row],[Acción Especifica]])</f>
        <v>KIN_4_Reinscripción de Registro de Hidrocarburos</v>
      </c>
      <c r="K219" s="208" t="s">
        <v>2614</v>
      </c>
      <c r="L219" s="161" t="s">
        <v>2481</v>
      </c>
      <c r="M219" s="161" t="s">
        <v>2532</v>
      </c>
      <c r="N219" s="164" t="str">
        <f>CONCATENATE(Tabla1[[#This Row],[Simbología**]],"_",Tabla1[[#This Row],[Sub Acción Especifica]])</f>
        <v>KKIN_42_Reinscripción de Registro de Hidrocarburos</v>
      </c>
      <c r="O219" s="163" t="s">
        <v>2680</v>
      </c>
      <c r="P219" s="161" t="s">
        <v>23</v>
      </c>
      <c r="Q219" s="164" t="str">
        <f>CONCATENATE(Tabla1[[#This Row],[Simbología*]],"_",Tabla1[[#This Row],[Tipo de instalación relacionado]])</f>
        <v>KKKIN_61_Medios de Transporte y Distribuidores (Líquidos, GLP)</v>
      </c>
      <c r="R219" s="174"/>
      <c r="S219" s="174"/>
      <c r="T219" s="175"/>
      <c r="U219" s="174"/>
      <c r="V219" s="174"/>
      <c r="W219" s="175"/>
      <c r="X219" s="176"/>
      <c r="Y219" s="176"/>
      <c r="Z219" s="175"/>
      <c r="AA219" s="177"/>
      <c r="AB219" s="169" t="s">
        <v>2491</v>
      </c>
      <c r="AD219" s="20" t="s">
        <v>2395</v>
      </c>
      <c r="AE219" s="10" t="s">
        <v>163</v>
      </c>
      <c r="AF219" s="20" t="s">
        <v>180</v>
      </c>
      <c r="AG219" s="10"/>
      <c r="AH219" s="22" t="str">
        <f t="shared" si="6"/>
        <v>Áncash_17 Recuay</v>
      </c>
      <c r="AI219" s="10" t="s">
        <v>363</v>
      </c>
      <c r="AJ219" s="20" t="s">
        <v>310</v>
      </c>
      <c r="AK219" s="22" t="str">
        <f t="shared" si="7"/>
        <v>Áncash_17 Recuay_01 Recuay</v>
      </c>
      <c r="AL219" s="25">
        <v>4</v>
      </c>
      <c r="AM219" s="25">
        <v>14</v>
      </c>
      <c r="AN219" s="26">
        <f>Tabla2[[#This Row],[Minutos]]/60</f>
        <v>0.23333333333333334</v>
      </c>
      <c r="AO219" s="27">
        <f>SUM(Tabla2[[#This Row],[Horas]],Tabla2[[#This Row],[Minutos a Horas]])</f>
        <v>4.2333333333333334</v>
      </c>
      <c r="AP219" s="49"/>
      <c r="AQ219" s="49">
        <v>50</v>
      </c>
      <c r="AR219" s="26">
        <f>Tabla2[[#This Row],[Minutos*]]/60</f>
        <v>0.83333333333333337</v>
      </c>
      <c r="AS219" s="27">
        <f>SUM(Tabla2[[#This Row],[Horas*]],Tabla2[[#This Row],[Minutos a Horas*]])+(Tabla2[[#This Row],[Tiempo Total a Nivel Proncincial (Horas)]])</f>
        <v>5.0666666666666664</v>
      </c>
      <c r="AV219" s="62"/>
    </row>
    <row r="220" spans="2:48" ht="42.75" customHeight="1" x14ac:dyDescent="0.25">
      <c r="B220" s="78" t="s">
        <v>2314</v>
      </c>
      <c r="C220" s="199" t="s">
        <v>4</v>
      </c>
      <c r="D220" s="162" t="s">
        <v>2497</v>
      </c>
      <c r="E220" s="162"/>
      <c r="F220" s="162" t="str">
        <f>CONCATENATE(Tabla1[[#This Row],[Simbología]],"_",Tabla1[[#This Row],[Acción]])</f>
        <v>AAA_Administración y otorgamiento del Registro de Hidrocarburos en toda la cadena</v>
      </c>
      <c r="G220" s="162" t="s">
        <v>14</v>
      </c>
      <c r="H220" s="161" t="s">
        <v>2481</v>
      </c>
      <c r="I220" s="173"/>
      <c r="J220" s="208" t="str">
        <f>CONCATENATE(Tabla1[[#This Row],[Simbología1]],"_",Tabla1[[#This Row],[Acción Especifica]])</f>
        <v>KIN_4_Reinscripción de Registro de Hidrocarburos</v>
      </c>
      <c r="K220" s="208" t="s">
        <v>2614</v>
      </c>
      <c r="L220" s="161" t="s">
        <v>2481</v>
      </c>
      <c r="M220" s="161" t="s">
        <v>2531</v>
      </c>
      <c r="N220" s="164" t="str">
        <f>CONCATENATE(Tabla1[[#This Row],[Simbología**]],"_",Tabla1[[#This Row],[Sub Acción Especifica]])</f>
        <v>KKIN_42_Reinscripción de Registro de Hidrocarburos</v>
      </c>
      <c r="O220" s="163" t="s">
        <v>2680</v>
      </c>
      <c r="P220" s="161" t="s">
        <v>45</v>
      </c>
      <c r="Q220" s="164" t="str">
        <f>CONCATENATE(Tabla1[[#This Row],[Simbología*]],"_",Tabla1[[#This Row],[Tipo de instalación relacionado]])</f>
        <v>KKKIN_61_Medios de Transporte (GNC, GNL)</v>
      </c>
      <c r="R220" s="174"/>
      <c r="S220" s="174"/>
      <c r="T220" s="175"/>
      <c r="U220" s="174"/>
      <c r="V220" s="174"/>
      <c r="W220" s="175"/>
      <c r="X220" s="176"/>
      <c r="Y220" s="176"/>
      <c r="Z220" s="175"/>
      <c r="AA220" s="177"/>
      <c r="AB220" s="169" t="s">
        <v>2491</v>
      </c>
      <c r="AD220" s="20" t="s">
        <v>2395</v>
      </c>
      <c r="AE220" s="10" t="s">
        <v>163</v>
      </c>
      <c r="AF220" s="20" t="s">
        <v>180</v>
      </c>
      <c r="AG220" s="10"/>
      <c r="AH220" s="22" t="str">
        <f t="shared" si="6"/>
        <v>Áncash_17 Recuay</v>
      </c>
      <c r="AI220" s="10" t="s">
        <v>363</v>
      </c>
      <c r="AJ220" s="20" t="s">
        <v>311</v>
      </c>
      <c r="AK220" s="22" t="str">
        <f t="shared" si="7"/>
        <v>Áncash_17 Recuay_02 Catac</v>
      </c>
      <c r="AL220" s="25">
        <v>4</v>
      </c>
      <c r="AM220" s="25">
        <v>14</v>
      </c>
      <c r="AN220" s="26">
        <f>Tabla2[[#This Row],[Minutos]]/60</f>
        <v>0.23333333333333334</v>
      </c>
      <c r="AO220" s="27">
        <f>SUM(Tabla2[[#This Row],[Horas]],Tabla2[[#This Row],[Minutos a Horas]])</f>
        <v>4.2333333333333334</v>
      </c>
      <c r="AP220" s="49">
        <v>1</v>
      </c>
      <c r="AQ220" s="49">
        <v>20</v>
      </c>
      <c r="AR220" s="26">
        <f>Tabla2[[#This Row],[Minutos*]]/60</f>
        <v>0.33333333333333331</v>
      </c>
      <c r="AS220" s="27">
        <f>SUM(Tabla2[[#This Row],[Horas*]],Tabla2[[#This Row],[Minutos a Horas*]])+(Tabla2[[#This Row],[Tiempo Total a Nivel Proncincial (Horas)]])</f>
        <v>5.5666666666666664</v>
      </c>
      <c r="AV220" s="62"/>
    </row>
    <row r="221" spans="2:48" ht="42.75" customHeight="1" x14ac:dyDescent="0.25">
      <c r="B221" s="78" t="s">
        <v>2314</v>
      </c>
      <c r="C221" s="199" t="s">
        <v>4</v>
      </c>
      <c r="D221" s="162" t="s">
        <v>2497</v>
      </c>
      <c r="E221" s="162"/>
      <c r="F221" s="162" t="str">
        <f>CONCATENATE(Tabla1[[#This Row],[Simbología]],"_",Tabla1[[#This Row],[Acción]])</f>
        <v>AAA_Administración y otorgamiento del Registro de Hidrocarburos en toda la cadena</v>
      </c>
      <c r="G221" s="162" t="s">
        <v>14</v>
      </c>
      <c r="H221" s="161" t="s">
        <v>2481</v>
      </c>
      <c r="I221" s="173"/>
      <c r="J221" s="208" t="str">
        <f>CONCATENATE(Tabla1[[#This Row],[Simbología1]],"_",Tabla1[[#This Row],[Acción Especifica]])</f>
        <v>KIN_4_Reinscripción de Registro de Hidrocarburos</v>
      </c>
      <c r="K221" s="208" t="s">
        <v>2614</v>
      </c>
      <c r="L221" s="161" t="s">
        <v>2481</v>
      </c>
      <c r="M221" s="161"/>
      <c r="N221" s="164" t="str">
        <f>CONCATENATE(Tabla1[[#This Row],[Simbología**]],"_",Tabla1[[#This Row],[Sub Acción Especifica]])</f>
        <v>KKIN_42_Reinscripción de Registro de Hidrocarburos</v>
      </c>
      <c r="O221" s="163" t="s">
        <v>2680</v>
      </c>
      <c r="P221" s="161" t="s">
        <v>24</v>
      </c>
      <c r="Q221" s="164" t="str">
        <f>CONCATENATE(Tabla1[[#This Row],[Simbología*]],"_",Tabla1[[#This Row],[Tipo de instalación relacionado]])</f>
        <v>KKKIN_61_Locales de Venta de GLP</v>
      </c>
      <c r="R221" s="174"/>
      <c r="S221" s="174"/>
      <c r="T221" s="175"/>
      <c r="U221" s="174"/>
      <c r="V221" s="174"/>
      <c r="W221" s="175"/>
      <c r="X221" s="176"/>
      <c r="Y221" s="176"/>
      <c r="Z221" s="175"/>
      <c r="AA221" s="177"/>
      <c r="AB221" s="169" t="s">
        <v>2491</v>
      </c>
      <c r="AD221" s="20" t="s">
        <v>2395</v>
      </c>
      <c r="AE221" s="10" t="s">
        <v>163</v>
      </c>
      <c r="AF221" s="20" t="s">
        <v>180</v>
      </c>
      <c r="AG221" s="10"/>
      <c r="AH221" s="22" t="str">
        <f t="shared" si="6"/>
        <v>Áncash_17 Recuay</v>
      </c>
      <c r="AI221" s="10" t="s">
        <v>363</v>
      </c>
      <c r="AJ221" s="20" t="s">
        <v>312</v>
      </c>
      <c r="AK221" s="22" t="str">
        <f t="shared" si="7"/>
        <v>Áncash_17 Recuay_03 Cotaparaco</v>
      </c>
      <c r="AL221" s="25">
        <v>4</v>
      </c>
      <c r="AM221" s="25">
        <v>14</v>
      </c>
      <c r="AN221" s="26">
        <f>Tabla2[[#This Row],[Minutos]]/60</f>
        <v>0.23333333333333334</v>
      </c>
      <c r="AO221" s="27">
        <f>SUM(Tabla2[[#This Row],[Horas]],Tabla2[[#This Row],[Minutos a Horas]])</f>
        <v>4.2333333333333334</v>
      </c>
      <c r="AP221" s="49">
        <v>3</v>
      </c>
      <c r="AQ221" s="49"/>
      <c r="AR221" s="26">
        <f>Tabla2[[#This Row],[Minutos*]]/60</f>
        <v>0</v>
      </c>
      <c r="AS221" s="27">
        <f>SUM(Tabla2[[#This Row],[Horas*]],Tabla2[[#This Row],[Minutos a Horas*]])+(Tabla2[[#This Row],[Tiempo Total a Nivel Proncincial (Horas)]])</f>
        <v>7.2333333333333334</v>
      </c>
      <c r="AV221" s="62"/>
    </row>
    <row r="222" spans="2:48" ht="42.75" customHeight="1" x14ac:dyDescent="0.25">
      <c r="B222" s="78" t="s">
        <v>2314</v>
      </c>
      <c r="C222" s="199" t="s">
        <v>4</v>
      </c>
      <c r="D222" s="162" t="s">
        <v>2497</v>
      </c>
      <c r="E222" s="162"/>
      <c r="F222" s="162" t="str">
        <f>CONCATENATE(Tabla1[[#This Row],[Simbología]],"_",Tabla1[[#This Row],[Acción]])</f>
        <v>AAA_Administración y otorgamiento del Registro de Hidrocarburos en toda la cadena</v>
      </c>
      <c r="G222" s="162" t="s">
        <v>14</v>
      </c>
      <c r="H222" s="161" t="s">
        <v>2482</v>
      </c>
      <c r="I222" s="173"/>
      <c r="J222" s="208" t="str">
        <f>CONCATENATE(Tabla1[[#This Row],[Simbología1]],"_",Tabla1[[#This Row],[Acción Especifica]])</f>
        <v>KIN_4_Solicitudes de Inscripción y Modificación en el Registro de Hidrocarburos de Osinergmin - Trámite Virtual para Locales de Venta de GLP</v>
      </c>
      <c r="K222" s="208" t="s">
        <v>2615</v>
      </c>
      <c r="L222" s="161" t="s">
        <v>2532</v>
      </c>
      <c r="M222" s="161"/>
      <c r="N222" s="164" t="str">
        <f>CONCATENATE(Tabla1[[#This Row],[Simbología**]],"_",Tabla1[[#This Row],[Sub Acción Especifica]])</f>
        <v>KKIN_43_Inscripción en el Registro de Hidrocarburos de Osinergmin</v>
      </c>
      <c r="O222" s="163" t="s">
        <v>2681</v>
      </c>
      <c r="P222" s="161" t="s">
        <v>24</v>
      </c>
      <c r="Q222" s="164" t="str">
        <f>CONCATENATE(Tabla1[[#This Row],[Simbología*]],"_",Tabla1[[#This Row],[Tipo de instalación relacionado]])</f>
        <v>KKKIN_62_Locales de Venta de GLP</v>
      </c>
      <c r="R222" s="174"/>
      <c r="S222" s="174"/>
      <c r="T222" s="175"/>
      <c r="U222" s="174"/>
      <c r="V222" s="174"/>
      <c r="W222" s="175"/>
      <c r="X222" s="176"/>
      <c r="Y222" s="176"/>
      <c r="Z222" s="175"/>
      <c r="AA222" s="177"/>
      <c r="AB222" s="169" t="s">
        <v>2491</v>
      </c>
      <c r="AD222" s="20" t="s">
        <v>2395</v>
      </c>
      <c r="AE222" s="10" t="s">
        <v>163</v>
      </c>
      <c r="AF222" s="20" t="s">
        <v>180</v>
      </c>
      <c r="AG222" s="10"/>
      <c r="AH222" s="22" t="str">
        <f t="shared" si="6"/>
        <v>Áncash_17 Recuay</v>
      </c>
      <c r="AI222" s="10" t="s">
        <v>363</v>
      </c>
      <c r="AJ222" s="20" t="s">
        <v>313</v>
      </c>
      <c r="AK222" s="22" t="str">
        <f t="shared" si="7"/>
        <v>Áncash_17 Recuay_04 Huayllapampa</v>
      </c>
      <c r="AL222" s="25">
        <v>4</v>
      </c>
      <c r="AM222" s="25">
        <v>14</v>
      </c>
      <c r="AN222" s="26">
        <f>Tabla2[[#This Row],[Minutos]]/60</f>
        <v>0.23333333333333334</v>
      </c>
      <c r="AO222" s="27">
        <f>SUM(Tabla2[[#This Row],[Horas]],Tabla2[[#This Row],[Minutos a Horas]])</f>
        <v>4.2333333333333334</v>
      </c>
      <c r="AP222" s="49">
        <v>4</v>
      </c>
      <c r="AQ222" s="49"/>
      <c r="AR222" s="26">
        <f>Tabla2[[#This Row],[Minutos*]]/60</f>
        <v>0</v>
      </c>
      <c r="AS222" s="27">
        <f>SUM(Tabla2[[#This Row],[Horas*]],Tabla2[[#This Row],[Minutos a Horas*]])+(Tabla2[[#This Row],[Tiempo Total a Nivel Proncincial (Horas)]])</f>
        <v>8.2333333333333343</v>
      </c>
      <c r="AV222" s="62"/>
    </row>
    <row r="223" spans="2:48" ht="42.75" customHeight="1" x14ac:dyDescent="0.25">
      <c r="B223" s="78" t="s">
        <v>2314</v>
      </c>
      <c r="C223" s="199" t="s">
        <v>4</v>
      </c>
      <c r="D223" s="162" t="s">
        <v>2497</v>
      </c>
      <c r="E223" s="162"/>
      <c r="F223" s="162" t="str">
        <f>CONCATENATE(Tabla1[[#This Row],[Simbología]],"_",Tabla1[[#This Row],[Acción]])</f>
        <v>AAA_Administración y otorgamiento del Registro de Hidrocarburos en toda la cadena</v>
      </c>
      <c r="G223" s="162" t="s">
        <v>14</v>
      </c>
      <c r="H223" s="161" t="s">
        <v>2482</v>
      </c>
      <c r="I223" s="173"/>
      <c r="J223" s="208" t="str">
        <f>CONCATENATE(Tabla1[[#This Row],[Simbología1]],"_",Tabla1[[#This Row],[Acción Especifica]])</f>
        <v>KIN_4_Solicitudes de Inscripción y Modificación en el Registro de Hidrocarburos de Osinergmin - Trámite Virtual para Locales de Venta de GLP</v>
      </c>
      <c r="K223" s="208" t="s">
        <v>2616</v>
      </c>
      <c r="L223" s="161" t="s">
        <v>2531</v>
      </c>
      <c r="M223" s="161"/>
      <c r="N223" s="164" t="str">
        <f>CONCATENATE(Tabla1[[#This Row],[Simbología**]],"_",Tabla1[[#This Row],[Sub Acción Especifica]])</f>
        <v>KKIN_44_Modificación en el Registro de Hidrocarburos de Osinergmin</v>
      </c>
      <c r="O223" s="163" t="s">
        <v>2682</v>
      </c>
      <c r="P223" s="161" t="s">
        <v>24</v>
      </c>
      <c r="Q223" s="164" t="str">
        <f>CONCATENATE(Tabla1[[#This Row],[Simbología*]],"_",Tabla1[[#This Row],[Tipo de instalación relacionado]])</f>
        <v>KKKIN_63_Locales de Venta de GLP</v>
      </c>
      <c r="R223" s="174"/>
      <c r="S223" s="174"/>
      <c r="T223" s="175"/>
      <c r="U223" s="174"/>
      <c r="V223" s="174"/>
      <c r="W223" s="175"/>
      <c r="X223" s="176"/>
      <c r="Y223" s="176"/>
      <c r="Z223" s="175"/>
      <c r="AA223" s="177"/>
      <c r="AB223" s="169" t="s">
        <v>2491</v>
      </c>
      <c r="AD223" s="20" t="s">
        <v>2395</v>
      </c>
      <c r="AE223" s="10" t="s">
        <v>163</v>
      </c>
      <c r="AF223" s="20" t="s">
        <v>180</v>
      </c>
      <c r="AG223" s="10"/>
      <c r="AH223" s="22" t="str">
        <f t="shared" si="6"/>
        <v>Áncash_17 Recuay</v>
      </c>
      <c r="AI223" s="10" t="s">
        <v>363</v>
      </c>
      <c r="AJ223" s="20" t="s">
        <v>314</v>
      </c>
      <c r="AK223" s="22" t="str">
        <f t="shared" si="7"/>
        <v>Áncash_17 Recuay_05 Llacllin</v>
      </c>
      <c r="AL223" s="25">
        <v>4</v>
      </c>
      <c r="AM223" s="25">
        <v>14</v>
      </c>
      <c r="AN223" s="26">
        <f>Tabla2[[#This Row],[Minutos]]/60</f>
        <v>0.23333333333333334</v>
      </c>
      <c r="AO223" s="27">
        <f>SUM(Tabla2[[#This Row],[Horas]],Tabla2[[#This Row],[Minutos a Horas]])</f>
        <v>4.2333333333333334</v>
      </c>
      <c r="AP223" s="49">
        <v>3</v>
      </c>
      <c r="AQ223" s="49"/>
      <c r="AR223" s="26">
        <f>Tabla2[[#This Row],[Minutos*]]/60</f>
        <v>0</v>
      </c>
      <c r="AS223" s="27">
        <f>SUM(Tabla2[[#This Row],[Horas*]],Tabla2[[#This Row],[Minutos a Horas*]])+(Tabla2[[#This Row],[Tiempo Total a Nivel Proncincial (Horas)]])</f>
        <v>7.2333333333333334</v>
      </c>
      <c r="AV223" s="62"/>
    </row>
    <row r="224" spans="2:48" ht="42.75" customHeight="1" x14ac:dyDescent="0.25">
      <c r="B224" s="198" t="s">
        <v>40</v>
      </c>
      <c r="C224" s="200" t="s">
        <v>11</v>
      </c>
      <c r="D224" s="180" t="s">
        <v>2490</v>
      </c>
      <c r="E224" s="180"/>
      <c r="F224" s="180" t="str">
        <f>CONCATENATE(Tabla1[[#This Row],[Simbología]],"_",Tabla1[[#This Row],[Acción]])</f>
        <v>BBB_Supervisión de instalaciones y medios de transporte (CL, GLP, GNV, GNC,GNL y OPDH)</v>
      </c>
      <c r="G224" s="180" t="s">
        <v>15</v>
      </c>
      <c r="H224" s="179" t="s">
        <v>2556</v>
      </c>
      <c r="I224" s="179" t="s">
        <v>2556</v>
      </c>
      <c r="J224" s="210" t="str">
        <f>CONCATENATE(Tabla1[[#This Row],[Simbología1]],"_",Tabla1[[#This Row],[Acción Especifica]])</f>
        <v>KIN_5_Medidas de Seguridad</v>
      </c>
      <c r="K224" s="210" t="s">
        <v>2617</v>
      </c>
      <c r="L224" s="179" t="s">
        <v>2557</v>
      </c>
      <c r="M224" s="179" t="s">
        <v>2557</v>
      </c>
      <c r="N224" s="182" t="str">
        <f>CONCATENATE(Tabla1[[#This Row],[Simbología**]],"_",Tabla1[[#This Row],[Sub Acción Especifica]])</f>
        <v>KKIN_45_Ejecución y Levantamiento</v>
      </c>
      <c r="O224" s="181" t="s">
        <v>2683</v>
      </c>
      <c r="P224" s="183" t="s">
        <v>2364</v>
      </c>
      <c r="Q224" s="182" t="str">
        <f>CONCATENATE(Tabla1[[#This Row],[Simbología*]],"_",Tabla1[[#This Row],[Tipo de instalación relacionado]])</f>
        <v>KKKIN_64_Establecimientos de Venta al Público (Líquidos o GLP)</v>
      </c>
      <c r="R224" s="184">
        <v>2</v>
      </c>
      <c r="S224" s="184">
        <v>3</v>
      </c>
      <c r="T224" s="185">
        <f>IFERROR(AVERAGE(Tabla1[[#This Row],[T. Mínimo]],Tabla1[[#This Row],[T. Máximo]]),0)</f>
        <v>2.5</v>
      </c>
      <c r="U224" s="186">
        <v>1.5</v>
      </c>
      <c r="V224" s="186">
        <v>2.5</v>
      </c>
      <c r="W224" s="185">
        <f>IFERROR(AVERAGE(Tabla1[[#This Row],[T. Mínimo*]],Tabla1[[#This Row],[T. Máximo*]]),0)</f>
        <v>2</v>
      </c>
      <c r="X224" s="186">
        <v>1.5</v>
      </c>
      <c r="Y224" s="186">
        <v>2.5</v>
      </c>
      <c r="Z224" s="185">
        <f>IFERROR(AVERAGE(Tabla1[[#This Row],[T. Mínimo**]],Tabla1[[#This Row],[T. Máximo**]]),0)</f>
        <v>2</v>
      </c>
      <c r="AA224" s="187">
        <f>SUM(Tabla1[[#This Row],[Promedio]],Tabla1[[#This Row],[Promedio*]],Tabla1[[#This Row],[Promedio**]])</f>
        <v>6.5</v>
      </c>
      <c r="AB224" s="188" t="s">
        <v>2486</v>
      </c>
      <c r="AD224" s="20" t="s">
        <v>2395</v>
      </c>
      <c r="AE224" s="10" t="s">
        <v>163</v>
      </c>
      <c r="AF224" s="20" t="s">
        <v>180</v>
      </c>
      <c r="AG224" s="10"/>
      <c r="AH224" s="22" t="str">
        <f t="shared" si="6"/>
        <v>Áncash_17 Recuay</v>
      </c>
      <c r="AI224" s="10" t="s">
        <v>363</v>
      </c>
      <c r="AJ224" s="20" t="s">
        <v>315</v>
      </c>
      <c r="AK224" s="22" t="str">
        <f t="shared" si="7"/>
        <v>Áncash_17 Recuay_06 Marca</v>
      </c>
      <c r="AL224" s="25">
        <v>4</v>
      </c>
      <c r="AM224" s="25">
        <v>14</v>
      </c>
      <c r="AN224" s="26">
        <f>Tabla2[[#This Row],[Minutos]]/60</f>
        <v>0.23333333333333334</v>
      </c>
      <c r="AO224" s="27">
        <f>SUM(Tabla2[[#This Row],[Horas]],Tabla2[[#This Row],[Minutos a Horas]])</f>
        <v>4.2333333333333334</v>
      </c>
      <c r="AP224" s="49">
        <v>3</v>
      </c>
      <c r="AQ224" s="49">
        <v>20</v>
      </c>
      <c r="AR224" s="26">
        <f>Tabla2[[#This Row],[Minutos*]]/60</f>
        <v>0.33333333333333331</v>
      </c>
      <c r="AS224" s="27">
        <f>SUM(Tabla2[[#This Row],[Horas*]],Tabla2[[#This Row],[Minutos a Horas*]])+(Tabla2[[#This Row],[Tiempo Total a Nivel Proncincial (Horas)]])</f>
        <v>7.5666666666666664</v>
      </c>
      <c r="AV224" s="62"/>
    </row>
    <row r="225" spans="2:48" ht="42.75" customHeight="1" x14ac:dyDescent="0.25">
      <c r="B225" s="198" t="s">
        <v>40</v>
      </c>
      <c r="C225" s="200" t="s">
        <v>11</v>
      </c>
      <c r="D225" s="180" t="s">
        <v>2490</v>
      </c>
      <c r="E225" s="180"/>
      <c r="F225" s="180" t="str">
        <f>CONCATENATE(Tabla1[[#This Row],[Simbología]],"_",Tabla1[[#This Row],[Acción]])</f>
        <v>BBB_Supervisión de instalaciones y medios de transporte (CL, GLP, GNV, GNC,GNL y OPDH)</v>
      </c>
      <c r="G225" s="180" t="s">
        <v>15</v>
      </c>
      <c r="H225" s="179" t="s">
        <v>2556</v>
      </c>
      <c r="I225" s="180" t="s">
        <v>2562</v>
      </c>
      <c r="J225" s="211" t="str">
        <f>CONCATENATE(Tabla1[[#This Row],[Simbología1]],"_",Tabla1[[#This Row],[Acción Especifica]])</f>
        <v>KIN_5_Medidas de Seguridad</v>
      </c>
      <c r="K225" s="210" t="s">
        <v>2617</v>
      </c>
      <c r="L225" s="179" t="s">
        <v>2557</v>
      </c>
      <c r="M225" s="180"/>
      <c r="N225" s="182" t="str">
        <f>CONCATENATE(Tabla1[[#This Row],[Simbología**]],"_",Tabla1[[#This Row],[Sub Acción Especifica]])</f>
        <v>KKIN_45_Ejecución y Levantamiento</v>
      </c>
      <c r="O225" s="181" t="s">
        <v>2683</v>
      </c>
      <c r="P225" s="183" t="s">
        <v>2365</v>
      </c>
      <c r="Q225" s="182" t="str">
        <f>CONCATENATE(Tabla1[[#This Row],[Simbología*]],"_",Tabla1[[#This Row],[Tipo de instalación relacionado]])</f>
        <v>KKKIN_64_Establecimientos de Venta al Público (Líquidos y GLP)</v>
      </c>
      <c r="R225" s="184">
        <v>4</v>
      </c>
      <c r="S225" s="184">
        <v>6</v>
      </c>
      <c r="T225" s="185">
        <f>IFERROR(AVERAGE(Tabla1[[#This Row],[T. Mínimo]],Tabla1[[#This Row],[T. Máximo]]),0)</f>
        <v>5</v>
      </c>
      <c r="U225" s="186">
        <v>3</v>
      </c>
      <c r="V225" s="186">
        <v>5</v>
      </c>
      <c r="W225" s="185">
        <f>IFERROR(AVERAGE(Tabla1[[#This Row],[T. Mínimo*]],Tabla1[[#This Row],[T. Máximo*]]),0)</f>
        <v>4</v>
      </c>
      <c r="X225" s="186">
        <v>3</v>
      </c>
      <c r="Y225" s="186">
        <v>5</v>
      </c>
      <c r="Z225" s="185">
        <f>IFERROR(AVERAGE(Tabla1[[#This Row],[T. Mínimo**]],Tabla1[[#This Row],[T. Máximo**]]),0)</f>
        <v>4</v>
      </c>
      <c r="AA225" s="187">
        <f>SUM(Tabla1[[#This Row],[Promedio]],Tabla1[[#This Row],[Promedio*]],Tabla1[[#This Row],[Promedio**]])</f>
        <v>13</v>
      </c>
      <c r="AB225" s="188" t="s">
        <v>2486</v>
      </c>
      <c r="AD225" s="20" t="s">
        <v>2395</v>
      </c>
      <c r="AE225" s="10" t="s">
        <v>163</v>
      </c>
      <c r="AF225" s="20" t="s">
        <v>180</v>
      </c>
      <c r="AG225" s="10"/>
      <c r="AH225" s="22" t="str">
        <f t="shared" si="6"/>
        <v>Áncash_17 Recuay</v>
      </c>
      <c r="AI225" s="10" t="s">
        <v>363</v>
      </c>
      <c r="AJ225" s="20" t="s">
        <v>316</v>
      </c>
      <c r="AK225" s="22" t="str">
        <f t="shared" si="7"/>
        <v>Áncash_17 Recuay_07 Pampas Chico</v>
      </c>
      <c r="AL225" s="25">
        <v>4</v>
      </c>
      <c r="AM225" s="25">
        <v>14</v>
      </c>
      <c r="AN225" s="26">
        <f>Tabla2[[#This Row],[Minutos]]/60</f>
        <v>0.23333333333333334</v>
      </c>
      <c r="AO225" s="27">
        <f>SUM(Tabla2[[#This Row],[Horas]],Tabla2[[#This Row],[Minutos a Horas]])</f>
        <v>4.2333333333333334</v>
      </c>
      <c r="AP225" s="49">
        <v>4</v>
      </c>
      <c r="AQ225" s="49"/>
      <c r="AR225" s="26">
        <f>Tabla2[[#This Row],[Minutos*]]/60</f>
        <v>0</v>
      </c>
      <c r="AS225" s="27">
        <f>SUM(Tabla2[[#This Row],[Horas*]],Tabla2[[#This Row],[Minutos a Horas*]])+(Tabla2[[#This Row],[Tiempo Total a Nivel Proncincial (Horas)]])</f>
        <v>8.2333333333333343</v>
      </c>
      <c r="AV225" s="62"/>
    </row>
    <row r="226" spans="2:48" ht="42.75" customHeight="1" x14ac:dyDescent="0.25">
      <c r="B226" s="198" t="s">
        <v>40</v>
      </c>
      <c r="C226" s="200" t="s">
        <v>11</v>
      </c>
      <c r="D226" s="180" t="s">
        <v>2490</v>
      </c>
      <c r="E226" s="180"/>
      <c r="F226" s="180" t="str">
        <f>CONCATENATE(Tabla1[[#This Row],[Simbología]],"_",Tabla1[[#This Row],[Acción]])</f>
        <v>BBB_Supervisión de instalaciones y medios de transporte (CL, GLP, GNV, GNC,GNL y OPDH)</v>
      </c>
      <c r="G226" s="180" t="s">
        <v>15</v>
      </c>
      <c r="H226" s="179" t="s">
        <v>2556</v>
      </c>
      <c r="I226" s="181"/>
      <c r="J226" s="211" t="str">
        <f>CONCATENATE(Tabla1[[#This Row],[Simbología1]],"_",Tabla1[[#This Row],[Acción Especifica]])</f>
        <v>KIN_5_Medidas de Seguridad</v>
      </c>
      <c r="K226" s="210" t="s">
        <v>2617</v>
      </c>
      <c r="L226" s="179" t="s">
        <v>2557</v>
      </c>
      <c r="M226" s="180"/>
      <c r="N226" s="182" t="str">
        <f>CONCATENATE(Tabla1[[#This Row],[Simbología**]],"_",Tabla1[[#This Row],[Sub Acción Especifica]])</f>
        <v>KKIN_45_Ejecución y Levantamiento</v>
      </c>
      <c r="O226" s="181" t="s">
        <v>2683</v>
      </c>
      <c r="P226" s="183" t="s">
        <v>26</v>
      </c>
      <c r="Q226" s="182" t="str">
        <f>CONCATENATE(Tabla1[[#This Row],[Simbología*]],"_",Tabla1[[#This Row],[Tipo de instalación relacionado]])</f>
        <v>KKKIN_64_Establecimientos (GNV)</v>
      </c>
      <c r="R226" s="184">
        <v>2</v>
      </c>
      <c r="S226" s="184">
        <v>3</v>
      </c>
      <c r="T226" s="185">
        <f>IFERROR(AVERAGE(Tabla1[[#This Row],[T. Mínimo]],Tabla1[[#This Row],[T. Máximo]]),0)</f>
        <v>2.5</v>
      </c>
      <c r="U226" s="186">
        <v>1.5</v>
      </c>
      <c r="V226" s="186">
        <v>2.5</v>
      </c>
      <c r="W226" s="185">
        <f>IFERROR(AVERAGE(Tabla1[[#This Row],[T. Mínimo*]],Tabla1[[#This Row],[T. Máximo*]]),0)</f>
        <v>2</v>
      </c>
      <c r="X226" s="186">
        <v>1.5</v>
      </c>
      <c r="Y226" s="186">
        <v>2.5</v>
      </c>
      <c r="Z226" s="185">
        <f>IFERROR(AVERAGE(Tabla1[[#This Row],[T. Mínimo**]],Tabla1[[#This Row],[T. Máximo**]]),0)</f>
        <v>2</v>
      </c>
      <c r="AA226" s="187">
        <f>SUM(Tabla1[[#This Row],[Promedio]],Tabla1[[#This Row],[Promedio*]],Tabla1[[#This Row],[Promedio**]])</f>
        <v>6.5</v>
      </c>
      <c r="AB226" s="188" t="s">
        <v>2486</v>
      </c>
      <c r="AD226" s="20" t="s">
        <v>2395</v>
      </c>
      <c r="AE226" s="10" t="s">
        <v>163</v>
      </c>
      <c r="AF226" s="20" t="s">
        <v>180</v>
      </c>
      <c r="AG226" s="10"/>
      <c r="AH226" s="22" t="str">
        <f t="shared" si="6"/>
        <v>Áncash_17 Recuay</v>
      </c>
      <c r="AI226" s="10" t="s">
        <v>363</v>
      </c>
      <c r="AJ226" s="20" t="s">
        <v>317</v>
      </c>
      <c r="AK226" s="22" t="str">
        <f t="shared" si="7"/>
        <v>Áncash_17 Recuay_08 Pararin</v>
      </c>
      <c r="AL226" s="25">
        <v>4</v>
      </c>
      <c r="AM226" s="25">
        <v>14</v>
      </c>
      <c r="AN226" s="26">
        <f>Tabla2[[#This Row],[Minutos]]/60</f>
        <v>0.23333333333333334</v>
      </c>
      <c r="AO226" s="27">
        <f>SUM(Tabla2[[#This Row],[Horas]],Tabla2[[#This Row],[Minutos a Horas]])</f>
        <v>4.2333333333333334</v>
      </c>
      <c r="AP226" s="49">
        <v>3</v>
      </c>
      <c r="AQ226" s="49">
        <v>20</v>
      </c>
      <c r="AR226" s="26">
        <f>Tabla2[[#This Row],[Minutos*]]/60</f>
        <v>0.33333333333333331</v>
      </c>
      <c r="AS226" s="27">
        <f>SUM(Tabla2[[#This Row],[Horas*]],Tabla2[[#This Row],[Minutos a Horas*]])+(Tabla2[[#This Row],[Tiempo Total a Nivel Proncincial (Horas)]])</f>
        <v>7.5666666666666664</v>
      </c>
      <c r="AV226" s="62"/>
    </row>
    <row r="227" spans="2:48" ht="42.75" customHeight="1" x14ac:dyDescent="0.25">
      <c r="B227" s="198" t="s">
        <v>40</v>
      </c>
      <c r="C227" s="200" t="s">
        <v>11</v>
      </c>
      <c r="D227" s="180" t="s">
        <v>2490</v>
      </c>
      <c r="E227" s="180"/>
      <c r="F227" s="180" t="str">
        <f>CONCATENATE(Tabla1[[#This Row],[Simbología]],"_",Tabla1[[#This Row],[Acción]])</f>
        <v>BBB_Supervisión de instalaciones y medios de transporte (CL, GLP, GNV, GNC,GNL y OPDH)</v>
      </c>
      <c r="G227" s="180" t="s">
        <v>15</v>
      </c>
      <c r="H227" s="179" t="s">
        <v>2556</v>
      </c>
      <c r="I227" s="181"/>
      <c r="J227" s="211" t="str">
        <f>CONCATENATE(Tabla1[[#This Row],[Simbología1]],"_",Tabla1[[#This Row],[Acción Especifica]])</f>
        <v>KIN_5_Medidas de Seguridad</v>
      </c>
      <c r="K227" s="210" t="s">
        <v>2617</v>
      </c>
      <c r="L227" s="179" t="s">
        <v>2557</v>
      </c>
      <c r="M227" s="180"/>
      <c r="N227" s="182" t="str">
        <f>CONCATENATE(Tabla1[[#This Row],[Simbología**]],"_",Tabla1[[#This Row],[Sub Acción Especifica]])</f>
        <v>KKIN_45_Ejecución y Levantamiento</v>
      </c>
      <c r="O227" s="181" t="s">
        <v>2683</v>
      </c>
      <c r="P227" s="183" t="s">
        <v>8</v>
      </c>
      <c r="Q227" s="182" t="str">
        <f>CONCATENATE(Tabla1[[#This Row],[Simbología*]],"_",Tabla1[[#This Row],[Tipo de instalación relacionado]])</f>
        <v>KKKIN_64_Consumidores Directos de CL y/u OPDH</v>
      </c>
      <c r="R227" s="184">
        <v>2</v>
      </c>
      <c r="S227" s="184">
        <v>2.5</v>
      </c>
      <c r="T227" s="185">
        <f>IFERROR(AVERAGE(Tabla1[[#This Row],[T. Mínimo]],Tabla1[[#This Row],[T. Máximo]]),0)</f>
        <v>2.25</v>
      </c>
      <c r="U227" s="186">
        <v>1.5</v>
      </c>
      <c r="V227" s="186">
        <v>2.5</v>
      </c>
      <c r="W227" s="185">
        <f>IFERROR(AVERAGE(Tabla1[[#This Row],[T. Mínimo*]],Tabla1[[#This Row],[T. Máximo*]]),0)</f>
        <v>2</v>
      </c>
      <c r="X227" s="186">
        <v>1.5</v>
      </c>
      <c r="Y227" s="186">
        <v>2.5</v>
      </c>
      <c r="Z227" s="185">
        <f>IFERROR(AVERAGE(Tabla1[[#This Row],[T. Mínimo**]],Tabla1[[#This Row],[T. Máximo**]]),0)</f>
        <v>2</v>
      </c>
      <c r="AA227" s="187">
        <f>SUM(Tabla1[[#This Row],[Promedio]],Tabla1[[#This Row],[Promedio*]],Tabla1[[#This Row],[Promedio**]])</f>
        <v>6.25</v>
      </c>
      <c r="AB227" s="188" t="s">
        <v>2486</v>
      </c>
      <c r="AD227" s="20" t="s">
        <v>2395</v>
      </c>
      <c r="AE227" s="10" t="s">
        <v>163</v>
      </c>
      <c r="AF227" s="20" t="s">
        <v>180</v>
      </c>
      <c r="AG227" s="10"/>
      <c r="AH227" s="22" t="str">
        <f t="shared" si="6"/>
        <v>Áncash_17 Recuay</v>
      </c>
      <c r="AI227" s="10" t="s">
        <v>363</v>
      </c>
      <c r="AJ227" s="20" t="s">
        <v>318</v>
      </c>
      <c r="AK227" s="22" t="str">
        <f t="shared" si="7"/>
        <v>Áncash_17 Recuay_09 Tapacocha</v>
      </c>
      <c r="AL227" s="25">
        <v>4</v>
      </c>
      <c r="AM227" s="25">
        <v>14</v>
      </c>
      <c r="AN227" s="26">
        <f>Tabla2[[#This Row],[Minutos]]/60</f>
        <v>0.23333333333333334</v>
      </c>
      <c r="AO227" s="27">
        <f>SUM(Tabla2[[#This Row],[Horas]],Tabla2[[#This Row],[Minutos a Horas]])</f>
        <v>4.2333333333333334</v>
      </c>
      <c r="AP227" s="49">
        <v>4</v>
      </c>
      <c r="AQ227" s="49"/>
      <c r="AR227" s="26">
        <f>Tabla2[[#This Row],[Minutos*]]/60</f>
        <v>0</v>
      </c>
      <c r="AS227" s="27">
        <f>SUM(Tabla2[[#This Row],[Horas*]],Tabla2[[#This Row],[Minutos a Horas*]])+(Tabla2[[#This Row],[Tiempo Total a Nivel Proncincial (Horas)]])</f>
        <v>8.2333333333333343</v>
      </c>
      <c r="AV227" s="62"/>
    </row>
    <row r="228" spans="2:48" ht="42.75" customHeight="1" x14ac:dyDescent="0.25">
      <c r="B228" s="198" t="s">
        <v>40</v>
      </c>
      <c r="C228" s="200" t="s">
        <v>11</v>
      </c>
      <c r="D228" s="180" t="s">
        <v>2490</v>
      </c>
      <c r="E228" s="180"/>
      <c r="F228" s="180" t="str">
        <f>CONCATENATE(Tabla1[[#This Row],[Simbología]],"_",Tabla1[[#This Row],[Acción]])</f>
        <v>BBB_Supervisión de instalaciones y medios de transporte (CL, GLP, GNV, GNC,GNL y OPDH)</v>
      </c>
      <c r="G228" s="180" t="s">
        <v>15</v>
      </c>
      <c r="H228" s="179" t="s">
        <v>2556</v>
      </c>
      <c r="I228" s="181"/>
      <c r="J228" s="211" t="str">
        <f>CONCATENATE(Tabla1[[#This Row],[Simbología1]],"_",Tabla1[[#This Row],[Acción Especifica]])</f>
        <v>KIN_5_Medidas de Seguridad</v>
      </c>
      <c r="K228" s="210" t="s">
        <v>2617</v>
      </c>
      <c r="L228" s="179" t="s">
        <v>2557</v>
      </c>
      <c r="M228" s="180"/>
      <c r="N228" s="182" t="str">
        <f>CONCATENATE(Tabla1[[#This Row],[Simbología**]],"_",Tabla1[[#This Row],[Sub Acción Especifica]])</f>
        <v>KKIN_45_Ejecución y Levantamiento</v>
      </c>
      <c r="O228" s="181" t="s">
        <v>2683</v>
      </c>
      <c r="P228" s="183" t="s">
        <v>22</v>
      </c>
      <c r="Q228" s="182" t="str">
        <f>CONCATENATE(Tabla1[[#This Row],[Simbología*]],"_",Tabla1[[#This Row],[Tipo de instalación relacionado]])</f>
        <v>KKKIN_64_Consumidores Directos GLP y Redes de Distribución</v>
      </c>
      <c r="R228" s="184">
        <v>1.5</v>
      </c>
      <c r="S228" s="184">
        <v>2.5</v>
      </c>
      <c r="T228" s="185">
        <f>IFERROR(AVERAGE(Tabla1[[#This Row],[T. Mínimo]],Tabla1[[#This Row],[T. Máximo]]),0)</f>
        <v>2</v>
      </c>
      <c r="U228" s="186">
        <v>1.5</v>
      </c>
      <c r="V228" s="186">
        <v>2.5</v>
      </c>
      <c r="W228" s="185">
        <f>IFERROR(AVERAGE(Tabla1[[#This Row],[T. Mínimo*]],Tabla1[[#This Row],[T. Máximo*]]),0)</f>
        <v>2</v>
      </c>
      <c r="X228" s="186">
        <v>1.5</v>
      </c>
      <c r="Y228" s="186">
        <v>2.5</v>
      </c>
      <c r="Z228" s="185">
        <f>IFERROR(AVERAGE(Tabla1[[#This Row],[T. Mínimo**]],Tabla1[[#This Row],[T. Máximo**]]),0)</f>
        <v>2</v>
      </c>
      <c r="AA228" s="187">
        <f>SUM(Tabla1[[#This Row],[Promedio]],Tabla1[[#This Row],[Promedio*]],Tabla1[[#This Row],[Promedio**]])</f>
        <v>6</v>
      </c>
      <c r="AB228" s="188" t="s">
        <v>2486</v>
      </c>
      <c r="AD228" s="20" t="s">
        <v>2395</v>
      </c>
      <c r="AE228" s="10" t="s">
        <v>163</v>
      </c>
      <c r="AF228" s="20" t="s">
        <v>180</v>
      </c>
      <c r="AG228" s="10"/>
      <c r="AH228" s="22" t="str">
        <f t="shared" si="6"/>
        <v>Áncash_17 Recuay</v>
      </c>
      <c r="AI228" s="10" t="s">
        <v>363</v>
      </c>
      <c r="AJ228" s="20" t="s">
        <v>319</v>
      </c>
      <c r="AK228" s="22" t="str">
        <f t="shared" si="7"/>
        <v>Áncash_17 Recuay_10 Ticapampa</v>
      </c>
      <c r="AL228" s="25">
        <v>4</v>
      </c>
      <c r="AM228" s="25">
        <v>14</v>
      </c>
      <c r="AN228" s="26">
        <f>Tabla2[[#This Row],[Minutos]]/60</f>
        <v>0.23333333333333334</v>
      </c>
      <c r="AO228" s="27">
        <f>SUM(Tabla2[[#This Row],[Horas]],Tabla2[[#This Row],[Minutos a Horas]])</f>
        <v>4.2333333333333334</v>
      </c>
      <c r="AP228" s="49"/>
      <c r="AQ228" s="49">
        <v>50</v>
      </c>
      <c r="AR228" s="26">
        <f>Tabla2[[#This Row],[Minutos*]]/60</f>
        <v>0.83333333333333337</v>
      </c>
      <c r="AS228" s="27">
        <f>SUM(Tabla2[[#This Row],[Horas*]],Tabla2[[#This Row],[Minutos a Horas*]])+(Tabla2[[#This Row],[Tiempo Total a Nivel Proncincial (Horas)]])</f>
        <v>5.0666666666666664</v>
      </c>
      <c r="AV228" s="62"/>
    </row>
    <row r="229" spans="2:48" ht="42.75" customHeight="1" x14ac:dyDescent="0.25">
      <c r="B229" s="198" t="s">
        <v>40</v>
      </c>
      <c r="C229" s="200" t="s">
        <v>11</v>
      </c>
      <c r="D229" s="180" t="s">
        <v>2490</v>
      </c>
      <c r="E229" s="180"/>
      <c r="F229" s="180" t="str">
        <f>CONCATENATE(Tabla1[[#This Row],[Simbología]],"_",Tabla1[[#This Row],[Acción]])</f>
        <v>BBB_Supervisión de instalaciones y medios de transporte (CL, GLP, GNV, GNC,GNL y OPDH)</v>
      </c>
      <c r="G229" s="180" t="s">
        <v>15</v>
      </c>
      <c r="H229" s="179" t="s">
        <v>2556</v>
      </c>
      <c r="I229" s="181"/>
      <c r="J229" s="211" t="str">
        <f>CONCATENATE(Tabla1[[#This Row],[Simbología1]],"_",Tabla1[[#This Row],[Acción Especifica]])</f>
        <v>KIN_5_Medidas de Seguridad</v>
      </c>
      <c r="K229" s="210" t="s">
        <v>2617</v>
      </c>
      <c r="L229" s="179" t="s">
        <v>2557</v>
      </c>
      <c r="M229" s="180"/>
      <c r="N229" s="182" t="str">
        <f>CONCATENATE(Tabla1[[#This Row],[Simbología**]],"_",Tabla1[[#This Row],[Sub Acción Especifica]])</f>
        <v>KKIN_45_Ejecución y Levantamiento</v>
      </c>
      <c r="O229" s="181" t="s">
        <v>2683</v>
      </c>
      <c r="P229" s="183" t="s">
        <v>23</v>
      </c>
      <c r="Q229" s="182" t="str">
        <f>CONCATENATE(Tabla1[[#This Row],[Simbología*]],"_",Tabla1[[#This Row],[Tipo de instalación relacionado]])</f>
        <v>KKKIN_64_Medios de Transporte y Distribuidores (Líquidos, GLP)</v>
      </c>
      <c r="R229" s="184">
        <v>1.5</v>
      </c>
      <c r="S229" s="184">
        <v>2.5</v>
      </c>
      <c r="T229" s="185">
        <f>IFERROR(AVERAGE(Tabla1[[#This Row],[T. Mínimo]],Tabla1[[#This Row],[T. Máximo]]),0)</f>
        <v>2</v>
      </c>
      <c r="U229" s="186">
        <v>1.5</v>
      </c>
      <c r="V229" s="186">
        <v>2.5</v>
      </c>
      <c r="W229" s="185">
        <f>IFERROR(AVERAGE(Tabla1[[#This Row],[T. Mínimo*]],Tabla1[[#This Row],[T. Máximo*]]),0)</f>
        <v>2</v>
      </c>
      <c r="X229" s="186">
        <v>1.5</v>
      </c>
      <c r="Y229" s="186">
        <v>2.5</v>
      </c>
      <c r="Z229" s="185">
        <f>IFERROR(AVERAGE(Tabla1[[#This Row],[T. Mínimo**]],Tabla1[[#This Row],[T. Máximo**]]),0)</f>
        <v>2</v>
      </c>
      <c r="AA229" s="187">
        <f>SUM(Tabla1[[#This Row],[Promedio]],Tabla1[[#This Row],[Promedio*]],Tabla1[[#This Row],[Promedio**]])</f>
        <v>6</v>
      </c>
      <c r="AB229" s="188" t="s">
        <v>2486</v>
      </c>
      <c r="AD229" s="20" t="s">
        <v>2395</v>
      </c>
      <c r="AE229" s="10" t="s">
        <v>163</v>
      </c>
      <c r="AF229" s="20" t="s">
        <v>181</v>
      </c>
      <c r="AG229" s="10"/>
      <c r="AH229" s="22" t="str">
        <f t="shared" si="6"/>
        <v>Áncash_18 Santa</v>
      </c>
      <c r="AI229" s="10" t="s">
        <v>364</v>
      </c>
      <c r="AJ229" s="20" t="s">
        <v>320</v>
      </c>
      <c r="AK229" s="22" t="str">
        <f t="shared" si="7"/>
        <v>Áncash_18 Santa_01 Chimbote</v>
      </c>
      <c r="AL229" s="25">
        <v>4</v>
      </c>
      <c r="AM229" s="25">
        <v>6</v>
      </c>
      <c r="AN229" s="26">
        <f>Tabla2[[#This Row],[Minutos]]/60</f>
        <v>0.1</v>
      </c>
      <c r="AO229" s="27">
        <f>SUM(Tabla2[[#This Row],[Horas]],Tabla2[[#This Row],[Minutos a Horas]])</f>
        <v>4.0999999999999996</v>
      </c>
      <c r="AP229" s="49">
        <v>5</v>
      </c>
      <c r="AQ229" s="49">
        <v>0</v>
      </c>
      <c r="AR229" s="26">
        <f>Tabla2[[#This Row],[Minutos*]]/60</f>
        <v>0</v>
      </c>
      <c r="AS229" s="27">
        <f>SUM(Tabla2[[#This Row],[Horas*]],Tabla2[[#This Row],[Minutos a Horas*]])+(Tabla2[[#This Row],[Tiempo Total a Nivel Proncincial (Horas)]])</f>
        <v>9.1</v>
      </c>
      <c r="AV229" s="62"/>
    </row>
    <row r="230" spans="2:48" ht="42.75" customHeight="1" x14ac:dyDescent="0.25">
      <c r="B230" s="198" t="s">
        <v>40</v>
      </c>
      <c r="C230" s="200" t="s">
        <v>11</v>
      </c>
      <c r="D230" s="180" t="s">
        <v>2490</v>
      </c>
      <c r="E230" s="180"/>
      <c r="F230" s="180" t="str">
        <f>CONCATENATE(Tabla1[[#This Row],[Simbología]],"_",Tabla1[[#This Row],[Acción]])</f>
        <v>BBB_Supervisión de instalaciones y medios de transporte (CL, GLP, GNV, GNC,GNL y OPDH)</v>
      </c>
      <c r="G230" s="180" t="s">
        <v>15</v>
      </c>
      <c r="H230" s="179" t="s">
        <v>2556</v>
      </c>
      <c r="I230" s="181"/>
      <c r="J230" s="211" t="str">
        <f>CONCATENATE(Tabla1[[#This Row],[Simbología1]],"_",Tabla1[[#This Row],[Acción Especifica]])</f>
        <v>KIN_5_Medidas de Seguridad</v>
      </c>
      <c r="K230" s="210" t="s">
        <v>2617</v>
      </c>
      <c r="L230" s="179" t="s">
        <v>2557</v>
      </c>
      <c r="M230" s="180"/>
      <c r="N230" s="182" t="str">
        <f>CONCATENATE(Tabla1[[#This Row],[Simbología**]],"_",Tabla1[[#This Row],[Sub Acción Especifica]])</f>
        <v>KKIN_45_Ejecución y Levantamiento</v>
      </c>
      <c r="O230" s="181" t="s">
        <v>2683</v>
      </c>
      <c r="P230" s="183" t="s">
        <v>24</v>
      </c>
      <c r="Q230" s="182" t="str">
        <f>CONCATENATE(Tabla1[[#This Row],[Simbología*]],"_",Tabla1[[#This Row],[Tipo de instalación relacionado]])</f>
        <v>KKKIN_64_Locales de Venta de GLP</v>
      </c>
      <c r="R230" s="184">
        <v>1.5</v>
      </c>
      <c r="S230" s="184">
        <v>2.5</v>
      </c>
      <c r="T230" s="185">
        <f>IFERROR(AVERAGE(Tabla1[[#This Row],[T. Mínimo]],Tabla1[[#This Row],[T. Máximo]]),0)</f>
        <v>2</v>
      </c>
      <c r="U230" s="186">
        <v>1.5</v>
      </c>
      <c r="V230" s="186">
        <v>2.5</v>
      </c>
      <c r="W230" s="185">
        <f>IFERROR(AVERAGE(Tabla1[[#This Row],[T. Mínimo*]],Tabla1[[#This Row],[T. Máximo*]]),0)</f>
        <v>2</v>
      </c>
      <c r="X230" s="186">
        <v>1.5</v>
      </c>
      <c r="Y230" s="186">
        <v>2.5</v>
      </c>
      <c r="Z230" s="185">
        <f>IFERROR(AVERAGE(Tabla1[[#This Row],[T. Mínimo**]],Tabla1[[#This Row],[T. Máximo**]]),0)</f>
        <v>2</v>
      </c>
      <c r="AA230" s="187">
        <f>SUM(Tabla1[[#This Row],[Promedio]],Tabla1[[#This Row],[Promedio*]],Tabla1[[#This Row],[Promedio**]])</f>
        <v>6</v>
      </c>
      <c r="AB230" s="188" t="s">
        <v>2486</v>
      </c>
      <c r="AD230" s="20" t="s">
        <v>2395</v>
      </c>
      <c r="AE230" s="10" t="s">
        <v>163</v>
      </c>
      <c r="AF230" s="20" t="s">
        <v>181</v>
      </c>
      <c r="AG230" s="10"/>
      <c r="AH230" s="22" t="str">
        <f t="shared" si="6"/>
        <v>Áncash_18 Santa</v>
      </c>
      <c r="AI230" s="10" t="s">
        <v>364</v>
      </c>
      <c r="AJ230" s="20" t="s">
        <v>321</v>
      </c>
      <c r="AK230" s="22" t="str">
        <f t="shared" si="7"/>
        <v>Áncash_18 Santa_02 Cáceres del Perú</v>
      </c>
      <c r="AL230" s="25">
        <v>4</v>
      </c>
      <c r="AM230" s="25">
        <v>6</v>
      </c>
      <c r="AN230" s="26">
        <f>Tabla2[[#This Row],[Minutos]]/60</f>
        <v>0.1</v>
      </c>
      <c r="AO230" s="27">
        <f>SUM(Tabla2[[#This Row],[Horas]],Tabla2[[#This Row],[Minutos a Horas]])</f>
        <v>4.0999999999999996</v>
      </c>
      <c r="AP230" s="49">
        <v>5</v>
      </c>
      <c r="AQ230" s="49">
        <v>0</v>
      </c>
      <c r="AR230" s="26">
        <f>Tabla2[[#This Row],[Minutos*]]/60</f>
        <v>0</v>
      </c>
      <c r="AS230" s="27">
        <f>SUM(Tabla2[[#This Row],[Horas*]],Tabla2[[#This Row],[Minutos a Horas*]])+(Tabla2[[#This Row],[Tiempo Total a Nivel Proncincial (Horas)]])</f>
        <v>9.1</v>
      </c>
      <c r="AV230" s="62"/>
    </row>
    <row r="231" spans="2:48" ht="42.75" customHeight="1" x14ac:dyDescent="0.25">
      <c r="B231" s="198" t="s">
        <v>40</v>
      </c>
      <c r="C231" s="200" t="s">
        <v>11</v>
      </c>
      <c r="D231" s="180" t="s">
        <v>2490</v>
      </c>
      <c r="E231" s="180"/>
      <c r="F231" s="180" t="str">
        <f>CONCATENATE(Tabla1[[#This Row],[Simbología]],"_",Tabla1[[#This Row],[Acción]])</f>
        <v>BBB_Supervisión de instalaciones y medios de transporte (CL, GLP, GNV, GNC,GNL y OPDH)</v>
      </c>
      <c r="G231" s="180" t="s">
        <v>15</v>
      </c>
      <c r="H231" s="179" t="s">
        <v>2556</v>
      </c>
      <c r="I231" s="181"/>
      <c r="J231" s="211" t="str">
        <f>CONCATENATE(Tabla1[[#This Row],[Simbología1]],"_",Tabla1[[#This Row],[Acción Especifica]])</f>
        <v>KIN_5_Medidas de Seguridad</v>
      </c>
      <c r="K231" s="210" t="s">
        <v>2617</v>
      </c>
      <c r="L231" s="179" t="s">
        <v>2557</v>
      </c>
      <c r="M231" s="180"/>
      <c r="N231" s="182" t="str">
        <f>CONCATENATE(Tabla1[[#This Row],[Simbología**]],"_",Tabla1[[#This Row],[Sub Acción Especifica]])</f>
        <v>KKIN_45_Ejecución y Levantamiento</v>
      </c>
      <c r="O231" s="181" t="s">
        <v>2683</v>
      </c>
      <c r="P231" s="180" t="s">
        <v>39</v>
      </c>
      <c r="Q231" s="182" t="str">
        <f>CONCATENATE(Tabla1[[#This Row],[Simbología*]],"_",Tabla1[[#This Row],[Tipo de instalación relacionado]])</f>
        <v>KKKIN_64_Plantas Envasadoras (GLP)</v>
      </c>
      <c r="R231" s="184">
        <v>1.5</v>
      </c>
      <c r="S231" s="184">
        <v>2.5</v>
      </c>
      <c r="T231" s="185">
        <f>IFERROR(AVERAGE(Tabla1[[#This Row],[T. Mínimo]],Tabla1[[#This Row],[T. Máximo]]),0)</f>
        <v>2</v>
      </c>
      <c r="U231" s="186">
        <v>1.5</v>
      </c>
      <c r="V231" s="186">
        <v>2.5</v>
      </c>
      <c r="W231" s="185">
        <f>IFERROR(AVERAGE(Tabla1[[#This Row],[T. Mínimo*]],Tabla1[[#This Row],[T. Máximo*]]),0)</f>
        <v>2</v>
      </c>
      <c r="X231" s="186">
        <v>1.5</v>
      </c>
      <c r="Y231" s="186">
        <v>2.5</v>
      </c>
      <c r="Z231" s="185">
        <f>IFERROR(AVERAGE(Tabla1[[#This Row],[T. Mínimo**]],Tabla1[[#This Row],[T. Máximo**]]),0)</f>
        <v>2</v>
      </c>
      <c r="AA231" s="187">
        <f>SUM(Tabla1[[#This Row],[Promedio]],Tabla1[[#This Row],[Promedio*]],Tabla1[[#This Row],[Promedio**]])</f>
        <v>6</v>
      </c>
      <c r="AB231" s="188" t="s">
        <v>2486</v>
      </c>
      <c r="AD231" s="20" t="s">
        <v>2395</v>
      </c>
      <c r="AE231" s="10" t="s">
        <v>163</v>
      </c>
      <c r="AF231" s="20" t="s">
        <v>181</v>
      </c>
      <c r="AG231" s="10"/>
      <c r="AH231" s="22" t="str">
        <f t="shared" si="6"/>
        <v>Áncash_18 Santa</v>
      </c>
      <c r="AI231" s="10" t="s">
        <v>364</v>
      </c>
      <c r="AJ231" s="20" t="s">
        <v>322</v>
      </c>
      <c r="AK231" s="22" t="str">
        <f t="shared" si="7"/>
        <v>Áncash_18 Santa_03 Coishco</v>
      </c>
      <c r="AL231" s="25">
        <v>4</v>
      </c>
      <c r="AM231" s="25">
        <v>6</v>
      </c>
      <c r="AN231" s="26">
        <f>Tabla2[[#This Row],[Minutos]]/60</f>
        <v>0.1</v>
      </c>
      <c r="AO231" s="27">
        <f>SUM(Tabla2[[#This Row],[Horas]],Tabla2[[#This Row],[Minutos a Horas]])</f>
        <v>4.0999999999999996</v>
      </c>
      <c r="AP231" s="49">
        <v>5</v>
      </c>
      <c r="AQ231" s="49">
        <v>0</v>
      </c>
      <c r="AR231" s="26">
        <f>Tabla2[[#This Row],[Minutos*]]/60</f>
        <v>0</v>
      </c>
      <c r="AS231" s="27">
        <f>SUM(Tabla2[[#This Row],[Horas*]],Tabla2[[#This Row],[Minutos a Horas*]])+(Tabla2[[#This Row],[Tiempo Total a Nivel Proncincial (Horas)]])</f>
        <v>9.1</v>
      </c>
      <c r="AV231" s="62"/>
    </row>
    <row r="232" spans="2:48" ht="42.75" customHeight="1" x14ac:dyDescent="0.25">
      <c r="B232" s="198" t="s">
        <v>40</v>
      </c>
      <c r="C232" s="200" t="s">
        <v>11</v>
      </c>
      <c r="D232" s="180" t="s">
        <v>2490</v>
      </c>
      <c r="E232" s="180"/>
      <c r="F232" s="180" t="str">
        <f>CONCATENATE(Tabla1[[#This Row],[Simbología]],"_",Tabla1[[#This Row],[Acción]])</f>
        <v>BBB_Supervisión de instalaciones y medios de transporte (CL, GLP, GNV, GNC,GNL y OPDH)</v>
      </c>
      <c r="G232" s="180" t="s">
        <v>15</v>
      </c>
      <c r="H232" s="180" t="s">
        <v>2562</v>
      </c>
      <c r="I232" s="181"/>
      <c r="J232" s="211" t="str">
        <f>CONCATENATE(Tabla1[[#This Row],[Simbología1]],"_",Tabla1[[#This Row],[Acción Especifica]])</f>
        <v>KIN_5_Opinión Técnica de la DIA</v>
      </c>
      <c r="K232" s="211" t="s">
        <v>2618</v>
      </c>
      <c r="L232" s="179" t="s">
        <v>2562</v>
      </c>
      <c r="M232" s="179" t="s">
        <v>2562</v>
      </c>
      <c r="N232" s="182" t="str">
        <f>CONCATENATE(Tabla1[[#This Row],[Simbología**]],"_",Tabla1[[#This Row],[Sub Acción Especifica]])</f>
        <v>KKIN_46_Opinión Técnica de la DIA</v>
      </c>
      <c r="O232" s="181" t="s">
        <v>2684</v>
      </c>
      <c r="P232" s="183" t="s">
        <v>2363</v>
      </c>
      <c r="Q232" s="182" t="str">
        <f>CONCATENATE(Tabla1[[#This Row],[Simbología*]],"_",Tabla1[[#This Row],[Tipo de instalación relacionado]])</f>
        <v>KKKIN_65_Establecimientos de Venta al Público (Líquidos y/o GLP)</v>
      </c>
      <c r="R232" s="184"/>
      <c r="S232" s="184"/>
      <c r="T232" s="185">
        <f>IFERROR(AVERAGE(Tabla1[[#This Row],[T. Mínimo]],Tabla1[[#This Row],[T. Máximo]]),0)</f>
        <v>0</v>
      </c>
      <c r="U232" s="186"/>
      <c r="V232" s="186"/>
      <c r="W232" s="185">
        <f>IFERROR(AVERAGE(Tabla1[[#This Row],[T. Mínimo*]],Tabla1[[#This Row],[T. Máximo*]]),0)</f>
        <v>0</v>
      </c>
      <c r="X232" s="186">
        <v>2</v>
      </c>
      <c r="Y232" s="186">
        <v>3</v>
      </c>
      <c r="Z232" s="185">
        <f>IFERROR(AVERAGE(Tabla1[[#This Row],[T. Mínimo**]],Tabla1[[#This Row],[T. Máximo**]]),0)</f>
        <v>2.5</v>
      </c>
      <c r="AA232" s="187">
        <f>SUM(Tabla1[[#This Row],[Promedio]],Tabla1[[#This Row],[Promedio*]],Tabla1[[#This Row],[Promedio**]])</f>
        <v>2.5</v>
      </c>
      <c r="AB232" s="188" t="s">
        <v>2486</v>
      </c>
      <c r="AD232" s="20" t="s">
        <v>2395</v>
      </c>
      <c r="AE232" s="10" t="s">
        <v>163</v>
      </c>
      <c r="AF232" s="20" t="s">
        <v>181</v>
      </c>
      <c r="AG232" s="10"/>
      <c r="AH232" s="22" t="str">
        <f t="shared" si="6"/>
        <v>Áncash_18 Santa</v>
      </c>
      <c r="AI232" s="10" t="s">
        <v>364</v>
      </c>
      <c r="AJ232" s="20" t="s">
        <v>323</v>
      </c>
      <c r="AK232" s="22" t="str">
        <f t="shared" si="7"/>
        <v>Áncash_18 Santa_04 Macate</v>
      </c>
      <c r="AL232" s="25">
        <v>4</v>
      </c>
      <c r="AM232" s="25">
        <v>6</v>
      </c>
      <c r="AN232" s="26">
        <f>Tabla2[[#This Row],[Minutos]]/60</f>
        <v>0.1</v>
      </c>
      <c r="AO232" s="27">
        <f>SUM(Tabla2[[#This Row],[Horas]],Tabla2[[#This Row],[Minutos a Horas]])</f>
        <v>4.0999999999999996</v>
      </c>
      <c r="AP232" s="49">
        <v>5</v>
      </c>
      <c r="AQ232" s="49">
        <v>0</v>
      </c>
      <c r="AR232" s="26">
        <f>Tabla2[[#This Row],[Minutos*]]/60</f>
        <v>0</v>
      </c>
      <c r="AS232" s="27">
        <f>SUM(Tabla2[[#This Row],[Horas*]],Tabla2[[#This Row],[Minutos a Horas*]])+(Tabla2[[#This Row],[Tiempo Total a Nivel Proncincial (Horas)]])</f>
        <v>9.1</v>
      </c>
      <c r="AV232" s="62"/>
    </row>
    <row r="233" spans="2:48" ht="42.75" customHeight="1" x14ac:dyDescent="0.25">
      <c r="B233" s="198" t="s">
        <v>40</v>
      </c>
      <c r="C233" s="200" t="s">
        <v>11</v>
      </c>
      <c r="D233" s="180" t="s">
        <v>2490</v>
      </c>
      <c r="E233" s="180"/>
      <c r="F233" s="180" t="str">
        <f>CONCATENATE(Tabla1[[#This Row],[Simbología]],"_",Tabla1[[#This Row],[Acción]])</f>
        <v>BBB_Supervisión de instalaciones y medios de transporte (CL, GLP, GNV, GNC,GNL y OPDH)</v>
      </c>
      <c r="G233" s="180" t="s">
        <v>15</v>
      </c>
      <c r="H233" s="180" t="s">
        <v>2562</v>
      </c>
      <c r="I233" s="181"/>
      <c r="J233" s="211" t="str">
        <f>CONCATENATE(Tabla1[[#This Row],[Simbología1]],"_",Tabla1[[#This Row],[Acción Especifica]])</f>
        <v>KIN_5_Opinión Técnica de la DIA</v>
      </c>
      <c r="K233" s="211" t="s">
        <v>2618</v>
      </c>
      <c r="L233" s="179" t="s">
        <v>2562</v>
      </c>
      <c r="M233" s="180"/>
      <c r="N233" s="182" t="str">
        <f>CONCATENATE(Tabla1[[#This Row],[Simbología**]],"_",Tabla1[[#This Row],[Sub Acción Especifica]])</f>
        <v>KKIN_46_Opinión Técnica de la DIA</v>
      </c>
      <c r="O233" s="181" t="s">
        <v>2684</v>
      </c>
      <c r="P233" s="183" t="s">
        <v>13</v>
      </c>
      <c r="Q233" s="182" t="str">
        <f>CONCATENATE(Tabla1[[#This Row],[Simbología*]],"_",Tabla1[[#This Row],[Tipo de instalación relacionado]])</f>
        <v>KKKIN_65_Establecimientos (GNV, GNC, GNL)</v>
      </c>
      <c r="R233" s="184"/>
      <c r="S233" s="184"/>
      <c r="T233" s="185">
        <f>IFERROR(AVERAGE(Tabla1[[#This Row],[T. Mínimo]],Tabla1[[#This Row],[T. Máximo]]),0)</f>
        <v>0</v>
      </c>
      <c r="U233" s="186"/>
      <c r="V233" s="186"/>
      <c r="W233" s="185">
        <f>IFERROR(AVERAGE(Tabla1[[#This Row],[T. Mínimo*]],Tabla1[[#This Row],[T. Máximo*]]),0)</f>
        <v>0</v>
      </c>
      <c r="X233" s="186">
        <v>2</v>
      </c>
      <c r="Y233" s="186">
        <v>3</v>
      </c>
      <c r="Z233" s="185">
        <f>IFERROR(AVERAGE(Tabla1[[#This Row],[T. Mínimo**]],Tabla1[[#This Row],[T. Máximo**]]),0)</f>
        <v>2.5</v>
      </c>
      <c r="AA233" s="187">
        <f>SUM(Tabla1[[#This Row],[Promedio]],Tabla1[[#This Row],[Promedio*]],Tabla1[[#This Row],[Promedio**]])</f>
        <v>2.5</v>
      </c>
      <c r="AB233" s="188" t="s">
        <v>2486</v>
      </c>
      <c r="AD233" s="20" t="s">
        <v>2395</v>
      </c>
      <c r="AE233" s="10" t="s">
        <v>163</v>
      </c>
      <c r="AF233" s="20" t="s">
        <v>181</v>
      </c>
      <c r="AG233" s="10"/>
      <c r="AH233" s="22" t="str">
        <f t="shared" si="6"/>
        <v>Áncash_18 Santa</v>
      </c>
      <c r="AI233" s="10" t="s">
        <v>364</v>
      </c>
      <c r="AJ233" s="20" t="s">
        <v>324</v>
      </c>
      <c r="AK233" s="22" t="str">
        <f t="shared" si="7"/>
        <v>Áncash_18 Santa_05 Moro</v>
      </c>
      <c r="AL233" s="25">
        <v>4</v>
      </c>
      <c r="AM233" s="25">
        <v>6</v>
      </c>
      <c r="AN233" s="26">
        <f>Tabla2[[#This Row],[Minutos]]/60</f>
        <v>0.1</v>
      </c>
      <c r="AO233" s="27">
        <f>SUM(Tabla2[[#This Row],[Horas]],Tabla2[[#This Row],[Minutos a Horas]])</f>
        <v>4.0999999999999996</v>
      </c>
      <c r="AP233" s="49">
        <v>4</v>
      </c>
      <c r="AQ233" s="49">
        <v>30</v>
      </c>
      <c r="AR233" s="26">
        <f>Tabla2[[#This Row],[Minutos*]]/60</f>
        <v>0.5</v>
      </c>
      <c r="AS233" s="27">
        <f>SUM(Tabla2[[#This Row],[Horas*]],Tabla2[[#This Row],[Minutos a Horas*]])+(Tabla2[[#This Row],[Tiempo Total a Nivel Proncincial (Horas)]])</f>
        <v>8.6</v>
      </c>
      <c r="AV233" s="62"/>
    </row>
    <row r="234" spans="2:48" ht="42.75" customHeight="1" x14ac:dyDescent="0.25">
      <c r="B234" s="198" t="s">
        <v>40</v>
      </c>
      <c r="C234" s="200" t="s">
        <v>11</v>
      </c>
      <c r="D234" s="180" t="s">
        <v>2490</v>
      </c>
      <c r="E234" s="180"/>
      <c r="F234" s="180" t="str">
        <f>CONCATENATE(Tabla1[[#This Row],[Simbología]],"_",Tabla1[[#This Row],[Acción]])</f>
        <v>BBB_Supervisión de instalaciones y medios de transporte (CL, GLP, GNV, GNC,GNL y OPDH)</v>
      </c>
      <c r="G234" s="180" t="s">
        <v>15</v>
      </c>
      <c r="H234" s="180" t="s">
        <v>2562</v>
      </c>
      <c r="I234" s="181"/>
      <c r="J234" s="211" t="str">
        <f>CONCATENATE(Tabla1[[#This Row],[Simbología1]],"_",Tabla1[[#This Row],[Acción Especifica]])</f>
        <v>KIN_5_Opinión Técnica de la DIA</v>
      </c>
      <c r="K234" s="211" t="s">
        <v>2618</v>
      </c>
      <c r="L234" s="179" t="s">
        <v>2562</v>
      </c>
      <c r="M234" s="180"/>
      <c r="N234" s="182" t="str">
        <f>CONCATENATE(Tabla1[[#This Row],[Simbología**]],"_",Tabla1[[#This Row],[Sub Acción Especifica]])</f>
        <v>KKIN_46_Opinión Técnica de la DIA</v>
      </c>
      <c r="O234" s="181" t="s">
        <v>2684</v>
      </c>
      <c r="P234" s="183" t="s">
        <v>8</v>
      </c>
      <c r="Q234" s="182" t="str">
        <f>CONCATENATE(Tabla1[[#This Row],[Simbología*]],"_",Tabla1[[#This Row],[Tipo de instalación relacionado]])</f>
        <v>KKKIN_65_Consumidores Directos de CL y/u OPDH</v>
      </c>
      <c r="R234" s="184"/>
      <c r="S234" s="184"/>
      <c r="T234" s="185">
        <f>IFERROR(AVERAGE(Tabla1[[#This Row],[T. Mínimo]],Tabla1[[#This Row],[T. Máximo]]),0)</f>
        <v>0</v>
      </c>
      <c r="U234" s="186"/>
      <c r="V234" s="186"/>
      <c r="W234" s="185">
        <f>IFERROR(AVERAGE(Tabla1[[#This Row],[T. Mínimo*]],Tabla1[[#This Row],[T. Máximo*]]),0)</f>
        <v>0</v>
      </c>
      <c r="X234" s="186">
        <v>2</v>
      </c>
      <c r="Y234" s="186">
        <v>3</v>
      </c>
      <c r="Z234" s="185">
        <f>IFERROR(AVERAGE(Tabla1[[#This Row],[T. Mínimo**]],Tabla1[[#This Row],[T. Máximo**]]),0)</f>
        <v>2.5</v>
      </c>
      <c r="AA234" s="187">
        <f>SUM(Tabla1[[#This Row],[Promedio]],Tabla1[[#This Row],[Promedio*]],Tabla1[[#This Row],[Promedio**]])</f>
        <v>2.5</v>
      </c>
      <c r="AB234" s="188" t="s">
        <v>2486</v>
      </c>
      <c r="AD234" s="20" t="s">
        <v>2395</v>
      </c>
      <c r="AE234" s="10" t="s">
        <v>163</v>
      </c>
      <c r="AF234" s="20" t="s">
        <v>181</v>
      </c>
      <c r="AG234" s="10"/>
      <c r="AH234" s="22" t="str">
        <f t="shared" si="6"/>
        <v>Áncash_18 Santa</v>
      </c>
      <c r="AI234" s="10" t="s">
        <v>364</v>
      </c>
      <c r="AJ234" s="20" t="s">
        <v>325</v>
      </c>
      <c r="AK234" s="22" t="str">
        <f t="shared" si="7"/>
        <v>Áncash_18 Santa_06 Nepeña</v>
      </c>
      <c r="AL234" s="25">
        <v>4</v>
      </c>
      <c r="AM234" s="25">
        <v>6</v>
      </c>
      <c r="AN234" s="26">
        <f>Tabla2[[#This Row],[Minutos]]/60</f>
        <v>0.1</v>
      </c>
      <c r="AO234" s="27">
        <f>SUM(Tabla2[[#This Row],[Horas]],Tabla2[[#This Row],[Minutos a Horas]])</f>
        <v>4.0999999999999996</v>
      </c>
      <c r="AP234" s="49">
        <v>5</v>
      </c>
      <c r="AQ234" s="49">
        <v>0</v>
      </c>
      <c r="AR234" s="26">
        <f>Tabla2[[#This Row],[Minutos*]]/60</f>
        <v>0</v>
      </c>
      <c r="AS234" s="27">
        <f>SUM(Tabla2[[#This Row],[Horas*]],Tabla2[[#This Row],[Minutos a Horas*]])+(Tabla2[[#This Row],[Tiempo Total a Nivel Proncincial (Horas)]])</f>
        <v>9.1</v>
      </c>
      <c r="AV234" s="62"/>
    </row>
    <row r="235" spans="2:48" ht="42.75" customHeight="1" x14ac:dyDescent="0.25">
      <c r="B235" s="198" t="s">
        <v>40</v>
      </c>
      <c r="C235" s="200" t="s">
        <v>11</v>
      </c>
      <c r="D235" s="180" t="s">
        <v>2490</v>
      </c>
      <c r="E235" s="180"/>
      <c r="F235" s="180" t="str">
        <f>CONCATENATE(Tabla1[[#This Row],[Simbología]],"_",Tabla1[[#This Row],[Acción]])</f>
        <v>BBB_Supervisión de instalaciones y medios de transporte (CL, GLP, GNV, GNC,GNL y OPDH)</v>
      </c>
      <c r="G235" s="180" t="s">
        <v>15</v>
      </c>
      <c r="H235" s="180" t="s">
        <v>2562</v>
      </c>
      <c r="I235" s="181"/>
      <c r="J235" s="211" t="str">
        <f>CONCATENATE(Tabla1[[#This Row],[Simbología1]],"_",Tabla1[[#This Row],[Acción Especifica]])</f>
        <v>KIN_5_Opinión Técnica de la DIA</v>
      </c>
      <c r="K235" s="211" t="s">
        <v>2618</v>
      </c>
      <c r="L235" s="179" t="s">
        <v>2562</v>
      </c>
      <c r="M235" s="180"/>
      <c r="N235" s="182" t="str">
        <f>CONCATENATE(Tabla1[[#This Row],[Simbología**]],"_",Tabla1[[#This Row],[Sub Acción Especifica]])</f>
        <v>KKIN_46_Opinión Técnica de la DIA</v>
      </c>
      <c r="O235" s="181" t="s">
        <v>2684</v>
      </c>
      <c r="P235" s="183" t="s">
        <v>22</v>
      </c>
      <c r="Q235" s="182" t="str">
        <f>CONCATENATE(Tabla1[[#This Row],[Simbología*]],"_",Tabla1[[#This Row],[Tipo de instalación relacionado]])</f>
        <v>KKKIN_65_Consumidores Directos GLP y Redes de Distribución</v>
      </c>
      <c r="R235" s="184"/>
      <c r="S235" s="184"/>
      <c r="T235" s="185">
        <f>IFERROR(AVERAGE(Tabla1[[#This Row],[T. Mínimo]],Tabla1[[#This Row],[T. Máximo]]),0)</f>
        <v>0</v>
      </c>
      <c r="U235" s="186"/>
      <c r="V235" s="186"/>
      <c r="W235" s="185">
        <f>IFERROR(AVERAGE(Tabla1[[#This Row],[T. Mínimo*]],Tabla1[[#This Row],[T. Máximo*]]),0)</f>
        <v>0</v>
      </c>
      <c r="X235" s="186">
        <v>2</v>
      </c>
      <c r="Y235" s="186">
        <v>3</v>
      </c>
      <c r="Z235" s="185">
        <f>IFERROR(AVERAGE(Tabla1[[#This Row],[T. Mínimo**]],Tabla1[[#This Row],[T. Máximo**]]),0)</f>
        <v>2.5</v>
      </c>
      <c r="AA235" s="187">
        <f>SUM(Tabla1[[#This Row],[Promedio]],Tabla1[[#This Row],[Promedio*]],Tabla1[[#This Row],[Promedio**]])</f>
        <v>2.5</v>
      </c>
      <c r="AB235" s="188" t="s">
        <v>2486</v>
      </c>
      <c r="AD235" s="20" t="s">
        <v>2395</v>
      </c>
      <c r="AE235" s="10" t="s">
        <v>163</v>
      </c>
      <c r="AF235" s="20" t="s">
        <v>181</v>
      </c>
      <c r="AG235" s="10"/>
      <c r="AH235" s="22" t="str">
        <f t="shared" si="6"/>
        <v>Áncash_18 Santa</v>
      </c>
      <c r="AI235" s="10" t="s">
        <v>364</v>
      </c>
      <c r="AJ235" s="20" t="s">
        <v>326</v>
      </c>
      <c r="AK235" s="22" t="str">
        <f t="shared" si="7"/>
        <v>Áncash_18 Santa_07 Samanco</v>
      </c>
      <c r="AL235" s="25">
        <v>4</v>
      </c>
      <c r="AM235" s="25">
        <v>6</v>
      </c>
      <c r="AN235" s="26">
        <f>Tabla2[[#This Row],[Minutos]]/60</f>
        <v>0.1</v>
      </c>
      <c r="AO235" s="27">
        <f>SUM(Tabla2[[#This Row],[Horas]],Tabla2[[#This Row],[Minutos a Horas]])</f>
        <v>4.0999999999999996</v>
      </c>
      <c r="AP235" s="49">
        <v>4</v>
      </c>
      <c r="AQ235" s="49">
        <v>30</v>
      </c>
      <c r="AR235" s="26">
        <f>Tabla2[[#This Row],[Minutos*]]/60</f>
        <v>0.5</v>
      </c>
      <c r="AS235" s="27">
        <f>SUM(Tabla2[[#This Row],[Horas*]],Tabla2[[#This Row],[Minutos a Horas*]])+(Tabla2[[#This Row],[Tiempo Total a Nivel Proncincial (Horas)]])</f>
        <v>8.6</v>
      </c>
      <c r="AV235" s="62"/>
    </row>
    <row r="236" spans="2:48" ht="44.1" customHeight="1" x14ac:dyDescent="0.25">
      <c r="B236" s="198" t="s">
        <v>40</v>
      </c>
      <c r="C236" s="200" t="s">
        <v>11</v>
      </c>
      <c r="D236" s="180" t="s">
        <v>2490</v>
      </c>
      <c r="E236" s="180"/>
      <c r="F236" s="180" t="str">
        <f>CONCATENATE(Tabla1[[#This Row],[Simbología]],"_",Tabla1[[#This Row],[Acción]])</f>
        <v>BBB_Supervisión de instalaciones y medios de transporte (CL, GLP, GNV, GNC,GNL y OPDH)</v>
      </c>
      <c r="G236" s="180" t="s">
        <v>15</v>
      </c>
      <c r="H236" s="180" t="s">
        <v>2562</v>
      </c>
      <c r="I236" s="181"/>
      <c r="J236" s="211" t="str">
        <f>CONCATENATE(Tabla1[[#This Row],[Simbología1]],"_",Tabla1[[#This Row],[Acción Especifica]])</f>
        <v>KIN_5_Opinión Técnica de la DIA</v>
      </c>
      <c r="K236" s="211" t="s">
        <v>2618</v>
      </c>
      <c r="L236" s="179" t="s">
        <v>2562</v>
      </c>
      <c r="M236" s="180"/>
      <c r="N236" s="182" t="str">
        <f>CONCATENATE(Tabla1[[#This Row],[Simbología**]],"_",Tabla1[[#This Row],[Sub Acción Especifica]])</f>
        <v>KKIN_46_Opinión Técnica de la DIA</v>
      </c>
      <c r="O236" s="181" t="s">
        <v>2684</v>
      </c>
      <c r="P236" s="183" t="s">
        <v>45</v>
      </c>
      <c r="Q236" s="182" t="str">
        <f>CONCATENATE(Tabla1[[#This Row],[Simbología*]],"_",Tabla1[[#This Row],[Tipo de instalación relacionado]])</f>
        <v>KKKIN_65_Medios de Transporte (GNC, GNL)</v>
      </c>
      <c r="R236" s="184"/>
      <c r="S236" s="184"/>
      <c r="T236" s="185">
        <f>IFERROR(AVERAGE(Tabla1[[#This Row],[T. Mínimo]],Tabla1[[#This Row],[T. Máximo]]),0)</f>
        <v>0</v>
      </c>
      <c r="U236" s="186"/>
      <c r="V236" s="186"/>
      <c r="W236" s="185">
        <f>IFERROR(AVERAGE(Tabla1[[#This Row],[T. Mínimo*]],Tabla1[[#This Row],[T. Máximo*]]),0)</f>
        <v>0</v>
      </c>
      <c r="X236" s="186">
        <v>2</v>
      </c>
      <c r="Y236" s="186">
        <v>3</v>
      </c>
      <c r="Z236" s="185">
        <f>IFERROR(AVERAGE(Tabla1[[#This Row],[T. Mínimo**]],Tabla1[[#This Row],[T. Máximo**]]),0)</f>
        <v>2.5</v>
      </c>
      <c r="AA236" s="187">
        <f>SUM(Tabla1[[#This Row],[Promedio]],Tabla1[[#This Row],[Promedio*]],Tabla1[[#This Row],[Promedio**]])</f>
        <v>2.5</v>
      </c>
      <c r="AB236" s="188" t="s">
        <v>2486</v>
      </c>
      <c r="AD236" s="20" t="s">
        <v>2395</v>
      </c>
      <c r="AE236" s="10" t="s">
        <v>163</v>
      </c>
      <c r="AF236" s="20" t="s">
        <v>181</v>
      </c>
      <c r="AG236" s="10"/>
      <c r="AH236" s="22" t="str">
        <f t="shared" si="6"/>
        <v>Áncash_18 Santa</v>
      </c>
      <c r="AI236" s="10" t="s">
        <v>364</v>
      </c>
      <c r="AJ236" s="20" t="s">
        <v>327</v>
      </c>
      <c r="AK236" s="22" t="str">
        <f t="shared" si="7"/>
        <v>Áncash_18 Santa_08 Santa</v>
      </c>
      <c r="AL236" s="25">
        <v>4</v>
      </c>
      <c r="AM236" s="25">
        <v>6</v>
      </c>
      <c r="AN236" s="26">
        <f>Tabla2[[#This Row],[Minutos]]/60</f>
        <v>0.1</v>
      </c>
      <c r="AO236" s="27">
        <f>SUM(Tabla2[[#This Row],[Horas]],Tabla2[[#This Row],[Minutos a Horas]])</f>
        <v>4.0999999999999996</v>
      </c>
      <c r="AP236" s="49">
        <v>5</v>
      </c>
      <c r="AQ236" s="49">
        <v>0</v>
      </c>
      <c r="AR236" s="26">
        <f>Tabla2[[#This Row],[Minutos*]]/60</f>
        <v>0</v>
      </c>
      <c r="AS236" s="27">
        <f>SUM(Tabla2[[#This Row],[Horas*]],Tabla2[[#This Row],[Minutos a Horas*]])+(Tabla2[[#This Row],[Tiempo Total a Nivel Proncincial (Horas)]])</f>
        <v>9.1</v>
      </c>
      <c r="AV236" s="62"/>
    </row>
    <row r="237" spans="2:48" ht="44.1" customHeight="1" x14ac:dyDescent="0.25">
      <c r="B237" s="198" t="s">
        <v>40</v>
      </c>
      <c r="C237" s="200" t="s">
        <v>11</v>
      </c>
      <c r="D237" s="180" t="s">
        <v>2490</v>
      </c>
      <c r="E237" s="180"/>
      <c r="F237" s="180" t="str">
        <f>CONCATENATE(Tabla1[[#This Row],[Simbología]],"_",Tabla1[[#This Row],[Acción]])</f>
        <v>BBB_Supervisión de instalaciones y medios de transporte (CL, GLP, GNV, GNC,GNL y OPDH)</v>
      </c>
      <c r="G237" s="180" t="s">
        <v>15</v>
      </c>
      <c r="H237" s="180" t="s">
        <v>2562</v>
      </c>
      <c r="I237" s="181"/>
      <c r="J237" s="211" t="str">
        <f>CONCATENATE(Tabla1[[#This Row],[Simbología1]],"_",Tabla1[[#This Row],[Acción Especifica]])</f>
        <v>KIN_5_Opinión Técnica de la DIA</v>
      </c>
      <c r="K237" s="211" t="s">
        <v>2618</v>
      </c>
      <c r="L237" s="179" t="s">
        <v>2562</v>
      </c>
      <c r="M237" s="180"/>
      <c r="N237" s="182" t="str">
        <f>CONCATENATE(Tabla1[[#This Row],[Simbología**]],"_",Tabla1[[#This Row],[Sub Acción Especifica]])</f>
        <v>KKIN_46_Opinión Técnica de la DIA</v>
      </c>
      <c r="O237" s="181" t="s">
        <v>2684</v>
      </c>
      <c r="P237" s="183" t="s">
        <v>23</v>
      </c>
      <c r="Q237" s="182" t="str">
        <f>CONCATENATE(Tabla1[[#This Row],[Simbología*]],"_",Tabla1[[#This Row],[Tipo de instalación relacionado]])</f>
        <v>KKKIN_65_Medios de Transporte y Distribuidores (Líquidos, GLP)</v>
      </c>
      <c r="R237" s="184"/>
      <c r="S237" s="184"/>
      <c r="T237" s="185">
        <f>IFERROR(AVERAGE(Tabla1[[#This Row],[T. Mínimo]],Tabla1[[#This Row],[T. Máximo]]),0)</f>
        <v>0</v>
      </c>
      <c r="U237" s="186"/>
      <c r="V237" s="186"/>
      <c r="W237" s="185">
        <f>IFERROR(AVERAGE(Tabla1[[#This Row],[T. Mínimo*]],Tabla1[[#This Row],[T. Máximo*]]),0)</f>
        <v>0</v>
      </c>
      <c r="X237" s="186">
        <v>2</v>
      </c>
      <c r="Y237" s="186">
        <v>3</v>
      </c>
      <c r="Z237" s="185">
        <f>IFERROR(AVERAGE(Tabla1[[#This Row],[T. Mínimo**]],Tabla1[[#This Row],[T. Máximo**]]),0)</f>
        <v>2.5</v>
      </c>
      <c r="AA237" s="187">
        <f>SUM(Tabla1[[#This Row],[Promedio]],Tabla1[[#This Row],[Promedio*]],Tabla1[[#This Row],[Promedio**]])</f>
        <v>2.5</v>
      </c>
      <c r="AB237" s="188" t="s">
        <v>2486</v>
      </c>
      <c r="AD237" s="20" t="s">
        <v>2395</v>
      </c>
      <c r="AE237" s="10" t="s">
        <v>163</v>
      </c>
      <c r="AF237" s="20" t="s">
        <v>181</v>
      </c>
      <c r="AG237" s="10"/>
      <c r="AH237" s="22" t="str">
        <f t="shared" si="6"/>
        <v>Áncash_18 Santa</v>
      </c>
      <c r="AI237" s="10" t="s">
        <v>364</v>
      </c>
      <c r="AJ237" s="20" t="s">
        <v>328</v>
      </c>
      <c r="AK237" s="22" t="str">
        <f t="shared" si="7"/>
        <v>Áncash_18 Santa_09 Nuevo Chimbote</v>
      </c>
      <c r="AL237" s="25">
        <v>4</v>
      </c>
      <c r="AM237" s="25">
        <v>6</v>
      </c>
      <c r="AN237" s="26">
        <f>Tabla2[[#This Row],[Minutos]]/60</f>
        <v>0.1</v>
      </c>
      <c r="AO237" s="27">
        <f>SUM(Tabla2[[#This Row],[Horas]],Tabla2[[#This Row],[Minutos a Horas]])</f>
        <v>4.0999999999999996</v>
      </c>
      <c r="AP237" s="49">
        <v>4</v>
      </c>
      <c r="AQ237" s="49">
        <v>50</v>
      </c>
      <c r="AR237" s="26">
        <f>Tabla2[[#This Row],[Minutos*]]/60</f>
        <v>0.83333333333333337</v>
      </c>
      <c r="AS237" s="27">
        <f>SUM(Tabla2[[#This Row],[Horas*]],Tabla2[[#This Row],[Minutos a Horas*]])+(Tabla2[[#This Row],[Tiempo Total a Nivel Proncincial (Horas)]])</f>
        <v>8.9333333333333336</v>
      </c>
      <c r="AV237" s="62"/>
    </row>
    <row r="238" spans="2:48" ht="44.1" customHeight="1" x14ac:dyDescent="0.25">
      <c r="B238" s="198" t="s">
        <v>40</v>
      </c>
      <c r="C238" s="200" t="s">
        <v>11</v>
      </c>
      <c r="D238" s="180" t="s">
        <v>2490</v>
      </c>
      <c r="E238" s="180" t="s">
        <v>2490</v>
      </c>
      <c r="F238" s="180" t="str">
        <f>CONCATENATE(Tabla1[[#This Row],[Simbología]],"_",Tabla1[[#This Row],[Acción]])</f>
        <v>BBB_Supervisión de instalaciones y medios de transporte (CL, GLP, GNV, GNC,GNL y OPDH)</v>
      </c>
      <c r="G238" s="180" t="s">
        <v>15</v>
      </c>
      <c r="H238" s="180" t="s">
        <v>2562</v>
      </c>
      <c r="I238" s="181"/>
      <c r="J238" s="211" t="str">
        <f>CONCATENATE(Tabla1[[#This Row],[Simbología1]],"_",Tabla1[[#This Row],[Acción Especifica]])</f>
        <v>KIN_5_Opinión Técnica de la DIA</v>
      </c>
      <c r="K238" s="211" t="s">
        <v>2618</v>
      </c>
      <c r="L238" s="179" t="s">
        <v>2562</v>
      </c>
      <c r="M238" s="180"/>
      <c r="N238" s="182" t="str">
        <f>CONCATENATE(Tabla1[[#This Row],[Simbología**]],"_",Tabla1[[#This Row],[Sub Acción Especifica]])</f>
        <v>KKIN_46_Opinión Técnica de la DIA</v>
      </c>
      <c r="O238" s="181" t="s">
        <v>2684</v>
      </c>
      <c r="P238" s="183" t="s">
        <v>24</v>
      </c>
      <c r="Q238" s="182" t="str">
        <f>CONCATENATE(Tabla1[[#This Row],[Simbología*]],"_",Tabla1[[#This Row],[Tipo de instalación relacionado]])</f>
        <v>KKKIN_65_Locales de Venta de GLP</v>
      </c>
      <c r="R238" s="184"/>
      <c r="S238" s="184"/>
      <c r="T238" s="185">
        <f>IFERROR(AVERAGE(Tabla1[[#This Row],[T. Mínimo]],Tabla1[[#This Row],[T. Máximo]]),0)</f>
        <v>0</v>
      </c>
      <c r="U238" s="186"/>
      <c r="V238" s="186"/>
      <c r="W238" s="185">
        <f>IFERROR(AVERAGE(Tabla1[[#This Row],[T. Mínimo*]],Tabla1[[#This Row],[T. Máximo*]]),0)</f>
        <v>0</v>
      </c>
      <c r="X238" s="186">
        <v>2</v>
      </c>
      <c r="Y238" s="186">
        <v>3</v>
      </c>
      <c r="Z238" s="185">
        <f>IFERROR(AVERAGE(Tabla1[[#This Row],[T. Mínimo**]],Tabla1[[#This Row],[T. Máximo**]]),0)</f>
        <v>2.5</v>
      </c>
      <c r="AA238" s="187">
        <f>SUM(Tabla1[[#This Row],[Promedio]],Tabla1[[#This Row],[Promedio*]],Tabla1[[#This Row],[Promedio**]])</f>
        <v>2.5</v>
      </c>
      <c r="AB238" s="188" t="s">
        <v>2486</v>
      </c>
      <c r="AD238" s="20" t="s">
        <v>2395</v>
      </c>
      <c r="AE238" s="10" t="s">
        <v>163</v>
      </c>
      <c r="AF238" s="20" t="s">
        <v>182</v>
      </c>
      <c r="AG238" s="10"/>
      <c r="AH238" s="22" t="str">
        <f t="shared" si="6"/>
        <v>Áncash_19 Sihuas</v>
      </c>
      <c r="AI238" s="10" t="s">
        <v>365</v>
      </c>
      <c r="AJ238" s="20" t="s">
        <v>329</v>
      </c>
      <c r="AK238" s="22" t="str">
        <f t="shared" si="7"/>
        <v>Áncash_19 Sihuas_01 Sihuas</v>
      </c>
      <c r="AL238" s="25">
        <v>5</v>
      </c>
      <c r="AM238" s="25">
        <v>41</v>
      </c>
      <c r="AN238" s="26">
        <f>Tabla2[[#This Row],[Minutos]]/60</f>
        <v>0.68333333333333335</v>
      </c>
      <c r="AO238" s="27">
        <f>SUM(Tabla2[[#This Row],[Horas]],Tabla2[[#This Row],[Minutos a Horas]])</f>
        <v>5.6833333333333336</v>
      </c>
      <c r="AP238" s="49">
        <v>8</v>
      </c>
      <c r="AQ238" s="49">
        <v>0</v>
      </c>
      <c r="AR238" s="26">
        <f>Tabla2[[#This Row],[Minutos*]]/60</f>
        <v>0</v>
      </c>
      <c r="AS238" s="27">
        <f>SUM(Tabla2[[#This Row],[Horas*]],Tabla2[[#This Row],[Minutos a Horas*]])+(Tabla2[[#This Row],[Tiempo Total a Nivel Proncincial (Horas)]])</f>
        <v>13.683333333333334</v>
      </c>
      <c r="AV238" s="62"/>
    </row>
    <row r="239" spans="2:48" ht="63.75" x14ac:dyDescent="0.25">
      <c r="B239" s="198" t="s">
        <v>40</v>
      </c>
      <c r="C239" s="200" t="s">
        <v>11</v>
      </c>
      <c r="D239" s="189" t="s">
        <v>2483</v>
      </c>
      <c r="E239" s="189" t="s">
        <v>2483</v>
      </c>
      <c r="F239" s="189" t="str">
        <f>CONCATENATE(Tabla1[[#This Row],[Simbología]],"_",Tabla1[[#This Row],[Acción]])</f>
        <v>BBB_Supervisión de comercialización de hidrocarburos (CL, GLP, GNV, GNC y GNL)</v>
      </c>
      <c r="G239" s="189" t="s">
        <v>16</v>
      </c>
      <c r="H239" s="189" t="s">
        <v>33</v>
      </c>
      <c r="I239" s="189" t="s">
        <v>33</v>
      </c>
      <c r="J239" s="212" t="str">
        <f>CONCATENATE(Tabla1[[#This Row],[Simbología1]],"_",Tabla1[[#This Row],[Acción Especifica]])</f>
        <v>KIN_6_Supervisión FISE</v>
      </c>
      <c r="K239" s="212" t="s">
        <v>2619</v>
      </c>
      <c r="L239" s="189" t="s">
        <v>34</v>
      </c>
      <c r="M239" s="189" t="s">
        <v>34</v>
      </c>
      <c r="N239" s="191" t="str">
        <f>CONCATENATE(Tabla1[[#This Row],[Simbología**]],"_",Tabla1[[#This Row],[Sub Acción Especifica]])</f>
        <v>KKIN_47_FISE</v>
      </c>
      <c r="O239" s="190" t="s">
        <v>2685</v>
      </c>
      <c r="P239" s="189" t="s">
        <v>2367</v>
      </c>
      <c r="Q239" s="191" t="str">
        <f>CONCATENATE(Tabla1[[#This Row],[Simbología*]],"_",Tabla1[[#This Row],[Tipo de instalación relacionado]])</f>
        <v>KKKIN_66_Establecimientos de Venta al Público con convenio (Líquidos y/o GLP)</v>
      </c>
      <c r="R239" s="192">
        <v>0.5</v>
      </c>
      <c r="S239" s="193">
        <v>1</v>
      </c>
      <c r="T239" s="194">
        <f>IFERROR(AVERAGE(Tabla1[[#This Row],[T. Mínimo]],Tabla1[[#This Row],[T. Máximo]]),0)</f>
        <v>0.75</v>
      </c>
      <c r="U239" s="193">
        <v>1</v>
      </c>
      <c r="V239" s="193">
        <v>1.5</v>
      </c>
      <c r="W239" s="194">
        <f>IFERROR(AVERAGE(Tabla1[[#This Row],[T. Mínimo*]],Tabla1[[#This Row],[T. Máximo*]]),0)</f>
        <v>1.25</v>
      </c>
      <c r="X239" s="193">
        <v>1</v>
      </c>
      <c r="Y239" s="193">
        <v>2</v>
      </c>
      <c r="Z239" s="194">
        <f>IFERROR(AVERAGE(Tabla1[[#This Row],[T. Mínimo**]],Tabla1[[#This Row],[T. Máximo**]]),0)</f>
        <v>1.5</v>
      </c>
      <c r="AA239" s="195">
        <f>SUM(Tabla1[[#This Row],[Promedio]],Tabla1[[#This Row],[Promedio*]],Tabla1[[#This Row],[Promedio**]])</f>
        <v>3.5</v>
      </c>
      <c r="AB239" s="196" t="s">
        <v>2486</v>
      </c>
      <c r="AD239" s="20" t="s">
        <v>2395</v>
      </c>
      <c r="AE239" s="10" t="s">
        <v>163</v>
      </c>
      <c r="AF239" s="20" t="s">
        <v>182</v>
      </c>
      <c r="AG239" s="10"/>
      <c r="AH239" s="22" t="str">
        <f t="shared" si="6"/>
        <v>Áncash_19 Sihuas</v>
      </c>
      <c r="AI239" s="10" t="s">
        <v>365</v>
      </c>
      <c r="AJ239" s="20" t="s">
        <v>330</v>
      </c>
      <c r="AK239" s="22" t="str">
        <f t="shared" si="7"/>
        <v>Áncash_19 Sihuas_02 Acobamba</v>
      </c>
      <c r="AL239" s="25">
        <v>5</v>
      </c>
      <c r="AM239" s="25">
        <v>41</v>
      </c>
      <c r="AN239" s="26">
        <f>Tabla2[[#This Row],[Minutos]]/60</f>
        <v>0.68333333333333335</v>
      </c>
      <c r="AO239" s="27">
        <f>SUM(Tabla2[[#This Row],[Horas]],Tabla2[[#This Row],[Minutos a Horas]])</f>
        <v>5.6833333333333336</v>
      </c>
      <c r="AP239" s="49">
        <v>10</v>
      </c>
      <c r="AQ239" s="49">
        <v>0</v>
      </c>
      <c r="AR239" s="26">
        <f>Tabla2[[#This Row],[Minutos*]]/60</f>
        <v>0</v>
      </c>
      <c r="AS239" s="27">
        <f>SUM(Tabla2[[#This Row],[Horas*]],Tabla2[[#This Row],[Minutos a Horas*]])+(Tabla2[[#This Row],[Tiempo Total a Nivel Proncincial (Horas)]])</f>
        <v>15.683333333333334</v>
      </c>
      <c r="AV239" s="62"/>
    </row>
    <row r="240" spans="2:48" ht="44.1" customHeight="1" x14ac:dyDescent="0.25">
      <c r="B240" s="198" t="s">
        <v>40</v>
      </c>
      <c r="C240" s="200" t="s">
        <v>11</v>
      </c>
      <c r="D240" s="189" t="s">
        <v>2483</v>
      </c>
      <c r="E240" s="189"/>
      <c r="F240" s="189" t="str">
        <f>CONCATENATE(Tabla1[[#This Row],[Simbología]],"_",Tabla1[[#This Row],[Acción]])</f>
        <v>BBB_Supervisión de comercialización de hidrocarburos (CL, GLP, GNV, GNC y GNL)</v>
      </c>
      <c r="G240" s="189" t="s">
        <v>16</v>
      </c>
      <c r="H240" s="189" t="s">
        <v>33</v>
      </c>
      <c r="I240" s="190"/>
      <c r="J240" s="212" t="str">
        <f>CONCATENATE(Tabla1[[#This Row],[Simbología1]],"_",Tabla1[[#This Row],[Acción Especifica]])</f>
        <v>KIN_6_Supervisión FISE</v>
      </c>
      <c r="K240" s="212" t="s">
        <v>2619</v>
      </c>
      <c r="L240" s="189" t="s">
        <v>34</v>
      </c>
      <c r="M240" s="189"/>
      <c r="N240" s="191" t="str">
        <f>CONCATENATE(Tabla1[[#This Row],[Simbología**]],"_",Tabla1[[#This Row],[Sub Acción Especifica]])</f>
        <v>KKIN_47_FISE</v>
      </c>
      <c r="O240" s="190" t="s">
        <v>2685</v>
      </c>
      <c r="P240" s="189" t="s">
        <v>35</v>
      </c>
      <c r="Q240" s="191" t="str">
        <f>CONCATENATE(Tabla1[[#This Row],[Simbología*]],"_",Tabla1[[#This Row],[Tipo de instalación relacionado]])</f>
        <v>KKKIN_66_Distribuidores de GLP en cilindros</v>
      </c>
      <c r="R240" s="192">
        <v>0.5</v>
      </c>
      <c r="S240" s="193">
        <v>1</v>
      </c>
      <c r="T240" s="194">
        <f>IFERROR(AVERAGE(Tabla1[[#This Row],[T. Mínimo]],Tabla1[[#This Row],[T. Máximo]]),0)</f>
        <v>0.75</v>
      </c>
      <c r="U240" s="193">
        <v>1</v>
      </c>
      <c r="V240" s="193">
        <v>1.5</v>
      </c>
      <c r="W240" s="194">
        <f>IFERROR(AVERAGE(Tabla1[[#This Row],[T. Mínimo*]],Tabla1[[#This Row],[T. Máximo*]]),0)</f>
        <v>1.25</v>
      </c>
      <c r="X240" s="193">
        <v>1</v>
      </c>
      <c r="Y240" s="193">
        <v>2</v>
      </c>
      <c r="Z240" s="194">
        <f>IFERROR(AVERAGE(Tabla1[[#This Row],[T. Mínimo**]],Tabla1[[#This Row],[T. Máximo**]]),0)</f>
        <v>1.5</v>
      </c>
      <c r="AA240" s="195">
        <f>SUM(Tabla1[[#This Row],[Promedio]],Tabla1[[#This Row],[Promedio*]],Tabla1[[#This Row],[Promedio**]])</f>
        <v>3.5</v>
      </c>
      <c r="AB240" s="196" t="s">
        <v>2486</v>
      </c>
      <c r="AD240" s="20" t="s">
        <v>2395</v>
      </c>
      <c r="AE240" s="10" t="s">
        <v>163</v>
      </c>
      <c r="AF240" s="20" t="s">
        <v>182</v>
      </c>
      <c r="AG240" s="10"/>
      <c r="AH240" s="22" t="str">
        <f t="shared" si="6"/>
        <v>Áncash_19 Sihuas</v>
      </c>
      <c r="AI240" s="10" t="s">
        <v>365</v>
      </c>
      <c r="AJ240" s="20" t="s">
        <v>331</v>
      </c>
      <c r="AK240" s="22" t="str">
        <f t="shared" si="7"/>
        <v>Áncash_19 Sihuas_03 Alfonso Ugarte</v>
      </c>
      <c r="AL240" s="25">
        <v>5</v>
      </c>
      <c r="AM240" s="25">
        <v>41</v>
      </c>
      <c r="AN240" s="26">
        <f>Tabla2[[#This Row],[Minutos]]/60</f>
        <v>0.68333333333333335</v>
      </c>
      <c r="AO240" s="27">
        <f>SUM(Tabla2[[#This Row],[Horas]],Tabla2[[#This Row],[Minutos a Horas]])</f>
        <v>5.6833333333333336</v>
      </c>
      <c r="AP240" s="49">
        <v>10</v>
      </c>
      <c r="AQ240" s="49">
        <v>0</v>
      </c>
      <c r="AR240" s="26">
        <f>Tabla2[[#This Row],[Minutos*]]/60</f>
        <v>0</v>
      </c>
      <c r="AS240" s="27">
        <f>SUM(Tabla2[[#This Row],[Horas*]],Tabla2[[#This Row],[Minutos a Horas*]])+(Tabla2[[#This Row],[Tiempo Total a Nivel Proncincial (Horas)]])</f>
        <v>15.683333333333334</v>
      </c>
      <c r="AV240" s="62"/>
    </row>
    <row r="241" spans="2:48" ht="44.1" customHeight="1" x14ac:dyDescent="0.25">
      <c r="B241" s="198" t="s">
        <v>40</v>
      </c>
      <c r="C241" s="200" t="s">
        <v>11</v>
      </c>
      <c r="D241" s="189" t="s">
        <v>2483</v>
      </c>
      <c r="E241" s="189"/>
      <c r="F241" s="189" t="str">
        <f>CONCATENATE(Tabla1[[#This Row],[Simbología]],"_",Tabla1[[#This Row],[Acción]])</f>
        <v>BBB_Supervisión de comercialización de hidrocarburos (CL, GLP, GNV, GNC y GNL)</v>
      </c>
      <c r="G241" s="189" t="s">
        <v>16</v>
      </c>
      <c r="H241" s="189" t="s">
        <v>33</v>
      </c>
      <c r="I241" s="190"/>
      <c r="J241" s="212" t="str">
        <f>CONCATENATE(Tabla1[[#This Row],[Simbología1]],"_",Tabla1[[#This Row],[Acción Especifica]])</f>
        <v>KIN_6_Supervisión FISE</v>
      </c>
      <c r="K241" s="212" t="s">
        <v>2619</v>
      </c>
      <c r="L241" s="189" t="s">
        <v>34</v>
      </c>
      <c r="M241" s="197"/>
      <c r="N241" s="191" t="str">
        <f>CONCATENATE(Tabla1[[#This Row],[Simbología**]],"_",Tabla1[[#This Row],[Sub Acción Especifica]])</f>
        <v>KKIN_47_FISE</v>
      </c>
      <c r="O241" s="190" t="s">
        <v>2685</v>
      </c>
      <c r="P241" s="189" t="s">
        <v>24</v>
      </c>
      <c r="Q241" s="191" t="str">
        <f>CONCATENATE(Tabla1[[#This Row],[Simbología*]],"_",Tabla1[[#This Row],[Tipo de instalación relacionado]])</f>
        <v>KKKIN_66_Locales de Venta de GLP</v>
      </c>
      <c r="R241" s="192">
        <v>0.5</v>
      </c>
      <c r="S241" s="193">
        <v>1</v>
      </c>
      <c r="T241" s="194">
        <f>IFERROR(AVERAGE(Tabla1[[#This Row],[T. Mínimo]],Tabla1[[#This Row],[T. Máximo]]),0)</f>
        <v>0.75</v>
      </c>
      <c r="U241" s="193">
        <v>1</v>
      </c>
      <c r="V241" s="193">
        <v>1.5</v>
      </c>
      <c r="W241" s="194">
        <f>IFERROR(AVERAGE(Tabla1[[#This Row],[T. Mínimo*]],Tabla1[[#This Row],[T. Máximo*]]),0)</f>
        <v>1.25</v>
      </c>
      <c r="X241" s="193">
        <v>1</v>
      </c>
      <c r="Y241" s="193">
        <v>2</v>
      </c>
      <c r="Z241" s="194">
        <f>IFERROR(AVERAGE(Tabla1[[#This Row],[T. Mínimo**]],Tabla1[[#This Row],[T. Máximo**]]),0)</f>
        <v>1.5</v>
      </c>
      <c r="AA241" s="195">
        <f>SUM(Tabla1[[#This Row],[Promedio]],Tabla1[[#This Row],[Promedio*]],Tabla1[[#This Row],[Promedio**]])</f>
        <v>3.5</v>
      </c>
      <c r="AB241" s="196" t="s">
        <v>2486</v>
      </c>
      <c r="AD241" s="20" t="s">
        <v>2395</v>
      </c>
      <c r="AE241" s="10" t="s">
        <v>163</v>
      </c>
      <c r="AF241" s="20" t="s">
        <v>182</v>
      </c>
      <c r="AG241" s="10"/>
      <c r="AH241" s="22" t="str">
        <f t="shared" si="6"/>
        <v>Áncash_19 Sihuas</v>
      </c>
      <c r="AI241" s="10" t="s">
        <v>365</v>
      </c>
      <c r="AJ241" s="20" t="s">
        <v>332</v>
      </c>
      <c r="AK241" s="22" t="str">
        <f t="shared" si="7"/>
        <v>Áncash_19 Sihuas_04 Cashapampa</v>
      </c>
      <c r="AL241" s="25">
        <v>5</v>
      </c>
      <c r="AM241" s="25">
        <v>41</v>
      </c>
      <c r="AN241" s="26">
        <f>Tabla2[[#This Row],[Minutos]]/60</f>
        <v>0.68333333333333335</v>
      </c>
      <c r="AO241" s="27">
        <f>SUM(Tabla2[[#This Row],[Horas]],Tabla2[[#This Row],[Minutos a Horas]])</f>
        <v>5.6833333333333336</v>
      </c>
      <c r="AP241" s="49">
        <v>8</v>
      </c>
      <c r="AQ241" s="49">
        <v>0</v>
      </c>
      <c r="AR241" s="26">
        <f>Tabla2[[#This Row],[Minutos*]]/60</f>
        <v>0</v>
      </c>
      <c r="AS241" s="27">
        <f>SUM(Tabla2[[#This Row],[Horas*]],Tabla2[[#This Row],[Minutos a Horas*]])+(Tabla2[[#This Row],[Tiempo Total a Nivel Proncincial (Horas)]])</f>
        <v>13.683333333333334</v>
      </c>
      <c r="AV241" s="62"/>
    </row>
    <row r="242" spans="2:48" ht="44.1" customHeight="1" x14ac:dyDescent="0.25">
      <c r="B242" s="91"/>
      <c r="C242" s="91"/>
      <c r="D242" s="91"/>
      <c r="E242" s="92"/>
      <c r="F242" s="92"/>
      <c r="G242" s="92"/>
      <c r="H242" s="98"/>
      <c r="I242" s="99"/>
      <c r="J242" s="99"/>
      <c r="K242" s="99"/>
      <c r="L242" s="98"/>
      <c r="M242" s="92"/>
      <c r="N242" s="100"/>
      <c r="O242" s="94"/>
      <c r="P242" s="102"/>
      <c r="Q242" s="100"/>
      <c r="R242" s="95"/>
      <c r="S242" s="95"/>
      <c r="T242" s="96"/>
      <c r="U242" s="101"/>
      <c r="V242" s="101"/>
      <c r="W242" s="96"/>
      <c r="X242" s="101"/>
      <c r="Y242" s="101"/>
      <c r="Z242" s="96"/>
      <c r="AA242" s="97"/>
      <c r="AB242" s="93"/>
      <c r="AD242" s="20" t="s">
        <v>2395</v>
      </c>
      <c r="AE242" s="10" t="s">
        <v>163</v>
      </c>
      <c r="AF242" s="20" t="s">
        <v>182</v>
      </c>
      <c r="AG242" s="10"/>
      <c r="AH242" s="22" t="str">
        <f t="shared" si="6"/>
        <v>Áncash_19 Sihuas</v>
      </c>
      <c r="AI242" s="10" t="s">
        <v>365</v>
      </c>
      <c r="AJ242" s="20" t="s">
        <v>333</v>
      </c>
      <c r="AK242" s="22" t="str">
        <f t="shared" si="7"/>
        <v>Áncash_19 Sihuas_05 Chingalpo</v>
      </c>
      <c r="AL242" s="25">
        <v>5</v>
      </c>
      <c r="AM242" s="25">
        <v>41</v>
      </c>
      <c r="AN242" s="26">
        <f>Tabla2[[#This Row],[Minutos]]/60</f>
        <v>0.68333333333333335</v>
      </c>
      <c r="AO242" s="27">
        <f>SUM(Tabla2[[#This Row],[Horas]],Tabla2[[#This Row],[Minutos a Horas]])</f>
        <v>5.6833333333333336</v>
      </c>
      <c r="AP242" s="49">
        <v>11</v>
      </c>
      <c r="AQ242" s="49">
        <v>0</v>
      </c>
      <c r="AR242" s="26">
        <f>Tabla2[[#This Row],[Minutos*]]/60</f>
        <v>0</v>
      </c>
      <c r="AS242" s="27">
        <f>SUM(Tabla2[[#This Row],[Horas*]],Tabla2[[#This Row],[Minutos a Horas*]])+(Tabla2[[#This Row],[Tiempo Total a Nivel Proncincial (Horas)]])</f>
        <v>16.683333333333334</v>
      </c>
      <c r="AV242" s="62"/>
    </row>
    <row r="243" spans="2:48" ht="44.1" customHeight="1" x14ac:dyDescent="0.25">
      <c r="B243" s="91"/>
      <c r="C243" s="91"/>
      <c r="D243" s="91"/>
      <c r="E243" s="92"/>
      <c r="F243" s="92"/>
      <c r="G243" s="92"/>
      <c r="H243" s="98"/>
      <c r="I243" s="99"/>
      <c r="J243" s="99"/>
      <c r="K243" s="99"/>
      <c r="L243" s="98"/>
      <c r="M243" s="92"/>
      <c r="N243" s="100"/>
      <c r="O243" s="94"/>
      <c r="P243" s="102"/>
      <c r="Q243" s="100"/>
      <c r="R243" s="95"/>
      <c r="S243" s="95"/>
      <c r="T243" s="96"/>
      <c r="U243" s="101"/>
      <c r="V243" s="101"/>
      <c r="W243" s="96"/>
      <c r="X243" s="101"/>
      <c r="Y243" s="101"/>
      <c r="Z243" s="96"/>
      <c r="AA243" s="97"/>
      <c r="AB243" s="93"/>
      <c r="AD243" s="20" t="s">
        <v>2395</v>
      </c>
      <c r="AE243" s="10" t="s">
        <v>163</v>
      </c>
      <c r="AF243" s="20" t="s">
        <v>182</v>
      </c>
      <c r="AG243" s="10"/>
      <c r="AH243" s="22" t="str">
        <f t="shared" si="6"/>
        <v>Áncash_19 Sihuas</v>
      </c>
      <c r="AI243" s="10" t="s">
        <v>365</v>
      </c>
      <c r="AJ243" s="20" t="s">
        <v>334</v>
      </c>
      <c r="AK243" s="22" t="str">
        <f t="shared" si="7"/>
        <v>Áncash_19 Sihuas_06 Huayllabamba</v>
      </c>
      <c r="AL243" s="25">
        <v>5</v>
      </c>
      <c r="AM243" s="25">
        <v>41</v>
      </c>
      <c r="AN243" s="26">
        <f>Tabla2[[#This Row],[Minutos]]/60</f>
        <v>0.68333333333333335</v>
      </c>
      <c r="AO243" s="27">
        <f>SUM(Tabla2[[#This Row],[Horas]],Tabla2[[#This Row],[Minutos a Horas]])</f>
        <v>5.6833333333333336</v>
      </c>
      <c r="AP243" s="49">
        <v>9</v>
      </c>
      <c r="AQ243" s="49">
        <v>0</v>
      </c>
      <c r="AR243" s="26">
        <f>Tabla2[[#This Row],[Minutos*]]/60</f>
        <v>0</v>
      </c>
      <c r="AS243" s="27">
        <f>SUM(Tabla2[[#This Row],[Horas*]],Tabla2[[#This Row],[Minutos a Horas*]])+(Tabla2[[#This Row],[Tiempo Total a Nivel Proncincial (Horas)]])</f>
        <v>14.683333333333334</v>
      </c>
      <c r="AV243" s="62"/>
    </row>
    <row r="244" spans="2:48" x14ac:dyDescent="0.25">
      <c r="B244" s="91"/>
      <c r="C244" s="91"/>
      <c r="D244" s="91"/>
      <c r="E244" s="92"/>
      <c r="F244" s="92"/>
      <c r="G244" s="92"/>
      <c r="H244" s="98"/>
      <c r="I244" s="99"/>
      <c r="J244" s="99"/>
      <c r="K244" s="99"/>
      <c r="L244" s="98"/>
      <c r="M244" s="92"/>
      <c r="N244" s="100"/>
      <c r="O244" s="94"/>
      <c r="P244" s="102"/>
      <c r="Q244" s="100"/>
      <c r="R244" s="95"/>
      <c r="S244" s="95"/>
      <c r="T244" s="96"/>
      <c r="U244" s="101"/>
      <c r="V244" s="101"/>
      <c r="W244" s="96"/>
      <c r="X244" s="101"/>
      <c r="Y244" s="101"/>
      <c r="Z244" s="96"/>
      <c r="AA244" s="97"/>
      <c r="AB244" s="93"/>
      <c r="AD244" s="20" t="s">
        <v>2395</v>
      </c>
      <c r="AE244" s="10" t="s">
        <v>163</v>
      </c>
      <c r="AF244" s="20" t="s">
        <v>182</v>
      </c>
      <c r="AG244" s="10"/>
      <c r="AH244" s="22" t="str">
        <f t="shared" si="6"/>
        <v>Áncash_19 Sihuas</v>
      </c>
      <c r="AI244" s="10" t="s">
        <v>365</v>
      </c>
      <c r="AJ244" s="20" t="s">
        <v>335</v>
      </c>
      <c r="AK244" s="22" t="str">
        <f t="shared" si="7"/>
        <v>Áncash_19 Sihuas_07 Quiches</v>
      </c>
      <c r="AL244" s="25">
        <v>5</v>
      </c>
      <c r="AM244" s="25">
        <v>41</v>
      </c>
      <c r="AN244" s="26">
        <f>Tabla2[[#This Row],[Minutos]]/60</f>
        <v>0.68333333333333335</v>
      </c>
      <c r="AO244" s="27">
        <f>SUM(Tabla2[[#This Row],[Horas]],Tabla2[[#This Row],[Minutos a Horas]])</f>
        <v>5.6833333333333336</v>
      </c>
      <c r="AP244" s="49">
        <v>10</v>
      </c>
      <c r="AQ244" s="49">
        <v>0</v>
      </c>
      <c r="AR244" s="26">
        <f>Tabla2[[#This Row],[Minutos*]]/60</f>
        <v>0</v>
      </c>
      <c r="AS244" s="27">
        <f>SUM(Tabla2[[#This Row],[Horas*]],Tabla2[[#This Row],[Minutos a Horas*]])+(Tabla2[[#This Row],[Tiempo Total a Nivel Proncincial (Horas)]])</f>
        <v>15.683333333333334</v>
      </c>
      <c r="AV244" s="62"/>
    </row>
    <row r="245" spans="2:48" x14ac:dyDescent="0.25">
      <c r="B245" s="91"/>
      <c r="C245" s="91"/>
      <c r="D245" s="91"/>
      <c r="E245" s="92"/>
      <c r="F245" s="92"/>
      <c r="G245" s="92"/>
      <c r="H245" s="98"/>
      <c r="I245" s="99"/>
      <c r="J245" s="99"/>
      <c r="K245" s="99"/>
      <c r="L245" s="98"/>
      <c r="M245" s="92"/>
      <c r="N245" s="100"/>
      <c r="O245" s="94"/>
      <c r="P245" s="102"/>
      <c r="Q245" s="100"/>
      <c r="R245" s="95"/>
      <c r="S245" s="95"/>
      <c r="T245" s="96"/>
      <c r="U245" s="101"/>
      <c r="V245" s="101"/>
      <c r="W245" s="96"/>
      <c r="X245" s="101"/>
      <c r="Y245" s="101"/>
      <c r="Z245" s="96"/>
      <c r="AA245" s="97"/>
      <c r="AB245" s="93"/>
      <c r="AD245" s="20" t="s">
        <v>2395</v>
      </c>
      <c r="AE245" s="10" t="s">
        <v>163</v>
      </c>
      <c r="AF245" s="20" t="s">
        <v>182</v>
      </c>
      <c r="AG245" s="10"/>
      <c r="AH245" s="22" t="str">
        <f t="shared" si="6"/>
        <v>Áncash_19 Sihuas</v>
      </c>
      <c r="AI245" s="10" t="s">
        <v>365</v>
      </c>
      <c r="AJ245" s="20" t="s">
        <v>336</v>
      </c>
      <c r="AK245" s="22" t="str">
        <f t="shared" si="7"/>
        <v>Áncash_19 Sihuas_08 Ragash</v>
      </c>
      <c r="AL245" s="25">
        <v>5</v>
      </c>
      <c r="AM245" s="25">
        <v>41</v>
      </c>
      <c r="AN245" s="26">
        <f>Tabla2[[#This Row],[Minutos]]/60</f>
        <v>0.68333333333333335</v>
      </c>
      <c r="AO245" s="27">
        <f>SUM(Tabla2[[#This Row],[Horas]],Tabla2[[#This Row],[Minutos a Horas]])</f>
        <v>5.6833333333333336</v>
      </c>
      <c r="AP245" s="49">
        <v>8</v>
      </c>
      <c r="AQ245" s="49">
        <v>0</v>
      </c>
      <c r="AR245" s="26">
        <f>Tabla2[[#This Row],[Minutos*]]/60</f>
        <v>0</v>
      </c>
      <c r="AS245" s="27">
        <f>SUM(Tabla2[[#This Row],[Horas*]],Tabla2[[#This Row],[Minutos a Horas*]])+(Tabla2[[#This Row],[Tiempo Total a Nivel Proncincial (Horas)]])</f>
        <v>13.683333333333334</v>
      </c>
      <c r="AV245" s="62"/>
    </row>
    <row r="246" spans="2:48" ht="45" customHeight="1" x14ac:dyDescent="0.25">
      <c r="B246" s="91"/>
      <c r="C246" s="91"/>
      <c r="D246" s="91"/>
      <c r="E246" s="92"/>
      <c r="F246" s="92"/>
      <c r="G246" s="92"/>
      <c r="H246" s="98"/>
      <c r="I246" s="99"/>
      <c r="J246" s="99"/>
      <c r="K246" s="99"/>
      <c r="L246" s="98"/>
      <c r="M246" s="92"/>
      <c r="N246" s="100"/>
      <c r="O246" s="94"/>
      <c r="P246" s="102"/>
      <c r="Q246" s="100"/>
      <c r="R246" s="95"/>
      <c r="S246" s="95"/>
      <c r="T246" s="96"/>
      <c r="U246" s="101"/>
      <c r="V246" s="101"/>
      <c r="W246" s="96"/>
      <c r="X246" s="101"/>
      <c r="Y246" s="101"/>
      <c r="Z246" s="96"/>
      <c r="AA246" s="97"/>
      <c r="AB246" s="178"/>
      <c r="AD246" s="20" t="s">
        <v>2395</v>
      </c>
      <c r="AE246" s="10" t="s">
        <v>163</v>
      </c>
      <c r="AF246" s="20" t="s">
        <v>182</v>
      </c>
      <c r="AG246" s="10"/>
      <c r="AH246" s="22" t="str">
        <f t="shared" si="6"/>
        <v>Áncash_19 Sihuas</v>
      </c>
      <c r="AI246" s="10" t="s">
        <v>365</v>
      </c>
      <c r="AJ246" s="20" t="s">
        <v>337</v>
      </c>
      <c r="AK246" s="22" t="str">
        <f t="shared" si="7"/>
        <v>Áncash_19 Sihuas_09 San Juan</v>
      </c>
      <c r="AL246" s="25">
        <v>5</v>
      </c>
      <c r="AM246" s="25">
        <v>41</v>
      </c>
      <c r="AN246" s="26">
        <f>Tabla2[[#This Row],[Minutos]]/60</f>
        <v>0.68333333333333335</v>
      </c>
      <c r="AO246" s="27">
        <f>SUM(Tabla2[[#This Row],[Horas]],Tabla2[[#This Row],[Minutos a Horas]])</f>
        <v>5.6833333333333336</v>
      </c>
      <c r="AP246" s="49">
        <v>10</v>
      </c>
      <c r="AQ246" s="49">
        <v>0</v>
      </c>
      <c r="AR246" s="26">
        <f>Tabla2[[#This Row],[Minutos*]]/60</f>
        <v>0</v>
      </c>
      <c r="AS246" s="27">
        <f>SUM(Tabla2[[#This Row],[Horas*]],Tabla2[[#This Row],[Minutos a Horas*]])+(Tabla2[[#This Row],[Tiempo Total a Nivel Proncincial (Horas)]])</f>
        <v>15.683333333333334</v>
      </c>
      <c r="AV246" s="62"/>
    </row>
    <row r="247" spans="2:48" ht="45" customHeight="1" x14ac:dyDescent="0.25">
      <c r="B247" s="91"/>
      <c r="C247" s="91"/>
      <c r="D247" s="91"/>
      <c r="E247" s="92"/>
      <c r="F247" s="92"/>
      <c r="G247" s="92"/>
      <c r="H247" s="98"/>
      <c r="I247" s="99"/>
      <c r="J247" s="99"/>
      <c r="K247" s="99"/>
      <c r="L247" s="98"/>
      <c r="M247" s="92"/>
      <c r="N247" s="100"/>
      <c r="O247" s="94"/>
      <c r="P247" s="102"/>
      <c r="Q247" s="100"/>
      <c r="R247" s="95"/>
      <c r="S247" s="95"/>
      <c r="T247" s="96"/>
      <c r="U247" s="101"/>
      <c r="V247" s="101"/>
      <c r="W247" s="96"/>
      <c r="X247" s="101"/>
      <c r="Y247" s="101"/>
      <c r="Z247" s="96"/>
      <c r="AA247" s="97"/>
      <c r="AB247" s="93"/>
      <c r="AD247" s="20" t="s">
        <v>2395</v>
      </c>
      <c r="AE247" s="10" t="s">
        <v>163</v>
      </c>
      <c r="AF247" s="20" t="s">
        <v>182</v>
      </c>
      <c r="AG247" s="10"/>
      <c r="AH247" s="22" t="str">
        <f t="shared" si="6"/>
        <v>Áncash_19 Sihuas</v>
      </c>
      <c r="AI247" s="10" t="s">
        <v>365</v>
      </c>
      <c r="AJ247" s="20" t="s">
        <v>338</v>
      </c>
      <c r="AK247" s="22" t="str">
        <f t="shared" si="7"/>
        <v>Áncash_19 Sihuas_10 Sicsibamba</v>
      </c>
      <c r="AL247" s="25">
        <v>5</v>
      </c>
      <c r="AM247" s="25">
        <v>41</v>
      </c>
      <c r="AN247" s="26">
        <f>Tabla2[[#This Row],[Minutos]]/60</f>
        <v>0.68333333333333335</v>
      </c>
      <c r="AO247" s="27">
        <f>SUM(Tabla2[[#This Row],[Horas]],Tabla2[[#This Row],[Minutos a Horas]])</f>
        <v>5.6833333333333336</v>
      </c>
      <c r="AP247" s="49">
        <v>9</v>
      </c>
      <c r="AQ247" s="49">
        <v>0</v>
      </c>
      <c r="AR247" s="26">
        <f>Tabla2[[#This Row],[Minutos*]]/60</f>
        <v>0</v>
      </c>
      <c r="AS247" s="27">
        <f>SUM(Tabla2[[#This Row],[Horas*]],Tabla2[[#This Row],[Minutos a Horas*]])+(Tabla2[[#This Row],[Tiempo Total a Nivel Proncincial (Horas)]])</f>
        <v>14.683333333333334</v>
      </c>
      <c r="AV247" s="62"/>
    </row>
    <row r="248" spans="2:48" ht="45" customHeight="1" x14ac:dyDescent="0.25">
      <c r="B248" s="91"/>
      <c r="C248" s="91"/>
      <c r="D248" s="91"/>
      <c r="E248" s="92"/>
      <c r="F248" s="92"/>
      <c r="G248" s="92"/>
      <c r="H248" s="98"/>
      <c r="I248" s="99"/>
      <c r="J248" s="99"/>
      <c r="K248" s="99"/>
      <c r="L248" s="98"/>
      <c r="M248" s="92"/>
      <c r="N248" s="100"/>
      <c r="O248" s="94"/>
      <c r="P248" s="102"/>
      <c r="Q248" s="100"/>
      <c r="R248" s="95"/>
      <c r="S248" s="95"/>
      <c r="T248" s="96"/>
      <c r="U248" s="101"/>
      <c r="V248" s="101"/>
      <c r="W248" s="96"/>
      <c r="X248" s="101"/>
      <c r="Y248" s="101"/>
      <c r="Z248" s="96"/>
      <c r="AA248" s="97"/>
      <c r="AB248" s="93"/>
      <c r="AD248" s="20" t="s">
        <v>2395</v>
      </c>
      <c r="AE248" s="10" t="s">
        <v>163</v>
      </c>
      <c r="AF248" s="20" t="s">
        <v>183</v>
      </c>
      <c r="AG248" s="10"/>
      <c r="AH248" s="22" t="str">
        <f t="shared" si="6"/>
        <v>Áncash_20 Yungay</v>
      </c>
      <c r="AI248" s="10" t="s">
        <v>366</v>
      </c>
      <c r="AJ248" s="20" t="s">
        <v>339</v>
      </c>
      <c r="AK248" s="22" t="str">
        <f t="shared" si="7"/>
        <v>Áncash_20 Yungay_01 Yungay</v>
      </c>
      <c r="AL248" s="25">
        <v>1</v>
      </c>
      <c r="AM248" s="25">
        <v>18</v>
      </c>
      <c r="AN248" s="26">
        <f>Tabla2[[#This Row],[Minutos]]/60</f>
        <v>0.3</v>
      </c>
      <c r="AO248" s="27">
        <f>SUM(Tabla2[[#This Row],[Horas]],Tabla2[[#This Row],[Minutos a Horas]])</f>
        <v>1.3</v>
      </c>
      <c r="AP248" s="49">
        <v>1</v>
      </c>
      <c r="AQ248" s="49">
        <v>20</v>
      </c>
      <c r="AR248" s="26">
        <f>Tabla2[[#This Row],[Minutos*]]/60</f>
        <v>0.33333333333333331</v>
      </c>
      <c r="AS248" s="27">
        <f>SUM(Tabla2[[#This Row],[Horas*]],Tabla2[[#This Row],[Minutos a Horas*]])+(Tabla2[[#This Row],[Tiempo Total a Nivel Proncincial (Horas)]])</f>
        <v>2.6333333333333333</v>
      </c>
      <c r="AV248" s="62"/>
    </row>
    <row r="249" spans="2:48" ht="45" customHeight="1" x14ac:dyDescent="0.25">
      <c r="B249" s="91"/>
      <c r="C249" s="91"/>
      <c r="D249" s="91"/>
      <c r="E249" s="92"/>
      <c r="F249" s="92"/>
      <c r="G249" s="92"/>
      <c r="H249" s="98"/>
      <c r="I249" s="99"/>
      <c r="J249" s="99"/>
      <c r="K249" s="99"/>
      <c r="L249" s="98"/>
      <c r="M249" s="92"/>
      <c r="N249" s="100"/>
      <c r="O249" s="94"/>
      <c r="P249" s="102"/>
      <c r="Q249" s="100"/>
      <c r="R249" s="95"/>
      <c r="S249" s="95"/>
      <c r="T249" s="96"/>
      <c r="U249" s="101"/>
      <c r="V249" s="101"/>
      <c r="W249" s="96"/>
      <c r="X249" s="101"/>
      <c r="Y249" s="101"/>
      <c r="Z249" s="96"/>
      <c r="AA249" s="97"/>
      <c r="AB249" s="93"/>
      <c r="AD249" s="20" t="s">
        <v>2395</v>
      </c>
      <c r="AE249" s="10" t="s">
        <v>163</v>
      </c>
      <c r="AF249" s="20" t="s">
        <v>183</v>
      </c>
      <c r="AG249" s="10"/>
      <c r="AH249" s="22" t="str">
        <f t="shared" si="6"/>
        <v>Áncash_20 Yungay</v>
      </c>
      <c r="AI249" s="10" t="s">
        <v>366</v>
      </c>
      <c r="AJ249" s="20" t="s">
        <v>340</v>
      </c>
      <c r="AK249" s="22" t="str">
        <f t="shared" si="7"/>
        <v>Áncash_20 Yungay_02 Cascapara</v>
      </c>
      <c r="AL249" s="25">
        <v>1</v>
      </c>
      <c r="AM249" s="25">
        <v>18</v>
      </c>
      <c r="AN249" s="26">
        <f>Tabla2[[#This Row],[Minutos]]/60</f>
        <v>0.3</v>
      </c>
      <c r="AO249" s="27">
        <f>SUM(Tabla2[[#This Row],[Horas]],Tabla2[[#This Row],[Minutos a Horas]])</f>
        <v>1.3</v>
      </c>
      <c r="AP249" s="49">
        <v>1</v>
      </c>
      <c r="AQ249" s="49">
        <v>30</v>
      </c>
      <c r="AR249" s="26">
        <f>Tabla2[[#This Row],[Minutos*]]/60</f>
        <v>0.5</v>
      </c>
      <c r="AS249" s="27">
        <f>SUM(Tabla2[[#This Row],[Horas*]],Tabla2[[#This Row],[Minutos a Horas*]])+(Tabla2[[#This Row],[Tiempo Total a Nivel Proncincial (Horas)]])</f>
        <v>2.8</v>
      </c>
      <c r="AV249" s="62"/>
    </row>
    <row r="250" spans="2:48" ht="45" customHeight="1" x14ac:dyDescent="0.25">
      <c r="B250" s="91"/>
      <c r="C250" s="91"/>
      <c r="D250" s="91"/>
      <c r="E250" s="92"/>
      <c r="F250" s="92"/>
      <c r="G250" s="92"/>
      <c r="H250" s="98"/>
      <c r="I250" s="99"/>
      <c r="J250" s="99"/>
      <c r="K250" s="99"/>
      <c r="L250" s="98"/>
      <c r="M250" s="92"/>
      <c r="N250" s="100"/>
      <c r="O250" s="94"/>
      <c r="P250" s="102"/>
      <c r="Q250" s="100"/>
      <c r="R250" s="95"/>
      <c r="S250" s="95"/>
      <c r="T250" s="96"/>
      <c r="U250" s="101"/>
      <c r="V250" s="101"/>
      <c r="W250" s="96"/>
      <c r="X250" s="101"/>
      <c r="Y250" s="101"/>
      <c r="Z250" s="96"/>
      <c r="AA250" s="97"/>
      <c r="AB250" s="93"/>
      <c r="AD250" s="20" t="s">
        <v>2395</v>
      </c>
      <c r="AE250" s="10" t="s">
        <v>163</v>
      </c>
      <c r="AF250" s="20" t="s">
        <v>183</v>
      </c>
      <c r="AG250" s="10"/>
      <c r="AH250" s="22" t="str">
        <f t="shared" si="6"/>
        <v>Áncash_20 Yungay</v>
      </c>
      <c r="AI250" s="10" t="s">
        <v>366</v>
      </c>
      <c r="AJ250" s="20" t="s">
        <v>341</v>
      </c>
      <c r="AK250" s="22" t="str">
        <f t="shared" si="7"/>
        <v>Áncash_20 Yungay_03 Mancos</v>
      </c>
      <c r="AL250" s="25">
        <v>1</v>
      </c>
      <c r="AM250" s="25">
        <v>18</v>
      </c>
      <c r="AN250" s="26">
        <f>Tabla2[[#This Row],[Minutos]]/60</f>
        <v>0.3</v>
      </c>
      <c r="AO250" s="27">
        <f>SUM(Tabla2[[#This Row],[Horas]],Tabla2[[#This Row],[Minutos a Horas]])</f>
        <v>1.3</v>
      </c>
      <c r="AP250" s="49">
        <v>1</v>
      </c>
      <c r="AQ250" s="49"/>
      <c r="AR250" s="26">
        <f>Tabla2[[#This Row],[Minutos*]]/60</f>
        <v>0</v>
      </c>
      <c r="AS250" s="27">
        <f>SUM(Tabla2[[#This Row],[Horas*]],Tabla2[[#This Row],[Minutos a Horas*]])+(Tabla2[[#This Row],[Tiempo Total a Nivel Proncincial (Horas)]])</f>
        <v>2.2999999999999998</v>
      </c>
      <c r="AV250" s="62"/>
    </row>
    <row r="251" spans="2:48" ht="45" customHeight="1" x14ac:dyDescent="0.25">
      <c r="B251" s="91"/>
      <c r="C251" s="91"/>
      <c r="D251" s="91"/>
      <c r="E251" s="92"/>
      <c r="F251" s="92"/>
      <c r="G251" s="92"/>
      <c r="H251" s="98"/>
      <c r="I251" s="99"/>
      <c r="J251" s="99"/>
      <c r="K251" s="99"/>
      <c r="L251" s="98"/>
      <c r="M251" s="92"/>
      <c r="N251" s="100"/>
      <c r="O251" s="94"/>
      <c r="P251" s="102"/>
      <c r="Q251" s="100"/>
      <c r="R251" s="95"/>
      <c r="S251" s="95"/>
      <c r="T251" s="96"/>
      <c r="U251" s="101"/>
      <c r="V251" s="101"/>
      <c r="W251" s="96"/>
      <c r="X251" s="101"/>
      <c r="Y251" s="101"/>
      <c r="Z251" s="96"/>
      <c r="AA251" s="97"/>
      <c r="AB251" s="93"/>
      <c r="AD251" s="20" t="s">
        <v>2395</v>
      </c>
      <c r="AE251" s="10" t="s">
        <v>163</v>
      </c>
      <c r="AF251" s="20" t="s">
        <v>183</v>
      </c>
      <c r="AG251" s="10"/>
      <c r="AH251" s="22" t="str">
        <f t="shared" si="6"/>
        <v>Áncash_20 Yungay</v>
      </c>
      <c r="AI251" s="10" t="s">
        <v>366</v>
      </c>
      <c r="AJ251" s="20" t="s">
        <v>342</v>
      </c>
      <c r="AK251" s="22" t="str">
        <f t="shared" si="7"/>
        <v>Áncash_20 Yungay_04 Matacoto</v>
      </c>
      <c r="AL251" s="25">
        <v>1</v>
      </c>
      <c r="AM251" s="25">
        <v>18</v>
      </c>
      <c r="AN251" s="26">
        <f>Tabla2[[#This Row],[Minutos]]/60</f>
        <v>0.3</v>
      </c>
      <c r="AO251" s="27">
        <f>SUM(Tabla2[[#This Row],[Horas]],Tabla2[[#This Row],[Minutos a Horas]])</f>
        <v>1.3</v>
      </c>
      <c r="AP251" s="49">
        <v>2</v>
      </c>
      <c r="AQ251" s="49">
        <v>0</v>
      </c>
      <c r="AR251" s="26">
        <f>Tabla2[[#This Row],[Minutos*]]/60</f>
        <v>0</v>
      </c>
      <c r="AS251" s="27">
        <f>SUM(Tabla2[[#This Row],[Horas*]],Tabla2[[#This Row],[Minutos a Horas*]])+(Tabla2[[#This Row],[Tiempo Total a Nivel Proncincial (Horas)]])</f>
        <v>3.3</v>
      </c>
      <c r="AV251" s="62"/>
    </row>
    <row r="252" spans="2:48" ht="45" customHeight="1" x14ac:dyDescent="0.25">
      <c r="B252" s="91"/>
      <c r="C252" s="91"/>
      <c r="D252" s="91"/>
      <c r="E252" s="92"/>
      <c r="F252" s="92"/>
      <c r="G252" s="92"/>
      <c r="H252" s="98"/>
      <c r="I252" s="99"/>
      <c r="J252" s="99"/>
      <c r="K252" s="99"/>
      <c r="L252" s="98"/>
      <c r="M252" s="92"/>
      <c r="N252" s="100"/>
      <c r="O252" s="94"/>
      <c r="P252" s="102"/>
      <c r="Q252" s="100"/>
      <c r="R252" s="95"/>
      <c r="S252" s="95"/>
      <c r="T252" s="96"/>
      <c r="U252" s="101"/>
      <c r="V252" s="101"/>
      <c r="W252" s="96"/>
      <c r="X252" s="101"/>
      <c r="Y252" s="101"/>
      <c r="Z252" s="96"/>
      <c r="AA252" s="97"/>
      <c r="AB252" s="93"/>
      <c r="AD252" s="20" t="s">
        <v>2395</v>
      </c>
      <c r="AE252" s="10" t="s">
        <v>163</v>
      </c>
      <c r="AF252" s="20" t="s">
        <v>183</v>
      </c>
      <c r="AG252" s="10"/>
      <c r="AH252" s="22" t="str">
        <f t="shared" si="6"/>
        <v>Áncash_20 Yungay</v>
      </c>
      <c r="AI252" s="10" t="s">
        <v>366</v>
      </c>
      <c r="AJ252" s="20" t="s">
        <v>343</v>
      </c>
      <c r="AK252" s="22" t="str">
        <f t="shared" si="7"/>
        <v>Áncash_20 Yungay_05 Quillo</v>
      </c>
      <c r="AL252" s="25">
        <v>1</v>
      </c>
      <c r="AM252" s="25">
        <v>18</v>
      </c>
      <c r="AN252" s="26">
        <f>Tabla2[[#This Row],[Minutos]]/60</f>
        <v>0.3</v>
      </c>
      <c r="AO252" s="27">
        <f>SUM(Tabla2[[#This Row],[Horas]],Tabla2[[#This Row],[Minutos a Horas]])</f>
        <v>1.3</v>
      </c>
      <c r="AP252" s="49">
        <v>3</v>
      </c>
      <c r="AQ252" s="49">
        <v>30</v>
      </c>
      <c r="AR252" s="26">
        <f>Tabla2[[#This Row],[Minutos*]]/60</f>
        <v>0.5</v>
      </c>
      <c r="AS252" s="27">
        <f>SUM(Tabla2[[#This Row],[Horas*]],Tabla2[[#This Row],[Minutos a Horas*]])+(Tabla2[[#This Row],[Tiempo Total a Nivel Proncincial (Horas)]])</f>
        <v>4.8</v>
      </c>
      <c r="AV252" s="62"/>
    </row>
    <row r="253" spans="2:48" ht="45" customHeight="1" x14ac:dyDescent="0.25">
      <c r="B253" s="91"/>
      <c r="C253" s="91"/>
      <c r="D253" s="91"/>
      <c r="E253" s="92"/>
      <c r="F253" s="92"/>
      <c r="G253" s="92"/>
      <c r="H253" s="98"/>
      <c r="I253" s="99"/>
      <c r="J253" s="99"/>
      <c r="K253" s="99"/>
      <c r="L253" s="98"/>
      <c r="M253" s="92"/>
      <c r="N253" s="100"/>
      <c r="O253" s="94"/>
      <c r="P253" s="102"/>
      <c r="Q253" s="100"/>
      <c r="R253" s="95"/>
      <c r="S253" s="95"/>
      <c r="T253" s="96"/>
      <c r="U253" s="101"/>
      <c r="V253" s="101"/>
      <c r="W253" s="96"/>
      <c r="X253" s="101"/>
      <c r="Y253" s="101"/>
      <c r="Z253" s="96"/>
      <c r="AA253" s="97"/>
      <c r="AB253" s="93"/>
      <c r="AD253" s="20" t="s">
        <v>2395</v>
      </c>
      <c r="AE253" s="10" t="s">
        <v>163</v>
      </c>
      <c r="AF253" s="20" t="s">
        <v>183</v>
      </c>
      <c r="AG253" s="10"/>
      <c r="AH253" s="22" t="str">
        <f t="shared" si="6"/>
        <v>Áncash_20 Yungay</v>
      </c>
      <c r="AI253" s="10" t="s">
        <v>366</v>
      </c>
      <c r="AJ253" s="20" t="s">
        <v>344</v>
      </c>
      <c r="AK253" s="22" t="str">
        <f t="shared" si="7"/>
        <v>Áncash_20 Yungay_06 Ranrahirca</v>
      </c>
      <c r="AL253" s="25">
        <v>1</v>
      </c>
      <c r="AM253" s="25">
        <v>18</v>
      </c>
      <c r="AN253" s="26">
        <f>Tabla2[[#This Row],[Minutos]]/60</f>
        <v>0.3</v>
      </c>
      <c r="AO253" s="27">
        <f>SUM(Tabla2[[#This Row],[Horas]],Tabla2[[#This Row],[Minutos a Horas]])</f>
        <v>1.3</v>
      </c>
      <c r="AP253" s="49">
        <v>1</v>
      </c>
      <c r="AQ253" s="49">
        <v>10</v>
      </c>
      <c r="AR253" s="26">
        <f>Tabla2[[#This Row],[Minutos*]]/60</f>
        <v>0.16666666666666666</v>
      </c>
      <c r="AS253" s="27">
        <f>SUM(Tabla2[[#This Row],[Horas*]],Tabla2[[#This Row],[Minutos a Horas*]])+(Tabla2[[#This Row],[Tiempo Total a Nivel Proncincial (Horas)]])</f>
        <v>2.4666666666666668</v>
      </c>
      <c r="AV253" s="62"/>
    </row>
    <row r="254" spans="2:48" ht="40.15" customHeight="1" x14ac:dyDescent="0.25">
      <c r="B254" s="91"/>
      <c r="C254" s="91"/>
      <c r="D254" s="91"/>
      <c r="E254" s="92"/>
      <c r="F254" s="92"/>
      <c r="G254" s="92"/>
      <c r="H254" s="98"/>
      <c r="I254" s="99"/>
      <c r="J254" s="99"/>
      <c r="K254" s="99"/>
      <c r="L254" s="98"/>
      <c r="M254" s="92"/>
      <c r="N254" s="100"/>
      <c r="O254" s="94"/>
      <c r="P254" s="102"/>
      <c r="Q254" s="100"/>
      <c r="R254" s="95"/>
      <c r="S254" s="95"/>
      <c r="T254" s="96"/>
      <c r="U254" s="101"/>
      <c r="V254" s="101"/>
      <c r="W254" s="96"/>
      <c r="X254" s="101"/>
      <c r="Y254" s="101"/>
      <c r="Z254" s="96"/>
      <c r="AA254" s="97"/>
      <c r="AB254" s="93"/>
      <c r="AD254" s="20" t="s">
        <v>2395</v>
      </c>
      <c r="AE254" s="10" t="s">
        <v>163</v>
      </c>
      <c r="AF254" s="20" t="s">
        <v>183</v>
      </c>
      <c r="AG254" s="10"/>
      <c r="AH254" s="22" t="str">
        <f t="shared" si="6"/>
        <v>Áncash_20 Yungay</v>
      </c>
      <c r="AI254" s="10" t="s">
        <v>366</v>
      </c>
      <c r="AJ254" s="20" t="s">
        <v>345</v>
      </c>
      <c r="AK254" s="22" t="str">
        <f t="shared" si="7"/>
        <v>Áncash_20 Yungay_07 Shupluy</v>
      </c>
      <c r="AL254" s="25">
        <v>1</v>
      </c>
      <c r="AM254" s="25">
        <v>18</v>
      </c>
      <c r="AN254" s="26">
        <f>Tabla2[[#This Row],[Minutos]]/60</f>
        <v>0.3</v>
      </c>
      <c r="AO254" s="27">
        <f>SUM(Tabla2[[#This Row],[Horas]],Tabla2[[#This Row],[Minutos a Horas]])</f>
        <v>1.3</v>
      </c>
      <c r="AP254" s="49">
        <v>1</v>
      </c>
      <c r="AQ254" s="49"/>
      <c r="AR254" s="26">
        <f>Tabla2[[#This Row],[Minutos*]]/60</f>
        <v>0</v>
      </c>
      <c r="AS254" s="27">
        <f>SUM(Tabla2[[#This Row],[Horas*]],Tabla2[[#This Row],[Minutos a Horas*]])+(Tabla2[[#This Row],[Tiempo Total a Nivel Proncincial (Horas)]])</f>
        <v>2.2999999999999998</v>
      </c>
      <c r="AV254" s="62"/>
    </row>
    <row r="255" spans="2:48" ht="40.15" customHeight="1" x14ac:dyDescent="0.25">
      <c r="B255" s="91"/>
      <c r="C255" s="91"/>
      <c r="D255" s="91"/>
      <c r="E255" s="92"/>
      <c r="F255" s="92"/>
      <c r="G255" s="92"/>
      <c r="H255" s="98"/>
      <c r="I255" s="99"/>
      <c r="J255" s="99"/>
      <c r="K255" s="99"/>
      <c r="L255" s="98"/>
      <c r="M255" s="92"/>
      <c r="N255" s="100"/>
      <c r="O255" s="94"/>
      <c r="P255" s="102"/>
      <c r="Q255" s="100"/>
      <c r="R255" s="95"/>
      <c r="S255" s="95"/>
      <c r="T255" s="96"/>
      <c r="U255" s="101"/>
      <c r="V255" s="101"/>
      <c r="W255" s="96"/>
      <c r="X255" s="101"/>
      <c r="Y255" s="101"/>
      <c r="Z255" s="96"/>
      <c r="AA255" s="97"/>
      <c r="AB255" s="93"/>
      <c r="AD255" s="20" t="s">
        <v>2395</v>
      </c>
      <c r="AE255" s="10" t="s">
        <v>163</v>
      </c>
      <c r="AF255" s="20" t="s">
        <v>183</v>
      </c>
      <c r="AG255" s="10"/>
      <c r="AH255" s="22" t="str">
        <f t="shared" si="6"/>
        <v>Áncash_20 Yungay</v>
      </c>
      <c r="AI255" s="10" t="s">
        <v>366</v>
      </c>
      <c r="AJ255" s="20" t="s">
        <v>346</v>
      </c>
      <c r="AK255" s="22" t="str">
        <f t="shared" si="7"/>
        <v>Áncash_20 Yungay_08 Yanama</v>
      </c>
      <c r="AL255" s="25">
        <v>1</v>
      </c>
      <c r="AM255" s="25">
        <v>18</v>
      </c>
      <c r="AN255" s="26">
        <f>Tabla2[[#This Row],[Minutos]]/60</f>
        <v>0.3</v>
      </c>
      <c r="AO255" s="27">
        <f>SUM(Tabla2[[#This Row],[Horas]],Tabla2[[#This Row],[Minutos a Horas]])</f>
        <v>1.3</v>
      </c>
      <c r="AP255" s="49">
        <v>4</v>
      </c>
      <c r="AQ255" s="49"/>
      <c r="AR255" s="26">
        <f>Tabla2[[#This Row],[Minutos*]]/60</f>
        <v>0</v>
      </c>
      <c r="AS255" s="27">
        <f>SUM(Tabla2[[#This Row],[Horas*]],Tabla2[[#This Row],[Minutos a Horas*]])+(Tabla2[[#This Row],[Tiempo Total a Nivel Proncincial (Horas)]])</f>
        <v>5.3</v>
      </c>
      <c r="AV255" s="62"/>
    </row>
    <row r="256" spans="2:48" ht="40.15" customHeight="1" x14ac:dyDescent="0.25">
      <c r="B256" s="91"/>
      <c r="C256" s="91"/>
      <c r="D256" s="91"/>
      <c r="E256" s="92"/>
      <c r="F256" s="92"/>
      <c r="G256" s="92"/>
      <c r="H256" s="98"/>
      <c r="I256" s="99"/>
      <c r="J256" s="99"/>
      <c r="K256" s="99"/>
      <c r="L256" s="98"/>
      <c r="M256" s="92"/>
      <c r="N256" s="100"/>
      <c r="O256" s="94"/>
      <c r="P256" s="102"/>
      <c r="Q256" s="100"/>
      <c r="R256" s="95"/>
      <c r="S256" s="95"/>
      <c r="T256" s="96"/>
      <c r="U256" s="101"/>
      <c r="V256" s="101"/>
      <c r="W256" s="96"/>
      <c r="X256" s="101"/>
      <c r="Y256" s="101"/>
      <c r="Z256" s="96"/>
      <c r="AA256" s="97"/>
      <c r="AB256" s="93"/>
      <c r="AD256" s="20" t="s">
        <v>2398</v>
      </c>
      <c r="AE256" s="10" t="s">
        <v>375</v>
      </c>
      <c r="AF256" s="20" t="s">
        <v>398</v>
      </c>
      <c r="AG256" s="10" t="s">
        <v>398</v>
      </c>
      <c r="AH256" s="22" t="str">
        <f t="shared" si="6"/>
        <v>Apurímac_01 Abancay</v>
      </c>
      <c r="AI256" s="10" t="s">
        <v>367</v>
      </c>
      <c r="AJ256" s="20" t="s">
        <v>398</v>
      </c>
      <c r="AK256" s="22" t="str">
        <f t="shared" si="7"/>
        <v>Apurímac_01 Abancay_01 Abancay</v>
      </c>
      <c r="AL256" s="25">
        <v>0</v>
      </c>
      <c r="AM256" s="25">
        <v>52</v>
      </c>
      <c r="AN256" s="26">
        <f>Tabla2[[#This Row],[Minutos]]/60</f>
        <v>0.8666666666666667</v>
      </c>
      <c r="AO256" s="27">
        <f>SUM(Tabla2[[#This Row],[Horas]],Tabla2[[#This Row],[Minutos a Horas]])</f>
        <v>0.8666666666666667</v>
      </c>
      <c r="AP256" s="49">
        <v>0</v>
      </c>
      <c r="AQ256" s="49">
        <v>0</v>
      </c>
      <c r="AR256" s="26">
        <f>Tabla2[[#This Row],[Minutos*]]/60</f>
        <v>0</v>
      </c>
      <c r="AS256" s="27">
        <f>SUM(Tabla2[[#This Row],[Horas*]],Tabla2[[#This Row],[Minutos a Horas*]])+(Tabla2[[#This Row],[Tiempo Total a Nivel Proncincial (Horas)]])</f>
        <v>0.8666666666666667</v>
      </c>
      <c r="AV256" s="62"/>
    </row>
    <row r="257" spans="2:48" ht="40.15" customHeight="1" x14ac:dyDescent="0.25">
      <c r="B257" s="91"/>
      <c r="C257" s="91"/>
      <c r="D257" s="91"/>
      <c r="E257" s="92"/>
      <c r="F257" s="92"/>
      <c r="G257" s="92"/>
      <c r="H257" s="98"/>
      <c r="I257" s="99"/>
      <c r="J257" s="99"/>
      <c r="K257" s="99"/>
      <c r="L257" s="98"/>
      <c r="M257" s="92"/>
      <c r="N257" s="100"/>
      <c r="O257" s="94"/>
      <c r="P257" s="102"/>
      <c r="Q257" s="100"/>
      <c r="R257" s="95"/>
      <c r="S257" s="95"/>
      <c r="T257" s="96"/>
      <c r="U257" s="101"/>
      <c r="V257" s="101"/>
      <c r="W257" s="96"/>
      <c r="X257" s="101"/>
      <c r="Y257" s="101"/>
      <c r="Z257" s="96"/>
      <c r="AA257" s="97"/>
      <c r="AB257" s="93"/>
      <c r="AD257" s="20" t="s">
        <v>2398</v>
      </c>
      <c r="AE257" s="10" t="s">
        <v>375</v>
      </c>
      <c r="AF257" s="20" t="s">
        <v>398</v>
      </c>
      <c r="AG257" s="10" t="s">
        <v>399</v>
      </c>
      <c r="AH257" s="22" t="str">
        <f t="shared" si="6"/>
        <v>Apurímac_01 Abancay</v>
      </c>
      <c r="AI257" s="10" t="s">
        <v>367</v>
      </c>
      <c r="AJ257" s="20" t="s">
        <v>405</v>
      </c>
      <c r="AK257" s="22" t="str">
        <f t="shared" si="7"/>
        <v>Apurímac_01 Abancay_02 Chacoche</v>
      </c>
      <c r="AL257" s="25">
        <v>0</v>
      </c>
      <c r="AM257" s="25">
        <v>52</v>
      </c>
      <c r="AN257" s="26">
        <f>Tabla2[[#This Row],[Minutos]]/60</f>
        <v>0.8666666666666667</v>
      </c>
      <c r="AO257" s="27">
        <f>SUM(Tabla2[[#This Row],[Horas]],Tabla2[[#This Row],[Minutos a Horas]])</f>
        <v>0.8666666666666667</v>
      </c>
      <c r="AP257" s="49">
        <v>3</v>
      </c>
      <c r="AQ257" s="49">
        <v>0</v>
      </c>
      <c r="AR257" s="26">
        <f>Tabla2[[#This Row],[Minutos*]]/60</f>
        <v>0</v>
      </c>
      <c r="AS257" s="27">
        <f>SUM(Tabla2[[#This Row],[Horas*]],Tabla2[[#This Row],[Minutos a Horas*]])+(Tabla2[[#This Row],[Tiempo Total a Nivel Proncincial (Horas)]])</f>
        <v>3.8666666666666667</v>
      </c>
      <c r="AV257" s="62"/>
    </row>
    <row r="258" spans="2:48" ht="40.15" customHeight="1" x14ac:dyDescent="0.25">
      <c r="B258" s="91"/>
      <c r="C258" s="91"/>
      <c r="D258" s="91"/>
      <c r="E258" s="92"/>
      <c r="F258" s="92"/>
      <c r="G258" s="92"/>
      <c r="H258" s="98"/>
      <c r="I258" s="99"/>
      <c r="J258" s="99"/>
      <c r="K258" s="99"/>
      <c r="L258" s="98"/>
      <c r="M258" s="92"/>
      <c r="N258" s="100"/>
      <c r="O258" s="94"/>
      <c r="P258" s="102"/>
      <c r="Q258" s="100"/>
      <c r="R258" s="95"/>
      <c r="S258" s="95"/>
      <c r="T258" s="96"/>
      <c r="U258" s="101"/>
      <c r="V258" s="101"/>
      <c r="W258" s="96"/>
      <c r="X258" s="101"/>
      <c r="Y258" s="101"/>
      <c r="Z258" s="96"/>
      <c r="AA258" s="97"/>
      <c r="AB258" s="93"/>
      <c r="AD258" s="20" t="s">
        <v>2398</v>
      </c>
      <c r="AE258" s="10" t="s">
        <v>375</v>
      </c>
      <c r="AF258" s="20" t="s">
        <v>398</v>
      </c>
      <c r="AG258" s="10" t="s">
        <v>400</v>
      </c>
      <c r="AH258" s="22" t="str">
        <f t="shared" si="6"/>
        <v>Apurímac_01 Abancay</v>
      </c>
      <c r="AI258" s="10" t="s">
        <v>367</v>
      </c>
      <c r="AJ258" s="20" t="s">
        <v>406</v>
      </c>
      <c r="AK258" s="22" t="str">
        <f t="shared" si="7"/>
        <v>Apurímac_01 Abancay_03 Circa</v>
      </c>
      <c r="AL258" s="25">
        <v>0</v>
      </c>
      <c r="AM258" s="25">
        <v>52</v>
      </c>
      <c r="AN258" s="26">
        <f>Tabla2[[#This Row],[Minutos]]/60</f>
        <v>0.8666666666666667</v>
      </c>
      <c r="AO258" s="27">
        <f>SUM(Tabla2[[#This Row],[Horas]],Tabla2[[#This Row],[Minutos a Horas]])</f>
        <v>0.8666666666666667</v>
      </c>
      <c r="AP258" s="49">
        <v>3</v>
      </c>
      <c r="AQ258" s="49">
        <v>0</v>
      </c>
      <c r="AR258" s="26">
        <f>Tabla2[[#This Row],[Minutos*]]/60</f>
        <v>0</v>
      </c>
      <c r="AS258" s="27">
        <f>SUM(Tabla2[[#This Row],[Horas*]],Tabla2[[#This Row],[Minutos a Horas*]])+(Tabla2[[#This Row],[Tiempo Total a Nivel Proncincial (Horas)]])</f>
        <v>3.8666666666666667</v>
      </c>
      <c r="AV258" s="62"/>
    </row>
    <row r="259" spans="2:48" ht="40.15" customHeight="1" x14ac:dyDescent="0.25">
      <c r="B259" s="91"/>
      <c r="C259" s="91"/>
      <c r="D259" s="91"/>
      <c r="E259" s="92"/>
      <c r="F259" s="92"/>
      <c r="G259" s="92"/>
      <c r="H259" s="98"/>
      <c r="I259" s="99"/>
      <c r="J259" s="99"/>
      <c r="K259" s="99"/>
      <c r="L259" s="98"/>
      <c r="M259" s="92"/>
      <c r="N259" s="100"/>
      <c r="O259" s="94"/>
      <c r="P259" s="102"/>
      <c r="Q259" s="100"/>
      <c r="R259" s="95"/>
      <c r="S259" s="95"/>
      <c r="T259" s="96"/>
      <c r="U259" s="101"/>
      <c r="V259" s="101"/>
      <c r="W259" s="96"/>
      <c r="X259" s="101"/>
      <c r="Y259" s="101"/>
      <c r="Z259" s="96"/>
      <c r="AA259" s="97"/>
      <c r="AB259" s="93"/>
      <c r="AD259" s="20" t="s">
        <v>2398</v>
      </c>
      <c r="AE259" s="10" t="s">
        <v>375</v>
      </c>
      <c r="AF259" s="20" t="s">
        <v>398</v>
      </c>
      <c r="AG259" s="10" t="s">
        <v>401</v>
      </c>
      <c r="AH259" s="22" t="str">
        <f t="shared" si="6"/>
        <v>Apurímac_01 Abancay</v>
      </c>
      <c r="AI259" s="10" t="s">
        <v>367</v>
      </c>
      <c r="AJ259" s="20" t="s">
        <v>407</v>
      </c>
      <c r="AK259" s="22" t="str">
        <f t="shared" si="7"/>
        <v>Apurímac_01 Abancay_04 Curahuasi</v>
      </c>
      <c r="AL259" s="25">
        <v>0</v>
      </c>
      <c r="AM259" s="25">
        <v>52</v>
      </c>
      <c r="AN259" s="26">
        <f>Tabla2[[#This Row],[Minutos]]/60</f>
        <v>0.8666666666666667</v>
      </c>
      <c r="AO259" s="27">
        <f>SUM(Tabla2[[#This Row],[Horas]],Tabla2[[#This Row],[Minutos a Horas]])</f>
        <v>0.8666666666666667</v>
      </c>
      <c r="AP259" s="49">
        <v>1</v>
      </c>
      <c r="AQ259" s="49">
        <v>30</v>
      </c>
      <c r="AR259" s="26">
        <f>Tabla2[[#This Row],[Minutos*]]/60</f>
        <v>0.5</v>
      </c>
      <c r="AS259" s="27">
        <f>SUM(Tabla2[[#This Row],[Horas*]],Tabla2[[#This Row],[Minutos a Horas*]])+(Tabla2[[#This Row],[Tiempo Total a Nivel Proncincial (Horas)]])</f>
        <v>2.3666666666666667</v>
      </c>
      <c r="AV259" s="62"/>
    </row>
    <row r="260" spans="2:48" ht="40.15" customHeight="1" x14ac:dyDescent="0.25">
      <c r="B260" s="91"/>
      <c r="C260" s="91"/>
      <c r="D260" s="91"/>
      <c r="E260" s="92"/>
      <c r="F260" s="92"/>
      <c r="G260" s="92"/>
      <c r="H260" s="98"/>
      <c r="I260" s="99"/>
      <c r="J260" s="99"/>
      <c r="K260" s="99"/>
      <c r="L260" s="98"/>
      <c r="M260" s="92"/>
      <c r="N260" s="100"/>
      <c r="O260" s="94"/>
      <c r="P260" s="102"/>
      <c r="Q260" s="100"/>
      <c r="R260" s="95"/>
      <c r="S260" s="95"/>
      <c r="T260" s="96"/>
      <c r="U260" s="101"/>
      <c r="V260" s="101"/>
      <c r="W260" s="96"/>
      <c r="X260" s="101"/>
      <c r="Y260" s="101"/>
      <c r="Z260" s="96"/>
      <c r="AA260" s="97"/>
      <c r="AB260" s="93"/>
      <c r="AD260" s="20" t="s">
        <v>2398</v>
      </c>
      <c r="AE260" s="10" t="s">
        <v>375</v>
      </c>
      <c r="AF260" s="20" t="s">
        <v>398</v>
      </c>
      <c r="AG260" s="10" t="s">
        <v>402</v>
      </c>
      <c r="AH260" s="22" t="str">
        <f t="shared" si="6"/>
        <v>Apurímac_01 Abancay</v>
      </c>
      <c r="AI260" s="10" t="s">
        <v>367</v>
      </c>
      <c r="AJ260" s="20" t="s">
        <v>408</v>
      </c>
      <c r="AK260" s="22" t="str">
        <f t="shared" si="7"/>
        <v>Apurímac_01 Abancay_05 Huanipaca</v>
      </c>
      <c r="AL260" s="25">
        <v>0</v>
      </c>
      <c r="AM260" s="25">
        <v>52</v>
      </c>
      <c r="AN260" s="26">
        <f>Tabla2[[#This Row],[Minutos]]/60</f>
        <v>0.8666666666666667</v>
      </c>
      <c r="AO260" s="27">
        <f>SUM(Tabla2[[#This Row],[Horas]],Tabla2[[#This Row],[Minutos a Horas]])</f>
        <v>0.8666666666666667</v>
      </c>
      <c r="AP260" s="49">
        <v>3</v>
      </c>
      <c r="AQ260" s="49">
        <v>0</v>
      </c>
      <c r="AR260" s="26">
        <f>Tabla2[[#This Row],[Minutos*]]/60</f>
        <v>0</v>
      </c>
      <c r="AS260" s="27">
        <f>SUM(Tabla2[[#This Row],[Horas*]],Tabla2[[#This Row],[Minutos a Horas*]])+(Tabla2[[#This Row],[Tiempo Total a Nivel Proncincial (Horas)]])</f>
        <v>3.8666666666666667</v>
      </c>
      <c r="AV260" s="62"/>
    </row>
    <row r="261" spans="2:48" ht="40.15" customHeight="1" x14ac:dyDescent="0.25">
      <c r="B261" s="91"/>
      <c r="C261" s="91"/>
      <c r="D261" s="91"/>
      <c r="E261" s="92"/>
      <c r="F261" s="92"/>
      <c r="G261" s="92"/>
      <c r="H261" s="98"/>
      <c r="I261" s="99"/>
      <c r="J261" s="99"/>
      <c r="K261" s="99"/>
      <c r="L261" s="98"/>
      <c r="M261" s="92"/>
      <c r="N261" s="100"/>
      <c r="O261" s="94"/>
      <c r="P261" s="102"/>
      <c r="Q261" s="100"/>
      <c r="R261" s="95"/>
      <c r="S261" s="95"/>
      <c r="T261" s="96"/>
      <c r="U261" s="101"/>
      <c r="V261" s="101"/>
      <c r="W261" s="96"/>
      <c r="X261" s="101"/>
      <c r="Y261" s="101"/>
      <c r="Z261" s="96"/>
      <c r="AA261" s="97"/>
      <c r="AB261" s="93"/>
      <c r="AD261" s="20" t="s">
        <v>2398</v>
      </c>
      <c r="AE261" s="10" t="s">
        <v>375</v>
      </c>
      <c r="AF261" s="20" t="s">
        <v>398</v>
      </c>
      <c r="AG261" s="10" t="s">
        <v>403</v>
      </c>
      <c r="AH261" s="22" t="str">
        <f t="shared" si="6"/>
        <v>Apurímac_01 Abancay</v>
      </c>
      <c r="AI261" s="10" t="s">
        <v>367</v>
      </c>
      <c r="AJ261" s="20" t="s">
        <v>409</v>
      </c>
      <c r="AK261" s="22" t="str">
        <f t="shared" si="7"/>
        <v>Apurímac_01 Abancay_06 Lambrama</v>
      </c>
      <c r="AL261" s="25">
        <v>0</v>
      </c>
      <c r="AM261" s="25">
        <v>52</v>
      </c>
      <c r="AN261" s="26">
        <f>Tabla2[[#This Row],[Minutos]]/60</f>
        <v>0.8666666666666667</v>
      </c>
      <c r="AO261" s="27">
        <f>SUM(Tabla2[[#This Row],[Horas]],Tabla2[[#This Row],[Minutos a Horas]])</f>
        <v>0.8666666666666667</v>
      </c>
      <c r="AP261" s="49">
        <v>2</v>
      </c>
      <c r="AQ261" s="49">
        <v>0</v>
      </c>
      <c r="AR261" s="26">
        <f>Tabla2[[#This Row],[Minutos*]]/60</f>
        <v>0</v>
      </c>
      <c r="AS261" s="27">
        <f>SUM(Tabla2[[#This Row],[Horas*]],Tabla2[[#This Row],[Minutos a Horas*]])+(Tabla2[[#This Row],[Tiempo Total a Nivel Proncincial (Horas)]])</f>
        <v>2.8666666666666667</v>
      </c>
      <c r="AV261" s="62"/>
    </row>
    <row r="262" spans="2:48" ht="40.15" customHeight="1" x14ac:dyDescent="0.25">
      <c r="B262" s="91"/>
      <c r="C262" s="91"/>
      <c r="D262" s="91"/>
      <c r="E262" s="92"/>
      <c r="F262" s="92"/>
      <c r="G262" s="92"/>
      <c r="H262" s="98"/>
      <c r="I262" s="99"/>
      <c r="J262" s="99"/>
      <c r="K262" s="99"/>
      <c r="L262" s="98"/>
      <c r="M262" s="92"/>
      <c r="N262" s="100"/>
      <c r="O262" s="94"/>
      <c r="P262" s="102"/>
      <c r="Q262" s="100"/>
      <c r="R262" s="95"/>
      <c r="S262" s="95"/>
      <c r="T262" s="96"/>
      <c r="U262" s="101"/>
      <c r="V262" s="101"/>
      <c r="W262" s="96"/>
      <c r="X262" s="101"/>
      <c r="Y262" s="101"/>
      <c r="Z262" s="96"/>
      <c r="AA262" s="97"/>
      <c r="AB262" s="93"/>
      <c r="AD262" s="20" t="s">
        <v>2398</v>
      </c>
      <c r="AE262" s="10" t="s">
        <v>375</v>
      </c>
      <c r="AF262" s="20" t="s">
        <v>398</v>
      </c>
      <c r="AG262" s="10" t="s">
        <v>404</v>
      </c>
      <c r="AH262" s="22" t="str">
        <f t="shared" si="6"/>
        <v>Apurímac_01 Abancay</v>
      </c>
      <c r="AI262" s="10" t="s">
        <v>367</v>
      </c>
      <c r="AJ262" s="20" t="s">
        <v>410</v>
      </c>
      <c r="AK262" s="22" t="str">
        <f t="shared" si="7"/>
        <v>Apurímac_01 Abancay_07 Pichirhua</v>
      </c>
      <c r="AL262" s="25">
        <v>0</v>
      </c>
      <c r="AM262" s="25">
        <v>52</v>
      </c>
      <c r="AN262" s="26">
        <f>Tabla2[[#This Row],[Minutos]]/60</f>
        <v>0.8666666666666667</v>
      </c>
      <c r="AO262" s="27">
        <f>SUM(Tabla2[[#This Row],[Horas]],Tabla2[[#This Row],[Minutos a Horas]])</f>
        <v>0.8666666666666667</v>
      </c>
      <c r="AP262" s="49">
        <v>1</v>
      </c>
      <c r="AQ262" s="49">
        <v>20</v>
      </c>
      <c r="AR262" s="26">
        <f>Tabla2[[#This Row],[Minutos*]]/60</f>
        <v>0.33333333333333331</v>
      </c>
      <c r="AS262" s="27">
        <f>SUM(Tabla2[[#This Row],[Horas*]],Tabla2[[#This Row],[Minutos a Horas*]])+(Tabla2[[#This Row],[Tiempo Total a Nivel Proncincial (Horas)]])</f>
        <v>2.2000000000000002</v>
      </c>
    </row>
    <row r="263" spans="2:48" ht="40.15" customHeight="1" x14ac:dyDescent="0.25">
      <c r="B263" s="91"/>
      <c r="C263" s="91"/>
      <c r="D263" s="91"/>
      <c r="E263" s="92"/>
      <c r="F263" s="92"/>
      <c r="G263" s="92"/>
      <c r="H263" s="98"/>
      <c r="I263" s="99"/>
      <c r="J263" s="99"/>
      <c r="K263" s="99"/>
      <c r="L263" s="98"/>
      <c r="M263" s="92"/>
      <c r="N263" s="100"/>
      <c r="O263" s="94"/>
      <c r="P263" s="102"/>
      <c r="Q263" s="100"/>
      <c r="R263" s="95"/>
      <c r="S263" s="95"/>
      <c r="T263" s="96"/>
      <c r="U263" s="101"/>
      <c r="V263" s="101"/>
      <c r="W263" s="96"/>
      <c r="X263" s="101"/>
      <c r="Y263" s="101"/>
      <c r="Z263" s="96"/>
      <c r="AA263" s="97"/>
      <c r="AB263" s="93"/>
      <c r="AD263" s="20" t="s">
        <v>2398</v>
      </c>
      <c r="AE263" s="10" t="s">
        <v>375</v>
      </c>
      <c r="AF263" s="20" t="s">
        <v>398</v>
      </c>
      <c r="AG263" s="10"/>
      <c r="AH263" s="22" t="str">
        <f t="shared" ref="AH263:AH326" si="8">CONCATENATE(AD263,"_",AF263)</f>
        <v>Apurímac_01 Abancay</v>
      </c>
      <c r="AI263" s="10" t="s">
        <v>367</v>
      </c>
      <c r="AJ263" s="20" t="s">
        <v>411</v>
      </c>
      <c r="AK263" s="22" t="str">
        <f t="shared" ref="AK263:AK326" si="9">CONCATENATE(AH263,"_",AJ263)</f>
        <v>Apurímac_01 Abancay_08 San Pedro de Cachora</v>
      </c>
      <c r="AL263" s="25">
        <v>0</v>
      </c>
      <c r="AM263" s="25">
        <v>52</v>
      </c>
      <c r="AN263" s="26">
        <f>Tabla2[[#This Row],[Minutos]]/60</f>
        <v>0.8666666666666667</v>
      </c>
      <c r="AO263" s="27">
        <f>SUM(Tabla2[[#This Row],[Horas]],Tabla2[[#This Row],[Minutos a Horas]])</f>
        <v>0.8666666666666667</v>
      </c>
      <c r="AP263" s="49">
        <v>2</v>
      </c>
      <c r="AQ263" s="49">
        <v>0</v>
      </c>
      <c r="AR263" s="26">
        <f>Tabla2[[#This Row],[Minutos*]]/60</f>
        <v>0</v>
      </c>
      <c r="AS263" s="27">
        <f>SUM(Tabla2[[#This Row],[Horas*]],Tabla2[[#This Row],[Minutos a Horas*]])+(Tabla2[[#This Row],[Tiempo Total a Nivel Proncincial (Horas)]])</f>
        <v>2.8666666666666667</v>
      </c>
    </row>
    <row r="264" spans="2:48" ht="40.15" customHeight="1" x14ac:dyDescent="0.25">
      <c r="B264" s="91"/>
      <c r="C264" s="91"/>
      <c r="D264" s="91"/>
      <c r="E264" s="92"/>
      <c r="F264" s="92"/>
      <c r="G264" s="92"/>
      <c r="H264" s="98"/>
      <c r="I264" s="99"/>
      <c r="J264" s="99"/>
      <c r="K264" s="99"/>
      <c r="L264" s="98"/>
      <c r="M264" s="92"/>
      <c r="N264" s="100"/>
      <c r="O264" s="94"/>
      <c r="P264" s="102"/>
      <c r="Q264" s="100"/>
      <c r="R264" s="95"/>
      <c r="S264" s="95"/>
      <c r="T264" s="96"/>
      <c r="U264" s="101"/>
      <c r="V264" s="101"/>
      <c r="W264" s="96"/>
      <c r="X264" s="101"/>
      <c r="Y264" s="101"/>
      <c r="Z264" s="96"/>
      <c r="AA264" s="97"/>
      <c r="AB264" s="93"/>
      <c r="AD264" s="20" t="s">
        <v>2398</v>
      </c>
      <c r="AE264" s="10" t="s">
        <v>375</v>
      </c>
      <c r="AF264" s="20" t="s">
        <v>398</v>
      </c>
      <c r="AG264" s="10"/>
      <c r="AH264" s="22" t="str">
        <f t="shared" si="8"/>
        <v>Apurímac_01 Abancay</v>
      </c>
      <c r="AI264" s="10" t="s">
        <v>367</v>
      </c>
      <c r="AJ264" s="20" t="s">
        <v>412</v>
      </c>
      <c r="AK264" s="22" t="str">
        <f t="shared" si="9"/>
        <v>Apurímac_01 Abancay_09 Tamburco</v>
      </c>
      <c r="AL264" s="25">
        <v>0</v>
      </c>
      <c r="AM264" s="25">
        <v>52</v>
      </c>
      <c r="AN264" s="26">
        <f>Tabla2[[#This Row],[Minutos]]/60</f>
        <v>0.8666666666666667</v>
      </c>
      <c r="AO264" s="27">
        <f>SUM(Tabla2[[#This Row],[Horas]],Tabla2[[#This Row],[Minutos a Horas]])</f>
        <v>0.8666666666666667</v>
      </c>
      <c r="AP264" s="49">
        <v>0</v>
      </c>
      <c r="AQ264" s="49">
        <v>20</v>
      </c>
      <c r="AR264" s="26">
        <f>Tabla2[[#This Row],[Minutos*]]/60</f>
        <v>0.33333333333333331</v>
      </c>
      <c r="AS264" s="27">
        <f>SUM(Tabla2[[#This Row],[Horas*]],Tabla2[[#This Row],[Minutos a Horas*]])+(Tabla2[[#This Row],[Tiempo Total a Nivel Proncincial (Horas)]])</f>
        <v>1.2</v>
      </c>
    </row>
    <row r="265" spans="2:48" ht="40.15" customHeight="1" x14ac:dyDescent="0.25">
      <c r="B265" s="91"/>
      <c r="C265" s="91"/>
      <c r="D265" s="91"/>
      <c r="E265" s="92"/>
      <c r="F265" s="92"/>
      <c r="G265" s="92"/>
      <c r="H265" s="98"/>
      <c r="I265" s="99"/>
      <c r="J265" s="99"/>
      <c r="K265" s="99"/>
      <c r="L265" s="98"/>
      <c r="M265" s="92"/>
      <c r="N265" s="100"/>
      <c r="O265" s="94"/>
      <c r="P265" s="102"/>
      <c r="Q265" s="100"/>
      <c r="R265" s="95"/>
      <c r="S265" s="95"/>
      <c r="T265" s="96"/>
      <c r="U265" s="101"/>
      <c r="V265" s="101"/>
      <c r="W265" s="96"/>
      <c r="X265" s="101"/>
      <c r="Y265" s="101"/>
      <c r="Z265" s="96"/>
      <c r="AA265" s="97"/>
      <c r="AB265" s="93"/>
      <c r="AD265" s="20" t="s">
        <v>2398</v>
      </c>
      <c r="AE265" s="10" t="s">
        <v>375</v>
      </c>
      <c r="AF265" s="20" t="s">
        <v>399</v>
      </c>
      <c r="AG265" s="10"/>
      <c r="AH265" s="22" t="str">
        <f t="shared" si="8"/>
        <v>Apurímac_02 Andahuaylas</v>
      </c>
      <c r="AI265" s="10" t="s">
        <v>368</v>
      </c>
      <c r="AJ265" s="20" t="s">
        <v>413</v>
      </c>
      <c r="AK265" s="22" t="str">
        <f t="shared" si="9"/>
        <v>Apurímac_02 Andahuaylas_01 Andahuaylas</v>
      </c>
      <c r="AL265" s="25">
        <v>2</v>
      </c>
      <c r="AM265" s="25">
        <v>57</v>
      </c>
      <c r="AN265" s="26">
        <f>Tabla2[[#This Row],[Minutos]]/60</f>
        <v>0.95</v>
      </c>
      <c r="AO265" s="27">
        <f>SUM(Tabla2[[#This Row],[Horas]],Tabla2[[#This Row],[Minutos a Horas]])</f>
        <v>2.95</v>
      </c>
      <c r="AP265" s="49">
        <v>3</v>
      </c>
      <c r="AQ265" s="49">
        <v>0</v>
      </c>
      <c r="AR265" s="26">
        <f>Tabla2[[#This Row],[Minutos*]]/60</f>
        <v>0</v>
      </c>
      <c r="AS265" s="27">
        <f>SUM(Tabla2[[#This Row],[Horas*]],Tabla2[[#This Row],[Minutos a Horas*]])+(Tabla2[[#This Row],[Tiempo Total a Nivel Proncincial (Horas)]])</f>
        <v>5.95</v>
      </c>
    </row>
    <row r="266" spans="2:48" ht="40.15" customHeight="1" x14ac:dyDescent="0.25">
      <c r="B266" s="91"/>
      <c r="C266" s="91"/>
      <c r="D266" s="91"/>
      <c r="E266" s="92"/>
      <c r="F266" s="92"/>
      <c r="G266" s="92"/>
      <c r="H266" s="98"/>
      <c r="I266" s="99"/>
      <c r="J266" s="99"/>
      <c r="K266" s="99"/>
      <c r="L266" s="98"/>
      <c r="M266" s="92"/>
      <c r="N266" s="100"/>
      <c r="O266" s="94"/>
      <c r="P266" s="102"/>
      <c r="Q266" s="100"/>
      <c r="R266" s="95"/>
      <c r="S266" s="95"/>
      <c r="T266" s="96"/>
      <c r="U266" s="101"/>
      <c r="V266" s="101"/>
      <c r="W266" s="96"/>
      <c r="X266" s="101"/>
      <c r="Y266" s="101"/>
      <c r="Z266" s="96"/>
      <c r="AA266" s="97"/>
      <c r="AB266" s="93"/>
      <c r="AD266" s="20" t="s">
        <v>2398</v>
      </c>
      <c r="AE266" s="10" t="s">
        <v>375</v>
      </c>
      <c r="AF266" s="20" t="s">
        <v>399</v>
      </c>
      <c r="AG266" s="10"/>
      <c r="AH266" s="22" t="str">
        <f t="shared" si="8"/>
        <v>Apurímac_02 Andahuaylas</v>
      </c>
      <c r="AI266" s="10" t="s">
        <v>368</v>
      </c>
      <c r="AJ266" s="20" t="s">
        <v>414</v>
      </c>
      <c r="AK266" s="22" t="str">
        <f t="shared" si="9"/>
        <v>Apurímac_02 Andahuaylas_02 Andarapa</v>
      </c>
      <c r="AL266" s="25">
        <v>2</v>
      </c>
      <c r="AM266" s="25">
        <v>57</v>
      </c>
      <c r="AN266" s="26">
        <f>Tabla2[[#This Row],[Minutos]]/60</f>
        <v>0.95</v>
      </c>
      <c r="AO266" s="27">
        <f>SUM(Tabla2[[#This Row],[Horas]],Tabla2[[#This Row],[Minutos a Horas]])</f>
        <v>2.95</v>
      </c>
      <c r="AP266" s="49">
        <v>4</v>
      </c>
      <c r="AQ266" s="49">
        <v>0</v>
      </c>
      <c r="AR266" s="26">
        <f>Tabla2[[#This Row],[Minutos*]]/60</f>
        <v>0</v>
      </c>
      <c r="AS266" s="27">
        <f>SUM(Tabla2[[#This Row],[Horas*]],Tabla2[[#This Row],[Minutos a Horas*]])+(Tabla2[[#This Row],[Tiempo Total a Nivel Proncincial (Horas)]])</f>
        <v>6.95</v>
      </c>
    </row>
    <row r="267" spans="2:48" ht="40.15" customHeight="1" x14ac:dyDescent="0.25">
      <c r="B267" s="91"/>
      <c r="C267" s="91"/>
      <c r="D267" s="91"/>
      <c r="E267" s="92"/>
      <c r="F267" s="92"/>
      <c r="G267" s="92"/>
      <c r="H267" s="98"/>
      <c r="I267" s="99"/>
      <c r="J267" s="99"/>
      <c r="K267" s="99"/>
      <c r="L267" s="98"/>
      <c r="M267" s="92"/>
      <c r="N267" s="100"/>
      <c r="O267" s="94"/>
      <c r="P267" s="102"/>
      <c r="Q267" s="100"/>
      <c r="R267" s="95"/>
      <c r="S267" s="95"/>
      <c r="T267" s="96"/>
      <c r="U267" s="101"/>
      <c r="V267" s="101"/>
      <c r="W267" s="96"/>
      <c r="X267" s="101"/>
      <c r="Y267" s="101"/>
      <c r="Z267" s="96"/>
      <c r="AA267" s="97"/>
      <c r="AB267" s="93"/>
      <c r="AD267" s="20" t="s">
        <v>2398</v>
      </c>
      <c r="AE267" s="10" t="s">
        <v>375</v>
      </c>
      <c r="AF267" s="20" t="s">
        <v>399</v>
      </c>
      <c r="AG267" s="10"/>
      <c r="AH267" s="22" t="str">
        <f t="shared" si="8"/>
        <v>Apurímac_02 Andahuaylas</v>
      </c>
      <c r="AI267" s="10" t="s">
        <v>368</v>
      </c>
      <c r="AJ267" s="20" t="s">
        <v>415</v>
      </c>
      <c r="AK267" s="22" t="str">
        <f t="shared" si="9"/>
        <v>Apurímac_02 Andahuaylas_03 Chiara</v>
      </c>
      <c r="AL267" s="25">
        <v>2</v>
      </c>
      <c r="AM267" s="25">
        <v>57</v>
      </c>
      <c r="AN267" s="26">
        <f>Tabla2[[#This Row],[Minutos]]/60</f>
        <v>0.95</v>
      </c>
      <c r="AO267" s="27">
        <f>SUM(Tabla2[[#This Row],[Horas]],Tabla2[[#This Row],[Minutos a Horas]])</f>
        <v>2.95</v>
      </c>
      <c r="AP267" s="49">
        <v>5</v>
      </c>
      <c r="AQ267" s="49">
        <v>30</v>
      </c>
      <c r="AR267" s="26">
        <f>Tabla2[[#This Row],[Minutos*]]/60</f>
        <v>0.5</v>
      </c>
      <c r="AS267" s="27">
        <f>SUM(Tabla2[[#This Row],[Horas*]],Tabla2[[#This Row],[Minutos a Horas*]])+(Tabla2[[#This Row],[Tiempo Total a Nivel Proncincial (Horas)]])</f>
        <v>8.4499999999999993</v>
      </c>
    </row>
    <row r="268" spans="2:48" ht="40.15" customHeight="1" x14ac:dyDescent="0.25">
      <c r="B268" s="91"/>
      <c r="C268" s="91"/>
      <c r="D268" s="91"/>
      <c r="E268" s="92"/>
      <c r="F268" s="92"/>
      <c r="G268" s="92"/>
      <c r="H268" s="98"/>
      <c r="I268" s="99"/>
      <c r="J268" s="99"/>
      <c r="K268" s="99"/>
      <c r="L268" s="98"/>
      <c r="M268" s="92"/>
      <c r="N268" s="100"/>
      <c r="O268" s="94"/>
      <c r="P268" s="102"/>
      <c r="Q268" s="100"/>
      <c r="R268" s="95"/>
      <c r="S268" s="95"/>
      <c r="T268" s="96"/>
      <c r="U268" s="101"/>
      <c r="V268" s="101"/>
      <c r="W268" s="96"/>
      <c r="X268" s="101"/>
      <c r="Y268" s="101"/>
      <c r="Z268" s="96"/>
      <c r="AA268" s="97"/>
      <c r="AB268" s="93"/>
      <c r="AD268" s="20" t="s">
        <v>2398</v>
      </c>
      <c r="AE268" s="10" t="s">
        <v>375</v>
      </c>
      <c r="AF268" s="20" t="s">
        <v>399</v>
      </c>
      <c r="AG268" s="10"/>
      <c r="AH268" s="22" t="str">
        <f t="shared" si="8"/>
        <v>Apurímac_02 Andahuaylas</v>
      </c>
      <c r="AI268" s="10" t="s">
        <v>368</v>
      </c>
      <c r="AJ268" s="20" t="s">
        <v>416</v>
      </c>
      <c r="AK268" s="22" t="str">
        <f t="shared" si="9"/>
        <v>Apurímac_02 Andahuaylas_04 Huancarama</v>
      </c>
      <c r="AL268" s="25">
        <v>2</v>
      </c>
      <c r="AM268" s="25">
        <v>57</v>
      </c>
      <c r="AN268" s="26">
        <f>Tabla2[[#This Row],[Minutos]]/60</f>
        <v>0.95</v>
      </c>
      <c r="AO268" s="27">
        <f>SUM(Tabla2[[#This Row],[Horas]],Tabla2[[#This Row],[Minutos a Horas]])</f>
        <v>2.95</v>
      </c>
      <c r="AP268" s="49">
        <v>1</v>
      </c>
      <c r="AQ268" s="49">
        <v>20</v>
      </c>
      <c r="AR268" s="26">
        <f>Tabla2[[#This Row],[Minutos*]]/60</f>
        <v>0.33333333333333331</v>
      </c>
      <c r="AS268" s="27">
        <f>SUM(Tabla2[[#This Row],[Horas*]],Tabla2[[#This Row],[Minutos a Horas*]])+(Tabla2[[#This Row],[Tiempo Total a Nivel Proncincial (Horas)]])</f>
        <v>4.2833333333333332</v>
      </c>
    </row>
    <row r="269" spans="2:48" ht="40.15" customHeight="1" x14ac:dyDescent="0.25">
      <c r="B269" s="91"/>
      <c r="C269" s="91"/>
      <c r="D269" s="91"/>
      <c r="E269" s="92"/>
      <c r="F269" s="92"/>
      <c r="G269" s="92"/>
      <c r="H269" s="98"/>
      <c r="I269" s="99"/>
      <c r="J269" s="99"/>
      <c r="K269" s="99"/>
      <c r="L269" s="98"/>
      <c r="M269" s="92"/>
      <c r="N269" s="100"/>
      <c r="O269" s="94"/>
      <c r="P269" s="102"/>
      <c r="Q269" s="100"/>
      <c r="R269" s="95"/>
      <c r="S269" s="95"/>
      <c r="T269" s="96"/>
      <c r="U269" s="101"/>
      <c r="V269" s="101"/>
      <c r="W269" s="96"/>
      <c r="X269" s="101"/>
      <c r="Y269" s="101"/>
      <c r="Z269" s="96"/>
      <c r="AA269" s="97"/>
      <c r="AB269" s="93"/>
      <c r="AD269" s="20" t="s">
        <v>2398</v>
      </c>
      <c r="AE269" s="10" t="s">
        <v>375</v>
      </c>
      <c r="AF269" s="20" t="s">
        <v>399</v>
      </c>
      <c r="AG269" s="10"/>
      <c r="AH269" s="22" t="str">
        <f t="shared" si="8"/>
        <v>Apurímac_02 Andahuaylas</v>
      </c>
      <c r="AI269" s="10" t="s">
        <v>368</v>
      </c>
      <c r="AJ269" s="20" t="s">
        <v>417</v>
      </c>
      <c r="AK269" s="22" t="str">
        <f t="shared" si="9"/>
        <v>Apurímac_02 Andahuaylas_05 Huancaray</v>
      </c>
      <c r="AL269" s="25">
        <v>2</v>
      </c>
      <c r="AM269" s="25">
        <v>57</v>
      </c>
      <c r="AN269" s="26">
        <f>Tabla2[[#This Row],[Minutos]]/60</f>
        <v>0.95</v>
      </c>
      <c r="AO269" s="27">
        <f>SUM(Tabla2[[#This Row],[Horas]],Tabla2[[#This Row],[Minutos a Horas]])</f>
        <v>2.95</v>
      </c>
      <c r="AP269" s="49">
        <v>4</v>
      </c>
      <c r="AQ269" s="49">
        <v>45</v>
      </c>
      <c r="AR269" s="26">
        <f>Tabla2[[#This Row],[Minutos*]]/60</f>
        <v>0.75</v>
      </c>
      <c r="AS269" s="27">
        <f>SUM(Tabla2[[#This Row],[Horas*]],Tabla2[[#This Row],[Minutos a Horas*]])+(Tabla2[[#This Row],[Tiempo Total a Nivel Proncincial (Horas)]])</f>
        <v>7.7</v>
      </c>
    </row>
    <row r="270" spans="2:48" ht="40.15" customHeight="1" x14ac:dyDescent="0.25">
      <c r="B270" s="91"/>
      <c r="C270" s="91"/>
      <c r="D270" s="91"/>
      <c r="E270" s="92"/>
      <c r="F270" s="92"/>
      <c r="G270" s="92"/>
      <c r="H270" s="98"/>
      <c r="I270" s="99"/>
      <c r="J270" s="99"/>
      <c r="K270" s="99"/>
      <c r="L270" s="98"/>
      <c r="M270" s="92"/>
      <c r="N270" s="100"/>
      <c r="O270" s="94"/>
      <c r="P270" s="102"/>
      <c r="Q270" s="100"/>
      <c r="R270" s="95"/>
      <c r="S270" s="95"/>
      <c r="T270" s="96"/>
      <c r="U270" s="101"/>
      <c r="V270" s="101"/>
      <c r="W270" s="96"/>
      <c r="X270" s="101"/>
      <c r="Y270" s="101"/>
      <c r="Z270" s="96"/>
      <c r="AA270" s="97"/>
      <c r="AB270" s="93"/>
      <c r="AD270" s="20" t="s">
        <v>2398</v>
      </c>
      <c r="AE270" s="10" t="s">
        <v>375</v>
      </c>
      <c r="AF270" s="20" t="s">
        <v>399</v>
      </c>
      <c r="AG270" s="10"/>
      <c r="AH270" s="22" t="str">
        <f t="shared" si="8"/>
        <v>Apurímac_02 Andahuaylas</v>
      </c>
      <c r="AI270" s="10" t="s">
        <v>368</v>
      </c>
      <c r="AJ270" s="20" t="s">
        <v>418</v>
      </c>
      <c r="AK270" s="22" t="str">
        <f t="shared" si="9"/>
        <v>Apurímac_02 Andahuaylas_06 Huayana</v>
      </c>
      <c r="AL270" s="25">
        <v>2</v>
      </c>
      <c r="AM270" s="25">
        <v>57</v>
      </c>
      <c r="AN270" s="26">
        <f>Tabla2[[#This Row],[Minutos]]/60</f>
        <v>0.95</v>
      </c>
      <c r="AO270" s="27">
        <f>SUM(Tabla2[[#This Row],[Horas]],Tabla2[[#This Row],[Minutos a Horas]])</f>
        <v>2.95</v>
      </c>
      <c r="AP270" s="49">
        <v>6</v>
      </c>
      <c r="AQ270" s="49">
        <v>30</v>
      </c>
      <c r="AR270" s="26">
        <f>Tabla2[[#This Row],[Minutos*]]/60</f>
        <v>0.5</v>
      </c>
      <c r="AS270" s="27">
        <f>SUM(Tabla2[[#This Row],[Horas*]],Tabla2[[#This Row],[Minutos a Horas*]])+(Tabla2[[#This Row],[Tiempo Total a Nivel Proncincial (Horas)]])</f>
        <v>9.4499999999999993</v>
      </c>
    </row>
    <row r="271" spans="2:48" ht="40.15" customHeight="1" x14ac:dyDescent="0.25">
      <c r="B271" s="91"/>
      <c r="C271" s="91"/>
      <c r="D271" s="91"/>
      <c r="E271" s="92"/>
      <c r="F271" s="92"/>
      <c r="G271" s="92"/>
      <c r="H271" s="98"/>
      <c r="I271" s="99"/>
      <c r="J271" s="99"/>
      <c r="K271" s="99"/>
      <c r="L271" s="98"/>
      <c r="M271" s="92"/>
      <c r="N271" s="100"/>
      <c r="O271" s="94"/>
      <c r="P271" s="102"/>
      <c r="Q271" s="100"/>
      <c r="R271" s="95"/>
      <c r="S271" s="95"/>
      <c r="T271" s="96"/>
      <c r="U271" s="101"/>
      <c r="V271" s="101"/>
      <c r="W271" s="96"/>
      <c r="X271" s="101"/>
      <c r="Y271" s="101"/>
      <c r="Z271" s="96"/>
      <c r="AA271" s="97"/>
      <c r="AB271" s="93"/>
      <c r="AD271" s="20" t="s">
        <v>2398</v>
      </c>
      <c r="AE271" s="10" t="s">
        <v>375</v>
      </c>
      <c r="AF271" s="20" t="s">
        <v>399</v>
      </c>
      <c r="AG271" s="10"/>
      <c r="AH271" s="22" t="str">
        <f t="shared" si="8"/>
        <v>Apurímac_02 Andahuaylas</v>
      </c>
      <c r="AI271" s="10" t="s">
        <v>368</v>
      </c>
      <c r="AJ271" s="20" t="s">
        <v>419</v>
      </c>
      <c r="AK271" s="22" t="str">
        <f t="shared" si="9"/>
        <v>Apurímac_02 Andahuaylas_07 Kishuara</v>
      </c>
      <c r="AL271" s="25">
        <v>2</v>
      </c>
      <c r="AM271" s="25">
        <v>57</v>
      </c>
      <c r="AN271" s="26">
        <f>Tabla2[[#This Row],[Minutos]]/60</f>
        <v>0.95</v>
      </c>
      <c r="AO271" s="27">
        <f>SUM(Tabla2[[#This Row],[Horas]],Tabla2[[#This Row],[Minutos a Horas]])</f>
        <v>2.95</v>
      </c>
      <c r="AP271" s="49">
        <v>2</v>
      </c>
      <c r="AQ271" s="49">
        <v>0</v>
      </c>
      <c r="AR271" s="26">
        <f>Tabla2[[#This Row],[Minutos*]]/60</f>
        <v>0</v>
      </c>
      <c r="AS271" s="27">
        <f>SUM(Tabla2[[#This Row],[Horas*]],Tabla2[[#This Row],[Minutos a Horas*]])+(Tabla2[[#This Row],[Tiempo Total a Nivel Proncincial (Horas)]])</f>
        <v>4.95</v>
      </c>
    </row>
    <row r="272" spans="2:48" ht="40.15" customHeight="1" x14ac:dyDescent="0.25">
      <c r="B272" s="91"/>
      <c r="C272" s="91"/>
      <c r="D272" s="91"/>
      <c r="E272" s="92"/>
      <c r="F272" s="92"/>
      <c r="G272" s="92"/>
      <c r="H272" s="98"/>
      <c r="I272" s="99"/>
      <c r="J272" s="99"/>
      <c r="K272" s="99"/>
      <c r="L272" s="98"/>
      <c r="M272" s="92"/>
      <c r="N272" s="100"/>
      <c r="O272" s="94"/>
      <c r="P272" s="102"/>
      <c r="Q272" s="100"/>
      <c r="R272" s="95"/>
      <c r="S272" s="95"/>
      <c r="T272" s="96"/>
      <c r="U272" s="101"/>
      <c r="V272" s="101"/>
      <c r="W272" s="96"/>
      <c r="X272" s="101"/>
      <c r="Y272" s="101"/>
      <c r="Z272" s="96"/>
      <c r="AA272" s="97"/>
      <c r="AB272" s="93"/>
      <c r="AD272" s="20" t="s">
        <v>2398</v>
      </c>
      <c r="AE272" s="10" t="s">
        <v>375</v>
      </c>
      <c r="AF272" s="20" t="s">
        <v>399</v>
      </c>
      <c r="AG272" s="10"/>
      <c r="AH272" s="22" t="str">
        <f t="shared" si="8"/>
        <v>Apurímac_02 Andahuaylas</v>
      </c>
      <c r="AI272" s="10" t="s">
        <v>368</v>
      </c>
      <c r="AJ272" s="20" t="s">
        <v>420</v>
      </c>
      <c r="AK272" s="22" t="str">
        <f t="shared" si="9"/>
        <v>Apurímac_02 Andahuaylas_08 Pacobamba</v>
      </c>
      <c r="AL272" s="25">
        <v>2</v>
      </c>
      <c r="AM272" s="25">
        <v>57</v>
      </c>
      <c r="AN272" s="26">
        <f>Tabla2[[#This Row],[Minutos]]/60</f>
        <v>0.95</v>
      </c>
      <c r="AO272" s="27">
        <f>SUM(Tabla2[[#This Row],[Horas]],Tabla2[[#This Row],[Minutos a Horas]])</f>
        <v>2.95</v>
      </c>
      <c r="AP272" s="49">
        <v>2</v>
      </c>
      <c r="AQ272" s="49">
        <v>0</v>
      </c>
      <c r="AR272" s="26">
        <f>Tabla2[[#This Row],[Minutos*]]/60</f>
        <v>0</v>
      </c>
      <c r="AS272" s="27">
        <f>SUM(Tabla2[[#This Row],[Horas*]],Tabla2[[#This Row],[Minutos a Horas*]])+(Tabla2[[#This Row],[Tiempo Total a Nivel Proncincial (Horas)]])</f>
        <v>4.95</v>
      </c>
    </row>
    <row r="273" spans="2:45" ht="40.15" customHeight="1" x14ac:dyDescent="0.25">
      <c r="B273" s="91"/>
      <c r="C273" s="91"/>
      <c r="D273" s="91"/>
      <c r="E273" s="92"/>
      <c r="F273" s="92"/>
      <c r="G273" s="92"/>
      <c r="H273" s="98"/>
      <c r="I273" s="99"/>
      <c r="J273" s="99"/>
      <c r="K273" s="99"/>
      <c r="L273" s="98"/>
      <c r="M273" s="92"/>
      <c r="N273" s="100"/>
      <c r="O273" s="94"/>
      <c r="P273" s="102"/>
      <c r="Q273" s="100"/>
      <c r="R273" s="95"/>
      <c r="S273" s="95"/>
      <c r="T273" s="96"/>
      <c r="U273" s="101"/>
      <c r="V273" s="101"/>
      <c r="W273" s="96"/>
      <c r="X273" s="101"/>
      <c r="Y273" s="101"/>
      <c r="Z273" s="96"/>
      <c r="AA273" s="97"/>
      <c r="AB273" s="93"/>
      <c r="AD273" s="20" t="s">
        <v>2398</v>
      </c>
      <c r="AE273" s="10" t="s">
        <v>375</v>
      </c>
      <c r="AF273" s="20" t="s">
        <v>399</v>
      </c>
      <c r="AG273" s="10"/>
      <c r="AH273" s="22" t="str">
        <f t="shared" si="8"/>
        <v>Apurímac_02 Andahuaylas</v>
      </c>
      <c r="AI273" s="10" t="s">
        <v>368</v>
      </c>
      <c r="AJ273" s="20" t="s">
        <v>421</v>
      </c>
      <c r="AK273" s="22" t="str">
        <f t="shared" si="9"/>
        <v>Apurímac_02 Andahuaylas_09 Pacucha</v>
      </c>
      <c r="AL273" s="25">
        <v>2</v>
      </c>
      <c r="AM273" s="25">
        <v>57</v>
      </c>
      <c r="AN273" s="26">
        <f>Tabla2[[#This Row],[Minutos]]/60</f>
        <v>0.95</v>
      </c>
      <c r="AO273" s="27">
        <f>SUM(Tabla2[[#This Row],[Horas]],Tabla2[[#This Row],[Minutos a Horas]])</f>
        <v>2.95</v>
      </c>
      <c r="AP273" s="49">
        <v>3</v>
      </c>
      <c r="AQ273" s="49">
        <v>30</v>
      </c>
      <c r="AR273" s="26">
        <f>Tabla2[[#This Row],[Minutos*]]/60</f>
        <v>0.5</v>
      </c>
      <c r="AS273" s="27">
        <f>SUM(Tabla2[[#This Row],[Horas*]],Tabla2[[#This Row],[Minutos a Horas*]])+(Tabla2[[#This Row],[Tiempo Total a Nivel Proncincial (Horas)]])</f>
        <v>6.45</v>
      </c>
    </row>
    <row r="274" spans="2:45" ht="40.15" customHeight="1" x14ac:dyDescent="0.25">
      <c r="B274" s="91"/>
      <c r="C274" s="91"/>
      <c r="D274" s="91"/>
      <c r="E274" s="92"/>
      <c r="F274" s="92"/>
      <c r="G274" s="92"/>
      <c r="H274" s="98"/>
      <c r="I274" s="99"/>
      <c r="J274" s="99"/>
      <c r="K274" s="99"/>
      <c r="L274" s="98"/>
      <c r="M274" s="92"/>
      <c r="N274" s="100"/>
      <c r="O274" s="94"/>
      <c r="P274" s="102"/>
      <c r="Q274" s="100"/>
      <c r="R274" s="95"/>
      <c r="S274" s="95"/>
      <c r="T274" s="96"/>
      <c r="U274" s="101"/>
      <c r="V274" s="101"/>
      <c r="W274" s="96"/>
      <c r="X274" s="101"/>
      <c r="Y274" s="101"/>
      <c r="Z274" s="96"/>
      <c r="AA274" s="97"/>
      <c r="AB274" s="93"/>
      <c r="AD274" s="20" t="s">
        <v>2398</v>
      </c>
      <c r="AE274" s="10" t="s">
        <v>375</v>
      </c>
      <c r="AF274" s="20" t="s">
        <v>399</v>
      </c>
      <c r="AG274" s="10"/>
      <c r="AH274" s="22" t="str">
        <f t="shared" si="8"/>
        <v>Apurímac_02 Andahuaylas</v>
      </c>
      <c r="AI274" s="10" t="s">
        <v>368</v>
      </c>
      <c r="AJ274" s="20" t="s">
        <v>422</v>
      </c>
      <c r="AK274" s="22" t="str">
        <f t="shared" si="9"/>
        <v>Apurímac_02 Andahuaylas_10 Pampachiri</v>
      </c>
      <c r="AL274" s="25">
        <v>2</v>
      </c>
      <c r="AM274" s="25">
        <v>57</v>
      </c>
      <c r="AN274" s="26">
        <f>Tabla2[[#This Row],[Minutos]]/60</f>
        <v>0.95</v>
      </c>
      <c r="AO274" s="27">
        <f>SUM(Tabla2[[#This Row],[Horas]],Tabla2[[#This Row],[Minutos a Horas]])</f>
        <v>2.95</v>
      </c>
      <c r="AP274" s="49">
        <v>6</v>
      </c>
      <c r="AQ274" s="49">
        <v>30</v>
      </c>
      <c r="AR274" s="26">
        <f>Tabla2[[#This Row],[Minutos*]]/60</f>
        <v>0.5</v>
      </c>
      <c r="AS274" s="27">
        <f>SUM(Tabla2[[#This Row],[Horas*]],Tabla2[[#This Row],[Minutos a Horas*]])+(Tabla2[[#This Row],[Tiempo Total a Nivel Proncincial (Horas)]])</f>
        <v>9.4499999999999993</v>
      </c>
    </row>
    <row r="275" spans="2:45" ht="40.15" customHeight="1" x14ac:dyDescent="0.25">
      <c r="B275" s="91"/>
      <c r="C275" s="91"/>
      <c r="D275" s="91"/>
      <c r="E275" s="92"/>
      <c r="F275" s="92"/>
      <c r="G275" s="92"/>
      <c r="H275" s="98"/>
      <c r="I275" s="99"/>
      <c r="J275" s="99"/>
      <c r="K275" s="99"/>
      <c r="L275" s="98"/>
      <c r="M275" s="92"/>
      <c r="N275" s="100"/>
      <c r="O275" s="94"/>
      <c r="P275" s="102"/>
      <c r="Q275" s="100"/>
      <c r="R275" s="95"/>
      <c r="S275" s="95"/>
      <c r="T275" s="96"/>
      <c r="U275" s="101"/>
      <c r="V275" s="101"/>
      <c r="W275" s="96"/>
      <c r="X275" s="101"/>
      <c r="Y275" s="101"/>
      <c r="Z275" s="96"/>
      <c r="AA275" s="97"/>
      <c r="AB275" s="93"/>
      <c r="AD275" s="20" t="s">
        <v>2398</v>
      </c>
      <c r="AE275" s="10" t="s">
        <v>375</v>
      </c>
      <c r="AF275" s="20" t="s">
        <v>399</v>
      </c>
      <c r="AG275" s="10"/>
      <c r="AH275" s="22" t="str">
        <f t="shared" si="8"/>
        <v>Apurímac_02 Andahuaylas</v>
      </c>
      <c r="AI275" s="10" t="s">
        <v>368</v>
      </c>
      <c r="AJ275" s="20" t="s">
        <v>423</v>
      </c>
      <c r="AK275" s="22" t="str">
        <f t="shared" si="9"/>
        <v>Apurímac_02 Andahuaylas_11 Pomacocha</v>
      </c>
      <c r="AL275" s="25">
        <v>2</v>
      </c>
      <c r="AM275" s="25">
        <v>57</v>
      </c>
      <c r="AN275" s="26">
        <f>Tabla2[[#This Row],[Minutos]]/60</f>
        <v>0.95</v>
      </c>
      <c r="AO275" s="27">
        <f>SUM(Tabla2[[#This Row],[Horas]],Tabla2[[#This Row],[Minutos a Horas]])</f>
        <v>2.95</v>
      </c>
      <c r="AP275" s="49">
        <v>6</v>
      </c>
      <c r="AQ275" s="49">
        <v>30</v>
      </c>
      <c r="AR275" s="26">
        <f>Tabla2[[#This Row],[Minutos*]]/60</f>
        <v>0.5</v>
      </c>
      <c r="AS275" s="27">
        <f>SUM(Tabla2[[#This Row],[Horas*]],Tabla2[[#This Row],[Minutos a Horas*]])+(Tabla2[[#This Row],[Tiempo Total a Nivel Proncincial (Horas)]])</f>
        <v>9.4499999999999993</v>
      </c>
    </row>
    <row r="276" spans="2:45" ht="40.15" customHeight="1" x14ac:dyDescent="0.25">
      <c r="B276" s="91"/>
      <c r="C276" s="91"/>
      <c r="D276" s="91"/>
      <c r="E276" s="92"/>
      <c r="F276" s="92"/>
      <c r="G276" s="92"/>
      <c r="H276" s="98"/>
      <c r="I276" s="99"/>
      <c r="J276" s="99"/>
      <c r="K276" s="99"/>
      <c r="L276" s="98"/>
      <c r="M276" s="92"/>
      <c r="N276" s="100"/>
      <c r="O276" s="94"/>
      <c r="P276" s="102"/>
      <c r="Q276" s="100"/>
      <c r="R276" s="95"/>
      <c r="S276" s="95"/>
      <c r="T276" s="96"/>
      <c r="U276" s="101"/>
      <c r="V276" s="101"/>
      <c r="W276" s="96"/>
      <c r="X276" s="101"/>
      <c r="Y276" s="101"/>
      <c r="Z276" s="96"/>
      <c r="AA276" s="97"/>
      <c r="AB276" s="93"/>
      <c r="AD276" s="20" t="s">
        <v>2398</v>
      </c>
      <c r="AE276" s="10" t="s">
        <v>375</v>
      </c>
      <c r="AF276" s="20" t="s">
        <v>399</v>
      </c>
      <c r="AG276" s="10"/>
      <c r="AH276" s="22" t="str">
        <f t="shared" si="8"/>
        <v>Apurímac_02 Andahuaylas</v>
      </c>
      <c r="AI276" s="10" t="s">
        <v>368</v>
      </c>
      <c r="AJ276" s="20" t="s">
        <v>424</v>
      </c>
      <c r="AK276" s="22" t="str">
        <f t="shared" si="9"/>
        <v>Apurímac_02 Andahuaylas_12 San Antonio de Cachi</v>
      </c>
      <c r="AL276" s="25">
        <v>2</v>
      </c>
      <c r="AM276" s="25">
        <v>57</v>
      </c>
      <c r="AN276" s="26">
        <f>Tabla2[[#This Row],[Minutos]]/60</f>
        <v>0.95</v>
      </c>
      <c r="AO276" s="27">
        <f>SUM(Tabla2[[#This Row],[Horas]],Tabla2[[#This Row],[Minutos a Horas]])</f>
        <v>2.95</v>
      </c>
      <c r="AP276" s="49">
        <v>6</v>
      </c>
      <c r="AQ276" s="49">
        <v>0</v>
      </c>
      <c r="AR276" s="26">
        <f>Tabla2[[#This Row],[Minutos*]]/60</f>
        <v>0</v>
      </c>
      <c r="AS276" s="27">
        <f>SUM(Tabla2[[#This Row],[Horas*]],Tabla2[[#This Row],[Minutos a Horas*]])+(Tabla2[[#This Row],[Tiempo Total a Nivel Proncincial (Horas)]])</f>
        <v>8.9499999999999993</v>
      </c>
    </row>
    <row r="277" spans="2:45" ht="40.15" customHeight="1" x14ac:dyDescent="0.25">
      <c r="B277" s="91"/>
      <c r="C277" s="91"/>
      <c r="D277" s="91"/>
      <c r="E277" s="92"/>
      <c r="F277" s="92"/>
      <c r="G277" s="92"/>
      <c r="H277" s="98"/>
      <c r="I277" s="99"/>
      <c r="J277" s="99"/>
      <c r="K277" s="99"/>
      <c r="L277" s="98"/>
      <c r="M277" s="92"/>
      <c r="N277" s="100"/>
      <c r="O277" s="94"/>
      <c r="P277" s="102"/>
      <c r="Q277" s="100"/>
      <c r="R277" s="95"/>
      <c r="S277" s="95"/>
      <c r="T277" s="96"/>
      <c r="U277" s="101"/>
      <c r="V277" s="101"/>
      <c r="W277" s="96"/>
      <c r="X277" s="101"/>
      <c r="Y277" s="101"/>
      <c r="Z277" s="96"/>
      <c r="AA277" s="97"/>
      <c r="AB277" s="93"/>
      <c r="AD277" s="20" t="s">
        <v>2398</v>
      </c>
      <c r="AE277" s="10" t="s">
        <v>375</v>
      </c>
      <c r="AF277" s="20" t="s">
        <v>399</v>
      </c>
      <c r="AG277" s="10"/>
      <c r="AH277" s="22" t="str">
        <f t="shared" si="8"/>
        <v>Apurímac_02 Andahuaylas</v>
      </c>
      <c r="AI277" s="10" t="s">
        <v>368</v>
      </c>
      <c r="AJ277" s="20" t="s">
        <v>425</v>
      </c>
      <c r="AK277" s="22" t="str">
        <f t="shared" si="9"/>
        <v>Apurímac_02 Andahuaylas_13 San Jerónimo</v>
      </c>
      <c r="AL277" s="25">
        <v>2</v>
      </c>
      <c r="AM277" s="25">
        <v>57</v>
      </c>
      <c r="AN277" s="26">
        <f>Tabla2[[#This Row],[Minutos]]/60</f>
        <v>0.95</v>
      </c>
      <c r="AO277" s="27">
        <f>SUM(Tabla2[[#This Row],[Horas]],Tabla2[[#This Row],[Minutos a Horas]])</f>
        <v>2.95</v>
      </c>
      <c r="AP277" s="49">
        <v>3</v>
      </c>
      <c r="AQ277" s="49">
        <v>0</v>
      </c>
      <c r="AR277" s="26">
        <f>Tabla2[[#This Row],[Minutos*]]/60</f>
        <v>0</v>
      </c>
      <c r="AS277" s="27">
        <f>SUM(Tabla2[[#This Row],[Horas*]],Tabla2[[#This Row],[Minutos a Horas*]])+(Tabla2[[#This Row],[Tiempo Total a Nivel Proncincial (Horas)]])</f>
        <v>5.95</v>
      </c>
    </row>
    <row r="278" spans="2:45" ht="40.15" customHeight="1" x14ac:dyDescent="0.25">
      <c r="B278" s="91"/>
      <c r="C278" s="91"/>
      <c r="D278" s="91"/>
      <c r="E278" s="92"/>
      <c r="F278" s="92"/>
      <c r="G278" s="92"/>
      <c r="H278" s="98"/>
      <c r="I278" s="99"/>
      <c r="J278" s="99"/>
      <c r="K278" s="99"/>
      <c r="L278" s="98"/>
      <c r="M278" s="92"/>
      <c r="N278" s="100"/>
      <c r="O278" s="94"/>
      <c r="P278" s="102"/>
      <c r="Q278" s="100"/>
      <c r="R278" s="95"/>
      <c r="S278" s="95"/>
      <c r="T278" s="96"/>
      <c r="U278" s="101"/>
      <c r="V278" s="101"/>
      <c r="W278" s="96"/>
      <c r="X278" s="101"/>
      <c r="Y278" s="101"/>
      <c r="Z278" s="96"/>
      <c r="AA278" s="97"/>
      <c r="AB278" s="93"/>
      <c r="AD278" s="20" t="s">
        <v>2398</v>
      </c>
      <c r="AE278" s="10" t="s">
        <v>375</v>
      </c>
      <c r="AF278" s="20" t="s">
        <v>399</v>
      </c>
      <c r="AG278" s="10"/>
      <c r="AH278" s="22" t="str">
        <f t="shared" si="8"/>
        <v>Apurímac_02 Andahuaylas</v>
      </c>
      <c r="AI278" s="10" t="s">
        <v>368</v>
      </c>
      <c r="AJ278" s="20" t="s">
        <v>426</v>
      </c>
      <c r="AK278" s="22" t="str">
        <f t="shared" si="9"/>
        <v>Apurímac_02 Andahuaylas_14 San Miguel de Chaccrampa</v>
      </c>
      <c r="AL278" s="25">
        <v>2</v>
      </c>
      <c r="AM278" s="25">
        <v>57</v>
      </c>
      <c r="AN278" s="26">
        <f>Tabla2[[#This Row],[Minutos]]/60</f>
        <v>0.95</v>
      </c>
      <c r="AO278" s="27">
        <f>SUM(Tabla2[[#This Row],[Horas]],Tabla2[[#This Row],[Minutos a Horas]])</f>
        <v>2.95</v>
      </c>
      <c r="AP278" s="49">
        <v>6</v>
      </c>
      <c r="AQ278" s="49">
        <v>30</v>
      </c>
      <c r="AR278" s="26">
        <f>Tabla2[[#This Row],[Minutos*]]/60</f>
        <v>0.5</v>
      </c>
      <c r="AS278" s="27">
        <f>SUM(Tabla2[[#This Row],[Horas*]],Tabla2[[#This Row],[Minutos a Horas*]])+(Tabla2[[#This Row],[Tiempo Total a Nivel Proncincial (Horas)]])</f>
        <v>9.4499999999999993</v>
      </c>
    </row>
    <row r="279" spans="2:45" ht="40.15" customHeight="1" x14ac:dyDescent="0.25">
      <c r="B279" s="91"/>
      <c r="C279" s="91"/>
      <c r="D279" s="91"/>
      <c r="E279" s="92"/>
      <c r="F279" s="92"/>
      <c r="G279" s="92"/>
      <c r="H279" s="98"/>
      <c r="I279" s="99"/>
      <c r="J279" s="99"/>
      <c r="K279" s="99"/>
      <c r="L279" s="98"/>
      <c r="M279" s="92"/>
      <c r="N279" s="100"/>
      <c r="O279" s="94"/>
      <c r="P279" s="102"/>
      <c r="Q279" s="100"/>
      <c r="R279" s="95"/>
      <c r="S279" s="95"/>
      <c r="T279" s="96"/>
      <c r="U279" s="101"/>
      <c r="V279" s="101"/>
      <c r="W279" s="96"/>
      <c r="X279" s="101"/>
      <c r="Y279" s="101"/>
      <c r="Z279" s="96"/>
      <c r="AA279" s="97"/>
      <c r="AB279" s="93"/>
      <c r="AD279" s="20" t="s">
        <v>2398</v>
      </c>
      <c r="AE279" s="10" t="s">
        <v>375</v>
      </c>
      <c r="AF279" s="20" t="s">
        <v>399</v>
      </c>
      <c r="AG279" s="10"/>
      <c r="AH279" s="22" t="str">
        <f t="shared" si="8"/>
        <v>Apurímac_02 Andahuaylas</v>
      </c>
      <c r="AI279" s="10" t="s">
        <v>368</v>
      </c>
      <c r="AJ279" s="20" t="s">
        <v>427</v>
      </c>
      <c r="AK279" s="22" t="str">
        <f t="shared" si="9"/>
        <v>Apurímac_02 Andahuaylas_15 Santa María de Chicmo</v>
      </c>
      <c r="AL279" s="25">
        <v>2</v>
      </c>
      <c r="AM279" s="25">
        <v>57</v>
      </c>
      <c r="AN279" s="26">
        <f>Tabla2[[#This Row],[Minutos]]/60</f>
        <v>0.95</v>
      </c>
      <c r="AO279" s="27">
        <f>SUM(Tabla2[[#This Row],[Horas]],Tabla2[[#This Row],[Minutos a Horas]])</f>
        <v>2.95</v>
      </c>
      <c r="AP279" s="49">
        <v>3</v>
      </c>
      <c r="AQ279" s="49">
        <v>40</v>
      </c>
      <c r="AR279" s="26">
        <f>Tabla2[[#This Row],[Minutos*]]/60</f>
        <v>0.66666666666666663</v>
      </c>
      <c r="AS279" s="27">
        <f>SUM(Tabla2[[#This Row],[Horas*]],Tabla2[[#This Row],[Minutos a Horas*]])+(Tabla2[[#This Row],[Tiempo Total a Nivel Proncincial (Horas)]])</f>
        <v>6.6166666666666671</v>
      </c>
    </row>
    <row r="280" spans="2:45" ht="40.15" customHeight="1" x14ac:dyDescent="0.25">
      <c r="B280" s="91"/>
      <c r="C280" s="91"/>
      <c r="D280" s="91"/>
      <c r="E280" s="92"/>
      <c r="F280" s="92"/>
      <c r="G280" s="92"/>
      <c r="H280" s="98"/>
      <c r="I280" s="99"/>
      <c r="J280" s="99"/>
      <c r="K280" s="99"/>
      <c r="L280" s="98"/>
      <c r="M280" s="92"/>
      <c r="N280" s="100"/>
      <c r="O280" s="94"/>
      <c r="P280" s="102"/>
      <c r="Q280" s="100"/>
      <c r="R280" s="95"/>
      <c r="S280" s="95"/>
      <c r="T280" s="96"/>
      <c r="U280" s="101"/>
      <c r="V280" s="101"/>
      <c r="W280" s="96"/>
      <c r="X280" s="101"/>
      <c r="Y280" s="101"/>
      <c r="Z280" s="96"/>
      <c r="AA280" s="97"/>
      <c r="AB280" s="93"/>
      <c r="AD280" s="20" t="s">
        <v>2398</v>
      </c>
      <c r="AE280" s="10" t="s">
        <v>375</v>
      </c>
      <c r="AF280" s="20" t="s">
        <v>399</v>
      </c>
      <c r="AG280" s="10"/>
      <c r="AH280" s="22" t="str">
        <f t="shared" si="8"/>
        <v>Apurímac_02 Andahuaylas</v>
      </c>
      <c r="AI280" s="10" t="s">
        <v>368</v>
      </c>
      <c r="AJ280" s="20" t="s">
        <v>428</v>
      </c>
      <c r="AK280" s="22" t="str">
        <f t="shared" si="9"/>
        <v>Apurímac_02 Andahuaylas_16 Talavera</v>
      </c>
      <c r="AL280" s="25">
        <v>2</v>
      </c>
      <c r="AM280" s="25">
        <v>57</v>
      </c>
      <c r="AN280" s="26">
        <f>Tabla2[[#This Row],[Minutos]]/60</f>
        <v>0.95</v>
      </c>
      <c r="AO280" s="27">
        <f>SUM(Tabla2[[#This Row],[Horas]],Tabla2[[#This Row],[Minutos a Horas]])</f>
        <v>2.95</v>
      </c>
      <c r="AP280" s="49">
        <v>3</v>
      </c>
      <c r="AQ280" s="49">
        <v>20</v>
      </c>
      <c r="AR280" s="26">
        <f>Tabla2[[#This Row],[Minutos*]]/60</f>
        <v>0.33333333333333331</v>
      </c>
      <c r="AS280" s="27">
        <f>SUM(Tabla2[[#This Row],[Horas*]],Tabla2[[#This Row],[Minutos a Horas*]])+(Tabla2[[#This Row],[Tiempo Total a Nivel Proncincial (Horas)]])</f>
        <v>6.2833333333333332</v>
      </c>
    </row>
    <row r="281" spans="2:45" ht="40.15" customHeight="1" x14ac:dyDescent="0.25">
      <c r="B281" s="91"/>
      <c r="C281" s="91"/>
      <c r="D281" s="91"/>
      <c r="E281" s="92"/>
      <c r="F281" s="92"/>
      <c r="G281" s="92"/>
      <c r="H281" s="98"/>
      <c r="I281" s="99"/>
      <c r="J281" s="99"/>
      <c r="K281" s="99"/>
      <c r="L281" s="98"/>
      <c r="M281" s="92"/>
      <c r="N281" s="100"/>
      <c r="O281" s="94"/>
      <c r="P281" s="102"/>
      <c r="Q281" s="100"/>
      <c r="R281" s="95"/>
      <c r="S281" s="95"/>
      <c r="T281" s="96"/>
      <c r="U281" s="101"/>
      <c r="V281" s="101"/>
      <c r="W281" s="96"/>
      <c r="X281" s="101"/>
      <c r="Y281" s="101"/>
      <c r="Z281" s="96"/>
      <c r="AA281" s="97"/>
      <c r="AB281" s="93"/>
      <c r="AD281" s="20" t="s">
        <v>2398</v>
      </c>
      <c r="AE281" s="10" t="s">
        <v>375</v>
      </c>
      <c r="AF281" s="20" t="s">
        <v>399</v>
      </c>
      <c r="AG281" s="10"/>
      <c r="AH281" s="22" t="str">
        <f t="shared" si="8"/>
        <v>Apurímac_02 Andahuaylas</v>
      </c>
      <c r="AI281" s="10" t="s">
        <v>368</v>
      </c>
      <c r="AJ281" s="20" t="s">
        <v>429</v>
      </c>
      <c r="AK281" s="22" t="str">
        <f t="shared" si="9"/>
        <v>Apurímac_02 Andahuaylas_17 Tumay Huaraca</v>
      </c>
      <c r="AL281" s="25">
        <v>2</v>
      </c>
      <c r="AM281" s="25">
        <v>57</v>
      </c>
      <c r="AN281" s="26">
        <f>Tabla2[[#This Row],[Minutos]]/60</f>
        <v>0.95</v>
      </c>
      <c r="AO281" s="27">
        <f>SUM(Tabla2[[#This Row],[Horas]],Tabla2[[#This Row],[Minutos a Horas]])</f>
        <v>2.95</v>
      </c>
      <c r="AP281" s="49">
        <v>6</v>
      </c>
      <c r="AQ281" s="49">
        <v>0</v>
      </c>
      <c r="AR281" s="26">
        <f>Tabla2[[#This Row],[Minutos*]]/60</f>
        <v>0</v>
      </c>
      <c r="AS281" s="27">
        <f>SUM(Tabla2[[#This Row],[Horas*]],Tabla2[[#This Row],[Minutos a Horas*]])+(Tabla2[[#This Row],[Tiempo Total a Nivel Proncincial (Horas)]])</f>
        <v>8.9499999999999993</v>
      </c>
    </row>
    <row r="282" spans="2:45" ht="40.15" customHeight="1" x14ac:dyDescent="0.25">
      <c r="B282" s="91"/>
      <c r="C282" s="91"/>
      <c r="D282" s="91"/>
      <c r="E282" s="92"/>
      <c r="F282" s="92"/>
      <c r="G282" s="92"/>
      <c r="H282" s="98"/>
      <c r="I282" s="99"/>
      <c r="J282" s="99"/>
      <c r="K282" s="99"/>
      <c r="L282" s="98"/>
      <c r="M282" s="92"/>
      <c r="N282" s="100"/>
      <c r="O282" s="94"/>
      <c r="P282" s="102"/>
      <c r="Q282" s="100"/>
      <c r="R282" s="95"/>
      <c r="S282" s="95"/>
      <c r="T282" s="96"/>
      <c r="U282" s="101"/>
      <c r="V282" s="101"/>
      <c r="W282" s="96"/>
      <c r="X282" s="101"/>
      <c r="Y282" s="101"/>
      <c r="Z282" s="96"/>
      <c r="AA282" s="97"/>
      <c r="AB282" s="93"/>
      <c r="AD282" s="20" t="s">
        <v>2398</v>
      </c>
      <c r="AE282" s="10" t="s">
        <v>375</v>
      </c>
      <c r="AF282" s="20" t="s">
        <v>399</v>
      </c>
      <c r="AG282" s="10"/>
      <c r="AH282" s="22" t="str">
        <f t="shared" si="8"/>
        <v>Apurímac_02 Andahuaylas</v>
      </c>
      <c r="AI282" s="10" t="s">
        <v>368</v>
      </c>
      <c r="AJ282" s="20" t="s">
        <v>430</v>
      </c>
      <c r="AK282" s="22" t="str">
        <f t="shared" si="9"/>
        <v>Apurímac_02 Andahuaylas_18 Turpo</v>
      </c>
      <c r="AL282" s="25">
        <v>2</v>
      </c>
      <c r="AM282" s="25">
        <v>57</v>
      </c>
      <c r="AN282" s="26">
        <f>Tabla2[[#This Row],[Minutos]]/60</f>
        <v>0.95</v>
      </c>
      <c r="AO282" s="27">
        <f>SUM(Tabla2[[#This Row],[Horas]],Tabla2[[#This Row],[Minutos a Horas]])</f>
        <v>2.95</v>
      </c>
      <c r="AP282" s="49">
        <v>4</v>
      </c>
      <c r="AQ282" s="49">
        <v>30</v>
      </c>
      <c r="AR282" s="26">
        <f>Tabla2[[#This Row],[Minutos*]]/60</f>
        <v>0.5</v>
      </c>
      <c r="AS282" s="27">
        <f>SUM(Tabla2[[#This Row],[Horas*]],Tabla2[[#This Row],[Minutos a Horas*]])+(Tabla2[[#This Row],[Tiempo Total a Nivel Proncincial (Horas)]])</f>
        <v>7.45</v>
      </c>
    </row>
    <row r="283" spans="2:45" ht="40.15" customHeight="1" x14ac:dyDescent="0.25">
      <c r="B283" s="91"/>
      <c r="C283" s="91"/>
      <c r="D283" s="91"/>
      <c r="E283" s="92"/>
      <c r="F283" s="92"/>
      <c r="G283" s="92"/>
      <c r="H283" s="98"/>
      <c r="I283" s="99"/>
      <c r="J283" s="99"/>
      <c r="K283" s="99"/>
      <c r="L283" s="98"/>
      <c r="M283" s="92"/>
      <c r="N283" s="100"/>
      <c r="O283" s="94"/>
      <c r="P283" s="102"/>
      <c r="Q283" s="100"/>
      <c r="R283" s="95"/>
      <c r="S283" s="95"/>
      <c r="T283" s="96"/>
      <c r="U283" s="101"/>
      <c r="V283" s="101"/>
      <c r="W283" s="96"/>
      <c r="X283" s="101"/>
      <c r="Y283" s="101"/>
      <c r="Z283" s="96"/>
      <c r="AA283" s="97"/>
      <c r="AB283" s="93"/>
      <c r="AD283" s="20" t="s">
        <v>2398</v>
      </c>
      <c r="AE283" s="10" t="s">
        <v>375</v>
      </c>
      <c r="AF283" s="20" t="s">
        <v>399</v>
      </c>
      <c r="AG283" s="10"/>
      <c r="AH283" s="22" t="str">
        <f t="shared" si="8"/>
        <v>Apurímac_02 Andahuaylas</v>
      </c>
      <c r="AI283" s="10" t="s">
        <v>368</v>
      </c>
      <c r="AJ283" s="20" t="s">
        <v>431</v>
      </c>
      <c r="AK283" s="22" t="str">
        <f t="shared" si="9"/>
        <v>Apurímac_02 Andahuaylas_19 Kaquiabamba</v>
      </c>
      <c r="AL283" s="25">
        <v>2</v>
      </c>
      <c r="AM283" s="25">
        <v>57</v>
      </c>
      <c r="AN283" s="26">
        <f>Tabla2[[#This Row],[Minutos]]/60</f>
        <v>0.95</v>
      </c>
      <c r="AO283" s="27">
        <f>SUM(Tabla2[[#This Row],[Horas]],Tabla2[[#This Row],[Minutos a Horas]])</f>
        <v>2.95</v>
      </c>
      <c r="AP283" s="49">
        <v>4</v>
      </c>
      <c r="AQ283" s="49">
        <v>40</v>
      </c>
      <c r="AR283" s="26">
        <f>Tabla2[[#This Row],[Minutos*]]/60</f>
        <v>0.66666666666666663</v>
      </c>
      <c r="AS283" s="27">
        <f>SUM(Tabla2[[#This Row],[Horas*]],Tabla2[[#This Row],[Minutos a Horas*]])+(Tabla2[[#This Row],[Tiempo Total a Nivel Proncincial (Horas)]])</f>
        <v>7.6166666666666671</v>
      </c>
    </row>
    <row r="284" spans="2:45" ht="40.15" customHeight="1" x14ac:dyDescent="0.25">
      <c r="B284" s="91"/>
      <c r="C284" s="91"/>
      <c r="D284" s="91"/>
      <c r="E284" s="92"/>
      <c r="F284" s="92"/>
      <c r="G284" s="92"/>
      <c r="H284" s="98"/>
      <c r="I284" s="99"/>
      <c r="J284" s="99"/>
      <c r="K284" s="99"/>
      <c r="L284" s="98"/>
      <c r="M284" s="92"/>
      <c r="N284" s="100"/>
      <c r="O284" s="94"/>
      <c r="P284" s="102"/>
      <c r="Q284" s="100"/>
      <c r="R284" s="95"/>
      <c r="S284" s="95"/>
      <c r="T284" s="96"/>
      <c r="U284" s="101"/>
      <c r="V284" s="101"/>
      <c r="W284" s="96"/>
      <c r="X284" s="101"/>
      <c r="Y284" s="101"/>
      <c r="Z284" s="96"/>
      <c r="AA284" s="97"/>
      <c r="AB284" s="93"/>
      <c r="AD284" s="20" t="s">
        <v>2398</v>
      </c>
      <c r="AE284" s="10" t="s">
        <v>375</v>
      </c>
      <c r="AF284" s="20" t="s">
        <v>399</v>
      </c>
      <c r="AG284" s="10"/>
      <c r="AH284" s="22" t="str">
        <f t="shared" si="8"/>
        <v>Apurímac_02 Andahuaylas</v>
      </c>
      <c r="AI284" s="10" t="s">
        <v>368</v>
      </c>
      <c r="AJ284" s="20" t="s">
        <v>432</v>
      </c>
      <c r="AK284" s="22" t="str">
        <f t="shared" si="9"/>
        <v>Apurímac_02 Andahuaylas_20 José María Arguedas</v>
      </c>
      <c r="AL284" s="25">
        <v>2</v>
      </c>
      <c r="AM284" s="25">
        <v>57</v>
      </c>
      <c r="AN284" s="26">
        <f>Tabla2[[#This Row],[Minutos]]/60</f>
        <v>0.95</v>
      </c>
      <c r="AO284" s="27">
        <f>SUM(Tabla2[[#This Row],[Horas]],Tabla2[[#This Row],[Minutos a Horas]])</f>
        <v>2.95</v>
      </c>
      <c r="AP284" s="49">
        <v>3</v>
      </c>
      <c r="AQ284" s="49">
        <v>50</v>
      </c>
      <c r="AR284" s="26">
        <f>Tabla2[[#This Row],[Minutos*]]/60</f>
        <v>0.83333333333333337</v>
      </c>
      <c r="AS284" s="27">
        <f>SUM(Tabla2[[#This Row],[Horas*]],Tabla2[[#This Row],[Minutos a Horas*]])+(Tabla2[[#This Row],[Tiempo Total a Nivel Proncincial (Horas)]])</f>
        <v>6.7833333333333332</v>
      </c>
    </row>
    <row r="285" spans="2:45" ht="40.15" customHeight="1" x14ac:dyDescent="0.25">
      <c r="B285" s="91"/>
      <c r="C285" s="91"/>
      <c r="D285" s="91"/>
      <c r="E285" s="92"/>
      <c r="F285" s="92"/>
      <c r="G285" s="92"/>
      <c r="H285" s="98"/>
      <c r="I285" s="99"/>
      <c r="J285" s="99"/>
      <c r="K285" s="99"/>
      <c r="L285" s="98"/>
      <c r="M285" s="92"/>
      <c r="N285" s="100"/>
      <c r="O285" s="94"/>
      <c r="P285" s="102"/>
      <c r="Q285" s="100"/>
      <c r="R285" s="95"/>
      <c r="S285" s="95"/>
      <c r="T285" s="96"/>
      <c r="U285" s="101"/>
      <c r="V285" s="101"/>
      <c r="W285" s="96"/>
      <c r="X285" s="101"/>
      <c r="Y285" s="101"/>
      <c r="Z285" s="96"/>
      <c r="AA285" s="97"/>
      <c r="AB285" s="93"/>
      <c r="AD285" s="20" t="s">
        <v>2398</v>
      </c>
      <c r="AE285" s="10" t="s">
        <v>375</v>
      </c>
      <c r="AF285" s="20" t="s">
        <v>400</v>
      </c>
      <c r="AG285" s="10"/>
      <c r="AH285" s="22" t="str">
        <f t="shared" si="8"/>
        <v>Apurímac_03 Antabamba</v>
      </c>
      <c r="AI285" s="10" t="s">
        <v>369</v>
      </c>
      <c r="AJ285" s="20" t="s">
        <v>433</v>
      </c>
      <c r="AK285" s="22" t="str">
        <f t="shared" si="9"/>
        <v>Apurímac_03 Antabamba_01 Antabamba</v>
      </c>
      <c r="AL285" s="25">
        <v>2</v>
      </c>
      <c r="AM285" s="25">
        <v>13</v>
      </c>
      <c r="AN285" s="26">
        <f>Tabla2[[#This Row],[Minutos]]/60</f>
        <v>0.21666666666666667</v>
      </c>
      <c r="AO285" s="27">
        <f>SUM(Tabla2[[#This Row],[Horas]],Tabla2[[#This Row],[Minutos a Horas]])</f>
        <v>2.2166666666666668</v>
      </c>
      <c r="AP285" s="49">
        <v>4</v>
      </c>
      <c r="AQ285" s="49">
        <v>20</v>
      </c>
      <c r="AR285" s="26">
        <f>Tabla2[[#This Row],[Minutos*]]/60</f>
        <v>0.33333333333333331</v>
      </c>
      <c r="AS285" s="27">
        <f>SUM(Tabla2[[#This Row],[Horas*]],Tabla2[[#This Row],[Minutos a Horas*]])+(Tabla2[[#This Row],[Tiempo Total a Nivel Proncincial (Horas)]])</f>
        <v>6.55</v>
      </c>
    </row>
    <row r="286" spans="2:45" ht="40.15" customHeight="1" x14ac:dyDescent="0.25">
      <c r="B286" s="91"/>
      <c r="C286" s="91"/>
      <c r="D286" s="91"/>
      <c r="E286" s="92"/>
      <c r="F286" s="92"/>
      <c r="G286" s="92"/>
      <c r="H286" s="98"/>
      <c r="I286" s="99"/>
      <c r="J286" s="99"/>
      <c r="K286" s="99"/>
      <c r="L286" s="98"/>
      <c r="M286" s="92"/>
      <c r="N286" s="100"/>
      <c r="O286" s="94"/>
      <c r="P286" s="102"/>
      <c r="Q286" s="100"/>
      <c r="R286" s="95"/>
      <c r="S286" s="95"/>
      <c r="T286" s="96"/>
      <c r="U286" s="101"/>
      <c r="V286" s="101"/>
      <c r="W286" s="96"/>
      <c r="X286" s="101"/>
      <c r="Y286" s="101"/>
      <c r="Z286" s="96"/>
      <c r="AA286" s="97"/>
      <c r="AB286" s="93"/>
      <c r="AD286" s="20" t="s">
        <v>2398</v>
      </c>
      <c r="AE286" s="10" t="s">
        <v>375</v>
      </c>
      <c r="AF286" s="20" t="s">
        <v>400</v>
      </c>
      <c r="AG286" s="10"/>
      <c r="AH286" s="22" t="str">
        <f t="shared" si="8"/>
        <v>Apurímac_03 Antabamba</v>
      </c>
      <c r="AI286" s="10" t="s">
        <v>369</v>
      </c>
      <c r="AJ286" s="20" t="s">
        <v>434</v>
      </c>
      <c r="AK286" s="22" t="str">
        <f t="shared" si="9"/>
        <v>Apurímac_03 Antabamba_02 El Oro</v>
      </c>
      <c r="AL286" s="25">
        <v>2</v>
      </c>
      <c r="AM286" s="25">
        <v>13</v>
      </c>
      <c r="AN286" s="26">
        <f>Tabla2[[#This Row],[Minutos]]/60</f>
        <v>0.21666666666666667</v>
      </c>
      <c r="AO286" s="27">
        <f>SUM(Tabla2[[#This Row],[Horas]],Tabla2[[#This Row],[Minutos a Horas]])</f>
        <v>2.2166666666666668</v>
      </c>
      <c r="AP286" s="49">
        <v>4</v>
      </c>
      <c r="AQ286" s="49">
        <v>15</v>
      </c>
      <c r="AR286" s="26">
        <f>Tabla2[[#This Row],[Minutos*]]/60</f>
        <v>0.25</v>
      </c>
      <c r="AS286" s="27">
        <f>SUM(Tabla2[[#This Row],[Horas*]],Tabla2[[#This Row],[Minutos a Horas*]])+(Tabla2[[#This Row],[Tiempo Total a Nivel Proncincial (Horas)]])</f>
        <v>6.4666666666666668</v>
      </c>
    </row>
    <row r="287" spans="2:45" ht="40.15" customHeight="1" x14ac:dyDescent="0.25">
      <c r="B287" s="91"/>
      <c r="C287" s="91"/>
      <c r="D287" s="91"/>
      <c r="E287" s="92"/>
      <c r="F287" s="92"/>
      <c r="G287" s="92"/>
      <c r="H287" s="98"/>
      <c r="I287" s="99"/>
      <c r="J287" s="99"/>
      <c r="K287" s="99"/>
      <c r="L287" s="98"/>
      <c r="M287" s="92"/>
      <c r="N287" s="100"/>
      <c r="O287" s="94"/>
      <c r="P287" s="102"/>
      <c r="Q287" s="100"/>
      <c r="R287" s="95"/>
      <c r="S287" s="95"/>
      <c r="T287" s="96"/>
      <c r="U287" s="101"/>
      <c r="V287" s="101"/>
      <c r="W287" s="96"/>
      <c r="X287" s="101"/>
      <c r="Y287" s="101"/>
      <c r="Z287" s="96"/>
      <c r="AA287" s="97"/>
      <c r="AB287" s="93"/>
      <c r="AD287" s="20" t="s">
        <v>2398</v>
      </c>
      <c r="AE287" s="10" t="s">
        <v>375</v>
      </c>
      <c r="AF287" s="20" t="s">
        <v>400</v>
      </c>
      <c r="AG287" s="10"/>
      <c r="AH287" s="22" t="str">
        <f t="shared" si="8"/>
        <v>Apurímac_03 Antabamba</v>
      </c>
      <c r="AI287" s="10" t="s">
        <v>369</v>
      </c>
      <c r="AJ287" s="20" t="s">
        <v>435</v>
      </c>
      <c r="AK287" s="22" t="str">
        <f t="shared" si="9"/>
        <v>Apurímac_03 Antabamba_03 Huaquirca</v>
      </c>
      <c r="AL287" s="25">
        <v>2</v>
      </c>
      <c r="AM287" s="25">
        <v>13</v>
      </c>
      <c r="AN287" s="26">
        <f>Tabla2[[#This Row],[Minutos]]/60</f>
        <v>0.21666666666666667</v>
      </c>
      <c r="AO287" s="27">
        <f>SUM(Tabla2[[#This Row],[Horas]],Tabla2[[#This Row],[Minutos a Horas]])</f>
        <v>2.2166666666666668</v>
      </c>
      <c r="AP287" s="49">
        <v>4</v>
      </c>
      <c r="AQ287" s="49">
        <v>30</v>
      </c>
      <c r="AR287" s="26">
        <f>Tabla2[[#This Row],[Minutos*]]/60</f>
        <v>0.5</v>
      </c>
      <c r="AS287" s="27">
        <f>SUM(Tabla2[[#This Row],[Horas*]],Tabla2[[#This Row],[Minutos a Horas*]])+(Tabla2[[#This Row],[Tiempo Total a Nivel Proncincial (Horas)]])</f>
        <v>6.7166666666666668</v>
      </c>
    </row>
    <row r="288" spans="2:45" ht="40.15" customHeight="1" x14ac:dyDescent="0.25">
      <c r="B288" s="91"/>
      <c r="C288" s="91"/>
      <c r="D288" s="91"/>
      <c r="E288" s="92"/>
      <c r="F288" s="92"/>
      <c r="G288" s="92"/>
      <c r="H288" s="98"/>
      <c r="I288" s="99"/>
      <c r="J288" s="99"/>
      <c r="K288" s="99"/>
      <c r="L288" s="98"/>
      <c r="M288" s="92"/>
      <c r="N288" s="100"/>
      <c r="O288" s="94"/>
      <c r="P288" s="102"/>
      <c r="Q288" s="100"/>
      <c r="R288" s="95"/>
      <c r="S288" s="95"/>
      <c r="T288" s="96"/>
      <c r="U288" s="101"/>
      <c r="V288" s="101"/>
      <c r="W288" s="96"/>
      <c r="X288" s="101"/>
      <c r="Y288" s="101"/>
      <c r="Z288" s="96"/>
      <c r="AA288" s="97"/>
      <c r="AB288" s="93"/>
      <c r="AD288" s="20" t="s">
        <v>2398</v>
      </c>
      <c r="AE288" s="10" t="s">
        <v>375</v>
      </c>
      <c r="AF288" s="20" t="s">
        <v>400</v>
      </c>
      <c r="AG288" s="10"/>
      <c r="AH288" s="22" t="str">
        <f t="shared" si="8"/>
        <v>Apurímac_03 Antabamba</v>
      </c>
      <c r="AI288" s="10" t="s">
        <v>369</v>
      </c>
      <c r="AJ288" s="20" t="s">
        <v>436</v>
      </c>
      <c r="AK288" s="22" t="str">
        <f t="shared" si="9"/>
        <v>Apurímac_03 Antabamba_04 Juan Espinoza Medrano</v>
      </c>
      <c r="AL288" s="25">
        <v>2</v>
      </c>
      <c r="AM288" s="25">
        <v>13</v>
      </c>
      <c r="AN288" s="26">
        <f>Tabla2[[#This Row],[Minutos]]/60</f>
        <v>0.21666666666666667</v>
      </c>
      <c r="AO288" s="27">
        <f>SUM(Tabla2[[#This Row],[Horas]],Tabla2[[#This Row],[Minutos a Horas]])</f>
        <v>2.2166666666666668</v>
      </c>
      <c r="AP288" s="49">
        <v>5</v>
      </c>
      <c r="AQ288" s="49">
        <v>40</v>
      </c>
      <c r="AR288" s="26">
        <f>Tabla2[[#This Row],[Minutos*]]/60</f>
        <v>0.66666666666666663</v>
      </c>
      <c r="AS288" s="27">
        <f>SUM(Tabla2[[#This Row],[Horas*]],Tabla2[[#This Row],[Minutos a Horas*]])+(Tabla2[[#This Row],[Tiempo Total a Nivel Proncincial (Horas)]])</f>
        <v>7.8833333333333337</v>
      </c>
    </row>
    <row r="289" spans="2:45" ht="40.15" customHeight="1" x14ac:dyDescent="0.25">
      <c r="B289" s="91"/>
      <c r="C289" s="91"/>
      <c r="D289" s="91"/>
      <c r="E289" s="92"/>
      <c r="F289" s="92"/>
      <c r="G289" s="92"/>
      <c r="H289" s="98"/>
      <c r="I289" s="99"/>
      <c r="J289" s="99"/>
      <c r="K289" s="99"/>
      <c r="L289" s="98"/>
      <c r="M289" s="92"/>
      <c r="N289" s="100"/>
      <c r="O289" s="94"/>
      <c r="P289" s="102"/>
      <c r="Q289" s="100"/>
      <c r="R289" s="95"/>
      <c r="S289" s="95"/>
      <c r="T289" s="96"/>
      <c r="U289" s="101"/>
      <c r="V289" s="101"/>
      <c r="W289" s="96"/>
      <c r="X289" s="101"/>
      <c r="Y289" s="101"/>
      <c r="Z289" s="96"/>
      <c r="AA289" s="97"/>
      <c r="AB289" s="93"/>
      <c r="AD289" s="20" t="s">
        <v>2398</v>
      </c>
      <c r="AE289" s="10" t="s">
        <v>375</v>
      </c>
      <c r="AF289" s="20" t="s">
        <v>400</v>
      </c>
      <c r="AG289" s="10"/>
      <c r="AH289" s="22" t="str">
        <f t="shared" si="8"/>
        <v>Apurímac_03 Antabamba</v>
      </c>
      <c r="AI289" s="10" t="s">
        <v>369</v>
      </c>
      <c r="AJ289" s="20" t="s">
        <v>437</v>
      </c>
      <c r="AK289" s="22" t="str">
        <f t="shared" si="9"/>
        <v>Apurímac_03 Antabamba_05 Oropesa</v>
      </c>
      <c r="AL289" s="25">
        <v>2</v>
      </c>
      <c r="AM289" s="25">
        <v>13</v>
      </c>
      <c r="AN289" s="26">
        <f>Tabla2[[#This Row],[Minutos]]/60</f>
        <v>0.21666666666666667</v>
      </c>
      <c r="AO289" s="27">
        <f>SUM(Tabla2[[#This Row],[Horas]],Tabla2[[#This Row],[Minutos a Horas]])</f>
        <v>2.2166666666666668</v>
      </c>
      <c r="AP289" s="49">
        <v>6</v>
      </c>
      <c r="AQ289" s="49">
        <v>30</v>
      </c>
      <c r="AR289" s="26">
        <f>Tabla2[[#This Row],[Minutos*]]/60</f>
        <v>0.5</v>
      </c>
      <c r="AS289" s="27">
        <f>SUM(Tabla2[[#This Row],[Horas*]],Tabla2[[#This Row],[Minutos a Horas*]])+(Tabla2[[#This Row],[Tiempo Total a Nivel Proncincial (Horas)]])</f>
        <v>8.7166666666666668</v>
      </c>
    </row>
    <row r="290" spans="2:45" ht="40.15" customHeight="1" x14ac:dyDescent="0.25">
      <c r="B290" s="91"/>
      <c r="C290" s="91"/>
      <c r="D290" s="91"/>
      <c r="E290" s="92"/>
      <c r="F290" s="92"/>
      <c r="G290" s="92"/>
      <c r="H290" s="98"/>
      <c r="I290" s="99"/>
      <c r="J290" s="99"/>
      <c r="K290" s="99"/>
      <c r="L290" s="98"/>
      <c r="M290" s="92"/>
      <c r="N290" s="100"/>
      <c r="O290" s="94"/>
      <c r="P290" s="102"/>
      <c r="Q290" s="100"/>
      <c r="R290" s="95"/>
      <c r="S290" s="95"/>
      <c r="T290" s="96"/>
      <c r="U290" s="101"/>
      <c r="V290" s="101"/>
      <c r="W290" s="96"/>
      <c r="X290" s="101"/>
      <c r="Y290" s="101"/>
      <c r="Z290" s="96"/>
      <c r="AA290" s="97"/>
      <c r="AB290" s="93"/>
      <c r="AD290" s="20" t="s">
        <v>2398</v>
      </c>
      <c r="AE290" s="10" t="s">
        <v>375</v>
      </c>
      <c r="AF290" s="20" t="s">
        <v>400</v>
      </c>
      <c r="AG290" s="10"/>
      <c r="AH290" s="22" t="str">
        <f t="shared" si="8"/>
        <v>Apurímac_03 Antabamba</v>
      </c>
      <c r="AI290" s="10" t="s">
        <v>369</v>
      </c>
      <c r="AJ290" s="20" t="s">
        <v>438</v>
      </c>
      <c r="AK290" s="22" t="str">
        <f t="shared" si="9"/>
        <v>Apurímac_03 Antabamba_06 Pachaconas</v>
      </c>
      <c r="AL290" s="25">
        <v>2</v>
      </c>
      <c r="AM290" s="25">
        <v>13</v>
      </c>
      <c r="AN290" s="26">
        <f>Tabla2[[#This Row],[Minutos]]/60</f>
        <v>0.21666666666666667</v>
      </c>
      <c r="AO290" s="27">
        <f>SUM(Tabla2[[#This Row],[Horas]],Tabla2[[#This Row],[Minutos a Horas]])</f>
        <v>2.2166666666666668</v>
      </c>
      <c r="AP290" s="49">
        <v>4</v>
      </c>
      <c r="AQ290" s="49">
        <v>30</v>
      </c>
      <c r="AR290" s="26">
        <f>Tabla2[[#This Row],[Minutos*]]/60</f>
        <v>0.5</v>
      </c>
      <c r="AS290" s="27">
        <f>SUM(Tabla2[[#This Row],[Horas*]],Tabla2[[#This Row],[Minutos a Horas*]])+(Tabla2[[#This Row],[Tiempo Total a Nivel Proncincial (Horas)]])</f>
        <v>6.7166666666666668</v>
      </c>
    </row>
    <row r="291" spans="2:45" ht="40.15" customHeight="1" x14ac:dyDescent="0.25">
      <c r="B291" s="91"/>
      <c r="C291" s="91"/>
      <c r="D291" s="91"/>
      <c r="E291" s="92"/>
      <c r="F291" s="92"/>
      <c r="G291" s="92"/>
      <c r="H291" s="98"/>
      <c r="I291" s="99"/>
      <c r="J291" s="99"/>
      <c r="K291" s="99"/>
      <c r="L291" s="98"/>
      <c r="M291" s="92"/>
      <c r="N291" s="100"/>
      <c r="O291" s="94"/>
      <c r="P291" s="102"/>
      <c r="Q291" s="100"/>
      <c r="R291" s="95"/>
      <c r="S291" s="95"/>
      <c r="T291" s="96"/>
      <c r="U291" s="101"/>
      <c r="V291" s="101"/>
      <c r="W291" s="96"/>
      <c r="X291" s="101"/>
      <c r="Y291" s="101"/>
      <c r="Z291" s="96"/>
      <c r="AA291" s="97"/>
      <c r="AB291" s="93"/>
      <c r="AD291" s="20" t="s">
        <v>2398</v>
      </c>
      <c r="AE291" s="10" t="s">
        <v>375</v>
      </c>
      <c r="AF291" s="20" t="s">
        <v>400</v>
      </c>
      <c r="AG291" s="10"/>
      <c r="AH291" s="22" t="str">
        <f t="shared" si="8"/>
        <v>Apurímac_03 Antabamba</v>
      </c>
      <c r="AI291" s="10" t="s">
        <v>369</v>
      </c>
      <c r="AJ291" s="20" t="s">
        <v>439</v>
      </c>
      <c r="AK291" s="22" t="str">
        <f t="shared" si="9"/>
        <v>Apurímac_03 Antabamba_07 Sabaino</v>
      </c>
      <c r="AL291" s="25">
        <v>2</v>
      </c>
      <c r="AM291" s="25">
        <v>13</v>
      </c>
      <c r="AN291" s="26">
        <f>Tabla2[[#This Row],[Minutos]]/60</f>
        <v>0.21666666666666667</v>
      </c>
      <c r="AO291" s="27">
        <f>SUM(Tabla2[[#This Row],[Horas]],Tabla2[[#This Row],[Minutos a Horas]])</f>
        <v>2.2166666666666668</v>
      </c>
      <c r="AP291" s="49">
        <v>4</v>
      </c>
      <c r="AQ291" s="49">
        <v>20</v>
      </c>
      <c r="AR291" s="26">
        <f>Tabla2[[#This Row],[Minutos*]]/60</f>
        <v>0.33333333333333331</v>
      </c>
      <c r="AS291" s="27">
        <f>SUM(Tabla2[[#This Row],[Horas*]],Tabla2[[#This Row],[Minutos a Horas*]])+(Tabla2[[#This Row],[Tiempo Total a Nivel Proncincial (Horas)]])</f>
        <v>6.55</v>
      </c>
    </row>
    <row r="292" spans="2:45" ht="40.15" customHeight="1" x14ac:dyDescent="0.25">
      <c r="B292" s="91"/>
      <c r="C292" s="91"/>
      <c r="D292" s="91"/>
      <c r="E292" s="92"/>
      <c r="F292" s="92"/>
      <c r="G292" s="92"/>
      <c r="H292" s="98"/>
      <c r="I292" s="99"/>
      <c r="J292" s="99"/>
      <c r="K292" s="99"/>
      <c r="L292" s="98"/>
      <c r="M292" s="92"/>
      <c r="N292" s="100"/>
      <c r="O292" s="94"/>
      <c r="P292" s="102"/>
      <c r="Q292" s="100"/>
      <c r="R292" s="95"/>
      <c r="S292" s="95"/>
      <c r="T292" s="96"/>
      <c r="U292" s="101"/>
      <c r="V292" s="101"/>
      <c r="W292" s="96"/>
      <c r="X292" s="101"/>
      <c r="Y292" s="101"/>
      <c r="Z292" s="96"/>
      <c r="AA292" s="97"/>
      <c r="AB292" s="93"/>
      <c r="AD292" s="20" t="s">
        <v>2398</v>
      </c>
      <c r="AE292" s="10" t="s">
        <v>375</v>
      </c>
      <c r="AF292" s="20" t="s">
        <v>401</v>
      </c>
      <c r="AG292" s="10"/>
      <c r="AH292" s="22" t="str">
        <f t="shared" si="8"/>
        <v>Apurímac_04 Aymaraes</v>
      </c>
      <c r="AI292" s="10" t="s">
        <v>370</v>
      </c>
      <c r="AJ292" s="20" t="s">
        <v>440</v>
      </c>
      <c r="AK292" s="22" t="str">
        <f t="shared" si="9"/>
        <v>Apurímac_04 Aymaraes_01 Chalhuanca</v>
      </c>
      <c r="AL292" s="25">
        <v>2</v>
      </c>
      <c r="AM292" s="25">
        <v>3</v>
      </c>
      <c r="AN292" s="26">
        <f>Tabla2[[#This Row],[Minutos]]/60</f>
        <v>0.05</v>
      </c>
      <c r="AO292" s="27">
        <f>SUM(Tabla2[[#This Row],[Horas]],Tabla2[[#This Row],[Minutos a Horas]])</f>
        <v>2.0499999999999998</v>
      </c>
      <c r="AP292" s="49">
        <v>2</v>
      </c>
      <c r="AQ292" s="49">
        <v>0</v>
      </c>
      <c r="AR292" s="26">
        <f>Tabla2[[#This Row],[Minutos*]]/60</f>
        <v>0</v>
      </c>
      <c r="AS292" s="27">
        <f>SUM(Tabla2[[#This Row],[Horas*]],Tabla2[[#This Row],[Minutos a Horas*]])+(Tabla2[[#This Row],[Tiempo Total a Nivel Proncincial (Horas)]])</f>
        <v>4.05</v>
      </c>
    </row>
    <row r="293" spans="2:45" ht="40.15" customHeight="1" x14ac:dyDescent="0.25">
      <c r="B293" s="91"/>
      <c r="C293" s="91"/>
      <c r="D293" s="91"/>
      <c r="E293" s="92"/>
      <c r="F293" s="92"/>
      <c r="G293" s="92"/>
      <c r="H293" s="98"/>
      <c r="I293" s="99"/>
      <c r="J293" s="99"/>
      <c r="K293" s="99"/>
      <c r="L293" s="98"/>
      <c r="M293" s="92"/>
      <c r="N293" s="100"/>
      <c r="O293" s="94"/>
      <c r="P293" s="102"/>
      <c r="Q293" s="100"/>
      <c r="R293" s="95"/>
      <c r="S293" s="95"/>
      <c r="T293" s="96"/>
      <c r="U293" s="101"/>
      <c r="V293" s="101"/>
      <c r="W293" s="96"/>
      <c r="X293" s="101"/>
      <c r="Y293" s="101"/>
      <c r="Z293" s="96"/>
      <c r="AA293" s="97"/>
      <c r="AB293" s="93"/>
      <c r="AD293" s="20" t="s">
        <v>2398</v>
      </c>
      <c r="AE293" s="10" t="s">
        <v>375</v>
      </c>
      <c r="AF293" s="20" t="s">
        <v>401</v>
      </c>
      <c r="AG293" s="10"/>
      <c r="AH293" s="22" t="str">
        <f t="shared" si="8"/>
        <v>Apurímac_04 Aymaraes</v>
      </c>
      <c r="AI293" s="10" t="s">
        <v>370</v>
      </c>
      <c r="AJ293" s="20" t="s">
        <v>441</v>
      </c>
      <c r="AK293" s="22" t="str">
        <f t="shared" si="9"/>
        <v>Apurímac_04 Aymaraes_02 Capaya</v>
      </c>
      <c r="AL293" s="25">
        <v>2</v>
      </c>
      <c r="AM293" s="25">
        <v>3</v>
      </c>
      <c r="AN293" s="26">
        <f>Tabla2[[#This Row],[Minutos]]/60</f>
        <v>0.05</v>
      </c>
      <c r="AO293" s="27">
        <f>SUM(Tabla2[[#This Row],[Horas]],Tabla2[[#This Row],[Minutos a Horas]])</f>
        <v>2.0499999999999998</v>
      </c>
      <c r="AP293" s="49">
        <v>3</v>
      </c>
      <c r="AQ293" s="49">
        <v>30</v>
      </c>
      <c r="AR293" s="26">
        <f>Tabla2[[#This Row],[Minutos*]]/60</f>
        <v>0.5</v>
      </c>
      <c r="AS293" s="27">
        <f>SUM(Tabla2[[#This Row],[Horas*]],Tabla2[[#This Row],[Minutos a Horas*]])+(Tabla2[[#This Row],[Tiempo Total a Nivel Proncincial (Horas)]])</f>
        <v>5.55</v>
      </c>
    </row>
    <row r="294" spans="2:45" ht="40.15" customHeight="1" x14ac:dyDescent="0.25">
      <c r="B294" s="91"/>
      <c r="C294" s="91"/>
      <c r="D294" s="91"/>
      <c r="E294" s="92"/>
      <c r="F294" s="92"/>
      <c r="G294" s="92"/>
      <c r="H294" s="98"/>
      <c r="I294" s="99"/>
      <c r="J294" s="99"/>
      <c r="K294" s="99"/>
      <c r="L294" s="98"/>
      <c r="M294" s="92"/>
      <c r="N294" s="100"/>
      <c r="O294" s="94"/>
      <c r="P294" s="102"/>
      <c r="Q294" s="100"/>
      <c r="R294" s="95"/>
      <c r="S294" s="95"/>
      <c r="T294" s="96"/>
      <c r="U294" s="101"/>
      <c r="V294" s="101"/>
      <c r="W294" s="96"/>
      <c r="X294" s="101"/>
      <c r="Y294" s="101"/>
      <c r="Z294" s="96"/>
      <c r="AA294" s="97"/>
      <c r="AB294" s="93"/>
      <c r="AD294" s="20" t="s">
        <v>2398</v>
      </c>
      <c r="AE294" s="10" t="s">
        <v>375</v>
      </c>
      <c r="AF294" s="20" t="s">
        <v>401</v>
      </c>
      <c r="AG294" s="10"/>
      <c r="AH294" s="22" t="str">
        <f t="shared" si="8"/>
        <v>Apurímac_04 Aymaraes</v>
      </c>
      <c r="AI294" s="10" t="s">
        <v>370</v>
      </c>
      <c r="AJ294" s="20" t="s">
        <v>442</v>
      </c>
      <c r="AK294" s="22" t="str">
        <f t="shared" si="9"/>
        <v>Apurímac_04 Aymaraes_03 Caraybamba</v>
      </c>
      <c r="AL294" s="25">
        <v>2</v>
      </c>
      <c r="AM294" s="25">
        <v>3</v>
      </c>
      <c r="AN294" s="26">
        <f>Tabla2[[#This Row],[Minutos]]/60</f>
        <v>0.05</v>
      </c>
      <c r="AO294" s="27">
        <f>SUM(Tabla2[[#This Row],[Horas]],Tabla2[[#This Row],[Minutos a Horas]])</f>
        <v>2.0499999999999998</v>
      </c>
      <c r="AP294" s="49">
        <v>2</v>
      </c>
      <c r="AQ294" s="49">
        <v>30</v>
      </c>
      <c r="AR294" s="26">
        <f>Tabla2[[#This Row],[Minutos*]]/60</f>
        <v>0.5</v>
      </c>
      <c r="AS294" s="27">
        <f>SUM(Tabla2[[#This Row],[Horas*]],Tabla2[[#This Row],[Minutos a Horas*]])+(Tabla2[[#This Row],[Tiempo Total a Nivel Proncincial (Horas)]])</f>
        <v>4.55</v>
      </c>
    </row>
    <row r="295" spans="2:45" ht="40.15" customHeight="1" x14ac:dyDescent="0.25">
      <c r="B295" s="91"/>
      <c r="C295" s="91"/>
      <c r="D295" s="91"/>
      <c r="E295" s="92"/>
      <c r="F295" s="92"/>
      <c r="G295" s="92"/>
      <c r="H295" s="98"/>
      <c r="I295" s="99"/>
      <c r="J295" s="99"/>
      <c r="K295" s="99"/>
      <c r="L295" s="98"/>
      <c r="M295" s="92"/>
      <c r="N295" s="100"/>
      <c r="O295" s="94"/>
      <c r="P295" s="102"/>
      <c r="Q295" s="100"/>
      <c r="R295" s="95"/>
      <c r="S295" s="95"/>
      <c r="T295" s="96"/>
      <c r="U295" s="101"/>
      <c r="V295" s="101"/>
      <c r="W295" s="96"/>
      <c r="X295" s="101"/>
      <c r="Y295" s="101"/>
      <c r="Z295" s="96"/>
      <c r="AA295" s="97"/>
      <c r="AB295" s="93"/>
      <c r="AD295" s="20" t="s">
        <v>2398</v>
      </c>
      <c r="AE295" s="10" t="s">
        <v>375</v>
      </c>
      <c r="AF295" s="20" t="s">
        <v>401</v>
      </c>
      <c r="AG295" s="10"/>
      <c r="AH295" s="22" t="str">
        <f t="shared" si="8"/>
        <v>Apurímac_04 Aymaraes</v>
      </c>
      <c r="AI295" s="10" t="s">
        <v>370</v>
      </c>
      <c r="AJ295" s="20" t="s">
        <v>443</v>
      </c>
      <c r="AK295" s="22" t="str">
        <f t="shared" si="9"/>
        <v>Apurímac_04 Aymaraes_04 Chapimarca</v>
      </c>
      <c r="AL295" s="25">
        <v>2</v>
      </c>
      <c r="AM295" s="25">
        <v>3</v>
      </c>
      <c r="AN295" s="26">
        <f>Tabla2[[#This Row],[Minutos]]/60</f>
        <v>0.05</v>
      </c>
      <c r="AO295" s="27">
        <f>SUM(Tabla2[[#This Row],[Horas]],Tabla2[[#This Row],[Minutos a Horas]])</f>
        <v>2.0499999999999998</v>
      </c>
      <c r="AP295" s="49">
        <v>3</v>
      </c>
      <c r="AQ295" s="49">
        <v>45</v>
      </c>
      <c r="AR295" s="26">
        <f>Tabla2[[#This Row],[Minutos*]]/60</f>
        <v>0.75</v>
      </c>
      <c r="AS295" s="27">
        <f>SUM(Tabla2[[#This Row],[Horas*]],Tabla2[[#This Row],[Minutos a Horas*]])+(Tabla2[[#This Row],[Tiempo Total a Nivel Proncincial (Horas)]])</f>
        <v>5.8</v>
      </c>
    </row>
    <row r="296" spans="2:45" ht="40.15" customHeight="1" x14ac:dyDescent="0.25">
      <c r="B296" s="91"/>
      <c r="C296" s="91"/>
      <c r="D296" s="91"/>
      <c r="E296" s="92"/>
      <c r="F296" s="92"/>
      <c r="G296" s="92"/>
      <c r="H296" s="98"/>
      <c r="I296" s="99"/>
      <c r="J296" s="99"/>
      <c r="K296" s="99"/>
      <c r="L296" s="98"/>
      <c r="M296" s="92"/>
      <c r="N296" s="100"/>
      <c r="O296" s="94"/>
      <c r="P296" s="102"/>
      <c r="Q296" s="100"/>
      <c r="R296" s="95"/>
      <c r="S296" s="95"/>
      <c r="T296" s="96"/>
      <c r="U296" s="101"/>
      <c r="V296" s="101"/>
      <c r="W296" s="96"/>
      <c r="X296" s="101"/>
      <c r="Y296" s="101"/>
      <c r="Z296" s="96"/>
      <c r="AA296" s="97"/>
      <c r="AB296" s="93"/>
      <c r="AD296" s="20" t="s">
        <v>2398</v>
      </c>
      <c r="AE296" s="10" t="s">
        <v>375</v>
      </c>
      <c r="AF296" s="20" t="s">
        <v>401</v>
      </c>
      <c r="AG296" s="10"/>
      <c r="AH296" s="22" t="str">
        <f t="shared" si="8"/>
        <v>Apurímac_04 Aymaraes</v>
      </c>
      <c r="AI296" s="10" t="s">
        <v>370</v>
      </c>
      <c r="AJ296" s="20" t="s">
        <v>444</v>
      </c>
      <c r="AK296" s="22" t="str">
        <f t="shared" si="9"/>
        <v>Apurímac_04 Aymaraes_05 Colcabamba</v>
      </c>
      <c r="AL296" s="25">
        <v>2</v>
      </c>
      <c r="AM296" s="25">
        <v>3</v>
      </c>
      <c r="AN296" s="26">
        <f>Tabla2[[#This Row],[Minutos]]/60</f>
        <v>0.05</v>
      </c>
      <c r="AO296" s="27">
        <f>SUM(Tabla2[[#This Row],[Horas]],Tabla2[[#This Row],[Minutos a Horas]])</f>
        <v>2.0499999999999998</v>
      </c>
      <c r="AP296" s="49">
        <v>3</v>
      </c>
      <c r="AQ296" s="49">
        <v>0</v>
      </c>
      <c r="AR296" s="26">
        <f>Tabla2[[#This Row],[Minutos*]]/60</f>
        <v>0</v>
      </c>
      <c r="AS296" s="27">
        <f>SUM(Tabla2[[#This Row],[Horas*]],Tabla2[[#This Row],[Minutos a Horas*]])+(Tabla2[[#This Row],[Tiempo Total a Nivel Proncincial (Horas)]])</f>
        <v>5.05</v>
      </c>
    </row>
    <row r="297" spans="2:45" ht="40.15" customHeight="1" x14ac:dyDescent="0.25">
      <c r="B297" s="91"/>
      <c r="C297" s="91"/>
      <c r="D297" s="91"/>
      <c r="E297" s="92"/>
      <c r="F297" s="92"/>
      <c r="G297" s="92"/>
      <c r="H297" s="98"/>
      <c r="I297" s="99"/>
      <c r="J297" s="99"/>
      <c r="K297" s="99"/>
      <c r="L297" s="98"/>
      <c r="M297" s="92"/>
      <c r="N297" s="100"/>
      <c r="O297" s="94"/>
      <c r="P297" s="102"/>
      <c r="Q297" s="100"/>
      <c r="R297" s="95"/>
      <c r="S297" s="95"/>
      <c r="T297" s="96"/>
      <c r="U297" s="101"/>
      <c r="V297" s="101"/>
      <c r="W297" s="96"/>
      <c r="X297" s="101"/>
      <c r="Y297" s="101"/>
      <c r="Z297" s="96"/>
      <c r="AA297" s="97"/>
      <c r="AB297" s="93"/>
      <c r="AD297" s="20" t="s">
        <v>2398</v>
      </c>
      <c r="AE297" s="10" t="s">
        <v>375</v>
      </c>
      <c r="AF297" s="20" t="s">
        <v>401</v>
      </c>
      <c r="AG297" s="10"/>
      <c r="AH297" s="22" t="str">
        <f t="shared" si="8"/>
        <v>Apurímac_04 Aymaraes</v>
      </c>
      <c r="AI297" s="10" t="s">
        <v>370</v>
      </c>
      <c r="AJ297" s="20" t="s">
        <v>445</v>
      </c>
      <c r="AK297" s="22" t="str">
        <f t="shared" si="9"/>
        <v>Apurímac_04 Aymaraes_06 Cotaruse</v>
      </c>
      <c r="AL297" s="25">
        <v>2</v>
      </c>
      <c r="AM297" s="25">
        <v>3</v>
      </c>
      <c r="AN297" s="26">
        <f>Tabla2[[#This Row],[Minutos]]/60</f>
        <v>0.05</v>
      </c>
      <c r="AO297" s="27">
        <f>SUM(Tabla2[[#This Row],[Horas]],Tabla2[[#This Row],[Minutos a Horas]])</f>
        <v>2.0499999999999998</v>
      </c>
      <c r="AP297" s="49">
        <v>2</v>
      </c>
      <c r="AQ297" s="49">
        <v>40</v>
      </c>
      <c r="AR297" s="26">
        <f>Tabla2[[#This Row],[Minutos*]]/60</f>
        <v>0.66666666666666663</v>
      </c>
      <c r="AS297" s="27">
        <f>SUM(Tabla2[[#This Row],[Horas*]],Tabla2[[#This Row],[Minutos a Horas*]])+(Tabla2[[#This Row],[Tiempo Total a Nivel Proncincial (Horas)]])</f>
        <v>4.7166666666666668</v>
      </c>
    </row>
    <row r="298" spans="2:45" ht="40.15" customHeight="1" x14ac:dyDescent="0.25">
      <c r="B298" s="91"/>
      <c r="C298" s="91"/>
      <c r="D298" s="91"/>
      <c r="E298" s="92"/>
      <c r="F298" s="92"/>
      <c r="G298" s="92"/>
      <c r="H298" s="98"/>
      <c r="I298" s="99"/>
      <c r="J298" s="99"/>
      <c r="K298" s="99"/>
      <c r="L298" s="98"/>
      <c r="M298" s="92"/>
      <c r="N298" s="100"/>
      <c r="O298" s="94"/>
      <c r="P298" s="102"/>
      <c r="Q298" s="100"/>
      <c r="R298" s="95"/>
      <c r="S298" s="95"/>
      <c r="T298" s="96"/>
      <c r="U298" s="101"/>
      <c r="V298" s="101"/>
      <c r="W298" s="96"/>
      <c r="X298" s="101"/>
      <c r="Y298" s="101"/>
      <c r="Z298" s="96"/>
      <c r="AA298" s="97"/>
      <c r="AB298" s="93"/>
      <c r="AD298" s="20" t="s">
        <v>2398</v>
      </c>
      <c r="AE298" s="10" t="s">
        <v>375</v>
      </c>
      <c r="AF298" s="20" t="s">
        <v>401</v>
      </c>
      <c r="AG298" s="10"/>
      <c r="AH298" s="22" t="str">
        <f t="shared" si="8"/>
        <v>Apurímac_04 Aymaraes</v>
      </c>
      <c r="AI298" s="10" t="s">
        <v>370</v>
      </c>
      <c r="AJ298" s="20" t="s">
        <v>446</v>
      </c>
      <c r="AK298" s="22" t="str">
        <f t="shared" si="9"/>
        <v>Apurímac_04 Aymaraes_07 Ihuayllo</v>
      </c>
      <c r="AL298" s="25">
        <v>2</v>
      </c>
      <c r="AM298" s="25">
        <v>3</v>
      </c>
      <c r="AN298" s="26">
        <f>Tabla2[[#This Row],[Minutos]]/60</f>
        <v>0.05</v>
      </c>
      <c r="AO298" s="27">
        <f>SUM(Tabla2[[#This Row],[Horas]],Tabla2[[#This Row],[Minutos a Horas]])</f>
        <v>2.0499999999999998</v>
      </c>
      <c r="AP298" s="49">
        <v>4</v>
      </c>
      <c r="AQ298" s="49">
        <v>0</v>
      </c>
      <c r="AR298" s="26">
        <f>Tabla2[[#This Row],[Minutos*]]/60</f>
        <v>0</v>
      </c>
      <c r="AS298" s="27">
        <f>SUM(Tabla2[[#This Row],[Horas*]],Tabla2[[#This Row],[Minutos a Horas*]])+(Tabla2[[#This Row],[Tiempo Total a Nivel Proncincial (Horas)]])</f>
        <v>6.05</v>
      </c>
    </row>
    <row r="299" spans="2:45" ht="40.15" customHeight="1" x14ac:dyDescent="0.25">
      <c r="B299" s="91"/>
      <c r="C299" s="91"/>
      <c r="D299" s="91"/>
      <c r="E299" s="92"/>
      <c r="F299" s="92"/>
      <c r="G299" s="92"/>
      <c r="H299" s="98"/>
      <c r="I299" s="99"/>
      <c r="J299" s="99"/>
      <c r="K299" s="99"/>
      <c r="L299" s="98"/>
      <c r="M299" s="92"/>
      <c r="N299" s="100"/>
      <c r="O299" s="94"/>
      <c r="P299" s="102"/>
      <c r="Q299" s="100"/>
      <c r="R299" s="95"/>
      <c r="S299" s="95"/>
      <c r="T299" s="96"/>
      <c r="U299" s="101"/>
      <c r="V299" s="101"/>
      <c r="W299" s="96"/>
      <c r="X299" s="101"/>
      <c r="Y299" s="101"/>
      <c r="Z299" s="96"/>
      <c r="AA299" s="97"/>
      <c r="AB299" s="93"/>
      <c r="AD299" s="20" t="s">
        <v>2398</v>
      </c>
      <c r="AE299" s="10" t="s">
        <v>375</v>
      </c>
      <c r="AF299" s="20" t="s">
        <v>401</v>
      </c>
      <c r="AG299" s="10"/>
      <c r="AH299" s="22" t="str">
        <f t="shared" si="8"/>
        <v>Apurímac_04 Aymaraes</v>
      </c>
      <c r="AI299" s="10" t="s">
        <v>370</v>
      </c>
      <c r="AJ299" s="20" t="s">
        <v>447</v>
      </c>
      <c r="AK299" s="22" t="str">
        <f t="shared" si="9"/>
        <v>Apurímac_04 Aymaraes_08 Justo Apu Sahuaraura</v>
      </c>
      <c r="AL299" s="25">
        <v>2</v>
      </c>
      <c r="AM299" s="25">
        <v>3</v>
      </c>
      <c r="AN299" s="26">
        <f>Tabla2[[#This Row],[Minutos]]/60</f>
        <v>0.05</v>
      </c>
      <c r="AO299" s="27">
        <f>SUM(Tabla2[[#This Row],[Horas]],Tabla2[[#This Row],[Minutos a Horas]])</f>
        <v>2.0499999999999998</v>
      </c>
      <c r="AP299" s="49">
        <v>4</v>
      </c>
      <c r="AQ299" s="49">
        <v>30</v>
      </c>
      <c r="AR299" s="26">
        <f>Tabla2[[#This Row],[Minutos*]]/60</f>
        <v>0.5</v>
      </c>
      <c r="AS299" s="27">
        <f>SUM(Tabla2[[#This Row],[Horas*]],Tabla2[[#This Row],[Minutos a Horas*]])+(Tabla2[[#This Row],[Tiempo Total a Nivel Proncincial (Horas)]])</f>
        <v>6.55</v>
      </c>
    </row>
    <row r="300" spans="2:45" ht="40.15" customHeight="1" x14ac:dyDescent="0.25">
      <c r="B300" s="91"/>
      <c r="C300" s="91"/>
      <c r="D300" s="91"/>
      <c r="E300" s="92"/>
      <c r="F300" s="92"/>
      <c r="G300" s="92"/>
      <c r="H300" s="98"/>
      <c r="I300" s="99"/>
      <c r="J300" s="99"/>
      <c r="K300" s="99"/>
      <c r="L300" s="98"/>
      <c r="M300" s="92"/>
      <c r="N300" s="100"/>
      <c r="O300" s="94"/>
      <c r="P300" s="102"/>
      <c r="Q300" s="100"/>
      <c r="R300" s="95"/>
      <c r="S300" s="95"/>
      <c r="T300" s="96"/>
      <c r="U300" s="101"/>
      <c r="V300" s="101"/>
      <c r="W300" s="96"/>
      <c r="X300" s="101"/>
      <c r="Y300" s="101"/>
      <c r="Z300" s="96"/>
      <c r="AA300" s="97"/>
      <c r="AB300" s="93"/>
      <c r="AD300" s="20" t="s">
        <v>2398</v>
      </c>
      <c r="AE300" s="10" t="s">
        <v>375</v>
      </c>
      <c r="AF300" s="20" t="s">
        <v>401</v>
      </c>
      <c r="AG300" s="10"/>
      <c r="AH300" s="22" t="str">
        <f t="shared" si="8"/>
        <v>Apurímac_04 Aymaraes</v>
      </c>
      <c r="AI300" s="10" t="s">
        <v>370</v>
      </c>
      <c r="AJ300" s="20" t="s">
        <v>448</v>
      </c>
      <c r="AK300" s="22" t="str">
        <f t="shared" si="9"/>
        <v>Apurímac_04 Aymaraes_09 Lucre</v>
      </c>
      <c r="AL300" s="25">
        <v>2</v>
      </c>
      <c r="AM300" s="25">
        <v>3</v>
      </c>
      <c r="AN300" s="26">
        <f>Tabla2[[#This Row],[Minutos]]/60</f>
        <v>0.05</v>
      </c>
      <c r="AO300" s="27">
        <f>SUM(Tabla2[[#This Row],[Horas]],Tabla2[[#This Row],[Minutos a Horas]])</f>
        <v>2.0499999999999998</v>
      </c>
      <c r="AP300" s="49">
        <v>3</v>
      </c>
      <c r="AQ300" s="49">
        <v>30</v>
      </c>
      <c r="AR300" s="26">
        <f>Tabla2[[#This Row],[Minutos*]]/60</f>
        <v>0.5</v>
      </c>
      <c r="AS300" s="27">
        <f>SUM(Tabla2[[#This Row],[Horas*]],Tabla2[[#This Row],[Minutos a Horas*]])+(Tabla2[[#This Row],[Tiempo Total a Nivel Proncincial (Horas)]])</f>
        <v>5.55</v>
      </c>
    </row>
    <row r="301" spans="2:45" ht="40.15" customHeight="1" x14ac:dyDescent="0.25">
      <c r="B301" s="91"/>
      <c r="C301" s="91"/>
      <c r="D301" s="91"/>
      <c r="E301" s="92"/>
      <c r="F301" s="92"/>
      <c r="G301" s="92"/>
      <c r="H301" s="98"/>
      <c r="I301" s="99"/>
      <c r="J301" s="99"/>
      <c r="K301" s="99"/>
      <c r="L301" s="98"/>
      <c r="M301" s="92"/>
      <c r="N301" s="100"/>
      <c r="O301" s="94"/>
      <c r="P301" s="102"/>
      <c r="Q301" s="100"/>
      <c r="R301" s="95"/>
      <c r="S301" s="95"/>
      <c r="T301" s="96"/>
      <c r="U301" s="101"/>
      <c r="V301" s="101"/>
      <c r="W301" s="96"/>
      <c r="X301" s="101"/>
      <c r="Y301" s="101"/>
      <c r="Z301" s="96"/>
      <c r="AA301" s="97"/>
      <c r="AB301" s="93"/>
      <c r="AD301" s="20" t="s">
        <v>2398</v>
      </c>
      <c r="AE301" s="10" t="s">
        <v>375</v>
      </c>
      <c r="AF301" s="20" t="s">
        <v>401</v>
      </c>
      <c r="AG301" s="10"/>
      <c r="AH301" s="22" t="str">
        <f t="shared" si="8"/>
        <v>Apurímac_04 Aymaraes</v>
      </c>
      <c r="AI301" s="10" t="s">
        <v>370</v>
      </c>
      <c r="AJ301" s="20" t="s">
        <v>449</v>
      </c>
      <c r="AK301" s="22" t="str">
        <f t="shared" si="9"/>
        <v>Apurímac_04 Aymaraes_10 Pocohuanca</v>
      </c>
      <c r="AL301" s="25">
        <v>2</v>
      </c>
      <c r="AM301" s="25">
        <v>3</v>
      </c>
      <c r="AN301" s="26">
        <f>Tabla2[[#This Row],[Minutos]]/60</f>
        <v>0.05</v>
      </c>
      <c r="AO301" s="27">
        <f>SUM(Tabla2[[#This Row],[Horas]],Tabla2[[#This Row],[Minutos a Horas]])</f>
        <v>2.0499999999999998</v>
      </c>
      <c r="AP301" s="49">
        <v>4</v>
      </c>
      <c r="AQ301" s="49">
        <v>20</v>
      </c>
      <c r="AR301" s="26">
        <f>Tabla2[[#This Row],[Minutos*]]/60</f>
        <v>0.33333333333333331</v>
      </c>
      <c r="AS301" s="27">
        <f>SUM(Tabla2[[#This Row],[Horas*]],Tabla2[[#This Row],[Minutos a Horas*]])+(Tabla2[[#This Row],[Tiempo Total a Nivel Proncincial (Horas)]])</f>
        <v>6.3833333333333329</v>
      </c>
    </row>
    <row r="302" spans="2:45" ht="40.15" customHeight="1" x14ac:dyDescent="0.25">
      <c r="B302" s="91"/>
      <c r="C302" s="91"/>
      <c r="D302" s="91"/>
      <c r="E302" s="92"/>
      <c r="F302" s="92"/>
      <c r="G302" s="92"/>
      <c r="H302" s="98"/>
      <c r="I302" s="99"/>
      <c r="J302" s="99"/>
      <c r="K302" s="99"/>
      <c r="L302" s="98"/>
      <c r="M302" s="92"/>
      <c r="N302" s="100"/>
      <c r="O302" s="94"/>
      <c r="P302" s="102"/>
      <c r="Q302" s="100"/>
      <c r="R302" s="95"/>
      <c r="S302" s="95"/>
      <c r="T302" s="96"/>
      <c r="U302" s="101"/>
      <c r="V302" s="101"/>
      <c r="W302" s="96"/>
      <c r="X302" s="101"/>
      <c r="Y302" s="101"/>
      <c r="Z302" s="96"/>
      <c r="AA302" s="97"/>
      <c r="AB302" s="93"/>
      <c r="AD302" s="20" t="s">
        <v>2398</v>
      </c>
      <c r="AE302" s="10" t="s">
        <v>375</v>
      </c>
      <c r="AF302" s="20" t="s">
        <v>401</v>
      </c>
      <c r="AG302" s="10"/>
      <c r="AH302" s="22" t="str">
        <f t="shared" si="8"/>
        <v>Apurímac_04 Aymaraes</v>
      </c>
      <c r="AI302" s="10" t="s">
        <v>370</v>
      </c>
      <c r="AJ302" s="20" t="s">
        <v>450</v>
      </c>
      <c r="AK302" s="22" t="str">
        <f t="shared" si="9"/>
        <v>Apurímac_04 Aymaraes_11 San Juan de Chacña</v>
      </c>
      <c r="AL302" s="25">
        <v>2</v>
      </c>
      <c r="AM302" s="25">
        <v>3</v>
      </c>
      <c r="AN302" s="26">
        <f>Tabla2[[#This Row],[Minutos]]/60</f>
        <v>0.05</v>
      </c>
      <c r="AO302" s="27">
        <f>SUM(Tabla2[[#This Row],[Horas]],Tabla2[[#This Row],[Minutos a Horas]])</f>
        <v>2.0499999999999998</v>
      </c>
      <c r="AP302" s="49">
        <v>3</v>
      </c>
      <c r="AQ302" s="49">
        <v>45</v>
      </c>
      <c r="AR302" s="26">
        <f>Tabla2[[#This Row],[Minutos*]]/60</f>
        <v>0.75</v>
      </c>
      <c r="AS302" s="27">
        <f>SUM(Tabla2[[#This Row],[Horas*]],Tabla2[[#This Row],[Minutos a Horas*]])+(Tabla2[[#This Row],[Tiempo Total a Nivel Proncincial (Horas)]])</f>
        <v>5.8</v>
      </c>
    </row>
    <row r="303" spans="2:45" ht="40.15" customHeight="1" x14ac:dyDescent="0.25">
      <c r="B303" s="91"/>
      <c r="C303" s="91"/>
      <c r="D303" s="91"/>
      <c r="E303" s="92"/>
      <c r="F303" s="92"/>
      <c r="G303" s="92"/>
      <c r="H303" s="98"/>
      <c r="I303" s="99"/>
      <c r="J303" s="99"/>
      <c r="K303" s="99"/>
      <c r="L303" s="98"/>
      <c r="M303" s="92"/>
      <c r="N303" s="100"/>
      <c r="O303" s="94"/>
      <c r="P303" s="102"/>
      <c r="Q303" s="100"/>
      <c r="R303" s="95"/>
      <c r="S303" s="95"/>
      <c r="T303" s="96"/>
      <c r="U303" s="101"/>
      <c r="V303" s="101"/>
      <c r="W303" s="96"/>
      <c r="X303" s="101"/>
      <c r="Y303" s="101"/>
      <c r="Z303" s="96"/>
      <c r="AA303" s="97"/>
      <c r="AB303" s="93"/>
      <c r="AD303" s="20" t="s">
        <v>2398</v>
      </c>
      <c r="AE303" s="10" t="s">
        <v>375</v>
      </c>
      <c r="AF303" s="20" t="s">
        <v>401</v>
      </c>
      <c r="AG303" s="10"/>
      <c r="AH303" s="22" t="str">
        <f t="shared" si="8"/>
        <v>Apurímac_04 Aymaraes</v>
      </c>
      <c r="AI303" s="10" t="s">
        <v>370</v>
      </c>
      <c r="AJ303" s="20" t="s">
        <v>451</v>
      </c>
      <c r="AK303" s="22" t="str">
        <f t="shared" si="9"/>
        <v>Apurímac_04 Aymaraes_12 Sañayca</v>
      </c>
      <c r="AL303" s="25">
        <v>2</v>
      </c>
      <c r="AM303" s="25">
        <v>3</v>
      </c>
      <c r="AN303" s="26">
        <f>Tabla2[[#This Row],[Minutos]]/60</f>
        <v>0.05</v>
      </c>
      <c r="AO303" s="27">
        <f>SUM(Tabla2[[#This Row],[Horas]],Tabla2[[#This Row],[Minutos a Horas]])</f>
        <v>2.0499999999999998</v>
      </c>
      <c r="AP303" s="49">
        <v>2</v>
      </c>
      <c r="AQ303" s="49">
        <v>20</v>
      </c>
      <c r="AR303" s="26">
        <f>Tabla2[[#This Row],[Minutos*]]/60</f>
        <v>0.33333333333333331</v>
      </c>
      <c r="AS303" s="27">
        <f>SUM(Tabla2[[#This Row],[Horas*]],Tabla2[[#This Row],[Minutos a Horas*]])+(Tabla2[[#This Row],[Tiempo Total a Nivel Proncincial (Horas)]])</f>
        <v>4.3833333333333329</v>
      </c>
    </row>
    <row r="304" spans="2:45" ht="40.15" customHeight="1" x14ac:dyDescent="0.25">
      <c r="B304" s="91"/>
      <c r="C304" s="91"/>
      <c r="D304" s="91"/>
      <c r="E304" s="92"/>
      <c r="F304" s="92"/>
      <c r="G304" s="92"/>
      <c r="H304" s="98"/>
      <c r="I304" s="99"/>
      <c r="J304" s="99"/>
      <c r="K304" s="99"/>
      <c r="L304" s="98"/>
      <c r="M304" s="92"/>
      <c r="N304" s="100"/>
      <c r="O304" s="94"/>
      <c r="P304" s="102"/>
      <c r="Q304" s="100"/>
      <c r="R304" s="95"/>
      <c r="S304" s="95"/>
      <c r="T304" s="96"/>
      <c r="U304" s="101"/>
      <c r="V304" s="101"/>
      <c r="W304" s="96"/>
      <c r="X304" s="101"/>
      <c r="Y304" s="101"/>
      <c r="Z304" s="96"/>
      <c r="AA304" s="97"/>
      <c r="AB304" s="93"/>
      <c r="AD304" s="20" t="s">
        <v>2398</v>
      </c>
      <c r="AE304" s="10" t="s">
        <v>375</v>
      </c>
      <c r="AF304" s="20" t="s">
        <v>401</v>
      </c>
      <c r="AG304" s="10"/>
      <c r="AH304" s="22" t="str">
        <f t="shared" si="8"/>
        <v>Apurímac_04 Aymaraes</v>
      </c>
      <c r="AI304" s="10" t="s">
        <v>370</v>
      </c>
      <c r="AJ304" s="20" t="s">
        <v>452</v>
      </c>
      <c r="AK304" s="22" t="str">
        <f t="shared" si="9"/>
        <v>Apurímac_04 Aymaraes_13 Soraya</v>
      </c>
      <c r="AL304" s="25">
        <v>2</v>
      </c>
      <c r="AM304" s="25">
        <v>3</v>
      </c>
      <c r="AN304" s="26">
        <f>Tabla2[[#This Row],[Minutos]]/60</f>
        <v>0.05</v>
      </c>
      <c r="AO304" s="27">
        <f>SUM(Tabla2[[#This Row],[Horas]],Tabla2[[#This Row],[Minutos a Horas]])</f>
        <v>2.0499999999999998</v>
      </c>
      <c r="AP304" s="49">
        <v>2</v>
      </c>
      <c r="AQ304" s="49">
        <v>20</v>
      </c>
      <c r="AR304" s="26">
        <f>Tabla2[[#This Row],[Minutos*]]/60</f>
        <v>0.33333333333333331</v>
      </c>
      <c r="AS304" s="27">
        <f>SUM(Tabla2[[#This Row],[Horas*]],Tabla2[[#This Row],[Minutos a Horas*]])+(Tabla2[[#This Row],[Tiempo Total a Nivel Proncincial (Horas)]])</f>
        <v>4.3833333333333329</v>
      </c>
    </row>
    <row r="305" spans="2:45" ht="40.15" customHeight="1" x14ac:dyDescent="0.25">
      <c r="B305" s="91"/>
      <c r="C305" s="91"/>
      <c r="D305" s="91"/>
      <c r="E305" s="92"/>
      <c r="F305" s="92"/>
      <c r="G305" s="92"/>
      <c r="H305" s="98"/>
      <c r="I305" s="99"/>
      <c r="J305" s="99"/>
      <c r="K305" s="99"/>
      <c r="L305" s="98"/>
      <c r="M305" s="92"/>
      <c r="N305" s="100"/>
      <c r="O305" s="94"/>
      <c r="P305" s="102"/>
      <c r="Q305" s="100"/>
      <c r="R305" s="95"/>
      <c r="S305" s="95"/>
      <c r="T305" s="96"/>
      <c r="U305" s="101"/>
      <c r="V305" s="101"/>
      <c r="W305" s="96"/>
      <c r="X305" s="101"/>
      <c r="Y305" s="101"/>
      <c r="Z305" s="96"/>
      <c r="AA305" s="97"/>
      <c r="AB305" s="93"/>
      <c r="AD305" s="20" t="s">
        <v>2398</v>
      </c>
      <c r="AE305" s="10" t="s">
        <v>375</v>
      </c>
      <c r="AF305" s="20" t="s">
        <v>401</v>
      </c>
      <c r="AG305" s="10"/>
      <c r="AH305" s="22" t="str">
        <f t="shared" si="8"/>
        <v>Apurímac_04 Aymaraes</v>
      </c>
      <c r="AI305" s="10" t="s">
        <v>370</v>
      </c>
      <c r="AJ305" s="20" t="s">
        <v>453</v>
      </c>
      <c r="AK305" s="22" t="str">
        <f t="shared" si="9"/>
        <v>Apurímac_04 Aymaraes_14 Tapairihua</v>
      </c>
      <c r="AL305" s="25">
        <v>2</v>
      </c>
      <c r="AM305" s="25">
        <v>3</v>
      </c>
      <c r="AN305" s="26">
        <f>Tabla2[[#This Row],[Minutos]]/60</f>
        <v>0.05</v>
      </c>
      <c r="AO305" s="27">
        <f>SUM(Tabla2[[#This Row],[Horas]],Tabla2[[#This Row],[Minutos a Horas]])</f>
        <v>2.0499999999999998</v>
      </c>
      <c r="AP305" s="49">
        <v>3</v>
      </c>
      <c r="AQ305" s="49">
        <v>40</v>
      </c>
      <c r="AR305" s="26">
        <f>Tabla2[[#This Row],[Minutos*]]/60</f>
        <v>0.66666666666666663</v>
      </c>
      <c r="AS305" s="27">
        <f>SUM(Tabla2[[#This Row],[Horas*]],Tabla2[[#This Row],[Minutos a Horas*]])+(Tabla2[[#This Row],[Tiempo Total a Nivel Proncincial (Horas)]])</f>
        <v>5.7166666666666668</v>
      </c>
    </row>
    <row r="306" spans="2:45" ht="40.15" customHeight="1" x14ac:dyDescent="0.25">
      <c r="B306" s="91"/>
      <c r="C306" s="91"/>
      <c r="D306" s="91"/>
      <c r="E306" s="92"/>
      <c r="F306" s="92"/>
      <c r="G306" s="92"/>
      <c r="H306" s="98"/>
      <c r="I306" s="99"/>
      <c r="J306" s="99"/>
      <c r="K306" s="99"/>
      <c r="L306" s="98"/>
      <c r="M306" s="92"/>
      <c r="N306" s="100"/>
      <c r="O306" s="94"/>
      <c r="P306" s="102"/>
      <c r="Q306" s="100"/>
      <c r="R306" s="95"/>
      <c r="S306" s="95"/>
      <c r="T306" s="96"/>
      <c r="U306" s="101"/>
      <c r="V306" s="101"/>
      <c r="W306" s="96"/>
      <c r="X306" s="101"/>
      <c r="Y306" s="101"/>
      <c r="Z306" s="96"/>
      <c r="AA306" s="97"/>
      <c r="AB306" s="93"/>
      <c r="AD306" s="20" t="s">
        <v>2398</v>
      </c>
      <c r="AE306" s="10" t="s">
        <v>375</v>
      </c>
      <c r="AF306" s="20" t="s">
        <v>401</v>
      </c>
      <c r="AG306" s="10"/>
      <c r="AH306" s="22" t="str">
        <f t="shared" si="8"/>
        <v>Apurímac_04 Aymaraes</v>
      </c>
      <c r="AI306" s="10" t="s">
        <v>370</v>
      </c>
      <c r="AJ306" s="20" t="s">
        <v>454</v>
      </c>
      <c r="AK306" s="22" t="str">
        <f t="shared" si="9"/>
        <v>Apurímac_04 Aymaraes_15 Tintay</v>
      </c>
      <c r="AL306" s="25">
        <v>2</v>
      </c>
      <c r="AM306" s="25">
        <v>3</v>
      </c>
      <c r="AN306" s="26">
        <f>Tabla2[[#This Row],[Minutos]]/60</f>
        <v>0.05</v>
      </c>
      <c r="AO306" s="27">
        <f>SUM(Tabla2[[#This Row],[Horas]],Tabla2[[#This Row],[Minutos a Horas]])</f>
        <v>2.0499999999999998</v>
      </c>
      <c r="AP306" s="49">
        <v>2</v>
      </c>
      <c r="AQ306" s="49">
        <v>30</v>
      </c>
      <c r="AR306" s="26">
        <f>Tabla2[[#This Row],[Minutos*]]/60</f>
        <v>0.5</v>
      </c>
      <c r="AS306" s="27">
        <f>SUM(Tabla2[[#This Row],[Horas*]],Tabla2[[#This Row],[Minutos a Horas*]])+(Tabla2[[#This Row],[Tiempo Total a Nivel Proncincial (Horas)]])</f>
        <v>4.55</v>
      </c>
    </row>
    <row r="307" spans="2:45" ht="48" customHeight="1" x14ac:dyDescent="0.25">
      <c r="B307" s="91"/>
      <c r="C307" s="91"/>
      <c r="D307" s="91"/>
      <c r="E307" s="92"/>
      <c r="F307" s="92"/>
      <c r="G307" s="92"/>
      <c r="H307" s="98"/>
      <c r="I307" s="99"/>
      <c r="J307" s="99"/>
      <c r="K307" s="99"/>
      <c r="L307" s="98"/>
      <c r="M307" s="92"/>
      <c r="N307" s="100"/>
      <c r="O307" s="94"/>
      <c r="P307" s="102"/>
      <c r="Q307" s="100"/>
      <c r="R307" s="95"/>
      <c r="S307" s="95"/>
      <c r="T307" s="96"/>
      <c r="U307" s="101"/>
      <c r="V307" s="101"/>
      <c r="W307" s="96"/>
      <c r="X307" s="101"/>
      <c r="Y307" s="101"/>
      <c r="Z307" s="96"/>
      <c r="AA307" s="97"/>
      <c r="AB307" s="93"/>
      <c r="AD307" s="20" t="s">
        <v>2398</v>
      </c>
      <c r="AE307" s="10" t="s">
        <v>375</v>
      </c>
      <c r="AF307" s="20" t="s">
        <v>401</v>
      </c>
      <c r="AG307" s="10"/>
      <c r="AH307" s="22" t="str">
        <f t="shared" si="8"/>
        <v>Apurímac_04 Aymaraes</v>
      </c>
      <c r="AI307" s="10" t="s">
        <v>370</v>
      </c>
      <c r="AJ307" s="20" t="s">
        <v>455</v>
      </c>
      <c r="AK307" s="22" t="str">
        <f t="shared" si="9"/>
        <v>Apurímac_04 Aymaraes_16 Toraya</v>
      </c>
      <c r="AL307" s="25">
        <v>2</v>
      </c>
      <c r="AM307" s="25">
        <v>3</v>
      </c>
      <c r="AN307" s="26">
        <f>Tabla2[[#This Row],[Minutos]]/60</f>
        <v>0.05</v>
      </c>
      <c r="AO307" s="27">
        <f>SUM(Tabla2[[#This Row],[Horas]],Tabla2[[#This Row],[Minutos a Horas]])</f>
        <v>2.0499999999999998</v>
      </c>
      <c r="AP307" s="49">
        <v>3</v>
      </c>
      <c r="AQ307" s="49">
        <v>0</v>
      </c>
      <c r="AR307" s="26">
        <f>Tabla2[[#This Row],[Minutos*]]/60</f>
        <v>0</v>
      </c>
      <c r="AS307" s="27">
        <f>SUM(Tabla2[[#This Row],[Horas*]],Tabla2[[#This Row],[Minutos a Horas*]])+(Tabla2[[#This Row],[Tiempo Total a Nivel Proncincial (Horas)]])</f>
        <v>5.05</v>
      </c>
    </row>
    <row r="308" spans="2:45" ht="49.5" customHeight="1" x14ac:dyDescent="0.25">
      <c r="B308" s="91"/>
      <c r="C308" s="91"/>
      <c r="D308" s="91"/>
      <c r="E308" s="92"/>
      <c r="F308" s="92"/>
      <c r="G308" s="92"/>
      <c r="H308" s="98"/>
      <c r="I308" s="99"/>
      <c r="J308" s="99"/>
      <c r="K308" s="99"/>
      <c r="L308" s="98"/>
      <c r="M308" s="92"/>
      <c r="N308" s="100"/>
      <c r="O308" s="94"/>
      <c r="P308" s="102"/>
      <c r="Q308" s="100"/>
      <c r="R308" s="95"/>
      <c r="S308" s="95"/>
      <c r="T308" s="96"/>
      <c r="U308" s="101"/>
      <c r="V308" s="101"/>
      <c r="W308" s="96"/>
      <c r="X308" s="101"/>
      <c r="Y308" s="101"/>
      <c r="Z308" s="96"/>
      <c r="AA308" s="97"/>
      <c r="AB308" s="93"/>
      <c r="AD308" s="20" t="s">
        <v>2398</v>
      </c>
      <c r="AE308" s="10" t="s">
        <v>375</v>
      </c>
      <c r="AF308" s="20" t="s">
        <v>401</v>
      </c>
      <c r="AG308" s="10"/>
      <c r="AH308" s="22" t="str">
        <f t="shared" si="8"/>
        <v>Apurímac_04 Aymaraes</v>
      </c>
      <c r="AI308" s="10" t="s">
        <v>370</v>
      </c>
      <c r="AJ308" s="20" t="s">
        <v>456</v>
      </c>
      <c r="AK308" s="22" t="str">
        <f t="shared" si="9"/>
        <v>Apurímac_04 Aymaraes_17 Yanaca</v>
      </c>
      <c r="AL308" s="25">
        <v>2</v>
      </c>
      <c r="AM308" s="25">
        <v>3</v>
      </c>
      <c r="AN308" s="26">
        <f>Tabla2[[#This Row],[Minutos]]/60</f>
        <v>0.05</v>
      </c>
      <c r="AO308" s="27">
        <f>SUM(Tabla2[[#This Row],[Horas]],Tabla2[[#This Row],[Minutos a Horas]])</f>
        <v>2.0499999999999998</v>
      </c>
      <c r="AP308" s="49">
        <v>3</v>
      </c>
      <c r="AQ308" s="49">
        <v>30</v>
      </c>
      <c r="AR308" s="26">
        <f>Tabla2[[#This Row],[Minutos*]]/60</f>
        <v>0.5</v>
      </c>
      <c r="AS308" s="27">
        <f>SUM(Tabla2[[#This Row],[Horas*]],Tabla2[[#This Row],[Minutos a Horas*]])+(Tabla2[[#This Row],[Tiempo Total a Nivel Proncincial (Horas)]])</f>
        <v>5.55</v>
      </c>
    </row>
    <row r="309" spans="2:45" ht="40.15" customHeight="1" x14ac:dyDescent="0.25">
      <c r="B309" s="91"/>
      <c r="C309" s="91"/>
      <c r="D309" s="91"/>
      <c r="E309" s="92"/>
      <c r="F309" s="92"/>
      <c r="G309" s="92"/>
      <c r="H309" s="98"/>
      <c r="I309" s="99"/>
      <c r="J309" s="99"/>
      <c r="K309" s="99"/>
      <c r="L309" s="98"/>
      <c r="M309" s="92"/>
      <c r="N309" s="100"/>
      <c r="O309" s="94"/>
      <c r="P309" s="102"/>
      <c r="Q309" s="100"/>
      <c r="R309" s="95"/>
      <c r="S309" s="95"/>
      <c r="T309" s="96"/>
      <c r="U309" s="101"/>
      <c r="V309" s="101"/>
      <c r="W309" s="96"/>
      <c r="X309" s="101"/>
      <c r="Y309" s="101"/>
      <c r="Z309" s="96"/>
      <c r="AA309" s="97"/>
      <c r="AB309" s="93"/>
      <c r="AD309" s="20" t="s">
        <v>2398</v>
      </c>
      <c r="AE309" s="10" t="s">
        <v>375</v>
      </c>
      <c r="AF309" s="20" t="s">
        <v>402</v>
      </c>
      <c r="AG309" s="10"/>
      <c r="AH309" s="22" t="str">
        <f t="shared" si="8"/>
        <v>Apurímac_05 Cotabambas</v>
      </c>
      <c r="AI309" s="10" t="s">
        <v>371</v>
      </c>
      <c r="AJ309" s="20" t="s">
        <v>457</v>
      </c>
      <c r="AK309" s="22" t="str">
        <f t="shared" si="9"/>
        <v>Apurímac_05 Cotabambas_01 Tambobamba</v>
      </c>
      <c r="AL309" s="25">
        <v>3</v>
      </c>
      <c r="AM309" s="25">
        <v>49</v>
      </c>
      <c r="AN309" s="26">
        <f>Tabla2[[#This Row],[Minutos]]/60</f>
        <v>0.81666666666666665</v>
      </c>
      <c r="AO309" s="27">
        <f>SUM(Tabla2[[#This Row],[Horas]],Tabla2[[#This Row],[Minutos a Horas]])</f>
        <v>3.8166666666666664</v>
      </c>
      <c r="AP309" s="49">
        <v>6</v>
      </c>
      <c r="AQ309" s="49">
        <v>30</v>
      </c>
      <c r="AR309" s="26">
        <f>Tabla2[[#This Row],[Minutos*]]/60</f>
        <v>0.5</v>
      </c>
      <c r="AS309" s="27">
        <f>SUM(Tabla2[[#This Row],[Horas*]],Tabla2[[#This Row],[Minutos a Horas*]])+(Tabla2[[#This Row],[Tiempo Total a Nivel Proncincial (Horas)]])</f>
        <v>10.316666666666666</v>
      </c>
    </row>
    <row r="310" spans="2:45" ht="40.15" customHeight="1" x14ac:dyDescent="0.25">
      <c r="B310" s="91"/>
      <c r="C310" s="91"/>
      <c r="D310" s="91"/>
      <c r="E310" s="92"/>
      <c r="F310" s="92"/>
      <c r="G310" s="92"/>
      <c r="H310" s="98"/>
      <c r="I310" s="99"/>
      <c r="J310" s="99"/>
      <c r="K310" s="99"/>
      <c r="L310" s="98"/>
      <c r="M310" s="92"/>
      <c r="N310" s="100"/>
      <c r="O310" s="94"/>
      <c r="P310" s="102"/>
      <c r="Q310" s="100"/>
      <c r="R310" s="95"/>
      <c r="S310" s="95"/>
      <c r="T310" s="96"/>
      <c r="U310" s="101"/>
      <c r="V310" s="101"/>
      <c r="W310" s="96"/>
      <c r="X310" s="101"/>
      <c r="Y310" s="101"/>
      <c r="Z310" s="96"/>
      <c r="AA310" s="97"/>
      <c r="AB310" s="93"/>
      <c r="AD310" s="20" t="s">
        <v>2398</v>
      </c>
      <c r="AE310" s="10" t="s">
        <v>375</v>
      </c>
      <c r="AF310" s="20" t="s">
        <v>402</v>
      </c>
      <c r="AG310" s="10"/>
      <c r="AH310" s="22" t="str">
        <f t="shared" si="8"/>
        <v>Apurímac_05 Cotabambas</v>
      </c>
      <c r="AI310" s="10" t="s">
        <v>371</v>
      </c>
      <c r="AJ310" s="20" t="s">
        <v>458</v>
      </c>
      <c r="AK310" s="22" t="str">
        <f t="shared" si="9"/>
        <v>Apurímac_05 Cotabambas_02 Cotabambas</v>
      </c>
      <c r="AL310" s="25">
        <v>3</v>
      </c>
      <c r="AM310" s="25">
        <v>49</v>
      </c>
      <c r="AN310" s="26">
        <f>Tabla2[[#This Row],[Minutos]]/60</f>
        <v>0.81666666666666665</v>
      </c>
      <c r="AO310" s="27">
        <f>SUM(Tabla2[[#This Row],[Horas]],Tabla2[[#This Row],[Minutos a Horas]])</f>
        <v>3.8166666666666664</v>
      </c>
      <c r="AP310" s="49">
        <v>6</v>
      </c>
      <c r="AQ310" s="49">
        <v>30</v>
      </c>
      <c r="AR310" s="26">
        <f>Tabla2[[#This Row],[Minutos*]]/60</f>
        <v>0.5</v>
      </c>
      <c r="AS310" s="27">
        <f>SUM(Tabla2[[#This Row],[Horas*]],Tabla2[[#This Row],[Minutos a Horas*]])+(Tabla2[[#This Row],[Tiempo Total a Nivel Proncincial (Horas)]])</f>
        <v>10.316666666666666</v>
      </c>
    </row>
    <row r="311" spans="2:45" ht="40.15" customHeight="1" x14ac:dyDescent="0.25">
      <c r="B311" s="91"/>
      <c r="C311" s="91"/>
      <c r="D311" s="91"/>
      <c r="E311" s="92"/>
      <c r="F311" s="92"/>
      <c r="G311" s="92"/>
      <c r="H311" s="98"/>
      <c r="I311" s="99"/>
      <c r="J311" s="99"/>
      <c r="K311" s="99"/>
      <c r="L311" s="98"/>
      <c r="M311" s="92"/>
      <c r="N311" s="100"/>
      <c r="O311" s="94"/>
      <c r="P311" s="102"/>
      <c r="Q311" s="100"/>
      <c r="R311" s="95"/>
      <c r="S311" s="95"/>
      <c r="T311" s="96"/>
      <c r="U311" s="101"/>
      <c r="V311" s="101"/>
      <c r="W311" s="96"/>
      <c r="X311" s="101"/>
      <c r="Y311" s="101"/>
      <c r="Z311" s="96"/>
      <c r="AA311" s="97"/>
      <c r="AB311" s="93"/>
      <c r="AD311" s="20" t="s">
        <v>2398</v>
      </c>
      <c r="AE311" s="10" t="s">
        <v>375</v>
      </c>
      <c r="AF311" s="20" t="s">
        <v>402</v>
      </c>
      <c r="AG311" s="10"/>
      <c r="AH311" s="22" t="str">
        <f t="shared" si="8"/>
        <v>Apurímac_05 Cotabambas</v>
      </c>
      <c r="AI311" s="10" t="s">
        <v>371</v>
      </c>
      <c r="AJ311" s="20" t="s">
        <v>459</v>
      </c>
      <c r="AK311" s="22" t="str">
        <f t="shared" si="9"/>
        <v>Apurímac_05 Cotabambas_03 Coyllurqui</v>
      </c>
      <c r="AL311" s="25">
        <v>3</v>
      </c>
      <c r="AM311" s="25">
        <v>49</v>
      </c>
      <c r="AN311" s="26">
        <f>Tabla2[[#This Row],[Minutos]]/60</f>
        <v>0.81666666666666665</v>
      </c>
      <c r="AO311" s="27">
        <f>SUM(Tabla2[[#This Row],[Horas]],Tabla2[[#This Row],[Minutos a Horas]])</f>
        <v>3.8166666666666664</v>
      </c>
      <c r="AP311" s="49">
        <v>6</v>
      </c>
      <c r="AQ311" s="49">
        <v>0</v>
      </c>
      <c r="AR311" s="26">
        <f>Tabla2[[#This Row],[Minutos*]]/60</f>
        <v>0</v>
      </c>
      <c r="AS311" s="27">
        <f>SUM(Tabla2[[#This Row],[Horas*]],Tabla2[[#This Row],[Minutos a Horas*]])+(Tabla2[[#This Row],[Tiempo Total a Nivel Proncincial (Horas)]])</f>
        <v>9.8166666666666664</v>
      </c>
    </row>
    <row r="312" spans="2:45" ht="40.15" customHeight="1" x14ac:dyDescent="0.25">
      <c r="B312" s="91"/>
      <c r="C312" s="91"/>
      <c r="D312" s="91"/>
      <c r="E312" s="92"/>
      <c r="F312" s="92"/>
      <c r="G312" s="92"/>
      <c r="H312" s="98"/>
      <c r="I312" s="99"/>
      <c r="J312" s="99"/>
      <c r="K312" s="99"/>
      <c r="L312" s="98"/>
      <c r="M312" s="92"/>
      <c r="N312" s="100"/>
      <c r="O312" s="94"/>
      <c r="P312" s="102"/>
      <c r="Q312" s="100"/>
      <c r="R312" s="95"/>
      <c r="S312" s="95"/>
      <c r="T312" s="96"/>
      <c r="U312" s="101"/>
      <c r="V312" s="101"/>
      <c r="W312" s="96"/>
      <c r="X312" s="101"/>
      <c r="Y312" s="101"/>
      <c r="Z312" s="96"/>
      <c r="AA312" s="97"/>
      <c r="AB312" s="93"/>
      <c r="AD312" s="20" t="s">
        <v>2398</v>
      </c>
      <c r="AE312" s="10" t="s">
        <v>375</v>
      </c>
      <c r="AF312" s="20" t="s">
        <v>402</v>
      </c>
      <c r="AG312" s="10"/>
      <c r="AH312" s="22" t="str">
        <f t="shared" si="8"/>
        <v>Apurímac_05 Cotabambas</v>
      </c>
      <c r="AI312" s="10" t="s">
        <v>371</v>
      </c>
      <c r="AJ312" s="20" t="s">
        <v>460</v>
      </c>
      <c r="AK312" s="22" t="str">
        <f t="shared" si="9"/>
        <v>Apurímac_05 Cotabambas_04 Haquira</v>
      </c>
      <c r="AL312" s="25">
        <v>3</v>
      </c>
      <c r="AM312" s="25">
        <v>49</v>
      </c>
      <c r="AN312" s="26">
        <f>Tabla2[[#This Row],[Minutos]]/60</f>
        <v>0.81666666666666665</v>
      </c>
      <c r="AO312" s="27">
        <f>SUM(Tabla2[[#This Row],[Horas]],Tabla2[[#This Row],[Minutos a Horas]])</f>
        <v>3.8166666666666664</v>
      </c>
      <c r="AP312" s="49">
        <v>7</v>
      </c>
      <c r="AQ312" s="49">
        <v>0</v>
      </c>
      <c r="AR312" s="26">
        <f>Tabla2[[#This Row],[Minutos*]]/60</f>
        <v>0</v>
      </c>
      <c r="AS312" s="27">
        <f>SUM(Tabla2[[#This Row],[Horas*]],Tabla2[[#This Row],[Minutos a Horas*]])+(Tabla2[[#This Row],[Tiempo Total a Nivel Proncincial (Horas)]])</f>
        <v>10.816666666666666</v>
      </c>
    </row>
    <row r="313" spans="2:45" ht="40.15" customHeight="1" x14ac:dyDescent="0.25">
      <c r="B313" s="91"/>
      <c r="C313" s="91"/>
      <c r="D313" s="91"/>
      <c r="E313" s="92"/>
      <c r="F313" s="92"/>
      <c r="G313" s="92"/>
      <c r="H313" s="98"/>
      <c r="I313" s="99"/>
      <c r="J313" s="99"/>
      <c r="K313" s="99"/>
      <c r="L313" s="98"/>
      <c r="M313" s="92"/>
      <c r="N313" s="100"/>
      <c r="O313" s="94"/>
      <c r="P313" s="102"/>
      <c r="Q313" s="100"/>
      <c r="R313" s="95"/>
      <c r="S313" s="95"/>
      <c r="T313" s="96"/>
      <c r="U313" s="101"/>
      <c r="V313" s="101"/>
      <c r="W313" s="96"/>
      <c r="X313" s="101"/>
      <c r="Y313" s="101"/>
      <c r="Z313" s="96"/>
      <c r="AA313" s="97"/>
      <c r="AB313" s="93"/>
      <c r="AD313" s="20" t="s">
        <v>2398</v>
      </c>
      <c r="AE313" s="10" t="s">
        <v>375</v>
      </c>
      <c r="AF313" s="20" t="s">
        <v>402</v>
      </c>
      <c r="AG313" s="10"/>
      <c r="AH313" s="22" t="str">
        <f t="shared" si="8"/>
        <v>Apurímac_05 Cotabambas</v>
      </c>
      <c r="AI313" s="10" t="s">
        <v>371</v>
      </c>
      <c r="AJ313" s="20" t="s">
        <v>461</v>
      </c>
      <c r="AK313" s="22" t="str">
        <f t="shared" si="9"/>
        <v>Apurímac_05 Cotabambas_05 Mara</v>
      </c>
      <c r="AL313" s="25">
        <v>3</v>
      </c>
      <c r="AM313" s="25">
        <v>49</v>
      </c>
      <c r="AN313" s="26">
        <f>Tabla2[[#This Row],[Minutos]]/60</f>
        <v>0.81666666666666665</v>
      </c>
      <c r="AO313" s="27">
        <f>SUM(Tabla2[[#This Row],[Horas]],Tabla2[[#This Row],[Minutos a Horas]])</f>
        <v>3.8166666666666664</v>
      </c>
      <c r="AP313" s="49">
        <v>7</v>
      </c>
      <c r="AQ313" s="49">
        <v>30</v>
      </c>
      <c r="AR313" s="26">
        <f>Tabla2[[#This Row],[Minutos*]]/60</f>
        <v>0.5</v>
      </c>
      <c r="AS313" s="27">
        <f>SUM(Tabla2[[#This Row],[Horas*]],Tabla2[[#This Row],[Minutos a Horas*]])+(Tabla2[[#This Row],[Tiempo Total a Nivel Proncincial (Horas)]])</f>
        <v>11.316666666666666</v>
      </c>
    </row>
    <row r="314" spans="2:45" ht="40.15" customHeight="1" x14ac:dyDescent="0.25">
      <c r="B314" s="91"/>
      <c r="C314" s="91"/>
      <c r="D314" s="91"/>
      <c r="E314" s="92"/>
      <c r="F314" s="92"/>
      <c r="G314" s="92"/>
      <c r="H314" s="98"/>
      <c r="I314" s="99"/>
      <c r="J314" s="99"/>
      <c r="K314" s="99"/>
      <c r="L314" s="98"/>
      <c r="M314" s="92"/>
      <c r="N314" s="100"/>
      <c r="O314" s="94"/>
      <c r="P314" s="102"/>
      <c r="Q314" s="100"/>
      <c r="R314" s="95"/>
      <c r="S314" s="95"/>
      <c r="T314" s="96"/>
      <c r="U314" s="101"/>
      <c r="V314" s="101"/>
      <c r="W314" s="96"/>
      <c r="X314" s="101"/>
      <c r="Y314" s="101"/>
      <c r="Z314" s="96"/>
      <c r="AA314" s="97"/>
      <c r="AB314" s="93"/>
      <c r="AD314" s="20" t="s">
        <v>2398</v>
      </c>
      <c r="AE314" s="10" t="s">
        <v>375</v>
      </c>
      <c r="AF314" s="20" t="s">
        <v>402</v>
      </c>
      <c r="AG314" s="10"/>
      <c r="AH314" s="22" t="str">
        <f t="shared" si="8"/>
        <v>Apurímac_05 Cotabambas</v>
      </c>
      <c r="AI314" s="10" t="s">
        <v>371</v>
      </c>
      <c r="AJ314" s="20" t="s">
        <v>462</v>
      </c>
      <c r="AK314" s="22" t="str">
        <f t="shared" si="9"/>
        <v>Apurímac_05 Cotabambas_06 Challhuahuacho</v>
      </c>
      <c r="AL314" s="25">
        <v>3</v>
      </c>
      <c r="AM314" s="25">
        <v>49</v>
      </c>
      <c r="AN314" s="26">
        <f>Tabla2[[#This Row],[Minutos]]/60</f>
        <v>0.81666666666666665</v>
      </c>
      <c r="AO314" s="27">
        <f>SUM(Tabla2[[#This Row],[Horas]],Tabla2[[#This Row],[Minutos a Horas]])</f>
        <v>3.8166666666666664</v>
      </c>
      <c r="AP314" s="49">
        <v>7</v>
      </c>
      <c r="AQ314" s="49">
        <v>0</v>
      </c>
      <c r="AR314" s="26">
        <f>Tabla2[[#This Row],[Minutos*]]/60</f>
        <v>0</v>
      </c>
      <c r="AS314" s="27">
        <f>SUM(Tabla2[[#This Row],[Horas*]],Tabla2[[#This Row],[Minutos a Horas*]])+(Tabla2[[#This Row],[Tiempo Total a Nivel Proncincial (Horas)]])</f>
        <v>10.816666666666666</v>
      </c>
    </row>
    <row r="315" spans="2:45" ht="40.15" customHeight="1" x14ac:dyDescent="0.25">
      <c r="B315" s="91"/>
      <c r="C315" s="91"/>
      <c r="D315" s="91"/>
      <c r="E315" s="92"/>
      <c r="F315" s="92"/>
      <c r="G315" s="92"/>
      <c r="H315" s="98"/>
      <c r="I315" s="99"/>
      <c r="J315" s="99"/>
      <c r="K315" s="99"/>
      <c r="L315" s="98"/>
      <c r="M315" s="92"/>
      <c r="N315" s="100"/>
      <c r="O315" s="94"/>
      <c r="P315" s="102"/>
      <c r="Q315" s="100"/>
      <c r="R315" s="95"/>
      <c r="S315" s="95"/>
      <c r="T315" s="96"/>
      <c r="U315" s="101"/>
      <c r="V315" s="101"/>
      <c r="W315" s="96"/>
      <c r="X315" s="101"/>
      <c r="Y315" s="101"/>
      <c r="Z315" s="96"/>
      <c r="AA315" s="97"/>
      <c r="AB315" s="93"/>
      <c r="AD315" s="20" t="s">
        <v>2398</v>
      </c>
      <c r="AE315" s="10" t="s">
        <v>375</v>
      </c>
      <c r="AF315" s="20" t="s">
        <v>403</v>
      </c>
      <c r="AG315" s="10"/>
      <c r="AH315" s="22" t="str">
        <f t="shared" si="8"/>
        <v>Apurímac_06 Chincheros</v>
      </c>
      <c r="AI315" s="10" t="s">
        <v>372</v>
      </c>
      <c r="AJ315" s="20" t="s">
        <v>463</v>
      </c>
      <c r="AK315" s="22" t="str">
        <f t="shared" si="9"/>
        <v>Apurímac_06 Chincheros_01 Chincheros</v>
      </c>
      <c r="AL315" s="25">
        <v>4</v>
      </c>
      <c r="AM315" s="25">
        <v>43</v>
      </c>
      <c r="AN315" s="26">
        <f>Tabla2[[#This Row],[Minutos]]/60</f>
        <v>0.71666666666666667</v>
      </c>
      <c r="AO315" s="27">
        <f>SUM(Tabla2[[#This Row],[Horas]],Tabla2[[#This Row],[Minutos a Horas]])</f>
        <v>4.7166666666666668</v>
      </c>
      <c r="AP315" s="49">
        <v>5</v>
      </c>
      <c r="AQ315" s="49">
        <v>0</v>
      </c>
      <c r="AR315" s="26">
        <f>Tabla2[[#This Row],[Minutos*]]/60</f>
        <v>0</v>
      </c>
      <c r="AS315" s="27">
        <f>SUM(Tabla2[[#This Row],[Horas*]],Tabla2[[#This Row],[Minutos a Horas*]])+(Tabla2[[#This Row],[Tiempo Total a Nivel Proncincial (Horas)]])</f>
        <v>9.7166666666666668</v>
      </c>
    </row>
    <row r="316" spans="2:45" ht="40.15" customHeight="1" x14ac:dyDescent="0.25">
      <c r="B316" s="91"/>
      <c r="C316" s="91"/>
      <c r="D316" s="91"/>
      <c r="E316" s="92"/>
      <c r="F316" s="92"/>
      <c r="G316" s="92"/>
      <c r="H316" s="98"/>
      <c r="I316" s="99"/>
      <c r="J316" s="99"/>
      <c r="K316" s="99"/>
      <c r="L316" s="98"/>
      <c r="M316" s="92"/>
      <c r="N316" s="100"/>
      <c r="O316" s="94"/>
      <c r="P316" s="102"/>
      <c r="Q316" s="100"/>
      <c r="R316" s="95"/>
      <c r="S316" s="95"/>
      <c r="T316" s="96"/>
      <c r="U316" s="101"/>
      <c r="V316" s="101"/>
      <c r="W316" s="96"/>
      <c r="X316" s="101"/>
      <c r="Y316" s="101"/>
      <c r="Z316" s="96"/>
      <c r="AA316" s="97"/>
      <c r="AB316" s="93"/>
      <c r="AD316" s="20" t="s">
        <v>2398</v>
      </c>
      <c r="AE316" s="10" t="s">
        <v>375</v>
      </c>
      <c r="AF316" s="20" t="s">
        <v>403</v>
      </c>
      <c r="AG316" s="10"/>
      <c r="AH316" s="22" t="str">
        <f t="shared" si="8"/>
        <v>Apurímac_06 Chincheros</v>
      </c>
      <c r="AI316" s="10" t="s">
        <v>372</v>
      </c>
      <c r="AJ316" s="20" t="s">
        <v>464</v>
      </c>
      <c r="AK316" s="22" t="str">
        <f t="shared" si="9"/>
        <v>Apurímac_06 Chincheros_02 Anco_Huallo</v>
      </c>
      <c r="AL316" s="25">
        <v>4</v>
      </c>
      <c r="AM316" s="25">
        <v>43</v>
      </c>
      <c r="AN316" s="26">
        <f>Tabla2[[#This Row],[Minutos]]/60</f>
        <v>0.71666666666666667</v>
      </c>
      <c r="AO316" s="27">
        <f>SUM(Tabla2[[#This Row],[Horas]],Tabla2[[#This Row],[Minutos a Horas]])</f>
        <v>4.7166666666666668</v>
      </c>
      <c r="AP316" s="49">
        <v>5</v>
      </c>
      <c r="AQ316" s="49">
        <v>0</v>
      </c>
      <c r="AR316" s="26">
        <f>Tabla2[[#This Row],[Minutos*]]/60</f>
        <v>0</v>
      </c>
      <c r="AS316" s="27">
        <f>SUM(Tabla2[[#This Row],[Horas*]],Tabla2[[#This Row],[Minutos a Horas*]])+(Tabla2[[#This Row],[Tiempo Total a Nivel Proncincial (Horas)]])</f>
        <v>9.7166666666666668</v>
      </c>
    </row>
    <row r="317" spans="2:45" ht="40.15" customHeight="1" x14ac:dyDescent="0.25">
      <c r="B317" s="91"/>
      <c r="C317" s="91"/>
      <c r="D317" s="91"/>
      <c r="E317" s="92"/>
      <c r="F317" s="92"/>
      <c r="G317" s="92"/>
      <c r="H317" s="98"/>
      <c r="I317" s="99"/>
      <c r="J317" s="99"/>
      <c r="K317" s="99"/>
      <c r="L317" s="98"/>
      <c r="M317" s="92"/>
      <c r="N317" s="100"/>
      <c r="O317" s="94"/>
      <c r="P317" s="102"/>
      <c r="Q317" s="100"/>
      <c r="R317" s="95"/>
      <c r="S317" s="95"/>
      <c r="T317" s="96"/>
      <c r="U317" s="101"/>
      <c r="V317" s="101"/>
      <c r="W317" s="96"/>
      <c r="X317" s="101"/>
      <c r="Y317" s="101"/>
      <c r="Z317" s="96"/>
      <c r="AA317" s="97"/>
      <c r="AB317" s="93"/>
      <c r="AD317" s="20" t="s">
        <v>2398</v>
      </c>
      <c r="AE317" s="10" t="s">
        <v>375</v>
      </c>
      <c r="AF317" s="20" t="s">
        <v>403</v>
      </c>
      <c r="AG317" s="10"/>
      <c r="AH317" s="22" t="str">
        <f t="shared" si="8"/>
        <v>Apurímac_06 Chincheros</v>
      </c>
      <c r="AI317" s="10" t="s">
        <v>372</v>
      </c>
      <c r="AJ317" s="20" t="s">
        <v>465</v>
      </c>
      <c r="AK317" s="22" t="str">
        <f t="shared" si="9"/>
        <v>Apurímac_06 Chincheros_03 Cocharcas</v>
      </c>
      <c r="AL317" s="25">
        <v>4</v>
      </c>
      <c r="AM317" s="25">
        <v>43</v>
      </c>
      <c r="AN317" s="26">
        <f>Tabla2[[#This Row],[Minutos]]/60</f>
        <v>0.71666666666666667</v>
      </c>
      <c r="AO317" s="27">
        <f>SUM(Tabla2[[#This Row],[Horas]],Tabla2[[#This Row],[Minutos a Horas]])</f>
        <v>4.7166666666666668</v>
      </c>
      <c r="AP317" s="49">
        <v>6</v>
      </c>
      <c r="AQ317" s="49">
        <v>0</v>
      </c>
      <c r="AR317" s="26">
        <f>Tabla2[[#This Row],[Minutos*]]/60</f>
        <v>0</v>
      </c>
      <c r="AS317" s="27">
        <f>SUM(Tabla2[[#This Row],[Horas*]],Tabla2[[#This Row],[Minutos a Horas*]])+(Tabla2[[#This Row],[Tiempo Total a Nivel Proncincial (Horas)]])</f>
        <v>10.716666666666667</v>
      </c>
    </row>
    <row r="318" spans="2:45" ht="40.15" customHeight="1" x14ac:dyDescent="0.25">
      <c r="B318" s="91"/>
      <c r="C318" s="91"/>
      <c r="D318" s="91"/>
      <c r="E318" s="92"/>
      <c r="F318" s="92"/>
      <c r="G318" s="92"/>
      <c r="H318" s="98"/>
      <c r="I318" s="99"/>
      <c r="J318" s="99"/>
      <c r="K318" s="99"/>
      <c r="L318" s="98"/>
      <c r="M318" s="92"/>
      <c r="N318" s="100"/>
      <c r="O318" s="94"/>
      <c r="P318" s="102"/>
      <c r="Q318" s="100"/>
      <c r="R318" s="95"/>
      <c r="S318" s="95"/>
      <c r="T318" s="96"/>
      <c r="U318" s="101"/>
      <c r="V318" s="101"/>
      <c r="W318" s="96"/>
      <c r="X318" s="101"/>
      <c r="Y318" s="101"/>
      <c r="Z318" s="96"/>
      <c r="AA318" s="97"/>
      <c r="AB318" s="93"/>
      <c r="AD318" s="20" t="s">
        <v>2398</v>
      </c>
      <c r="AE318" s="10" t="s">
        <v>375</v>
      </c>
      <c r="AF318" s="20" t="s">
        <v>403</v>
      </c>
      <c r="AG318" s="10"/>
      <c r="AH318" s="22" t="str">
        <f t="shared" si="8"/>
        <v>Apurímac_06 Chincheros</v>
      </c>
      <c r="AI318" s="10" t="s">
        <v>372</v>
      </c>
      <c r="AJ318" s="20" t="s">
        <v>466</v>
      </c>
      <c r="AK318" s="22" t="str">
        <f t="shared" si="9"/>
        <v>Apurímac_06 Chincheros_04 Huaccana</v>
      </c>
      <c r="AL318" s="25">
        <v>4</v>
      </c>
      <c r="AM318" s="25">
        <v>43</v>
      </c>
      <c r="AN318" s="26">
        <f>Tabla2[[#This Row],[Minutos]]/60</f>
        <v>0.71666666666666667</v>
      </c>
      <c r="AO318" s="27">
        <f>SUM(Tabla2[[#This Row],[Horas]],Tabla2[[#This Row],[Minutos a Horas]])</f>
        <v>4.7166666666666668</v>
      </c>
      <c r="AP318" s="49">
        <v>6</v>
      </c>
      <c r="AQ318" s="49">
        <v>30</v>
      </c>
      <c r="AR318" s="26">
        <f>Tabla2[[#This Row],[Minutos*]]/60</f>
        <v>0.5</v>
      </c>
      <c r="AS318" s="27">
        <f>SUM(Tabla2[[#This Row],[Horas*]],Tabla2[[#This Row],[Minutos a Horas*]])+(Tabla2[[#This Row],[Tiempo Total a Nivel Proncincial (Horas)]])</f>
        <v>11.216666666666667</v>
      </c>
    </row>
    <row r="319" spans="2:45" ht="40.15" customHeight="1" x14ac:dyDescent="0.25">
      <c r="B319" s="91"/>
      <c r="C319" s="91"/>
      <c r="D319" s="91"/>
      <c r="E319" s="92"/>
      <c r="F319" s="92"/>
      <c r="G319" s="92"/>
      <c r="H319" s="98"/>
      <c r="I319" s="99"/>
      <c r="J319" s="99"/>
      <c r="K319" s="99"/>
      <c r="L319" s="98"/>
      <c r="M319" s="92"/>
      <c r="N319" s="100"/>
      <c r="O319" s="94"/>
      <c r="P319" s="102"/>
      <c r="Q319" s="100"/>
      <c r="R319" s="95"/>
      <c r="S319" s="95"/>
      <c r="T319" s="96"/>
      <c r="U319" s="101"/>
      <c r="V319" s="101"/>
      <c r="W319" s="96"/>
      <c r="X319" s="101"/>
      <c r="Y319" s="101"/>
      <c r="Z319" s="96"/>
      <c r="AA319" s="97"/>
      <c r="AB319" s="93"/>
      <c r="AD319" s="20" t="s">
        <v>2398</v>
      </c>
      <c r="AE319" s="10" t="s">
        <v>375</v>
      </c>
      <c r="AF319" s="20" t="s">
        <v>403</v>
      </c>
      <c r="AG319" s="10"/>
      <c r="AH319" s="22" t="str">
        <f t="shared" si="8"/>
        <v>Apurímac_06 Chincheros</v>
      </c>
      <c r="AI319" s="10" t="s">
        <v>372</v>
      </c>
      <c r="AJ319" s="20" t="s">
        <v>467</v>
      </c>
      <c r="AK319" s="22" t="str">
        <f t="shared" si="9"/>
        <v>Apurímac_06 Chincheros_05 Ocobamba</v>
      </c>
      <c r="AL319" s="25">
        <v>4</v>
      </c>
      <c r="AM319" s="25">
        <v>43</v>
      </c>
      <c r="AN319" s="26">
        <f>Tabla2[[#This Row],[Minutos]]/60</f>
        <v>0.71666666666666667</v>
      </c>
      <c r="AO319" s="27">
        <f>SUM(Tabla2[[#This Row],[Horas]],Tabla2[[#This Row],[Minutos a Horas]])</f>
        <v>4.7166666666666668</v>
      </c>
      <c r="AP319" s="49">
        <v>4</v>
      </c>
      <c r="AQ319" s="49">
        <v>30</v>
      </c>
      <c r="AR319" s="26">
        <f>Tabla2[[#This Row],[Minutos*]]/60</f>
        <v>0.5</v>
      </c>
      <c r="AS319" s="27">
        <f>SUM(Tabla2[[#This Row],[Horas*]],Tabla2[[#This Row],[Minutos a Horas*]])+(Tabla2[[#This Row],[Tiempo Total a Nivel Proncincial (Horas)]])</f>
        <v>9.2166666666666668</v>
      </c>
    </row>
    <row r="320" spans="2:45" ht="40.15" customHeight="1" x14ac:dyDescent="0.25">
      <c r="B320" s="91"/>
      <c r="C320" s="91"/>
      <c r="D320" s="91"/>
      <c r="E320" s="92"/>
      <c r="F320" s="92"/>
      <c r="G320" s="92"/>
      <c r="H320" s="98"/>
      <c r="I320" s="99"/>
      <c r="J320" s="99"/>
      <c r="K320" s="99"/>
      <c r="L320" s="98"/>
      <c r="M320" s="92"/>
      <c r="N320" s="100"/>
      <c r="O320" s="94"/>
      <c r="P320" s="102"/>
      <c r="Q320" s="100"/>
      <c r="R320" s="95"/>
      <c r="S320" s="95"/>
      <c r="T320" s="96"/>
      <c r="U320" s="101"/>
      <c r="V320" s="101"/>
      <c r="W320" s="96"/>
      <c r="X320" s="101"/>
      <c r="Y320" s="101"/>
      <c r="Z320" s="96"/>
      <c r="AA320" s="97"/>
      <c r="AB320" s="93"/>
      <c r="AD320" s="20" t="s">
        <v>2398</v>
      </c>
      <c r="AE320" s="10" t="s">
        <v>375</v>
      </c>
      <c r="AF320" s="20" t="s">
        <v>403</v>
      </c>
      <c r="AG320" s="10"/>
      <c r="AH320" s="22" t="str">
        <f t="shared" si="8"/>
        <v>Apurímac_06 Chincheros</v>
      </c>
      <c r="AI320" s="10" t="s">
        <v>372</v>
      </c>
      <c r="AJ320" s="20" t="s">
        <v>468</v>
      </c>
      <c r="AK320" s="22" t="str">
        <f t="shared" si="9"/>
        <v>Apurímac_06 Chincheros_06 Ongoy</v>
      </c>
      <c r="AL320" s="25">
        <v>4</v>
      </c>
      <c r="AM320" s="25">
        <v>43</v>
      </c>
      <c r="AN320" s="26">
        <f>Tabla2[[#This Row],[Minutos]]/60</f>
        <v>0.71666666666666667</v>
      </c>
      <c r="AO320" s="27">
        <f>SUM(Tabla2[[#This Row],[Horas]],Tabla2[[#This Row],[Minutos a Horas]])</f>
        <v>4.7166666666666668</v>
      </c>
      <c r="AP320" s="49">
        <v>5</v>
      </c>
      <c r="AQ320" s="49">
        <v>0</v>
      </c>
      <c r="AR320" s="26">
        <f>Tabla2[[#This Row],[Minutos*]]/60</f>
        <v>0</v>
      </c>
      <c r="AS320" s="27">
        <f>SUM(Tabla2[[#This Row],[Horas*]],Tabla2[[#This Row],[Minutos a Horas*]])+(Tabla2[[#This Row],[Tiempo Total a Nivel Proncincial (Horas)]])</f>
        <v>9.7166666666666668</v>
      </c>
    </row>
    <row r="321" spans="2:45" ht="40.15" customHeight="1" x14ac:dyDescent="0.25">
      <c r="B321" s="91"/>
      <c r="C321" s="91"/>
      <c r="D321" s="91"/>
      <c r="E321" s="92"/>
      <c r="F321" s="92"/>
      <c r="G321" s="92"/>
      <c r="H321" s="98"/>
      <c r="I321" s="99"/>
      <c r="J321" s="99"/>
      <c r="K321" s="99"/>
      <c r="L321" s="98"/>
      <c r="M321" s="92"/>
      <c r="N321" s="100"/>
      <c r="O321" s="94"/>
      <c r="P321" s="102"/>
      <c r="Q321" s="100"/>
      <c r="R321" s="95"/>
      <c r="S321" s="95"/>
      <c r="T321" s="96"/>
      <c r="U321" s="101"/>
      <c r="V321" s="101"/>
      <c r="W321" s="96"/>
      <c r="X321" s="101"/>
      <c r="Y321" s="101"/>
      <c r="Z321" s="96"/>
      <c r="AA321" s="97"/>
      <c r="AB321" s="93"/>
      <c r="AD321" s="20" t="s">
        <v>2398</v>
      </c>
      <c r="AE321" s="10" t="s">
        <v>375</v>
      </c>
      <c r="AF321" s="20" t="s">
        <v>403</v>
      </c>
      <c r="AG321" s="10"/>
      <c r="AH321" s="22" t="str">
        <f t="shared" si="8"/>
        <v>Apurímac_06 Chincheros</v>
      </c>
      <c r="AI321" s="10" t="s">
        <v>372</v>
      </c>
      <c r="AJ321" s="20" t="s">
        <v>469</v>
      </c>
      <c r="AK321" s="22" t="str">
        <f t="shared" si="9"/>
        <v>Apurímac_06 Chincheros_07 Uranmarca</v>
      </c>
      <c r="AL321" s="25">
        <v>4</v>
      </c>
      <c r="AM321" s="25">
        <v>43</v>
      </c>
      <c r="AN321" s="26">
        <f>Tabla2[[#This Row],[Minutos]]/60</f>
        <v>0.71666666666666667</v>
      </c>
      <c r="AO321" s="27">
        <f>SUM(Tabla2[[#This Row],[Horas]],Tabla2[[#This Row],[Minutos a Horas]])</f>
        <v>4.7166666666666668</v>
      </c>
      <c r="AP321" s="49">
        <v>5</v>
      </c>
      <c r="AQ321" s="49">
        <v>30</v>
      </c>
      <c r="AR321" s="26">
        <f>Tabla2[[#This Row],[Minutos*]]/60</f>
        <v>0.5</v>
      </c>
      <c r="AS321" s="27">
        <f>SUM(Tabla2[[#This Row],[Horas*]],Tabla2[[#This Row],[Minutos a Horas*]])+(Tabla2[[#This Row],[Tiempo Total a Nivel Proncincial (Horas)]])</f>
        <v>10.216666666666667</v>
      </c>
    </row>
    <row r="322" spans="2:45" ht="40.15" customHeight="1" x14ac:dyDescent="0.25">
      <c r="B322" s="91"/>
      <c r="C322" s="91"/>
      <c r="D322" s="91"/>
      <c r="E322" s="92"/>
      <c r="F322" s="92"/>
      <c r="G322" s="92"/>
      <c r="H322" s="98"/>
      <c r="I322" s="99"/>
      <c r="J322" s="99"/>
      <c r="K322" s="99"/>
      <c r="L322" s="98"/>
      <c r="M322" s="92"/>
      <c r="N322" s="100"/>
      <c r="O322" s="94"/>
      <c r="P322" s="102"/>
      <c r="Q322" s="100"/>
      <c r="R322" s="95"/>
      <c r="S322" s="95"/>
      <c r="T322" s="96"/>
      <c r="U322" s="101"/>
      <c r="V322" s="101"/>
      <c r="W322" s="96"/>
      <c r="X322" s="101"/>
      <c r="Y322" s="101"/>
      <c r="Z322" s="96"/>
      <c r="AA322" s="97"/>
      <c r="AB322" s="93"/>
      <c r="AD322" s="20" t="s">
        <v>2398</v>
      </c>
      <c r="AE322" s="10" t="s">
        <v>375</v>
      </c>
      <c r="AF322" s="20" t="s">
        <v>403</v>
      </c>
      <c r="AG322" s="10"/>
      <c r="AH322" s="22" t="str">
        <f t="shared" si="8"/>
        <v>Apurímac_06 Chincheros</v>
      </c>
      <c r="AI322" s="10" t="s">
        <v>372</v>
      </c>
      <c r="AJ322" s="20" t="s">
        <v>470</v>
      </c>
      <c r="AK322" s="22" t="str">
        <f t="shared" si="9"/>
        <v>Apurímac_06 Chincheros_08 Ranracancha</v>
      </c>
      <c r="AL322" s="25">
        <v>4</v>
      </c>
      <c r="AM322" s="25">
        <v>43</v>
      </c>
      <c r="AN322" s="26">
        <f>Tabla2[[#This Row],[Minutos]]/60</f>
        <v>0.71666666666666667</v>
      </c>
      <c r="AO322" s="27">
        <f>SUM(Tabla2[[#This Row],[Horas]],Tabla2[[#This Row],[Minutos a Horas]])</f>
        <v>4.7166666666666668</v>
      </c>
      <c r="AP322" s="49">
        <v>4</v>
      </c>
      <c r="AQ322" s="49">
        <v>30</v>
      </c>
      <c r="AR322" s="26">
        <f>Tabla2[[#This Row],[Minutos*]]/60</f>
        <v>0.5</v>
      </c>
      <c r="AS322" s="27">
        <f>SUM(Tabla2[[#This Row],[Horas*]],Tabla2[[#This Row],[Minutos a Horas*]])+(Tabla2[[#This Row],[Tiempo Total a Nivel Proncincial (Horas)]])</f>
        <v>9.2166666666666668</v>
      </c>
    </row>
    <row r="323" spans="2:45" ht="40.15" customHeight="1" x14ac:dyDescent="0.25">
      <c r="B323" s="91"/>
      <c r="C323" s="91"/>
      <c r="D323" s="91"/>
      <c r="E323" s="92"/>
      <c r="F323" s="92"/>
      <c r="G323" s="92"/>
      <c r="H323" s="98"/>
      <c r="I323" s="99"/>
      <c r="J323" s="99"/>
      <c r="K323" s="99"/>
      <c r="L323" s="98"/>
      <c r="M323" s="92"/>
      <c r="N323" s="100"/>
      <c r="O323" s="94"/>
      <c r="P323" s="102"/>
      <c r="Q323" s="100"/>
      <c r="R323" s="95"/>
      <c r="S323" s="95"/>
      <c r="T323" s="96"/>
      <c r="U323" s="101"/>
      <c r="V323" s="101"/>
      <c r="W323" s="96"/>
      <c r="X323" s="101"/>
      <c r="Y323" s="101"/>
      <c r="Z323" s="96"/>
      <c r="AA323" s="97"/>
      <c r="AB323" s="93"/>
      <c r="AD323" s="20" t="s">
        <v>2398</v>
      </c>
      <c r="AE323" s="10" t="s">
        <v>375</v>
      </c>
      <c r="AF323" s="20" t="s">
        <v>403</v>
      </c>
      <c r="AG323" s="10"/>
      <c r="AH323" s="22" t="str">
        <f t="shared" si="8"/>
        <v>Apurímac_06 Chincheros</v>
      </c>
      <c r="AI323" s="10" t="s">
        <v>372</v>
      </c>
      <c r="AJ323" s="20" t="s">
        <v>471</v>
      </c>
      <c r="AK323" s="22" t="str">
        <f t="shared" si="9"/>
        <v>Apurímac_06 Chincheros_09 Rocchacc</v>
      </c>
      <c r="AL323" s="25">
        <v>4</v>
      </c>
      <c r="AM323" s="25">
        <v>43</v>
      </c>
      <c r="AN323" s="26">
        <f>Tabla2[[#This Row],[Minutos]]/60</f>
        <v>0.71666666666666667</v>
      </c>
      <c r="AO323" s="27">
        <f>SUM(Tabla2[[#This Row],[Horas]],Tabla2[[#This Row],[Minutos a Horas]])</f>
        <v>4.7166666666666668</v>
      </c>
      <c r="AP323" s="49">
        <v>5</v>
      </c>
      <c r="AQ323" s="49">
        <v>0</v>
      </c>
      <c r="AR323" s="26">
        <f>Tabla2[[#This Row],[Minutos*]]/60</f>
        <v>0</v>
      </c>
      <c r="AS323" s="27">
        <f>SUM(Tabla2[[#This Row],[Horas*]],Tabla2[[#This Row],[Minutos a Horas*]])+(Tabla2[[#This Row],[Tiempo Total a Nivel Proncincial (Horas)]])</f>
        <v>9.7166666666666668</v>
      </c>
    </row>
    <row r="324" spans="2:45" ht="40.15" customHeight="1" x14ac:dyDescent="0.25">
      <c r="B324" s="91"/>
      <c r="C324" s="91"/>
      <c r="D324" s="91"/>
      <c r="E324" s="92"/>
      <c r="F324" s="92"/>
      <c r="G324" s="92"/>
      <c r="H324" s="98"/>
      <c r="I324" s="99"/>
      <c r="J324" s="99"/>
      <c r="K324" s="99"/>
      <c r="L324" s="98"/>
      <c r="M324" s="92"/>
      <c r="N324" s="100"/>
      <c r="O324" s="94"/>
      <c r="P324" s="102"/>
      <c r="Q324" s="100"/>
      <c r="R324" s="95"/>
      <c r="S324" s="95"/>
      <c r="T324" s="96"/>
      <c r="U324" s="101"/>
      <c r="V324" s="101"/>
      <c r="W324" s="96"/>
      <c r="X324" s="101"/>
      <c r="Y324" s="101"/>
      <c r="Z324" s="96"/>
      <c r="AA324" s="97"/>
      <c r="AB324" s="93"/>
      <c r="AD324" s="20" t="s">
        <v>2398</v>
      </c>
      <c r="AE324" s="10" t="s">
        <v>375</v>
      </c>
      <c r="AF324" s="20" t="s">
        <v>403</v>
      </c>
      <c r="AG324" s="10"/>
      <c r="AH324" s="22" t="str">
        <f t="shared" si="8"/>
        <v>Apurímac_06 Chincheros</v>
      </c>
      <c r="AI324" s="10" t="s">
        <v>372</v>
      </c>
      <c r="AJ324" s="20" t="s">
        <v>472</v>
      </c>
      <c r="AK324" s="22" t="str">
        <f t="shared" si="9"/>
        <v>Apurímac_06 Chincheros_10 El Porvenir</v>
      </c>
      <c r="AL324" s="25">
        <v>4</v>
      </c>
      <c r="AM324" s="25">
        <v>43</v>
      </c>
      <c r="AN324" s="26">
        <f>Tabla2[[#This Row],[Minutos]]/60</f>
        <v>0.71666666666666667</v>
      </c>
      <c r="AO324" s="27">
        <f>SUM(Tabla2[[#This Row],[Horas]],Tabla2[[#This Row],[Minutos a Horas]])</f>
        <v>4.7166666666666668</v>
      </c>
      <c r="AP324" s="49">
        <v>5</v>
      </c>
      <c r="AQ324" s="49">
        <v>30</v>
      </c>
      <c r="AR324" s="26">
        <f>Tabla2[[#This Row],[Minutos*]]/60</f>
        <v>0.5</v>
      </c>
      <c r="AS324" s="27">
        <f>SUM(Tabla2[[#This Row],[Horas*]],Tabla2[[#This Row],[Minutos a Horas*]])+(Tabla2[[#This Row],[Tiempo Total a Nivel Proncincial (Horas)]])</f>
        <v>10.216666666666667</v>
      </c>
    </row>
    <row r="325" spans="2:45" ht="40.15" customHeight="1" x14ac:dyDescent="0.25">
      <c r="B325" s="91"/>
      <c r="C325" s="91"/>
      <c r="D325" s="91"/>
      <c r="E325" s="92"/>
      <c r="F325" s="92"/>
      <c r="G325" s="92"/>
      <c r="H325" s="98"/>
      <c r="I325" s="99"/>
      <c r="J325" s="99"/>
      <c r="K325" s="99"/>
      <c r="L325" s="98"/>
      <c r="M325" s="92"/>
      <c r="N325" s="100"/>
      <c r="O325" s="94"/>
      <c r="P325" s="102"/>
      <c r="Q325" s="100"/>
      <c r="R325" s="95"/>
      <c r="S325" s="95"/>
      <c r="T325" s="96"/>
      <c r="U325" s="101"/>
      <c r="V325" s="101"/>
      <c r="W325" s="96"/>
      <c r="X325" s="101"/>
      <c r="Y325" s="101"/>
      <c r="Z325" s="96"/>
      <c r="AA325" s="97"/>
      <c r="AB325" s="93"/>
      <c r="AD325" s="20" t="s">
        <v>2398</v>
      </c>
      <c r="AE325" s="10" t="s">
        <v>375</v>
      </c>
      <c r="AF325" s="20" t="s">
        <v>404</v>
      </c>
      <c r="AG325" s="10"/>
      <c r="AH325" s="22" t="str">
        <f t="shared" si="8"/>
        <v>Apurímac_07 Grau</v>
      </c>
      <c r="AI325" s="10" t="s">
        <v>373</v>
      </c>
      <c r="AJ325" s="20" t="s">
        <v>473</v>
      </c>
      <c r="AK325" s="22" t="str">
        <f t="shared" si="9"/>
        <v>Apurímac_07 Grau_01 Chuquibambilla</v>
      </c>
      <c r="AL325" s="25">
        <v>2</v>
      </c>
      <c r="AM325" s="25">
        <v>42</v>
      </c>
      <c r="AN325" s="26">
        <f>Tabla2[[#This Row],[Minutos]]/60</f>
        <v>0.7</v>
      </c>
      <c r="AO325" s="27">
        <f>SUM(Tabla2[[#This Row],[Horas]],Tabla2[[#This Row],[Minutos a Horas]])</f>
        <v>2.7</v>
      </c>
      <c r="AP325" s="49">
        <v>3</v>
      </c>
      <c r="AQ325" s="49">
        <v>30</v>
      </c>
      <c r="AR325" s="26">
        <f>Tabla2[[#This Row],[Minutos*]]/60</f>
        <v>0.5</v>
      </c>
      <c r="AS325" s="27">
        <f>SUM(Tabla2[[#This Row],[Horas*]],Tabla2[[#This Row],[Minutos a Horas*]])+(Tabla2[[#This Row],[Tiempo Total a Nivel Proncincial (Horas)]])</f>
        <v>6.2</v>
      </c>
    </row>
    <row r="326" spans="2:45" ht="40.15" customHeight="1" x14ac:dyDescent="0.25">
      <c r="B326" s="91"/>
      <c r="C326" s="91"/>
      <c r="D326" s="91"/>
      <c r="E326" s="92"/>
      <c r="F326" s="92"/>
      <c r="G326" s="92"/>
      <c r="H326" s="98"/>
      <c r="I326" s="99"/>
      <c r="J326" s="99"/>
      <c r="K326" s="99"/>
      <c r="L326" s="98"/>
      <c r="M326" s="92"/>
      <c r="N326" s="100"/>
      <c r="O326" s="94"/>
      <c r="P326" s="102"/>
      <c r="Q326" s="100"/>
      <c r="R326" s="95"/>
      <c r="S326" s="95"/>
      <c r="T326" s="96"/>
      <c r="U326" s="101"/>
      <c r="V326" s="101"/>
      <c r="W326" s="96"/>
      <c r="X326" s="101"/>
      <c r="Y326" s="101"/>
      <c r="Z326" s="96"/>
      <c r="AA326" s="97"/>
      <c r="AB326" s="93"/>
      <c r="AD326" s="20" t="s">
        <v>2398</v>
      </c>
      <c r="AE326" s="10" t="s">
        <v>375</v>
      </c>
      <c r="AF326" s="20" t="s">
        <v>404</v>
      </c>
      <c r="AG326" s="10"/>
      <c r="AH326" s="22" t="str">
        <f t="shared" si="8"/>
        <v>Apurímac_07 Grau</v>
      </c>
      <c r="AI326" s="10" t="s">
        <v>373</v>
      </c>
      <c r="AJ326" s="20" t="s">
        <v>474</v>
      </c>
      <c r="AK326" s="22" t="str">
        <f t="shared" si="9"/>
        <v>Apurímac_07 Grau_02 Curpahuasi</v>
      </c>
      <c r="AL326" s="25">
        <v>2</v>
      </c>
      <c r="AM326" s="25">
        <v>42</v>
      </c>
      <c r="AN326" s="26">
        <f>Tabla2[[#This Row],[Minutos]]/60</f>
        <v>0.7</v>
      </c>
      <c r="AO326" s="27">
        <f>SUM(Tabla2[[#This Row],[Horas]],Tabla2[[#This Row],[Minutos a Horas]])</f>
        <v>2.7</v>
      </c>
      <c r="AP326" s="49">
        <v>4</v>
      </c>
      <c r="AQ326" s="49">
        <v>0</v>
      </c>
      <c r="AR326" s="26">
        <f>Tabla2[[#This Row],[Minutos*]]/60</f>
        <v>0</v>
      </c>
      <c r="AS326" s="27">
        <f>SUM(Tabla2[[#This Row],[Horas*]],Tabla2[[#This Row],[Minutos a Horas*]])+(Tabla2[[#This Row],[Tiempo Total a Nivel Proncincial (Horas)]])</f>
        <v>6.7</v>
      </c>
    </row>
    <row r="327" spans="2:45" ht="40.15" customHeight="1" x14ac:dyDescent="0.25">
      <c r="B327" s="91"/>
      <c r="C327" s="91"/>
      <c r="D327" s="91"/>
      <c r="E327" s="92"/>
      <c r="F327" s="92"/>
      <c r="G327" s="92"/>
      <c r="H327" s="98"/>
      <c r="I327" s="99"/>
      <c r="J327" s="99"/>
      <c r="K327" s="99"/>
      <c r="L327" s="98"/>
      <c r="M327" s="92"/>
      <c r="N327" s="100"/>
      <c r="O327" s="94"/>
      <c r="P327" s="102"/>
      <c r="Q327" s="100"/>
      <c r="R327" s="95"/>
      <c r="S327" s="95"/>
      <c r="T327" s="96"/>
      <c r="U327" s="101"/>
      <c r="V327" s="101"/>
      <c r="W327" s="96"/>
      <c r="X327" s="101"/>
      <c r="Y327" s="101"/>
      <c r="Z327" s="96"/>
      <c r="AA327" s="97"/>
      <c r="AB327" s="93"/>
      <c r="AD327" s="20" t="s">
        <v>2398</v>
      </c>
      <c r="AE327" s="10" t="s">
        <v>375</v>
      </c>
      <c r="AF327" s="20" t="s">
        <v>404</v>
      </c>
      <c r="AG327" s="10"/>
      <c r="AH327" s="22" t="str">
        <f t="shared" ref="AH327:AH390" si="10">CONCATENATE(AD327,"_",AF327)</f>
        <v>Apurímac_07 Grau</v>
      </c>
      <c r="AI327" s="10" t="s">
        <v>373</v>
      </c>
      <c r="AJ327" s="20" t="s">
        <v>475</v>
      </c>
      <c r="AK327" s="22" t="str">
        <f t="shared" ref="AK327:AK390" si="11">CONCATENATE(AH327,"_",AJ327)</f>
        <v>Apurímac_07 Grau_03 Gamarra</v>
      </c>
      <c r="AL327" s="25">
        <v>2</v>
      </c>
      <c r="AM327" s="25">
        <v>42</v>
      </c>
      <c r="AN327" s="26">
        <f>Tabla2[[#This Row],[Minutos]]/60</f>
        <v>0.7</v>
      </c>
      <c r="AO327" s="27">
        <f>SUM(Tabla2[[#This Row],[Horas]],Tabla2[[#This Row],[Minutos a Horas]])</f>
        <v>2.7</v>
      </c>
      <c r="AP327" s="49">
        <v>7</v>
      </c>
      <c r="AQ327" s="49">
        <v>30</v>
      </c>
      <c r="AR327" s="26">
        <f>Tabla2[[#This Row],[Minutos*]]/60</f>
        <v>0.5</v>
      </c>
      <c r="AS327" s="27">
        <f>SUM(Tabla2[[#This Row],[Horas*]],Tabla2[[#This Row],[Minutos a Horas*]])+(Tabla2[[#This Row],[Tiempo Total a Nivel Proncincial (Horas)]])</f>
        <v>10.199999999999999</v>
      </c>
    </row>
    <row r="328" spans="2:45" ht="40.15" customHeight="1" x14ac:dyDescent="0.25">
      <c r="B328" s="91"/>
      <c r="C328" s="91"/>
      <c r="D328" s="91"/>
      <c r="E328" s="92"/>
      <c r="F328" s="92"/>
      <c r="G328" s="92"/>
      <c r="H328" s="98"/>
      <c r="I328" s="99"/>
      <c r="J328" s="99"/>
      <c r="K328" s="99"/>
      <c r="L328" s="98"/>
      <c r="M328" s="92"/>
      <c r="N328" s="100"/>
      <c r="O328" s="94"/>
      <c r="P328" s="102"/>
      <c r="Q328" s="100"/>
      <c r="R328" s="95"/>
      <c r="S328" s="95"/>
      <c r="T328" s="96"/>
      <c r="U328" s="101"/>
      <c r="V328" s="101"/>
      <c r="W328" s="96"/>
      <c r="X328" s="101"/>
      <c r="Y328" s="101"/>
      <c r="Z328" s="96"/>
      <c r="AA328" s="97"/>
      <c r="AB328" s="93"/>
      <c r="AD328" s="20" t="s">
        <v>2398</v>
      </c>
      <c r="AE328" s="10" t="s">
        <v>375</v>
      </c>
      <c r="AF328" s="20" t="s">
        <v>404</v>
      </c>
      <c r="AG328" s="10"/>
      <c r="AH328" s="22" t="str">
        <f t="shared" si="10"/>
        <v>Apurímac_07 Grau</v>
      </c>
      <c r="AI328" s="10" t="s">
        <v>373</v>
      </c>
      <c r="AJ328" s="20" t="s">
        <v>476</v>
      </c>
      <c r="AK328" s="22" t="str">
        <f t="shared" si="11"/>
        <v>Apurímac_07 Grau_04 Huayllati</v>
      </c>
      <c r="AL328" s="25">
        <v>2</v>
      </c>
      <c r="AM328" s="25">
        <v>42</v>
      </c>
      <c r="AN328" s="26">
        <f>Tabla2[[#This Row],[Minutos]]/60</f>
        <v>0.7</v>
      </c>
      <c r="AO328" s="27">
        <f>SUM(Tabla2[[#This Row],[Horas]],Tabla2[[#This Row],[Minutos a Horas]])</f>
        <v>2.7</v>
      </c>
      <c r="AP328" s="49">
        <v>8</v>
      </c>
      <c r="AQ328" s="49">
        <v>30</v>
      </c>
      <c r="AR328" s="26">
        <f>Tabla2[[#This Row],[Minutos*]]/60</f>
        <v>0.5</v>
      </c>
      <c r="AS328" s="27">
        <f>SUM(Tabla2[[#This Row],[Horas*]],Tabla2[[#This Row],[Minutos a Horas*]])+(Tabla2[[#This Row],[Tiempo Total a Nivel Proncincial (Horas)]])</f>
        <v>11.2</v>
      </c>
    </row>
    <row r="329" spans="2:45" ht="40.15" customHeight="1" x14ac:dyDescent="0.25">
      <c r="B329" s="91"/>
      <c r="C329" s="91"/>
      <c r="D329" s="91"/>
      <c r="E329" s="92"/>
      <c r="F329" s="92"/>
      <c r="G329" s="92"/>
      <c r="H329" s="98"/>
      <c r="I329" s="99"/>
      <c r="J329" s="99"/>
      <c r="K329" s="99"/>
      <c r="L329" s="98"/>
      <c r="M329" s="92"/>
      <c r="N329" s="100"/>
      <c r="O329" s="94"/>
      <c r="P329" s="102"/>
      <c r="Q329" s="100"/>
      <c r="R329" s="95"/>
      <c r="S329" s="95"/>
      <c r="T329" s="96"/>
      <c r="U329" s="101"/>
      <c r="V329" s="101"/>
      <c r="W329" s="96"/>
      <c r="X329" s="101"/>
      <c r="Y329" s="101"/>
      <c r="Z329" s="96"/>
      <c r="AA329" s="97"/>
      <c r="AB329" s="93"/>
      <c r="AD329" s="20" t="s">
        <v>2398</v>
      </c>
      <c r="AE329" s="10" t="s">
        <v>375</v>
      </c>
      <c r="AF329" s="20" t="s">
        <v>404</v>
      </c>
      <c r="AG329" s="10"/>
      <c r="AH329" s="22" t="str">
        <f t="shared" si="10"/>
        <v>Apurímac_07 Grau</v>
      </c>
      <c r="AI329" s="10" t="s">
        <v>373</v>
      </c>
      <c r="AJ329" s="20" t="s">
        <v>477</v>
      </c>
      <c r="AK329" s="22" t="str">
        <f t="shared" si="11"/>
        <v>Apurímac_07 Grau_05 Mamara</v>
      </c>
      <c r="AL329" s="25">
        <v>2</v>
      </c>
      <c r="AM329" s="25">
        <v>42</v>
      </c>
      <c r="AN329" s="26">
        <f>Tabla2[[#This Row],[Minutos]]/60</f>
        <v>0.7</v>
      </c>
      <c r="AO329" s="27">
        <f>SUM(Tabla2[[#This Row],[Horas]],Tabla2[[#This Row],[Minutos a Horas]])</f>
        <v>2.7</v>
      </c>
      <c r="AP329" s="49">
        <v>8</v>
      </c>
      <c r="AQ329" s="49">
        <v>30</v>
      </c>
      <c r="AR329" s="26">
        <f>Tabla2[[#This Row],[Minutos*]]/60</f>
        <v>0.5</v>
      </c>
      <c r="AS329" s="27">
        <f>SUM(Tabla2[[#This Row],[Horas*]],Tabla2[[#This Row],[Minutos a Horas*]])+(Tabla2[[#This Row],[Tiempo Total a Nivel Proncincial (Horas)]])</f>
        <v>11.2</v>
      </c>
    </row>
    <row r="330" spans="2:45" ht="40.15" customHeight="1" x14ac:dyDescent="0.25">
      <c r="B330" s="91"/>
      <c r="C330" s="91"/>
      <c r="D330" s="91"/>
      <c r="E330" s="92"/>
      <c r="F330" s="92"/>
      <c r="G330" s="92"/>
      <c r="H330" s="98"/>
      <c r="I330" s="99"/>
      <c r="J330" s="99"/>
      <c r="K330" s="99"/>
      <c r="L330" s="98"/>
      <c r="M330" s="92"/>
      <c r="N330" s="100"/>
      <c r="O330" s="94"/>
      <c r="P330" s="102"/>
      <c r="Q330" s="100"/>
      <c r="R330" s="95"/>
      <c r="S330" s="95"/>
      <c r="T330" s="96"/>
      <c r="U330" s="101"/>
      <c r="V330" s="101"/>
      <c r="W330" s="96"/>
      <c r="X330" s="101"/>
      <c r="Y330" s="101"/>
      <c r="Z330" s="96"/>
      <c r="AA330" s="97"/>
      <c r="AB330" s="93"/>
      <c r="AD330" s="20" t="s">
        <v>2398</v>
      </c>
      <c r="AE330" s="10" t="s">
        <v>375</v>
      </c>
      <c r="AF330" s="20" t="s">
        <v>404</v>
      </c>
      <c r="AG330" s="10"/>
      <c r="AH330" s="22" t="str">
        <f t="shared" si="10"/>
        <v>Apurímac_07 Grau</v>
      </c>
      <c r="AI330" s="10" t="s">
        <v>373</v>
      </c>
      <c r="AJ330" s="20" t="s">
        <v>478</v>
      </c>
      <c r="AK330" s="22" t="str">
        <f t="shared" si="11"/>
        <v>Apurímac_07 Grau_06 Micaela Bastidas</v>
      </c>
      <c r="AL330" s="25">
        <v>2</v>
      </c>
      <c r="AM330" s="25">
        <v>42</v>
      </c>
      <c r="AN330" s="26">
        <f>Tabla2[[#This Row],[Minutos]]/60</f>
        <v>0.7</v>
      </c>
      <c r="AO330" s="27">
        <f>SUM(Tabla2[[#This Row],[Horas]],Tabla2[[#This Row],[Minutos a Horas]])</f>
        <v>2.7</v>
      </c>
      <c r="AP330" s="49">
        <v>4</v>
      </c>
      <c r="AQ330" s="49">
        <v>30</v>
      </c>
      <c r="AR330" s="26">
        <f>Tabla2[[#This Row],[Minutos*]]/60</f>
        <v>0.5</v>
      </c>
      <c r="AS330" s="27">
        <f>SUM(Tabla2[[#This Row],[Horas*]],Tabla2[[#This Row],[Minutos a Horas*]])+(Tabla2[[#This Row],[Tiempo Total a Nivel Proncincial (Horas)]])</f>
        <v>7.2</v>
      </c>
    </row>
    <row r="331" spans="2:45" ht="40.15" customHeight="1" x14ac:dyDescent="0.25">
      <c r="B331" s="91"/>
      <c r="C331" s="91"/>
      <c r="D331" s="91"/>
      <c r="E331" s="92"/>
      <c r="F331" s="92"/>
      <c r="G331" s="92"/>
      <c r="H331" s="98"/>
      <c r="I331" s="99"/>
      <c r="J331" s="99"/>
      <c r="K331" s="99"/>
      <c r="L331" s="98"/>
      <c r="M331" s="92"/>
      <c r="N331" s="100"/>
      <c r="O331" s="94"/>
      <c r="P331" s="102"/>
      <c r="Q331" s="100"/>
      <c r="R331" s="95"/>
      <c r="S331" s="95"/>
      <c r="T331" s="96"/>
      <c r="U331" s="101"/>
      <c r="V331" s="101"/>
      <c r="W331" s="96"/>
      <c r="X331" s="101"/>
      <c r="Y331" s="101"/>
      <c r="Z331" s="96"/>
      <c r="AA331" s="97"/>
      <c r="AB331" s="93"/>
      <c r="AD331" s="20" t="s">
        <v>2398</v>
      </c>
      <c r="AE331" s="10" t="s">
        <v>375</v>
      </c>
      <c r="AF331" s="20" t="s">
        <v>404</v>
      </c>
      <c r="AG331" s="10"/>
      <c r="AH331" s="22" t="str">
        <f t="shared" si="10"/>
        <v>Apurímac_07 Grau</v>
      </c>
      <c r="AI331" s="10" t="s">
        <v>373</v>
      </c>
      <c r="AJ331" s="20" t="s">
        <v>479</v>
      </c>
      <c r="AK331" s="22" t="str">
        <f t="shared" si="11"/>
        <v>Apurímac_07 Grau_07 Pataypampa</v>
      </c>
      <c r="AL331" s="25">
        <v>2</v>
      </c>
      <c r="AM331" s="25">
        <v>42</v>
      </c>
      <c r="AN331" s="26">
        <f>Tabla2[[#This Row],[Minutos]]/60</f>
        <v>0.7</v>
      </c>
      <c r="AO331" s="27">
        <f>SUM(Tabla2[[#This Row],[Horas]],Tabla2[[#This Row],[Minutos a Horas]])</f>
        <v>2.7</v>
      </c>
      <c r="AP331" s="49">
        <v>5</v>
      </c>
      <c r="AQ331" s="49">
        <v>30</v>
      </c>
      <c r="AR331" s="26">
        <f>Tabla2[[#This Row],[Minutos*]]/60</f>
        <v>0.5</v>
      </c>
      <c r="AS331" s="27">
        <f>SUM(Tabla2[[#This Row],[Horas*]],Tabla2[[#This Row],[Minutos a Horas*]])+(Tabla2[[#This Row],[Tiempo Total a Nivel Proncincial (Horas)]])</f>
        <v>8.1999999999999993</v>
      </c>
    </row>
    <row r="332" spans="2:45" ht="40.15" customHeight="1" x14ac:dyDescent="0.25">
      <c r="B332" s="91"/>
      <c r="C332" s="91"/>
      <c r="D332" s="91"/>
      <c r="E332" s="92"/>
      <c r="F332" s="92"/>
      <c r="G332" s="92"/>
      <c r="H332" s="98"/>
      <c r="I332" s="99"/>
      <c r="J332" s="99"/>
      <c r="K332" s="99"/>
      <c r="L332" s="98"/>
      <c r="M332" s="92"/>
      <c r="N332" s="100"/>
      <c r="O332" s="94"/>
      <c r="P332" s="102"/>
      <c r="Q332" s="100"/>
      <c r="R332" s="95"/>
      <c r="S332" s="95"/>
      <c r="T332" s="96"/>
      <c r="U332" s="101"/>
      <c r="V332" s="101"/>
      <c r="W332" s="96"/>
      <c r="X332" s="101"/>
      <c r="Y332" s="101"/>
      <c r="Z332" s="96"/>
      <c r="AA332" s="97"/>
      <c r="AB332" s="93"/>
      <c r="AD332" s="20" t="s">
        <v>2398</v>
      </c>
      <c r="AE332" s="10" t="s">
        <v>375</v>
      </c>
      <c r="AF332" s="20" t="s">
        <v>404</v>
      </c>
      <c r="AG332" s="10"/>
      <c r="AH332" s="22" t="str">
        <f t="shared" si="10"/>
        <v>Apurímac_07 Grau</v>
      </c>
      <c r="AI332" s="10" t="s">
        <v>373</v>
      </c>
      <c r="AJ332" s="20" t="s">
        <v>480</v>
      </c>
      <c r="AK332" s="22" t="str">
        <f t="shared" si="11"/>
        <v>Apurímac_07 Grau_08 Progreso</v>
      </c>
      <c r="AL332" s="25">
        <v>2</v>
      </c>
      <c r="AM332" s="25">
        <v>42</v>
      </c>
      <c r="AN332" s="26">
        <f>Tabla2[[#This Row],[Minutos]]/60</f>
        <v>0.7</v>
      </c>
      <c r="AO332" s="27">
        <f>SUM(Tabla2[[#This Row],[Horas]],Tabla2[[#This Row],[Minutos a Horas]])</f>
        <v>2.7</v>
      </c>
      <c r="AP332" s="49">
        <v>5</v>
      </c>
      <c r="AQ332" s="49">
        <v>30</v>
      </c>
      <c r="AR332" s="26">
        <f>Tabla2[[#This Row],[Minutos*]]/60</f>
        <v>0.5</v>
      </c>
      <c r="AS332" s="27">
        <f>SUM(Tabla2[[#This Row],[Horas*]],Tabla2[[#This Row],[Minutos a Horas*]])+(Tabla2[[#This Row],[Tiempo Total a Nivel Proncincial (Horas)]])</f>
        <v>8.1999999999999993</v>
      </c>
    </row>
    <row r="333" spans="2:45" ht="40.15" customHeight="1" x14ac:dyDescent="0.25">
      <c r="B333" s="91"/>
      <c r="C333" s="91"/>
      <c r="D333" s="91"/>
      <c r="E333" s="92"/>
      <c r="F333" s="92"/>
      <c r="G333" s="92"/>
      <c r="H333" s="98"/>
      <c r="I333" s="99"/>
      <c r="J333" s="99"/>
      <c r="K333" s="99"/>
      <c r="L333" s="98"/>
      <c r="M333" s="92"/>
      <c r="N333" s="100"/>
      <c r="O333" s="94"/>
      <c r="P333" s="102"/>
      <c r="Q333" s="100"/>
      <c r="R333" s="95"/>
      <c r="S333" s="95"/>
      <c r="T333" s="96"/>
      <c r="U333" s="101"/>
      <c r="V333" s="101"/>
      <c r="W333" s="96"/>
      <c r="X333" s="101"/>
      <c r="Y333" s="101"/>
      <c r="Z333" s="96"/>
      <c r="AA333" s="97"/>
      <c r="AB333" s="93"/>
      <c r="AD333" s="20" t="s">
        <v>2398</v>
      </c>
      <c r="AE333" s="10" t="s">
        <v>375</v>
      </c>
      <c r="AF333" s="20" t="s">
        <v>404</v>
      </c>
      <c r="AG333" s="10"/>
      <c r="AH333" s="22" t="str">
        <f t="shared" si="10"/>
        <v>Apurímac_07 Grau</v>
      </c>
      <c r="AI333" s="10" t="s">
        <v>373</v>
      </c>
      <c r="AJ333" s="20" t="s">
        <v>481</v>
      </c>
      <c r="AK333" s="22" t="str">
        <f t="shared" si="11"/>
        <v>Apurímac_07 Grau_09 San Antonio</v>
      </c>
      <c r="AL333" s="25">
        <v>2</v>
      </c>
      <c r="AM333" s="25">
        <v>42</v>
      </c>
      <c r="AN333" s="26">
        <f>Tabla2[[#This Row],[Minutos]]/60</f>
        <v>0.7</v>
      </c>
      <c r="AO333" s="27">
        <f>SUM(Tabla2[[#This Row],[Horas]],Tabla2[[#This Row],[Minutos a Horas]])</f>
        <v>2.7</v>
      </c>
      <c r="AP333" s="49">
        <v>5</v>
      </c>
      <c r="AQ333" s="49">
        <v>30</v>
      </c>
      <c r="AR333" s="26">
        <f>Tabla2[[#This Row],[Minutos*]]/60</f>
        <v>0.5</v>
      </c>
      <c r="AS333" s="27">
        <f>SUM(Tabla2[[#This Row],[Horas*]],Tabla2[[#This Row],[Minutos a Horas*]])+(Tabla2[[#This Row],[Tiempo Total a Nivel Proncincial (Horas)]])</f>
        <v>8.1999999999999993</v>
      </c>
    </row>
    <row r="334" spans="2:45" ht="40.15" customHeight="1" x14ac:dyDescent="0.25">
      <c r="B334" s="91"/>
      <c r="C334" s="91"/>
      <c r="D334" s="91"/>
      <c r="E334" s="92"/>
      <c r="F334" s="92"/>
      <c r="G334" s="92"/>
      <c r="H334" s="98"/>
      <c r="I334" s="99"/>
      <c r="J334" s="99"/>
      <c r="K334" s="99"/>
      <c r="L334" s="98"/>
      <c r="M334" s="92"/>
      <c r="N334" s="100"/>
      <c r="O334" s="94"/>
      <c r="P334" s="102"/>
      <c r="Q334" s="100"/>
      <c r="R334" s="95"/>
      <c r="S334" s="95"/>
      <c r="T334" s="96"/>
      <c r="U334" s="101"/>
      <c r="V334" s="101"/>
      <c r="W334" s="96"/>
      <c r="X334" s="101"/>
      <c r="Y334" s="101"/>
      <c r="Z334" s="96"/>
      <c r="AA334" s="97"/>
      <c r="AB334" s="93"/>
      <c r="AD334" s="20" t="s">
        <v>2398</v>
      </c>
      <c r="AE334" s="10" t="s">
        <v>375</v>
      </c>
      <c r="AF334" s="20" t="s">
        <v>404</v>
      </c>
      <c r="AG334" s="10"/>
      <c r="AH334" s="22" t="str">
        <f t="shared" si="10"/>
        <v>Apurímac_07 Grau</v>
      </c>
      <c r="AI334" s="10" t="s">
        <v>373</v>
      </c>
      <c r="AJ334" s="20" t="s">
        <v>145</v>
      </c>
      <c r="AK334" s="22" t="str">
        <f t="shared" si="11"/>
        <v>Apurímac_07 Grau_10 Santa Rosa</v>
      </c>
      <c r="AL334" s="25">
        <v>2</v>
      </c>
      <c r="AM334" s="25">
        <v>42</v>
      </c>
      <c r="AN334" s="26">
        <f>Tabla2[[#This Row],[Minutos]]/60</f>
        <v>0.7</v>
      </c>
      <c r="AO334" s="27">
        <f>SUM(Tabla2[[#This Row],[Horas]],Tabla2[[#This Row],[Minutos a Horas]])</f>
        <v>2.7</v>
      </c>
      <c r="AP334" s="49">
        <v>5</v>
      </c>
      <c r="AQ334" s="49">
        <v>0</v>
      </c>
      <c r="AR334" s="26">
        <f>Tabla2[[#This Row],[Minutos*]]/60</f>
        <v>0</v>
      </c>
      <c r="AS334" s="27">
        <f>SUM(Tabla2[[#This Row],[Horas*]],Tabla2[[#This Row],[Minutos a Horas*]])+(Tabla2[[#This Row],[Tiempo Total a Nivel Proncincial (Horas)]])</f>
        <v>7.7</v>
      </c>
    </row>
    <row r="335" spans="2:45" ht="40.15" customHeight="1" x14ac:dyDescent="0.25">
      <c r="B335" s="91"/>
      <c r="C335" s="91"/>
      <c r="D335" s="91"/>
      <c r="E335" s="92"/>
      <c r="F335" s="92"/>
      <c r="G335" s="92"/>
      <c r="H335" s="98"/>
      <c r="I335" s="99"/>
      <c r="J335" s="99"/>
      <c r="K335" s="99"/>
      <c r="L335" s="98"/>
      <c r="M335" s="92"/>
      <c r="N335" s="100"/>
      <c r="O335" s="94"/>
      <c r="P335" s="102"/>
      <c r="Q335" s="100"/>
      <c r="R335" s="95"/>
      <c r="S335" s="95"/>
      <c r="T335" s="96"/>
      <c r="U335" s="101"/>
      <c r="V335" s="101"/>
      <c r="W335" s="96"/>
      <c r="X335" s="101"/>
      <c r="Y335" s="101"/>
      <c r="Z335" s="96"/>
      <c r="AA335" s="97"/>
      <c r="AB335" s="93"/>
      <c r="AD335" s="20" t="s">
        <v>2398</v>
      </c>
      <c r="AE335" s="10" t="s">
        <v>375</v>
      </c>
      <c r="AF335" s="20" t="s">
        <v>404</v>
      </c>
      <c r="AG335" s="10"/>
      <c r="AH335" s="22" t="str">
        <f t="shared" si="10"/>
        <v>Apurímac_07 Grau</v>
      </c>
      <c r="AI335" s="10" t="s">
        <v>373</v>
      </c>
      <c r="AJ335" s="20" t="s">
        <v>482</v>
      </c>
      <c r="AK335" s="22" t="str">
        <f t="shared" si="11"/>
        <v>Apurímac_07 Grau_11 Turpay</v>
      </c>
      <c r="AL335" s="25">
        <v>2</v>
      </c>
      <c r="AM335" s="25">
        <v>42</v>
      </c>
      <c r="AN335" s="26">
        <f>Tabla2[[#This Row],[Minutos]]/60</f>
        <v>0.7</v>
      </c>
      <c r="AO335" s="27">
        <f>SUM(Tabla2[[#This Row],[Horas]],Tabla2[[#This Row],[Minutos a Horas]])</f>
        <v>2.7</v>
      </c>
      <c r="AP335" s="49">
        <v>6</v>
      </c>
      <c r="AQ335" s="49">
        <v>30</v>
      </c>
      <c r="AR335" s="26">
        <f>Tabla2[[#This Row],[Minutos*]]/60</f>
        <v>0.5</v>
      </c>
      <c r="AS335" s="27">
        <f>SUM(Tabla2[[#This Row],[Horas*]],Tabla2[[#This Row],[Minutos a Horas*]])+(Tabla2[[#This Row],[Tiempo Total a Nivel Proncincial (Horas)]])</f>
        <v>9.1999999999999993</v>
      </c>
    </row>
    <row r="336" spans="2:45" ht="40.15" customHeight="1" x14ac:dyDescent="0.25">
      <c r="B336" s="91"/>
      <c r="C336" s="91"/>
      <c r="D336" s="91"/>
      <c r="E336" s="92"/>
      <c r="F336" s="92"/>
      <c r="G336" s="92"/>
      <c r="H336" s="98"/>
      <c r="I336" s="99"/>
      <c r="J336" s="99"/>
      <c r="K336" s="99"/>
      <c r="L336" s="98"/>
      <c r="M336" s="92"/>
      <c r="N336" s="100"/>
      <c r="O336" s="94"/>
      <c r="P336" s="102"/>
      <c r="Q336" s="100"/>
      <c r="R336" s="95"/>
      <c r="S336" s="95"/>
      <c r="T336" s="96"/>
      <c r="U336" s="101"/>
      <c r="V336" s="101"/>
      <c r="W336" s="96"/>
      <c r="X336" s="101"/>
      <c r="Y336" s="101"/>
      <c r="Z336" s="96"/>
      <c r="AA336" s="97"/>
      <c r="AB336" s="93"/>
      <c r="AD336" s="20" t="s">
        <v>2398</v>
      </c>
      <c r="AE336" s="10" t="s">
        <v>375</v>
      </c>
      <c r="AF336" s="20" t="s">
        <v>404</v>
      </c>
      <c r="AG336" s="10"/>
      <c r="AH336" s="22" t="str">
        <f t="shared" si="10"/>
        <v>Apurímac_07 Grau</v>
      </c>
      <c r="AI336" s="10" t="s">
        <v>373</v>
      </c>
      <c r="AJ336" s="20" t="s">
        <v>483</v>
      </c>
      <c r="AK336" s="22" t="str">
        <f t="shared" si="11"/>
        <v>Apurímac_07 Grau_12 Vilcabamba</v>
      </c>
      <c r="AL336" s="25">
        <v>2</v>
      </c>
      <c r="AM336" s="25">
        <v>42</v>
      </c>
      <c r="AN336" s="26">
        <f>Tabla2[[#This Row],[Minutos]]/60</f>
        <v>0.7</v>
      </c>
      <c r="AO336" s="27">
        <f>SUM(Tabla2[[#This Row],[Horas]],Tabla2[[#This Row],[Minutos a Horas]])</f>
        <v>2.7</v>
      </c>
      <c r="AP336" s="49">
        <v>4</v>
      </c>
      <c r="AQ336" s="49">
        <v>0</v>
      </c>
      <c r="AR336" s="26">
        <f>Tabla2[[#This Row],[Minutos*]]/60</f>
        <v>0</v>
      </c>
      <c r="AS336" s="27">
        <f>SUM(Tabla2[[#This Row],[Horas*]],Tabla2[[#This Row],[Minutos a Horas*]])+(Tabla2[[#This Row],[Tiempo Total a Nivel Proncincial (Horas)]])</f>
        <v>6.7</v>
      </c>
    </row>
    <row r="337" spans="2:45" ht="40.15" customHeight="1" x14ac:dyDescent="0.25">
      <c r="B337" s="91"/>
      <c r="C337" s="91"/>
      <c r="D337" s="91"/>
      <c r="E337" s="92"/>
      <c r="F337" s="92"/>
      <c r="G337" s="92"/>
      <c r="H337" s="98"/>
      <c r="I337" s="99"/>
      <c r="J337" s="99"/>
      <c r="K337" s="99"/>
      <c r="L337" s="98"/>
      <c r="M337" s="92"/>
      <c r="N337" s="100"/>
      <c r="O337" s="94"/>
      <c r="P337" s="102"/>
      <c r="Q337" s="100"/>
      <c r="R337" s="95"/>
      <c r="S337" s="95"/>
      <c r="T337" s="96"/>
      <c r="U337" s="101"/>
      <c r="V337" s="101"/>
      <c r="W337" s="96"/>
      <c r="X337" s="101"/>
      <c r="Y337" s="101"/>
      <c r="Z337" s="96"/>
      <c r="AA337" s="97"/>
      <c r="AB337" s="93"/>
      <c r="AD337" s="20" t="s">
        <v>2398</v>
      </c>
      <c r="AE337" s="10" t="s">
        <v>375</v>
      </c>
      <c r="AF337" s="20" t="s">
        <v>404</v>
      </c>
      <c r="AG337" s="10"/>
      <c r="AH337" s="22" t="str">
        <f t="shared" si="10"/>
        <v>Apurímac_07 Grau</v>
      </c>
      <c r="AI337" s="10" t="s">
        <v>373</v>
      </c>
      <c r="AJ337" s="20" t="s">
        <v>484</v>
      </c>
      <c r="AK337" s="22" t="str">
        <f t="shared" si="11"/>
        <v>Apurímac_07 Grau_13 Virundo</v>
      </c>
      <c r="AL337" s="25">
        <v>2</v>
      </c>
      <c r="AM337" s="25">
        <v>42</v>
      </c>
      <c r="AN337" s="26">
        <f>Tabla2[[#This Row],[Minutos]]/60</f>
        <v>0.7</v>
      </c>
      <c r="AO337" s="27">
        <f>SUM(Tabla2[[#This Row],[Horas]],Tabla2[[#This Row],[Minutos a Horas]])</f>
        <v>2.7</v>
      </c>
      <c r="AP337" s="49">
        <v>5</v>
      </c>
      <c r="AQ337" s="49">
        <v>30</v>
      </c>
      <c r="AR337" s="26">
        <f>Tabla2[[#This Row],[Minutos*]]/60</f>
        <v>0.5</v>
      </c>
      <c r="AS337" s="27">
        <f>SUM(Tabla2[[#This Row],[Horas*]],Tabla2[[#This Row],[Minutos a Horas*]])+(Tabla2[[#This Row],[Tiempo Total a Nivel Proncincial (Horas)]])</f>
        <v>8.1999999999999993</v>
      </c>
    </row>
    <row r="338" spans="2:45" ht="40.15" customHeight="1" x14ac:dyDescent="0.25">
      <c r="B338" s="91"/>
      <c r="C338" s="91"/>
      <c r="D338" s="91"/>
      <c r="E338" s="92"/>
      <c r="F338" s="92"/>
      <c r="G338" s="92"/>
      <c r="H338" s="98"/>
      <c r="I338" s="99"/>
      <c r="J338" s="99"/>
      <c r="K338" s="99"/>
      <c r="L338" s="98"/>
      <c r="M338" s="92"/>
      <c r="N338" s="100"/>
      <c r="O338" s="94"/>
      <c r="P338" s="102"/>
      <c r="Q338" s="100"/>
      <c r="R338" s="95"/>
      <c r="S338" s="95"/>
      <c r="T338" s="96"/>
      <c r="U338" s="101"/>
      <c r="V338" s="101"/>
      <c r="W338" s="96"/>
      <c r="X338" s="101"/>
      <c r="Y338" s="101"/>
      <c r="Z338" s="96"/>
      <c r="AA338" s="97"/>
      <c r="AB338" s="93"/>
      <c r="AD338" s="20" t="s">
        <v>2398</v>
      </c>
      <c r="AE338" s="10" t="s">
        <v>375</v>
      </c>
      <c r="AF338" s="20" t="s">
        <v>404</v>
      </c>
      <c r="AG338" s="10"/>
      <c r="AH338" s="22" t="str">
        <f t="shared" si="10"/>
        <v>Apurímac_07 Grau</v>
      </c>
      <c r="AI338" s="10" t="s">
        <v>373</v>
      </c>
      <c r="AJ338" s="20" t="s">
        <v>485</v>
      </c>
      <c r="AK338" s="22" t="str">
        <f t="shared" si="11"/>
        <v>Apurímac_07 Grau_14 Curasco</v>
      </c>
      <c r="AL338" s="25">
        <v>2</v>
      </c>
      <c r="AM338" s="25">
        <v>42</v>
      </c>
      <c r="AN338" s="26">
        <f>Tabla2[[#This Row],[Minutos]]/60</f>
        <v>0.7</v>
      </c>
      <c r="AO338" s="27">
        <f>SUM(Tabla2[[#This Row],[Horas]],Tabla2[[#This Row],[Minutos a Horas]])</f>
        <v>2.7</v>
      </c>
      <c r="AP338" s="49">
        <v>5</v>
      </c>
      <c r="AQ338" s="49">
        <v>30</v>
      </c>
      <c r="AR338" s="26">
        <f>Tabla2[[#This Row],[Minutos*]]/60</f>
        <v>0.5</v>
      </c>
      <c r="AS338" s="27">
        <f>SUM(Tabla2[[#This Row],[Horas*]],Tabla2[[#This Row],[Minutos a Horas*]])+(Tabla2[[#This Row],[Tiempo Total a Nivel Proncincial (Horas)]])</f>
        <v>8.1999999999999993</v>
      </c>
    </row>
    <row r="339" spans="2:45" ht="40.15" customHeight="1" x14ac:dyDescent="0.25">
      <c r="B339" s="91"/>
      <c r="C339" s="91"/>
      <c r="D339" s="91"/>
      <c r="E339" s="92"/>
      <c r="F339" s="92"/>
      <c r="G339" s="92"/>
      <c r="H339" s="98"/>
      <c r="I339" s="99"/>
      <c r="J339" s="99"/>
      <c r="K339" s="99"/>
      <c r="L339" s="98"/>
      <c r="M339" s="92"/>
      <c r="N339" s="100"/>
      <c r="O339" s="94"/>
      <c r="P339" s="102"/>
      <c r="Q339" s="100"/>
      <c r="R339" s="95"/>
      <c r="S339" s="95"/>
      <c r="T339" s="96"/>
      <c r="U339" s="101"/>
      <c r="V339" s="101"/>
      <c r="W339" s="96"/>
      <c r="X339" s="101"/>
      <c r="Y339" s="101"/>
      <c r="Z339" s="96"/>
      <c r="AA339" s="97"/>
      <c r="AB339" s="93"/>
      <c r="AD339" s="20" t="s">
        <v>2379</v>
      </c>
      <c r="AE339" s="10" t="s">
        <v>376</v>
      </c>
      <c r="AF339" s="20" t="s">
        <v>486</v>
      </c>
      <c r="AG339" s="10" t="s">
        <v>486</v>
      </c>
      <c r="AH339" s="22" t="str">
        <f t="shared" si="10"/>
        <v>Arequipa_01 Arequipa</v>
      </c>
      <c r="AI339" s="10" t="s">
        <v>374</v>
      </c>
      <c r="AJ339" s="20" t="s">
        <v>486</v>
      </c>
      <c r="AK339" s="22" t="str">
        <f t="shared" si="11"/>
        <v>Arequipa_01 Arequipa_01 Arequipa</v>
      </c>
      <c r="AL339" s="25">
        <v>1</v>
      </c>
      <c r="AM339" s="25">
        <v>3</v>
      </c>
      <c r="AN339" s="26">
        <f>Tabla2[[#This Row],[Minutos]]/60</f>
        <v>0.05</v>
      </c>
      <c r="AO339" s="27">
        <f>SUM(Tabla2[[#This Row],[Horas]],Tabla2[[#This Row],[Minutos a Horas]])</f>
        <v>1.05</v>
      </c>
      <c r="AP339" s="49">
        <v>0</v>
      </c>
      <c r="AQ339" s="49">
        <v>0</v>
      </c>
      <c r="AR339" s="26">
        <f>Tabla2[[#This Row],[Minutos*]]/60</f>
        <v>0</v>
      </c>
      <c r="AS339" s="27">
        <f>SUM(Tabla2[[#This Row],[Horas*]],Tabla2[[#This Row],[Minutos a Horas*]])+(Tabla2[[#This Row],[Tiempo Total a Nivel Proncincial (Horas)]])</f>
        <v>1.05</v>
      </c>
    </row>
    <row r="340" spans="2:45" ht="40.15" customHeight="1" x14ac:dyDescent="0.25">
      <c r="B340" s="91"/>
      <c r="C340" s="91"/>
      <c r="D340" s="91"/>
      <c r="E340" s="92"/>
      <c r="F340" s="92"/>
      <c r="G340" s="92"/>
      <c r="H340" s="98"/>
      <c r="I340" s="99"/>
      <c r="J340" s="99"/>
      <c r="K340" s="99"/>
      <c r="L340" s="98"/>
      <c r="M340" s="92"/>
      <c r="N340" s="100"/>
      <c r="O340" s="94"/>
      <c r="P340" s="102"/>
      <c r="Q340" s="100"/>
      <c r="R340" s="95"/>
      <c r="S340" s="95"/>
      <c r="T340" s="96"/>
      <c r="U340" s="101"/>
      <c r="V340" s="101"/>
      <c r="W340" s="96"/>
      <c r="X340" s="101"/>
      <c r="Y340" s="101"/>
      <c r="Z340" s="96"/>
      <c r="AA340" s="97"/>
      <c r="AB340" s="93"/>
      <c r="AD340" s="20" t="s">
        <v>2379</v>
      </c>
      <c r="AE340" s="10" t="s">
        <v>376</v>
      </c>
      <c r="AF340" s="20" t="s">
        <v>486</v>
      </c>
      <c r="AG340" s="10" t="s">
        <v>487</v>
      </c>
      <c r="AH340" s="22" t="str">
        <f t="shared" si="10"/>
        <v>Arequipa_01 Arequipa</v>
      </c>
      <c r="AI340" s="10" t="s">
        <v>374</v>
      </c>
      <c r="AJ340" s="20" t="s">
        <v>494</v>
      </c>
      <c r="AK340" s="22" t="str">
        <f t="shared" si="11"/>
        <v>Arequipa_01 Arequipa_02 Alto Selva Alegre</v>
      </c>
      <c r="AL340" s="25">
        <v>1</v>
      </c>
      <c r="AM340" s="25">
        <v>3</v>
      </c>
      <c r="AN340" s="26">
        <f>Tabla2[[#This Row],[Minutos]]/60</f>
        <v>0.05</v>
      </c>
      <c r="AO340" s="27">
        <f>SUM(Tabla2[[#This Row],[Horas]],Tabla2[[#This Row],[Minutos a Horas]])</f>
        <v>1.05</v>
      </c>
      <c r="AP340" s="49">
        <v>0</v>
      </c>
      <c r="AQ340" s="49">
        <v>20</v>
      </c>
      <c r="AR340" s="26">
        <f>Tabla2[[#This Row],[Minutos*]]/60</f>
        <v>0.33333333333333331</v>
      </c>
      <c r="AS340" s="27">
        <f>SUM(Tabla2[[#This Row],[Horas*]],Tabla2[[#This Row],[Minutos a Horas*]])+(Tabla2[[#This Row],[Tiempo Total a Nivel Proncincial (Horas)]])</f>
        <v>1.3833333333333333</v>
      </c>
    </row>
    <row r="341" spans="2:45" ht="40.15" customHeight="1" x14ac:dyDescent="0.25">
      <c r="B341" s="91"/>
      <c r="C341" s="91"/>
      <c r="D341" s="91"/>
      <c r="E341" s="92"/>
      <c r="F341" s="92"/>
      <c r="G341" s="92"/>
      <c r="H341" s="98"/>
      <c r="I341" s="99"/>
      <c r="J341" s="99"/>
      <c r="K341" s="99"/>
      <c r="L341" s="98"/>
      <c r="M341" s="92"/>
      <c r="N341" s="100"/>
      <c r="O341" s="94"/>
      <c r="P341" s="102"/>
      <c r="Q341" s="100"/>
      <c r="R341" s="95"/>
      <c r="S341" s="95"/>
      <c r="T341" s="96"/>
      <c r="U341" s="101"/>
      <c r="V341" s="101"/>
      <c r="W341" s="96"/>
      <c r="X341" s="101"/>
      <c r="Y341" s="101"/>
      <c r="Z341" s="96"/>
      <c r="AA341" s="97"/>
      <c r="AB341" s="93"/>
      <c r="AD341" s="20" t="s">
        <v>2379</v>
      </c>
      <c r="AE341" s="10" t="s">
        <v>376</v>
      </c>
      <c r="AF341" s="20" t="s">
        <v>486</v>
      </c>
      <c r="AG341" s="10" t="s">
        <v>488</v>
      </c>
      <c r="AH341" s="22" t="str">
        <f t="shared" si="10"/>
        <v>Arequipa_01 Arequipa</v>
      </c>
      <c r="AI341" s="10" t="s">
        <v>374</v>
      </c>
      <c r="AJ341" s="20" t="s">
        <v>495</v>
      </c>
      <c r="AK341" s="22" t="str">
        <f t="shared" si="11"/>
        <v>Arequipa_01 Arequipa_03 Cayma</v>
      </c>
      <c r="AL341" s="25">
        <v>1</v>
      </c>
      <c r="AM341" s="25">
        <v>3</v>
      </c>
      <c r="AN341" s="26">
        <f>Tabla2[[#This Row],[Minutos]]/60</f>
        <v>0.05</v>
      </c>
      <c r="AO341" s="27">
        <f>SUM(Tabla2[[#This Row],[Horas]],Tabla2[[#This Row],[Minutos a Horas]])</f>
        <v>1.05</v>
      </c>
      <c r="AP341" s="49">
        <v>0</v>
      </c>
      <c r="AQ341" s="49">
        <v>7</v>
      </c>
      <c r="AR341" s="26">
        <f>Tabla2[[#This Row],[Minutos*]]/60</f>
        <v>0.11666666666666667</v>
      </c>
      <c r="AS341" s="27">
        <f>SUM(Tabla2[[#This Row],[Horas*]],Tabla2[[#This Row],[Minutos a Horas*]])+(Tabla2[[#This Row],[Tiempo Total a Nivel Proncincial (Horas)]])</f>
        <v>1.1666666666666667</v>
      </c>
    </row>
    <row r="342" spans="2:45" ht="40.15" customHeight="1" x14ac:dyDescent="0.25">
      <c r="B342" s="91"/>
      <c r="C342" s="91"/>
      <c r="D342" s="91"/>
      <c r="E342" s="92"/>
      <c r="F342" s="92"/>
      <c r="G342" s="92"/>
      <c r="H342" s="98"/>
      <c r="I342" s="99"/>
      <c r="J342" s="99"/>
      <c r="K342" s="99"/>
      <c r="L342" s="98"/>
      <c r="M342" s="92"/>
      <c r="N342" s="100"/>
      <c r="O342" s="94"/>
      <c r="P342" s="102"/>
      <c r="Q342" s="100"/>
      <c r="R342" s="95"/>
      <c r="S342" s="95"/>
      <c r="T342" s="96"/>
      <c r="U342" s="101"/>
      <c r="V342" s="101"/>
      <c r="W342" s="96"/>
      <c r="X342" s="101"/>
      <c r="Y342" s="101"/>
      <c r="Z342" s="96"/>
      <c r="AA342" s="97"/>
      <c r="AB342" s="93"/>
      <c r="AD342" s="20" t="s">
        <v>2379</v>
      </c>
      <c r="AE342" s="10" t="s">
        <v>376</v>
      </c>
      <c r="AF342" s="20" t="s">
        <v>486</v>
      </c>
      <c r="AG342" s="10" t="s">
        <v>489</v>
      </c>
      <c r="AH342" s="22" t="str">
        <f t="shared" si="10"/>
        <v>Arequipa_01 Arequipa</v>
      </c>
      <c r="AI342" s="10" t="s">
        <v>374</v>
      </c>
      <c r="AJ342" s="20" t="s">
        <v>496</v>
      </c>
      <c r="AK342" s="22" t="str">
        <f t="shared" si="11"/>
        <v>Arequipa_01 Arequipa_04 Cerro Colorado</v>
      </c>
      <c r="AL342" s="25">
        <v>1</v>
      </c>
      <c r="AM342" s="25">
        <v>3</v>
      </c>
      <c r="AN342" s="26">
        <f>Tabla2[[#This Row],[Minutos]]/60</f>
        <v>0.05</v>
      </c>
      <c r="AO342" s="27">
        <f>SUM(Tabla2[[#This Row],[Horas]],Tabla2[[#This Row],[Minutos a Horas]])</f>
        <v>1.05</v>
      </c>
      <c r="AP342" s="49">
        <v>0</v>
      </c>
      <c r="AQ342" s="49">
        <v>10</v>
      </c>
      <c r="AR342" s="26">
        <f>Tabla2[[#This Row],[Minutos*]]/60</f>
        <v>0.16666666666666666</v>
      </c>
      <c r="AS342" s="27">
        <f>SUM(Tabla2[[#This Row],[Horas*]],Tabla2[[#This Row],[Minutos a Horas*]])+(Tabla2[[#This Row],[Tiempo Total a Nivel Proncincial (Horas)]])</f>
        <v>1.2166666666666668</v>
      </c>
    </row>
    <row r="343" spans="2:45" ht="40.15" customHeight="1" x14ac:dyDescent="0.25">
      <c r="B343" s="91"/>
      <c r="C343" s="91"/>
      <c r="D343" s="91"/>
      <c r="E343" s="92"/>
      <c r="F343" s="92"/>
      <c r="G343" s="92"/>
      <c r="H343" s="98"/>
      <c r="I343" s="99"/>
      <c r="J343" s="99"/>
      <c r="K343" s="99"/>
      <c r="L343" s="98"/>
      <c r="M343" s="92"/>
      <c r="N343" s="100"/>
      <c r="O343" s="94"/>
      <c r="P343" s="102"/>
      <c r="Q343" s="100"/>
      <c r="R343" s="95"/>
      <c r="S343" s="95"/>
      <c r="T343" s="96"/>
      <c r="U343" s="101"/>
      <c r="V343" s="101"/>
      <c r="W343" s="96"/>
      <c r="X343" s="101"/>
      <c r="Y343" s="101"/>
      <c r="Z343" s="96"/>
      <c r="AA343" s="97"/>
      <c r="AB343" s="93"/>
      <c r="AD343" s="20" t="s">
        <v>2379</v>
      </c>
      <c r="AE343" s="10" t="s">
        <v>376</v>
      </c>
      <c r="AF343" s="20" t="s">
        <v>486</v>
      </c>
      <c r="AG343" s="10" t="s">
        <v>490</v>
      </c>
      <c r="AH343" s="22" t="str">
        <f t="shared" si="10"/>
        <v>Arequipa_01 Arequipa</v>
      </c>
      <c r="AI343" s="10" t="s">
        <v>374</v>
      </c>
      <c r="AJ343" s="20" t="s">
        <v>497</v>
      </c>
      <c r="AK343" s="22" t="str">
        <f t="shared" si="11"/>
        <v>Arequipa_01 Arequipa_05 Characato</v>
      </c>
      <c r="AL343" s="25">
        <v>1</v>
      </c>
      <c r="AM343" s="25">
        <v>3</v>
      </c>
      <c r="AN343" s="26">
        <f>Tabla2[[#This Row],[Minutos]]/60</f>
        <v>0.05</v>
      </c>
      <c r="AO343" s="27">
        <f>SUM(Tabla2[[#This Row],[Horas]],Tabla2[[#This Row],[Minutos a Horas]])</f>
        <v>1.05</v>
      </c>
      <c r="AP343" s="49">
        <v>0</v>
      </c>
      <c r="AQ343" s="49">
        <v>40</v>
      </c>
      <c r="AR343" s="26">
        <f>Tabla2[[#This Row],[Minutos*]]/60</f>
        <v>0.66666666666666663</v>
      </c>
      <c r="AS343" s="27">
        <f>SUM(Tabla2[[#This Row],[Horas*]],Tabla2[[#This Row],[Minutos a Horas*]])+(Tabla2[[#This Row],[Tiempo Total a Nivel Proncincial (Horas)]])</f>
        <v>1.7166666666666668</v>
      </c>
    </row>
    <row r="344" spans="2:45" ht="53.25" customHeight="1" x14ac:dyDescent="0.25">
      <c r="B344" s="91"/>
      <c r="C344" s="91"/>
      <c r="D344" s="91"/>
      <c r="E344" s="92"/>
      <c r="F344" s="92"/>
      <c r="G344" s="92"/>
      <c r="H344" s="98"/>
      <c r="I344" s="99"/>
      <c r="J344" s="99"/>
      <c r="K344" s="99"/>
      <c r="L344" s="98"/>
      <c r="M344" s="92"/>
      <c r="N344" s="100"/>
      <c r="O344" s="94"/>
      <c r="P344" s="102"/>
      <c r="Q344" s="100"/>
      <c r="R344" s="95"/>
      <c r="S344" s="95"/>
      <c r="T344" s="96"/>
      <c r="U344" s="101"/>
      <c r="V344" s="101"/>
      <c r="W344" s="96"/>
      <c r="X344" s="101"/>
      <c r="Y344" s="101"/>
      <c r="Z344" s="96"/>
      <c r="AA344" s="97"/>
      <c r="AB344" s="93"/>
      <c r="AD344" s="20" t="s">
        <v>2379</v>
      </c>
      <c r="AE344" s="10" t="s">
        <v>376</v>
      </c>
      <c r="AF344" s="20" t="s">
        <v>486</v>
      </c>
      <c r="AG344" s="10" t="s">
        <v>491</v>
      </c>
      <c r="AH344" s="22" t="str">
        <f t="shared" si="10"/>
        <v>Arequipa_01 Arequipa</v>
      </c>
      <c r="AI344" s="10" t="s">
        <v>374</v>
      </c>
      <c r="AJ344" s="20" t="s">
        <v>498</v>
      </c>
      <c r="AK344" s="22" t="str">
        <f t="shared" si="11"/>
        <v>Arequipa_01 Arequipa_06 Chiguata</v>
      </c>
      <c r="AL344" s="25">
        <v>1</v>
      </c>
      <c r="AM344" s="25">
        <v>3</v>
      </c>
      <c r="AN344" s="26">
        <f>Tabla2[[#This Row],[Minutos]]/60</f>
        <v>0.05</v>
      </c>
      <c r="AO344" s="27">
        <f>SUM(Tabla2[[#This Row],[Horas]],Tabla2[[#This Row],[Minutos a Horas]])</f>
        <v>1.05</v>
      </c>
      <c r="AP344" s="49">
        <v>0</v>
      </c>
      <c r="AQ344" s="49">
        <v>50</v>
      </c>
      <c r="AR344" s="26">
        <f>Tabla2[[#This Row],[Minutos*]]/60</f>
        <v>0.83333333333333337</v>
      </c>
      <c r="AS344" s="27">
        <f>SUM(Tabla2[[#This Row],[Horas*]],Tabla2[[#This Row],[Minutos a Horas*]])+(Tabla2[[#This Row],[Tiempo Total a Nivel Proncincial (Horas)]])</f>
        <v>1.8833333333333333</v>
      </c>
    </row>
    <row r="345" spans="2:45" ht="54.75" customHeight="1" x14ac:dyDescent="0.25">
      <c r="B345" s="91"/>
      <c r="C345" s="91"/>
      <c r="D345" s="91"/>
      <c r="E345" s="92"/>
      <c r="F345" s="92"/>
      <c r="G345" s="92"/>
      <c r="H345" s="98"/>
      <c r="I345" s="99"/>
      <c r="J345" s="99"/>
      <c r="K345" s="99"/>
      <c r="L345" s="98"/>
      <c r="M345" s="92"/>
      <c r="N345" s="100"/>
      <c r="O345" s="94"/>
      <c r="P345" s="102"/>
      <c r="Q345" s="100"/>
      <c r="R345" s="95"/>
      <c r="S345" s="95"/>
      <c r="T345" s="96"/>
      <c r="U345" s="101"/>
      <c r="V345" s="101"/>
      <c r="W345" s="96"/>
      <c r="X345" s="101"/>
      <c r="Y345" s="101"/>
      <c r="Z345" s="96"/>
      <c r="AA345" s="97"/>
      <c r="AB345" s="93"/>
      <c r="AD345" s="20" t="s">
        <v>2379</v>
      </c>
      <c r="AE345" s="10" t="s">
        <v>376</v>
      </c>
      <c r="AF345" s="20" t="s">
        <v>486</v>
      </c>
      <c r="AG345" s="10" t="s">
        <v>492</v>
      </c>
      <c r="AH345" s="22" t="str">
        <f t="shared" si="10"/>
        <v>Arequipa_01 Arequipa</v>
      </c>
      <c r="AI345" s="10" t="s">
        <v>374</v>
      </c>
      <c r="AJ345" s="20" t="s">
        <v>499</v>
      </c>
      <c r="AK345" s="22" t="str">
        <f t="shared" si="11"/>
        <v>Arequipa_01 Arequipa_07 Jacobo Hunter</v>
      </c>
      <c r="AL345" s="25">
        <v>1</v>
      </c>
      <c r="AM345" s="25">
        <v>3</v>
      </c>
      <c r="AN345" s="26">
        <f>Tabla2[[#This Row],[Minutos]]/60</f>
        <v>0.05</v>
      </c>
      <c r="AO345" s="27">
        <f>SUM(Tabla2[[#This Row],[Horas]],Tabla2[[#This Row],[Minutos a Horas]])</f>
        <v>1.05</v>
      </c>
      <c r="AP345" s="49">
        <v>0</v>
      </c>
      <c r="AQ345" s="49">
        <v>15</v>
      </c>
      <c r="AR345" s="26">
        <f>Tabla2[[#This Row],[Minutos*]]/60</f>
        <v>0.25</v>
      </c>
      <c r="AS345" s="27">
        <f>SUM(Tabla2[[#This Row],[Horas*]],Tabla2[[#This Row],[Minutos a Horas*]])+(Tabla2[[#This Row],[Tiempo Total a Nivel Proncincial (Horas)]])</f>
        <v>1.3</v>
      </c>
    </row>
    <row r="346" spans="2:45" ht="47.25" customHeight="1" x14ac:dyDescent="0.25">
      <c r="B346" s="91"/>
      <c r="C346" s="91"/>
      <c r="D346" s="91"/>
      <c r="E346" s="92"/>
      <c r="F346" s="92"/>
      <c r="G346" s="92"/>
      <c r="H346" s="98"/>
      <c r="I346" s="99"/>
      <c r="J346" s="99"/>
      <c r="K346" s="99"/>
      <c r="L346" s="98"/>
      <c r="M346" s="92"/>
      <c r="N346" s="100"/>
      <c r="O346" s="94"/>
      <c r="P346" s="102"/>
      <c r="Q346" s="100"/>
      <c r="R346" s="95"/>
      <c r="S346" s="95"/>
      <c r="T346" s="96"/>
      <c r="U346" s="101"/>
      <c r="V346" s="101"/>
      <c r="W346" s="96"/>
      <c r="X346" s="101"/>
      <c r="Y346" s="101"/>
      <c r="Z346" s="96"/>
      <c r="AA346" s="97"/>
      <c r="AB346" s="93"/>
      <c r="AD346" s="20" t="s">
        <v>2379</v>
      </c>
      <c r="AE346" s="10" t="s">
        <v>376</v>
      </c>
      <c r="AF346" s="20" t="s">
        <v>486</v>
      </c>
      <c r="AG346" s="10" t="s">
        <v>493</v>
      </c>
      <c r="AH346" s="22" t="str">
        <f t="shared" si="10"/>
        <v>Arequipa_01 Arequipa</v>
      </c>
      <c r="AI346" s="10" t="s">
        <v>374</v>
      </c>
      <c r="AJ346" s="20" t="s">
        <v>500</v>
      </c>
      <c r="AK346" s="22" t="str">
        <f t="shared" si="11"/>
        <v>Arequipa_01 Arequipa_08 La Joya</v>
      </c>
      <c r="AL346" s="25">
        <v>1</v>
      </c>
      <c r="AM346" s="25">
        <v>3</v>
      </c>
      <c r="AN346" s="26">
        <f>Tabla2[[#This Row],[Minutos]]/60</f>
        <v>0.05</v>
      </c>
      <c r="AO346" s="27">
        <f>SUM(Tabla2[[#This Row],[Horas]],Tabla2[[#This Row],[Minutos a Horas]])</f>
        <v>1.05</v>
      </c>
      <c r="AP346" s="49">
        <v>1</v>
      </c>
      <c r="AQ346" s="49">
        <v>10</v>
      </c>
      <c r="AR346" s="26">
        <f>Tabla2[[#This Row],[Minutos*]]/60</f>
        <v>0.16666666666666666</v>
      </c>
      <c r="AS346" s="27">
        <f>SUM(Tabla2[[#This Row],[Horas*]],Tabla2[[#This Row],[Minutos a Horas*]])+(Tabla2[[#This Row],[Tiempo Total a Nivel Proncincial (Horas)]])</f>
        <v>2.2166666666666668</v>
      </c>
    </row>
    <row r="347" spans="2:45" ht="47.25" customHeight="1" x14ac:dyDescent="0.25">
      <c r="B347" s="91"/>
      <c r="C347" s="91"/>
      <c r="D347" s="91"/>
      <c r="E347" s="92"/>
      <c r="F347" s="92"/>
      <c r="G347" s="92"/>
      <c r="H347" s="98"/>
      <c r="I347" s="99"/>
      <c r="J347" s="99"/>
      <c r="K347" s="99"/>
      <c r="L347" s="98"/>
      <c r="M347" s="92"/>
      <c r="N347" s="100"/>
      <c r="O347" s="94"/>
      <c r="P347" s="102"/>
      <c r="Q347" s="100"/>
      <c r="R347" s="95"/>
      <c r="S347" s="95"/>
      <c r="T347" s="96"/>
      <c r="U347" s="101"/>
      <c r="V347" s="101"/>
      <c r="W347" s="96"/>
      <c r="X347" s="101"/>
      <c r="Y347" s="101"/>
      <c r="Z347" s="96"/>
      <c r="AA347" s="97"/>
      <c r="AB347" s="93"/>
      <c r="AD347" s="20" t="s">
        <v>2379</v>
      </c>
      <c r="AE347" s="10" t="s">
        <v>376</v>
      </c>
      <c r="AF347" s="20" t="s">
        <v>486</v>
      </c>
      <c r="AG347" s="10"/>
      <c r="AH347" s="22" t="str">
        <f t="shared" si="10"/>
        <v>Arequipa_01 Arequipa</v>
      </c>
      <c r="AI347" s="10" t="s">
        <v>374</v>
      </c>
      <c r="AJ347" s="20" t="s">
        <v>501</v>
      </c>
      <c r="AK347" s="22" t="str">
        <f t="shared" si="11"/>
        <v>Arequipa_01 Arequipa_09 Mariano Melgar</v>
      </c>
      <c r="AL347" s="25">
        <v>1</v>
      </c>
      <c r="AM347" s="25">
        <v>3</v>
      </c>
      <c r="AN347" s="26">
        <f>Tabla2[[#This Row],[Minutos]]/60</f>
        <v>0.05</v>
      </c>
      <c r="AO347" s="27">
        <f>SUM(Tabla2[[#This Row],[Horas]],Tabla2[[#This Row],[Minutos a Horas]])</f>
        <v>1.05</v>
      </c>
      <c r="AP347" s="49">
        <v>0</v>
      </c>
      <c r="AQ347" s="49">
        <v>18</v>
      </c>
      <c r="AR347" s="26">
        <f>Tabla2[[#This Row],[Minutos*]]/60</f>
        <v>0.3</v>
      </c>
      <c r="AS347" s="27">
        <f>SUM(Tabla2[[#This Row],[Horas*]],Tabla2[[#This Row],[Minutos a Horas*]])+(Tabla2[[#This Row],[Tiempo Total a Nivel Proncincial (Horas)]])</f>
        <v>1.35</v>
      </c>
    </row>
    <row r="348" spans="2:45" ht="40.15" customHeight="1" x14ac:dyDescent="0.25">
      <c r="B348" s="91"/>
      <c r="C348" s="91"/>
      <c r="D348" s="91"/>
      <c r="E348" s="92"/>
      <c r="F348" s="92"/>
      <c r="G348" s="92"/>
      <c r="H348" s="98"/>
      <c r="I348" s="99"/>
      <c r="J348" s="99"/>
      <c r="K348" s="99"/>
      <c r="L348" s="98"/>
      <c r="M348" s="92"/>
      <c r="N348" s="100"/>
      <c r="O348" s="94"/>
      <c r="P348" s="102"/>
      <c r="Q348" s="100"/>
      <c r="R348" s="95"/>
      <c r="S348" s="95"/>
      <c r="T348" s="96"/>
      <c r="U348" s="101"/>
      <c r="V348" s="101"/>
      <c r="W348" s="96"/>
      <c r="X348" s="101"/>
      <c r="Y348" s="101"/>
      <c r="Z348" s="96"/>
      <c r="AA348" s="97"/>
      <c r="AB348" s="93"/>
      <c r="AD348" s="20" t="s">
        <v>2379</v>
      </c>
      <c r="AE348" s="10" t="s">
        <v>376</v>
      </c>
      <c r="AF348" s="20" t="s">
        <v>486</v>
      </c>
      <c r="AG348" s="10"/>
      <c r="AH348" s="22" t="str">
        <f t="shared" si="10"/>
        <v>Arequipa_01 Arequipa</v>
      </c>
      <c r="AI348" s="10" t="s">
        <v>374</v>
      </c>
      <c r="AJ348" s="20" t="s">
        <v>502</v>
      </c>
      <c r="AK348" s="22" t="str">
        <f t="shared" si="11"/>
        <v>Arequipa_01 Arequipa_10 Miraflores</v>
      </c>
      <c r="AL348" s="25">
        <v>1</v>
      </c>
      <c r="AM348" s="25">
        <v>3</v>
      </c>
      <c r="AN348" s="26">
        <f>Tabla2[[#This Row],[Minutos]]/60</f>
        <v>0.05</v>
      </c>
      <c r="AO348" s="27">
        <f>SUM(Tabla2[[#This Row],[Horas]],Tabla2[[#This Row],[Minutos a Horas]])</f>
        <v>1.05</v>
      </c>
      <c r="AP348" s="49">
        <v>0</v>
      </c>
      <c r="AQ348" s="49">
        <v>16</v>
      </c>
      <c r="AR348" s="26">
        <f>Tabla2[[#This Row],[Minutos*]]/60</f>
        <v>0.26666666666666666</v>
      </c>
      <c r="AS348" s="27">
        <f>SUM(Tabla2[[#This Row],[Horas*]],Tabla2[[#This Row],[Minutos a Horas*]])+(Tabla2[[#This Row],[Tiempo Total a Nivel Proncincial (Horas)]])</f>
        <v>1.3166666666666667</v>
      </c>
    </row>
    <row r="349" spans="2:45" ht="40.15" customHeight="1" x14ac:dyDescent="0.25">
      <c r="B349" s="91"/>
      <c r="C349" s="91"/>
      <c r="D349" s="91"/>
      <c r="E349" s="92"/>
      <c r="F349" s="92"/>
      <c r="G349" s="92"/>
      <c r="H349" s="98"/>
      <c r="I349" s="99"/>
      <c r="J349" s="99"/>
      <c r="K349" s="99"/>
      <c r="L349" s="98"/>
      <c r="M349" s="92"/>
      <c r="N349" s="100"/>
      <c r="O349" s="94"/>
      <c r="P349" s="102"/>
      <c r="Q349" s="100"/>
      <c r="R349" s="95"/>
      <c r="S349" s="95"/>
      <c r="T349" s="96"/>
      <c r="U349" s="101"/>
      <c r="V349" s="101"/>
      <c r="W349" s="96"/>
      <c r="X349" s="101"/>
      <c r="Y349" s="101"/>
      <c r="Z349" s="96"/>
      <c r="AA349" s="97"/>
      <c r="AB349" s="93"/>
      <c r="AD349" s="20" t="s">
        <v>2379</v>
      </c>
      <c r="AE349" s="10" t="s">
        <v>376</v>
      </c>
      <c r="AF349" s="20" t="s">
        <v>486</v>
      </c>
      <c r="AG349" s="10"/>
      <c r="AH349" s="22" t="str">
        <f t="shared" si="10"/>
        <v>Arequipa_01 Arequipa</v>
      </c>
      <c r="AI349" s="10" t="s">
        <v>374</v>
      </c>
      <c r="AJ349" s="20" t="s">
        <v>503</v>
      </c>
      <c r="AK349" s="22" t="str">
        <f t="shared" si="11"/>
        <v>Arequipa_01 Arequipa_11 Mollebaya</v>
      </c>
      <c r="AL349" s="25">
        <v>1</v>
      </c>
      <c r="AM349" s="25">
        <v>3</v>
      </c>
      <c r="AN349" s="26">
        <f>Tabla2[[#This Row],[Minutos]]/60</f>
        <v>0.05</v>
      </c>
      <c r="AO349" s="27">
        <f>SUM(Tabla2[[#This Row],[Horas]],Tabla2[[#This Row],[Minutos a Horas]])</f>
        <v>1.05</v>
      </c>
      <c r="AP349" s="49">
        <v>0</v>
      </c>
      <c r="AQ349" s="49">
        <v>48</v>
      </c>
      <c r="AR349" s="26">
        <f>Tabla2[[#This Row],[Minutos*]]/60</f>
        <v>0.8</v>
      </c>
      <c r="AS349" s="27">
        <f>SUM(Tabla2[[#This Row],[Horas*]],Tabla2[[#This Row],[Minutos a Horas*]])+(Tabla2[[#This Row],[Tiempo Total a Nivel Proncincial (Horas)]])</f>
        <v>1.85</v>
      </c>
    </row>
    <row r="350" spans="2:45" ht="40.15" customHeight="1" x14ac:dyDescent="0.25">
      <c r="B350" s="91"/>
      <c r="C350" s="91"/>
      <c r="D350" s="91"/>
      <c r="E350" s="92"/>
      <c r="F350" s="92"/>
      <c r="G350" s="92"/>
      <c r="H350" s="98"/>
      <c r="I350" s="99"/>
      <c r="J350" s="99"/>
      <c r="K350" s="99"/>
      <c r="L350" s="98"/>
      <c r="M350" s="92"/>
      <c r="N350" s="100"/>
      <c r="O350" s="94"/>
      <c r="P350" s="102"/>
      <c r="Q350" s="100"/>
      <c r="R350" s="95"/>
      <c r="S350" s="95"/>
      <c r="T350" s="96"/>
      <c r="U350" s="101"/>
      <c r="V350" s="101"/>
      <c r="W350" s="96"/>
      <c r="X350" s="101"/>
      <c r="Y350" s="101"/>
      <c r="Z350" s="96"/>
      <c r="AA350" s="97"/>
      <c r="AB350" s="93"/>
      <c r="AD350" s="20" t="s">
        <v>2379</v>
      </c>
      <c r="AE350" s="10" t="s">
        <v>376</v>
      </c>
      <c r="AF350" s="20" t="s">
        <v>486</v>
      </c>
      <c r="AG350" s="10"/>
      <c r="AH350" s="22" t="str">
        <f t="shared" si="10"/>
        <v>Arequipa_01 Arequipa</v>
      </c>
      <c r="AI350" s="10" t="s">
        <v>374</v>
      </c>
      <c r="AJ350" s="20" t="s">
        <v>504</v>
      </c>
      <c r="AK350" s="22" t="str">
        <f t="shared" si="11"/>
        <v>Arequipa_01 Arequipa_12 Paucarpata</v>
      </c>
      <c r="AL350" s="25">
        <v>1</v>
      </c>
      <c r="AM350" s="25">
        <v>3</v>
      </c>
      <c r="AN350" s="26">
        <f>Tabla2[[#This Row],[Minutos]]/60</f>
        <v>0.05</v>
      </c>
      <c r="AO350" s="27">
        <f>SUM(Tabla2[[#This Row],[Horas]],Tabla2[[#This Row],[Minutos a Horas]])</f>
        <v>1.05</v>
      </c>
      <c r="AP350" s="49">
        <v>0</v>
      </c>
      <c r="AQ350" s="49">
        <v>30</v>
      </c>
      <c r="AR350" s="26">
        <f>Tabla2[[#This Row],[Minutos*]]/60</f>
        <v>0.5</v>
      </c>
      <c r="AS350" s="27">
        <f>SUM(Tabla2[[#This Row],[Horas*]],Tabla2[[#This Row],[Minutos a Horas*]])+(Tabla2[[#This Row],[Tiempo Total a Nivel Proncincial (Horas)]])</f>
        <v>1.55</v>
      </c>
    </row>
    <row r="351" spans="2:45" ht="40.15" customHeight="1" x14ac:dyDescent="0.25">
      <c r="B351" s="91"/>
      <c r="C351" s="91"/>
      <c r="D351" s="91"/>
      <c r="E351" s="92"/>
      <c r="F351" s="92"/>
      <c r="G351" s="92"/>
      <c r="H351" s="98"/>
      <c r="I351" s="99"/>
      <c r="J351" s="99"/>
      <c r="K351" s="99"/>
      <c r="L351" s="98"/>
      <c r="M351" s="92"/>
      <c r="N351" s="100"/>
      <c r="O351" s="94"/>
      <c r="P351" s="102"/>
      <c r="Q351" s="100"/>
      <c r="R351" s="95"/>
      <c r="S351" s="95"/>
      <c r="T351" s="96"/>
      <c r="U351" s="101"/>
      <c r="V351" s="101"/>
      <c r="W351" s="96"/>
      <c r="X351" s="101"/>
      <c r="Y351" s="101"/>
      <c r="Z351" s="96"/>
      <c r="AA351" s="97"/>
      <c r="AB351" s="93"/>
      <c r="AD351" s="20" t="s">
        <v>2379</v>
      </c>
      <c r="AE351" s="10" t="s">
        <v>376</v>
      </c>
      <c r="AF351" s="20" t="s">
        <v>486</v>
      </c>
      <c r="AG351" s="10"/>
      <c r="AH351" s="22" t="str">
        <f t="shared" si="10"/>
        <v>Arequipa_01 Arequipa</v>
      </c>
      <c r="AI351" s="10" t="s">
        <v>374</v>
      </c>
      <c r="AJ351" s="20" t="s">
        <v>505</v>
      </c>
      <c r="AK351" s="22" t="str">
        <f t="shared" si="11"/>
        <v>Arequipa_01 Arequipa_13 Pocsi</v>
      </c>
      <c r="AL351" s="25">
        <v>1</v>
      </c>
      <c r="AM351" s="25">
        <v>3</v>
      </c>
      <c r="AN351" s="26">
        <f>Tabla2[[#This Row],[Minutos]]/60</f>
        <v>0.05</v>
      </c>
      <c r="AO351" s="27">
        <f>SUM(Tabla2[[#This Row],[Horas]],Tabla2[[#This Row],[Minutos a Horas]])</f>
        <v>1.05</v>
      </c>
      <c r="AP351" s="49">
        <v>1</v>
      </c>
      <c r="AQ351" s="49">
        <v>40</v>
      </c>
      <c r="AR351" s="26">
        <f>Tabla2[[#This Row],[Minutos*]]/60</f>
        <v>0.66666666666666663</v>
      </c>
      <c r="AS351" s="27">
        <f>SUM(Tabla2[[#This Row],[Horas*]],Tabla2[[#This Row],[Minutos a Horas*]])+(Tabla2[[#This Row],[Tiempo Total a Nivel Proncincial (Horas)]])</f>
        <v>2.7166666666666668</v>
      </c>
    </row>
    <row r="352" spans="2:45" ht="40.15" customHeight="1" x14ac:dyDescent="0.25">
      <c r="B352" s="91"/>
      <c r="C352" s="91"/>
      <c r="D352" s="91"/>
      <c r="E352" s="92"/>
      <c r="F352" s="92"/>
      <c r="G352" s="92"/>
      <c r="H352" s="98"/>
      <c r="I352" s="99"/>
      <c r="J352" s="99"/>
      <c r="K352" s="99"/>
      <c r="L352" s="98"/>
      <c r="M352" s="92"/>
      <c r="N352" s="100"/>
      <c r="O352" s="94"/>
      <c r="P352" s="102"/>
      <c r="Q352" s="100"/>
      <c r="R352" s="95"/>
      <c r="S352" s="95"/>
      <c r="T352" s="96"/>
      <c r="U352" s="101"/>
      <c r="V352" s="101"/>
      <c r="W352" s="96"/>
      <c r="X352" s="101"/>
      <c r="Y352" s="101"/>
      <c r="Z352" s="96"/>
      <c r="AA352" s="97"/>
      <c r="AB352" s="93"/>
      <c r="AD352" s="20" t="s">
        <v>2379</v>
      </c>
      <c r="AE352" s="10" t="s">
        <v>376</v>
      </c>
      <c r="AF352" s="20" t="s">
        <v>486</v>
      </c>
      <c r="AG352" s="10"/>
      <c r="AH352" s="22" t="str">
        <f t="shared" si="10"/>
        <v>Arequipa_01 Arequipa</v>
      </c>
      <c r="AI352" s="10" t="s">
        <v>374</v>
      </c>
      <c r="AJ352" s="20" t="s">
        <v>506</v>
      </c>
      <c r="AK352" s="22" t="str">
        <f t="shared" si="11"/>
        <v>Arequipa_01 Arequipa_14 Polobaya</v>
      </c>
      <c r="AL352" s="25">
        <v>1</v>
      </c>
      <c r="AM352" s="25">
        <v>3</v>
      </c>
      <c r="AN352" s="26">
        <f>Tabla2[[#This Row],[Minutos]]/60</f>
        <v>0.05</v>
      </c>
      <c r="AO352" s="27">
        <f>SUM(Tabla2[[#This Row],[Horas]],Tabla2[[#This Row],[Minutos a Horas]])</f>
        <v>1.05</v>
      </c>
      <c r="AP352" s="49">
        <v>1</v>
      </c>
      <c r="AQ352" s="49">
        <v>30</v>
      </c>
      <c r="AR352" s="26">
        <f>Tabla2[[#This Row],[Minutos*]]/60</f>
        <v>0.5</v>
      </c>
      <c r="AS352" s="27">
        <f>SUM(Tabla2[[#This Row],[Horas*]],Tabla2[[#This Row],[Minutos a Horas*]])+(Tabla2[[#This Row],[Tiempo Total a Nivel Proncincial (Horas)]])</f>
        <v>2.5499999999999998</v>
      </c>
    </row>
    <row r="353" spans="2:45" ht="40.15" customHeight="1" x14ac:dyDescent="0.25">
      <c r="B353" s="91"/>
      <c r="C353" s="91"/>
      <c r="D353" s="91"/>
      <c r="E353" s="92"/>
      <c r="F353" s="92"/>
      <c r="G353" s="92"/>
      <c r="H353" s="98"/>
      <c r="I353" s="99"/>
      <c r="J353" s="99"/>
      <c r="K353" s="99"/>
      <c r="L353" s="98"/>
      <c r="M353" s="92"/>
      <c r="N353" s="100"/>
      <c r="O353" s="94"/>
      <c r="P353" s="102"/>
      <c r="Q353" s="100"/>
      <c r="R353" s="95"/>
      <c r="S353" s="95"/>
      <c r="T353" s="96"/>
      <c r="U353" s="101"/>
      <c r="V353" s="101"/>
      <c r="W353" s="96"/>
      <c r="X353" s="101"/>
      <c r="Y353" s="101"/>
      <c r="Z353" s="96"/>
      <c r="AA353" s="97"/>
      <c r="AB353" s="93"/>
      <c r="AD353" s="20" t="s">
        <v>2379</v>
      </c>
      <c r="AE353" s="10" t="s">
        <v>376</v>
      </c>
      <c r="AF353" s="20" t="s">
        <v>486</v>
      </c>
      <c r="AG353" s="10"/>
      <c r="AH353" s="22" t="str">
        <f t="shared" si="10"/>
        <v>Arequipa_01 Arequipa</v>
      </c>
      <c r="AI353" s="10" t="s">
        <v>374</v>
      </c>
      <c r="AJ353" s="20" t="s">
        <v>507</v>
      </c>
      <c r="AK353" s="22" t="str">
        <f t="shared" si="11"/>
        <v>Arequipa_01 Arequipa_15 Quequeña</v>
      </c>
      <c r="AL353" s="25">
        <v>1</v>
      </c>
      <c r="AM353" s="25">
        <v>3</v>
      </c>
      <c r="AN353" s="26">
        <f>Tabla2[[#This Row],[Minutos]]/60</f>
        <v>0.05</v>
      </c>
      <c r="AO353" s="27">
        <f>SUM(Tabla2[[#This Row],[Horas]],Tabla2[[#This Row],[Minutos a Horas]])</f>
        <v>1.05</v>
      </c>
      <c r="AP353" s="49">
        <v>0</v>
      </c>
      <c r="AQ353" s="49">
        <v>55</v>
      </c>
      <c r="AR353" s="26">
        <f>Tabla2[[#This Row],[Minutos*]]/60</f>
        <v>0.91666666666666663</v>
      </c>
      <c r="AS353" s="27">
        <f>SUM(Tabla2[[#This Row],[Horas*]],Tabla2[[#This Row],[Minutos a Horas*]])+(Tabla2[[#This Row],[Tiempo Total a Nivel Proncincial (Horas)]])</f>
        <v>1.9666666666666668</v>
      </c>
    </row>
    <row r="354" spans="2:45" ht="40.15" customHeight="1" x14ac:dyDescent="0.25">
      <c r="B354" s="91"/>
      <c r="C354" s="91"/>
      <c r="D354" s="91"/>
      <c r="E354" s="92"/>
      <c r="F354" s="92"/>
      <c r="G354" s="92"/>
      <c r="H354" s="98"/>
      <c r="I354" s="99"/>
      <c r="J354" s="99"/>
      <c r="K354" s="99"/>
      <c r="L354" s="98"/>
      <c r="M354" s="92"/>
      <c r="N354" s="100"/>
      <c r="O354" s="94"/>
      <c r="P354" s="102"/>
      <c r="Q354" s="100"/>
      <c r="R354" s="95"/>
      <c r="S354" s="95"/>
      <c r="T354" s="96"/>
      <c r="U354" s="101"/>
      <c r="V354" s="101"/>
      <c r="W354" s="96"/>
      <c r="X354" s="101"/>
      <c r="Y354" s="101"/>
      <c r="Z354" s="96"/>
      <c r="AA354" s="97"/>
      <c r="AB354" s="93"/>
      <c r="AD354" s="20" t="s">
        <v>2379</v>
      </c>
      <c r="AE354" s="10" t="s">
        <v>376</v>
      </c>
      <c r="AF354" s="20" t="s">
        <v>486</v>
      </c>
      <c r="AG354" s="10"/>
      <c r="AH354" s="22" t="str">
        <f t="shared" si="10"/>
        <v>Arequipa_01 Arequipa</v>
      </c>
      <c r="AI354" s="10" t="s">
        <v>374</v>
      </c>
      <c r="AJ354" s="20" t="s">
        <v>508</v>
      </c>
      <c r="AK354" s="22" t="str">
        <f t="shared" si="11"/>
        <v>Arequipa_01 Arequipa_16 Sabandia</v>
      </c>
      <c r="AL354" s="25">
        <v>1</v>
      </c>
      <c r="AM354" s="25">
        <v>3</v>
      </c>
      <c r="AN354" s="26">
        <f>Tabla2[[#This Row],[Minutos]]/60</f>
        <v>0.05</v>
      </c>
      <c r="AO354" s="27">
        <f>SUM(Tabla2[[#This Row],[Horas]],Tabla2[[#This Row],[Minutos a Horas]])</f>
        <v>1.05</v>
      </c>
      <c r="AP354" s="49">
        <v>0</v>
      </c>
      <c r="AQ354" s="49">
        <v>35</v>
      </c>
      <c r="AR354" s="26">
        <f>Tabla2[[#This Row],[Minutos*]]/60</f>
        <v>0.58333333333333337</v>
      </c>
      <c r="AS354" s="27">
        <f>SUM(Tabla2[[#This Row],[Horas*]],Tabla2[[#This Row],[Minutos a Horas*]])+(Tabla2[[#This Row],[Tiempo Total a Nivel Proncincial (Horas)]])</f>
        <v>1.6333333333333333</v>
      </c>
    </row>
    <row r="355" spans="2:45" ht="40.15" customHeight="1" x14ac:dyDescent="0.25">
      <c r="B355" s="91"/>
      <c r="C355" s="91"/>
      <c r="D355" s="91"/>
      <c r="E355" s="92"/>
      <c r="F355" s="92"/>
      <c r="G355" s="92"/>
      <c r="H355" s="98"/>
      <c r="I355" s="99"/>
      <c r="J355" s="99"/>
      <c r="K355" s="99"/>
      <c r="L355" s="98"/>
      <c r="M355" s="92"/>
      <c r="N355" s="100"/>
      <c r="O355" s="94"/>
      <c r="P355" s="102"/>
      <c r="Q355" s="100"/>
      <c r="R355" s="95"/>
      <c r="S355" s="95"/>
      <c r="T355" s="96"/>
      <c r="U355" s="101"/>
      <c r="V355" s="101"/>
      <c r="W355" s="96"/>
      <c r="X355" s="101"/>
      <c r="Y355" s="101"/>
      <c r="Z355" s="96"/>
      <c r="AA355" s="97"/>
      <c r="AB355" s="93"/>
      <c r="AD355" s="20" t="s">
        <v>2379</v>
      </c>
      <c r="AE355" s="10" t="s">
        <v>376</v>
      </c>
      <c r="AF355" s="20" t="s">
        <v>486</v>
      </c>
      <c r="AG355" s="10"/>
      <c r="AH355" s="22" t="str">
        <f t="shared" si="10"/>
        <v>Arequipa_01 Arequipa</v>
      </c>
      <c r="AI355" s="10" t="s">
        <v>374</v>
      </c>
      <c r="AJ355" s="20" t="s">
        <v>509</v>
      </c>
      <c r="AK355" s="22" t="str">
        <f t="shared" si="11"/>
        <v>Arequipa_01 Arequipa_17 Sachaca</v>
      </c>
      <c r="AL355" s="25">
        <v>1</v>
      </c>
      <c r="AM355" s="25">
        <v>3</v>
      </c>
      <c r="AN355" s="26">
        <f>Tabla2[[#This Row],[Minutos]]/60</f>
        <v>0.05</v>
      </c>
      <c r="AO355" s="27">
        <f>SUM(Tabla2[[#This Row],[Horas]],Tabla2[[#This Row],[Minutos a Horas]])</f>
        <v>1.05</v>
      </c>
      <c r="AP355" s="49">
        <v>0</v>
      </c>
      <c r="AQ355" s="49">
        <v>12</v>
      </c>
      <c r="AR355" s="26">
        <f>Tabla2[[#This Row],[Minutos*]]/60</f>
        <v>0.2</v>
      </c>
      <c r="AS355" s="27">
        <f>SUM(Tabla2[[#This Row],[Horas*]],Tabla2[[#This Row],[Minutos a Horas*]])+(Tabla2[[#This Row],[Tiempo Total a Nivel Proncincial (Horas)]])</f>
        <v>1.25</v>
      </c>
    </row>
    <row r="356" spans="2:45" ht="40.15" customHeight="1" x14ac:dyDescent="0.25">
      <c r="B356" s="91"/>
      <c r="C356" s="91"/>
      <c r="D356" s="91"/>
      <c r="E356" s="92"/>
      <c r="F356" s="92"/>
      <c r="G356" s="92"/>
      <c r="H356" s="98"/>
      <c r="I356" s="99"/>
      <c r="J356" s="99"/>
      <c r="K356" s="99"/>
      <c r="L356" s="98"/>
      <c r="M356" s="92"/>
      <c r="N356" s="100"/>
      <c r="O356" s="94"/>
      <c r="P356" s="102"/>
      <c r="Q356" s="100"/>
      <c r="R356" s="95"/>
      <c r="S356" s="95"/>
      <c r="T356" s="96"/>
      <c r="U356" s="101"/>
      <c r="V356" s="101"/>
      <c r="W356" s="96"/>
      <c r="X356" s="101"/>
      <c r="Y356" s="101"/>
      <c r="Z356" s="96"/>
      <c r="AA356" s="97"/>
      <c r="AB356" s="93"/>
      <c r="AD356" s="20" t="s">
        <v>2379</v>
      </c>
      <c r="AE356" s="10" t="s">
        <v>376</v>
      </c>
      <c r="AF356" s="20" t="s">
        <v>486</v>
      </c>
      <c r="AG356" s="10"/>
      <c r="AH356" s="22" t="str">
        <f t="shared" si="10"/>
        <v>Arequipa_01 Arequipa</v>
      </c>
      <c r="AI356" s="10" t="s">
        <v>374</v>
      </c>
      <c r="AJ356" s="20" t="s">
        <v>510</v>
      </c>
      <c r="AK356" s="22" t="str">
        <f t="shared" si="11"/>
        <v>Arequipa_01 Arequipa_18 San Juan de Siguas</v>
      </c>
      <c r="AL356" s="25">
        <v>1</v>
      </c>
      <c r="AM356" s="25">
        <v>3</v>
      </c>
      <c r="AN356" s="26">
        <f>Tabla2[[#This Row],[Minutos]]/60</f>
        <v>0.05</v>
      </c>
      <c r="AO356" s="27">
        <f>SUM(Tabla2[[#This Row],[Horas]],Tabla2[[#This Row],[Minutos a Horas]])</f>
        <v>1.05</v>
      </c>
      <c r="AP356" s="49">
        <v>2</v>
      </c>
      <c r="AQ356" s="49">
        <v>0</v>
      </c>
      <c r="AR356" s="26">
        <f>Tabla2[[#This Row],[Minutos*]]/60</f>
        <v>0</v>
      </c>
      <c r="AS356" s="27">
        <f>SUM(Tabla2[[#This Row],[Horas*]],Tabla2[[#This Row],[Minutos a Horas*]])+(Tabla2[[#This Row],[Tiempo Total a Nivel Proncincial (Horas)]])</f>
        <v>3.05</v>
      </c>
    </row>
    <row r="357" spans="2:45" ht="40.15" customHeight="1" x14ac:dyDescent="0.25">
      <c r="B357" s="91"/>
      <c r="C357" s="91"/>
      <c r="D357" s="91"/>
      <c r="E357" s="92"/>
      <c r="F357" s="92"/>
      <c r="G357" s="92"/>
      <c r="H357" s="98"/>
      <c r="I357" s="99"/>
      <c r="J357" s="99"/>
      <c r="K357" s="99"/>
      <c r="L357" s="98"/>
      <c r="M357" s="92"/>
      <c r="N357" s="100"/>
      <c r="O357" s="94"/>
      <c r="P357" s="102"/>
      <c r="Q357" s="100"/>
      <c r="R357" s="95"/>
      <c r="S357" s="95"/>
      <c r="T357" s="96"/>
      <c r="U357" s="101"/>
      <c r="V357" s="101"/>
      <c r="W357" s="96"/>
      <c r="X357" s="101"/>
      <c r="Y357" s="101"/>
      <c r="Z357" s="96"/>
      <c r="AA357" s="97"/>
      <c r="AB357" s="93"/>
      <c r="AD357" s="20" t="s">
        <v>2379</v>
      </c>
      <c r="AE357" s="10" t="s">
        <v>376</v>
      </c>
      <c r="AF357" s="20" t="s">
        <v>486</v>
      </c>
      <c r="AG357" s="10"/>
      <c r="AH357" s="22" t="str">
        <f t="shared" si="10"/>
        <v>Arequipa_01 Arequipa</v>
      </c>
      <c r="AI357" s="10" t="s">
        <v>374</v>
      </c>
      <c r="AJ357" s="20" t="s">
        <v>511</v>
      </c>
      <c r="AK357" s="22" t="str">
        <f t="shared" si="11"/>
        <v>Arequipa_01 Arequipa_19 San Juan de Tarucani</v>
      </c>
      <c r="AL357" s="25">
        <v>1</v>
      </c>
      <c r="AM357" s="25">
        <v>3</v>
      </c>
      <c r="AN357" s="26">
        <f>Tabla2[[#This Row],[Minutos]]/60</f>
        <v>0.05</v>
      </c>
      <c r="AO357" s="27">
        <f>SUM(Tabla2[[#This Row],[Horas]],Tabla2[[#This Row],[Minutos a Horas]])</f>
        <v>1.05</v>
      </c>
      <c r="AP357" s="49">
        <v>2</v>
      </c>
      <c r="AQ357" s="49">
        <v>40</v>
      </c>
      <c r="AR357" s="26">
        <f>Tabla2[[#This Row],[Minutos*]]/60</f>
        <v>0.66666666666666663</v>
      </c>
      <c r="AS357" s="27">
        <f>SUM(Tabla2[[#This Row],[Horas*]],Tabla2[[#This Row],[Minutos a Horas*]])+(Tabla2[[#This Row],[Tiempo Total a Nivel Proncincial (Horas)]])</f>
        <v>3.7166666666666668</v>
      </c>
    </row>
    <row r="358" spans="2:45" ht="40.15" customHeight="1" x14ac:dyDescent="0.25">
      <c r="B358" s="91"/>
      <c r="C358" s="91"/>
      <c r="D358" s="91"/>
      <c r="E358" s="92"/>
      <c r="F358" s="92"/>
      <c r="G358" s="92"/>
      <c r="H358" s="98"/>
      <c r="I358" s="99"/>
      <c r="J358" s="99"/>
      <c r="K358" s="99"/>
      <c r="L358" s="98"/>
      <c r="M358" s="92"/>
      <c r="N358" s="100"/>
      <c r="O358" s="94"/>
      <c r="P358" s="102"/>
      <c r="Q358" s="100"/>
      <c r="R358" s="95"/>
      <c r="S358" s="95"/>
      <c r="T358" s="96"/>
      <c r="U358" s="101"/>
      <c r="V358" s="101"/>
      <c r="W358" s="96"/>
      <c r="X358" s="101"/>
      <c r="Y358" s="101"/>
      <c r="Z358" s="96"/>
      <c r="AA358" s="97"/>
      <c r="AB358" s="93"/>
      <c r="AD358" s="20" t="s">
        <v>2379</v>
      </c>
      <c r="AE358" s="10" t="s">
        <v>376</v>
      </c>
      <c r="AF358" s="20" t="s">
        <v>486</v>
      </c>
      <c r="AG358" s="10"/>
      <c r="AH358" s="22" t="str">
        <f t="shared" si="10"/>
        <v>Arequipa_01 Arequipa</v>
      </c>
      <c r="AI358" s="10" t="s">
        <v>374</v>
      </c>
      <c r="AJ358" s="20" t="s">
        <v>512</v>
      </c>
      <c r="AK358" s="22" t="str">
        <f t="shared" si="11"/>
        <v>Arequipa_01 Arequipa_20 Santa Isabel de Siguas</v>
      </c>
      <c r="AL358" s="25">
        <v>1</v>
      </c>
      <c r="AM358" s="25">
        <v>3</v>
      </c>
      <c r="AN358" s="26">
        <f>Tabla2[[#This Row],[Minutos]]/60</f>
        <v>0.05</v>
      </c>
      <c r="AO358" s="27">
        <f>SUM(Tabla2[[#This Row],[Horas]],Tabla2[[#This Row],[Minutos a Horas]])</f>
        <v>1.05</v>
      </c>
      <c r="AP358" s="49">
        <v>2</v>
      </c>
      <c r="AQ358" s="49">
        <v>0</v>
      </c>
      <c r="AR358" s="26">
        <f>Tabla2[[#This Row],[Minutos*]]/60</f>
        <v>0</v>
      </c>
      <c r="AS358" s="27">
        <f>SUM(Tabla2[[#This Row],[Horas*]],Tabla2[[#This Row],[Minutos a Horas*]])+(Tabla2[[#This Row],[Tiempo Total a Nivel Proncincial (Horas)]])</f>
        <v>3.05</v>
      </c>
    </row>
    <row r="359" spans="2:45" ht="40.15" customHeight="1" x14ac:dyDescent="0.25">
      <c r="B359" s="91"/>
      <c r="C359" s="91"/>
      <c r="D359" s="91"/>
      <c r="E359" s="92"/>
      <c r="F359" s="92"/>
      <c r="G359" s="92"/>
      <c r="H359" s="98"/>
      <c r="I359" s="99"/>
      <c r="J359" s="99"/>
      <c r="K359" s="99"/>
      <c r="L359" s="98"/>
      <c r="M359" s="92"/>
      <c r="N359" s="100"/>
      <c r="O359" s="94"/>
      <c r="P359" s="102"/>
      <c r="Q359" s="100"/>
      <c r="R359" s="95"/>
      <c r="S359" s="95"/>
      <c r="T359" s="96"/>
      <c r="U359" s="101"/>
      <c r="V359" s="101"/>
      <c r="W359" s="96"/>
      <c r="X359" s="101"/>
      <c r="Y359" s="101"/>
      <c r="Z359" s="96"/>
      <c r="AA359" s="97"/>
      <c r="AB359" s="93"/>
      <c r="AD359" s="20" t="s">
        <v>2379</v>
      </c>
      <c r="AE359" s="10" t="s">
        <v>376</v>
      </c>
      <c r="AF359" s="20" t="s">
        <v>486</v>
      </c>
      <c r="AG359" s="10"/>
      <c r="AH359" s="22" t="str">
        <f t="shared" si="10"/>
        <v>Arequipa_01 Arequipa</v>
      </c>
      <c r="AI359" s="10" t="s">
        <v>374</v>
      </c>
      <c r="AJ359" s="20" t="s">
        <v>513</v>
      </c>
      <c r="AK359" s="22" t="str">
        <f t="shared" si="11"/>
        <v>Arequipa_01 Arequipa_21 Santa Rita de Siguas</v>
      </c>
      <c r="AL359" s="25">
        <v>1</v>
      </c>
      <c r="AM359" s="25">
        <v>3</v>
      </c>
      <c r="AN359" s="26">
        <f>Tabla2[[#This Row],[Minutos]]/60</f>
        <v>0.05</v>
      </c>
      <c r="AO359" s="27">
        <f>SUM(Tabla2[[#This Row],[Horas]],Tabla2[[#This Row],[Minutos a Horas]])</f>
        <v>1.05</v>
      </c>
      <c r="AP359" s="49">
        <v>1</v>
      </c>
      <c r="AQ359" s="49">
        <v>40</v>
      </c>
      <c r="AR359" s="26">
        <f>Tabla2[[#This Row],[Minutos*]]/60</f>
        <v>0.66666666666666663</v>
      </c>
      <c r="AS359" s="27">
        <f>SUM(Tabla2[[#This Row],[Horas*]],Tabla2[[#This Row],[Minutos a Horas*]])+(Tabla2[[#This Row],[Tiempo Total a Nivel Proncincial (Horas)]])</f>
        <v>2.7166666666666668</v>
      </c>
    </row>
    <row r="360" spans="2:45" ht="40.15" customHeight="1" x14ac:dyDescent="0.25">
      <c r="B360" s="91"/>
      <c r="C360" s="91"/>
      <c r="D360" s="91"/>
      <c r="E360" s="92"/>
      <c r="F360" s="92"/>
      <c r="G360" s="92"/>
      <c r="H360" s="98"/>
      <c r="I360" s="99"/>
      <c r="J360" s="99"/>
      <c r="K360" s="99"/>
      <c r="L360" s="98"/>
      <c r="M360" s="92"/>
      <c r="N360" s="100"/>
      <c r="O360" s="94"/>
      <c r="P360" s="102"/>
      <c r="Q360" s="100"/>
      <c r="R360" s="95"/>
      <c r="S360" s="95"/>
      <c r="T360" s="96"/>
      <c r="U360" s="101"/>
      <c r="V360" s="101"/>
      <c r="W360" s="96"/>
      <c r="X360" s="101"/>
      <c r="Y360" s="101"/>
      <c r="Z360" s="96"/>
      <c r="AA360" s="97"/>
      <c r="AB360" s="93"/>
      <c r="AD360" s="20" t="s">
        <v>2379</v>
      </c>
      <c r="AE360" s="10" t="s">
        <v>376</v>
      </c>
      <c r="AF360" s="20" t="s">
        <v>486</v>
      </c>
      <c r="AG360" s="10"/>
      <c r="AH360" s="22" t="str">
        <f t="shared" si="10"/>
        <v>Arequipa_01 Arequipa</v>
      </c>
      <c r="AI360" s="10" t="s">
        <v>374</v>
      </c>
      <c r="AJ360" s="20" t="s">
        <v>514</v>
      </c>
      <c r="AK360" s="22" t="str">
        <f t="shared" si="11"/>
        <v>Arequipa_01 Arequipa_22 Socabaya</v>
      </c>
      <c r="AL360" s="25">
        <v>1</v>
      </c>
      <c r="AM360" s="25">
        <v>3</v>
      </c>
      <c r="AN360" s="26">
        <f>Tabla2[[#This Row],[Minutos]]/60</f>
        <v>0.05</v>
      </c>
      <c r="AO360" s="27">
        <f>SUM(Tabla2[[#This Row],[Horas]],Tabla2[[#This Row],[Minutos a Horas]])</f>
        <v>1.05</v>
      </c>
      <c r="AP360" s="49">
        <v>0</v>
      </c>
      <c r="AQ360" s="49">
        <v>28</v>
      </c>
      <c r="AR360" s="26">
        <f>Tabla2[[#This Row],[Minutos*]]/60</f>
        <v>0.46666666666666667</v>
      </c>
      <c r="AS360" s="27">
        <f>SUM(Tabla2[[#This Row],[Horas*]],Tabla2[[#This Row],[Minutos a Horas*]])+(Tabla2[[#This Row],[Tiempo Total a Nivel Proncincial (Horas)]])</f>
        <v>1.5166666666666666</v>
      </c>
    </row>
    <row r="361" spans="2:45" ht="40.15" customHeight="1" x14ac:dyDescent="0.25">
      <c r="B361" s="91"/>
      <c r="C361" s="91"/>
      <c r="D361" s="91"/>
      <c r="E361" s="92"/>
      <c r="F361" s="92"/>
      <c r="G361" s="92"/>
      <c r="H361" s="98"/>
      <c r="I361" s="99"/>
      <c r="J361" s="99"/>
      <c r="K361" s="99"/>
      <c r="L361" s="98"/>
      <c r="M361" s="92"/>
      <c r="N361" s="100"/>
      <c r="O361" s="94"/>
      <c r="P361" s="102"/>
      <c r="Q361" s="100"/>
      <c r="R361" s="95"/>
      <c r="S361" s="95"/>
      <c r="T361" s="96"/>
      <c r="U361" s="101"/>
      <c r="V361" s="101"/>
      <c r="W361" s="96"/>
      <c r="X361" s="101"/>
      <c r="Y361" s="101"/>
      <c r="Z361" s="96"/>
      <c r="AA361" s="97"/>
      <c r="AB361" s="93"/>
      <c r="AD361" s="20" t="s">
        <v>2379</v>
      </c>
      <c r="AE361" s="10" t="s">
        <v>376</v>
      </c>
      <c r="AF361" s="20" t="s">
        <v>486</v>
      </c>
      <c r="AG361" s="10"/>
      <c r="AH361" s="22" t="str">
        <f t="shared" si="10"/>
        <v>Arequipa_01 Arequipa</v>
      </c>
      <c r="AI361" s="10" t="s">
        <v>374</v>
      </c>
      <c r="AJ361" s="20" t="s">
        <v>515</v>
      </c>
      <c r="AK361" s="22" t="str">
        <f t="shared" si="11"/>
        <v>Arequipa_01 Arequipa_23 Tiabaya</v>
      </c>
      <c r="AL361" s="25">
        <v>1</v>
      </c>
      <c r="AM361" s="25">
        <v>3</v>
      </c>
      <c r="AN361" s="26">
        <f>Tabla2[[#This Row],[Minutos]]/60</f>
        <v>0.05</v>
      </c>
      <c r="AO361" s="27">
        <f>SUM(Tabla2[[#This Row],[Horas]],Tabla2[[#This Row],[Minutos a Horas]])</f>
        <v>1.05</v>
      </c>
      <c r="AP361" s="49">
        <v>0</v>
      </c>
      <c r="AQ361" s="49">
        <v>20</v>
      </c>
      <c r="AR361" s="26">
        <f>Tabla2[[#This Row],[Minutos*]]/60</f>
        <v>0.33333333333333331</v>
      </c>
      <c r="AS361" s="27">
        <f>SUM(Tabla2[[#This Row],[Horas*]],Tabla2[[#This Row],[Minutos a Horas*]])+(Tabla2[[#This Row],[Tiempo Total a Nivel Proncincial (Horas)]])</f>
        <v>1.3833333333333333</v>
      </c>
    </row>
    <row r="362" spans="2:45" ht="40.15" customHeight="1" x14ac:dyDescent="0.25">
      <c r="B362" s="91"/>
      <c r="C362" s="91"/>
      <c r="D362" s="91"/>
      <c r="E362" s="92"/>
      <c r="F362" s="92"/>
      <c r="G362" s="92"/>
      <c r="H362" s="98"/>
      <c r="I362" s="99"/>
      <c r="J362" s="99"/>
      <c r="K362" s="99"/>
      <c r="L362" s="98"/>
      <c r="M362" s="92"/>
      <c r="N362" s="100"/>
      <c r="O362" s="94"/>
      <c r="P362" s="102"/>
      <c r="Q362" s="100"/>
      <c r="R362" s="95"/>
      <c r="S362" s="95"/>
      <c r="T362" s="96"/>
      <c r="U362" s="101"/>
      <c r="V362" s="101"/>
      <c r="W362" s="96"/>
      <c r="X362" s="101"/>
      <c r="Y362" s="101"/>
      <c r="Z362" s="96"/>
      <c r="AA362" s="97"/>
      <c r="AB362" s="93"/>
      <c r="AD362" s="20" t="s">
        <v>2379</v>
      </c>
      <c r="AE362" s="10" t="s">
        <v>376</v>
      </c>
      <c r="AF362" s="20" t="s">
        <v>486</v>
      </c>
      <c r="AG362" s="10"/>
      <c r="AH362" s="22" t="str">
        <f t="shared" si="10"/>
        <v>Arequipa_01 Arequipa</v>
      </c>
      <c r="AI362" s="10" t="s">
        <v>374</v>
      </c>
      <c r="AJ362" s="20" t="s">
        <v>516</v>
      </c>
      <c r="AK362" s="22" t="str">
        <f t="shared" si="11"/>
        <v>Arequipa_01 Arequipa_24 Uchumayo</v>
      </c>
      <c r="AL362" s="25">
        <v>1</v>
      </c>
      <c r="AM362" s="25">
        <v>3</v>
      </c>
      <c r="AN362" s="26">
        <f>Tabla2[[#This Row],[Minutos]]/60</f>
        <v>0.05</v>
      </c>
      <c r="AO362" s="27">
        <f>SUM(Tabla2[[#This Row],[Horas]],Tabla2[[#This Row],[Minutos a Horas]])</f>
        <v>1.05</v>
      </c>
      <c r="AP362" s="49">
        <v>0</v>
      </c>
      <c r="AQ362" s="49">
        <v>35</v>
      </c>
      <c r="AR362" s="26">
        <f>Tabla2[[#This Row],[Minutos*]]/60</f>
        <v>0.58333333333333337</v>
      </c>
      <c r="AS362" s="27">
        <f>SUM(Tabla2[[#This Row],[Horas*]],Tabla2[[#This Row],[Minutos a Horas*]])+(Tabla2[[#This Row],[Tiempo Total a Nivel Proncincial (Horas)]])</f>
        <v>1.6333333333333333</v>
      </c>
    </row>
    <row r="363" spans="2:45" ht="40.15" customHeight="1" x14ac:dyDescent="0.25">
      <c r="B363" s="91"/>
      <c r="C363" s="91"/>
      <c r="D363" s="91"/>
      <c r="E363" s="92"/>
      <c r="F363" s="92"/>
      <c r="G363" s="92"/>
      <c r="H363" s="98"/>
      <c r="I363" s="99"/>
      <c r="J363" s="99"/>
      <c r="K363" s="99"/>
      <c r="L363" s="98"/>
      <c r="M363" s="92"/>
      <c r="N363" s="100"/>
      <c r="O363" s="94"/>
      <c r="P363" s="102"/>
      <c r="Q363" s="100"/>
      <c r="R363" s="95"/>
      <c r="S363" s="95"/>
      <c r="T363" s="96"/>
      <c r="U363" s="101"/>
      <c r="V363" s="101"/>
      <c r="W363" s="96"/>
      <c r="X363" s="101"/>
      <c r="Y363" s="101"/>
      <c r="Z363" s="96"/>
      <c r="AA363" s="97"/>
      <c r="AB363" s="93"/>
      <c r="AD363" s="20" t="s">
        <v>2379</v>
      </c>
      <c r="AE363" s="10" t="s">
        <v>376</v>
      </c>
      <c r="AF363" s="20" t="s">
        <v>486</v>
      </c>
      <c r="AG363" s="10"/>
      <c r="AH363" s="22" t="str">
        <f t="shared" si="10"/>
        <v>Arequipa_01 Arequipa</v>
      </c>
      <c r="AI363" s="10" t="s">
        <v>374</v>
      </c>
      <c r="AJ363" s="20" t="s">
        <v>517</v>
      </c>
      <c r="AK363" s="22" t="str">
        <f t="shared" si="11"/>
        <v>Arequipa_01 Arequipa_25 Vitor</v>
      </c>
      <c r="AL363" s="25">
        <v>1</v>
      </c>
      <c r="AM363" s="25">
        <v>3</v>
      </c>
      <c r="AN363" s="26">
        <f>Tabla2[[#This Row],[Minutos]]/60</f>
        <v>0.05</v>
      </c>
      <c r="AO363" s="27">
        <f>SUM(Tabla2[[#This Row],[Horas]],Tabla2[[#This Row],[Minutos a Horas]])</f>
        <v>1.05</v>
      </c>
      <c r="AP363" s="49">
        <v>1</v>
      </c>
      <c r="AQ363" s="49">
        <v>20</v>
      </c>
      <c r="AR363" s="26">
        <f>Tabla2[[#This Row],[Minutos*]]/60</f>
        <v>0.33333333333333331</v>
      </c>
      <c r="AS363" s="27">
        <f>SUM(Tabla2[[#This Row],[Horas*]],Tabla2[[#This Row],[Minutos a Horas*]])+(Tabla2[[#This Row],[Tiempo Total a Nivel Proncincial (Horas)]])</f>
        <v>2.3833333333333333</v>
      </c>
    </row>
    <row r="364" spans="2:45" ht="40.15" customHeight="1" x14ac:dyDescent="0.25">
      <c r="B364" s="91"/>
      <c r="C364" s="91"/>
      <c r="D364" s="91"/>
      <c r="E364" s="92"/>
      <c r="F364" s="92"/>
      <c r="G364" s="92"/>
      <c r="H364" s="98"/>
      <c r="I364" s="99"/>
      <c r="J364" s="99"/>
      <c r="K364" s="99"/>
      <c r="L364" s="98"/>
      <c r="M364" s="92"/>
      <c r="N364" s="100"/>
      <c r="O364" s="94"/>
      <c r="P364" s="102"/>
      <c r="Q364" s="100"/>
      <c r="R364" s="95"/>
      <c r="S364" s="95"/>
      <c r="T364" s="96"/>
      <c r="U364" s="101"/>
      <c r="V364" s="101"/>
      <c r="W364" s="96"/>
      <c r="X364" s="101"/>
      <c r="Y364" s="101"/>
      <c r="Z364" s="96"/>
      <c r="AA364" s="97"/>
      <c r="AB364" s="93"/>
      <c r="AD364" s="20" t="s">
        <v>2379</v>
      </c>
      <c r="AE364" s="10" t="s">
        <v>376</v>
      </c>
      <c r="AF364" s="20" t="s">
        <v>486</v>
      </c>
      <c r="AG364" s="10"/>
      <c r="AH364" s="22" t="str">
        <f t="shared" si="10"/>
        <v>Arequipa_01 Arequipa</v>
      </c>
      <c r="AI364" s="10" t="s">
        <v>374</v>
      </c>
      <c r="AJ364" s="20" t="s">
        <v>518</v>
      </c>
      <c r="AK364" s="22" t="str">
        <f t="shared" si="11"/>
        <v>Arequipa_01 Arequipa_26 Yanahuara</v>
      </c>
      <c r="AL364" s="25">
        <v>1</v>
      </c>
      <c r="AM364" s="25">
        <v>3</v>
      </c>
      <c r="AN364" s="26">
        <f>Tabla2[[#This Row],[Minutos]]/60</f>
        <v>0.05</v>
      </c>
      <c r="AO364" s="27">
        <f>SUM(Tabla2[[#This Row],[Horas]],Tabla2[[#This Row],[Minutos a Horas]])</f>
        <v>1.05</v>
      </c>
      <c r="AP364" s="49">
        <v>0</v>
      </c>
      <c r="AQ364" s="49">
        <v>5</v>
      </c>
      <c r="AR364" s="26">
        <f>Tabla2[[#This Row],[Minutos*]]/60</f>
        <v>8.3333333333333329E-2</v>
      </c>
      <c r="AS364" s="27">
        <f>SUM(Tabla2[[#This Row],[Horas*]],Tabla2[[#This Row],[Minutos a Horas*]])+(Tabla2[[#This Row],[Tiempo Total a Nivel Proncincial (Horas)]])</f>
        <v>1.1333333333333333</v>
      </c>
    </row>
    <row r="365" spans="2:45" ht="40.15" customHeight="1" x14ac:dyDescent="0.25">
      <c r="B365" s="91"/>
      <c r="C365" s="91"/>
      <c r="D365" s="91"/>
      <c r="E365" s="92"/>
      <c r="F365" s="92"/>
      <c r="G365" s="92"/>
      <c r="H365" s="98"/>
      <c r="I365" s="99"/>
      <c r="J365" s="99"/>
      <c r="K365" s="99"/>
      <c r="L365" s="98"/>
      <c r="M365" s="92"/>
      <c r="N365" s="100"/>
      <c r="O365" s="94"/>
      <c r="P365" s="102"/>
      <c r="Q365" s="100"/>
      <c r="R365" s="95"/>
      <c r="S365" s="95"/>
      <c r="T365" s="96"/>
      <c r="U365" s="101"/>
      <c r="V365" s="101"/>
      <c r="W365" s="96"/>
      <c r="X365" s="101"/>
      <c r="Y365" s="101"/>
      <c r="Z365" s="96"/>
      <c r="AA365" s="97"/>
      <c r="AB365" s="93"/>
      <c r="AD365" s="20" t="s">
        <v>2379</v>
      </c>
      <c r="AE365" s="10" t="s">
        <v>376</v>
      </c>
      <c r="AF365" s="20" t="s">
        <v>486</v>
      </c>
      <c r="AG365" s="10"/>
      <c r="AH365" s="22" t="str">
        <f t="shared" si="10"/>
        <v>Arequipa_01 Arequipa</v>
      </c>
      <c r="AI365" s="10" t="s">
        <v>374</v>
      </c>
      <c r="AJ365" s="20" t="s">
        <v>519</v>
      </c>
      <c r="AK365" s="22" t="str">
        <f t="shared" si="11"/>
        <v>Arequipa_01 Arequipa_27 Yarabamba</v>
      </c>
      <c r="AL365" s="25">
        <v>1</v>
      </c>
      <c r="AM365" s="25">
        <v>3</v>
      </c>
      <c r="AN365" s="26">
        <f>Tabla2[[#This Row],[Minutos]]/60</f>
        <v>0.05</v>
      </c>
      <c r="AO365" s="27">
        <f>SUM(Tabla2[[#This Row],[Horas]],Tabla2[[#This Row],[Minutos a Horas]])</f>
        <v>1.05</v>
      </c>
      <c r="AP365" s="49">
        <v>0</v>
      </c>
      <c r="AQ365" s="49">
        <v>55</v>
      </c>
      <c r="AR365" s="26">
        <f>Tabla2[[#This Row],[Minutos*]]/60</f>
        <v>0.91666666666666663</v>
      </c>
      <c r="AS365" s="27">
        <f>SUM(Tabla2[[#This Row],[Horas*]],Tabla2[[#This Row],[Minutos a Horas*]])+(Tabla2[[#This Row],[Tiempo Total a Nivel Proncincial (Horas)]])</f>
        <v>1.9666666666666668</v>
      </c>
    </row>
    <row r="366" spans="2:45" ht="40.15" customHeight="1" x14ac:dyDescent="0.25">
      <c r="B366" s="91"/>
      <c r="C366" s="91"/>
      <c r="D366" s="91"/>
      <c r="E366" s="92"/>
      <c r="F366" s="92"/>
      <c r="G366" s="92"/>
      <c r="H366" s="98"/>
      <c r="I366" s="99"/>
      <c r="J366" s="99"/>
      <c r="K366" s="99"/>
      <c r="L366" s="98"/>
      <c r="M366" s="92"/>
      <c r="N366" s="100"/>
      <c r="O366" s="94"/>
      <c r="P366" s="102"/>
      <c r="Q366" s="100"/>
      <c r="R366" s="95"/>
      <c r="S366" s="95"/>
      <c r="T366" s="96"/>
      <c r="U366" s="101"/>
      <c r="V366" s="101"/>
      <c r="W366" s="96"/>
      <c r="X366" s="101"/>
      <c r="Y366" s="101"/>
      <c r="Z366" s="96"/>
      <c r="AA366" s="97"/>
      <c r="AB366" s="93"/>
      <c r="AD366" s="20" t="s">
        <v>2379</v>
      </c>
      <c r="AE366" s="10" t="s">
        <v>376</v>
      </c>
      <c r="AF366" s="20" t="s">
        <v>486</v>
      </c>
      <c r="AG366" s="10"/>
      <c r="AH366" s="22" t="str">
        <f t="shared" si="10"/>
        <v>Arequipa_01 Arequipa</v>
      </c>
      <c r="AI366" s="10" t="s">
        <v>374</v>
      </c>
      <c r="AJ366" s="20" t="s">
        <v>520</v>
      </c>
      <c r="AK366" s="22" t="str">
        <f t="shared" si="11"/>
        <v>Arequipa_01 Arequipa_28 Yura</v>
      </c>
      <c r="AL366" s="25">
        <v>1</v>
      </c>
      <c r="AM366" s="25">
        <v>3</v>
      </c>
      <c r="AN366" s="26">
        <f>Tabla2[[#This Row],[Minutos]]/60</f>
        <v>0.05</v>
      </c>
      <c r="AO366" s="27">
        <f>SUM(Tabla2[[#This Row],[Horas]],Tabla2[[#This Row],[Minutos a Horas]])</f>
        <v>1.05</v>
      </c>
      <c r="AP366" s="49">
        <v>1</v>
      </c>
      <c r="AQ366" s="49">
        <v>15</v>
      </c>
      <c r="AR366" s="26">
        <f>Tabla2[[#This Row],[Minutos*]]/60</f>
        <v>0.25</v>
      </c>
      <c r="AS366" s="27">
        <f>SUM(Tabla2[[#This Row],[Horas*]],Tabla2[[#This Row],[Minutos a Horas*]])+(Tabla2[[#This Row],[Tiempo Total a Nivel Proncincial (Horas)]])</f>
        <v>2.2999999999999998</v>
      </c>
    </row>
    <row r="367" spans="2:45" ht="40.15" customHeight="1" x14ac:dyDescent="0.25">
      <c r="B367" s="91"/>
      <c r="C367" s="91"/>
      <c r="D367" s="91"/>
      <c r="E367" s="92"/>
      <c r="F367" s="92"/>
      <c r="G367" s="92"/>
      <c r="H367" s="98"/>
      <c r="I367" s="99"/>
      <c r="J367" s="99"/>
      <c r="K367" s="99"/>
      <c r="L367" s="98"/>
      <c r="M367" s="92"/>
      <c r="N367" s="100"/>
      <c r="O367" s="94"/>
      <c r="P367" s="102"/>
      <c r="Q367" s="100"/>
      <c r="R367" s="95"/>
      <c r="S367" s="95"/>
      <c r="T367" s="96"/>
      <c r="U367" s="101"/>
      <c r="V367" s="101"/>
      <c r="W367" s="96"/>
      <c r="X367" s="101"/>
      <c r="Y367" s="101"/>
      <c r="Z367" s="96"/>
      <c r="AA367" s="97"/>
      <c r="AB367" s="93"/>
      <c r="AD367" s="20" t="s">
        <v>2379</v>
      </c>
      <c r="AE367" s="10" t="s">
        <v>376</v>
      </c>
      <c r="AF367" s="20" t="s">
        <v>486</v>
      </c>
      <c r="AG367" s="10"/>
      <c r="AH367" s="22" t="str">
        <f t="shared" si="10"/>
        <v>Arequipa_01 Arequipa</v>
      </c>
      <c r="AI367" s="10" t="s">
        <v>374</v>
      </c>
      <c r="AJ367" s="20" t="s">
        <v>521</v>
      </c>
      <c r="AK367" s="22" t="str">
        <f t="shared" si="11"/>
        <v>Arequipa_01 Arequipa_29 José Luis Bustamante Y Rivero</v>
      </c>
      <c r="AL367" s="25">
        <v>1</v>
      </c>
      <c r="AM367" s="25">
        <v>3</v>
      </c>
      <c r="AN367" s="26">
        <f>Tabla2[[#This Row],[Minutos]]/60</f>
        <v>0.05</v>
      </c>
      <c r="AO367" s="27">
        <f>SUM(Tabla2[[#This Row],[Horas]],Tabla2[[#This Row],[Minutos a Horas]])</f>
        <v>1.05</v>
      </c>
      <c r="AP367" s="49">
        <v>0</v>
      </c>
      <c r="AQ367" s="49">
        <v>18</v>
      </c>
      <c r="AR367" s="26">
        <f>Tabla2[[#This Row],[Minutos*]]/60</f>
        <v>0.3</v>
      </c>
      <c r="AS367" s="27">
        <f>SUM(Tabla2[[#This Row],[Horas*]],Tabla2[[#This Row],[Minutos a Horas*]])+(Tabla2[[#This Row],[Tiempo Total a Nivel Proncincial (Horas)]])</f>
        <v>1.35</v>
      </c>
    </row>
    <row r="368" spans="2:45" ht="40.15" customHeight="1" x14ac:dyDescent="0.25">
      <c r="B368" s="91"/>
      <c r="C368" s="91"/>
      <c r="D368" s="91"/>
      <c r="E368" s="92"/>
      <c r="F368" s="92"/>
      <c r="G368" s="92"/>
      <c r="H368" s="98"/>
      <c r="I368" s="99"/>
      <c r="J368" s="99"/>
      <c r="K368" s="99"/>
      <c r="L368" s="98"/>
      <c r="M368" s="92"/>
      <c r="N368" s="100"/>
      <c r="O368" s="94"/>
      <c r="P368" s="102"/>
      <c r="Q368" s="100"/>
      <c r="R368" s="95"/>
      <c r="S368" s="95"/>
      <c r="T368" s="96"/>
      <c r="U368" s="101"/>
      <c r="V368" s="101"/>
      <c r="W368" s="96"/>
      <c r="X368" s="101"/>
      <c r="Y368" s="101"/>
      <c r="Z368" s="96"/>
      <c r="AA368" s="97"/>
      <c r="AB368" s="93"/>
      <c r="AD368" s="20" t="s">
        <v>2379</v>
      </c>
      <c r="AE368" s="10" t="s">
        <v>376</v>
      </c>
      <c r="AF368" s="20" t="s">
        <v>487</v>
      </c>
      <c r="AG368" s="10"/>
      <c r="AH368" s="22" t="str">
        <f t="shared" si="10"/>
        <v>Arequipa_02 Camaná</v>
      </c>
      <c r="AI368" s="10" t="s">
        <v>601</v>
      </c>
      <c r="AJ368" s="20" t="s">
        <v>522</v>
      </c>
      <c r="AK368" s="22" t="str">
        <f t="shared" si="11"/>
        <v>Arequipa_02 Camaná_01 Camaná</v>
      </c>
      <c r="AL368" s="25">
        <v>2</v>
      </c>
      <c r="AM368" s="25">
        <v>4</v>
      </c>
      <c r="AN368" s="26">
        <f>Tabla2[[#This Row],[Minutos]]/60</f>
        <v>6.6666666666666666E-2</v>
      </c>
      <c r="AO368" s="27">
        <f>SUM(Tabla2[[#This Row],[Horas]],Tabla2[[#This Row],[Minutos a Horas]])</f>
        <v>2.0666666666666669</v>
      </c>
      <c r="AP368" s="49">
        <v>0</v>
      </c>
      <c r="AQ368" s="49">
        <v>10</v>
      </c>
      <c r="AR368" s="26">
        <f>Tabla2[[#This Row],[Minutos*]]/60</f>
        <v>0.16666666666666666</v>
      </c>
      <c r="AS368" s="27">
        <f>SUM(Tabla2[[#This Row],[Horas*]],Tabla2[[#This Row],[Minutos a Horas*]])+(Tabla2[[#This Row],[Tiempo Total a Nivel Proncincial (Horas)]])</f>
        <v>2.2333333333333334</v>
      </c>
    </row>
    <row r="369" spans="2:45" ht="40.15" customHeight="1" x14ac:dyDescent="0.25">
      <c r="B369" s="91"/>
      <c r="C369" s="91"/>
      <c r="D369" s="91"/>
      <c r="E369" s="92"/>
      <c r="F369" s="92"/>
      <c r="G369" s="92"/>
      <c r="H369" s="98"/>
      <c r="I369" s="99"/>
      <c r="J369" s="99"/>
      <c r="K369" s="99"/>
      <c r="L369" s="98"/>
      <c r="M369" s="92"/>
      <c r="N369" s="100"/>
      <c r="O369" s="94"/>
      <c r="P369" s="102"/>
      <c r="Q369" s="100"/>
      <c r="R369" s="95"/>
      <c r="S369" s="95"/>
      <c r="T369" s="96"/>
      <c r="U369" s="101"/>
      <c r="V369" s="101"/>
      <c r="W369" s="96"/>
      <c r="X369" s="101"/>
      <c r="Y369" s="101"/>
      <c r="Z369" s="96"/>
      <c r="AA369" s="97"/>
      <c r="AB369" s="93"/>
      <c r="AD369" s="20" t="s">
        <v>2379</v>
      </c>
      <c r="AE369" s="10" t="s">
        <v>376</v>
      </c>
      <c r="AF369" s="20" t="s">
        <v>487</v>
      </c>
      <c r="AG369" s="10"/>
      <c r="AH369" s="22" t="str">
        <f t="shared" si="10"/>
        <v>Arequipa_02 Camaná</v>
      </c>
      <c r="AI369" s="10" t="s">
        <v>601</v>
      </c>
      <c r="AJ369" s="20" t="s">
        <v>523</v>
      </c>
      <c r="AK369" s="22" t="str">
        <f t="shared" si="11"/>
        <v>Arequipa_02 Camaná_02 José María Quimper</v>
      </c>
      <c r="AL369" s="25">
        <v>2</v>
      </c>
      <c r="AM369" s="25">
        <v>4</v>
      </c>
      <c r="AN369" s="26">
        <f>Tabla2[[#This Row],[Minutos]]/60</f>
        <v>6.6666666666666666E-2</v>
      </c>
      <c r="AO369" s="27">
        <f>SUM(Tabla2[[#This Row],[Horas]],Tabla2[[#This Row],[Minutos a Horas]])</f>
        <v>2.0666666666666669</v>
      </c>
      <c r="AP369" s="49">
        <v>0</v>
      </c>
      <c r="AQ369" s="49">
        <v>15</v>
      </c>
      <c r="AR369" s="26">
        <f>Tabla2[[#This Row],[Minutos*]]/60</f>
        <v>0.25</v>
      </c>
      <c r="AS369" s="27">
        <f>SUM(Tabla2[[#This Row],[Horas*]],Tabla2[[#This Row],[Minutos a Horas*]])+(Tabla2[[#This Row],[Tiempo Total a Nivel Proncincial (Horas)]])</f>
        <v>2.3166666666666669</v>
      </c>
    </row>
    <row r="370" spans="2:45" ht="40.15" customHeight="1" x14ac:dyDescent="0.25">
      <c r="B370" s="91"/>
      <c r="C370" s="91"/>
      <c r="D370" s="91"/>
      <c r="E370" s="92"/>
      <c r="F370" s="92"/>
      <c r="G370" s="92"/>
      <c r="H370" s="98"/>
      <c r="I370" s="99"/>
      <c r="J370" s="99"/>
      <c r="K370" s="99"/>
      <c r="L370" s="98"/>
      <c r="M370" s="92"/>
      <c r="N370" s="100"/>
      <c r="O370" s="94"/>
      <c r="P370" s="102"/>
      <c r="Q370" s="100"/>
      <c r="R370" s="95"/>
      <c r="S370" s="95"/>
      <c r="T370" s="96"/>
      <c r="U370" s="101"/>
      <c r="V370" s="101"/>
      <c r="W370" s="96"/>
      <c r="X370" s="101"/>
      <c r="Y370" s="101"/>
      <c r="Z370" s="96"/>
      <c r="AA370" s="97"/>
      <c r="AB370" s="93"/>
      <c r="AD370" s="20" t="s">
        <v>2379</v>
      </c>
      <c r="AE370" s="10" t="s">
        <v>376</v>
      </c>
      <c r="AF370" s="20" t="s">
        <v>487</v>
      </c>
      <c r="AG370" s="10"/>
      <c r="AH370" s="22" t="str">
        <f t="shared" si="10"/>
        <v>Arequipa_02 Camaná</v>
      </c>
      <c r="AI370" s="10" t="s">
        <v>601</v>
      </c>
      <c r="AJ370" s="20" t="s">
        <v>524</v>
      </c>
      <c r="AK370" s="22" t="str">
        <f t="shared" si="11"/>
        <v>Arequipa_02 Camaná_03 Mariano Nicolás Valcárcel</v>
      </c>
      <c r="AL370" s="25">
        <v>2</v>
      </c>
      <c r="AM370" s="25">
        <v>4</v>
      </c>
      <c r="AN370" s="26">
        <f>Tabla2[[#This Row],[Minutos]]/60</f>
        <v>6.6666666666666666E-2</v>
      </c>
      <c r="AO370" s="27">
        <f>SUM(Tabla2[[#This Row],[Horas]],Tabla2[[#This Row],[Minutos a Horas]])</f>
        <v>2.0666666666666669</v>
      </c>
      <c r="AP370" s="49">
        <v>1</v>
      </c>
      <c r="AQ370" s="49">
        <v>15</v>
      </c>
      <c r="AR370" s="26">
        <f>Tabla2[[#This Row],[Minutos*]]/60</f>
        <v>0.25</v>
      </c>
      <c r="AS370" s="27">
        <f>SUM(Tabla2[[#This Row],[Horas*]],Tabla2[[#This Row],[Minutos a Horas*]])+(Tabla2[[#This Row],[Tiempo Total a Nivel Proncincial (Horas)]])</f>
        <v>3.3166666666666669</v>
      </c>
    </row>
    <row r="371" spans="2:45" ht="40.15" customHeight="1" x14ac:dyDescent="0.25">
      <c r="B371" s="91"/>
      <c r="C371" s="91"/>
      <c r="D371" s="91"/>
      <c r="E371" s="92"/>
      <c r="F371" s="92"/>
      <c r="G371" s="92"/>
      <c r="H371" s="98"/>
      <c r="I371" s="99"/>
      <c r="J371" s="99"/>
      <c r="K371" s="99"/>
      <c r="L371" s="98"/>
      <c r="M371" s="92"/>
      <c r="N371" s="100"/>
      <c r="O371" s="94"/>
      <c r="P371" s="102"/>
      <c r="Q371" s="100"/>
      <c r="R371" s="95"/>
      <c r="S371" s="95"/>
      <c r="T371" s="96"/>
      <c r="U371" s="101"/>
      <c r="V371" s="101"/>
      <c r="W371" s="96"/>
      <c r="X371" s="101"/>
      <c r="Y371" s="101"/>
      <c r="Z371" s="96"/>
      <c r="AA371" s="97"/>
      <c r="AB371" s="93"/>
      <c r="AD371" s="20" t="s">
        <v>2379</v>
      </c>
      <c r="AE371" s="10" t="s">
        <v>376</v>
      </c>
      <c r="AF371" s="20" t="s">
        <v>487</v>
      </c>
      <c r="AG371" s="10"/>
      <c r="AH371" s="22" t="str">
        <f t="shared" si="10"/>
        <v>Arequipa_02 Camaná</v>
      </c>
      <c r="AI371" s="10" t="s">
        <v>601</v>
      </c>
      <c r="AJ371" s="20" t="s">
        <v>525</v>
      </c>
      <c r="AK371" s="22" t="str">
        <f t="shared" si="11"/>
        <v>Arequipa_02 Camaná_04 Mariscal Cáceres</v>
      </c>
      <c r="AL371" s="25">
        <v>2</v>
      </c>
      <c r="AM371" s="25">
        <v>4</v>
      </c>
      <c r="AN371" s="26">
        <f>Tabla2[[#This Row],[Minutos]]/60</f>
        <v>6.6666666666666666E-2</v>
      </c>
      <c r="AO371" s="27">
        <f>SUM(Tabla2[[#This Row],[Horas]],Tabla2[[#This Row],[Minutos a Horas]])</f>
        <v>2.0666666666666669</v>
      </c>
      <c r="AP371" s="49">
        <v>0</v>
      </c>
      <c r="AQ371" s="49">
        <v>10</v>
      </c>
      <c r="AR371" s="26">
        <f>Tabla2[[#This Row],[Minutos*]]/60</f>
        <v>0.16666666666666666</v>
      </c>
      <c r="AS371" s="27">
        <f>SUM(Tabla2[[#This Row],[Horas*]],Tabla2[[#This Row],[Minutos a Horas*]])+(Tabla2[[#This Row],[Tiempo Total a Nivel Proncincial (Horas)]])</f>
        <v>2.2333333333333334</v>
      </c>
    </row>
    <row r="372" spans="2:45" ht="40.15" customHeight="1" x14ac:dyDescent="0.25">
      <c r="B372" s="91"/>
      <c r="C372" s="91"/>
      <c r="D372" s="91"/>
      <c r="E372" s="92"/>
      <c r="F372" s="92"/>
      <c r="G372" s="92"/>
      <c r="H372" s="98"/>
      <c r="I372" s="99"/>
      <c r="J372" s="99"/>
      <c r="K372" s="99"/>
      <c r="L372" s="98"/>
      <c r="M372" s="92"/>
      <c r="N372" s="100"/>
      <c r="O372" s="94"/>
      <c r="P372" s="102"/>
      <c r="Q372" s="100"/>
      <c r="R372" s="95"/>
      <c r="S372" s="95"/>
      <c r="T372" s="96"/>
      <c r="U372" s="101"/>
      <c r="V372" s="101"/>
      <c r="W372" s="96"/>
      <c r="X372" s="101"/>
      <c r="Y372" s="101"/>
      <c r="Z372" s="96"/>
      <c r="AA372" s="97"/>
      <c r="AB372" s="93"/>
      <c r="AD372" s="20" t="s">
        <v>2379</v>
      </c>
      <c r="AE372" s="10" t="s">
        <v>376</v>
      </c>
      <c r="AF372" s="20" t="s">
        <v>487</v>
      </c>
      <c r="AG372" s="10"/>
      <c r="AH372" s="22" t="str">
        <f t="shared" si="10"/>
        <v>Arequipa_02 Camaná</v>
      </c>
      <c r="AI372" s="10" t="s">
        <v>601</v>
      </c>
      <c r="AJ372" s="20" t="s">
        <v>526</v>
      </c>
      <c r="AK372" s="22" t="str">
        <f t="shared" si="11"/>
        <v>Arequipa_02 Camaná_05 Nicolás de Pierola</v>
      </c>
      <c r="AL372" s="25">
        <v>2</v>
      </c>
      <c r="AM372" s="25">
        <v>4</v>
      </c>
      <c r="AN372" s="26">
        <f>Tabla2[[#This Row],[Minutos]]/60</f>
        <v>6.6666666666666666E-2</v>
      </c>
      <c r="AO372" s="27">
        <f>SUM(Tabla2[[#This Row],[Horas]],Tabla2[[#This Row],[Minutos a Horas]])</f>
        <v>2.0666666666666669</v>
      </c>
      <c r="AP372" s="49">
        <v>0</v>
      </c>
      <c r="AQ372" s="49">
        <v>20</v>
      </c>
      <c r="AR372" s="26">
        <f>Tabla2[[#This Row],[Minutos*]]/60</f>
        <v>0.33333333333333331</v>
      </c>
      <c r="AS372" s="27">
        <f>SUM(Tabla2[[#This Row],[Horas*]],Tabla2[[#This Row],[Minutos a Horas*]])+(Tabla2[[#This Row],[Tiempo Total a Nivel Proncincial (Horas)]])</f>
        <v>2.4000000000000004</v>
      </c>
    </row>
    <row r="373" spans="2:45" ht="40.15" customHeight="1" x14ac:dyDescent="0.25">
      <c r="B373" s="91"/>
      <c r="C373" s="91"/>
      <c r="D373" s="91"/>
      <c r="E373" s="92"/>
      <c r="F373" s="92"/>
      <c r="G373" s="92"/>
      <c r="H373" s="98"/>
      <c r="I373" s="99"/>
      <c r="J373" s="99"/>
      <c r="K373" s="99"/>
      <c r="L373" s="98"/>
      <c r="M373" s="92"/>
      <c r="N373" s="100"/>
      <c r="O373" s="94"/>
      <c r="P373" s="102"/>
      <c r="Q373" s="100"/>
      <c r="R373" s="95"/>
      <c r="S373" s="95"/>
      <c r="T373" s="96"/>
      <c r="U373" s="101"/>
      <c r="V373" s="101"/>
      <c r="W373" s="96"/>
      <c r="X373" s="101"/>
      <c r="Y373" s="101"/>
      <c r="Z373" s="96"/>
      <c r="AA373" s="97"/>
      <c r="AB373" s="93"/>
      <c r="AD373" s="20" t="s">
        <v>2379</v>
      </c>
      <c r="AE373" s="10" t="s">
        <v>376</v>
      </c>
      <c r="AF373" s="20" t="s">
        <v>487</v>
      </c>
      <c r="AG373" s="10"/>
      <c r="AH373" s="22" t="str">
        <f t="shared" si="10"/>
        <v>Arequipa_02 Camaná</v>
      </c>
      <c r="AI373" s="10" t="s">
        <v>601</v>
      </c>
      <c r="AJ373" s="20" t="s">
        <v>527</v>
      </c>
      <c r="AK373" s="22" t="str">
        <f t="shared" si="11"/>
        <v>Arequipa_02 Camaná_06 Ocoña</v>
      </c>
      <c r="AL373" s="25">
        <v>2</v>
      </c>
      <c r="AM373" s="25">
        <v>4</v>
      </c>
      <c r="AN373" s="26">
        <f>Tabla2[[#This Row],[Minutos]]/60</f>
        <v>6.6666666666666666E-2</v>
      </c>
      <c r="AO373" s="27">
        <f>SUM(Tabla2[[#This Row],[Horas]],Tabla2[[#This Row],[Minutos a Horas]])</f>
        <v>2.0666666666666669</v>
      </c>
      <c r="AP373" s="49">
        <v>1</v>
      </c>
      <c r="AQ373" s="49">
        <v>0</v>
      </c>
      <c r="AR373" s="26">
        <f>Tabla2[[#This Row],[Minutos*]]/60</f>
        <v>0</v>
      </c>
      <c r="AS373" s="27">
        <f>SUM(Tabla2[[#This Row],[Horas*]],Tabla2[[#This Row],[Minutos a Horas*]])+(Tabla2[[#This Row],[Tiempo Total a Nivel Proncincial (Horas)]])</f>
        <v>3.0666666666666669</v>
      </c>
    </row>
    <row r="374" spans="2:45" ht="40.15" customHeight="1" x14ac:dyDescent="0.25">
      <c r="B374" s="91"/>
      <c r="C374" s="91"/>
      <c r="D374" s="91"/>
      <c r="E374" s="92"/>
      <c r="F374" s="92"/>
      <c r="G374" s="92"/>
      <c r="H374" s="98"/>
      <c r="I374" s="99"/>
      <c r="J374" s="99"/>
      <c r="K374" s="99"/>
      <c r="L374" s="98"/>
      <c r="M374" s="92"/>
      <c r="N374" s="100"/>
      <c r="O374" s="94"/>
      <c r="P374" s="102"/>
      <c r="Q374" s="100"/>
      <c r="R374" s="95"/>
      <c r="S374" s="95"/>
      <c r="T374" s="96"/>
      <c r="U374" s="101"/>
      <c r="V374" s="101"/>
      <c r="W374" s="96"/>
      <c r="X374" s="101"/>
      <c r="Y374" s="101"/>
      <c r="Z374" s="96"/>
      <c r="AA374" s="97"/>
      <c r="AB374" s="93"/>
      <c r="AD374" s="20" t="s">
        <v>2379</v>
      </c>
      <c r="AE374" s="10" t="s">
        <v>376</v>
      </c>
      <c r="AF374" s="20" t="s">
        <v>487</v>
      </c>
      <c r="AG374" s="10"/>
      <c r="AH374" s="22" t="str">
        <f t="shared" si="10"/>
        <v>Arequipa_02 Camaná</v>
      </c>
      <c r="AI374" s="10" t="s">
        <v>601</v>
      </c>
      <c r="AJ374" s="20" t="s">
        <v>528</v>
      </c>
      <c r="AK374" s="22" t="str">
        <f t="shared" si="11"/>
        <v>Arequipa_02 Camaná_07 Quilca</v>
      </c>
      <c r="AL374" s="25">
        <v>2</v>
      </c>
      <c r="AM374" s="25">
        <v>4</v>
      </c>
      <c r="AN374" s="26">
        <f>Tabla2[[#This Row],[Minutos]]/60</f>
        <v>6.6666666666666666E-2</v>
      </c>
      <c r="AO374" s="27">
        <f>SUM(Tabla2[[#This Row],[Horas]],Tabla2[[#This Row],[Minutos a Horas]])</f>
        <v>2.0666666666666669</v>
      </c>
      <c r="AP374" s="49">
        <v>0</v>
      </c>
      <c r="AQ374" s="49">
        <v>45</v>
      </c>
      <c r="AR374" s="26">
        <f>Tabla2[[#This Row],[Minutos*]]/60</f>
        <v>0.75</v>
      </c>
      <c r="AS374" s="27">
        <f>SUM(Tabla2[[#This Row],[Horas*]],Tabla2[[#This Row],[Minutos a Horas*]])+(Tabla2[[#This Row],[Tiempo Total a Nivel Proncincial (Horas)]])</f>
        <v>2.8166666666666669</v>
      </c>
    </row>
    <row r="375" spans="2:45" ht="40.15" customHeight="1" x14ac:dyDescent="0.25">
      <c r="B375" s="91"/>
      <c r="C375" s="91"/>
      <c r="D375" s="91"/>
      <c r="E375" s="92"/>
      <c r="F375" s="92"/>
      <c r="G375" s="92"/>
      <c r="H375" s="98"/>
      <c r="I375" s="99"/>
      <c r="J375" s="99"/>
      <c r="K375" s="99"/>
      <c r="L375" s="98"/>
      <c r="M375" s="92"/>
      <c r="N375" s="100"/>
      <c r="O375" s="94"/>
      <c r="P375" s="102"/>
      <c r="Q375" s="100"/>
      <c r="R375" s="95"/>
      <c r="S375" s="95"/>
      <c r="T375" s="96"/>
      <c r="U375" s="101"/>
      <c r="V375" s="101"/>
      <c r="W375" s="96"/>
      <c r="X375" s="101"/>
      <c r="Y375" s="101"/>
      <c r="Z375" s="96"/>
      <c r="AA375" s="97"/>
      <c r="AB375" s="93"/>
      <c r="AD375" s="20" t="s">
        <v>2379</v>
      </c>
      <c r="AE375" s="10" t="s">
        <v>376</v>
      </c>
      <c r="AF375" s="20" t="s">
        <v>487</v>
      </c>
      <c r="AG375" s="10"/>
      <c r="AH375" s="22" t="str">
        <f t="shared" si="10"/>
        <v>Arequipa_02 Camaná</v>
      </c>
      <c r="AI375" s="10" t="s">
        <v>601</v>
      </c>
      <c r="AJ375" s="20" t="s">
        <v>529</v>
      </c>
      <c r="AK375" s="22" t="str">
        <f t="shared" si="11"/>
        <v>Arequipa_02 Camaná_08 Samuel Pastor</v>
      </c>
      <c r="AL375" s="25">
        <v>2</v>
      </c>
      <c r="AM375" s="25">
        <v>4</v>
      </c>
      <c r="AN375" s="26">
        <f>Tabla2[[#This Row],[Minutos]]/60</f>
        <v>6.6666666666666666E-2</v>
      </c>
      <c r="AO375" s="27">
        <f>SUM(Tabla2[[#This Row],[Horas]],Tabla2[[#This Row],[Minutos a Horas]])</f>
        <v>2.0666666666666669</v>
      </c>
      <c r="AP375" s="49">
        <v>0</v>
      </c>
      <c r="AQ375" s="49">
        <v>10</v>
      </c>
      <c r="AR375" s="26">
        <f>Tabla2[[#This Row],[Minutos*]]/60</f>
        <v>0.16666666666666666</v>
      </c>
      <c r="AS375" s="27">
        <f>SUM(Tabla2[[#This Row],[Horas*]],Tabla2[[#This Row],[Minutos a Horas*]])+(Tabla2[[#This Row],[Tiempo Total a Nivel Proncincial (Horas)]])</f>
        <v>2.2333333333333334</v>
      </c>
    </row>
    <row r="376" spans="2:45" ht="40.15" customHeight="1" x14ac:dyDescent="0.25">
      <c r="B376" s="91"/>
      <c r="C376" s="91"/>
      <c r="D376" s="91"/>
      <c r="E376" s="92"/>
      <c r="F376" s="92"/>
      <c r="G376" s="92"/>
      <c r="H376" s="98"/>
      <c r="I376" s="99"/>
      <c r="J376" s="99"/>
      <c r="K376" s="99"/>
      <c r="L376" s="98"/>
      <c r="M376" s="92"/>
      <c r="N376" s="100"/>
      <c r="O376" s="94"/>
      <c r="P376" s="102"/>
      <c r="Q376" s="100"/>
      <c r="R376" s="95"/>
      <c r="S376" s="95"/>
      <c r="T376" s="96"/>
      <c r="U376" s="101"/>
      <c r="V376" s="101"/>
      <c r="W376" s="96"/>
      <c r="X376" s="101"/>
      <c r="Y376" s="101"/>
      <c r="Z376" s="96"/>
      <c r="AA376" s="97"/>
      <c r="AB376" s="93"/>
      <c r="AD376" s="20" t="s">
        <v>2379</v>
      </c>
      <c r="AE376" s="10" t="s">
        <v>376</v>
      </c>
      <c r="AF376" s="20" t="s">
        <v>488</v>
      </c>
      <c r="AG376" s="10"/>
      <c r="AH376" s="22" t="str">
        <f t="shared" si="10"/>
        <v>Arequipa_03 Caravelí</v>
      </c>
      <c r="AI376" s="10" t="s">
        <v>602</v>
      </c>
      <c r="AJ376" s="20" t="s">
        <v>530</v>
      </c>
      <c r="AK376" s="22" t="str">
        <f t="shared" si="11"/>
        <v>Arequipa_03 Caravelí_01 Caravelí</v>
      </c>
      <c r="AL376" s="25">
        <v>7</v>
      </c>
      <c r="AM376" s="25">
        <v>37</v>
      </c>
      <c r="AN376" s="26">
        <f>Tabla2[[#This Row],[Minutos]]/60</f>
        <v>0.6166666666666667</v>
      </c>
      <c r="AO376" s="27">
        <f>SUM(Tabla2[[#This Row],[Horas]],Tabla2[[#This Row],[Minutos a Horas]])</f>
        <v>7.6166666666666671</v>
      </c>
      <c r="AP376" s="49">
        <v>0</v>
      </c>
      <c r="AQ376" s="49">
        <v>10</v>
      </c>
      <c r="AR376" s="26">
        <f>Tabla2[[#This Row],[Minutos*]]/60</f>
        <v>0.16666666666666666</v>
      </c>
      <c r="AS376" s="27">
        <f>SUM(Tabla2[[#This Row],[Horas*]],Tabla2[[#This Row],[Minutos a Horas*]])+(Tabla2[[#This Row],[Tiempo Total a Nivel Proncincial (Horas)]])</f>
        <v>7.7833333333333341</v>
      </c>
    </row>
    <row r="377" spans="2:45" ht="40.15" customHeight="1" x14ac:dyDescent="0.25">
      <c r="B377" s="91"/>
      <c r="C377" s="91"/>
      <c r="D377" s="91"/>
      <c r="E377" s="92"/>
      <c r="F377" s="92"/>
      <c r="G377" s="92"/>
      <c r="H377" s="98"/>
      <c r="I377" s="99"/>
      <c r="J377" s="99"/>
      <c r="K377" s="99"/>
      <c r="L377" s="98"/>
      <c r="M377" s="92"/>
      <c r="N377" s="100"/>
      <c r="O377" s="94"/>
      <c r="P377" s="102"/>
      <c r="Q377" s="100"/>
      <c r="R377" s="95"/>
      <c r="S377" s="95"/>
      <c r="T377" s="96"/>
      <c r="U377" s="101"/>
      <c r="V377" s="101"/>
      <c r="W377" s="96"/>
      <c r="X377" s="101"/>
      <c r="Y377" s="101"/>
      <c r="Z377" s="96"/>
      <c r="AA377" s="97"/>
      <c r="AB377" s="93"/>
      <c r="AD377" s="20" t="s">
        <v>2379</v>
      </c>
      <c r="AE377" s="10" t="s">
        <v>376</v>
      </c>
      <c r="AF377" s="20" t="s">
        <v>488</v>
      </c>
      <c r="AG377" s="10"/>
      <c r="AH377" s="22" t="str">
        <f t="shared" si="10"/>
        <v>Arequipa_03 Caravelí</v>
      </c>
      <c r="AI377" s="10" t="s">
        <v>602</v>
      </c>
      <c r="AJ377" s="20" t="s">
        <v>531</v>
      </c>
      <c r="AK377" s="22" t="str">
        <f t="shared" si="11"/>
        <v>Arequipa_03 Caravelí_02 Acarí</v>
      </c>
      <c r="AL377" s="25">
        <v>7</v>
      </c>
      <c r="AM377" s="25">
        <v>37</v>
      </c>
      <c r="AN377" s="26">
        <f>Tabla2[[#This Row],[Minutos]]/60</f>
        <v>0.6166666666666667</v>
      </c>
      <c r="AO377" s="27">
        <f>SUM(Tabla2[[#This Row],[Horas]],Tabla2[[#This Row],[Minutos a Horas]])</f>
        <v>7.6166666666666671</v>
      </c>
      <c r="AP377" s="49">
        <v>0</v>
      </c>
      <c r="AQ377" s="49">
        <v>10</v>
      </c>
      <c r="AR377" s="26">
        <f>Tabla2[[#This Row],[Minutos*]]/60</f>
        <v>0.16666666666666666</v>
      </c>
      <c r="AS377" s="27">
        <f>SUM(Tabla2[[#This Row],[Horas*]],Tabla2[[#This Row],[Minutos a Horas*]])+(Tabla2[[#This Row],[Tiempo Total a Nivel Proncincial (Horas)]])</f>
        <v>7.7833333333333341</v>
      </c>
    </row>
    <row r="378" spans="2:45" ht="40.15" customHeight="1" x14ac:dyDescent="0.25">
      <c r="B378" s="91"/>
      <c r="C378" s="91"/>
      <c r="D378" s="91"/>
      <c r="E378" s="92"/>
      <c r="F378" s="92"/>
      <c r="G378" s="92"/>
      <c r="H378" s="98"/>
      <c r="I378" s="99"/>
      <c r="J378" s="99"/>
      <c r="K378" s="99"/>
      <c r="L378" s="98"/>
      <c r="M378" s="92"/>
      <c r="N378" s="100"/>
      <c r="O378" s="94"/>
      <c r="P378" s="102"/>
      <c r="Q378" s="100"/>
      <c r="R378" s="95"/>
      <c r="S378" s="95"/>
      <c r="T378" s="96"/>
      <c r="U378" s="101"/>
      <c r="V378" s="101"/>
      <c r="W378" s="96"/>
      <c r="X378" s="101"/>
      <c r="Y378" s="101"/>
      <c r="Z378" s="96"/>
      <c r="AA378" s="97"/>
      <c r="AB378" s="93"/>
      <c r="AD378" s="20" t="s">
        <v>2379</v>
      </c>
      <c r="AE378" s="10" t="s">
        <v>376</v>
      </c>
      <c r="AF378" s="20" t="s">
        <v>488</v>
      </c>
      <c r="AG378" s="10"/>
      <c r="AH378" s="22" t="str">
        <f t="shared" si="10"/>
        <v>Arequipa_03 Caravelí</v>
      </c>
      <c r="AI378" s="10" t="s">
        <v>602</v>
      </c>
      <c r="AJ378" s="20" t="s">
        <v>532</v>
      </c>
      <c r="AK378" s="22" t="str">
        <f t="shared" si="11"/>
        <v>Arequipa_03 Caravelí_03 Atico</v>
      </c>
      <c r="AL378" s="25">
        <v>7</v>
      </c>
      <c r="AM378" s="25">
        <v>37</v>
      </c>
      <c r="AN378" s="26">
        <f>Tabla2[[#This Row],[Minutos]]/60</f>
        <v>0.6166666666666667</v>
      </c>
      <c r="AO378" s="27">
        <f>SUM(Tabla2[[#This Row],[Horas]],Tabla2[[#This Row],[Minutos a Horas]])</f>
        <v>7.6166666666666671</v>
      </c>
      <c r="AP378" s="49">
        <v>1</v>
      </c>
      <c r="AQ378" s="49">
        <v>30</v>
      </c>
      <c r="AR378" s="26">
        <f>Tabla2[[#This Row],[Minutos*]]/60</f>
        <v>0.5</v>
      </c>
      <c r="AS378" s="27">
        <f>SUM(Tabla2[[#This Row],[Horas*]],Tabla2[[#This Row],[Minutos a Horas*]])+(Tabla2[[#This Row],[Tiempo Total a Nivel Proncincial (Horas)]])</f>
        <v>9.1166666666666671</v>
      </c>
    </row>
    <row r="379" spans="2:45" ht="40.15" customHeight="1" x14ac:dyDescent="0.25">
      <c r="B379" s="91"/>
      <c r="C379" s="91"/>
      <c r="D379" s="91"/>
      <c r="E379" s="92"/>
      <c r="F379" s="92"/>
      <c r="G379" s="92"/>
      <c r="H379" s="98"/>
      <c r="I379" s="99"/>
      <c r="J379" s="99"/>
      <c r="K379" s="99"/>
      <c r="L379" s="98"/>
      <c r="M379" s="92"/>
      <c r="N379" s="100"/>
      <c r="O379" s="94"/>
      <c r="P379" s="102"/>
      <c r="Q379" s="100"/>
      <c r="R379" s="95"/>
      <c r="S379" s="95"/>
      <c r="T379" s="96"/>
      <c r="U379" s="101"/>
      <c r="V379" s="101"/>
      <c r="W379" s="96"/>
      <c r="X379" s="101"/>
      <c r="Y379" s="101"/>
      <c r="Z379" s="96"/>
      <c r="AA379" s="97"/>
      <c r="AB379" s="93"/>
      <c r="AD379" s="20" t="s">
        <v>2379</v>
      </c>
      <c r="AE379" s="10" t="s">
        <v>376</v>
      </c>
      <c r="AF379" s="20" t="s">
        <v>488</v>
      </c>
      <c r="AG379" s="10"/>
      <c r="AH379" s="22" t="str">
        <f t="shared" si="10"/>
        <v>Arequipa_03 Caravelí</v>
      </c>
      <c r="AI379" s="10" t="s">
        <v>602</v>
      </c>
      <c r="AJ379" s="20" t="s">
        <v>533</v>
      </c>
      <c r="AK379" s="22" t="str">
        <f t="shared" si="11"/>
        <v>Arequipa_03 Caravelí_04 Atiquipa</v>
      </c>
      <c r="AL379" s="25">
        <v>7</v>
      </c>
      <c r="AM379" s="25">
        <v>37</v>
      </c>
      <c r="AN379" s="26">
        <f>Tabla2[[#This Row],[Minutos]]/60</f>
        <v>0.6166666666666667</v>
      </c>
      <c r="AO379" s="27">
        <f>SUM(Tabla2[[#This Row],[Horas]],Tabla2[[#This Row],[Minutos a Horas]])</f>
        <v>7.6166666666666671</v>
      </c>
      <c r="AP379" s="49">
        <v>3</v>
      </c>
      <c r="AQ379" s="49">
        <v>10</v>
      </c>
      <c r="AR379" s="26">
        <f>Tabla2[[#This Row],[Minutos*]]/60</f>
        <v>0.16666666666666666</v>
      </c>
      <c r="AS379" s="27">
        <f>SUM(Tabla2[[#This Row],[Horas*]],Tabla2[[#This Row],[Minutos a Horas*]])+(Tabla2[[#This Row],[Tiempo Total a Nivel Proncincial (Horas)]])</f>
        <v>10.783333333333333</v>
      </c>
    </row>
    <row r="380" spans="2:45" ht="40.15" customHeight="1" x14ac:dyDescent="0.25">
      <c r="B380" s="91"/>
      <c r="C380" s="91"/>
      <c r="D380" s="91"/>
      <c r="E380" s="92"/>
      <c r="F380" s="92"/>
      <c r="G380" s="92"/>
      <c r="H380" s="98"/>
      <c r="I380" s="99"/>
      <c r="J380" s="99"/>
      <c r="K380" s="99"/>
      <c r="L380" s="98"/>
      <c r="M380" s="92"/>
      <c r="N380" s="100"/>
      <c r="O380" s="94"/>
      <c r="P380" s="102"/>
      <c r="Q380" s="100"/>
      <c r="R380" s="95"/>
      <c r="S380" s="95"/>
      <c r="T380" s="96"/>
      <c r="U380" s="101"/>
      <c r="V380" s="101"/>
      <c r="W380" s="96"/>
      <c r="X380" s="101"/>
      <c r="Y380" s="101"/>
      <c r="Z380" s="96"/>
      <c r="AA380" s="97"/>
      <c r="AB380" s="93"/>
      <c r="AD380" s="20" t="s">
        <v>2379</v>
      </c>
      <c r="AE380" s="10" t="s">
        <v>376</v>
      </c>
      <c r="AF380" s="20" t="s">
        <v>488</v>
      </c>
      <c r="AG380" s="10"/>
      <c r="AH380" s="22" t="str">
        <f t="shared" si="10"/>
        <v>Arequipa_03 Caravelí</v>
      </c>
      <c r="AI380" s="10" t="s">
        <v>602</v>
      </c>
      <c r="AJ380" s="20" t="s">
        <v>534</v>
      </c>
      <c r="AK380" s="22" t="str">
        <f t="shared" si="11"/>
        <v>Arequipa_03 Caravelí_05 Bella Unión</v>
      </c>
      <c r="AL380" s="25">
        <v>7</v>
      </c>
      <c r="AM380" s="25">
        <v>37</v>
      </c>
      <c r="AN380" s="26">
        <f>Tabla2[[#This Row],[Minutos]]/60</f>
        <v>0.6166666666666667</v>
      </c>
      <c r="AO380" s="27">
        <f>SUM(Tabla2[[#This Row],[Horas]],Tabla2[[#This Row],[Minutos a Horas]])</f>
        <v>7.6166666666666671</v>
      </c>
      <c r="AP380" s="49">
        <v>4</v>
      </c>
      <c r="AQ380" s="49">
        <v>20</v>
      </c>
      <c r="AR380" s="26">
        <f>Tabla2[[#This Row],[Minutos*]]/60</f>
        <v>0.33333333333333331</v>
      </c>
      <c r="AS380" s="27">
        <f>SUM(Tabla2[[#This Row],[Horas*]],Tabla2[[#This Row],[Minutos a Horas*]])+(Tabla2[[#This Row],[Tiempo Total a Nivel Proncincial (Horas)]])</f>
        <v>11.95</v>
      </c>
    </row>
    <row r="381" spans="2:45" ht="40.15" customHeight="1" x14ac:dyDescent="0.25">
      <c r="B381" s="91"/>
      <c r="C381" s="91"/>
      <c r="D381" s="91"/>
      <c r="E381" s="92"/>
      <c r="F381" s="92"/>
      <c r="G381" s="92"/>
      <c r="H381" s="98"/>
      <c r="I381" s="99"/>
      <c r="J381" s="99"/>
      <c r="K381" s="99"/>
      <c r="L381" s="98"/>
      <c r="M381" s="92"/>
      <c r="N381" s="100"/>
      <c r="O381" s="94"/>
      <c r="P381" s="102"/>
      <c r="Q381" s="100"/>
      <c r="R381" s="95"/>
      <c r="S381" s="95"/>
      <c r="T381" s="96"/>
      <c r="U381" s="101"/>
      <c r="V381" s="101"/>
      <c r="W381" s="96"/>
      <c r="X381" s="101"/>
      <c r="Y381" s="101"/>
      <c r="Z381" s="96"/>
      <c r="AA381" s="97"/>
      <c r="AB381" s="93"/>
      <c r="AD381" s="20" t="s">
        <v>2379</v>
      </c>
      <c r="AE381" s="10" t="s">
        <v>376</v>
      </c>
      <c r="AF381" s="20" t="s">
        <v>488</v>
      </c>
      <c r="AG381" s="10"/>
      <c r="AH381" s="22" t="str">
        <f t="shared" si="10"/>
        <v>Arequipa_03 Caravelí</v>
      </c>
      <c r="AI381" s="10" t="s">
        <v>602</v>
      </c>
      <c r="AJ381" s="20" t="s">
        <v>535</v>
      </c>
      <c r="AK381" s="22" t="str">
        <f t="shared" si="11"/>
        <v>Arequipa_03 Caravelí_06 Cahuacho</v>
      </c>
      <c r="AL381" s="25">
        <v>7</v>
      </c>
      <c r="AM381" s="25">
        <v>37</v>
      </c>
      <c r="AN381" s="26">
        <f>Tabla2[[#This Row],[Minutos]]/60</f>
        <v>0.6166666666666667</v>
      </c>
      <c r="AO381" s="27">
        <f>SUM(Tabla2[[#This Row],[Horas]],Tabla2[[#This Row],[Minutos a Horas]])</f>
        <v>7.6166666666666671</v>
      </c>
      <c r="AP381" s="49">
        <v>1</v>
      </c>
      <c r="AQ381" s="49">
        <v>5</v>
      </c>
      <c r="AR381" s="26">
        <f>Tabla2[[#This Row],[Minutos*]]/60</f>
        <v>8.3333333333333329E-2</v>
      </c>
      <c r="AS381" s="27">
        <f>SUM(Tabla2[[#This Row],[Horas*]],Tabla2[[#This Row],[Minutos a Horas*]])+(Tabla2[[#This Row],[Tiempo Total a Nivel Proncincial (Horas)]])</f>
        <v>8.7000000000000011</v>
      </c>
    </row>
    <row r="382" spans="2:45" ht="40.15" customHeight="1" x14ac:dyDescent="0.25">
      <c r="B382" s="91"/>
      <c r="C382" s="91"/>
      <c r="D382" s="91"/>
      <c r="E382" s="92"/>
      <c r="F382" s="92"/>
      <c r="G382" s="92"/>
      <c r="H382" s="98"/>
      <c r="I382" s="99"/>
      <c r="J382" s="99"/>
      <c r="K382" s="99"/>
      <c r="L382" s="98"/>
      <c r="M382" s="92"/>
      <c r="N382" s="100"/>
      <c r="O382" s="94"/>
      <c r="P382" s="102"/>
      <c r="Q382" s="100"/>
      <c r="R382" s="95"/>
      <c r="S382" s="95"/>
      <c r="T382" s="96"/>
      <c r="U382" s="101"/>
      <c r="V382" s="101"/>
      <c r="W382" s="96"/>
      <c r="X382" s="101"/>
      <c r="Y382" s="101"/>
      <c r="Z382" s="96"/>
      <c r="AA382" s="97"/>
      <c r="AB382" s="93"/>
      <c r="AD382" s="20" t="s">
        <v>2379</v>
      </c>
      <c r="AE382" s="10" t="s">
        <v>376</v>
      </c>
      <c r="AF382" s="20" t="s">
        <v>488</v>
      </c>
      <c r="AG382" s="10"/>
      <c r="AH382" s="22" t="str">
        <f t="shared" si="10"/>
        <v>Arequipa_03 Caravelí</v>
      </c>
      <c r="AI382" s="10" t="s">
        <v>602</v>
      </c>
      <c r="AJ382" s="20" t="s">
        <v>536</v>
      </c>
      <c r="AK382" s="22" t="str">
        <f t="shared" si="11"/>
        <v>Arequipa_03 Caravelí_07 Chala</v>
      </c>
      <c r="AL382" s="25">
        <v>7</v>
      </c>
      <c r="AM382" s="25">
        <v>37</v>
      </c>
      <c r="AN382" s="26">
        <f>Tabla2[[#This Row],[Minutos]]/60</f>
        <v>0.6166666666666667</v>
      </c>
      <c r="AO382" s="27">
        <f>SUM(Tabla2[[#This Row],[Horas]],Tabla2[[#This Row],[Minutos a Horas]])</f>
        <v>7.6166666666666671</v>
      </c>
      <c r="AP382" s="49">
        <v>3</v>
      </c>
      <c r="AQ382" s="49">
        <v>0</v>
      </c>
      <c r="AR382" s="26">
        <f>Tabla2[[#This Row],[Minutos*]]/60</f>
        <v>0</v>
      </c>
      <c r="AS382" s="27">
        <f>SUM(Tabla2[[#This Row],[Horas*]],Tabla2[[#This Row],[Minutos a Horas*]])+(Tabla2[[#This Row],[Tiempo Total a Nivel Proncincial (Horas)]])</f>
        <v>10.616666666666667</v>
      </c>
    </row>
    <row r="383" spans="2:45" ht="40.15" customHeight="1" x14ac:dyDescent="0.25">
      <c r="B383" s="91"/>
      <c r="C383" s="91"/>
      <c r="D383" s="91"/>
      <c r="E383" s="92"/>
      <c r="F383" s="92"/>
      <c r="G383" s="92"/>
      <c r="H383" s="98"/>
      <c r="I383" s="99"/>
      <c r="J383" s="99"/>
      <c r="K383" s="99"/>
      <c r="L383" s="98"/>
      <c r="M383" s="92"/>
      <c r="N383" s="100"/>
      <c r="O383" s="94"/>
      <c r="P383" s="102"/>
      <c r="Q383" s="100"/>
      <c r="R383" s="95"/>
      <c r="S383" s="95"/>
      <c r="T383" s="96"/>
      <c r="U383" s="101"/>
      <c r="V383" s="101"/>
      <c r="W383" s="96"/>
      <c r="X383" s="101"/>
      <c r="Y383" s="101"/>
      <c r="Z383" s="96"/>
      <c r="AA383" s="97"/>
      <c r="AB383" s="93"/>
      <c r="AD383" s="20" t="s">
        <v>2379</v>
      </c>
      <c r="AE383" s="10" t="s">
        <v>376</v>
      </c>
      <c r="AF383" s="20" t="s">
        <v>488</v>
      </c>
      <c r="AG383" s="10"/>
      <c r="AH383" s="22" t="str">
        <f t="shared" si="10"/>
        <v>Arequipa_03 Caravelí</v>
      </c>
      <c r="AI383" s="10" t="s">
        <v>602</v>
      </c>
      <c r="AJ383" s="20" t="s">
        <v>537</v>
      </c>
      <c r="AK383" s="22" t="str">
        <f t="shared" si="11"/>
        <v>Arequipa_03 Caravelí_08 Chaparra</v>
      </c>
      <c r="AL383" s="25">
        <v>7</v>
      </c>
      <c r="AM383" s="25">
        <v>37</v>
      </c>
      <c r="AN383" s="26">
        <f>Tabla2[[#This Row],[Minutos]]/60</f>
        <v>0.6166666666666667</v>
      </c>
      <c r="AO383" s="27">
        <f>SUM(Tabla2[[#This Row],[Horas]],Tabla2[[#This Row],[Minutos a Horas]])</f>
        <v>7.6166666666666671</v>
      </c>
      <c r="AP383" s="49">
        <v>2</v>
      </c>
      <c r="AQ383" s="49">
        <v>15</v>
      </c>
      <c r="AR383" s="26">
        <f>Tabla2[[#This Row],[Minutos*]]/60</f>
        <v>0.25</v>
      </c>
      <c r="AS383" s="27">
        <f>SUM(Tabla2[[#This Row],[Horas*]],Tabla2[[#This Row],[Minutos a Horas*]])+(Tabla2[[#This Row],[Tiempo Total a Nivel Proncincial (Horas)]])</f>
        <v>9.8666666666666671</v>
      </c>
    </row>
    <row r="384" spans="2:45" ht="40.15" customHeight="1" x14ac:dyDescent="0.25">
      <c r="B384" s="91"/>
      <c r="C384" s="91"/>
      <c r="D384" s="91"/>
      <c r="E384" s="92"/>
      <c r="F384" s="92"/>
      <c r="G384" s="92"/>
      <c r="H384" s="98"/>
      <c r="I384" s="99"/>
      <c r="J384" s="99"/>
      <c r="K384" s="99"/>
      <c r="L384" s="98"/>
      <c r="M384" s="92"/>
      <c r="N384" s="100"/>
      <c r="O384" s="94"/>
      <c r="P384" s="102"/>
      <c r="Q384" s="100"/>
      <c r="R384" s="95"/>
      <c r="S384" s="95"/>
      <c r="T384" s="96"/>
      <c r="U384" s="101"/>
      <c r="V384" s="101"/>
      <c r="W384" s="96"/>
      <c r="X384" s="101"/>
      <c r="Y384" s="101"/>
      <c r="Z384" s="96"/>
      <c r="AA384" s="97"/>
      <c r="AB384" s="93"/>
      <c r="AD384" s="20" t="s">
        <v>2379</v>
      </c>
      <c r="AE384" s="10" t="s">
        <v>376</v>
      </c>
      <c r="AF384" s="20" t="s">
        <v>488</v>
      </c>
      <c r="AG384" s="10"/>
      <c r="AH384" s="22" t="str">
        <f t="shared" si="10"/>
        <v>Arequipa_03 Caravelí</v>
      </c>
      <c r="AI384" s="10" t="s">
        <v>602</v>
      </c>
      <c r="AJ384" s="20" t="s">
        <v>538</v>
      </c>
      <c r="AK384" s="22" t="str">
        <f t="shared" si="11"/>
        <v>Arequipa_03 Caravelí_09 Huanuhuanu</v>
      </c>
      <c r="AL384" s="25">
        <v>7</v>
      </c>
      <c r="AM384" s="25">
        <v>37</v>
      </c>
      <c r="AN384" s="26">
        <f>Tabla2[[#This Row],[Minutos]]/60</f>
        <v>0.6166666666666667</v>
      </c>
      <c r="AO384" s="27">
        <f>SUM(Tabla2[[#This Row],[Horas]],Tabla2[[#This Row],[Minutos a Horas]])</f>
        <v>7.6166666666666671</v>
      </c>
      <c r="AP384" s="49">
        <v>3</v>
      </c>
      <c r="AQ384" s="49">
        <v>20</v>
      </c>
      <c r="AR384" s="26">
        <f>Tabla2[[#This Row],[Minutos*]]/60</f>
        <v>0.33333333333333331</v>
      </c>
      <c r="AS384" s="27">
        <f>SUM(Tabla2[[#This Row],[Horas*]],Tabla2[[#This Row],[Minutos a Horas*]])+(Tabla2[[#This Row],[Tiempo Total a Nivel Proncincial (Horas)]])</f>
        <v>10.950000000000001</v>
      </c>
    </row>
    <row r="385" spans="2:45" ht="40.15" customHeight="1" x14ac:dyDescent="0.25">
      <c r="B385" s="91"/>
      <c r="C385" s="91"/>
      <c r="D385" s="91"/>
      <c r="E385" s="92"/>
      <c r="F385" s="92"/>
      <c r="G385" s="92"/>
      <c r="H385" s="98"/>
      <c r="I385" s="99"/>
      <c r="J385" s="99"/>
      <c r="K385" s="99"/>
      <c r="L385" s="98"/>
      <c r="M385" s="92"/>
      <c r="N385" s="100"/>
      <c r="O385" s="94"/>
      <c r="P385" s="102"/>
      <c r="Q385" s="100"/>
      <c r="R385" s="95"/>
      <c r="S385" s="95"/>
      <c r="T385" s="96"/>
      <c r="U385" s="101"/>
      <c r="V385" s="101"/>
      <c r="W385" s="96"/>
      <c r="X385" s="101"/>
      <c r="Y385" s="101"/>
      <c r="Z385" s="96"/>
      <c r="AA385" s="97"/>
      <c r="AB385" s="93"/>
      <c r="AD385" s="20" t="s">
        <v>2379</v>
      </c>
      <c r="AE385" s="10" t="s">
        <v>376</v>
      </c>
      <c r="AF385" s="20" t="s">
        <v>488</v>
      </c>
      <c r="AG385" s="10"/>
      <c r="AH385" s="22" t="str">
        <f t="shared" si="10"/>
        <v>Arequipa_03 Caravelí</v>
      </c>
      <c r="AI385" s="10" t="s">
        <v>602</v>
      </c>
      <c r="AJ385" s="20" t="s">
        <v>539</v>
      </c>
      <c r="AK385" s="22" t="str">
        <f t="shared" si="11"/>
        <v>Arequipa_03 Caravelí_10 Jaqui</v>
      </c>
      <c r="AL385" s="25">
        <v>7</v>
      </c>
      <c r="AM385" s="25">
        <v>37</v>
      </c>
      <c r="AN385" s="26">
        <f>Tabla2[[#This Row],[Minutos]]/60</f>
        <v>0.6166666666666667</v>
      </c>
      <c r="AO385" s="27">
        <f>SUM(Tabla2[[#This Row],[Horas]],Tabla2[[#This Row],[Minutos a Horas]])</f>
        <v>7.6166666666666671</v>
      </c>
      <c r="AP385" s="49">
        <v>4</v>
      </c>
      <c r="AQ385" s="49">
        <v>20</v>
      </c>
      <c r="AR385" s="26">
        <f>Tabla2[[#This Row],[Minutos*]]/60</f>
        <v>0.33333333333333331</v>
      </c>
      <c r="AS385" s="27">
        <f>SUM(Tabla2[[#This Row],[Horas*]],Tabla2[[#This Row],[Minutos a Horas*]])+(Tabla2[[#This Row],[Tiempo Total a Nivel Proncincial (Horas)]])</f>
        <v>11.95</v>
      </c>
    </row>
    <row r="386" spans="2:45" ht="40.15" customHeight="1" x14ac:dyDescent="0.25">
      <c r="B386" s="91"/>
      <c r="C386" s="91"/>
      <c r="D386" s="91"/>
      <c r="E386" s="92"/>
      <c r="F386" s="92"/>
      <c r="G386" s="92"/>
      <c r="H386" s="98"/>
      <c r="I386" s="99"/>
      <c r="J386" s="99"/>
      <c r="K386" s="99"/>
      <c r="L386" s="98"/>
      <c r="M386" s="92"/>
      <c r="N386" s="100"/>
      <c r="O386" s="94"/>
      <c r="P386" s="102"/>
      <c r="Q386" s="100"/>
      <c r="R386" s="95"/>
      <c r="S386" s="95"/>
      <c r="T386" s="96"/>
      <c r="U386" s="101"/>
      <c r="V386" s="101"/>
      <c r="W386" s="96"/>
      <c r="X386" s="101"/>
      <c r="Y386" s="101"/>
      <c r="Z386" s="96"/>
      <c r="AA386" s="97"/>
      <c r="AB386" s="93"/>
      <c r="AD386" s="20" t="s">
        <v>2379</v>
      </c>
      <c r="AE386" s="10" t="s">
        <v>376</v>
      </c>
      <c r="AF386" s="20" t="s">
        <v>488</v>
      </c>
      <c r="AG386" s="10"/>
      <c r="AH386" s="22" t="str">
        <f t="shared" si="10"/>
        <v>Arequipa_03 Caravelí</v>
      </c>
      <c r="AI386" s="10" t="s">
        <v>602</v>
      </c>
      <c r="AJ386" s="20" t="s">
        <v>540</v>
      </c>
      <c r="AK386" s="22" t="str">
        <f t="shared" si="11"/>
        <v>Arequipa_03 Caravelí_11 Lomas</v>
      </c>
      <c r="AL386" s="25">
        <v>7</v>
      </c>
      <c r="AM386" s="25">
        <v>37</v>
      </c>
      <c r="AN386" s="26">
        <f>Tabla2[[#This Row],[Minutos]]/60</f>
        <v>0.6166666666666667</v>
      </c>
      <c r="AO386" s="27">
        <f>SUM(Tabla2[[#This Row],[Horas]],Tabla2[[#This Row],[Minutos a Horas]])</f>
        <v>7.6166666666666671</v>
      </c>
      <c r="AP386" s="49">
        <v>5</v>
      </c>
      <c r="AQ386" s="49">
        <v>30</v>
      </c>
      <c r="AR386" s="26">
        <f>Tabla2[[#This Row],[Minutos*]]/60</f>
        <v>0.5</v>
      </c>
      <c r="AS386" s="27">
        <f>SUM(Tabla2[[#This Row],[Horas*]],Tabla2[[#This Row],[Minutos a Horas*]])+(Tabla2[[#This Row],[Tiempo Total a Nivel Proncincial (Horas)]])</f>
        <v>13.116666666666667</v>
      </c>
    </row>
    <row r="387" spans="2:45" ht="40.15" customHeight="1" x14ac:dyDescent="0.25">
      <c r="B387" s="91"/>
      <c r="C387" s="91"/>
      <c r="D387" s="91"/>
      <c r="E387" s="92"/>
      <c r="F387" s="92"/>
      <c r="G387" s="92"/>
      <c r="H387" s="98"/>
      <c r="I387" s="99"/>
      <c r="J387" s="99"/>
      <c r="K387" s="99"/>
      <c r="L387" s="98"/>
      <c r="M387" s="92"/>
      <c r="N387" s="100"/>
      <c r="O387" s="94"/>
      <c r="P387" s="102"/>
      <c r="Q387" s="100"/>
      <c r="R387" s="95"/>
      <c r="S387" s="95"/>
      <c r="T387" s="96"/>
      <c r="U387" s="101"/>
      <c r="V387" s="101"/>
      <c r="W387" s="96"/>
      <c r="X387" s="101"/>
      <c r="Y387" s="101"/>
      <c r="Z387" s="96"/>
      <c r="AA387" s="97"/>
      <c r="AB387" s="93"/>
      <c r="AD387" s="20" t="s">
        <v>2379</v>
      </c>
      <c r="AE387" s="10" t="s">
        <v>376</v>
      </c>
      <c r="AF387" s="20" t="s">
        <v>488</v>
      </c>
      <c r="AG387" s="10"/>
      <c r="AH387" s="22" t="str">
        <f t="shared" si="10"/>
        <v>Arequipa_03 Caravelí</v>
      </c>
      <c r="AI387" s="10" t="s">
        <v>602</v>
      </c>
      <c r="AJ387" s="20" t="s">
        <v>541</v>
      </c>
      <c r="AK387" s="22" t="str">
        <f t="shared" si="11"/>
        <v>Arequipa_03 Caravelí_12 Quicacha</v>
      </c>
      <c r="AL387" s="25">
        <v>7</v>
      </c>
      <c r="AM387" s="25">
        <v>37</v>
      </c>
      <c r="AN387" s="26">
        <f>Tabla2[[#This Row],[Minutos]]/60</f>
        <v>0.6166666666666667</v>
      </c>
      <c r="AO387" s="27">
        <f>SUM(Tabla2[[#This Row],[Horas]],Tabla2[[#This Row],[Minutos a Horas]])</f>
        <v>7.6166666666666671</v>
      </c>
      <c r="AP387" s="49">
        <v>1</v>
      </c>
      <c r="AQ387" s="49">
        <v>45</v>
      </c>
      <c r="AR387" s="26">
        <f>Tabla2[[#This Row],[Minutos*]]/60</f>
        <v>0.75</v>
      </c>
      <c r="AS387" s="27">
        <f>SUM(Tabla2[[#This Row],[Horas*]],Tabla2[[#This Row],[Minutos a Horas*]])+(Tabla2[[#This Row],[Tiempo Total a Nivel Proncincial (Horas)]])</f>
        <v>9.3666666666666671</v>
      </c>
    </row>
    <row r="388" spans="2:45" ht="40.15" customHeight="1" x14ac:dyDescent="0.25">
      <c r="B388" s="91"/>
      <c r="C388" s="91"/>
      <c r="D388" s="91"/>
      <c r="E388" s="92"/>
      <c r="F388" s="92"/>
      <c r="G388" s="92"/>
      <c r="H388" s="98"/>
      <c r="I388" s="99"/>
      <c r="J388" s="99"/>
      <c r="K388" s="99"/>
      <c r="L388" s="98"/>
      <c r="M388" s="92"/>
      <c r="N388" s="100"/>
      <c r="O388" s="94"/>
      <c r="P388" s="102"/>
      <c r="Q388" s="100"/>
      <c r="R388" s="95"/>
      <c r="S388" s="95"/>
      <c r="T388" s="96"/>
      <c r="U388" s="101"/>
      <c r="V388" s="101"/>
      <c r="W388" s="96"/>
      <c r="X388" s="101"/>
      <c r="Y388" s="101"/>
      <c r="Z388" s="96"/>
      <c r="AA388" s="97"/>
      <c r="AB388" s="93"/>
      <c r="AD388" s="20" t="s">
        <v>2379</v>
      </c>
      <c r="AE388" s="10" t="s">
        <v>376</v>
      </c>
      <c r="AF388" s="20" t="s">
        <v>488</v>
      </c>
      <c r="AG388" s="10"/>
      <c r="AH388" s="22" t="str">
        <f t="shared" si="10"/>
        <v>Arequipa_03 Caravelí</v>
      </c>
      <c r="AI388" s="10" t="s">
        <v>602</v>
      </c>
      <c r="AJ388" s="20" t="s">
        <v>542</v>
      </c>
      <c r="AK388" s="22" t="str">
        <f t="shared" si="11"/>
        <v>Arequipa_03 Caravelí_13 Yauca</v>
      </c>
      <c r="AL388" s="25">
        <v>7</v>
      </c>
      <c r="AM388" s="25">
        <v>37</v>
      </c>
      <c r="AN388" s="26">
        <f>Tabla2[[#This Row],[Minutos]]/60</f>
        <v>0.6166666666666667</v>
      </c>
      <c r="AO388" s="27">
        <f>SUM(Tabla2[[#This Row],[Horas]],Tabla2[[#This Row],[Minutos a Horas]])</f>
        <v>7.6166666666666671</v>
      </c>
      <c r="AP388" s="49">
        <v>3</v>
      </c>
      <c r="AQ388" s="49">
        <v>30</v>
      </c>
      <c r="AR388" s="26">
        <f>Tabla2[[#This Row],[Minutos*]]/60</f>
        <v>0.5</v>
      </c>
      <c r="AS388" s="27">
        <f>SUM(Tabla2[[#This Row],[Horas*]],Tabla2[[#This Row],[Minutos a Horas*]])+(Tabla2[[#This Row],[Tiempo Total a Nivel Proncincial (Horas)]])</f>
        <v>11.116666666666667</v>
      </c>
    </row>
    <row r="389" spans="2:45" ht="40.15" customHeight="1" x14ac:dyDescent="0.25">
      <c r="B389" s="91"/>
      <c r="C389" s="91"/>
      <c r="D389" s="91"/>
      <c r="E389" s="92"/>
      <c r="F389" s="92"/>
      <c r="G389" s="92"/>
      <c r="H389" s="98"/>
      <c r="I389" s="99"/>
      <c r="J389" s="99"/>
      <c r="K389" s="99"/>
      <c r="L389" s="98"/>
      <c r="M389" s="92"/>
      <c r="N389" s="100"/>
      <c r="O389" s="94"/>
      <c r="P389" s="102"/>
      <c r="Q389" s="100"/>
      <c r="R389" s="95"/>
      <c r="S389" s="95"/>
      <c r="T389" s="96"/>
      <c r="U389" s="101"/>
      <c r="V389" s="101"/>
      <c r="W389" s="96"/>
      <c r="X389" s="101"/>
      <c r="Y389" s="101"/>
      <c r="Z389" s="96"/>
      <c r="AA389" s="97"/>
      <c r="AB389" s="93"/>
      <c r="AD389" s="20" t="s">
        <v>2379</v>
      </c>
      <c r="AE389" s="10" t="s">
        <v>376</v>
      </c>
      <c r="AF389" s="20" t="s">
        <v>489</v>
      </c>
      <c r="AG389" s="10"/>
      <c r="AH389" s="22" t="str">
        <f t="shared" si="10"/>
        <v>Arequipa_04 Castilla</v>
      </c>
      <c r="AI389" s="10" t="s">
        <v>603</v>
      </c>
      <c r="AJ389" s="20" t="s">
        <v>543</v>
      </c>
      <c r="AK389" s="22" t="str">
        <f t="shared" si="11"/>
        <v>Arequipa_04 Castilla_01 Aplao</v>
      </c>
      <c r="AL389" s="25">
        <v>2</v>
      </c>
      <c r="AM389" s="25">
        <v>52</v>
      </c>
      <c r="AN389" s="26">
        <f>Tabla2[[#This Row],[Minutos]]/60</f>
        <v>0.8666666666666667</v>
      </c>
      <c r="AO389" s="27">
        <f>SUM(Tabla2[[#This Row],[Horas]],Tabla2[[#This Row],[Minutos a Horas]])</f>
        <v>2.8666666666666667</v>
      </c>
      <c r="AP389" s="49">
        <v>0</v>
      </c>
      <c r="AQ389" s="49">
        <v>10</v>
      </c>
      <c r="AR389" s="26">
        <f>Tabla2[[#This Row],[Minutos*]]/60</f>
        <v>0.16666666666666666</v>
      </c>
      <c r="AS389" s="27">
        <f>SUM(Tabla2[[#This Row],[Horas*]],Tabla2[[#This Row],[Minutos a Horas*]])+(Tabla2[[#This Row],[Tiempo Total a Nivel Proncincial (Horas)]])</f>
        <v>3.0333333333333332</v>
      </c>
    </row>
    <row r="390" spans="2:45" ht="40.15" customHeight="1" x14ac:dyDescent="0.25">
      <c r="B390" s="91"/>
      <c r="C390" s="91"/>
      <c r="D390" s="91"/>
      <c r="E390" s="92"/>
      <c r="F390" s="92"/>
      <c r="G390" s="92"/>
      <c r="H390" s="98"/>
      <c r="I390" s="99"/>
      <c r="J390" s="99"/>
      <c r="K390" s="99"/>
      <c r="L390" s="98"/>
      <c r="M390" s="92"/>
      <c r="N390" s="100"/>
      <c r="O390" s="94"/>
      <c r="P390" s="102"/>
      <c r="Q390" s="100"/>
      <c r="R390" s="95"/>
      <c r="S390" s="95"/>
      <c r="T390" s="96"/>
      <c r="U390" s="101"/>
      <c r="V390" s="101"/>
      <c r="W390" s="96"/>
      <c r="X390" s="101"/>
      <c r="Y390" s="101"/>
      <c r="Z390" s="96"/>
      <c r="AA390" s="97"/>
      <c r="AB390" s="93"/>
      <c r="AD390" s="20" t="s">
        <v>2379</v>
      </c>
      <c r="AE390" s="10" t="s">
        <v>376</v>
      </c>
      <c r="AF390" s="20" t="s">
        <v>489</v>
      </c>
      <c r="AG390" s="10"/>
      <c r="AH390" s="22" t="str">
        <f t="shared" si="10"/>
        <v>Arequipa_04 Castilla</v>
      </c>
      <c r="AI390" s="10" t="s">
        <v>603</v>
      </c>
      <c r="AJ390" s="20" t="s">
        <v>544</v>
      </c>
      <c r="AK390" s="22" t="str">
        <f t="shared" si="11"/>
        <v>Arequipa_04 Castilla_02 Andagua</v>
      </c>
      <c r="AL390" s="25">
        <v>2</v>
      </c>
      <c r="AM390" s="25">
        <v>52</v>
      </c>
      <c r="AN390" s="26">
        <f>Tabla2[[#This Row],[Minutos]]/60</f>
        <v>0.8666666666666667</v>
      </c>
      <c r="AO390" s="27">
        <f>SUM(Tabla2[[#This Row],[Horas]],Tabla2[[#This Row],[Minutos a Horas]])</f>
        <v>2.8666666666666667</v>
      </c>
      <c r="AP390" s="49">
        <v>4</v>
      </c>
      <c r="AQ390" s="49">
        <v>15</v>
      </c>
      <c r="AR390" s="26">
        <f>Tabla2[[#This Row],[Minutos*]]/60</f>
        <v>0.25</v>
      </c>
      <c r="AS390" s="27">
        <f>SUM(Tabla2[[#This Row],[Horas*]],Tabla2[[#This Row],[Minutos a Horas*]])+(Tabla2[[#This Row],[Tiempo Total a Nivel Proncincial (Horas)]])</f>
        <v>7.1166666666666671</v>
      </c>
    </row>
    <row r="391" spans="2:45" ht="40.15" customHeight="1" x14ac:dyDescent="0.25">
      <c r="B391" s="91"/>
      <c r="C391" s="91"/>
      <c r="D391" s="91"/>
      <c r="E391" s="92"/>
      <c r="F391" s="92"/>
      <c r="G391" s="92"/>
      <c r="H391" s="98"/>
      <c r="I391" s="99"/>
      <c r="J391" s="99"/>
      <c r="K391" s="99"/>
      <c r="L391" s="98"/>
      <c r="M391" s="92"/>
      <c r="N391" s="100"/>
      <c r="O391" s="94"/>
      <c r="P391" s="102"/>
      <c r="Q391" s="100"/>
      <c r="R391" s="95"/>
      <c r="S391" s="95"/>
      <c r="T391" s="96"/>
      <c r="U391" s="101"/>
      <c r="V391" s="101"/>
      <c r="W391" s="96"/>
      <c r="X391" s="101"/>
      <c r="Y391" s="101"/>
      <c r="Z391" s="96"/>
      <c r="AA391" s="97"/>
      <c r="AB391" s="93"/>
      <c r="AD391" s="20" t="s">
        <v>2379</v>
      </c>
      <c r="AE391" s="10" t="s">
        <v>376</v>
      </c>
      <c r="AF391" s="20" t="s">
        <v>489</v>
      </c>
      <c r="AG391" s="10"/>
      <c r="AH391" s="22" t="str">
        <f t="shared" ref="AH391:AH454" si="12">CONCATENATE(AD391,"_",AF391)</f>
        <v>Arequipa_04 Castilla</v>
      </c>
      <c r="AI391" s="10" t="s">
        <v>603</v>
      </c>
      <c r="AJ391" s="20" t="s">
        <v>545</v>
      </c>
      <c r="AK391" s="22" t="str">
        <f t="shared" ref="AK391:AK454" si="13">CONCATENATE(AH391,"_",AJ391)</f>
        <v>Arequipa_04 Castilla_03 Ayo</v>
      </c>
      <c r="AL391" s="25">
        <v>2</v>
      </c>
      <c r="AM391" s="25">
        <v>52</v>
      </c>
      <c r="AN391" s="26">
        <f>Tabla2[[#This Row],[Minutos]]/60</f>
        <v>0.8666666666666667</v>
      </c>
      <c r="AO391" s="27">
        <f>SUM(Tabla2[[#This Row],[Horas]],Tabla2[[#This Row],[Minutos a Horas]])</f>
        <v>2.8666666666666667</v>
      </c>
      <c r="AP391" s="49">
        <v>5</v>
      </c>
      <c r="AQ391" s="49">
        <v>20</v>
      </c>
      <c r="AR391" s="26">
        <f>Tabla2[[#This Row],[Minutos*]]/60</f>
        <v>0.33333333333333331</v>
      </c>
      <c r="AS391" s="27">
        <f>SUM(Tabla2[[#This Row],[Horas*]],Tabla2[[#This Row],[Minutos a Horas*]])+(Tabla2[[#This Row],[Tiempo Total a Nivel Proncincial (Horas)]])</f>
        <v>8.1999999999999993</v>
      </c>
    </row>
    <row r="392" spans="2:45" ht="40.15" customHeight="1" x14ac:dyDescent="0.25">
      <c r="B392" s="91"/>
      <c r="C392" s="91"/>
      <c r="D392" s="91"/>
      <c r="E392" s="92"/>
      <c r="F392" s="92"/>
      <c r="G392" s="92"/>
      <c r="H392" s="98"/>
      <c r="I392" s="99"/>
      <c r="J392" s="99"/>
      <c r="K392" s="99"/>
      <c r="L392" s="98"/>
      <c r="M392" s="92"/>
      <c r="N392" s="100"/>
      <c r="O392" s="94"/>
      <c r="P392" s="102"/>
      <c r="Q392" s="100"/>
      <c r="R392" s="95"/>
      <c r="S392" s="95"/>
      <c r="T392" s="96"/>
      <c r="U392" s="101"/>
      <c r="V392" s="101"/>
      <c r="W392" s="96"/>
      <c r="X392" s="101"/>
      <c r="Y392" s="101"/>
      <c r="Z392" s="96"/>
      <c r="AA392" s="97"/>
      <c r="AB392" s="93"/>
      <c r="AD392" s="20" t="s">
        <v>2379</v>
      </c>
      <c r="AE392" s="10" t="s">
        <v>376</v>
      </c>
      <c r="AF392" s="20" t="s">
        <v>489</v>
      </c>
      <c r="AG392" s="10"/>
      <c r="AH392" s="22" t="str">
        <f t="shared" si="12"/>
        <v>Arequipa_04 Castilla</v>
      </c>
      <c r="AI392" s="10" t="s">
        <v>603</v>
      </c>
      <c r="AJ392" s="20" t="s">
        <v>546</v>
      </c>
      <c r="AK392" s="22" t="str">
        <f t="shared" si="13"/>
        <v>Arequipa_04 Castilla_04 Chachas</v>
      </c>
      <c r="AL392" s="25">
        <v>2</v>
      </c>
      <c r="AM392" s="25">
        <v>52</v>
      </c>
      <c r="AN392" s="26">
        <f>Tabla2[[#This Row],[Minutos]]/60</f>
        <v>0.8666666666666667</v>
      </c>
      <c r="AO392" s="27">
        <f>SUM(Tabla2[[#This Row],[Horas]],Tabla2[[#This Row],[Minutos a Horas]])</f>
        <v>2.8666666666666667</v>
      </c>
      <c r="AP392" s="49">
        <v>4</v>
      </c>
      <c r="AQ392" s="49">
        <v>30</v>
      </c>
      <c r="AR392" s="26">
        <f>Tabla2[[#This Row],[Minutos*]]/60</f>
        <v>0.5</v>
      </c>
      <c r="AS392" s="27">
        <f>SUM(Tabla2[[#This Row],[Horas*]],Tabla2[[#This Row],[Minutos a Horas*]])+(Tabla2[[#This Row],[Tiempo Total a Nivel Proncincial (Horas)]])</f>
        <v>7.3666666666666671</v>
      </c>
    </row>
    <row r="393" spans="2:45" x14ac:dyDescent="0.25">
      <c r="B393" s="91"/>
      <c r="C393" s="91"/>
      <c r="D393" s="91"/>
      <c r="E393" s="92"/>
      <c r="F393" s="92"/>
      <c r="G393" s="92"/>
      <c r="H393" s="98"/>
      <c r="I393" s="99"/>
      <c r="J393" s="99"/>
      <c r="K393" s="99"/>
      <c r="L393" s="98"/>
      <c r="M393" s="92"/>
      <c r="N393" s="100"/>
      <c r="O393" s="94"/>
      <c r="P393" s="102"/>
      <c r="Q393" s="100"/>
      <c r="R393" s="95"/>
      <c r="S393" s="95"/>
      <c r="T393" s="96"/>
      <c r="U393" s="101"/>
      <c r="V393" s="101"/>
      <c r="W393" s="96"/>
      <c r="X393" s="101"/>
      <c r="Y393" s="101"/>
      <c r="Z393" s="96"/>
      <c r="AA393" s="97"/>
      <c r="AB393" s="93"/>
      <c r="AD393" s="20" t="s">
        <v>2379</v>
      </c>
      <c r="AE393" s="10" t="s">
        <v>376</v>
      </c>
      <c r="AF393" s="20" t="s">
        <v>489</v>
      </c>
      <c r="AG393" s="10"/>
      <c r="AH393" s="22" t="str">
        <f t="shared" si="12"/>
        <v>Arequipa_04 Castilla</v>
      </c>
      <c r="AI393" s="10" t="s">
        <v>603</v>
      </c>
      <c r="AJ393" s="20" t="s">
        <v>547</v>
      </c>
      <c r="AK393" s="22" t="str">
        <f t="shared" si="13"/>
        <v>Arequipa_04 Castilla_05 Chilcaymarca</v>
      </c>
      <c r="AL393" s="25">
        <v>2</v>
      </c>
      <c r="AM393" s="25">
        <v>52</v>
      </c>
      <c r="AN393" s="26">
        <f>Tabla2[[#This Row],[Minutos]]/60</f>
        <v>0.8666666666666667</v>
      </c>
      <c r="AO393" s="27">
        <f>SUM(Tabla2[[#This Row],[Horas]],Tabla2[[#This Row],[Minutos a Horas]])</f>
        <v>2.8666666666666667</v>
      </c>
      <c r="AP393" s="49">
        <v>8</v>
      </c>
      <c r="AQ393" s="49">
        <v>0</v>
      </c>
      <c r="AR393" s="26">
        <f>Tabla2[[#This Row],[Minutos*]]/60</f>
        <v>0</v>
      </c>
      <c r="AS393" s="27">
        <f>SUM(Tabla2[[#This Row],[Horas*]],Tabla2[[#This Row],[Minutos a Horas*]])+(Tabla2[[#This Row],[Tiempo Total a Nivel Proncincial (Horas)]])</f>
        <v>10.866666666666667</v>
      </c>
    </row>
    <row r="394" spans="2:45" x14ac:dyDescent="0.25">
      <c r="B394" s="91"/>
      <c r="C394" s="91"/>
      <c r="D394" s="91"/>
      <c r="E394" s="92"/>
      <c r="F394" s="92"/>
      <c r="G394" s="92"/>
      <c r="H394" s="98"/>
      <c r="I394" s="99"/>
      <c r="J394" s="99"/>
      <c r="K394" s="99"/>
      <c r="L394" s="98"/>
      <c r="M394" s="92"/>
      <c r="N394" s="100"/>
      <c r="O394" s="94"/>
      <c r="P394" s="102"/>
      <c r="Q394" s="100"/>
      <c r="R394" s="95"/>
      <c r="S394" s="95"/>
      <c r="T394" s="96"/>
      <c r="U394" s="101"/>
      <c r="V394" s="101"/>
      <c r="W394" s="96"/>
      <c r="X394" s="101"/>
      <c r="Y394" s="101"/>
      <c r="Z394" s="96"/>
      <c r="AA394" s="97"/>
      <c r="AB394" s="93"/>
      <c r="AD394" s="20" t="s">
        <v>2379</v>
      </c>
      <c r="AE394" s="10" t="s">
        <v>376</v>
      </c>
      <c r="AF394" s="20" t="s">
        <v>489</v>
      </c>
      <c r="AG394" s="10"/>
      <c r="AH394" s="22" t="str">
        <f t="shared" si="12"/>
        <v>Arequipa_04 Castilla</v>
      </c>
      <c r="AI394" s="10" t="s">
        <v>603</v>
      </c>
      <c r="AJ394" s="20" t="s">
        <v>548</v>
      </c>
      <c r="AK394" s="22" t="str">
        <f t="shared" si="13"/>
        <v>Arequipa_04 Castilla_06 Choco</v>
      </c>
      <c r="AL394" s="25">
        <v>2</v>
      </c>
      <c r="AM394" s="25">
        <v>52</v>
      </c>
      <c r="AN394" s="26">
        <f>Tabla2[[#This Row],[Minutos]]/60</f>
        <v>0.8666666666666667</v>
      </c>
      <c r="AO394" s="27">
        <f>SUM(Tabla2[[#This Row],[Horas]],Tabla2[[#This Row],[Minutos a Horas]])</f>
        <v>2.8666666666666667</v>
      </c>
      <c r="AP394" s="49">
        <v>5</v>
      </c>
      <c r="AQ394" s="49">
        <v>30</v>
      </c>
      <c r="AR394" s="26">
        <f>Tabla2[[#This Row],[Minutos*]]/60</f>
        <v>0.5</v>
      </c>
      <c r="AS394" s="27">
        <f>SUM(Tabla2[[#This Row],[Horas*]],Tabla2[[#This Row],[Minutos a Horas*]])+(Tabla2[[#This Row],[Tiempo Total a Nivel Proncincial (Horas)]])</f>
        <v>8.3666666666666671</v>
      </c>
    </row>
    <row r="395" spans="2:45" x14ac:dyDescent="0.25">
      <c r="B395" s="91"/>
      <c r="C395" s="91"/>
      <c r="D395" s="91"/>
      <c r="E395" s="92"/>
      <c r="F395" s="92"/>
      <c r="G395" s="92"/>
      <c r="H395" s="98"/>
      <c r="I395" s="99"/>
      <c r="J395" s="99"/>
      <c r="K395" s="99"/>
      <c r="L395" s="98"/>
      <c r="M395" s="92"/>
      <c r="N395" s="100"/>
      <c r="O395" s="94"/>
      <c r="P395" s="102"/>
      <c r="Q395" s="100"/>
      <c r="R395" s="95"/>
      <c r="S395" s="95"/>
      <c r="T395" s="96"/>
      <c r="U395" s="101"/>
      <c r="V395" s="101"/>
      <c r="W395" s="96"/>
      <c r="X395" s="101"/>
      <c r="Y395" s="101"/>
      <c r="Z395" s="96"/>
      <c r="AA395" s="97"/>
      <c r="AB395" s="93"/>
      <c r="AD395" s="20" t="s">
        <v>2379</v>
      </c>
      <c r="AE395" s="10" t="s">
        <v>376</v>
      </c>
      <c r="AF395" s="20" t="s">
        <v>489</v>
      </c>
      <c r="AG395" s="10"/>
      <c r="AH395" s="22" t="str">
        <f t="shared" si="12"/>
        <v>Arequipa_04 Castilla</v>
      </c>
      <c r="AI395" s="10" t="s">
        <v>603</v>
      </c>
      <c r="AJ395" s="20" t="s">
        <v>549</v>
      </c>
      <c r="AK395" s="22" t="str">
        <f t="shared" si="13"/>
        <v>Arequipa_04 Castilla_07 Huancarqui</v>
      </c>
      <c r="AL395" s="25">
        <v>2</v>
      </c>
      <c r="AM395" s="25">
        <v>52</v>
      </c>
      <c r="AN395" s="26">
        <f>Tabla2[[#This Row],[Minutos]]/60</f>
        <v>0.8666666666666667</v>
      </c>
      <c r="AO395" s="27">
        <f>SUM(Tabla2[[#This Row],[Horas]],Tabla2[[#This Row],[Minutos a Horas]])</f>
        <v>2.8666666666666667</v>
      </c>
      <c r="AP395" s="49">
        <v>3</v>
      </c>
      <c r="AQ395" s="49">
        <v>30</v>
      </c>
      <c r="AR395" s="26">
        <f>Tabla2[[#This Row],[Minutos*]]/60</f>
        <v>0.5</v>
      </c>
      <c r="AS395" s="27">
        <f>SUM(Tabla2[[#This Row],[Horas*]],Tabla2[[#This Row],[Minutos a Horas*]])+(Tabla2[[#This Row],[Tiempo Total a Nivel Proncincial (Horas)]])</f>
        <v>6.3666666666666671</v>
      </c>
    </row>
    <row r="396" spans="2:45" x14ac:dyDescent="0.25">
      <c r="B396" s="91"/>
      <c r="C396" s="91"/>
      <c r="D396" s="91"/>
      <c r="E396" s="92"/>
      <c r="F396" s="92"/>
      <c r="G396" s="92"/>
      <c r="H396" s="98"/>
      <c r="I396" s="99"/>
      <c r="J396" s="99"/>
      <c r="K396" s="99"/>
      <c r="L396" s="98"/>
      <c r="M396" s="92"/>
      <c r="N396" s="100"/>
      <c r="O396" s="94"/>
      <c r="P396" s="102"/>
      <c r="Q396" s="100"/>
      <c r="R396" s="95"/>
      <c r="S396" s="95"/>
      <c r="T396" s="96"/>
      <c r="U396" s="101"/>
      <c r="V396" s="101"/>
      <c r="W396" s="96"/>
      <c r="X396" s="101"/>
      <c r="Y396" s="101"/>
      <c r="Z396" s="96"/>
      <c r="AA396" s="97"/>
      <c r="AB396" s="93"/>
      <c r="AD396" s="20" t="s">
        <v>2379</v>
      </c>
      <c r="AE396" s="10" t="s">
        <v>376</v>
      </c>
      <c r="AF396" s="20" t="s">
        <v>489</v>
      </c>
      <c r="AG396" s="10"/>
      <c r="AH396" s="22" t="str">
        <f t="shared" si="12"/>
        <v>Arequipa_04 Castilla</v>
      </c>
      <c r="AI396" s="10" t="s">
        <v>603</v>
      </c>
      <c r="AJ396" s="20" t="s">
        <v>550</v>
      </c>
      <c r="AK396" s="22" t="str">
        <f t="shared" si="13"/>
        <v>Arequipa_04 Castilla_08 Machaguay</v>
      </c>
      <c r="AL396" s="25">
        <v>2</v>
      </c>
      <c r="AM396" s="25">
        <v>52</v>
      </c>
      <c r="AN396" s="26">
        <f>Tabla2[[#This Row],[Minutos]]/60</f>
        <v>0.8666666666666667</v>
      </c>
      <c r="AO396" s="27">
        <f>SUM(Tabla2[[#This Row],[Horas]],Tabla2[[#This Row],[Minutos a Horas]])</f>
        <v>2.8666666666666667</v>
      </c>
      <c r="AP396" s="49">
        <v>6</v>
      </c>
      <c r="AQ396" s="49">
        <v>0</v>
      </c>
      <c r="AR396" s="26">
        <f>Tabla2[[#This Row],[Minutos*]]/60</f>
        <v>0</v>
      </c>
      <c r="AS396" s="27">
        <f>SUM(Tabla2[[#This Row],[Horas*]],Tabla2[[#This Row],[Minutos a Horas*]])+(Tabla2[[#This Row],[Tiempo Total a Nivel Proncincial (Horas)]])</f>
        <v>8.8666666666666671</v>
      </c>
    </row>
    <row r="397" spans="2:45" x14ac:dyDescent="0.25">
      <c r="B397" s="91"/>
      <c r="C397" s="91"/>
      <c r="D397" s="91"/>
      <c r="E397" s="92"/>
      <c r="F397" s="92"/>
      <c r="G397" s="92"/>
      <c r="H397" s="98"/>
      <c r="I397" s="99"/>
      <c r="J397" s="99"/>
      <c r="K397" s="99"/>
      <c r="L397" s="98"/>
      <c r="M397" s="92"/>
      <c r="N397" s="100"/>
      <c r="O397" s="94"/>
      <c r="P397" s="102"/>
      <c r="Q397" s="100"/>
      <c r="R397" s="95"/>
      <c r="S397" s="95"/>
      <c r="T397" s="96"/>
      <c r="U397" s="101"/>
      <c r="V397" s="101"/>
      <c r="W397" s="96"/>
      <c r="X397" s="101"/>
      <c r="Y397" s="101"/>
      <c r="Z397" s="96"/>
      <c r="AA397" s="97"/>
      <c r="AB397" s="93"/>
      <c r="AD397" s="20" t="s">
        <v>2379</v>
      </c>
      <c r="AE397" s="10" t="s">
        <v>376</v>
      </c>
      <c r="AF397" s="20" t="s">
        <v>489</v>
      </c>
      <c r="AG397" s="10"/>
      <c r="AH397" s="22" t="str">
        <f t="shared" si="12"/>
        <v>Arequipa_04 Castilla</v>
      </c>
      <c r="AI397" s="10" t="s">
        <v>603</v>
      </c>
      <c r="AJ397" s="20" t="s">
        <v>551</v>
      </c>
      <c r="AK397" s="22" t="str">
        <f t="shared" si="13"/>
        <v>Arequipa_04 Castilla_09 Orcopampa</v>
      </c>
      <c r="AL397" s="25">
        <v>2</v>
      </c>
      <c r="AM397" s="25">
        <v>52</v>
      </c>
      <c r="AN397" s="26">
        <f>Tabla2[[#This Row],[Minutos]]/60</f>
        <v>0.8666666666666667</v>
      </c>
      <c r="AO397" s="27">
        <f>SUM(Tabla2[[#This Row],[Horas]],Tabla2[[#This Row],[Minutos a Horas]])</f>
        <v>2.8666666666666667</v>
      </c>
      <c r="AP397" s="49">
        <v>6</v>
      </c>
      <c r="AQ397" s="49">
        <v>53</v>
      </c>
      <c r="AR397" s="26">
        <f>Tabla2[[#This Row],[Minutos*]]/60</f>
        <v>0.8833333333333333</v>
      </c>
      <c r="AS397" s="27">
        <f>SUM(Tabla2[[#This Row],[Horas*]],Tabla2[[#This Row],[Minutos a Horas*]])+(Tabla2[[#This Row],[Tiempo Total a Nivel Proncincial (Horas)]])</f>
        <v>9.75</v>
      </c>
    </row>
    <row r="398" spans="2:45" x14ac:dyDescent="0.25">
      <c r="B398" s="91"/>
      <c r="C398" s="91"/>
      <c r="D398" s="91"/>
      <c r="E398" s="92"/>
      <c r="F398" s="92"/>
      <c r="G398" s="92"/>
      <c r="H398" s="98"/>
      <c r="I398" s="99"/>
      <c r="J398" s="99"/>
      <c r="K398" s="99"/>
      <c r="L398" s="98"/>
      <c r="M398" s="92"/>
      <c r="N398" s="100"/>
      <c r="O398" s="94"/>
      <c r="P398" s="102"/>
      <c r="Q398" s="100"/>
      <c r="R398" s="95"/>
      <c r="S398" s="95"/>
      <c r="T398" s="96"/>
      <c r="U398" s="101"/>
      <c r="V398" s="101"/>
      <c r="W398" s="96"/>
      <c r="X398" s="101"/>
      <c r="Y398" s="101"/>
      <c r="Z398" s="96"/>
      <c r="AA398" s="97"/>
      <c r="AB398" s="93"/>
      <c r="AD398" s="20" t="s">
        <v>2379</v>
      </c>
      <c r="AE398" s="10" t="s">
        <v>376</v>
      </c>
      <c r="AF398" s="20" t="s">
        <v>489</v>
      </c>
      <c r="AG398" s="10"/>
      <c r="AH398" s="22" t="str">
        <f t="shared" si="12"/>
        <v>Arequipa_04 Castilla</v>
      </c>
      <c r="AI398" s="10" t="s">
        <v>603</v>
      </c>
      <c r="AJ398" s="20" t="s">
        <v>552</v>
      </c>
      <c r="AK398" s="22" t="str">
        <f t="shared" si="13"/>
        <v>Arequipa_04 Castilla_10 Pampacolca</v>
      </c>
      <c r="AL398" s="25">
        <v>2</v>
      </c>
      <c r="AM398" s="25">
        <v>52</v>
      </c>
      <c r="AN398" s="26">
        <f>Tabla2[[#This Row],[Minutos]]/60</f>
        <v>0.8666666666666667</v>
      </c>
      <c r="AO398" s="27">
        <f>SUM(Tabla2[[#This Row],[Horas]],Tabla2[[#This Row],[Minutos a Horas]])</f>
        <v>2.8666666666666667</v>
      </c>
      <c r="AP398" s="49">
        <v>5</v>
      </c>
      <c r="AQ398" s="49">
        <v>30</v>
      </c>
      <c r="AR398" s="26">
        <f>Tabla2[[#This Row],[Minutos*]]/60</f>
        <v>0.5</v>
      </c>
      <c r="AS398" s="27">
        <f>SUM(Tabla2[[#This Row],[Horas*]],Tabla2[[#This Row],[Minutos a Horas*]])+(Tabla2[[#This Row],[Tiempo Total a Nivel Proncincial (Horas)]])</f>
        <v>8.3666666666666671</v>
      </c>
    </row>
    <row r="399" spans="2:45" x14ac:dyDescent="0.25">
      <c r="B399" s="91"/>
      <c r="C399" s="91"/>
      <c r="D399" s="91"/>
      <c r="E399" s="92"/>
      <c r="F399" s="92"/>
      <c r="G399" s="92"/>
      <c r="H399" s="98"/>
      <c r="I399" s="99"/>
      <c r="J399" s="99"/>
      <c r="K399" s="99"/>
      <c r="L399" s="98"/>
      <c r="M399" s="92"/>
      <c r="N399" s="100"/>
      <c r="O399" s="94"/>
      <c r="P399" s="102"/>
      <c r="Q399" s="100"/>
      <c r="R399" s="95"/>
      <c r="S399" s="95"/>
      <c r="T399" s="96"/>
      <c r="U399" s="101"/>
      <c r="V399" s="101"/>
      <c r="W399" s="96"/>
      <c r="X399" s="101"/>
      <c r="Y399" s="101"/>
      <c r="Z399" s="96"/>
      <c r="AA399" s="97"/>
      <c r="AB399" s="93"/>
      <c r="AD399" s="20" t="s">
        <v>2379</v>
      </c>
      <c r="AE399" s="10" t="s">
        <v>376</v>
      </c>
      <c r="AF399" s="20" t="s">
        <v>489</v>
      </c>
      <c r="AG399" s="10"/>
      <c r="AH399" s="22" t="str">
        <f t="shared" si="12"/>
        <v>Arequipa_04 Castilla</v>
      </c>
      <c r="AI399" s="10" t="s">
        <v>603</v>
      </c>
      <c r="AJ399" s="20" t="s">
        <v>553</v>
      </c>
      <c r="AK399" s="22" t="str">
        <f t="shared" si="13"/>
        <v>Arequipa_04 Castilla_11 Tipan</v>
      </c>
      <c r="AL399" s="25">
        <v>2</v>
      </c>
      <c r="AM399" s="25">
        <v>52</v>
      </c>
      <c r="AN399" s="26">
        <f>Tabla2[[#This Row],[Minutos]]/60</f>
        <v>0.8666666666666667</v>
      </c>
      <c r="AO399" s="27">
        <f>SUM(Tabla2[[#This Row],[Horas]],Tabla2[[#This Row],[Minutos a Horas]])</f>
        <v>2.8666666666666667</v>
      </c>
      <c r="AP399" s="49">
        <v>4</v>
      </c>
      <c r="AQ399" s="49">
        <v>35</v>
      </c>
      <c r="AR399" s="26">
        <f>Tabla2[[#This Row],[Minutos*]]/60</f>
        <v>0.58333333333333337</v>
      </c>
      <c r="AS399" s="27">
        <f>SUM(Tabla2[[#This Row],[Horas*]],Tabla2[[#This Row],[Minutos a Horas*]])+(Tabla2[[#This Row],[Tiempo Total a Nivel Proncincial (Horas)]])</f>
        <v>7.4499999999999993</v>
      </c>
    </row>
    <row r="400" spans="2:45" x14ac:dyDescent="0.25">
      <c r="B400" s="91"/>
      <c r="C400" s="91"/>
      <c r="D400" s="91"/>
      <c r="E400" s="92"/>
      <c r="F400" s="92"/>
      <c r="G400" s="92"/>
      <c r="H400" s="98"/>
      <c r="I400" s="99"/>
      <c r="J400" s="99"/>
      <c r="K400" s="99"/>
      <c r="L400" s="98"/>
      <c r="M400" s="92"/>
      <c r="N400" s="100"/>
      <c r="O400" s="94"/>
      <c r="P400" s="102"/>
      <c r="Q400" s="100"/>
      <c r="R400" s="95"/>
      <c r="S400" s="95"/>
      <c r="T400" s="96"/>
      <c r="U400" s="101"/>
      <c r="V400" s="101"/>
      <c r="W400" s="96"/>
      <c r="X400" s="101"/>
      <c r="Y400" s="101"/>
      <c r="Z400" s="96"/>
      <c r="AA400" s="97"/>
      <c r="AB400" s="93"/>
      <c r="AD400" s="20" t="s">
        <v>2379</v>
      </c>
      <c r="AE400" s="10" t="s">
        <v>376</v>
      </c>
      <c r="AF400" s="20" t="s">
        <v>489</v>
      </c>
      <c r="AG400" s="10"/>
      <c r="AH400" s="22" t="str">
        <f t="shared" si="12"/>
        <v>Arequipa_04 Castilla</v>
      </c>
      <c r="AI400" s="10" t="s">
        <v>603</v>
      </c>
      <c r="AJ400" s="20" t="s">
        <v>554</v>
      </c>
      <c r="AK400" s="22" t="str">
        <f t="shared" si="13"/>
        <v>Arequipa_04 Castilla_12 Uñon</v>
      </c>
      <c r="AL400" s="25">
        <v>2</v>
      </c>
      <c r="AM400" s="25">
        <v>52</v>
      </c>
      <c r="AN400" s="26">
        <f>Tabla2[[#This Row],[Minutos]]/60</f>
        <v>0.8666666666666667</v>
      </c>
      <c r="AO400" s="27">
        <f>SUM(Tabla2[[#This Row],[Horas]],Tabla2[[#This Row],[Minutos a Horas]])</f>
        <v>2.8666666666666667</v>
      </c>
      <c r="AP400" s="49">
        <v>4</v>
      </c>
      <c r="AQ400" s="49">
        <v>59</v>
      </c>
      <c r="AR400" s="26">
        <f>Tabla2[[#This Row],[Minutos*]]/60</f>
        <v>0.98333333333333328</v>
      </c>
      <c r="AS400" s="27">
        <f>SUM(Tabla2[[#This Row],[Horas*]],Tabla2[[#This Row],[Minutos a Horas*]])+(Tabla2[[#This Row],[Tiempo Total a Nivel Proncincial (Horas)]])</f>
        <v>7.85</v>
      </c>
    </row>
    <row r="401" spans="2:45" x14ac:dyDescent="0.25">
      <c r="B401" s="91"/>
      <c r="C401" s="91"/>
      <c r="D401" s="91"/>
      <c r="E401" s="92"/>
      <c r="F401" s="92"/>
      <c r="G401" s="92"/>
      <c r="H401" s="98"/>
      <c r="I401" s="99"/>
      <c r="J401" s="99"/>
      <c r="K401" s="99"/>
      <c r="L401" s="98"/>
      <c r="M401" s="92"/>
      <c r="N401" s="100"/>
      <c r="O401" s="94"/>
      <c r="P401" s="102"/>
      <c r="Q401" s="100"/>
      <c r="R401" s="95"/>
      <c r="S401" s="95"/>
      <c r="T401" s="96"/>
      <c r="U401" s="101"/>
      <c r="V401" s="101"/>
      <c r="W401" s="96"/>
      <c r="X401" s="101"/>
      <c r="Y401" s="101"/>
      <c r="Z401" s="96"/>
      <c r="AA401" s="97"/>
      <c r="AB401" s="93"/>
      <c r="AD401" s="20" t="s">
        <v>2379</v>
      </c>
      <c r="AE401" s="10" t="s">
        <v>376</v>
      </c>
      <c r="AF401" s="20" t="s">
        <v>489</v>
      </c>
      <c r="AG401" s="10"/>
      <c r="AH401" s="22" t="str">
        <f t="shared" si="12"/>
        <v>Arequipa_04 Castilla</v>
      </c>
      <c r="AI401" s="10" t="s">
        <v>603</v>
      </c>
      <c r="AJ401" s="20" t="s">
        <v>555</v>
      </c>
      <c r="AK401" s="22" t="str">
        <f t="shared" si="13"/>
        <v>Arequipa_04 Castilla_13 Uraca</v>
      </c>
      <c r="AL401" s="25">
        <v>2</v>
      </c>
      <c r="AM401" s="25">
        <v>52</v>
      </c>
      <c r="AN401" s="26">
        <f>Tabla2[[#This Row],[Minutos]]/60</f>
        <v>0.8666666666666667</v>
      </c>
      <c r="AO401" s="27">
        <f>SUM(Tabla2[[#This Row],[Horas]],Tabla2[[#This Row],[Minutos a Horas]])</f>
        <v>2.8666666666666667</v>
      </c>
      <c r="AP401" s="49">
        <v>2</v>
      </c>
      <c r="AQ401" s="49">
        <v>50</v>
      </c>
      <c r="AR401" s="26">
        <f>Tabla2[[#This Row],[Minutos*]]/60</f>
        <v>0.83333333333333337</v>
      </c>
      <c r="AS401" s="27">
        <f>SUM(Tabla2[[#This Row],[Horas*]],Tabla2[[#This Row],[Minutos a Horas*]])+(Tabla2[[#This Row],[Tiempo Total a Nivel Proncincial (Horas)]])</f>
        <v>5.7</v>
      </c>
    </row>
    <row r="402" spans="2:45" x14ac:dyDescent="0.25">
      <c r="B402" s="91"/>
      <c r="C402" s="91"/>
      <c r="D402" s="91"/>
      <c r="E402" s="92"/>
      <c r="F402" s="92"/>
      <c r="G402" s="92"/>
      <c r="H402" s="98"/>
      <c r="I402" s="99"/>
      <c r="J402" s="99"/>
      <c r="K402" s="99"/>
      <c r="L402" s="98"/>
      <c r="M402" s="92"/>
      <c r="N402" s="100"/>
      <c r="O402" s="94"/>
      <c r="P402" s="102"/>
      <c r="Q402" s="100"/>
      <c r="R402" s="95"/>
      <c r="S402" s="95"/>
      <c r="T402" s="96"/>
      <c r="U402" s="101"/>
      <c r="V402" s="101"/>
      <c r="W402" s="96"/>
      <c r="X402" s="101"/>
      <c r="Y402" s="101"/>
      <c r="Z402" s="96"/>
      <c r="AA402" s="97"/>
      <c r="AB402" s="93"/>
      <c r="AD402" s="20" t="s">
        <v>2379</v>
      </c>
      <c r="AE402" s="10" t="s">
        <v>376</v>
      </c>
      <c r="AF402" s="20" t="s">
        <v>489</v>
      </c>
      <c r="AG402" s="10"/>
      <c r="AH402" s="22" t="str">
        <f t="shared" si="12"/>
        <v>Arequipa_04 Castilla</v>
      </c>
      <c r="AI402" s="10" t="s">
        <v>603</v>
      </c>
      <c r="AJ402" s="20" t="s">
        <v>556</v>
      </c>
      <c r="AK402" s="22" t="str">
        <f t="shared" si="13"/>
        <v>Arequipa_04 Castilla_14 Viraco</v>
      </c>
      <c r="AL402" s="25">
        <v>2</v>
      </c>
      <c r="AM402" s="25">
        <v>52</v>
      </c>
      <c r="AN402" s="26">
        <f>Tabla2[[#This Row],[Minutos]]/60</f>
        <v>0.8666666666666667</v>
      </c>
      <c r="AO402" s="27">
        <f>SUM(Tabla2[[#This Row],[Horas]],Tabla2[[#This Row],[Minutos a Horas]])</f>
        <v>2.8666666666666667</v>
      </c>
      <c r="AP402" s="49">
        <v>5</v>
      </c>
      <c r="AQ402" s="49">
        <v>30</v>
      </c>
      <c r="AR402" s="26">
        <f>Tabla2[[#This Row],[Minutos*]]/60</f>
        <v>0.5</v>
      </c>
      <c r="AS402" s="27">
        <f>SUM(Tabla2[[#This Row],[Horas*]],Tabla2[[#This Row],[Minutos a Horas*]])+(Tabla2[[#This Row],[Tiempo Total a Nivel Proncincial (Horas)]])</f>
        <v>8.3666666666666671</v>
      </c>
    </row>
    <row r="403" spans="2:45" x14ac:dyDescent="0.25">
      <c r="B403" s="91"/>
      <c r="C403" s="91"/>
      <c r="D403" s="91"/>
      <c r="E403" s="92"/>
      <c r="F403" s="92"/>
      <c r="G403" s="92"/>
      <c r="H403" s="98"/>
      <c r="I403" s="99"/>
      <c r="J403" s="99"/>
      <c r="K403" s="99"/>
      <c r="L403" s="98"/>
      <c r="M403" s="92"/>
      <c r="N403" s="100"/>
      <c r="O403" s="94"/>
      <c r="P403" s="102"/>
      <c r="Q403" s="100"/>
      <c r="R403" s="95"/>
      <c r="S403" s="95"/>
      <c r="T403" s="96"/>
      <c r="U403" s="101"/>
      <c r="V403" s="101"/>
      <c r="W403" s="96"/>
      <c r="X403" s="101"/>
      <c r="Y403" s="101"/>
      <c r="Z403" s="96"/>
      <c r="AA403" s="97"/>
      <c r="AB403" s="93"/>
      <c r="AD403" s="20" t="s">
        <v>2379</v>
      </c>
      <c r="AE403" s="10" t="s">
        <v>376</v>
      </c>
      <c r="AF403" s="20" t="s">
        <v>490</v>
      </c>
      <c r="AG403" s="10"/>
      <c r="AH403" s="22" t="str">
        <f t="shared" si="12"/>
        <v>Arequipa_05 Caylloma</v>
      </c>
      <c r="AI403" s="10" t="s">
        <v>604</v>
      </c>
      <c r="AJ403" s="20" t="s">
        <v>557</v>
      </c>
      <c r="AK403" s="22" t="str">
        <f t="shared" si="13"/>
        <v>Arequipa_05 Caylloma_01 Chivay</v>
      </c>
      <c r="AL403" s="25">
        <v>3</v>
      </c>
      <c r="AM403" s="25">
        <v>4</v>
      </c>
      <c r="AN403" s="26">
        <f>Tabla2[[#This Row],[Minutos]]/60</f>
        <v>6.6666666666666666E-2</v>
      </c>
      <c r="AO403" s="27">
        <f>SUM(Tabla2[[#This Row],[Horas]],Tabla2[[#This Row],[Minutos a Horas]])</f>
        <v>3.0666666666666669</v>
      </c>
      <c r="AP403" s="49">
        <v>3</v>
      </c>
      <c r="AQ403" s="49">
        <v>45</v>
      </c>
      <c r="AR403" s="26">
        <f>Tabla2[[#This Row],[Minutos*]]/60</f>
        <v>0.75</v>
      </c>
      <c r="AS403" s="27">
        <f>SUM(Tabla2[[#This Row],[Horas*]],Tabla2[[#This Row],[Minutos a Horas*]])+(Tabla2[[#This Row],[Tiempo Total a Nivel Proncincial (Horas)]])</f>
        <v>6.8166666666666664</v>
      </c>
    </row>
    <row r="404" spans="2:45" x14ac:dyDescent="0.25">
      <c r="B404" s="91"/>
      <c r="C404" s="91"/>
      <c r="D404" s="91"/>
      <c r="E404" s="92"/>
      <c r="F404" s="92"/>
      <c r="G404" s="92"/>
      <c r="H404" s="98"/>
      <c r="I404" s="99"/>
      <c r="J404" s="99"/>
      <c r="K404" s="99"/>
      <c r="L404" s="98"/>
      <c r="M404" s="92"/>
      <c r="N404" s="100"/>
      <c r="O404" s="94"/>
      <c r="P404" s="102"/>
      <c r="Q404" s="100"/>
      <c r="R404" s="95"/>
      <c r="S404" s="95"/>
      <c r="T404" s="96"/>
      <c r="U404" s="101"/>
      <c r="V404" s="101"/>
      <c r="W404" s="96"/>
      <c r="X404" s="101"/>
      <c r="Y404" s="101"/>
      <c r="Z404" s="96"/>
      <c r="AA404" s="97"/>
      <c r="AB404" s="93"/>
      <c r="AD404" s="20" t="s">
        <v>2379</v>
      </c>
      <c r="AE404" s="10" t="s">
        <v>376</v>
      </c>
      <c r="AF404" s="20" t="s">
        <v>490</v>
      </c>
      <c r="AG404" s="10"/>
      <c r="AH404" s="22" t="str">
        <f t="shared" si="12"/>
        <v>Arequipa_05 Caylloma</v>
      </c>
      <c r="AI404" s="10" t="s">
        <v>604</v>
      </c>
      <c r="AJ404" s="20" t="s">
        <v>558</v>
      </c>
      <c r="AK404" s="22" t="str">
        <f t="shared" si="13"/>
        <v>Arequipa_05 Caylloma_02 Achoma</v>
      </c>
      <c r="AL404" s="25">
        <v>3</v>
      </c>
      <c r="AM404" s="25">
        <v>4</v>
      </c>
      <c r="AN404" s="26">
        <f>Tabla2[[#This Row],[Minutos]]/60</f>
        <v>6.6666666666666666E-2</v>
      </c>
      <c r="AO404" s="27">
        <f>SUM(Tabla2[[#This Row],[Horas]],Tabla2[[#This Row],[Minutos a Horas]])</f>
        <v>3.0666666666666669</v>
      </c>
      <c r="AP404" s="49">
        <v>4</v>
      </c>
      <c r="AQ404" s="49">
        <v>0</v>
      </c>
      <c r="AR404" s="26">
        <f>Tabla2[[#This Row],[Minutos*]]/60</f>
        <v>0</v>
      </c>
      <c r="AS404" s="27">
        <f>SUM(Tabla2[[#This Row],[Horas*]],Tabla2[[#This Row],[Minutos a Horas*]])+(Tabla2[[#This Row],[Tiempo Total a Nivel Proncincial (Horas)]])</f>
        <v>7.0666666666666664</v>
      </c>
    </row>
    <row r="405" spans="2:45" x14ac:dyDescent="0.25">
      <c r="B405" s="91"/>
      <c r="C405" s="91"/>
      <c r="D405" s="91"/>
      <c r="E405" s="92"/>
      <c r="F405" s="92"/>
      <c r="G405" s="92"/>
      <c r="H405" s="98"/>
      <c r="I405" s="99"/>
      <c r="J405" s="99"/>
      <c r="K405" s="99"/>
      <c r="L405" s="98"/>
      <c r="M405" s="92"/>
      <c r="N405" s="100"/>
      <c r="O405" s="94"/>
      <c r="P405" s="102"/>
      <c r="Q405" s="100"/>
      <c r="R405" s="95"/>
      <c r="S405" s="95"/>
      <c r="T405" s="96"/>
      <c r="U405" s="101"/>
      <c r="V405" s="101"/>
      <c r="W405" s="96"/>
      <c r="X405" s="101"/>
      <c r="Y405" s="101"/>
      <c r="Z405" s="96"/>
      <c r="AA405" s="97"/>
      <c r="AB405" s="93"/>
      <c r="AD405" s="20" t="s">
        <v>2379</v>
      </c>
      <c r="AE405" s="10" t="s">
        <v>376</v>
      </c>
      <c r="AF405" s="20" t="s">
        <v>490</v>
      </c>
      <c r="AG405" s="10"/>
      <c r="AH405" s="22" t="str">
        <f t="shared" si="12"/>
        <v>Arequipa_05 Caylloma</v>
      </c>
      <c r="AI405" s="10" t="s">
        <v>604</v>
      </c>
      <c r="AJ405" s="20" t="s">
        <v>559</v>
      </c>
      <c r="AK405" s="22" t="str">
        <f t="shared" si="13"/>
        <v>Arequipa_05 Caylloma_03 Cabanaconde</v>
      </c>
      <c r="AL405" s="25">
        <v>3</v>
      </c>
      <c r="AM405" s="25">
        <v>4</v>
      </c>
      <c r="AN405" s="26">
        <f>Tabla2[[#This Row],[Minutos]]/60</f>
        <v>6.6666666666666666E-2</v>
      </c>
      <c r="AO405" s="27">
        <f>SUM(Tabla2[[#This Row],[Horas]],Tabla2[[#This Row],[Minutos a Horas]])</f>
        <v>3.0666666666666669</v>
      </c>
      <c r="AP405" s="49">
        <v>4</v>
      </c>
      <c r="AQ405" s="49">
        <v>30</v>
      </c>
      <c r="AR405" s="26">
        <f>Tabla2[[#This Row],[Minutos*]]/60</f>
        <v>0.5</v>
      </c>
      <c r="AS405" s="27">
        <f>SUM(Tabla2[[#This Row],[Horas*]],Tabla2[[#This Row],[Minutos a Horas*]])+(Tabla2[[#This Row],[Tiempo Total a Nivel Proncincial (Horas)]])</f>
        <v>7.5666666666666664</v>
      </c>
    </row>
    <row r="406" spans="2:45" x14ac:dyDescent="0.25">
      <c r="B406" s="91"/>
      <c r="C406" s="91"/>
      <c r="D406" s="91"/>
      <c r="E406" s="92"/>
      <c r="F406" s="92"/>
      <c r="G406" s="92"/>
      <c r="H406" s="98"/>
      <c r="I406" s="99"/>
      <c r="J406" s="99"/>
      <c r="K406" s="99"/>
      <c r="L406" s="98"/>
      <c r="M406" s="92"/>
      <c r="N406" s="100"/>
      <c r="O406" s="94"/>
      <c r="P406" s="102"/>
      <c r="Q406" s="100"/>
      <c r="R406" s="95"/>
      <c r="S406" s="95"/>
      <c r="T406" s="96"/>
      <c r="U406" s="101"/>
      <c r="V406" s="101"/>
      <c r="W406" s="96"/>
      <c r="X406" s="101"/>
      <c r="Y406" s="101"/>
      <c r="Z406" s="96"/>
      <c r="AA406" s="97"/>
      <c r="AB406" s="93"/>
      <c r="AD406" s="20" t="s">
        <v>2379</v>
      </c>
      <c r="AE406" s="10" t="s">
        <v>376</v>
      </c>
      <c r="AF406" s="20" t="s">
        <v>490</v>
      </c>
      <c r="AG406" s="10"/>
      <c r="AH406" s="22" t="str">
        <f t="shared" si="12"/>
        <v>Arequipa_05 Caylloma</v>
      </c>
      <c r="AI406" s="10" t="s">
        <v>604</v>
      </c>
      <c r="AJ406" s="20" t="s">
        <v>560</v>
      </c>
      <c r="AK406" s="22" t="str">
        <f t="shared" si="13"/>
        <v>Arequipa_05 Caylloma_04 Callalli</v>
      </c>
      <c r="AL406" s="25">
        <v>3</v>
      </c>
      <c r="AM406" s="25">
        <v>4</v>
      </c>
      <c r="AN406" s="26">
        <f>Tabla2[[#This Row],[Minutos]]/60</f>
        <v>6.6666666666666666E-2</v>
      </c>
      <c r="AO406" s="27">
        <f>SUM(Tabla2[[#This Row],[Horas]],Tabla2[[#This Row],[Minutos a Horas]])</f>
        <v>3.0666666666666669</v>
      </c>
      <c r="AP406" s="49">
        <v>4</v>
      </c>
      <c r="AQ406" s="49">
        <v>30</v>
      </c>
      <c r="AR406" s="26">
        <f>Tabla2[[#This Row],[Minutos*]]/60</f>
        <v>0.5</v>
      </c>
      <c r="AS406" s="27">
        <f>SUM(Tabla2[[#This Row],[Horas*]],Tabla2[[#This Row],[Minutos a Horas*]])+(Tabla2[[#This Row],[Tiempo Total a Nivel Proncincial (Horas)]])</f>
        <v>7.5666666666666664</v>
      </c>
    </row>
    <row r="407" spans="2:45" x14ac:dyDescent="0.25">
      <c r="B407" s="91"/>
      <c r="C407" s="91"/>
      <c r="D407" s="91"/>
      <c r="E407" s="92"/>
      <c r="F407" s="92"/>
      <c r="G407" s="92"/>
      <c r="H407" s="98"/>
      <c r="I407" s="99"/>
      <c r="J407" s="99"/>
      <c r="K407" s="99"/>
      <c r="L407" s="98"/>
      <c r="M407" s="92"/>
      <c r="N407" s="100"/>
      <c r="O407" s="94"/>
      <c r="P407" s="102"/>
      <c r="Q407" s="100"/>
      <c r="R407" s="95"/>
      <c r="S407" s="95"/>
      <c r="T407" s="96"/>
      <c r="U407" s="101"/>
      <c r="V407" s="101"/>
      <c r="W407" s="96"/>
      <c r="X407" s="101"/>
      <c r="Y407" s="101"/>
      <c r="Z407" s="96"/>
      <c r="AA407" s="97"/>
      <c r="AB407" s="93"/>
      <c r="AD407" s="20" t="s">
        <v>2379</v>
      </c>
      <c r="AE407" s="10" t="s">
        <v>376</v>
      </c>
      <c r="AF407" s="20" t="s">
        <v>490</v>
      </c>
      <c r="AG407" s="10"/>
      <c r="AH407" s="22" t="str">
        <f t="shared" si="12"/>
        <v>Arequipa_05 Caylloma</v>
      </c>
      <c r="AI407" s="10" t="s">
        <v>604</v>
      </c>
      <c r="AJ407" s="20" t="s">
        <v>490</v>
      </c>
      <c r="AK407" s="22" t="str">
        <f t="shared" si="13"/>
        <v>Arequipa_05 Caylloma_05 Caylloma</v>
      </c>
      <c r="AL407" s="25">
        <v>3</v>
      </c>
      <c r="AM407" s="25">
        <v>4</v>
      </c>
      <c r="AN407" s="26">
        <f>Tabla2[[#This Row],[Minutos]]/60</f>
        <v>6.6666666666666666E-2</v>
      </c>
      <c r="AO407" s="27">
        <f>SUM(Tabla2[[#This Row],[Horas]],Tabla2[[#This Row],[Minutos a Horas]])</f>
        <v>3.0666666666666669</v>
      </c>
      <c r="AP407" s="49">
        <v>6</v>
      </c>
      <c r="AQ407" s="49">
        <v>0</v>
      </c>
      <c r="AR407" s="26">
        <f>Tabla2[[#This Row],[Minutos*]]/60</f>
        <v>0</v>
      </c>
      <c r="AS407" s="27">
        <f>SUM(Tabla2[[#This Row],[Horas*]],Tabla2[[#This Row],[Minutos a Horas*]])+(Tabla2[[#This Row],[Tiempo Total a Nivel Proncincial (Horas)]])</f>
        <v>9.0666666666666664</v>
      </c>
    </row>
    <row r="408" spans="2:45" x14ac:dyDescent="0.25">
      <c r="B408" s="91"/>
      <c r="C408" s="91"/>
      <c r="D408" s="91"/>
      <c r="E408" s="92"/>
      <c r="F408" s="92"/>
      <c r="G408" s="92"/>
      <c r="H408" s="98"/>
      <c r="I408" s="99"/>
      <c r="J408" s="99"/>
      <c r="K408" s="99"/>
      <c r="L408" s="98"/>
      <c r="M408" s="92"/>
      <c r="N408" s="100"/>
      <c r="O408" s="94"/>
      <c r="P408" s="102"/>
      <c r="Q408" s="100"/>
      <c r="R408" s="95"/>
      <c r="S408" s="95"/>
      <c r="T408" s="96"/>
      <c r="U408" s="101"/>
      <c r="V408" s="101"/>
      <c r="W408" s="96"/>
      <c r="X408" s="101"/>
      <c r="Y408" s="101"/>
      <c r="Z408" s="96"/>
      <c r="AA408" s="97"/>
      <c r="AB408" s="93"/>
      <c r="AD408" s="20" t="s">
        <v>2379</v>
      </c>
      <c r="AE408" s="10" t="s">
        <v>376</v>
      </c>
      <c r="AF408" s="20" t="s">
        <v>490</v>
      </c>
      <c r="AG408" s="10"/>
      <c r="AH408" s="22" t="str">
        <f t="shared" si="12"/>
        <v>Arequipa_05 Caylloma</v>
      </c>
      <c r="AI408" s="10" t="s">
        <v>604</v>
      </c>
      <c r="AJ408" s="20" t="s">
        <v>561</v>
      </c>
      <c r="AK408" s="22" t="str">
        <f t="shared" si="13"/>
        <v>Arequipa_05 Caylloma_06 Coporaque</v>
      </c>
      <c r="AL408" s="25">
        <v>3</v>
      </c>
      <c r="AM408" s="25">
        <v>4</v>
      </c>
      <c r="AN408" s="26">
        <f>Tabla2[[#This Row],[Minutos]]/60</f>
        <v>6.6666666666666666E-2</v>
      </c>
      <c r="AO408" s="27">
        <f>SUM(Tabla2[[#This Row],[Horas]],Tabla2[[#This Row],[Minutos a Horas]])</f>
        <v>3.0666666666666669</v>
      </c>
      <c r="AP408" s="49">
        <v>4</v>
      </c>
      <c r="AQ408" s="49">
        <v>0</v>
      </c>
      <c r="AR408" s="26">
        <f>Tabla2[[#This Row],[Minutos*]]/60</f>
        <v>0</v>
      </c>
      <c r="AS408" s="27">
        <f>SUM(Tabla2[[#This Row],[Horas*]],Tabla2[[#This Row],[Minutos a Horas*]])+(Tabla2[[#This Row],[Tiempo Total a Nivel Proncincial (Horas)]])</f>
        <v>7.0666666666666664</v>
      </c>
    </row>
    <row r="409" spans="2:45" x14ac:dyDescent="0.25">
      <c r="B409" s="91"/>
      <c r="C409" s="91"/>
      <c r="D409" s="91"/>
      <c r="E409" s="92"/>
      <c r="F409" s="92"/>
      <c r="G409" s="92"/>
      <c r="H409" s="98"/>
      <c r="I409" s="99"/>
      <c r="J409" s="99"/>
      <c r="K409" s="99"/>
      <c r="L409" s="98"/>
      <c r="M409" s="92"/>
      <c r="N409" s="100"/>
      <c r="O409" s="94"/>
      <c r="P409" s="102"/>
      <c r="Q409" s="100"/>
      <c r="R409" s="95"/>
      <c r="S409" s="95"/>
      <c r="T409" s="96"/>
      <c r="U409" s="101"/>
      <c r="V409" s="101"/>
      <c r="W409" s="96"/>
      <c r="X409" s="101"/>
      <c r="Y409" s="101"/>
      <c r="Z409" s="96"/>
      <c r="AA409" s="97"/>
      <c r="AB409" s="93"/>
      <c r="AD409" s="20" t="s">
        <v>2379</v>
      </c>
      <c r="AE409" s="10" t="s">
        <v>376</v>
      </c>
      <c r="AF409" s="20" t="s">
        <v>490</v>
      </c>
      <c r="AG409" s="10"/>
      <c r="AH409" s="22" t="str">
        <f t="shared" si="12"/>
        <v>Arequipa_05 Caylloma</v>
      </c>
      <c r="AI409" s="10" t="s">
        <v>604</v>
      </c>
      <c r="AJ409" s="20" t="s">
        <v>562</v>
      </c>
      <c r="AK409" s="22" t="str">
        <f t="shared" si="13"/>
        <v>Arequipa_05 Caylloma_07 Huambo</v>
      </c>
      <c r="AL409" s="25">
        <v>3</v>
      </c>
      <c r="AM409" s="25">
        <v>4</v>
      </c>
      <c r="AN409" s="26">
        <f>Tabla2[[#This Row],[Minutos]]/60</f>
        <v>6.6666666666666666E-2</v>
      </c>
      <c r="AO409" s="27">
        <f>SUM(Tabla2[[#This Row],[Horas]],Tabla2[[#This Row],[Minutos a Horas]])</f>
        <v>3.0666666666666669</v>
      </c>
      <c r="AP409" s="49">
        <v>3</v>
      </c>
      <c r="AQ409" s="49">
        <v>45</v>
      </c>
      <c r="AR409" s="26">
        <f>Tabla2[[#This Row],[Minutos*]]/60</f>
        <v>0.75</v>
      </c>
      <c r="AS409" s="27">
        <f>SUM(Tabla2[[#This Row],[Horas*]],Tabla2[[#This Row],[Minutos a Horas*]])+(Tabla2[[#This Row],[Tiempo Total a Nivel Proncincial (Horas)]])</f>
        <v>6.8166666666666664</v>
      </c>
    </row>
    <row r="410" spans="2:45" x14ac:dyDescent="0.25">
      <c r="B410" s="91"/>
      <c r="C410" s="91"/>
      <c r="D410" s="91"/>
      <c r="E410" s="92"/>
      <c r="F410" s="92"/>
      <c r="G410" s="92"/>
      <c r="H410" s="98"/>
      <c r="I410" s="99"/>
      <c r="J410" s="99"/>
      <c r="K410" s="99"/>
      <c r="L410" s="98"/>
      <c r="M410" s="92"/>
      <c r="N410" s="100"/>
      <c r="O410" s="94"/>
      <c r="P410" s="102"/>
      <c r="Q410" s="100"/>
      <c r="R410" s="95"/>
      <c r="S410" s="95"/>
      <c r="T410" s="96"/>
      <c r="U410" s="101"/>
      <c r="V410" s="101"/>
      <c r="W410" s="96"/>
      <c r="X410" s="101"/>
      <c r="Y410" s="101"/>
      <c r="Z410" s="96"/>
      <c r="AA410" s="97"/>
      <c r="AB410" s="93"/>
      <c r="AD410" s="20" t="s">
        <v>2379</v>
      </c>
      <c r="AE410" s="10" t="s">
        <v>376</v>
      </c>
      <c r="AF410" s="20" t="s">
        <v>490</v>
      </c>
      <c r="AG410" s="10"/>
      <c r="AH410" s="22" t="str">
        <f t="shared" si="12"/>
        <v>Arequipa_05 Caylloma</v>
      </c>
      <c r="AI410" s="10" t="s">
        <v>604</v>
      </c>
      <c r="AJ410" s="20" t="s">
        <v>563</v>
      </c>
      <c r="AK410" s="22" t="str">
        <f t="shared" si="13"/>
        <v>Arequipa_05 Caylloma_08 Huanca</v>
      </c>
      <c r="AL410" s="25">
        <v>3</v>
      </c>
      <c r="AM410" s="25">
        <v>4</v>
      </c>
      <c r="AN410" s="26">
        <f>Tabla2[[#This Row],[Minutos]]/60</f>
        <v>6.6666666666666666E-2</v>
      </c>
      <c r="AO410" s="27">
        <f>SUM(Tabla2[[#This Row],[Horas]],Tabla2[[#This Row],[Minutos a Horas]])</f>
        <v>3.0666666666666669</v>
      </c>
      <c r="AP410" s="49">
        <v>2</v>
      </c>
      <c r="AQ410" s="49">
        <v>30</v>
      </c>
      <c r="AR410" s="26">
        <f>Tabla2[[#This Row],[Minutos*]]/60</f>
        <v>0.5</v>
      </c>
      <c r="AS410" s="27">
        <f>SUM(Tabla2[[#This Row],[Horas*]],Tabla2[[#This Row],[Minutos a Horas*]])+(Tabla2[[#This Row],[Tiempo Total a Nivel Proncincial (Horas)]])</f>
        <v>5.5666666666666664</v>
      </c>
    </row>
    <row r="411" spans="2:45" x14ac:dyDescent="0.25">
      <c r="B411" s="91"/>
      <c r="C411" s="91"/>
      <c r="D411" s="91"/>
      <c r="E411" s="92"/>
      <c r="F411" s="92"/>
      <c r="G411" s="92"/>
      <c r="H411" s="98"/>
      <c r="I411" s="99"/>
      <c r="J411" s="99"/>
      <c r="K411" s="99"/>
      <c r="L411" s="98"/>
      <c r="M411" s="92"/>
      <c r="N411" s="100"/>
      <c r="O411" s="94"/>
      <c r="P411" s="102"/>
      <c r="Q411" s="100"/>
      <c r="R411" s="95"/>
      <c r="S411" s="95"/>
      <c r="T411" s="96"/>
      <c r="U411" s="101"/>
      <c r="V411" s="101"/>
      <c r="W411" s="96"/>
      <c r="X411" s="101"/>
      <c r="Y411" s="101"/>
      <c r="Z411" s="96"/>
      <c r="AA411" s="97"/>
      <c r="AB411" s="93"/>
      <c r="AD411" s="20" t="s">
        <v>2379</v>
      </c>
      <c r="AE411" s="10" t="s">
        <v>376</v>
      </c>
      <c r="AF411" s="20" t="s">
        <v>490</v>
      </c>
      <c r="AG411" s="10"/>
      <c r="AH411" s="22" t="str">
        <f t="shared" si="12"/>
        <v>Arequipa_05 Caylloma</v>
      </c>
      <c r="AI411" s="10" t="s">
        <v>604</v>
      </c>
      <c r="AJ411" s="20" t="s">
        <v>564</v>
      </c>
      <c r="AK411" s="22" t="str">
        <f t="shared" si="13"/>
        <v>Arequipa_05 Caylloma_09 Ichupampa</v>
      </c>
      <c r="AL411" s="25">
        <v>3</v>
      </c>
      <c r="AM411" s="25">
        <v>4</v>
      </c>
      <c r="AN411" s="26">
        <f>Tabla2[[#This Row],[Minutos]]/60</f>
        <v>6.6666666666666666E-2</v>
      </c>
      <c r="AO411" s="27">
        <f>SUM(Tabla2[[#This Row],[Horas]],Tabla2[[#This Row],[Minutos a Horas]])</f>
        <v>3.0666666666666669</v>
      </c>
      <c r="AP411" s="49">
        <v>4</v>
      </c>
      <c r="AQ411" s="49">
        <v>15</v>
      </c>
      <c r="AR411" s="26">
        <f>Tabla2[[#This Row],[Minutos*]]/60</f>
        <v>0.25</v>
      </c>
      <c r="AS411" s="27">
        <f>SUM(Tabla2[[#This Row],[Horas*]],Tabla2[[#This Row],[Minutos a Horas*]])+(Tabla2[[#This Row],[Tiempo Total a Nivel Proncincial (Horas)]])</f>
        <v>7.3166666666666664</v>
      </c>
    </row>
    <row r="412" spans="2:45" x14ac:dyDescent="0.25">
      <c r="B412" s="91"/>
      <c r="C412" s="91"/>
      <c r="D412" s="91"/>
      <c r="E412" s="92"/>
      <c r="F412" s="92"/>
      <c r="G412" s="92"/>
      <c r="H412" s="98"/>
      <c r="I412" s="99"/>
      <c r="J412" s="99"/>
      <c r="K412" s="99"/>
      <c r="L412" s="98"/>
      <c r="M412" s="92"/>
      <c r="N412" s="100"/>
      <c r="O412" s="94"/>
      <c r="P412" s="102"/>
      <c r="Q412" s="100"/>
      <c r="R412" s="95"/>
      <c r="S412" s="95"/>
      <c r="T412" s="96"/>
      <c r="U412" s="101"/>
      <c r="V412" s="101"/>
      <c r="W412" s="96"/>
      <c r="X412" s="101"/>
      <c r="Y412" s="101"/>
      <c r="Z412" s="96"/>
      <c r="AA412" s="97"/>
      <c r="AB412" s="93"/>
      <c r="AD412" s="20" t="s">
        <v>2379</v>
      </c>
      <c r="AE412" s="10" t="s">
        <v>376</v>
      </c>
      <c r="AF412" s="20" t="s">
        <v>490</v>
      </c>
      <c r="AG412" s="10"/>
      <c r="AH412" s="22" t="str">
        <f t="shared" si="12"/>
        <v>Arequipa_05 Caylloma</v>
      </c>
      <c r="AI412" s="10" t="s">
        <v>604</v>
      </c>
      <c r="AJ412" s="20" t="s">
        <v>565</v>
      </c>
      <c r="AK412" s="22" t="str">
        <f t="shared" si="13"/>
        <v>Arequipa_05 Caylloma_10 Lari</v>
      </c>
      <c r="AL412" s="25">
        <v>3</v>
      </c>
      <c r="AM412" s="25">
        <v>4</v>
      </c>
      <c r="AN412" s="26">
        <f>Tabla2[[#This Row],[Minutos]]/60</f>
        <v>6.6666666666666666E-2</v>
      </c>
      <c r="AO412" s="27">
        <f>SUM(Tabla2[[#This Row],[Horas]],Tabla2[[#This Row],[Minutos a Horas]])</f>
        <v>3.0666666666666669</v>
      </c>
      <c r="AP412" s="49">
        <v>4</v>
      </c>
      <c r="AQ412" s="49">
        <v>45</v>
      </c>
      <c r="AR412" s="26">
        <f>Tabla2[[#This Row],[Minutos*]]/60</f>
        <v>0.75</v>
      </c>
      <c r="AS412" s="27">
        <f>SUM(Tabla2[[#This Row],[Horas*]],Tabla2[[#This Row],[Minutos a Horas*]])+(Tabla2[[#This Row],[Tiempo Total a Nivel Proncincial (Horas)]])</f>
        <v>7.8166666666666664</v>
      </c>
    </row>
    <row r="413" spans="2:45" x14ac:dyDescent="0.25">
      <c r="B413" s="91"/>
      <c r="C413" s="91"/>
      <c r="D413" s="91"/>
      <c r="E413" s="92"/>
      <c r="F413" s="92"/>
      <c r="G413" s="92"/>
      <c r="H413" s="98"/>
      <c r="I413" s="99"/>
      <c r="J413" s="99"/>
      <c r="K413" s="99"/>
      <c r="L413" s="98"/>
      <c r="M413" s="92"/>
      <c r="N413" s="100"/>
      <c r="O413" s="94"/>
      <c r="P413" s="102"/>
      <c r="Q413" s="100"/>
      <c r="R413" s="95"/>
      <c r="S413" s="95"/>
      <c r="T413" s="96"/>
      <c r="U413" s="101"/>
      <c r="V413" s="101"/>
      <c r="W413" s="96"/>
      <c r="X413" s="101"/>
      <c r="Y413" s="101"/>
      <c r="Z413" s="96"/>
      <c r="AA413" s="97"/>
      <c r="AB413" s="93"/>
      <c r="AD413" s="20" t="s">
        <v>2379</v>
      </c>
      <c r="AE413" s="10" t="s">
        <v>376</v>
      </c>
      <c r="AF413" s="20" t="s">
        <v>490</v>
      </c>
      <c r="AG413" s="10"/>
      <c r="AH413" s="22" t="str">
        <f t="shared" si="12"/>
        <v>Arequipa_05 Caylloma</v>
      </c>
      <c r="AI413" s="10" t="s">
        <v>604</v>
      </c>
      <c r="AJ413" s="20" t="s">
        <v>566</v>
      </c>
      <c r="AK413" s="22" t="str">
        <f t="shared" si="13"/>
        <v>Arequipa_05 Caylloma_11 Lluta</v>
      </c>
      <c r="AL413" s="25">
        <v>3</v>
      </c>
      <c r="AM413" s="25">
        <v>4</v>
      </c>
      <c r="AN413" s="26">
        <f>Tabla2[[#This Row],[Minutos]]/60</f>
        <v>6.6666666666666666E-2</v>
      </c>
      <c r="AO413" s="27">
        <f>SUM(Tabla2[[#This Row],[Horas]],Tabla2[[#This Row],[Minutos a Horas]])</f>
        <v>3.0666666666666669</v>
      </c>
      <c r="AP413" s="49">
        <v>3</v>
      </c>
      <c r="AQ413" s="49">
        <v>45</v>
      </c>
      <c r="AR413" s="26">
        <f>Tabla2[[#This Row],[Minutos*]]/60</f>
        <v>0.75</v>
      </c>
      <c r="AS413" s="27">
        <f>SUM(Tabla2[[#This Row],[Horas*]],Tabla2[[#This Row],[Minutos a Horas*]])+(Tabla2[[#This Row],[Tiempo Total a Nivel Proncincial (Horas)]])</f>
        <v>6.8166666666666664</v>
      </c>
    </row>
    <row r="414" spans="2:45" x14ac:dyDescent="0.25">
      <c r="B414" s="91"/>
      <c r="C414" s="91"/>
      <c r="D414" s="91"/>
      <c r="E414" s="92"/>
      <c r="F414" s="92"/>
      <c r="G414" s="92"/>
      <c r="H414" s="98"/>
      <c r="I414" s="99"/>
      <c r="J414" s="99"/>
      <c r="K414" s="99"/>
      <c r="L414" s="98"/>
      <c r="M414" s="92"/>
      <c r="N414" s="100"/>
      <c r="O414" s="94"/>
      <c r="P414" s="102"/>
      <c r="Q414" s="100"/>
      <c r="R414" s="95"/>
      <c r="S414" s="95"/>
      <c r="T414" s="96"/>
      <c r="U414" s="101"/>
      <c r="V414" s="101"/>
      <c r="W414" s="96"/>
      <c r="X414" s="101"/>
      <c r="Y414" s="101"/>
      <c r="Z414" s="96"/>
      <c r="AA414" s="97"/>
      <c r="AB414" s="93"/>
      <c r="AD414" s="20" t="s">
        <v>2379</v>
      </c>
      <c r="AE414" s="10" t="s">
        <v>376</v>
      </c>
      <c r="AF414" s="20" t="s">
        <v>490</v>
      </c>
      <c r="AG414" s="10"/>
      <c r="AH414" s="22" t="str">
        <f t="shared" si="12"/>
        <v>Arequipa_05 Caylloma</v>
      </c>
      <c r="AI414" s="10" t="s">
        <v>604</v>
      </c>
      <c r="AJ414" s="20" t="s">
        <v>567</v>
      </c>
      <c r="AK414" s="22" t="str">
        <f t="shared" si="13"/>
        <v>Arequipa_05 Caylloma_12 Maca</v>
      </c>
      <c r="AL414" s="25">
        <v>3</v>
      </c>
      <c r="AM414" s="25">
        <v>4</v>
      </c>
      <c r="AN414" s="26">
        <f>Tabla2[[#This Row],[Minutos]]/60</f>
        <v>6.6666666666666666E-2</v>
      </c>
      <c r="AO414" s="27">
        <f>SUM(Tabla2[[#This Row],[Horas]],Tabla2[[#This Row],[Minutos a Horas]])</f>
        <v>3.0666666666666669</v>
      </c>
      <c r="AP414" s="49">
        <v>4</v>
      </c>
      <c r="AQ414" s="49">
        <v>15</v>
      </c>
      <c r="AR414" s="26">
        <f>Tabla2[[#This Row],[Minutos*]]/60</f>
        <v>0.25</v>
      </c>
      <c r="AS414" s="27">
        <f>SUM(Tabla2[[#This Row],[Horas*]],Tabla2[[#This Row],[Minutos a Horas*]])+(Tabla2[[#This Row],[Tiempo Total a Nivel Proncincial (Horas)]])</f>
        <v>7.3166666666666664</v>
      </c>
    </row>
    <row r="415" spans="2:45" x14ac:dyDescent="0.25">
      <c r="B415" s="91"/>
      <c r="C415" s="91"/>
      <c r="D415" s="91"/>
      <c r="E415" s="92"/>
      <c r="F415" s="92"/>
      <c r="G415" s="92"/>
      <c r="H415" s="98"/>
      <c r="I415" s="99"/>
      <c r="J415" s="99"/>
      <c r="K415" s="99"/>
      <c r="L415" s="98"/>
      <c r="M415" s="92"/>
      <c r="N415" s="100"/>
      <c r="O415" s="94"/>
      <c r="P415" s="102"/>
      <c r="Q415" s="100"/>
      <c r="R415" s="95"/>
      <c r="S415" s="95"/>
      <c r="T415" s="96"/>
      <c r="U415" s="101"/>
      <c r="V415" s="101"/>
      <c r="W415" s="96"/>
      <c r="X415" s="101"/>
      <c r="Y415" s="101"/>
      <c r="Z415" s="96"/>
      <c r="AA415" s="97"/>
      <c r="AB415" s="93"/>
      <c r="AD415" s="20" t="s">
        <v>2379</v>
      </c>
      <c r="AE415" s="10" t="s">
        <v>376</v>
      </c>
      <c r="AF415" s="20" t="s">
        <v>490</v>
      </c>
      <c r="AG415" s="10"/>
      <c r="AH415" s="22" t="str">
        <f t="shared" si="12"/>
        <v>Arequipa_05 Caylloma</v>
      </c>
      <c r="AI415" s="10" t="s">
        <v>604</v>
      </c>
      <c r="AJ415" s="20" t="s">
        <v>568</v>
      </c>
      <c r="AK415" s="22" t="str">
        <f t="shared" si="13"/>
        <v>Arequipa_05 Caylloma_13 Madrigal</v>
      </c>
      <c r="AL415" s="25">
        <v>3</v>
      </c>
      <c r="AM415" s="25">
        <v>4</v>
      </c>
      <c r="AN415" s="26">
        <f>Tabla2[[#This Row],[Minutos]]/60</f>
        <v>6.6666666666666666E-2</v>
      </c>
      <c r="AO415" s="27">
        <f>SUM(Tabla2[[#This Row],[Horas]],Tabla2[[#This Row],[Minutos a Horas]])</f>
        <v>3.0666666666666669</v>
      </c>
      <c r="AP415" s="49">
        <v>5</v>
      </c>
      <c r="AQ415" s="49">
        <v>0</v>
      </c>
      <c r="AR415" s="26">
        <f>Tabla2[[#This Row],[Minutos*]]/60</f>
        <v>0</v>
      </c>
      <c r="AS415" s="27">
        <f>SUM(Tabla2[[#This Row],[Horas*]],Tabla2[[#This Row],[Minutos a Horas*]])+(Tabla2[[#This Row],[Tiempo Total a Nivel Proncincial (Horas)]])</f>
        <v>8.0666666666666664</v>
      </c>
    </row>
    <row r="416" spans="2:45" x14ac:dyDescent="0.25">
      <c r="B416" s="91"/>
      <c r="C416" s="91"/>
      <c r="D416" s="91"/>
      <c r="E416" s="92"/>
      <c r="F416" s="92"/>
      <c r="G416" s="92"/>
      <c r="H416" s="98"/>
      <c r="I416" s="99"/>
      <c r="J416" s="99"/>
      <c r="K416" s="99"/>
      <c r="L416" s="98"/>
      <c r="M416" s="92"/>
      <c r="N416" s="100"/>
      <c r="O416" s="94"/>
      <c r="P416" s="102"/>
      <c r="Q416" s="100"/>
      <c r="R416" s="95"/>
      <c r="S416" s="95"/>
      <c r="T416" s="96"/>
      <c r="U416" s="101"/>
      <c r="V416" s="101"/>
      <c r="W416" s="96"/>
      <c r="X416" s="101"/>
      <c r="Y416" s="101"/>
      <c r="Z416" s="96"/>
      <c r="AA416" s="97"/>
      <c r="AB416" s="93"/>
      <c r="AD416" s="20" t="s">
        <v>2379</v>
      </c>
      <c r="AE416" s="10" t="s">
        <v>376</v>
      </c>
      <c r="AF416" s="20" t="s">
        <v>490</v>
      </c>
      <c r="AG416" s="10"/>
      <c r="AH416" s="22" t="str">
        <f t="shared" si="12"/>
        <v>Arequipa_05 Caylloma</v>
      </c>
      <c r="AI416" s="10" t="s">
        <v>604</v>
      </c>
      <c r="AJ416" s="20" t="s">
        <v>569</v>
      </c>
      <c r="AK416" s="22" t="str">
        <f t="shared" si="13"/>
        <v>Arequipa_05 Caylloma_14 San Antonio de Chuca</v>
      </c>
      <c r="AL416" s="25">
        <v>3</v>
      </c>
      <c r="AM416" s="25">
        <v>4</v>
      </c>
      <c r="AN416" s="26">
        <f>Tabla2[[#This Row],[Minutos]]/60</f>
        <v>6.6666666666666666E-2</v>
      </c>
      <c r="AO416" s="27">
        <f>SUM(Tabla2[[#This Row],[Horas]],Tabla2[[#This Row],[Minutos a Horas]])</f>
        <v>3.0666666666666669</v>
      </c>
      <c r="AP416" s="49">
        <v>2</v>
      </c>
      <c r="AQ416" s="49">
        <v>30</v>
      </c>
      <c r="AR416" s="26">
        <f>Tabla2[[#This Row],[Minutos*]]/60</f>
        <v>0.5</v>
      </c>
      <c r="AS416" s="27">
        <f>SUM(Tabla2[[#This Row],[Horas*]],Tabla2[[#This Row],[Minutos a Horas*]])+(Tabla2[[#This Row],[Tiempo Total a Nivel Proncincial (Horas)]])</f>
        <v>5.5666666666666664</v>
      </c>
    </row>
    <row r="417" spans="2:45" x14ac:dyDescent="0.25">
      <c r="B417" s="91"/>
      <c r="C417" s="91"/>
      <c r="D417" s="91"/>
      <c r="E417" s="92"/>
      <c r="F417" s="92"/>
      <c r="G417" s="92"/>
      <c r="H417" s="98"/>
      <c r="I417" s="99"/>
      <c r="J417" s="99"/>
      <c r="K417" s="99"/>
      <c r="L417" s="98"/>
      <c r="M417" s="92"/>
      <c r="N417" s="100"/>
      <c r="O417" s="94"/>
      <c r="P417" s="102"/>
      <c r="Q417" s="100"/>
      <c r="R417" s="95"/>
      <c r="S417" s="95"/>
      <c r="T417" s="96"/>
      <c r="U417" s="101"/>
      <c r="V417" s="101"/>
      <c r="W417" s="96"/>
      <c r="X417" s="101"/>
      <c r="Y417" s="101"/>
      <c r="Z417" s="96"/>
      <c r="AA417" s="97"/>
      <c r="AB417" s="93"/>
      <c r="AD417" s="20" t="s">
        <v>2379</v>
      </c>
      <c r="AE417" s="10" t="s">
        <v>376</v>
      </c>
      <c r="AF417" s="20" t="s">
        <v>490</v>
      </c>
      <c r="AG417" s="10"/>
      <c r="AH417" s="22" t="str">
        <f t="shared" si="12"/>
        <v>Arequipa_05 Caylloma</v>
      </c>
      <c r="AI417" s="10" t="s">
        <v>604</v>
      </c>
      <c r="AJ417" s="20" t="s">
        <v>570</v>
      </c>
      <c r="AK417" s="22" t="str">
        <f t="shared" si="13"/>
        <v>Arequipa_05 Caylloma_15 Sibayo</v>
      </c>
      <c r="AL417" s="25">
        <v>3</v>
      </c>
      <c r="AM417" s="25">
        <v>4</v>
      </c>
      <c r="AN417" s="26">
        <f>Tabla2[[#This Row],[Minutos]]/60</f>
        <v>6.6666666666666666E-2</v>
      </c>
      <c r="AO417" s="27">
        <f>SUM(Tabla2[[#This Row],[Horas]],Tabla2[[#This Row],[Minutos a Horas]])</f>
        <v>3.0666666666666669</v>
      </c>
      <c r="AP417" s="49">
        <v>4</v>
      </c>
      <c r="AQ417" s="49">
        <v>30</v>
      </c>
      <c r="AR417" s="26">
        <f>Tabla2[[#This Row],[Minutos*]]/60</f>
        <v>0.5</v>
      </c>
      <c r="AS417" s="27">
        <f>SUM(Tabla2[[#This Row],[Horas*]],Tabla2[[#This Row],[Minutos a Horas*]])+(Tabla2[[#This Row],[Tiempo Total a Nivel Proncincial (Horas)]])</f>
        <v>7.5666666666666664</v>
      </c>
    </row>
    <row r="418" spans="2:45" x14ac:dyDescent="0.25">
      <c r="B418" s="91"/>
      <c r="C418" s="91"/>
      <c r="D418" s="91"/>
      <c r="E418" s="92"/>
      <c r="F418" s="92"/>
      <c r="G418" s="92"/>
      <c r="H418" s="98"/>
      <c r="I418" s="99"/>
      <c r="J418" s="99"/>
      <c r="K418" s="99"/>
      <c r="L418" s="98"/>
      <c r="M418" s="92"/>
      <c r="N418" s="100"/>
      <c r="O418" s="94"/>
      <c r="P418" s="102"/>
      <c r="Q418" s="100"/>
      <c r="R418" s="95"/>
      <c r="S418" s="95"/>
      <c r="T418" s="96"/>
      <c r="U418" s="101"/>
      <c r="V418" s="101"/>
      <c r="W418" s="96"/>
      <c r="X418" s="101"/>
      <c r="Y418" s="101"/>
      <c r="Z418" s="96"/>
      <c r="AA418" s="97"/>
      <c r="AB418" s="93"/>
      <c r="AD418" s="20" t="s">
        <v>2379</v>
      </c>
      <c r="AE418" s="10" t="s">
        <v>376</v>
      </c>
      <c r="AF418" s="20" t="s">
        <v>490</v>
      </c>
      <c r="AG418" s="10"/>
      <c r="AH418" s="22" t="str">
        <f t="shared" si="12"/>
        <v>Arequipa_05 Caylloma</v>
      </c>
      <c r="AI418" s="10" t="s">
        <v>604</v>
      </c>
      <c r="AJ418" s="20" t="s">
        <v>571</v>
      </c>
      <c r="AK418" s="22" t="str">
        <f t="shared" si="13"/>
        <v>Arequipa_05 Caylloma_16 Tapay</v>
      </c>
      <c r="AL418" s="25">
        <v>3</v>
      </c>
      <c r="AM418" s="25">
        <v>4</v>
      </c>
      <c r="AN418" s="26">
        <f>Tabla2[[#This Row],[Minutos]]/60</f>
        <v>6.6666666666666666E-2</v>
      </c>
      <c r="AO418" s="27">
        <f>SUM(Tabla2[[#This Row],[Horas]],Tabla2[[#This Row],[Minutos a Horas]])</f>
        <v>3.0666666666666669</v>
      </c>
      <c r="AP418" s="49">
        <v>4</v>
      </c>
      <c r="AQ418" s="49">
        <v>45</v>
      </c>
      <c r="AR418" s="26">
        <f>Tabla2[[#This Row],[Minutos*]]/60</f>
        <v>0.75</v>
      </c>
      <c r="AS418" s="27">
        <f>SUM(Tabla2[[#This Row],[Horas*]],Tabla2[[#This Row],[Minutos a Horas*]])+(Tabla2[[#This Row],[Tiempo Total a Nivel Proncincial (Horas)]])</f>
        <v>7.8166666666666664</v>
      </c>
    </row>
    <row r="419" spans="2:45" x14ac:dyDescent="0.25">
      <c r="B419" s="91"/>
      <c r="C419" s="91"/>
      <c r="D419" s="91"/>
      <c r="E419" s="92"/>
      <c r="F419" s="92"/>
      <c r="G419" s="92"/>
      <c r="H419" s="98"/>
      <c r="I419" s="99"/>
      <c r="J419" s="99"/>
      <c r="K419" s="99"/>
      <c r="L419" s="98"/>
      <c r="M419" s="92"/>
      <c r="N419" s="100"/>
      <c r="O419" s="94"/>
      <c r="P419" s="102"/>
      <c r="Q419" s="100"/>
      <c r="R419" s="95"/>
      <c r="S419" s="95"/>
      <c r="T419" s="96"/>
      <c r="U419" s="101"/>
      <c r="V419" s="101"/>
      <c r="W419" s="96"/>
      <c r="X419" s="101"/>
      <c r="Y419" s="101"/>
      <c r="Z419" s="96"/>
      <c r="AA419" s="97"/>
      <c r="AB419" s="93"/>
      <c r="AD419" s="20" t="s">
        <v>2379</v>
      </c>
      <c r="AE419" s="10" t="s">
        <v>376</v>
      </c>
      <c r="AF419" s="20" t="s">
        <v>490</v>
      </c>
      <c r="AG419" s="10"/>
      <c r="AH419" s="22" t="str">
        <f t="shared" si="12"/>
        <v>Arequipa_05 Caylloma</v>
      </c>
      <c r="AI419" s="10" t="s">
        <v>604</v>
      </c>
      <c r="AJ419" s="20" t="s">
        <v>572</v>
      </c>
      <c r="AK419" s="22" t="str">
        <f t="shared" si="13"/>
        <v>Arequipa_05 Caylloma_17 Tisco</v>
      </c>
      <c r="AL419" s="25">
        <v>3</v>
      </c>
      <c r="AM419" s="25">
        <v>4</v>
      </c>
      <c r="AN419" s="26">
        <f>Tabla2[[#This Row],[Minutos]]/60</f>
        <v>6.6666666666666666E-2</v>
      </c>
      <c r="AO419" s="27">
        <f>SUM(Tabla2[[#This Row],[Horas]],Tabla2[[#This Row],[Minutos a Horas]])</f>
        <v>3.0666666666666669</v>
      </c>
      <c r="AP419" s="49">
        <v>5</v>
      </c>
      <c r="AQ419" s="49">
        <v>30</v>
      </c>
      <c r="AR419" s="26">
        <f>Tabla2[[#This Row],[Minutos*]]/60</f>
        <v>0.5</v>
      </c>
      <c r="AS419" s="27">
        <f>SUM(Tabla2[[#This Row],[Horas*]],Tabla2[[#This Row],[Minutos a Horas*]])+(Tabla2[[#This Row],[Tiempo Total a Nivel Proncincial (Horas)]])</f>
        <v>8.5666666666666664</v>
      </c>
    </row>
    <row r="420" spans="2:45" x14ac:dyDescent="0.25">
      <c r="B420" s="91"/>
      <c r="C420" s="91"/>
      <c r="D420" s="91"/>
      <c r="E420" s="92"/>
      <c r="F420" s="92"/>
      <c r="G420" s="92"/>
      <c r="H420" s="98"/>
      <c r="I420" s="99"/>
      <c r="J420" s="99"/>
      <c r="K420" s="99"/>
      <c r="L420" s="98"/>
      <c r="M420" s="92"/>
      <c r="N420" s="100"/>
      <c r="O420" s="94"/>
      <c r="P420" s="102"/>
      <c r="Q420" s="100"/>
      <c r="R420" s="95"/>
      <c r="S420" s="95"/>
      <c r="T420" s="96"/>
      <c r="U420" s="101"/>
      <c r="V420" s="101"/>
      <c r="W420" s="96"/>
      <c r="X420" s="101"/>
      <c r="Y420" s="101"/>
      <c r="Z420" s="96"/>
      <c r="AA420" s="97"/>
      <c r="AB420" s="93"/>
      <c r="AD420" s="20" t="s">
        <v>2379</v>
      </c>
      <c r="AE420" s="10" t="s">
        <v>376</v>
      </c>
      <c r="AF420" s="20" t="s">
        <v>490</v>
      </c>
      <c r="AG420" s="10"/>
      <c r="AH420" s="22" t="str">
        <f t="shared" si="12"/>
        <v>Arequipa_05 Caylloma</v>
      </c>
      <c r="AI420" s="10" t="s">
        <v>604</v>
      </c>
      <c r="AJ420" s="20" t="s">
        <v>573</v>
      </c>
      <c r="AK420" s="22" t="str">
        <f t="shared" si="13"/>
        <v>Arequipa_05 Caylloma_18 Tuti</v>
      </c>
      <c r="AL420" s="25">
        <v>3</v>
      </c>
      <c r="AM420" s="25">
        <v>4</v>
      </c>
      <c r="AN420" s="26">
        <f>Tabla2[[#This Row],[Minutos]]/60</f>
        <v>6.6666666666666666E-2</v>
      </c>
      <c r="AO420" s="27">
        <f>SUM(Tabla2[[#This Row],[Horas]],Tabla2[[#This Row],[Minutos a Horas]])</f>
        <v>3.0666666666666669</v>
      </c>
      <c r="AP420" s="49">
        <v>4</v>
      </c>
      <c r="AQ420" s="49">
        <v>40</v>
      </c>
      <c r="AR420" s="26">
        <f>Tabla2[[#This Row],[Minutos*]]/60</f>
        <v>0.66666666666666663</v>
      </c>
      <c r="AS420" s="27">
        <f>SUM(Tabla2[[#This Row],[Horas*]],Tabla2[[#This Row],[Minutos a Horas*]])+(Tabla2[[#This Row],[Tiempo Total a Nivel Proncincial (Horas)]])</f>
        <v>7.7333333333333343</v>
      </c>
    </row>
    <row r="421" spans="2:45" x14ac:dyDescent="0.25">
      <c r="B421" s="91"/>
      <c r="C421" s="91"/>
      <c r="D421" s="91"/>
      <c r="E421" s="92"/>
      <c r="F421" s="92"/>
      <c r="G421" s="92"/>
      <c r="H421" s="98"/>
      <c r="I421" s="99"/>
      <c r="J421" s="99"/>
      <c r="K421" s="99"/>
      <c r="L421" s="98"/>
      <c r="M421" s="92"/>
      <c r="N421" s="100"/>
      <c r="O421" s="94"/>
      <c r="P421" s="102"/>
      <c r="Q421" s="100"/>
      <c r="R421" s="95"/>
      <c r="S421" s="95"/>
      <c r="T421" s="96"/>
      <c r="U421" s="101"/>
      <c r="V421" s="101"/>
      <c r="W421" s="96"/>
      <c r="X421" s="101"/>
      <c r="Y421" s="101"/>
      <c r="Z421" s="96"/>
      <c r="AA421" s="97"/>
      <c r="AB421" s="93"/>
      <c r="AD421" s="20" t="s">
        <v>2379</v>
      </c>
      <c r="AE421" s="10" t="s">
        <v>376</v>
      </c>
      <c r="AF421" s="20" t="s">
        <v>490</v>
      </c>
      <c r="AG421" s="10"/>
      <c r="AH421" s="22" t="str">
        <f t="shared" si="12"/>
        <v>Arequipa_05 Caylloma</v>
      </c>
      <c r="AI421" s="10" t="s">
        <v>604</v>
      </c>
      <c r="AJ421" s="20" t="s">
        <v>574</v>
      </c>
      <c r="AK421" s="22" t="str">
        <f t="shared" si="13"/>
        <v>Arequipa_05 Caylloma_19 Yanque</v>
      </c>
      <c r="AL421" s="25">
        <v>3</v>
      </c>
      <c r="AM421" s="25">
        <v>4</v>
      </c>
      <c r="AN421" s="26">
        <f>Tabla2[[#This Row],[Minutos]]/60</f>
        <v>6.6666666666666666E-2</v>
      </c>
      <c r="AO421" s="27">
        <f>SUM(Tabla2[[#This Row],[Horas]],Tabla2[[#This Row],[Minutos a Horas]])</f>
        <v>3.0666666666666669</v>
      </c>
      <c r="AP421" s="49">
        <v>4</v>
      </c>
      <c r="AQ421" s="49">
        <v>0</v>
      </c>
      <c r="AR421" s="26">
        <f>Tabla2[[#This Row],[Minutos*]]/60</f>
        <v>0</v>
      </c>
      <c r="AS421" s="27">
        <f>SUM(Tabla2[[#This Row],[Horas*]],Tabla2[[#This Row],[Minutos a Horas*]])+(Tabla2[[#This Row],[Tiempo Total a Nivel Proncincial (Horas)]])</f>
        <v>7.0666666666666664</v>
      </c>
    </row>
    <row r="422" spans="2:45" x14ac:dyDescent="0.25">
      <c r="B422" s="91"/>
      <c r="C422" s="91"/>
      <c r="D422" s="91"/>
      <c r="E422" s="92"/>
      <c r="F422" s="92"/>
      <c r="G422" s="92"/>
      <c r="H422" s="98"/>
      <c r="I422" s="99"/>
      <c r="J422" s="99"/>
      <c r="K422" s="99"/>
      <c r="L422" s="98"/>
      <c r="M422" s="92"/>
      <c r="N422" s="100"/>
      <c r="O422" s="94"/>
      <c r="P422" s="102"/>
      <c r="Q422" s="100"/>
      <c r="R422" s="95"/>
      <c r="S422" s="95"/>
      <c r="T422" s="96"/>
      <c r="U422" s="101"/>
      <c r="V422" s="101"/>
      <c r="W422" s="96"/>
      <c r="X422" s="101"/>
      <c r="Y422" s="101"/>
      <c r="Z422" s="96"/>
      <c r="AA422" s="97"/>
      <c r="AB422" s="93"/>
      <c r="AD422" s="20" t="s">
        <v>2379</v>
      </c>
      <c r="AE422" s="10" t="s">
        <v>376</v>
      </c>
      <c r="AF422" s="20" t="s">
        <v>490</v>
      </c>
      <c r="AG422" s="10"/>
      <c r="AH422" s="22" t="str">
        <f t="shared" si="12"/>
        <v>Arequipa_05 Caylloma</v>
      </c>
      <c r="AI422" s="10" t="s">
        <v>604</v>
      </c>
      <c r="AJ422" s="20" t="s">
        <v>575</v>
      </c>
      <c r="AK422" s="22" t="str">
        <f t="shared" si="13"/>
        <v>Arequipa_05 Caylloma_20 Majes</v>
      </c>
      <c r="AL422" s="25">
        <v>3</v>
      </c>
      <c r="AM422" s="25">
        <v>4</v>
      </c>
      <c r="AN422" s="26">
        <f>Tabla2[[#This Row],[Minutos]]/60</f>
        <v>6.6666666666666666E-2</v>
      </c>
      <c r="AO422" s="27">
        <f>SUM(Tabla2[[#This Row],[Horas]],Tabla2[[#This Row],[Minutos a Horas]])</f>
        <v>3.0666666666666669</v>
      </c>
      <c r="AP422" s="49">
        <v>2</v>
      </c>
      <c r="AQ422" s="49">
        <v>40</v>
      </c>
      <c r="AR422" s="26">
        <f>Tabla2[[#This Row],[Minutos*]]/60</f>
        <v>0.66666666666666663</v>
      </c>
      <c r="AS422" s="27">
        <f>SUM(Tabla2[[#This Row],[Horas*]],Tabla2[[#This Row],[Minutos a Horas*]])+(Tabla2[[#This Row],[Tiempo Total a Nivel Proncincial (Horas)]])</f>
        <v>5.7333333333333334</v>
      </c>
    </row>
    <row r="423" spans="2:45" x14ac:dyDescent="0.25">
      <c r="B423" s="91"/>
      <c r="C423" s="91"/>
      <c r="D423" s="91"/>
      <c r="E423" s="92"/>
      <c r="F423" s="92"/>
      <c r="G423" s="92"/>
      <c r="H423" s="98"/>
      <c r="I423" s="99"/>
      <c r="J423" s="99"/>
      <c r="K423" s="99"/>
      <c r="L423" s="98"/>
      <c r="M423" s="92"/>
      <c r="N423" s="100"/>
      <c r="O423" s="94"/>
      <c r="P423" s="102"/>
      <c r="Q423" s="100"/>
      <c r="R423" s="95"/>
      <c r="S423" s="95"/>
      <c r="T423" s="96"/>
      <c r="U423" s="101"/>
      <c r="V423" s="101"/>
      <c r="W423" s="96"/>
      <c r="X423" s="101"/>
      <c r="Y423" s="101"/>
      <c r="Z423" s="96"/>
      <c r="AA423" s="97"/>
      <c r="AB423" s="93"/>
      <c r="AD423" s="20" t="s">
        <v>2379</v>
      </c>
      <c r="AE423" s="10" t="s">
        <v>376</v>
      </c>
      <c r="AF423" s="20" t="s">
        <v>491</v>
      </c>
      <c r="AG423" s="10"/>
      <c r="AH423" s="22" t="str">
        <f t="shared" si="12"/>
        <v>Arequipa_06 Condesuyos</v>
      </c>
      <c r="AI423" s="10" t="s">
        <v>605</v>
      </c>
      <c r="AJ423" s="20" t="s">
        <v>576</v>
      </c>
      <c r="AK423" s="22" t="str">
        <f t="shared" si="13"/>
        <v>Arequipa_06 Condesuyos_01 Chuquibamba</v>
      </c>
      <c r="AL423" s="25">
        <v>4</v>
      </c>
      <c r="AM423" s="25">
        <v>0</v>
      </c>
      <c r="AN423" s="26">
        <f>Tabla2[[#This Row],[Minutos]]/60</f>
        <v>0</v>
      </c>
      <c r="AO423" s="27">
        <f>SUM(Tabla2[[#This Row],[Horas]],Tabla2[[#This Row],[Minutos a Horas]])</f>
        <v>4</v>
      </c>
      <c r="AP423" s="49">
        <v>5</v>
      </c>
      <c r="AQ423" s="49">
        <v>0</v>
      </c>
      <c r="AR423" s="26">
        <f>Tabla2[[#This Row],[Minutos*]]/60</f>
        <v>0</v>
      </c>
      <c r="AS423" s="27">
        <f>SUM(Tabla2[[#This Row],[Horas*]],Tabla2[[#This Row],[Minutos a Horas*]])+(Tabla2[[#This Row],[Tiempo Total a Nivel Proncincial (Horas)]])</f>
        <v>9</v>
      </c>
    </row>
    <row r="424" spans="2:45" x14ac:dyDescent="0.25">
      <c r="B424" s="91"/>
      <c r="C424" s="91"/>
      <c r="D424" s="91"/>
      <c r="E424" s="92"/>
      <c r="F424" s="92"/>
      <c r="G424" s="92"/>
      <c r="H424" s="98"/>
      <c r="I424" s="99"/>
      <c r="J424" s="99"/>
      <c r="K424" s="99"/>
      <c r="L424" s="98"/>
      <c r="M424" s="92"/>
      <c r="N424" s="100"/>
      <c r="O424" s="94"/>
      <c r="P424" s="102"/>
      <c r="Q424" s="100"/>
      <c r="R424" s="95"/>
      <c r="S424" s="95"/>
      <c r="T424" s="96"/>
      <c r="U424" s="101"/>
      <c r="V424" s="101"/>
      <c r="W424" s="96"/>
      <c r="X424" s="101"/>
      <c r="Y424" s="101"/>
      <c r="Z424" s="96"/>
      <c r="AA424" s="97"/>
      <c r="AB424" s="93"/>
      <c r="AD424" s="20" t="s">
        <v>2379</v>
      </c>
      <c r="AE424" s="10" t="s">
        <v>376</v>
      </c>
      <c r="AF424" s="20" t="s">
        <v>491</v>
      </c>
      <c r="AG424" s="10"/>
      <c r="AH424" s="22" t="str">
        <f t="shared" si="12"/>
        <v>Arequipa_06 Condesuyos</v>
      </c>
      <c r="AI424" s="10" t="s">
        <v>605</v>
      </c>
      <c r="AJ424" s="20" t="s">
        <v>577</v>
      </c>
      <c r="AK424" s="22" t="str">
        <f t="shared" si="13"/>
        <v>Arequipa_06 Condesuyos_02 Andaray</v>
      </c>
      <c r="AL424" s="25">
        <v>4</v>
      </c>
      <c r="AM424" s="25">
        <v>0</v>
      </c>
      <c r="AN424" s="26">
        <f>Tabla2[[#This Row],[Minutos]]/60</f>
        <v>0</v>
      </c>
      <c r="AO424" s="27">
        <f>SUM(Tabla2[[#This Row],[Horas]],Tabla2[[#This Row],[Minutos a Horas]])</f>
        <v>4</v>
      </c>
      <c r="AP424" s="49">
        <v>7</v>
      </c>
      <c r="AQ424" s="49">
        <v>0</v>
      </c>
      <c r="AR424" s="26">
        <f>Tabla2[[#This Row],[Minutos*]]/60</f>
        <v>0</v>
      </c>
      <c r="AS424" s="27">
        <f>SUM(Tabla2[[#This Row],[Horas*]],Tabla2[[#This Row],[Minutos a Horas*]])+(Tabla2[[#This Row],[Tiempo Total a Nivel Proncincial (Horas)]])</f>
        <v>11</v>
      </c>
    </row>
    <row r="425" spans="2:45" x14ac:dyDescent="0.25">
      <c r="B425" s="91"/>
      <c r="C425" s="91"/>
      <c r="D425" s="91"/>
      <c r="E425" s="92"/>
      <c r="F425" s="92"/>
      <c r="G425" s="92"/>
      <c r="H425" s="98"/>
      <c r="I425" s="99"/>
      <c r="J425" s="99"/>
      <c r="K425" s="99"/>
      <c r="L425" s="98"/>
      <c r="M425" s="92"/>
      <c r="N425" s="100"/>
      <c r="O425" s="94"/>
      <c r="P425" s="102"/>
      <c r="Q425" s="100"/>
      <c r="R425" s="95"/>
      <c r="S425" s="95"/>
      <c r="T425" s="96"/>
      <c r="U425" s="101"/>
      <c r="V425" s="101"/>
      <c r="W425" s="96"/>
      <c r="X425" s="101"/>
      <c r="Y425" s="101"/>
      <c r="Z425" s="96"/>
      <c r="AA425" s="97"/>
      <c r="AB425" s="93"/>
      <c r="AD425" s="20" t="s">
        <v>2379</v>
      </c>
      <c r="AE425" s="10" t="s">
        <v>376</v>
      </c>
      <c r="AF425" s="20" t="s">
        <v>491</v>
      </c>
      <c r="AG425" s="10"/>
      <c r="AH425" s="22" t="str">
        <f t="shared" si="12"/>
        <v>Arequipa_06 Condesuyos</v>
      </c>
      <c r="AI425" s="10" t="s">
        <v>605</v>
      </c>
      <c r="AJ425" s="20" t="s">
        <v>578</v>
      </c>
      <c r="AK425" s="22" t="str">
        <f t="shared" si="13"/>
        <v>Arequipa_06 Condesuyos_03 Cayarani</v>
      </c>
      <c r="AL425" s="25">
        <v>4</v>
      </c>
      <c r="AM425" s="25">
        <v>0</v>
      </c>
      <c r="AN425" s="26">
        <f>Tabla2[[#This Row],[Minutos]]/60</f>
        <v>0</v>
      </c>
      <c r="AO425" s="27">
        <f>SUM(Tabla2[[#This Row],[Horas]],Tabla2[[#This Row],[Minutos a Horas]])</f>
        <v>4</v>
      </c>
      <c r="AP425" s="49">
        <v>9</v>
      </c>
      <c r="AQ425" s="49">
        <v>0</v>
      </c>
      <c r="AR425" s="26">
        <f>Tabla2[[#This Row],[Minutos*]]/60</f>
        <v>0</v>
      </c>
      <c r="AS425" s="27">
        <f>SUM(Tabla2[[#This Row],[Horas*]],Tabla2[[#This Row],[Minutos a Horas*]])+(Tabla2[[#This Row],[Tiempo Total a Nivel Proncincial (Horas)]])</f>
        <v>13</v>
      </c>
    </row>
    <row r="426" spans="2:45" x14ac:dyDescent="0.25">
      <c r="B426" s="91"/>
      <c r="C426" s="91"/>
      <c r="D426" s="91"/>
      <c r="E426" s="92"/>
      <c r="F426" s="92"/>
      <c r="G426" s="92"/>
      <c r="H426" s="98"/>
      <c r="I426" s="99"/>
      <c r="J426" s="99"/>
      <c r="K426" s="99"/>
      <c r="L426" s="98"/>
      <c r="M426" s="92"/>
      <c r="N426" s="100"/>
      <c r="O426" s="94"/>
      <c r="P426" s="102"/>
      <c r="Q426" s="100"/>
      <c r="R426" s="95"/>
      <c r="S426" s="95"/>
      <c r="T426" s="96"/>
      <c r="U426" s="101"/>
      <c r="V426" s="101"/>
      <c r="W426" s="96"/>
      <c r="X426" s="101"/>
      <c r="Y426" s="101"/>
      <c r="Z426" s="96"/>
      <c r="AA426" s="97"/>
      <c r="AB426" s="93"/>
      <c r="AD426" s="20" t="s">
        <v>2379</v>
      </c>
      <c r="AE426" s="10" t="s">
        <v>376</v>
      </c>
      <c r="AF426" s="20" t="s">
        <v>491</v>
      </c>
      <c r="AG426" s="10"/>
      <c r="AH426" s="22" t="str">
        <f t="shared" si="12"/>
        <v>Arequipa_06 Condesuyos</v>
      </c>
      <c r="AI426" s="10" t="s">
        <v>605</v>
      </c>
      <c r="AJ426" s="20" t="s">
        <v>579</v>
      </c>
      <c r="AK426" s="22" t="str">
        <f t="shared" si="13"/>
        <v>Arequipa_06 Condesuyos_04 Chichas</v>
      </c>
      <c r="AL426" s="25">
        <v>4</v>
      </c>
      <c r="AM426" s="25">
        <v>0</v>
      </c>
      <c r="AN426" s="26">
        <f>Tabla2[[#This Row],[Minutos]]/60</f>
        <v>0</v>
      </c>
      <c r="AO426" s="27">
        <f>SUM(Tabla2[[#This Row],[Horas]],Tabla2[[#This Row],[Minutos a Horas]])</f>
        <v>4</v>
      </c>
      <c r="AP426" s="49">
        <v>9</v>
      </c>
      <c r="AQ426" s="49">
        <v>30</v>
      </c>
      <c r="AR426" s="26">
        <f>Tabla2[[#This Row],[Minutos*]]/60</f>
        <v>0.5</v>
      </c>
      <c r="AS426" s="27">
        <f>SUM(Tabla2[[#This Row],[Horas*]],Tabla2[[#This Row],[Minutos a Horas*]])+(Tabla2[[#This Row],[Tiempo Total a Nivel Proncincial (Horas)]])</f>
        <v>13.5</v>
      </c>
    </row>
    <row r="427" spans="2:45" x14ac:dyDescent="0.25">
      <c r="B427" s="91"/>
      <c r="C427" s="91"/>
      <c r="D427" s="91"/>
      <c r="E427" s="92"/>
      <c r="F427" s="92"/>
      <c r="G427" s="92"/>
      <c r="H427" s="98"/>
      <c r="I427" s="99"/>
      <c r="J427" s="99"/>
      <c r="K427" s="99"/>
      <c r="L427" s="98"/>
      <c r="M427" s="92"/>
      <c r="N427" s="100"/>
      <c r="O427" s="94"/>
      <c r="P427" s="102"/>
      <c r="Q427" s="100"/>
      <c r="R427" s="95"/>
      <c r="S427" s="95"/>
      <c r="T427" s="96"/>
      <c r="U427" s="101"/>
      <c r="V427" s="101"/>
      <c r="W427" s="96"/>
      <c r="X427" s="101"/>
      <c r="Y427" s="101"/>
      <c r="Z427" s="96"/>
      <c r="AA427" s="97"/>
      <c r="AB427" s="93"/>
      <c r="AD427" s="20" t="s">
        <v>2379</v>
      </c>
      <c r="AE427" s="10" t="s">
        <v>376</v>
      </c>
      <c r="AF427" s="20" t="s">
        <v>491</v>
      </c>
      <c r="AG427" s="10"/>
      <c r="AH427" s="22" t="str">
        <f t="shared" si="12"/>
        <v>Arequipa_06 Condesuyos</v>
      </c>
      <c r="AI427" s="10" t="s">
        <v>605</v>
      </c>
      <c r="AJ427" s="20" t="s">
        <v>580</v>
      </c>
      <c r="AK427" s="22" t="str">
        <f t="shared" si="13"/>
        <v>Arequipa_06 Condesuyos_05 Iray</v>
      </c>
      <c r="AL427" s="25">
        <v>4</v>
      </c>
      <c r="AM427" s="25">
        <v>0</v>
      </c>
      <c r="AN427" s="26">
        <f>Tabla2[[#This Row],[Minutos]]/60</f>
        <v>0</v>
      </c>
      <c r="AO427" s="27">
        <f>SUM(Tabla2[[#This Row],[Horas]],Tabla2[[#This Row],[Minutos a Horas]])</f>
        <v>4</v>
      </c>
      <c r="AP427" s="49">
        <v>4</v>
      </c>
      <c r="AQ427" s="49">
        <v>30</v>
      </c>
      <c r="AR427" s="26">
        <f>Tabla2[[#This Row],[Minutos*]]/60</f>
        <v>0.5</v>
      </c>
      <c r="AS427" s="27">
        <f>SUM(Tabla2[[#This Row],[Horas*]],Tabla2[[#This Row],[Minutos a Horas*]])+(Tabla2[[#This Row],[Tiempo Total a Nivel Proncincial (Horas)]])</f>
        <v>8.5</v>
      </c>
    </row>
    <row r="428" spans="2:45" x14ac:dyDescent="0.25">
      <c r="B428" s="91"/>
      <c r="C428" s="91"/>
      <c r="D428" s="91"/>
      <c r="E428" s="92"/>
      <c r="F428" s="92"/>
      <c r="G428" s="92"/>
      <c r="H428" s="98"/>
      <c r="I428" s="99"/>
      <c r="J428" s="99"/>
      <c r="K428" s="99"/>
      <c r="L428" s="98"/>
      <c r="M428" s="92"/>
      <c r="N428" s="100"/>
      <c r="O428" s="94"/>
      <c r="P428" s="102"/>
      <c r="Q428" s="100"/>
      <c r="R428" s="95"/>
      <c r="S428" s="95"/>
      <c r="T428" s="96"/>
      <c r="U428" s="101"/>
      <c r="V428" s="101"/>
      <c r="W428" s="96"/>
      <c r="X428" s="101"/>
      <c r="Y428" s="101"/>
      <c r="Z428" s="96"/>
      <c r="AA428" s="97"/>
      <c r="AB428" s="93"/>
      <c r="AD428" s="20" t="s">
        <v>2379</v>
      </c>
      <c r="AE428" s="10" t="s">
        <v>376</v>
      </c>
      <c r="AF428" s="20" t="s">
        <v>491</v>
      </c>
      <c r="AG428" s="10"/>
      <c r="AH428" s="22" t="str">
        <f t="shared" si="12"/>
        <v>Arequipa_06 Condesuyos</v>
      </c>
      <c r="AI428" s="10" t="s">
        <v>605</v>
      </c>
      <c r="AJ428" s="20" t="s">
        <v>581</v>
      </c>
      <c r="AK428" s="22" t="str">
        <f t="shared" si="13"/>
        <v>Arequipa_06 Condesuyos_06 Río Grande</v>
      </c>
      <c r="AL428" s="25">
        <v>4</v>
      </c>
      <c r="AM428" s="25">
        <v>0</v>
      </c>
      <c r="AN428" s="26">
        <f>Tabla2[[#This Row],[Minutos]]/60</f>
        <v>0</v>
      </c>
      <c r="AO428" s="27">
        <f>SUM(Tabla2[[#This Row],[Horas]],Tabla2[[#This Row],[Minutos a Horas]])</f>
        <v>4</v>
      </c>
      <c r="AP428" s="49">
        <v>5</v>
      </c>
      <c r="AQ428" s="49">
        <v>40</v>
      </c>
      <c r="AR428" s="26">
        <f>Tabla2[[#This Row],[Minutos*]]/60</f>
        <v>0.66666666666666663</v>
      </c>
      <c r="AS428" s="27">
        <f>SUM(Tabla2[[#This Row],[Horas*]],Tabla2[[#This Row],[Minutos a Horas*]])+(Tabla2[[#This Row],[Tiempo Total a Nivel Proncincial (Horas)]])</f>
        <v>9.6666666666666679</v>
      </c>
    </row>
    <row r="429" spans="2:45" x14ac:dyDescent="0.25">
      <c r="B429" s="91"/>
      <c r="C429" s="91"/>
      <c r="D429" s="91"/>
      <c r="E429" s="92"/>
      <c r="F429" s="92"/>
      <c r="G429" s="92"/>
      <c r="H429" s="98"/>
      <c r="I429" s="99"/>
      <c r="J429" s="99"/>
      <c r="K429" s="99"/>
      <c r="L429" s="98"/>
      <c r="M429" s="92"/>
      <c r="N429" s="100"/>
      <c r="O429" s="94"/>
      <c r="P429" s="102"/>
      <c r="Q429" s="100"/>
      <c r="R429" s="95"/>
      <c r="S429" s="95"/>
      <c r="T429" s="96"/>
      <c r="U429" s="101"/>
      <c r="V429" s="101"/>
      <c r="W429" s="96"/>
      <c r="X429" s="101"/>
      <c r="Y429" s="101"/>
      <c r="Z429" s="96"/>
      <c r="AA429" s="97"/>
      <c r="AB429" s="93"/>
      <c r="AD429" s="20" t="s">
        <v>2379</v>
      </c>
      <c r="AE429" s="10" t="s">
        <v>376</v>
      </c>
      <c r="AF429" s="20" t="s">
        <v>491</v>
      </c>
      <c r="AG429" s="10"/>
      <c r="AH429" s="22" t="str">
        <f t="shared" si="12"/>
        <v>Arequipa_06 Condesuyos</v>
      </c>
      <c r="AI429" s="10" t="s">
        <v>605</v>
      </c>
      <c r="AJ429" s="20" t="s">
        <v>582</v>
      </c>
      <c r="AK429" s="22" t="str">
        <f t="shared" si="13"/>
        <v>Arequipa_06 Condesuyos_07 Salamanca</v>
      </c>
      <c r="AL429" s="25">
        <v>4</v>
      </c>
      <c r="AM429" s="25">
        <v>0</v>
      </c>
      <c r="AN429" s="26">
        <f>Tabla2[[#This Row],[Minutos]]/60</f>
        <v>0</v>
      </c>
      <c r="AO429" s="27">
        <f>SUM(Tabla2[[#This Row],[Horas]],Tabla2[[#This Row],[Minutos a Horas]])</f>
        <v>4</v>
      </c>
      <c r="AP429" s="49">
        <v>4</v>
      </c>
      <c r="AQ429" s="49">
        <v>50</v>
      </c>
      <c r="AR429" s="26">
        <f>Tabla2[[#This Row],[Minutos*]]/60</f>
        <v>0.83333333333333337</v>
      </c>
      <c r="AS429" s="27">
        <f>SUM(Tabla2[[#This Row],[Horas*]],Tabla2[[#This Row],[Minutos a Horas*]])+(Tabla2[[#This Row],[Tiempo Total a Nivel Proncincial (Horas)]])</f>
        <v>8.8333333333333321</v>
      </c>
    </row>
    <row r="430" spans="2:45" x14ac:dyDescent="0.25">
      <c r="B430" s="91"/>
      <c r="C430" s="91"/>
      <c r="D430" s="91"/>
      <c r="E430" s="92"/>
      <c r="F430" s="92"/>
      <c r="G430" s="92"/>
      <c r="H430" s="98"/>
      <c r="I430" s="99"/>
      <c r="J430" s="99"/>
      <c r="K430" s="99"/>
      <c r="L430" s="98"/>
      <c r="M430" s="92"/>
      <c r="N430" s="100"/>
      <c r="O430" s="94"/>
      <c r="P430" s="102"/>
      <c r="Q430" s="100"/>
      <c r="R430" s="95"/>
      <c r="S430" s="95"/>
      <c r="T430" s="96"/>
      <c r="U430" s="101"/>
      <c r="V430" s="101"/>
      <c r="W430" s="96"/>
      <c r="X430" s="101"/>
      <c r="Y430" s="101"/>
      <c r="Z430" s="96"/>
      <c r="AA430" s="97"/>
      <c r="AB430" s="93"/>
      <c r="AD430" s="20" t="s">
        <v>2379</v>
      </c>
      <c r="AE430" s="10" t="s">
        <v>376</v>
      </c>
      <c r="AF430" s="20" t="s">
        <v>491</v>
      </c>
      <c r="AG430" s="10"/>
      <c r="AH430" s="22" t="str">
        <f t="shared" si="12"/>
        <v>Arequipa_06 Condesuyos</v>
      </c>
      <c r="AI430" s="10" t="s">
        <v>605</v>
      </c>
      <c r="AJ430" s="20" t="s">
        <v>583</v>
      </c>
      <c r="AK430" s="22" t="str">
        <f t="shared" si="13"/>
        <v>Arequipa_06 Condesuyos_08 Yanaquihua</v>
      </c>
      <c r="AL430" s="25">
        <v>4</v>
      </c>
      <c r="AM430" s="25">
        <v>0</v>
      </c>
      <c r="AN430" s="26">
        <f>Tabla2[[#This Row],[Minutos]]/60</f>
        <v>0</v>
      </c>
      <c r="AO430" s="27">
        <f>SUM(Tabla2[[#This Row],[Horas]],Tabla2[[#This Row],[Minutos a Horas]])</f>
        <v>4</v>
      </c>
      <c r="AP430" s="49">
        <v>6</v>
      </c>
      <c r="AQ430" s="49">
        <v>20</v>
      </c>
      <c r="AR430" s="26">
        <f>Tabla2[[#This Row],[Minutos*]]/60</f>
        <v>0.33333333333333331</v>
      </c>
      <c r="AS430" s="27">
        <f>SUM(Tabla2[[#This Row],[Horas*]],Tabla2[[#This Row],[Minutos a Horas*]])+(Tabla2[[#This Row],[Tiempo Total a Nivel Proncincial (Horas)]])</f>
        <v>10.333333333333332</v>
      </c>
    </row>
    <row r="431" spans="2:45" x14ac:dyDescent="0.25">
      <c r="B431" s="91"/>
      <c r="C431" s="91"/>
      <c r="D431" s="91"/>
      <c r="E431" s="92"/>
      <c r="F431" s="92"/>
      <c r="G431" s="92"/>
      <c r="H431" s="98"/>
      <c r="I431" s="99"/>
      <c r="J431" s="99"/>
      <c r="K431" s="99"/>
      <c r="L431" s="98"/>
      <c r="M431" s="92"/>
      <c r="N431" s="100"/>
      <c r="O431" s="94"/>
      <c r="P431" s="102"/>
      <c r="Q431" s="100"/>
      <c r="R431" s="95"/>
      <c r="S431" s="95"/>
      <c r="T431" s="96"/>
      <c r="U431" s="101"/>
      <c r="V431" s="101"/>
      <c r="W431" s="96"/>
      <c r="X431" s="101"/>
      <c r="Y431" s="101"/>
      <c r="Z431" s="96"/>
      <c r="AA431" s="97"/>
      <c r="AB431" s="93"/>
      <c r="AD431" s="20" t="s">
        <v>2379</v>
      </c>
      <c r="AE431" s="10" t="s">
        <v>376</v>
      </c>
      <c r="AF431" s="20" t="s">
        <v>492</v>
      </c>
      <c r="AG431" s="10"/>
      <c r="AH431" s="22" t="str">
        <f t="shared" si="12"/>
        <v>Arequipa_07 Islay</v>
      </c>
      <c r="AI431" s="10" t="s">
        <v>606</v>
      </c>
      <c r="AJ431" s="20" t="s">
        <v>584</v>
      </c>
      <c r="AK431" s="22" t="str">
        <f t="shared" si="13"/>
        <v>Arequipa_07 Islay_01 Mollendo</v>
      </c>
      <c r="AL431" s="25">
        <v>2</v>
      </c>
      <c r="AM431" s="25">
        <v>1</v>
      </c>
      <c r="AN431" s="26">
        <f>Tabla2[[#This Row],[Minutos]]/60</f>
        <v>1.6666666666666666E-2</v>
      </c>
      <c r="AO431" s="27">
        <f>SUM(Tabla2[[#This Row],[Horas]],Tabla2[[#This Row],[Minutos a Horas]])</f>
        <v>2.0166666666666666</v>
      </c>
      <c r="AP431" s="49">
        <v>2</v>
      </c>
      <c r="AQ431" s="49">
        <v>20</v>
      </c>
      <c r="AR431" s="26">
        <f>Tabla2[[#This Row],[Minutos*]]/60</f>
        <v>0.33333333333333331</v>
      </c>
      <c r="AS431" s="27">
        <f>SUM(Tabla2[[#This Row],[Horas*]],Tabla2[[#This Row],[Minutos a Horas*]])+(Tabla2[[#This Row],[Tiempo Total a Nivel Proncincial (Horas)]])</f>
        <v>4.3499999999999996</v>
      </c>
    </row>
    <row r="432" spans="2:45" x14ac:dyDescent="0.25">
      <c r="B432" s="91"/>
      <c r="C432" s="91"/>
      <c r="D432" s="91"/>
      <c r="E432" s="92"/>
      <c r="F432" s="92"/>
      <c r="G432" s="92"/>
      <c r="H432" s="98"/>
      <c r="I432" s="99"/>
      <c r="J432" s="99"/>
      <c r="K432" s="99"/>
      <c r="L432" s="98"/>
      <c r="M432" s="92"/>
      <c r="N432" s="100"/>
      <c r="O432" s="94"/>
      <c r="P432" s="102"/>
      <c r="Q432" s="100"/>
      <c r="R432" s="95"/>
      <c r="S432" s="95"/>
      <c r="T432" s="96"/>
      <c r="U432" s="101"/>
      <c r="V432" s="101"/>
      <c r="W432" s="96"/>
      <c r="X432" s="101"/>
      <c r="Y432" s="101"/>
      <c r="Z432" s="96"/>
      <c r="AA432" s="97"/>
      <c r="AB432" s="93"/>
      <c r="AD432" s="20" t="s">
        <v>2379</v>
      </c>
      <c r="AE432" s="10" t="s">
        <v>376</v>
      </c>
      <c r="AF432" s="20" t="s">
        <v>492</v>
      </c>
      <c r="AG432" s="10"/>
      <c r="AH432" s="22" t="str">
        <f t="shared" si="12"/>
        <v>Arequipa_07 Islay</v>
      </c>
      <c r="AI432" s="10" t="s">
        <v>606</v>
      </c>
      <c r="AJ432" s="20" t="s">
        <v>585</v>
      </c>
      <c r="AK432" s="22" t="str">
        <f t="shared" si="13"/>
        <v>Arequipa_07 Islay_02 Cocachacra</v>
      </c>
      <c r="AL432" s="25">
        <v>2</v>
      </c>
      <c r="AM432" s="25">
        <v>1</v>
      </c>
      <c r="AN432" s="26">
        <f>Tabla2[[#This Row],[Minutos]]/60</f>
        <v>1.6666666666666666E-2</v>
      </c>
      <c r="AO432" s="27">
        <f>SUM(Tabla2[[#This Row],[Horas]],Tabla2[[#This Row],[Minutos a Horas]])</f>
        <v>2.0166666666666666</v>
      </c>
      <c r="AP432" s="49">
        <v>2</v>
      </c>
      <c r="AQ432" s="49">
        <v>35</v>
      </c>
      <c r="AR432" s="26">
        <f>Tabla2[[#This Row],[Minutos*]]/60</f>
        <v>0.58333333333333337</v>
      </c>
      <c r="AS432" s="27">
        <f>SUM(Tabla2[[#This Row],[Horas*]],Tabla2[[#This Row],[Minutos a Horas*]])+(Tabla2[[#This Row],[Tiempo Total a Nivel Proncincial (Horas)]])</f>
        <v>4.5999999999999996</v>
      </c>
    </row>
    <row r="433" spans="2:45" x14ac:dyDescent="0.25">
      <c r="B433" s="91"/>
      <c r="C433" s="91"/>
      <c r="D433" s="91"/>
      <c r="E433" s="92"/>
      <c r="F433" s="92"/>
      <c r="G433" s="92"/>
      <c r="H433" s="98"/>
      <c r="I433" s="99"/>
      <c r="J433" s="99"/>
      <c r="K433" s="99"/>
      <c r="L433" s="98"/>
      <c r="M433" s="92"/>
      <c r="N433" s="100"/>
      <c r="O433" s="94"/>
      <c r="P433" s="102"/>
      <c r="Q433" s="100"/>
      <c r="R433" s="95"/>
      <c r="S433" s="95"/>
      <c r="T433" s="96"/>
      <c r="U433" s="101"/>
      <c r="V433" s="101"/>
      <c r="W433" s="96"/>
      <c r="X433" s="101"/>
      <c r="Y433" s="101"/>
      <c r="Z433" s="96"/>
      <c r="AA433" s="97"/>
      <c r="AB433" s="93"/>
      <c r="AD433" s="20" t="s">
        <v>2379</v>
      </c>
      <c r="AE433" s="10" t="s">
        <v>376</v>
      </c>
      <c r="AF433" s="20" t="s">
        <v>492</v>
      </c>
      <c r="AG433" s="10"/>
      <c r="AH433" s="22" t="str">
        <f t="shared" si="12"/>
        <v>Arequipa_07 Islay</v>
      </c>
      <c r="AI433" s="10" t="s">
        <v>606</v>
      </c>
      <c r="AJ433" s="20" t="s">
        <v>586</v>
      </c>
      <c r="AK433" s="22" t="str">
        <f t="shared" si="13"/>
        <v>Arequipa_07 Islay_03 Dean Valdivia</v>
      </c>
      <c r="AL433" s="25">
        <v>2</v>
      </c>
      <c r="AM433" s="25">
        <v>1</v>
      </c>
      <c r="AN433" s="26">
        <f>Tabla2[[#This Row],[Minutos]]/60</f>
        <v>1.6666666666666666E-2</v>
      </c>
      <c r="AO433" s="27">
        <f>SUM(Tabla2[[#This Row],[Horas]],Tabla2[[#This Row],[Minutos a Horas]])</f>
        <v>2.0166666666666666</v>
      </c>
      <c r="AP433" s="49">
        <v>2</v>
      </c>
      <c r="AQ433" s="49">
        <v>15</v>
      </c>
      <c r="AR433" s="26">
        <f>Tabla2[[#This Row],[Minutos*]]/60</f>
        <v>0.25</v>
      </c>
      <c r="AS433" s="27">
        <f>SUM(Tabla2[[#This Row],[Horas*]],Tabla2[[#This Row],[Minutos a Horas*]])+(Tabla2[[#This Row],[Tiempo Total a Nivel Proncincial (Horas)]])</f>
        <v>4.2666666666666666</v>
      </c>
    </row>
    <row r="434" spans="2:45" x14ac:dyDescent="0.25">
      <c r="B434" s="91"/>
      <c r="C434" s="91"/>
      <c r="D434" s="91"/>
      <c r="E434" s="92"/>
      <c r="F434" s="92"/>
      <c r="G434" s="92"/>
      <c r="H434" s="98"/>
      <c r="I434" s="99"/>
      <c r="J434" s="99"/>
      <c r="K434" s="99"/>
      <c r="L434" s="98"/>
      <c r="M434" s="92"/>
      <c r="N434" s="100"/>
      <c r="O434" s="94"/>
      <c r="P434" s="102"/>
      <c r="Q434" s="100"/>
      <c r="R434" s="95"/>
      <c r="S434" s="95"/>
      <c r="T434" s="96"/>
      <c r="U434" s="101"/>
      <c r="V434" s="101"/>
      <c r="W434" s="96"/>
      <c r="X434" s="101"/>
      <c r="Y434" s="101"/>
      <c r="Z434" s="96"/>
      <c r="AA434" s="97"/>
      <c r="AB434" s="93"/>
      <c r="AD434" s="20" t="s">
        <v>2379</v>
      </c>
      <c r="AE434" s="10" t="s">
        <v>376</v>
      </c>
      <c r="AF434" s="20" t="s">
        <v>492</v>
      </c>
      <c r="AG434" s="10"/>
      <c r="AH434" s="22" t="str">
        <f t="shared" si="12"/>
        <v>Arequipa_07 Islay</v>
      </c>
      <c r="AI434" s="10" t="s">
        <v>606</v>
      </c>
      <c r="AJ434" s="20" t="s">
        <v>587</v>
      </c>
      <c r="AK434" s="22" t="str">
        <f t="shared" si="13"/>
        <v>Arequipa_07 Islay_04 Islay</v>
      </c>
      <c r="AL434" s="25">
        <v>2</v>
      </c>
      <c r="AM434" s="25">
        <v>1</v>
      </c>
      <c r="AN434" s="26">
        <f>Tabla2[[#This Row],[Minutos]]/60</f>
        <v>1.6666666666666666E-2</v>
      </c>
      <c r="AO434" s="27">
        <f>SUM(Tabla2[[#This Row],[Horas]],Tabla2[[#This Row],[Minutos a Horas]])</f>
        <v>2.0166666666666666</v>
      </c>
      <c r="AP434" s="49">
        <v>2</v>
      </c>
      <c r="AQ434" s="49">
        <v>20</v>
      </c>
      <c r="AR434" s="26">
        <f>Tabla2[[#This Row],[Minutos*]]/60</f>
        <v>0.33333333333333331</v>
      </c>
      <c r="AS434" s="27">
        <f>SUM(Tabla2[[#This Row],[Horas*]],Tabla2[[#This Row],[Minutos a Horas*]])+(Tabla2[[#This Row],[Tiempo Total a Nivel Proncincial (Horas)]])</f>
        <v>4.3499999999999996</v>
      </c>
    </row>
    <row r="435" spans="2:45" x14ac:dyDescent="0.25">
      <c r="B435" s="91"/>
      <c r="C435" s="91"/>
      <c r="D435" s="91"/>
      <c r="E435" s="92"/>
      <c r="F435" s="92"/>
      <c r="G435" s="92"/>
      <c r="H435" s="98"/>
      <c r="I435" s="99"/>
      <c r="J435" s="99"/>
      <c r="K435" s="99"/>
      <c r="L435" s="98"/>
      <c r="M435" s="92"/>
      <c r="N435" s="100"/>
      <c r="O435" s="94"/>
      <c r="P435" s="102"/>
      <c r="Q435" s="100"/>
      <c r="R435" s="95"/>
      <c r="S435" s="95"/>
      <c r="T435" s="96"/>
      <c r="U435" s="101"/>
      <c r="V435" s="101"/>
      <c r="W435" s="96"/>
      <c r="X435" s="101"/>
      <c r="Y435" s="101"/>
      <c r="Z435" s="96"/>
      <c r="AA435" s="97"/>
      <c r="AB435" s="93"/>
      <c r="AD435" s="20" t="s">
        <v>2379</v>
      </c>
      <c r="AE435" s="10" t="s">
        <v>376</v>
      </c>
      <c r="AF435" s="20" t="s">
        <v>492</v>
      </c>
      <c r="AG435" s="10"/>
      <c r="AH435" s="22" t="str">
        <f t="shared" si="12"/>
        <v>Arequipa_07 Islay</v>
      </c>
      <c r="AI435" s="10" t="s">
        <v>606</v>
      </c>
      <c r="AJ435" s="20" t="s">
        <v>588</v>
      </c>
      <c r="AK435" s="22" t="str">
        <f t="shared" si="13"/>
        <v>Arequipa_07 Islay_05 Mejia</v>
      </c>
      <c r="AL435" s="25">
        <v>2</v>
      </c>
      <c r="AM435" s="25">
        <v>1</v>
      </c>
      <c r="AN435" s="26">
        <f>Tabla2[[#This Row],[Minutos]]/60</f>
        <v>1.6666666666666666E-2</v>
      </c>
      <c r="AO435" s="27">
        <f>SUM(Tabla2[[#This Row],[Horas]],Tabla2[[#This Row],[Minutos a Horas]])</f>
        <v>2.0166666666666666</v>
      </c>
      <c r="AP435" s="49">
        <v>2</v>
      </c>
      <c r="AQ435" s="49">
        <v>25</v>
      </c>
      <c r="AR435" s="26">
        <f>Tabla2[[#This Row],[Minutos*]]/60</f>
        <v>0.41666666666666669</v>
      </c>
      <c r="AS435" s="27">
        <f>SUM(Tabla2[[#This Row],[Horas*]],Tabla2[[#This Row],[Minutos a Horas*]])+(Tabla2[[#This Row],[Tiempo Total a Nivel Proncincial (Horas)]])</f>
        <v>4.4333333333333336</v>
      </c>
    </row>
    <row r="436" spans="2:45" x14ac:dyDescent="0.25">
      <c r="B436" s="91"/>
      <c r="C436" s="91"/>
      <c r="D436" s="91"/>
      <c r="E436" s="92"/>
      <c r="F436" s="92"/>
      <c r="G436" s="92"/>
      <c r="H436" s="98"/>
      <c r="I436" s="99"/>
      <c r="J436" s="99"/>
      <c r="K436" s="99"/>
      <c r="L436" s="98"/>
      <c r="M436" s="92"/>
      <c r="N436" s="100"/>
      <c r="O436" s="94"/>
      <c r="P436" s="102"/>
      <c r="Q436" s="100"/>
      <c r="R436" s="95"/>
      <c r="S436" s="95"/>
      <c r="T436" s="96"/>
      <c r="U436" s="101"/>
      <c r="V436" s="101"/>
      <c r="W436" s="96"/>
      <c r="X436" s="101"/>
      <c r="Y436" s="101"/>
      <c r="Z436" s="96"/>
      <c r="AA436" s="97"/>
      <c r="AB436" s="93"/>
      <c r="AD436" s="20" t="s">
        <v>2379</v>
      </c>
      <c r="AE436" s="10" t="s">
        <v>376</v>
      </c>
      <c r="AF436" s="20" t="s">
        <v>492</v>
      </c>
      <c r="AG436" s="10"/>
      <c r="AH436" s="22" t="str">
        <f t="shared" si="12"/>
        <v>Arequipa_07 Islay</v>
      </c>
      <c r="AI436" s="10" t="s">
        <v>606</v>
      </c>
      <c r="AJ436" s="20" t="s">
        <v>589</v>
      </c>
      <c r="AK436" s="22" t="str">
        <f t="shared" si="13"/>
        <v>Arequipa_07 Islay_06 Punta de Bombón</v>
      </c>
      <c r="AL436" s="25">
        <v>2</v>
      </c>
      <c r="AM436" s="25">
        <v>1</v>
      </c>
      <c r="AN436" s="26">
        <f>Tabla2[[#This Row],[Minutos]]/60</f>
        <v>1.6666666666666666E-2</v>
      </c>
      <c r="AO436" s="27">
        <f>SUM(Tabla2[[#This Row],[Horas]],Tabla2[[#This Row],[Minutos a Horas]])</f>
        <v>2.0166666666666666</v>
      </c>
      <c r="AP436" s="49">
        <v>2</v>
      </c>
      <c r="AQ436" s="49">
        <v>30</v>
      </c>
      <c r="AR436" s="26">
        <f>Tabla2[[#This Row],[Minutos*]]/60</f>
        <v>0.5</v>
      </c>
      <c r="AS436" s="27">
        <f>SUM(Tabla2[[#This Row],[Horas*]],Tabla2[[#This Row],[Minutos a Horas*]])+(Tabla2[[#This Row],[Tiempo Total a Nivel Proncincial (Horas)]])</f>
        <v>4.5166666666666666</v>
      </c>
    </row>
    <row r="437" spans="2:45" x14ac:dyDescent="0.25">
      <c r="B437" s="91"/>
      <c r="C437" s="91"/>
      <c r="D437" s="91"/>
      <c r="E437" s="92"/>
      <c r="F437" s="92"/>
      <c r="G437" s="92"/>
      <c r="H437" s="98"/>
      <c r="I437" s="99"/>
      <c r="J437" s="99"/>
      <c r="K437" s="99"/>
      <c r="L437" s="98"/>
      <c r="M437" s="92"/>
      <c r="N437" s="100"/>
      <c r="O437" s="94"/>
      <c r="P437" s="102"/>
      <c r="Q437" s="100"/>
      <c r="R437" s="95"/>
      <c r="S437" s="95"/>
      <c r="T437" s="96"/>
      <c r="U437" s="101"/>
      <c r="V437" s="101"/>
      <c r="W437" s="96"/>
      <c r="X437" s="101"/>
      <c r="Y437" s="101"/>
      <c r="Z437" s="96"/>
      <c r="AA437" s="97"/>
      <c r="AB437" s="93"/>
      <c r="AD437" s="20" t="s">
        <v>2379</v>
      </c>
      <c r="AE437" s="10" t="s">
        <v>376</v>
      </c>
      <c r="AF437" s="20" t="s">
        <v>493</v>
      </c>
      <c r="AG437" s="10"/>
      <c r="AH437" s="22" t="str">
        <f t="shared" si="12"/>
        <v>Arequipa_08 La Uniòn</v>
      </c>
      <c r="AI437" s="10" t="s">
        <v>607</v>
      </c>
      <c r="AJ437" s="20" t="s">
        <v>590</v>
      </c>
      <c r="AK437" s="22" t="str">
        <f t="shared" si="13"/>
        <v>Arequipa_08 La Uniòn_01 Cotahuasi</v>
      </c>
      <c r="AL437" s="25">
        <v>6</v>
      </c>
      <c r="AM437" s="25">
        <v>52</v>
      </c>
      <c r="AN437" s="26">
        <f>Tabla2[[#This Row],[Minutos]]/60</f>
        <v>0.8666666666666667</v>
      </c>
      <c r="AO437" s="27">
        <f>SUM(Tabla2[[#This Row],[Horas]],Tabla2[[#This Row],[Minutos a Horas]])</f>
        <v>6.8666666666666671</v>
      </c>
      <c r="AP437" s="49">
        <v>7</v>
      </c>
      <c r="AQ437" s="49">
        <v>30</v>
      </c>
      <c r="AR437" s="26">
        <f>Tabla2[[#This Row],[Minutos*]]/60</f>
        <v>0.5</v>
      </c>
      <c r="AS437" s="27">
        <f>SUM(Tabla2[[#This Row],[Horas*]],Tabla2[[#This Row],[Minutos a Horas*]])+(Tabla2[[#This Row],[Tiempo Total a Nivel Proncincial (Horas)]])</f>
        <v>14.366666666666667</v>
      </c>
    </row>
    <row r="438" spans="2:45" x14ac:dyDescent="0.25">
      <c r="B438" s="91"/>
      <c r="C438" s="91"/>
      <c r="D438" s="91"/>
      <c r="E438" s="92"/>
      <c r="F438" s="92"/>
      <c r="G438" s="92"/>
      <c r="H438" s="98"/>
      <c r="I438" s="99"/>
      <c r="J438" s="99"/>
      <c r="K438" s="99"/>
      <c r="L438" s="98"/>
      <c r="M438" s="92"/>
      <c r="N438" s="100"/>
      <c r="O438" s="94"/>
      <c r="P438" s="102"/>
      <c r="Q438" s="100"/>
      <c r="R438" s="95"/>
      <c r="S438" s="95"/>
      <c r="T438" s="96"/>
      <c r="U438" s="101"/>
      <c r="V438" s="101"/>
      <c r="W438" s="96"/>
      <c r="X438" s="101"/>
      <c r="Y438" s="101"/>
      <c r="Z438" s="96"/>
      <c r="AA438" s="97"/>
      <c r="AB438" s="93"/>
      <c r="AD438" s="20" t="s">
        <v>2379</v>
      </c>
      <c r="AE438" s="10" t="s">
        <v>376</v>
      </c>
      <c r="AF438" s="20" t="s">
        <v>493</v>
      </c>
      <c r="AG438" s="10"/>
      <c r="AH438" s="22" t="str">
        <f t="shared" si="12"/>
        <v>Arequipa_08 La Uniòn</v>
      </c>
      <c r="AI438" s="10" t="s">
        <v>607</v>
      </c>
      <c r="AJ438" s="20" t="s">
        <v>591</v>
      </c>
      <c r="AK438" s="22" t="str">
        <f t="shared" si="13"/>
        <v>Arequipa_08 La Uniòn_02 Alca</v>
      </c>
      <c r="AL438" s="25">
        <v>6</v>
      </c>
      <c r="AM438" s="25">
        <v>52</v>
      </c>
      <c r="AN438" s="26">
        <f>Tabla2[[#This Row],[Minutos]]/60</f>
        <v>0.8666666666666667</v>
      </c>
      <c r="AO438" s="27">
        <f>SUM(Tabla2[[#This Row],[Horas]],Tabla2[[#This Row],[Minutos a Horas]])</f>
        <v>6.8666666666666671</v>
      </c>
      <c r="AP438" s="49">
        <v>7</v>
      </c>
      <c r="AQ438" s="49">
        <v>55</v>
      </c>
      <c r="AR438" s="26">
        <f>Tabla2[[#This Row],[Minutos*]]/60</f>
        <v>0.91666666666666663</v>
      </c>
      <c r="AS438" s="27">
        <f>SUM(Tabla2[[#This Row],[Horas*]],Tabla2[[#This Row],[Minutos a Horas*]])+(Tabla2[[#This Row],[Tiempo Total a Nivel Proncincial (Horas)]])</f>
        <v>14.783333333333335</v>
      </c>
    </row>
    <row r="439" spans="2:45" x14ac:dyDescent="0.25">
      <c r="B439" s="91"/>
      <c r="C439" s="91"/>
      <c r="D439" s="91"/>
      <c r="E439" s="92"/>
      <c r="F439" s="92"/>
      <c r="G439" s="92"/>
      <c r="H439" s="98"/>
      <c r="I439" s="99"/>
      <c r="J439" s="99"/>
      <c r="K439" s="99"/>
      <c r="L439" s="98"/>
      <c r="M439" s="92"/>
      <c r="N439" s="100"/>
      <c r="O439" s="94"/>
      <c r="P439" s="102"/>
      <c r="Q439" s="100"/>
      <c r="R439" s="95"/>
      <c r="S439" s="95"/>
      <c r="T439" s="96"/>
      <c r="U439" s="101"/>
      <c r="V439" s="101"/>
      <c r="W439" s="96"/>
      <c r="X439" s="101"/>
      <c r="Y439" s="101"/>
      <c r="Z439" s="96"/>
      <c r="AA439" s="97"/>
      <c r="AB439" s="93"/>
      <c r="AD439" s="20" t="s">
        <v>2379</v>
      </c>
      <c r="AE439" s="10" t="s">
        <v>376</v>
      </c>
      <c r="AF439" s="20" t="s">
        <v>493</v>
      </c>
      <c r="AG439" s="10"/>
      <c r="AH439" s="22" t="str">
        <f t="shared" si="12"/>
        <v>Arequipa_08 La Uniòn</v>
      </c>
      <c r="AI439" s="10" t="s">
        <v>607</v>
      </c>
      <c r="AJ439" s="20" t="s">
        <v>592</v>
      </c>
      <c r="AK439" s="22" t="str">
        <f t="shared" si="13"/>
        <v>Arequipa_08 La Uniòn_03 Charcana</v>
      </c>
      <c r="AL439" s="25">
        <v>6</v>
      </c>
      <c r="AM439" s="25">
        <v>52</v>
      </c>
      <c r="AN439" s="26">
        <f>Tabla2[[#This Row],[Minutos]]/60</f>
        <v>0.8666666666666667</v>
      </c>
      <c r="AO439" s="27">
        <f>SUM(Tabla2[[#This Row],[Horas]],Tabla2[[#This Row],[Minutos a Horas]])</f>
        <v>6.8666666666666671</v>
      </c>
      <c r="AP439" s="49">
        <v>8</v>
      </c>
      <c r="AQ439" s="49">
        <v>35</v>
      </c>
      <c r="AR439" s="26">
        <f>Tabla2[[#This Row],[Minutos*]]/60</f>
        <v>0.58333333333333337</v>
      </c>
      <c r="AS439" s="27">
        <f>SUM(Tabla2[[#This Row],[Horas*]],Tabla2[[#This Row],[Minutos a Horas*]])+(Tabla2[[#This Row],[Tiempo Total a Nivel Proncincial (Horas)]])</f>
        <v>15.450000000000001</v>
      </c>
    </row>
    <row r="440" spans="2:45" x14ac:dyDescent="0.25">
      <c r="B440" s="91"/>
      <c r="C440" s="91"/>
      <c r="D440" s="91"/>
      <c r="E440" s="92"/>
      <c r="F440" s="92"/>
      <c r="G440" s="92"/>
      <c r="H440" s="98"/>
      <c r="I440" s="99"/>
      <c r="J440" s="99"/>
      <c r="K440" s="99"/>
      <c r="L440" s="98"/>
      <c r="M440" s="92"/>
      <c r="N440" s="100"/>
      <c r="O440" s="94"/>
      <c r="P440" s="102"/>
      <c r="Q440" s="100"/>
      <c r="R440" s="95"/>
      <c r="S440" s="95"/>
      <c r="T440" s="96"/>
      <c r="U440" s="101"/>
      <c r="V440" s="101"/>
      <c r="W440" s="96"/>
      <c r="X440" s="101"/>
      <c r="Y440" s="101"/>
      <c r="Z440" s="96"/>
      <c r="AA440" s="97"/>
      <c r="AB440" s="93"/>
      <c r="AD440" s="20" t="s">
        <v>2379</v>
      </c>
      <c r="AE440" s="10" t="s">
        <v>376</v>
      </c>
      <c r="AF440" s="20" t="s">
        <v>493</v>
      </c>
      <c r="AG440" s="10"/>
      <c r="AH440" s="22" t="str">
        <f t="shared" si="12"/>
        <v>Arequipa_08 La Uniòn</v>
      </c>
      <c r="AI440" s="10" t="s">
        <v>607</v>
      </c>
      <c r="AJ440" s="20" t="s">
        <v>593</v>
      </c>
      <c r="AK440" s="22" t="str">
        <f t="shared" si="13"/>
        <v>Arequipa_08 La Uniòn_04 Huaynacotas</v>
      </c>
      <c r="AL440" s="25">
        <v>6</v>
      </c>
      <c r="AM440" s="25">
        <v>52</v>
      </c>
      <c r="AN440" s="26">
        <f>Tabla2[[#This Row],[Minutos]]/60</f>
        <v>0.8666666666666667</v>
      </c>
      <c r="AO440" s="27">
        <f>SUM(Tabla2[[#This Row],[Horas]],Tabla2[[#This Row],[Minutos a Horas]])</f>
        <v>6.8666666666666671</v>
      </c>
      <c r="AP440" s="49">
        <v>9</v>
      </c>
      <c r="AQ440" s="49">
        <v>0</v>
      </c>
      <c r="AR440" s="26">
        <f>Tabla2[[#This Row],[Minutos*]]/60</f>
        <v>0</v>
      </c>
      <c r="AS440" s="27">
        <f>SUM(Tabla2[[#This Row],[Horas*]],Tabla2[[#This Row],[Minutos a Horas*]])+(Tabla2[[#This Row],[Tiempo Total a Nivel Proncincial (Horas)]])</f>
        <v>15.866666666666667</v>
      </c>
    </row>
    <row r="441" spans="2:45" x14ac:dyDescent="0.25">
      <c r="B441" s="91"/>
      <c r="C441" s="91"/>
      <c r="D441" s="91"/>
      <c r="E441" s="92"/>
      <c r="F441" s="92"/>
      <c r="G441" s="92"/>
      <c r="H441" s="98"/>
      <c r="I441" s="99"/>
      <c r="J441" s="99"/>
      <c r="K441" s="99"/>
      <c r="L441" s="98"/>
      <c r="M441" s="92"/>
      <c r="N441" s="100"/>
      <c r="O441" s="94"/>
      <c r="P441" s="102"/>
      <c r="Q441" s="100"/>
      <c r="R441" s="95"/>
      <c r="S441" s="95"/>
      <c r="T441" s="96"/>
      <c r="U441" s="101"/>
      <c r="V441" s="101"/>
      <c r="W441" s="96"/>
      <c r="X441" s="101"/>
      <c r="Y441" s="101"/>
      <c r="Z441" s="96"/>
      <c r="AA441" s="97"/>
      <c r="AB441" s="93"/>
      <c r="AD441" s="20" t="s">
        <v>2379</v>
      </c>
      <c r="AE441" s="10" t="s">
        <v>376</v>
      </c>
      <c r="AF441" s="20" t="s">
        <v>493</v>
      </c>
      <c r="AG441" s="10"/>
      <c r="AH441" s="22" t="str">
        <f t="shared" si="12"/>
        <v>Arequipa_08 La Uniòn</v>
      </c>
      <c r="AI441" s="10" t="s">
        <v>607</v>
      </c>
      <c r="AJ441" s="20" t="s">
        <v>594</v>
      </c>
      <c r="AK441" s="22" t="str">
        <f t="shared" si="13"/>
        <v>Arequipa_08 La Uniòn_05 Pampamarca</v>
      </c>
      <c r="AL441" s="25">
        <v>6</v>
      </c>
      <c r="AM441" s="25">
        <v>52</v>
      </c>
      <c r="AN441" s="26">
        <f>Tabla2[[#This Row],[Minutos]]/60</f>
        <v>0.8666666666666667</v>
      </c>
      <c r="AO441" s="27">
        <f>SUM(Tabla2[[#This Row],[Horas]],Tabla2[[#This Row],[Minutos a Horas]])</f>
        <v>6.8666666666666671</v>
      </c>
      <c r="AP441" s="49">
        <v>9</v>
      </c>
      <c r="AQ441" s="49">
        <v>55</v>
      </c>
      <c r="AR441" s="26">
        <f>Tabla2[[#This Row],[Minutos*]]/60</f>
        <v>0.91666666666666663</v>
      </c>
      <c r="AS441" s="27">
        <f>SUM(Tabla2[[#This Row],[Horas*]],Tabla2[[#This Row],[Minutos a Horas*]])+(Tabla2[[#This Row],[Tiempo Total a Nivel Proncincial (Horas)]])</f>
        <v>16.783333333333331</v>
      </c>
    </row>
    <row r="442" spans="2:45" x14ac:dyDescent="0.25">
      <c r="B442" s="91"/>
      <c r="C442" s="91"/>
      <c r="D442" s="91"/>
      <c r="E442" s="92"/>
      <c r="F442" s="92"/>
      <c r="G442" s="92"/>
      <c r="H442" s="98"/>
      <c r="I442" s="99"/>
      <c r="J442" s="99"/>
      <c r="K442" s="99"/>
      <c r="L442" s="98"/>
      <c r="M442" s="92"/>
      <c r="N442" s="100"/>
      <c r="O442" s="94"/>
      <c r="P442" s="102"/>
      <c r="Q442" s="100"/>
      <c r="R442" s="95"/>
      <c r="S442" s="95"/>
      <c r="T442" s="96"/>
      <c r="U442" s="101"/>
      <c r="V442" s="101"/>
      <c r="W442" s="96"/>
      <c r="X442" s="101"/>
      <c r="Y442" s="101"/>
      <c r="Z442" s="96"/>
      <c r="AA442" s="97"/>
      <c r="AB442" s="93"/>
      <c r="AD442" s="20" t="s">
        <v>2379</v>
      </c>
      <c r="AE442" s="10" t="s">
        <v>376</v>
      </c>
      <c r="AF442" s="20" t="s">
        <v>493</v>
      </c>
      <c r="AG442" s="10"/>
      <c r="AH442" s="22" t="str">
        <f t="shared" si="12"/>
        <v>Arequipa_08 La Uniòn</v>
      </c>
      <c r="AI442" s="10" t="s">
        <v>607</v>
      </c>
      <c r="AJ442" s="20" t="s">
        <v>595</v>
      </c>
      <c r="AK442" s="22" t="str">
        <f t="shared" si="13"/>
        <v>Arequipa_08 La Uniòn_06 Puyca</v>
      </c>
      <c r="AL442" s="25">
        <v>6</v>
      </c>
      <c r="AM442" s="25">
        <v>52</v>
      </c>
      <c r="AN442" s="26">
        <f>Tabla2[[#This Row],[Minutos]]/60</f>
        <v>0.8666666666666667</v>
      </c>
      <c r="AO442" s="27">
        <f>SUM(Tabla2[[#This Row],[Horas]],Tabla2[[#This Row],[Minutos a Horas]])</f>
        <v>6.8666666666666671</v>
      </c>
      <c r="AP442" s="49">
        <v>8</v>
      </c>
      <c r="AQ442" s="49">
        <v>15</v>
      </c>
      <c r="AR442" s="26">
        <f>Tabla2[[#This Row],[Minutos*]]/60</f>
        <v>0.25</v>
      </c>
      <c r="AS442" s="27">
        <f>SUM(Tabla2[[#This Row],[Horas*]],Tabla2[[#This Row],[Minutos a Horas*]])+(Tabla2[[#This Row],[Tiempo Total a Nivel Proncincial (Horas)]])</f>
        <v>15.116666666666667</v>
      </c>
    </row>
    <row r="443" spans="2:45" x14ac:dyDescent="0.25">
      <c r="B443" s="91"/>
      <c r="C443" s="91"/>
      <c r="D443" s="91"/>
      <c r="E443" s="92"/>
      <c r="F443" s="92"/>
      <c r="G443" s="92"/>
      <c r="H443" s="98"/>
      <c r="I443" s="99"/>
      <c r="J443" s="99"/>
      <c r="K443" s="99"/>
      <c r="L443" s="98"/>
      <c r="M443" s="92"/>
      <c r="N443" s="100"/>
      <c r="O443" s="94"/>
      <c r="P443" s="102"/>
      <c r="Q443" s="100"/>
      <c r="R443" s="95"/>
      <c r="S443" s="95"/>
      <c r="T443" s="96"/>
      <c r="U443" s="101"/>
      <c r="V443" s="101"/>
      <c r="W443" s="96"/>
      <c r="X443" s="101"/>
      <c r="Y443" s="101"/>
      <c r="Z443" s="96"/>
      <c r="AA443" s="97"/>
      <c r="AB443" s="93"/>
      <c r="AD443" s="20" t="s">
        <v>2379</v>
      </c>
      <c r="AE443" s="10" t="s">
        <v>376</v>
      </c>
      <c r="AF443" s="20" t="s">
        <v>493</v>
      </c>
      <c r="AG443" s="10"/>
      <c r="AH443" s="22" t="str">
        <f t="shared" si="12"/>
        <v>Arequipa_08 La Uniòn</v>
      </c>
      <c r="AI443" s="10" t="s">
        <v>607</v>
      </c>
      <c r="AJ443" s="20" t="s">
        <v>596</v>
      </c>
      <c r="AK443" s="22" t="str">
        <f t="shared" si="13"/>
        <v>Arequipa_08 La Uniòn_07 Quechualla</v>
      </c>
      <c r="AL443" s="25">
        <v>6</v>
      </c>
      <c r="AM443" s="25">
        <v>52</v>
      </c>
      <c r="AN443" s="26">
        <f>Tabla2[[#This Row],[Minutos]]/60</f>
        <v>0.8666666666666667</v>
      </c>
      <c r="AO443" s="27">
        <f>SUM(Tabla2[[#This Row],[Horas]],Tabla2[[#This Row],[Minutos a Horas]])</f>
        <v>6.8666666666666671</v>
      </c>
      <c r="AP443" s="49">
        <v>8</v>
      </c>
      <c r="AQ443" s="49">
        <v>55</v>
      </c>
      <c r="AR443" s="26">
        <f>Tabla2[[#This Row],[Minutos*]]/60</f>
        <v>0.91666666666666663</v>
      </c>
      <c r="AS443" s="27">
        <f>SUM(Tabla2[[#This Row],[Horas*]],Tabla2[[#This Row],[Minutos a Horas*]])+(Tabla2[[#This Row],[Tiempo Total a Nivel Proncincial (Horas)]])</f>
        <v>15.783333333333333</v>
      </c>
    </row>
    <row r="444" spans="2:45" x14ac:dyDescent="0.25">
      <c r="B444" s="91"/>
      <c r="C444" s="91"/>
      <c r="D444" s="91"/>
      <c r="E444" s="92"/>
      <c r="F444" s="92"/>
      <c r="G444" s="92"/>
      <c r="H444" s="98"/>
      <c r="I444" s="99"/>
      <c r="J444" s="99"/>
      <c r="K444" s="99"/>
      <c r="L444" s="98"/>
      <c r="M444" s="92"/>
      <c r="N444" s="100"/>
      <c r="O444" s="94"/>
      <c r="P444" s="102"/>
      <c r="Q444" s="100"/>
      <c r="R444" s="95"/>
      <c r="S444" s="95"/>
      <c r="T444" s="96"/>
      <c r="U444" s="101"/>
      <c r="V444" s="101"/>
      <c r="W444" s="96"/>
      <c r="X444" s="101"/>
      <c r="Y444" s="101"/>
      <c r="Z444" s="96"/>
      <c r="AA444" s="97"/>
      <c r="AB444" s="93"/>
      <c r="AD444" s="20" t="s">
        <v>2379</v>
      </c>
      <c r="AE444" s="10" t="s">
        <v>376</v>
      </c>
      <c r="AF444" s="20" t="s">
        <v>493</v>
      </c>
      <c r="AG444" s="10"/>
      <c r="AH444" s="22" t="str">
        <f t="shared" si="12"/>
        <v>Arequipa_08 La Uniòn</v>
      </c>
      <c r="AI444" s="10" t="s">
        <v>607</v>
      </c>
      <c r="AJ444" s="20" t="s">
        <v>597</v>
      </c>
      <c r="AK444" s="22" t="str">
        <f t="shared" si="13"/>
        <v>Arequipa_08 La Uniòn_08 Sayla</v>
      </c>
      <c r="AL444" s="25">
        <v>6</v>
      </c>
      <c r="AM444" s="25">
        <v>52</v>
      </c>
      <c r="AN444" s="26">
        <f>Tabla2[[#This Row],[Minutos]]/60</f>
        <v>0.8666666666666667</v>
      </c>
      <c r="AO444" s="27">
        <f>SUM(Tabla2[[#This Row],[Horas]],Tabla2[[#This Row],[Minutos a Horas]])</f>
        <v>6.8666666666666671</v>
      </c>
      <c r="AP444" s="49">
        <v>8</v>
      </c>
      <c r="AQ444" s="49">
        <v>45</v>
      </c>
      <c r="AR444" s="26">
        <f>Tabla2[[#This Row],[Minutos*]]/60</f>
        <v>0.75</v>
      </c>
      <c r="AS444" s="27">
        <f>SUM(Tabla2[[#This Row],[Horas*]],Tabla2[[#This Row],[Minutos a Horas*]])+(Tabla2[[#This Row],[Tiempo Total a Nivel Proncincial (Horas)]])</f>
        <v>15.616666666666667</v>
      </c>
    </row>
    <row r="445" spans="2:45" x14ac:dyDescent="0.25">
      <c r="B445" s="91"/>
      <c r="C445" s="91"/>
      <c r="D445" s="91"/>
      <c r="E445" s="92"/>
      <c r="F445" s="92"/>
      <c r="G445" s="92"/>
      <c r="H445" s="98"/>
      <c r="I445" s="99"/>
      <c r="J445" s="99"/>
      <c r="K445" s="99"/>
      <c r="L445" s="98"/>
      <c r="M445" s="92"/>
      <c r="N445" s="100"/>
      <c r="O445" s="94"/>
      <c r="P445" s="102"/>
      <c r="Q445" s="100"/>
      <c r="R445" s="95"/>
      <c r="S445" s="95"/>
      <c r="T445" s="96"/>
      <c r="U445" s="101"/>
      <c r="V445" s="101"/>
      <c r="W445" s="96"/>
      <c r="X445" s="101"/>
      <c r="Y445" s="101"/>
      <c r="Z445" s="96"/>
      <c r="AA445" s="97"/>
      <c r="AB445" s="93"/>
      <c r="AD445" s="20" t="s">
        <v>2379</v>
      </c>
      <c r="AE445" s="10" t="s">
        <v>376</v>
      </c>
      <c r="AF445" s="20" t="s">
        <v>493</v>
      </c>
      <c r="AG445" s="10"/>
      <c r="AH445" s="22" t="str">
        <f t="shared" si="12"/>
        <v>Arequipa_08 La Uniòn</v>
      </c>
      <c r="AI445" s="10" t="s">
        <v>607</v>
      </c>
      <c r="AJ445" s="20" t="s">
        <v>598</v>
      </c>
      <c r="AK445" s="22" t="str">
        <f t="shared" si="13"/>
        <v>Arequipa_08 La Uniòn_09 Tauria</v>
      </c>
      <c r="AL445" s="25">
        <v>6</v>
      </c>
      <c r="AM445" s="25">
        <v>52</v>
      </c>
      <c r="AN445" s="26">
        <f>Tabla2[[#This Row],[Minutos]]/60</f>
        <v>0.8666666666666667</v>
      </c>
      <c r="AO445" s="27">
        <f>SUM(Tabla2[[#This Row],[Horas]],Tabla2[[#This Row],[Minutos a Horas]])</f>
        <v>6.8666666666666671</v>
      </c>
      <c r="AP445" s="49">
        <v>8</v>
      </c>
      <c r="AQ445" s="49">
        <v>0</v>
      </c>
      <c r="AR445" s="26">
        <f>Tabla2[[#This Row],[Minutos*]]/60</f>
        <v>0</v>
      </c>
      <c r="AS445" s="27">
        <f>SUM(Tabla2[[#This Row],[Horas*]],Tabla2[[#This Row],[Minutos a Horas*]])+(Tabla2[[#This Row],[Tiempo Total a Nivel Proncincial (Horas)]])</f>
        <v>14.866666666666667</v>
      </c>
    </row>
    <row r="446" spans="2:45" x14ac:dyDescent="0.25">
      <c r="B446" s="91"/>
      <c r="C446" s="91"/>
      <c r="D446" s="91"/>
      <c r="E446" s="92"/>
      <c r="F446" s="92"/>
      <c r="G446" s="92"/>
      <c r="H446" s="98"/>
      <c r="I446" s="99"/>
      <c r="J446" s="99"/>
      <c r="K446" s="99"/>
      <c r="L446" s="98"/>
      <c r="M446" s="92"/>
      <c r="N446" s="100"/>
      <c r="O446" s="94"/>
      <c r="P446" s="102"/>
      <c r="Q446" s="100"/>
      <c r="R446" s="95"/>
      <c r="S446" s="95"/>
      <c r="T446" s="96"/>
      <c r="U446" s="101"/>
      <c r="V446" s="101"/>
      <c r="W446" s="96"/>
      <c r="X446" s="101"/>
      <c r="Y446" s="101"/>
      <c r="Z446" s="96"/>
      <c r="AA446" s="97"/>
      <c r="AB446" s="93"/>
      <c r="AD446" s="20" t="s">
        <v>2379</v>
      </c>
      <c r="AE446" s="10" t="s">
        <v>376</v>
      </c>
      <c r="AF446" s="20" t="s">
        <v>493</v>
      </c>
      <c r="AG446" s="10"/>
      <c r="AH446" s="22" t="str">
        <f t="shared" si="12"/>
        <v>Arequipa_08 La Uniòn</v>
      </c>
      <c r="AI446" s="10" t="s">
        <v>607</v>
      </c>
      <c r="AJ446" s="20" t="s">
        <v>599</v>
      </c>
      <c r="AK446" s="22" t="str">
        <f t="shared" si="13"/>
        <v>Arequipa_08 La Uniòn_10 Tomepampa</v>
      </c>
      <c r="AL446" s="25">
        <v>6</v>
      </c>
      <c r="AM446" s="25">
        <v>52</v>
      </c>
      <c r="AN446" s="26">
        <f>Tabla2[[#This Row],[Minutos]]/60</f>
        <v>0.8666666666666667</v>
      </c>
      <c r="AO446" s="27">
        <f>SUM(Tabla2[[#This Row],[Horas]],Tabla2[[#This Row],[Minutos a Horas]])</f>
        <v>6.8666666666666671</v>
      </c>
      <c r="AP446" s="49">
        <v>7</v>
      </c>
      <c r="AQ446" s="49">
        <v>40</v>
      </c>
      <c r="AR446" s="26">
        <f>Tabla2[[#This Row],[Minutos*]]/60</f>
        <v>0.66666666666666663</v>
      </c>
      <c r="AS446" s="27">
        <f>SUM(Tabla2[[#This Row],[Horas*]],Tabla2[[#This Row],[Minutos a Horas*]])+(Tabla2[[#This Row],[Tiempo Total a Nivel Proncincial (Horas)]])</f>
        <v>14.533333333333335</v>
      </c>
    </row>
    <row r="447" spans="2:45" x14ac:dyDescent="0.25">
      <c r="B447" s="91"/>
      <c r="C447" s="91"/>
      <c r="D447" s="91"/>
      <c r="E447" s="92"/>
      <c r="F447" s="92"/>
      <c r="G447" s="92"/>
      <c r="H447" s="98"/>
      <c r="I447" s="99"/>
      <c r="J447" s="99"/>
      <c r="K447" s="99"/>
      <c r="L447" s="98"/>
      <c r="M447" s="92"/>
      <c r="N447" s="100"/>
      <c r="O447" s="94"/>
      <c r="P447" s="102"/>
      <c r="Q447" s="100"/>
      <c r="R447" s="95"/>
      <c r="S447" s="95"/>
      <c r="T447" s="96"/>
      <c r="U447" s="101"/>
      <c r="V447" s="101"/>
      <c r="W447" s="96"/>
      <c r="X447" s="101"/>
      <c r="Y447" s="101"/>
      <c r="Z447" s="96"/>
      <c r="AA447" s="97"/>
      <c r="AB447" s="93"/>
      <c r="AD447" s="20" t="s">
        <v>2379</v>
      </c>
      <c r="AE447" s="10" t="s">
        <v>376</v>
      </c>
      <c r="AF447" s="20" t="s">
        <v>493</v>
      </c>
      <c r="AG447" s="10"/>
      <c r="AH447" s="22" t="str">
        <f t="shared" si="12"/>
        <v>Arequipa_08 La Uniòn</v>
      </c>
      <c r="AI447" s="10" t="s">
        <v>607</v>
      </c>
      <c r="AJ447" s="20" t="s">
        <v>600</v>
      </c>
      <c r="AK447" s="22" t="str">
        <f t="shared" si="13"/>
        <v>Arequipa_08 La Uniòn_11 Toro</v>
      </c>
      <c r="AL447" s="25">
        <v>6</v>
      </c>
      <c r="AM447" s="25">
        <v>52</v>
      </c>
      <c r="AN447" s="26">
        <f>Tabla2[[#This Row],[Minutos]]/60</f>
        <v>0.8666666666666667</v>
      </c>
      <c r="AO447" s="27">
        <f>SUM(Tabla2[[#This Row],[Horas]],Tabla2[[#This Row],[Minutos a Horas]])</f>
        <v>6.8666666666666671</v>
      </c>
      <c r="AP447" s="49">
        <v>8</v>
      </c>
      <c r="AQ447" s="49">
        <v>30</v>
      </c>
      <c r="AR447" s="26">
        <f>Tabla2[[#This Row],[Minutos*]]/60</f>
        <v>0.5</v>
      </c>
      <c r="AS447" s="27">
        <f>SUM(Tabla2[[#This Row],[Horas*]],Tabla2[[#This Row],[Minutos a Horas*]])+(Tabla2[[#This Row],[Tiempo Total a Nivel Proncincial (Horas)]])</f>
        <v>15.366666666666667</v>
      </c>
    </row>
    <row r="448" spans="2:45" x14ac:dyDescent="0.25">
      <c r="B448" s="91"/>
      <c r="C448" s="91"/>
      <c r="D448" s="91"/>
      <c r="E448" s="92"/>
      <c r="F448" s="92"/>
      <c r="G448" s="92"/>
      <c r="H448" s="98"/>
      <c r="I448" s="99"/>
      <c r="J448" s="99"/>
      <c r="K448" s="99"/>
      <c r="L448" s="98"/>
      <c r="M448" s="92"/>
      <c r="N448" s="100"/>
      <c r="O448" s="94"/>
      <c r="P448" s="102"/>
      <c r="Q448" s="100"/>
      <c r="R448" s="95"/>
      <c r="S448" s="95"/>
      <c r="T448" s="96"/>
      <c r="U448" s="101"/>
      <c r="V448" s="101"/>
      <c r="W448" s="96"/>
      <c r="X448" s="101"/>
      <c r="Y448" s="101"/>
      <c r="Z448" s="96"/>
      <c r="AA448" s="97"/>
      <c r="AB448" s="93"/>
      <c r="AD448" s="20" t="s">
        <v>2380</v>
      </c>
      <c r="AE448" s="10" t="s">
        <v>377</v>
      </c>
      <c r="AF448" s="20" t="s">
        <v>608</v>
      </c>
      <c r="AG448" s="10" t="s">
        <v>608</v>
      </c>
      <c r="AH448" s="22" t="str">
        <f t="shared" si="12"/>
        <v>Ayacucho_01 Huamanga</v>
      </c>
      <c r="AI448" s="10" t="s">
        <v>737</v>
      </c>
      <c r="AJ448" s="20" t="s">
        <v>619</v>
      </c>
      <c r="AK448" s="22" t="str">
        <f t="shared" si="13"/>
        <v>Ayacucho_01 Huamanga_01 Ayacucho</v>
      </c>
      <c r="AL448" s="25">
        <v>1</v>
      </c>
      <c r="AM448" s="25">
        <v>48</v>
      </c>
      <c r="AN448" s="26">
        <f>Tabla2[[#This Row],[Minutos]]/60</f>
        <v>0.8</v>
      </c>
      <c r="AO448" s="27">
        <f>SUM(Tabla2[[#This Row],[Horas]],Tabla2[[#This Row],[Minutos a Horas]])</f>
        <v>1.8</v>
      </c>
      <c r="AP448" s="49">
        <v>0</v>
      </c>
      <c r="AQ448" s="49">
        <v>0</v>
      </c>
      <c r="AR448" s="26">
        <f>Tabla2[[#This Row],[Minutos*]]/60</f>
        <v>0</v>
      </c>
      <c r="AS448" s="27">
        <f>SUM(Tabla2[[#This Row],[Horas*]],Tabla2[[#This Row],[Minutos a Horas*]])+(Tabla2[[#This Row],[Tiempo Total a Nivel Proncincial (Horas)]])</f>
        <v>1.8</v>
      </c>
    </row>
    <row r="449" spans="2:45" x14ac:dyDescent="0.25">
      <c r="B449" s="91"/>
      <c r="C449" s="91"/>
      <c r="D449" s="91"/>
      <c r="E449" s="92"/>
      <c r="F449" s="92"/>
      <c r="G449" s="92"/>
      <c r="H449" s="98"/>
      <c r="I449" s="99"/>
      <c r="J449" s="99"/>
      <c r="K449" s="99"/>
      <c r="L449" s="98"/>
      <c r="M449" s="92"/>
      <c r="N449" s="100"/>
      <c r="O449" s="94"/>
      <c r="P449" s="102"/>
      <c r="Q449" s="100"/>
      <c r="R449" s="95"/>
      <c r="S449" s="95"/>
      <c r="T449" s="96"/>
      <c r="U449" s="101"/>
      <c r="V449" s="101"/>
      <c r="W449" s="96"/>
      <c r="X449" s="101"/>
      <c r="Y449" s="101"/>
      <c r="Z449" s="96"/>
      <c r="AA449" s="97"/>
      <c r="AB449" s="93"/>
      <c r="AD449" s="20" t="s">
        <v>2380</v>
      </c>
      <c r="AE449" s="10" t="s">
        <v>377</v>
      </c>
      <c r="AF449" s="20" t="s">
        <v>608</v>
      </c>
      <c r="AG449" s="10" t="s">
        <v>609</v>
      </c>
      <c r="AH449" s="22" t="str">
        <f t="shared" si="12"/>
        <v>Ayacucho_01 Huamanga</v>
      </c>
      <c r="AI449" s="10" t="s">
        <v>737</v>
      </c>
      <c r="AJ449" s="20" t="s">
        <v>620</v>
      </c>
      <c r="AK449" s="22" t="str">
        <f t="shared" si="13"/>
        <v>Ayacucho_01 Huamanga_02 Acocro</v>
      </c>
      <c r="AL449" s="25">
        <v>1</v>
      </c>
      <c r="AM449" s="25">
        <v>48</v>
      </c>
      <c r="AN449" s="26">
        <f>Tabla2[[#This Row],[Minutos]]/60</f>
        <v>0.8</v>
      </c>
      <c r="AO449" s="27">
        <f>SUM(Tabla2[[#This Row],[Horas]],Tabla2[[#This Row],[Minutos a Horas]])</f>
        <v>1.8</v>
      </c>
      <c r="AP449" s="49">
        <v>1</v>
      </c>
      <c r="AQ449" s="49">
        <v>50</v>
      </c>
      <c r="AR449" s="26">
        <f>Tabla2[[#This Row],[Minutos*]]/60</f>
        <v>0.83333333333333337</v>
      </c>
      <c r="AS449" s="27">
        <f>SUM(Tabla2[[#This Row],[Horas*]],Tabla2[[#This Row],[Minutos a Horas*]])+(Tabla2[[#This Row],[Tiempo Total a Nivel Proncincial (Horas)]])</f>
        <v>3.6333333333333337</v>
      </c>
    </row>
    <row r="450" spans="2:45" x14ac:dyDescent="0.25">
      <c r="B450" s="91"/>
      <c r="C450" s="91"/>
      <c r="D450" s="91"/>
      <c r="E450" s="92"/>
      <c r="F450" s="92"/>
      <c r="G450" s="92"/>
      <c r="H450" s="98"/>
      <c r="I450" s="99"/>
      <c r="J450" s="99"/>
      <c r="K450" s="99"/>
      <c r="L450" s="98"/>
      <c r="M450" s="92"/>
      <c r="N450" s="100"/>
      <c r="O450" s="94"/>
      <c r="P450" s="102"/>
      <c r="Q450" s="100"/>
      <c r="R450" s="95"/>
      <c r="S450" s="95"/>
      <c r="T450" s="96"/>
      <c r="U450" s="101"/>
      <c r="V450" s="101"/>
      <c r="W450" s="96"/>
      <c r="X450" s="101"/>
      <c r="Y450" s="101"/>
      <c r="Z450" s="96"/>
      <c r="AA450" s="97"/>
      <c r="AB450" s="93"/>
      <c r="AD450" s="20" t="s">
        <v>2380</v>
      </c>
      <c r="AE450" s="10" t="s">
        <v>377</v>
      </c>
      <c r="AF450" s="20" t="s">
        <v>608</v>
      </c>
      <c r="AG450" s="10" t="s">
        <v>610</v>
      </c>
      <c r="AH450" s="22" t="str">
        <f t="shared" si="12"/>
        <v>Ayacucho_01 Huamanga</v>
      </c>
      <c r="AI450" s="10" t="s">
        <v>737</v>
      </c>
      <c r="AJ450" s="20" t="s">
        <v>621</v>
      </c>
      <c r="AK450" s="22" t="str">
        <f t="shared" si="13"/>
        <v>Ayacucho_01 Huamanga_03 Acos Vinchos</v>
      </c>
      <c r="AL450" s="25">
        <v>1</v>
      </c>
      <c r="AM450" s="25">
        <v>48</v>
      </c>
      <c r="AN450" s="26">
        <f>Tabla2[[#This Row],[Minutos]]/60</f>
        <v>0.8</v>
      </c>
      <c r="AO450" s="27">
        <f>SUM(Tabla2[[#This Row],[Horas]],Tabla2[[#This Row],[Minutos a Horas]])</f>
        <v>1.8</v>
      </c>
      <c r="AP450" s="49">
        <v>1</v>
      </c>
      <c r="AQ450" s="49">
        <v>0</v>
      </c>
      <c r="AR450" s="26">
        <f>Tabla2[[#This Row],[Minutos*]]/60</f>
        <v>0</v>
      </c>
      <c r="AS450" s="27">
        <f>SUM(Tabla2[[#This Row],[Horas*]],Tabla2[[#This Row],[Minutos a Horas*]])+(Tabla2[[#This Row],[Tiempo Total a Nivel Proncincial (Horas)]])</f>
        <v>2.8</v>
      </c>
    </row>
    <row r="451" spans="2:45" x14ac:dyDescent="0.25">
      <c r="B451" s="91"/>
      <c r="C451" s="91"/>
      <c r="D451" s="91"/>
      <c r="E451" s="92"/>
      <c r="F451" s="92"/>
      <c r="G451" s="92"/>
      <c r="H451" s="98"/>
      <c r="I451" s="99"/>
      <c r="J451" s="99"/>
      <c r="K451" s="99"/>
      <c r="L451" s="98"/>
      <c r="M451" s="92"/>
      <c r="N451" s="100"/>
      <c r="O451" s="94"/>
      <c r="P451" s="102"/>
      <c r="Q451" s="100"/>
      <c r="R451" s="95"/>
      <c r="S451" s="95"/>
      <c r="T451" s="96"/>
      <c r="U451" s="101"/>
      <c r="V451" s="101"/>
      <c r="W451" s="96"/>
      <c r="X451" s="101"/>
      <c r="Y451" s="101"/>
      <c r="Z451" s="96"/>
      <c r="AA451" s="97"/>
      <c r="AB451" s="93"/>
      <c r="AD451" s="20" t="s">
        <v>2380</v>
      </c>
      <c r="AE451" s="10" t="s">
        <v>377</v>
      </c>
      <c r="AF451" s="20" t="s">
        <v>608</v>
      </c>
      <c r="AG451" s="10" t="s">
        <v>611</v>
      </c>
      <c r="AH451" s="22" t="str">
        <f t="shared" si="12"/>
        <v>Ayacucho_01 Huamanga</v>
      </c>
      <c r="AI451" s="10" t="s">
        <v>737</v>
      </c>
      <c r="AJ451" s="20" t="s">
        <v>622</v>
      </c>
      <c r="AK451" s="22" t="str">
        <f t="shared" si="13"/>
        <v>Ayacucho_01 Huamanga_04 Carmen Alto</v>
      </c>
      <c r="AL451" s="25">
        <v>1</v>
      </c>
      <c r="AM451" s="25">
        <v>48</v>
      </c>
      <c r="AN451" s="26">
        <f>Tabla2[[#This Row],[Minutos]]/60</f>
        <v>0.8</v>
      </c>
      <c r="AO451" s="27">
        <f>SUM(Tabla2[[#This Row],[Horas]],Tabla2[[#This Row],[Minutos a Horas]])</f>
        <v>1.8</v>
      </c>
      <c r="AP451" s="49">
        <v>0</v>
      </c>
      <c r="AQ451" s="49">
        <v>16</v>
      </c>
      <c r="AR451" s="26">
        <f>Tabla2[[#This Row],[Minutos*]]/60</f>
        <v>0.26666666666666666</v>
      </c>
      <c r="AS451" s="27">
        <f>SUM(Tabla2[[#This Row],[Horas*]],Tabla2[[#This Row],[Minutos a Horas*]])+(Tabla2[[#This Row],[Tiempo Total a Nivel Proncincial (Horas)]])</f>
        <v>2.0666666666666669</v>
      </c>
    </row>
    <row r="452" spans="2:45" x14ac:dyDescent="0.25">
      <c r="B452" s="91"/>
      <c r="C452" s="91"/>
      <c r="D452" s="91"/>
      <c r="E452" s="92"/>
      <c r="F452" s="92"/>
      <c r="G452" s="92"/>
      <c r="H452" s="98"/>
      <c r="I452" s="99"/>
      <c r="J452" s="99"/>
      <c r="K452" s="99"/>
      <c r="L452" s="98"/>
      <c r="M452" s="92"/>
      <c r="N452" s="100"/>
      <c r="O452" s="94"/>
      <c r="P452" s="102"/>
      <c r="Q452" s="100"/>
      <c r="R452" s="95"/>
      <c r="S452" s="95"/>
      <c r="T452" s="96"/>
      <c r="U452" s="101"/>
      <c r="V452" s="101"/>
      <c r="W452" s="96"/>
      <c r="X452" s="101"/>
      <c r="Y452" s="101"/>
      <c r="Z452" s="96"/>
      <c r="AA452" s="97"/>
      <c r="AB452" s="93"/>
      <c r="AD452" s="20" t="s">
        <v>2380</v>
      </c>
      <c r="AE452" s="10" t="s">
        <v>377</v>
      </c>
      <c r="AF452" s="20" t="s">
        <v>608</v>
      </c>
      <c r="AG452" s="10" t="s">
        <v>612</v>
      </c>
      <c r="AH452" s="22" t="str">
        <f t="shared" si="12"/>
        <v>Ayacucho_01 Huamanga</v>
      </c>
      <c r="AI452" s="10" t="s">
        <v>737</v>
      </c>
      <c r="AJ452" s="20" t="s">
        <v>623</v>
      </c>
      <c r="AK452" s="22" t="str">
        <f t="shared" si="13"/>
        <v>Ayacucho_01 Huamanga_05 Chiara</v>
      </c>
      <c r="AL452" s="25">
        <v>1</v>
      </c>
      <c r="AM452" s="25">
        <v>48</v>
      </c>
      <c r="AN452" s="26">
        <f>Tabla2[[#This Row],[Minutos]]/60</f>
        <v>0.8</v>
      </c>
      <c r="AO452" s="27">
        <f>SUM(Tabla2[[#This Row],[Horas]],Tabla2[[#This Row],[Minutos a Horas]])</f>
        <v>1.8</v>
      </c>
      <c r="AP452" s="49">
        <v>1</v>
      </c>
      <c r="AQ452" s="49">
        <v>20</v>
      </c>
      <c r="AR452" s="26">
        <f>Tabla2[[#This Row],[Minutos*]]/60</f>
        <v>0.33333333333333331</v>
      </c>
      <c r="AS452" s="27">
        <f>SUM(Tabla2[[#This Row],[Horas*]],Tabla2[[#This Row],[Minutos a Horas*]])+(Tabla2[[#This Row],[Tiempo Total a Nivel Proncincial (Horas)]])</f>
        <v>3.1333333333333333</v>
      </c>
    </row>
    <row r="453" spans="2:45" x14ac:dyDescent="0.25">
      <c r="B453" s="91"/>
      <c r="C453" s="91"/>
      <c r="D453" s="91"/>
      <c r="E453" s="92"/>
      <c r="F453" s="92"/>
      <c r="G453" s="92"/>
      <c r="H453" s="98"/>
      <c r="I453" s="99"/>
      <c r="J453" s="99"/>
      <c r="K453" s="99"/>
      <c r="L453" s="98"/>
      <c r="M453" s="92"/>
      <c r="N453" s="100"/>
      <c r="O453" s="94"/>
      <c r="P453" s="102"/>
      <c r="Q453" s="100"/>
      <c r="R453" s="95"/>
      <c r="S453" s="95"/>
      <c r="T453" s="96"/>
      <c r="U453" s="101"/>
      <c r="V453" s="101"/>
      <c r="W453" s="96"/>
      <c r="X453" s="101"/>
      <c r="Y453" s="101"/>
      <c r="Z453" s="96"/>
      <c r="AA453" s="97"/>
      <c r="AB453" s="93"/>
      <c r="AD453" s="20" t="s">
        <v>2380</v>
      </c>
      <c r="AE453" s="10" t="s">
        <v>377</v>
      </c>
      <c r="AF453" s="20" t="s">
        <v>608</v>
      </c>
      <c r="AG453" s="10" t="s">
        <v>613</v>
      </c>
      <c r="AH453" s="22" t="str">
        <f t="shared" si="12"/>
        <v>Ayacucho_01 Huamanga</v>
      </c>
      <c r="AI453" s="10" t="s">
        <v>737</v>
      </c>
      <c r="AJ453" s="20" t="s">
        <v>624</v>
      </c>
      <c r="AK453" s="22" t="str">
        <f t="shared" si="13"/>
        <v>Ayacucho_01 Huamanga_06 Ocros</v>
      </c>
      <c r="AL453" s="25">
        <v>1</v>
      </c>
      <c r="AM453" s="25">
        <v>48</v>
      </c>
      <c r="AN453" s="26">
        <f>Tabla2[[#This Row],[Minutos]]/60</f>
        <v>0.8</v>
      </c>
      <c r="AO453" s="27">
        <f>SUM(Tabla2[[#This Row],[Horas]],Tabla2[[#This Row],[Minutos a Horas]])</f>
        <v>1.8</v>
      </c>
      <c r="AP453" s="49">
        <v>3</v>
      </c>
      <c r="AQ453" s="49">
        <v>30</v>
      </c>
      <c r="AR453" s="26">
        <f>Tabla2[[#This Row],[Minutos*]]/60</f>
        <v>0.5</v>
      </c>
      <c r="AS453" s="27">
        <f>SUM(Tabla2[[#This Row],[Horas*]],Tabla2[[#This Row],[Minutos a Horas*]])+(Tabla2[[#This Row],[Tiempo Total a Nivel Proncincial (Horas)]])</f>
        <v>5.3</v>
      </c>
    </row>
    <row r="454" spans="2:45" x14ac:dyDescent="0.25">
      <c r="B454" s="91"/>
      <c r="C454" s="91"/>
      <c r="D454" s="91"/>
      <c r="E454" s="92"/>
      <c r="F454" s="92"/>
      <c r="G454" s="92"/>
      <c r="H454" s="98"/>
      <c r="I454" s="99"/>
      <c r="J454" s="99"/>
      <c r="K454" s="99"/>
      <c r="L454" s="98"/>
      <c r="M454" s="92"/>
      <c r="N454" s="100"/>
      <c r="O454" s="94"/>
      <c r="P454" s="102"/>
      <c r="Q454" s="100"/>
      <c r="R454" s="95"/>
      <c r="S454" s="95"/>
      <c r="T454" s="96"/>
      <c r="U454" s="101"/>
      <c r="V454" s="101"/>
      <c r="W454" s="96"/>
      <c r="X454" s="101"/>
      <c r="Y454" s="101"/>
      <c r="Z454" s="96"/>
      <c r="AA454" s="97"/>
      <c r="AB454" s="93"/>
      <c r="AD454" s="20" t="s">
        <v>2380</v>
      </c>
      <c r="AE454" s="10" t="s">
        <v>377</v>
      </c>
      <c r="AF454" s="20" t="s">
        <v>608</v>
      </c>
      <c r="AG454" s="10" t="s">
        <v>614</v>
      </c>
      <c r="AH454" s="22" t="str">
        <f t="shared" si="12"/>
        <v>Ayacucho_01 Huamanga</v>
      </c>
      <c r="AI454" s="10" t="s">
        <v>737</v>
      </c>
      <c r="AJ454" s="20" t="s">
        <v>625</v>
      </c>
      <c r="AK454" s="22" t="str">
        <f t="shared" si="13"/>
        <v>Ayacucho_01 Huamanga_07 Pacaycasa</v>
      </c>
      <c r="AL454" s="25">
        <v>1</v>
      </c>
      <c r="AM454" s="25">
        <v>48</v>
      </c>
      <c r="AN454" s="26">
        <f>Tabla2[[#This Row],[Minutos]]/60</f>
        <v>0.8</v>
      </c>
      <c r="AO454" s="27">
        <f>SUM(Tabla2[[#This Row],[Horas]],Tabla2[[#This Row],[Minutos a Horas]])</f>
        <v>1.8</v>
      </c>
      <c r="AP454" s="49">
        <v>0</v>
      </c>
      <c r="AQ454" s="49">
        <v>40</v>
      </c>
      <c r="AR454" s="26">
        <f>Tabla2[[#This Row],[Minutos*]]/60</f>
        <v>0.66666666666666663</v>
      </c>
      <c r="AS454" s="27">
        <f>SUM(Tabla2[[#This Row],[Horas*]],Tabla2[[#This Row],[Minutos a Horas*]])+(Tabla2[[#This Row],[Tiempo Total a Nivel Proncincial (Horas)]])</f>
        <v>2.4666666666666668</v>
      </c>
    </row>
    <row r="455" spans="2:45" x14ac:dyDescent="0.25">
      <c r="B455" s="91"/>
      <c r="C455" s="91"/>
      <c r="D455" s="91"/>
      <c r="E455" s="92"/>
      <c r="F455" s="92"/>
      <c r="G455" s="92"/>
      <c r="H455" s="98"/>
      <c r="I455" s="99"/>
      <c r="J455" s="99"/>
      <c r="K455" s="99"/>
      <c r="L455" s="98"/>
      <c r="M455" s="92"/>
      <c r="N455" s="100"/>
      <c r="O455" s="94"/>
      <c r="P455" s="102"/>
      <c r="Q455" s="100"/>
      <c r="R455" s="95"/>
      <c r="S455" s="95"/>
      <c r="T455" s="96"/>
      <c r="U455" s="101"/>
      <c r="V455" s="101"/>
      <c r="W455" s="96"/>
      <c r="X455" s="101"/>
      <c r="Y455" s="101"/>
      <c r="Z455" s="96"/>
      <c r="AA455" s="97"/>
      <c r="AB455" s="93"/>
      <c r="AD455" s="20" t="s">
        <v>2380</v>
      </c>
      <c r="AE455" s="10" t="s">
        <v>377</v>
      </c>
      <c r="AF455" s="20" t="s">
        <v>608</v>
      </c>
      <c r="AG455" s="10" t="s">
        <v>615</v>
      </c>
      <c r="AH455" s="22" t="str">
        <f t="shared" ref="AH455:AH518" si="14">CONCATENATE(AD455,"_",AF455)</f>
        <v>Ayacucho_01 Huamanga</v>
      </c>
      <c r="AI455" s="10" t="s">
        <v>737</v>
      </c>
      <c r="AJ455" s="20" t="s">
        <v>626</v>
      </c>
      <c r="AK455" s="22" t="str">
        <f t="shared" ref="AK455:AK518" si="15">CONCATENATE(AH455,"_",AJ455)</f>
        <v>Ayacucho_01 Huamanga_08 Quinua</v>
      </c>
      <c r="AL455" s="25">
        <v>1</v>
      </c>
      <c r="AM455" s="25">
        <v>48</v>
      </c>
      <c r="AN455" s="26">
        <f>Tabla2[[#This Row],[Minutos]]/60</f>
        <v>0.8</v>
      </c>
      <c r="AO455" s="27">
        <f>SUM(Tabla2[[#This Row],[Horas]],Tabla2[[#This Row],[Minutos a Horas]])</f>
        <v>1.8</v>
      </c>
      <c r="AP455" s="49">
        <v>1</v>
      </c>
      <c r="AQ455" s="49">
        <v>0</v>
      </c>
      <c r="AR455" s="26">
        <f>Tabla2[[#This Row],[Minutos*]]/60</f>
        <v>0</v>
      </c>
      <c r="AS455" s="27">
        <f>SUM(Tabla2[[#This Row],[Horas*]],Tabla2[[#This Row],[Minutos a Horas*]])+(Tabla2[[#This Row],[Tiempo Total a Nivel Proncincial (Horas)]])</f>
        <v>2.8</v>
      </c>
    </row>
    <row r="456" spans="2:45" x14ac:dyDescent="0.25">
      <c r="B456" s="91"/>
      <c r="C456" s="91"/>
      <c r="D456" s="91"/>
      <c r="E456" s="92"/>
      <c r="F456" s="92"/>
      <c r="G456" s="92"/>
      <c r="H456" s="98"/>
      <c r="I456" s="99"/>
      <c r="J456" s="99"/>
      <c r="K456" s="99"/>
      <c r="L456" s="98"/>
      <c r="M456" s="92"/>
      <c r="N456" s="100"/>
      <c r="O456" s="94"/>
      <c r="P456" s="102"/>
      <c r="Q456" s="100"/>
      <c r="R456" s="95"/>
      <c r="S456" s="95"/>
      <c r="T456" s="96"/>
      <c r="U456" s="101"/>
      <c r="V456" s="101"/>
      <c r="W456" s="96"/>
      <c r="X456" s="101"/>
      <c r="Y456" s="101"/>
      <c r="Z456" s="96"/>
      <c r="AA456" s="97"/>
      <c r="AB456" s="93"/>
      <c r="AD456" s="20" t="s">
        <v>2380</v>
      </c>
      <c r="AE456" s="10" t="s">
        <v>377</v>
      </c>
      <c r="AF456" s="20" t="s">
        <v>608</v>
      </c>
      <c r="AG456" s="10" t="s">
        <v>616</v>
      </c>
      <c r="AH456" s="22" t="str">
        <f t="shared" si="14"/>
        <v>Ayacucho_01 Huamanga</v>
      </c>
      <c r="AI456" s="10" t="s">
        <v>737</v>
      </c>
      <c r="AJ456" s="20" t="s">
        <v>627</v>
      </c>
      <c r="AK456" s="22" t="str">
        <f t="shared" si="15"/>
        <v>Ayacucho_01 Huamanga_09 San José de Ticllas</v>
      </c>
      <c r="AL456" s="25">
        <v>1</v>
      </c>
      <c r="AM456" s="25">
        <v>48</v>
      </c>
      <c r="AN456" s="26">
        <f>Tabla2[[#This Row],[Minutos]]/60</f>
        <v>0.8</v>
      </c>
      <c r="AO456" s="27">
        <f>SUM(Tabla2[[#This Row],[Horas]],Tabla2[[#This Row],[Minutos a Horas]])</f>
        <v>1.8</v>
      </c>
      <c r="AP456" s="49">
        <v>1</v>
      </c>
      <c r="AQ456" s="49">
        <v>30</v>
      </c>
      <c r="AR456" s="26">
        <f>Tabla2[[#This Row],[Minutos*]]/60</f>
        <v>0.5</v>
      </c>
      <c r="AS456" s="27">
        <f>SUM(Tabla2[[#This Row],[Horas*]],Tabla2[[#This Row],[Minutos a Horas*]])+(Tabla2[[#This Row],[Tiempo Total a Nivel Proncincial (Horas)]])</f>
        <v>3.3</v>
      </c>
    </row>
    <row r="457" spans="2:45" x14ac:dyDescent="0.25">
      <c r="B457" s="91"/>
      <c r="C457" s="91"/>
      <c r="D457" s="91"/>
      <c r="E457" s="92"/>
      <c r="F457" s="92"/>
      <c r="G457" s="92"/>
      <c r="H457" s="98"/>
      <c r="I457" s="99"/>
      <c r="J457" s="99"/>
      <c r="K457" s="99"/>
      <c r="L457" s="98"/>
      <c r="M457" s="92"/>
      <c r="N457" s="100"/>
      <c r="O457" s="94"/>
      <c r="P457" s="102"/>
      <c r="Q457" s="100"/>
      <c r="R457" s="95"/>
      <c r="S457" s="95"/>
      <c r="T457" s="96"/>
      <c r="U457" s="101"/>
      <c r="V457" s="101"/>
      <c r="W457" s="96"/>
      <c r="X457" s="101"/>
      <c r="Y457" s="101"/>
      <c r="Z457" s="96"/>
      <c r="AA457" s="97"/>
      <c r="AB457" s="93"/>
      <c r="AD457" s="20" t="s">
        <v>2380</v>
      </c>
      <c r="AE457" s="10" t="s">
        <v>377</v>
      </c>
      <c r="AF457" s="20" t="s">
        <v>608</v>
      </c>
      <c r="AG457" s="10" t="s">
        <v>617</v>
      </c>
      <c r="AH457" s="22" t="str">
        <f t="shared" si="14"/>
        <v>Ayacucho_01 Huamanga</v>
      </c>
      <c r="AI457" s="10" t="s">
        <v>737</v>
      </c>
      <c r="AJ457" s="20" t="s">
        <v>628</v>
      </c>
      <c r="AK457" s="22" t="str">
        <f t="shared" si="15"/>
        <v>Ayacucho_01 Huamanga_10 San Juan Bautista</v>
      </c>
      <c r="AL457" s="25">
        <v>1</v>
      </c>
      <c r="AM457" s="25">
        <v>48</v>
      </c>
      <c r="AN457" s="26">
        <f>Tabla2[[#This Row],[Minutos]]/60</f>
        <v>0.8</v>
      </c>
      <c r="AO457" s="27">
        <f>SUM(Tabla2[[#This Row],[Horas]],Tabla2[[#This Row],[Minutos a Horas]])</f>
        <v>1.8</v>
      </c>
      <c r="AP457" s="49">
        <v>0</v>
      </c>
      <c r="AQ457" s="49">
        <v>15</v>
      </c>
      <c r="AR457" s="26">
        <f>Tabla2[[#This Row],[Minutos*]]/60</f>
        <v>0.25</v>
      </c>
      <c r="AS457" s="27">
        <f>SUM(Tabla2[[#This Row],[Horas*]],Tabla2[[#This Row],[Minutos a Horas*]])+(Tabla2[[#This Row],[Tiempo Total a Nivel Proncincial (Horas)]])</f>
        <v>2.0499999999999998</v>
      </c>
    </row>
    <row r="458" spans="2:45" x14ac:dyDescent="0.25">
      <c r="B458" s="91"/>
      <c r="C458" s="91"/>
      <c r="D458" s="91"/>
      <c r="E458" s="92"/>
      <c r="F458" s="92"/>
      <c r="G458" s="92"/>
      <c r="H458" s="98"/>
      <c r="I458" s="99"/>
      <c r="J458" s="99"/>
      <c r="K458" s="99"/>
      <c r="L458" s="98"/>
      <c r="M458" s="92"/>
      <c r="N458" s="100"/>
      <c r="O458" s="94"/>
      <c r="P458" s="102"/>
      <c r="Q458" s="100"/>
      <c r="R458" s="95"/>
      <c r="S458" s="95"/>
      <c r="T458" s="96"/>
      <c r="U458" s="101"/>
      <c r="V458" s="101"/>
      <c r="W458" s="96"/>
      <c r="X458" s="101"/>
      <c r="Y458" s="101"/>
      <c r="Z458" s="96"/>
      <c r="AA458" s="97"/>
      <c r="AB458" s="93"/>
      <c r="AD458" s="20" t="s">
        <v>2380</v>
      </c>
      <c r="AE458" s="10" t="s">
        <v>377</v>
      </c>
      <c r="AF458" s="20" t="s">
        <v>608</v>
      </c>
      <c r="AG458" s="10" t="s">
        <v>618</v>
      </c>
      <c r="AH458" s="22" t="str">
        <f t="shared" si="14"/>
        <v>Ayacucho_01 Huamanga</v>
      </c>
      <c r="AI458" s="10" t="s">
        <v>737</v>
      </c>
      <c r="AJ458" s="20" t="s">
        <v>629</v>
      </c>
      <c r="AK458" s="22" t="str">
        <f t="shared" si="15"/>
        <v>Ayacucho_01 Huamanga_11 Santiago de Pischa</v>
      </c>
      <c r="AL458" s="25">
        <v>1</v>
      </c>
      <c r="AM458" s="25">
        <v>48</v>
      </c>
      <c r="AN458" s="26">
        <f>Tabla2[[#This Row],[Minutos]]/60</f>
        <v>0.8</v>
      </c>
      <c r="AO458" s="27">
        <f>SUM(Tabla2[[#This Row],[Horas]],Tabla2[[#This Row],[Minutos a Horas]])</f>
        <v>1.8</v>
      </c>
      <c r="AP458" s="49">
        <v>1</v>
      </c>
      <c r="AQ458" s="49">
        <v>30</v>
      </c>
      <c r="AR458" s="26">
        <f>Tabla2[[#This Row],[Minutos*]]/60</f>
        <v>0.5</v>
      </c>
      <c r="AS458" s="27">
        <f>SUM(Tabla2[[#This Row],[Horas*]],Tabla2[[#This Row],[Minutos a Horas*]])+(Tabla2[[#This Row],[Tiempo Total a Nivel Proncincial (Horas)]])</f>
        <v>3.3</v>
      </c>
    </row>
    <row r="459" spans="2:45" x14ac:dyDescent="0.25">
      <c r="B459" s="91"/>
      <c r="C459" s="91"/>
      <c r="D459" s="91"/>
      <c r="E459" s="92"/>
      <c r="F459" s="92"/>
      <c r="G459" s="92"/>
      <c r="H459" s="98"/>
      <c r="I459" s="99"/>
      <c r="J459" s="99"/>
      <c r="K459" s="99"/>
      <c r="L459" s="98"/>
      <c r="M459" s="92"/>
      <c r="N459" s="100"/>
      <c r="O459" s="94"/>
      <c r="P459" s="102"/>
      <c r="Q459" s="100"/>
      <c r="R459" s="95"/>
      <c r="S459" s="95"/>
      <c r="T459" s="96"/>
      <c r="U459" s="101"/>
      <c r="V459" s="101"/>
      <c r="W459" s="96"/>
      <c r="X459" s="101"/>
      <c r="Y459" s="101"/>
      <c r="Z459" s="96"/>
      <c r="AA459" s="97"/>
      <c r="AB459" s="93"/>
      <c r="AD459" s="20" t="s">
        <v>2380</v>
      </c>
      <c r="AE459" s="10" t="s">
        <v>377</v>
      </c>
      <c r="AF459" s="20" t="s">
        <v>608</v>
      </c>
      <c r="AG459" s="10" t="s">
        <v>2408</v>
      </c>
      <c r="AH459" s="22" t="str">
        <f t="shared" si="14"/>
        <v>Ayacucho_01 Huamanga</v>
      </c>
      <c r="AI459" s="10" t="s">
        <v>737</v>
      </c>
      <c r="AJ459" s="20" t="s">
        <v>630</v>
      </c>
      <c r="AK459" s="22" t="str">
        <f t="shared" si="15"/>
        <v>Ayacucho_01 Huamanga_12 Socos</v>
      </c>
      <c r="AL459" s="25">
        <v>1</v>
      </c>
      <c r="AM459" s="25">
        <v>48</v>
      </c>
      <c r="AN459" s="26">
        <f>Tabla2[[#This Row],[Minutos]]/60</f>
        <v>0.8</v>
      </c>
      <c r="AO459" s="27">
        <f>SUM(Tabla2[[#This Row],[Horas]],Tabla2[[#This Row],[Minutos a Horas]])</f>
        <v>1.8</v>
      </c>
      <c r="AP459" s="49">
        <v>0</v>
      </c>
      <c r="AQ459" s="49">
        <v>50</v>
      </c>
      <c r="AR459" s="26">
        <f>Tabla2[[#This Row],[Minutos*]]/60</f>
        <v>0.83333333333333337</v>
      </c>
      <c r="AS459" s="27">
        <f>SUM(Tabla2[[#This Row],[Horas*]],Tabla2[[#This Row],[Minutos a Horas*]])+(Tabla2[[#This Row],[Tiempo Total a Nivel Proncincial (Horas)]])</f>
        <v>2.6333333333333333</v>
      </c>
    </row>
    <row r="460" spans="2:45" x14ac:dyDescent="0.25">
      <c r="B460" s="91"/>
      <c r="C460" s="91"/>
      <c r="D460" s="91"/>
      <c r="E460" s="92"/>
      <c r="F460" s="92"/>
      <c r="G460" s="92"/>
      <c r="H460" s="98"/>
      <c r="I460" s="99"/>
      <c r="J460" s="99"/>
      <c r="K460" s="99"/>
      <c r="L460" s="98"/>
      <c r="M460" s="92"/>
      <c r="N460" s="100"/>
      <c r="O460" s="94"/>
      <c r="P460" s="102"/>
      <c r="Q460" s="100"/>
      <c r="R460" s="95"/>
      <c r="S460" s="95"/>
      <c r="T460" s="96"/>
      <c r="U460" s="101"/>
      <c r="V460" s="101"/>
      <c r="W460" s="96"/>
      <c r="X460" s="101"/>
      <c r="Y460" s="101"/>
      <c r="Z460" s="96"/>
      <c r="AA460" s="97"/>
      <c r="AB460" s="93"/>
      <c r="AD460" s="20" t="s">
        <v>2380</v>
      </c>
      <c r="AE460" s="10" t="s">
        <v>377</v>
      </c>
      <c r="AF460" s="20" t="s">
        <v>608</v>
      </c>
      <c r="AG460" s="10" t="s">
        <v>1389</v>
      </c>
      <c r="AH460" s="22" t="str">
        <f t="shared" si="14"/>
        <v>Ayacucho_01 Huamanga</v>
      </c>
      <c r="AI460" s="10" t="s">
        <v>737</v>
      </c>
      <c r="AJ460" s="20" t="s">
        <v>631</v>
      </c>
      <c r="AK460" s="22" t="str">
        <f t="shared" si="15"/>
        <v>Ayacucho_01 Huamanga_13 Tambillo</v>
      </c>
      <c r="AL460" s="25">
        <v>1</v>
      </c>
      <c r="AM460" s="25">
        <v>48</v>
      </c>
      <c r="AN460" s="26">
        <f>Tabla2[[#This Row],[Minutos]]/60</f>
        <v>0.8</v>
      </c>
      <c r="AO460" s="27">
        <f>SUM(Tabla2[[#This Row],[Horas]],Tabla2[[#This Row],[Minutos a Horas]])</f>
        <v>1.8</v>
      </c>
      <c r="AP460" s="49">
        <v>1</v>
      </c>
      <c r="AQ460" s="49">
        <v>0</v>
      </c>
      <c r="AR460" s="26">
        <f>Tabla2[[#This Row],[Minutos*]]/60</f>
        <v>0</v>
      </c>
      <c r="AS460" s="27">
        <f>SUM(Tabla2[[#This Row],[Horas*]],Tabla2[[#This Row],[Minutos a Horas*]])+(Tabla2[[#This Row],[Tiempo Total a Nivel Proncincial (Horas)]])</f>
        <v>2.8</v>
      </c>
    </row>
    <row r="461" spans="2:45" x14ac:dyDescent="0.25">
      <c r="B461" s="91"/>
      <c r="C461" s="91"/>
      <c r="D461" s="91"/>
      <c r="E461" s="92"/>
      <c r="F461" s="92"/>
      <c r="G461" s="92"/>
      <c r="H461" s="98"/>
      <c r="I461" s="99"/>
      <c r="J461" s="99"/>
      <c r="K461" s="99"/>
      <c r="L461" s="98"/>
      <c r="M461" s="92"/>
      <c r="N461" s="100"/>
      <c r="O461" s="94"/>
      <c r="P461" s="102"/>
      <c r="Q461" s="100"/>
      <c r="R461" s="95"/>
      <c r="S461" s="95"/>
      <c r="T461" s="96"/>
      <c r="U461" s="101"/>
      <c r="V461" s="101"/>
      <c r="W461" s="96"/>
      <c r="X461" s="101"/>
      <c r="Y461" s="101"/>
      <c r="Z461" s="96"/>
      <c r="AA461" s="97"/>
      <c r="AB461" s="93"/>
      <c r="AD461" s="20" t="s">
        <v>2380</v>
      </c>
      <c r="AE461" s="10" t="s">
        <v>377</v>
      </c>
      <c r="AF461" s="20" t="s">
        <v>608</v>
      </c>
      <c r="AG461" s="10"/>
      <c r="AH461" s="22" t="str">
        <f t="shared" si="14"/>
        <v>Ayacucho_01 Huamanga</v>
      </c>
      <c r="AI461" s="10" t="s">
        <v>737</v>
      </c>
      <c r="AJ461" s="20" t="s">
        <v>632</v>
      </c>
      <c r="AK461" s="22" t="str">
        <f t="shared" si="15"/>
        <v>Ayacucho_01 Huamanga_14 Vinchos</v>
      </c>
      <c r="AL461" s="25">
        <v>1</v>
      </c>
      <c r="AM461" s="25">
        <v>48</v>
      </c>
      <c r="AN461" s="26">
        <f>Tabla2[[#This Row],[Minutos]]/60</f>
        <v>0.8</v>
      </c>
      <c r="AO461" s="27">
        <f>SUM(Tabla2[[#This Row],[Horas]],Tabla2[[#This Row],[Minutos a Horas]])</f>
        <v>1.8</v>
      </c>
      <c r="AP461" s="49">
        <v>1</v>
      </c>
      <c r="AQ461" s="49">
        <v>20</v>
      </c>
      <c r="AR461" s="26">
        <f>Tabla2[[#This Row],[Minutos*]]/60</f>
        <v>0.33333333333333331</v>
      </c>
      <c r="AS461" s="27">
        <f>SUM(Tabla2[[#This Row],[Horas*]],Tabla2[[#This Row],[Minutos a Horas*]])+(Tabla2[[#This Row],[Tiempo Total a Nivel Proncincial (Horas)]])</f>
        <v>3.1333333333333333</v>
      </c>
    </row>
    <row r="462" spans="2:45" x14ac:dyDescent="0.25">
      <c r="B462" s="91"/>
      <c r="C462" s="91"/>
      <c r="D462" s="91"/>
      <c r="E462" s="92"/>
      <c r="F462" s="92"/>
      <c r="G462" s="92"/>
      <c r="H462" s="98"/>
      <c r="I462" s="99"/>
      <c r="J462" s="99"/>
      <c r="K462" s="99"/>
      <c r="L462" s="98"/>
      <c r="M462" s="92"/>
      <c r="N462" s="100"/>
      <c r="O462" s="94"/>
      <c r="P462" s="102"/>
      <c r="Q462" s="100"/>
      <c r="R462" s="95"/>
      <c r="S462" s="95"/>
      <c r="T462" s="96"/>
      <c r="U462" s="101"/>
      <c r="V462" s="101"/>
      <c r="W462" s="96"/>
      <c r="X462" s="101"/>
      <c r="Y462" s="101"/>
      <c r="Z462" s="96"/>
      <c r="AA462" s="97"/>
      <c r="AB462" s="93"/>
      <c r="AD462" s="20" t="s">
        <v>2380</v>
      </c>
      <c r="AE462" s="10" t="s">
        <v>377</v>
      </c>
      <c r="AF462" s="20" t="s">
        <v>608</v>
      </c>
      <c r="AG462" s="10"/>
      <c r="AH462" s="22" t="str">
        <f t="shared" si="14"/>
        <v>Ayacucho_01 Huamanga</v>
      </c>
      <c r="AI462" s="10" t="s">
        <v>737</v>
      </c>
      <c r="AJ462" s="20" t="s">
        <v>633</v>
      </c>
      <c r="AK462" s="22" t="str">
        <f t="shared" si="15"/>
        <v>Ayacucho_01 Huamanga_15 Jesús Nazareno</v>
      </c>
      <c r="AL462" s="25">
        <v>1</v>
      </c>
      <c r="AM462" s="25">
        <v>48</v>
      </c>
      <c r="AN462" s="26">
        <f>Tabla2[[#This Row],[Minutos]]/60</f>
        <v>0.8</v>
      </c>
      <c r="AO462" s="27">
        <f>SUM(Tabla2[[#This Row],[Horas]],Tabla2[[#This Row],[Minutos a Horas]])</f>
        <v>1.8</v>
      </c>
      <c r="AP462" s="49">
        <v>0</v>
      </c>
      <c r="AQ462" s="49">
        <v>10</v>
      </c>
      <c r="AR462" s="26">
        <f>Tabla2[[#This Row],[Minutos*]]/60</f>
        <v>0.16666666666666666</v>
      </c>
      <c r="AS462" s="27">
        <f>SUM(Tabla2[[#This Row],[Horas*]],Tabla2[[#This Row],[Minutos a Horas*]])+(Tabla2[[#This Row],[Tiempo Total a Nivel Proncincial (Horas)]])</f>
        <v>1.9666666666666668</v>
      </c>
    </row>
    <row r="463" spans="2:45" ht="30" x14ac:dyDescent="0.25">
      <c r="B463" s="91"/>
      <c r="C463" s="91"/>
      <c r="D463" s="91"/>
      <c r="E463" s="92"/>
      <c r="F463" s="92"/>
      <c r="G463" s="92"/>
      <c r="H463" s="98"/>
      <c r="I463" s="99"/>
      <c r="J463" s="99"/>
      <c r="K463" s="99"/>
      <c r="L463" s="98"/>
      <c r="M463" s="92"/>
      <c r="N463" s="100"/>
      <c r="O463" s="94"/>
      <c r="P463" s="102"/>
      <c r="Q463" s="100"/>
      <c r="R463" s="95"/>
      <c r="S463" s="95"/>
      <c r="T463" s="96"/>
      <c r="U463" s="101"/>
      <c r="V463" s="101"/>
      <c r="W463" s="96"/>
      <c r="X463" s="101"/>
      <c r="Y463" s="101"/>
      <c r="Z463" s="96"/>
      <c r="AA463" s="97"/>
      <c r="AB463" s="93"/>
      <c r="AD463" s="20" t="s">
        <v>2380</v>
      </c>
      <c r="AE463" s="10" t="s">
        <v>377</v>
      </c>
      <c r="AF463" s="20" t="s">
        <v>608</v>
      </c>
      <c r="AG463" s="10"/>
      <c r="AH463" s="22" t="str">
        <f t="shared" si="14"/>
        <v>Ayacucho_01 Huamanga</v>
      </c>
      <c r="AI463" s="10" t="s">
        <v>737</v>
      </c>
      <c r="AJ463" s="20" t="s">
        <v>634</v>
      </c>
      <c r="AK463" s="22" t="str">
        <f t="shared" si="15"/>
        <v>Ayacucho_01 Huamanga_16 Andrés Avelino Cáceres Dorregaray</v>
      </c>
      <c r="AL463" s="25">
        <v>1</v>
      </c>
      <c r="AM463" s="25">
        <v>48</v>
      </c>
      <c r="AN463" s="26">
        <f>Tabla2[[#This Row],[Minutos]]/60</f>
        <v>0.8</v>
      </c>
      <c r="AO463" s="27">
        <f>SUM(Tabla2[[#This Row],[Horas]],Tabla2[[#This Row],[Minutos a Horas]])</f>
        <v>1.8</v>
      </c>
      <c r="AP463" s="49">
        <v>0</v>
      </c>
      <c r="AQ463" s="49">
        <v>25</v>
      </c>
      <c r="AR463" s="26">
        <f>Tabla2[[#This Row],[Minutos*]]/60</f>
        <v>0.41666666666666669</v>
      </c>
      <c r="AS463" s="27">
        <f>SUM(Tabla2[[#This Row],[Horas*]],Tabla2[[#This Row],[Minutos a Horas*]])+(Tabla2[[#This Row],[Tiempo Total a Nivel Proncincial (Horas)]])</f>
        <v>2.2166666666666668</v>
      </c>
    </row>
    <row r="464" spans="2:45" x14ac:dyDescent="0.25">
      <c r="B464" s="91"/>
      <c r="C464" s="91"/>
      <c r="D464" s="91"/>
      <c r="E464" s="92"/>
      <c r="F464" s="92"/>
      <c r="G464" s="92"/>
      <c r="H464" s="98"/>
      <c r="I464" s="99"/>
      <c r="J464" s="99"/>
      <c r="K464" s="99"/>
      <c r="L464" s="98"/>
      <c r="M464" s="92"/>
      <c r="N464" s="100"/>
      <c r="O464" s="94"/>
      <c r="P464" s="102"/>
      <c r="Q464" s="100"/>
      <c r="R464" s="95"/>
      <c r="S464" s="95"/>
      <c r="T464" s="96"/>
      <c r="U464" s="101"/>
      <c r="V464" s="101"/>
      <c r="W464" s="96"/>
      <c r="X464" s="101"/>
      <c r="Y464" s="101"/>
      <c r="Z464" s="96"/>
      <c r="AA464" s="97"/>
      <c r="AB464" s="93"/>
      <c r="AD464" s="20" t="s">
        <v>2380</v>
      </c>
      <c r="AE464" s="10" t="s">
        <v>377</v>
      </c>
      <c r="AF464" s="20" t="s">
        <v>609</v>
      </c>
      <c r="AG464" s="10"/>
      <c r="AH464" s="22" t="str">
        <f t="shared" si="14"/>
        <v>Ayacucho_02 Cangallo</v>
      </c>
      <c r="AI464" s="10" t="s">
        <v>738</v>
      </c>
      <c r="AJ464" s="20" t="s">
        <v>635</v>
      </c>
      <c r="AK464" s="22" t="str">
        <f t="shared" si="15"/>
        <v>Ayacucho_02 Cangallo_01 Cangallo</v>
      </c>
      <c r="AL464" s="25">
        <v>1</v>
      </c>
      <c r="AM464" s="25">
        <v>33</v>
      </c>
      <c r="AN464" s="26">
        <f>Tabla2[[#This Row],[Minutos]]/60</f>
        <v>0.55000000000000004</v>
      </c>
      <c r="AO464" s="27">
        <f>SUM(Tabla2[[#This Row],[Horas]],Tabla2[[#This Row],[Minutos a Horas]])</f>
        <v>1.55</v>
      </c>
      <c r="AP464" s="49">
        <v>3</v>
      </c>
      <c r="AQ464" s="49">
        <v>30</v>
      </c>
      <c r="AR464" s="26">
        <f>Tabla2[[#This Row],[Minutos*]]/60</f>
        <v>0.5</v>
      </c>
      <c r="AS464" s="27">
        <f>SUM(Tabla2[[#This Row],[Horas*]],Tabla2[[#This Row],[Minutos a Horas*]])+(Tabla2[[#This Row],[Tiempo Total a Nivel Proncincial (Horas)]])</f>
        <v>5.05</v>
      </c>
    </row>
    <row r="465" spans="2:45" x14ac:dyDescent="0.25">
      <c r="B465" s="91"/>
      <c r="C465" s="91"/>
      <c r="D465" s="91"/>
      <c r="E465" s="92"/>
      <c r="F465" s="92"/>
      <c r="G465" s="92"/>
      <c r="H465" s="98"/>
      <c r="I465" s="99"/>
      <c r="J465" s="99"/>
      <c r="K465" s="99"/>
      <c r="L465" s="98"/>
      <c r="M465" s="92"/>
      <c r="N465" s="100"/>
      <c r="O465" s="94"/>
      <c r="P465" s="102"/>
      <c r="Q465" s="100"/>
      <c r="R465" s="95"/>
      <c r="S465" s="95"/>
      <c r="T465" s="96"/>
      <c r="U465" s="101"/>
      <c r="V465" s="101"/>
      <c r="W465" s="96"/>
      <c r="X465" s="101"/>
      <c r="Y465" s="101"/>
      <c r="Z465" s="96"/>
      <c r="AA465" s="97"/>
      <c r="AB465" s="93"/>
      <c r="AD465" s="20" t="s">
        <v>2380</v>
      </c>
      <c r="AE465" s="10" t="s">
        <v>377</v>
      </c>
      <c r="AF465" s="20" t="s">
        <v>609</v>
      </c>
      <c r="AG465" s="10"/>
      <c r="AH465" s="22" t="str">
        <f t="shared" si="14"/>
        <v>Ayacucho_02 Cangallo</v>
      </c>
      <c r="AI465" s="10" t="s">
        <v>738</v>
      </c>
      <c r="AJ465" s="20" t="s">
        <v>636</v>
      </c>
      <c r="AK465" s="22" t="str">
        <f t="shared" si="15"/>
        <v>Ayacucho_02 Cangallo_02 Chuschi</v>
      </c>
      <c r="AL465" s="25">
        <v>1</v>
      </c>
      <c r="AM465" s="25">
        <v>33</v>
      </c>
      <c r="AN465" s="26">
        <f>Tabla2[[#This Row],[Minutos]]/60</f>
        <v>0.55000000000000004</v>
      </c>
      <c r="AO465" s="27">
        <f>SUM(Tabla2[[#This Row],[Horas]],Tabla2[[#This Row],[Minutos a Horas]])</f>
        <v>1.55</v>
      </c>
      <c r="AP465" s="49">
        <v>3</v>
      </c>
      <c r="AQ465" s="49">
        <v>15</v>
      </c>
      <c r="AR465" s="26">
        <f>Tabla2[[#This Row],[Minutos*]]/60</f>
        <v>0.25</v>
      </c>
      <c r="AS465" s="27">
        <f>SUM(Tabla2[[#This Row],[Horas*]],Tabla2[[#This Row],[Minutos a Horas*]])+(Tabla2[[#This Row],[Tiempo Total a Nivel Proncincial (Horas)]])</f>
        <v>4.8</v>
      </c>
    </row>
    <row r="466" spans="2:45" x14ac:dyDescent="0.25">
      <c r="B466" s="91"/>
      <c r="C466" s="91"/>
      <c r="D466" s="91"/>
      <c r="E466" s="92"/>
      <c r="F466" s="92"/>
      <c r="G466" s="92"/>
      <c r="H466" s="98"/>
      <c r="I466" s="99"/>
      <c r="J466" s="99"/>
      <c r="K466" s="99"/>
      <c r="L466" s="98"/>
      <c r="M466" s="92"/>
      <c r="N466" s="100"/>
      <c r="O466" s="94"/>
      <c r="P466" s="102"/>
      <c r="Q466" s="100"/>
      <c r="R466" s="95"/>
      <c r="S466" s="95"/>
      <c r="T466" s="96"/>
      <c r="U466" s="101"/>
      <c r="V466" s="101"/>
      <c r="W466" s="96"/>
      <c r="X466" s="101"/>
      <c r="Y466" s="101"/>
      <c r="Z466" s="96"/>
      <c r="AA466" s="97"/>
      <c r="AB466" s="93"/>
      <c r="AD466" s="20" t="s">
        <v>2380</v>
      </c>
      <c r="AE466" s="10" t="s">
        <v>377</v>
      </c>
      <c r="AF466" s="20" t="s">
        <v>609</v>
      </c>
      <c r="AG466" s="10"/>
      <c r="AH466" s="22" t="str">
        <f t="shared" si="14"/>
        <v>Ayacucho_02 Cangallo</v>
      </c>
      <c r="AI466" s="10" t="s">
        <v>738</v>
      </c>
      <c r="AJ466" s="20" t="s">
        <v>637</v>
      </c>
      <c r="AK466" s="22" t="str">
        <f t="shared" si="15"/>
        <v>Ayacucho_02 Cangallo_03 Los Morochucos</v>
      </c>
      <c r="AL466" s="25">
        <v>1</v>
      </c>
      <c r="AM466" s="25">
        <v>33</v>
      </c>
      <c r="AN466" s="26">
        <f>Tabla2[[#This Row],[Minutos]]/60</f>
        <v>0.55000000000000004</v>
      </c>
      <c r="AO466" s="27">
        <f>SUM(Tabla2[[#This Row],[Horas]],Tabla2[[#This Row],[Minutos a Horas]])</f>
        <v>1.55</v>
      </c>
      <c r="AP466" s="49">
        <v>3</v>
      </c>
      <c r="AQ466" s="49">
        <v>0</v>
      </c>
      <c r="AR466" s="26">
        <f>Tabla2[[#This Row],[Minutos*]]/60</f>
        <v>0</v>
      </c>
      <c r="AS466" s="27">
        <f>SUM(Tabla2[[#This Row],[Horas*]],Tabla2[[#This Row],[Minutos a Horas*]])+(Tabla2[[#This Row],[Tiempo Total a Nivel Proncincial (Horas)]])</f>
        <v>4.55</v>
      </c>
    </row>
    <row r="467" spans="2:45" x14ac:dyDescent="0.25">
      <c r="B467" s="91"/>
      <c r="C467" s="91"/>
      <c r="D467" s="91"/>
      <c r="E467" s="92"/>
      <c r="F467" s="92"/>
      <c r="G467" s="92"/>
      <c r="H467" s="98"/>
      <c r="I467" s="99"/>
      <c r="J467" s="99"/>
      <c r="K467" s="99"/>
      <c r="L467" s="98"/>
      <c r="M467" s="92"/>
      <c r="N467" s="100"/>
      <c r="O467" s="94"/>
      <c r="P467" s="102"/>
      <c r="Q467" s="100"/>
      <c r="R467" s="95"/>
      <c r="S467" s="95"/>
      <c r="T467" s="96"/>
      <c r="U467" s="101"/>
      <c r="V467" s="101"/>
      <c r="W467" s="96"/>
      <c r="X467" s="101"/>
      <c r="Y467" s="101"/>
      <c r="Z467" s="96"/>
      <c r="AA467" s="97"/>
      <c r="AB467" s="93"/>
      <c r="AD467" s="20" t="s">
        <v>2380</v>
      </c>
      <c r="AE467" s="10" t="s">
        <v>377</v>
      </c>
      <c r="AF467" s="20" t="s">
        <v>609</v>
      </c>
      <c r="AG467" s="10"/>
      <c r="AH467" s="22" t="str">
        <f t="shared" si="14"/>
        <v>Ayacucho_02 Cangallo</v>
      </c>
      <c r="AI467" s="10" t="s">
        <v>738</v>
      </c>
      <c r="AJ467" s="20" t="s">
        <v>638</v>
      </c>
      <c r="AK467" s="22" t="str">
        <f t="shared" si="15"/>
        <v>Ayacucho_02 Cangallo_04 María Parado de Bellido</v>
      </c>
      <c r="AL467" s="25">
        <v>1</v>
      </c>
      <c r="AM467" s="25">
        <v>33</v>
      </c>
      <c r="AN467" s="26">
        <f>Tabla2[[#This Row],[Minutos]]/60</f>
        <v>0.55000000000000004</v>
      </c>
      <c r="AO467" s="27">
        <f>SUM(Tabla2[[#This Row],[Horas]],Tabla2[[#This Row],[Minutos a Horas]])</f>
        <v>1.55</v>
      </c>
      <c r="AP467" s="49">
        <v>3</v>
      </c>
      <c r="AQ467" s="49">
        <v>20</v>
      </c>
      <c r="AR467" s="26">
        <f>Tabla2[[#This Row],[Minutos*]]/60</f>
        <v>0.33333333333333331</v>
      </c>
      <c r="AS467" s="27">
        <f>SUM(Tabla2[[#This Row],[Horas*]],Tabla2[[#This Row],[Minutos a Horas*]])+(Tabla2[[#This Row],[Tiempo Total a Nivel Proncincial (Horas)]])</f>
        <v>4.8833333333333337</v>
      </c>
    </row>
    <row r="468" spans="2:45" x14ac:dyDescent="0.25">
      <c r="B468" s="91"/>
      <c r="C468" s="91"/>
      <c r="D468" s="91"/>
      <c r="E468" s="92"/>
      <c r="F468" s="92"/>
      <c r="G468" s="92"/>
      <c r="H468" s="98"/>
      <c r="I468" s="99"/>
      <c r="J468" s="99"/>
      <c r="K468" s="99"/>
      <c r="L468" s="98"/>
      <c r="M468" s="92"/>
      <c r="N468" s="100"/>
      <c r="O468" s="94"/>
      <c r="P468" s="102"/>
      <c r="Q468" s="100"/>
      <c r="R468" s="95"/>
      <c r="S468" s="95"/>
      <c r="T468" s="96"/>
      <c r="U468" s="101"/>
      <c r="V468" s="101"/>
      <c r="W468" s="96"/>
      <c r="X468" s="101"/>
      <c r="Y468" s="101"/>
      <c r="Z468" s="96"/>
      <c r="AA468" s="97"/>
      <c r="AB468" s="93"/>
      <c r="AD468" s="20" t="s">
        <v>2380</v>
      </c>
      <c r="AE468" s="10" t="s">
        <v>377</v>
      </c>
      <c r="AF468" s="20" t="s">
        <v>609</v>
      </c>
      <c r="AG468" s="10"/>
      <c r="AH468" s="22" t="str">
        <f t="shared" si="14"/>
        <v>Ayacucho_02 Cangallo</v>
      </c>
      <c r="AI468" s="10" t="s">
        <v>738</v>
      </c>
      <c r="AJ468" s="20" t="s">
        <v>639</v>
      </c>
      <c r="AK468" s="22" t="str">
        <f t="shared" si="15"/>
        <v>Ayacucho_02 Cangallo_05 Paras</v>
      </c>
      <c r="AL468" s="25">
        <v>1</v>
      </c>
      <c r="AM468" s="25">
        <v>33</v>
      </c>
      <c r="AN468" s="26">
        <f>Tabla2[[#This Row],[Minutos]]/60</f>
        <v>0.55000000000000004</v>
      </c>
      <c r="AO468" s="27">
        <f>SUM(Tabla2[[#This Row],[Horas]],Tabla2[[#This Row],[Minutos a Horas]])</f>
        <v>1.55</v>
      </c>
      <c r="AP468" s="49">
        <v>4</v>
      </c>
      <c r="AQ468" s="49">
        <v>10</v>
      </c>
      <c r="AR468" s="26">
        <f>Tabla2[[#This Row],[Minutos*]]/60</f>
        <v>0.16666666666666666</v>
      </c>
      <c r="AS468" s="27">
        <f>SUM(Tabla2[[#This Row],[Horas*]],Tabla2[[#This Row],[Minutos a Horas*]])+(Tabla2[[#This Row],[Tiempo Total a Nivel Proncincial (Horas)]])</f>
        <v>5.7166666666666668</v>
      </c>
    </row>
    <row r="469" spans="2:45" x14ac:dyDescent="0.25">
      <c r="B469" s="91"/>
      <c r="C469" s="91"/>
      <c r="D469" s="91"/>
      <c r="E469" s="92"/>
      <c r="F469" s="92"/>
      <c r="G469" s="92"/>
      <c r="H469" s="98"/>
      <c r="I469" s="99"/>
      <c r="J469" s="99"/>
      <c r="K469" s="99"/>
      <c r="L469" s="98"/>
      <c r="M469" s="92"/>
      <c r="N469" s="100"/>
      <c r="O469" s="94"/>
      <c r="P469" s="102"/>
      <c r="Q469" s="100"/>
      <c r="R469" s="95"/>
      <c r="S469" s="95"/>
      <c r="T469" s="96"/>
      <c r="U469" s="101"/>
      <c r="V469" s="101"/>
      <c r="W469" s="96"/>
      <c r="X469" s="101"/>
      <c r="Y469" s="101"/>
      <c r="Z469" s="96"/>
      <c r="AA469" s="97"/>
      <c r="AB469" s="93"/>
      <c r="AD469" s="20" t="s">
        <v>2380</v>
      </c>
      <c r="AE469" s="10" t="s">
        <v>377</v>
      </c>
      <c r="AF469" s="20" t="s">
        <v>609</v>
      </c>
      <c r="AG469" s="10"/>
      <c r="AH469" s="22" t="str">
        <f t="shared" si="14"/>
        <v>Ayacucho_02 Cangallo</v>
      </c>
      <c r="AI469" s="10" t="s">
        <v>738</v>
      </c>
      <c r="AJ469" s="20" t="s">
        <v>640</v>
      </c>
      <c r="AK469" s="22" t="str">
        <f t="shared" si="15"/>
        <v>Ayacucho_02 Cangallo_06 Totos</v>
      </c>
      <c r="AL469" s="25">
        <v>1</v>
      </c>
      <c r="AM469" s="25">
        <v>33</v>
      </c>
      <c r="AN469" s="26">
        <f>Tabla2[[#This Row],[Minutos]]/60</f>
        <v>0.55000000000000004</v>
      </c>
      <c r="AO469" s="27">
        <f>SUM(Tabla2[[#This Row],[Horas]],Tabla2[[#This Row],[Minutos a Horas]])</f>
        <v>1.55</v>
      </c>
      <c r="AP469" s="49">
        <v>4</v>
      </c>
      <c r="AQ469" s="49">
        <v>30</v>
      </c>
      <c r="AR469" s="26">
        <f>Tabla2[[#This Row],[Minutos*]]/60</f>
        <v>0.5</v>
      </c>
      <c r="AS469" s="27">
        <f>SUM(Tabla2[[#This Row],[Horas*]],Tabla2[[#This Row],[Minutos a Horas*]])+(Tabla2[[#This Row],[Tiempo Total a Nivel Proncincial (Horas)]])</f>
        <v>6.05</v>
      </c>
    </row>
    <row r="470" spans="2:45" x14ac:dyDescent="0.25">
      <c r="B470" s="91"/>
      <c r="C470" s="91"/>
      <c r="D470" s="91"/>
      <c r="E470" s="92"/>
      <c r="F470" s="92"/>
      <c r="G470" s="92"/>
      <c r="H470" s="98"/>
      <c r="I470" s="99"/>
      <c r="J470" s="99"/>
      <c r="K470" s="99"/>
      <c r="L470" s="98"/>
      <c r="M470" s="92"/>
      <c r="N470" s="100"/>
      <c r="O470" s="94"/>
      <c r="P470" s="102"/>
      <c r="Q470" s="100"/>
      <c r="R470" s="95"/>
      <c r="S470" s="95"/>
      <c r="T470" s="96"/>
      <c r="U470" s="101"/>
      <c r="V470" s="101"/>
      <c r="W470" s="96"/>
      <c r="X470" s="101"/>
      <c r="Y470" s="101"/>
      <c r="Z470" s="96"/>
      <c r="AA470" s="97"/>
      <c r="AB470" s="93"/>
      <c r="AD470" s="20" t="s">
        <v>2380</v>
      </c>
      <c r="AE470" s="10" t="s">
        <v>377</v>
      </c>
      <c r="AF470" s="20" t="s">
        <v>610</v>
      </c>
      <c r="AG470" s="10"/>
      <c r="AH470" s="22" t="str">
        <f t="shared" si="14"/>
        <v>Ayacucho_03 Huanca Sancos</v>
      </c>
      <c r="AI470" s="10" t="s">
        <v>739</v>
      </c>
      <c r="AJ470" s="20" t="s">
        <v>641</v>
      </c>
      <c r="AK470" s="22" t="str">
        <f t="shared" si="15"/>
        <v>Ayacucho_03 Huanca Sancos_01 Sancos</v>
      </c>
      <c r="AL470" s="25">
        <v>3</v>
      </c>
      <c r="AM470" s="25">
        <v>1</v>
      </c>
      <c r="AN470" s="26">
        <f>Tabla2[[#This Row],[Minutos]]/60</f>
        <v>1.6666666666666666E-2</v>
      </c>
      <c r="AO470" s="27">
        <f>SUM(Tabla2[[#This Row],[Horas]],Tabla2[[#This Row],[Minutos a Horas]])</f>
        <v>3.0166666666666666</v>
      </c>
      <c r="AP470" s="49">
        <v>6</v>
      </c>
      <c r="AQ470" s="49">
        <v>0</v>
      </c>
      <c r="AR470" s="26">
        <f>Tabla2[[#This Row],[Minutos*]]/60</f>
        <v>0</v>
      </c>
      <c r="AS470" s="27">
        <f>SUM(Tabla2[[#This Row],[Horas*]],Tabla2[[#This Row],[Minutos a Horas*]])+(Tabla2[[#This Row],[Tiempo Total a Nivel Proncincial (Horas)]])</f>
        <v>9.0166666666666657</v>
      </c>
    </row>
    <row r="471" spans="2:45" x14ac:dyDescent="0.25">
      <c r="B471" s="91"/>
      <c r="C471" s="91"/>
      <c r="D471" s="91"/>
      <c r="E471" s="92"/>
      <c r="F471" s="92"/>
      <c r="G471" s="92"/>
      <c r="H471" s="98"/>
      <c r="I471" s="99"/>
      <c r="J471" s="99"/>
      <c r="K471" s="99"/>
      <c r="L471" s="98"/>
      <c r="M471" s="92"/>
      <c r="N471" s="100"/>
      <c r="O471" s="94"/>
      <c r="P471" s="102"/>
      <c r="Q471" s="100"/>
      <c r="R471" s="95"/>
      <c r="S471" s="95"/>
      <c r="T471" s="96"/>
      <c r="U471" s="101"/>
      <c r="V471" s="101"/>
      <c r="W471" s="96"/>
      <c r="X471" s="101"/>
      <c r="Y471" s="101"/>
      <c r="Z471" s="96"/>
      <c r="AA471" s="97"/>
      <c r="AB471" s="93"/>
      <c r="AD471" s="20" t="s">
        <v>2380</v>
      </c>
      <c r="AE471" s="10" t="s">
        <v>377</v>
      </c>
      <c r="AF471" s="20" t="s">
        <v>610</v>
      </c>
      <c r="AG471" s="10"/>
      <c r="AH471" s="22" t="str">
        <f t="shared" si="14"/>
        <v>Ayacucho_03 Huanca Sancos</v>
      </c>
      <c r="AI471" s="10" t="s">
        <v>739</v>
      </c>
      <c r="AJ471" s="20" t="s">
        <v>642</v>
      </c>
      <c r="AK471" s="22" t="str">
        <f t="shared" si="15"/>
        <v>Ayacucho_03 Huanca Sancos_02 Carapo</v>
      </c>
      <c r="AL471" s="25">
        <v>3</v>
      </c>
      <c r="AM471" s="25">
        <v>1</v>
      </c>
      <c r="AN471" s="26">
        <f>Tabla2[[#This Row],[Minutos]]/60</f>
        <v>1.6666666666666666E-2</v>
      </c>
      <c r="AO471" s="27">
        <f>SUM(Tabla2[[#This Row],[Horas]],Tabla2[[#This Row],[Minutos a Horas]])</f>
        <v>3.0166666666666666</v>
      </c>
      <c r="AP471" s="49">
        <v>6</v>
      </c>
      <c r="AQ471" s="49">
        <v>20</v>
      </c>
      <c r="AR471" s="26">
        <f>Tabla2[[#This Row],[Minutos*]]/60</f>
        <v>0.33333333333333331</v>
      </c>
      <c r="AS471" s="27">
        <f>SUM(Tabla2[[#This Row],[Horas*]],Tabla2[[#This Row],[Minutos a Horas*]])+(Tabla2[[#This Row],[Tiempo Total a Nivel Proncincial (Horas)]])</f>
        <v>9.35</v>
      </c>
    </row>
    <row r="472" spans="2:45" x14ac:dyDescent="0.25">
      <c r="B472" s="91"/>
      <c r="C472" s="91"/>
      <c r="D472" s="91"/>
      <c r="E472" s="92"/>
      <c r="F472" s="92"/>
      <c r="G472" s="92"/>
      <c r="H472" s="98"/>
      <c r="I472" s="99"/>
      <c r="J472" s="99"/>
      <c r="K472" s="99"/>
      <c r="L472" s="98"/>
      <c r="M472" s="92"/>
      <c r="N472" s="100"/>
      <c r="O472" s="94"/>
      <c r="P472" s="102"/>
      <c r="Q472" s="100"/>
      <c r="R472" s="95"/>
      <c r="S472" s="95"/>
      <c r="T472" s="96"/>
      <c r="U472" s="101"/>
      <c r="V472" s="101"/>
      <c r="W472" s="96"/>
      <c r="X472" s="101"/>
      <c r="Y472" s="101"/>
      <c r="Z472" s="96"/>
      <c r="AA472" s="97"/>
      <c r="AB472" s="93"/>
      <c r="AD472" s="20" t="s">
        <v>2380</v>
      </c>
      <c r="AE472" s="10" t="s">
        <v>377</v>
      </c>
      <c r="AF472" s="20" t="s">
        <v>610</v>
      </c>
      <c r="AG472" s="10"/>
      <c r="AH472" s="22" t="str">
        <f t="shared" si="14"/>
        <v>Ayacucho_03 Huanca Sancos</v>
      </c>
      <c r="AI472" s="10" t="s">
        <v>739</v>
      </c>
      <c r="AJ472" s="20" t="s">
        <v>643</v>
      </c>
      <c r="AK472" s="22" t="str">
        <f t="shared" si="15"/>
        <v>Ayacucho_03 Huanca Sancos_03 Sacsamarca</v>
      </c>
      <c r="AL472" s="25">
        <v>3</v>
      </c>
      <c r="AM472" s="25">
        <v>1</v>
      </c>
      <c r="AN472" s="26">
        <f>Tabla2[[#This Row],[Minutos]]/60</f>
        <v>1.6666666666666666E-2</v>
      </c>
      <c r="AO472" s="27">
        <f>SUM(Tabla2[[#This Row],[Horas]],Tabla2[[#This Row],[Minutos a Horas]])</f>
        <v>3.0166666666666666</v>
      </c>
      <c r="AP472" s="49">
        <v>6</v>
      </c>
      <c r="AQ472" s="49">
        <v>15</v>
      </c>
      <c r="AR472" s="26">
        <f>Tabla2[[#This Row],[Minutos*]]/60</f>
        <v>0.25</v>
      </c>
      <c r="AS472" s="27">
        <f>SUM(Tabla2[[#This Row],[Horas*]],Tabla2[[#This Row],[Minutos a Horas*]])+(Tabla2[[#This Row],[Tiempo Total a Nivel Proncincial (Horas)]])</f>
        <v>9.2666666666666657</v>
      </c>
    </row>
    <row r="473" spans="2:45" x14ac:dyDescent="0.25">
      <c r="B473" s="91"/>
      <c r="C473" s="91"/>
      <c r="D473" s="91"/>
      <c r="E473" s="92"/>
      <c r="F473" s="92"/>
      <c r="G473" s="92"/>
      <c r="H473" s="98"/>
      <c r="I473" s="99"/>
      <c r="J473" s="99"/>
      <c r="K473" s="99"/>
      <c r="L473" s="98"/>
      <c r="M473" s="92"/>
      <c r="N473" s="100"/>
      <c r="O473" s="94"/>
      <c r="P473" s="102"/>
      <c r="Q473" s="100"/>
      <c r="R473" s="95"/>
      <c r="S473" s="95"/>
      <c r="T473" s="96"/>
      <c r="U473" s="101"/>
      <c r="V473" s="101"/>
      <c r="W473" s="96"/>
      <c r="X473" s="101"/>
      <c r="Y473" s="101"/>
      <c r="Z473" s="96"/>
      <c r="AA473" s="97"/>
      <c r="AB473" s="93"/>
      <c r="AD473" s="20" t="s">
        <v>2380</v>
      </c>
      <c r="AE473" s="10" t="s">
        <v>377</v>
      </c>
      <c r="AF473" s="20" t="s">
        <v>610</v>
      </c>
      <c r="AG473" s="10"/>
      <c r="AH473" s="22" t="str">
        <f t="shared" si="14"/>
        <v>Ayacucho_03 Huanca Sancos</v>
      </c>
      <c r="AI473" s="10" t="s">
        <v>739</v>
      </c>
      <c r="AJ473" s="20" t="s">
        <v>644</v>
      </c>
      <c r="AK473" s="22" t="str">
        <f t="shared" si="15"/>
        <v>Ayacucho_03 Huanca Sancos_04 Santiago de Lucanamarca</v>
      </c>
      <c r="AL473" s="25">
        <v>3</v>
      </c>
      <c r="AM473" s="25">
        <v>1</v>
      </c>
      <c r="AN473" s="26">
        <f>Tabla2[[#This Row],[Minutos]]/60</f>
        <v>1.6666666666666666E-2</v>
      </c>
      <c r="AO473" s="27">
        <f>SUM(Tabla2[[#This Row],[Horas]],Tabla2[[#This Row],[Minutos a Horas]])</f>
        <v>3.0166666666666666</v>
      </c>
      <c r="AP473" s="49">
        <v>6</v>
      </c>
      <c r="AQ473" s="49">
        <v>0</v>
      </c>
      <c r="AR473" s="26">
        <f>Tabla2[[#This Row],[Minutos*]]/60</f>
        <v>0</v>
      </c>
      <c r="AS473" s="27">
        <f>SUM(Tabla2[[#This Row],[Horas*]],Tabla2[[#This Row],[Minutos a Horas*]])+(Tabla2[[#This Row],[Tiempo Total a Nivel Proncincial (Horas)]])</f>
        <v>9.0166666666666657</v>
      </c>
    </row>
    <row r="474" spans="2:45" x14ac:dyDescent="0.25">
      <c r="B474" s="91"/>
      <c r="C474" s="91"/>
      <c r="D474" s="91"/>
      <c r="E474" s="92"/>
      <c r="F474" s="92"/>
      <c r="G474" s="92"/>
      <c r="H474" s="98"/>
      <c r="I474" s="99"/>
      <c r="J474" s="99"/>
      <c r="K474" s="99"/>
      <c r="L474" s="98"/>
      <c r="M474" s="92"/>
      <c r="N474" s="100"/>
      <c r="O474" s="94"/>
      <c r="P474" s="102"/>
      <c r="Q474" s="100"/>
      <c r="R474" s="95"/>
      <c r="S474" s="95"/>
      <c r="T474" s="96"/>
      <c r="U474" s="101"/>
      <c r="V474" s="101"/>
      <c r="W474" s="96"/>
      <c r="X474" s="101"/>
      <c r="Y474" s="101"/>
      <c r="Z474" s="96"/>
      <c r="AA474" s="97"/>
      <c r="AB474" s="93"/>
      <c r="AD474" s="20" t="s">
        <v>2380</v>
      </c>
      <c r="AE474" s="10" t="s">
        <v>377</v>
      </c>
      <c r="AF474" s="20" t="s">
        <v>611</v>
      </c>
      <c r="AG474" s="10"/>
      <c r="AH474" s="22" t="str">
        <f t="shared" si="14"/>
        <v>Ayacucho_04 Huanta</v>
      </c>
      <c r="AI474" s="10" t="s">
        <v>740</v>
      </c>
      <c r="AJ474" s="20" t="s">
        <v>645</v>
      </c>
      <c r="AK474" s="22" t="str">
        <f t="shared" si="15"/>
        <v>Ayacucho_04 Huanta_01 Huanta</v>
      </c>
      <c r="AL474" s="25">
        <v>1</v>
      </c>
      <c r="AM474" s="25">
        <v>16</v>
      </c>
      <c r="AN474" s="26">
        <f>Tabla2[[#This Row],[Minutos]]/60</f>
        <v>0.26666666666666666</v>
      </c>
      <c r="AO474" s="27">
        <f>SUM(Tabla2[[#This Row],[Horas]],Tabla2[[#This Row],[Minutos a Horas]])</f>
        <v>1.2666666666666666</v>
      </c>
      <c r="AP474" s="49">
        <v>1</v>
      </c>
      <c r="AQ474" s="49">
        <v>30</v>
      </c>
      <c r="AR474" s="26">
        <f>Tabla2[[#This Row],[Minutos*]]/60</f>
        <v>0.5</v>
      </c>
      <c r="AS474" s="27">
        <f>SUM(Tabla2[[#This Row],[Horas*]],Tabla2[[#This Row],[Minutos a Horas*]])+(Tabla2[[#This Row],[Tiempo Total a Nivel Proncincial (Horas)]])</f>
        <v>2.7666666666666666</v>
      </c>
    </row>
    <row r="475" spans="2:45" x14ac:dyDescent="0.25">
      <c r="B475" s="91"/>
      <c r="C475" s="91"/>
      <c r="D475" s="91"/>
      <c r="E475" s="92"/>
      <c r="F475" s="92"/>
      <c r="G475" s="92"/>
      <c r="H475" s="98"/>
      <c r="I475" s="99"/>
      <c r="J475" s="99"/>
      <c r="K475" s="99"/>
      <c r="L475" s="98"/>
      <c r="M475" s="92"/>
      <c r="N475" s="100"/>
      <c r="O475" s="94"/>
      <c r="P475" s="102"/>
      <c r="Q475" s="100"/>
      <c r="R475" s="95"/>
      <c r="S475" s="95"/>
      <c r="T475" s="96"/>
      <c r="U475" s="101"/>
      <c r="V475" s="101"/>
      <c r="W475" s="96"/>
      <c r="X475" s="101"/>
      <c r="Y475" s="101"/>
      <c r="Z475" s="96"/>
      <c r="AA475" s="97"/>
      <c r="AB475" s="93"/>
      <c r="AD475" s="20" t="s">
        <v>2380</v>
      </c>
      <c r="AE475" s="10" t="s">
        <v>377</v>
      </c>
      <c r="AF475" s="20" t="s">
        <v>611</v>
      </c>
      <c r="AG475" s="10"/>
      <c r="AH475" s="22" t="str">
        <f t="shared" si="14"/>
        <v>Ayacucho_04 Huanta</v>
      </c>
      <c r="AI475" s="10" t="s">
        <v>740</v>
      </c>
      <c r="AJ475" s="20" t="s">
        <v>646</v>
      </c>
      <c r="AK475" s="22" t="str">
        <f t="shared" si="15"/>
        <v>Ayacucho_04 Huanta_02 Ayahuanco</v>
      </c>
      <c r="AL475" s="25">
        <v>1</v>
      </c>
      <c r="AM475" s="25">
        <v>16</v>
      </c>
      <c r="AN475" s="26">
        <f>Tabla2[[#This Row],[Minutos]]/60</f>
        <v>0.26666666666666666</v>
      </c>
      <c r="AO475" s="27">
        <f>SUM(Tabla2[[#This Row],[Horas]],Tabla2[[#This Row],[Minutos a Horas]])</f>
        <v>1.2666666666666666</v>
      </c>
      <c r="AP475" s="49">
        <v>6</v>
      </c>
      <c r="AQ475" s="49">
        <v>0</v>
      </c>
      <c r="AR475" s="26">
        <f>Tabla2[[#This Row],[Minutos*]]/60</f>
        <v>0</v>
      </c>
      <c r="AS475" s="27">
        <f>SUM(Tabla2[[#This Row],[Horas*]],Tabla2[[#This Row],[Minutos a Horas*]])+(Tabla2[[#This Row],[Tiempo Total a Nivel Proncincial (Horas)]])</f>
        <v>7.2666666666666666</v>
      </c>
    </row>
    <row r="476" spans="2:45" x14ac:dyDescent="0.25">
      <c r="B476" s="91"/>
      <c r="C476" s="91"/>
      <c r="D476" s="91"/>
      <c r="E476" s="92"/>
      <c r="F476" s="92"/>
      <c r="G476" s="92"/>
      <c r="H476" s="98"/>
      <c r="I476" s="99"/>
      <c r="J476" s="99"/>
      <c r="K476" s="99"/>
      <c r="L476" s="98"/>
      <c r="M476" s="92"/>
      <c r="N476" s="100"/>
      <c r="O476" s="94"/>
      <c r="P476" s="102"/>
      <c r="Q476" s="100"/>
      <c r="R476" s="95"/>
      <c r="S476" s="95"/>
      <c r="T476" s="96"/>
      <c r="U476" s="101"/>
      <c r="V476" s="101"/>
      <c r="W476" s="96"/>
      <c r="X476" s="101"/>
      <c r="Y476" s="101"/>
      <c r="Z476" s="96"/>
      <c r="AA476" s="97"/>
      <c r="AB476" s="93"/>
      <c r="AD476" s="20" t="s">
        <v>2380</v>
      </c>
      <c r="AE476" s="10" t="s">
        <v>377</v>
      </c>
      <c r="AF476" s="20" t="s">
        <v>611</v>
      </c>
      <c r="AG476" s="10"/>
      <c r="AH476" s="22" t="str">
        <f t="shared" si="14"/>
        <v>Ayacucho_04 Huanta</v>
      </c>
      <c r="AI476" s="10" t="s">
        <v>740</v>
      </c>
      <c r="AJ476" s="20" t="s">
        <v>647</v>
      </c>
      <c r="AK476" s="22" t="str">
        <f t="shared" si="15"/>
        <v>Ayacucho_04 Huanta_03 Huamanguilla</v>
      </c>
      <c r="AL476" s="25">
        <v>1</v>
      </c>
      <c r="AM476" s="25">
        <v>16</v>
      </c>
      <c r="AN476" s="26">
        <f>Tabla2[[#This Row],[Minutos]]/60</f>
        <v>0.26666666666666666</v>
      </c>
      <c r="AO476" s="27">
        <f>SUM(Tabla2[[#This Row],[Horas]],Tabla2[[#This Row],[Minutos a Horas]])</f>
        <v>1.2666666666666666</v>
      </c>
      <c r="AP476" s="49">
        <v>2</v>
      </c>
      <c r="AQ476" s="49">
        <v>30</v>
      </c>
      <c r="AR476" s="26">
        <f>Tabla2[[#This Row],[Minutos*]]/60</f>
        <v>0.5</v>
      </c>
      <c r="AS476" s="27">
        <f>SUM(Tabla2[[#This Row],[Horas*]],Tabla2[[#This Row],[Minutos a Horas*]])+(Tabla2[[#This Row],[Tiempo Total a Nivel Proncincial (Horas)]])</f>
        <v>3.7666666666666666</v>
      </c>
    </row>
    <row r="477" spans="2:45" x14ac:dyDescent="0.25">
      <c r="B477" s="91"/>
      <c r="C477" s="91"/>
      <c r="D477" s="91"/>
      <c r="E477" s="92"/>
      <c r="F477" s="92"/>
      <c r="G477" s="92"/>
      <c r="H477" s="98"/>
      <c r="I477" s="99"/>
      <c r="J477" s="99"/>
      <c r="K477" s="99"/>
      <c r="L477" s="98"/>
      <c r="M477" s="92"/>
      <c r="N477" s="100"/>
      <c r="O477" s="94"/>
      <c r="P477" s="102"/>
      <c r="Q477" s="100"/>
      <c r="R477" s="95"/>
      <c r="S477" s="95"/>
      <c r="T477" s="96"/>
      <c r="U477" s="101"/>
      <c r="V477" s="101"/>
      <c r="W477" s="96"/>
      <c r="X477" s="101"/>
      <c r="Y477" s="101"/>
      <c r="Z477" s="96"/>
      <c r="AA477" s="97"/>
      <c r="AB477" s="93"/>
      <c r="AD477" s="20" t="s">
        <v>2380</v>
      </c>
      <c r="AE477" s="10" t="s">
        <v>377</v>
      </c>
      <c r="AF477" s="20" t="s">
        <v>611</v>
      </c>
      <c r="AG477" s="10"/>
      <c r="AH477" s="22" t="str">
        <f t="shared" si="14"/>
        <v>Ayacucho_04 Huanta</v>
      </c>
      <c r="AI477" s="10" t="s">
        <v>740</v>
      </c>
      <c r="AJ477" s="20" t="s">
        <v>648</v>
      </c>
      <c r="AK477" s="22" t="str">
        <f t="shared" si="15"/>
        <v>Ayacucho_04 Huanta_04 Iguain</v>
      </c>
      <c r="AL477" s="25">
        <v>1</v>
      </c>
      <c r="AM477" s="25">
        <v>16</v>
      </c>
      <c r="AN477" s="26">
        <f>Tabla2[[#This Row],[Minutos]]/60</f>
        <v>0.26666666666666666</v>
      </c>
      <c r="AO477" s="27">
        <f>SUM(Tabla2[[#This Row],[Horas]],Tabla2[[#This Row],[Minutos a Horas]])</f>
        <v>1.2666666666666666</v>
      </c>
      <c r="AP477" s="49">
        <v>2</v>
      </c>
      <c r="AQ477" s="49">
        <v>20</v>
      </c>
      <c r="AR477" s="26">
        <f>Tabla2[[#This Row],[Minutos*]]/60</f>
        <v>0.33333333333333331</v>
      </c>
      <c r="AS477" s="27">
        <f>SUM(Tabla2[[#This Row],[Horas*]],Tabla2[[#This Row],[Minutos a Horas*]])+(Tabla2[[#This Row],[Tiempo Total a Nivel Proncincial (Horas)]])</f>
        <v>3.6</v>
      </c>
    </row>
    <row r="478" spans="2:45" x14ac:dyDescent="0.25">
      <c r="B478" s="91"/>
      <c r="C478" s="91"/>
      <c r="D478" s="91"/>
      <c r="E478" s="92"/>
      <c r="F478" s="92"/>
      <c r="G478" s="92"/>
      <c r="H478" s="98"/>
      <c r="I478" s="99"/>
      <c r="J478" s="99"/>
      <c r="K478" s="99"/>
      <c r="L478" s="98"/>
      <c r="M478" s="92"/>
      <c r="N478" s="100"/>
      <c r="O478" s="94"/>
      <c r="P478" s="102"/>
      <c r="Q478" s="100"/>
      <c r="R478" s="95"/>
      <c r="S478" s="95"/>
      <c r="T478" s="96"/>
      <c r="U478" s="101"/>
      <c r="V478" s="101"/>
      <c r="W478" s="96"/>
      <c r="X478" s="101"/>
      <c r="Y478" s="101"/>
      <c r="Z478" s="96"/>
      <c r="AA478" s="97"/>
      <c r="AB478" s="93"/>
      <c r="AD478" s="20" t="s">
        <v>2380</v>
      </c>
      <c r="AE478" s="10" t="s">
        <v>377</v>
      </c>
      <c r="AF478" s="20" t="s">
        <v>611</v>
      </c>
      <c r="AG478" s="10"/>
      <c r="AH478" s="22" t="str">
        <f t="shared" si="14"/>
        <v>Ayacucho_04 Huanta</v>
      </c>
      <c r="AI478" s="10" t="s">
        <v>740</v>
      </c>
      <c r="AJ478" s="20" t="s">
        <v>649</v>
      </c>
      <c r="AK478" s="22" t="str">
        <f t="shared" si="15"/>
        <v>Ayacucho_04 Huanta_05 Luricocha</v>
      </c>
      <c r="AL478" s="25">
        <v>1</v>
      </c>
      <c r="AM478" s="25">
        <v>16</v>
      </c>
      <c r="AN478" s="26">
        <f>Tabla2[[#This Row],[Minutos]]/60</f>
        <v>0.26666666666666666</v>
      </c>
      <c r="AO478" s="27">
        <f>SUM(Tabla2[[#This Row],[Horas]],Tabla2[[#This Row],[Minutos a Horas]])</f>
        <v>1.2666666666666666</v>
      </c>
      <c r="AP478" s="49">
        <v>1</v>
      </c>
      <c r="AQ478" s="49">
        <v>15</v>
      </c>
      <c r="AR478" s="26">
        <f>Tabla2[[#This Row],[Minutos*]]/60</f>
        <v>0.25</v>
      </c>
      <c r="AS478" s="27">
        <f>SUM(Tabla2[[#This Row],[Horas*]],Tabla2[[#This Row],[Minutos a Horas*]])+(Tabla2[[#This Row],[Tiempo Total a Nivel Proncincial (Horas)]])</f>
        <v>2.5166666666666666</v>
      </c>
    </row>
    <row r="479" spans="2:45" x14ac:dyDescent="0.25">
      <c r="B479" s="91"/>
      <c r="C479" s="91"/>
      <c r="D479" s="91"/>
      <c r="E479" s="92"/>
      <c r="F479" s="92"/>
      <c r="G479" s="92"/>
      <c r="H479" s="98"/>
      <c r="I479" s="99"/>
      <c r="J479" s="99"/>
      <c r="K479" s="99"/>
      <c r="L479" s="98"/>
      <c r="M479" s="92"/>
      <c r="N479" s="100"/>
      <c r="O479" s="94"/>
      <c r="P479" s="102"/>
      <c r="Q479" s="100"/>
      <c r="R479" s="95"/>
      <c r="S479" s="95"/>
      <c r="T479" s="96"/>
      <c r="U479" s="101"/>
      <c r="V479" s="101"/>
      <c r="W479" s="96"/>
      <c r="X479" s="101"/>
      <c r="Y479" s="101"/>
      <c r="Z479" s="96"/>
      <c r="AA479" s="97"/>
      <c r="AB479" s="93"/>
      <c r="AD479" s="20" t="s">
        <v>2380</v>
      </c>
      <c r="AE479" s="10" t="s">
        <v>377</v>
      </c>
      <c r="AF479" s="20" t="s">
        <v>611</v>
      </c>
      <c r="AG479" s="10"/>
      <c r="AH479" s="22" t="str">
        <f t="shared" si="14"/>
        <v>Ayacucho_04 Huanta</v>
      </c>
      <c r="AI479" s="10" t="s">
        <v>740</v>
      </c>
      <c r="AJ479" s="20" t="s">
        <v>650</v>
      </c>
      <c r="AK479" s="22" t="str">
        <f t="shared" si="15"/>
        <v>Ayacucho_04 Huanta_06 Santillana</v>
      </c>
      <c r="AL479" s="25">
        <v>1</v>
      </c>
      <c r="AM479" s="25">
        <v>16</v>
      </c>
      <c r="AN479" s="26">
        <f>Tabla2[[#This Row],[Minutos]]/60</f>
        <v>0.26666666666666666</v>
      </c>
      <c r="AO479" s="27">
        <f>SUM(Tabla2[[#This Row],[Horas]],Tabla2[[#This Row],[Minutos a Horas]])</f>
        <v>1.2666666666666666</v>
      </c>
      <c r="AP479" s="49">
        <v>2</v>
      </c>
      <c r="AQ479" s="49">
        <v>30</v>
      </c>
      <c r="AR479" s="26">
        <f>Tabla2[[#This Row],[Minutos*]]/60</f>
        <v>0.5</v>
      </c>
      <c r="AS479" s="27">
        <f>SUM(Tabla2[[#This Row],[Horas*]],Tabla2[[#This Row],[Minutos a Horas*]])+(Tabla2[[#This Row],[Tiempo Total a Nivel Proncincial (Horas)]])</f>
        <v>3.7666666666666666</v>
      </c>
    </row>
    <row r="480" spans="2:45" x14ac:dyDescent="0.25">
      <c r="B480" s="91"/>
      <c r="C480" s="91"/>
      <c r="D480" s="91"/>
      <c r="E480" s="92"/>
      <c r="F480" s="92"/>
      <c r="G480" s="92"/>
      <c r="H480" s="98"/>
      <c r="I480" s="99"/>
      <c r="J480" s="99"/>
      <c r="K480" s="99"/>
      <c r="L480" s="98"/>
      <c r="M480" s="92"/>
      <c r="N480" s="100"/>
      <c r="O480" s="94"/>
      <c r="P480" s="102"/>
      <c r="Q480" s="100"/>
      <c r="R480" s="95"/>
      <c r="S480" s="95"/>
      <c r="T480" s="96"/>
      <c r="U480" s="101"/>
      <c r="V480" s="101"/>
      <c r="W480" s="96"/>
      <c r="X480" s="101"/>
      <c r="Y480" s="101"/>
      <c r="Z480" s="96"/>
      <c r="AA480" s="97"/>
      <c r="AB480" s="93"/>
      <c r="AD480" s="20" t="s">
        <v>2380</v>
      </c>
      <c r="AE480" s="10" t="s">
        <v>377</v>
      </c>
      <c r="AF480" s="20" t="s">
        <v>611</v>
      </c>
      <c r="AG480" s="10"/>
      <c r="AH480" s="22" t="str">
        <f t="shared" si="14"/>
        <v>Ayacucho_04 Huanta</v>
      </c>
      <c r="AI480" s="10" t="s">
        <v>740</v>
      </c>
      <c r="AJ480" s="20" t="s">
        <v>651</v>
      </c>
      <c r="AK480" s="22" t="str">
        <f t="shared" si="15"/>
        <v>Ayacucho_04 Huanta_07 Sivia</v>
      </c>
      <c r="AL480" s="25">
        <v>1</v>
      </c>
      <c r="AM480" s="25">
        <v>16</v>
      </c>
      <c r="AN480" s="26">
        <f>Tabla2[[#This Row],[Minutos]]/60</f>
        <v>0.26666666666666666</v>
      </c>
      <c r="AO480" s="27">
        <f>SUM(Tabla2[[#This Row],[Horas]],Tabla2[[#This Row],[Minutos a Horas]])</f>
        <v>1.2666666666666666</v>
      </c>
      <c r="AP480" s="49">
        <v>6</v>
      </c>
      <c r="AQ480" s="49">
        <v>30</v>
      </c>
      <c r="AR480" s="26">
        <f>Tabla2[[#This Row],[Minutos*]]/60</f>
        <v>0.5</v>
      </c>
      <c r="AS480" s="27">
        <f>SUM(Tabla2[[#This Row],[Horas*]],Tabla2[[#This Row],[Minutos a Horas*]])+(Tabla2[[#This Row],[Tiempo Total a Nivel Proncincial (Horas)]])</f>
        <v>7.7666666666666666</v>
      </c>
    </row>
    <row r="481" spans="2:45" x14ac:dyDescent="0.25">
      <c r="B481" s="91"/>
      <c r="C481" s="91"/>
      <c r="D481" s="91"/>
      <c r="E481" s="92"/>
      <c r="F481" s="92"/>
      <c r="G481" s="92"/>
      <c r="H481" s="98"/>
      <c r="I481" s="99"/>
      <c r="J481" s="99"/>
      <c r="K481" s="99"/>
      <c r="L481" s="98"/>
      <c r="M481" s="92"/>
      <c r="N481" s="100"/>
      <c r="O481" s="94"/>
      <c r="P481" s="102"/>
      <c r="Q481" s="100"/>
      <c r="R481" s="95"/>
      <c r="S481" s="95"/>
      <c r="T481" s="96"/>
      <c r="U481" s="101"/>
      <c r="V481" s="101"/>
      <c r="W481" s="96"/>
      <c r="X481" s="101"/>
      <c r="Y481" s="101"/>
      <c r="Z481" s="96"/>
      <c r="AA481" s="97"/>
      <c r="AB481" s="93"/>
      <c r="AD481" s="20" t="s">
        <v>2380</v>
      </c>
      <c r="AE481" s="10" t="s">
        <v>377</v>
      </c>
      <c r="AF481" s="20" t="s">
        <v>611</v>
      </c>
      <c r="AG481" s="10"/>
      <c r="AH481" s="22" t="str">
        <f t="shared" si="14"/>
        <v>Ayacucho_04 Huanta</v>
      </c>
      <c r="AI481" s="10" t="s">
        <v>740</v>
      </c>
      <c r="AJ481" s="20" t="s">
        <v>652</v>
      </c>
      <c r="AK481" s="22" t="str">
        <f t="shared" si="15"/>
        <v>Ayacucho_04 Huanta_08 Llochegua</v>
      </c>
      <c r="AL481" s="25">
        <v>1</v>
      </c>
      <c r="AM481" s="25">
        <v>16</v>
      </c>
      <c r="AN481" s="26">
        <f>Tabla2[[#This Row],[Minutos]]/60</f>
        <v>0.26666666666666666</v>
      </c>
      <c r="AO481" s="27">
        <f>SUM(Tabla2[[#This Row],[Horas]],Tabla2[[#This Row],[Minutos a Horas]])</f>
        <v>1.2666666666666666</v>
      </c>
      <c r="AP481" s="49">
        <v>7</v>
      </c>
      <c r="AQ481" s="49">
        <v>30</v>
      </c>
      <c r="AR481" s="26">
        <f>Tabla2[[#This Row],[Minutos*]]/60</f>
        <v>0.5</v>
      </c>
      <c r="AS481" s="27">
        <f>SUM(Tabla2[[#This Row],[Horas*]],Tabla2[[#This Row],[Minutos a Horas*]])+(Tabla2[[#This Row],[Tiempo Total a Nivel Proncincial (Horas)]])</f>
        <v>8.7666666666666657</v>
      </c>
    </row>
    <row r="482" spans="2:45" x14ac:dyDescent="0.25">
      <c r="B482" s="91"/>
      <c r="C482" s="91"/>
      <c r="D482" s="91"/>
      <c r="E482" s="92"/>
      <c r="F482" s="92"/>
      <c r="G482" s="92"/>
      <c r="H482" s="98"/>
      <c r="I482" s="99"/>
      <c r="J482" s="99"/>
      <c r="K482" s="99"/>
      <c r="L482" s="98"/>
      <c r="M482" s="92"/>
      <c r="N482" s="100"/>
      <c r="O482" s="94"/>
      <c r="P482" s="102"/>
      <c r="Q482" s="100"/>
      <c r="R482" s="95"/>
      <c r="S482" s="95"/>
      <c r="T482" s="96"/>
      <c r="U482" s="101"/>
      <c r="V482" s="101"/>
      <c r="W482" s="96"/>
      <c r="X482" s="101"/>
      <c r="Y482" s="101"/>
      <c r="Z482" s="96"/>
      <c r="AA482" s="97"/>
      <c r="AB482" s="93"/>
      <c r="AD482" s="20" t="s">
        <v>2380</v>
      </c>
      <c r="AE482" s="10" t="s">
        <v>377</v>
      </c>
      <c r="AF482" s="20" t="s">
        <v>611</v>
      </c>
      <c r="AG482" s="10"/>
      <c r="AH482" s="22" t="str">
        <f t="shared" si="14"/>
        <v>Ayacucho_04 Huanta</v>
      </c>
      <c r="AI482" s="10" t="s">
        <v>740</v>
      </c>
      <c r="AJ482" s="20" t="s">
        <v>653</v>
      </c>
      <c r="AK482" s="22" t="str">
        <f t="shared" si="15"/>
        <v>Ayacucho_04 Huanta_09 Canayre</v>
      </c>
      <c r="AL482" s="25">
        <v>1</v>
      </c>
      <c r="AM482" s="25">
        <v>16</v>
      </c>
      <c r="AN482" s="26">
        <f>Tabla2[[#This Row],[Minutos]]/60</f>
        <v>0.26666666666666666</v>
      </c>
      <c r="AO482" s="27">
        <f>SUM(Tabla2[[#This Row],[Horas]],Tabla2[[#This Row],[Minutos a Horas]])</f>
        <v>1.2666666666666666</v>
      </c>
      <c r="AP482" s="49">
        <v>8</v>
      </c>
      <c r="AQ482" s="49">
        <v>30</v>
      </c>
      <c r="AR482" s="26">
        <f>Tabla2[[#This Row],[Minutos*]]/60</f>
        <v>0.5</v>
      </c>
      <c r="AS482" s="27">
        <f>SUM(Tabla2[[#This Row],[Horas*]],Tabla2[[#This Row],[Minutos a Horas*]])+(Tabla2[[#This Row],[Tiempo Total a Nivel Proncincial (Horas)]])</f>
        <v>9.7666666666666657</v>
      </c>
    </row>
    <row r="483" spans="2:45" x14ac:dyDescent="0.25">
      <c r="B483" s="91"/>
      <c r="C483" s="91"/>
      <c r="D483" s="91"/>
      <c r="E483" s="92"/>
      <c r="F483" s="92"/>
      <c r="G483" s="92"/>
      <c r="H483" s="98"/>
      <c r="I483" s="99"/>
      <c r="J483" s="99"/>
      <c r="K483" s="99"/>
      <c r="L483" s="98"/>
      <c r="M483" s="92"/>
      <c r="N483" s="100"/>
      <c r="O483" s="94"/>
      <c r="P483" s="102"/>
      <c r="Q483" s="100"/>
      <c r="R483" s="95"/>
      <c r="S483" s="95"/>
      <c r="T483" s="96"/>
      <c r="U483" s="101"/>
      <c r="V483" s="101"/>
      <c r="W483" s="96"/>
      <c r="X483" s="101"/>
      <c r="Y483" s="101"/>
      <c r="Z483" s="96"/>
      <c r="AA483" s="97"/>
      <c r="AB483" s="93"/>
      <c r="AD483" s="20" t="s">
        <v>2380</v>
      </c>
      <c r="AE483" s="10" t="s">
        <v>377</v>
      </c>
      <c r="AF483" s="20" t="s">
        <v>611</v>
      </c>
      <c r="AG483" s="10"/>
      <c r="AH483" s="22" t="str">
        <f t="shared" si="14"/>
        <v>Ayacucho_04 Huanta</v>
      </c>
      <c r="AI483" s="10" t="s">
        <v>740</v>
      </c>
      <c r="AJ483" s="20" t="s">
        <v>654</v>
      </c>
      <c r="AK483" s="22" t="str">
        <f t="shared" si="15"/>
        <v>Ayacucho_04 Huanta_10 Uchuraccay</v>
      </c>
      <c r="AL483" s="25">
        <v>1</v>
      </c>
      <c r="AM483" s="25">
        <v>16</v>
      </c>
      <c r="AN483" s="26">
        <f>Tabla2[[#This Row],[Minutos]]/60</f>
        <v>0.26666666666666666</v>
      </c>
      <c r="AO483" s="27">
        <f>SUM(Tabla2[[#This Row],[Horas]],Tabla2[[#This Row],[Minutos a Horas]])</f>
        <v>1.2666666666666666</v>
      </c>
      <c r="AP483" s="49">
        <v>3</v>
      </c>
      <c r="AQ483" s="49">
        <v>30</v>
      </c>
      <c r="AR483" s="26">
        <f>Tabla2[[#This Row],[Minutos*]]/60</f>
        <v>0.5</v>
      </c>
      <c r="AS483" s="27">
        <f>SUM(Tabla2[[#This Row],[Horas*]],Tabla2[[#This Row],[Minutos a Horas*]])+(Tabla2[[#This Row],[Tiempo Total a Nivel Proncincial (Horas)]])</f>
        <v>4.7666666666666666</v>
      </c>
    </row>
    <row r="484" spans="2:45" x14ac:dyDescent="0.25">
      <c r="B484" s="90"/>
      <c r="C484" s="90"/>
      <c r="D484" s="90"/>
      <c r="E484" s="90"/>
      <c r="F484" s="90"/>
      <c r="G484" s="90"/>
      <c r="H484" s="81"/>
      <c r="I484" s="81"/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1"/>
      <c r="W484" s="81"/>
      <c r="X484" s="81"/>
      <c r="Y484" s="81"/>
      <c r="Z484" s="81"/>
      <c r="AA484" s="81"/>
      <c r="AB484" s="88"/>
      <c r="AD484" s="20" t="s">
        <v>2380</v>
      </c>
      <c r="AE484" s="10" t="s">
        <v>377</v>
      </c>
      <c r="AF484" s="20" t="s">
        <v>611</v>
      </c>
      <c r="AG484" s="10"/>
      <c r="AH484" s="22" t="str">
        <f t="shared" si="14"/>
        <v>Ayacucho_04 Huanta</v>
      </c>
      <c r="AI484" s="10" t="s">
        <v>740</v>
      </c>
      <c r="AJ484" s="20" t="s">
        <v>655</v>
      </c>
      <c r="AK484" s="22" t="str">
        <f t="shared" si="15"/>
        <v>Ayacucho_04 Huanta_11 Pucacolpa</v>
      </c>
      <c r="AL484" s="25">
        <v>1</v>
      </c>
      <c r="AM484" s="25">
        <v>16</v>
      </c>
      <c r="AN484" s="26">
        <f>Tabla2[[#This Row],[Minutos]]/60</f>
        <v>0.26666666666666666</v>
      </c>
      <c r="AO484" s="27">
        <f>SUM(Tabla2[[#This Row],[Horas]],Tabla2[[#This Row],[Minutos a Horas]])</f>
        <v>1.2666666666666666</v>
      </c>
      <c r="AP484" s="49">
        <v>8</v>
      </c>
      <c r="AQ484" s="49">
        <v>40</v>
      </c>
      <c r="AR484" s="26">
        <f>Tabla2[[#This Row],[Minutos*]]/60</f>
        <v>0.66666666666666663</v>
      </c>
      <c r="AS484" s="27">
        <f>SUM(Tabla2[[#This Row],[Horas*]],Tabla2[[#This Row],[Minutos a Horas*]])+(Tabla2[[#This Row],[Tiempo Total a Nivel Proncincial (Horas)]])</f>
        <v>9.9333333333333336</v>
      </c>
    </row>
    <row r="485" spans="2:45" x14ac:dyDescent="0.25">
      <c r="B485" s="90"/>
      <c r="C485" s="90"/>
      <c r="D485" s="90"/>
      <c r="E485" s="90"/>
      <c r="F485" s="90"/>
      <c r="G485" s="90"/>
      <c r="H485" s="81"/>
      <c r="I485" s="81"/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8"/>
      <c r="AD485" s="20" t="s">
        <v>2380</v>
      </c>
      <c r="AE485" s="10" t="s">
        <v>377</v>
      </c>
      <c r="AF485" s="20" t="s">
        <v>611</v>
      </c>
      <c r="AG485" s="10"/>
      <c r="AH485" s="22" t="str">
        <f t="shared" si="14"/>
        <v>Ayacucho_04 Huanta</v>
      </c>
      <c r="AI485" s="10" t="s">
        <v>740</v>
      </c>
      <c r="AJ485" s="20" t="s">
        <v>656</v>
      </c>
      <c r="AK485" s="22" t="str">
        <f t="shared" si="15"/>
        <v>Ayacucho_04 Huanta_12 Chaca</v>
      </c>
      <c r="AL485" s="25">
        <v>1</v>
      </c>
      <c r="AM485" s="25">
        <v>16</v>
      </c>
      <c r="AN485" s="26">
        <f>Tabla2[[#This Row],[Minutos]]/60</f>
        <v>0.26666666666666666</v>
      </c>
      <c r="AO485" s="27">
        <f>SUM(Tabla2[[#This Row],[Horas]],Tabla2[[#This Row],[Minutos a Horas]])</f>
        <v>1.2666666666666666</v>
      </c>
      <c r="AP485" s="49">
        <v>3</v>
      </c>
      <c r="AQ485" s="49">
        <v>30</v>
      </c>
      <c r="AR485" s="26">
        <f>Tabla2[[#This Row],[Minutos*]]/60</f>
        <v>0.5</v>
      </c>
      <c r="AS485" s="27">
        <f>SUM(Tabla2[[#This Row],[Horas*]],Tabla2[[#This Row],[Minutos a Horas*]])+(Tabla2[[#This Row],[Tiempo Total a Nivel Proncincial (Horas)]])</f>
        <v>4.7666666666666666</v>
      </c>
    </row>
    <row r="486" spans="2:45" x14ac:dyDescent="0.25">
      <c r="B486" s="90"/>
      <c r="C486" s="90"/>
      <c r="D486" s="90"/>
      <c r="E486" s="90"/>
      <c r="F486" s="90"/>
      <c r="G486" s="90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8"/>
      <c r="AD486" s="20" t="s">
        <v>2380</v>
      </c>
      <c r="AE486" s="10" t="s">
        <v>377</v>
      </c>
      <c r="AF486" s="20" t="s">
        <v>612</v>
      </c>
      <c r="AG486" s="10"/>
      <c r="AH486" s="22" t="str">
        <f t="shared" si="14"/>
        <v>Ayacucho_05 La Mar</v>
      </c>
      <c r="AI486" s="10" t="s">
        <v>741</v>
      </c>
      <c r="AJ486" s="20" t="s">
        <v>657</v>
      </c>
      <c r="AK486" s="22" t="str">
        <f t="shared" si="15"/>
        <v>Ayacucho_05 La Mar_01 San Miguel</v>
      </c>
      <c r="AL486" s="25">
        <v>4</v>
      </c>
      <c r="AM486" s="25">
        <v>21</v>
      </c>
      <c r="AN486" s="26">
        <f>Tabla2[[#This Row],[Minutos]]/60</f>
        <v>0.35</v>
      </c>
      <c r="AO486" s="27">
        <f>SUM(Tabla2[[#This Row],[Horas]],Tabla2[[#This Row],[Minutos a Horas]])</f>
        <v>4.3499999999999996</v>
      </c>
      <c r="AP486" s="49">
        <v>2</v>
      </c>
      <c r="AQ486" s="49">
        <v>0</v>
      </c>
      <c r="AR486" s="26">
        <f>Tabla2[[#This Row],[Minutos*]]/60</f>
        <v>0</v>
      </c>
      <c r="AS486" s="27">
        <f>SUM(Tabla2[[#This Row],[Horas*]],Tabla2[[#This Row],[Minutos a Horas*]])+(Tabla2[[#This Row],[Tiempo Total a Nivel Proncincial (Horas)]])</f>
        <v>6.35</v>
      </c>
    </row>
    <row r="487" spans="2:45" x14ac:dyDescent="0.25">
      <c r="B487" s="90"/>
      <c r="C487" s="90"/>
      <c r="D487" s="90"/>
      <c r="E487" s="90"/>
      <c r="F487" s="90"/>
      <c r="G487" s="90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8"/>
      <c r="AD487" s="20" t="s">
        <v>2380</v>
      </c>
      <c r="AE487" s="10" t="s">
        <v>377</v>
      </c>
      <c r="AF487" s="20" t="s">
        <v>612</v>
      </c>
      <c r="AG487" s="10"/>
      <c r="AH487" s="22" t="str">
        <f t="shared" si="14"/>
        <v>Ayacucho_05 La Mar</v>
      </c>
      <c r="AI487" s="10" t="s">
        <v>741</v>
      </c>
      <c r="AJ487" s="20" t="s">
        <v>658</v>
      </c>
      <c r="AK487" s="22" t="str">
        <f t="shared" si="15"/>
        <v>Ayacucho_05 La Mar_02 Anco</v>
      </c>
      <c r="AL487" s="25">
        <v>4</v>
      </c>
      <c r="AM487" s="25">
        <v>21</v>
      </c>
      <c r="AN487" s="26">
        <f>Tabla2[[#This Row],[Minutos]]/60</f>
        <v>0.35</v>
      </c>
      <c r="AO487" s="27">
        <f>SUM(Tabla2[[#This Row],[Horas]],Tabla2[[#This Row],[Minutos a Horas]])</f>
        <v>4.3499999999999996</v>
      </c>
      <c r="AP487" s="49">
        <v>6</v>
      </c>
      <c r="AQ487" s="49">
        <v>0</v>
      </c>
      <c r="AR487" s="26">
        <f>Tabla2[[#This Row],[Minutos*]]/60</f>
        <v>0</v>
      </c>
      <c r="AS487" s="27">
        <f>SUM(Tabla2[[#This Row],[Horas*]],Tabla2[[#This Row],[Minutos a Horas*]])+(Tabla2[[#This Row],[Tiempo Total a Nivel Proncincial (Horas)]])</f>
        <v>10.35</v>
      </c>
    </row>
    <row r="488" spans="2:45" x14ac:dyDescent="0.25">
      <c r="B488" s="90"/>
      <c r="C488" s="90"/>
      <c r="D488" s="90"/>
      <c r="E488" s="90"/>
      <c r="F488" s="90"/>
      <c r="G488" s="90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8"/>
      <c r="AD488" s="20" t="s">
        <v>2380</v>
      </c>
      <c r="AE488" s="10" t="s">
        <v>377</v>
      </c>
      <c r="AF488" s="20" t="s">
        <v>612</v>
      </c>
      <c r="AG488" s="10"/>
      <c r="AH488" s="22" t="str">
        <f t="shared" si="14"/>
        <v>Ayacucho_05 La Mar</v>
      </c>
      <c r="AI488" s="10" t="s">
        <v>741</v>
      </c>
      <c r="AJ488" s="20" t="s">
        <v>659</v>
      </c>
      <c r="AK488" s="22" t="str">
        <f t="shared" si="15"/>
        <v>Ayacucho_05 La Mar_03 Ayna</v>
      </c>
      <c r="AL488" s="25">
        <v>4</v>
      </c>
      <c r="AM488" s="25">
        <v>21</v>
      </c>
      <c r="AN488" s="26">
        <f>Tabla2[[#This Row],[Minutos]]/60</f>
        <v>0.35</v>
      </c>
      <c r="AO488" s="27">
        <f>SUM(Tabla2[[#This Row],[Horas]],Tabla2[[#This Row],[Minutos a Horas]])</f>
        <v>4.3499999999999996</v>
      </c>
      <c r="AP488" s="49">
        <v>5</v>
      </c>
      <c r="AQ488" s="49">
        <v>0</v>
      </c>
      <c r="AR488" s="26">
        <f>Tabla2[[#This Row],[Minutos*]]/60</f>
        <v>0</v>
      </c>
      <c r="AS488" s="27">
        <f>SUM(Tabla2[[#This Row],[Horas*]],Tabla2[[#This Row],[Minutos a Horas*]])+(Tabla2[[#This Row],[Tiempo Total a Nivel Proncincial (Horas)]])</f>
        <v>9.35</v>
      </c>
    </row>
    <row r="489" spans="2:45" x14ac:dyDescent="0.25">
      <c r="B489" s="90"/>
      <c r="C489" s="90"/>
      <c r="D489" s="90"/>
      <c r="E489" s="90"/>
      <c r="F489" s="90"/>
      <c r="G489" s="90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8"/>
      <c r="AD489" s="20" t="s">
        <v>2380</v>
      </c>
      <c r="AE489" s="10" t="s">
        <v>377</v>
      </c>
      <c r="AF489" s="20" t="s">
        <v>612</v>
      </c>
      <c r="AG489" s="10"/>
      <c r="AH489" s="22" t="str">
        <f t="shared" si="14"/>
        <v>Ayacucho_05 La Mar</v>
      </c>
      <c r="AI489" s="10" t="s">
        <v>741</v>
      </c>
      <c r="AJ489" s="20" t="s">
        <v>660</v>
      </c>
      <c r="AK489" s="22" t="str">
        <f t="shared" si="15"/>
        <v>Ayacucho_05 La Mar_04 Chilcas</v>
      </c>
      <c r="AL489" s="25">
        <v>4</v>
      </c>
      <c r="AM489" s="25">
        <v>21</v>
      </c>
      <c r="AN489" s="26">
        <f>Tabla2[[#This Row],[Minutos]]/60</f>
        <v>0.35</v>
      </c>
      <c r="AO489" s="27">
        <f>SUM(Tabla2[[#This Row],[Horas]],Tabla2[[#This Row],[Minutos a Horas]])</f>
        <v>4.3499999999999996</v>
      </c>
      <c r="AP489" s="49">
        <v>3</v>
      </c>
      <c r="AQ489" s="49">
        <v>0</v>
      </c>
      <c r="AR489" s="26">
        <f>Tabla2[[#This Row],[Minutos*]]/60</f>
        <v>0</v>
      </c>
      <c r="AS489" s="27">
        <f>SUM(Tabla2[[#This Row],[Horas*]],Tabla2[[#This Row],[Minutos a Horas*]])+(Tabla2[[#This Row],[Tiempo Total a Nivel Proncincial (Horas)]])</f>
        <v>7.35</v>
      </c>
    </row>
    <row r="490" spans="2:45" x14ac:dyDescent="0.25">
      <c r="B490" s="90"/>
      <c r="C490" s="90"/>
      <c r="D490" s="90"/>
      <c r="E490" s="90"/>
      <c r="F490" s="90"/>
      <c r="G490" s="90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8"/>
      <c r="AD490" s="20" t="s">
        <v>2380</v>
      </c>
      <c r="AE490" s="10" t="s">
        <v>377</v>
      </c>
      <c r="AF490" s="20" t="s">
        <v>612</v>
      </c>
      <c r="AG490" s="10"/>
      <c r="AH490" s="22" t="str">
        <f t="shared" si="14"/>
        <v>Ayacucho_05 La Mar</v>
      </c>
      <c r="AI490" s="10" t="s">
        <v>741</v>
      </c>
      <c r="AJ490" s="20" t="s">
        <v>661</v>
      </c>
      <c r="AK490" s="22" t="str">
        <f t="shared" si="15"/>
        <v>Ayacucho_05 La Mar_05 Chungui</v>
      </c>
      <c r="AL490" s="25">
        <v>4</v>
      </c>
      <c r="AM490" s="25">
        <v>21</v>
      </c>
      <c r="AN490" s="26">
        <f>Tabla2[[#This Row],[Minutos]]/60</f>
        <v>0.35</v>
      </c>
      <c r="AO490" s="27">
        <f>SUM(Tabla2[[#This Row],[Horas]],Tabla2[[#This Row],[Minutos a Horas]])</f>
        <v>4.3499999999999996</v>
      </c>
      <c r="AP490" s="49">
        <v>4</v>
      </c>
      <c r="AQ490" s="49">
        <v>0</v>
      </c>
      <c r="AR490" s="26">
        <f>Tabla2[[#This Row],[Minutos*]]/60</f>
        <v>0</v>
      </c>
      <c r="AS490" s="27">
        <f>SUM(Tabla2[[#This Row],[Horas*]],Tabla2[[#This Row],[Minutos a Horas*]])+(Tabla2[[#This Row],[Tiempo Total a Nivel Proncincial (Horas)]])</f>
        <v>8.35</v>
      </c>
    </row>
    <row r="491" spans="2:45" x14ac:dyDescent="0.25">
      <c r="B491" s="90"/>
      <c r="C491" s="90"/>
      <c r="D491" s="90"/>
      <c r="E491" s="90"/>
      <c r="F491" s="90"/>
      <c r="G491" s="90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8"/>
      <c r="AD491" s="20" t="s">
        <v>2380</v>
      </c>
      <c r="AE491" s="10" t="s">
        <v>377</v>
      </c>
      <c r="AF491" s="20" t="s">
        <v>612</v>
      </c>
      <c r="AG491" s="10"/>
      <c r="AH491" s="22" t="str">
        <f t="shared" si="14"/>
        <v>Ayacucho_05 La Mar</v>
      </c>
      <c r="AI491" s="10" t="s">
        <v>741</v>
      </c>
      <c r="AJ491" s="20" t="s">
        <v>662</v>
      </c>
      <c r="AK491" s="22" t="str">
        <f t="shared" si="15"/>
        <v>Ayacucho_05 La Mar_06 Luis Carranza</v>
      </c>
      <c r="AL491" s="25">
        <v>4</v>
      </c>
      <c r="AM491" s="25">
        <v>21</v>
      </c>
      <c r="AN491" s="26">
        <f>Tabla2[[#This Row],[Minutos]]/60</f>
        <v>0.35</v>
      </c>
      <c r="AO491" s="27">
        <f>SUM(Tabla2[[#This Row],[Horas]],Tabla2[[#This Row],[Minutos a Horas]])</f>
        <v>4.3499999999999996</v>
      </c>
      <c r="AP491" s="49">
        <v>2</v>
      </c>
      <c r="AQ491" s="49">
        <v>50</v>
      </c>
      <c r="AR491" s="26">
        <f>Tabla2[[#This Row],[Minutos*]]/60</f>
        <v>0.83333333333333337</v>
      </c>
      <c r="AS491" s="27">
        <f>SUM(Tabla2[[#This Row],[Horas*]],Tabla2[[#This Row],[Minutos a Horas*]])+(Tabla2[[#This Row],[Tiempo Total a Nivel Proncincial (Horas)]])</f>
        <v>7.1833333333333336</v>
      </c>
    </row>
    <row r="492" spans="2:45" x14ac:dyDescent="0.25">
      <c r="B492" s="90"/>
      <c r="C492" s="90"/>
      <c r="D492" s="90"/>
      <c r="E492" s="90"/>
      <c r="F492" s="90"/>
      <c r="G492" s="90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8"/>
      <c r="AD492" s="20" t="s">
        <v>2380</v>
      </c>
      <c r="AE492" s="10" t="s">
        <v>377</v>
      </c>
      <c r="AF492" s="20" t="s">
        <v>612</v>
      </c>
      <c r="AG492" s="10"/>
      <c r="AH492" s="22" t="str">
        <f t="shared" si="14"/>
        <v>Ayacucho_05 La Mar</v>
      </c>
      <c r="AI492" s="10" t="s">
        <v>741</v>
      </c>
      <c r="AJ492" s="20" t="s">
        <v>663</v>
      </c>
      <c r="AK492" s="22" t="str">
        <f t="shared" si="15"/>
        <v>Ayacucho_05 La Mar_07 Santa Rosa</v>
      </c>
      <c r="AL492" s="25">
        <v>4</v>
      </c>
      <c r="AM492" s="25">
        <v>21</v>
      </c>
      <c r="AN492" s="26">
        <f>Tabla2[[#This Row],[Minutos]]/60</f>
        <v>0.35</v>
      </c>
      <c r="AO492" s="27">
        <f>SUM(Tabla2[[#This Row],[Horas]],Tabla2[[#This Row],[Minutos a Horas]])</f>
        <v>4.3499999999999996</v>
      </c>
      <c r="AP492" s="49">
        <v>7</v>
      </c>
      <c r="AQ492" s="49">
        <v>30</v>
      </c>
      <c r="AR492" s="26">
        <f>Tabla2[[#This Row],[Minutos*]]/60</f>
        <v>0.5</v>
      </c>
      <c r="AS492" s="27">
        <f>SUM(Tabla2[[#This Row],[Horas*]],Tabla2[[#This Row],[Minutos a Horas*]])+(Tabla2[[#This Row],[Tiempo Total a Nivel Proncincial (Horas)]])</f>
        <v>11.85</v>
      </c>
    </row>
    <row r="493" spans="2:45" x14ac:dyDescent="0.25">
      <c r="B493" s="90"/>
      <c r="C493" s="90"/>
      <c r="D493" s="90"/>
      <c r="E493" s="90"/>
      <c r="F493" s="90"/>
      <c r="G493" s="90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8"/>
      <c r="AD493" s="20" t="s">
        <v>2380</v>
      </c>
      <c r="AE493" s="10" t="s">
        <v>377</v>
      </c>
      <c r="AF493" s="20" t="s">
        <v>612</v>
      </c>
      <c r="AG493" s="10"/>
      <c r="AH493" s="22" t="str">
        <f t="shared" si="14"/>
        <v>Ayacucho_05 La Mar</v>
      </c>
      <c r="AI493" s="10" t="s">
        <v>741</v>
      </c>
      <c r="AJ493" s="20" t="s">
        <v>664</v>
      </c>
      <c r="AK493" s="22" t="str">
        <f t="shared" si="15"/>
        <v>Ayacucho_05 La Mar_08 Tambo</v>
      </c>
      <c r="AL493" s="25">
        <v>4</v>
      </c>
      <c r="AM493" s="25">
        <v>21</v>
      </c>
      <c r="AN493" s="26">
        <f>Tabla2[[#This Row],[Minutos]]/60</f>
        <v>0.35</v>
      </c>
      <c r="AO493" s="27">
        <f>SUM(Tabla2[[#This Row],[Horas]],Tabla2[[#This Row],[Minutos a Horas]])</f>
        <v>4.3499999999999996</v>
      </c>
      <c r="AP493" s="49">
        <v>2</v>
      </c>
      <c r="AQ493" s="49">
        <v>0</v>
      </c>
      <c r="AR493" s="26">
        <f>Tabla2[[#This Row],[Minutos*]]/60</f>
        <v>0</v>
      </c>
      <c r="AS493" s="27">
        <f>SUM(Tabla2[[#This Row],[Horas*]],Tabla2[[#This Row],[Minutos a Horas*]])+(Tabla2[[#This Row],[Tiempo Total a Nivel Proncincial (Horas)]])</f>
        <v>6.35</v>
      </c>
    </row>
    <row r="494" spans="2:45" x14ac:dyDescent="0.25">
      <c r="B494" s="90"/>
      <c r="C494" s="90"/>
      <c r="D494" s="90"/>
      <c r="E494" s="90"/>
      <c r="F494" s="90"/>
      <c r="G494" s="90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8"/>
      <c r="AD494" s="20" t="s">
        <v>2380</v>
      </c>
      <c r="AE494" s="10" t="s">
        <v>377</v>
      </c>
      <c r="AF494" s="20" t="s">
        <v>612</v>
      </c>
      <c r="AG494" s="10"/>
      <c r="AH494" s="22" t="str">
        <f t="shared" si="14"/>
        <v>Ayacucho_05 La Mar</v>
      </c>
      <c r="AI494" s="10" t="s">
        <v>741</v>
      </c>
      <c r="AJ494" s="20" t="s">
        <v>665</v>
      </c>
      <c r="AK494" s="22" t="str">
        <f t="shared" si="15"/>
        <v>Ayacucho_05 La Mar_09 Samugari</v>
      </c>
      <c r="AL494" s="25">
        <v>4</v>
      </c>
      <c r="AM494" s="25">
        <v>21</v>
      </c>
      <c r="AN494" s="26">
        <f>Tabla2[[#This Row],[Minutos]]/60</f>
        <v>0.35</v>
      </c>
      <c r="AO494" s="27">
        <f>SUM(Tabla2[[#This Row],[Horas]],Tabla2[[#This Row],[Minutos a Horas]])</f>
        <v>4.3499999999999996</v>
      </c>
      <c r="AP494" s="49">
        <v>7</v>
      </c>
      <c r="AQ494" s="49">
        <v>0</v>
      </c>
      <c r="AR494" s="26">
        <f>Tabla2[[#This Row],[Minutos*]]/60</f>
        <v>0</v>
      </c>
      <c r="AS494" s="27">
        <f>SUM(Tabla2[[#This Row],[Horas*]],Tabla2[[#This Row],[Minutos a Horas*]])+(Tabla2[[#This Row],[Tiempo Total a Nivel Proncincial (Horas)]])</f>
        <v>11.35</v>
      </c>
    </row>
    <row r="495" spans="2:45" x14ac:dyDescent="0.25">
      <c r="B495" s="90"/>
      <c r="C495" s="90"/>
      <c r="D495" s="90"/>
      <c r="E495" s="90"/>
      <c r="F495" s="90"/>
      <c r="G495" s="90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8"/>
      <c r="AD495" s="20" t="s">
        <v>2380</v>
      </c>
      <c r="AE495" s="10" t="s">
        <v>377</v>
      </c>
      <c r="AF495" s="20" t="s">
        <v>612</v>
      </c>
      <c r="AG495" s="10"/>
      <c r="AH495" s="22" t="str">
        <f t="shared" si="14"/>
        <v>Ayacucho_05 La Mar</v>
      </c>
      <c r="AI495" s="10" t="s">
        <v>741</v>
      </c>
      <c r="AJ495" s="20" t="s">
        <v>666</v>
      </c>
      <c r="AK495" s="22" t="str">
        <f t="shared" si="15"/>
        <v>Ayacucho_05 La Mar_10 Anchihuay</v>
      </c>
      <c r="AL495" s="25">
        <v>4</v>
      </c>
      <c r="AM495" s="25">
        <v>21</v>
      </c>
      <c r="AN495" s="26">
        <f>Tabla2[[#This Row],[Minutos]]/60</f>
        <v>0.35</v>
      </c>
      <c r="AO495" s="27">
        <f>SUM(Tabla2[[#This Row],[Horas]],Tabla2[[#This Row],[Minutos a Horas]])</f>
        <v>4.3499999999999996</v>
      </c>
      <c r="AP495" s="49">
        <v>8</v>
      </c>
      <c r="AQ495" s="49">
        <v>0</v>
      </c>
      <c r="AR495" s="26">
        <f>Tabla2[[#This Row],[Minutos*]]/60</f>
        <v>0</v>
      </c>
      <c r="AS495" s="27">
        <f>SUM(Tabla2[[#This Row],[Horas*]],Tabla2[[#This Row],[Minutos a Horas*]])+(Tabla2[[#This Row],[Tiempo Total a Nivel Proncincial (Horas)]])</f>
        <v>12.35</v>
      </c>
    </row>
    <row r="496" spans="2:45" x14ac:dyDescent="0.25">
      <c r="B496" s="90"/>
      <c r="C496" s="90"/>
      <c r="D496" s="90"/>
      <c r="E496" s="90"/>
      <c r="F496" s="90"/>
      <c r="G496" s="90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8"/>
      <c r="AD496" s="20" t="s">
        <v>2380</v>
      </c>
      <c r="AE496" s="10" t="s">
        <v>377</v>
      </c>
      <c r="AF496" s="20" t="s">
        <v>613</v>
      </c>
      <c r="AG496" s="10"/>
      <c r="AH496" s="22" t="str">
        <f t="shared" si="14"/>
        <v>Ayacucho_06 Lucanas</v>
      </c>
      <c r="AI496" s="10" t="s">
        <v>742</v>
      </c>
      <c r="AJ496" s="20" t="s">
        <v>667</v>
      </c>
      <c r="AK496" s="22" t="str">
        <f t="shared" si="15"/>
        <v>Ayacucho_06 Lucanas_01 Puquio</v>
      </c>
      <c r="AL496" s="25">
        <v>4</v>
      </c>
      <c r="AM496" s="25">
        <v>55</v>
      </c>
      <c r="AN496" s="26">
        <f>Tabla2[[#This Row],[Minutos]]/60</f>
        <v>0.91666666666666663</v>
      </c>
      <c r="AO496" s="27">
        <f>SUM(Tabla2[[#This Row],[Horas]],Tabla2[[#This Row],[Minutos a Horas]])</f>
        <v>4.916666666666667</v>
      </c>
      <c r="AP496" s="49">
        <v>8</v>
      </c>
      <c r="AQ496" s="49">
        <v>30</v>
      </c>
      <c r="AR496" s="26">
        <f>Tabla2[[#This Row],[Minutos*]]/60</f>
        <v>0.5</v>
      </c>
      <c r="AS496" s="27">
        <f>SUM(Tabla2[[#This Row],[Horas*]],Tabla2[[#This Row],[Minutos a Horas*]])+(Tabla2[[#This Row],[Tiempo Total a Nivel Proncincial (Horas)]])</f>
        <v>13.416666666666668</v>
      </c>
    </row>
    <row r="497" spans="2:45" x14ac:dyDescent="0.25">
      <c r="B497" s="90"/>
      <c r="C497" s="90"/>
      <c r="D497" s="90"/>
      <c r="E497" s="90"/>
      <c r="F497" s="90"/>
      <c r="G497" s="90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8"/>
      <c r="AD497" s="20" t="s">
        <v>2380</v>
      </c>
      <c r="AE497" s="10" t="s">
        <v>377</v>
      </c>
      <c r="AF497" s="20" t="s">
        <v>613</v>
      </c>
      <c r="AG497" s="10"/>
      <c r="AH497" s="22" t="str">
        <f t="shared" si="14"/>
        <v>Ayacucho_06 Lucanas</v>
      </c>
      <c r="AI497" s="10" t="s">
        <v>742</v>
      </c>
      <c r="AJ497" s="20" t="s">
        <v>668</v>
      </c>
      <c r="AK497" s="22" t="str">
        <f t="shared" si="15"/>
        <v>Ayacucho_06 Lucanas_02 Aucara</v>
      </c>
      <c r="AL497" s="25">
        <v>4</v>
      </c>
      <c r="AM497" s="25">
        <v>55</v>
      </c>
      <c r="AN497" s="26">
        <f>Tabla2[[#This Row],[Minutos]]/60</f>
        <v>0.91666666666666663</v>
      </c>
      <c r="AO497" s="27">
        <f>SUM(Tabla2[[#This Row],[Horas]],Tabla2[[#This Row],[Minutos a Horas]])</f>
        <v>4.916666666666667</v>
      </c>
      <c r="AP497" s="49">
        <v>9</v>
      </c>
      <c r="AQ497" s="49">
        <v>30</v>
      </c>
      <c r="AR497" s="26">
        <f>Tabla2[[#This Row],[Minutos*]]/60</f>
        <v>0.5</v>
      </c>
      <c r="AS497" s="27">
        <f>SUM(Tabla2[[#This Row],[Horas*]],Tabla2[[#This Row],[Minutos a Horas*]])+(Tabla2[[#This Row],[Tiempo Total a Nivel Proncincial (Horas)]])</f>
        <v>14.416666666666668</v>
      </c>
    </row>
    <row r="498" spans="2:45" x14ac:dyDescent="0.25">
      <c r="B498" s="90"/>
      <c r="C498" s="90"/>
      <c r="D498" s="90"/>
      <c r="E498" s="90"/>
      <c r="F498" s="90"/>
      <c r="G498" s="90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8"/>
      <c r="AD498" s="20" t="s">
        <v>2380</v>
      </c>
      <c r="AE498" s="10" t="s">
        <v>377</v>
      </c>
      <c r="AF498" s="20" t="s">
        <v>613</v>
      </c>
      <c r="AG498" s="10"/>
      <c r="AH498" s="22" t="str">
        <f t="shared" si="14"/>
        <v>Ayacucho_06 Lucanas</v>
      </c>
      <c r="AI498" s="10" t="s">
        <v>742</v>
      </c>
      <c r="AJ498" s="20" t="s">
        <v>669</v>
      </c>
      <c r="AK498" s="22" t="str">
        <f t="shared" si="15"/>
        <v>Ayacucho_06 Lucanas_03 Cabana</v>
      </c>
      <c r="AL498" s="25">
        <v>4</v>
      </c>
      <c r="AM498" s="25">
        <v>55</v>
      </c>
      <c r="AN498" s="26">
        <f>Tabla2[[#This Row],[Minutos]]/60</f>
        <v>0.91666666666666663</v>
      </c>
      <c r="AO498" s="27">
        <f>SUM(Tabla2[[#This Row],[Horas]],Tabla2[[#This Row],[Minutos a Horas]])</f>
        <v>4.916666666666667</v>
      </c>
      <c r="AP498" s="49">
        <v>9</v>
      </c>
      <c r="AQ498" s="49">
        <v>30</v>
      </c>
      <c r="AR498" s="26">
        <f>Tabla2[[#This Row],[Minutos*]]/60</f>
        <v>0.5</v>
      </c>
      <c r="AS498" s="27">
        <f>SUM(Tabla2[[#This Row],[Horas*]],Tabla2[[#This Row],[Minutos a Horas*]])+(Tabla2[[#This Row],[Tiempo Total a Nivel Proncincial (Horas)]])</f>
        <v>14.416666666666668</v>
      </c>
    </row>
    <row r="499" spans="2:45" x14ac:dyDescent="0.25">
      <c r="B499" s="90"/>
      <c r="C499" s="90"/>
      <c r="D499" s="90"/>
      <c r="E499" s="90"/>
      <c r="F499" s="90"/>
      <c r="G499" s="90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8"/>
      <c r="AD499" s="20" t="s">
        <v>2380</v>
      </c>
      <c r="AE499" s="10" t="s">
        <v>377</v>
      </c>
      <c r="AF499" s="20" t="s">
        <v>613</v>
      </c>
      <c r="AG499" s="10"/>
      <c r="AH499" s="22" t="str">
        <f t="shared" si="14"/>
        <v>Ayacucho_06 Lucanas</v>
      </c>
      <c r="AI499" s="10" t="s">
        <v>742</v>
      </c>
      <c r="AJ499" s="20" t="s">
        <v>670</v>
      </c>
      <c r="AK499" s="22" t="str">
        <f t="shared" si="15"/>
        <v>Ayacucho_06 Lucanas_04 Carmen Salcedo</v>
      </c>
      <c r="AL499" s="25">
        <v>4</v>
      </c>
      <c r="AM499" s="25">
        <v>55</v>
      </c>
      <c r="AN499" s="26">
        <f>Tabla2[[#This Row],[Minutos]]/60</f>
        <v>0.91666666666666663</v>
      </c>
      <c r="AO499" s="27">
        <f>SUM(Tabla2[[#This Row],[Horas]],Tabla2[[#This Row],[Minutos a Horas]])</f>
        <v>4.916666666666667</v>
      </c>
      <c r="AP499" s="49">
        <v>9</v>
      </c>
      <c r="AQ499" s="49">
        <v>25</v>
      </c>
      <c r="AR499" s="26">
        <f>Tabla2[[#This Row],[Minutos*]]/60</f>
        <v>0.41666666666666669</v>
      </c>
      <c r="AS499" s="27">
        <f>SUM(Tabla2[[#This Row],[Horas*]],Tabla2[[#This Row],[Minutos a Horas*]])+(Tabla2[[#This Row],[Tiempo Total a Nivel Proncincial (Horas)]])</f>
        <v>14.333333333333332</v>
      </c>
    </row>
    <row r="500" spans="2:45" x14ac:dyDescent="0.25">
      <c r="B500" s="90"/>
      <c r="C500" s="90"/>
      <c r="D500" s="90"/>
      <c r="E500" s="90"/>
      <c r="F500" s="90"/>
      <c r="G500" s="90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8"/>
      <c r="AD500" s="20" t="s">
        <v>2380</v>
      </c>
      <c r="AE500" s="10" t="s">
        <v>377</v>
      </c>
      <c r="AF500" s="20" t="s">
        <v>613</v>
      </c>
      <c r="AG500" s="10"/>
      <c r="AH500" s="22" t="str">
        <f t="shared" si="14"/>
        <v>Ayacucho_06 Lucanas</v>
      </c>
      <c r="AI500" s="10" t="s">
        <v>742</v>
      </c>
      <c r="AJ500" s="20" t="s">
        <v>671</v>
      </c>
      <c r="AK500" s="22" t="str">
        <f t="shared" si="15"/>
        <v>Ayacucho_06 Lucanas_05 Chaviña</v>
      </c>
      <c r="AL500" s="25">
        <v>4</v>
      </c>
      <c r="AM500" s="25">
        <v>55</v>
      </c>
      <c r="AN500" s="26">
        <f>Tabla2[[#This Row],[Minutos]]/60</f>
        <v>0.91666666666666663</v>
      </c>
      <c r="AO500" s="27">
        <f>SUM(Tabla2[[#This Row],[Horas]],Tabla2[[#This Row],[Minutos a Horas]])</f>
        <v>4.916666666666667</v>
      </c>
      <c r="AP500" s="49">
        <v>9</v>
      </c>
      <c r="AQ500" s="49">
        <v>45</v>
      </c>
      <c r="AR500" s="26">
        <f>Tabla2[[#This Row],[Minutos*]]/60</f>
        <v>0.75</v>
      </c>
      <c r="AS500" s="27">
        <f>SUM(Tabla2[[#This Row],[Horas*]],Tabla2[[#This Row],[Minutos a Horas*]])+(Tabla2[[#This Row],[Tiempo Total a Nivel Proncincial (Horas)]])</f>
        <v>14.666666666666668</v>
      </c>
    </row>
    <row r="501" spans="2:45" x14ac:dyDescent="0.25">
      <c r="B501" s="90"/>
      <c r="C501" s="90"/>
      <c r="D501" s="90"/>
      <c r="E501" s="90"/>
      <c r="F501" s="90"/>
      <c r="G501" s="90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8"/>
      <c r="AD501" s="20" t="s">
        <v>2380</v>
      </c>
      <c r="AE501" s="10" t="s">
        <v>377</v>
      </c>
      <c r="AF501" s="20" t="s">
        <v>613</v>
      </c>
      <c r="AG501" s="10"/>
      <c r="AH501" s="22" t="str">
        <f t="shared" si="14"/>
        <v>Ayacucho_06 Lucanas</v>
      </c>
      <c r="AI501" s="10" t="s">
        <v>742</v>
      </c>
      <c r="AJ501" s="20" t="s">
        <v>672</v>
      </c>
      <c r="AK501" s="22" t="str">
        <f t="shared" si="15"/>
        <v>Ayacucho_06 Lucanas_06 Chipao</v>
      </c>
      <c r="AL501" s="25">
        <v>4</v>
      </c>
      <c r="AM501" s="25">
        <v>55</v>
      </c>
      <c r="AN501" s="26">
        <f>Tabla2[[#This Row],[Minutos]]/60</f>
        <v>0.91666666666666663</v>
      </c>
      <c r="AO501" s="27">
        <f>SUM(Tabla2[[#This Row],[Horas]],Tabla2[[#This Row],[Minutos a Horas]])</f>
        <v>4.916666666666667</v>
      </c>
      <c r="AP501" s="49">
        <v>9</v>
      </c>
      <c r="AQ501" s="49">
        <v>50</v>
      </c>
      <c r="AR501" s="26">
        <f>Tabla2[[#This Row],[Minutos*]]/60</f>
        <v>0.83333333333333337</v>
      </c>
      <c r="AS501" s="27">
        <f>SUM(Tabla2[[#This Row],[Horas*]],Tabla2[[#This Row],[Minutos a Horas*]])+(Tabla2[[#This Row],[Tiempo Total a Nivel Proncincial (Horas)]])</f>
        <v>14.75</v>
      </c>
    </row>
    <row r="502" spans="2:45" x14ac:dyDescent="0.25">
      <c r="B502" s="90"/>
      <c r="C502" s="90"/>
      <c r="D502" s="90"/>
      <c r="E502" s="90"/>
      <c r="F502" s="90"/>
      <c r="G502" s="90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8"/>
      <c r="AD502" s="20" t="s">
        <v>2380</v>
      </c>
      <c r="AE502" s="10" t="s">
        <v>377</v>
      </c>
      <c r="AF502" s="20" t="s">
        <v>613</v>
      </c>
      <c r="AG502" s="10"/>
      <c r="AH502" s="22" t="str">
        <f t="shared" si="14"/>
        <v>Ayacucho_06 Lucanas</v>
      </c>
      <c r="AI502" s="10" t="s">
        <v>742</v>
      </c>
      <c r="AJ502" s="20" t="s">
        <v>673</v>
      </c>
      <c r="AK502" s="22" t="str">
        <f t="shared" si="15"/>
        <v>Ayacucho_06 Lucanas_07 Huac-Huas</v>
      </c>
      <c r="AL502" s="25">
        <v>4</v>
      </c>
      <c r="AM502" s="25">
        <v>55</v>
      </c>
      <c r="AN502" s="26">
        <f>Tabla2[[#This Row],[Minutos]]/60</f>
        <v>0.91666666666666663</v>
      </c>
      <c r="AO502" s="27">
        <f>SUM(Tabla2[[#This Row],[Horas]],Tabla2[[#This Row],[Minutos a Horas]])</f>
        <v>4.916666666666667</v>
      </c>
      <c r="AP502" s="49">
        <v>8</v>
      </c>
      <c r="AQ502" s="49">
        <v>0</v>
      </c>
      <c r="AR502" s="26">
        <f>Tabla2[[#This Row],[Minutos*]]/60</f>
        <v>0</v>
      </c>
      <c r="AS502" s="27">
        <f>SUM(Tabla2[[#This Row],[Horas*]],Tabla2[[#This Row],[Minutos a Horas*]])+(Tabla2[[#This Row],[Tiempo Total a Nivel Proncincial (Horas)]])</f>
        <v>12.916666666666668</v>
      </c>
    </row>
    <row r="503" spans="2:45" x14ac:dyDescent="0.25">
      <c r="B503" s="90"/>
      <c r="C503" s="90"/>
      <c r="D503" s="90"/>
      <c r="E503" s="90"/>
      <c r="F503" s="90"/>
      <c r="G503" s="90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8"/>
      <c r="AD503" s="20" t="s">
        <v>2380</v>
      </c>
      <c r="AE503" s="10" t="s">
        <v>377</v>
      </c>
      <c r="AF503" s="20" t="s">
        <v>613</v>
      </c>
      <c r="AG503" s="10"/>
      <c r="AH503" s="22" t="str">
        <f t="shared" si="14"/>
        <v>Ayacucho_06 Lucanas</v>
      </c>
      <c r="AI503" s="10" t="s">
        <v>742</v>
      </c>
      <c r="AJ503" s="20" t="s">
        <v>674</v>
      </c>
      <c r="AK503" s="22" t="str">
        <f t="shared" si="15"/>
        <v>Ayacucho_06 Lucanas_08 Laramate</v>
      </c>
      <c r="AL503" s="25">
        <v>4</v>
      </c>
      <c r="AM503" s="25">
        <v>55</v>
      </c>
      <c r="AN503" s="26">
        <f>Tabla2[[#This Row],[Minutos]]/60</f>
        <v>0.91666666666666663</v>
      </c>
      <c r="AO503" s="27">
        <f>SUM(Tabla2[[#This Row],[Horas]],Tabla2[[#This Row],[Minutos a Horas]])</f>
        <v>4.916666666666667</v>
      </c>
      <c r="AP503" s="49">
        <v>8</v>
      </c>
      <c r="AQ503" s="49">
        <v>15</v>
      </c>
      <c r="AR503" s="26">
        <f>Tabla2[[#This Row],[Minutos*]]/60</f>
        <v>0.25</v>
      </c>
      <c r="AS503" s="27">
        <f>SUM(Tabla2[[#This Row],[Horas*]],Tabla2[[#This Row],[Minutos a Horas*]])+(Tabla2[[#This Row],[Tiempo Total a Nivel Proncincial (Horas)]])</f>
        <v>13.166666666666668</v>
      </c>
    </row>
    <row r="504" spans="2:45" x14ac:dyDescent="0.25">
      <c r="B504" s="90"/>
      <c r="C504" s="90"/>
      <c r="D504" s="90"/>
      <c r="E504" s="90"/>
      <c r="F504" s="90"/>
      <c r="G504" s="90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8"/>
      <c r="AD504" s="20" t="s">
        <v>2380</v>
      </c>
      <c r="AE504" s="10" t="s">
        <v>377</v>
      </c>
      <c r="AF504" s="20" t="s">
        <v>613</v>
      </c>
      <c r="AG504" s="10"/>
      <c r="AH504" s="22" t="str">
        <f t="shared" si="14"/>
        <v>Ayacucho_06 Lucanas</v>
      </c>
      <c r="AI504" s="10" t="s">
        <v>742</v>
      </c>
      <c r="AJ504" s="20" t="s">
        <v>675</v>
      </c>
      <c r="AK504" s="22" t="str">
        <f t="shared" si="15"/>
        <v>Ayacucho_06 Lucanas_09 Leoncio Prado</v>
      </c>
      <c r="AL504" s="25">
        <v>4</v>
      </c>
      <c r="AM504" s="25">
        <v>55</v>
      </c>
      <c r="AN504" s="26">
        <f>Tabla2[[#This Row],[Minutos]]/60</f>
        <v>0.91666666666666663</v>
      </c>
      <c r="AO504" s="27">
        <f>SUM(Tabla2[[#This Row],[Horas]],Tabla2[[#This Row],[Minutos a Horas]])</f>
        <v>4.916666666666667</v>
      </c>
      <c r="AP504" s="49">
        <v>8</v>
      </c>
      <c r="AQ504" s="49">
        <v>30</v>
      </c>
      <c r="AR504" s="26">
        <f>Tabla2[[#This Row],[Minutos*]]/60</f>
        <v>0.5</v>
      </c>
      <c r="AS504" s="27">
        <f>SUM(Tabla2[[#This Row],[Horas*]],Tabla2[[#This Row],[Minutos a Horas*]])+(Tabla2[[#This Row],[Tiempo Total a Nivel Proncincial (Horas)]])</f>
        <v>13.416666666666668</v>
      </c>
    </row>
    <row r="505" spans="2:45" x14ac:dyDescent="0.25">
      <c r="B505" s="90"/>
      <c r="C505" s="90"/>
      <c r="D505" s="90"/>
      <c r="E505" s="90"/>
      <c r="F505" s="90"/>
      <c r="G505" s="90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8"/>
      <c r="AD505" s="20" t="s">
        <v>2380</v>
      </c>
      <c r="AE505" s="10" t="s">
        <v>377</v>
      </c>
      <c r="AF505" s="20" t="s">
        <v>613</v>
      </c>
      <c r="AG505" s="10"/>
      <c r="AH505" s="22" t="str">
        <f t="shared" si="14"/>
        <v>Ayacucho_06 Lucanas</v>
      </c>
      <c r="AI505" s="10" t="s">
        <v>742</v>
      </c>
      <c r="AJ505" s="20" t="s">
        <v>676</v>
      </c>
      <c r="AK505" s="22" t="str">
        <f t="shared" si="15"/>
        <v>Ayacucho_06 Lucanas_10 Llauta</v>
      </c>
      <c r="AL505" s="25">
        <v>4</v>
      </c>
      <c r="AM505" s="25">
        <v>55</v>
      </c>
      <c r="AN505" s="26">
        <f>Tabla2[[#This Row],[Minutos]]/60</f>
        <v>0.91666666666666663</v>
      </c>
      <c r="AO505" s="27">
        <f>SUM(Tabla2[[#This Row],[Horas]],Tabla2[[#This Row],[Minutos a Horas]])</f>
        <v>4.916666666666667</v>
      </c>
      <c r="AP505" s="49">
        <v>8</v>
      </c>
      <c r="AQ505" s="49">
        <v>10</v>
      </c>
      <c r="AR505" s="26">
        <f>Tabla2[[#This Row],[Minutos*]]/60</f>
        <v>0.16666666666666666</v>
      </c>
      <c r="AS505" s="27">
        <f>SUM(Tabla2[[#This Row],[Horas*]],Tabla2[[#This Row],[Minutos a Horas*]])+(Tabla2[[#This Row],[Tiempo Total a Nivel Proncincial (Horas)]])</f>
        <v>13.083333333333332</v>
      </c>
    </row>
    <row r="506" spans="2:45" x14ac:dyDescent="0.25">
      <c r="B506" s="90"/>
      <c r="C506" s="90"/>
      <c r="D506" s="90"/>
      <c r="E506" s="90"/>
      <c r="F506" s="90"/>
      <c r="G506" s="90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8"/>
      <c r="AD506" s="20" t="s">
        <v>2380</v>
      </c>
      <c r="AE506" s="10" t="s">
        <v>377</v>
      </c>
      <c r="AF506" s="20" t="s">
        <v>613</v>
      </c>
      <c r="AG506" s="10"/>
      <c r="AH506" s="22" t="str">
        <f t="shared" si="14"/>
        <v>Ayacucho_06 Lucanas</v>
      </c>
      <c r="AI506" s="10" t="s">
        <v>742</v>
      </c>
      <c r="AJ506" s="20" t="s">
        <v>677</v>
      </c>
      <c r="AK506" s="22" t="str">
        <f t="shared" si="15"/>
        <v>Ayacucho_06 Lucanas_11 Lucanas</v>
      </c>
      <c r="AL506" s="25">
        <v>4</v>
      </c>
      <c r="AM506" s="25">
        <v>55</v>
      </c>
      <c r="AN506" s="26">
        <f>Tabla2[[#This Row],[Minutos]]/60</f>
        <v>0.91666666666666663</v>
      </c>
      <c r="AO506" s="27">
        <f>SUM(Tabla2[[#This Row],[Horas]],Tabla2[[#This Row],[Minutos a Horas]])</f>
        <v>4.916666666666667</v>
      </c>
      <c r="AP506" s="49">
        <v>8</v>
      </c>
      <c r="AQ506" s="49">
        <v>40</v>
      </c>
      <c r="AR506" s="26">
        <f>Tabla2[[#This Row],[Minutos*]]/60</f>
        <v>0.66666666666666663</v>
      </c>
      <c r="AS506" s="27">
        <f>SUM(Tabla2[[#This Row],[Horas*]],Tabla2[[#This Row],[Minutos a Horas*]])+(Tabla2[[#This Row],[Tiempo Total a Nivel Proncincial (Horas)]])</f>
        <v>13.583333333333332</v>
      </c>
    </row>
    <row r="507" spans="2:45" x14ac:dyDescent="0.25">
      <c r="B507" s="90"/>
      <c r="C507" s="90"/>
      <c r="D507" s="90"/>
      <c r="E507" s="90"/>
      <c r="F507" s="90"/>
      <c r="G507" s="90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8"/>
      <c r="AD507" s="20" t="s">
        <v>2380</v>
      </c>
      <c r="AE507" s="10" t="s">
        <v>377</v>
      </c>
      <c r="AF507" s="20" t="s">
        <v>613</v>
      </c>
      <c r="AG507" s="10"/>
      <c r="AH507" s="22" t="str">
        <f t="shared" si="14"/>
        <v>Ayacucho_06 Lucanas</v>
      </c>
      <c r="AI507" s="10" t="s">
        <v>742</v>
      </c>
      <c r="AJ507" s="20" t="s">
        <v>678</v>
      </c>
      <c r="AK507" s="22" t="str">
        <f t="shared" si="15"/>
        <v>Ayacucho_06 Lucanas_12 Ocaña</v>
      </c>
      <c r="AL507" s="25">
        <v>4</v>
      </c>
      <c r="AM507" s="25">
        <v>55</v>
      </c>
      <c r="AN507" s="26">
        <f>Tabla2[[#This Row],[Minutos]]/60</f>
        <v>0.91666666666666663</v>
      </c>
      <c r="AO507" s="27">
        <f>SUM(Tabla2[[#This Row],[Horas]],Tabla2[[#This Row],[Minutos a Horas]])</f>
        <v>4.916666666666667</v>
      </c>
      <c r="AP507" s="49">
        <v>7</v>
      </c>
      <c r="AQ507" s="49">
        <v>55</v>
      </c>
      <c r="AR507" s="26">
        <f>Tabla2[[#This Row],[Minutos*]]/60</f>
        <v>0.91666666666666663</v>
      </c>
      <c r="AS507" s="27">
        <f>SUM(Tabla2[[#This Row],[Horas*]],Tabla2[[#This Row],[Minutos a Horas*]])+(Tabla2[[#This Row],[Tiempo Total a Nivel Proncincial (Horas)]])</f>
        <v>12.833333333333334</v>
      </c>
    </row>
    <row r="508" spans="2:45" x14ac:dyDescent="0.25">
      <c r="B508" s="90"/>
      <c r="C508" s="90"/>
      <c r="D508" s="90"/>
      <c r="E508" s="90"/>
      <c r="F508" s="90"/>
      <c r="G508" s="90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8"/>
      <c r="AD508" s="20" t="s">
        <v>2380</v>
      </c>
      <c r="AE508" s="10" t="s">
        <v>377</v>
      </c>
      <c r="AF508" s="20" t="s">
        <v>613</v>
      </c>
      <c r="AG508" s="10"/>
      <c r="AH508" s="22" t="str">
        <f t="shared" si="14"/>
        <v>Ayacucho_06 Lucanas</v>
      </c>
      <c r="AI508" s="10" t="s">
        <v>742</v>
      </c>
      <c r="AJ508" s="20" t="s">
        <v>679</v>
      </c>
      <c r="AK508" s="22" t="str">
        <f t="shared" si="15"/>
        <v>Ayacucho_06 Lucanas_13 Otoca</v>
      </c>
      <c r="AL508" s="25">
        <v>4</v>
      </c>
      <c r="AM508" s="25">
        <v>55</v>
      </c>
      <c r="AN508" s="26">
        <f>Tabla2[[#This Row],[Minutos]]/60</f>
        <v>0.91666666666666663</v>
      </c>
      <c r="AO508" s="27">
        <f>SUM(Tabla2[[#This Row],[Horas]],Tabla2[[#This Row],[Minutos a Horas]])</f>
        <v>4.916666666666667</v>
      </c>
      <c r="AP508" s="49">
        <v>8</v>
      </c>
      <c r="AQ508" s="49">
        <v>0</v>
      </c>
      <c r="AR508" s="26">
        <f>Tabla2[[#This Row],[Minutos*]]/60</f>
        <v>0</v>
      </c>
      <c r="AS508" s="27">
        <f>SUM(Tabla2[[#This Row],[Horas*]],Tabla2[[#This Row],[Minutos a Horas*]])+(Tabla2[[#This Row],[Tiempo Total a Nivel Proncincial (Horas)]])</f>
        <v>12.916666666666668</v>
      </c>
    </row>
    <row r="509" spans="2:45" x14ac:dyDescent="0.25">
      <c r="B509" s="90"/>
      <c r="C509" s="90"/>
      <c r="D509" s="90"/>
      <c r="E509" s="90"/>
      <c r="F509" s="90"/>
      <c r="G509" s="90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  <c r="AA509" s="81"/>
      <c r="AB509" s="88"/>
      <c r="AD509" s="20" t="s">
        <v>2380</v>
      </c>
      <c r="AE509" s="10" t="s">
        <v>377</v>
      </c>
      <c r="AF509" s="20" t="s">
        <v>613</v>
      </c>
      <c r="AG509" s="10"/>
      <c r="AH509" s="22" t="str">
        <f t="shared" si="14"/>
        <v>Ayacucho_06 Lucanas</v>
      </c>
      <c r="AI509" s="10" t="s">
        <v>742</v>
      </c>
      <c r="AJ509" s="20" t="s">
        <v>680</v>
      </c>
      <c r="AK509" s="22" t="str">
        <f t="shared" si="15"/>
        <v>Ayacucho_06 Lucanas_14 Saisa</v>
      </c>
      <c r="AL509" s="25">
        <v>4</v>
      </c>
      <c r="AM509" s="25">
        <v>55</v>
      </c>
      <c r="AN509" s="26">
        <f>Tabla2[[#This Row],[Minutos]]/60</f>
        <v>0.91666666666666663</v>
      </c>
      <c r="AO509" s="27">
        <f>SUM(Tabla2[[#This Row],[Horas]],Tabla2[[#This Row],[Minutos a Horas]])</f>
        <v>4.916666666666667</v>
      </c>
      <c r="AP509" s="49">
        <v>8</v>
      </c>
      <c r="AQ509" s="49">
        <v>10</v>
      </c>
      <c r="AR509" s="26">
        <f>Tabla2[[#This Row],[Minutos*]]/60</f>
        <v>0.16666666666666666</v>
      </c>
      <c r="AS509" s="27">
        <f>SUM(Tabla2[[#This Row],[Horas*]],Tabla2[[#This Row],[Minutos a Horas*]])+(Tabla2[[#This Row],[Tiempo Total a Nivel Proncincial (Horas)]])</f>
        <v>13.083333333333332</v>
      </c>
    </row>
    <row r="510" spans="2:45" x14ac:dyDescent="0.25">
      <c r="B510" s="90"/>
      <c r="C510" s="90"/>
      <c r="D510" s="90"/>
      <c r="E510" s="90"/>
      <c r="F510" s="90"/>
      <c r="G510" s="90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  <c r="AA510" s="81"/>
      <c r="AB510" s="88"/>
      <c r="AD510" s="20" t="s">
        <v>2380</v>
      </c>
      <c r="AE510" s="10" t="s">
        <v>377</v>
      </c>
      <c r="AF510" s="20" t="s">
        <v>613</v>
      </c>
      <c r="AG510" s="10"/>
      <c r="AH510" s="22" t="str">
        <f t="shared" si="14"/>
        <v>Ayacucho_06 Lucanas</v>
      </c>
      <c r="AI510" s="10" t="s">
        <v>742</v>
      </c>
      <c r="AJ510" s="20" t="s">
        <v>681</v>
      </c>
      <c r="AK510" s="22" t="str">
        <f t="shared" si="15"/>
        <v>Ayacucho_06 Lucanas_15 San Cristóbal</v>
      </c>
      <c r="AL510" s="25">
        <v>4</v>
      </c>
      <c r="AM510" s="25">
        <v>55</v>
      </c>
      <c r="AN510" s="26">
        <f>Tabla2[[#This Row],[Minutos]]/60</f>
        <v>0.91666666666666663</v>
      </c>
      <c r="AO510" s="27">
        <f>SUM(Tabla2[[#This Row],[Horas]],Tabla2[[#This Row],[Minutos a Horas]])</f>
        <v>4.916666666666667</v>
      </c>
      <c r="AP510" s="49">
        <v>8</v>
      </c>
      <c r="AQ510" s="49">
        <v>30</v>
      </c>
      <c r="AR510" s="26">
        <f>Tabla2[[#This Row],[Minutos*]]/60</f>
        <v>0.5</v>
      </c>
      <c r="AS510" s="27">
        <f>SUM(Tabla2[[#This Row],[Horas*]],Tabla2[[#This Row],[Minutos a Horas*]])+(Tabla2[[#This Row],[Tiempo Total a Nivel Proncincial (Horas)]])</f>
        <v>13.416666666666668</v>
      </c>
    </row>
    <row r="511" spans="2:45" x14ac:dyDescent="0.25">
      <c r="B511" s="90"/>
      <c r="C511" s="90"/>
      <c r="D511" s="90"/>
      <c r="E511" s="90"/>
      <c r="F511" s="90"/>
      <c r="G511" s="90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  <c r="AA511" s="81"/>
      <c r="AB511" s="88"/>
      <c r="AD511" s="20" t="s">
        <v>2380</v>
      </c>
      <c r="AE511" s="10" t="s">
        <v>377</v>
      </c>
      <c r="AF511" s="20" t="s">
        <v>613</v>
      </c>
      <c r="AG511" s="10"/>
      <c r="AH511" s="22" t="str">
        <f t="shared" si="14"/>
        <v>Ayacucho_06 Lucanas</v>
      </c>
      <c r="AI511" s="10" t="s">
        <v>742</v>
      </c>
      <c r="AJ511" s="20" t="s">
        <v>682</v>
      </c>
      <c r="AK511" s="22" t="str">
        <f t="shared" si="15"/>
        <v>Ayacucho_06 Lucanas_16 San Juan</v>
      </c>
      <c r="AL511" s="25">
        <v>4</v>
      </c>
      <c r="AM511" s="25">
        <v>55</v>
      </c>
      <c r="AN511" s="26">
        <f>Tabla2[[#This Row],[Minutos]]/60</f>
        <v>0.91666666666666663</v>
      </c>
      <c r="AO511" s="27">
        <f>SUM(Tabla2[[#This Row],[Horas]],Tabla2[[#This Row],[Minutos a Horas]])</f>
        <v>4.916666666666667</v>
      </c>
      <c r="AP511" s="49">
        <v>8</v>
      </c>
      <c r="AQ511" s="49">
        <v>45</v>
      </c>
      <c r="AR511" s="26">
        <f>Tabla2[[#This Row],[Minutos*]]/60</f>
        <v>0.75</v>
      </c>
      <c r="AS511" s="27">
        <f>SUM(Tabla2[[#This Row],[Horas*]],Tabla2[[#This Row],[Minutos a Horas*]])+(Tabla2[[#This Row],[Tiempo Total a Nivel Proncincial (Horas)]])</f>
        <v>13.666666666666668</v>
      </c>
    </row>
    <row r="512" spans="2:45" x14ac:dyDescent="0.25">
      <c r="B512" s="90"/>
      <c r="C512" s="90"/>
      <c r="D512" s="90"/>
      <c r="E512" s="90"/>
      <c r="F512" s="90"/>
      <c r="G512" s="90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  <c r="AA512" s="81"/>
      <c r="AB512" s="88"/>
      <c r="AD512" s="20" t="s">
        <v>2380</v>
      </c>
      <c r="AE512" s="10" t="s">
        <v>377</v>
      </c>
      <c r="AF512" s="20" t="s">
        <v>613</v>
      </c>
      <c r="AG512" s="10"/>
      <c r="AH512" s="22" t="str">
        <f t="shared" si="14"/>
        <v>Ayacucho_06 Lucanas</v>
      </c>
      <c r="AI512" s="10" t="s">
        <v>742</v>
      </c>
      <c r="AJ512" s="20" t="s">
        <v>683</v>
      </c>
      <c r="AK512" s="22" t="str">
        <f t="shared" si="15"/>
        <v>Ayacucho_06 Lucanas_17 San Pedro</v>
      </c>
      <c r="AL512" s="25">
        <v>4</v>
      </c>
      <c r="AM512" s="25">
        <v>55</v>
      </c>
      <c r="AN512" s="26">
        <f>Tabla2[[#This Row],[Minutos]]/60</f>
        <v>0.91666666666666663</v>
      </c>
      <c r="AO512" s="27">
        <f>SUM(Tabla2[[#This Row],[Horas]],Tabla2[[#This Row],[Minutos a Horas]])</f>
        <v>4.916666666666667</v>
      </c>
      <c r="AP512" s="49">
        <v>9</v>
      </c>
      <c r="AQ512" s="49">
        <v>20</v>
      </c>
      <c r="AR512" s="26">
        <f>Tabla2[[#This Row],[Minutos*]]/60</f>
        <v>0.33333333333333331</v>
      </c>
      <c r="AS512" s="27">
        <f>SUM(Tabla2[[#This Row],[Horas*]],Tabla2[[#This Row],[Minutos a Horas*]])+(Tabla2[[#This Row],[Tiempo Total a Nivel Proncincial (Horas)]])</f>
        <v>14.25</v>
      </c>
    </row>
    <row r="513" spans="2:45" x14ac:dyDescent="0.25">
      <c r="B513" s="90"/>
      <c r="C513" s="90"/>
      <c r="D513" s="90"/>
      <c r="E513" s="90"/>
      <c r="F513" s="90"/>
      <c r="G513" s="90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  <c r="AA513" s="81"/>
      <c r="AB513" s="88"/>
      <c r="AD513" s="20" t="s">
        <v>2380</v>
      </c>
      <c r="AE513" s="10" t="s">
        <v>377</v>
      </c>
      <c r="AF513" s="20" t="s">
        <v>613</v>
      </c>
      <c r="AG513" s="10"/>
      <c r="AH513" s="22" t="str">
        <f t="shared" si="14"/>
        <v>Ayacucho_06 Lucanas</v>
      </c>
      <c r="AI513" s="10" t="s">
        <v>742</v>
      </c>
      <c r="AJ513" s="20" t="s">
        <v>684</v>
      </c>
      <c r="AK513" s="22" t="str">
        <f t="shared" si="15"/>
        <v>Ayacucho_06 Lucanas_18 San Pedro de Palco</v>
      </c>
      <c r="AL513" s="25">
        <v>4</v>
      </c>
      <c r="AM513" s="25">
        <v>55</v>
      </c>
      <c r="AN513" s="26">
        <f>Tabla2[[#This Row],[Minutos]]/60</f>
        <v>0.91666666666666663</v>
      </c>
      <c r="AO513" s="27">
        <f>SUM(Tabla2[[#This Row],[Horas]],Tabla2[[#This Row],[Minutos a Horas]])</f>
        <v>4.916666666666667</v>
      </c>
      <c r="AP513" s="49">
        <v>7</v>
      </c>
      <c r="AQ513" s="49">
        <v>50</v>
      </c>
      <c r="AR513" s="26">
        <f>Tabla2[[#This Row],[Minutos*]]/60</f>
        <v>0.83333333333333337</v>
      </c>
      <c r="AS513" s="27">
        <f>SUM(Tabla2[[#This Row],[Horas*]],Tabla2[[#This Row],[Minutos a Horas*]])+(Tabla2[[#This Row],[Tiempo Total a Nivel Proncincial (Horas)]])</f>
        <v>12.75</v>
      </c>
    </row>
    <row r="514" spans="2:45" x14ac:dyDescent="0.25">
      <c r="B514" s="90"/>
      <c r="C514" s="90"/>
      <c r="D514" s="90"/>
      <c r="E514" s="90"/>
      <c r="F514" s="90"/>
      <c r="G514" s="90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  <c r="AA514" s="81"/>
      <c r="AB514" s="88"/>
      <c r="AD514" s="20" t="s">
        <v>2380</v>
      </c>
      <c r="AE514" s="10" t="s">
        <v>377</v>
      </c>
      <c r="AF514" s="20" t="s">
        <v>613</v>
      </c>
      <c r="AG514" s="10"/>
      <c r="AH514" s="22" t="str">
        <f t="shared" si="14"/>
        <v>Ayacucho_06 Lucanas</v>
      </c>
      <c r="AI514" s="10" t="s">
        <v>742</v>
      </c>
      <c r="AJ514" s="20" t="s">
        <v>685</v>
      </c>
      <c r="AK514" s="22" t="str">
        <f t="shared" si="15"/>
        <v>Ayacucho_06 Lucanas_19 Sancos</v>
      </c>
      <c r="AL514" s="25">
        <v>4</v>
      </c>
      <c r="AM514" s="25">
        <v>55</v>
      </c>
      <c r="AN514" s="26">
        <f>Tabla2[[#This Row],[Minutos]]/60</f>
        <v>0.91666666666666663</v>
      </c>
      <c r="AO514" s="27">
        <f>SUM(Tabla2[[#This Row],[Horas]],Tabla2[[#This Row],[Minutos a Horas]])</f>
        <v>4.916666666666667</v>
      </c>
      <c r="AP514" s="49">
        <v>10</v>
      </c>
      <c r="AQ514" s="49">
        <v>10</v>
      </c>
      <c r="AR514" s="26">
        <f>Tabla2[[#This Row],[Minutos*]]/60</f>
        <v>0.16666666666666666</v>
      </c>
      <c r="AS514" s="27">
        <f>SUM(Tabla2[[#This Row],[Horas*]],Tabla2[[#This Row],[Minutos a Horas*]])+(Tabla2[[#This Row],[Tiempo Total a Nivel Proncincial (Horas)]])</f>
        <v>15.083333333333332</v>
      </c>
    </row>
    <row r="515" spans="2:45" x14ac:dyDescent="0.25">
      <c r="B515" s="90"/>
      <c r="C515" s="90"/>
      <c r="D515" s="90"/>
      <c r="E515" s="90"/>
      <c r="F515" s="90"/>
      <c r="G515" s="90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  <c r="AA515" s="81"/>
      <c r="AB515" s="88"/>
      <c r="AD515" s="20" t="s">
        <v>2380</v>
      </c>
      <c r="AE515" s="10" t="s">
        <v>377</v>
      </c>
      <c r="AF515" s="20" t="s">
        <v>613</v>
      </c>
      <c r="AG515" s="10"/>
      <c r="AH515" s="22" t="str">
        <f t="shared" si="14"/>
        <v>Ayacucho_06 Lucanas</v>
      </c>
      <c r="AI515" s="10" t="s">
        <v>742</v>
      </c>
      <c r="AJ515" s="20" t="s">
        <v>686</v>
      </c>
      <c r="AK515" s="22" t="str">
        <f t="shared" si="15"/>
        <v>Ayacucho_06 Lucanas_20 Santa Ana de Huaycahuacho</v>
      </c>
      <c r="AL515" s="25">
        <v>4</v>
      </c>
      <c r="AM515" s="25">
        <v>55</v>
      </c>
      <c r="AN515" s="26">
        <f>Tabla2[[#This Row],[Minutos]]/60</f>
        <v>0.91666666666666663</v>
      </c>
      <c r="AO515" s="27">
        <f>SUM(Tabla2[[#This Row],[Horas]],Tabla2[[#This Row],[Minutos a Horas]])</f>
        <v>4.916666666666667</v>
      </c>
      <c r="AP515" s="49">
        <v>9</v>
      </c>
      <c r="AQ515" s="49">
        <v>55</v>
      </c>
      <c r="AR515" s="26">
        <f>Tabla2[[#This Row],[Minutos*]]/60</f>
        <v>0.91666666666666663</v>
      </c>
      <c r="AS515" s="27">
        <f>SUM(Tabla2[[#This Row],[Horas*]],Tabla2[[#This Row],[Minutos a Horas*]])+(Tabla2[[#This Row],[Tiempo Total a Nivel Proncincial (Horas)]])</f>
        <v>14.833333333333332</v>
      </c>
    </row>
    <row r="516" spans="2:45" x14ac:dyDescent="0.25">
      <c r="B516" s="90"/>
      <c r="C516" s="90"/>
      <c r="D516" s="90"/>
      <c r="E516" s="90"/>
      <c r="F516" s="90"/>
      <c r="G516" s="90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  <c r="AA516" s="81"/>
      <c r="AB516" s="88"/>
      <c r="AD516" s="20" t="s">
        <v>2380</v>
      </c>
      <c r="AE516" s="10" t="s">
        <v>377</v>
      </c>
      <c r="AF516" s="20" t="s">
        <v>613</v>
      </c>
      <c r="AG516" s="10"/>
      <c r="AH516" s="22" t="str">
        <f t="shared" si="14"/>
        <v>Ayacucho_06 Lucanas</v>
      </c>
      <c r="AI516" s="10" t="s">
        <v>742</v>
      </c>
      <c r="AJ516" s="20" t="s">
        <v>687</v>
      </c>
      <c r="AK516" s="22" t="str">
        <f t="shared" si="15"/>
        <v>Ayacucho_06 Lucanas_21 Santa Lucia</v>
      </c>
      <c r="AL516" s="25">
        <v>4</v>
      </c>
      <c r="AM516" s="25">
        <v>55</v>
      </c>
      <c r="AN516" s="26">
        <f>Tabla2[[#This Row],[Minutos]]/60</f>
        <v>0.91666666666666663</v>
      </c>
      <c r="AO516" s="27">
        <f>SUM(Tabla2[[#This Row],[Horas]],Tabla2[[#This Row],[Minutos a Horas]])</f>
        <v>4.916666666666667</v>
      </c>
      <c r="AP516" s="49">
        <v>9</v>
      </c>
      <c r="AQ516" s="49">
        <v>45</v>
      </c>
      <c r="AR516" s="26">
        <f>Tabla2[[#This Row],[Minutos*]]/60</f>
        <v>0.75</v>
      </c>
      <c r="AS516" s="27">
        <f>SUM(Tabla2[[#This Row],[Horas*]],Tabla2[[#This Row],[Minutos a Horas*]])+(Tabla2[[#This Row],[Tiempo Total a Nivel Proncincial (Horas)]])</f>
        <v>14.666666666666668</v>
      </c>
    </row>
    <row r="517" spans="2:45" x14ac:dyDescent="0.25">
      <c r="B517" s="90"/>
      <c r="C517" s="90"/>
      <c r="D517" s="90"/>
      <c r="E517" s="90"/>
      <c r="F517" s="90"/>
      <c r="G517" s="90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  <c r="AA517" s="81"/>
      <c r="AB517" s="88"/>
      <c r="AD517" s="20" t="s">
        <v>2380</v>
      </c>
      <c r="AE517" s="10" t="s">
        <v>377</v>
      </c>
      <c r="AF517" s="20" t="s">
        <v>614</v>
      </c>
      <c r="AG517" s="10"/>
      <c r="AH517" s="22" t="str">
        <f t="shared" si="14"/>
        <v>Ayacucho_07 Parinacochas</v>
      </c>
      <c r="AI517" s="10" t="s">
        <v>743</v>
      </c>
      <c r="AJ517" s="20" t="s">
        <v>688</v>
      </c>
      <c r="AK517" s="22" t="str">
        <f t="shared" si="15"/>
        <v>Ayacucho_07 Parinacochas_01 Coracora</v>
      </c>
      <c r="AL517" s="25">
        <v>7</v>
      </c>
      <c r="AM517" s="25">
        <v>31</v>
      </c>
      <c r="AN517" s="26">
        <f>Tabla2[[#This Row],[Minutos]]/60</f>
        <v>0.51666666666666672</v>
      </c>
      <c r="AO517" s="27">
        <f>SUM(Tabla2[[#This Row],[Horas]],Tabla2[[#This Row],[Minutos a Horas]])</f>
        <v>7.5166666666666666</v>
      </c>
      <c r="AP517" s="49">
        <v>10</v>
      </c>
      <c r="AQ517" s="49">
        <v>0</v>
      </c>
      <c r="AR517" s="26">
        <f>Tabla2[[#This Row],[Minutos*]]/60</f>
        <v>0</v>
      </c>
      <c r="AS517" s="27">
        <f>SUM(Tabla2[[#This Row],[Horas*]],Tabla2[[#This Row],[Minutos a Horas*]])+(Tabla2[[#This Row],[Tiempo Total a Nivel Proncincial (Horas)]])</f>
        <v>17.516666666666666</v>
      </c>
    </row>
    <row r="518" spans="2:45" x14ac:dyDescent="0.25">
      <c r="B518" s="90"/>
      <c r="C518" s="90"/>
      <c r="D518" s="90"/>
      <c r="E518" s="90"/>
      <c r="F518" s="90"/>
      <c r="G518" s="90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  <c r="AA518" s="81"/>
      <c r="AB518" s="88"/>
      <c r="AD518" s="20" t="s">
        <v>2380</v>
      </c>
      <c r="AE518" s="10" t="s">
        <v>377</v>
      </c>
      <c r="AF518" s="20" t="s">
        <v>614</v>
      </c>
      <c r="AG518" s="10"/>
      <c r="AH518" s="22" t="str">
        <f t="shared" si="14"/>
        <v>Ayacucho_07 Parinacochas</v>
      </c>
      <c r="AI518" s="10" t="s">
        <v>743</v>
      </c>
      <c r="AJ518" s="20" t="s">
        <v>689</v>
      </c>
      <c r="AK518" s="22" t="str">
        <f t="shared" si="15"/>
        <v>Ayacucho_07 Parinacochas_02 Chumpi</v>
      </c>
      <c r="AL518" s="25">
        <v>7</v>
      </c>
      <c r="AM518" s="25">
        <v>31</v>
      </c>
      <c r="AN518" s="26">
        <f>Tabla2[[#This Row],[Minutos]]/60</f>
        <v>0.51666666666666672</v>
      </c>
      <c r="AO518" s="27">
        <f>SUM(Tabla2[[#This Row],[Horas]],Tabla2[[#This Row],[Minutos a Horas]])</f>
        <v>7.5166666666666666</v>
      </c>
      <c r="AP518" s="49">
        <v>10</v>
      </c>
      <c r="AQ518" s="49">
        <v>30</v>
      </c>
      <c r="AR518" s="26">
        <f>Tabla2[[#This Row],[Minutos*]]/60</f>
        <v>0.5</v>
      </c>
      <c r="AS518" s="27">
        <f>SUM(Tabla2[[#This Row],[Horas*]],Tabla2[[#This Row],[Minutos a Horas*]])+(Tabla2[[#This Row],[Tiempo Total a Nivel Proncincial (Horas)]])</f>
        <v>18.016666666666666</v>
      </c>
    </row>
    <row r="519" spans="2:45" x14ac:dyDescent="0.25">
      <c r="B519" s="90"/>
      <c r="C519" s="90"/>
      <c r="D519" s="90"/>
      <c r="E519" s="90"/>
      <c r="F519" s="90"/>
      <c r="G519" s="90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  <c r="AA519" s="81"/>
      <c r="AB519" s="88"/>
      <c r="AD519" s="20" t="s">
        <v>2380</v>
      </c>
      <c r="AE519" s="10" t="s">
        <v>377</v>
      </c>
      <c r="AF519" s="20" t="s">
        <v>614</v>
      </c>
      <c r="AG519" s="10"/>
      <c r="AH519" s="22" t="str">
        <f t="shared" ref="AH519:AH585" si="16">CONCATENATE(AD519,"_",AF519)</f>
        <v>Ayacucho_07 Parinacochas</v>
      </c>
      <c r="AI519" s="10" t="s">
        <v>743</v>
      </c>
      <c r="AJ519" s="20" t="s">
        <v>690</v>
      </c>
      <c r="AK519" s="22" t="str">
        <f t="shared" ref="AK519:AK585" si="17">CONCATENATE(AH519,"_",AJ519)</f>
        <v>Ayacucho_07 Parinacochas_03 Coronel Castañeda</v>
      </c>
      <c r="AL519" s="25">
        <v>7</v>
      </c>
      <c r="AM519" s="25">
        <v>31</v>
      </c>
      <c r="AN519" s="26">
        <f>Tabla2[[#This Row],[Minutos]]/60</f>
        <v>0.51666666666666672</v>
      </c>
      <c r="AO519" s="27">
        <f>SUM(Tabla2[[#This Row],[Horas]],Tabla2[[#This Row],[Minutos a Horas]])</f>
        <v>7.5166666666666666</v>
      </c>
      <c r="AP519" s="49">
        <v>10</v>
      </c>
      <c r="AQ519" s="49">
        <v>50</v>
      </c>
      <c r="AR519" s="26">
        <f>Tabla2[[#This Row],[Minutos*]]/60</f>
        <v>0.83333333333333337</v>
      </c>
      <c r="AS519" s="27">
        <f>SUM(Tabla2[[#This Row],[Horas*]],Tabla2[[#This Row],[Minutos a Horas*]])+(Tabla2[[#This Row],[Tiempo Total a Nivel Proncincial (Horas)]])</f>
        <v>18.350000000000001</v>
      </c>
    </row>
    <row r="520" spans="2:45" x14ac:dyDescent="0.25">
      <c r="B520" s="90"/>
      <c r="C520" s="90"/>
      <c r="D520" s="90"/>
      <c r="E520" s="90"/>
      <c r="F520" s="90"/>
      <c r="G520" s="90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  <c r="AA520" s="81"/>
      <c r="AB520" s="88"/>
      <c r="AD520" s="20" t="s">
        <v>2380</v>
      </c>
      <c r="AE520" s="10" t="s">
        <v>377</v>
      </c>
      <c r="AF520" s="20" t="s">
        <v>614</v>
      </c>
      <c r="AG520" s="10"/>
      <c r="AH520" s="22" t="str">
        <f t="shared" si="16"/>
        <v>Ayacucho_07 Parinacochas</v>
      </c>
      <c r="AI520" s="10" t="s">
        <v>743</v>
      </c>
      <c r="AJ520" s="20" t="s">
        <v>691</v>
      </c>
      <c r="AK520" s="22" t="str">
        <f t="shared" si="17"/>
        <v>Ayacucho_07 Parinacochas_04 Pacapausa</v>
      </c>
      <c r="AL520" s="25">
        <v>7</v>
      </c>
      <c r="AM520" s="25">
        <v>31</v>
      </c>
      <c r="AN520" s="26">
        <f>Tabla2[[#This Row],[Minutos]]/60</f>
        <v>0.51666666666666672</v>
      </c>
      <c r="AO520" s="27">
        <f>SUM(Tabla2[[#This Row],[Horas]],Tabla2[[#This Row],[Minutos a Horas]])</f>
        <v>7.5166666666666666</v>
      </c>
      <c r="AP520" s="49">
        <v>13</v>
      </c>
      <c r="AQ520" s="49">
        <v>50</v>
      </c>
      <c r="AR520" s="26">
        <f>Tabla2[[#This Row],[Minutos*]]/60</f>
        <v>0.83333333333333337</v>
      </c>
      <c r="AS520" s="27">
        <f>SUM(Tabla2[[#This Row],[Horas*]],Tabla2[[#This Row],[Minutos a Horas*]])+(Tabla2[[#This Row],[Tiempo Total a Nivel Proncincial (Horas)]])</f>
        <v>21.35</v>
      </c>
    </row>
    <row r="521" spans="2:45" x14ac:dyDescent="0.25">
      <c r="B521" s="90"/>
      <c r="C521" s="90"/>
      <c r="D521" s="90"/>
      <c r="E521" s="90"/>
      <c r="F521" s="90"/>
      <c r="G521" s="90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  <c r="AA521" s="81"/>
      <c r="AB521" s="88"/>
      <c r="AD521" s="20" t="s">
        <v>2380</v>
      </c>
      <c r="AE521" s="10" t="s">
        <v>377</v>
      </c>
      <c r="AF521" s="20" t="s">
        <v>614</v>
      </c>
      <c r="AG521" s="10"/>
      <c r="AH521" s="22" t="str">
        <f t="shared" si="16"/>
        <v>Ayacucho_07 Parinacochas</v>
      </c>
      <c r="AI521" s="10" t="s">
        <v>743</v>
      </c>
      <c r="AJ521" s="20" t="s">
        <v>692</v>
      </c>
      <c r="AK521" s="22" t="str">
        <f t="shared" si="17"/>
        <v>Ayacucho_07 Parinacochas_05 Pullo</v>
      </c>
      <c r="AL521" s="25">
        <v>7</v>
      </c>
      <c r="AM521" s="25">
        <v>31</v>
      </c>
      <c r="AN521" s="26">
        <f>Tabla2[[#This Row],[Minutos]]/60</f>
        <v>0.51666666666666672</v>
      </c>
      <c r="AO521" s="27">
        <f>SUM(Tabla2[[#This Row],[Horas]],Tabla2[[#This Row],[Minutos a Horas]])</f>
        <v>7.5166666666666666</v>
      </c>
      <c r="AP521" s="49">
        <v>13</v>
      </c>
      <c r="AQ521" s="49">
        <v>30</v>
      </c>
      <c r="AR521" s="26">
        <f>Tabla2[[#This Row],[Minutos*]]/60</f>
        <v>0.5</v>
      </c>
      <c r="AS521" s="27">
        <f>SUM(Tabla2[[#This Row],[Horas*]],Tabla2[[#This Row],[Minutos a Horas*]])+(Tabla2[[#This Row],[Tiempo Total a Nivel Proncincial (Horas)]])</f>
        <v>21.016666666666666</v>
      </c>
    </row>
    <row r="522" spans="2:45" x14ac:dyDescent="0.25">
      <c r="B522" s="90"/>
      <c r="C522" s="90"/>
      <c r="D522" s="90"/>
      <c r="E522" s="90"/>
      <c r="F522" s="90"/>
      <c r="G522" s="90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  <c r="AA522" s="81"/>
      <c r="AB522" s="88"/>
      <c r="AD522" s="20" t="s">
        <v>2380</v>
      </c>
      <c r="AE522" s="10" t="s">
        <v>377</v>
      </c>
      <c r="AF522" s="20" t="s">
        <v>614</v>
      </c>
      <c r="AG522" s="10"/>
      <c r="AH522" s="22" t="str">
        <f t="shared" si="16"/>
        <v>Ayacucho_07 Parinacochas</v>
      </c>
      <c r="AI522" s="10" t="s">
        <v>743</v>
      </c>
      <c r="AJ522" s="20" t="s">
        <v>693</v>
      </c>
      <c r="AK522" s="22" t="str">
        <f t="shared" si="17"/>
        <v>Ayacucho_07 Parinacochas_06 Puyusca</v>
      </c>
      <c r="AL522" s="25">
        <v>7</v>
      </c>
      <c r="AM522" s="25">
        <v>31</v>
      </c>
      <c r="AN522" s="26">
        <f>Tabla2[[#This Row],[Minutos]]/60</f>
        <v>0.51666666666666672</v>
      </c>
      <c r="AO522" s="27">
        <f>SUM(Tabla2[[#This Row],[Horas]],Tabla2[[#This Row],[Minutos a Horas]])</f>
        <v>7.5166666666666666</v>
      </c>
      <c r="AP522" s="49">
        <v>11</v>
      </c>
      <c r="AQ522" s="49">
        <v>40</v>
      </c>
      <c r="AR522" s="26">
        <f>Tabla2[[#This Row],[Minutos*]]/60</f>
        <v>0.66666666666666663</v>
      </c>
      <c r="AS522" s="27">
        <f>SUM(Tabla2[[#This Row],[Horas*]],Tabla2[[#This Row],[Minutos a Horas*]])+(Tabla2[[#This Row],[Tiempo Total a Nivel Proncincial (Horas)]])</f>
        <v>19.183333333333334</v>
      </c>
    </row>
    <row r="523" spans="2:45" x14ac:dyDescent="0.25">
      <c r="B523" s="90"/>
      <c r="C523" s="90"/>
      <c r="D523" s="90"/>
      <c r="E523" s="90"/>
      <c r="F523" s="90"/>
      <c r="G523" s="90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  <c r="AA523" s="81"/>
      <c r="AB523" s="88"/>
      <c r="AD523" s="20" t="s">
        <v>2380</v>
      </c>
      <c r="AE523" s="10" t="s">
        <v>377</v>
      </c>
      <c r="AF523" s="20" t="s">
        <v>614</v>
      </c>
      <c r="AG523" s="10"/>
      <c r="AH523" s="22" t="str">
        <f t="shared" si="16"/>
        <v>Ayacucho_07 Parinacochas</v>
      </c>
      <c r="AI523" s="10" t="s">
        <v>743</v>
      </c>
      <c r="AJ523" s="20" t="s">
        <v>694</v>
      </c>
      <c r="AK523" s="22" t="str">
        <f t="shared" si="17"/>
        <v>Ayacucho_07 Parinacochas_07 San Francisco de Ravacayco</v>
      </c>
      <c r="AL523" s="25">
        <v>7</v>
      </c>
      <c r="AM523" s="25">
        <v>31</v>
      </c>
      <c r="AN523" s="26">
        <f>Tabla2[[#This Row],[Minutos]]/60</f>
        <v>0.51666666666666672</v>
      </c>
      <c r="AO523" s="27">
        <f>SUM(Tabla2[[#This Row],[Horas]],Tabla2[[#This Row],[Minutos a Horas]])</f>
        <v>7.5166666666666666</v>
      </c>
      <c r="AP523" s="49">
        <v>11</v>
      </c>
      <c r="AQ523" s="49">
        <v>35</v>
      </c>
      <c r="AR523" s="26">
        <f>Tabla2[[#This Row],[Minutos*]]/60</f>
        <v>0.58333333333333337</v>
      </c>
      <c r="AS523" s="27">
        <f>SUM(Tabla2[[#This Row],[Horas*]],Tabla2[[#This Row],[Minutos a Horas*]])+(Tabla2[[#This Row],[Tiempo Total a Nivel Proncincial (Horas)]])</f>
        <v>19.100000000000001</v>
      </c>
    </row>
    <row r="524" spans="2:45" x14ac:dyDescent="0.25">
      <c r="B524" s="90"/>
      <c r="C524" s="90"/>
      <c r="D524" s="90"/>
      <c r="E524" s="90"/>
      <c r="F524" s="90"/>
      <c r="G524" s="90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  <c r="AA524" s="81"/>
      <c r="AB524" s="88"/>
      <c r="AD524" s="20" t="s">
        <v>2380</v>
      </c>
      <c r="AE524" s="10" t="s">
        <v>377</v>
      </c>
      <c r="AF524" s="20" t="s">
        <v>614</v>
      </c>
      <c r="AG524" s="10"/>
      <c r="AH524" s="22" t="str">
        <f t="shared" si="16"/>
        <v>Ayacucho_07 Parinacochas</v>
      </c>
      <c r="AI524" s="10" t="s">
        <v>743</v>
      </c>
      <c r="AJ524" s="20" t="s">
        <v>695</v>
      </c>
      <c r="AK524" s="22" t="str">
        <f t="shared" si="17"/>
        <v>Ayacucho_07 Parinacochas_08 Upahuacho</v>
      </c>
      <c r="AL524" s="25">
        <v>7</v>
      </c>
      <c r="AM524" s="25">
        <v>31</v>
      </c>
      <c r="AN524" s="26">
        <f>Tabla2[[#This Row],[Minutos]]/60</f>
        <v>0.51666666666666672</v>
      </c>
      <c r="AO524" s="27">
        <f>SUM(Tabla2[[#This Row],[Horas]],Tabla2[[#This Row],[Minutos a Horas]])</f>
        <v>7.5166666666666666</v>
      </c>
      <c r="AP524" s="49">
        <v>13</v>
      </c>
      <c r="AQ524" s="49">
        <v>30</v>
      </c>
      <c r="AR524" s="26">
        <f>Tabla2[[#This Row],[Minutos*]]/60</f>
        <v>0.5</v>
      </c>
      <c r="AS524" s="27">
        <f>SUM(Tabla2[[#This Row],[Horas*]],Tabla2[[#This Row],[Minutos a Horas*]])+(Tabla2[[#This Row],[Tiempo Total a Nivel Proncincial (Horas)]])</f>
        <v>21.016666666666666</v>
      </c>
    </row>
    <row r="525" spans="2:45" x14ac:dyDescent="0.25">
      <c r="B525" s="90"/>
      <c r="C525" s="90"/>
      <c r="D525" s="90"/>
      <c r="E525" s="90"/>
      <c r="F525" s="90"/>
      <c r="G525" s="90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  <c r="AA525" s="81"/>
      <c r="AB525" s="88"/>
      <c r="AD525" s="20" t="s">
        <v>2380</v>
      </c>
      <c r="AE525" s="10" t="s">
        <v>377</v>
      </c>
      <c r="AF525" s="20" t="s">
        <v>615</v>
      </c>
      <c r="AG525" s="10"/>
      <c r="AH525" s="22" t="str">
        <f t="shared" si="16"/>
        <v>Ayacucho_08 Pàucar del Sara Sara</v>
      </c>
      <c r="AI525" s="10" t="s">
        <v>744</v>
      </c>
      <c r="AJ525" s="20" t="s">
        <v>696</v>
      </c>
      <c r="AK525" s="22" t="str">
        <f t="shared" si="17"/>
        <v>Ayacucho_08 Pàucar del Sara Sara_01 Pausa</v>
      </c>
      <c r="AL525" s="25">
        <v>5</v>
      </c>
      <c r="AM525" s="25">
        <v>2</v>
      </c>
      <c r="AN525" s="26">
        <f>Tabla2[[#This Row],[Minutos]]/60</f>
        <v>3.3333333333333333E-2</v>
      </c>
      <c r="AO525" s="27">
        <f>SUM(Tabla2[[#This Row],[Horas]],Tabla2[[#This Row],[Minutos a Horas]])</f>
        <v>5.0333333333333332</v>
      </c>
      <c r="AP525" s="49">
        <v>14</v>
      </c>
      <c r="AQ525" s="49">
        <v>30</v>
      </c>
      <c r="AR525" s="26">
        <f>Tabla2[[#This Row],[Minutos*]]/60</f>
        <v>0.5</v>
      </c>
      <c r="AS525" s="27">
        <f>SUM(Tabla2[[#This Row],[Horas*]],Tabla2[[#This Row],[Minutos a Horas*]])+(Tabla2[[#This Row],[Tiempo Total a Nivel Proncincial (Horas)]])</f>
        <v>19.533333333333331</v>
      </c>
    </row>
    <row r="526" spans="2:45" x14ac:dyDescent="0.25">
      <c r="B526" s="90"/>
      <c r="C526" s="90"/>
      <c r="D526" s="90"/>
      <c r="E526" s="90"/>
      <c r="F526" s="90"/>
      <c r="G526" s="90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  <c r="AA526" s="81"/>
      <c r="AB526" s="88"/>
      <c r="AD526" s="20" t="s">
        <v>2380</v>
      </c>
      <c r="AE526" s="10" t="s">
        <v>377</v>
      </c>
      <c r="AF526" s="20" t="s">
        <v>615</v>
      </c>
      <c r="AG526" s="10"/>
      <c r="AH526" s="22" t="str">
        <f t="shared" si="16"/>
        <v>Ayacucho_08 Pàucar del Sara Sara</v>
      </c>
      <c r="AI526" s="10" t="s">
        <v>744</v>
      </c>
      <c r="AJ526" s="20" t="s">
        <v>697</v>
      </c>
      <c r="AK526" s="22" t="str">
        <f t="shared" si="17"/>
        <v>Ayacucho_08 Pàucar del Sara Sara_02 Colta</v>
      </c>
      <c r="AL526" s="25">
        <v>5</v>
      </c>
      <c r="AM526" s="25">
        <v>2</v>
      </c>
      <c r="AN526" s="26">
        <f>Tabla2[[#This Row],[Minutos]]/60</f>
        <v>3.3333333333333333E-2</v>
      </c>
      <c r="AO526" s="27">
        <f>SUM(Tabla2[[#This Row],[Horas]],Tabla2[[#This Row],[Minutos a Horas]])</f>
        <v>5.0333333333333332</v>
      </c>
      <c r="AP526" s="49">
        <v>15</v>
      </c>
      <c r="AQ526" s="49">
        <v>30</v>
      </c>
      <c r="AR526" s="26">
        <f>Tabla2[[#This Row],[Minutos*]]/60</f>
        <v>0.5</v>
      </c>
      <c r="AS526" s="27">
        <f>SUM(Tabla2[[#This Row],[Horas*]],Tabla2[[#This Row],[Minutos a Horas*]])+(Tabla2[[#This Row],[Tiempo Total a Nivel Proncincial (Horas)]])</f>
        <v>20.533333333333331</v>
      </c>
    </row>
    <row r="527" spans="2:45" x14ac:dyDescent="0.25">
      <c r="B527" s="90"/>
      <c r="C527" s="90"/>
      <c r="D527" s="90"/>
      <c r="E527" s="90"/>
      <c r="F527" s="90"/>
      <c r="G527" s="90"/>
      <c r="H527" s="81"/>
      <c r="I527" s="81"/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  <c r="X527" s="81"/>
      <c r="Y527" s="81"/>
      <c r="Z527" s="81"/>
      <c r="AA527" s="81"/>
      <c r="AB527" s="88"/>
      <c r="AD527" s="20" t="s">
        <v>2380</v>
      </c>
      <c r="AE527" s="10" t="s">
        <v>377</v>
      </c>
      <c r="AF527" s="20" t="s">
        <v>615</v>
      </c>
      <c r="AG527" s="10"/>
      <c r="AH527" s="22" t="str">
        <f t="shared" si="16"/>
        <v>Ayacucho_08 Pàucar del Sara Sara</v>
      </c>
      <c r="AI527" s="10" t="s">
        <v>744</v>
      </c>
      <c r="AJ527" s="20" t="s">
        <v>698</v>
      </c>
      <c r="AK527" s="22" t="str">
        <f t="shared" si="17"/>
        <v>Ayacucho_08 Pàucar del Sara Sara_03 Corculla</v>
      </c>
      <c r="AL527" s="25">
        <v>5</v>
      </c>
      <c r="AM527" s="25">
        <v>2</v>
      </c>
      <c r="AN527" s="26">
        <f>Tabla2[[#This Row],[Minutos]]/60</f>
        <v>3.3333333333333333E-2</v>
      </c>
      <c r="AO527" s="27">
        <f>SUM(Tabla2[[#This Row],[Horas]],Tabla2[[#This Row],[Minutos a Horas]])</f>
        <v>5.0333333333333332</v>
      </c>
      <c r="AP527" s="49">
        <v>17</v>
      </c>
      <c r="AQ527" s="49">
        <v>0</v>
      </c>
      <c r="AR527" s="26">
        <f>Tabla2[[#This Row],[Minutos*]]/60</f>
        <v>0</v>
      </c>
      <c r="AS527" s="27">
        <f>SUM(Tabla2[[#This Row],[Horas*]],Tabla2[[#This Row],[Minutos a Horas*]])+(Tabla2[[#This Row],[Tiempo Total a Nivel Proncincial (Horas)]])</f>
        <v>22.033333333333331</v>
      </c>
    </row>
    <row r="528" spans="2:45" x14ac:dyDescent="0.25">
      <c r="B528" s="90"/>
      <c r="C528" s="90"/>
      <c r="D528" s="90"/>
      <c r="E528" s="90"/>
      <c r="F528" s="90"/>
      <c r="G528" s="90"/>
      <c r="H528" s="81"/>
      <c r="I528" s="81"/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  <c r="X528" s="81"/>
      <c r="Y528" s="81"/>
      <c r="Z528" s="81"/>
      <c r="AA528" s="81"/>
      <c r="AB528" s="88"/>
      <c r="AD528" s="20" t="s">
        <v>2380</v>
      </c>
      <c r="AE528" s="10" t="s">
        <v>377</v>
      </c>
      <c r="AF528" s="20" t="s">
        <v>615</v>
      </c>
      <c r="AG528" s="10"/>
      <c r="AH528" s="22" t="str">
        <f t="shared" si="16"/>
        <v>Ayacucho_08 Pàucar del Sara Sara</v>
      </c>
      <c r="AI528" s="10" t="s">
        <v>744</v>
      </c>
      <c r="AJ528" s="20" t="s">
        <v>699</v>
      </c>
      <c r="AK528" s="22" t="str">
        <f t="shared" si="17"/>
        <v>Ayacucho_08 Pàucar del Sara Sara_04 Lampa</v>
      </c>
      <c r="AL528" s="25">
        <v>5</v>
      </c>
      <c r="AM528" s="25">
        <v>2</v>
      </c>
      <c r="AN528" s="26">
        <f>Tabla2[[#This Row],[Minutos]]/60</f>
        <v>3.3333333333333333E-2</v>
      </c>
      <c r="AO528" s="27">
        <f>SUM(Tabla2[[#This Row],[Horas]],Tabla2[[#This Row],[Minutos a Horas]])</f>
        <v>5.0333333333333332</v>
      </c>
      <c r="AP528" s="49">
        <v>14</v>
      </c>
      <c r="AQ528" s="49">
        <v>50</v>
      </c>
      <c r="AR528" s="26">
        <f>Tabla2[[#This Row],[Minutos*]]/60</f>
        <v>0.83333333333333337</v>
      </c>
      <c r="AS528" s="27">
        <f>SUM(Tabla2[[#This Row],[Horas*]],Tabla2[[#This Row],[Minutos a Horas*]])+(Tabla2[[#This Row],[Tiempo Total a Nivel Proncincial (Horas)]])</f>
        <v>19.866666666666667</v>
      </c>
    </row>
    <row r="529" spans="2:45" x14ac:dyDescent="0.25">
      <c r="B529" s="90"/>
      <c r="C529" s="90"/>
      <c r="D529" s="90"/>
      <c r="E529" s="90"/>
      <c r="F529" s="90"/>
      <c r="G529" s="90"/>
      <c r="H529" s="81"/>
      <c r="I529" s="81"/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  <c r="X529" s="81"/>
      <c r="Y529" s="81"/>
      <c r="Z529" s="81"/>
      <c r="AA529" s="81"/>
      <c r="AB529" s="88"/>
      <c r="AD529" s="20" t="s">
        <v>2380</v>
      </c>
      <c r="AE529" s="10" t="s">
        <v>377</v>
      </c>
      <c r="AF529" s="20" t="s">
        <v>615</v>
      </c>
      <c r="AG529" s="10"/>
      <c r="AH529" s="22" t="str">
        <f t="shared" si="16"/>
        <v>Ayacucho_08 Pàucar del Sara Sara</v>
      </c>
      <c r="AI529" s="10" t="s">
        <v>744</v>
      </c>
      <c r="AJ529" s="20" t="s">
        <v>700</v>
      </c>
      <c r="AK529" s="22" t="str">
        <f t="shared" si="17"/>
        <v>Ayacucho_08 Pàucar del Sara Sara_05 Marcabamba</v>
      </c>
      <c r="AL529" s="25">
        <v>5</v>
      </c>
      <c r="AM529" s="25">
        <v>2</v>
      </c>
      <c r="AN529" s="26">
        <f>Tabla2[[#This Row],[Minutos]]/60</f>
        <v>3.3333333333333333E-2</v>
      </c>
      <c r="AO529" s="27">
        <f>SUM(Tabla2[[#This Row],[Horas]],Tabla2[[#This Row],[Minutos a Horas]])</f>
        <v>5.0333333333333332</v>
      </c>
      <c r="AP529" s="49">
        <v>14</v>
      </c>
      <c r="AQ529" s="49">
        <v>50</v>
      </c>
      <c r="AR529" s="26">
        <f>Tabla2[[#This Row],[Minutos*]]/60</f>
        <v>0.83333333333333337</v>
      </c>
      <c r="AS529" s="27">
        <f>SUM(Tabla2[[#This Row],[Horas*]],Tabla2[[#This Row],[Minutos a Horas*]])+(Tabla2[[#This Row],[Tiempo Total a Nivel Proncincial (Horas)]])</f>
        <v>19.866666666666667</v>
      </c>
    </row>
    <row r="530" spans="2:45" x14ac:dyDescent="0.25">
      <c r="B530" s="90"/>
      <c r="C530" s="90"/>
      <c r="D530" s="90"/>
      <c r="E530" s="90"/>
      <c r="F530" s="90"/>
      <c r="G530" s="90"/>
      <c r="H530" s="81"/>
      <c r="I530" s="81"/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1"/>
      <c r="W530" s="81"/>
      <c r="X530" s="81"/>
      <c r="Y530" s="81"/>
      <c r="Z530" s="81"/>
      <c r="AA530" s="81"/>
      <c r="AB530" s="88"/>
      <c r="AD530" s="20" t="s">
        <v>2380</v>
      </c>
      <c r="AE530" s="10" t="s">
        <v>377</v>
      </c>
      <c r="AF530" s="20" t="s">
        <v>615</v>
      </c>
      <c r="AG530" s="10"/>
      <c r="AH530" s="22" t="str">
        <f t="shared" si="16"/>
        <v>Ayacucho_08 Pàucar del Sara Sara</v>
      </c>
      <c r="AI530" s="10" t="s">
        <v>744</v>
      </c>
      <c r="AJ530" s="20" t="s">
        <v>701</v>
      </c>
      <c r="AK530" s="22" t="str">
        <f t="shared" si="17"/>
        <v>Ayacucho_08 Pàucar del Sara Sara_06 Oyolo</v>
      </c>
      <c r="AL530" s="25">
        <v>5</v>
      </c>
      <c r="AM530" s="25">
        <v>2</v>
      </c>
      <c r="AN530" s="26">
        <f>Tabla2[[#This Row],[Minutos]]/60</f>
        <v>3.3333333333333333E-2</v>
      </c>
      <c r="AO530" s="27">
        <f>SUM(Tabla2[[#This Row],[Horas]],Tabla2[[#This Row],[Minutos a Horas]])</f>
        <v>5.0333333333333332</v>
      </c>
      <c r="AP530" s="49">
        <v>16</v>
      </c>
      <c r="AQ530" s="49">
        <v>0</v>
      </c>
      <c r="AR530" s="26">
        <f>Tabla2[[#This Row],[Minutos*]]/60</f>
        <v>0</v>
      </c>
      <c r="AS530" s="27">
        <f>SUM(Tabla2[[#This Row],[Horas*]],Tabla2[[#This Row],[Minutos a Horas*]])+(Tabla2[[#This Row],[Tiempo Total a Nivel Proncincial (Horas)]])</f>
        <v>21.033333333333331</v>
      </c>
    </row>
    <row r="531" spans="2:45" x14ac:dyDescent="0.25">
      <c r="B531" s="90"/>
      <c r="C531" s="90"/>
      <c r="D531" s="90"/>
      <c r="E531" s="90"/>
      <c r="F531" s="90"/>
      <c r="G531" s="90"/>
      <c r="H531" s="81"/>
      <c r="I531" s="81"/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1"/>
      <c r="W531" s="81"/>
      <c r="X531" s="81"/>
      <c r="Y531" s="81"/>
      <c r="Z531" s="81"/>
      <c r="AA531" s="81"/>
      <c r="AB531" s="88"/>
      <c r="AD531" s="20" t="s">
        <v>2380</v>
      </c>
      <c r="AE531" s="10" t="s">
        <v>377</v>
      </c>
      <c r="AF531" s="20" t="s">
        <v>615</v>
      </c>
      <c r="AG531" s="10"/>
      <c r="AH531" s="22" t="str">
        <f t="shared" si="16"/>
        <v>Ayacucho_08 Pàucar del Sara Sara</v>
      </c>
      <c r="AI531" s="10" t="s">
        <v>744</v>
      </c>
      <c r="AJ531" s="20" t="s">
        <v>702</v>
      </c>
      <c r="AK531" s="22" t="str">
        <f t="shared" si="17"/>
        <v>Ayacucho_08 Pàucar del Sara Sara_07 Pararca</v>
      </c>
      <c r="AL531" s="25">
        <v>5</v>
      </c>
      <c r="AM531" s="25">
        <v>2</v>
      </c>
      <c r="AN531" s="26">
        <f>Tabla2[[#This Row],[Minutos]]/60</f>
        <v>3.3333333333333333E-2</v>
      </c>
      <c r="AO531" s="27">
        <f>SUM(Tabla2[[#This Row],[Horas]],Tabla2[[#This Row],[Minutos a Horas]])</f>
        <v>5.0333333333333332</v>
      </c>
      <c r="AP531" s="49">
        <v>14</v>
      </c>
      <c r="AQ531" s="49">
        <v>0</v>
      </c>
      <c r="AR531" s="26">
        <f>Tabla2[[#This Row],[Minutos*]]/60</f>
        <v>0</v>
      </c>
      <c r="AS531" s="27">
        <f>SUM(Tabla2[[#This Row],[Horas*]],Tabla2[[#This Row],[Minutos a Horas*]])+(Tabla2[[#This Row],[Tiempo Total a Nivel Proncincial (Horas)]])</f>
        <v>19.033333333333331</v>
      </c>
    </row>
    <row r="532" spans="2:45" x14ac:dyDescent="0.25">
      <c r="B532" s="90"/>
      <c r="C532" s="90"/>
      <c r="D532" s="90"/>
      <c r="E532" s="90"/>
      <c r="F532" s="90"/>
      <c r="G532" s="90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1"/>
      <c r="AB532" s="88"/>
      <c r="AD532" s="20" t="s">
        <v>2380</v>
      </c>
      <c r="AE532" s="10" t="s">
        <v>377</v>
      </c>
      <c r="AF532" s="20" t="s">
        <v>615</v>
      </c>
      <c r="AG532" s="10"/>
      <c r="AH532" s="22" t="str">
        <f t="shared" si="16"/>
        <v>Ayacucho_08 Pàucar del Sara Sara</v>
      </c>
      <c r="AI532" s="10" t="s">
        <v>744</v>
      </c>
      <c r="AJ532" s="20" t="s">
        <v>703</v>
      </c>
      <c r="AK532" s="22" t="str">
        <f t="shared" si="17"/>
        <v>Ayacucho_08 Pàucar del Sara Sara_08 San Javier de Alpabamba</v>
      </c>
      <c r="AL532" s="25">
        <v>5</v>
      </c>
      <c r="AM532" s="25">
        <v>2</v>
      </c>
      <c r="AN532" s="26">
        <f>Tabla2[[#This Row],[Minutos]]/60</f>
        <v>3.3333333333333333E-2</v>
      </c>
      <c r="AO532" s="27">
        <f>SUM(Tabla2[[#This Row],[Horas]],Tabla2[[#This Row],[Minutos a Horas]])</f>
        <v>5.0333333333333332</v>
      </c>
      <c r="AP532" s="49">
        <v>15</v>
      </c>
      <c r="AQ532" s="49">
        <v>20</v>
      </c>
      <c r="AR532" s="26">
        <f>Tabla2[[#This Row],[Minutos*]]/60</f>
        <v>0.33333333333333331</v>
      </c>
      <c r="AS532" s="27">
        <f>SUM(Tabla2[[#This Row],[Horas*]],Tabla2[[#This Row],[Minutos a Horas*]])+(Tabla2[[#This Row],[Tiempo Total a Nivel Proncincial (Horas)]])</f>
        <v>20.366666666666667</v>
      </c>
    </row>
    <row r="533" spans="2:45" x14ac:dyDescent="0.25">
      <c r="B533" s="90"/>
      <c r="C533" s="90"/>
      <c r="D533" s="90"/>
      <c r="E533" s="90"/>
      <c r="F533" s="90"/>
      <c r="G533" s="90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1"/>
      <c r="AB533" s="88"/>
      <c r="AD533" s="20" t="s">
        <v>2380</v>
      </c>
      <c r="AE533" s="10" t="s">
        <v>377</v>
      </c>
      <c r="AF533" s="20" t="s">
        <v>615</v>
      </c>
      <c r="AG533" s="10"/>
      <c r="AH533" s="22" t="str">
        <f t="shared" si="16"/>
        <v>Ayacucho_08 Pàucar del Sara Sara</v>
      </c>
      <c r="AI533" s="10" t="s">
        <v>744</v>
      </c>
      <c r="AJ533" s="20" t="s">
        <v>704</v>
      </c>
      <c r="AK533" s="22" t="str">
        <f t="shared" si="17"/>
        <v>Ayacucho_08 Pàucar del Sara Sara_09 San José de Ushua</v>
      </c>
      <c r="AL533" s="25">
        <v>5</v>
      </c>
      <c r="AM533" s="25">
        <v>2</v>
      </c>
      <c r="AN533" s="26">
        <f>Tabla2[[#This Row],[Minutos]]/60</f>
        <v>3.3333333333333333E-2</v>
      </c>
      <c r="AO533" s="27">
        <f>SUM(Tabla2[[#This Row],[Horas]],Tabla2[[#This Row],[Minutos a Horas]])</f>
        <v>5.0333333333333332</v>
      </c>
      <c r="AP533" s="49">
        <v>16</v>
      </c>
      <c r="AQ533" s="49">
        <v>30</v>
      </c>
      <c r="AR533" s="26">
        <f>Tabla2[[#This Row],[Minutos*]]/60</f>
        <v>0.5</v>
      </c>
      <c r="AS533" s="27">
        <f>SUM(Tabla2[[#This Row],[Horas*]],Tabla2[[#This Row],[Minutos a Horas*]])+(Tabla2[[#This Row],[Tiempo Total a Nivel Proncincial (Horas)]])</f>
        <v>21.533333333333331</v>
      </c>
    </row>
    <row r="534" spans="2:45" x14ac:dyDescent="0.25">
      <c r="B534" s="90"/>
      <c r="C534" s="90"/>
      <c r="D534" s="90"/>
      <c r="E534" s="90"/>
      <c r="F534" s="90"/>
      <c r="G534" s="90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1"/>
      <c r="AB534" s="88"/>
      <c r="AD534" s="20" t="s">
        <v>2380</v>
      </c>
      <c r="AE534" s="10" t="s">
        <v>377</v>
      </c>
      <c r="AF534" s="20" t="s">
        <v>615</v>
      </c>
      <c r="AG534" s="10"/>
      <c r="AH534" s="22" t="str">
        <f t="shared" si="16"/>
        <v>Ayacucho_08 Pàucar del Sara Sara</v>
      </c>
      <c r="AI534" s="10" t="s">
        <v>744</v>
      </c>
      <c r="AJ534" s="20" t="s">
        <v>705</v>
      </c>
      <c r="AK534" s="22" t="str">
        <f t="shared" si="17"/>
        <v>Ayacucho_08 Pàucar del Sara Sara_10 Sara Sara</v>
      </c>
      <c r="AL534" s="25">
        <v>5</v>
      </c>
      <c r="AM534" s="25">
        <v>2</v>
      </c>
      <c r="AN534" s="26">
        <f>Tabla2[[#This Row],[Minutos]]/60</f>
        <v>3.3333333333333333E-2</v>
      </c>
      <c r="AO534" s="27">
        <f>SUM(Tabla2[[#This Row],[Horas]],Tabla2[[#This Row],[Minutos a Horas]])</f>
        <v>5.0333333333333332</v>
      </c>
      <c r="AP534" s="49">
        <v>14</v>
      </c>
      <c r="AQ534" s="49">
        <v>0</v>
      </c>
      <c r="AR534" s="26">
        <f>Tabla2[[#This Row],[Minutos*]]/60</f>
        <v>0</v>
      </c>
      <c r="AS534" s="27">
        <f>SUM(Tabla2[[#This Row],[Horas*]],Tabla2[[#This Row],[Minutos a Horas*]])+(Tabla2[[#This Row],[Tiempo Total a Nivel Proncincial (Horas)]])</f>
        <v>19.033333333333331</v>
      </c>
    </row>
    <row r="535" spans="2:45" x14ac:dyDescent="0.25">
      <c r="B535" s="90"/>
      <c r="C535" s="90"/>
      <c r="D535" s="90"/>
      <c r="E535" s="90"/>
      <c r="F535" s="90"/>
      <c r="G535" s="90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8"/>
      <c r="AD535" s="20" t="s">
        <v>2380</v>
      </c>
      <c r="AE535" s="10" t="s">
        <v>377</v>
      </c>
      <c r="AF535" s="20" t="s">
        <v>616</v>
      </c>
      <c r="AG535" s="10"/>
      <c r="AH535" s="22" t="str">
        <f t="shared" si="16"/>
        <v>Ayacucho_09 Sucre</v>
      </c>
      <c r="AI535" s="10" t="s">
        <v>745</v>
      </c>
      <c r="AJ535" s="20" t="s">
        <v>706</v>
      </c>
      <c r="AK535" s="22" t="str">
        <f t="shared" si="17"/>
        <v>Ayacucho_09 Sucre_01 Querobamba</v>
      </c>
      <c r="AL535" s="25">
        <v>5</v>
      </c>
      <c r="AM535" s="25">
        <v>9</v>
      </c>
      <c r="AN535" s="26">
        <f>Tabla2[[#This Row],[Minutos]]/60</f>
        <v>0.15</v>
      </c>
      <c r="AO535" s="27">
        <f>SUM(Tabla2[[#This Row],[Horas]],Tabla2[[#This Row],[Minutos a Horas]])</f>
        <v>5.15</v>
      </c>
      <c r="AP535" s="49">
        <v>6</v>
      </c>
      <c r="AQ535" s="49">
        <v>0</v>
      </c>
      <c r="AR535" s="26">
        <f>Tabla2[[#This Row],[Minutos*]]/60</f>
        <v>0</v>
      </c>
      <c r="AS535" s="27">
        <f>SUM(Tabla2[[#This Row],[Horas*]],Tabla2[[#This Row],[Minutos a Horas*]])+(Tabla2[[#This Row],[Tiempo Total a Nivel Proncincial (Horas)]])</f>
        <v>11.15</v>
      </c>
    </row>
    <row r="536" spans="2:45" x14ac:dyDescent="0.25">
      <c r="B536" s="90"/>
      <c r="C536" s="90"/>
      <c r="D536" s="90"/>
      <c r="E536" s="90"/>
      <c r="F536" s="90"/>
      <c r="G536" s="90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1"/>
      <c r="AB536" s="88"/>
      <c r="AD536" s="20" t="s">
        <v>2380</v>
      </c>
      <c r="AE536" s="10" t="s">
        <v>377</v>
      </c>
      <c r="AF536" s="20" t="s">
        <v>616</v>
      </c>
      <c r="AG536" s="10"/>
      <c r="AH536" s="22" t="str">
        <f t="shared" si="16"/>
        <v>Ayacucho_09 Sucre</v>
      </c>
      <c r="AI536" s="10" t="s">
        <v>745</v>
      </c>
      <c r="AJ536" s="20" t="s">
        <v>707</v>
      </c>
      <c r="AK536" s="22" t="str">
        <f t="shared" si="17"/>
        <v>Ayacucho_09 Sucre_02 Belén</v>
      </c>
      <c r="AL536" s="25">
        <v>5</v>
      </c>
      <c r="AM536" s="25">
        <v>9</v>
      </c>
      <c r="AN536" s="26">
        <f>Tabla2[[#This Row],[Minutos]]/60</f>
        <v>0.15</v>
      </c>
      <c r="AO536" s="27">
        <f>SUM(Tabla2[[#This Row],[Horas]],Tabla2[[#This Row],[Minutos a Horas]])</f>
        <v>5.15</v>
      </c>
      <c r="AP536" s="49">
        <v>5</v>
      </c>
      <c r="AQ536" s="49">
        <v>30</v>
      </c>
      <c r="AR536" s="26">
        <f>Tabla2[[#This Row],[Minutos*]]/60</f>
        <v>0.5</v>
      </c>
      <c r="AS536" s="27">
        <f>SUM(Tabla2[[#This Row],[Horas*]],Tabla2[[#This Row],[Minutos a Horas*]])+(Tabla2[[#This Row],[Tiempo Total a Nivel Proncincial (Horas)]])</f>
        <v>10.65</v>
      </c>
    </row>
    <row r="537" spans="2:45" x14ac:dyDescent="0.25">
      <c r="B537" s="90"/>
      <c r="C537" s="90"/>
      <c r="D537" s="90"/>
      <c r="E537" s="90"/>
      <c r="F537" s="90"/>
      <c r="G537" s="90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1"/>
      <c r="AB537" s="88"/>
      <c r="AD537" s="20" t="s">
        <v>2380</v>
      </c>
      <c r="AE537" s="10" t="s">
        <v>377</v>
      </c>
      <c r="AF537" s="20" t="s">
        <v>616</v>
      </c>
      <c r="AG537" s="10"/>
      <c r="AH537" s="22" t="str">
        <f t="shared" si="16"/>
        <v>Ayacucho_09 Sucre</v>
      </c>
      <c r="AI537" s="10" t="s">
        <v>745</v>
      </c>
      <c r="AJ537" s="20" t="s">
        <v>708</v>
      </c>
      <c r="AK537" s="22" t="str">
        <f t="shared" si="17"/>
        <v>Ayacucho_09 Sucre_03 Chalcos</v>
      </c>
      <c r="AL537" s="25">
        <v>5</v>
      </c>
      <c r="AM537" s="25">
        <v>9</v>
      </c>
      <c r="AN537" s="26">
        <f>Tabla2[[#This Row],[Minutos]]/60</f>
        <v>0.15</v>
      </c>
      <c r="AO537" s="27">
        <f>SUM(Tabla2[[#This Row],[Horas]],Tabla2[[#This Row],[Minutos a Horas]])</f>
        <v>5.15</v>
      </c>
      <c r="AP537" s="49">
        <v>6</v>
      </c>
      <c r="AQ537" s="49">
        <v>0</v>
      </c>
      <c r="AR537" s="26">
        <f>Tabla2[[#This Row],[Minutos*]]/60</f>
        <v>0</v>
      </c>
      <c r="AS537" s="27">
        <f>SUM(Tabla2[[#This Row],[Horas*]],Tabla2[[#This Row],[Minutos a Horas*]])+(Tabla2[[#This Row],[Tiempo Total a Nivel Proncincial (Horas)]])</f>
        <v>11.15</v>
      </c>
    </row>
    <row r="538" spans="2:45" x14ac:dyDescent="0.25">
      <c r="B538" s="90"/>
      <c r="C538" s="90"/>
      <c r="D538" s="90"/>
      <c r="E538" s="90"/>
      <c r="F538" s="90"/>
      <c r="G538" s="90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1"/>
      <c r="AB538" s="88"/>
      <c r="AD538" s="20" t="s">
        <v>2380</v>
      </c>
      <c r="AE538" s="10" t="s">
        <v>377</v>
      </c>
      <c r="AF538" s="20" t="s">
        <v>616</v>
      </c>
      <c r="AG538" s="10"/>
      <c r="AH538" s="22" t="str">
        <f t="shared" si="16"/>
        <v>Ayacucho_09 Sucre</v>
      </c>
      <c r="AI538" s="10" t="s">
        <v>745</v>
      </c>
      <c r="AJ538" s="20" t="s">
        <v>709</v>
      </c>
      <c r="AK538" s="22" t="str">
        <f t="shared" si="17"/>
        <v>Ayacucho_09 Sucre_04 Chilcayoc</v>
      </c>
      <c r="AL538" s="25">
        <v>5</v>
      </c>
      <c r="AM538" s="25">
        <v>9</v>
      </c>
      <c r="AN538" s="26">
        <f>Tabla2[[#This Row],[Minutos]]/60</f>
        <v>0.15</v>
      </c>
      <c r="AO538" s="27">
        <f>SUM(Tabla2[[#This Row],[Horas]],Tabla2[[#This Row],[Minutos a Horas]])</f>
        <v>5.15</v>
      </c>
      <c r="AP538" s="49">
        <v>6</v>
      </c>
      <c r="AQ538" s="49">
        <v>30</v>
      </c>
      <c r="AR538" s="26">
        <f>Tabla2[[#This Row],[Minutos*]]/60</f>
        <v>0.5</v>
      </c>
      <c r="AS538" s="27">
        <f>SUM(Tabla2[[#This Row],[Horas*]],Tabla2[[#This Row],[Minutos a Horas*]])+(Tabla2[[#This Row],[Tiempo Total a Nivel Proncincial (Horas)]])</f>
        <v>11.65</v>
      </c>
    </row>
    <row r="539" spans="2:45" x14ac:dyDescent="0.25">
      <c r="B539" s="90"/>
      <c r="C539" s="90"/>
      <c r="D539" s="90"/>
      <c r="E539" s="90"/>
      <c r="F539" s="90"/>
      <c r="G539" s="90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1"/>
      <c r="AB539" s="88"/>
      <c r="AD539" s="20" t="s">
        <v>2380</v>
      </c>
      <c r="AE539" s="10" t="s">
        <v>377</v>
      </c>
      <c r="AF539" s="20" t="s">
        <v>616</v>
      </c>
      <c r="AG539" s="10"/>
      <c r="AH539" s="22" t="str">
        <f t="shared" si="16"/>
        <v>Ayacucho_09 Sucre</v>
      </c>
      <c r="AI539" s="10" t="s">
        <v>745</v>
      </c>
      <c r="AJ539" s="20" t="s">
        <v>710</v>
      </c>
      <c r="AK539" s="22" t="str">
        <f t="shared" si="17"/>
        <v>Ayacucho_09 Sucre_05 Huacaña</v>
      </c>
      <c r="AL539" s="25">
        <v>5</v>
      </c>
      <c r="AM539" s="25">
        <v>9</v>
      </c>
      <c r="AN539" s="26">
        <f>Tabla2[[#This Row],[Minutos]]/60</f>
        <v>0.15</v>
      </c>
      <c r="AO539" s="27">
        <f>SUM(Tabla2[[#This Row],[Horas]],Tabla2[[#This Row],[Minutos a Horas]])</f>
        <v>5.15</v>
      </c>
      <c r="AP539" s="49">
        <v>5</v>
      </c>
      <c r="AQ539" s="49">
        <v>50</v>
      </c>
      <c r="AR539" s="26">
        <f>Tabla2[[#This Row],[Minutos*]]/60</f>
        <v>0.83333333333333337</v>
      </c>
      <c r="AS539" s="27">
        <f>SUM(Tabla2[[#This Row],[Horas*]],Tabla2[[#This Row],[Minutos a Horas*]])+(Tabla2[[#This Row],[Tiempo Total a Nivel Proncincial (Horas)]])</f>
        <v>10.983333333333334</v>
      </c>
    </row>
    <row r="540" spans="2:45" x14ac:dyDescent="0.25">
      <c r="B540" s="90"/>
      <c r="C540" s="90"/>
      <c r="D540" s="90"/>
      <c r="E540" s="90"/>
      <c r="F540" s="90"/>
      <c r="G540" s="90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1"/>
      <c r="AB540" s="88"/>
      <c r="AD540" s="20" t="s">
        <v>2380</v>
      </c>
      <c r="AE540" s="10" t="s">
        <v>377</v>
      </c>
      <c r="AF540" s="20" t="s">
        <v>616</v>
      </c>
      <c r="AG540" s="10"/>
      <c r="AH540" s="22" t="str">
        <f t="shared" si="16"/>
        <v>Ayacucho_09 Sucre</v>
      </c>
      <c r="AI540" s="10" t="s">
        <v>745</v>
      </c>
      <c r="AJ540" s="20" t="s">
        <v>711</v>
      </c>
      <c r="AK540" s="22" t="str">
        <f t="shared" si="17"/>
        <v>Ayacucho_09 Sucre_06 Morcolla</v>
      </c>
      <c r="AL540" s="25">
        <v>5</v>
      </c>
      <c r="AM540" s="25">
        <v>9</v>
      </c>
      <c r="AN540" s="26">
        <f>Tabla2[[#This Row],[Minutos]]/60</f>
        <v>0.15</v>
      </c>
      <c r="AO540" s="27">
        <f>SUM(Tabla2[[#This Row],[Horas]],Tabla2[[#This Row],[Minutos a Horas]])</f>
        <v>5.15</v>
      </c>
      <c r="AP540" s="49">
        <v>5</v>
      </c>
      <c r="AQ540" s="49">
        <v>15</v>
      </c>
      <c r="AR540" s="26">
        <f>Tabla2[[#This Row],[Minutos*]]/60</f>
        <v>0.25</v>
      </c>
      <c r="AS540" s="27">
        <f>SUM(Tabla2[[#This Row],[Horas*]],Tabla2[[#This Row],[Minutos a Horas*]])+(Tabla2[[#This Row],[Tiempo Total a Nivel Proncincial (Horas)]])</f>
        <v>10.4</v>
      </c>
    </row>
    <row r="541" spans="2:45" x14ac:dyDescent="0.25">
      <c r="B541" s="90"/>
      <c r="C541" s="90"/>
      <c r="D541" s="90"/>
      <c r="E541" s="90"/>
      <c r="F541" s="90"/>
      <c r="G541" s="90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1"/>
      <c r="AB541" s="88"/>
      <c r="AD541" s="20" t="s">
        <v>2380</v>
      </c>
      <c r="AE541" s="10" t="s">
        <v>377</v>
      </c>
      <c r="AF541" s="20" t="s">
        <v>616</v>
      </c>
      <c r="AG541" s="10"/>
      <c r="AH541" s="22" t="str">
        <f t="shared" si="16"/>
        <v>Ayacucho_09 Sucre</v>
      </c>
      <c r="AI541" s="10" t="s">
        <v>745</v>
      </c>
      <c r="AJ541" s="20" t="s">
        <v>712</v>
      </c>
      <c r="AK541" s="22" t="str">
        <f t="shared" si="17"/>
        <v>Ayacucho_09 Sucre_07 Paico</v>
      </c>
      <c r="AL541" s="25">
        <v>5</v>
      </c>
      <c r="AM541" s="25">
        <v>9</v>
      </c>
      <c r="AN541" s="26">
        <f>Tabla2[[#This Row],[Minutos]]/60</f>
        <v>0.15</v>
      </c>
      <c r="AO541" s="27">
        <f>SUM(Tabla2[[#This Row],[Horas]],Tabla2[[#This Row],[Minutos a Horas]])</f>
        <v>5.15</v>
      </c>
      <c r="AP541" s="49">
        <v>6</v>
      </c>
      <c r="AQ541" s="49">
        <v>0</v>
      </c>
      <c r="AR541" s="26">
        <f>Tabla2[[#This Row],[Minutos*]]/60</f>
        <v>0</v>
      </c>
      <c r="AS541" s="27">
        <f>SUM(Tabla2[[#This Row],[Horas*]],Tabla2[[#This Row],[Minutos a Horas*]])+(Tabla2[[#This Row],[Tiempo Total a Nivel Proncincial (Horas)]])</f>
        <v>11.15</v>
      </c>
    </row>
    <row r="542" spans="2:45" x14ac:dyDescent="0.25">
      <c r="B542" s="90"/>
      <c r="C542" s="90"/>
      <c r="D542" s="90"/>
      <c r="E542" s="90"/>
      <c r="F542" s="90"/>
      <c r="G542" s="90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1"/>
      <c r="AB542" s="88"/>
      <c r="AD542" s="20" t="s">
        <v>2380</v>
      </c>
      <c r="AE542" s="10" t="s">
        <v>377</v>
      </c>
      <c r="AF542" s="20" t="s">
        <v>616</v>
      </c>
      <c r="AG542" s="10"/>
      <c r="AH542" s="22" t="str">
        <f t="shared" si="16"/>
        <v>Ayacucho_09 Sucre</v>
      </c>
      <c r="AI542" s="10" t="s">
        <v>745</v>
      </c>
      <c r="AJ542" s="20" t="s">
        <v>713</v>
      </c>
      <c r="AK542" s="22" t="str">
        <f t="shared" si="17"/>
        <v>Ayacucho_09 Sucre_08 San Pedro de Larcay</v>
      </c>
      <c r="AL542" s="25">
        <v>5</v>
      </c>
      <c r="AM542" s="25">
        <v>9</v>
      </c>
      <c r="AN542" s="26">
        <f>Tabla2[[#This Row],[Minutos]]/60</f>
        <v>0.15</v>
      </c>
      <c r="AO542" s="27">
        <f>SUM(Tabla2[[#This Row],[Horas]],Tabla2[[#This Row],[Minutos a Horas]])</f>
        <v>5.15</v>
      </c>
      <c r="AP542" s="49">
        <v>6</v>
      </c>
      <c r="AQ542" s="49">
        <v>0</v>
      </c>
      <c r="AR542" s="26">
        <f>Tabla2[[#This Row],[Minutos*]]/60</f>
        <v>0</v>
      </c>
      <c r="AS542" s="27">
        <f>SUM(Tabla2[[#This Row],[Horas*]],Tabla2[[#This Row],[Minutos a Horas*]])+(Tabla2[[#This Row],[Tiempo Total a Nivel Proncincial (Horas)]])</f>
        <v>11.15</v>
      </c>
    </row>
    <row r="543" spans="2:45" x14ac:dyDescent="0.25">
      <c r="B543" s="90"/>
      <c r="C543" s="90"/>
      <c r="D543" s="90"/>
      <c r="E543" s="90"/>
      <c r="F543" s="90"/>
      <c r="G543" s="90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1"/>
      <c r="AB543" s="88"/>
      <c r="AD543" s="20" t="s">
        <v>2380</v>
      </c>
      <c r="AE543" s="10" t="s">
        <v>377</v>
      </c>
      <c r="AF543" s="20" t="s">
        <v>616</v>
      </c>
      <c r="AG543" s="10"/>
      <c r="AH543" s="22" t="str">
        <f t="shared" si="16"/>
        <v>Ayacucho_09 Sucre</v>
      </c>
      <c r="AI543" s="10" t="s">
        <v>745</v>
      </c>
      <c r="AJ543" s="20" t="s">
        <v>714</v>
      </c>
      <c r="AK543" s="22" t="str">
        <f t="shared" si="17"/>
        <v>Ayacucho_09 Sucre_09 San Salvador de Quije</v>
      </c>
      <c r="AL543" s="25">
        <v>5</v>
      </c>
      <c r="AM543" s="25">
        <v>9</v>
      </c>
      <c r="AN543" s="26">
        <f>Tabla2[[#This Row],[Minutos]]/60</f>
        <v>0.15</v>
      </c>
      <c r="AO543" s="27">
        <f>SUM(Tabla2[[#This Row],[Horas]],Tabla2[[#This Row],[Minutos a Horas]])</f>
        <v>5.15</v>
      </c>
      <c r="AP543" s="49">
        <v>5</v>
      </c>
      <c r="AQ543" s="49">
        <v>30</v>
      </c>
      <c r="AR543" s="26">
        <f>Tabla2[[#This Row],[Minutos*]]/60</f>
        <v>0.5</v>
      </c>
      <c r="AS543" s="27">
        <f>SUM(Tabla2[[#This Row],[Horas*]],Tabla2[[#This Row],[Minutos a Horas*]])+(Tabla2[[#This Row],[Tiempo Total a Nivel Proncincial (Horas)]])</f>
        <v>10.65</v>
      </c>
    </row>
    <row r="544" spans="2:45" x14ac:dyDescent="0.25">
      <c r="B544" s="90"/>
      <c r="C544" s="90"/>
      <c r="D544" s="90"/>
      <c r="E544" s="90"/>
      <c r="F544" s="90"/>
      <c r="G544" s="90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1"/>
      <c r="AB544" s="88"/>
      <c r="AD544" s="20" t="s">
        <v>2380</v>
      </c>
      <c r="AE544" s="10" t="s">
        <v>377</v>
      </c>
      <c r="AF544" s="20" t="s">
        <v>616</v>
      </c>
      <c r="AG544" s="10"/>
      <c r="AH544" s="22" t="str">
        <f t="shared" si="16"/>
        <v>Ayacucho_09 Sucre</v>
      </c>
      <c r="AI544" s="10" t="s">
        <v>745</v>
      </c>
      <c r="AJ544" s="20" t="s">
        <v>715</v>
      </c>
      <c r="AK544" s="22" t="str">
        <f t="shared" si="17"/>
        <v>Ayacucho_09 Sucre_10 Santiago de Paucaray</v>
      </c>
      <c r="AL544" s="25">
        <v>5</v>
      </c>
      <c r="AM544" s="25">
        <v>9</v>
      </c>
      <c r="AN544" s="26">
        <f>Tabla2[[#This Row],[Minutos]]/60</f>
        <v>0.15</v>
      </c>
      <c r="AO544" s="27">
        <f>SUM(Tabla2[[#This Row],[Horas]],Tabla2[[#This Row],[Minutos a Horas]])</f>
        <v>5.15</v>
      </c>
      <c r="AP544" s="49">
        <v>6</v>
      </c>
      <c r="AQ544" s="49">
        <v>0</v>
      </c>
      <c r="AR544" s="26">
        <f>Tabla2[[#This Row],[Minutos*]]/60</f>
        <v>0</v>
      </c>
      <c r="AS544" s="27">
        <f>SUM(Tabla2[[#This Row],[Horas*]],Tabla2[[#This Row],[Minutos a Horas*]])+(Tabla2[[#This Row],[Tiempo Total a Nivel Proncincial (Horas)]])</f>
        <v>11.15</v>
      </c>
    </row>
    <row r="545" spans="2:45" x14ac:dyDescent="0.25">
      <c r="B545" s="90"/>
      <c r="C545" s="90"/>
      <c r="D545" s="90"/>
      <c r="E545" s="90"/>
      <c r="F545" s="90"/>
      <c r="G545" s="90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1"/>
      <c r="AB545" s="88"/>
      <c r="AD545" s="20" t="s">
        <v>2380</v>
      </c>
      <c r="AE545" s="10" t="s">
        <v>377</v>
      </c>
      <c r="AF545" s="20" t="s">
        <v>616</v>
      </c>
      <c r="AG545" s="10"/>
      <c r="AH545" s="22" t="str">
        <f t="shared" si="16"/>
        <v>Ayacucho_09 Sucre</v>
      </c>
      <c r="AI545" s="10" t="s">
        <v>745</v>
      </c>
      <c r="AJ545" s="20" t="s">
        <v>716</v>
      </c>
      <c r="AK545" s="22" t="str">
        <f t="shared" si="17"/>
        <v>Ayacucho_09 Sucre_11 Soras</v>
      </c>
      <c r="AL545" s="25">
        <v>5</v>
      </c>
      <c r="AM545" s="25">
        <v>9</v>
      </c>
      <c r="AN545" s="26">
        <f>Tabla2[[#This Row],[Minutos]]/60</f>
        <v>0.15</v>
      </c>
      <c r="AO545" s="27">
        <f>SUM(Tabla2[[#This Row],[Horas]],Tabla2[[#This Row],[Minutos a Horas]])</f>
        <v>5.15</v>
      </c>
      <c r="AP545" s="49">
        <v>5</v>
      </c>
      <c r="AQ545" s="49">
        <v>30</v>
      </c>
      <c r="AR545" s="26">
        <f>Tabla2[[#This Row],[Minutos*]]/60</f>
        <v>0.5</v>
      </c>
      <c r="AS545" s="27">
        <f>SUM(Tabla2[[#This Row],[Horas*]],Tabla2[[#This Row],[Minutos a Horas*]])+(Tabla2[[#This Row],[Tiempo Total a Nivel Proncincial (Horas)]])</f>
        <v>10.65</v>
      </c>
    </row>
    <row r="546" spans="2:45" x14ac:dyDescent="0.25">
      <c r="B546" s="90"/>
      <c r="C546" s="90"/>
      <c r="D546" s="90"/>
      <c r="E546" s="90"/>
      <c r="F546" s="90"/>
      <c r="G546" s="90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1"/>
      <c r="AB546" s="88"/>
      <c r="AD546" s="20" t="s">
        <v>2380</v>
      </c>
      <c r="AE546" s="10" t="s">
        <v>377</v>
      </c>
      <c r="AF546" s="20" t="s">
        <v>617</v>
      </c>
      <c r="AG546" s="10"/>
      <c r="AH546" s="22" t="str">
        <f t="shared" si="16"/>
        <v>Ayacucho_10 Víctor Fajardo</v>
      </c>
      <c r="AI546" s="10" t="s">
        <v>746</v>
      </c>
      <c r="AJ546" s="20" t="s">
        <v>717</v>
      </c>
      <c r="AK546" s="22" t="str">
        <f t="shared" si="17"/>
        <v>Ayacucho_10 Víctor Fajardo_01 Huancapi</v>
      </c>
      <c r="AL546" s="25">
        <v>3</v>
      </c>
      <c r="AM546" s="25">
        <v>44</v>
      </c>
      <c r="AN546" s="26">
        <f>Tabla2[[#This Row],[Minutos]]/60</f>
        <v>0.73333333333333328</v>
      </c>
      <c r="AO546" s="27">
        <f>SUM(Tabla2[[#This Row],[Horas]],Tabla2[[#This Row],[Minutos a Horas]])</f>
        <v>3.7333333333333334</v>
      </c>
      <c r="AP546" s="49">
        <v>5</v>
      </c>
      <c r="AQ546" s="49">
        <v>30</v>
      </c>
      <c r="AR546" s="26">
        <f>Tabla2[[#This Row],[Minutos*]]/60</f>
        <v>0.5</v>
      </c>
      <c r="AS546" s="27">
        <f>SUM(Tabla2[[#This Row],[Horas*]],Tabla2[[#This Row],[Minutos a Horas*]])+(Tabla2[[#This Row],[Tiempo Total a Nivel Proncincial (Horas)]])</f>
        <v>9.2333333333333343</v>
      </c>
    </row>
    <row r="547" spans="2:45" x14ac:dyDescent="0.25">
      <c r="B547" s="90"/>
      <c r="C547" s="90"/>
      <c r="D547" s="90"/>
      <c r="E547" s="90"/>
      <c r="F547" s="90"/>
      <c r="G547" s="90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1"/>
      <c r="AB547" s="88"/>
      <c r="AD547" s="20" t="s">
        <v>2380</v>
      </c>
      <c r="AE547" s="10" t="s">
        <v>377</v>
      </c>
      <c r="AF547" s="20" t="s">
        <v>617</v>
      </c>
      <c r="AG547" s="10"/>
      <c r="AH547" s="22" t="str">
        <f t="shared" si="16"/>
        <v>Ayacucho_10 Víctor Fajardo</v>
      </c>
      <c r="AI547" s="10" t="s">
        <v>746</v>
      </c>
      <c r="AJ547" s="20" t="s">
        <v>718</v>
      </c>
      <c r="AK547" s="22" t="str">
        <f t="shared" si="17"/>
        <v>Ayacucho_10 Víctor Fajardo_02 Alcamenca</v>
      </c>
      <c r="AL547" s="25">
        <v>3</v>
      </c>
      <c r="AM547" s="25">
        <v>44</v>
      </c>
      <c r="AN547" s="26">
        <f>Tabla2[[#This Row],[Minutos]]/60</f>
        <v>0.73333333333333328</v>
      </c>
      <c r="AO547" s="27">
        <f>SUM(Tabla2[[#This Row],[Horas]],Tabla2[[#This Row],[Minutos a Horas]])</f>
        <v>3.7333333333333334</v>
      </c>
      <c r="AP547" s="49">
        <v>4</v>
      </c>
      <c r="AQ547" s="49">
        <v>0</v>
      </c>
      <c r="AR547" s="26">
        <f>Tabla2[[#This Row],[Minutos*]]/60</f>
        <v>0</v>
      </c>
      <c r="AS547" s="27">
        <f>SUM(Tabla2[[#This Row],[Horas*]],Tabla2[[#This Row],[Minutos a Horas*]])+(Tabla2[[#This Row],[Tiempo Total a Nivel Proncincial (Horas)]])</f>
        <v>7.7333333333333334</v>
      </c>
    </row>
    <row r="548" spans="2:45" x14ac:dyDescent="0.25">
      <c r="B548" s="90"/>
      <c r="C548" s="90"/>
      <c r="D548" s="90"/>
      <c r="E548" s="90"/>
      <c r="F548" s="90"/>
      <c r="G548" s="90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8"/>
      <c r="AD548" s="20" t="s">
        <v>2380</v>
      </c>
      <c r="AE548" s="10" t="s">
        <v>377</v>
      </c>
      <c r="AF548" s="20" t="s">
        <v>617</v>
      </c>
      <c r="AG548" s="10"/>
      <c r="AH548" s="22" t="str">
        <f t="shared" si="16"/>
        <v>Ayacucho_10 Víctor Fajardo</v>
      </c>
      <c r="AI548" s="10" t="s">
        <v>746</v>
      </c>
      <c r="AJ548" s="20" t="s">
        <v>719</v>
      </c>
      <c r="AK548" s="22" t="str">
        <f t="shared" si="17"/>
        <v>Ayacucho_10 Víctor Fajardo_03 Apongo</v>
      </c>
      <c r="AL548" s="25">
        <v>3</v>
      </c>
      <c r="AM548" s="25">
        <v>44</v>
      </c>
      <c r="AN548" s="26">
        <f>Tabla2[[#This Row],[Minutos]]/60</f>
        <v>0.73333333333333328</v>
      </c>
      <c r="AO548" s="27">
        <f>SUM(Tabla2[[#This Row],[Horas]],Tabla2[[#This Row],[Minutos a Horas]])</f>
        <v>3.7333333333333334</v>
      </c>
      <c r="AP548" s="49">
        <v>5</v>
      </c>
      <c r="AQ548" s="49">
        <v>20</v>
      </c>
      <c r="AR548" s="26">
        <f>Tabla2[[#This Row],[Minutos*]]/60</f>
        <v>0.33333333333333331</v>
      </c>
      <c r="AS548" s="27">
        <f>SUM(Tabla2[[#This Row],[Horas*]],Tabla2[[#This Row],[Minutos a Horas*]])+(Tabla2[[#This Row],[Tiempo Total a Nivel Proncincial (Horas)]])</f>
        <v>9.0666666666666664</v>
      </c>
    </row>
    <row r="549" spans="2:45" x14ac:dyDescent="0.25">
      <c r="B549" s="90"/>
      <c r="C549" s="90"/>
      <c r="D549" s="90"/>
      <c r="E549" s="90"/>
      <c r="F549" s="90"/>
      <c r="G549" s="90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8"/>
      <c r="AD549" s="20" t="s">
        <v>2380</v>
      </c>
      <c r="AE549" s="10" t="s">
        <v>377</v>
      </c>
      <c r="AF549" s="20" t="s">
        <v>617</v>
      </c>
      <c r="AG549" s="10"/>
      <c r="AH549" s="22" t="str">
        <f t="shared" si="16"/>
        <v>Ayacucho_10 Víctor Fajardo</v>
      </c>
      <c r="AI549" s="10" t="s">
        <v>746</v>
      </c>
      <c r="AJ549" s="20" t="s">
        <v>720</v>
      </c>
      <c r="AK549" s="22" t="str">
        <f t="shared" si="17"/>
        <v>Ayacucho_10 Víctor Fajardo_04 Asquipata</v>
      </c>
      <c r="AL549" s="25">
        <v>3</v>
      </c>
      <c r="AM549" s="25">
        <v>44</v>
      </c>
      <c r="AN549" s="26">
        <f>Tabla2[[#This Row],[Minutos]]/60</f>
        <v>0.73333333333333328</v>
      </c>
      <c r="AO549" s="27">
        <f>SUM(Tabla2[[#This Row],[Horas]],Tabla2[[#This Row],[Minutos a Horas]])</f>
        <v>3.7333333333333334</v>
      </c>
      <c r="AP549" s="49">
        <v>5</v>
      </c>
      <c r="AQ549" s="49">
        <v>15</v>
      </c>
      <c r="AR549" s="26">
        <f>Tabla2[[#This Row],[Minutos*]]/60</f>
        <v>0.25</v>
      </c>
      <c r="AS549" s="27">
        <f>SUM(Tabla2[[#This Row],[Horas*]],Tabla2[[#This Row],[Minutos a Horas*]])+(Tabla2[[#This Row],[Tiempo Total a Nivel Proncincial (Horas)]])</f>
        <v>8.9833333333333343</v>
      </c>
    </row>
    <row r="550" spans="2:45" x14ac:dyDescent="0.25">
      <c r="B550" s="90"/>
      <c r="C550" s="90"/>
      <c r="D550" s="90"/>
      <c r="E550" s="90"/>
      <c r="F550" s="90"/>
      <c r="G550" s="90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8"/>
      <c r="AD550" s="20" t="s">
        <v>2380</v>
      </c>
      <c r="AE550" s="10" t="s">
        <v>377</v>
      </c>
      <c r="AF550" s="20" t="s">
        <v>617</v>
      </c>
      <c r="AG550" s="10"/>
      <c r="AH550" s="22" t="str">
        <f t="shared" si="16"/>
        <v>Ayacucho_10 Víctor Fajardo</v>
      </c>
      <c r="AI550" s="10" t="s">
        <v>746</v>
      </c>
      <c r="AJ550" s="20" t="s">
        <v>721</v>
      </c>
      <c r="AK550" s="22" t="str">
        <f t="shared" si="17"/>
        <v>Ayacucho_10 Víctor Fajardo_05 Canaria</v>
      </c>
      <c r="AL550" s="25">
        <v>3</v>
      </c>
      <c r="AM550" s="25">
        <v>44</v>
      </c>
      <c r="AN550" s="26">
        <f>Tabla2[[#This Row],[Minutos]]/60</f>
        <v>0.73333333333333328</v>
      </c>
      <c r="AO550" s="27">
        <f>SUM(Tabla2[[#This Row],[Horas]],Tabla2[[#This Row],[Minutos a Horas]])</f>
        <v>3.7333333333333334</v>
      </c>
      <c r="AP550" s="49">
        <v>7</v>
      </c>
      <c r="AQ550" s="49">
        <v>30</v>
      </c>
      <c r="AR550" s="26">
        <f>Tabla2[[#This Row],[Minutos*]]/60</f>
        <v>0.5</v>
      </c>
      <c r="AS550" s="27">
        <f>SUM(Tabla2[[#This Row],[Horas*]],Tabla2[[#This Row],[Minutos a Horas*]])+(Tabla2[[#This Row],[Tiempo Total a Nivel Proncincial (Horas)]])</f>
        <v>11.233333333333334</v>
      </c>
    </row>
    <row r="551" spans="2:45" x14ac:dyDescent="0.25">
      <c r="B551" s="90"/>
      <c r="C551" s="90"/>
      <c r="D551" s="90"/>
      <c r="E551" s="90"/>
      <c r="F551" s="90"/>
      <c r="G551" s="90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8"/>
      <c r="AD551" s="20" t="s">
        <v>2380</v>
      </c>
      <c r="AE551" s="10" t="s">
        <v>377</v>
      </c>
      <c r="AF551" s="20" t="s">
        <v>617</v>
      </c>
      <c r="AG551" s="10"/>
      <c r="AH551" s="22" t="str">
        <f t="shared" si="16"/>
        <v>Ayacucho_10 Víctor Fajardo</v>
      </c>
      <c r="AI551" s="10" t="s">
        <v>746</v>
      </c>
      <c r="AJ551" s="20" t="s">
        <v>722</v>
      </c>
      <c r="AK551" s="22" t="str">
        <f t="shared" si="17"/>
        <v>Ayacucho_10 Víctor Fajardo_06 Cayara</v>
      </c>
      <c r="AL551" s="25">
        <v>3</v>
      </c>
      <c r="AM551" s="25">
        <v>44</v>
      </c>
      <c r="AN551" s="26">
        <f>Tabla2[[#This Row],[Minutos]]/60</f>
        <v>0.73333333333333328</v>
      </c>
      <c r="AO551" s="27">
        <f>SUM(Tabla2[[#This Row],[Horas]],Tabla2[[#This Row],[Minutos a Horas]])</f>
        <v>3.7333333333333334</v>
      </c>
      <c r="AP551" s="49">
        <v>4</v>
      </c>
      <c r="AQ551" s="49">
        <v>50</v>
      </c>
      <c r="AR551" s="26">
        <f>Tabla2[[#This Row],[Minutos*]]/60</f>
        <v>0.83333333333333337</v>
      </c>
      <c r="AS551" s="27">
        <f>SUM(Tabla2[[#This Row],[Horas*]],Tabla2[[#This Row],[Minutos a Horas*]])+(Tabla2[[#This Row],[Tiempo Total a Nivel Proncincial (Horas)]])</f>
        <v>8.5666666666666664</v>
      </c>
    </row>
    <row r="552" spans="2:45" x14ac:dyDescent="0.25">
      <c r="B552" s="90"/>
      <c r="C552" s="90"/>
      <c r="D552" s="90"/>
      <c r="E552" s="90"/>
      <c r="F552" s="90"/>
      <c r="G552" s="90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8"/>
      <c r="AD552" s="20" t="s">
        <v>2380</v>
      </c>
      <c r="AE552" s="10" t="s">
        <v>377</v>
      </c>
      <c r="AF552" s="20" t="s">
        <v>617</v>
      </c>
      <c r="AG552" s="10"/>
      <c r="AH552" s="22" t="str">
        <f t="shared" si="16"/>
        <v>Ayacucho_10 Víctor Fajardo</v>
      </c>
      <c r="AI552" s="10" t="s">
        <v>746</v>
      </c>
      <c r="AJ552" s="20" t="s">
        <v>723</v>
      </c>
      <c r="AK552" s="22" t="str">
        <f t="shared" si="17"/>
        <v>Ayacucho_10 Víctor Fajardo_07 Colca</v>
      </c>
      <c r="AL552" s="25">
        <v>3</v>
      </c>
      <c r="AM552" s="25">
        <v>44</v>
      </c>
      <c r="AN552" s="26">
        <f>Tabla2[[#This Row],[Minutos]]/60</f>
        <v>0.73333333333333328</v>
      </c>
      <c r="AO552" s="27">
        <f>SUM(Tabla2[[#This Row],[Horas]],Tabla2[[#This Row],[Minutos a Horas]])</f>
        <v>3.7333333333333334</v>
      </c>
      <c r="AP552" s="49">
        <v>4</v>
      </c>
      <c r="AQ552" s="49">
        <v>40</v>
      </c>
      <c r="AR552" s="26">
        <f>Tabla2[[#This Row],[Minutos*]]/60</f>
        <v>0.66666666666666663</v>
      </c>
      <c r="AS552" s="27">
        <f>SUM(Tabla2[[#This Row],[Horas*]],Tabla2[[#This Row],[Minutos a Horas*]])+(Tabla2[[#This Row],[Tiempo Total a Nivel Proncincial (Horas)]])</f>
        <v>8.4</v>
      </c>
    </row>
    <row r="553" spans="2:45" x14ac:dyDescent="0.25">
      <c r="B553" s="90"/>
      <c r="C553" s="90"/>
      <c r="D553" s="90"/>
      <c r="E553" s="90"/>
      <c r="F553" s="90"/>
      <c r="G553" s="90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8"/>
      <c r="AD553" s="20" t="s">
        <v>2380</v>
      </c>
      <c r="AE553" s="10" t="s">
        <v>377</v>
      </c>
      <c r="AF553" s="20" t="s">
        <v>617</v>
      </c>
      <c r="AG553" s="10"/>
      <c r="AH553" s="22" t="str">
        <f t="shared" si="16"/>
        <v>Ayacucho_10 Víctor Fajardo</v>
      </c>
      <c r="AI553" s="10" t="s">
        <v>746</v>
      </c>
      <c r="AJ553" s="20" t="s">
        <v>724</v>
      </c>
      <c r="AK553" s="22" t="str">
        <f t="shared" si="17"/>
        <v>Ayacucho_10 Víctor Fajardo_08 Huamanquiquia</v>
      </c>
      <c r="AL553" s="25">
        <v>3</v>
      </c>
      <c r="AM553" s="25">
        <v>44</v>
      </c>
      <c r="AN553" s="26">
        <f>Tabla2[[#This Row],[Minutos]]/60</f>
        <v>0.73333333333333328</v>
      </c>
      <c r="AO553" s="27">
        <f>SUM(Tabla2[[#This Row],[Horas]],Tabla2[[#This Row],[Minutos a Horas]])</f>
        <v>3.7333333333333334</v>
      </c>
      <c r="AP553" s="49">
        <v>4</v>
      </c>
      <c r="AQ553" s="49">
        <v>45</v>
      </c>
      <c r="AR553" s="26">
        <f>Tabla2[[#This Row],[Minutos*]]/60</f>
        <v>0.75</v>
      </c>
      <c r="AS553" s="27">
        <f>SUM(Tabla2[[#This Row],[Horas*]],Tabla2[[#This Row],[Minutos a Horas*]])+(Tabla2[[#This Row],[Tiempo Total a Nivel Proncincial (Horas)]])</f>
        <v>8.4833333333333343</v>
      </c>
    </row>
    <row r="554" spans="2:45" x14ac:dyDescent="0.25">
      <c r="B554" s="90"/>
      <c r="C554" s="90"/>
      <c r="D554" s="90"/>
      <c r="E554" s="90"/>
      <c r="F554" s="90"/>
      <c r="G554" s="90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1"/>
      <c r="AB554" s="88"/>
      <c r="AD554" s="20" t="s">
        <v>2380</v>
      </c>
      <c r="AE554" s="10" t="s">
        <v>377</v>
      </c>
      <c r="AF554" s="20" t="s">
        <v>617</v>
      </c>
      <c r="AG554" s="10"/>
      <c r="AH554" s="22" t="str">
        <f t="shared" si="16"/>
        <v>Ayacucho_10 Víctor Fajardo</v>
      </c>
      <c r="AI554" s="10" t="s">
        <v>746</v>
      </c>
      <c r="AJ554" s="20" t="s">
        <v>725</v>
      </c>
      <c r="AK554" s="22" t="str">
        <f t="shared" si="17"/>
        <v>Ayacucho_10 Víctor Fajardo_09 Huancaraylla</v>
      </c>
      <c r="AL554" s="25">
        <v>3</v>
      </c>
      <c r="AM554" s="25">
        <v>44</v>
      </c>
      <c r="AN554" s="26">
        <f>Tabla2[[#This Row],[Minutos]]/60</f>
        <v>0.73333333333333328</v>
      </c>
      <c r="AO554" s="27">
        <f>SUM(Tabla2[[#This Row],[Horas]],Tabla2[[#This Row],[Minutos a Horas]])</f>
        <v>3.7333333333333334</v>
      </c>
      <c r="AP554" s="49">
        <v>4</v>
      </c>
      <c r="AQ554" s="49">
        <v>0</v>
      </c>
      <c r="AR554" s="26">
        <f>Tabla2[[#This Row],[Minutos*]]/60</f>
        <v>0</v>
      </c>
      <c r="AS554" s="27">
        <f>SUM(Tabla2[[#This Row],[Horas*]],Tabla2[[#This Row],[Minutos a Horas*]])+(Tabla2[[#This Row],[Tiempo Total a Nivel Proncincial (Horas)]])</f>
        <v>7.7333333333333334</v>
      </c>
    </row>
    <row r="555" spans="2:45" x14ac:dyDescent="0.25">
      <c r="B555" s="90"/>
      <c r="C555" s="90"/>
      <c r="D555" s="90"/>
      <c r="E555" s="90"/>
      <c r="F555" s="90"/>
      <c r="G555" s="90"/>
      <c r="H555" s="81"/>
      <c r="I555" s="81"/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1"/>
      <c r="W555" s="81"/>
      <c r="X555" s="81"/>
      <c r="Y555" s="81"/>
      <c r="Z555" s="81"/>
      <c r="AA555" s="81"/>
      <c r="AB555" s="88"/>
      <c r="AD555" s="20" t="s">
        <v>2380</v>
      </c>
      <c r="AE555" s="10" t="s">
        <v>377</v>
      </c>
      <c r="AF555" s="20" t="s">
        <v>617</v>
      </c>
      <c r="AG555" s="10"/>
      <c r="AH555" s="22" t="str">
        <f t="shared" si="16"/>
        <v>Ayacucho_10 Víctor Fajardo</v>
      </c>
      <c r="AI555" s="10" t="s">
        <v>746</v>
      </c>
      <c r="AJ555" s="20" t="s">
        <v>726</v>
      </c>
      <c r="AK555" s="22" t="str">
        <f t="shared" si="17"/>
        <v>Ayacucho_10 Víctor Fajardo_10 Huaya</v>
      </c>
      <c r="AL555" s="25">
        <v>3</v>
      </c>
      <c r="AM555" s="25">
        <v>44</v>
      </c>
      <c r="AN555" s="26">
        <f>Tabla2[[#This Row],[Minutos]]/60</f>
        <v>0.73333333333333328</v>
      </c>
      <c r="AO555" s="27">
        <f>SUM(Tabla2[[#This Row],[Horas]],Tabla2[[#This Row],[Minutos a Horas]])</f>
        <v>3.7333333333333334</v>
      </c>
      <c r="AP555" s="49">
        <v>5</v>
      </c>
      <c r="AQ555" s="49">
        <v>0</v>
      </c>
      <c r="AR555" s="26">
        <f>Tabla2[[#This Row],[Minutos*]]/60</f>
        <v>0</v>
      </c>
      <c r="AS555" s="27">
        <f>SUM(Tabla2[[#This Row],[Horas*]],Tabla2[[#This Row],[Minutos a Horas*]])+(Tabla2[[#This Row],[Tiempo Total a Nivel Proncincial (Horas)]])</f>
        <v>8.7333333333333343</v>
      </c>
    </row>
    <row r="556" spans="2:45" x14ac:dyDescent="0.25">
      <c r="B556" s="90"/>
      <c r="C556" s="90"/>
      <c r="D556" s="90"/>
      <c r="E556" s="90"/>
      <c r="F556" s="90"/>
      <c r="G556" s="90"/>
      <c r="H556" s="81"/>
      <c r="I556" s="81"/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1"/>
      <c r="W556" s="81"/>
      <c r="X556" s="81"/>
      <c r="Y556" s="81"/>
      <c r="Z556" s="81"/>
      <c r="AA556" s="81"/>
      <c r="AB556" s="88"/>
      <c r="AD556" s="20" t="s">
        <v>2380</v>
      </c>
      <c r="AE556" s="10" t="s">
        <v>377</v>
      </c>
      <c r="AF556" s="20" t="s">
        <v>617</v>
      </c>
      <c r="AG556" s="10"/>
      <c r="AH556" s="22" t="str">
        <f t="shared" si="16"/>
        <v>Ayacucho_10 Víctor Fajardo</v>
      </c>
      <c r="AI556" s="10" t="s">
        <v>746</v>
      </c>
      <c r="AJ556" s="20" t="s">
        <v>727</v>
      </c>
      <c r="AK556" s="22" t="str">
        <f t="shared" si="17"/>
        <v>Ayacucho_10 Víctor Fajardo_11 Sarhua</v>
      </c>
      <c r="AL556" s="25">
        <v>3</v>
      </c>
      <c r="AM556" s="25">
        <v>44</v>
      </c>
      <c r="AN556" s="26">
        <f>Tabla2[[#This Row],[Minutos]]/60</f>
        <v>0.73333333333333328</v>
      </c>
      <c r="AO556" s="27">
        <f>SUM(Tabla2[[#This Row],[Horas]],Tabla2[[#This Row],[Minutos a Horas]])</f>
        <v>3.7333333333333334</v>
      </c>
      <c r="AP556" s="49">
        <v>3</v>
      </c>
      <c r="AQ556" s="49">
        <v>55</v>
      </c>
      <c r="AR556" s="26">
        <f>Tabla2[[#This Row],[Minutos*]]/60</f>
        <v>0.91666666666666663</v>
      </c>
      <c r="AS556" s="27">
        <f>SUM(Tabla2[[#This Row],[Horas*]],Tabla2[[#This Row],[Minutos a Horas*]])+(Tabla2[[#This Row],[Tiempo Total a Nivel Proncincial (Horas)]])</f>
        <v>7.65</v>
      </c>
    </row>
    <row r="557" spans="2:45" x14ac:dyDescent="0.25">
      <c r="B557" s="90"/>
      <c r="C557" s="90"/>
      <c r="D557" s="90"/>
      <c r="E557" s="90"/>
      <c r="F557" s="90"/>
      <c r="G557" s="90"/>
      <c r="H557" s="81"/>
      <c r="I557" s="81"/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1"/>
      <c r="W557" s="81"/>
      <c r="X557" s="81"/>
      <c r="Y557" s="81"/>
      <c r="Z557" s="81"/>
      <c r="AA557" s="81"/>
      <c r="AB557" s="88"/>
      <c r="AD557" s="20" t="s">
        <v>2380</v>
      </c>
      <c r="AE557" s="10" t="s">
        <v>377</v>
      </c>
      <c r="AF557" s="20" t="s">
        <v>617</v>
      </c>
      <c r="AG557" s="10"/>
      <c r="AH557" s="22" t="str">
        <f t="shared" si="16"/>
        <v>Ayacucho_10 Víctor Fajardo</v>
      </c>
      <c r="AI557" s="10" t="s">
        <v>746</v>
      </c>
      <c r="AJ557" s="20" t="s">
        <v>728</v>
      </c>
      <c r="AK557" s="22" t="str">
        <f t="shared" si="17"/>
        <v>Ayacucho_10 Víctor Fajardo_12 Vilcanchos</v>
      </c>
      <c r="AL557" s="25">
        <v>3</v>
      </c>
      <c r="AM557" s="25">
        <v>44</v>
      </c>
      <c r="AN557" s="26">
        <f>Tabla2[[#This Row],[Minutos]]/60</f>
        <v>0.73333333333333328</v>
      </c>
      <c r="AO557" s="27">
        <f>SUM(Tabla2[[#This Row],[Horas]],Tabla2[[#This Row],[Minutos a Horas]])</f>
        <v>3.7333333333333334</v>
      </c>
      <c r="AP557" s="49">
        <v>4</v>
      </c>
      <c r="AQ557" s="49">
        <v>0</v>
      </c>
      <c r="AR557" s="26">
        <f>Tabla2[[#This Row],[Minutos*]]/60</f>
        <v>0</v>
      </c>
      <c r="AS557" s="27">
        <f>SUM(Tabla2[[#This Row],[Horas*]],Tabla2[[#This Row],[Minutos a Horas*]])+(Tabla2[[#This Row],[Tiempo Total a Nivel Proncincial (Horas)]])</f>
        <v>7.7333333333333334</v>
      </c>
    </row>
    <row r="558" spans="2:45" x14ac:dyDescent="0.25">
      <c r="B558" s="90"/>
      <c r="C558" s="90"/>
      <c r="D558" s="90"/>
      <c r="E558" s="90"/>
      <c r="F558" s="90"/>
      <c r="G558" s="90"/>
      <c r="H558" s="81"/>
      <c r="I558" s="81"/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1"/>
      <c r="W558" s="81"/>
      <c r="X558" s="81"/>
      <c r="Y558" s="81"/>
      <c r="Z558" s="81"/>
      <c r="AA558" s="81"/>
      <c r="AB558" s="88"/>
      <c r="AD558" s="20" t="s">
        <v>2380</v>
      </c>
      <c r="AE558" s="10" t="s">
        <v>377</v>
      </c>
      <c r="AF558" s="20" t="s">
        <v>618</v>
      </c>
      <c r="AG558" s="10"/>
      <c r="AH558" s="22" t="str">
        <f t="shared" si="16"/>
        <v>Ayacucho_11 Vilcas Huamán</v>
      </c>
      <c r="AI558" s="10" t="s">
        <v>747</v>
      </c>
      <c r="AJ558" s="20" t="s">
        <v>729</v>
      </c>
      <c r="AK558" s="22" t="str">
        <f t="shared" si="17"/>
        <v>Ayacucho_11 Vilcas Huamán_01 Vilcas Huaman</v>
      </c>
      <c r="AL558" s="25">
        <v>2</v>
      </c>
      <c r="AM558" s="25">
        <v>31</v>
      </c>
      <c r="AN558" s="26">
        <f>Tabla2[[#This Row],[Minutos]]/60</f>
        <v>0.51666666666666672</v>
      </c>
      <c r="AO558" s="27">
        <f>SUM(Tabla2[[#This Row],[Horas]],Tabla2[[#This Row],[Minutos a Horas]])</f>
        <v>2.5166666666666666</v>
      </c>
      <c r="AP558" s="49">
        <v>4</v>
      </c>
      <c r="AQ558" s="49">
        <v>0</v>
      </c>
      <c r="AR558" s="26">
        <f>Tabla2[[#This Row],[Minutos*]]/60</f>
        <v>0</v>
      </c>
      <c r="AS558" s="27">
        <f>SUM(Tabla2[[#This Row],[Horas*]],Tabla2[[#This Row],[Minutos a Horas*]])+(Tabla2[[#This Row],[Tiempo Total a Nivel Proncincial (Horas)]])</f>
        <v>6.5166666666666666</v>
      </c>
    </row>
    <row r="559" spans="2:45" x14ac:dyDescent="0.25">
      <c r="B559" s="90"/>
      <c r="C559" s="90"/>
      <c r="D559" s="90"/>
      <c r="E559" s="90"/>
      <c r="F559" s="90"/>
      <c r="G559" s="90"/>
      <c r="H559" s="81"/>
      <c r="I559" s="81"/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1"/>
      <c r="W559" s="81"/>
      <c r="X559" s="81"/>
      <c r="Y559" s="81"/>
      <c r="Z559" s="81"/>
      <c r="AA559" s="81"/>
      <c r="AB559" s="88"/>
      <c r="AD559" s="20" t="s">
        <v>2380</v>
      </c>
      <c r="AE559" s="10" t="s">
        <v>377</v>
      </c>
      <c r="AF559" s="20" t="s">
        <v>618</v>
      </c>
      <c r="AG559" s="10"/>
      <c r="AH559" s="22" t="str">
        <f t="shared" si="16"/>
        <v>Ayacucho_11 Vilcas Huamán</v>
      </c>
      <c r="AI559" s="10" t="s">
        <v>747</v>
      </c>
      <c r="AJ559" s="20" t="s">
        <v>730</v>
      </c>
      <c r="AK559" s="22" t="str">
        <f t="shared" si="17"/>
        <v>Ayacucho_11 Vilcas Huamán_02 Accomarca</v>
      </c>
      <c r="AL559" s="25">
        <v>2</v>
      </c>
      <c r="AM559" s="25">
        <v>31</v>
      </c>
      <c r="AN559" s="26">
        <f>Tabla2[[#This Row],[Minutos]]/60</f>
        <v>0.51666666666666672</v>
      </c>
      <c r="AO559" s="27">
        <f>SUM(Tabla2[[#This Row],[Horas]],Tabla2[[#This Row],[Minutos a Horas]])</f>
        <v>2.5166666666666666</v>
      </c>
      <c r="AP559" s="49">
        <v>5</v>
      </c>
      <c r="AQ559" s="49">
        <v>0</v>
      </c>
      <c r="AR559" s="26">
        <f>Tabla2[[#This Row],[Minutos*]]/60</f>
        <v>0</v>
      </c>
      <c r="AS559" s="27">
        <f>SUM(Tabla2[[#This Row],[Horas*]],Tabla2[[#This Row],[Minutos a Horas*]])+(Tabla2[[#This Row],[Tiempo Total a Nivel Proncincial (Horas)]])</f>
        <v>7.5166666666666666</v>
      </c>
    </row>
    <row r="560" spans="2:45" x14ac:dyDescent="0.25">
      <c r="B560" s="90"/>
      <c r="C560" s="90"/>
      <c r="D560" s="90"/>
      <c r="E560" s="90"/>
      <c r="F560" s="90"/>
      <c r="G560" s="90"/>
      <c r="H560" s="81"/>
      <c r="I560" s="81"/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1"/>
      <c r="W560" s="81"/>
      <c r="X560" s="81"/>
      <c r="Y560" s="81"/>
      <c r="Z560" s="81"/>
      <c r="AA560" s="81"/>
      <c r="AB560" s="88"/>
      <c r="AD560" s="20" t="s">
        <v>2380</v>
      </c>
      <c r="AE560" s="10" t="s">
        <v>377</v>
      </c>
      <c r="AF560" s="20" t="s">
        <v>618</v>
      </c>
      <c r="AG560" s="10"/>
      <c r="AH560" s="22" t="str">
        <f t="shared" si="16"/>
        <v>Ayacucho_11 Vilcas Huamán</v>
      </c>
      <c r="AI560" s="10" t="s">
        <v>747</v>
      </c>
      <c r="AJ560" s="20" t="s">
        <v>731</v>
      </c>
      <c r="AK560" s="22" t="str">
        <f t="shared" si="17"/>
        <v>Ayacucho_11 Vilcas Huamán_03 Carhuanca</v>
      </c>
      <c r="AL560" s="25">
        <v>2</v>
      </c>
      <c r="AM560" s="25">
        <v>31</v>
      </c>
      <c r="AN560" s="26">
        <f>Tabla2[[#This Row],[Minutos]]/60</f>
        <v>0.51666666666666672</v>
      </c>
      <c r="AO560" s="27">
        <f>SUM(Tabla2[[#This Row],[Horas]],Tabla2[[#This Row],[Minutos a Horas]])</f>
        <v>2.5166666666666666</v>
      </c>
      <c r="AP560" s="49">
        <v>4</v>
      </c>
      <c r="AQ560" s="49">
        <v>30</v>
      </c>
      <c r="AR560" s="26">
        <f>Tabla2[[#This Row],[Minutos*]]/60</f>
        <v>0.5</v>
      </c>
      <c r="AS560" s="27">
        <f>SUM(Tabla2[[#This Row],[Horas*]],Tabla2[[#This Row],[Minutos a Horas*]])+(Tabla2[[#This Row],[Tiempo Total a Nivel Proncincial (Horas)]])</f>
        <v>7.0166666666666666</v>
      </c>
    </row>
    <row r="561" spans="2:45" x14ac:dyDescent="0.25">
      <c r="B561" s="90"/>
      <c r="C561" s="90"/>
      <c r="D561" s="90"/>
      <c r="E561" s="90"/>
      <c r="F561" s="90"/>
      <c r="G561" s="90"/>
      <c r="H561" s="81"/>
      <c r="I561" s="81"/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1"/>
      <c r="W561" s="81"/>
      <c r="X561" s="81"/>
      <c r="Y561" s="81"/>
      <c r="Z561" s="81"/>
      <c r="AA561" s="81"/>
      <c r="AB561" s="88"/>
      <c r="AD561" s="20" t="s">
        <v>2380</v>
      </c>
      <c r="AE561" s="10" t="s">
        <v>377</v>
      </c>
      <c r="AF561" s="20" t="s">
        <v>618</v>
      </c>
      <c r="AG561" s="10"/>
      <c r="AH561" s="22" t="str">
        <f t="shared" si="16"/>
        <v>Ayacucho_11 Vilcas Huamán</v>
      </c>
      <c r="AI561" s="10" t="s">
        <v>747</v>
      </c>
      <c r="AJ561" s="20" t="s">
        <v>732</v>
      </c>
      <c r="AK561" s="22" t="str">
        <f t="shared" si="17"/>
        <v>Ayacucho_11 Vilcas Huamán_04 Concepción</v>
      </c>
      <c r="AL561" s="25">
        <v>2</v>
      </c>
      <c r="AM561" s="25">
        <v>31</v>
      </c>
      <c r="AN561" s="26">
        <f>Tabla2[[#This Row],[Minutos]]/60</f>
        <v>0.51666666666666672</v>
      </c>
      <c r="AO561" s="27">
        <f>SUM(Tabla2[[#This Row],[Horas]],Tabla2[[#This Row],[Minutos a Horas]])</f>
        <v>2.5166666666666666</v>
      </c>
      <c r="AP561" s="49">
        <v>3</v>
      </c>
      <c r="AQ561" s="49">
        <v>50</v>
      </c>
      <c r="AR561" s="26">
        <f>Tabla2[[#This Row],[Minutos*]]/60</f>
        <v>0.83333333333333337</v>
      </c>
      <c r="AS561" s="27">
        <f>SUM(Tabla2[[#This Row],[Horas*]],Tabla2[[#This Row],[Minutos a Horas*]])+(Tabla2[[#This Row],[Tiempo Total a Nivel Proncincial (Horas)]])</f>
        <v>6.35</v>
      </c>
    </row>
    <row r="562" spans="2:45" x14ac:dyDescent="0.25">
      <c r="B562" s="90"/>
      <c r="C562" s="90"/>
      <c r="D562" s="90"/>
      <c r="E562" s="90"/>
      <c r="F562" s="90"/>
      <c r="G562" s="90"/>
      <c r="H562" s="81"/>
      <c r="I562" s="81"/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1"/>
      <c r="W562" s="81"/>
      <c r="X562" s="81"/>
      <c r="Y562" s="81"/>
      <c r="Z562" s="81"/>
      <c r="AA562" s="81"/>
      <c r="AB562" s="88"/>
      <c r="AD562" s="20" t="s">
        <v>2380</v>
      </c>
      <c r="AE562" s="10" t="s">
        <v>377</v>
      </c>
      <c r="AF562" s="20" t="s">
        <v>618</v>
      </c>
      <c r="AG562" s="10"/>
      <c r="AH562" s="22" t="str">
        <f t="shared" si="16"/>
        <v>Ayacucho_11 Vilcas Huamán</v>
      </c>
      <c r="AI562" s="10" t="s">
        <v>747</v>
      </c>
      <c r="AJ562" s="20" t="s">
        <v>733</v>
      </c>
      <c r="AK562" s="22" t="str">
        <f t="shared" si="17"/>
        <v>Ayacucho_11 Vilcas Huamán_05 Huambalpa</v>
      </c>
      <c r="AL562" s="25">
        <v>2</v>
      </c>
      <c r="AM562" s="25">
        <v>31</v>
      </c>
      <c r="AN562" s="26">
        <f>Tabla2[[#This Row],[Minutos]]/60</f>
        <v>0.51666666666666672</v>
      </c>
      <c r="AO562" s="27">
        <f>SUM(Tabla2[[#This Row],[Horas]],Tabla2[[#This Row],[Minutos a Horas]])</f>
        <v>2.5166666666666666</v>
      </c>
      <c r="AP562" s="49">
        <v>4</v>
      </c>
      <c r="AQ562" s="49">
        <v>20</v>
      </c>
      <c r="AR562" s="26">
        <f>Tabla2[[#This Row],[Minutos*]]/60</f>
        <v>0.33333333333333331</v>
      </c>
      <c r="AS562" s="27">
        <f>SUM(Tabla2[[#This Row],[Horas*]],Tabla2[[#This Row],[Minutos a Horas*]])+(Tabla2[[#This Row],[Tiempo Total a Nivel Proncincial (Horas)]])</f>
        <v>6.85</v>
      </c>
    </row>
    <row r="563" spans="2:45" x14ac:dyDescent="0.25">
      <c r="B563" s="90"/>
      <c r="C563" s="90"/>
      <c r="D563" s="90"/>
      <c r="E563" s="90"/>
      <c r="F563" s="90"/>
      <c r="G563" s="90"/>
      <c r="H563" s="81"/>
      <c r="I563" s="81"/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1"/>
      <c r="W563" s="81"/>
      <c r="X563" s="81"/>
      <c r="Y563" s="81"/>
      <c r="Z563" s="81"/>
      <c r="AA563" s="81"/>
      <c r="AB563" s="88"/>
      <c r="AD563" s="20" t="s">
        <v>2380</v>
      </c>
      <c r="AE563" s="10" t="s">
        <v>377</v>
      </c>
      <c r="AF563" s="20" t="s">
        <v>618</v>
      </c>
      <c r="AG563" s="10"/>
      <c r="AH563" s="22" t="str">
        <f t="shared" si="16"/>
        <v>Ayacucho_11 Vilcas Huamán</v>
      </c>
      <c r="AI563" s="10" t="s">
        <v>747</v>
      </c>
      <c r="AJ563" s="20" t="s">
        <v>734</v>
      </c>
      <c r="AK563" s="22" t="str">
        <f t="shared" si="17"/>
        <v>Ayacucho_11 Vilcas Huamán_06 Independencia</v>
      </c>
      <c r="AL563" s="25">
        <v>2</v>
      </c>
      <c r="AM563" s="25">
        <v>31</v>
      </c>
      <c r="AN563" s="26">
        <f>Tabla2[[#This Row],[Minutos]]/60</f>
        <v>0.51666666666666672</v>
      </c>
      <c r="AO563" s="27">
        <f>SUM(Tabla2[[#This Row],[Horas]],Tabla2[[#This Row],[Minutos a Horas]])</f>
        <v>2.5166666666666666</v>
      </c>
      <c r="AP563" s="49">
        <v>4</v>
      </c>
      <c r="AQ563" s="49">
        <v>10</v>
      </c>
      <c r="AR563" s="26">
        <f>Tabla2[[#This Row],[Minutos*]]/60</f>
        <v>0.16666666666666666</v>
      </c>
      <c r="AS563" s="27">
        <f>SUM(Tabla2[[#This Row],[Horas*]],Tabla2[[#This Row],[Minutos a Horas*]])+(Tabla2[[#This Row],[Tiempo Total a Nivel Proncincial (Horas)]])</f>
        <v>6.6833333333333336</v>
      </c>
    </row>
    <row r="564" spans="2:45" x14ac:dyDescent="0.25">
      <c r="B564" s="90"/>
      <c r="C564" s="90"/>
      <c r="D564" s="90"/>
      <c r="E564" s="90"/>
      <c r="F564" s="90"/>
      <c r="G564" s="90"/>
      <c r="H564" s="81"/>
      <c r="I564" s="81"/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1"/>
      <c r="W564" s="81"/>
      <c r="X564" s="81"/>
      <c r="Y564" s="81"/>
      <c r="Z564" s="81"/>
      <c r="AA564" s="81"/>
      <c r="AB564" s="88"/>
      <c r="AD564" s="20" t="s">
        <v>2380</v>
      </c>
      <c r="AE564" s="10" t="s">
        <v>377</v>
      </c>
      <c r="AF564" s="20" t="s">
        <v>618</v>
      </c>
      <c r="AG564" s="10"/>
      <c r="AH564" s="22" t="str">
        <f t="shared" si="16"/>
        <v>Ayacucho_11 Vilcas Huamán</v>
      </c>
      <c r="AI564" s="10" t="s">
        <v>747</v>
      </c>
      <c r="AJ564" s="20" t="s">
        <v>735</v>
      </c>
      <c r="AK564" s="22" t="str">
        <f t="shared" si="17"/>
        <v>Ayacucho_11 Vilcas Huamán_07 Saurama</v>
      </c>
      <c r="AL564" s="25">
        <v>2</v>
      </c>
      <c r="AM564" s="25">
        <v>31</v>
      </c>
      <c r="AN564" s="26">
        <f>Tabla2[[#This Row],[Minutos]]/60</f>
        <v>0.51666666666666672</v>
      </c>
      <c r="AO564" s="27">
        <f>SUM(Tabla2[[#This Row],[Horas]],Tabla2[[#This Row],[Minutos a Horas]])</f>
        <v>2.5166666666666666</v>
      </c>
      <c r="AP564" s="49">
        <v>4</v>
      </c>
      <c r="AQ564" s="49">
        <v>30</v>
      </c>
      <c r="AR564" s="26">
        <f>Tabla2[[#This Row],[Minutos*]]/60</f>
        <v>0.5</v>
      </c>
      <c r="AS564" s="27">
        <f>SUM(Tabla2[[#This Row],[Horas*]],Tabla2[[#This Row],[Minutos a Horas*]])+(Tabla2[[#This Row],[Tiempo Total a Nivel Proncincial (Horas)]])</f>
        <v>7.0166666666666666</v>
      </c>
    </row>
    <row r="565" spans="2:45" x14ac:dyDescent="0.25">
      <c r="B565" s="90"/>
      <c r="C565" s="90"/>
      <c r="D565" s="90"/>
      <c r="E565" s="90"/>
      <c r="F565" s="90"/>
      <c r="G565" s="90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  <c r="AA565" s="81"/>
      <c r="AB565" s="88"/>
      <c r="AD565" s="20" t="s">
        <v>2380</v>
      </c>
      <c r="AE565" s="10" t="s">
        <v>377</v>
      </c>
      <c r="AF565" s="20" t="s">
        <v>618</v>
      </c>
      <c r="AG565" s="10"/>
      <c r="AH565" s="22" t="str">
        <f t="shared" si="16"/>
        <v>Ayacucho_11 Vilcas Huamán</v>
      </c>
      <c r="AI565" s="10" t="s">
        <v>747</v>
      </c>
      <c r="AJ565" s="20" t="s">
        <v>736</v>
      </c>
      <c r="AK565" s="22" t="str">
        <f t="shared" si="17"/>
        <v>Ayacucho_11 Vilcas Huamán_08 Vischongo</v>
      </c>
      <c r="AL565" s="25">
        <v>2</v>
      </c>
      <c r="AM565" s="25">
        <v>31</v>
      </c>
      <c r="AN565" s="26">
        <f>Tabla2[[#This Row],[Minutos]]/60</f>
        <v>0.51666666666666672</v>
      </c>
      <c r="AO565" s="27">
        <f>SUM(Tabla2[[#This Row],[Horas]],Tabla2[[#This Row],[Minutos a Horas]])</f>
        <v>2.5166666666666666</v>
      </c>
      <c r="AP565" s="49">
        <v>3</v>
      </c>
      <c r="AQ565" s="49">
        <v>45</v>
      </c>
      <c r="AR565" s="26">
        <f>Tabla2[[#This Row],[Minutos*]]/60</f>
        <v>0.75</v>
      </c>
      <c r="AS565" s="27">
        <f>SUM(Tabla2[[#This Row],[Horas*]],Tabla2[[#This Row],[Minutos a Horas*]])+(Tabla2[[#This Row],[Tiempo Total a Nivel Proncincial (Horas)]])</f>
        <v>6.2666666666666666</v>
      </c>
    </row>
    <row r="566" spans="2:45" x14ac:dyDescent="0.25">
      <c r="B566" s="90"/>
      <c r="C566" s="90"/>
      <c r="D566" s="90"/>
      <c r="E566" s="90"/>
      <c r="F566" s="90"/>
      <c r="G566" s="90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  <c r="AA566" s="81"/>
      <c r="AB566" s="88"/>
      <c r="AD566" s="20" t="s">
        <v>2380</v>
      </c>
      <c r="AE566" s="10" t="s">
        <v>377</v>
      </c>
      <c r="AF566" s="84" t="s">
        <v>2408</v>
      </c>
      <c r="AG566" s="10"/>
      <c r="AH566" s="22" t="str">
        <f>CONCATENATE(AD566,"_",AF566)</f>
        <v>Ayacucho_12 La Convención</v>
      </c>
      <c r="AI566" s="10" t="s">
        <v>2434</v>
      </c>
      <c r="AJ566" s="84" t="s">
        <v>2409</v>
      </c>
      <c r="AK566" s="22" t="str">
        <f>CONCATENATE(AH566,"_",AJ566)</f>
        <v>Ayacucho_12 La Convención_09 Kimbiri</v>
      </c>
      <c r="AL566" s="25">
        <v>2</v>
      </c>
      <c r="AM566" s="25">
        <v>31</v>
      </c>
      <c r="AN566" s="26">
        <f>Tabla2[[#This Row],[Minutos]]/60</f>
        <v>0.51666666666666672</v>
      </c>
      <c r="AO566" s="27">
        <f>SUM(Tabla2[[#This Row],[Horas]],Tabla2[[#This Row],[Minutos a Horas]])</f>
        <v>2.5166666666666666</v>
      </c>
      <c r="AP566" s="49">
        <v>5</v>
      </c>
      <c r="AQ566" s="49">
        <v>30</v>
      </c>
      <c r="AR566" s="26">
        <f>Tabla2[[#This Row],[Minutos*]]/60</f>
        <v>0.5</v>
      </c>
      <c r="AS566" s="27">
        <f>SUM(Tabla2[[#This Row],[Horas*]],Tabla2[[#This Row],[Minutos a Horas*]])+(Tabla2[[#This Row],[Tiempo Total a Nivel Proncincial (Horas)]])</f>
        <v>8.0166666666666657</v>
      </c>
    </row>
    <row r="567" spans="2:45" x14ac:dyDescent="0.25">
      <c r="B567" s="90"/>
      <c r="C567" s="90"/>
      <c r="D567" s="90"/>
      <c r="E567" s="90"/>
      <c r="F567" s="90"/>
      <c r="G567" s="90"/>
      <c r="H567" s="81"/>
      <c r="I567" s="81"/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1"/>
      <c r="W567" s="81"/>
      <c r="X567" s="81"/>
      <c r="Y567" s="81"/>
      <c r="Z567" s="81"/>
      <c r="AA567" s="81"/>
      <c r="AB567" s="88"/>
      <c r="AD567" s="20" t="s">
        <v>2380</v>
      </c>
      <c r="AE567" s="10" t="s">
        <v>377</v>
      </c>
      <c r="AF567" s="84" t="s">
        <v>2408</v>
      </c>
      <c r="AG567" s="10"/>
      <c r="AH567" s="22" t="str">
        <f>CONCATENATE(AD567,"_",AF567)</f>
        <v>Ayacucho_12 La Convención</v>
      </c>
      <c r="AI567" s="10" t="s">
        <v>2434</v>
      </c>
      <c r="AJ567" s="84" t="s">
        <v>979</v>
      </c>
      <c r="AK567" s="22" t="str">
        <f>CONCATENATE(AH567,"_",AJ567)</f>
        <v>Ayacucho_12 La Convención_10 Pichari</v>
      </c>
      <c r="AL567" s="25">
        <v>2</v>
      </c>
      <c r="AM567" s="25">
        <v>31</v>
      </c>
      <c r="AN567" s="26">
        <f>Tabla2[[#This Row],[Minutos]]/60</f>
        <v>0.51666666666666672</v>
      </c>
      <c r="AO567" s="27">
        <f>SUM(Tabla2[[#This Row],[Horas]],Tabla2[[#This Row],[Minutos a Horas]])</f>
        <v>2.5166666666666666</v>
      </c>
      <c r="AP567" s="49">
        <v>6</v>
      </c>
      <c r="AQ567" s="49">
        <v>0</v>
      </c>
      <c r="AR567" s="26">
        <f>Tabla2[[#This Row],[Minutos*]]/60</f>
        <v>0</v>
      </c>
      <c r="AS567" s="27">
        <f>SUM(Tabla2[[#This Row],[Horas*]],Tabla2[[#This Row],[Minutos a Horas*]])+(Tabla2[[#This Row],[Tiempo Total a Nivel Proncincial (Horas)]])</f>
        <v>8.5166666666666657</v>
      </c>
    </row>
    <row r="568" spans="2:45" x14ac:dyDescent="0.25">
      <c r="B568" s="90"/>
      <c r="C568" s="90"/>
      <c r="D568" s="90"/>
      <c r="E568" s="90"/>
      <c r="F568" s="90"/>
      <c r="G568" s="90"/>
      <c r="H568" s="81"/>
      <c r="I568" s="81"/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1"/>
      <c r="W568" s="81"/>
      <c r="X568" s="81"/>
      <c r="Y568" s="81"/>
      <c r="Z568" s="81"/>
      <c r="AA568" s="81"/>
      <c r="AB568" s="88"/>
      <c r="AD568" s="20" t="s">
        <v>2380</v>
      </c>
      <c r="AE568" s="10" t="s">
        <v>377</v>
      </c>
      <c r="AF568" s="84" t="s">
        <v>1389</v>
      </c>
      <c r="AG568" s="10"/>
      <c r="AH568" s="22" t="str">
        <f>CONCATENATE(AD568,"_",AF568)</f>
        <v>Ayacucho_01 Satipo</v>
      </c>
      <c r="AI568" s="10" t="s">
        <v>2443</v>
      </c>
      <c r="AJ568" s="84" t="s">
        <v>2442</v>
      </c>
      <c r="AK568" s="22" t="str">
        <f>CONCATENATE(AH568,"_",AJ568)</f>
        <v>Ayacucho_01 Satipo_01 Pangoa</v>
      </c>
      <c r="AL568" s="25">
        <v>2</v>
      </c>
      <c r="AM568" s="25">
        <v>31</v>
      </c>
      <c r="AN568" s="26">
        <f>Tabla2[[#This Row],[Minutos]]/60</f>
        <v>0.51666666666666672</v>
      </c>
      <c r="AO568" s="27">
        <f>SUM(Tabla2[[#This Row],[Horas]],Tabla2[[#This Row],[Minutos a Horas]])</f>
        <v>2.5166666666666666</v>
      </c>
      <c r="AP568" s="49">
        <v>9</v>
      </c>
      <c r="AQ568" s="49">
        <v>20</v>
      </c>
      <c r="AR568" s="26">
        <f>Tabla2[[#This Row],[Minutos*]]/60</f>
        <v>0.33333333333333331</v>
      </c>
      <c r="AS568" s="27">
        <f>SUM(Tabla2[[#This Row],[Horas*]],Tabla2[[#This Row],[Minutos a Horas*]])+(Tabla2[[#This Row],[Tiempo Total a Nivel Proncincial (Horas)]])</f>
        <v>11.850000000000001</v>
      </c>
    </row>
    <row r="569" spans="2:45" x14ac:dyDescent="0.25">
      <c r="B569" s="90"/>
      <c r="C569" s="90"/>
      <c r="D569" s="90"/>
      <c r="E569" s="90"/>
      <c r="F569" s="90"/>
      <c r="G569" s="90"/>
      <c r="H569" s="81"/>
      <c r="I569" s="81"/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1"/>
      <c r="W569" s="81"/>
      <c r="X569" s="81"/>
      <c r="Y569" s="81"/>
      <c r="Z569" s="81"/>
      <c r="AA569" s="81"/>
      <c r="AB569" s="88"/>
      <c r="AD569" s="20" t="s">
        <v>2381</v>
      </c>
      <c r="AE569" s="10" t="s">
        <v>378</v>
      </c>
      <c r="AF569" s="20" t="s">
        <v>748</v>
      </c>
      <c r="AG569" s="10" t="s">
        <v>748</v>
      </c>
      <c r="AH569" s="22" t="str">
        <f t="shared" si="16"/>
        <v>Cajamarca_01 Cajamarca</v>
      </c>
      <c r="AI569" s="10" t="s">
        <v>885</v>
      </c>
      <c r="AJ569" s="20" t="s">
        <v>748</v>
      </c>
      <c r="AK569" s="22" t="str">
        <f t="shared" si="17"/>
        <v>Cajamarca_01 Cajamarca_01 Cajamarca</v>
      </c>
      <c r="AL569" s="25">
        <v>2</v>
      </c>
      <c r="AM569" s="25">
        <v>1</v>
      </c>
      <c r="AN569" s="26">
        <f>Tabla2[[#This Row],[Minutos]]/60</f>
        <v>1.6666666666666666E-2</v>
      </c>
      <c r="AO569" s="27">
        <f>SUM(Tabla2[[#This Row],[Horas]],Tabla2[[#This Row],[Minutos a Horas]])</f>
        <v>2.0166666666666666</v>
      </c>
      <c r="AP569" s="49"/>
      <c r="AQ569" s="49"/>
      <c r="AR569" s="26">
        <f>Tabla2[[#This Row],[Minutos*]]/60</f>
        <v>0</v>
      </c>
      <c r="AS569" s="27">
        <f>SUM(Tabla2[[#This Row],[Horas*]],Tabla2[[#This Row],[Minutos a Horas*]])+(Tabla2[[#This Row],[Tiempo Total a Nivel Proncincial (Horas)]])</f>
        <v>2.0166666666666666</v>
      </c>
    </row>
    <row r="570" spans="2:45" x14ac:dyDescent="0.25">
      <c r="B570" s="90"/>
      <c r="C570" s="90"/>
      <c r="D570" s="90"/>
      <c r="E570" s="90"/>
      <c r="F570" s="90"/>
      <c r="G570" s="90"/>
      <c r="H570" s="81"/>
      <c r="I570" s="81"/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1"/>
      <c r="W570" s="81"/>
      <c r="X570" s="81"/>
      <c r="Y570" s="81"/>
      <c r="Z570" s="81"/>
      <c r="AA570" s="81"/>
      <c r="AB570" s="88"/>
      <c r="AD570" s="20" t="s">
        <v>2381</v>
      </c>
      <c r="AE570" s="10" t="s">
        <v>378</v>
      </c>
      <c r="AF570" s="20" t="s">
        <v>748</v>
      </c>
      <c r="AG570" s="10" t="s">
        <v>749</v>
      </c>
      <c r="AH570" s="22" t="str">
        <f t="shared" si="16"/>
        <v>Cajamarca_01 Cajamarca</v>
      </c>
      <c r="AI570" s="10" t="s">
        <v>885</v>
      </c>
      <c r="AJ570" s="20" t="s">
        <v>73</v>
      </c>
      <c r="AK570" s="22" t="str">
        <f t="shared" si="17"/>
        <v>Cajamarca_01 Cajamarca_02 Asunción</v>
      </c>
      <c r="AL570" s="25">
        <v>2</v>
      </c>
      <c r="AM570" s="25">
        <v>1</v>
      </c>
      <c r="AN570" s="26">
        <f>Tabla2[[#This Row],[Minutos]]/60</f>
        <v>1.6666666666666666E-2</v>
      </c>
      <c r="AO570" s="27">
        <f>SUM(Tabla2[[#This Row],[Horas]],Tabla2[[#This Row],[Minutos a Horas]])</f>
        <v>2.0166666666666666</v>
      </c>
      <c r="AP570" s="49">
        <v>0</v>
      </c>
      <c r="AQ570" s="49">
        <v>40</v>
      </c>
      <c r="AR570" s="26">
        <f>Tabla2[[#This Row],[Minutos*]]/60</f>
        <v>0.66666666666666663</v>
      </c>
      <c r="AS570" s="27">
        <f>SUM(Tabla2[[#This Row],[Horas*]],Tabla2[[#This Row],[Minutos a Horas*]])+(Tabla2[[#This Row],[Tiempo Total a Nivel Proncincial (Horas)]])</f>
        <v>2.6833333333333331</v>
      </c>
    </row>
    <row r="571" spans="2:45" x14ac:dyDescent="0.25">
      <c r="B571" s="90"/>
      <c r="C571" s="90"/>
      <c r="D571" s="90"/>
      <c r="E571" s="90"/>
      <c r="F571" s="90"/>
      <c r="G571" s="90"/>
      <c r="H571" s="81"/>
      <c r="I571" s="81"/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1"/>
      <c r="W571" s="81"/>
      <c r="X571" s="81"/>
      <c r="Y571" s="81"/>
      <c r="Z571" s="81"/>
      <c r="AA571" s="81"/>
      <c r="AB571" s="88"/>
      <c r="AD571" s="20" t="s">
        <v>2381</v>
      </c>
      <c r="AE571" s="10" t="s">
        <v>378</v>
      </c>
      <c r="AF571" s="20" t="s">
        <v>748</v>
      </c>
      <c r="AG571" s="10" t="s">
        <v>750</v>
      </c>
      <c r="AH571" s="22" t="str">
        <f t="shared" si="16"/>
        <v>Cajamarca_01 Cajamarca</v>
      </c>
      <c r="AI571" s="10" t="s">
        <v>885</v>
      </c>
      <c r="AJ571" s="20" t="s">
        <v>761</v>
      </c>
      <c r="AK571" s="22" t="str">
        <f t="shared" si="17"/>
        <v>Cajamarca_01 Cajamarca_03 Chetilla</v>
      </c>
      <c r="AL571" s="25">
        <v>2</v>
      </c>
      <c r="AM571" s="25">
        <v>1</v>
      </c>
      <c r="AN571" s="26">
        <f>Tabla2[[#This Row],[Minutos]]/60</f>
        <v>1.6666666666666666E-2</v>
      </c>
      <c r="AO571" s="27">
        <f>SUM(Tabla2[[#This Row],[Horas]],Tabla2[[#This Row],[Minutos a Horas]])</f>
        <v>2.0166666666666666</v>
      </c>
      <c r="AP571" s="49">
        <v>1</v>
      </c>
      <c r="AQ571" s="49">
        <v>0</v>
      </c>
      <c r="AR571" s="26">
        <f>Tabla2[[#This Row],[Minutos*]]/60</f>
        <v>0</v>
      </c>
      <c r="AS571" s="27">
        <f>SUM(Tabla2[[#This Row],[Horas*]],Tabla2[[#This Row],[Minutos a Horas*]])+(Tabla2[[#This Row],[Tiempo Total a Nivel Proncincial (Horas)]])</f>
        <v>3.0166666666666666</v>
      </c>
    </row>
    <row r="572" spans="2:45" x14ac:dyDescent="0.25">
      <c r="B572" s="90"/>
      <c r="C572" s="90"/>
      <c r="D572" s="90"/>
      <c r="E572" s="90"/>
      <c r="F572" s="90"/>
      <c r="G572" s="90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  <c r="AA572" s="81"/>
      <c r="AB572" s="88"/>
      <c r="AD572" s="20" t="s">
        <v>2381</v>
      </c>
      <c r="AE572" s="10" t="s">
        <v>378</v>
      </c>
      <c r="AF572" s="20" t="s">
        <v>748</v>
      </c>
      <c r="AG572" s="10" t="s">
        <v>751</v>
      </c>
      <c r="AH572" s="22" t="str">
        <f t="shared" si="16"/>
        <v>Cajamarca_01 Cajamarca</v>
      </c>
      <c r="AI572" s="10" t="s">
        <v>885</v>
      </c>
      <c r="AJ572" s="20" t="s">
        <v>762</v>
      </c>
      <c r="AK572" s="22" t="str">
        <f t="shared" si="17"/>
        <v>Cajamarca_01 Cajamarca_04 Cospan</v>
      </c>
      <c r="AL572" s="25">
        <v>2</v>
      </c>
      <c r="AM572" s="25">
        <v>1</v>
      </c>
      <c r="AN572" s="26">
        <f>Tabla2[[#This Row],[Minutos]]/60</f>
        <v>1.6666666666666666E-2</v>
      </c>
      <c r="AO572" s="27">
        <f>SUM(Tabla2[[#This Row],[Horas]],Tabla2[[#This Row],[Minutos a Horas]])</f>
        <v>2.0166666666666666</v>
      </c>
      <c r="AP572" s="49">
        <v>5</v>
      </c>
      <c r="AQ572" s="49">
        <v>54</v>
      </c>
      <c r="AR572" s="26">
        <f>Tabla2[[#This Row],[Minutos*]]/60</f>
        <v>0.9</v>
      </c>
      <c r="AS572" s="27">
        <f>SUM(Tabla2[[#This Row],[Horas*]],Tabla2[[#This Row],[Minutos a Horas*]])+(Tabla2[[#This Row],[Tiempo Total a Nivel Proncincial (Horas)]])</f>
        <v>7.916666666666667</v>
      </c>
    </row>
    <row r="573" spans="2:45" x14ac:dyDescent="0.25">
      <c r="B573" s="90"/>
      <c r="C573" s="90"/>
      <c r="D573" s="90"/>
      <c r="E573" s="90"/>
      <c r="F573" s="90"/>
      <c r="G573" s="90"/>
      <c r="H573" s="81"/>
      <c r="I573" s="81"/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1"/>
      <c r="W573" s="81"/>
      <c r="X573" s="81"/>
      <c r="Y573" s="81"/>
      <c r="Z573" s="81"/>
      <c r="AA573" s="81"/>
      <c r="AB573" s="88"/>
      <c r="AD573" s="20" t="s">
        <v>2381</v>
      </c>
      <c r="AE573" s="10" t="s">
        <v>378</v>
      </c>
      <c r="AF573" s="20" t="s">
        <v>748</v>
      </c>
      <c r="AG573" s="10" t="s">
        <v>752</v>
      </c>
      <c r="AH573" s="22" t="str">
        <f t="shared" si="16"/>
        <v>Cajamarca_01 Cajamarca</v>
      </c>
      <c r="AI573" s="10" t="s">
        <v>885</v>
      </c>
      <c r="AJ573" s="20" t="s">
        <v>763</v>
      </c>
      <c r="AK573" s="22" t="str">
        <f t="shared" si="17"/>
        <v>Cajamarca_01 Cajamarca_05 Encañada</v>
      </c>
      <c r="AL573" s="25">
        <v>2</v>
      </c>
      <c r="AM573" s="25">
        <v>1</v>
      </c>
      <c r="AN573" s="26">
        <f>Tabla2[[#This Row],[Minutos]]/60</f>
        <v>1.6666666666666666E-2</v>
      </c>
      <c r="AO573" s="27">
        <f>SUM(Tabla2[[#This Row],[Horas]],Tabla2[[#This Row],[Minutos a Horas]])</f>
        <v>2.0166666666666666</v>
      </c>
      <c r="AP573" s="49">
        <v>0</v>
      </c>
      <c r="AQ573" s="49">
        <v>48</v>
      </c>
      <c r="AR573" s="26">
        <f>Tabla2[[#This Row],[Minutos*]]/60</f>
        <v>0.8</v>
      </c>
      <c r="AS573" s="27">
        <f>SUM(Tabla2[[#This Row],[Horas*]],Tabla2[[#This Row],[Minutos a Horas*]])+(Tabla2[[#This Row],[Tiempo Total a Nivel Proncincial (Horas)]])</f>
        <v>2.8166666666666664</v>
      </c>
    </row>
    <row r="574" spans="2:45" x14ac:dyDescent="0.25">
      <c r="B574" s="90"/>
      <c r="C574" s="90"/>
      <c r="D574" s="90"/>
      <c r="E574" s="90"/>
      <c r="F574" s="90"/>
      <c r="G574" s="90"/>
      <c r="H574" s="81"/>
      <c r="I574" s="81"/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1"/>
      <c r="W574" s="81"/>
      <c r="X574" s="81"/>
      <c r="Y574" s="81"/>
      <c r="Z574" s="81"/>
      <c r="AA574" s="81"/>
      <c r="AB574" s="88"/>
      <c r="AD574" s="20" t="s">
        <v>2381</v>
      </c>
      <c r="AE574" s="10" t="s">
        <v>378</v>
      </c>
      <c r="AF574" s="20" t="s">
        <v>748</v>
      </c>
      <c r="AG574" s="10" t="s">
        <v>753</v>
      </c>
      <c r="AH574" s="22" t="str">
        <f t="shared" si="16"/>
        <v>Cajamarca_01 Cajamarca</v>
      </c>
      <c r="AI574" s="10" t="s">
        <v>885</v>
      </c>
      <c r="AJ574" s="20" t="s">
        <v>764</v>
      </c>
      <c r="AK574" s="22" t="str">
        <f t="shared" si="17"/>
        <v>Cajamarca_01 Cajamarca_06 Jesús</v>
      </c>
      <c r="AL574" s="25">
        <v>2</v>
      </c>
      <c r="AM574" s="25">
        <v>1</v>
      </c>
      <c r="AN574" s="26">
        <f>Tabla2[[#This Row],[Minutos]]/60</f>
        <v>1.6666666666666666E-2</v>
      </c>
      <c r="AO574" s="27">
        <f>SUM(Tabla2[[#This Row],[Horas]],Tabla2[[#This Row],[Minutos a Horas]])</f>
        <v>2.0166666666666666</v>
      </c>
      <c r="AP574" s="49">
        <v>0</v>
      </c>
      <c r="AQ574" s="49">
        <v>33</v>
      </c>
      <c r="AR574" s="26">
        <f>Tabla2[[#This Row],[Minutos*]]/60</f>
        <v>0.55000000000000004</v>
      </c>
      <c r="AS574" s="27">
        <f>SUM(Tabla2[[#This Row],[Horas*]],Tabla2[[#This Row],[Minutos a Horas*]])+(Tabla2[[#This Row],[Tiempo Total a Nivel Proncincial (Horas)]])</f>
        <v>2.5666666666666664</v>
      </c>
    </row>
    <row r="575" spans="2:45" x14ac:dyDescent="0.25">
      <c r="B575" s="90"/>
      <c r="C575" s="90"/>
      <c r="D575" s="90"/>
      <c r="E575" s="90"/>
      <c r="F575" s="90"/>
      <c r="G575" s="90"/>
      <c r="H575" s="81"/>
      <c r="I575" s="81"/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1"/>
      <c r="W575" s="81"/>
      <c r="X575" s="81"/>
      <c r="Y575" s="81"/>
      <c r="Z575" s="81"/>
      <c r="AA575" s="81"/>
      <c r="AB575" s="88"/>
      <c r="AD575" s="20" t="s">
        <v>2381</v>
      </c>
      <c r="AE575" s="10" t="s">
        <v>378</v>
      </c>
      <c r="AF575" s="20" t="s">
        <v>748</v>
      </c>
      <c r="AG575" s="10" t="s">
        <v>754</v>
      </c>
      <c r="AH575" s="22" t="str">
        <f t="shared" si="16"/>
        <v>Cajamarca_01 Cajamarca</v>
      </c>
      <c r="AI575" s="10" t="s">
        <v>885</v>
      </c>
      <c r="AJ575" s="20" t="s">
        <v>765</v>
      </c>
      <c r="AK575" s="22" t="str">
        <f t="shared" si="17"/>
        <v>Cajamarca_01 Cajamarca_07 Llacanora</v>
      </c>
      <c r="AL575" s="25">
        <v>2</v>
      </c>
      <c r="AM575" s="25">
        <v>1</v>
      </c>
      <c r="AN575" s="26">
        <f>Tabla2[[#This Row],[Minutos]]/60</f>
        <v>1.6666666666666666E-2</v>
      </c>
      <c r="AO575" s="27">
        <f>SUM(Tabla2[[#This Row],[Horas]],Tabla2[[#This Row],[Minutos a Horas]])</f>
        <v>2.0166666666666666</v>
      </c>
      <c r="AP575" s="49">
        <v>0</v>
      </c>
      <c r="AQ575" s="49">
        <v>24</v>
      </c>
      <c r="AR575" s="26">
        <f>Tabla2[[#This Row],[Minutos*]]/60</f>
        <v>0.4</v>
      </c>
      <c r="AS575" s="27">
        <f>SUM(Tabla2[[#This Row],[Horas*]],Tabla2[[#This Row],[Minutos a Horas*]])+(Tabla2[[#This Row],[Tiempo Total a Nivel Proncincial (Horas)]])</f>
        <v>2.4166666666666665</v>
      </c>
    </row>
    <row r="576" spans="2:45" x14ac:dyDescent="0.25">
      <c r="B576" s="90"/>
      <c r="C576" s="90"/>
      <c r="D576" s="90"/>
      <c r="E576" s="90"/>
      <c r="F576" s="90"/>
      <c r="G576" s="90"/>
      <c r="H576" s="81"/>
      <c r="I576" s="81"/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1"/>
      <c r="W576" s="81"/>
      <c r="X576" s="81"/>
      <c r="Y576" s="81"/>
      <c r="Z576" s="81"/>
      <c r="AA576" s="81"/>
      <c r="AB576" s="88"/>
      <c r="AD576" s="20" t="s">
        <v>2381</v>
      </c>
      <c r="AE576" s="10" t="s">
        <v>378</v>
      </c>
      <c r="AF576" s="20" t="s">
        <v>748</v>
      </c>
      <c r="AG576" s="10" t="s">
        <v>755</v>
      </c>
      <c r="AH576" s="22" t="str">
        <f t="shared" si="16"/>
        <v>Cajamarca_01 Cajamarca</v>
      </c>
      <c r="AI576" s="10" t="s">
        <v>885</v>
      </c>
      <c r="AJ576" s="20" t="s">
        <v>766</v>
      </c>
      <c r="AK576" s="22" t="str">
        <f t="shared" si="17"/>
        <v>Cajamarca_01 Cajamarca_08 Los Baños del Inca</v>
      </c>
      <c r="AL576" s="25">
        <v>2</v>
      </c>
      <c r="AM576" s="25">
        <v>1</v>
      </c>
      <c r="AN576" s="26">
        <f>Tabla2[[#This Row],[Minutos]]/60</f>
        <v>1.6666666666666666E-2</v>
      </c>
      <c r="AO576" s="27">
        <f>SUM(Tabla2[[#This Row],[Horas]],Tabla2[[#This Row],[Minutos a Horas]])</f>
        <v>2.0166666666666666</v>
      </c>
      <c r="AP576" s="49">
        <v>0</v>
      </c>
      <c r="AQ576" s="49">
        <v>16</v>
      </c>
      <c r="AR576" s="26">
        <f>Tabla2[[#This Row],[Minutos*]]/60</f>
        <v>0.26666666666666666</v>
      </c>
      <c r="AS576" s="27">
        <f>SUM(Tabla2[[#This Row],[Horas*]],Tabla2[[#This Row],[Minutos a Horas*]])+(Tabla2[[#This Row],[Tiempo Total a Nivel Proncincial (Horas)]])</f>
        <v>2.2833333333333332</v>
      </c>
    </row>
    <row r="577" spans="2:45" x14ac:dyDescent="0.25">
      <c r="B577" s="90"/>
      <c r="C577" s="90"/>
      <c r="D577" s="90"/>
      <c r="E577" s="90"/>
      <c r="F577" s="90"/>
      <c r="G577" s="90"/>
      <c r="H577" s="81"/>
      <c r="I577" s="81"/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1"/>
      <c r="W577" s="81"/>
      <c r="X577" s="81"/>
      <c r="Y577" s="81"/>
      <c r="Z577" s="81"/>
      <c r="AA577" s="81"/>
      <c r="AB577" s="88"/>
      <c r="AD577" s="20" t="s">
        <v>2381</v>
      </c>
      <c r="AE577" s="10" t="s">
        <v>378</v>
      </c>
      <c r="AF577" s="20" t="s">
        <v>748</v>
      </c>
      <c r="AG577" s="10" t="s">
        <v>756</v>
      </c>
      <c r="AH577" s="22" t="str">
        <f t="shared" si="16"/>
        <v>Cajamarca_01 Cajamarca</v>
      </c>
      <c r="AI577" s="10" t="s">
        <v>885</v>
      </c>
      <c r="AJ577" s="20" t="s">
        <v>767</v>
      </c>
      <c r="AK577" s="22" t="str">
        <f t="shared" si="17"/>
        <v>Cajamarca_01 Cajamarca_09 Magdalena</v>
      </c>
      <c r="AL577" s="25">
        <v>2</v>
      </c>
      <c r="AM577" s="25">
        <v>1</v>
      </c>
      <c r="AN577" s="26">
        <f>Tabla2[[#This Row],[Minutos]]/60</f>
        <v>1.6666666666666666E-2</v>
      </c>
      <c r="AO577" s="27">
        <f>SUM(Tabla2[[#This Row],[Horas]],Tabla2[[#This Row],[Minutos a Horas]])</f>
        <v>2.0166666666666666</v>
      </c>
      <c r="AP577" s="49">
        <v>1</v>
      </c>
      <c r="AQ577" s="49">
        <v>24</v>
      </c>
      <c r="AR577" s="26">
        <f>Tabla2[[#This Row],[Minutos*]]/60</f>
        <v>0.4</v>
      </c>
      <c r="AS577" s="27">
        <f>SUM(Tabla2[[#This Row],[Horas*]],Tabla2[[#This Row],[Minutos a Horas*]])+(Tabla2[[#This Row],[Tiempo Total a Nivel Proncincial (Horas)]])</f>
        <v>3.4166666666666665</v>
      </c>
    </row>
    <row r="578" spans="2:45" x14ac:dyDescent="0.25">
      <c r="B578" s="90"/>
      <c r="C578" s="90"/>
      <c r="D578" s="90"/>
      <c r="E578" s="90"/>
      <c r="F578" s="90"/>
      <c r="G578" s="90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8"/>
      <c r="AD578" s="20" t="s">
        <v>2381</v>
      </c>
      <c r="AE578" s="10" t="s">
        <v>378</v>
      </c>
      <c r="AF578" s="20" t="s">
        <v>748</v>
      </c>
      <c r="AG578" s="10" t="s">
        <v>757</v>
      </c>
      <c r="AH578" s="22" t="str">
        <f t="shared" si="16"/>
        <v>Cajamarca_01 Cajamarca</v>
      </c>
      <c r="AI578" s="10" t="s">
        <v>885</v>
      </c>
      <c r="AJ578" s="20" t="s">
        <v>768</v>
      </c>
      <c r="AK578" s="22" t="str">
        <f t="shared" si="17"/>
        <v>Cajamarca_01 Cajamarca_10 Matara</v>
      </c>
      <c r="AL578" s="25">
        <v>2</v>
      </c>
      <c r="AM578" s="25">
        <v>1</v>
      </c>
      <c r="AN578" s="26">
        <f>Tabla2[[#This Row],[Minutos]]/60</f>
        <v>1.6666666666666666E-2</v>
      </c>
      <c r="AO578" s="27">
        <f>SUM(Tabla2[[#This Row],[Horas]],Tabla2[[#This Row],[Minutos a Horas]])</f>
        <v>2.0166666666666666</v>
      </c>
      <c r="AP578" s="49">
        <v>1</v>
      </c>
      <c r="AQ578" s="49">
        <v>9</v>
      </c>
      <c r="AR578" s="26">
        <f>Tabla2[[#This Row],[Minutos*]]/60</f>
        <v>0.15</v>
      </c>
      <c r="AS578" s="27">
        <f>SUM(Tabla2[[#This Row],[Horas*]],Tabla2[[#This Row],[Minutos a Horas*]])+(Tabla2[[#This Row],[Tiempo Total a Nivel Proncincial (Horas)]])</f>
        <v>3.1666666666666665</v>
      </c>
    </row>
    <row r="579" spans="2:45" x14ac:dyDescent="0.25">
      <c r="B579" s="90"/>
      <c r="C579" s="90"/>
      <c r="D579" s="90"/>
      <c r="E579" s="90"/>
      <c r="F579" s="90"/>
      <c r="G579" s="90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8"/>
      <c r="AD579" s="20" t="s">
        <v>2381</v>
      </c>
      <c r="AE579" s="10" t="s">
        <v>378</v>
      </c>
      <c r="AF579" s="20" t="s">
        <v>748</v>
      </c>
      <c r="AG579" s="10" t="s">
        <v>758</v>
      </c>
      <c r="AH579" s="22" t="str">
        <f t="shared" si="16"/>
        <v>Cajamarca_01 Cajamarca</v>
      </c>
      <c r="AI579" s="10" t="s">
        <v>885</v>
      </c>
      <c r="AJ579" s="20" t="s">
        <v>769</v>
      </c>
      <c r="AK579" s="22" t="str">
        <f t="shared" si="17"/>
        <v>Cajamarca_01 Cajamarca_11 Namora</v>
      </c>
      <c r="AL579" s="25">
        <v>2</v>
      </c>
      <c r="AM579" s="25">
        <v>1</v>
      </c>
      <c r="AN579" s="26">
        <f>Tabla2[[#This Row],[Minutos]]/60</f>
        <v>1.6666666666666666E-2</v>
      </c>
      <c r="AO579" s="27">
        <f>SUM(Tabla2[[#This Row],[Horas]],Tabla2[[#This Row],[Minutos a Horas]])</f>
        <v>2.0166666666666666</v>
      </c>
      <c r="AP579" s="49">
        <v>0</v>
      </c>
      <c r="AQ579" s="49">
        <v>44</v>
      </c>
      <c r="AR579" s="26">
        <f>Tabla2[[#This Row],[Minutos*]]/60</f>
        <v>0.73333333333333328</v>
      </c>
      <c r="AS579" s="27">
        <f>SUM(Tabla2[[#This Row],[Horas*]],Tabla2[[#This Row],[Minutos a Horas*]])+(Tabla2[[#This Row],[Tiempo Total a Nivel Proncincial (Horas)]])</f>
        <v>2.75</v>
      </c>
    </row>
    <row r="580" spans="2:45" x14ac:dyDescent="0.25">
      <c r="B580" s="90"/>
      <c r="C580" s="90"/>
      <c r="D580" s="90"/>
      <c r="E580" s="90"/>
      <c r="F580" s="90"/>
      <c r="G580" s="90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8"/>
      <c r="AD580" s="20" t="s">
        <v>2381</v>
      </c>
      <c r="AE580" s="10" t="s">
        <v>378</v>
      </c>
      <c r="AF580" s="20" t="s">
        <v>748</v>
      </c>
      <c r="AG580" s="10" t="s">
        <v>759</v>
      </c>
      <c r="AH580" s="22" t="str">
        <f t="shared" si="16"/>
        <v>Cajamarca_01 Cajamarca</v>
      </c>
      <c r="AI580" s="10" t="s">
        <v>885</v>
      </c>
      <c r="AJ580" s="20" t="s">
        <v>770</v>
      </c>
      <c r="AK580" s="22" t="str">
        <f t="shared" si="17"/>
        <v>Cajamarca_01 Cajamarca_12 San Juan</v>
      </c>
      <c r="AL580" s="25">
        <v>2</v>
      </c>
      <c r="AM580" s="25">
        <v>1</v>
      </c>
      <c r="AN580" s="26">
        <f>Tabla2[[#This Row],[Minutos]]/60</f>
        <v>1.6666666666666666E-2</v>
      </c>
      <c r="AO580" s="27">
        <f>SUM(Tabla2[[#This Row],[Horas]],Tabla2[[#This Row],[Minutos a Horas]])</f>
        <v>2.0166666666666666</v>
      </c>
      <c r="AP580" s="49">
        <v>1</v>
      </c>
      <c r="AQ580" s="49">
        <v>3</v>
      </c>
      <c r="AR580" s="26">
        <f>Tabla2[[#This Row],[Minutos*]]/60</f>
        <v>0.05</v>
      </c>
      <c r="AS580" s="27">
        <f>SUM(Tabla2[[#This Row],[Horas*]],Tabla2[[#This Row],[Minutos a Horas*]])+(Tabla2[[#This Row],[Tiempo Total a Nivel Proncincial (Horas)]])</f>
        <v>3.0666666666666664</v>
      </c>
    </row>
    <row r="581" spans="2:45" x14ac:dyDescent="0.25">
      <c r="B581" s="90"/>
      <c r="C581" s="90"/>
      <c r="D581" s="90"/>
      <c r="E581" s="90"/>
      <c r="F581" s="90"/>
      <c r="G581" s="90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8"/>
      <c r="AD581" s="20" t="s">
        <v>2381</v>
      </c>
      <c r="AE581" s="10" t="s">
        <v>378</v>
      </c>
      <c r="AF581" s="20" t="s">
        <v>749</v>
      </c>
      <c r="AG581" s="10" t="s">
        <v>760</v>
      </c>
      <c r="AH581" s="22" t="str">
        <f t="shared" si="16"/>
        <v>Cajamarca_02 Cajabamba</v>
      </c>
      <c r="AI581" s="10" t="s">
        <v>885</v>
      </c>
      <c r="AJ581" s="20" t="s">
        <v>771</v>
      </c>
      <c r="AK581" s="22" t="str">
        <f t="shared" si="17"/>
        <v>Cajamarca_02 Cajabamba_01 Cajabamba</v>
      </c>
      <c r="AL581" s="25">
        <v>2</v>
      </c>
      <c r="AM581" s="25">
        <v>55</v>
      </c>
      <c r="AN581" s="26">
        <f>Tabla2[[#This Row],[Minutos]]/60</f>
        <v>0.91666666666666663</v>
      </c>
      <c r="AO581" s="27">
        <f>SUM(Tabla2[[#This Row],[Horas]],Tabla2[[#This Row],[Minutos a Horas]])</f>
        <v>2.9166666666666665</v>
      </c>
      <c r="AP581" s="49">
        <v>3</v>
      </c>
      <c r="AQ581" s="49">
        <v>6</v>
      </c>
      <c r="AR581" s="26">
        <f>Tabla2[[#This Row],[Minutos*]]/60</f>
        <v>0.1</v>
      </c>
      <c r="AS581" s="27">
        <f>SUM(Tabla2[[#This Row],[Horas*]],Tabla2[[#This Row],[Minutos a Horas*]])+(Tabla2[[#This Row],[Tiempo Total a Nivel Proncincial (Horas)]])</f>
        <v>6.0166666666666666</v>
      </c>
    </row>
    <row r="582" spans="2:45" x14ac:dyDescent="0.25">
      <c r="B582" s="90"/>
      <c r="C582" s="90"/>
      <c r="D582" s="90"/>
      <c r="E582" s="90"/>
      <c r="F582" s="90"/>
      <c r="G582" s="90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8"/>
      <c r="AD582" s="20" t="s">
        <v>2381</v>
      </c>
      <c r="AE582" s="10" t="s">
        <v>378</v>
      </c>
      <c r="AF582" s="20" t="s">
        <v>749</v>
      </c>
      <c r="AG582" s="10"/>
      <c r="AH582" s="22" t="str">
        <f t="shared" si="16"/>
        <v>Cajamarca_02 Cajabamba</v>
      </c>
      <c r="AI582" s="10" t="s">
        <v>885</v>
      </c>
      <c r="AJ582" s="20" t="s">
        <v>772</v>
      </c>
      <c r="AK582" s="22" t="str">
        <f t="shared" si="17"/>
        <v>Cajamarca_02 Cajabamba_02 Cachachi</v>
      </c>
      <c r="AL582" s="25">
        <v>2</v>
      </c>
      <c r="AM582" s="25">
        <v>55</v>
      </c>
      <c r="AN582" s="26">
        <f>Tabla2[[#This Row],[Minutos]]/60</f>
        <v>0.91666666666666663</v>
      </c>
      <c r="AO582" s="27">
        <f>SUM(Tabla2[[#This Row],[Horas]],Tabla2[[#This Row],[Minutos a Horas]])</f>
        <v>2.9166666666666665</v>
      </c>
      <c r="AP582" s="49">
        <v>3</v>
      </c>
      <c r="AQ582" s="49">
        <v>2</v>
      </c>
      <c r="AR582" s="26">
        <f>Tabla2[[#This Row],[Minutos*]]/60</f>
        <v>3.3333333333333333E-2</v>
      </c>
      <c r="AS582" s="27">
        <f>SUM(Tabla2[[#This Row],[Horas*]],Tabla2[[#This Row],[Minutos a Horas*]])+(Tabla2[[#This Row],[Tiempo Total a Nivel Proncincial (Horas)]])</f>
        <v>5.9499999999999993</v>
      </c>
    </row>
    <row r="583" spans="2:45" x14ac:dyDescent="0.25">
      <c r="B583" s="90"/>
      <c r="C583" s="90"/>
      <c r="D583" s="90"/>
      <c r="E583" s="90"/>
      <c r="F583" s="90"/>
      <c r="G583" s="90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8"/>
      <c r="AD583" s="20" t="s">
        <v>2381</v>
      </c>
      <c r="AE583" s="10" t="s">
        <v>378</v>
      </c>
      <c r="AF583" s="20" t="s">
        <v>749</v>
      </c>
      <c r="AG583" s="10"/>
      <c r="AH583" s="22" t="str">
        <f t="shared" si="16"/>
        <v>Cajamarca_02 Cajabamba</v>
      </c>
      <c r="AI583" s="10" t="s">
        <v>885</v>
      </c>
      <c r="AJ583" s="20" t="s">
        <v>773</v>
      </c>
      <c r="AK583" s="22" t="str">
        <f t="shared" si="17"/>
        <v>Cajamarca_02 Cajabamba_03 Condebamba</v>
      </c>
      <c r="AL583" s="25">
        <v>2</v>
      </c>
      <c r="AM583" s="25">
        <v>55</v>
      </c>
      <c r="AN583" s="26">
        <f>Tabla2[[#This Row],[Minutos]]/60</f>
        <v>0.91666666666666663</v>
      </c>
      <c r="AO583" s="27">
        <f>SUM(Tabla2[[#This Row],[Horas]],Tabla2[[#This Row],[Minutos a Horas]])</f>
        <v>2.9166666666666665</v>
      </c>
      <c r="AP583" s="49">
        <v>3</v>
      </c>
      <c r="AQ583" s="49">
        <v>2</v>
      </c>
      <c r="AR583" s="26">
        <f>Tabla2[[#This Row],[Minutos*]]/60</f>
        <v>3.3333333333333333E-2</v>
      </c>
      <c r="AS583" s="27">
        <f>SUM(Tabla2[[#This Row],[Horas*]],Tabla2[[#This Row],[Minutos a Horas*]])+(Tabla2[[#This Row],[Tiempo Total a Nivel Proncincial (Horas)]])</f>
        <v>5.9499999999999993</v>
      </c>
    </row>
    <row r="584" spans="2:45" x14ac:dyDescent="0.25">
      <c r="B584" s="90"/>
      <c r="C584" s="90"/>
      <c r="D584" s="90"/>
      <c r="E584" s="90"/>
      <c r="F584" s="90"/>
      <c r="G584" s="90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8"/>
      <c r="AD584" s="20" t="s">
        <v>2381</v>
      </c>
      <c r="AE584" s="10" t="s">
        <v>378</v>
      </c>
      <c r="AF584" s="20" t="s">
        <v>749</v>
      </c>
      <c r="AG584" s="10"/>
      <c r="AH584" s="22" t="str">
        <f t="shared" si="16"/>
        <v>Cajamarca_02 Cajabamba</v>
      </c>
      <c r="AI584" s="10" t="s">
        <v>885</v>
      </c>
      <c r="AJ584" s="20" t="s">
        <v>774</v>
      </c>
      <c r="AK584" s="22" t="str">
        <f t="shared" si="17"/>
        <v>Cajamarca_02 Cajabamba_04 Sitacocha</v>
      </c>
      <c r="AL584" s="25">
        <v>2</v>
      </c>
      <c r="AM584" s="25">
        <v>55</v>
      </c>
      <c r="AN584" s="26">
        <f>Tabla2[[#This Row],[Minutos]]/60</f>
        <v>0.91666666666666663</v>
      </c>
      <c r="AO584" s="27">
        <f>SUM(Tabla2[[#This Row],[Horas]],Tabla2[[#This Row],[Minutos a Horas]])</f>
        <v>2.9166666666666665</v>
      </c>
      <c r="AP584" s="49">
        <v>3</v>
      </c>
      <c r="AQ584" s="49">
        <v>45</v>
      </c>
      <c r="AR584" s="26">
        <f>Tabla2[[#This Row],[Minutos*]]/60</f>
        <v>0.75</v>
      </c>
      <c r="AS584" s="27">
        <f>SUM(Tabla2[[#This Row],[Horas*]],Tabla2[[#This Row],[Minutos a Horas*]])+(Tabla2[[#This Row],[Tiempo Total a Nivel Proncincial (Horas)]])</f>
        <v>6.6666666666666661</v>
      </c>
    </row>
    <row r="585" spans="2:45" x14ac:dyDescent="0.25">
      <c r="B585" s="90"/>
      <c r="C585" s="90"/>
      <c r="D585" s="90"/>
      <c r="E585" s="90"/>
      <c r="F585" s="90"/>
      <c r="G585" s="90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8"/>
      <c r="AD585" s="20" t="s">
        <v>2381</v>
      </c>
      <c r="AE585" s="10" t="s">
        <v>378</v>
      </c>
      <c r="AF585" s="20" t="s">
        <v>750</v>
      </c>
      <c r="AG585" s="10"/>
      <c r="AH585" s="22" t="str">
        <f t="shared" si="16"/>
        <v>Cajamarca_03 Celendín</v>
      </c>
      <c r="AI585" s="10" t="s">
        <v>886</v>
      </c>
      <c r="AJ585" s="20" t="s">
        <v>775</v>
      </c>
      <c r="AK585" s="22" t="str">
        <f t="shared" si="17"/>
        <v>Cajamarca_03 Celendín_01 Celendín</v>
      </c>
      <c r="AL585" s="25">
        <v>2</v>
      </c>
      <c r="AM585" s="25">
        <v>18</v>
      </c>
      <c r="AN585" s="26">
        <f>Tabla2[[#This Row],[Minutos]]/60</f>
        <v>0.3</v>
      </c>
      <c r="AO585" s="27">
        <f>SUM(Tabla2[[#This Row],[Horas]],Tabla2[[#This Row],[Minutos a Horas]])</f>
        <v>2.2999999999999998</v>
      </c>
      <c r="AP585" s="49">
        <v>2</v>
      </c>
      <c r="AQ585" s="49">
        <v>8</v>
      </c>
      <c r="AR585" s="26">
        <f>Tabla2[[#This Row],[Minutos*]]/60</f>
        <v>0.13333333333333333</v>
      </c>
      <c r="AS585" s="27">
        <f>SUM(Tabla2[[#This Row],[Horas*]],Tabla2[[#This Row],[Minutos a Horas*]])+(Tabla2[[#This Row],[Tiempo Total a Nivel Proncincial (Horas)]])</f>
        <v>4.4333333333333336</v>
      </c>
    </row>
    <row r="586" spans="2:45" x14ac:dyDescent="0.25">
      <c r="B586" s="90"/>
      <c r="C586" s="90"/>
      <c r="D586" s="90"/>
      <c r="E586" s="90"/>
      <c r="F586" s="90"/>
      <c r="G586" s="90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8"/>
      <c r="AD586" s="20" t="s">
        <v>2381</v>
      </c>
      <c r="AE586" s="10" t="s">
        <v>378</v>
      </c>
      <c r="AF586" s="20" t="s">
        <v>750</v>
      </c>
      <c r="AG586" s="10"/>
      <c r="AH586" s="22" t="str">
        <f t="shared" ref="AH586:AH649" si="18">CONCATENATE(AD586,"_",AF586)</f>
        <v>Cajamarca_03 Celendín</v>
      </c>
      <c r="AI586" s="10" t="s">
        <v>886</v>
      </c>
      <c r="AJ586" s="20" t="s">
        <v>776</v>
      </c>
      <c r="AK586" s="22" t="str">
        <f t="shared" ref="AK586:AK649" si="19">CONCATENATE(AH586,"_",AJ586)</f>
        <v>Cajamarca_03 Celendín_02 Chumuch</v>
      </c>
      <c r="AL586" s="25">
        <v>2</v>
      </c>
      <c r="AM586" s="25">
        <v>18</v>
      </c>
      <c r="AN586" s="26">
        <f>Tabla2[[#This Row],[Minutos]]/60</f>
        <v>0.3</v>
      </c>
      <c r="AO586" s="27">
        <f>SUM(Tabla2[[#This Row],[Horas]],Tabla2[[#This Row],[Minutos a Horas]])</f>
        <v>2.2999999999999998</v>
      </c>
      <c r="AP586" s="49">
        <v>4</v>
      </c>
      <c r="AQ586" s="49">
        <v>38</v>
      </c>
      <c r="AR586" s="26">
        <f>Tabla2[[#This Row],[Minutos*]]/60</f>
        <v>0.6333333333333333</v>
      </c>
      <c r="AS586" s="27">
        <f>SUM(Tabla2[[#This Row],[Horas*]],Tabla2[[#This Row],[Minutos a Horas*]])+(Tabla2[[#This Row],[Tiempo Total a Nivel Proncincial (Horas)]])</f>
        <v>6.9333333333333327</v>
      </c>
    </row>
    <row r="587" spans="2:45" x14ac:dyDescent="0.25">
      <c r="B587" s="90"/>
      <c r="C587" s="90"/>
      <c r="D587" s="90"/>
      <c r="E587" s="90"/>
      <c r="F587" s="90"/>
      <c r="G587" s="90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8"/>
      <c r="AD587" s="20" t="s">
        <v>2381</v>
      </c>
      <c r="AE587" s="10" t="s">
        <v>378</v>
      </c>
      <c r="AF587" s="20" t="s">
        <v>750</v>
      </c>
      <c r="AG587" s="10"/>
      <c r="AH587" s="22" t="str">
        <f t="shared" si="18"/>
        <v>Cajamarca_03 Celendín</v>
      </c>
      <c r="AI587" s="10" t="s">
        <v>886</v>
      </c>
      <c r="AJ587" s="20" t="s">
        <v>777</v>
      </c>
      <c r="AK587" s="22" t="str">
        <f t="shared" si="19"/>
        <v>Cajamarca_03 Celendín_03 Cortegana</v>
      </c>
      <c r="AL587" s="25">
        <v>2</v>
      </c>
      <c r="AM587" s="25">
        <v>18</v>
      </c>
      <c r="AN587" s="26">
        <f>Tabla2[[#This Row],[Minutos]]/60</f>
        <v>0.3</v>
      </c>
      <c r="AO587" s="27">
        <f>SUM(Tabla2[[#This Row],[Horas]],Tabla2[[#This Row],[Minutos a Horas]])</f>
        <v>2.2999999999999998</v>
      </c>
      <c r="AP587" s="49">
        <v>6</v>
      </c>
      <c r="AQ587" s="49">
        <v>0</v>
      </c>
      <c r="AR587" s="26">
        <f>Tabla2[[#This Row],[Minutos*]]/60</f>
        <v>0</v>
      </c>
      <c r="AS587" s="27">
        <f>SUM(Tabla2[[#This Row],[Horas*]],Tabla2[[#This Row],[Minutos a Horas*]])+(Tabla2[[#This Row],[Tiempo Total a Nivel Proncincial (Horas)]])</f>
        <v>8.3000000000000007</v>
      </c>
    </row>
    <row r="588" spans="2:45" x14ac:dyDescent="0.25">
      <c r="B588" s="90"/>
      <c r="C588" s="90"/>
      <c r="D588" s="90"/>
      <c r="E588" s="90"/>
      <c r="F588" s="90"/>
      <c r="G588" s="90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8"/>
      <c r="AD588" s="20" t="s">
        <v>2381</v>
      </c>
      <c r="AE588" s="10" t="s">
        <v>378</v>
      </c>
      <c r="AF588" s="20" t="s">
        <v>750</v>
      </c>
      <c r="AG588" s="10"/>
      <c r="AH588" s="22" t="str">
        <f t="shared" si="18"/>
        <v>Cajamarca_03 Celendín</v>
      </c>
      <c r="AI588" s="10" t="s">
        <v>886</v>
      </c>
      <c r="AJ588" s="20" t="s">
        <v>778</v>
      </c>
      <c r="AK588" s="22" t="str">
        <f t="shared" si="19"/>
        <v>Cajamarca_03 Celendín_04 Huasmin</v>
      </c>
      <c r="AL588" s="25">
        <v>2</v>
      </c>
      <c r="AM588" s="25">
        <v>18</v>
      </c>
      <c r="AN588" s="26">
        <f>Tabla2[[#This Row],[Minutos]]/60</f>
        <v>0.3</v>
      </c>
      <c r="AO588" s="27">
        <f>SUM(Tabla2[[#This Row],[Horas]],Tabla2[[#This Row],[Minutos a Horas]])</f>
        <v>2.2999999999999998</v>
      </c>
      <c r="AP588" s="49">
        <v>2</v>
      </c>
      <c r="AQ588" s="49">
        <v>43</v>
      </c>
      <c r="AR588" s="26">
        <f>Tabla2[[#This Row],[Minutos*]]/60</f>
        <v>0.71666666666666667</v>
      </c>
      <c r="AS588" s="27">
        <f>SUM(Tabla2[[#This Row],[Horas*]],Tabla2[[#This Row],[Minutos a Horas*]])+(Tabla2[[#This Row],[Tiempo Total a Nivel Proncincial (Horas)]])</f>
        <v>5.0166666666666666</v>
      </c>
    </row>
    <row r="589" spans="2:45" x14ac:dyDescent="0.25">
      <c r="B589" s="90"/>
      <c r="C589" s="90"/>
      <c r="D589" s="90"/>
      <c r="E589" s="90"/>
      <c r="F589" s="90"/>
      <c r="G589" s="90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8"/>
      <c r="AD589" s="20" t="s">
        <v>2381</v>
      </c>
      <c r="AE589" s="10" t="s">
        <v>378</v>
      </c>
      <c r="AF589" s="20" t="s">
        <v>750</v>
      </c>
      <c r="AG589" s="10"/>
      <c r="AH589" s="22" t="str">
        <f t="shared" si="18"/>
        <v>Cajamarca_03 Celendín</v>
      </c>
      <c r="AI589" s="10" t="s">
        <v>886</v>
      </c>
      <c r="AJ589" s="20" t="s">
        <v>779</v>
      </c>
      <c r="AK589" s="22" t="str">
        <f t="shared" si="19"/>
        <v>Cajamarca_03 Celendín_05 Jorge Chávez</v>
      </c>
      <c r="AL589" s="25">
        <v>2</v>
      </c>
      <c r="AM589" s="25">
        <v>18</v>
      </c>
      <c r="AN589" s="26">
        <f>Tabla2[[#This Row],[Minutos]]/60</f>
        <v>0.3</v>
      </c>
      <c r="AO589" s="27">
        <f>SUM(Tabla2[[#This Row],[Horas]],Tabla2[[#This Row],[Minutos a Horas]])</f>
        <v>2.2999999999999998</v>
      </c>
      <c r="AP589" s="49">
        <v>2</v>
      </c>
      <c r="AQ589" s="49">
        <v>9</v>
      </c>
      <c r="AR589" s="26">
        <f>Tabla2[[#This Row],[Minutos*]]/60</f>
        <v>0.15</v>
      </c>
      <c r="AS589" s="27">
        <f>SUM(Tabla2[[#This Row],[Horas*]],Tabla2[[#This Row],[Minutos a Horas*]])+(Tabla2[[#This Row],[Tiempo Total a Nivel Proncincial (Horas)]])</f>
        <v>4.4499999999999993</v>
      </c>
    </row>
    <row r="590" spans="2:45" x14ac:dyDescent="0.25">
      <c r="B590" s="90"/>
      <c r="C590" s="90"/>
      <c r="D590" s="90"/>
      <c r="E590" s="90"/>
      <c r="F590" s="90"/>
      <c r="G590" s="90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8"/>
      <c r="AD590" s="20" t="s">
        <v>2381</v>
      </c>
      <c r="AE590" s="10" t="s">
        <v>378</v>
      </c>
      <c r="AF590" s="20" t="s">
        <v>750</v>
      </c>
      <c r="AG590" s="10"/>
      <c r="AH590" s="22" t="str">
        <f t="shared" si="18"/>
        <v>Cajamarca_03 Celendín</v>
      </c>
      <c r="AI590" s="10" t="s">
        <v>886</v>
      </c>
      <c r="AJ590" s="20" t="s">
        <v>780</v>
      </c>
      <c r="AK590" s="22" t="str">
        <f t="shared" si="19"/>
        <v>Cajamarca_03 Celendín_06 José Gálvez</v>
      </c>
      <c r="AL590" s="25">
        <v>2</v>
      </c>
      <c r="AM590" s="25">
        <v>18</v>
      </c>
      <c r="AN590" s="26">
        <f>Tabla2[[#This Row],[Minutos]]/60</f>
        <v>0.3</v>
      </c>
      <c r="AO590" s="27">
        <f>SUM(Tabla2[[#This Row],[Horas]],Tabla2[[#This Row],[Minutos a Horas]])</f>
        <v>2.2999999999999998</v>
      </c>
      <c r="AP590" s="49">
        <v>2</v>
      </c>
      <c r="AQ590" s="49">
        <v>10</v>
      </c>
      <c r="AR590" s="26">
        <f>Tabla2[[#This Row],[Minutos*]]/60</f>
        <v>0.16666666666666666</v>
      </c>
      <c r="AS590" s="27">
        <f>SUM(Tabla2[[#This Row],[Horas*]],Tabla2[[#This Row],[Minutos a Horas*]])+(Tabla2[[#This Row],[Tiempo Total a Nivel Proncincial (Horas)]])</f>
        <v>4.4666666666666668</v>
      </c>
    </row>
    <row r="591" spans="2:45" x14ac:dyDescent="0.25">
      <c r="B591" s="90"/>
      <c r="C591" s="90"/>
      <c r="D591" s="90"/>
      <c r="E591" s="90"/>
      <c r="F591" s="90"/>
      <c r="G591" s="90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8"/>
      <c r="AD591" s="20" t="s">
        <v>2381</v>
      </c>
      <c r="AE591" s="10" t="s">
        <v>378</v>
      </c>
      <c r="AF591" s="20" t="s">
        <v>750</v>
      </c>
      <c r="AG591" s="10"/>
      <c r="AH591" s="22" t="str">
        <f t="shared" si="18"/>
        <v>Cajamarca_03 Celendín</v>
      </c>
      <c r="AI591" s="10" t="s">
        <v>886</v>
      </c>
      <c r="AJ591" s="20" t="s">
        <v>781</v>
      </c>
      <c r="AK591" s="22" t="str">
        <f t="shared" si="19"/>
        <v>Cajamarca_03 Celendín_07 Miguel Iglesias</v>
      </c>
      <c r="AL591" s="25">
        <v>2</v>
      </c>
      <c r="AM591" s="25">
        <v>18</v>
      </c>
      <c r="AN591" s="26">
        <f>Tabla2[[#This Row],[Minutos]]/60</f>
        <v>0.3</v>
      </c>
      <c r="AO591" s="27">
        <f>SUM(Tabla2[[#This Row],[Horas]],Tabla2[[#This Row],[Minutos a Horas]])</f>
        <v>2.2999999999999998</v>
      </c>
      <c r="AP591" s="49">
        <v>3</v>
      </c>
      <c r="AQ591" s="49">
        <v>39</v>
      </c>
      <c r="AR591" s="26">
        <f>Tabla2[[#This Row],[Minutos*]]/60</f>
        <v>0.65</v>
      </c>
      <c r="AS591" s="27">
        <f>SUM(Tabla2[[#This Row],[Horas*]],Tabla2[[#This Row],[Minutos a Horas*]])+(Tabla2[[#This Row],[Tiempo Total a Nivel Proncincial (Horas)]])</f>
        <v>5.9499999999999993</v>
      </c>
    </row>
    <row r="592" spans="2:45" x14ac:dyDescent="0.25">
      <c r="B592" s="90"/>
      <c r="C592" s="90"/>
      <c r="D592" s="90"/>
      <c r="E592" s="90"/>
      <c r="F592" s="90"/>
      <c r="G592" s="90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8"/>
      <c r="AD592" s="20" t="s">
        <v>2381</v>
      </c>
      <c r="AE592" s="10" t="s">
        <v>378</v>
      </c>
      <c r="AF592" s="20" t="s">
        <v>750</v>
      </c>
      <c r="AG592" s="10"/>
      <c r="AH592" s="22" t="str">
        <f t="shared" si="18"/>
        <v>Cajamarca_03 Celendín</v>
      </c>
      <c r="AI592" s="10" t="s">
        <v>886</v>
      </c>
      <c r="AJ592" s="20" t="s">
        <v>782</v>
      </c>
      <c r="AK592" s="22" t="str">
        <f t="shared" si="19"/>
        <v>Cajamarca_03 Celendín_08 Oxamarca</v>
      </c>
      <c r="AL592" s="25">
        <v>2</v>
      </c>
      <c r="AM592" s="25">
        <v>18</v>
      </c>
      <c r="AN592" s="26">
        <f>Tabla2[[#This Row],[Minutos]]/60</f>
        <v>0.3</v>
      </c>
      <c r="AO592" s="27">
        <f>SUM(Tabla2[[#This Row],[Horas]],Tabla2[[#This Row],[Minutos a Horas]])</f>
        <v>2.2999999999999998</v>
      </c>
      <c r="AP592" s="49">
        <v>3</v>
      </c>
      <c r="AQ592" s="49">
        <v>18</v>
      </c>
      <c r="AR592" s="26">
        <f>Tabla2[[#This Row],[Minutos*]]/60</f>
        <v>0.3</v>
      </c>
      <c r="AS592" s="27">
        <f>SUM(Tabla2[[#This Row],[Horas*]],Tabla2[[#This Row],[Minutos a Horas*]])+(Tabla2[[#This Row],[Tiempo Total a Nivel Proncincial (Horas)]])</f>
        <v>5.6</v>
      </c>
    </row>
    <row r="593" spans="8:45" x14ac:dyDescent="0.25"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8"/>
      <c r="AD593" s="20" t="s">
        <v>2381</v>
      </c>
      <c r="AE593" s="10" t="s">
        <v>378</v>
      </c>
      <c r="AF593" s="20" t="s">
        <v>750</v>
      </c>
      <c r="AG593" s="10"/>
      <c r="AH593" s="22" t="str">
        <f t="shared" si="18"/>
        <v>Cajamarca_03 Celendín</v>
      </c>
      <c r="AI593" s="10" t="s">
        <v>886</v>
      </c>
      <c r="AJ593" s="20" t="s">
        <v>783</v>
      </c>
      <c r="AK593" s="22" t="str">
        <f t="shared" si="19"/>
        <v>Cajamarca_03 Celendín_09 Sorochuco</v>
      </c>
      <c r="AL593" s="25">
        <v>2</v>
      </c>
      <c r="AM593" s="25">
        <v>18</v>
      </c>
      <c r="AN593" s="26">
        <f>Tabla2[[#This Row],[Minutos]]/60</f>
        <v>0.3</v>
      </c>
      <c r="AO593" s="27">
        <f>SUM(Tabla2[[#This Row],[Horas]],Tabla2[[#This Row],[Minutos a Horas]])</f>
        <v>2.2999999999999998</v>
      </c>
      <c r="AP593" s="49">
        <v>2</v>
      </c>
      <c r="AQ593" s="49">
        <v>27</v>
      </c>
      <c r="AR593" s="26">
        <f>Tabla2[[#This Row],[Minutos*]]/60</f>
        <v>0.45</v>
      </c>
      <c r="AS593" s="27">
        <f>SUM(Tabla2[[#This Row],[Horas*]],Tabla2[[#This Row],[Minutos a Horas*]])+(Tabla2[[#This Row],[Tiempo Total a Nivel Proncincial (Horas)]])</f>
        <v>4.75</v>
      </c>
    </row>
    <row r="594" spans="8:45" x14ac:dyDescent="0.25"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8"/>
      <c r="AD594" s="20" t="s">
        <v>2381</v>
      </c>
      <c r="AE594" s="10" t="s">
        <v>378</v>
      </c>
      <c r="AF594" s="20" t="s">
        <v>750</v>
      </c>
      <c r="AG594" s="10"/>
      <c r="AH594" s="22" t="str">
        <f t="shared" si="18"/>
        <v>Cajamarca_03 Celendín</v>
      </c>
      <c r="AI594" s="10" t="s">
        <v>886</v>
      </c>
      <c r="AJ594" s="20" t="s">
        <v>784</v>
      </c>
      <c r="AK594" s="22" t="str">
        <f t="shared" si="19"/>
        <v>Cajamarca_03 Celendín_10 Sucre</v>
      </c>
      <c r="AL594" s="25">
        <v>2</v>
      </c>
      <c r="AM594" s="25">
        <v>18</v>
      </c>
      <c r="AN594" s="26">
        <f>Tabla2[[#This Row],[Minutos]]/60</f>
        <v>0.3</v>
      </c>
      <c r="AO594" s="27">
        <f>SUM(Tabla2[[#This Row],[Horas]],Tabla2[[#This Row],[Minutos a Horas]])</f>
        <v>2.2999999999999998</v>
      </c>
      <c r="AP594" s="49">
        <v>2</v>
      </c>
      <c r="AQ594" s="49">
        <v>14</v>
      </c>
      <c r="AR594" s="26">
        <f>Tabla2[[#This Row],[Minutos*]]/60</f>
        <v>0.23333333333333334</v>
      </c>
      <c r="AS594" s="27">
        <f>SUM(Tabla2[[#This Row],[Horas*]],Tabla2[[#This Row],[Minutos a Horas*]])+(Tabla2[[#This Row],[Tiempo Total a Nivel Proncincial (Horas)]])</f>
        <v>4.5333333333333332</v>
      </c>
    </row>
    <row r="595" spans="8:45" x14ac:dyDescent="0.25"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8"/>
      <c r="AD595" s="20" t="s">
        <v>2381</v>
      </c>
      <c r="AE595" s="10" t="s">
        <v>378</v>
      </c>
      <c r="AF595" s="20" t="s">
        <v>750</v>
      </c>
      <c r="AG595" s="10"/>
      <c r="AH595" s="22" t="str">
        <f t="shared" si="18"/>
        <v>Cajamarca_03 Celendín</v>
      </c>
      <c r="AI595" s="10" t="s">
        <v>886</v>
      </c>
      <c r="AJ595" s="20" t="s">
        <v>785</v>
      </c>
      <c r="AK595" s="22" t="str">
        <f t="shared" si="19"/>
        <v>Cajamarca_03 Celendín_11 Utco</v>
      </c>
      <c r="AL595" s="25">
        <v>2</v>
      </c>
      <c r="AM595" s="25">
        <v>18</v>
      </c>
      <c r="AN595" s="26">
        <f>Tabla2[[#This Row],[Minutos]]/60</f>
        <v>0.3</v>
      </c>
      <c r="AO595" s="27">
        <f>SUM(Tabla2[[#This Row],[Horas]],Tabla2[[#This Row],[Minutos a Horas]])</f>
        <v>2.2999999999999998</v>
      </c>
      <c r="AP595" s="49">
        <v>2</v>
      </c>
      <c r="AQ595" s="49">
        <v>39</v>
      </c>
      <c r="AR595" s="26">
        <f>Tabla2[[#This Row],[Minutos*]]/60</f>
        <v>0.65</v>
      </c>
      <c r="AS595" s="27">
        <f>SUM(Tabla2[[#This Row],[Horas*]],Tabla2[[#This Row],[Minutos a Horas*]])+(Tabla2[[#This Row],[Tiempo Total a Nivel Proncincial (Horas)]])</f>
        <v>4.9499999999999993</v>
      </c>
    </row>
    <row r="596" spans="8:45" x14ac:dyDescent="0.25"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8"/>
      <c r="AD596" s="20" t="s">
        <v>2381</v>
      </c>
      <c r="AE596" s="10" t="s">
        <v>378</v>
      </c>
      <c r="AF596" s="20" t="s">
        <v>750</v>
      </c>
      <c r="AG596" s="10"/>
      <c r="AH596" s="22" t="str">
        <f t="shared" si="18"/>
        <v>Cajamarca_03 Celendín</v>
      </c>
      <c r="AI596" s="10" t="s">
        <v>886</v>
      </c>
      <c r="AJ596" s="20" t="s">
        <v>786</v>
      </c>
      <c r="AK596" s="22" t="str">
        <f t="shared" si="19"/>
        <v>Cajamarca_03 Celendín_12 La Libertad de Pallan</v>
      </c>
      <c r="AL596" s="25">
        <v>2</v>
      </c>
      <c r="AM596" s="25">
        <v>18</v>
      </c>
      <c r="AN596" s="26">
        <f>Tabla2[[#This Row],[Minutos]]/60</f>
        <v>0.3</v>
      </c>
      <c r="AO596" s="27">
        <f>SUM(Tabla2[[#This Row],[Horas]],Tabla2[[#This Row],[Minutos a Horas]])</f>
        <v>2.2999999999999998</v>
      </c>
      <c r="AP596" s="49">
        <v>3</v>
      </c>
      <c r="AQ596" s="49">
        <v>15</v>
      </c>
      <c r="AR596" s="26">
        <f>Tabla2[[#This Row],[Minutos*]]/60</f>
        <v>0.25</v>
      </c>
      <c r="AS596" s="27">
        <f>SUM(Tabla2[[#This Row],[Horas*]],Tabla2[[#This Row],[Minutos a Horas*]])+(Tabla2[[#This Row],[Tiempo Total a Nivel Proncincial (Horas)]])</f>
        <v>5.55</v>
      </c>
    </row>
    <row r="597" spans="8:45" x14ac:dyDescent="0.25"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8"/>
      <c r="AD597" s="20" t="s">
        <v>2381</v>
      </c>
      <c r="AE597" s="10" t="s">
        <v>378</v>
      </c>
      <c r="AF597" s="20" t="s">
        <v>751</v>
      </c>
      <c r="AG597" s="10"/>
      <c r="AH597" s="22" t="str">
        <f t="shared" si="18"/>
        <v>Cajamarca_04 Chota</v>
      </c>
      <c r="AI597" s="10" t="s">
        <v>887</v>
      </c>
      <c r="AJ597" s="20" t="s">
        <v>787</v>
      </c>
      <c r="AK597" s="22" t="str">
        <f t="shared" si="19"/>
        <v>Cajamarca_04 Chota_01 Chota</v>
      </c>
      <c r="AL597" s="25">
        <v>3</v>
      </c>
      <c r="AM597" s="25">
        <v>13</v>
      </c>
      <c r="AN597" s="26">
        <f>Tabla2[[#This Row],[Minutos]]/60</f>
        <v>0.21666666666666667</v>
      </c>
      <c r="AO597" s="27">
        <f>SUM(Tabla2[[#This Row],[Horas]],Tabla2[[#This Row],[Minutos a Horas]])</f>
        <v>3.2166666666666668</v>
      </c>
      <c r="AP597" s="50"/>
      <c r="AQ597" s="50"/>
      <c r="AR597" s="26">
        <f>Tabla2[[#This Row],[Minutos*]]/60</f>
        <v>0</v>
      </c>
      <c r="AS597" s="27">
        <f>SUM(Tabla2[[#This Row],[Horas*]],Tabla2[[#This Row],[Minutos a Horas*]])+(Tabla2[[#This Row],[Tiempo Total a Nivel Proncincial (Horas)]])</f>
        <v>3.2166666666666668</v>
      </c>
    </row>
    <row r="598" spans="8:45" x14ac:dyDescent="0.25"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8"/>
      <c r="AD598" s="20" t="s">
        <v>2381</v>
      </c>
      <c r="AE598" s="10" t="s">
        <v>378</v>
      </c>
      <c r="AF598" s="20" t="s">
        <v>751</v>
      </c>
      <c r="AG598" s="10"/>
      <c r="AH598" s="22" t="str">
        <f t="shared" si="18"/>
        <v>Cajamarca_04 Chota</v>
      </c>
      <c r="AI598" s="10" t="s">
        <v>887</v>
      </c>
      <c r="AJ598" s="20" t="s">
        <v>788</v>
      </c>
      <c r="AK598" s="22" t="str">
        <f t="shared" si="19"/>
        <v>Cajamarca_04 Chota_02 Anguia</v>
      </c>
      <c r="AL598" s="25">
        <v>3</v>
      </c>
      <c r="AM598" s="25">
        <v>13</v>
      </c>
      <c r="AN598" s="26">
        <f>Tabla2[[#This Row],[Minutos]]/60</f>
        <v>0.21666666666666667</v>
      </c>
      <c r="AO598" s="27">
        <f>SUM(Tabla2[[#This Row],[Horas]],Tabla2[[#This Row],[Minutos a Horas]])</f>
        <v>3.2166666666666668</v>
      </c>
      <c r="AP598" s="49">
        <v>3</v>
      </c>
      <c r="AQ598" s="49">
        <v>0</v>
      </c>
      <c r="AR598" s="26">
        <f>Tabla2[[#This Row],[Minutos*]]/60</f>
        <v>0</v>
      </c>
      <c r="AS598" s="27">
        <f>SUM(Tabla2[[#This Row],[Horas*]],Tabla2[[#This Row],[Minutos a Horas*]])+(Tabla2[[#This Row],[Tiempo Total a Nivel Proncincial (Horas)]])</f>
        <v>6.2166666666666668</v>
      </c>
    </row>
    <row r="599" spans="8:45" x14ac:dyDescent="0.25"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8"/>
      <c r="AD599" s="20" t="s">
        <v>2381</v>
      </c>
      <c r="AE599" s="10" t="s">
        <v>378</v>
      </c>
      <c r="AF599" s="20" t="s">
        <v>751</v>
      </c>
      <c r="AG599" s="10"/>
      <c r="AH599" s="22" t="str">
        <f t="shared" si="18"/>
        <v>Cajamarca_04 Chota</v>
      </c>
      <c r="AI599" s="10" t="s">
        <v>887</v>
      </c>
      <c r="AJ599" s="20" t="s">
        <v>789</v>
      </c>
      <c r="AK599" s="22" t="str">
        <f t="shared" si="19"/>
        <v>Cajamarca_04 Chota_03 Chadin</v>
      </c>
      <c r="AL599" s="25">
        <v>3</v>
      </c>
      <c r="AM599" s="25">
        <v>13</v>
      </c>
      <c r="AN599" s="26">
        <f>Tabla2[[#This Row],[Minutos]]/60</f>
        <v>0.21666666666666667</v>
      </c>
      <c r="AO599" s="27">
        <f>SUM(Tabla2[[#This Row],[Horas]],Tabla2[[#This Row],[Minutos a Horas]])</f>
        <v>3.2166666666666668</v>
      </c>
      <c r="AP599" s="49">
        <v>2</v>
      </c>
      <c r="AQ599" s="49">
        <v>30</v>
      </c>
      <c r="AR599" s="26">
        <f>Tabla2[[#This Row],[Minutos*]]/60</f>
        <v>0.5</v>
      </c>
      <c r="AS599" s="27">
        <f>SUM(Tabla2[[#This Row],[Horas*]],Tabla2[[#This Row],[Minutos a Horas*]])+(Tabla2[[#This Row],[Tiempo Total a Nivel Proncincial (Horas)]])</f>
        <v>5.7166666666666668</v>
      </c>
    </row>
    <row r="600" spans="8:45" x14ac:dyDescent="0.25"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8"/>
      <c r="AD600" s="20" t="s">
        <v>2381</v>
      </c>
      <c r="AE600" s="10" t="s">
        <v>378</v>
      </c>
      <c r="AF600" s="20" t="s">
        <v>751</v>
      </c>
      <c r="AG600" s="10"/>
      <c r="AH600" s="22" t="str">
        <f t="shared" si="18"/>
        <v>Cajamarca_04 Chota</v>
      </c>
      <c r="AI600" s="10" t="s">
        <v>887</v>
      </c>
      <c r="AJ600" s="20" t="s">
        <v>790</v>
      </c>
      <c r="AK600" s="22" t="str">
        <f t="shared" si="19"/>
        <v>Cajamarca_04 Chota_04 Chiguirip</v>
      </c>
      <c r="AL600" s="25">
        <v>3</v>
      </c>
      <c r="AM600" s="25">
        <v>13</v>
      </c>
      <c r="AN600" s="26">
        <f>Tabla2[[#This Row],[Minutos]]/60</f>
        <v>0.21666666666666667</v>
      </c>
      <c r="AO600" s="27">
        <f>SUM(Tabla2[[#This Row],[Horas]],Tabla2[[#This Row],[Minutos a Horas]])</f>
        <v>3.2166666666666668</v>
      </c>
      <c r="AP600" s="49">
        <v>1</v>
      </c>
      <c r="AQ600" s="49">
        <v>30</v>
      </c>
      <c r="AR600" s="26">
        <f>Tabla2[[#This Row],[Minutos*]]/60</f>
        <v>0.5</v>
      </c>
      <c r="AS600" s="27">
        <f>SUM(Tabla2[[#This Row],[Horas*]],Tabla2[[#This Row],[Minutos a Horas*]])+(Tabla2[[#This Row],[Tiempo Total a Nivel Proncincial (Horas)]])</f>
        <v>4.7166666666666668</v>
      </c>
    </row>
    <row r="601" spans="8:45" x14ac:dyDescent="0.25">
      <c r="H601" s="81"/>
      <c r="I601" s="81"/>
      <c r="J601" s="81"/>
      <c r="K601" s="81"/>
      <c r="L601" s="81"/>
      <c r="M601" s="81"/>
      <c r="N601" s="81"/>
      <c r="O601" s="81"/>
      <c r="P601" s="81"/>
      <c r="Q601" s="81"/>
      <c r="R601" s="81"/>
      <c r="S601" s="81"/>
      <c r="T601" s="81"/>
      <c r="U601" s="81"/>
      <c r="V601" s="81"/>
      <c r="W601" s="81"/>
      <c r="X601" s="81"/>
      <c r="Y601" s="81"/>
      <c r="Z601" s="81"/>
      <c r="AA601" s="81"/>
      <c r="AB601" s="88"/>
      <c r="AD601" s="20" t="s">
        <v>2381</v>
      </c>
      <c r="AE601" s="10" t="s">
        <v>378</v>
      </c>
      <c r="AF601" s="20" t="s">
        <v>751</v>
      </c>
      <c r="AG601" s="10"/>
      <c r="AH601" s="22" t="str">
        <f t="shared" si="18"/>
        <v>Cajamarca_04 Chota</v>
      </c>
      <c r="AI601" s="10" t="s">
        <v>887</v>
      </c>
      <c r="AJ601" s="20" t="s">
        <v>791</v>
      </c>
      <c r="AK601" s="22" t="str">
        <f t="shared" si="19"/>
        <v>Cajamarca_04 Chota_05 Chimban</v>
      </c>
      <c r="AL601" s="25">
        <v>3</v>
      </c>
      <c r="AM601" s="25">
        <v>13</v>
      </c>
      <c r="AN601" s="26">
        <f>Tabla2[[#This Row],[Minutos]]/60</f>
        <v>0.21666666666666667</v>
      </c>
      <c r="AO601" s="27">
        <f>SUM(Tabla2[[#This Row],[Horas]],Tabla2[[#This Row],[Minutos a Horas]])</f>
        <v>3.2166666666666668</v>
      </c>
      <c r="AP601" s="49">
        <v>4</v>
      </c>
      <c r="AQ601" s="49">
        <v>0</v>
      </c>
      <c r="AR601" s="26">
        <f>Tabla2[[#This Row],[Minutos*]]/60</f>
        <v>0</v>
      </c>
      <c r="AS601" s="27">
        <f>SUM(Tabla2[[#This Row],[Horas*]],Tabla2[[#This Row],[Minutos a Horas*]])+(Tabla2[[#This Row],[Tiempo Total a Nivel Proncincial (Horas)]])</f>
        <v>7.2166666666666668</v>
      </c>
    </row>
    <row r="602" spans="8:45" x14ac:dyDescent="0.25">
      <c r="H602" s="81"/>
      <c r="I602" s="81"/>
      <c r="J602" s="81"/>
      <c r="K602" s="81"/>
      <c r="L602" s="81"/>
      <c r="M602" s="81"/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8"/>
      <c r="AD602" s="20" t="s">
        <v>2381</v>
      </c>
      <c r="AE602" s="10" t="s">
        <v>378</v>
      </c>
      <c r="AF602" s="20" t="s">
        <v>751</v>
      </c>
      <c r="AG602" s="10"/>
      <c r="AH602" s="22" t="str">
        <f t="shared" si="18"/>
        <v>Cajamarca_04 Chota</v>
      </c>
      <c r="AI602" s="10" t="s">
        <v>887</v>
      </c>
      <c r="AJ602" s="20" t="s">
        <v>792</v>
      </c>
      <c r="AK602" s="22" t="str">
        <f t="shared" si="19"/>
        <v>Cajamarca_04 Chota_06 Choropampa</v>
      </c>
      <c r="AL602" s="25">
        <v>3</v>
      </c>
      <c r="AM602" s="25">
        <v>13</v>
      </c>
      <c r="AN602" s="26">
        <f>Tabla2[[#This Row],[Minutos]]/60</f>
        <v>0.21666666666666667</v>
      </c>
      <c r="AO602" s="27">
        <f>SUM(Tabla2[[#This Row],[Horas]],Tabla2[[#This Row],[Minutos a Horas]])</f>
        <v>3.2166666666666668</v>
      </c>
      <c r="AP602" s="49">
        <v>4</v>
      </c>
      <c r="AQ602" s="49">
        <v>43</v>
      </c>
      <c r="AR602" s="26">
        <f>Tabla2[[#This Row],[Minutos*]]/60</f>
        <v>0.71666666666666667</v>
      </c>
      <c r="AS602" s="27">
        <f>SUM(Tabla2[[#This Row],[Horas*]],Tabla2[[#This Row],[Minutos a Horas*]])+(Tabla2[[#This Row],[Tiempo Total a Nivel Proncincial (Horas)]])</f>
        <v>7.9333333333333336</v>
      </c>
    </row>
    <row r="603" spans="8:45" x14ac:dyDescent="0.25">
      <c r="H603" s="81"/>
      <c r="I603" s="81"/>
      <c r="J603" s="81"/>
      <c r="K603" s="81"/>
      <c r="L603" s="81"/>
      <c r="M603" s="81"/>
      <c r="N603" s="81"/>
      <c r="O603" s="81"/>
      <c r="P603" s="81"/>
      <c r="Q603" s="81"/>
      <c r="R603" s="81"/>
      <c r="S603" s="81"/>
      <c r="T603" s="81"/>
      <c r="U603" s="81"/>
      <c r="V603" s="81"/>
      <c r="W603" s="81"/>
      <c r="X603" s="81"/>
      <c r="Y603" s="81"/>
      <c r="Z603" s="81"/>
      <c r="AA603" s="81"/>
      <c r="AB603" s="88"/>
      <c r="AD603" s="20" t="s">
        <v>2381</v>
      </c>
      <c r="AE603" s="10" t="s">
        <v>378</v>
      </c>
      <c r="AF603" s="20" t="s">
        <v>751</v>
      </c>
      <c r="AG603" s="10"/>
      <c r="AH603" s="22" t="str">
        <f t="shared" si="18"/>
        <v>Cajamarca_04 Chota</v>
      </c>
      <c r="AI603" s="10" t="s">
        <v>887</v>
      </c>
      <c r="AJ603" s="20" t="s">
        <v>793</v>
      </c>
      <c r="AK603" s="22" t="str">
        <f t="shared" si="19"/>
        <v>Cajamarca_04 Chota_07 Cochabamba</v>
      </c>
      <c r="AL603" s="25">
        <v>3</v>
      </c>
      <c r="AM603" s="25">
        <v>13</v>
      </c>
      <c r="AN603" s="26">
        <f>Tabla2[[#This Row],[Minutos]]/60</f>
        <v>0.21666666666666667</v>
      </c>
      <c r="AO603" s="27">
        <f>SUM(Tabla2[[#This Row],[Horas]],Tabla2[[#This Row],[Minutos a Horas]])</f>
        <v>3.2166666666666668</v>
      </c>
      <c r="AP603" s="49">
        <v>1</v>
      </c>
      <c r="AQ603" s="49">
        <v>0</v>
      </c>
      <c r="AR603" s="26">
        <f>Tabla2[[#This Row],[Minutos*]]/60</f>
        <v>0</v>
      </c>
      <c r="AS603" s="27">
        <f>SUM(Tabla2[[#This Row],[Horas*]],Tabla2[[#This Row],[Minutos a Horas*]])+(Tabla2[[#This Row],[Tiempo Total a Nivel Proncincial (Horas)]])</f>
        <v>4.2166666666666668</v>
      </c>
    </row>
    <row r="604" spans="8:45" x14ac:dyDescent="0.25">
      <c r="H604" s="81"/>
      <c r="I604" s="81"/>
      <c r="J604" s="81"/>
      <c r="K604" s="81"/>
      <c r="L604" s="81"/>
      <c r="M604" s="81"/>
      <c r="N604" s="81"/>
      <c r="O604" s="81"/>
      <c r="P604" s="81"/>
      <c r="Q604" s="81"/>
      <c r="R604" s="81"/>
      <c r="S604" s="81"/>
      <c r="T604" s="81"/>
      <c r="U604" s="81"/>
      <c r="V604" s="81"/>
      <c r="W604" s="81"/>
      <c r="X604" s="81"/>
      <c r="Y604" s="81"/>
      <c r="Z604" s="81"/>
      <c r="AA604" s="81"/>
      <c r="AB604" s="88"/>
      <c r="AD604" s="20" t="s">
        <v>2381</v>
      </c>
      <c r="AE604" s="10" t="s">
        <v>378</v>
      </c>
      <c r="AF604" s="20" t="s">
        <v>751</v>
      </c>
      <c r="AG604" s="10"/>
      <c r="AH604" s="22" t="str">
        <f t="shared" si="18"/>
        <v>Cajamarca_04 Chota</v>
      </c>
      <c r="AI604" s="10" t="s">
        <v>887</v>
      </c>
      <c r="AJ604" s="20" t="s">
        <v>794</v>
      </c>
      <c r="AK604" s="22" t="str">
        <f t="shared" si="19"/>
        <v>Cajamarca_04 Chota_08 Conchan</v>
      </c>
      <c r="AL604" s="25">
        <v>3</v>
      </c>
      <c r="AM604" s="25">
        <v>13</v>
      </c>
      <c r="AN604" s="26">
        <f>Tabla2[[#This Row],[Minutos]]/60</f>
        <v>0.21666666666666667</v>
      </c>
      <c r="AO604" s="27">
        <f>SUM(Tabla2[[#This Row],[Horas]],Tabla2[[#This Row],[Minutos a Horas]])</f>
        <v>3.2166666666666668</v>
      </c>
      <c r="AP604" s="49">
        <v>1</v>
      </c>
      <c r="AQ604" s="49">
        <v>30</v>
      </c>
      <c r="AR604" s="26">
        <f>Tabla2[[#This Row],[Minutos*]]/60</f>
        <v>0.5</v>
      </c>
      <c r="AS604" s="27">
        <f>SUM(Tabla2[[#This Row],[Horas*]],Tabla2[[#This Row],[Minutos a Horas*]])+(Tabla2[[#This Row],[Tiempo Total a Nivel Proncincial (Horas)]])</f>
        <v>4.7166666666666668</v>
      </c>
    </row>
    <row r="605" spans="8:45" x14ac:dyDescent="0.25">
      <c r="H605" s="81"/>
      <c r="I605" s="81"/>
      <c r="J605" s="81"/>
      <c r="K605" s="81"/>
      <c r="L605" s="81"/>
      <c r="M605" s="81"/>
      <c r="N605" s="81"/>
      <c r="O605" s="81"/>
      <c r="P605" s="81"/>
      <c r="Q605" s="81"/>
      <c r="R605" s="81"/>
      <c r="S605" s="81"/>
      <c r="T605" s="81"/>
      <c r="U605" s="81"/>
      <c r="V605" s="81"/>
      <c r="W605" s="81"/>
      <c r="X605" s="81"/>
      <c r="Y605" s="81"/>
      <c r="Z605" s="81"/>
      <c r="AA605" s="81"/>
      <c r="AB605" s="88"/>
      <c r="AD605" s="20" t="s">
        <v>2381</v>
      </c>
      <c r="AE605" s="10" t="s">
        <v>378</v>
      </c>
      <c r="AF605" s="20" t="s">
        <v>751</v>
      </c>
      <c r="AG605" s="10"/>
      <c r="AH605" s="22" t="str">
        <f t="shared" si="18"/>
        <v>Cajamarca_04 Chota</v>
      </c>
      <c r="AI605" s="10" t="s">
        <v>887</v>
      </c>
      <c r="AJ605" s="20" t="s">
        <v>795</v>
      </c>
      <c r="AK605" s="22" t="str">
        <f t="shared" si="19"/>
        <v>Cajamarca_04 Chota_09 Huambos</v>
      </c>
      <c r="AL605" s="25">
        <v>3</v>
      </c>
      <c r="AM605" s="25">
        <v>13</v>
      </c>
      <c r="AN605" s="26">
        <f>Tabla2[[#This Row],[Minutos]]/60</f>
        <v>0.21666666666666667</v>
      </c>
      <c r="AO605" s="27">
        <f>SUM(Tabla2[[#This Row],[Horas]],Tabla2[[#This Row],[Minutos a Horas]])</f>
        <v>3.2166666666666668</v>
      </c>
      <c r="AP605" s="49">
        <v>1</v>
      </c>
      <c r="AQ605" s="49">
        <v>30</v>
      </c>
      <c r="AR605" s="26">
        <f>Tabla2[[#This Row],[Minutos*]]/60</f>
        <v>0.5</v>
      </c>
      <c r="AS605" s="27">
        <f>SUM(Tabla2[[#This Row],[Horas*]],Tabla2[[#This Row],[Minutos a Horas*]])+(Tabla2[[#This Row],[Tiempo Total a Nivel Proncincial (Horas)]])</f>
        <v>4.7166666666666668</v>
      </c>
    </row>
    <row r="606" spans="8:45" x14ac:dyDescent="0.25">
      <c r="H606" s="81"/>
      <c r="I606" s="81"/>
      <c r="J606" s="81"/>
      <c r="K606" s="81"/>
      <c r="L606" s="81"/>
      <c r="M606" s="81"/>
      <c r="N606" s="81"/>
      <c r="O606" s="81"/>
      <c r="P606" s="81"/>
      <c r="Q606" s="81"/>
      <c r="R606" s="81"/>
      <c r="S606" s="81"/>
      <c r="T606" s="81"/>
      <c r="U606" s="81"/>
      <c r="V606" s="81"/>
      <c r="W606" s="81"/>
      <c r="X606" s="81"/>
      <c r="Y606" s="81"/>
      <c r="Z606" s="81"/>
      <c r="AA606" s="81"/>
      <c r="AB606" s="88"/>
      <c r="AD606" s="20" t="s">
        <v>2381</v>
      </c>
      <c r="AE606" s="10" t="s">
        <v>378</v>
      </c>
      <c r="AF606" s="20" t="s">
        <v>751</v>
      </c>
      <c r="AG606" s="10"/>
      <c r="AH606" s="22" t="str">
        <f t="shared" si="18"/>
        <v>Cajamarca_04 Chota</v>
      </c>
      <c r="AI606" s="10" t="s">
        <v>887</v>
      </c>
      <c r="AJ606" s="20" t="s">
        <v>796</v>
      </c>
      <c r="AK606" s="22" t="str">
        <f t="shared" si="19"/>
        <v>Cajamarca_04 Chota_10 Lajas</v>
      </c>
      <c r="AL606" s="25">
        <v>3</v>
      </c>
      <c r="AM606" s="25">
        <v>13</v>
      </c>
      <c r="AN606" s="26">
        <f>Tabla2[[#This Row],[Minutos]]/60</f>
        <v>0.21666666666666667</v>
      </c>
      <c r="AO606" s="27">
        <f>SUM(Tabla2[[#This Row],[Horas]],Tabla2[[#This Row],[Minutos a Horas]])</f>
        <v>3.2166666666666668</v>
      </c>
      <c r="AP606" s="49">
        <v>0</v>
      </c>
      <c r="AQ606" s="49">
        <v>0.3</v>
      </c>
      <c r="AR606" s="26">
        <f>Tabla2[[#This Row],[Minutos*]]/60</f>
        <v>5.0000000000000001E-3</v>
      </c>
      <c r="AS606" s="27">
        <f>SUM(Tabla2[[#This Row],[Horas*]],Tabla2[[#This Row],[Minutos a Horas*]])+(Tabla2[[#This Row],[Tiempo Total a Nivel Proncincial (Horas)]])</f>
        <v>3.2216666666666667</v>
      </c>
    </row>
    <row r="607" spans="8:45" x14ac:dyDescent="0.25">
      <c r="H607" s="81"/>
      <c r="I607" s="81"/>
      <c r="J607" s="81"/>
      <c r="K607" s="81"/>
      <c r="L607" s="81"/>
      <c r="M607" s="81"/>
      <c r="N607" s="81"/>
      <c r="O607" s="81"/>
      <c r="P607" s="81"/>
      <c r="Q607" s="81"/>
      <c r="R607" s="81"/>
      <c r="S607" s="81"/>
      <c r="T607" s="81"/>
      <c r="U607" s="81"/>
      <c r="V607" s="81"/>
      <c r="W607" s="81"/>
      <c r="X607" s="81"/>
      <c r="Y607" s="81"/>
      <c r="Z607" s="81"/>
      <c r="AA607" s="81"/>
      <c r="AB607" s="88"/>
      <c r="AD607" s="20" t="s">
        <v>2381</v>
      </c>
      <c r="AE607" s="10" t="s">
        <v>378</v>
      </c>
      <c r="AF607" s="20" t="s">
        <v>751</v>
      </c>
      <c r="AG607" s="10"/>
      <c r="AH607" s="22" t="str">
        <f t="shared" si="18"/>
        <v>Cajamarca_04 Chota</v>
      </c>
      <c r="AI607" s="10" t="s">
        <v>887</v>
      </c>
      <c r="AJ607" s="20" t="s">
        <v>797</v>
      </c>
      <c r="AK607" s="22" t="str">
        <f t="shared" si="19"/>
        <v>Cajamarca_04 Chota_11 Llama</v>
      </c>
      <c r="AL607" s="25">
        <v>3</v>
      </c>
      <c r="AM607" s="25">
        <v>13</v>
      </c>
      <c r="AN607" s="26">
        <f>Tabla2[[#This Row],[Minutos]]/60</f>
        <v>0.21666666666666667</v>
      </c>
      <c r="AO607" s="27">
        <f>SUM(Tabla2[[#This Row],[Horas]],Tabla2[[#This Row],[Minutos a Horas]])</f>
        <v>3.2166666666666668</v>
      </c>
      <c r="AP607" s="49">
        <v>2</v>
      </c>
      <c r="AQ607" s="49">
        <v>15</v>
      </c>
      <c r="AR607" s="26">
        <f>Tabla2[[#This Row],[Minutos*]]/60</f>
        <v>0.25</v>
      </c>
      <c r="AS607" s="27">
        <f>SUM(Tabla2[[#This Row],[Horas*]],Tabla2[[#This Row],[Minutos a Horas*]])+(Tabla2[[#This Row],[Tiempo Total a Nivel Proncincial (Horas)]])</f>
        <v>5.4666666666666668</v>
      </c>
    </row>
    <row r="608" spans="8:45" x14ac:dyDescent="0.25">
      <c r="H608" s="81"/>
      <c r="I608" s="81"/>
      <c r="J608" s="81"/>
      <c r="K608" s="81"/>
      <c r="L608" s="81"/>
      <c r="M608" s="81"/>
      <c r="N608" s="81"/>
      <c r="O608" s="81"/>
      <c r="P608" s="81"/>
      <c r="Q608" s="81"/>
      <c r="R608" s="81"/>
      <c r="S608" s="81"/>
      <c r="T608" s="81"/>
      <c r="U608" s="81"/>
      <c r="V608" s="81"/>
      <c r="W608" s="81"/>
      <c r="X608" s="81"/>
      <c r="Y608" s="81"/>
      <c r="Z608" s="81"/>
      <c r="AA608" s="81"/>
      <c r="AB608" s="88"/>
      <c r="AD608" s="20" t="s">
        <v>2381</v>
      </c>
      <c r="AE608" s="10" t="s">
        <v>378</v>
      </c>
      <c r="AF608" s="20" t="s">
        <v>751</v>
      </c>
      <c r="AG608" s="10"/>
      <c r="AH608" s="22" t="str">
        <f t="shared" si="18"/>
        <v>Cajamarca_04 Chota</v>
      </c>
      <c r="AI608" s="10" t="s">
        <v>887</v>
      </c>
      <c r="AJ608" s="20" t="s">
        <v>798</v>
      </c>
      <c r="AK608" s="22" t="str">
        <f t="shared" si="19"/>
        <v>Cajamarca_04 Chota_12 Miracosta</v>
      </c>
      <c r="AL608" s="25">
        <v>3</v>
      </c>
      <c r="AM608" s="25">
        <v>13</v>
      </c>
      <c r="AN608" s="26">
        <f>Tabla2[[#This Row],[Minutos]]/60</f>
        <v>0.21666666666666667</v>
      </c>
      <c r="AO608" s="27">
        <f>SUM(Tabla2[[#This Row],[Horas]],Tabla2[[#This Row],[Minutos a Horas]])</f>
        <v>3.2166666666666668</v>
      </c>
      <c r="AP608" s="49">
        <v>5</v>
      </c>
      <c r="AQ608" s="49">
        <v>36</v>
      </c>
      <c r="AR608" s="26">
        <f>Tabla2[[#This Row],[Minutos*]]/60</f>
        <v>0.6</v>
      </c>
      <c r="AS608" s="27">
        <f>SUM(Tabla2[[#This Row],[Horas*]],Tabla2[[#This Row],[Minutos a Horas*]])+(Tabla2[[#This Row],[Tiempo Total a Nivel Proncincial (Horas)]])</f>
        <v>8.8166666666666664</v>
      </c>
    </row>
    <row r="609" spans="8:45" x14ac:dyDescent="0.25"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  <c r="AA609" s="81"/>
      <c r="AB609" s="88"/>
      <c r="AD609" s="20" t="s">
        <v>2381</v>
      </c>
      <c r="AE609" s="10" t="s">
        <v>378</v>
      </c>
      <c r="AF609" s="20" t="s">
        <v>751</v>
      </c>
      <c r="AG609" s="10"/>
      <c r="AH609" s="22" t="str">
        <f t="shared" si="18"/>
        <v>Cajamarca_04 Chota</v>
      </c>
      <c r="AI609" s="10" t="s">
        <v>887</v>
      </c>
      <c r="AJ609" s="20" t="s">
        <v>799</v>
      </c>
      <c r="AK609" s="22" t="str">
        <f t="shared" si="19"/>
        <v>Cajamarca_04 Chota_13 Paccha</v>
      </c>
      <c r="AL609" s="25">
        <v>3</v>
      </c>
      <c r="AM609" s="25">
        <v>13</v>
      </c>
      <c r="AN609" s="26">
        <f>Tabla2[[#This Row],[Minutos]]/60</f>
        <v>0.21666666666666667</v>
      </c>
      <c r="AO609" s="27">
        <f>SUM(Tabla2[[#This Row],[Horas]],Tabla2[[#This Row],[Minutos a Horas]])</f>
        <v>3.2166666666666668</v>
      </c>
      <c r="AP609" s="49">
        <v>1</v>
      </c>
      <c r="AQ609" s="49">
        <v>40</v>
      </c>
      <c r="AR609" s="26">
        <f>Tabla2[[#This Row],[Minutos*]]/60</f>
        <v>0.66666666666666663</v>
      </c>
      <c r="AS609" s="27">
        <f>SUM(Tabla2[[#This Row],[Horas*]],Tabla2[[#This Row],[Minutos a Horas*]])+(Tabla2[[#This Row],[Tiempo Total a Nivel Proncincial (Horas)]])</f>
        <v>4.8833333333333329</v>
      </c>
    </row>
    <row r="610" spans="8:45" x14ac:dyDescent="0.25">
      <c r="H610" s="81"/>
      <c r="I610" s="81"/>
      <c r="J610" s="81"/>
      <c r="K610" s="81"/>
      <c r="L610" s="81"/>
      <c r="M610" s="81"/>
      <c r="N610" s="81"/>
      <c r="O610" s="81"/>
      <c r="P610" s="81"/>
      <c r="Q610" s="81"/>
      <c r="R610" s="81"/>
      <c r="S610" s="81"/>
      <c r="T610" s="81"/>
      <c r="U610" s="81"/>
      <c r="V610" s="81"/>
      <c r="W610" s="81"/>
      <c r="X610" s="81"/>
      <c r="Y610" s="81"/>
      <c r="Z610" s="81"/>
      <c r="AA610" s="81"/>
      <c r="AB610" s="88"/>
      <c r="AD610" s="20" t="s">
        <v>2381</v>
      </c>
      <c r="AE610" s="10" t="s">
        <v>378</v>
      </c>
      <c r="AF610" s="20" t="s">
        <v>751</v>
      </c>
      <c r="AG610" s="10"/>
      <c r="AH610" s="22" t="str">
        <f t="shared" si="18"/>
        <v>Cajamarca_04 Chota</v>
      </c>
      <c r="AI610" s="10" t="s">
        <v>887</v>
      </c>
      <c r="AJ610" s="20" t="s">
        <v>800</v>
      </c>
      <c r="AK610" s="22" t="str">
        <f t="shared" si="19"/>
        <v>Cajamarca_04 Chota_14 Pion</v>
      </c>
      <c r="AL610" s="25">
        <v>3</v>
      </c>
      <c r="AM610" s="25">
        <v>13</v>
      </c>
      <c r="AN610" s="26">
        <f>Tabla2[[#This Row],[Minutos]]/60</f>
        <v>0.21666666666666667</v>
      </c>
      <c r="AO610" s="27">
        <f>SUM(Tabla2[[#This Row],[Horas]],Tabla2[[#This Row],[Minutos a Horas]])</f>
        <v>3.2166666666666668</v>
      </c>
      <c r="AP610" s="49">
        <v>4</v>
      </c>
      <c r="AQ610" s="49">
        <v>30</v>
      </c>
      <c r="AR610" s="26">
        <f>Tabla2[[#This Row],[Minutos*]]/60</f>
        <v>0.5</v>
      </c>
      <c r="AS610" s="27">
        <f>SUM(Tabla2[[#This Row],[Horas*]],Tabla2[[#This Row],[Minutos a Horas*]])+(Tabla2[[#This Row],[Tiempo Total a Nivel Proncincial (Horas)]])</f>
        <v>7.7166666666666668</v>
      </c>
    </row>
    <row r="611" spans="8:45" x14ac:dyDescent="0.25">
      <c r="H611" s="81"/>
      <c r="I611" s="81"/>
      <c r="J611" s="81"/>
      <c r="K611" s="81"/>
      <c r="L611" s="81"/>
      <c r="M611" s="81"/>
      <c r="N611" s="81"/>
      <c r="O611" s="81"/>
      <c r="P611" s="81"/>
      <c r="Q611" s="81"/>
      <c r="R611" s="81"/>
      <c r="S611" s="81"/>
      <c r="T611" s="81"/>
      <c r="U611" s="81"/>
      <c r="V611" s="81"/>
      <c r="W611" s="81"/>
      <c r="X611" s="81"/>
      <c r="Y611" s="81"/>
      <c r="Z611" s="81"/>
      <c r="AA611" s="81"/>
      <c r="AB611" s="88"/>
      <c r="AD611" s="20" t="s">
        <v>2381</v>
      </c>
      <c r="AE611" s="10" t="s">
        <v>378</v>
      </c>
      <c r="AF611" s="20" t="s">
        <v>751</v>
      </c>
      <c r="AG611" s="10"/>
      <c r="AH611" s="22" t="str">
        <f t="shared" si="18"/>
        <v>Cajamarca_04 Chota</v>
      </c>
      <c r="AI611" s="10" t="s">
        <v>887</v>
      </c>
      <c r="AJ611" s="20" t="s">
        <v>801</v>
      </c>
      <c r="AK611" s="22" t="str">
        <f t="shared" si="19"/>
        <v>Cajamarca_04 Chota_15 Querocoto</v>
      </c>
      <c r="AL611" s="25">
        <v>3</v>
      </c>
      <c r="AM611" s="25">
        <v>13</v>
      </c>
      <c r="AN611" s="26">
        <f>Tabla2[[#This Row],[Minutos]]/60</f>
        <v>0.21666666666666667</v>
      </c>
      <c r="AO611" s="27">
        <f>SUM(Tabla2[[#This Row],[Horas]],Tabla2[[#This Row],[Minutos a Horas]])</f>
        <v>3.2166666666666668</v>
      </c>
      <c r="AP611" s="49">
        <v>2</v>
      </c>
      <c r="AQ611" s="49">
        <v>41</v>
      </c>
      <c r="AR611" s="26">
        <f>Tabla2[[#This Row],[Minutos*]]/60</f>
        <v>0.68333333333333335</v>
      </c>
      <c r="AS611" s="27">
        <f>SUM(Tabla2[[#This Row],[Horas*]],Tabla2[[#This Row],[Minutos a Horas*]])+(Tabla2[[#This Row],[Tiempo Total a Nivel Proncincial (Horas)]])</f>
        <v>5.9</v>
      </c>
    </row>
    <row r="612" spans="8:45" x14ac:dyDescent="0.25">
      <c r="H612" s="81"/>
      <c r="I612" s="81"/>
      <c r="J612" s="81"/>
      <c r="K612" s="81"/>
      <c r="L612" s="81"/>
      <c r="M612" s="81"/>
      <c r="N612" s="81"/>
      <c r="O612" s="81"/>
      <c r="P612" s="81"/>
      <c r="Q612" s="81"/>
      <c r="R612" s="81"/>
      <c r="S612" s="81"/>
      <c r="T612" s="81"/>
      <c r="U612" s="81"/>
      <c r="V612" s="81"/>
      <c r="W612" s="81"/>
      <c r="X612" s="81"/>
      <c r="Y612" s="81"/>
      <c r="Z612" s="81"/>
      <c r="AA612" s="81"/>
      <c r="AB612" s="88"/>
      <c r="AD612" s="20" t="s">
        <v>2381</v>
      </c>
      <c r="AE612" s="10" t="s">
        <v>378</v>
      </c>
      <c r="AF612" s="20" t="s">
        <v>751</v>
      </c>
      <c r="AG612" s="10"/>
      <c r="AH612" s="22" t="str">
        <f t="shared" si="18"/>
        <v>Cajamarca_04 Chota</v>
      </c>
      <c r="AI612" s="10" t="s">
        <v>887</v>
      </c>
      <c r="AJ612" s="20" t="s">
        <v>802</v>
      </c>
      <c r="AK612" s="22" t="str">
        <f t="shared" si="19"/>
        <v>Cajamarca_04 Chota_16 San Juan de Licupis</v>
      </c>
      <c r="AL612" s="25">
        <v>3</v>
      </c>
      <c r="AM612" s="25">
        <v>13</v>
      </c>
      <c r="AN612" s="26">
        <f>Tabla2[[#This Row],[Minutos]]/60</f>
        <v>0.21666666666666667</v>
      </c>
      <c r="AO612" s="27">
        <f>SUM(Tabla2[[#This Row],[Horas]],Tabla2[[#This Row],[Minutos a Horas]])</f>
        <v>3.2166666666666668</v>
      </c>
      <c r="AP612" s="49">
        <v>6</v>
      </c>
      <c r="AQ612" s="49">
        <v>19</v>
      </c>
      <c r="AR612" s="26">
        <f>Tabla2[[#This Row],[Minutos*]]/60</f>
        <v>0.31666666666666665</v>
      </c>
      <c r="AS612" s="27">
        <f>SUM(Tabla2[[#This Row],[Horas*]],Tabla2[[#This Row],[Minutos a Horas*]])+(Tabla2[[#This Row],[Tiempo Total a Nivel Proncincial (Horas)]])</f>
        <v>9.5333333333333332</v>
      </c>
    </row>
    <row r="613" spans="8:45" x14ac:dyDescent="0.25">
      <c r="H613" s="81"/>
      <c r="I613" s="81"/>
      <c r="J613" s="81"/>
      <c r="K613" s="81"/>
      <c r="L613" s="81"/>
      <c r="M613" s="81"/>
      <c r="N613" s="81"/>
      <c r="O613" s="81"/>
      <c r="P613" s="81"/>
      <c r="Q613" s="81"/>
      <c r="R613" s="81"/>
      <c r="S613" s="81"/>
      <c r="T613" s="81"/>
      <c r="U613" s="81"/>
      <c r="V613" s="81"/>
      <c r="W613" s="81"/>
      <c r="X613" s="81"/>
      <c r="Y613" s="81"/>
      <c r="Z613" s="81"/>
      <c r="AA613" s="81"/>
      <c r="AB613" s="88"/>
      <c r="AD613" s="20" t="s">
        <v>2381</v>
      </c>
      <c r="AE613" s="10" t="s">
        <v>378</v>
      </c>
      <c r="AF613" s="20" t="s">
        <v>751</v>
      </c>
      <c r="AG613" s="10"/>
      <c r="AH613" s="22" t="str">
        <f t="shared" si="18"/>
        <v>Cajamarca_04 Chota</v>
      </c>
      <c r="AI613" s="10" t="s">
        <v>887</v>
      </c>
      <c r="AJ613" s="20" t="s">
        <v>803</v>
      </c>
      <c r="AK613" s="22" t="str">
        <f t="shared" si="19"/>
        <v>Cajamarca_04 Chota_17 Tacabamba</v>
      </c>
      <c r="AL613" s="25">
        <v>3</v>
      </c>
      <c r="AM613" s="25">
        <v>13</v>
      </c>
      <c r="AN613" s="26">
        <f>Tabla2[[#This Row],[Minutos]]/60</f>
        <v>0.21666666666666667</v>
      </c>
      <c r="AO613" s="27">
        <f>SUM(Tabla2[[#This Row],[Horas]],Tabla2[[#This Row],[Minutos a Horas]])</f>
        <v>3.2166666666666668</v>
      </c>
      <c r="AP613" s="49">
        <v>1</v>
      </c>
      <c r="AQ613" s="49">
        <v>25</v>
      </c>
      <c r="AR613" s="26">
        <f>Tabla2[[#This Row],[Minutos*]]/60</f>
        <v>0.41666666666666669</v>
      </c>
      <c r="AS613" s="27">
        <f>SUM(Tabla2[[#This Row],[Horas*]],Tabla2[[#This Row],[Minutos a Horas*]])+(Tabla2[[#This Row],[Tiempo Total a Nivel Proncincial (Horas)]])</f>
        <v>4.6333333333333337</v>
      </c>
    </row>
    <row r="614" spans="8:45" x14ac:dyDescent="0.25">
      <c r="H614" s="81"/>
      <c r="I614" s="81"/>
      <c r="J614" s="81"/>
      <c r="K614" s="81"/>
      <c r="L614" s="81"/>
      <c r="M614" s="81"/>
      <c r="N614" s="81"/>
      <c r="O614" s="81"/>
      <c r="P614" s="81"/>
      <c r="Q614" s="81"/>
      <c r="R614" s="81"/>
      <c r="S614" s="81"/>
      <c r="T614" s="81"/>
      <c r="U614" s="81"/>
      <c r="V614" s="81"/>
      <c r="W614" s="81"/>
      <c r="X614" s="81"/>
      <c r="Y614" s="81"/>
      <c r="Z614" s="81"/>
      <c r="AA614" s="81"/>
      <c r="AB614" s="88"/>
      <c r="AD614" s="20" t="s">
        <v>2381</v>
      </c>
      <c r="AE614" s="10" t="s">
        <v>378</v>
      </c>
      <c r="AF614" s="20" t="s">
        <v>751</v>
      </c>
      <c r="AG614" s="10"/>
      <c r="AH614" s="22" t="str">
        <f t="shared" si="18"/>
        <v>Cajamarca_04 Chota</v>
      </c>
      <c r="AI614" s="10" t="s">
        <v>887</v>
      </c>
      <c r="AJ614" s="20" t="s">
        <v>804</v>
      </c>
      <c r="AK614" s="22" t="str">
        <f t="shared" si="19"/>
        <v>Cajamarca_04 Chota_18 Tocmoche</v>
      </c>
      <c r="AL614" s="25">
        <v>3</v>
      </c>
      <c r="AM614" s="25">
        <v>13</v>
      </c>
      <c r="AN614" s="26">
        <f>Tabla2[[#This Row],[Minutos]]/60</f>
        <v>0.21666666666666667</v>
      </c>
      <c r="AO614" s="27">
        <f>SUM(Tabla2[[#This Row],[Horas]],Tabla2[[#This Row],[Minutos a Horas]])</f>
        <v>3.2166666666666668</v>
      </c>
      <c r="AP614" s="49">
        <v>5</v>
      </c>
      <c r="AQ614" s="49">
        <v>0</v>
      </c>
      <c r="AR614" s="26">
        <f>Tabla2[[#This Row],[Minutos*]]/60</f>
        <v>0</v>
      </c>
      <c r="AS614" s="27">
        <f>SUM(Tabla2[[#This Row],[Horas*]],Tabla2[[#This Row],[Minutos a Horas*]])+(Tabla2[[#This Row],[Tiempo Total a Nivel Proncincial (Horas)]])</f>
        <v>8.2166666666666668</v>
      </c>
    </row>
    <row r="615" spans="8:45" x14ac:dyDescent="0.25">
      <c r="H615" s="81"/>
      <c r="I615" s="81"/>
      <c r="J615" s="81"/>
      <c r="K615" s="81"/>
      <c r="L615" s="81"/>
      <c r="M615" s="81"/>
      <c r="N615" s="81"/>
      <c r="O615" s="81"/>
      <c r="P615" s="81"/>
      <c r="Q615" s="81"/>
      <c r="R615" s="81"/>
      <c r="S615" s="81"/>
      <c r="T615" s="81"/>
      <c r="U615" s="81"/>
      <c r="V615" s="81"/>
      <c r="W615" s="81"/>
      <c r="X615" s="81"/>
      <c r="Y615" s="81"/>
      <c r="Z615" s="81"/>
      <c r="AA615" s="81"/>
      <c r="AB615" s="88"/>
      <c r="AD615" s="20" t="s">
        <v>2381</v>
      </c>
      <c r="AE615" s="10" t="s">
        <v>378</v>
      </c>
      <c r="AF615" s="20" t="s">
        <v>751</v>
      </c>
      <c r="AG615" s="10"/>
      <c r="AH615" s="22" t="str">
        <f t="shared" si="18"/>
        <v>Cajamarca_04 Chota</v>
      </c>
      <c r="AI615" s="10" t="s">
        <v>887</v>
      </c>
      <c r="AJ615" s="20" t="s">
        <v>805</v>
      </c>
      <c r="AK615" s="22" t="str">
        <f t="shared" si="19"/>
        <v>Cajamarca_04 Chota_19 Chalamarca</v>
      </c>
      <c r="AL615" s="25">
        <v>3</v>
      </c>
      <c r="AM615" s="25">
        <v>13</v>
      </c>
      <c r="AN615" s="26">
        <f>Tabla2[[#This Row],[Minutos]]/60</f>
        <v>0.21666666666666667</v>
      </c>
      <c r="AO615" s="27">
        <f>SUM(Tabla2[[#This Row],[Horas]],Tabla2[[#This Row],[Minutos a Horas]])</f>
        <v>3.2166666666666668</v>
      </c>
      <c r="AP615" s="49">
        <v>1</v>
      </c>
      <c r="AQ615" s="49">
        <v>30</v>
      </c>
      <c r="AR615" s="26">
        <f>Tabla2[[#This Row],[Minutos*]]/60</f>
        <v>0.5</v>
      </c>
      <c r="AS615" s="27">
        <f>SUM(Tabla2[[#This Row],[Horas*]],Tabla2[[#This Row],[Minutos a Horas*]])+(Tabla2[[#This Row],[Tiempo Total a Nivel Proncincial (Horas)]])</f>
        <v>4.7166666666666668</v>
      </c>
    </row>
    <row r="616" spans="8:45" x14ac:dyDescent="0.25">
      <c r="H616" s="81"/>
      <c r="I616" s="81"/>
      <c r="J616" s="81"/>
      <c r="K616" s="81"/>
      <c r="L616" s="81"/>
      <c r="M616" s="81"/>
      <c r="N616" s="81"/>
      <c r="O616" s="81"/>
      <c r="P616" s="81"/>
      <c r="Q616" s="81"/>
      <c r="R616" s="81"/>
      <c r="S616" s="81"/>
      <c r="T616" s="81"/>
      <c r="U616" s="81"/>
      <c r="V616" s="81"/>
      <c r="W616" s="81"/>
      <c r="X616" s="81"/>
      <c r="Y616" s="81"/>
      <c r="Z616" s="81"/>
      <c r="AA616" s="81"/>
      <c r="AB616" s="88"/>
      <c r="AD616" s="20" t="s">
        <v>2381</v>
      </c>
      <c r="AE616" s="10" t="s">
        <v>378</v>
      </c>
      <c r="AF616" s="20" t="s">
        <v>752</v>
      </c>
      <c r="AG616" s="10"/>
      <c r="AH616" s="22" t="str">
        <f t="shared" si="18"/>
        <v>Cajamarca_05 Contumazá</v>
      </c>
      <c r="AI616" s="10" t="s">
        <v>888</v>
      </c>
      <c r="AJ616" s="20" t="s">
        <v>806</v>
      </c>
      <c r="AK616" s="22" t="str">
        <f t="shared" si="19"/>
        <v>Cajamarca_05 Contumazá_01 Contumaza</v>
      </c>
      <c r="AL616" s="25">
        <v>3</v>
      </c>
      <c r="AM616" s="25">
        <v>14</v>
      </c>
      <c r="AN616" s="26">
        <f>Tabla2[[#This Row],[Minutos]]/60</f>
        <v>0.23333333333333334</v>
      </c>
      <c r="AO616" s="27">
        <f>SUM(Tabla2[[#This Row],[Horas]],Tabla2[[#This Row],[Minutos a Horas]])</f>
        <v>3.2333333333333334</v>
      </c>
      <c r="AP616" s="49">
        <v>2</v>
      </c>
      <c r="AQ616" s="49">
        <v>22</v>
      </c>
      <c r="AR616" s="26">
        <f>Tabla2[[#This Row],[Minutos*]]/60</f>
        <v>0.36666666666666664</v>
      </c>
      <c r="AS616" s="27">
        <f>SUM(Tabla2[[#This Row],[Horas*]],Tabla2[[#This Row],[Minutos a Horas*]])+(Tabla2[[#This Row],[Tiempo Total a Nivel Proncincial (Horas)]])</f>
        <v>5.6</v>
      </c>
    </row>
    <row r="617" spans="8:45" x14ac:dyDescent="0.25">
      <c r="H617" s="81"/>
      <c r="I617" s="81"/>
      <c r="J617" s="81"/>
      <c r="K617" s="81"/>
      <c r="L617" s="81"/>
      <c r="M617" s="81"/>
      <c r="N617" s="81"/>
      <c r="O617" s="81"/>
      <c r="P617" s="81"/>
      <c r="Q617" s="81"/>
      <c r="R617" s="81"/>
      <c r="S617" s="81"/>
      <c r="T617" s="81"/>
      <c r="U617" s="81"/>
      <c r="V617" s="81"/>
      <c r="W617" s="81"/>
      <c r="X617" s="81"/>
      <c r="Y617" s="81"/>
      <c r="Z617" s="81"/>
      <c r="AA617" s="81"/>
      <c r="AB617" s="88"/>
      <c r="AD617" s="20" t="s">
        <v>2381</v>
      </c>
      <c r="AE617" s="10" t="s">
        <v>378</v>
      </c>
      <c r="AF617" s="20" t="s">
        <v>752</v>
      </c>
      <c r="AG617" s="10"/>
      <c r="AH617" s="22" t="str">
        <f t="shared" si="18"/>
        <v>Cajamarca_05 Contumazá</v>
      </c>
      <c r="AI617" s="10" t="s">
        <v>888</v>
      </c>
      <c r="AJ617" s="20" t="s">
        <v>807</v>
      </c>
      <c r="AK617" s="22" t="str">
        <f t="shared" si="19"/>
        <v>Cajamarca_05 Contumazá_02 Chilete</v>
      </c>
      <c r="AL617" s="25">
        <v>3</v>
      </c>
      <c r="AM617" s="25">
        <v>14</v>
      </c>
      <c r="AN617" s="26">
        <f>Tabla2[[#This Row],[Minutos]]/60</f>
        <v>0.23333333333333334</v>
      </c>
      <c r="AO617" s="27">
        <f>SUM(Tabla2[[#This Row],[Horas]],Tabla2[[#This Row],[Minutos a Horas]])</f>
        <v>3.2333333333333334</v>
      </c>
      <c r="AP617" s="49">
        <v>2</v>
      </c>
      <c r="AQ617" s="49">
        <v>32</v>
      </c>
      <c r="AR617" s="26">
        <f>Tabla2[[#This Row],[Minutos*]]/60</f>
        <v>0.53333333333333333</v>
      </c>
      <c r="AS617" s="27">
        <f>SUM(Tabla2[[#This Row],[Horas*]],Tabla2[[#This Row],[Minutos a Horas*]])+(Tabla2[[#This Row],[Tiempo Total a Nivel Proncincial (Horas)]])</f>
        <v>5.7666666666666666</v>
      </c>
    </row>
    <row r="618" spans="8:45" x14ac:dyDescent="0.25">
      <c r="H618" s="81"/>
      <c r="I618" s="81"/>
      <c r="J618" s="81"/>
      <c r="K618" s="81"/>
      <c r="L618" s="81"/>
      <c r="M618" s="81"/>
      <c r="N618" s="81"/>
      <c r="O618" s="81"/>
      <c r="P618" s="81"/>
      <c r="Q618" s="81"/>
      <c r="R618" s="81"/>
      <c r="S618" s="81"/>
      <c r="T618" s="81"/>
      <c r="U618" s="81"/>
      <c r="V618" s="81"/>
      <c r="W618" s="81"/>
      <c r="X618" s="81"/>
      <c r="Y618" s="81"/>
      <c r="Z618" s="81"/>
      <c r="AA618" s="81"/>
      <c r="AB618" s="88"/>
      <c r="AD618" s="20" t="s">
        <v>2381</v>
      </c>
      <c r="AE618" s="10" t="s">
        <v>378</v>
      </c>
      <c r="AF618" s="20" t="s">
        <v>752</v>
      </c>
      <c r="AG618" s="10"/>
      <c r="AH618" s="22" t="str">
        <f t="shared" si="18"/>
        <v>Cajamarca_05 Contumazá</v>
      </c>
      <c r="AI618" s="10" t="s">
        <v>888</v>
      </c>
      <c r="AJ618" s="20" t="s">
        <v>808</v>
      </c>
      <c r="AK618" s="22" t="str">
        <f t="shared" si="19"/>
        <v>Cajamarca_05 Contumazá_03 Cupisnique</v>
      </c>
      <c r="AL618" s="25">
        <v>3</v>
      </c>
      <c r="AM618" s="25">
        <v>14</v>
      </c>
      <c r="AN618" s="26">
        <f>Tabla2[[#This Row],[Minutos]]/60</f>
        <v>0.23333333333333334</v>
      </c>
      <c r="AO618" s="27">
        <f>SUM(Tabla2[[#This Row],[Horas]],Tabla2[[#This Row],[Minutos a Horas]])</f>
        <v>3.2333333333333334</v>
      </c>
      <c r="AP618" s="49">
        <v>2</v>
      </c>
      <c r="AQ618" s="49">
        <v>37</v>
      </c>
      <c r="AR618" s="26">
        <f>Tabla2[[#This Row],[Minutos*]]/60</f>
        <v>0.6166666666666667</v>
      </c>
      <c r="AS618" s="27">
        <f>SUM(Tabla2[[#This Row],[Horas*]],Tabla2[[#This Row],[Minutos a Horas*]])+(Tabla2[[#This Row],[Tiempo Total a Nivel Proncincial (Horas)]])</f>
        <v>5.85</v>
      </c>
    </row>
    <row r="619" spans="8:45" x14ac:dyDescent="0.25">
      <c r="H619" s="81"/>
      <c r="I619" s="81"/>
      <c r="J619" s="81"/>
      <c r="K619" s="81"/>
      <c r="L619" s="81"/>
      <c r="M619" s="81"/>
      <c r="N619" s="81"/>
      <c r="O619" s="81"/>
      <c r="P619" s="81"/>
      <c r="Q619" s="81"/>
      <c r="R619" s="81"/>
      <c r="S619" s="81"/>
      <c r="T619" s="81"/>
      <c r="U619" s="81"/>
      <c r="V619" s="81"/>
      <c r="W619" s="81"/>
      <c r="X619" s="81"/>
      <c r="Y619" s="81"/>
      <c r="Z619" s="81"/>
      <c r="AA619" s="81"/>
      <c r="AB619" s="88"/>
      <c r="AD619" s="20" t="s">
        <v>2381</v>
      </c>
      <c r="AE619" s="10" t="s">
        <v>378</v>
      </c>
      <c r="AF619" s="20" t="s">
        <v>752</v>
      </c>
      <c r="AG619" s="10"/>
      <c r="AH619" s="22" t="str">
        <f t="shared" si="18"/>
        <v>Cajamarca_05 Contumazá</v>
      </c>
      <c r="AI619" s="10" t="s">
        <v>888</v>
      </c>
      <c r="AJ619" s="20" t="s">
        <v>809</v>
      </c>
      <c r="AK619" s="22" t="str">
        <f t="shared" si="19"/>
        <v>Cajamarca_05 Contumazá_04 Guzmango</v>
      </c>
      <c r="AL619" s="25">
        <v>3</v>
      </c>
      <c r="AM619" s="25">
        <v>14</v>
      </c>
      <c r="AN619" s="26">
        <f>Tabla2[[#This Row],[Minutos]]/60</f>
        <v>0.23333333333333334</v>
      </c>
      <c r="AO619" s="27">
        <f>SUM(Tabla2[[#This Row],[Horas]],Tabla2[[#This Row],[Minutos a Horas]])</f>
        <v>3.2333333333333334</v>
      </c>
      <c r="AP619" s="49">
        <v>5</v>
      </c>
      <c r="AQ619" s="49">
        <v>53</v>
      </c>
      <c r="AR619" s="26">
        <f>Tabla2[[#This Row],[Minutos*]]/60</f>
        <v>0.8833333333333333</v>
      </c>
      <c r="AS619" s="27">
        <f>SUM(Tabla2[[#This Row],[Horas*]],Tabla2[[#This Row],[Minutos a Horas*]])+(Tabla2[[#This Row],[Tiempo Total a Nivel Proncincial (Horas)]])</f>
        <v>9.1166666666666671</v>
      </c>
    </row>
    <row r="620" spans="8:45" x14ac:dyDescent="0.25">
      <c r="H620" s="81"/>
      <c r="I620" s="81"/>
      <c r="J620" s="81"/>
      <c r="K620" s="81"/>
      <c r="L620" s="81"/>
      <c r="M620" s="81"/>
      <c r="N620" s="81"/>
      <c r="O620" s="81"/>
      <c r="P620" s="81"/>
      <c r="Q620" s="81"/>
      <c r="R620" s="81"/>
      <c r="S620" s="81"/>
      <c r="T620" s="81"/>
      <c r="U620" s="81"/>
      <c r="V620" s="81"/>
      <c r="W620" s="81"/>
      <c r="X620" s="81"/>
      <c r="Y620" s="81"/>
      <c r="Z620" s="81"/>
      <c r="AA620" s="81"/>
      <c r="AB620" s="88"/>
      <c r="AD620" s="20" t="s">
        <v>2381</v>
      </c>
      <c r="AE620" s="10" t="s">
        <v>378</v>
      </c>
      <c r="AF620" s="20" t="s">
        <v>752</v>
      </c>
      <c r="AG620" s="10"/>
      <c r="AH620" s="22" t="str">
        <f t="shared" si="18"/>
        <v>Cajamarca_05 Contumazá</v>
      </c>
      <c r="AI620" s="10" t="s">
        <v>888</v>
      </c>
      <c r="AJ620" s="20" t="s">
        <v>810</v>
      </c>
      <c r="AK620" s="22" t="str">
        <f t="shared" si="19"/>
        <v>Cajamarca_05 Contumazá_05 San Benito</v>
      </c>
      <c r="AL620" s="25">
        <v>3</v>
      </c>
      <c r="AM620" s="25">
        <v>14</v>
      </c>
      <c r="AN620" s="26">
        <f>Tabla2[[#This Row],[Minutos]]/60</f>
        <v>0.23333333333333334</v>
      </c>
      <c r="AO620" s="27">
        <f>SUM(Tabla2[[#This Row],[Horas]],Tabla2[[#This Row],[Minutos a Horas]])</f>
        <v>3.2333333333333334</v>
      </c>
      <c r="AP620" s="49">
        <v>6</v>
      </c>
      <c r="AQ620" s="49">
        <v>51</v>
      </c>
      <c r="AR620" s="26">
        <f>Tabla2[[#This Row],[Minutos*]]/60</f>
        <v>0.85</v>
      </c>
      <c r="AS620" s="27">
        <f>SUM(Tabla2[[#This Row],[Horas*]],Tabla2[[#This Row],[Minutos a Horas*]])+(Tabla2[[#This Row],[Tiempo Total a Nivel Proncincial (Horas)]])</f>
        <v>10.083333333333332</v>
      </c>
    </row>
    <row r="621" spans="8:45" x14ac:dyDescent="0.25">
      <c r="H621" s="81"/>
      <c r="I621" s="81"/>
      <c r="J621" s="81"/>
      <c r="K621" s="81"/>
      <c r="L621" s="81"/>
      <c r="M621" s="81"/>
      <c r="N621" s="81"/>
      <c r="O621" s="81"/>
      <c r="P621" s="81"/>
      <c r="Q621" s="81"/>
      <c r="R621" s="81"/>
      <c r="S621" s="81"/>
      <c r="T621" s="81"/>
      <c r="U621" s="81"/>
      <c r="V621" s="81"/>
      <c r="W621" s="81"/>
      <c r="X621" s="81"/>
      <c r="Y621" s="81"/>
      <c r="Z621" s="81"/>
      <c r="AA621" s="81"/>
      <c r="AB621" s="88"/>
      <c r="AD621" s="20" t="s">
        <v>2381</v>
      </c>
      <c r="AE621" s="10" t="s">
        <v>378</v>
      </c>
      <c r="AF621" s="20" t="s">
        <v>752</v>
      </c>
      <c r="AG621" s="10"/>
      <c r="AH621" s="22" t="str">
        <f t="shared" si="18"/>
        <v>Cajamarca_05 Contumazá</v>
      </c>
      <c r="AI621" s="10" t="s">
        <v>888</v>
      </c>
      <c r="AJ621" s="20" t="s">
        <v>811</v>
      </c>
      <c r="AK621" s="22" t="str">
        <f t="shared" si="19"/>
        <v>Cajamarca_05 Contumazá_06 Santa Cruz de Toledo</v>
      </c>
      <c r="AL621" s="25">
        <v>3</v>
      </c>
      <c r="AM621" s="25">
        <v>14</v>
      </c>
      <c r="AN621" s="26">
        <f>Tabla2[[#This Row],[Minutos]]/60</f>
        <v>0.23333333333333334</v>
      </c>
      <c r="AO621" s="27">
        <f>SUM(Tabla2[[#This Row],[Horas]],Tabla2[[#This Row],[Minutos a Horas]])</f>
        <v>3.2333333333333334</v>
      </c>
      <c r="AP621" s="49">
        <v>3</v>
      </c>
      <c r="AQ621" s="49">
        <v>16</v>
      </c>
      <c r="AR621" s="26">
        <f>Tabla2[[#This Row],[Minutos*]]/60</f>
        <v>0.26666666666666666</v>
      </c>
      <c r="AS621" s="27">
        <f>SUM(Tabla2[[#This Row],[Horas*]],Tabla2[[#This Row],[Minutos a Horas*]])+(Tabla2[[#This Row],[Tiempo Total a Nivel Proncincial (Horas)]])</f>
        <v>6.5</v>
      </c>
    </row>
    <row r="622" spans="8:45" x14ac:dyDescent="0.25">
      <c r="H622" s="81"/>
      <c r="I622" s="81"/>
      <c r="J622" s="81"/>
      <c r="K622" s="81"/>
      <c r="L622" s="81"/>
      <c r="M622" s="81"/>
      <c r="N622" s="81"/>
      <c r="O622" s="81"/>
      <c r="P622" s="81"/>
      <c r="Q622" s="81"/>
      <c r="R622" s="81"/>
      <c r="S622" s="81"/>
      <c r="T622" s="81"/>
      <c r="U622" s="81"/>
      <c r="V622" s="81"/>
      <c r="W622" s="81"/>
      <c r="X622" s="81"/>
      <c r="Y622" s="81"/>
      <c r="Z622" s="81"/>
      <c r="AA622" s="81"/>
      <c r="AB622" s="88"/>
      <c r="AD622" s="20" t="s">
        <v>2381</v>
      </c>
      <c r="AE622" s="10" t="s">
        <v>378</v>
      </c>
      <c r="AF622" s="20" t="s">
        <v>752</v>
      </c>
      <c r="AG622" s="10"/>
      <c r="AH622" s="22" t="str">
        <f t="shared" si="18"/>
        <v>Cajamarca_05 Contumazá</v>
      </c>
      <c r="AI622" s="10" t="s">
        <v>888</v>
      </c>
      <c r="AJ622" s="20" t="s">
        <v>812</v>
      </c>
      <c r="AK622" s="22" t="str">
        <f t="shared" si="19"/>
        <v>Cajamarca_05 Contumazá_07 Tantarica</v>
      </c>
      <c r="AL622" s="25">
        <v>3</v>
      </c>
      <c r="AM622" s="25">
        <v>14</v>
      </c>
      <c r="AN622" s="26">
        <f>Tabla2[[#This Row],[Minutos]]/60</f>
        <v>0.23333333333333334</v>
      </c>
      <c r="AO622" s="27">
        <f>SUM(Tabla2[[#This Row],[Horas]],Tabla2[[#This Row],[Minutos a Horas]])</f>
        <v>3.2333333333333334</v>
      </c>
      <c r="AP622" s="49">
        <v>2</v>
      </c>
      <c r="AQ622" s="49">
        <v>15</v>
      </c>
      <c r="AR622" s="26">
        <f>Tabla2[[#This Row],[Minutos*]]/60</f>
        <v>0.25</v>
      </c>
      <c r="AS622" s="27">
        <f>SUM(Tabla2[[#This Row],[Horas*]],Tabla2[[#This Row],[Minutos a Horas*]])+(Tabla2[[#This Row],[Tiempo Total a Nivel Proncincial (Horas)]])</f>
        <v>5.4833333333333334</v>
      </c>
    </row>
    <row r="623" spans="8:45" x14ac:dyDescent="0.25">
      <c r="H623" s="81"/>
      <c r="I623" s="81"/>
      <c r="J623" s="81"/>
      <c r="K623" s="81"/>
      <c r="L623" s="81"/>
      <c r="M623" s="81"/>
      <c r="N623" s="81"/>
      <c r="O623" s="81"/>
      <c r="P623" s="81"/>
      <c r="Q623" s="81"/>
      <c r="R623" s="81"/>
      <c r="S623" s="81"/>
      <c r="T623" s="81"/>
      <c r="U623" s="81"/>
      <c r="V623" s="81"/>
      <c r="W623" s="81"/>
      <c r="X623" s="81"/>
      <c r="Y623" s="81"/>
      <c r="Z623" s="81"/>
      <c r="AA623" s="81"/>
      <c r="AB623" s="88"/>
      <c r="AD623" s="20" t="s">
        <v>2381</v>
      </c>
      <c r="AE623" s="10" t="s">
        <v>378</v>
      </c>
      <c r="AF623" s="20" t="s">
        <v>752</v>
      </c>
      <c r="AG623" s="10"/>
      <c r="AH623" s="22" t="str">
        <f t="shared" si="18"/>
        <v>Cajamarca_05 Contumazá</v>
      </c>
      <c r="AI623" s="10" t="s">
        <v>888</v>
      </c>
      <c r="AJ623" s="20" t="s">
        <v>813</v>
      </c>
      <c r="AK623" s="22" t="str">
        <f t="shared" si="19"/>
        <v>Cajamarca_05 Contumazá_08 Yonan</v>
      </c>
      <c r="AL623" s="25">
        <v>3</v>
      </c>
      <c r="AM623" s="25">
        <v>14</v>
      </c>
      <c r="AN623" s="26">
        <f>Tabla2[[#This Row],[Minutos]]/60</f>
        <v>0.23333333333333334</v>
      </c>
      <c r="AO623" s="27">
        <f>SUM(Tabla2[[#This Row],[Horas]],Tabla2[[#This Row],[Minutos a Horas]])</f>
        <v>3.2333333333333334</v>
      </c>
      <c r="AP623" s="49">
        <v>2</v>
      </c>
      <c r="AQ623" s="49">
        <v>49</v>
      </c>
      <c r="AR623" s="26">
        <f>Tabla2[[#This Row],[Minutos*]]/60</f>
        <v>0.81666666666666665</v>
      </c>
      <c r="AS623" s="27">
        <f>SUM(Tabla2[[#This Row],[Horas*]],Tabla2[[#This Row],[Minutos a Horas*]])+(Tabla2[[#This Row],[Tiempo Total a Nivel Proncincial (Horas)]])</f>
        <v>6.05</v>
      </c>
    </row>
    <row r="624" spans="8:45" x14ac:dyDescent="0.25"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1"/>
      <c r="AB624" s="88"/>
      <c r="AD624" s="20" t="s">
        <v>2381</v>
      </c>
      <c r="AE624" s="10" t="s">
        <v>378</v>
      </c>
      <c r="AF624" s="20" t="s">
        <v>753</v>
      </c>
      <c r="AG624" s="10"/>
      <c r="AH624" s="22" t="str">
        <f t="shared" si="18"/>
        <v>Cajamarca_06 Cutervo</v>
      </c>
      <c r="AI624" s="10" t="s">
        <v>889</v>
      </c>
      <c r="AJ624" s="20" t="s">
        <v>814</v>
      </c>
      <c r="AK624" s="22" t="str">
        <f t="shared" si="19"/>
        <v>Cajamarca_06 Cutervo_01 Cutervo</v>
      </c>
      <c r="AL624" s="25">
        <v>5</v>
      </c>
      <c r="AM624" s="25">
        <v>15</v>
      </c>
      <c r="AN624" s="26">
        <f>Tabla2[[#This Row],[Minutos]]/60</f>
        <v>0.25</v>
      </c>
      <c r="AO624" s="27">
        <f>SUM(Tabla2[[#This Row],[Horas]],Tabla2[[#This Row],[Minutos a Horas]])</f>
        <v>5.25</v>
      </c>
      <c r="AP624" s="49">
        <v>2</v>
      </c>
      <c r="AQ624" s="49">
        <v>0</v>
      </c>
      <c r="AR624" s="26">
        <f>Tabla2[[#This Row],[Minutos*]]/60</f>
        <v>0</v>
      </c>
      <c r="AS624" s="27">
        <f>SUM(Tabla2[[#This Row],[Horas*]],Tabla2[[#This Row],[Minutos a Horas*]])+(Tabla2[[#This Row],[Tiempo Total a Nivel Proncincial (Horas)]])</f>
        <v>7.25</v>
      </c>
    </row>
    <row r="625" spans="8:45" x14ac:dyDescent="0.25"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1"/>
      <c r="AB625" s="88"/>
      <c r="AD625" s="20" t="s">
        <v>2381</v>
      </c>
      <c r="AE625" s="10" t="s">
        <v>378</v>
      </c>
      <c r="AF625" s="20" t="s">
        <v>753</v>
      </c>
      <c r="AG625" s="10"/>
      <c r="AH625" s="22" t="str">
        <f t="shared" si="18"/>
        <v>Cajamarca_06 Cutervo</v>
      </c>
      <c r="AI625" s="10" t="s">
        <v>889</v>
      </c>
      <c r="AJ625" s="20" t="s">
        <v>815</v>
      </c>
      <c r="AK625" s="22" t="str">
        <f t="shared" si="19"/>
        <v>Cajamarca_06 Cutervo_02 Callayuc</v>
      </c>
      <c r="AL625" s="25">
        <v>5</v>
      </c>
      <c r="AM625" s="25">
        <v>15</v>
      </c>
      <c r="AN625" s="26">
        <f>Tabla2[[#This Row],[Minutos]]/60</f>
        <v>0.25</v>
      </c>
      <c r="AO625" s="27">
        <f>SUM(Tabla2[[#This Row],[Horas]],Tabla2[[#This Row],[Minutos a Horas]])</f>
        <v>5.25</v>
      </c>
      <c r="AP625" s="49">
        <v>3</v>
      </c>
      <c r="AQ625" s="49">
        <v>0</v>
      </c>
      <c r="AR625" s="26">
        <f>Tabla2[[#This Row],[Minutos*]]/60</f>
        <v>0</v>
      </c>
      <c r="AS625" s="27">
        <f>SUM(Tabla2[[#This Row],[Horas*]],Tabla2[[#This Row],[Minutos a Horas*]])+(Tabla2[[#This Row],[Tiempo Total a Nivel Proncincial (Horas)]])</f>
        <v>8.25</v>
      </c>
    </row>
    <row r="626" spans="8:45" x14ac:dyDescent="0.25"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  <c r="AA626" s="81"/>
      <c r="AB626" s="88"/>
      <c r="AD626" s="20" t="s">
        <v>2381</v>
      </c>
      <c r="AE626" s="10" t="s">
        <v>378</v>
      </c>
      <c r="AF626" s="20" t="s">
        <v>753</v>
      </c>
      <c r="AG626" s="10"/>
      <c r="AH626" s="22" t="str">
        <f t="shared" si="18"/>
        <v>Cajamarca_06 Cutervo</v>
      </c>
      <c r="AI626" s="10" t="s">
        <v>889</v>
      </c>
      <c r="AJ626" s="20" t="s">
        <v>816</v>
      </c>
      <c r="AK626" s="22" t="str">
        <f t="shared" si="19"/>
        <v>Cajamarca_06 Cutervo_03 Choros</v>
      </c>
      <c r="AL626" s="25">
        <v>5</v>
      </c>
      <c r="AM626" s="25">
        <v>15</v>
      </c>
      <c r="AN626" s="26">
        <f>Tabla2[[#This Row],[Minutos]]/60</f>
        <v>0.25</v>
      </c>
      <c r="AO626" s="27">
        <f>SUM(Tabla2[[#This Row],[Horas]],Tabla2[[#This Row],[Minutos a Horas]])</f>
        <v>5.25</v>
      </c>
      <c r="AP626" s="49">
        <v>4</v>
      </c>
      <c r="AQ626" s="49">
        <v>0</v>
      </c>
      <c r="AR626" s="26">
        <f>Tabla2[[#This Row],[Minutos*]]/60</f>
        <v>0</v>
      </c>
      <c r="AS626" s="27">
        <f>SUM(Tabla2[[#This Row],[Horas*]],Tabla2[[#This Row],[Minutos a Horas*]])+(Tabla2[[#This Row],[Tiempo Total a Nivel Proncincial (Horas)]])</f>
        <v>9.25</v>
      </c>
    </row>
    <row r="627" spans="8:45" x14ac:dyDescent="0.25"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  <c r="AA627" s="81"/>
      <c r="AB627" s="88"/>
      <c r="AD627" s="20" t="s">
        <v>2381</v>
      </c>
      <c r="AE627" s="10" t="s">
        <v>378</v>
      </c>
      <c r="AF627" s="20" t="s">
        <v>753</v>
      </c>
      <c r="AG627" s="10"/>
      <c r="AH627" s="22" t="str">
        <f t="shared" si="18"/>
        <v>Cajamarca_06 Cutervo</v>
      </c>
      <c r="AI627" s="10" t="s">
        <v>889</v>
      </c>
      <c r="AJ627" s="20" t="s">
        <v>817</v>
      </c>
      <c r="AK627" s="22" t="str">
        <f t="shared" si="19"/>
        <v>Cajamarca_06 Cutervo_04 Cujillo</v>
      </c>
      <c r="AL627" s="25">
        <v>5</v>
      </c>
      <c r="AM627" s="25">
        <v>15</v>
      </c>
      <c r="AN627" s="26">
        <f>Tabla2[[#This Row],[Minutos]]/60</f>
        <v>0.25</v>
      </c>
      <c r="AO627" s="27">
        <f>SUM(Tabla2[[#This Row],[Horas]],Tabla2[[#This Row],[Minutos a Horas]])</f>
        <v>5.25</v>
      </c>
      <c r="AP627" s="49">
        <v>5</v>
      </c>
      <c r="AQ627" s="49">
        <v>50</v>
      </c>
      <c r="AR627" s="26">
        <f>Tabla2[[#This Row],[Minutos*]]/60</f>
        <v>0.83333333333333337</v>
      </c>
      <c r="AS627" s="27">
        <f>SUM(Tabla2[[#This Row],[Horas*]],Tabla2[[#This Row],[Minutos a Horas*]])+(Tabla2[[#This Row],[Tiempo Total a Nivel Proncincial (Horas)]])</f>
        <v>11.083333333333332</v>
      </c>
    </row>
    <row r="628" spans="8:45" x14ac:dyDescent="0.25"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  <c r="AA628" s="81"/>
      <c r="AB628" s="88"/>
      <c r="AD628" s="20" t="s">
        <v>2381</v>
      </c>
      <c r="AE628" s="10" t="s">
        <v>378</v>
      </c>
      <c r="AF628" s="20" t="s">
        <v>753</v>
      </c>
      <c r="AG628" s="10"/>
      <c r="AH628" s="22" t="str">
        <f t="shared" si="18"/>
        <v>Cajamarca_06 Cutervo</v>
      </c>
      <c r="AI628" s="10" t="s">
        <v>889</v>
      </c>
      <c r="AJ628" s="20" t="s">
        <v>818</v>
      </c>
      <c r="AK628" s="22" t="str">
        <f t="shared" si="19"/>
        <v>Cajamarca_06 Cutervo_05 La Ramada</v>
      </c>
      <c r="AL628" s="25">
        <v>5</v>
      </c>
      <c r="AM628" s="25">
        <v>15</v>
      </c>
      <c r="AN628" s="26">
        <f>Tabla2[[#This Row],[Minutos]]/60</f>
        <v>0.25</v>
      </c>
      <c r="AO628" s="27">
        <f>SUM(Tabla2[[#This Row],[Horas]],Tabla2[[#This Row],[Minutos a Horas]])</f>
        <v>5.25</v>
      </c>
      <c r="AP628" s="49">
        <v>3</v>
      </c>
      <c r="AQ628" s="49">
        <v>18</v>
      </c>
      <c r="AR628" s="26">
        <f>Tabla2[[#This Row],[Minutos*]]/60</f>
        <v>0.3</v>
      </c>
      <c r="AS628" s="27">
        <f>SUM(Tabla2[[#This Row],[Horas*]],Tabla2[[#This Row],[Minutos a Horas*]])+(Tabla2[[#This Row],[Tiempo Total a Nivel Proncincial (Horas)]])</f>
        <v>8.5500000000000007</v>
      </c>
    </row>
    <row r="629" spans="8:45" x14ac:dyDescent="0.25"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  <c r="AA629" s="81"/>
      <c r="AB629" s="88"/>
      <c r="AD629" s="20" t="s">
        <v>2381</v>
      </c>
      <c r="AE629" s="10" t="s">
        <v>378</v>
      </c>
      <c r="AF629" s="20" t="s">
        <v>753</v>
      </c>
      <c r="AG629" s="10"/>
      <c r="AH629" s="22" t="str">
        <f t="shared" si="18"/>
        <v>Cajamarca_06 Cutervo</v>
      </c>
      <c r="AI629" s="10" t="s">
        <v>889</v>
      </c>
      <c r="AJ629" s="20" t="s">
        <v>819</v>
      </c>
      <c r="AK629" s="22" t="str">
        <f t="shared" si="19"/>
        <v>Cajamarca_06 Cutervo_06 Pimpingos</v>
      </c>
      <c r="AL629" s="25">
        <v>5</v>
      </c>
      <c r="AM629" s="25">
        <v>15</v>
      </c>
      <c r="AN629" s="26">
        <f>Tabla2[[#This Row],[Minutos]]/60</f>
        <v>0.25</v>
      </c>
      <c r="AO629" s="27">
        <f>SUM(Tabla2[[#This Row],[Horas]],Tabla2[[#This Row],[Minutos a Horas]])</f>
        <v>5.25</v>
      </c>
      <c r="AP629" s="49">
        <v>4</v>
      </c>
      <c r="AQ629" s="49">
        <v>20</v>
      </c>
      <c r="AR629" s="26">
        <f>Tabla2[[#This Row],[Minutos*]]/60</f>
        <v>0.33333333333333331</v>
      </c>
      <c r="AS629" s="27">
        <f>SUM(Tabla2[[#This Row],[Horas*]],Tabla2[[#This Row],[Minutos a Horas*]])+(Tabla2[[#This Row],[Tiempo Total a Nivel Proncincial (Horas)]])</f>
        <v>9.5833333333333321</v>
      </c>
    </row>
    <row r="630" spans="8:45" x14ac:dyDescent="0.25"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  <c r="AA630" s="81"/>
      <c r="AB630" s="88"/>
      <c r="AD630" s="20" t="s">
        <v>2381</v>
      </c>
      <c r="AE630" s="10" t="s">
        <v>378</v>
      </c>
      <c r="AF630" s="20" t="s">
        <v>753</v>
      </c>
      <c r="AG630" s="10"/>
      <c r="AH630" s="22" t="str">
        <f t="shared" si="18"/>
        <v>Cajamarca_06 Cutervo</v>
      </c>
      <c r="AI630" s="10" t="s">
        <v>889</v>
      </c>
      <c r="AJ630" s="20" t="s">
        <v>820</v>
      </c>
      <c r="AK630" s="22" t="str">
        <f t="shared" si="19"/>
        <v>Cajamarca_06 Cutervo_07 Querocotillo</v>
      </c>
      <c r="AL630" s="25">
        <v>5</v>
      </c>
      <c r="AM630" s="25">
        <v>15</v>
      </c>
      <c r="AN630" s="26">
        <f>Tabla2[[#This Row],[Minutos]]/60</f>
        <v>0.25</v>
      </c>
      <c r="AO630" s="27">
        <f>SUM(Tabla2[[#This Row],[Horas]],Tabla2[[#This Row],[Minutos a Horas]])</f>
        <v>5.25</v>
      </c>
      <c r="AP630" s="49">
        <v>3</v>
      </c>
      <c r="AQ630" s="49">
        <v>40</v>
      </c>
      <c r="AR630" s="26">
        <f>Tabla2[[#This Row],[Minutos*]]/60</f>
        <v>0.66666666666666663</v>
      </c>
      <c r="AS630" s="27">
        <f>SUM(Tabla2[[#This Row],[Horas*]],Tabla2[[#This Row],[Minutos a Horas*]])+(Tabla2[[#This Row],[Tiempo Total a Nivel Proncincial (Horas)]])</f>
        <v>8.9166666666666661</v>
      </c>
    </row>
    <row r="631" spans="8:45" x14ac:dyDescent="0.25"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  <c r="AA631" s="81"/>
      <c r="AB631" s="88"/>
      <c r="AD631" s="20" t="s">
        <v>2381</v>
      </c>
      <c r="AE631" s="10" t="s">
        <v>378</v>
      </c>
      <c r="AF631" s="20" t="s">
        <v>753</v>
      </c>
      <c r="AG631" s="10"/>
      <c r="AH631" s="22" t="str">
        <f t="shared" si="18"/>
        <v>Cajamarca_06 Cutervo</v>
      </c>
      <c r="AI631" s="10" t="s">
        <v>889</v>
      </c>
      <c r="AJ631" s="20" t="s">
        <v>821</v>
      </c>
      <c r="AK631" s="22" t="str">
        <f t="shared" si="19"/>
        <v>Cajamarca_06 Cutervo_08 San Andrés de Cutervo</v>
      </c>
      <c r="AL631" s="25">
        <v>5</v>
      </c>
      <c r="AM631" s="25">
        <v>15</v>
      </c>
      <c r="AN631" s="26">
        <f>Tabla2[[#This Row],[Minutos]]/60</f>
        <v>0.25</v>
      </c>
      <c r="AO631" s="27">
        <f>SUM(Tabla2[[#This Row],[Horas]],Tabla2[[#This Row],[Minutos a Horas]])</f>
        <v>5.25</v>
      </c>
      <c r="AP631" s="49">
        <v>3</v>
      </c>
      <c r="AQ631" s="49">
        <v>31</v>
      </c>
      <c r="AR631" s="26">
        <f>Tabla2[[#This Row],[Minutos*]]/60</f>
        <v>0.51666666666666672</v>
      </c>
      <c r="AS631" s="27">
        <f>SUM(Tabla2[[#This Row],[Horas*]],Tabla2[[#This Row],[Minutos a Horas*]])+(Tabla2[[#This Row],[Tiempo Total a Nivel Proncincial (Horas)]])</f>
        <v>8.7666666666666657</v>
      </c>
    </row>
    <row r="632" spans="8:45" x14ac:dyDescent="0.25"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  <c r="AA632" s="81"/>
      <c r="AB632" s="88"/>
      <c r="AD632" s="20" t="s">
        <v>2381</v>
      </c>
      <c r="AE632" s="10" t="s">
        <v>378</v>
      </c>
      <c r="AF632" s="20" t="s">
        <v>753</v>
      </c>
      <c r="AG632" s="10"/>
      <c r="AH632" s="22" t="str">
        <f t="shared" si="18"/>
        <v>Cajamarca_06 Cutervo</v>
      </c>
      <c r="AI632" s="10" t="s">
        <v>889</v>
      </c>
      <c r="AJ632" s="20" t="s">
        <v>822</v>
      </c>
      <c r="AK632" s="22" t="str">
        <f t="shared" si="19"/>
        <v>Cajamarca_06 Cutervo_09 San Juan de Cutervo</v>
      </c>
      <c r="AL632" s="25">
        <v>5</v>
      </c>
      <c r="AM632" s="25">
        <v>15</v>
      </c>
      <c r="AN632" s="26">
        <f>Tabla2[[#This Row],[Minutos]]/60</f>
        <v>0.25</v>
      </c>
      <c r="AO632" s="27">
        <f>SUM(Tabla2[[#This Row],[Horas]],Tabla2[[#This Row],[Minutos a Horas]])</f>
        <v>5.25</v>
      </c>
      <c r="AP632" s="49">
        <v>3</v>
      </c>
      <c r="AQ632" s="49">
        <v>30</v>
      </c>
      <c r="AR632" s="26">
        <f>Tabla2[[#This Row],[Minutos*]]/60</f>
        <v>0.5</v>
      </c>
      <c r="AS632" s="27">
        <f>SUM(Tabla2[[#This Row],[Horas*]],Tabla2[[#This Row],[Minutos a Horas*]])+(Tabla2[[#This Row],[Tiempo Total a Nivel Proncincial (Horas)]])</f>
        <v>8.75</v>
      </c>
    </row>
    <row r="633" spans="8:45" x14ac:dyDescent="0.25"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  <c r="AA633" s="81"/>
      <c r="AB633" s="88"/>
      <c r="AD633" s="20" t="s">
        <v>2381</v>
      </c>
      <c r="AE633" s="10" t="s">
        <v>378</v>
      </c>
      <c r="AF633" s="20" t="s">
        <v>753</v>
      </c>
      <c r="AG633" s="10"/>
      <c r="AH633" s="22" t="str">
        <f t="shared" si="18"/>
        <v>Cajamarca_06 Cutervo</v>
      </c>
      <c r="AI633" s="10" t="s">
        <v>889</v>
      </c>
      <c r="AJ633" s="20" t="s">
        <v>823</v>
      </c>
      <c r="AK633" s="22" t="str">
        <f t="shared" si="19"/>
        <v>Cajamarca_06 Cutervo_10 San Luis de Lucma</v>
      </c>
      <c r="AL633" s="25">
        <v>5</v>
      </c>
      <c r="AM633" s="25">
        <v>15</v>
      </c>
      <c r="AN633" s="26">
        <f>Tabla2[[#This Row],[Minutos]]/60</f>
        <v>0.25</v>
      </c>
      <c r="AO633" s="27">
        <f>SUM(Tabla2[[#This Row],[Horas]],Tabla2[[#This Row],[Minutos a Horas]])</f>
        <v>5.25</v>
      </c>
      <c r="AP633" s="49">
        <v>5</v>
      </c>
      <c r="AQ633" s="49">
        <v>0</v>
      </c>
      <c r="AR633" s="26">
        <f>Tabla2[[#This Row],[Minutos*]]/60</f>
        <v>0</v>
      </c>
      <c r="AS633" s="27">
        <f>SUM(Tabla2[[#This Row],[Horas*]],Tabla2[[#This Row],[Minutos a Horas*]])+(Tabla2[[#This Row],[Tiempo Total a Nivel Proncincial (Horas)]])</f>
        <v>10.25</v>
      </c>
    </row>
    <row r="634" spans="8:45" x14ac:dyDescent="0.25"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1"/>
      <c r="AB634" s="88"/>
      <c r="AD634" s="20" t="s">
        <v>2381</v>
      </c>
      <c r="AE634" s="10" t="s">
        <v>378</v>
      </c>
      <c r="AF634" s="20" t="s">
        <v>753</v>
      </c>
      <c r="AG634" s="10"/>
      <c r="AH634" s="22" t="str">
        <f t="shared" si="18"/>
        <v>Cajamarca_06 Cutervo</v>
      </c>
      <c r="AI634" s="10" t="s">
        <v>889</v>
      </c>
      <c r="AJ634" s="20" t="s">
        <v>824</v>
      </c>
      <c r="AK634" s="22" t="str">
        <f t="shared" si="19"/>
        <v>Cajamarca_06 Cutervo_11 Santa Cruz</v>
      </c>
      <c r="AL634" s="25">
        <v>5</v>
      </c>
      <c r="AM634" s="25">
        <v>15</v>
      </c>
      <c r="AN634" s="26">
        <f>Tabla2[[#This Row],[Minutos]]/60</f>
        <v>0.25</v>
      </c>
      <c r="AO634" s="27">
        <f>SUM(Tabla2[[#This Row],[Horas]],Tabla2[[#This Row],[Minutos a Horas]])</f>
        <v>5.25</v>
      </c>
      <c r="AP634" s="49">
        <v>4</v>
      </c>
      <c r="AQ634" s="49">
        <v>43</v>
      </c>
      <c r="AR634" s="26">
        <f>Tabla2[[#This Row],[Minutos*]]/60</f>
        <v>0.71666666666666667</v>
      </c>
      <c r="AS634" s="27">
        <f>SUM(Tabla2[[#This Row],[Horas*]],Tabla2[[#This Row],[Minutos a Horas*]])+(Tabla2[[#This Row],[Tiempo Total a Nivel Proncincial (Horas)]])</f>
        <v>9.9666666666666668</v>
      </c>
    </row>
    <row r="635" spans="8:45" x14ac:dyDescent="0.25"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1"/>
      <c r="AB635" s="88"/>
      <c r="AD635" s="20" t="s">
        <v>2381</v>
      </c>
      <c r="AE635" s="10" t="s">
        <v>378</v>
      </c>
      <c r="AF635" s="20" t="s">
        <v>753</v>
      </c>
      <c r="AG635" s="10"/>
      <c r="AH635" s="22" t="str">
        <f t="shared" si="18"/>
        <v>Cajamarca_06 Cutervo</v>
      </c>
      <c r="AI635" s="10" t="s">
        <v>889</v>
      </c>
      <c r="AJ635" s="20" t="s">
        <v>825</v>
      </c>
      <c r="AK635" s="22" t="str">
        <f t="shared" si="19"/>
        <v>Cajamarca_06 Cutervo_12 Santo Domingo de la Capilla</v>
      </c>
      <c r="AL635" s="25">
        <v>5</v>
      </c>
      <c r="AM635" s="25">
        <v>15</v>
      </c>
      <c r="AN635" s="26">
        <f>Tabla2[[#This Row],[Minutos]]/60</f>
        <v>0.25</v>
      </c>
      <c r="AO635" s="27">
        <f>SUM(Tabla2[[#This Row],[Horas]],Tabla2[[#This Row],[Minutos a Horas]])</f>
        <v>5.25</v>
      </c>
      <c r="AP635" s="49">
        <v>3</v>
      </c>
      <c r="AQ635" s="49">
        <v>30</v>
      </c>
      <c r="AR635" s="26">
        <f>Tabla2[[#This Row],[Minutos*]]/60</f>
        <v>0.5</v>
      </c>
      <c r="AS635" s="27">
        <f>SUM(Tabla2[[#This Row],[Horas*]],Tabla2[[#This Row],[Minutos a Horas*]])+(Tabla2[[#This Row],[Tiempo Total a Nivel Proncincial (Horas)]])</f>
        <v>8.75</v>
      </c>
    </row>
    <row r="636" spans="8:45" x14ac:dyDescent="0.25"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1"/>
      <c r="AB636" s="88"/>
      <c r="AD636" s="20" t="s">
        <v>2381</v>
      </c>
      <c r="AE636" s="10" t="s">
        <v>378</v>
      </c>
      <c r="AF636" s="20" t="s">
        <v>753</v>
      </c>
      <c r="AG636" s="10"/>
      <c r="AH636" s="22" t="str">
        <f t="shared" si="18"/>
        <v>Cajamarca_06 Cutervo</v>
      </c>
      <c r="AI636" s="10" t="s">
        <v>889</v>
      </c>
      <c r="AJ636" s="20" t="s">
        <v>826</v>
      </c>
      <c r="AK636" s="22" t="str">
        <f t="shared" si="19"/>
        <v>Cajamarca_06 Cutervo_13 Santo Tomas</v>
      </c>
      <c r="AL636" s="25">
        <v>5</v>
      </c>
      <c r="AM636" s="25">
        <v>15</v>
      </c>
      <c r="AN636" s="26">
        <f>Tabla2[[#This Row],[Minutos]]/60</f>
        <v>0.25</v>
      </c>
      <c r="AO636" s="27">
        <f>SUM(Tabla2[[#This Row],[Horas]],Tabla2[[#This Row],[Minutos a Horas]])</f>
        <v>5.25</v>
      </c>
      <c r="AP636" s="49">
        <v>2</v>
      </c>
      <c r="AQ636" s="49">
        <v>15</v>
      </c>
      <c r="AR636" s="26">
        <f>Tabla2[[#This Row],[Minutos*]]/60</f>
        <v>0.25</v>
      </c>
      <c r="AS636" s="27">
        <f>SUM(Tabla2[[#This Row],[Horas*]],Tabla2[[#This Row],[Minutos a Horas*]])+(Tabla2[[#This Row],[Tiempo Total a Nivel Proncincial (Horas)]])</f>
        <v>7.5</v>
      </c>
    </row>
    <row r="637" spans="8:45" x14ac:dyDescent="0.25"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1"/>
      <c r="AB637" s="88"/>
      <c r="AD637" s="20" t="s">
        <v>2381</v>
      </c>
      <c r="AE637" s="10" t="s">
        <v>378</v>
      </c>
      <c r="AF637" s="20" t="s">
        <v>753</v>
      </c>
      <c r="AG637" s="10"/>
      <c r="AH637" s="22" t="str">
        <f t="shared" si="18"/>
        <v>Cajamarca_06 Cutervo</v>
      </c>
      <c r="AI637" s="10" t="s">
        <v>889</v>
      </c>
      <c r="AJ637" s="20" t="s">
        <v>827</v>
      </c>
      <c r="AK637" s="22" t="str">
        <f t="shared" si="19"/>
        <v>Cajamarca_06 Cutervo_14 Socota</v>
      </c>
      <c r="AL637" s="25">
        <v>5</v>
      </c>
      <c r="AM637" s="25">
        <v>15</v>
      </c>
      <c r="AN637" s="26">
        <f>Tabla2[[#This Row],[Minutos]]/60</f>
        <v>0.25</v>
      </c>
      <c r="AO637" s="27">
        <f>SUM(Tabla2[[#This Row],[Horas]],Tabla2[[#This Row],[Minutos a Horas]])</f>
        <v>5.25</v>
      </c>
      <c r="AP637" s="49">
        <v>2</v>
      </c>
      <c r="AQ637" s="49">
        <v>36</v>
      </c>
      <c r="AR637" s="26">
        <f>Tabla2[[#This Row],[Minutos*]]/60</f>
        <v>0.6</v>
      </c>
      <c r="AS637" s="27">
        <f>SUM(Tabla2[[#This Row],[Horas*]],Tabla2[[#This Row],[Minutos a Horas*]])+(Tabla2[[#This Row],[Tiempo Total a Nivel Proncincial (Horas)]])</f>
        <v>7.85</v>
      </c>
    </row>
    <row r="638" spans="8:45" x14ac:dyDescent="0.25"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1"/>
      <c r="AB638" s="88"/>
      <c r="AD638" s="20" t="s">
        <v>2381</v>
      </c>
      <c r="AE638" s="10" t="s">
        <v>378</v>
      </c>
      <c r="AF638" s="20" t="s">
        <v>753</v>
      </c>
      <c r="AG638" s="10"/>
      <c r="AH638" s="22" t="str">
        <f t="shared" si="18"/>
        <v>Cajamarca_06 Cutervo</v>
      </c>
      <c r="AI638" s="10" t="s">
        <v>889</v>
      </c>
      <c r="AJ638" s="20" t="s">
        <v>828</v>
      </c>
      <c r="AK638" s="22" t="str">
        <f t="shared" si="19"/>
        <v>Cajamarca_06 Cutervo_15 Toribio Casanova</v>
      </c>
      <c r="AL638" s="25">
        <v>5</v>
      </c>
      <c r="AM638" s="25">
        <v>15</v>
      </c>
      <c r="AN638" s="26">
        <f>Tabla2[[#This Row],[Minutos]]/60</f>
        <v>0.25</v>
      </c>
      <c r="AO638" s="27">
        <f>SUM(Tabla2[[#This Row],[Horas]],Tabla2[[#This Row],[Minutos a Horas]])</f>
        <v>5.25</v>
      </c>
      <c r="AP638" s="49">
        <v>2</v>
      </c>
      <c r="AQ638" s="49">
        <v>0</v>
      </c>
      <c r="AR638" s="26">
        <f>Tabla2[[#This Row],[Minutos*]]/60</f>
        <v>0</v>
      </c>
      <c r="AS638" s="27">
        <f>SUM(Tabla2[[#This Row],[Horas*]],Tabla2[[#This Row],[Minutos a Horas*]])+(Tabla2[[#This Row],[Tiempo Total a Nivel Proncincial (Horas)]])</f>
        <v>7.25</v>
      </c>
    </row>
    <row r="639" spans="8:45" x14ac:dyDescent="0.25"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1"/>
      <c r="AB639" s="88"/>
      <c r="AD639" s="20" t="s">
        <v>2381</v>
      </c>
      <c r="AE639" s="10" t="s">
        <v>378</v>
      </c>
      <c r="AF639" s="20" t="s">
        <v>754</v>
      </c>
      <c r="AG639" s="10"/>
      <c r="AH639" s="22" t="str">
        <f t="shared" si="18"/>
        <v>Cajamarca_07 Hualgayoc</v>
      </c>
      <c r="AI639" s="10" t="s">
        <v>890</v>
      </c>
      <c r="AJ639" s="20" t="s">
        <v>829</v>
      </c>
      <c r="AK639" s="22" t="str">
        <f t="shared" si="19"/>
        <v>Cajamarca_07 Hualgayoc_01 Bambamarca</v>
      </c>
      <c r="AL639" s="25">
        <v>2</v>
      </c>
      <c r="AM639" s="25">
        <v>25</v>
      </c>
      <c r="AN639" s="26">
        <f>Tabla2[[#This Row],[Minutos]]/60</f>
        <v>0.41666666666666669</v>
      </c>
      <c r="AO639" s="27">
        <f>SUM(Tabla2[[#This Row],[Horas]],Tabla2[[#This Row],[Minutos a Horas]])</f>
        <v>2.4166666666666665</v>
      </c>
      <c r="AP639" s="49">
        <v>0</v>
      </c>
      <c r="AQ639" s="49">
        <v>40</v>
      </c>
      <c r="AR639" s="26">
        <f>Tabla2[[#This Row],[Minutos*]]/60</f>
        <v>0.66666666666666663</v>
      </c>
      <c r="AS639" s="27">
        <f>SUM(Tabla2[[#This Row],[Horas*]],Tabla2[[#This Row],[Minutos a Horas*]])+(Tabla2[[#This Row],[Tiempo Total a Nivel Proncincial (Horas)]])</f>
        <v>3.083333333333333</v>
      </c>
    </row>
    <row r="640" spans="8:45" x14ac:dyDescent="0.25"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  <c r="AA640" s="81"/>
      <c r="AB640" s="88"/>
      <c r="AD640" s="20" t="s">
        <v>2381</v>
      </c>
      <c r="AE640" s="10" t="s">
        <v>378</v>
      </c>
      <c r="AF640" s="20" t="s">
        <v>754</v>
      </c>
      <c r="AG640" s="10"/>
      <c r="AH640" s="22" t="str">
        <f t="shared" si="18"/>
        <v>Cajamarca_07 Hualgayoc</v>
      </c>
      <c r="AI640" s="10" t="s">
        <v>890</v>
      </c>
      <c r="AJ640" s="20" t="s">
        <v>830</v>
      </c>
      <c r="AK640" s="22" t="str">
        <f t="shared" si="19"/>
        <v>Cajamarca_07 Hualgayoc_02 Chugur</v>
      </c>
      <c r="AL640" s="25">
        <v>2</v>
      </c>
      <c r="AM640" s="25">
        <v>25</v>
      </c>
      <c r="AN640" s="26">
        <f>Tabla2[[#This Row],[Minutos]]/60</f>
        <v>0.41666666666666669</v>
      </c>
      <c r="AO640" s="27">
        <f>SUM(Tabla2[[#This Row],[Horas]],Tabla2[[#This Row],[Minutos a Horas]])</f>
        <v>2.4166666666666665</v>
      </c>
      <c r="AP640" s="49">
        <v>1</v>
      </c>
      <c r="AQ640" s="49">
        <v>50</v>
      </c>
      <c r="AR640" s="26">
        <f>Tabla2[[#This Row],[Minutos*]]/60</f>
        <v>0.83333333333333337</v>
      </c>
      <c r="AS640" s="27">
        <f>SUM(Tabla2[[#This Row],[Horas*]],Tabla2[[#This Row],[Minutos a Horas*]])+(Tabla2[[#This Row],[Tiempo Total a Nivel Proncincial (Horas)]])</f>
        <v>4.25</v>
      </c>
    </row>
    <row r="641" spans="8:45" x14ac:dyDescent="0.25"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  <c r="AA641" s="81"/>
      <c r="AB641" s="88"/>
      <c r="AD641" s="20" t="s">
        <v>2381</v>
      </c>
      <c r="AE641" s="10" t="s">
        <v>378</v>
      </c>
      <c r="AF641" s="20" t="s">
        <v>754</v>
      </c>
      <c r="AG641" s="10"/>
      <c r="AH641" s="22" t="str">
        <f t="shared" si="18"/>
        <v>Cajamarca_07 Hualgayoc</v>
      </c>
      <c r="AI641" s="10" t="s">
        <v>890</v>
      </c>
      <c r="AJ641" s="20" t="s">
        <v>831</v>
      </c>
      <c r="AK641" s="22" t="str">
        <f t="shared" si="19"/>
        <v>Cajamarca_07 Hualgayoc_03 Hualgayoc</v>
      </c>
      <c r="AL641" s="25">
        <v>2</v>
      </c>
      <c r="AM641" s="25">
        <v>25</v>
      </c>
      <c r="AN641" s="26">
        <f>Tabla2[[#This Row],[Minutos]]/60</f>
        <v>0.41666666666666669</v>
      </c>
      <c r="AO641" s="27">
        <f>SUM(Tabla2[[#This Row],[Horas]],Tabla2[[#This Row],[Minutos a Horas]])</f>
        <v>2.4166666666666665</v>
      </c>
      <c r="AP641" s="49">
        <v>1</v>
      </c>
      <c r="AQ641" s="49">
        <v>15</v>
      </c>
      <c r="AR641" s="26">
        <f>Tabla2[[#This Row],[Minutos*]]/60</f>
        <v>0.25</v>
      </c>
      <c r="AS641" s="27">
        <f>SUM(Tabla2[[#This Row],[Horas*]],Tabla2[[#This Row],[Minutos a Horas*]])+(Tabla2[[#This Row],[Tiempo Total a Nivel Proncincial (Horas)]])</f>
        <v>3.6666666666666665</v>
      </c>
    </row>
    <row r="642" spans="8:45" x14ac:dyDescent="0.25"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  <c r="AA642" s="81"/>
      <c r="AB642" s="88"/>
      <c r="AD642" s="20" t="s">
        <v>2381</v>
      </c>
      <c r="AE642" s="10" t="s">
        <v>378</v>
      </c>
      <c r="AF642" s="20" t="s">
        <v>755</v>
      </c>
      <c r="AG642" s="10"/>
      <c r="AH642" s="22" t="str">
        <f t="shared" si="18"/>
        <v>Cajamarca_08 Jaén</v>
      </c>
      <c r="AI642" s="10" t="s">
        <v>891</v>
      </c>
      <c r="AJ642" s="20" t="s">
        <v>832</v>
      </c>
      <c r="AK642" s="22" t="str">
        <f t="shared" si="19"/>
        <v>Cajamarca_08 Jaén_01 Jaén</v>
      </c>
      <c r="AL642" s="25">
        <v>7</v>
      </c>
      <c r="AM642" s="25">
        <v>45</v>
      </c>
      <c r="AN642" s="26">
        <f>Tabla2[[#This Row],[Minutos]]/60</f>
        <v>0.75</v>
      </c>
      <c r="AO642" s="27">
        <f>SUM(Tabla2[[#This Row],[Horas]],Tabla2[[#This Row],[Minutos a Horas]])</f>
        <v>7.75</v>
      </c>
      <c r="AP642" s="49"/>
      <c r="AQ642" s="49"/>
      <c r="AR642" s="26">
        <f>Tabla2[[#This Row],[Minutos*]]/60</f>
        <v>0</v>
      </c>
      <c r="AS642" s="27">
        <f>SUM(Tabla2[[#This Row],[Horas*]],Tabla2[[#This Row],[Minutos a Horas*]])+(Tabla2[[#This Row],[Tiempo Total a Nivel Proncincial (Horas)]])</f>
        <v>7.75</v>
      </c>
    </row>
    <row r="643" spans="8:45" x14ac:dyDescent="0.25"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  <c r="AA643" s="81"/>
      <c r="AB643" s="88"/>
      <c r="AD643" s="20" t="s">
        <v>2381</v>
      </c>
      <c r="AE643" s="10" t="s">
        <v>378</v>
      </c>
      <c r="AF643" s="20" t="s">
        <v>755</v>
      </c>
      <c r="AG643" s="10"/>
      <c r="AH643" s="22" t="str">
        <f t="shared" si="18"/>
        <v>Cajamarca_08 Jaén</v>
      </c>
      <c r="AI643" s="10" t="s">
        <v>891</v>
      </c>
      <c r="AJ643" s="20" t="s">
        <v>833</v>
      </c>
      <c r="AK643" s="22" t="str">
        <f t="shared" si="19"/>
        <v>Cajamarca_08 Jaén_02 Bellavista</v>
      </c>
      <c r="AL643" s="25">
        <v>7</v>
      </c>
      <c r="AM643" s="25">
        <v>45</v>
      </c>
      <c r="AN643" s="26">
        <f>Tabla2[[#This Row],[Minutos]]/60</f>
        <v>0.75</v>
      </c>
      <c r="AO643" s="27">
        <f>SUM(Tabla2[[#This Row],[Horas]],Tabla2[[#This Row],[Minutos a Horas]])</f>
        <v>7.75</v>
      </c>
      <c r="AP643" s="49">
        <v>0</v>
      </c>
      <c r="AQ643" s="49">
        <v>26</v>
      </c>
      <c r="AR643" s="26">
        <f>Tabla2[[#This Row],[Minutos*]]/60</f>
        <v>0.43333333333333335</v>
      </c>
      <c r="AS643" s="27">
        <f>SUM(Tabla2[[#This Row],[Horas*]],Tabla2[[#This Row],[Minutos a Horas*]])+(Tabla2[[#This Row],[Tiempo Total a Nivel Proncincial (Horas)]])</f>
        <v>8.1833333333333336</v>
      </c>
    </row>
    <row r="644" spans="8:45" x14ac:dyDescent="0.25"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  <c r="AA644" s="81"/>
      <c r="AB644" s="88"/>
      <c r="AD644" s="20" t="s">
        <v>2381</v>
      </c>
      <c r="AE644" s="10" t="s">
        <v>378</v>
      </c>
      <c r="AF644" s="20" t="s">
        <v>755</v>
      </c>
      <c r="AG644" s="10"/>
      <c r="AH644" s="22" t="str">
        <f t="shared" si="18"/>
        <v>Cajamarca_08 Jaén</v>
      </c>
      <c r="AI644" s="10" t="s">
        <v>891</v>
      </c>
      <c r="AJ644" s="20" t="s">
        <v>834</v>
      </c>
      <c r="AK644" s="22" t="str">
        <f t="shared" si="19"/>
        <v>Cajamarca_08 Jaén_03 Chontali</v>
      </c>
      <c r="AL644" s="25">
        <v>7</v>
      </c>
      <c r="AM644" s="25">
        <v>45</v>
      </c>
      <c r="AN644" s="26">
        <f>Tabla2[[#This Row],[Minutos]]/60</f>
        <v>0.75</v>
      </c>
      <c r="AO644" s="27">
        <f>SUM(Tabla2[[#This Row],[Horas]],Tabla2[[#This Row],[Minutos a Horas]])</f>
        <v>7.75</v>
      </c>
      <c r="AP644" s="49">
        <v>4</v>
      </c>
      <c r="AQ644" s="49">
        <v>0</v>
      </c>
      <c r="AR644" s="26">
        <f>Tabla2[[#This Row],[Minutos*]]/60</f>
        <v>0</v>
      </c>
      <c r="AS644" s="27">
        <f>SUM(Tabla2[[#This Row],[Horas*]],Tabla2[[#This Row],[Minutos a Horas*]])+(Tabla2[[#This Row],[Tiempo Total a Nivel Proncincial (Horas)]])</f>
        <v>11.75</v>
      </c>
    </row>
    <row r="645" spans="8:45" x14ac:dyDescent="0.25"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  <c r="AA645" s="81"/>
      <c r="AB645" s="88"/>
      <c r="AD645" s="20" t="s">
        <v>2381</v>
      </c>
      <c r="AE645" s="10" t="s">
        <v>378</v>
      </c>
      <c r="AF645" s="20" t="s">
        <v>755</v>
      </c>
      <c r="AG645" s="10"/>
      <c r="AH645" s="22" t="str">
        <f t="shared" si="18"/>
        <v>Cajamarca_08 Jaén</v>
      </c>
      <c r="AI645" s="10" t="s">
        <v>891</v>
      </c>
      <c r="AJ645" s="20" t="s">
        <v>835</v>
      </c>
      <c r="AK645" s="22" t="str">
        <f t="shared" si="19"/>
        <v>Cajamarca_08 Jaén_04 Colasay</v>
      </c>
      <c r="AL645" s="25">
        <v>7</v>
      </c>
      <c r="AM645" s="25">
        <v>45</v>
      </c>
      <c r="AN645" s="26">
        <f>Tabla2[[#This Row],[Minutos]]/60</f>
        <v>0.75</v>
      </c>
      <c r="AO645" s="27">
        <f>SUM(Tabla2[[#This Row],[Horas]],Tabla2[[#This Row],[Minutos a Horas]])</f>
        <v>7.75</v>
      </c>
      <c r="AP645" s="49">
        <v>2</v>
      </c>
      <c r="AQ645" s="49">
        <v>7</v>
      </c>
      <c r="AR645" s="26">
        <f>Tabla2[[#This Row],[Minutos*]]/60</f>
        <v>0.11666666666666667</v>
      </c>
      <c r="AS645" s="27">
        <f>SUM(Tabla2[[#This Row],[Horas*]],Tabla2[[#This Row],[Minutos a Horas*]])+(Tabla2[[#This Row],[Tiempo Total a Nivel Proncincial (Horas)]])</f>
        <v>9.8666666666666671</v>
      </c>
    </row>
    <row r="646" spans="8:45" x14ac:dyDescent="0.25"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8"/>
      <c r="AD646" s="20" t="s">
        <v>2381</v>
      </c>
      <c r="AE646" s="10" t="s">
        <v>378</v>
      </c>
      <c r="AF646" s="20" t="s">
        <v>755</v>
      </c>
      <c r="AG646" s="10"/>
      <c r="AH646" s="22" t="str">
        <f t="shared" si="18"/>
        <v>Cajamarca_08 Jaén</v>
      </c>
      <c r="AI646" s="10" t="s">
        <v>891</v>
      </c>
      <c r="AJ646" s="20" t="s">
        <v>836</v>
      </c>
      <c r="AK646" s="22" t="str">
        <f t="shared" si="19"/>
        <v>Cajamarca_08 Jaén_05 Huabal</v>
      </c>
      <c r="AL646" s="25">
        <v>7</v>
      </c>
      <c r="AM646" s="25">
        <v>45</v>
      </c>
      <c r="AN646" s="26">
        <f>Tabla2[[#This Row],[Minutos]]/60</f>
        <v>0.75</v>
      </c>
      <c r="AO646" s="27">
        <f>SUM(Tabla2[[#This Row],[Horas]],Tabla2[[#This Row],[Minutos a Horas]])</f>
        <v>7.75</v>
      </c>
      <c r="AP646" s="49">
        <v>0</v>
      </c>
      <c r="AQ646" s="49">
        <v>50</v>
      </c>
      <c r="AR646" s="26">
        <f>Tabla2[[#This Row],[Minutos*]]/60</f>
        <v>0.83333333333333337</v>
      </c>
      <c r="AS646" s="27">
        <f>SUM(Tabla2[[#This Row],[Horas*]],Tabla2[[#This Row],[Minutos a Horas*]])+(Tabla2[[#This Row],[Tiempo Total a Nivel Proncincial (Horas)]])</f>
        <v>8.5833333333333339</v>
      </c>
    </row>
    <row r="647" spans="8:45" x14ac:dyDescent="0.25">
      <c r="H647" s="81"/>
      <c r="I647" s="81"/>
      <c r="J647" s="81"/>
      <c r="K647" s="81"/>
      <c r="L647" s="81"/>
      <c r="M647" s="81"/>
      <c r="N647" s="81"/>
      <c r="O647" s="81"/>
      <c r="P647" s="81"/>
      <c r="Q647" s="81"/>
      <c r="R647" s="81"/>
      <c r="S647" s="81"/>
      <c r="T647" s="81"/>
      <c r="U647" s="81"/>
      <c r="V647" s="81"/>
      <c r="W647" s="81"/>
      <c r="X647" s="81"/>
      <c r="Y647" s="81"/>
      <c r="Z647" s="81"/>
      <c r="AA647" s="81"/>
      <c r="AB647" s="88"/>
      <c r="AD647" s="20" t="s">
        <v>2381</v>
      </c>
      <c r="AE647" s="10" t="s">
        <v>378</v>
      </c>
      <c r="AF647" s="20" t="s">
        <v>755</v>
      </c>
      <c r="AG647" s="10"/>
      <c r="AH647" s="22" t="str">
        <f t="shared" si="18"/>
        <v>Cajamarca_08 Jaén</v>
      </c>
      <c r="AI647" s="10" t="s">
        <v>891</v>
      </c>
      <c r="AJ647" s="20" t="s">
        <v>837</v>
      </c>
      <c r="AK647" s="22" t="str">
        <f t="shared" si="19"/>
        <v>Cajamarca_08 Jaén_06 Las Pirias</v>
      </c>
      <c r="AL647" s="25">
        <v>7</v>
      </c>
      <c r="AM647" s="25">
        <v>45</v>
      </c>
      <c r="AN647" s="26">
        <f>Tabla2[[#This Row],[Minutos]]/60</f>
        <v>0.75</v>
      </c>
      <c r="AO647" s="27">
        <f>SUM(Tabla2[[#This Row],[Horas]],Tabla2[[#This Row],[Minutos a Horas]])</f>
        <v>7.75</v>
      </c>
      <c r="AP647" s="49">
        <v>1</v>
      </c>
      <c r="AQ647" s="49">
        <v>50</v>
      </c>
      <c r="AR647" s="26">
        <f>Tabla2[[#This Row],[Minutos*]]/60</f>
        <v>0.83333333333333337</v>
      </c>
      <c r="AS647" s="27">
        <f>SUM(Tabla2[[#This Row],[Horas*]],Tabla2[[#This Row],[Minutos a Horas*]])+(Tabla2[[#This Row],[Tiempo Total a Nivel Proncincial (Horas)]])</f>
        <v>9.5833333333333339</v>
      </c>
    </row>
    <row r="648" spans="8:45" x14ac:dyDescent="0.25">
      <c r="H648" s="81"/>
      <c r="I648" s="81"/>
      <c r="J648" s="81"/>
      <c r="K648" s="81"/>
      <c r="L648" s="81"/>
      <c r="M648" s="81"/>
      <c r="N648" s="81"/>
      <c r="O648" s="81"/>
      <c r="P648" s="81"/>
      <c r="Q648" s="81"/>
      <c r="R648" s="81"/>
      <c r="S648" s="81"/>
      <c r="T648" s="81"/>
      <c r="U648" s="81"/>
      <c r="V648" s="81"/>
      <c r="W648" s="81"/>
      <c r="X648" s="81"/>
      <c r="Y648" s="81"/>
      <c r="Z648" s="81"/>
      <c r="AA648" s="81"/>
      <c r="AB648" s="88"/>
      <c r="AD648" s="20" t="s">
        <v>2381</v>
      </c>
      <c r="AE648" s="10" t="s">
        <v>378</v>
      </c>
      <c r="AF648" s="20" t="s">
        <v>755</v>
      </c>
      <c r="AG648" s="10"/>
      <c r="AH648" s="22" t="str">
        <f t="shared" si="18"/>
        <v>Cajamarca_08 Jaén</v>
      </c>
      <c r="AI648" s="10" t="s">
        <v>891</v>
      </c>
      <c r="AJ648" s="20" t="s">
        <v>838</v>
      </c>
      <c r="AK648" s="22" t="str">
        <f t="shared" si="19"/>
        <v>Cajamarca_08 Jaén_07 Pomahuaca</v>
      </c>
      <c r="AL648" s="25">
        <v>7</v>
      </c>
      <c r="AM648" s="25">
        <v>45</v>
      </c>
      <c r="AN648" s="26">
        <f>Tabla2[[#This Row],[Minutos]]/60</f>
        <v>0.75</v>
      </c>
      <c r="AO648" s="27">
        <f>SUM(Tabla2[[#This Row],[Horas]],Tabla2[[#This Row],[Minutos a Horas]])</f>
        <v>7.75</v>
      </c>
      <c r="AP648" s="49">
        <v>1</v>
      </c>
      <c r="AQ648" s="49">
        <v>34</v>
      </c>
      <c r="AR648" s="26">
        <f>Tabla2[[#This Row],[Minutos*]]/60</f>
        <v>0.56666666666666665</v>
      </c>
      <c r="AS648" s="27">
        <f>SUM(Tabla2[[#This Row],[Horas*]],Tabla2[[#This Row],[Minutos a Horas*]])+(Tabla2[[#This Row],[Tiempo Total a Nivel Proncincial (Horas)]])</f>
        <v>9.3166666666666664</v>
      </c>
    </row>
    <row r="649" spans="8:45" x14ac:dyDescent="0.25">
      <c r="H649" s="81"/>
      <c r="I649" s="81"/>
      <c r="J649" s="81"/>
      <c r="K649" s="81"/>
      <c r="L649" s="81"/>
      <c r="M649" s="81"/>
      <c r="N649" s="81"/>
      <c r="O649" s="81"/>
      <c r="P649" s="81"/>
      <c r="Q649" s="81"/>
      <c r="R649" s="81"/>
      <c r="S649" s="81"/>
      <c r="T649" s="81"/>
      <c r="U649" s="81"/>
      <c r="V649" s="81"/>
      <c r="W649" s="81"/>
      <c r="X649" s="81"/>
      <c r="Y649" s="81"/>
      <c r="Z649" s="81"/>
      <c r="AA649" s="81"/>
      <c r="AB649" s="88"/>
      <c r="AD649" s="20" t="s">
        <v>2381</v>
      </c>
      <c r="AE649" s="10" t="s">
        <v>378</v>
      </c>
      <c r="AF649" s="20" t="s">
        <v>755</v>
      </c>
      <c r="AG649" s="10"/>
      <c r="AH649" s="22" t="str">
        <f t="shared" si="18"/>
        <v>Cajamarca_08 Jaén</v>
      </c>
      <c r="AI649" s="10" t="s">
        <v>891</v>
      </c>
      <c r="AJ649" s="20" t="s">
        <v>839</v>
      </c>
      <c r="AK649" s="22" t="str">
        <f t="shared" si="19"/>
        <v>Cajamarca_08 Jaén_08 Pucara</v>
      </c>
      <c r="AL649" s="25">
        <v>7</v>
      </c>
      <c r="AM649" s="25">
        <v>45</v>
      </c>
      <c r="AN649" s="26">
        <f>Tabla2[[#This Row],[Minutos]]/60</f>
        <v>0.75</v>
      </c>
      <c r="AO649" s="27">
        <f>SUM(Tabla2[[#This Row],[Horas]],Tabla2[[#This Row],[Minutos a Horas]])</f>
        <v>7.75</v>
      </c>
      <c r="AP649" s="49">
        <v>1</v>
      </c>
      <c r="AQ649" s="49">
        <v>25</v>
      </c>
      <c r="AR649" s="26">
        <f>Tabla2[[#This Row],[Minutos*]]/60</f>
        <v>0.41666666666666669</v>
      </c>
      <c r="AS649" s="27">
        <f>SUM(Tabla2[[#This Row],[Horas*]],Tabla2[[#This Row],[Minutos a Horas*]])+(Tabla2[[#This Row],[Tiempo Total a Nivel Proncincial (Horas)]])</f>
        <v>9.1666666666666661</v>
      </c>
    </row>
    <row r="650" spans="8:45" x14ac:dyDescent="0.25">
      <c r="H650" s="81"/>
      <c r="I650" s="81"/>
      <c r="J650" s="81"/>
      <c r="K650" s="81"/>
      <c r="L650" s="81"/>
      <c r="M650" s="81"/>
      <c r="N650" s="81"/>
      <c r="O650" s="81"/>
      <c r="P650" s="81"/>
      <c r="Q650" s="81"/>
      <c r="R650" s="81"/>
      <c r="S650" s="81"/>
      <c r="T650" s="81"/>
      <c r="U650" s="81"/>
      <c r="V650" s="81"/>
      <c r="W650" s="81"/>
      <c r="X650" s="81"/>
      <c r="Y650" s="81"/>
      <c r="Z650" s="81"/>
      <c r="AA650" s="81"/>
      <c r="AB650" s="88"/>
      <c r="AD650" s="20" t="s">
        <v>2381</v>
      </c>
      <c r="AE650" s="10" t="s">
        <v>378</v>
      </c>
      <c r="AF650" s="20" t="s">
        <v>755</v>
      </c>
      <c r="AG650" s="10"/>
      <c r="AH650" s="22" t="str">
        <f t="shared" ref="AH650:AH713" si="20">CONCATENATE(AD650,"_",AF650)</f>
        <v>Cajamarca_08 Jaén</v>
      </c>
      <c r="AI650" s="10" t="s">
        <v>891</v>
      </c>
      <c r="AJ650" s="20" t="s">
        <v>840</v>
      </c>
      <c r="AK650" s="22" t="str">
        <f t="shared" ref="AK650:AK713" si="21">CONCATENATE(AH650,"_",AJ650)</f>
        <v>Cajamarca_08 Jaén_09 Sallique</v>
      </c>
      <c r="AL650" s="25">
        <v>7</v>
      </c>
      <c r="AM650" s="25">
        <v>45</v>
      </c>
      <c r="AN650" s="26">
        <f>Tabla2[[#This Row],[Minutos]]/60</f>
        <v>0.75</v>
      </c>
      <c r="AO650" s="27">
        <f>SUM(Tabla2[[#This Row],[Horas]],Tabla2[[#This Row],[Minutos a Horas]])</f>
        <v>7.75</v>
      </c>
      <c r="AP650" s="49">
        <v>3</v>
      </c>
      <c r="AQ650" s="49">
        <v>45</v>
      </c>
      <c r="AR650" s="26">
        <f>Tabla2[[#This Row],[Minutos*]]/60</f>
        <v>0.75</v>
      </c>
      <c r="AS650" s="27">
        <f>SUM(Tabla2[[#This Row],[Horas*]],Tabla2[[#This Row],[Minutos a Horas*]])+(Tabla2[[#This Row],[Tiempo Total a Nivel Proncincial (Horas)]])</f>
        <v>11.5</v>
      </c>
    </row>
    <row r="651" spans="8:45" x14ac:dyDescent="0.25">
      <c r="H651" s="81"/>
      <c r="I651" s="81"/>
      <c r="J651" s="81"/>
      <c r="K651" s="81"/>
      <c r="L651" s="81"/>
      <c r="M651" s="81"/>
      <c r="N651" s="81"/>
      <c r="O651" s="81"/>
      <c r="P651" s="81"/>
      <c r="Q651" s="81"/>
      <c r="R651" s="81"/>
      <c r="S651" s="81"/>
      <c r="T651" s="81"/>
      <c r="U651" s="81"/>
      <c r="V651" s="81"/>
      <c r="W651" s="81"/>
      <c r="X651" s="81"/>
      <c r="Y651" s="81"/>
      <c r="Z651" s="81"/>
      <c r="AA651" s="81"/>
      <c r="AB651" s="88"/>
      <c r="AD651" s="20" t="s">
        <v>2381</v>
      </c>
      <c r="AE651" s="10" t="s">
        <v>378</v>
      </c>
      <c r="AF651" s="20" t="s">
        <v>755</v>
      </c>
      <c r="AG651" s="10"/>
      <c r="AH651" s="22" t="str">
        <f t="shared" si="20"/>
        <v>Cajamarca_08 Jaén</v>
      </c>
      <c r="AI651" s="10" t="s">
        <v>891</v>
      </c>
      <c r="AJ651" s="20" t="s">
        <v>841</v>
      </c>
      <c r="AK651" s="22" t="str">
        <f t="shared" si="21"/>
        <v>Cajamarca_08 Jaén_10 San Felipe</v>
      </c>
      <c r="AL651" s="25">
        <v>7</v>
      </c>
      <c r="AM651" s="25">
        <v>45</v>
      </c>
      <c r="AN651" s="26">
        <f>Tabla2[[#This Row],[Minutos]]/60</f>
        <v>0.75</v>
      </c>
      <c r="AO651" s="27">
        <f>SUM(Tabla2[[#This Row],[Horas]],Tabla2[[#This Row],[Minutos a Horas]])</f>
        <v>7.75</v>
      </c>
      <c r="AP651" s="49">
        <v>3</v>
      </c>
      <c r="AQ651" s="49">
        <v>50</v>
      </c>
      <c r="AR651" s="26">
        <f>Tabla2[[#This Row],[Minutos*]]/60</f>
        <v>0.83333333333333337</v>
      </c>
      <c r="AS651" s="27">
        <f>SUM(Tabla2[[#This Row],[Horas*]],Tabla2[[#This Row],[Minutos a Horas*]])+(Tabla2[[#This Row],[Tiempo Total a Nivel Proncincial (Horas)]])</f>
        <v>11.583333333333334</v>
      </c>
    </row>
    <row r="652" spans="8:45" x14ac:dyDescent="0.25">
      <c r="H652" s="81"/>
      <c r="I652" s="81"/>
      <c r="J652" s="81"/>
      <c r="K652" s="81"/>
      <c r="L652" s="81"/>
      <c r="M652" s="81"/>
      <c r="N652" s="81"/>
      <c r="O652" s="81"/>
      <c r="P652" s="81"/>
      <c r="Q652" s="81"/>
      <c r="R652" s="81"/>
      <c r="S652" s="81"/>
      <c r="T652" s="81"/>
      <c r="U652" s="81"/>
      <c r="V652" s="81"/>
      <c r="W652" s="81"/>
      <c r="X652" s="81"/>
      <c r="Y652" s="81"/>
      <c r="Z652" s="81"/>
      <c r="AA652" s="81"/>
      <c r="AB652" s="88"/>
      <c r="AD652" s="20" t="s">
        <v>2381</v>
      </c>
      <c r="AE652" s="10" t="s">
        <v>378</v>
      </c>
      <c r="AF652" s="20" t="s">
        <v>755</v>
      </c>
      <c r="AG652" s="10"/>
      <c r="AH652" s="22" t="str">
        <f t="shared" si="20"/>
        <v>Cajamarca_08 Jaén</v>
      </c>
      <c r="AI652" s="10" t="s">
        <v>891</v>
      </c>
      <c r="AJ652" s="20" t="s">
        <v>842</v>
      </c>
      <c r="AK652" s="22" t="str">
        <f t="shared" si="21"/>
        <v>Cajamarca_08 Jaén_11 San José del Alto</v>
      </c>
      <c r="AL652" s="25">
        <v>7</v>
      </c>
      <c r="AM652" s="25">
        <v>45</v>
      </c>
      <c r="AN652" s="26">
        <f>Tabla2[[#This Row],[Minutos]]/60</f>
        <v>0.75</v>
      </c>
      <c r="AO652" s="27">
        <f>SUM(Tabla2[[#This Row],[Horas]],Tabla2[[#This Row],[Minutos a Horas]])</f>
        <v>7.75</v>
      </c>
      <c r="AP652" s="49">
        <v>1</v>
      </c>
      <c r="AQ652" s="49">
        <v>43</v>
      </c>
      <c r="AR652" s="26">
        <f>Tabla2[[#This Row],[Minutos*]]/60</f>
        <v>0.71666666666666667</v>
      </c>
      <c r="AS652" s="27">
        <f>SUM(Tabla2[[#This Row],[Horas*]],Tabla2[[#This Row],[Minutos a Horas*]])+(Tabla2[[#This Row],[Tiempo Total a Nivel Proncincial (Horas)]])</f>
        <v>9.4666666666666668</v>
      </c>
    </row>
    <row r="653" spans="8:45" x14ac:dyDescent="0.25">
      <c r="H653" s="81"/>
      <c r="I653" s="81"/>
      <c r="J653" s="81"/>
      <c r="K653" s="81"/>
      <c r="L653" s="81"/>
      <c r="M653" s="81"/>
      <c r="N653" s="81"/>
      <c r="O653" s="81"/>
      <c r="P653" s="81"/>
      <c r="Q653" s="81"/>
      <c r="R653" s="81"/>
      <c r="S653" s="81"/>
      <c r="T653" s="81"/>
      <c r="U653" s="81"/>
      <c r="V653" s="81"/>
      <c r="W653" s="81"/>
      <c r="X653" s="81"/>
      <c r="Y653" s="81"/>
      <c r="Z653" s="81"/>
      <c r="AA653" s="81"/>
      <c r="AB653" s="88"/>
      <c r="AD653" s="20" t="s">
        <v>2381</v>
      </c>
      <c r="AE653" s="10" t="s">
        <v>378</v>
      </c>
      <c r="AF653" s="20" t="s">
        <v>755</v>
      </c>
      <c r="AG653" s="10"/>
      <c r="AH653" s="22" t="str">
        <f t="shared" si="20"/>
        <v>Cajamarca_08 Jaén</v>
      </c>
      <c r="AI653" s="10" t="s">
        <v>891</v>
      </c>
      <c r="AJ653" s="20" t="s">
        <v>843</v>
      </c>
      <c r="AK653" s="22" t="str">
        <f t="shared" si="21"/>
        <v>Cajamarca_08 Jaén_12 Santa Rosa</v>
      </c>
      <c r="AL653" s="25">
        <v>7</v>
      </c>
      <c r="AM653" s="25">
        <v>45</v>
      </c>
      <c r="AN653" s="26">
        <f>Tabla2[[#This Row],[Minutos]]/60</f>
        <v>0.75</v>
      </c>
      <c r="AO653" s="27">
        <f>SUM(Tabla2[[#This Row],[Horas]],Tabla2[[#This Row],[Minutos a Horas]])</f>
        <v>7.75</v>
      </c>
      <c r="AP653" s="49">
        <v>4</v>
      </c>
      <c r="AQ653" s="49">
        <v>50</v>
      </c>
      <c r="AR653" s="26">
        <f>Tabla2[[#This Row],[Minutos*]]/60</f>
        <v>0.83333333333333337</v>
      </c>
      <c r="AS653" s="27">
        <f>SUM(Tabla2[[#This Row],[Horas*]],Tabla2[[#This Row],[Minutos a Horas*]])+(Tabla2[[#This Row],[Tiempo Total a Nivel Proncincial (Horas)]])</f>
        <v>12.583333333333332</v>
      </c>
    </row>
    <row r="654" spans="8:45" x14ac:dyDescent="0.25">
      <c r="H654" s="81"/>
      <c r="I654" s="81"/>
      <c r="J654" s="81"/>
      <c r="K654" s="81"/>
      <c r="L654" s="81"/>
      <c r="M654" s="81"/>
      <c r="N654" s="81"/>
      <c r="O654" s="81"/>
      <c r="P654" s="81"/>
      <c r="Q654" s="81"/>
      <c r="R654" s="81"/>
      <c r="S654" s="81"/>
      <c r="T654" s="81"/>
      <c r="U654" s="81"/>
      <c r="V654" s="81"/>
      <c r="W654" s="81"/>
      <c r="X654" s="81"/>
      <c r="Y654" s="81"/>
      <c r="Z654" s="81"/>
      <c r="AA654" s="81"/>
      <c r="AB654" s="88"/>
      <c r="AD654" s="20" t="s">
        <v>2381</v>
      </c>
      <c r="AE654" s="10" t="s">
        <v>378</v>
      </c>
      <c r="AF654" s="20" t="s">
        <v>756</v>
      </c>
      <c r="AG654" s="10"/>
      <c r="AH654" s="22" t="str">
        <f t="shared" si="20"/>
        <v>Cajamarca_09 San Ignacio</v>
      </c>
      <c r="AI654" s="10" t="s">
        <v>892</v>
      </c>
      <c r="AJ654" s="20" t="s">
        <v>844</v>
      </c>
      <c r="AK654" s="22" t="str">
        <f t="shared" si="21"/>
        <v>Cajamarca_09 San Ignacio_01 San Ignacio</v>
      </c>
      <c r="AL654" s="25">
        <v>9</v>
      </c>
      <c r="AM654" s="25">
        <v>45</v>
      </c>
      <c r="AN654" s="26">
        <f>Tabla2[[#This Row],[Minutos]]/60</f>
        <v>0.75</v>
      </c>
      <c r="AO654" s="27">
        <f>SUM(Tabla2[[#This Row],[Horas]],Tabla2[[#This Row],[Minutos a Horas]])</f>
        <v>9.75</v>
      </c>
      <c r="AP654" s="49">
        <v>2</v>
      </c>
      <c r="AQ654" s="49">
        <v>2</v>
      </c>
      <c r="AR654" s="26">
        <f>Tabla2[[#This Row],[Minutos*]]/60</f>
        <v>3.3333333333333333E-2</v>
      </c>
      <c r="AS654" s="27">
        <f>SUM(Tabla2[[#This Row],[Horas*]],Tabla2[[#This Row],[Minutos a Horas*]])+(Tabla2[[#This Row],[Tiempo Total a Nivel Proncincial (Horas)]])</f>
        <v>11.783333333333333</v>
      </c>
    </row>
    <row r="655" spans="8:45" x14ac:dyDescent="0.25">
      <c r="H655" s="81"/>
      <c r="I655" s="81"/>
      <c r="J655" s="81"/>
      <c r="K655" s="81"/>
      <c r="L655" s="81"/>
      <c r="M655" s="81"/>
      <c r="N655" s="81"/>
      <c r="O655" s="81"/>
      <c r="P655" s="81"/>
      <c r="Q655" s="81"/>
      <c r="R655" s="81"/>
      <c r="S655" s="81"/>
      <c r="T655" s="81"/>
      <c r="U655" s="81"/>
      <c r="V655" s="81"/>
      <c r="W655" s="81"/>
      <c r="X655" s="81"/>
      <c r="Y655" s="81"/>
      <c r="Z655" s="81"/>
      <c r="AA655" s="81"/>
      <c r="AB655" s="88"/>
      <c r="AD655" s="20" t="s">
        <v>2381</v>
      </c>
      <c r="AE655" s="10" t="s">
        <v>378</v>
      </c>
      <c r="AF655" s="20" t="s">
        <v>756</v>
      </c>
      <c r="AG655" s="10"/>
      <c r="AH655" s="22" t="str">
        <f t="shared" si="20"/>
        <v>Cajamarca_09 San Ignacio</v>
      </c>
      <c r="AI655" s="10" t="s">
        <v>892</v>
      </c>
      <c r="AJ655" s="20" t="s">
        <v>845</v>
      </c>
      <c r="AK655" s="22" t="str">
        <f t="shared" si="21"/>
        <v>Cajamarca_09 San Ignacio_02 Chirinos</v>
      </c>
      <c r="AL655" s="25">
        <v>9</v>
      </c>
      <c r="AM655" s="25">
        <v>45</v>
      </c>
      <c r="AN655" s="26">
        <f>Tabla2[[#This Row],[Minutos]]/60</f>
        <v>0.75</v>
      </c>
      <c r="AO655" s="27">
        <f>SUM(Tabla2[[#This Row],[Horas]],Tabla2[[#This Row],[Minutos a Horas]])</f>
        <v>9.75</v>
      </c>
      <c r="AP655" s="49">
        <v>1</v>
      </c>
      <c r="AQ655" s="49">
        <v>41</v>
      </c>
      <c r="AR655" s="26">
        <f>Tabla2[[#This Row],[Minutos*]]/60</f>
        <v>0.68333333333333335</v>
      </c>
      <c r="AS655" s="27">
        <f>SUM(Tabla2[[#This Row],[Horas*]],Tabla2[[#This Row],[Minutos a Horas*]])+(Tabla2[[#This Row],[Tiempo Total a Nivel Proncincial (Horas)]])</f>
        <v>11.433333333333334</v>
      </c>
    </row>
    <row r="656" spans="8:45" x14ac:dyDescent="0.25">
      <c r="H656" s="81"/>
      <c r="I656" s="81"/>
      <c r="J656" s="81"/>
      <c r="K656" s="81"/>
      <c r="L656" s="81"/>
      <c r="M656" s="81"/>
      <c r="N656" s="81"/>
      <c r="O656" s="81"/>
      <c r="P656" s="81"/>
      <c r="Q656" s="81"/>
      <c r="R656" s="81"/>
      <c r="S656" s="81"/>
      <c r="T656" s="81"/>
      <c r="U656" s="81"/>
      <c r="V656" s="81"/>
      <c r="W656" s="81"/>
      <c r="X656" s="81"/>
      <c r="Y656" s="81"/>
      <c r="Z656" s="81"/>
      <c r="AA656" s="81"/>
      <c r="AB656" s="88"/>
      <c r="AD656" s="20" t="s">
        <v>2381</v>
      </c>
      <c r="AE656" s="10" t="s">
        <v>378</v>
      </c>
      <c r="AF656" s="20" t="s">
        <v>756</v>
      </c>
      <c r="AG656" s="10"/>
      <c r="AH656" s="22" t="str">
        <f t="shared" si="20"/>
        <v>Cajamarca_09 San Ignacio</v>
      </c>
      <c r="AI656" s="10" t="s">
        <v>892</v>
      </c>
      <c r="AJ656" s="20" t="s">
        <v>846</v>
      </c>
      <c r="AK656" s="22" t="str">
        <f t="shared" si="21"/>
        <v>Cajamarca_09 San Ignacio_03 Huarango</v>
      </c>
      <c r="AL656" s="25">
        <v>9</v>
      </c>
      <c r="AM656" s="25">
        <v>45</v>
      </c>
      <c r="AN656" s="26">
        <f>Tabla2[[#This Row],[Minutos]]/60</f>
        <v>0.75</v>
      </c>
      <c r="AO656" s="27">
        <f>SUM(Tabla2[[#This Row],[Horas]],Tabla2[[#This Row],[Minutos a Horas]])</f>
        <v>9.75</v>
      </c>
      <c r="AP656" s="49">
        <v>1</v>
      </c>
      <c r="AQ656" s="49">
        <v>28</v>
      </c>
      <c r="AR656" s="26">
        <f>Tabla2[[#This Row],[Minutos*]]/60</f>
        <v>0.46666666666666667</v>
      </c>
      <c r="AS656" s="27">
        <f>SUM(Tabla2[[#This Row],[Horas*]],Tabla2[[#This Row],[Minutos a Horas*]])+(Tabla2[[#This Row],[Tiempo Total a Nivel Proncincial (Horas)]])</f>
        <v>11.216666666666667</v>
      </c>
    </row>
    <row r="657" spans="8:45" x14ac:dyDescent="0.25">
      <c r="H657" s="81"/>
      <c r="I657" s="81"/>
      <c r="J657" s="81"/>
      <c r="K657" s="81"/>
      <c r="L657" s="81"/>
      <c r="M657" s="81"/>
      <c r="N657" s="81"/>
      <c r="O657" s="81"/>
      <c r="P657" s="81"/>
      <c r="Q657" s="81"/>
      <c r="R657" s="81"/>
      <c r="S657" s="81"/>
      <c r="T657" s="81"/>
      <c r="U657" s="81"/>
      <c r="V657" s="81"/>
      <c r="W657" s="81"/>
      <c r="X657" s="81"/>
      <c r="Y657" s="81"/>
      <c r="Z657" s="81"/>
      <c r="AA657" s="81"/>
      <c r="AB657" s="88"/>
      <c r="AD657" s="20" t="s">
        <v>2381</v>
      </c>
      <c r="AE657" s="10" t="s">
        <v>378</v>
      </c>
      <c r="AF657" s="20" t="s">
        <v>756</v>
      </c>
      <c r="AG657" s="10"/>
      <c r="AH657" s="22" t="str">
        <f t="shared" si="20"/>
        <v>Cajamarca_09 San Ignacio</v>
      </c>
      <c r="AI657" s="10" t="s">
        <v>892</v>
      </c>
      <c r="AJ657" s="20" t="s">
        <v>847</v>
      </c>
      <c r="AK657" s="22" t="str">
        <f t="shared" si="21"/>
        <v>Cajamarca_09 San Ignacio_04 La Coipa</v>
      </c>
      <c r="AL657" s="25">
        <v>9</v>
      </c>
      <c r="AM657" s="25">
        <v>45</v>
      </c>
      <c r="AN657" s="26">
        <f>Tabla2[[#This Row],[Minutos]]/60</f>
        <v>0.75</v>
      </c>
      <c r="AO657" s="27">
        <f>SUM(Tabla2[[#This Row],[Horas]],Tabla2[[#This Row],[Minutos a Horas]])</f>
        <v>9.75</v>
      </c>
      <c r="AP657" s="49">
        <v>0</v>
      </c>
      <c r="AQ657" s="49">
        <v>50</v>
      </c>
      <c r="AR657" s="26">
        <f>Tabla2[[#This Row],[Minutos*]]/60</f>
        <v>0.83333333333333337</v>
      </c>
      <c r="AS657" s="27">
        <f>SUM(Tabla2[[#This Row],[Horas*]],Tabla2[[#This Row],[Minutos a Horas*]])+(Tabla2[[#This Row],[Tiempo Total a Nivel Proncincial (Horas)]])</f>
        <v>10.583333333333334</v>
      </c>
    </row>
    <row r="658" spans="8:45" x14ac:dyDescent="0.25">
      <c r="H658" s="81"/>
      <c r="I658" s="81"/>
      <c r="J658" s="81"/>
      <c r="K658" s="81"/>
      <c r="L658" s="81"/>
      <c r="M658" s="81"/>
      <c r="N658" s="81"/>
      <c r="O658" s="81"/>
      <c r="P658" s="81"/>
      <c r="Q658" s="81"/>
      <c r="R658" s="81"/>
      <c r="S658" s="81"/>
      <c r="T658" s="81"/>
      <c r="U658" s="81"/>
      <c r="V658" s="81"/>
      <c r="W658" s="81"/>
      <c r="X658" s="81"/>
      <c r="Y658" s="81"/>
      <c r="Z658" s="81"/>
      <c r="AA658" s="81"/>
      <c r="AB658" s="88"/>
      <c r="AD658" s="20" t="s">
        <v>2381</v>
      </c>
      <c r="AE658" s="10" t="s">
        <v>378</v>
      </c>
      <c r="AF658" s="20" t="s">
        <v>756</v>
      </c>
      <c r="AG658" s="10"/>
      <c r="AH658" s="22" t="str">
        <f t="shared" si="20"/>
        <v>Cajamarca_09 San Ignacio</v>
      </c>
      <c r="AI658" s="10" t="s">
        <v>892</v>
      </c>
      <c r="AJ658" s="20" t="s">
        <v>848</v>
      </c>
      <c r="AK658" s="22" t="str">
        <f t="shared" si="21"/>
        <v>Cajamarca_09 San Ignacio_05 Namballe</v>
      </c>
      <c r="AL658" s="25">
        <v>9</v>
      </c>
      <c r="AM658" s="25">
        <v>45</v>
      </c>
      <c r="AN658" s="26">
        <f>Tabla2[[#This Row],[Minutos]]/60</f>
        <v>0.75</v>
      </c>
      <c r="AO658" s="27">
        <f>SUM(Tabla2[[#This Row],[Horas]],Tabla2[[#This Row],[Minutos a Horas]])</f>
        <v>9.75</v>
      </c>
      <c r="AP658" s="49">
        <v>3</v>
      </c>
      <c r="AQ658" s="49">
        <v>0</v>
      </c>
      <c r="AR658" s="26">
        <f>Tabla2[[#This Row],[Minutos*]]/60</f>
        <v>0</v>
      </c>
      <c r="AS658" s="27">
        <f>SUM(Tabla2[[#This Row],[Horas*]],Tabla2[[#This Row],[Minutos a Horas*]])+(Tabla2[[#This Row],[Tiempo Total a Nivel Proncincial (Horas)]])</f>
        <v>12.75</v>
      </c>
    </row>
    <row r="659" spans="8:45" x14ac:dyDescent="0.25">
      <c r="H659" s="81"/>
      <c r="I659" s="81"/>
      <c r="J659" s="81"/>
      <c r="K659" s="81"/>
      <c r="L659" s="81"/>
      <c r="M659" s="81"/>
      <c r="N659" s="81"/>
      <c r="O659" s="81"/>
      <c r="P659" s="81"/>
      <c r="Q659" s="81"/>
      <c r="R659" s="81"/>
      <c r="S659" s="81"/>
      <c r="T659" s="81"/>
      <c r="U659" s="81"/>
      <c r="V659" s="81"/>
      <c r="W659" s="81"/>
      <c r="X659" s="81"/>
      <c r="Y659" s="81"/>
      <c r="Z659" s="81"/>
      <c r="AA659" s="81"/>
      <c r="AB659" s="88"/>
      <c r="AD659" s="20" t="s">
        <v>2381</v>
      </c>
      <c r="AE659" s="10" t="s">
        <v>378</v>
      </c>
      <c r="AF659" s="20" t="s">
        <v>756</v>
      </c>
      <c r="AG659" s="10"/>
      <c r="AH659" s="22" t="str">
        <f t="shared" si="20"/>
        <v>Cajamarca_09 San Ignacio</v>
      </c>
      <c r="AI659" s="10" t="s">
        <v>892</v>
      </c>
      <c r="AJ659" s="20" t="s">
        <v>849</v>
      </c>
      <c r="AK659" s="22" t="str">
        <f t="shared" si="21"/>
        <v>Cajamarca_09 San Ignacio_06 San José de Lourdes</v>
      </c>
      <c r="AL659" s="25">
        <v>9</v>
      </c>
      <c r="AM659" s="25">
        <v>45</v>
      </c>
      <c r="AN659" s="26">
        <f>Tabla2[[#This Row],[Minutos]]/60</f>
        <v>0.75</v>
      </c>
      <c r="AO659" s="27">
        <f>SUM(Tabla2[[#This Row],[Horas]],Tabla2[[#This Row],[Minutos a Horas]])</f>
        <v>9.75</v>
      </c>
      <c r="AP659" s="49">
        <v>2</v>
      </c>
      <c r="AQ659" s="49">
        <v>20</v>
      </c>
      <c r="AR659" s="26">
        <f>Tabla2[[#This Row],[Minutos*]]/60</f>
        <v>0.33333333333333331</v>
      </c>
      <c r="AS659" s="27">
        <f>SUM(Tabla2[[#This Row],[Horas*]],Tabla2[[#This Row],[Minutos a Horas*]])+(Tabla2[[#This Row],[Tiempo Total a Nivel Proncincial (Horas)]])</f>
        <v>12.083333333333334</v>
      </c>
    </row>
    <row r="660" spans="8:45" x14ac:dyDescent="0.25">
      <c r="H660" s="81"/>
      <c r="I660" s="81"/>
      <c r="J660" s="81"/>
      <c r="K660" s="81"/>
      <c r="L660" s="81"/>
      <c r="M660" s="81"/>
      <c r="N660" s="81"/>
      <c r="O660" s="81"/>
      <c r="P660" s="81"/>
      <c r="Q660" s="81"/>
      <c r="R660" s="81"/>
      <c r="S660" s="81"/>
      <c r="T660" s="81"/>
      <c r="U660" s="81"/>
      <c r="V660" s="81"/>
      <c r="W660" s="81"/>
      <c r="X660" s="81"/>
      <c r="Y660" s="81"/>
      <c r="Z660" s="81"/>
      <c r="AA660" s="81"/>
      <c r="AB660" s="88"/>
      <c r="AD660" s="20" t="s">
        <v>2381</v>
      </c>
      <c r="AE660" s="10" t="s">
        <v>378</v>
      </c>
      <c r="AF660" s="20" t="s">
        <v>756</v>
      </c>
      <c r="AG660" s="10"/>
      <c r="AH660" s="22" t="str">
        <f t="shared" si="20"/>
        <v>Cajamarca_09 San Ignacio</v>
      </c>
      <c r="AI660" s="10" t="s">
        <v>892</v>
      </c>
      <c r="AJ660" s="20" t="s">
        <v>850</v>
      </c>
      <c r="AK660" s="22" t="str">
        <f t="shared" si="21"/>
        <v>Cajamarca_09 San Ignacio_07 Tabaconas</v>
      </c>
      <c r="AL660" s="25">
        <v>9</v>
      </c>
      <c r="AM660" s="25">
        <v>45</v>
      </c>
      <c r="AN660" s="26">
        <f>Tabla2[[#This Row],[Minutos]]/60</f>
        <v>0.75</v>
      </c>
      <c r="AO660" s="27">
        <f>SUM(Tabla2[[#This Row],[Horas]],Tabla2[[#This Row],[Minutos a Horas]])</f>
        <v>9.75</v>
      </c>
      <c r="AP660" s="49">
        <v>2</v>
      </c>
      <c r="AQ660" s="49">
        <v>14</v>
      </c>
      <c r="AR660" s="26">
        <f>Tabla2[[#This Row],[Minutos*]]/60</f>
        <v>0.23333333333333334</v>
      </c>
      <c r="AS660" s="27">
        <f>SUM(Tabla2[[#This Row],[Horas*]],Tabla2[[#This Row],[Minutos a Horas*]])+(Tabla2[[#This Row],[Tiempo Total a Nivel Proncincial (Horas)]])</f>
        <v>11.983333333333334</v>
      </c>
    </row>
    <row r="661" spans="8:45" x14ac:dyDescent="0.25">
      <c r="H661" s="81"/>
      <c r="I661" s="81"/>
      <c r="J661" s="81"/>
      <c r="K661" s="81"/>
      <c r="L661" s="81"/>
      <c r="M661" s="81"/>
      <c r="N661" s="81"/>
      <c r="O661" s="81"/>
      <c r="P661" s="81"/>
      <c r="Q661" s="81"/>
      <c r="R661" s="81"/>
      <c r="S661" s="81"/>
      <c r="T661" s="81"/>
      <c r="U661" s="81"/>
      <c r="V661" s="81"/>
      <c r="W661" s="81"/>
      <c r="X661" s="81"/>
      <c r="Y661" s="81"/>
      <c r="Z661" s="81"/>
      <c r="AA661" s="81"/>
      <c r="AB661" s="88"/>
      <c r="AD661" s="20" t="s">
        <v>2381</v>
      </c>
      <c r="AE661" s="10" t="s">
        <v>378</v>
      </c>
      <c r="AF661" s="20" t="s">
        <v>757</v>
      </c>
      <c r="AG661" s="10"/>
      <c r="AH661" s="22" t="str">
        <f t="shared" si="20"/>
        <v>Cajamarca_10 San Marcos</v>
      </c>
      <c r="AI661" s="10" t="s">
        <v>892</v>
      </c>
      <c r="AJ661" s="20" t="s">
        <v>851</v>
      </c>
      <c r="AK661" s="22" t="str">
        <f t="shared" si="21"/>
        <v>Cajamarca_10 San Marcos_01 Pedro Gálvez</v>
      </c>
      <c r="AL661" s="25">
        <v>1</v>
      </c>
      <c r="AM661" s="25">
        <v>3</v>
      </c>
      <c r="AN661" s="26">
        <f>Tabla2[[#This Row],[Minutos]]/60</f>
        <v>0.05</v>
      </c>
      <c r="AO661" s="27">
        <f>SUM(Tabla2[[#This Row],[Horas]],Tabla2[[#This Row],[Minutos a Horas]])</f>
        <v>1.05</v>
      </c>
      <c r="AP661" s="49">
        <v>1</v>
      </c>
      <c r="AQ661" s="49">
        <v>39</v>
      </c>
      <c r="AR661" s="26">
        <f>Tabla2[[#This Row],[Minutos*]]/60</f>
        <v>0.65</v>
      </c>
      <c r="AS661" s="27">
        <f>SUM(Tabla2[[#This Row],[Horas*]],Tabla2[[#This Row],[Minutos a Horas*]])+(Tabla2[[#This Row],[Tiempo Total a Nivel Proncincial (Horas)]])</f>
        <v>2.7</v>
      </c>
    </row>
    <row r="662" spans="8:45" x14ac:dyDescent="0.25">
      <c r="H662" s="81"/>
      <c r="I662" s="81"/>
      <c r="J662" s="81"/>
      <c r="K662" s="81"/>
      <c r="L662" s="81"/>
      <c r="M662" s="81"/>
      <c r="N662" s="81"/>
      <c r="O662" s="81"/>
      <c r="P662" s="81"/>
      <c r="Q662" s="81"/>
      <c r="R662" s="81"/>
      <c r="S662" s="81"/>
      <c r="T662" s="81"/>
      <c r="U662" s="81"/>
      <c r="V662" s="81"/>
      <c r="W662" s="81"/>
      <c r="X662" s="81"/>
      <c r="Y662" s="81"/>
      <c r="Z662" s="81"/>
      <c r="AA662" s="81"/>
      <c r="AB662" s="88"/>
      <c r="AD662" s="20" t="s">
        <v>2381</v>
      </c>
      <c r="AE662" s="10" t="s">
        <v>378</v>
      </c>
      <c r="AF662" s="20" t="s">
        <v>757</v>
      </c>
      <c r="AG662" s="10"/>
      <c r="AH662" s="22" t="str">
        <f t="shared" si="20"/>
        <v>Cajamarca_10 San Marcos</v>
      </c>
      <c r="AI662" s="10" t="s">
        <v>892</v>
      </c>
      <c r="AJ662" s="20" t="s">
        <v>852</v>
      </c>
      <c r="AK662" s="22" t="str">
        <f t="shared" si="21"/>
        <v>Cajamarca_10 San Marcos_02 Chancay</v>
      </c>
      <c r="AL662" s="25">
        <v>1</v>
      </c>
      <c r="AM662" s="25">
        <v>3</v>
      </c>
      <c r="AN662" s="26">
        <f>Tabla2[[#This Row],[Minutos]]/60</f>
        <v>0.05</v>
      </c>
      <c r="AO662" s="27">
        <f>SUM(Tabla2[[#This Row],[Horas]],Tabla2[[#This Row],[Minutos a Horas]])</f>
        <v>1.05</v>
      </c>
      <c r="AP662" s="49"/>
      <c r="AQ662" s="49">
        <v>0</v>
      </c>
      <c r="AR662" s="26">
        <f>Tabla2[[#This Row],[Minutos*]]/60</f>
        <v>0</v>
      </c>
      <c r="AS662" s="27">
        <f>SUM(Tabla2[[#This Row],[Horas*]],Tabla2[[#This Row],[Minutos a Horas*]])+(Tabla2[[#This Row],[Tiempo Total a Nivel Proncincial (Horas)]])</f>
        <v>1.05</v>
      </c>
    </row>
    <row r="663" spans="8:45" x14ac:dyDescent="0.25">
      <c r="H663" s="81"/>
      <c r="I663" s="81"/>
      <c r="J663" s="81"/>
      <c r="K663" s="81"/>
      <c r="L663" s="81"/>
      <c r="M663" s="81"/>
      <c r="N663" s="81"/>
      <c r="O663" s="81"/>
      <c r="P663" s="81"/>
      <c r="Q663" s="81"/>
      <c r="R663" s="81"/>
      <c r="S663" s="81"/>
      <c r="T663" s="81"/>
      <c r="U663" s="81"/>
      <c r="V663" s="81"/>
      <c r="W663" s="81"/>
      <c r="X663" s="81"/>
      <c r="Y663" s="81"/>
      <c r="Z663" s="81"/>
      <c r="AA663" s="81"/>
      <c r="AB663" s="88"/>
      <c r="AD663" s="20" t="s">
        <v>2381</v>
      </c>
      <c r="AE663" s="10" t="s">
        <v>378</v>
      </c>
      <c r="AF663" s="20" t="s">
        <v>757</v>
      </c>
      <c r="AG663" s="10"/>
      <c r="AH663" s="22" t="str">
        <f t="shared" si="20"/>
        <v>Cajamarca_10 San Marcos</v>
      </c>
      <c r="AI663" s="10" t="s">
        <v>892</v>
      </c>
      <c r="AJ663" s="20" t="s">
        <v>853</v>
      </c>
      <c r="AK663" s="22" t="str">
        <f t="shared" si="21"/>
        <v>Cajamarca_10 San Marcos_03 Eduardo Villanueva</v>
      </c>
      <c r="AL663" s="25">
        <v>1</v>
      </c>
      <c r="AM663" s="25">
        <v>3</v>
      </c>
      <c r="AN663" s="26">
        <f>Tabla2[[#This Row],[Minutos]]/60</f>
        <v>0.05</v>
      </c>
      <c r="AO663" s="27">
        <f>SUM(Tabla2[[#This Row],[Horas]],Tabla2[[#This Row],[Minutos a Horas]])</f>
        <v>1.05</v>
      </c>
      <c r="AP663" s="49">
        <v>2</v>
      </c>
      <c r="AQ663" s="49">
        <v>16</v>
      </c>
      <c r="AR663" s="26">
        <f>Tabla2[[#This Row],[Minutos*]]/60</f>
        <v>0.26666666666666666</v>
      </c>
      <c r="AS663" s="27">
        <f>SUM(Tabla2[[#This Row],[Horas*]],Tabla2[[#This Row],[Minutos a Horas*]])+(Tabla2[[#This Row],[Tiempo Total a Nivel Proncincial (Horas)]])</f>
        <v>3.3166666666666664</v>
      </c>
    </row>
    <row r="664" spans="8:45" x14ac:dyDescent="0.25">
      <c r="H664" s="81"/>
      <c r="I664" s="81"/>
      <c r="J664" s="81"/>
      <c r="K664" s="81"/>
      <c r="L664" s="81"/>
      <c r="M664" s="81"/>
      <c r="N664" s="81"/>
      <c r="O664" s="81"/>
      <c r="P664" s="81"/>
      <c r="Q664" s="81"/>
      <c r="R664" s="81"/>
      <c r="S664" s="81"/>
      <c r="T664" s="81"/>
      <c r="U664" s="81"/>
      <c r="V664" s="81"/>
      <c r="W664" s="81"/>
      <c r="X664" s="81"/>
      <c r="Y664" s="81"/>
      <c r="Z664" s="81"/>
      <c r="AA664" s="81"/>
      <c r="AB664" s="88"/>
      <c r="AD664" s="20" t="s">
        <v>2381</v>
      </c>
      <c r="AE664" s="10" t="s">
        <v>378</v>
      </c>
      <c r="AF664" s="20" t="s">
        <v>757</v>
      </c>
      <c r="AG664" s="10"/>
      <c r="AH664" s="22" t="str">
        <f t="shared" si="20"/>
        <v>Cajamarca_10 San Marcos</v>
      </c>
      <c r="AI664" s="10" t="s">
        <v>892</v>
      </c>
      <c r="AJ664" s="20" t="s">
        <v>854</v>
      </c>
      <c r="AK664" s="22" t="str">
        <f t="shared" si="21"/>
        <v>Cajamarca_10 San Marcos_04 Gregorio Pita</v>
      </c>
      <c r="AL664" s="25">
        <v>1</v>
      </c>
      <c r="AM664" s="25">
        <v>3</v>
      </c>
      <c r="AN664" s="26">
        <f>Tabla2[[#This Row],[Minutos]]/60</f>
        <v>0.05</v>
      </c>
      <c r="AO664" s="27">
        <f>SUM(Tabla2[[#This Row],[Horas]],Tabla2[[#This Row],[Minutos a Horas]])</f>
        <v>1.05</v>
      </c>
      <c r="AP664" s="49">
        <v>1</v>
      </c>
      <c r="AQ664" s="49">
        <v>53</v>
      </c>
      <c r="AR664" s="26">
        <f>Tabla2[[#This Row],[Minutos*]]/60</f>
        <v>0.8833333333333333</v>
      </c>
      <c r="AS664" s="27">
        <f>SUM(Tabla2[[#This Row],[Horas*]],Tabla2[[#This Row],[Minutos a Horas*]])+(Tabla2[[#This Row],[Tiempo Total a Nivel Proncincial (Horas)]])</f>
        <v>2.9333333333333336</v>
      </c>
    </row>
    <row r="665" spans="8:45" x14ac:dyDescent="0.25">
      <c r="H665" s="81"/>
      <c r="I665" s="81"/>
      <c r="J665" s="81"/>
      <c r="K665" s="81"/>
      <c r="L665" s="81"/>
      <c r="M665" s="81"/>
      <c r="N665" s="81"/>
      <c r="O665" s="81"/>
      <c r="P665" s="81"/>
      <c r="Q665" s="81"/>
      <c r="R665" s="81"/>
      <c r="S665" s="81"/>
      <c r="T665" s="81"/>
      <c r="U665" s="81"/>
      <c r="V665" s="81"/>
      <c r="W665" s="81"/>
      <c r="X665" s="81"/>
      <c r="Y665" s="81"/>
      <c r="Z665" s="81"/>
      <c r="AA665" s="81"/>
      <c r="AB665" s="88"/>
      <c r="AD665" s="20" t="s">
        <v>2381</v>
      </c>
      <c r="AE665" s="10" t="s">
        <v>378</v>
      </c>
      <c r="AF665" s="20" t="s">
        <v>757</v>
      </c>
      <c r="AG665" s="10"/>
      <c r="AH665" s="22" t="str">
        <f t="shared" si="20"/>
        <v>Cajamarca_10 San Marcos</v>
      </c>
      <c r="AI665" s="10" t="s">
        <v>892</v>
      </c>
      <c r="AJ665" s="20" t="s">
        <v>855</v>
      </c>
      <c r="AK665" s="22" t="str">
        <f t="shared" si="21"/>
        <v>Cajamarca_10 San Marcos_05 Ichocan</v>
      </c>
      <c r="AL665" s="25">
        <v>1</v>
      </c>
      <c r="AM665" s="25">
        <v>3</v>
      </c>
      <c r="AN665" s="26">
        <f>Tabla2[[#This Row],[Minutos]]/60</f>
        <v>0.05</v>
      </c>
      <c r="AO665" s="27">
        <f>SUM(Tabla2[[#This Row],[Horas]],Tabla2[[#This Row],[Minutos a Horas]])</f>
        <v>1.05</v>
      </c>
      <c r="AP665" s="49">
        <v>1</v>
      </c>
      <c r="AQ665" s="49">
        <v>58</v>
      </c>
      <c r="AR665" s="26">
        <f>Tabla2[[#This Row],[Minutos*]]/60</f>
        <v>0.96666666666666667</v>
      </c>
      <c r="AS665" s="27">
        <f>SUM(Tabla2[[#This Row],[Horas*]],Tabla2[[#This Row],[Minutos a Horas*]])+(Tabla2[[#This Row],[Tiempo Total a Nivel Proncincial (Horas)]])</f>
        <v>3.0166666666666666</v>
      </c>
    </row>
    <row r="666" spans="8:45" x14ac:dyDescent="0.25">
      <c r="H666" s="81"/>
      <c r="I666" s="81"/>
      <c r="J666" s="81"/>
      <c r="K666" s="81"/>
      <c r="L666" s="81"/>
      <c r="M666" s="81"/>
      <c r="N666" s="81"/>
      <c r="O666" s="81"/>
      <c r="P666" s="81"/>
      <c r="Q666" s="81"/>
      <c r="R666" s="81"/>
      <c r="S666" s="81"/>
      <c r="T666" s="81"/>
      <c r="U666" s="81"/>
      <c r="V666" s="81"/>
      <c r="W666" s="81"/>
      <c r="X666" s="81"/>
      <c r="Y666" s="81"/>
      <c r="Z666" s="81"/>
      <c r="AA666" s="81"/>
      <c r="AB666" s="88"/>
      <c r="AD666" s="20" t="s">
        <v>2381</v>
      </c>
      <c r="AE666" s="10" t="s">
        <v>378</v>
      </c>
      <c r="AF666" s="20" t="s">
        <v>757</v>
      </c>
      <c r="AG666" s="10"/>
      <c r="AH666" s="22" t="str">
        <f t="shared" si="20"/>
        <v>Cajamarca_10 San Marcos</v>
      </c>
      <c r="AI666" s="10" t="s">
        <v>892</v>
      </c>
      <c r="AJ666" s="20" t="s">
        <v>856</v>
      </c>
      <c r="AK666" s="22" t="str">
        <f t="shared" si="21"/>
        <v>Cajamarca_10 San Marcos_06 José Manuel Quiroz</v>
      </c>
      <c r="AL666" s="25">
        <v>1</v>
      </c>
      <c r="AM666" s="25">
        <v>3</v>
      </c>
      <c r="AN666" s="26">
        <f>Tabla2[[#This Row],[Minutos]]/60</f>
        <v>0.05</v>
      </c>
      <c r="AO666" s="27">
        <f>SUM(Tabla2[[#This Row],[Horas]],Tabla2[[#This Row],[Minutos a Horas]])</f>
        <v>1.05</v>
      </c>
      <c r="AP666" s="49">
        <v>2</v>
      </c>
      <c r="AQ666" s="49">
        <v>51</v>
      </c>
      <c r="AR666" s="26">
        <f>Tabla2[[#This Row],[Minutos*]]/60</f>
        <v>0.85</v>
      </c>
      <c r="AS666" s="27">
        <f>SUM(Tabla2[[#This Row],[Horas*]],Tabla2[[#This Row],[Minutos a Horas*]])+(Tabla2[[#This Row],[Tiempo Total a Nivel Proncincial (Horas)]])</f>
        <v>3.9000000000000004</v>
      </c>
    </row>
    <row r="667" spans="8:45" x14ac:dyDescent="0.25">
      <c r="H667" s="81"/>
      <c r="I667" s="81"/>
      <c r="J667" s="81"/>
      <c r="K667" s="81"/>
      <c r="L667" s="81"/>
      <c r="M667" s="81"/>
      <c r="N667" s="81"/>
      <c r="O667" s="81"/>
      <c r="P667" s="81"/>
      <c r="Q667" s="81"/>
      <c r="R667" s="81"/>
      <c r="S667" s="81"/>
      <c r="T667" s="81"/>
      <c r="U667" s="81"/>
      <c r="V667" s="81"/>
      <c r="W667" s="81"/>
      <c r="X667" s="81"/>
      <c r="Y667" s="81"/>
      <c r="Z667" s="81"/>
      <c r="AA667" s="81"/>
      <c r="AB667" s="88"/>
      <c r="AD667" s="20" t="s">
        <v>2381</v>
      </c>
      <c r="AE667" s="10" t="s">
        <v>378</v>
      </c>
      <c r="AF667" s="20" t="s">
        <v>757</v>
      </c>
      <c r="AG667" s="10"/>
      <c r="AH667" s="22" t="str">
        <f t="shared" si="20"/>
        <v>Cajamarca_10 San Marcos</v>
      </c>
      <c r="AI667" s="10" t="s">
        <v>892</v>
      </c>
      <c r="AJ667" s="20" t="s">
        <v>857</v>
      </c>
      <c r="AK667" s="22" t="str">
        <f t="shared" si="21"/>
        <v>Cajamarca_10 San Marcos_07 José Sabogal</v>
      </c>
      <c r="AL667" s="25">
        <v>1</v>
      </c>
      <c r="AM667" s="25">
        <v>3</v>
      </c>
      <c r="AN667" s="26">
        <f>Tabla2[[#This Row],[Minutos]]/60</f>
        <v>0.05</v>
      </c>
      <c r="AO667" s="27">
        <f>SUM(Tabla2[[#This Row],[Horas]],Tabla2[[#This Row],[Minutos a Horas]])</f>
        <v>1.05</v>
      </c>
      <c r="AP667" s="49">
        <v>3</v>
      </c>
      <c r="AQ667" s="49">
        <v>38</v>
      </c>
      <c r="AR667" s="26">
        <f>Tabla2[[#This Row],[Minutos*]]/60</f>
        <v>0.6333333333333333</v>
      </c>
      <c r="AS667" s="27">
        <f>SUM(Tabla2[[#This Row],[Horas*]],Tabla2[[#This Row],[Minutos a Horas*]])+(Tabla2[[#This Row],[Tiempo Total a Nivel Proncincial (Horas)]])</f>
        <v>4.6833333333333336</v>
      </c>
    </row>
    <row r="668" spans="8:45" x14ac:dyDescent="0.25">
      <c r="H668" s="81"/>
      <c r="I668" s="81"/>
      <c r="J668" s="81"/>
      <c r="K668" s="81"/>
      <c r="L668" s="81"/>
      <c r="M668" s="81"/>
      <c r="N668" s="81"/>
      <c r="O668" s="81"/>
      <c r="P668" s="81"/>
      <c r="Q668" s="81"/>
      <c r="R668" s="81"/>
      <c r="S668" s="81"/>
      <c r="T668" s="81"/>
      <c r="U668" s="81"/>
      <c r="V668" s="81"/>
      <c r="W668" s="81"/>
      <c r="X668" s="81"/>
      <c r="Y668" s="81"/>
      <c r="Z668" s="81"/>
      <c r="AA668" s="81"/>
      <c r="AB668" s="88"/>
      <c r="AD668" s="20" t="s">
        <v>2381</v>
      </c>
      <c r="AE668" s="10" t="s">
        <v>378</v>
      </c>
      <c r="AF668" s="20" t="s">
        <v>758</v>
      </c>
      <c r="AG668" s="10"/>
      <c r="AH668" s="22" t="str">
        <f t="shared" si="20"/>
        <v>Cajamarca_11 San Miguel</v>
      </c>
      <c r="AI668" s="10" t="s">
        <v>893</v>
      </c>
      <c r="AJ668" s="20" t="s">
        <v>657</v>
      </c>
      <c r="AK668" s="22" t="str">
        <f t="shared" si="21"/>
        <v>Cajamarca_11 San Miguel_01 San Miguel</v>
      </c>
      <c r="AL668" s="25">
        <v>2</v>
      </c>
      <c r="AM668" s="25">
        <v>38</v>
      </c>
      <c r="AN668" s="26">
        <f>Tabla2[[#This Row],[Minutos]]/60</f>
        <v>0.6333333333333333</v>
      </c>
      <c r="AO668" s="27">
        <f>SUM(Tabla2[[#This Row],[Horas]],Tabla2[[#This Row],[Minutos a Horas]])</f>
        <v>2.6333333333333333</v>
      </c>
      <c r="AP668" s="49">
        <v>2</v>
      </c>
      <c r="AQ668" s="49">
        <v>22</v>
      </c>
      <c r="AR668" s="26">
        <f>Tabla2[[#This Row],[Minutos*]]/60</f>
        <v>0.36666666666666664</v>
      </c>
      <c r="AS668" s="27">
        <f>SUM(Tabla2[[#This Row],[Horas*]],Tabla2[[#This Row],[Minutos a Horas*]])+(Tabla2[[#This Row],[Tiempo Total a Nivel Proncincial (Horas)]])</f>
        <v>5</v>
      </c>
    </row>
    <row r="669" spans="8:45" x14ac:dyDescent="0.25">
      <c r="H669" s="81"/>
      <c r="I669" s="81"/>
      <c r="J669" s="81"/>
      <c r="K669" s="81"/>
      <c r="L669" s="81"/>
      <c r="M669" s="81"/>
      <c r="N669" s="81"/>
      <c r="O669" s="81"/>
      <c r="P669" s="81"/>
      <c r="Q669" s="81"/>
      <c r="R669" s="81"/>
      <c r="S669" s="81"/>
      <c r="T669" s="81"/>
      <c r="U669" s="81"/>
      <c r="V669" s="81"/>
      <c r="W669" s="81"/>
      <c r="X669" s="81"/>
      <c r="Y669" s="81"/>
      <c r="Z669" s="81"/>
      <c r="AA669" s="81"/>
      <c r="AB669" s="88"/>
      <c r="AD669" s="20" t="s">
        <v>2381</v>
      </c>
      <c r="AE669" s="10" t="s">
        <v>378</v>
      </c>
      <c r="AF669" s="20" t="s">
        <v>758</v>
      </c>
      <c r="AG669" s="10"/>
      <c r="AH669" s="22" t="str">
        <f t="shared" si="20"/>
        <v>Cajamarca_11 San Miguel</v>
      </c>
      <c r="AI669" s="10" t="s">
        <v>893</v>
      </c>
      <c r="AJ669" s="20" t="s">
        <v>858</v>
      </c>
      <c r="AK669" s="22" t="str">
        <f t="shared" si="21"/>
        <v>Cajamarca_11 San Miguel_02 Bolívar</v>
      </c>
      <c r="AL669" s="25">
        <v>2</v>
      </c>
      <c r="AM669" s="25">
        <v>38</v>
      </c>
      <c r="AN669" s="26">
        <f>Tabla2[[#This Row],[Minutos]]/60</f>
        <v>0.6333333333333333</v>
      </c>
      <c r="AO669" s="27">
        <f>SUM(Tabla2[[#This Row],[Horas]],Tabla2[[#This Row],[Minutos a Horas]])</f>
        <v>2.6333333333333333</v>
      </c>
      <c r="AP669" s="49">
        <v>3</v>
      </c>
      <c r="AQ669" s="49">
        <v>7</v>
      </c>
      <c r="AR669" s="26">
        <f>Tabla2[[#This Row],[Minutos*]]/60</f>
        <v>0.11666666666666667</v>
      </c>
      <c r="AS669" s="27">
        <f>SUM(Tabla2[[#This Row],[Horas*]],Tabla2[[#This Row],[Minutos a Horas*]])+(Tabla2[[#This Row],[Tiempo Total a Nivel Proncincial (Horas)]])</f>
        <v>5.75</v>
      </c>
    </row>
    <row r="670" spans="8:45" x14ac:dyDescent="0.25"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8"/>
      <c r="AD670" s="20" t="s">
        <v>2381</v>
      </c>
      <c r="AE670" s="10" t="s">
        <v>378</v>
      </c>
      <c r="AF670" s="20" t="s">
        <v>758</v>
      </c>
      <c r="AG670" s="10"/>
      <c r="AH670" s="22" t="str">
        <f t="shared" si="20"/>
        <v>Cajamarca_11 San Miguel</v>
      </c>
      <c r="AI670" s="10" t="s">
        <v>893</v>
      </c>
      <c r="AJ670" s="20" t="s">
        <v>859</v>
      </c>
      <c r="AK670" s="22" t="str">
        <f t="shared" si="21"/>
        <v>Cajamarca_11 San Miguel_03 Calquis</v>
      </c>
      <c r="AL670" s="25">
        <v>2</v>
      </c>
      <c r="AM670" s="25">
        <v>38</v>
      </c>
      <c r="AN670" s="26">
        <f>Tabla2[[#This Row],[Minutos]]/60</f>
        <v>0.6333333333333333</v>
      </c>
      <c r="AO670" s="27">
        <f>SUM(Tabla2[[#This Row],[Horas]],Tabla2[[#This Row],[Minutos a Horas]])</f>
        <v>2.6333333333333333</v>
      </c>
      <c r="AP670" s="49">
        <v>2</v>
      </c>
      <c r="AQ670" s="49">
        <v>36</v>
      </c>
      <c r="AR670" s="26">
        <f>Tabla2[[#This Row],[Minutos*]]/60</f>
        <v>0.6</v>
      </c>
      <c r="AS670" s="27">
        <f>SUM(Tabla2[[#This Row],[Horas*]],Tabla2[[#This Row],[Minutos a Horas*]])+(Tabla2[[#This Row],[Tiempo Total a Nivel Proncincial (Horas)]])</f>
        <v>5.2333333333333334</v>
      </c>
    </row>
    <row r="671" spans="8:45" x14ac:dyDescent="0.25"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8"/>
      <c r="AD671" s="20" t="s">
        <v>2381</v>
      </c>
      <c r="AE671" s="10" t="s">
        <v>378</v>
      </c>
      <c r="AF671" s="20" t="s">
        <v>758</v>
      </c>
      <c r="AG671" s="10"/>
      <c r="AH671" s="22" t="str">
        <f t="shared" si="20"/>
        <v>Cajamarca_11 San Miguel</v>
      </c>
      <c r="AI671" s="10" t="s">
        <v>893</v>
      </c>
      <c r="AJ671" s="20" t="s">
        <v>860</v>
      </c>
      <c r="AK671" s="22" t="str">
        <f t="shared" si="21"/>
        <v>Cajamarca_11 San Miguel_04 Catilluc</v>
      </c>
      <c r="AL671" s="25">
        <v>2</v>
      </c>
      <c r="AM671" s="25">
        <v>38</v>
      </c>
      <c r="AN671" s="26">
        <f>Tabla2[[#This Row],[Minutos]]/60</f>
        <v>0.6333333333333333</v>
      </c>
      <c r="AO671" s="27">
        <f>SUM(Tabla2[[#This Row],[Horas]],Tabla2[[#This Row],[Minutos a Horas]])</f>
        <v>2.6333333333333333</v>
      </c>
      <c r="AP671" s="49">
        <v>2</v>
      </c>
      <c r="AQ671" s="49">
        <v>23</v>
      </c>
      <c r="AR671" s="26">
        <f>Tabla2[[#This Row],[Minutos*]]/60</f>
        <v>0.38333333333333336</v>
      </c>
      <c r="AS671" s="27">
        <f>SUM(Tabla2[[#This Row],[Horas*]],Tabla2[[#This Row],[Minutos a Horas*]])+(Tabla2[[#This Row],[Tiempo Total a Nivel Proncincial (Horas)]])</f>
        <v>5.0166666666666666</v>
      </c>
    </row>
    <row r="672" spans="8:45" x14ac:dyDescent="0.25"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8"/>
      <c r="AD672" s="20" t="s">
        <v>2381</v>
      </c>
      <c r="AE672" s="10" t="s">
        <v>378</v>
      </c>
      <c r="AF672" s="20" t="s">
        <v>758</v>
      </c>
      <c r="AG672" s="10"/>
      <c r="AH672" s="22" t="str">
        <f t="shared" si="20"/>
        <v>Cajamarca_11 San Miguel</v>
      </c>
      <c r="AI672" s="10" t="s">
        <v>893</v>
      </c>
      <c r="AJ672" s="20" t="s">
        <v>861</v>
      </c>
      <c r="AK672" s="22" t="str">
        <f t="shared" si="21"/>
        <v>Cajamarca_11 San Miguel_05 El Prado</v>
      </c>
      <c r="AL672" s="25">
        <v>2</v>
      </c>
      <c r="AM672" s="25">
        <v>38</v>
      </c>
      <c r="AN672" s="26">
        <f>Tabla2[[#This Row],[Minutos]]/60</f>
        <v>0.6333333333333333</v>
      </c>
      <c r="AO672" s="27">
        <f>SUM(Tabla2[[#This Row],[Horas]],Tabla2[[#This Row],[Minutos a Horas]])</f>
        <v>2.6333333333333333</v>
      </c>
      <c r="AP672" s="49">
        <v>2</v>
      </c>
      <c r="AQ672" s="49">
        <v>22</v>
      </c>
      <c r="AR672" s="26">
        <f>Tabla2[[#This Row],[Minutos*]]/60</f>
        <v>0.36666666666666664</v>
      </c>
      <c r="AS672" s="27">
        <f>SUM(Tabla2[[#This Row],[Horas*]],Tabla2[[#This Row],[Minutos a Horas*]])+(Tabla2[[#This Row],[Tiempo Total a Nivel Proncincial (Horas)]])</f>
        <v>5</v>
      </c>
    </row>
    <row r="673" spans="8:45" x14ac:dyDescent="0.25"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8"/>
      <c r="AD673" s="20" t="s">
        <v>2381</v>
      </c>
      <c r="AE673" s="10" t="s">
        <v>378</v>
      </c>
      <c r="AF673" s="20" t="s">
        <v>758</v>
      </c>
      <c r="AG673" s="10"/>
      <c r="AH673" s="22" t="str">
        <f t="shared" si="20"/>
        <v>Cajamarca_11 San Miguel</v>
      </c>
      <c r="AI673" s="10" t="s">
        <v>893</v>
      </c>
      <c r="AJ673" s="20" t="s">
        <v>862</v>
      </c>
      <c r="AK673" s="22" t="str">
        <f t="shared" si="21"/>
        <v>Cajamarca_11 San Miguel_06 La Florida</v>
      </c>
      <c r="AL673" s="25">
        <v>2</v>
      </c>
      <c r="AM673" s="25">
        <v>38</v>
      </c>
      <c r="AN673" s="26">
        <f>Tabla2[[#This Row],[Minutos]]/60</f>
        <v>0.6333333333333333</v>
      </c>
      <c r="AO673" s="27">
        <f>SUM(Tabla2[[#This Row],[Horas]],Tabla2[[#This Row],[Minutos a Horas]])</f>
        <v>2.6333333333333333</v>
      </c>
      <c r="AP673" s="49">
        <v>2</v>
      </c>
      <c r="AQ673" s="49">
        <v>32</v>
      </c>
      <c r="AR673" s="26">
        <f>Tabla2[[#This Row],[Minutos*]]/60</f>
        <v>0.53333333333333333</v>
      </c>
      <c r="AS673" s="27">
        <f>SUM(Tabla2[[#This Row],[Horas*]],Tabla2[[#This Row],[Minutos a Horas*]])+(Tabla2[[#This Row],[Tiempo Total a Nivel Proncincial (Horas)]])</f>
        <v>5.1666666666666661</v>
      </c>
    </row>
    <row r="674" spans="8:45" x14ac:dyDescent="0.25"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8"/>
      <c r="AD674" s="20" t="s">
        <v>2381</v>
      </c>
      <c r="AE674" s="10" t="s">
        <v>378</v>
      </c>
      <c r="AF674" s="20" t="s">
        <v>758</v>
      </c>
      <c r="AG674" s="10"/>
      <c r="AH674" s="22" t="str">
        <f t="shared" si="20"/>
        <v>Cajamarca_11 San Miguel</v>
      </c>
      <c r="AI674" s="10" t="s">
        <v>893</v>
      </c>
      <c r="AJ674" s="20" t="s">
        <v>863</v>
      </c>
      <c r="AK674" s="22" t="str">
        <f t="shared" si="21"/>
        <v>Cajamarca_11 San Miguel_07 Llapa</v>
      </c>
      <c r="AL674" s="25">
        <v>2</v>
      </c>
      <c r="AM674" s="25">
        <v>38</v>
      </c>
      <c r="AN674" s="26">
        <f>Tabla2[[#This Row],[Minutos]]/60</f>
        <v>0.6333333333333333</v>
      </c>
      <c r="AO674" s="27">
        <f>SUM(Tabla2[[#This Row],[Horas]],Tabla2[[#This Row],[Minutos a Horas]])</f>
        <v>2.6333333333333333</v>
      </c>
      <c r="AP674" s="49">
        <v>2</v>
      </c>
      <c r="AQ674" s="49">
        <v>37</v>
      </c>
      <c r="AR674" s="26">
        <f>Tabla2[[#This Row],[Minutos*]]/60</f>
        <v>0.6166666666666667</v>
      </c>
      <c r="AS674" s="27">
        <f>SUM(Tabla2[[#This Row],[Horas*]],Tabla2[[#This Row],[Minutos a Horas*]])+(Tabla2[[#This Row],[Tiempo Total a Nivel Proncincial (Horas)]])</f>
        <v>5.25</v>
      </c>
    </row>
    <row r="675" spans="8:45" x14ac:dyDescent="0.25"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8"/>
      <c r="AD675" s="20" t="s">
        <v>2381</v>
      </c>
      <c r="AE675" s="10" t="s">
        <v>378</v>
      </c>
      <c r="AF675" s="20" t="s">
        <v>758</v>
      </c>
      <c r="AG675" s="10"/>
      <c r="AH675" s="22" t="str">
        <f t="shared" si="20"/>
        <v>Cajamarca_11 San Miguel</v>
      </c>
      <c r="AI675" s="10" t="s">
        <v>893</v>
      </c>
      <c r="AJ675" s="20" t="s">
        <v>864</v>
      </c>
      <c r="AK675" s="22" t="str">
        <f t="shared" si="21"/>
        <v>Cajamarca_11 San Miguel_08 Nanchoc</v>
      </c>
      <c r="AL675" s="25">
        <v>2</v>
      </c>
      <c r="AM675" s="25">
        <v>38</v>
      </c>
      <c r="AN675" s="26">
        <f>Tabla2[[#This Row],[Minutos]]/60</f>
        <v>0.6333333333333333</v>
      </c>
      <c r="AO675" s="27">
        <f>SUM(Tabla2[[#This Row],[Horas]],Tabla2[[#This Row],[Minutos a Horas]])</f>
        <v>2.6333333333333333</v>
      </c>
      <c r="AP675" s="49">
        <v>5</v>
      </c>
      <c r="AQ675" s="49">
        <v>53</v>
      </c>
      <c r="AR675" s="26">
        <f>Tabla2[[#This Row],[Minutos*]]/60</f>
        <v>0.8833333333333333</v>
      </c>
      <c r="AS675" s="27">
        <f>SUM(Tabla2[[#This Row],[Horas*]],Tabla2[[#This Row],[Minutos a Horas*]])+(Tabla2[[#This Row],[Tiempo Total a Nivel Proncincial (Horas)]])</f>
        <v>8.5166666666666657</v>
      </c>
    </row>
    <row r="676" spans="8:45" x14ac:dyDescent="0.25"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8"/>
      <c r="AD676" s="20" t="s">
        <v>2381</v>
      </c>
      <c r="AE676" s="10" t="s">
        <v>378</v>
      </c>
      <c r="AF676" s="20" t="s">
        <v>758</v>
      </c>
      <c r="AG676" s="10"/>
      <c r="AH676" s="22" t="str">
        <f t="shared" si="20"/>
        <v>Cajamarca_11 San Miguel</v>
      </c>
      <c r="AI676" s="10" t="s">
        <v>893</v>
      </c>
      <c r="AJ676" s="20" t="s">
        <v>865</v>
      </c>
      <c r="AK676" s="22" t="str">
        <f t="shared" si="21"/>
        <v>Cajamarca_11 San Miguel_09 Niepos</v>
      </c>
      <c r="AL676" s="25">
        <v>2</v>
      </c>
      <c r="AM676" s="25">
        <v>38</v>
      </c>
      <c r="AN676" s="26">
        <f>Tabla2[[#This Row],[Minutos]]/60</f>
        <v>0.6333333333333333</v>
      </c>
      <c r="AO676" s="27">
        <f>SUM(Tabla2[[#This Row],[Horas]],Tabla2[[#This Row],[Minutos a Horas]])</f>
        <v>2.6333333333333333</v>
      </c>
      <c r="AP676" s="49">
        <v>6</v>
      </c>
      <c r="AQ676" s="49">
        <v>51</v>
      </c>
      <c r="AR676" s="26">
        <f>Tabla2[[#This Row],[Minutos*]]/60</f>
        <v>0.85</v>
      </c>
      <c r="AS676" s="27">
        <f>SUM(Tabla2[[#This Row],[Horas*]],Tabla2[[#This Row],[Minutos a Horas*]])+(Tabla2[[#This Row],[Tiempo Total a Nivel Proncincial (Horas)]])</f>
        <v>9.4833333333333325</v>
      </c>
    </row>
    <row r="677" spans="8:45" x14ac:dyDescent="0.25"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8"/>
      <c r="AD677" s="20" t="s">
        <v>2381</v>
      </c>
      <c r="AE677" s="10" t="s">
        <v>378</v>
      </c>
      <c r="AF677" s="20" t="s">
        <v>758</v>
      </c>
      <c r="AG677" s="10"/>
      <c r="AH677" s="22" t="str">
        <f t="shared" si="20"/>
        <v>Cajamarca_11 San Miguel</v>
      </c>
      <c r="AI677" s="10" t="s">
        <v>893</v>
      </c>
      <c r="AJ677" s="20" t="s">
        <v>866</v>
      </c>
      <c r="AK677" s="22" t="str">
        <f t="shared" si="21"/>
        <v>Cajamarca_11 San Miguel_10 San Gregorio</v>
      </c>
      <c r="AL677" s="25">
        <v>2</v>
      </c>
      <c r="AM677" s="25">
        <v>38</v>
      </c>
      <c r="AN677" s="26">
        <f>Tabla2[[#This Row],[Minutos]]/60</f>
        <v>0.6333333333333333</v>
      </c>
      <c r="AO677" s="27">
        <f>SUM(Tabla2[[#This Row],[Horas]],Tabla2[[#This Row],[Minutos a Horas]])</f>
        <v>2.6333333333333333</v>
      </c>
      <c r="AP677" s="49">
        <v>3</v>
      </c>
      <c r="AQ677" s="49">
        <v>16</v>
      </c>
      <c r="AR677" s="26">
        <f>Tabla2[[#This Row],[Minutos*]]/60</f>
        <v>0.26666666666666666</v>
      </c>
      <c r="AS677" s="27">
        <f>SUM(Tabla2[[#This Row],[Horas*]],Tabla2[[#This Row],[Minutos a Horas*]])+(Tabla2[[#This Row],[Tiempo Total a Nivel Proncincial (Horas)]])</f>
        <v>5.9</v>
      </c>
    </row>
    <row r="678" spans="8:45" x14ac:dyDescent="0.25"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8"/>
      <c r="AD678" s="20" t="s">
        <v>2381</v>
      </c>
      <c r="AE678" s="10" t="s">
        <v>378</v>
      </c>
      <c r="AF678" s="20" t="s">
        <v>758</v>
      </c>
      <c r="AG678" s="10"/>
      <c r="AH678" s="22" t="str">
        <f t="shared" si="20"/>
        <v>Cajamarca_11 San Miguel</v>
      </c>
      <c r="AI678" s="10" t="s">
        <v>893</v>
      </c>
      <c r="AJ678" s="20" t="s">
        <v>867</v>
      </c>
      <c r="AK678" s="22" t="str">
        <f t="shared" si="21"/>
        <v>Cajamarca_11 San Miguel_11 San Silvestre de Cochan</v>
      </c>
      <c r="AL678" s="25">
        <v>2</v>
      </c>
      <c r="AM678" s="25">
        <v>38</v>
      </c>
      <c r="AN678" s="26">
        <f>Tabla2[[#This Row],[Minutos]]/60</f>
        <v>0.6333333333333333</v>
      </c>
      <c r="AO678" s="27">
        <f>SUM(Tabla2[[#This Row],[Horas]],Tabla2[[#This Row],[Minutos a Horas]])</f>
        <v>2.6333333333333333</v>
      </c>
      <c r="AP678" s="49">
        <v>2</v>
      </c>
      <c r="AQ678" s="49">
        <v>15</v>
      </c>
      <c r="AR678" s="26">
        <f>Tabla2[[#This Row],[Minutos*]]/60</f>
        <v>0.25</v>
      </c>
      <c r="AS678" s="27">
        <f>SUM(Tabla2[[#This Row],[Horas*]],Tabla2[[#This Row],[Minutos a Horas*]])+(Tabla2[[#This Row],[Tiempo Total a Nivel Proncincial (Horas)]])</f>
        <v>4.8833333333333329</v>
      </c>
    </row>
    <row r="679" spans="8:45" x14ac:dyDescent="0.25"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8"/>
      <c r="AD679" s="20" t="s">
        <v>2381</v>
      </c>
      <c r="AE679" s="10" t="s">
        <v>378</v>
      </c>
      <c r="AF679" s="20" t="s">
        <v>758</v>
      </c>
      <c r="AG679" s="10"/>
      <c r="AH679" s="22" t="str">
        <f t="shared" si="20"/>
        <v>Cajamarca_11 San Miguel</v>
      </c>
      <c r="AI679" s="10" t="s">
        <v>893</v>
      </c>
      <c r="AJ679" s="20" t="s">
        <v>868</v>
      </c>
      <c r="AK679" s="22" t="str">
        <f t="shared" si="21"/>
        <v>Cajamarca_11 San Miguel_12 Tongod</v>
      </c>
      <c r="AL679" s="25">
        <v>2</v>
      </c>
      <c r="AM679" s="25">
        <v>38</v>
      </c>
      <c r="AN679" s="26">
        <f>Tabla2[[#This Row],[Minutos]]/60</f>
        <v>0.6333333333333333</v>
      </c>
      <c r="AO679" s="27">
        <f>SUM(Tabla2[[#This Row],[Horas]],Tabla2[[#This Row],[Minutos a Horas]])</f>
        <v>2.6333333333333333</v>
      </c>
      <c r="AP679" s="49">
        <v>2</v>
      </c>
      <c r="AQ679" s="49">
        <v>49</v>
      </c>
      <c r="AR679" s="26">
        <f>Tabla2[[#This Row],[Minutos*]]/60</f>
        <v>0.81666666666666665</v>
      </c>
      <c r="AS679" s="27">
        <f>SUM(Tabla2[[#This Row],[Horas*]],Tabla2[[#This Row],[Minutos a Horas*]])+(Tabla2[[#This Row],[Tiempo Total a Nivel Proncincial (Horas)]])</f>
        <v>5.4499999999999993</v>
      </c>
    </row>
    <row r="680" spans="8:45" x14ac:dyDescent="0.25"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8"/>
      <c r="AD680" s="20" t="s">
        <v>2381</v>
      </c>
      <c r="AE680" s="10" t="s">
        <v>378</v>
      </c>
      <c r="AF680" s="20" t="s">
        <v>758</v>
      </c>
      <c r="AG680" s="10"/>
      <c r="AH680" s="22" t="str">
        <f t="shared" si="20"/>
        <v>Cajamarca_11 San Miguel</v>
      </c>
      <c r="AI680" s="10" t="s">
        <v>893</v>
      </c>
      <c r="AJ680" s="20" t="s">
        <v>869</v>
      </c>
      <c r="AK680" s="22" t="str">
        <f t="shared" si="21"/>
        <v>Cajamarca_11 San Miguel_13 Unión Agua Blanca</v>
      </c>
      <c r="AL680" s="25">
        <v>2</v>
      </c>
      <c r="AM680" s="25">
        <v>38</v>
      </c>
      <c r="AN680" s="26">
        <f>Tabla2[[#This Row],[Minutos]]/60</f>
        <v>0.6333333333333333</v>
      </c>
      <c r="AO680" s="27">
        <f>SUM(Tabla2[[#This Row],[Horas]],Tabla2[[#This Row],[Minutos a Horas]])</f>
        <v>2.6333333333333333</v>
      </c>
      <c r="AP680" s="49">
        <v>3</v>
      </c>
      <c r="AQ680" s="49">
        <v>3</v>
      </c>
      <c r="AR680" s="26">
        <f>Tabla2[[#This Row],[Minutos*]]/60</f>
        <v>0.05</v>
      </c>
      <c r="AS680" s="27">
        <f>SUM(Tabla2[[#This Row],[Horas*]],Tabla2[[#This Row],[Minutos a Horas*]])+(Tabla2[[#This Row],[Tiempo Total a Nivel Proncincial (Horas)]])</f>
        <v>5.6833333333333336</v>
      </c>
    </row>
    <row r="681" spans="8:45" x14ac:dyDescent="0.25"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8"/>
      <c r="AD681" s="20" t="s">
        <v>2381</v>
      </c>
      <c r="AE681" s="10" t="s">
        <v>378</v>
      </c>
      <c r="AF681" s="20" t="s">
        <v>759</v>
      </c>
      <c r="AG681" s="10"/>
      <c r="AH681" s="22" t="str">
        <f t="shared" si="20"/>
        <v>Cajamarca_12 San Pablo</v>
      </c>
      <c r="AI681" s="10" t="s">
        <v>894</v>
      </c>
      <c r="AJ681" s="20" t="s">
        <v>870</v>
      </c>
      <c r="AK681" s="22" t="str">
        <f t="shared" si="21"/>
        <v>Cajamarca_12 San Pablo_01 San Pablo</v>
      </c>
      <c r="AL681" s="25">
        <v>1</v>
      </c>
      <c r="AM681" s="25">
        <v>37</v>
      </c>
      <c r="AN681" s="26">
        <f>Tabla2[[#This Row],[Minutos]]/60</f>
        <v>0.6166666666666667</v>
      </c>
      <c r="AO681" s="27">
        <f>SUM(Tabla2[[#This Row],[Horas]],Tabla2[[#This Row],[Minutos a Horas]])</f>
        <v>1.6166666666666667</v>
      </c>
      <c r="AP681" s="49">
        <v>2</v>
      </c>
      <c r="AQ681" s="49">
        <v>0</v>
      </c>
      <c r="AR681" s="26">
        <f>Tabla2[[#This Row],[Minutos*]]/60</f>
        <v>0</v>
      </c>
      <c r="AS681" s="27">
        <f>SUM(Tabla2[[#This Row],[Horas*]],Tabla2[[#This Row],[Minutos a Horas*]])+(Tabla2[[#This Row],[Tiempo Total a Nivel Proncincial (Horas)]])</f>
        <v>3.6166666666666667</v>
      </c>
    </row>
    <row r="682" spans="8:45" x14ac:dyDescent="0.25"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8"/>
      <c r="AD682" s="20" t="s">
        <v>2381</v>
      </c>
      <c r="AE682" s="10" t="s">
        <v>378</v>
      </c>
      <c r="AF682" s="20" t="s">
        <v>759</v>
      </c>
      <c r="AG682" s="10"/>
      <c r="AH682" s="22" t="str">
        <f t="shared" si="20"/>
        <v>Cajamarca_12 San Pablo</v>
      </c>
      <c r="AI682" s="10" t="s">
        <v>894</v>
      </c>
      <c r="AJ682" s="20" t="s">
        <v>871</v>
      </c>
      <c r="AK682" s="22" t="str">
        <f t="shared" si="21"/>
        <v>Cajamarca_12 San Pablo_02 San Bernardino</v>
      </c>
      <c r="AL682" s="25">
        <v>1</v>
      </c>
      <c r="AM682" s="25">
        <v>37</v>
      </c>
      <c r="AN682" s="26">
        <f>Tabla2[[#This Row],[Minutos]]/60</f>
        <v>0.6166666666666667</v>
      </c>
      <c r="AO682" s="27">
        <f>SUM(Tabla2[[#This Row],[Horas]],Tabla2[[#This Row],[Minutos a Horas]])</f>
        <v>1.6166666666666667</v>
      </c>
      <c r="AP682" s="49">
        <v>1</v>
      </c>
      <c r="AQ682" s="49">
        <v>53</v>
      </c>
      <c r="AR682" s="26">
        <f>Tabla2[[#This Row],[Minutos*]]/60</f>
        <v>0.8833333333333333</v>
      </c>
      <c r="AS682" s="27">
        <f>SUM(Tabla2[[#This Row],[Horas*]],Tabla2[[#This Row],[Minutos a Horas*]])+(Tabla2[[#This Row],[Tiempo Total a Nivel Proncincial (Horas)]])</f>
        <v>3.5</v>
      </c>
    </row>
    <row r="683" spans="8:45" x14ac:dyDescent="0.25"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8"/>
      <c r="AD683" s="20" t="s">
        <v>2381</v>
      </c>
      <c r="AE683" s="10" t="s">
        <v>378</v>
      </c>
      <c r="AF683" s="20" t="s">
        <v>759</v>
      </c>
      <c r="AG683" s="10"/>
      <c r="AH683" s="22" t="str">
        <f t="shared" si="20"/>
        <v>Cajamarca_12 San Pablo</v>
      </c>
      <c r="AI683" s="10" t="s">
        <v>894</v>
      </c>
      <c r="AJ683" s="20" t="s">
        <v>872</v>
      </c>
      <c r="AK683" s="22" t="str">
        <f t="shared" si="21"/>
        <v>Cajamarca_12 San Pablo_03 San Luis</v>
      </c>
      <c r="AL683" s="25">
        <v>1</v>
      </c>
      <c r="AM683" s="25">
        <v>37</v>
      </c>
      <c r="AN683" s="26">
        <f>Tabla2[[#This Row],[Minutos]]/60</f>
        <v>0.6166666666666667</v>
      </c>
      <c r="AO683" s="27">
        <f>SUM(Tabla2[[#This Row],[Horas]],Tabla2[[#This Row],[Minutos a Horas]])</f>
        <v>1.6166666666666667</v>
      </c>
      <c r="AP683" s="49">
        <v>1</v>
      </c>
      <c r="AQ683" s="49">
        <v>32</v>
      </c>
      <c r="AR683" s="26">
        <f>Tabla2[[#This Row],[Minutos*]]/60</f>
        <v>0.53333333333333333</v>
      </c>
      <c r="AS683" s="27">
        <f>SUM(Tabla2[[#This Row],[Horas*]],Tabla2[[#This Row],[Minutos a Horas*]])+(Tabla2[[#This Row],[Tiempo Total a Nivel Proncincial (Horas)]])</f>
        <v>3.15</v>
      </c>
    </row>
    <row r="684" spans="8:45" x14ac:dyDescent="0.25"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8"/>
      <c r="AD684" s="20" t="s">
        <v>2381</v>
      </c>
      <c r="AE684" s="10" t="s">
        <v>378</v>
      </c>
      <c r="AF684" s="20" t="s">
        <v>759</v>
      </c>
      <c r="AG684" s="10"/>
      <c r="AH684" s="22" t="str">
        <f t="shared" si="20"/>
        <v>Cajamarca_12 San Pablo</v>
      </c>
      <c r="AI684" s="10" t="s">
        <v>894</v>
      </c>
      <c r="AJ684" s="20" t="s">
        <v>873</v>
      </c>
      <c r="AK684" s="22" t="str">
        <f t="shared" si="21"/>
        <v>Cajamarca_12 San Pablo_04 Tumbaden</v>
      </c>
      <c r="AL684" s="25">
        <v>1</v>
      </c>
      <c r="AM684" s="25">
        <v>37</v>
      </c>
      <c r="AN684" s="26">
        <f>Tabla2[[#This Row],[Minutos]]/60</f>
        <v>0.6166666666666667</v>
      </c>
      <c r="AO684" s="27">
        <f>SUM(Tabla2[[#This Row],[Horas]],Tabla2[[#This Row],[Minutos a Horas]])</f>
        <v>1.6166666666666667</v>
      </c>
      <c r="AP684" s="49">
        <v>1</v>
      </c>
      <c r="AQ684" s="49">
        <v>19</v>
      </c>
      <c r="AR684" s="26">
        <f>Tabla2[[#This Row],[Minutos*]]/60</f>
        <v>0.31666666666666665</v>
      </c>
      <c r="AS684" s="27">
        <f>SUM(Tabla2[[#This Row],[Horas*]],Tabla2[[#This Row],[Minutos a Horas*]])+(Tabla2[[#This Row],[Tiempo Total a Nivel Proncincial (Horas)]])</f>
        <v>2.9333333333333336</v>
      </c>
    </row>
    <row r="685" spans="8:45" x14ac:dyDescent="0.25"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8"/>
      <c r="AD685" s="20" t="s">
        <v>2381</v>
      </c>
      <c r="AE685" s="10" t="s">
        <v>378</v>
      </c>
      <c r="AF685" s="20" t="s">
        <v>760</v>
      </c>
      <c r="AG685" s="10"/>
      <c r="AH685" s="22" t="str">
        <f t="shared" si="20"/>
        <v>Cajamarca_13 Santa Cruz</v>
      </c>
      <c r="AI685" s="10" t="s">
        <v>895</v>
      </c>
      <c r="AJ685" s="20" t="s">
        <v>874</v>
      </c>
      <c r="AK685" s="22" t="str">
        <f t="shared" si="21"/>
        <v>Cajamarca_13 Santa Cruz_01 Santa Cruz</v>
      </c>
      <c r="AL685" s="25">
        <v>4</v>
      </c>
      <c r="AM685" s="25">
        <v>2</v>
      </c>
      <c r="AN685" s="26">
        <f>Tabla2[[#This Row],[Minutos]]/60</f>
        <v>3.3333333333333333E-2</v>
      </c>
      <c r="AO685" s="27">
        <f>SUM(Tabla2[[#This Row],[Horas]],Tabla2[[#This Row],[Minutos a Horas]])</f>
        <v>4.0333333333333332</v>
      </c>
      <c r="AP685" s="49">
        <v>2</v>
      </c>
      <c r="AQ685" s="49">
        <v>0</v>
      </c>
      <c r="AR685" s="26">
        <f>Tabla2[[#This Row],[Minutos*]]/60</f>
        <v>0</v>
      </c>
      <c r="AS685" s="27">
        <f>SUM(Tabla2[[#This Row],[Horas*]],Tabla2[[#This Row],[Minutos a Horas*]])+(Tabla2[[#This Row],[Tiempo Total a Nivel Proncincial (Horas)]])</f>
        <v>6.0333333333333332</v>
      </c>
    </row>
    <row r="686" spans="8:45" x14ac:dyDescent="0.25"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8"/>
      <c r="AD686" s="20" t="s">
        <v>2381</v>
      </c>
      <c r="AE686" s="10" t="s">
        <v>378</v>
      </c>
      <c r="AF686" s="20" t="s">
        <v>760</v>
      </c>
      <c r="AG686" s="10"/>
      <c r="AH686" s="22" t="str">
        <f t="shared" si="20"/>
        <v>Cajamarca_13 Santa Cruz</v>
      </c>
      <c r="AI686" s="10" t="s">
        <v>895</v>
      </c>
      <c r="AJ686" s="20" t="s">
        <v>875</v>
      </c>
      <c r="AK686" s="22" t="str">
        <f t="shared" si="21"/>
        <v>Cajamarca_13 Santa Cruz_02 Andabamba</v>
      </c>
      <c r="AL686" s="25">
        <v>4</v>
      </c>
      <c r="AM686" s="25">
        <v>2</v>
      </c>
      <c r="AN686" s="26">
        <f>Tabla2[[#This Row],[Minutos]]/60</f>
        <v>3.3333333333333333E-2</v>
      </c>
      <c r="AO686" s="27">
        <f>SUM(Tabla2[[#This Row],[Horas]],Tabla2[[#This Row],[Minutos a Horas]])</f>
        <v>4.0333333333333332</v>
      </c>
      <c r="AP686" s="49">
        <v>2</v>
      </c>
      <c r="AQ686" s="49">
        <v>45</v>
      </c>
      <c r="AR686" s="26">
        <f>Tabla2[[#This Row],[Minutos*]]/60</f>
        <v>0.75</v>
      </c>
      <c r="AS686" s="27">
        <f>SUM(Tabla2[[#This Row],[Horas*]],Tabla2[[#This Row],[Minutos a Horas*]])+(Tabla2[[#This Row],[Tiempo Total a Nivel Proncincial (Horas)]])</f>
        <v>6.7833333333333332</v>
      </c>
    </row>
    <row r="687" spans="8:45" x14ac:dyDescent="0.25"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8"/>
      <c r="AD687" s="20" t="s">
        <v>2381</v>
      </c>
      <c r="AE687" s="10" t="s">
        <v>378</v>
      </c>
      <c r="AF687" s="20" t="s">
        <v>760</v>
      </c>
      <c r="AG687" s="10"/>
      <c r="AH687" s="22" t="str">
        <f t="shared" si="20"/>
        <v>Cajamarca_13 Santa Cruz</v>
      </c>
      <c r="AI687" s="10" t="s">
        <v>895</v>
      </c>
      <c r="AJ687" s="20" t="s">
        <v>876</v>
      </c>
      <c r="AK687" s="22" t="str">
        <f t="shared" si="21"/>
        <v>Cajamarca_13 Santa Cruz_03 Catache</v>
      </c>
      <c r="AL687" s="25">
        <v>4</v>
      </c>
      <c r="AM687" s="25">
        <v>2</v>
      </c>
      <c r="AN687" s="26">
        <f>Tabla2[[#This Row],[Minutos]]/60</f>
        <v>3.3333333333333333E-2</v>
      </c>
      <c r="AO687" s="27">
        <f>SUM(Tabla2[[#This Row],[Horas]],Tabla2[[#This Row],[Minutos a Horas]])</f>
        <v>4.0333333333333332</v>
      </c>
      <c r="AP687" s="49">
        <v>2</v>
      </c>
      <c r="AQ687" s="49">
        <v>50</v>
      </c>
      <c r="AR687" s="26">
        <f>Tabla2[[#This Row],[Minutos*]]/60</f>
        <v>0.83333333333333337</v>
      </c>
      <c r="AS687" s="27">
        <f>SUM(Tabla2[[#This Row],[Horas*]],Tabla2[[#This Row],[Minutos a Horas*]])+(Tabla2[[#This Row],[Tiempo Total a Nivel Proncincial (Horas)]])</f>
        <v>6.8666666666666671</v>
      </c>
    </row>
    <row r="688" spans="8:45" x14ac:dyDescent="0.25"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8"/>
      <c r="AD688" s="20" t="s">
        <v>2381</v>
      </c>
      <c r="AE688" s="10" t="s">
        <v>378</v>
      </c>
      <c r="AF688" s="20" t="s">
        <v>760</v>
      </c>
      <c r="AG688" s="10"/>
      <c r="AH688" s="22" t="str">
        <f t="shared" si="20"/>
        <v>Cajamarca_13 Santa Cruz</v>
      </c>
      <c r="AI688" s="10" t="s">
        <v>895</v>
      </c>
      <c r="AJ688" s="20" t="s">
        <v>877</v>
      </c>
      <c r="AK688" s="22" t="str">
        <f t="shared" si="21"/>
        <v>Cajamarca_13 Santa Cruz_04 Chancaybaños</v>
      </c>
      <c r="AL688" s="25">
        <v>4</v>
      </c>
      <c r="AM688" s="25">
        <v>2</v>
      </c>
      <c r="AN688" s="26">
        <f>Tabla2[[#This Row],[Minutos]]/60</f>
        <v>3.3333333333333333E-2</v>
      </c>
      <c r="AO688" s="27">
        <f>SUM(Tabla2[[#This Row],[Horas]],Tabla2[[#This Row],[Minutos a Horas]])</f>
        <v>4.0333333333333332</v>
      </c>
      <c r="AP688" s="49">
        <v>1</v>
      </c>
      <c r="AQ688" s="49">
        <v>20</v>
      </c>
      <c r="AR688" s="26">
        <f>Tabla2[[#This Row],[Minutos*]]/60</f>
        <v>0.33333333333333331</v>
      </c>
      <c r="AS688" s="27">
        <f>SUM(Tabla2[[#This Row],[Horas*]],Tabla2[[#This Row],[Minutos a Horas*]])+(Tabla2[[#This Row],[Tiempo Total a Nivel Proncincial (Horas)]])</f>
        <v>5.3666666666666663</v>
      </c>
    </row>
    <row r="689" spans="8:45" x14ac:dyDescent="0.25"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8"/>
      <c r="AD689" s="20" t="s">
        <v>2381</v>
      </c>
      <c r="AE689" s="10" t="s">
        <v>378</v>
      </c>
      <c r="AF689" s="20" t="s">
        <v>760</v>
      </c>
      <c r="AG689" s="10"/>
      <c r="AH689" s="22" t="str">
        <f t="shared" si="20"/>
        <v>Cajamarca_13 Santa Cruz</v>
      </c>
      <c r="AI689" s="10" t="s">
        <v>895</v>
      </c>
      <c r="AJ689" s="20" t="s">
        <v>878</v>
      </c>
      <c r="AK689" s="22" t="str">
        <f t="shared" si="21"/>
        <v>Cajamarca_13 Santa Cruz_05 La Esperanza</v>
      </c>
      <c r="AL689" s="25">
        <v>4</v>
      </c>
      <c r="AM689" s="25">
        <v>2</v>
      </c>
      <c r="AN689" s="26">
        <f>Tabla2[[#This Row],[Minutos]]/60</f>
        <v>3.3333333333333333E-2</v>
      </c>
      <c r="AO689" s="27">
        <f>SUM(Tabla2[[#This Row],[Horas]],Tabla2[[#This Row],[Minutos a Horas]])</f>
        <v>4.0333333333333332</v>
      </c>
      <c r="AP689" s="49">
        <v>2</v>
      </c>
      <c r="AQ689" s="49">
        <v>0</v>
      </c>
      <c r="AR689" s="26">
        <f>Tabla2[[#This Row],[Minutos*]]/60</f>
        <v>0</v>
      </c>
      <c r="AS689" s="27">
        <f>SUM(Tabla2[[#This Row],[Horas*]],Tabla2[[#This Row],[Minutos a Horas*]])+(Tabla2[[#This Row],[Tiempo Total a Nivel Proncincial (Horas)]])</f>
        <v>6.0333333333333332</v>
      </c>
    </row>
    <row r="690" spans="8:45" x14ac:dyDescent="0.25"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8"/>
      <c r="AD690" s="20" t="s">
        <v>2381</v>
      </c>
      <c r="AE690" s="10" t="s">
        <v>378</v>
      </c>
      <c r="AF690" s="20" t="s">
        <v>760</v>
      </c>
      <c r="AG690" s="10"/>
      <c r="AH690" s="22" t="str">
        <f t="shared" si="20"/>
        <v>Cajamarca_13 Santa Cruz</v>
      </c>
      <c r="AI690" s="10" t="s">
        <v>895</v>
      </c>
      <c r="AJ690" s="20" t="s">
        <v>879</v>
      </c>
      <c r="AK690" s="22" t="str">
        <f t="shared" si="21"/>
        <v>Cajamarca_13 Santa Cruz_06 Ninabamba</v>
      </c>
      <c r="AL690" s="25">
        <v>4</v>
      </c>
      <c r="AM690" s="25">
        <v>2</v>
      </c>
      <c r="AN690" s="26">
        <f>Tabla2[[#This Row],[Minutos]]/60</f>
        <v>3.3333333333333333E-2</v>
      </c>
      <c r="AO690" s="27">
        <f>SUM(Tabla2[[#This Row],[Horas]],Tabla2[[#This Row],[Minutos a Horas]])</f>
        <v>4.0333333333333332</v>
      </c>
      <c r="AP690" s="49">
        <v>2</v>
      </c>
      <c r="AQ690" s="49">
        <v>16</v>
      </c>
      <c r="AR690" s="26">
        <f>Tabla2[[#This Row],[Minutos*]]/60</f>
        <v>0.26666666666666666</v>
      </c>
      <c r="AS690" s="27">
        <f>SUM(Tabla2[[#This Row],[Horas*]],Tabla2[[#This Row],[Minutos a Horas*]])+(Tabla2[[#This Row],[Tiempo Total a Nivel Proncincial (Horas)]])</f>
        <v>6.3</v>
      </c>
    </row>
    <row r="691" spans="8:45" x14ac:dyDescent="0.25"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8"/>
      <c r="AD691" s="20" t="s">
        <v>2381</v>
      </c>
      <c r="AE691" s="10" t="s">
        <v>378</v>
      </c>
      <c r="AF691" s="20" t="s">
        <v>760</v>
      </c>
      <c r="AG691" s="10"/>
      <c r="AH691" s="22" t="str">
        <f t="shared" si="20"/>
        <v>Cajamarca_13 Santa Cruz</v>
      </c>
      <c r="AI691" s="10" t="s">
        <v>895</v>
      </c>
      <c r="AJ691" s="20" t="s">
        <v>880</v>
      </c>
      <c r="AK691" s="22" t="str">
        <f t="shared" si="21"/>
        <v>Cajamarca_13 Santa Cruz_07 Pulan</v>
      </c>
      <c r="AL691" s="25">
        <v>4</v>
      </c>
      <c r="AM691" s="25">
        <v>2</v>
      </c>
      <c r="AN691" s="26">
        <f>Tabla2[[#This Row],[Minutos]]/60</f>
        <v>3.3333333333333333E-2</v>
      </c>
      <c r="AO691" s="27">
        <f>SUM(Tabla2[[#This Row],[Horas]],Tabla2[[#This Row],[Minutos a Horas]])</f>
        <v>4.0333333333333332</v>
      </c>
      <c r="AP691" s="49">
        <v>3</v>
      </c>
      <c r="AQ691" s="49">
        <v>40</v>
      </c>
      <c r="AR691" s="26">
        <f>Tabla2[[#This Row],[Minutos*]]/60</f>
        <v>0.66666666666666663</v>
      </c>
      <c r="AS691" s="27">
        <f>SUM(Tabla2[[#This Row],[Horas*]],Tabla2[[#This Row],[Minutos a Horas*]])+(Tabla2[[#This Row],[Tiempo Total a Nivel Proncincial (Horas)]])</f>
        <v>7.6999999999999993</v>
      </c>
    </row>
    <row r="692" spans="8:45" x14ac:dyDescent="0.25"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8"/>
      <c r="AD692" s="20" t="s">
        <v>2381</v>
      </c>
      <c r="AE692" s="10" t="s">
        <v>378</v>
      </c>
      <c r="AF692" s="20" t="s">
        <v>760</v>
      </c>
      <c r="AG692" s="10"/>
      <c r="AH692" s="22" t="str">
        <f t="shared" si="20"/>
        <v>Cajamarca_13 Santa Cruz</v>
      </c>
      <c r="AI692" s="10" t="s">
        <v>895</v>
      </c>
      <c r="AJ692" s="20" t="s">
        <v>881</v>
      </c>
      <c r="AK692" s="22" t="str">
        <f t="shared" si="21"/>
        <v>Cajamarca_13 Santa Cruz_08 Saucepampa</v>
      </c>
      <c r="AL692" s="25">
        <v>4</v>
      </c>
      <c r="AM692" s="25">
        <v>2</v>
      </c>
      <c r="AN692" s="26">
        <f>Tabla2[[#This Row],[Minutos]]/60</f>
        <v>3.3333333333333333E-2</v>
      </c>
      <c r="AO692" s="27">
        <f>SUM(Tabla2[[#This Row],[Horas]],Tabla2[[#This Row],[Minutos a Horas]])</f>
        <v>4.0333333333333332</v>
      </c>
      <c r="AP692" s="49">
        <v>2</v>
      </c>
      <c r="AQ692" s="49">
        <v>40</v>
      </c>
      <c r="AR692" s="26">
        <f>Tabla2[[#This Row],[Minutos*]]/60</f>
        <v>0.66666666666666663</v>
      </c>
      <c r="AS692" s="27">
        <f>SUM(Tabla2[[#This Row],[Horas*]],Tabla2[[#This Row],[Minutos a Horas*]])+(Tabla2[[#This Row],[Tiempo Total a Nivel Proncincial (Horas)]])</f>
        <v>6.6999999999999993</v>
      </c>
    </row>
    <row r="693" spans="8:45" x14ac:dyDescent="0.25">
      <c r="H693" s="81"/>
      <c r="I693" s="81"/>
      <c r="J693" s="81"/>
      <c r="K693" s="81"/>
      <c r="L693" s="81"/>
      <c r="M693" s="81"/>
      <c r="N693" s="81"/>
      <c r="O693" s="81"/>
      <c r="P693" s="81"/>
      <c r="Q693" s="81"/>
      <c r="R693" s="81"/>
      <c r="S693" s="81"/>
      <c r="T693" s="81"/>
      <c r="U693" s="81"/>
      <c r="V693" s="81"/>
      <c r="W693" s="81"/>
      <c r="X693" s="81"/>
      <c r="Y693" s="81"/>
      <c r="Z693" s="81"/>
      <c r="AA693" s="81"/>
      <c r="AB693" s="88"/>
      <c r="AD693" s="20" t="s">
        <v>2381</v>
      </c>
      <c r="AE693" s="10" t="s">
        <v>378</v>
      </c>
      <c r="AF693" s="20" t="s">
        <v>760</v>
      </c>
      <c r="AG693" s="10"/>
      <c r="AH693" s="22" t="str">
        <f t="shared" si="20"/>
        <v>Cajamarca_13 Santa Cruz</v>
      </c>
      <c r="AI693" s="10" t="s">
        <v>895</v>
      </c>
      <c r="AJ693" s="20" t="s">
        <v>882</v>
      </c>
      <c r="AK693" s="22" t="str">
        <f t="shared" si="21"/>
        <v>Cajamarca_13 Santa Cruz_09 Sexi</v>
      </c>
      <c r="AL693" s="25">
        <v>4</v>
      </c>
      <c r="AM693" s="25">
        <v>2</v>
      </c>
      <c r="AN693" s="26">
        <f>Tabla2[[#This Row],[Minutos]]/60</f>
        <v>3.3333333333333333E-2</v>
      </c>
      <c r="AO693" s="27">
        <f>SUM(Tabla2[[#This Row],[Horas]],Tabla2[[#This Row],[Minutos a Horas]])</f>
        <v>4.0333333333333332</v>
      </c>
      <c r="AP693" s="49">
        <v>2</v>
      </c>
      <c r="AQ693" s="49">
        <v>12</v>
      </c>
      <c r="AR693" s="26">
        <f>Tabla2[[#This Row],[Minutos*]]/60</f>
        <v>0.2</v>
      </c>
      <c r="AS693" s="27">
        <f>SUM(Tabla2[[#This Row],[Horas*]],Tabla2[[#This Row],[Minutos a Horas*]])+(Tabla2[[#This Row],[Tiempo Total a Nivel Proncincial (Horas)]])</f>
        <v>6.2333333333333334</v>
      </c>
    </row>
    <row r="694" spans="8:45" x14ac:dyDescent="0.25">
      <c r="H694" s="81"/>
      <c r="I694" s="81"/>
      <c r="J694" s="81"/>
      <c r="K694" s="81"/>
      <c r="L694" s="81"/>
      <c r="M694" s="81"/>
      <c r="N694" s="81"/>
      <c r="O694" s="81"/>
      <c r="P694" s="81"/>
      <c r="Q694" s="81"/>
      <c r="R694" s="81"/>
      <c r="S694" s="81"/>
      <c r="T694" s="81"/>
      <c r="U694" s="81"/>
      <c r="V694" s="81"/>
      <c r="W694" s="81"/>
      <c r="X694" s="81"/>
      <c r="Y694" s="81"/>
      <c r="Z694" s="81"/>
      <c r="AA694" s="81"/>
      <c r="AB694" s="88"/>
      <c r="AD694" s="20" t="s">
        <v>2381</v>
      </c>
      <c r="AE694" s="10" t="s">
        <v>378</v>
      </c>
      <c r="AF694" s="20" t="s">
        <v>760</v>
      </c>
      <c r="AG694" s="10"/>
      <c r="AH694" s="22" t="str">
        <f t="shared" si="20"/>
        <v>Cajamarca_13 Santa Cruz</v>
      </c>
      <c r="AI694" s="10" t="s">
        <v>895</v>
      </c>
      <c r="AJ694" s="20" t="s">
        <v>883</v>
      </c>
      <c r="AK694" s="22" t="str">
        <f t="shared" si="21"/>
        <v>Cajamarca_13 Santa Cruz_10 Uticyacu</v>
      </c>
      <c r="AL694" s="25">
        <v>4</v>
      </c>
      <c r="AM694" s="25">
        <v>2</v>
      </c>
      <c r="AN694" s="26">
        <f>Tabla2[[#This Row],[Minutos]]/60</f>
        <v>3.3333333333333333E-2</v>
      </c>
      <c r="AO694" s="27">
        <f>SUM(Tabla2[[#This Row],[Horas]],Tabla2[[#This Row],[Minutos a Horas]])</f>
        <v>4.0333333333333332</v>
      </c>
      <c r="AP694" s="49">
        <v>2</v>
      </c>
      <c r="AQ694" s="49">
        <v>35</v>
      </c>
      <c r="AR694" s="26">
        <f>Tabla2[[#This Row],[Minutos*]]/60</f>
        <v>0.58333333333333337</v>
      </c>
      <c r="AS694" s="27">
        <f>SUM(Tabla2[[#This Row],[Horas*]],Tabla2[[#This Row],[Minutos a Horas*]])+(Tabla2[[#This Row],[Tiempo Total a Nivel Proncincial (Horas)]])</f>
        <v>6.6166666666666671</v>
      </c>
    </row>
    <row r="695" spans="8:45" x14ac:dyDescent="0.25">
      <c r="H695" s="81"/>
      <c r="I695" s="81"/>
      <c r="J695" s="81"/>
      <c r="K695" s="81"/>
      <c r="L695" s="81"/>
      <c r="M695" s="81"/>
      <c r="N695" s="81"/>
      <c r="O695" s="81"/>
      <c r="P695" s="81"/>
      <c r="Q695" s="81"/>
      <c r="R695" s="81"/>
      <c r="S695" s="81"/>
      <c r="T695" s="81"/>
      <c r="U695" s="81"/>
      <c r="V695" s="81"/>
      <c r="W695" s="81"/>
      <c r="X695" s="81"/>
      <c r="Y695" s="81"/>
      <c r="Z695" s="81"/>
      <c r="AA695" s="81"/>
      <c r="AB695" s="88"/>
      <c r="AD695" s="20" t="s">
        <v>2381</v>
      </c>
      <c r="AE695" s="10" t="s">
        <v>378</v>
      </c>
      <c r="AF695" s="20" t="s">
        <v>760</v>
      </c>
      <c r="AG695" s="10"/>
      <c r="AH695" s="22" t="str">
        <f t="shared" si="20"/>
        <v>Cajamarca_13 Santa Cruz</v>
      </c>
      <c r="AI695" s="10" t="s">
        <v>895</v>
      </c>
      <c r="AJ695" s="20" t="s">
        <v>884</v>
      </c>
      <c r="AK695" s="22" t="str">
        <f t="shared" si="21"/>
        <v>Cajamarca_13 Santa Cruz_11 Yauyucan</v>
      </c>
      <c r="AL695" s="25">
        <v>4</v>
      </c>
      <c r="AM695" s="25">
        <v>2</v>
      </c>
      <c r="AN695" s="26">
        <f>Tabla2[[#This Row],[Minutos]]/60</f>
        <v>3.3333333333333333E-2</v>
      </c>
      <c r="AO695" s="27">
        <f>SUM(Tabla2[[#This Row],[Horas]],Tabla2[[#This Row],[Minutos a Horas]])</f>
        <v>4.0333333333333332</v>
      </c>
      <c r="AP695" s="49">
        <v>2</v>
      </c>
      <c r="AQ695" s="49">
        <v>40</v>
      </c>
      <c r="AR695" s="26">
        <f>Tabla2[[#This Row],[Minutos*]]/60</f>
        <v>0.66666666666666663</v>
      </c>
      <c r="AS695" s="27">
        <f>SUM(Tabla2[[#This Row],[Horas*]],Tabla2[[#This Row],[Minutos a Horas*]])+(Tabla2[[#This Row],[Tiempo Total a Nivel Proncincial (Horas)]])</f>
        <v>6.6999999999999993</v>
      </c>
    </row>
    <row r="696" spans="8:45" x14ac:dyDescent="0.25">
      <c r="H696" s="81"/>
      <c r="I696" s="81"/>
      <c r="J696" s="81"/>
      <c r="K696" s="81"/>
      <c r="L696" s="81"/>
      <c r="M696" s="81"/>
      <c r="N696" s="81"/>
      <c r="O696" s="81"/>
      <c r="P696" s="81"/>
      <c r="Q696" s="81"/>
      <c r="R696" s="81"/>
      <c r="S696" s="81"/>
      <c r="T696" s="81"/>
      <c r="U696" s="81"/>
      <c r="V696" s="81"/>
      <c r="W696" s="81"/>
      <c r="X696" s="81"/>
      <c r="Y696" s="81"/>
      <c r="Z696" s="81"/>
      <c r="AA696" s="81"/>
      <c r="AB696" s="88"/>
      <c r="AD696" s="33" t="s">
        <v>2382</v>
      </c>
      <c r="AE696" s="10" t="s">
        <v>379</v>
      </c>
      <c r="AF696" s="20" t="s">
        <v>898</v>
      </c>
      <c r="AG696" s="10" t="s">
        <v>898</v>
      </c>
      <c r="AH696" s="22" t="str">
        <f t="shared" si="20"/>
        <v>Cusco_01 Cusco</v>
      </c>
      <c r="AI696" s="10" t="s">
        <v>896</v>
      </c>
      <c r="AJ696" s="20" t="s">
        <v>898</v>
      </c>
      <c r="AK696" s="22" t="str">
        <f t="shared" si="21"/>
        <v>Cusco_01 Cusco_01 Cusco</v>
      </c>
      <c r="AL696" s="25">
        <v>0</v>
      </c>
      <c r="AM696" s="25">
        <v>54</v>
      </c>
      <c r="AN696" s="26">
        <f>Tabla2[[#This Row],[Minutos]]/60</f>
        <v>0.9</v>
      </c>
      <c r="AO696" s="27">
        <f>SUM(Tabla2[[#This Row],[Horas]],Tabla2[[#This Row],[Minutos a Horas]])</f>
        <v>0.9</v>
      </c>
      <c r="AP696" s="49">
        <v>0</v>
      </c>
      <c r="AQ696" s="49">
        <v>15</v>
      </c>
      <c r="AR696" s="26">
        <f>Tabla2[[#This Row],[Minutos*]]/60</f>
        <v>0.25</v>
      </c>
      <c r="AS696" s="27">
        <f>SUM(Tabla2[[#This Row],[Horas*]],Tabla2[[#This Row],[Minutos a Horas*]])+(Tabla2[[#This Row],[Tiempo Total a Nivel Proncincial (Horas)]])</f>
        <v>1.1499999999999999</v>
      </c>
    </row>
    <row r="697" spans="8:45" x14ac:dyDescent="0.25">
      <c r="H697" s="81"/>
      <c r="I697" s="81"/>
      <c r="J697" s="81"/>
      <c r="K697" s="81"/>
      <c r="L697" s="81"/>
      <c r="M697" s="81"/>
      <c r="N697" s="81"/>
      <c r="O697" s="81"/>
      <c r="P697" s="81"/>
      <c r="Q697" s="81"/>
      <c r="R697" s="81"/>
      <c r="S697" s="81"/>
      <c r="T697" s="81"/>
      <c r="U697" s="81"/>
      <c r="V697" s="81"/>
      <c r="W697" s="81"/>
      <c r="X697" s="81"/>
      <c r="Y697" s="81"/>
      <c r="Z697" s="81"/>
      <c r="AA697" s="81"/>
      <c r="AB697" s="88"/>
      <c r="AD697" s="33" t="s">
        <v>2382</v>
      </c>
      <c r="AE697" s="10" t="s">
        <v>379</v>
      </c>
      <c r="AF697" s="20" t="s">
        <v>898</v>
      </c>
      <c r="AG697" s="10" t="s">
        <v>899</v>
      </c>
      <c r="AH697" s="22" t="str">
        <f t="shared" si="20"/>
        <v>Cusco_01 Cusco</v>
      </c>
      <c r="AI697" s="10" t="s">
        <v>896</v>
      </c>
      <c r="AJ697" s="20" t="s">
        <v>911</v>
      </c>
      <c r="AK697" s="22" t="str">
        <f t="shared" si="21"/>
        <v>Cusco_01 Cusco_02 Ccorca</v>
      </c>
      <c r="AL697" s="25">
        <v>0</v>
      </c>
      <c r="AM697" s="25">
        <v>54</v>
      </c>
      <c r="AN697" s="26">
        <f>Tabla2[[#This Row],[Minutos]]/60</f>
        <v>0.9</v>
      </c>
      <c r="AO697" s="27">
        <f>SUM(Tabla2[[#This Row],[Horas]],Tabla2[[#This Row],[Minutos a Horas]])</f>
        <v>0.9</v>
      </c>
      <c r="AP697" s="49">
        <v>0</v>
      </c>
      <c r="AQ697" s="49">
        <v>50</v>
      </c>
      <c r="AR697" s="26">
        <f>Tabla2[[#This Row],[Minutos*]]/60</f>
        <v>0.83333333333333337</v>
      </c>
      <c r="AS697" s="27">
        <f>SUM(Tabla2[[#This Row],[Horas*]],Tabla2[[#This Row],[Minutos a Horas*]])+(Tabla2[[#This Row],[Tiempo Total a Nivel Proncincial (Horas)]])</f>
        <v>1.7333333333333334</v>
      </c>
    </row>
    <row r="698" spans="8:45" x14ac:dyDescent="0.25">
      <c r="H698" s="81"/>
      <c r="I698" s="81"/>
      <c r="J698" s="81"/>
      <c r="K698" s="81"/>
      <c r="L698" s="81"/>
      <c r="M698" s="81"/>
      <c r="N698" s="81"/>
      <c r="O698" s="81"/>
      <c r="P698" s="81"/>
      <c r="Q698" s="81"/>
      <c r="R698" s="81"/>
      <c r="S698" s="81"/>
      <c r="T698" s="81"/>
      <c r="U698" s="81"/>
      <c r="V698" s="81"/>
      <c r="W698" s="81"/>
      <c r="X698" s="81"/>
      <c r="Y698" s="81"/>
      <c r="Z698" s="81"/>
      <c r="AA698" s="81"/>
      <c r="AB698" s="88"/>
      <c r="AD698" s="33" t="s">
        <v>2382</v>
      </c>
      <c r="AE698" s="10" t="s">
        <v>379</v>
      </c>
      <c r="AF698" s="20" t="s">
        <v>898</v>
      </c>
      <c r="AG698" s="10" t="s">
        <v>900</v>
      </c>
      <c r="AH698" s="22" t="str">
        <f t="shared" si="20"/>
        <v>Cusco_01 Cusco</v>
      </c>
      <c r="AI698" s="10" t="s">
        <v>896</v>
      </c>
      <c r="AJ698" s="20" t="s">
        <v>912</v>
      </c>
      <c r="AK698" s="22" t="str">
        <f t="shared" si="21"/>
        <v>Cusco_01 Cusco_03 Poroy</v>
      </c>
      <c r="AL698" s="25">
        <v>0</v>
      </c>
      <c r="AM698" s="25">
        <v>54</v>
      </c>
      <c r="AN698" s="26">
        <f>Tabla2[[#This Row],[Minutos]]/60</f>
        <v>0.9</v>
      </c>
      <c r="AO698" s="27">
        <f>SUM(Tabla2[[#This Row],[Horas]],Tabla2[[#This Row],[Minutos a Horas]])</f>
        <v>0.9</v>
      </c>
      <c r="AP698" s="49">
        <v>0</v>
      </c>
      <c r="AQ698" s="49">
        <v>30</v>
      </c>
      <c r="AR698" s="26">
        <f>Tabla2[[#This Row],[Minutos*]]/60</f>
        <v>0.5</v>
      </c>
      <c r="AS698" s="27">
        <f>SUM(Tabla2[[#This Row],[Horas*]],Tabla2[[#This Row],[Minutos a Horas*]])+(Tabla2[[#This Row],[Tiempo Total a Nivel Proncincial (Horas)]])</f>
        <v>1.4</v>
      </c>
    </row>
    <row r="699" spans="8:45" x14ac:dyDescent="0.25">
      <c r="H699" s="81"/>
      <c r="I699" s="81"/>
      <c r="J699" s="81"/>
      <c r="K699" s="81"/>
      <c r="L699" s="81"/>
      <c r="M699" s="81"/>
      <c r="N699" s="81"/>
      <c r="O699" s="81"/>
      <c r="P699" s="81"/>
      <c r="Q699" s="81"/>
      <c r="R699" s="81"/>
      <c r="S699" s="81"/>
      <c r="T699" s="81"/>
      <c r="U699" s="81"/>
      <c r="V699" s="81"/>
      <c r="W699" s="81"/>
      <c r="X699" s="81"/>
      <c r="Y699" s="81"/>
      <c r="Z699" s="81"/>
      <c r="AA699" s="81"/>
      <c r="AB699" s="88"/>
      <c r="AD699" s="33" t="s">
        <v>2382</v>
      </c>
      <c r="AE699" s="10" t="s">
        <v>379</v>
      </c>
      <c r="AF699" s="20" t="s">
        <v>898</v>
      </c>
      <c r="AG699" s="10" t="s">
        <v>901</v>
      </c>
      <c r="AH699" s="22" t="str">
        <f t="shared" si="20"/>
        <v>Cusco_01 Cusco</v>
      </c>
      <c r="AI699" s="10" t="s">
        <v>896</v>
      </c>
      <c r="AJ699" s="20" t="s">
        <v>913</v>
      </c>
      <c r="AK699" s="22" t="str">
        <f t="shared" si="21"/>
        <v>Cusco_01 Cusco_04 San Jerónimo</v>
      </c>
      <c r="AL699" s="25">
        <v>0</v>
      </c>
      <c r="AM699" s="25">
        <v>54</v>
      </c>
      <c r="AN699" s="26">
        <f>Tabla2[[#This Row],[Minutos]]/60</f>
        <v>0.9</v>
      </c>
      <c r="AO699" s="27">
        <f>SUM(Tabla2[[#This Row],[Horas]],Tabla2[[#This Row],[Minutos a Horas]])</f>
        <v>0.9</v>
      </c>
      <c r="AP699" s="49">
        <v>0</v>
      </c>
      <c r="AQ699" s="49">
        <v>25</v>
      </c>
      <c r="AR699" s="26">
        <f>Tabla2[[#This Row],[Minutos*]]/60</f>
        <v>0.41666666666666669</v>
      </c>
      <c r="AS699" s="27">
        <f>SUM(Tabla2[[#This Row],[Horas*]],Tabla2[[#This Row],[Minutos a Horas*]])+(Tabla2[[#This Row],[Tiempo Total a Nivel Proncincial (Horas)]])</f>
        <v>1.3166666666666667</v>
      </c>
    </row>
    <row r="700" spans="8:45" x14ac:dyDescent="0.25">
      <c r="H700" s="81"/>
      <c r="I700" s="81"/>
      <c r="J700" s="81"/>
      <c r="K700" s="81"/>
      <c r="L700" s="81"/>
      <c r="M700" s="81"/>
      <c r="N700" s="81"/>
      <c r="O700" s="81"/>
      <c r="P700" s="81"/>
      <c r="Q700" s="81"/>
      <c r="R700" s="81"/>
      <c r="S700" s="81"/>
      <c r="T700" s="81"/>
      <c r="U700" s="81"/>
      <c r="V700" s="81"/>
      <c r="W700" s="81"/>
      <c r="X700" s="81"/>
      <c r="Y700" s="81"/>
      <c r="Z700" s="81"/>
      <c r="AA700" s="81"/>
      <c r="AB700" s="88"/>
      <c r="AD700" s="33" t="s">
        <v>2382</v>
      </c>
      <c r="AE700" s="10" t="s">
        <v>379</v>
      </c>
      <c r="AF700" s="20" t="s">
        <v>898</v>
      </c>
      <c r="AG700" s="10" t="s">
        <v>902</v>
      </c>
      <c r="AH700" s="22" t="str">
        <f t="shared" si="20"/>
        <v>Cusco_01 Cusco</v>
      </c>
      <c r="AI700" s="10" t="s">
        <v>896</v>
      </c>
      <c r="AJ700" s="20" t="s">
        <v>914</v>
      </c>
      <c r="AK700" s="22" t="str">
        <f t="shared" si="21"/>
        <v>Cusco_01 Cusco_05 San Sebastian</v>
      </c>
      <c r="AL700" s="25">
        <v>0</v>
      </c>
      <c r="AM700" s="25">
        <v>54</v>
      </c>
      <c r="AN700" s="26">
        <f>Tabla2[[#This Row],[Minutos]]/60</f>
        <v>0.9</v>
      </c>
      <c r="AO700" s="27">
        <f>SUM(Tabla2[[#This Row],[Horas]],Tabla2[[#This Row],[Minutos a Horas]])</f>
        <v>0.9</v>
      </c>
      <c r="AP700" s="49">
        <v>0</v>
      </c>
      <c r="AQ700" s="49">
        <v>15</v>
      </c>
      <c r="AR700" s="26">
        <f>Tabla2[[#This Row],[Minutos*]]/60</f>
        <v>0.25</v>
      </c>
      <c r="AS700" s="27">
        <f>SUM(Tabla2[[#This Row],[Horas*]],Tabla2[[#This Row],[Minutos a Horas*]])+(Tabla2[[#This Row],[Tiempo Total a Nivel Proncincial (Horas)]])</f>
        <v>1.1499999999999999</v>
      </c>
    </row>
    <row r="701" spans="8:45" x14ac:dyDescent="0.25">
      <c r="H701" s="81"/>
      <c r="I701" s="81"/>
      <c r="J701" s="81"/>
      <c r="K701" s="81"/>
      <c r="L701" s="81"/>
      <c r="M701" s="81"/>
      <c r="N701" s="81"/>
      <c r="O701" s="81"/>
      <c r="P701" s="81"/>
      <c r="Q701" s="81"/>
      <c r="R701" s="81"/>
      <c r="S701" s="81"/>
      <c r="T701" s="81"/>
      <c r="U701" s="81"/>
      <c r="V701" s="81"/>
      <c r="W701" s="81"/>
      <c r="X701" s="81"/>
      <c r="Y701" s="81"/>
      <c r="Z701" s="81"/>
      <c r="AA701" s="81"/>
      <c r="AB701" s="88"/>
      <c r="AD701" s="33" t="s">
        <v>2382</v>
      </c>
      <c r="AE701" s="10" t="s">
        <v>379</v>
      </c>
      <c r="AF701" s="20" t="s">
        <v>898</v>
      </c>
      <c r="AG701" s="10" t="s">
        <v>903</v>
      </c>
      <c r="AH701" s="22" t="str">
        <f t="shared" si="20"/>
        <v>Cusco_01 Cusco</v>
      </c>
      <c r="AI701" s="10" t="s">
        <v>896</v>
      </c>
      <c r="AJ701" s="20" t="s">
        <v>915</v>
      </c>
      <c r="AK701" s="22" t="str">
        <f t="shared" si="21"/>
        <v>Cusco_01 Cusco_06 Santiago</v>
      </c>
      <c r="AL701" s="25">
        <v>0</v>
      </c>
      <c r="AM701" s="25">
        <v>54</v>
      </c>
      <c r="AN701" s="26">
        <f>Tabla2[[#This Row],[Minutos]]/60</f>
        <v>0.9</v>
      </c>
      <c r="AO701" s="27">
        <f>SUM(Tabla2[[#This Row],[Horas]],Tabla2[[#This Row],[Minutos a Horas]])</f>
        <v>0.9</v>
      </c>
      <c r="AP701" s="49">
        <v>0</v>
      </c>
      <c r="AQ701" s="49">
        <v>10</v>
      </c>
      <c r="AR701" s="26">
        <f>Tabla2[[#This Row],[Minutos*]]/60</f>
        <v>0.16666666666666666</v>
      </c>
      <c r="AS701" s="27">
        <f>SUM(Tabla2[[#This Row],[Horas*]],Tabla2[[#This Row],[Minutos a Horas*]])+(Tabla2[[#This Row],[Tiempo Total a Nivel Proncincial (Horas)]])</f>
        <v>1.0666666666666667</v>
      </c>
    </row>
    <row r="702" spans="8:45" x14ac:dyDescent="0.25">
      <c r="H702" s="81"/>
      <c r="I702" s="81"/>
      <c r="J702" s="81"/>
      <c r="K702" s="81"/>
      <c r="L702" s="81"/>
      <c r="M702" s="81"/>
      <c r="N702" s="81"/>
      <c r="O702" s="81"/>
      <c r="P702" s="81"/>
      <c r="Q702" s="81"/>
      <c r="R702" s="81"/>
      <c r="S702" s="81"/>
      <c r="T702" s="81"/>
      <c r="U702" s="81"/>
      <c r="V702" s="81"/>
      <c r="W702" s="81"/>
      <c r="X702" s="81"/>
      <c r="Y702" s="81"/>
      <c r="Z702" s="81"/>
      <c r="AA702" s="81"/>
      <c r="AB702" s="88"/>
      <c r="AD702" s="33" t="s">
        <v>2382</v>
      </c>
      <c r="AE702" s="10" t="s">
        <v>379</v>
      </c>
      <c r="AF702" s="20" t="s">
        <v>898</v>
      </c>
      <c r="AG702" s="10" t="s">
        <v>904</v>
      </c>
      <c r="AH702" s="22" t="str">
        <f t="shared" si="20"/>
        <v>Cusco_01 Cusco</v>
      </c>
      <c r="AI702" s="10" t="s">
        <v>896</v>
      </c>
      <c r="AJ702" s="20" t="s">
        <v>916</v>
      </c>
      <c r="AK702" s="22" t="str">
        <f t="shared" si="21"/>
        <v>Cusco_01 Cusco_07 Saylla</v>
      </c>
      <c r="AL702" s="25">
        <v>0</v>
      </c>
      <c r="AM702" s="25">
        <v>54</v>
      </c>
      <c r="AN702" s="26">
        <f>Tabla2[[#This Row],[Minutos]]/60</f>
        <v>0.9</v>
      </c>
      <c r="AO702" s="27">
        <f>SUM(Tabla2[[#This Row],[Horas]],Tabla2[[#This Row],[Minutos a Horas]])</f>
        <v>0.9</v>
      </c>
      <c r="AP702" s="49">
        <v>0</v>
      </c>
      <c r="AQ702" s="49">
        <v>40</v>
      </c>
      <c r="AR702" s="26">
        <f>Tabla2[[#This Row],[Minutos*]]/60</f>
        <v>0.66666666666666663</v>
      </c>
      <c r="AS702" s="27">
        <f>SUM(Tabla2[[#This Row],[Horas*]],Tabla2[[#This Row],[Minutos a Horas*]])+(Tabla2[[#This Row],[Tiempo Total a Nivel Proncincial (Horas)]])</f>
        <v>1.5666666666666667</v>
      </c>
    </row>
    <row r="703" spans="8:45" x14ac:dyDescent="0.25">
      <c r="H703" s="81"/>
      <c r="I703" s="81"/>
      <c r="J703" s="81"/>
      <c r="K703" s="81"/>
      <c r="L703" s="81"/>
      <c r="M703" s="81"/>
      <c r="N703" s="81"/>
      <c r="O703" s="81"/>
      <c r="P703" s="81"/>
      <c r="Q703" s="81"/>
      <c r="R703" s="81"/>
      <c r="S703" s="81"/>
      <c r="T703" s="81"/>
      <c r="U703" s="81"/>
      <c r="V703" s="81"/>
      <c r="W703" s="81"/>
      <c r="X703" s="81"/>
      <c r="Y703" s="81"/>
      <c r="Z703" s="81"/>
      <c r="AA703" s="81"/>
      <c r="AB703" s="88"/>
      <c r="AD703" s="33" t="s">
        <v>2382</v>
      </c>
      <c r="AE703" s="10" t="s">
        <v>379</v>
      </c>
      <c r="AF703" s="20" t="s">
        <v>898</v>
      </c>
      <c r="AG703" s="10" t="s">
        <v>905</v>
      </c>
      <c r="AH703" s="22" t="str">
        <f t="shared" si="20"/>
        <v>Cusco_01 Cusco</v>
      </c>
      <c r="AI703" s="10" t="s">
        <v>896</v>
      </c>
      <c r="AJ703" s="20" t="s">
        <v>917</v>
      </c>
      <c r="AK703" s="22" t="str">
        <f t="shared" si="21"/>
        <v>Cusco_01 Cusco_08 Wanchaq</v>
      </c>
      <c r="AL703" s="25">
        <v>0</v>
      </c>
      <c r="AM703" s="25">
        <v>54</v>
      </c>
      <c r="AN703" s="26">
        <f>Tabla2[[#This Row],[Minutos]]/60</f>
        <v>0.9</v>
      </c>
      <c r="AO703" s="27">
        <f>SUM(Tabla2[[#This Row],[Horas]],Tabla2[[#This Row],[Minutos a Horas]])</f>
        <v>0.9</v>
      </c>
      <c r="AP703" s="49">
        <v>0</v>
      </c>
      <c r="AQ703" s="49">
        <v>10</v>
      </c>
      <c r="AR703" s="26">
        <f>Tabla2[[#This Row],[Minutos*]]/60</f>
        <v>0.16666666666666666</v>
      </c>
      <c r="AS703" s="27">
        <f>SUM(Tabla2[[#This Row],[Horas*]],Tabla2[[#This Row],[Minutos a Horas*]])+(Tabla2[[#This Row],[Tiempo Total a Nivel Proncincial (Horas)]])</f>
        <v>1.0666666666666667</v>
      </c>
    </row>
    <row r="704" spans="8:45" x14ac:dyDescent="0.25">
      <c r="H704" s="81"/>
      <c r="I704" s="81"/>
      <c r="J704" s="81"/>
      <c r="K704" s="81"/>
      <c r="L704" s="81"/>
      <c r="M704" s="81"/>
      <c r="N704" s="81"/>
      <c r="O704" s="81"/>
      <c r="P704" s="81"/>
      <c r="Q704" s="81"/>
      <c r="R704" s="81"/>
      <c r="S704" s="81"/>
      <c r="T704" s="81"/>
      <c r="U704" s="81"/>
      <c r="V704" s="81"/>
      <c r="W704" s="81"/>
      <c r="X704" s="81"/>
      <c r="Y704" s="81"/>
      <c r="Z704" s="81"/>
      <c r="AA704" s="81"/>
      <c r="AB704" s="88"/>
      <c r="AD704" s="33" t="s">
        <v>2382</v>
      </c>
      <c r="AE704" s="10" t="s">
        <v>379</v>
      </c>
      <c r="AF704" s="20" t="s">
        <v>899</v>
      </c>
      <c r="AG704" s="10" t="s">
        <v>906</v>
      </c>
      <c r="AH704" s="22" t="str">
        <f t="shared" si="20"/>
        <v>Cusco_02 Acomayo</v>
      </c>
      <c r="AI704" s="10" t="s">
        <v>897</v>
      </c>
      <c r="AJ704" s="20" t="s">
        <v>918</v>
      </c>
      <c r="AK704" s="22" t="str">
        <f t="shared" si="21"/>
        <v>Cusco_02 Acomayo_01 Acomayo</v>
      </c>
      <c r="AL704" s="25">
        <v>2</v>
      </c>
      <c r="AM704" s="25">
        <v>1</v>
      </c>
      <c r="AN704" s="26">
        <f>Tabla2[[#This Row],[Minutos]]/60</f>
        <v>1.6666666666666666E-2</v>
      </c>
      <c r="AO704" s="27">
        <f>SUM(Tabla2[[#This Row],[Horas]],Tabla2[[#This Row],[Minutos a Horas]])</f>
        <v>2.0166666666666666</v>
      </c>
      <c r="AP704" s="49">
        <v>3</v>
      </c>
      <c r="AQ704" s="49">
        <v>0</v>
      </c>
      <c r="AR704" s="26">
        <f>Tabla2[[#This Row],[Minutos*]]/60</f>
        <v>0</v>
      </c>
      <c r="AS704" s="27">
        <f>SUM(Tabla2[[#This Row],[Horas*]],Tabla2[[#This Row],[Minutos a Horas*]])+(Tabla2[[#This Row],[Tiempo Total a Nivel Proncincial (Horas)]])</f>
        <v>5.0166666666666666</v>
      </c>
    </row>
    <row r="705" spans="8:45" x14ac:dyDescent="0.25">
      <c r="H705" s="81"/>
      <c r="I705" s="81"/>
      <c r="J705" s="81"/>
      <c r="K705" s="81"/>
      <c r="L705" s="81"/>
      <c r="M705" s="81"/>
      <c r="N705" s="81"/>
      <c r="O705" s="81"/>
      <c r="P705" s="81"/>
      <c r="Q705" s="81"/>
      <c r="R705" s="81"/>
      <c r="S705" s="81"/>
      <c r="T705" s="81"/>
      <c r="U705" s="81"/>
      <c r="V705" s="81"/>
      <c r="W705" s="81"/>
      <c r="X705" s="81"/>
      <c r="Y705" s="81"/>
      <c r="Z705" s="81"/>
      <c r="AA705" s="81"/>
      <c r="AB705" s="88"/>
      <c r="AD705" s="33" t="s">
        <v>2382</v>
      </c>
      <c r="AE705" s="10" t="s">
        <v>379</v>
      </c>
      <c r="AF705" s="20" t="s">
        <v>899</v>
      </c>
      <c r="AG705" s="10" t="s">
        <v>907</v>
      </c>
      <c r="AH705" s="22" t="str">
        <f t="shared" si="20"/>
        <v>Cusco_02 Acomayo</v>
      </c>
      <c r="AI705" s="10" t="s">
        <v>897</v>
      </c>
      <c r="AJ705" s="20" t="s">
        <v>919</v>
      </c>
      <c r="AK705" s="22" t="str">
        <f t="shared" si="21"/>
        <v>Cusco_02 Acomayo_02 Acopia</v>
      </c>
      <c r="AL705" s="25">
        <v>2</v>
      </c>
      <c r="AM705" s="25">
        <v>1</v>
      </c>
      <c r="AN705" s="26">
        <f>Tabla2[[#This Row],[Minutos]]/60</f>
        <v>1.6666666666666666E-2</v>
      </c>
      <c r="AO705" s="27">
        <f>SUM(Tabla2[[#This Row],[Horas]],Tabla2[[#This Row],[Minutos a Horas]])</f>
        <v>2.0166666666666666</v>
      </c>
      <c r="AP705" s="49">
        <v>2</v>
      </c>
      <c r="AQ705" s="49">
        <v>45</v>
      </c>
      <c r="AR705" s="26">
        <f>Tabla2[[#This Row],[Minutos*]]/60</f>
        <v>0.75</v>
      </c>
      <c r="AS705" s="27">
        <f>SUM(Tabla2[[#This Row],[Horas*]],Tabla2[[#This Row],[Minutos a Horas*]])+(Tabla2[[#This Row],[Tiempo Total a Nivel Proncincial (Horas)]])</f>
        <v>4.7666666666666666</v>
      </c>
    </row>
    <row r="706" spans="8:45" x14ac:dyDescent="0.25">
      <c r="H706" s="81"/>
      <c r="I706" s="81"/>
      <c r="J706" s="81"/>
      <c r="K706" s="81"/>
      <c r="L706" s="81"/>
      <c r="M706" s="81"/>
      <c r="N706" s="81"/>
      <c r="O706" s="81"/>
      <c r="P706" s="81"/>
      <c r="Q706" s="81"/>
      <c r="R706" s="81"/>
      <c r="S706" s="81"/>
      <c r="T706" s="81"/>
      <c r="U706" s="81"/>
      <c r="V706" s="81"/>
      <c r="W706" s="81"/>
      <c r="X706" s="81"/>
      <c r="Y706" s="81"/>
      <c r="Z706" s="81"/>
      <c r="AA706" s="81"/>
      <c r="AB706" s="88"/>
      <c r="AD706" s="33" t="s">
        <v>2382</v>
      </c>
      <c r="AE706" s="10" t="s">
        <v>379</v>
      </c>
      <c r="AF706" s="20" t="s">
        <v>899</v>
      </c>
      <c r="AG706" s="10" t="s">
        <v>908</v>
      </c>
      <c r="AH706" s="22" t="str">
        <f t="shared" si="20"/>
        <v>Cusco_02 Acomayo</v>
      </c>
      <c r="AI706" s="10" t="s">
        <v>897</v>
      </c>
      <c r="AJ706" s="20" t="s">
        <v>920</v>
      </c>
      <c r="AK706" s="22" t="str">
        <f t="shared" si="21"/>
        <v>Cusco_02 Acomayo_03 Acos</v>
      </c>
      <c r="AL706" s="25">
        <v>2</v>
      </c>
      <c r="AM706" s="25">
        <v>1</v>
      </c>
      <c r="AN706" s="26">
        <f>Tabla2[[#This Row],[Minutos]]/60</f>
        <v>1.6666666666666666E-2</v>
      </c>
      <c r="AO706" s="27">
        <f>SUM(Tabla2[[#This Row],[Horas]],Tabla2[[#This Row],[Minutos a Horas]])</f>
        <v>2.0166666666666666</v>
      </c>
      <c r="AP706" s="49">
        <v>3</v>
      </c>
      <c r="AQ706" s="49">
        <v>30</v>
      </c>
      <c r="AR706" s="26">
        <f>Tabla2[[#This Row],[Minutos*]]/60</f>
        <v>0.5</v>
      </c>
      <c r="AS706" s="27">
        <f>SUM(Tabla2[[#This Row],[Horas*]],Tabla2[[#This Row],[Minutos a Horas*]])+(Tabla2[[#This Row],[Tiempo Total a Nivel Proncincial (Horas)]])</f>
        <v>5.5166666666666666</v>
      </c>
    </row>
    <row r="707" spans="8:45" x14ac:dyDescent="0.25">
      <c r="H707" s="81"/>
      <c r="I707" s="81"/>
      <c r="J707" s="81"/>
      <c r="K707" s="81"/>
      <c r="L707" s="81"/>
      <c r="M707" s="81"/>
      <c r="N707" s="81"/>
      <c r="O707" s="81"/>
      <c r="P707" s="81"/>
      <c r="Q707" s="81"/>
      <c r="R707" s="81"/>
      <c r="S707" s="81"/>
      <c r="T707" s="81"/>
      <c r="U707" s="81"/>
      <c r="V707" s="81"/>
      <c r="W707" s="81"/>
      <c r="X707" s="81"/>
      <c r="Y707" s="81"/>
      <c r="Z707" s="81"/>
      <c r="AA707" s="81"/>
      <c r="AB707" s="88"/>
      <c r="AD707" s="33" t="s">
        <v>2382</v>
      </c>
      <c r="AE707" s="10" t="s">
        <v>379</v>
      </c>
      <c r="AF707" s="20" t="s">
        <v>899</v>
      </c>
      <c r="AG707" s="10" t="s">
        <v>909</v>
      </c>
      <c r="AH707" s="22" t="str">
        <f t="shared" si="20"/>
        <v>Cusco_02 Acomayo</v>
      </c>
      <c r="AI707" s="10" t="s">
        <v>897</v>
      </c>
      <c r="AJ707" s="20" t="s">
        <v>921</v>
      </c>
      <c r="AK707" s="22" t="str">
        <f t="shared" si="21"/>
        <v>Cusco_02 Acomayo_04 Mosoc Llacta</v>
      </c>
      <c r="AL707" s="25">
        <v>2</v>
      </c>
      <c r="AM707" s="25">
        <v>1</v>
      </c>
      <c r="AN707" s="26">
        <f>Tabla2[[#This Row],[Minutos]]/60</f>
        <v>1.6666666666666666E-2</v>
      </c>
      <c r="AO707" s="27">
        <f>SUM(Tabla2[[#This Row],[Horas]],Tabla2[[#This Row],[Minutos a Horas]])</f>
        <v>2.0166666666666666</v>
      </c>
      <c r="AP707" s="49">
        <v>2</v>
      </c>
      <c r="AQ707" s="49">
        <v>30</v>
      </c>
      <c r="AR707" s="26">
        <f>Tabla2[[#This Row],[Minutos*]]/60</f>
        <v>0.5</v>
      </c>
      <c r="AS707" s="27">
        <f>SUM(Tabla2[[#This Row],[Horas*]],Tabla2[[#This Row],[Minutos a Horas*]])+(Tabla2[[#This Row],[Tiempo Total a Nivel Proncincial (Horas)]])</f>
        <v>4.5166666666666666</v>
      </c>
    </row>
    <row r="708" spans="8:45" x14ac:dyDescent="0.25">
      <c r="H708" s="81"/>
      <c r="I708" s="81"/>
      <c r="J708" s="81"/>
      <c r="K708" s="81"/>
      <c r="L708" s="81"/>
      <c r="M708" s="81"/>
      <c r="N708" s="81"/>
      <c r="O708" s="81"/>
      <c r="P708" s="81"/>
      <c r="Q708" s="81"/>
      <c r="R708" s="81"/>
      <c r="S708" s="81"/>
      <c r="T708" s="81"/>
      <c r="U708" s="81"/>
      <c r="V708" s="81"/>
      <c r="W708" s="81"/>
      <c r="X708" s="81"/>
      <c r="Y708" s="81"/>
      <c r="Z708" s="81"/>
      <c r="AA708" s="81"/>
      <c r="AB708" s="88"/>
      <c r="AD708" s="33" t="s">
        <v>2382</v>
      </c>
      <c r="AE708" s="10" t="s">
        <v>379</v>
      </c>
      <c r="AF708" s="20" t="s">
        <v>899</v>
      </c>
      <c r="AG708" s="10" t="s">
        <v>910</v>
      </c>
      <c r="AH708" s="22" t="str">
        <f t="shared" si="20"/>
        <v>Cusco_02 Acomayo</v>
      </c>
      <c r="AI708" s="10" t="s">
        <v>897</v>
      </c>
      <c r="AJ708" s="20" t="s">
        <v>922</v>
      </c>
      <c r="AK708" s="22" t="str">
        <f t="shared" si="21"/>
        <v>Cusco_02 Acomayo_05 Pomacanchi</v>
      </c>
      <c r="AL708" s="25">
        <v>2</v>
      </c>
      <c r="AM708" s="25">
        <v>1</v>
      </c>
      <c r="AN708" s="26">
        <f>Tabla2[[#This Row],[Minutos]]/60</f>
        <v>1.6666666666666666E-2</v>
      </c>
      <c r="AO708" s="27">
        <f>SUM(Tabla2[[#This Row],[Horas]],Tabla2[[#This Row],[Minutos a Horas]])</f>
        <v>2.0166666666666666</v>
      </c>
      <c r="AP708" s="49">
        <v>2</v>
      </c>
      <c r="AQ708" s="49">
        <v>30</v>
      </c>
      <c r="AR708" s="26">
        <f>Tabla2[[#This Row],[Minutos*]]/60</f>
        <v>0.5</v>
      </c>
      <c r="AS708" s="27">
        <f>SUM(Tabla2[[#This Row],[Horas*]],Tabla2[[#This Row],[Minutos a Horas*]])+(Tabla2[[#This Row],[Tiempo Total a Nivel Proncincial (Horas)]])</f>
        <v>4.5166666666666666</v>
      </c>
    </row>
    <row r="709" spans="8:45" x14ac:dyDescent="0.25">
      <c r="H709" s="81"/>
      <c r="I709" s="81"/>
      <c r="J709" s="81"/>
      <c r="K709" s="81"/>
      <c r="L709" s="81"/>
      <c r="M709" s="81"/>
      <c r="N709" s="81"/>
      <c r="O709" s="81"/>
      <c r="P709" s="81"/>
      <c r="Q709" s="81"/>
      <c r="R709" s="81"/>
      <c r="S709" s="81"/>
      <c r="T709" s="81"/>
      <c r="U709" s="81"/>
      <c r="V709" s="81"/>
      <c r="W709" s="81"/>
      <c r="X709" s="81"/>
      <c r="Y709" s="81"/>
      <c r="Z709" s="81"/>
      <c r="AA709" s="81"/>
      <c r="AB709" s="88"/>
      <c r="AD709" s="33" t="s">
        <v>2382</v>
      </c>
      <c r="AE709" s="10" t="s">
        <v>379</v>
      </c>
      <c r="AF709" s="20" t="s">
        <v>899</v>
      </c>
      <c r="AG709" s="10"/>
      <c r="AH709" s="22" t="str">
        <f t="shared" si="20"/>
        <v>Cusco_02 Acomayo</v>
      </c>
      <c r="AI709" s="10" t="s">
        <v>897</v>
      </c>
      <c r="AJ709" s="20" t="s">
        <v>923</v>
      </c>
      <c r="AK709" s="22" t="str">
        <f t="shared" si="21"/>
        <v>Cusco_02 Acomayo_06 Rondocan</v>
      </c>
      <c r="AL709" s="25">
        <v>2</v>
      </c>
      <c r="AM709" s="25">
        <v>1</v>
      </c>
      <c r="AN709" s="26">
        <f>Tabla2[[#This Row],[Minutos]]/60</f>
        <v>1.6666666666666666E-2</v>
      </c>
      <c r="AO709" s="27">
        <f>SUM(Tabla2[[#This Row],[Horas]],Tabla2[[#This Row],[Minutos a Horas]])</f>
        <v>2.0166666666666666</v>
      </c>
      <c r="AP709" s="49">
        <v>3</v>
      </c>
      <c r="AQ709" s="49">
        <v>0</v>
      </c>
      <c r="AR709" s="26">
        <f>Tabla2[[#This Row],[Minutos*]]/60</f>
        <v>0</v>
      </c>
      <c r="AS709" s="27">
        <f>SUM(Tabla2[[#This Row],[Horas*]],Tabla2[[#This Row],[Minutos a Horas*]])+(Tabla2[[#This Row],[Tiempo Total a Nivel Proncincial (Horas)]])</f>
        <v>5.0166666666666666</v>
      </c>
    </row>
    <row r="710" spans="8:45" x14ac:dyDescent="0.25">
      <c r="H710" s="81"/>
      <c r="I710" s="81"/>
      <c r="J710" s="81"/>
      <c r="K710" s="81"/>
      <c r="L710" s="81"/>
      <c r="M710" s="81"/>
      <c r="N710" s="81"/>
      <c r="O710" s="81"/>
      <c r="P710" s="81"/>
      <c r="Q710" s="81"/>
      <c r="R710" s="81"/>
      <c r="S710" s="81"/>
      <c r="T710" s="81"/>
      <c r="U710" s="81"/>
      <c r="V710" s="81"/>
      <c r="W710" s="81"/>
      <c r="X710" s="81"/>
      <c r="Y710" s="81"/>
      <c r="Z710" s="81"/>
      <c r="AA710" s="81"/>
      <c r="AB710" s="88"/>
      <c r="AD710" s="33" t="s">
        <v>2382</v>
      </c>
      <c r="AE710" s="10" t="s">
        <v>379</v>
      </c>
      <c r="AF710" s="20" t="s">
        <v>899</v>
      </c>
      <c r="AG710" s="10"/>
      <c r="AH710" s="22" t="str">
        <f t="shared" si="20"/>
        <v>Cusco_02 Acomayo</v>
      </c>
      <c r="AI710" s="10" t="s">
        <v>897</v>
      </c>
      <c r="AJ710" s="20" t="s">
        <v>924</v>
      </c>
      <c r="AK710" s="22" t="str">
        <f t="shared" si="21"/>
        <v>Cusco_02 Acomayo_07 Sangarara</v>
      </c>
      <c r="AL710" s="25">
        <v>2</v>
      </c>
      <c r="AM710" s="25">
        <v>1</v>
      </c>
      <c r="AN710" s="26">
        <f>Tabla2[[#This Row],[Minutos]]/60</f>
        <v>1.6666666666666666E-2</v>
      </c>
      <c r="AO710" s="27">
        <f>SUM(Tabla2[[#This Row],[Horas]],Tabla2[[#This Row],[Minutos a Horas]])</f>
        <v>2.0166666666666666</v>
      </c>
      <c r="AP710" s="49">
        <v>3</v>
      </c>
      <c r="AQ710" s="49">
        <v>0</v>
      </c>
      <c r="AR710" s="26">
        <f>Tabla2[[#This Row],[Minutos*]]/60</f>
        <v>0</v>
      </c>
      <c r="AS710" s="27">
        <f>SUM(Tabla2[[#This Row],[Horas*]],Tabla2[[#This Row],[Minutos a Horas*]])+(Tabla2[[#This Row],[Tiempo Total a Nivel Proncincial (Horas)]])</f>
        <v>5.0166666666666666</v>
      </c>
    </row>
    <row r="711" spans="8:45" x14ac:dyDescent="0.25">
      <c r="H711" s="81"/>
      <c r="I711" s="81"/>
      <c r="J711" s="81"/>
      <c r="K711" s="81"/>
      <c r="L711" s="81"/>
      <c r="M711" s="81"/>
      <c r="N711" s="81"/>
      <c r="O711" s="81"/>
      <c r="P711" s="81"/>
      <c r="Q711" s="81"/>
      <c r="R711" s="81"/>
      <c r="S711" s="81"/>
      <c r="T711" s="81"/>
      <c r="U711" s="81"/>
      <c r="V711" s="81"/>
      <c r="W711" s="81"/>
      <c r="X711" s="81"/>
      <c r="Y711" s="81"/>
      <c r="Z711" s="81"/>
      <c r="AA711" s="81"/>
      <c r="AB711" s="88"/>
      <c r="AD711" s="33" t="s">
        <v>2382</v>
      </c>
      <c r="AE711" s="10" t="s">
        <v>379</v>
      </c>
      <c r="AF711" s="20" t="s">
        <v>900</v>
      </c>
      <c r="AG711" s="10"/>
      <c r="AH711" s="22" t="str">
        <f t="shared" si="20"/>
        <v>Cusco_03 Anta</v>
      </c>
      <c r="AI711" s="10" t="s">
        <v>1014</v>
      </c>
      <c r="AJ711" s="20" t="s">
        <v>925</v>
      </c>
      <c r="AK711" s="22" t="str">
        <f t="shared" si="21"/>
        <v>Cusco_03 Anta_01 Anta</v>
      </c>
      <c r="AL711" s="25">
        <v>0</v>
      </c>
      <c r="AM711" s="25">
        <v>47</v>
      </c>
      <c r="AN711" s="26">
        <f>Tabla2[[#This Row],[Minutos]]/60</f>
        <v>0.78333333333333333</v>
      </c>
      <c r="AO711" s="27">
        <f>SUM(Tabla2[[#This Row],[Horas]],Tabla2[[#This Row],[Minutos a Horas]])</f>
        <v>0.78333333333333333</v>
      </c>
      <c r="AP711" s="49">
        <v>1</v>
      </c>
      <c r="AQ711" s="49">
        <v>10</v>
      </c>
      <c r="AR711" s="26">
        <f>Tabla2[[#This Row],[Minutos*]]/60</f>
        <v>0.16666666666666666</v>
      </c>
      <c r="AS711" s="27">
        <f>SUM(Tabla2[[#This Row],[Horas*]],Tabla2[[#This Row],[Minutos a Horas*]])+(Tabla2[[#This Row],[Tiempo Total a Nivel Proncincial (Horas)]])</f>
        <v>1.9500000000000002</v>
      </c>
    </row>
    <row r="712" spans="8:45" x14ac:dyDescent="0.25">
      <c r="H712" s="81"/>
      <c r="I712" s="81"/>
      <c r="J712" s="81"/>
      <c r="K712" s="81"/>
      <c r="L712" s="81"/>
      <c r="M712" s="81"/>
      <c r="N712" s="81"/>
      <c r="O712" s="81"/>
      <c r="P712" s="81"/>
      <c r="Q712" s="81"/>
      <c r="R712" s="81"/>
      <c r="S712" s="81"/>
      <c r="T712" s="81"/>
      <c r="U712" s="81"/>
      <c r="V712" s="81"/>
      <c r="W712" s="81"/>
      <c r="X712" s="81"/>
      <c r="Y712" s="81"/>
      <c r="Z712" s="81"/>
      <c r="AA712" s="81"/>
      <c r="AB712" s="88"/>
      <c r="AD712" s="33" t="s">
        <v>2382</v>
      </c>
      <c r="AE712" s="10" t="s">
        <v>379</v>
      </c>
      <c r="AF712" s="20" t="s">
        <v>900</v>
      </c>
      <c r="AG712" s="10"/>
      <c r="AH712" s="22" t="str">
        <f t="shared" si="20"/>
        <v>Cusco_03 Anta</v>
      </c>
      <c r="AI712" s="10" t="s">
        <v>1014</v>
      </c>
      <c r="AJ712" s="20" t="s">
        <v>926</v>
      </c>
      <c r="AK712" s="22" t="str">
        <f t="shared" si="21"/>
        <v>Cusco_03 Anta_02 Ancahuasi</v>
      </c>
      <c r="AL712" s="25">
        <v>0</v>
      </c>
      <c r="AM712" s="25">
        <v>47</v>
      </c>
      <c r="AN712" s="26">
        <f>Tabla2[[#This Row],[Minutos]]/60</f>
        <v>0.78333333333333333</v>
      </c>
      <c r="AO712" s="27">
        <f>SUM(Tabla2[[#This Row],[Horas]],Tabla2[[#This Row],[Minutos a Horas]])</f>
        <v>0.78333333333333333</v>
      </c>
      <c r="AP712" s="49">
        <v>1</v>
      </c>
      <c r="AQ712" s="49">
        <v>40</v>
      </c>
      <c r="AR712" s="26">
        <f>Tabla2[[#This Row],[Minutos*]]/60</f>
        <v>0.66666666666666663</v>
      </c>
      <c r="AS712" s="27">
        <f>SUM(Tabla2[[#This Row],[Horas*]],Tabla2[[#This Row],[Minutos a Horas*]])+(Tabla2[[#This Row],[Tiempo Total a Nivel Proncincial (Horas)]])</f>
        <v>2.4499999999999997</v>
      </c>
    </row>
    <row r="713" spans="8:45" x14ac:dyDescent="0.25">
      <c r="H713" s="81"/>
      <c r="I713" s="81"/>
      <c r="J713" s="81"/>
      <c r="K713" s="81"/>
      <c r="L713" s="81"/>
      <c r="M713" s="81"/>
      <c r="N713" s="81"/>
      <c r="O713" s="81"/>
      <c r="P713" s="81"/>
      <c r="Q713" s="81"/>
      <c r="R713" s="81"/>
      <c r="S713" s="81"/>
      <c r="T713" s="81"/>
      <c r="U713" s="81"/>
      <c r="V713" s="81"/>
      <c r="W713" s="81"/>
      <c r="X713" s="81"/>
      <c r="Y713" s="81"/>
      <c r="Z713" s="81"/>
      <c r="AA713" s="81"/>
      <c r="AB713" s="88"/>
      <c r="AD713" s="33" t="s">
        <v>2382</v>
      </c>
      <c r="AE713" s="10" t="s">
        <v>379</v>
      </c>
      <c r="AF713" s="20" t="s">
        <v>900</v>
      </c>
      <c r="AG713" s="10"/>
      <c r="AH713" s="22" t="str">
        <f t="shared" si="20"/>
        <v>Cusco_03 Anta</v>
      </c>
      <c r="AI713" s="10" t="s">
        <v>1014</v>
      </c>
      <c r="AJ713" s="20" t="s">
        <v>927</v>
      </c>
      <c r="AK713" s="22" t="str">
        <f t="shared" si="21"/>
        <v>Cusco_03 Anta_03 Cachimayo</v>
      </c>
      <c r="AL713" s="25">
        <v>0</v>
      </c>
      <c r="AM713" s="25">
        <v>47</v>
      </c>
      <c r="AN713" s="26">
        <f>Tabla2[[#This Row],[Minutos]]/60</f>
        <v>0.78333333333333333</v>
      </c>
      <c r="AO713" s="27">
        <f>SUM(Tabla2[[#This Row],[Horas]],Tabla2[[#This Row],[Minutos a Horas]])</f>
        <v>0.78333333333333333</v>
      </c>
      <c r="AP713" s="49">
        <v>0</v>
      </c>
      <c r="AQ713" s="49">
        <v>45</v>
      </c>
      <c r="AR713" s="26">
        <f>Tabla2[[#This Row],[Minutos*]]/60</f>
        <v>0.75</v>
      </c>
      <c r="AS713" s="27">
        <f>SUM(Tabla2[[#This Row],[Horas*]],Tabla2[[#This Row],[Minutos a Horas*]])+(Tabla2[[#This Row],[Tiempo Total a Nivel Proncincial (Horas)]])</f>
        <v>1.5333333333333332</v>
      </c>
    </row>
    <row r="714" spans="8:45" x14ac:dyDescent="0.25">
      <c r="H714" s="81"/>
      <c r="I714" s="81"/>
      <c r="J714" s="81"/>
      <c r="K714" s="81"/>
      <c r="L714" s="81"/>
      <c r="M714" s="81"/>
      <c r="N714" s="81"/>
      <c r="O714" s="81"/>
      <c r="P714" s="81"/>
      <c r="Q714" s="81"/>
      <c r="R714" s="81"/>
      <c r="S714" s="81"/>
      <c r="T714" s="81"/>
      <c r="U714" s="81"/>
      <c r="V714" s="81"/>
      <c r="W714" s="81"/>
      <c r="X714" s="81"/>
      <c r="Y714" s="81"/>
      <c r="Z714" s="81"/>
      <c r="AA714" s="81"/>
      <c r="AB714" s="88"/>
      <c r="AD714" s="33" t="s">
        <v>2382</v>
      </c>
      <c r="AE714" s="10" t="s">
        <v>379</v>
      </c>
      <c r="AF714" s="20" t="s">
        <v>900</v>
      </c>
      <c r="AG714" s="10"/>
      <c r="AH714" s="22" t="str">
        <f t="shared" ref="AH714:AH775" si="22">CONCATENATE(AD714,"_",AF714)</f>
        <v>Cusco_03 Anta</v>
      </c>
      <c r="AI714" s="10" t="s">
        <v>1014</v>
      </c>
      <c r="AJ714" s="20" t="s">
        <v>928</v>
      </c>
      <c r="AK714" s="22" t="str">
        <f t="shared" ref="AK714:AK775" si="23">CONCATENATE(AH714,"_",AJ714)</f>
        <v>Cusco_03 Anta_04 Chinchaypujio</v>
      </c>
      <c r="AL714" s="25">
        <v>0</v>
      </c>
      <c r="AM714" s="25">
        <v>47</v>
      </c>
      <c r="AN714" s="26">
        <f>Tabla2[[#This Row],[Minutos]]/60</f>
        <v>0.78333333333333333</v>
      </c>
      <c r="AO714" s="27">
        <f>SUM(Tabla2[[#This Row],[Horas]],Tabla2[[#This Row],[Minutos a Horas]])</f>
        <v>0.78333333333333333</v>
      </c>
      <c r="AP714" s="49">
        <v>3</v>
      </c>
      <c r="AQ714" s="49">
        <v>15</v>
      </c>
      <c r="AR714" s="26">
        <f>Tabla2[[#This Row],[Minutos*]]/60</f>
        <v>0.25</v>
      </c>
      <c r="AS714" s="27">
        <f>SUM(Tabla2[[#This Row],[Horas*]],Tabla2[[#This Row],[Minutos a Horas*]])+(Tabla2[[#This Row],[Tiempo Total a Nivel Proncincial (Horas)]])</f>
        <v>4.0333333333333332</v>
      </c>
    </row>
    <row r="715" spans="8:45" x14ac:dyDescent="0.25">
      <c r="H715" s="81"/>
      <c r="I715" s="81"/>
      <c r="J715" s="81"/>
      <c r="K715" s="81"/>
      <c r="L715" s="81"/>
      <c r="M715" s="81"/>
      <c r="N715" s="81"/>
      <c r="O715" s="81"/>
      <c r="P715" s="81"/>
      <c r="Q715" s="81"/>
      <c r="R715" s="81"/>
      <c r="S715" s="81"/>
      <c r="T715" s="81"/>
      <c r="U715" s="81"/>
      <c r="V715" s="81"/>
      <c r="W715" s="81"/>
      <c r="X715" s="81"/>
      <c r="Y715" s="81"/>
      <c r="Z715" s="81"/>
      <c r="AA715" s="81"/>
      <c r="AB715" s="88"/>
      <c r="AD715" s="33" t="s">
        <v>2382</v>
      </c>
      <c r="AE715" s="10" t="s">
        <v>379</v>
      </c>
      <c r="AF715" s="20" t="s">
        <v>900</v>
      </c>
      <c r="AG715" s="10"/>
      <c r="AH715" s="22" t="str">
        <f t="shared" si="22"/>
        <v>Cusco_03 Anta</v>
      </c>
      <c r="AI715" s="10" t="s">
        <v>1014</v>
      </c>
      <c r="AJ715" s="20" t="s">
        <v>929</v>
      </c>
      <c r="AK715" s="22" t="str">
        <f t="shared" si="23"/>
        <v>Cusco_03 Anta_05 Huarocondo</v>
      </c>
      <c r="AL715" s="25">
        <v>0</v>
      </c>
      <c r="AM715" s="25">
        <v>47</v>
      </c>
      <c r="AN715" s="26">
        <f>Tabla2[[#This Row],[Minutos]]/60</f>
        <v>0.78333333333333333</v>
      </c>
      <c r="AO715" s="27">
        <f>SUM(Tabla2[[#This Row],[Horas]],Tabla2[[#This Row],[Minutos a Horas]])</f>
        <v>0.78333333333333333</v>
      </c>
      <c r="AP715" s="49">
        <v>1</v>
      </c>
      <c r="AQ715" s="49">
        <v>40</v>
      </c>
      <c r="AR715" s="26">
        <f>Tabla2[[#This Row],[Minutos*]]/60</f>
        <v>0.66666666666666663</v>
      </c>
      <c r="AS715" s="27">
        <f>SUM(Tabla2[[#This Row],[Horas*]],Tabla2[[#This Row],[Minutos a Horas*]])+(Tabla2[[#This Row],[Tiempo Total a Nivel Proncincial (Horas)]])</f>
        <v>2.4499999999999997</v>
      </c>
    </row>
    <row r="716" spans="8:45" x14ac:dyDescent="0.25">
      <c r="AB716" s="89"/>
      <c r="AD716" s="33" t="s">
        <v>2382</v>
      </c>
      <c r="AE716" s="10" t="s">
        <v>379</v>
      </c>
      <c r="AF716" s="20" t="s">
        <v>900</v>
      </c>
      <c r="AG716" s="10"/>
      <c r="AH716" s="22" t="str">
        <f t="shared" si="22"/>
        <v>Cusco_03 Anta</v>
      </c>
      <c r="AI716" s="10" t="s">
        <v>1014</v>
      </c>
      <c r="AJ716" s="20" t="s">
        <v>930</v>
      </c>
      <c r="AK716" s="22" t="str">
        <f t="shared" si="23"/>
        <v>Cusco_03 Anta_06 Limatambo</v>
      </c>
      <c r="AL716" s="25">
        <v>0</v>
      </c>
      <c r="AM716" s="25">
        <v>47</v>
      </c>
      <c r="AN716" s="26">
        <f>Tabla2[[#This Row],[Minutos]]/60</f>
        <v>0.78333333333333333</v>
      </c>
      <c r="AO716" s="27">
        <f>SUM(Tabla2[[#This Row],[Horas]],Tabla2[[#This Row],[Minutos a Horas]])</f>
        <v>0.78333333333333333</v>
      </c>
      <c r="AP716" s="49">
        <v>2</v>
      </c>
      <c r="AQ716" s="49">
        <v>45</v>
      </c>
      <c r="AR716" s="26">
        <f>Tabla2[[#This Row],[Minutos*]]/60</f>
        <v>0.75</v>
      </c>
      <c r="AS716" s="27">
        <f>SUM(Tabla2[[#This Row],[Horas*]],Tabla2[[#This Row],[Minutos a Horas*]])+(Tabla2[[#This Row],[Tiempo Total a Nivel Proncincial (Horas)]])</f>
        <v>3.5333333333333332</v>
      </c>
    </row>
    <row r="717" spans="8:45" x14ac:dyDescent="0.25">
      <c r="AB717" s="89"/>
      <c r="AD717" s="33" t="s">
        <v>2382</v>
      </c>
      <c r="AE717" s="10" t="s">
        <v>379</v>
      </c>
      <c r="AF717" s="20" t="s">
        <v>900</v>
      </c>
      <c r="AG717" s="10"/>
      <c r="AH717" s="22" t="str">
        <f t="shared" si="22"/>
        <v>Cusco_03 Anta</v>
      </c>
      <c r="AI717" s="10" t="s">
        <v>1014</v>
      </c>
      <c r="AJ717" s="20" t="s">
        <v>931</v>
      </c>
      <c r="AK717" s="22" t="str">
        <f t="shared" si="23"/>
        <v>Cusco_03 Anta_07 Mollepata</v>
      </c>
      <c r="AL717" s="25">
        <v>0</v>
      </c>
      <c r="AM717" s="25">
        <v>47</v>
      </c>
      <c r="AN717" s="26">
        <f>Tabla2[[#This Row],[Minutos]]/60</f>
        <v>0.78333333333333333</v>
      </c>
      <c r="AO717" s="27">
        <f>SUM(Tabla2[[#This Row],[Horas]],Tabla2[[#This Row],[Minutos a Horas]])</f>
        <v>0.78333333333333333</v>
      </c>
      <c r="AP717" s="49">
        <v>3</v>
      </c>
      <c r="AQ717" s="49">
        <v>30</v>
      </c>
      <c r="AR717" s="26">
        <f>Tabla2[[#This Row],[Minutos*]]/60</f>
        <v>0.5</v>
      </c>
      <c r="AS717" s="27">
        <f>SUM(Tabla2[[#This Row],[Horas*]],Tabla2[[#This Row],[Minutos a Horas*]])+(Tabla2[[#This Row],[Tiempo Total a Nivel Proncincial (Horas)]])</f>
        <v>4.2833333333333332</v>
      </c>
    </row>
    <row r="718" spans="8:45" x14ac:dyDescent="0.25">
      <c r="AB718" s="89"/>
      <c r="AD718" s="33" t="s">
        <v>2382</v>
      </c>
      <c r="AE718" s="10" t="s">
        <v>379</v>
      </c>
      <c r="AF718" s="20" t="s">
        <v>900</v>
      </c>
      <c r="AG718" s="10"/>
      <c r="AH718" s="22" t="str">
        <f t="shared" si="22"/>
        <v>Cusco_03 Anta</v>
      </c>
      <c r="AI718" s="10" t="s">
        <v>1014</v>
      </c>
      <c r="AJ718" s="20" t="s">
        <v>932</v>
      </c>
      <c r="AK718" s="22" t="str">
        <f t="shared" si="23"/>
        <v>Cusco_03 Anta_08 Pucyura</v>
      </c>
      <c r="AL718" s="25">
        <v>0</v>
      </c>
      <c r="AM718" s="25">
        <v>47</v>
      </c>
      <c r="AN718" s="26">
        <f>Tabla2[[#This Row],[Minutos]]/60</f>
        <v>0.78333333333333333</v>
      </c>
      <c r="AO718" s="27">
        <f>SUM(Tabla2[[#This Row],[Horas]],Tabla2[[#This Row],[Minutos a Horas]])</f>
        <v>0.78333333333333333</v>
      </c>
      <c r="AP718" s="49">
        <v>1</v>
      </c>
      <c r="AQ718" s="49">
        <v>0</v>
      </c>
      <c r="AR718" s="26">
        <f>Tabla2[[#This Row],[Minutos*]]/60</f>
        <v>0</v>
      </c>
      <c r="AS718" s="27">
        <f>SUM(Tabla2[[#This Row],[Horas*]],Tabla2[[#This Row],[Minutos a Horas*]])+(Tabla2[[#This Row],[Tiempo Total a Nivel Proncincial (Horas)]])</f>
        <v>1.7833333333333332</v>
      </c>
    </row>
    <row r="719" spans="8:45" x14ac:dyDescent="0.25">
      <c r="AB719" s="89"/>
      <c r="AD719" s="33" t="s">
        <v>2382</v>
      </c>
      <c r="AE719" s="10" t="s">
        <v>379</v>
      </c>
      <c r="AF719" s="20" t="s">
        <v>900</v>
      </c>
      <c r="AG719" s="10"/>
      <c r="AH719" s="22" t="str">
        <f t="shared" si="22"/>
        <v>Cusco_03 Anta</v>
      </c>
      <c r="AI719" s="10" t="s">
        <v>1014</v>
      </c>
      <c r="AJ719" s="20" t="s">
        <v>933</v>
      </c>
      <c r="AK719" s="22" t="str">
        <f t="shared" si="23"/>
        <v>Cusco_03 Anta_09 Zurite</v>
      </c>
      <c r="AL719" s="25">
        <v>0</v>
      </c>
      <c r="AM719" s="25">
        <v>47</v>
      </c>
      <c r="AN719" s="26">
        <f>Tabla2[[#This Row],[Minutos]]/60</f>
        <v>0.78333333333333333</v>
      </c>
      <c r="AO719" s="27">
        <f>SUM(Tabla2[[#This Row],[Horas]],Tabla2[[#This Row],[Minutos a Horas]])</f>
        <v>0.78333333333333333</v>
      </c>
      <c r="AP719" s="49">
        <v>1</v>
      </c>
      <c r="AQ719" s="49">
        <v>30</v>
      </c>
      <c r="AR719" s="26">
        <f>Tabla2[[#This Row],[Minutos*]]/60</f>
        <v>0.5</v>
      </c>
      <c r="AS719" s="27">
        <f>SUM(Tabla2[[#This Row],[Horas*]],Tabla2[[#This Row],[Minutos a Horas*]])+(Tabla2[[#This Row],[Tiempo Total a Nivel Proncincial (Horas)]])</f>
        <v>2.2833333333333332</v>
      </c>
    </row>
    <row r="720" spans="8:45" x14ac:dyDescent="0.25">
      <c r="AB720" s="89"/>
      <c r="AD720" s="33" t="s">
        <v>2382</v>
      </c>
      <c r="AE720" s="10" t="s">
        <v>379</v>
      </c>
      <c r="AF720" s="20" t="s">
        <v>901</v>
      </c>
      <c r="AG720" s="10"/>
      <c r="AH720" s="22" t="str">
        <f t="shared" si="22"/>
        <v>Cusco_04 Calca</v>
      </c>
      <c r="AI720" s="10" t="s">
        <v>1015</v>
      </c>
      <c r="AJ720" s="20" t="s">
        <v>934</v>
      </c>
      <c r="AK720" s="22" t="str">
        <f t="shared" si="23"/>
        <v>Cusco_04 Calca_01 Calca</v>
      </c>
      <c r="AL720" s="25">
        <v>1</v>
      </c>
      <c r="AM720" s="25">
        <v>5</v>
      </c>
      <c r="AN720" s="26">
        <f>Tabla2[[#This Row],[Minutos]]/60</f>
        <v>8.3333333333333329E-2</v>
      </c>
      <c r="AO720" s="27">
        <f>SUM(Tabla2[[#This Row],[Horas]],Tabla2[[#This Row],[Minutos a Horas]])</f>
        <v>1.0833333333333333</v>
      </c>
      <c r="AP720" s="49">
        <v>1</v>
      </c>
      <c r="AQ720" s="49">
        <v>45</v>
      </c>
      <c r="AR720" s="26">
        <f>Tabla2[[#This Row],[Minutos*]]/60</f>
        <v>0.75</v>
      </c>
      <c r="AS720" s="27">
        <f>SUM(Tabla2[[#This Row],[Horas*]],Tabla2[[#This Row],[Minutos a Horas*]])+(Tabla2[[#This Row],[Tiempo Total a Nivel Proncincial (Horas)]])</f>
        <v>2.833333333333333</v>
      </c>
    </row>
    <row r="721" spans="28:45" x14ac:dyDescent="0.25">
      <c r="AB721" s="89"/>
      <c r="AD721" s="33" t="s">
        <v>2382</v>
      </c>
      <c r="AE721" s="10" t="s">
        <v>379</v>
      </c>
      <c r="AF721" s="20" t="s">
        <v>901</v>
      </c>
      <c r="AG721" s="10"/>
      <c r="AH721" s="22" t="str">
        <f t="shared" si="22"/>
        <v>Cusco_04 Calca</v>
      </c>
      <c r="AI721" s="10" t="s">
        <v>1015</v>
      </c>
      <c r="AJ721" s="20" t="s">
        <v>935</v>
      </c>
      <c r="AK721" s="22" t="str">
        <f t="shared" si="23"/>
        <v>Cusco_04 Calca_02 Coya</v>
      </c>
      <c r="AL721" s="25">
        <v>1</v>
      </c>
      <c r="AM721" s="25">
        <v>5</v>
      </c>
      <c r="AN721" s="26">
        <f>Tabla2[[#This Row],[Minutos]]/60</f>
        <v>8.3333333333333329E-2</v>
      </c>
      <c r="AO721" s="27">
        <f>SUM(Tabla2[[#This Row],[Horas]],Tabla2[[#This Row],[Minutos a Horas]])</f>
        <v>1.0833333333333333</v>
      </c>
      <c r="AP721" s="49">
        <v>1</v>
      </c>
      <c r="AQ721" s="49">
        <v>15</v>
      </c>
      <c r="AR721" s="26">
        <f>Tabla2[[#This Row],[Minutos*]]/60</f>
        <v>0.25</v>
      </c>
      <c r="AS721" s="27">
        <f>SUM(Tabla2[[#This Row],[Horas*]],Tabla2[[#This Row],[Minutos a Horas*]])+(Tabla2[[#This Row],[Tiempo Total a Nivel Proncincial (Horas)]])</f>
        <v>2.333333333333333</v>
      </c>
    </row>
    <row r="722" spans="28:45" x14ac:dyDescent="0.25">
      <c r="AB722" s="89"/>
      <c r="AD722" s="33" t="s">
        <v>2382</v>
      </c>
      <c r="AE722" s="10" t="s">
        <v>379</v>
      </c>
      <c r="AF722" s="20" t="s">
        <v>901</v>
      </c>
      <c r="AG722" s="10"/>
      <c r="AH722" s="22" t="str">
        <f t="shared" si="22"/>
        <v>Cusco_04 Calca</v>
      </c>
      <c r="AI722" s="10" t="s">
        <v>1015</v>
      </c>
      <c r="AJ722" s="20" t="s">
        <v>936</v>
      </c>
      <c r="AK722" s="22" t="str">
        <f t="shared" si="23"/>
        <v>Cusco_04 Calca_03 Lamay</v>
      </c>
      <c r="AL722" s="25">
        <v>1</v>
      </c>
      <c r="AM722" s="25">
        <v>5</v>
      </c>
      <c r="AN722" s="26">
        <f>Tabla2[[#This Row],[Minutos]]/60</f>
        <v>8.3333333333333329E-2</v>
      </c>
      <c r="AO722" s="27">
        <f>SUM(Tabla2[[#This Row],[Horas]],Tabla2[[#This Row],[Minutos a Horas]])</f>
        <v>1.0833333333333333</v>
      </c>
      <c r="AP722" s="49">
        <v>1</v>
      </c>
      <c r="AQ722" s="49">
        <v>30</v>
      </c>
      <c r="AR722" s="26">
        <f>Tabla2[[#This Row],[Minutos*]]/60</f>
        <v>0.5</v>
      </c>
      <c r="AS722" s="27">
        <f>SUM(Tabla2[[#This Row],[Horas*]],Tabla2[[#This Row],[Minutos a Horas*]])+(Tabla2[[#This Row],[Tiempo Total a Nivel Proncincial (Horas)]])</f>
        <v>2.583333333333333</v>
      </c>
    </row>
    <row r="723" spans="28:45" x14ac:dyDescent="0.25">
      <c r="AB723" s="89"/>
      <c r="AD723" s="33" t="s">
        <v>2382</v>
      </c>
      <c r="AE723" s="10" t="s">
        <v>379</v>
      </c>
      <c r="AF723" s="20" t="s">
        <v>901</v>
      </c>
      <c r="AG723" s="10"/>
      <c r="AH723" s="22" t="str">
        <f t="shared" si="22"/>
        <v>Cusco_04 Calca</v>
      </c>
      <c r="AI723" s="10" t="s">
        <v>1015</v>
      </c>
      <c r="AJ723" s="20" t="s">
        <v>937</v>
      </c>
      <c r="AK723" s="22" t="str">
        <f t="shared" si="23"/>
        <v>Cusco_04 Calca_04 Lares</v>
      </c>
      <c r="AL723" s="25">
        <v>1</v>
      </c>
      <c r="AM723" s="25">
        <v>5</v>
      </c>
      <c r="AN723" s="26">
        <f>Tabla2[[#This Row],[Minutos]]/60</f>
        <v>8.3333333333333329E-2</v>
      </c>
      <c r="AO723" s="27">
        <f>SUM(Tabla2[[#This Row],[Horas]],Tabla2[[#This Row],[Minutos a Horas]])</f>
        <v>1.0833333333333333</v>
      </c>
      <c r="AP723" s="49">
        <v>4</v>
      </c>
      <c r="AQ723" s="49">
        <v>0</v>
      </c>
      <c r="AR723" s="26">
        <f>Tabla2[[#This Row],[Minutos*]]/60</f>
        <v>0</v>
      </c>
      <c r="AS723" s="27">
        <f>SUM(Tabla2[[#This Row],[Horas*]],Tabla2[[#This Row],[Minutos a Horas*]])+(Tabla2[[#This Row],[Tiempo Total a Nivel Proncincial (Horas)]])</f>
        <v>5.083333333333333</v>
      </c>
    </row>
    <row r="724" spans="28:45" x14ac:dyDescent="0.25">
      <c r="AB724" s="89"/>
      <c r="AD724" s="33" t="s">
        <v>2382</v>
      </c>
      <c r="AE724" s="10" t="s">
        <v>379</v>
      </c>
      <c r="AF724" s="20" t="s">
        <v>901</v>
      </c>
      <c r="AG724" s="10"/>
      <c r="AH724" s="22" t="str">
        <f t="shared" si="22"/>
        <v>Cusco_04 Calca</v>
      </c>
      <c r="AI724" s="10" t="s">
        <v>1015</v>
      </c>
      <c r="AJ724" s="20" t="s">
        <v>938</v>
      </c>
      <c r="AK724" s="22" t="str">
        <f t="shared" si="23"/>
        <v>Cusco_04 Calca_05 Pisac</v>
      </c>
      <c r="AL724" s="25">
        <v>1</v>
      </c>
      <c r="AM724" s="25">
        <v>5</v>
      </c>
      <c r="AN724" s="26">
        <f>Tabla2[[#This Row],[Minutos]]/60</f>
        <v>8.3333333333333329E-2</v>
      </c>
      <c r="AO724" s="27">
        <f>SUM(Tabla2[[#This Row],[Horas]],Tabla2[[#This Row],[Minutos a Horas]])</f>
        <v>1.0833333333333333</v>
      </c>
      <c r="AP724" s="49">
        <v>1</v>
      </c>
      <c r="AQ724" s="49">
        <v>0</v>
      </c>
      <c r="AR724" s="26">
        <f>Tabla2[[#This Row],[Minutos*]]/60</f>
        <v>0</v>
      </c>
      <c r="AS724" s="27">
        <f>SUM(Tabla2[[#This Row],[Horas*]],Tabla2[[#This Row],[Minutos a Horas*]])+(Tabla2[[#This Row],[Tiempo Total a Nivel Proncincial (Horas)]])</f>
        <v>2.083333333333333</v>
      </c>
    </row>
    <row r="725" spans="28:45" x14ac:dyDescent="0.25">
      <c r="AB725" s="89"/>
      <c r="AD725" s="33" t="s">
        <v>2382</v>
      </c>
      <c r="AE725" s="10" t="s">
        <v>379</v>
      </c>
      <c r="AF725" s="20" t="s">
        <v>901</v>
      </c>
      <c r="AG725" s="10"/>
      <c r="AH725" s="22" t="str">
        <f t="shared" si="22"/>
        <v>Cusco_04 Calca</v>
      </c>
      <c r="AI725" s="10" t="s">
        <v>1015</v>
      </c>
      <c r="AJ725" s="20" t="s">
        <v>939</v>
      </c>
      <c r="AK725" s="22" t="str">
        <f t="shared" si="23"/>
        <v>Cusco_04 Calca_06 San Salvador</v>
      </c>
      <c r="AL725" s="25">
        <v>1</v>
      </c>
      <c r="AM725" s="25">
        <v>5</v>
      </c>
      <c r="AN725" s="26">
        <f>Tabla2[[#This Row],[Minutos]]/60</f>
        <v>8.3333333333333329E-2</v>
      </c>
      <c r="AO725" s="27">
        <f>SUM(Tabla2[[#This Row],[Horas]],Tabla2[[#This Row],[Minutos a Horas]])</f>
        <v>1.0833333333333333</v>
      </c>
      <c r="AP725" s="49">
        <v>1</v>
      </c>
      <c r="AQ725" s="49">
        <v>20</v>
      </c>
      <c r="AR725" s="26">
        <f>Tabla2[[#This Row],[Minutos*]]/60</f>
        <v>0.33333333333333331</v>
      </c>
      <c r="AS725" s="27">
        <f>SUM(Tabla2[[#This Row],[Horas*]],Tabla2[[#This Row],[Minutos a Horas*]])+(Tabla2[[#This Row],[Tiempo Total a Nivel Proncincial (Horas)]])</f>
        <v>2.4166666666666665</v>
      </c>
    </row>
    <row r="726" spans="28:45" x14ac:dyDescent="0.25">
      <c r="AB726" s="89"/>
      <c r="AD726" s="33" t="s">
        <v>2382</v>
      </c>
      <c r="AE726" s="10" t="s">
        <v>379</v>
      </c>
      <c r="AF726" s="20" t="s">
        <v>901</v>
      </c>
      <c r="AG726" s="10"/>
      <c r="AH726" s="22" t="str">
        <f t="shared" si="22"/>
        <v>Cusco_04 Calca</v>
      </c>
      <c r="AI726" s="10" t="s">
        <v>1015</v>
      </c>
      <c r="AJ726" s="20" t="s">
        <v>940</v>
      </c>
      <c r="AK726" s="22" t="str">
        <f t="shared" si="23"/>
        <v>Cusco_04 Calca_07 Taray</v>
      </c>
      <c r="AL726" s="25">
        <v>1</v>
      </c>
      <c r="AM726" s="25">
        <v>5</v>
      </c>
      <c r="AN726" s="26">
        <f>Tabla2[[#This Row],[Minutos]]/60</f>
        <v>8.3333333333333329E-2</v>
      </c>
      <c r="AO726" s="27">
        <f>SUM(Tabla2[[#This Row],[Horas]],Tabla2[[#This Row],[Minutos a Horas]])</f>
        <v>1.0833333333333333</v>
      </c>
      <c r="AP726" s="49">
        <v>1</v>
      </c>
      <c r="AQ726" s="49">
        <v>10</v>
      </c>
      <c r="AR726" s="26">
        <f>Tabla2[[#This Row],[Minutos*]]/60</f>
        <v>0.16666666666666666</v>
      </c>
      <c r="AS726" s="27">
        <f>SUM(Tabla2[[#This Row],[Horas*]],Tabla2[[#This Row],[Minutos a Horas*]])+(Tabla2[[#This Row],[Tiempo Total a Nivel Proncincial (Horas)]])</f>
        <v>2.25</v>
      </c>
    </row>
    <row r="727" spans="28:45" x14ac:dyDescent="0.25">
      <c r="AB727" s="89"/>
      <c r="AD727" s="33" t="s">
        <v>2382</v>
      </c>
      <c r="AE727" s="10" t="s">
        <v>379</v>
      </c>
      <c r="AF727" s="20" t="s">
        <v>901</v>
      </c>
      <c r="AG727" s="10"/>
      <c r="AH727" s="22" t="str">
        <f t="shared" si="22"/>
        <v>Cusco_04 Calca</v>
      </c>
      <c r="AI727" s="10" t="s">
        <v>1015</v>
      </c>
      <c r="AJ727" s="20" t="s">
        <v>941</v>
      </c>
      <c r="AK727" s="22" t="str">
        <f t="shared" si="23"/>
        <v>Cusco_04 Calca_08 Yanatile</v>
      </c>
      <c r="AL727" s="25">
        <v>1</v>
      </c>
      <c r="AM727" s="25">
        <v>5</v>
      </c>
      <c r="AN727" s="26">
        <f>Tabla2[[#This Row],[Minutos]]/60</f>
        <v>8.3333333333333329E-2</v>
      </c>
      <c r="AO727" s="27">
        <f>SUM(Tabla2[[#This Row],[Horas]],Tabla2[[#This Row],[Minutos a Horas]])</f>
        <v>1.0833333333333333</v>
      </c>
      <c r="AP727" s="49">
        <v>5</v>
      </c>
      <c r="AQ727" s="49">
        <v>15</v>
      </c>
      <c r="AR727" s="26">
        <f>Tabla2[[#This Row],[Minutos*]]/60</f>
        <v>0.25</v>
      </c>
      <c r="AS727" s="27">
        <f>SUM(Tabla2[[#This Row],[Horas*]],Tabla2[[#This Row],[Minutos a Horas*]])+(Tabla2[[#This Row],[Tiempo Total a Nivel Proncincial (Horas)]])</f>
        <v>6.333333333333333</v>
      </c>
    </row>
    <row r="728" spans="28:45" x14ac:dyDescent="0.25">
      <c r="AB728" s="89"/>
      <c r="AD728" s="33" t="s">
        <v>2382</v>
      </c>
      <c r="AE728" s="10" t="s">
        <v>379</v>
      </c>
      <c r="AF728" s="20" t="s">
        <v>902</v>
      </c>
      <c r="AG728" s="10"/>
      <c r="AH728" s="22" t="str">
        <f t="shared" si="22"/>
        <v>Cusco_05 Canas</v>
      </c>
      <c r="AI728" s="10" t="s">
        <v>1016</v>
      </c>
      <c r="AJ728" s="20" t="s">
        <v>942</v>
      </c>
      <c r="AK728" s="22" t="str">
        <f t="shared" si="23"/>
        <v>Cusco_05 Canas_01 Yanaoca</v>
      </c>
      <c r="AL728" s="25">
        <v>2</v>
      </c>
      <c r="AM728" s="25">
        <v>3</v>
      </c>
      <c r="AN728" s="26">
        <f>Tabla2[[#This Row],[Minutos]]/60</f>
        <v>0.05</v>
      </c>
      <c r="AO728" s="27">
        <f>SUM(Tabla2[[#This Row],[Horas]],Tabla2[[#This Row],[Minutos a Horas]])</f>
        <v>2.0499999999999998</v>
      </c>
      <c r="AP728" s="49">
        <v>3</v>
      </c>
      <c r="AQ728" s="49">
        <v>30</v>
      </c>
      <c r="AR728" s="26">
        <f>Tabla2[[#This Row],[Minutos*]]/60</f>
        <v>0.5</v>
      </c>
      <c r="AS728" s="27">
        <f>SUM(Tabla2[[#This Row],[Horas*]],Tabla2[[#This Row],[Minutos a Horas*]])+(Tabla2[[#This Row],[Tiempo Total a Nivel Proncincial (Horas)]])</f>
        <v>5.55</v>
      </c>
    </row>
    <row r="729" spans="28:45" x14ac:dyDescent="0.25">
      <c r="AB729" s="89"/>
      <c r="AD729" s="33" t="s">
        <v>2382</v>
      </c>
      <c r="AE729" s="10" t="s">
        <v>379</v>
      </c>
      <c r="AF729" s="20" t="s">
        <v>902</v>
      </c>
      <c r="AG729" s="10"/>
      <c r="AH729" s="22" t="str">
        <f t="shared" si="22"/>
        <v>Cusco_05 Canas</v>
      </c>
      <c r="AI729" s="10" t="s">
        <v>1016</v>
      </c>
      <c r="AJ729" s="20" t="s">
        <v>943</v>
      </c>
      <c r="AK729" s="22" t="str">
        <f t="shared" si="23"/>
        <v>Cusco_05 Canas_02 Checca</v>
      </c>
      <c r="AL729" s="25">
        <v>2</v>
      </c>
      <c r="AM729" s="25">
        <v>3</v>
      </c>
      <c r="AN729" s="26">
        <f>Tabla2[[#This Row],[Minutos]]/60</f>
        <v>0.05</v>
      </c>
      <c r="AO729" s="27">
        <f>SUM(Tabla2[[#This Row],[Horas]],Tabla2[[#This Row],[Minutos a Horas]])</f>
        <v>2.0499999999999998</v>
      </c>
      <c r="AP729" s="49">
        <v>5</v>
      </c>
      <c r="AQ729" s="49">
        <v>30</v>
      </c>
      <c r="AR729" s="26">
        <f>Tabla2[[#This Row],[Minutos*]]/60</f>
        <v>0.5</v>
      </c>
      <c r="AS729" s="27">
        <f>SUM(Tabla2[[#This Row],[Horas*]],Tabla2[[#This Row],[Minutos a Horas*]])+(Tabla2[[#This Row],[Tiempo Total a Nivel Proncincial (Horas)]])</f>
        <v>7.55</v>
      </c>
    </row>
    <row r="730" spans="28:45" x14ac:dyDescent="0.25">
      <c r="AB730" s="89"/>
      <c r="AD730" s="33" t="s">
        <v>2382</v>
      </c>
      <c r="AE730" s="10" t="s">
        <v>379</v>
      </c>
      <c r="AF730" s="20" t="s">
        <v>902</v>
      </c>
      <c r="AG730" s="10"/>
      <c r="AH730" s="22" t="str">
        <f t="shared" si="22"/>
        <v>Cusco_05 Canas</v>
      </c>
      <c r="AI730" s="10" t="s">
        <v>1016</v>
      </c>
      <c r="AJ730" s="20" t="s">
        <v>944</v>
      </c>
      <c r="AK730" s="22" t="str">
        <f t="shared" si="23"/>
        <v>Cusco_05 Canas_03 Kunturkanki</v>
      </c>
      <c r="AL730" s="25">
        <v>2</v>
      </c>
      <c r="AM730" s="25">
        <v>3</v>
      </c>
      <c r="AN730" s="26">
        <f>Tabla2[[#This Row],[Minutos]]/60</f>
        <v>0.05</v>
      </c>
      <c r="AO730" s="27">
        <f>SUM(Tabla2[[#This Row],[Horas]],Tabla2[[#This Row],[Minutos a Horas]])</f>
        <v>2.0499999999999998</v>
      </c>
      <c r="AP730" s="49">
        <v>5</v>
      </c>
      <c r="AQ730" s="49">
        <v>0</v>
      </c>
      <c r="AR730" s="26">
        <f>Tabla2[[#This Row],[Minutos*]]/60</f>
        <v>0</v>
      </c>
      <c r="AS730" s="27">
        <f>SUM(Tabla2[[#This Row],[Horas*]],Tabla2[[#This Row],[Minutos a Horas*]])+(Tabla2[[#This Row],[Tiempo Total a Nivel Proncincial (Horas)]])</f>
        <v>7.05</v>
      </c>
    </row>
    <row r="731" spans="28:45" x14ac:dyDescent="0.25">
      <c r="AB731" s="89"/>
      <c r="AD731" s="33" t="s">
        <v>2382</v>
      </c>
      <c r="AE731" s="10" t="s">
        <v>379</v>
      </c>
      <c r="AF731" s="20" t="s">
        <v>902</v>
      </c>
      <c r="AG731" s="10"/>
      <c r="AH731" s="22" t="str">
        <f t="shared" si="22"/>
        <v>Cusco_05 Canas</v>
      </c>
      <c r="AI731" s="10" t="s">
        <v>1016</v>
      </c>
      <c r="AJ731" s="20" t="s">
        <v>945</v>
      </c>
      <c r="AK731" s="22" t="str">
        <f t="shared" si="23"/>
        <v>Cusco_05 Canas_04 Langui</v>
      </c>
      <c r="AL731" s="25">
        <v>2</v>
      </c>
      <c r="AM731" s="25">
        <v>3</v>
      </c>
      <c r="AN731" s="26">
        <f>Tabla2[[#This Row],[Minutos]]/60</f>
        <v>0.05</v>
      </c>
      <c r="AO731" s="27">
        <f>SUM(Tabla2[[#This Row],[Horas]],Tabla2[[#This Row],[Minutos a Horas]])</f>
        <v>2.0499999999999998</v>
      </c>
      <c r="AP731" s="49">
        <v>4</v>
      </c>
      <c r="AQ731" s="49">
        <v>30</v>
      </c>
      <c r="AR731" s="26">
        <f>Tabla2[[#This Row],[Minutos*]]/60</f>
        <v>0.5</v>
      </c>
      <c r="AS731" s="27">
        <f>SUM(Tabla2[[#This Row],[Horas*]],Tabla2[[#This Row],[Minutos a Horas*]])+(Tabla2[[#This Row],[Tiempo Total a Nivel Proncincial (Horas)]])</f>
        <v>6.55</v>
      </c>
    </row>
    <row r="732" spans="28:45" x14ac:dyDescent="0.25">
      <c r="AB732" s="89"/>
      <c r="AD732" s="33" t="s">
        <v>2382</v>
      </c>
      <c r="AE732" s="10" t="s">
        <v>379</v>
      </c>
      <c r="AF732" s="20" t="s">
        <v>902</v>
      </c>
      <c r="AG732" s="10"/>
      <c r="AH732" s="22" t="str">
        <f t="shared" si="22"/>
        <v>Cusco_05 Canas</v>
      </c>
      <c r="AI732" s="10" t="s">
        <v>1016</v>
      </c>
      <c r="AJ732" s="20" t="s">
        <v>946</v>
      </c>
      <c r="AK732" s="22" t="str">
        <f t="shared" si="23"/>
        <v>Cusco_05 Canas_05 Layo</v>
      </c>
      <c r="AL732" s="25">
        <v>2</v>
      </c>
      <c r="AM732" s="25">
        <v>3</v>
      </c>
      <c r="AN732" s="26">
        <f>Tabla2[[#This Row],[Minutos]]/60</f>
        <v>0.05</v>
      </c>
      <c r="AO732" s="27">
        <f>SUM(Tabla2[[#This Row],[Horas]],Tabla2[[#This Row],[Minutos a Horas]])</f>
        <v>2.0499999999999998</v>
      </c>
      <c r="AP732" s="49">
        <v>5</v>
      </c>
      <c r="AQ732" s="49">
        <v>15</v>
      </c>
      <c r="AR732" s="26">
        <f>Tabla2[[#This Row],[Minutos*]]/60</f>
        <v>0.25</v>
      </c>
      <c r="AS732" s="27">
        <f>SUM(Tabla2[[#This Row],[Horas*]],Tabla2[[#This Row],[Minutos a Horas*]])+(Tabla2[[#This Row],[Tiempo Total a Nivel Proncincial (Horas)]])</f>
        <v>7.3</v>
      </c>
    </row>
    <row r="733" spans="28:45" x14ac:dyDescent="0.25">
      <c r="AB733" s="89"/>
      <c r="AD733" s="33" t="s">
        <v>2382</v>
      </c>
      <c r="AE733" s="10" t="s">
        <v>379</v>
      </c>
      <c r="AF733" s="20" t="s">
        <v>902</v>
      </c>
      <c r="AG733" s="10"/>
      <c r="AH733" s="22" t="str">
        <f t="shared" si="22"/>
        <v>Cusco_05 Canas</v>
      </c>
      <c r="AI733" s="10" t="s">
        <v>1016</v>
      </c>
      <c r="AJ733" s="20" t="s">
        <v>947</v>
      </c>
      <c r="AK733" s="22" t="str">
        <f t="shared" si="23"/>
        <v>Cusco_05 Canas_06 Pampamarca</v>
      </c>
      <c r="AL733" s="25">
        <v>2</v>
      </c>
      <c r="AM733" s="25">
        <v>3</v>
      </c>
      <c r="AN733" s="26">
        <f>Tabla2[[#This Row],[Minutos]]/60</f>
        <v>0.05</v>
      </c>
      <c r="AO733" s="27">
        <f>SUM(Tabla2[[#This Row],[Horas]],Tabla2[[#This Row],[Minutos a Horas]])</f>
        <v>2.0499999999999998</v>
      </c>
      <c r="AP733" s="49">
        <v>2</v>
      </c>
      <c r="AQ733" s="49">
        <v>40</v>
      </c>
      <c r="AR733" s="26">
        <f>Tabla2[[#This Row],[Minutos*]]/60</f>
        <v>0.66666666666666663</v>
      </c>
      <c r="AS733" s="27">
        <f>SUM(Tabla2[[#This Row],[Horas*]],Tabla2[[#This Row],[Minutos a Horas*]])+(Tabla2[[#This Row],[Tiempo Total a Nivel Proncincial (Horas)]])</f>
        <v>4.7166666666666668</v>
      </c>
    </row>
    <row r="734" spans="28:45" x14ac:dyDescent="0.25">
      <c r="AB734" s="89"/>
      <c r="AD734" s="33" t="s">
        <v>2382</v>
      </c>
      <c r="AE734" s="10" t="s">
        <v>379</v>
      </c>
      <c r="AF734" s="20" t="s">
        <v>902</v>
      </c>
      <c r="AG734" s="10"/>
      <c r="AH734" s="22" t="str">
        <f t="shared" si="22"/>
        <v>Cusco_05 Canas</v>
      </c>
      <c r="AI734" s="10" t="s">
        <v>1016</v>
      </c>
      <c r="AJ734" s="20" t="s">
        <v>948</v>
      </c>
      <c r="AK734" s="22" t="str">
        <f t="shared" si="23"/>
        <v>Cusco_05 Canas_07 Quehue</v>
      </c>
      <c r="AL734" s="25">
        <v>2</v>
      </c>
      <c r="AM734" s="25">
        <v>3</v>
      </c>
      <c r="AN734" s="26">
        <f>Tabla2[[#This Row],[Minutos]]/60</f>
        <v>0.05</v>
      </c>
      <c r="AO734" s="27">
        <f>SUM(Tabla2[[#This Row],[Horas]],Tabla2[[#This Row],[Minutos a Horas]])</f>
        <v>2.0499999999999998</v>
      </c>
      <c r="AP734" s="49">
        <v>4</v>
      </c>
      <c r="AQ734" s="49">
        <v>15</v>
      </c>
      <c r="AR734" s="26">
        <f>Tabla2[[#This Row],[Minutos*]]/60</f>
        <v>0.25</v>
      </c>
      <c r="AS734" s="27">
        <f>SUM(Tabla2[[#This Row],[Horas*]],Tabla2[[#This Row],[Minutos a Horas*]])+(Tabla2[[#This Row],[Tiempo Total a Nivel Proncincial (Horas)]])</f>
        <v>6.3</v>
      </c>
    </row>
    <row r="735" spans="28:45" x14ac:dyDescent="0.25">
      <c r="AB735" s="89"/>
      <c r="AD735" s="33" t="s">
        <v>2382</v>
      </c>
      <c r="AE735" s="10" t="s">
        <v>379</v>
      </c>
      <c r="AF735" s="20" t="s">
        <v>902</v>
      </c>
      <c r="AG735" s="10"/>
      <c r="AH735" s="22" t="str">
        <f t="shared" si="22"/>
        <v>Cusco_05 Canas</v>
      </c>
      <c r="AI735" s="10" t="s">
        <v>1016</v>
      </c>
      <c r="AJ735" s="20" t="s">
        <v>949</v>
      </c>
      <c r="AK735" s="22" t="str">
        <f t="shared" si="23"/>
        <v>Cusco_05 Canas_08 Tupac Amaru</v>
      </c>
      <c r="AL735" s="25">
        <v>2</v>
      </c>
      <c r="AM735" s="25">
        <v>3</v>
      </c>
      <c r="AN735" s="26">
        <f>Tabla2[[#This Row],[Minutos]]/60</f>
        <v>0.05</v>
      </c>
      <c r="AO735" s="27">
        <f>SUM(Tabla2[[#This Row],[Horas]],Tabla2[[#This Row],[Minutos a Horas]])</f>
        <v>2.0499999999999998</v>
      </c>
      <c r="AP735" s="49">
        <v>3</v>
      </c>
      <c r="AQ735" s="49">
        <v>15</v>
      </c>
      <c r="AR735" s="26">
        <f>Tabla2[[#This Row],[Minutos*]]/60</f>
        <v>0.25</v>
      </c>
      <c r="AS735" s="27">
        <f>SUM(Tabla2[[#This Row],[Horas*]],Tabla2[[#This Row],[Minutos a Horas*]])+(Tabla2[[#This Row],[Tiempo Total a Nivel Proncincial (Horas)]])</f>
        <v>5.3</v>
      </c>
    </row>
    <row r="736" spans="28:45" x14ac:dyDescent="0.25">
      <c r="AB736" s="89"/>
      <c r="AD736" s="33" t="s">
        <v>2382</v>
      </c>
      <c r="AE736" s="10" t="s">
        <v>379</v>
      </c>
      <c r="AF736" s="20" t="s">
        <v>903</v>
      </c>
      <c r="AG736" s="10"/>
      <c r="AH736" s="22" t="str">
        <f t="shared" si="22"/>
        <v>Cusco_06 Canchis</v>
      </c>
      <c r="AI736" s="10" t="s">
        <v>1017</v>
      </c>
      <c r="AJ736" s="20" t="s">
        <v>950</v>
      </c>
      <c r="AK736" s="22" t="str">
        <f t="shared" si="23"/>
        <v>Cusco_06 Canchis_01 Sicuani</v>
      </c>
      <c r="AL736" s="25">
        <v>2</v>
      </c>
      <c r="AM736" s="25">
        <v>37</v>
      </c>
      <c r="AN736" s="26">
        <f>Tabla2[[#This Row],[Minutos]]/60</f>
        <v>0.6166666666666667</v>
      </c>
      <c r="AO736" s="27">
        <f>SUM(Tabla2[[#This Row],[Horas]],Tabla2[[#This Row],[Minutos a Horas]])</f>
        <v>2.6166666666666667</v>
      </c>
      <c r="AP736" s="49">
        <v>3</v>
      </c>
      <c r="AQ736" s="49">
        <v>0</v>
      </c>
      <c r="AR736" s="26">
        <f>Tabla2[[#This Row],[Minutos*]]/60</f>
        <v>0</v>
      </c>
      <c r="AS736" s="27">
        <f>SUM(Tabla2[[#This Row],[Horas*]],Tabla2[[#This Row],[Minutos a Horas*]])+(Tabla2[[#This Row],[Tiempo Total a Nivel Proncincial (Horas)]])</f>
        <v>5.6166666666666671</v>
      </c>
    </row>
    <row r="737" spans="28:45" x14ac:dyDescent="0.25">
      <c r="AB737" s="89"/>
      <c r="AD737" s="33" t="s">
        <v>2382</v>
      </c>
      <c r="AE737" s="10" t="s">
        <v>379</v>
      </c>
      <c r="AF737" s="20" t="s">
        <v>903</v>
      </c>
      <c r="AG737" s="10"/>
      <c r="AH737" s="22" t="str">
        <f t="shared" si="22"/>
        <v>Cusco_06 Canchis</v>
      </c>
      <c r="AI737" s="10" t="s">
        <v>1017</v>
      </c>
      <c r="AJ737" s="20" t="s">
        <v>951</v>
      </c>
      <c r="AK737" s="22" t="str">
        <f t="shared" si="23"/>
        <v>Cusco_06 Canchis_02 Checacupe</v>
      </c>
      <c r="AL737" s="25">
        <v>2</v>
      </c>
      <c r="AM737" s="25">
        <v>37</v>
      </c>
      <c r="AN737" s="26">
        <f>Tabla2[[#This Row],[Minutos]]/60</f>
        <v>0.6166666666666667</v>
      </c>
      <c r="AO737" s="27">
        <f>SUM(Tabla2[[#This Row],[Horas]],Tabla2[[#This Row],[Minutos a Horas]])</f>
        <v>2.6166666666666667</v>
      </c>
      <c r="AP737" s="49">
        <v>2</v>
      </c>
      <c r="AQ737" s="49">
        <v>0</v>
      </c>
      <c r="AR737" s="26">
        <f>Tabla2[[#This Row],[Minutos*]]/60</f>
        <v>0</v>
      </c>
      <c r="AS737" s="27">
        <f>SUM(Tabla2[[#This Row],[Horas*]],Tabla2[[#This Row],[Minutos a Horas*]])+(Tabla2[[#This Row],[Tiempo Total a Nivel Proncincial (Horas)]])</f>
        <v>4.6166666666666671</v>
      </c>
    </row>
    <row r="738" spans="28:45" x14ac:dyDescent="0.25">
      <c r="AB738" s="89"/>
      <c r="AD738" s="33" t="s">
        <v>2382</v>
      </c>
      <c r="AE738" s="10" t="s">
        <v>379</v>
      </c>
      <c r="AF738" s="20" t="s">
        <v>903</v>
      </c>
      <c r="AG738" s="10"/>
      <c r="AH738" s="22" t="str">
        <f t="shared" si="22"/>
        <v>Cusco_06 Canchis</v>
      </c>
      <c r="AI738" s="10" t="s">
        <v>1017</v>
      </c>
      <c r="AJ738" s="20" t="s">
        <v>952</v>
      </c>
      <c r="AK738" s="22" t="str">
        <f t="shared" si="23"/>
        <v>Cusco_06 Canchis_03 Combapata</v>
      </c>
      <c r="AL738" s="25">
        <v>2</v>
      </c>
      <c r="AM738" s="25">
        <v>37</v>
      </c>
      <c r="AN738" s="26">
        <f>Tabla2[[#This Row],[Minutos]]/60</f>
        <v>0.6166666666666667</v>
      </c>
      <c r="AO738" s="27">
        <f>SUM(Tabla2[[#This Row],[Horas]],Tabla2[[#This Row],[Minutos a Horas]])</f>
        <v>2.6166666666666667</v>
      </c>
      <c r="AP738" s="49">
        <v>2</v>
      </c>
      <c r="AQ738" s="49">
        <v>15</v>
      </c>
      <c r="AR738" s="26">
        <f>Tabla2[[#This Row],[Minutos*]]/60</f>
        <v>0.25</v>
      </c>
      <c r="AS738" s="27">
        <f>SUM(Tabla2[[#This Row],[Horas*]],Tabla2[[#This Row],[Minutos a Horas*]])+(Tabla2[[#This Row],[Tiempo Total a Nivel Proncincial (Horas)]])</f>
        <v>4.8666666666666671</v>
      </c>
    </row>
    <row r="739" spans="28:45" x14ac:dyDescent="0.25">
      <c r="AB739" s="89"/>
      <c r="AD739" s="33" t="s">
        <v>2382</v>
      </c>
      <c r="AE739" s="10" t="s">
        <v>379</v>
      </c>
      <c r="AF739" s="20" t="s">
        <v>903</v>
      </c>
      <c r="AG739" s="10"/>
      <c r="AH739" s="22" t="str">
        <f t="shared" si="22"/>
        <v>Cusco_06 Canchis</v>
      </c>
      <c r="AI739" s="10" t="s">
        <v>1017</v>
      </c>
      <c r="AJ739" s="20" t="s">
        <v>953</v>
      </c>
      <c r="AK739" s="22" t="str">
        <f t="shared" si="23"/>
        <v>Cusco_06 Canchis_04 Marangani</v>
      </c>
      <c r="AL739" s="25">
        <v>2</v>
      </c>
      <c r="AM739" s="25">
        <v>37</v>
      </c>
      <c r="AN739" s="26">
        <f>Tabla2[[#This Row],[Minutos]]/60</f>
        <v>0.6166666666666667</v>
      </c>
      <c r="AO739" s="27">
        <f>SUM(Tabla2[[#This Row],[Horas]],Tabla2[[#This Row],[Minutos a Horas]])</f>
        <v>2.6166666666666667</v>
      </c>
      <c r="AP739" s="49">
        <v>3</v>
      </c>
      <c r="AQ739" s="49">
        <v>15</v>
      </c>
      <c r="AR739" s="26">
        <f>Tabla2[[#This Row],[Minutos*]]/60</f>
        <v>0.25</v>
      </c>
      <c r="AS739" s="27">
        <f>SUM(Tabla2[[#This Row],[Horas*]],Tabla2[[#This Row],[Minutos a Horas*]])+(Tabla2[[#This Row],[Tiempo Total a Nivel Proncincial (Horas)]])</f>
        <v>5.8666666666666671</v>
      </c>
    </row>
    <row r="740" spans="28:45" x14ac:dyDescent="0.25">
      <c r="AB740" s="89"/>
      <c r="AD740" s="33" t="s">
        <v>2382</v>
      </c>
      <c r="AE740" s="10" t="s">
        <v>379</v>
      </c>
      <c r="AF740" s="20" t="s">
        <v>903</v>
      </c>
      <c r="AG740" s="10"/>
      <c r="AH740" s="22" t="str">
        <f t="shared" si="22"/>
        <v>Cusco_06 Canchis</v>
      </c>
      <c r="AI740" s="10" t="s">
        <v>1017</v>
      </c>
      <c r="AJ740" s="20" t="s">
        <v>954</v>
      </c>
      <c r="AK740" s="22" t="str">
        <f t="shared" si="23"/>
        <v>Cusco_06 Canchis_05 Pitumarca</v>
      </c>
      <c r="AL740" s="25">
        <v>2</v>
      </c>
      <c r="AM740" s="25">
        <v>37</v>
      </c>
      <c r="AN740" s="26">
        <f>Tabla2[[#This Row],[Minutos]]/60</f>
        <v>0.6166666666666667</v>
      </c>
      <c r="AO740" s="27">
        <f>SUM(Tabla2[[#This Row],[Horas]],Tabla2[[#This Row],[Minutos a Horas]])</f>
        <v>2.6166666666666667</v>
      </c>
      <c r="AP740" s="49">
        <v>2</v>
      </c>
      <c r="AQ740" s="49">
        <v>30</v>
      </c>
      <c r="AR740" s="26">
        <f>Tabla2[[#This Row],[Minutos*]]/60</f>
        <v>0.5</v>
      </c>
      <c r="AS740" s="27">
        <f>SUM(Tabla2[[#This Row],[Horas*]],Tabla2[[#This Row],[Minutos a Horas*]])+(Tabla2[[#This Row],[Tiempo Total a Nivel Proncincial (Horas)]])</f>
        <v>5.1166666666666671</v>
      </c>
    </row>
    <row r="741" spans="28:45" x14ac:dyDescent="0.25">
      <c r="AB741" s="89"/>
      <c r="AD741" s="33" t="s">
        <v>2382</v>
      </c>
      <c r="AE741" s="10" t="s">
        <v>379</v>
      </c>
      <c r="AF741" s="20" t="s">
        <v>903</v>
      </c>
      <c r="AG741" s="10"/>
      <c r="AH741" s="22" t="str">
        <f t="shared" si="22"/>
        <v>Cusco_06 Canchis</v>
      </c>
      <c r="AI741" s="10" t="s">
        <v>1017</v>
      </c>
      <c r="AJ741" s="20" t="s">
        <v>955</v>
      </c>
      <c r="AK741" s="22" t="str">
        <f t="shared" si="23"/>
        <v>Cusco_06 Canchis_06 San Pablo</v>
      </c>
      <c r="AL741" s="25">
        <v>2</v>
      </c>
      <c r="AM741" s="25">
        <v>37</v>
      </c>
      <c r="AN741" s="26">
        <f>Tabla2[[#This Row],[Minutos]]/60</f>
        <v>0.6166666666666667</v>
      </c>
      <c r="AO741" s="27">
        <f>SUM(Tabla2[[#This Row],[Horas]],Tabla2[[#This Row],[Minutos a Horas]])</f>
        <v>2.6166666666666667</v>
      </c>
      <c r="AP741" s="49">
        <v>2</v>
      </c>
      <c r="AQ741" s="49">
        <v>35</v>
      </c>
      <c r="AR741" s="26">
        <f>Tabla2[[#This Row],[Minutos*]]/60</f>
        <v>0.58333333333333337</v>
      </c>
      <c r="AS741" s="27">
        <f>SUM(Tabla2[[#This Row],[Horas*]],Tabla2[[#This Row],[Minutos a Horas*]])+(Tabla2[[#This Row],[Tiempo Total a Nivel Proncincial (Horas)]])</f>
        <v>5.2</v>
      </c>
    </row>
    <row r="742" spans="28:45" x14ac:dyDescent="0.25">
      <c r="AB742" s="89"/>
      <c r="AD742" s="33" t="s">
        <v>2382</v>
      </c>
      <c r="AE742" s="10" t="s">
        <v>379</v>
      </c>
      <c r="AF742" s="20" t="s">
        <v>903</v>
      </c>
      <c r="AG742" s="10"/>
      <c r="AH742" s="22" t="str">
        <f t="shared" si="22"/>
        <v>Cusco_06 Canchis</v>
      </c>
      <c r="AI742" s="10" t="s">
        <v>1017</v>
      </c>
      <c r="AJ742" s="20" t="s">
        <v>956</v>
      </c>
      <c r="AK742" s="22" t="str">
        <f t="shared" si="23"/>
        <v>Cusco_06 Canchis_07 San Pedro</v>
      </c>
      <c r="AL742" s="25">
        <v>2</v>
      </c>
      <c r="AM742" s="25">
        <v>37</v>
      </c>
      <c r="AN742" s="26">
        <f>Tabla2[[#This Row],[Minutos]]/60</f>
        <v>0.6166666666666667</v>
      </c>
      <c r="AO742" s="27">
        <f>SUM(Tabla2[[#This Row],[Horas]],Tabla2[[#This Row],[Minutos a Horas]])</f>
        <v>2.6166666666666667</v>
      </c>
      <c r="AP742" s="49">
        <v>2</v>
      </c>
      <c r="AQ742" s="49">
        <v>25</v>
      </c>
      <c r="AR742" s="26">
        <f>Tabla2[[#This Row],[Minutos*]]/60</f>
        <v>0.41666666666666669</v>
      </c>
      <c r="AS742" s="27">
        <f>SUM(Tabla2[[#This Row],[Horas*]],Tabla2[[#This Row],[Minutos a Horas*]])+(Tabla2[[#This Row],[Tiempo Total a Nivel Proncincial (Horas)]])</f>
        <v>5.0333333333333332</v>
      </c>
    </row>
    <row r="743" spans="28:45" x14ac:dyDescent="0.25">
      <c r="AB743" s="89"/>
      <c r="AD743" s="33" t="s">
        <v>2382</v>
      </c>
      <c r="AE743" s="10" t="s">
        <v>379</v>
      </c>
      <c r="AF743" s="20" t="s">
        <v>903</v>
      </c>
      <c r="AG743" s="10"/>
      <c r="AH743" s="22" t="str">
        <f t="shared" si="22"/>
        <v>Cusco_06 Canchis</v>
      </c>
      <c r="AI743" s="10" t="s">
        <v>1017</v>
      </c>
      <c r="AJ743" s="20" t="s">
        <v>957</v>
      </c>
      <c r="AK743" s="22" t="str">
        <f t="shared" si="23"/>
        <v>Cusco_06 Canchis_08 Tinta</v>
      </c>
      <c r="AL743" s="25">
        <v>2</v>
      </c>
      <c r="AM743" s="25">
        <v>37</v>
      </c>
      <c r="AN743" s="26">
        <f>Tabla2[[#This Row],[Minutos]]/60</f>
        <v>0.6166666666666667</v>
      </c>
      <c r="AO743" s="27">
        <f>SUM(Tabla2[[#This Row],[Horas]],Tabla2[[#This Row],[Minutos a Horas]])</f>
        <v>2.6166666666666667</v>
      </c>
      <c r="AP743" s="49">
        <v>2</v>
      </c>
      <c r="AQ743" s="49">
        <v>15</v>
      </c>
      <c r="AR743" s="26">
        <f>Tabla2[[#This Row],[Minutos*]]/60</f>
        <v>0.25</v>
      </c>
      <c r="AS743" s="27">
        <f>SUM(Tabla2[[#This Row],[Horas*]],Tabla2[[#This Row],[Minutos a Horas*]])+(Tabla2[[#This Row],[Tiempo Total a Nivel Proncincial (Horas)]])</f>
        <v>4.8666666666666671</v>
      </c>
    </row>
    <row r="744" spans="28:45" x14ac:dyDescent="0.25">
      <c r="AB744" s="89"/>
      <c r="AD744" s="33" t="s">
        <v>2382</v>
      </c>
      <c r="AE744" s="10" t="s">
        <v>379</v>
      </c>
      <c r="AF744" s="20" t="s">
        <v>904</v>
      </c>
      <c r="AG744" s="10"/>
      <c r="AH744" s="22" t="str">
        <f t="shared" si="22"/>
        <v>Cusco_07 Chumbivilcas</v>
      </c>
      <c r="AI744" s="10" t="s">
        <v>1018</v>
      </c>
      <c r="AJ744" s="20" t="s">
        <v>958</v>
      </c>
      <c r="AK744" s="22" t="str">
        <f t="shared" si="23"/>
        <v>Cusco_07 Chumbivilcas_01 Santo Tomas</v>
      </c>
      <c r="AL744" s="25">
        <v>5</v>
      </c>
      <c r="AM744" s="25">
        <v>59</v>
      </c>
      <c r="AN744" s="26">
        <f>Tabla2[[#This Row],[Minutos]]/60</f>
        <v>0.98333333333333328</v>
      </c>
      <c r="AO744" s="27">
        <f>SUM(Tabla2[[#This Row],[Horas]],Tabla2[[#This Row],[Minutos a Horas]])</f>
        <v>5.9833333333333334</v>
      </c>
      <c r="AP744" s="49">
        <v>8</v>
      </c>
      <c r="AQ744" s="49">
        <v>0</v>
      </c>
      <c r="AR744" s="26">
        <f>Tabla2[[#This Row],[Minutos*]]/60</f>
        <v>0</v>
      </c>
      <c r="AS744" s="27">
        <f>SUM(Tabla2[[#This Row],[Horas*]],Tabla2[[#This Row],[Minutos a Horas*]])+(Tabla2[[#This Row],[Tiempo Total a Nivel Proncincial (Horas)]])</f>
        <v>13.983333333333334</v>
      </c>
    </row>
    <row r="745" spans="28:45" x14ac:dyDescent="0.25">
      <c r="AB745" s="89"/>
      <c r="AD745" s="33" t="s">
        <v>2382</v>
      </c>
      <c r="AE745" s="10" t="s">
        <v>379</v>
      </c>
      <c r="AF745" s="20" t="s">
        <v>904</v>
      </c>
      <c r="AG745" s="10"/>
      <c r="AH745" s="22" t="str">
        <f t="shared" si="22"/>
        <v>Cusco_07 Chumbivilcas</v>
      </c>
      <c r="AI745" s="10" t="s">
        <v>1018</v>
      </c>
      <c r="AJ745" s="20" t="s">
        <v>959</v>
      </c>
      <c r="AK745" s="22" t="str">
        <f t="shared" si="23"/>
        <v>Cusco_07 Chumbivilcas_02 Capacmarca</v>
      </c>
      <c r="AL745" s="25">
        <v>5</v>
      </c>
      <c r="AM745" s="25">
        <v>59</v>
      </c>
      <c r="AN745" s="26">
        <f>Tabla2[[#This Row],[Minutos]]/60</f>
        <v>0.98333333333333328</v>
      </c>
      <c r="AO745" s="27">
        <f>SUM(Tabla2[[#This Row],[Horas]],Tabla2[[#This Row],[Minutos a Horas]])</f>
        <v>5.9833333333333334</v>
      </c>
      <c r="AP745" s="49">
        <v>4</v>
      </c>
      <c r="AQ745" s="49">
        <v>0</v>
      </c>
      <c r="AR745" s="26">
        <f>Tabla2[[#This Row],[Minutos*]]/60</f>
        <v>0</v>
      </c>
      <c r="AS745" s="27">
        <f>SUM(Tabla2[[#This Row],[Horas*]],Tabla2[[#This Row],[Minutos a Horas*]])+(Tabla2[[#This Row],[Tiempo Total a Nivel Proncincial (Horas)]])</f>
        <v>9.9833333333333343</v>
      </c>
    </row>
    <row r="746" spans="28:45" x14ac:dyDescent="0.25">
      <c r="AB746" s="89"/>
      <c r="AD746" s="33" t="s">
        <v>2382</v>
      </c>
      <c r="AE746" s="10" t="s">
        <v>379</v>
      </c>
      <c r="AF746" s="20" t="s">
        <v>904</v>
      </c>
      <c r="AG746" s="10"/>
      <c r="AH746" s="22" t="str">
        <f t="shared" si="22"/>
        <v>Cusco_07 Chumbivilcas</v>
      </c>
      <c r="AI746" s="10" t="s">
        <v>1018</v>
      </c>
      <c r="AJ746" s="20" t="s">
        <v>960</v>
      </c>
      <c r="AK746" s="22" t="str">
        <f t="shared" si="23"/>
        <v>Cusco_07 Chumbivilcas_03 Chamaca</v>
      </c>
      <c r="AL746" s="25">
        <v>5</v>
      </c>
      <c r="AM746" s="25">
        <v>59</v>
      </c>
      <c r="AN746" s="26">
        <f>Tabla2[[#This Row],[Minutos]]/60</f>
        <v>0.98333333333333328</v>
      </c>
      <c r="AO746" s="27">
        <f>SUM(Tabla2[[#This Row],[Horas]],Tabla2[[#This Row],[Minutos a Horas]])</f>
        <v>5.9833333333333334</v>
      </c>
      <c r="AP746" s="49">
        <v>6</v>
      </c>
      <c r="AQ746" s="49">
        <v>30</v>
      </c>
      <c r="AR746" s="26">
        <f>Tabla2[[#This Row],[Minutos*]]/60</f>
        <v>0.5</v>
      </c>
      <c r="AS746" s="27">
        <f>SUM(Tabla2[[#This Row],[Horas*]],Tabla2[[#This Row],[Minutos a Horas*]])+(Tabla2[[#This Row],[Tiempo Total a Nivel Proncincial (Horas)]])</f>
        <v>12.483333333333334</v>
      </c>
    </row>
    <row r="747" spans="28:45" x14ac:dyDescent="0.25">
      <c r="AB747" s="89"/>
      <c r="AD747" s="33" t="s">
        <v>2382</v>
      </c>
      <c r="AE747" s="10" t="s">
        <v>379</v>
      </c>
      <c r="AF747" s="20" t="s">
        <v>904</v>
      </c>
      <c r="AG747" s="10"/>
      <c r="AH747" s="22" t="str">
        <f t="shared" si="22"/>
        <v>Cusco_07 Chumbivilcas</v>
      </c>
      <c r="AI747" s="10" t="s">
        <v>1018</v>
      </c>
      <c r="AJ747" s="20" t="s">
        <v>961</v>
      </c>
      <c r="AK747" s="22" t="str">
        <f t="shared" si="23"/>
        <v>Cusco_07 Chumbivilcas_04 Colquemarca</v>
      </c>
      <c r="AL747" s="25">
        <v>5</v>
      </c>
      <c r="AM747" s="25">
        <v>59</v>
      </c>
      <c r="AN747" s="26">
        <f>Tabla2[[#This Row],[Minutos]]/60</f>
        <v>0.98333333333333328</v>
      </c>
      <c r="AO747" s="27">
        <f>SUM(Tabla2[[#This Row],[Horas]],Tabla2[[#This Row],[Minutos a Horas]])</f>
        <v>5.9833333333333334</v>
      </c>
      <c r="AP747" s="49">
        <v>6</v>
      </c>
      <c r="AQ747" s="49">
        <v>30</v>
      </c>
      <c r="AR747" s="26">
        <f>Tabla2[[#This Row],[Minutos*]]/60</f>
        <v>0.5</v>
      </c>
      <c r="AS747" s="27">
        <f>SUM(Tabla2[[#This Row],[Horas*]],Tabla2[[#This Row],[Minutos a Horas*]])+(Tabla2[[#This Row],[Tiempo Total a Nivel Proncincial (Horas)]])</f>
        <v>12.483333333333334</v>
      </c>
    </row>
    <row r="748" spans="28:45" x14ac:dyDescent="0.25">
      <c r="AB748" s="89"/>
      <c r="AD748" s="33" t="s">
        <v>2382</v>
      </c>
      <c r="AE748" s="10" t="s">
        <v>379</v>
      </c>
      <c r="AF748" s="20" t="s">
        <v>904</v>
      </c>
      <c r="AG748" s="10"/>
      <c r="AH748" s="22" t="str">
        <f t="shared" si="22"/>
        <v>Cusco_07 Chumbivilcas</v>
      </c>
      <c r="AI748" s="10" t="s">
        <v>1018</v>
      </c>
      <c r="AJ748" s="20" t="s">
        <v>962</v>
      </c>
      <c r="AK748" s="22" t="str">
        <f t="shared" si="23"/>
        <v>Cusco_07 Chumbivilcas_05 Livitaca</v>
      </c>
      <c r="AL748" s="25">
        <v>5</v>
      </c>
      <c r="AM748" s="25">
        <v>59</v>
      </c>
      <c r="AN748" s="26">
        <f>Tabla2[[#This Row],[Minutos]]/60</f>
        <v>0.98333333333333328</v>
      </c>
      <c r="AO748" s="27">
        <f>SUM(Tabla2[[#This Row],[Horas]],Tabla2[[#This Row],[Minutos a Horas]])</f>
        <v>5.9833333333333334</v>
      </c>
      <c r="AP748" s="49">
        <v>5</v>
      </c>
      <c r="AQ748" s="49">
        <v>0</v>
      </c>
      <c r="AR748" s="26">
        <f>Tabla2[[#This Row],[Minutos*]]/60</f>
        <v>0</v>
      </c>
      <c r="AS748" s="27">
        <f>SUM(Tabla2[[#This Row],[Horas*]],Tabla2[[#This Row],[Minutos a Horas*]])+(Tabla2[[#This Row],[Tiempo Total a Nivel Proncincial (Horas)]])</f>
        <v>10.983333333333334</v>
      </c>
    </row>
    <row r="749" spans="28:45" x14ac:dyDescent="0.25">
      <c r="AB749" s="89"/>
      <c r="AD749" s="33" t="s">
        <v>2382</v>
      </c>
      <c r="AE749" s="10" t="s">
        <v>379</v>
      </c>
      <c r="AF749" s="20" t="s">
        <v>904</v>
      </c>
      <c r="AG749" s="10"/>
      <c r="AH749" s="22" t="str">
        <f t="shared" si="22"/>
        <v>Cusco_07 Chumbivilcas</v>
      </c>
      <c r="AI749" s="10" t="s">
        <v>1018</v>
      </c>
      <c r="AJ749" s="20" t="s">
        <v>963</v>
      </c>
      <c r="AK749" s="22" t="str">
        <f t="shared" si="23"/>
        <v>Cusco_07 Chumbivilcas_06 Llusco</v>
      </c>
      <c r="AL749" s="25">
        <v>5</v>
      </c>
      <c r="AM749" s="25">
        <v>59</v>
      </c>
      <c r="AN749" s="26">
        <f>Tabla2[[#This Row],[Minutos]]/60</f>
        <v>0.98333333333333328</v>
      </c>
      <c r="AO749" s="27">
        <f>SUM(Tabla2[[#This Row],[Horas]],Tabla2[[#This Row],[Minutos a Horas]])</f>
        <v>5.9833333333333334</v>
      </c>
      <c r="AP749" s="49">
        <v>7</v>
      </c>
      <c r="AQ749" s="49">
        <v>0</v>
      </c>
      <c r="AR749" s="26">
        <f>Tabla2[[#This Row],[Minutos*]]/60</f>
        <v>0</v>
      </c>
      <c r="AS749" s="27">
        <f>SUM(Tabla2[[#This Row],[Horas*]],Tabla2[[#This Row],[Minutos a Horas*]])+(Tabla2[[#This Row],[Tiempo Total a Nivel Proncincial (Horas)]])</f>
        <v>12.983333333333334</v>
      </c>
    </row>
    <row r="750" spans="28:45" x14ac:dyDescent="0.25">
      <c r="AB750" s="89"/>
      <c r="AD750" s="33" t="s">
        <v>2382</v>
      </c>
      <c r="AE750" s="10" t="s">
        <v>379</v>
      </c>
      <c r="AF750" s="20" t="s">
        <v>904</v>
      </c>
      <c r="AG750" s="10"/>
      <c r="AH750" s="22" t="str">
        <f t="shared" si="22"/>
        <v>Cusco_07 Chumbivilcas</v>
      </c>
      <c r="AI750" s="10" t="s">
        <v>1018</v>
      </c>
      <c r="AJ750" s="20" t="s">
        <v>964</v>
      </c>
      <c r="AK750" s="22" t="str">
        <f t="shared" si="23"/>
        <v>Cusco_07 Chumbivilcas_07 Quiñota</v>
      </c>
      <c r="AL750" s="25">
        <v>5</v>
      </c>
      <c r="AM750" s="25">
        <v>59</v>
      </c>
      <c r="AN750" s="26">
        <f>Tabla2[[#This Row],[Minutos]]/60</f>
        <v>0.98333333333333328</v>
      </c>
      <c r="AO750" s="27">
        <f>SUM(Tabla2[[#This Row],[Horas]],Tabla2[[#This Row],[Minutos a Horas]])</f>
        <v>5.9833333333333334</v>
      </c>
      <c r="AP750" s="49">
        <v>7</v>
      </c>
      <c r="AQ750" s="49">
        <v>0</v>
      </c>
      <c r="AR750" s="26">
        <f>Tabla2[[#This Row],[Minutos*]]/60</f>
        <v>0</v>
      </c>
      <c r="AS750" s="27">
        <f>SUM(Tabla2[[#This Row],[Horas*]],Tabla2[[#This Row],[Minutos a Horas*]])+(Tabla2[[#This Row],[Tiempo Total a Nivel Proncincial (Horas)]])</f>
        <v>12.983333333333334</v>
      </c>
    </row>
    <row r="751" spans="28:45" x14ac:dyDescent="0.25">
      <c r="AB751" s="89"/>
      <c r="AD751" s="33" t="s">
        <v>2382</v>
      </c>
      <c r="AE751" s="10" t="s">
        <v>379</v>
      </c>
      <c r="AF751" s="20" t="s">
        <v>904</v>
      </c>
      <c r="AG751" s="10"/>
      <c r="AH751" s="22" t="str">
        <f t="shared" si="22"/>
        <v>Cusco_07 Chumbivilcas</v>
      </c>
      <c r="AI751" s="10" t="s">
        <v>1018</v>
      </c>
      <c r="AJ751" s="20" t="s">
        <v>965</v>
      </c>
      <c r="AK751" s="22" t="str">
        <f t="shared" si="23"/>
        <v>Cusco_07 Chumbivilcas_08 Velille</v>
      </c>
      <c r="AL751" s="25">
        <v>5</v>
      </c>
      <c r="AM751" s="25">
        <v>59</v>
      </c>
      <c r="AN751" s="26">
        <f>Tabla2[[#This Row],[Minutos]]/60</f>
        <v>0.98333333333333328</v>
      </c>
      <c r="AO751" s="27">
        <f>SUM(Tabla2[[#This Row],[Horas]],Tabla2[[#This Row],[Minutos a Horas]])</f>
        <v>5.9833333333333334</v>
      </c>
      <c r="AP751" s="49">
        <v>7</v>
      </c>
      <c r="AQ751" s="49">
        <v>0</v>
      </c>
      <c r="AR751" s="26">
        <f>Tabla2[[#This Row],[Minutos*]]/60</f>
        <v>0</v>
      </c>
      <c r="AS751" s="27">
        <f>SUM(Tabla2[[#This Row],[Horas*]],Tabla2[[#This Row],[Minutos a Horas*]])+(Tabla2[[#This Row],[Tiempo Total a Nivel Proncincial (Horas)]])</f>
        <v>12.983333333333334</v>
      </c>
    </row>
    <row r="752" spans="28:45" x14ac:dyDescent="0.25">
      <c r="AB752" s="89"/>
      <c r="AD752" s="33" t="s">
        <v>2382</v>
      </c>
      <c r="AE752" s="10" t="s">
        <v>379</v>
      </c>
      <c r="AF752" s="20" t="s">
        <v>905</v>
      </c>
      <c r="AG752" s="10"/>
      <c r="AH752" s="22" t="str">
        <f t="shared" si="22"/>
        <v>Cusco_08 Espinar</v>
      </c>
      <c r="AI752" s="10" t="s">
        <v>1019</v>
      </c>
      <c r="AJ752" s="20" t="s">
        <v>966</v>
      </c>
      <c r="AK752" s="22" t="str">
        <f t="shared" si="23"/>
        <v>Cusco_08 Espinar_01 Espinar</v>
      </c>
      <c r="AL752" s="25">
        <v>4</v>
      </c>
      <c r="AM752" s="25">
        <v>14</v>
      </c>
      <c r="AN752" s="26">
        <f>Tabla2[[#This Row],[Minutos]]/60</f>
        <v>0.23333333333333334</v>
      </c>
      <c r="AO752" s="27">
        <f>SUM(Tabla2[[#This Row],[Horas]],Tabla2[[#This Row],[Minutos a Horas]])</f>
        <v>4.2333333333333334</v>
      </c>
      <c r="AP752" s="49">
        <v>4</v>
      </c>
      <c r="AQ752" s="49">
        <v>45</v>
      </c>
      <c r="AR752" s="26">
        <f>Tabla2[[#This Row],[Minutos*]]/60</f>
        <v>0.75</v>
      </c>
      <c r="AS752" s="27">
        <f>SUM(Tabla2[[#This Row],[Horas*]],Tabla2[[#This Row],[Minutos a Horas*]])+(Tabla2[[#This Row],[Tiempo Total a Nivel Proncincial (Horas)]])</f>
        <v>8.9833333333333343</v>
      </c>
    </row>
    <row r="753" spans="28:45" x14ac:dyDescent="0.25">
      <c r="AB753" s="89"/>
      <c r="AD753" s="33" t="s">
        <v>2382</v>
      </c>
      <c r="AE753" s="10" t="s">
        <v>379</v>
      </c>
      <c r="AF753" s="20" t="s">
        <v>905</v>
      </c>
      <c r="AG753" s="10"/>
      <c r="AH753" s="22" t="str">
        <f t="shared" si="22"/>
        <v>Cusco_08 Espinar</v>
      </c>
      <c r="AI753" s="10" t="s">
        <v>1019</v>
      </c>
      <c r="AJ753" s="20" t="s">
        <v>967</v>
      </c>
      <c r="AK753" s="22" t="str">
        <f t="shared" si="23"/>
        <v>Cusco_08 Espinar_02 Condoroma</v>
      </c>
      <c r="AL753" s="25">
        <v>4</v>
      </c>
      <c r="AM753" s="25">
        <v>14</v>
      </c>
      <c r="AN753" s="26">
        <f>Tabla2[[#This Row],[Minutos]]/60</f>
        <v>0.23333333333333334</v>
      </c>
      <c r="AO753" s="27">
        <f>SUM(Tabla2[[#This Row],[Horas]],Tabla2[[#This Row],[Minutos a Horas]])</f>
        <v>4.2333333333333334</v>
      </c>
      <c r="AP753" s="49">
        <v>6</v>
      </c>
      <c r="AQ753" s="49">
        <v>30</v>
      </c>
      <c r="AR753" s="26">
        <f>Tabla2[[#This Row],[Minutos*]]/60</f>
        <v>0.5</v>
      </c>
      <c r="AS753" s="27">
        <f>SUM(Tabla2[[#This Row],[Horas*]],Tabla2[[#This Row],[Minutos a Horas*]])+(Tabla2[[#This Row],[Tiempo Total a Nivel Proncincial (Horas)]])</f>
        <v>10.733333333333334</v>
      </c>
    </row>
    <row r="754" spans="28:45" x14ac:dyDescent="0.25">
      <c r="AB754" s="89"/>
      <c r="AD754" s="33" t="s">
        <v>2382</v>
      </c>
      <c r="AE754" s="10" t="s">
        <v>379</v>
      </c>
      <c r="AF754" s="20" t="s">
        <v>905</v>
      </c>
      <c r="AG754" s="10"/>
      <c r="AH754" s="22" t="str">
        <f t="shared" si="22"/>
        <v>Cusco_08 Espinar</v>
      </c>
      <c r="AI754" s="10" t="s">
        <v>1019</v>
      </c>
      <c r="AJ754" s="20" t="s">
        <v>968</v>
      </c>
      <c r="AK754" s="22" t="str">
        <f t="shared" si="23"/>
        <v>Cusco_08 Espinar_03 Coporaque</v>
      </c>
      <c r="AL754" s="25">
        <v>4</v>
      </c>
      <c r="AM754" s="25">
        <v>14</v>
      </c>
      <c r="AN754" s="26">
        <f>Tabla2[[#This Row],[Minutos]]/60</f>
        <v>0.23333333333333334</v>
      </c>
      <c r="AO754" s="27">
        <f>SUM(Tabla2[[#This Row],[Horas]],Tabla2[[#This Row],[Minutos a Horas]])</f>
        <v>4.2333333333333334</v>
      </c>
      <c r="AP754" s="49">
        <v>7</v>
      </c>
      <c r="AQ754" s="49">
        <v>0</v>
      </c>
      <c r="AR754" s="26">
        <f>Tabla2[[#This Row],[Minutos*]]/60</f>
        <v>0</v>
      </c>
      <c r="AS754" s="27">
        <f>SUM(Tabla2[[#This Row],[Horas*]],Tabla2[[#This Row],[Minutos a Horas*]])+(Tabla2[[#This Row],[Tiempo Total a Nivel Proncincial (Horas)]])</f>
        <v>11.233333333333334</v>
      </c>
    </row>
    <row r="755" spans="28:45" x14ac:dyDescent="0.25">
      <c r="AB755" s="89"/>
      <c r="AD755" s="33" t="s">
        <v>2382</v>
      </c>
      <c r="AE755" s="10" t="s">
        <v>379</v>
      </c>
      <c r="AF755" s="20" t="s">
        <v>905</v>
      </c>
      <c r="AG755" s="10"/>
      <c r="AH755" s="22" t="str">
        <f t="shared" si="22"/>
        <v>Cusco_08 Espinar</v>
      </c>
      <c r="AI755" s="10" t="s">
        <v>1019</v>
      </c>
      <c r="AJ755" s="20" t="s">
        <v>969</v>
      </c>
      <c r="AK755" s="22" t="str">
        <f t="shared" si="23"/>
        <v>Cusco_08 Espinar_04 Ocoruro</v>
      </c>
      <c r="AL755" s="25">
        <v>4</v>
      </c>
      <c r="AM755" s="25">
        <v>14</v>
      </c>
      <c r="AN755" s="26">
        <f>Tabla2[[#This Row],[Minutos]]/60</f>
        <v>0.23333333333333334</v>
      </c>
      <c r="AO755" s="27">
        <f>SUM(Tabla2[[#This Row],[Horas]],Tabla2[[#This Row],[Minutos a Horas]])</f>
        <v>4.2333333333333334</v>
      </c>
      <c r="AP755" s="49">
        <v>6</v>
      </c>
      <c r="AQ755" s="49">
        <v>0</v>
      </c>
      <c r="AR755" s="26">
        <f>Tabla2[[#This Row],[Minutos*]]/60</f>
        <v>0</v>
      </c>
      <c r="AS755" s="27">
        <f>SUM(Tabla2[[#This Row],[Horas*]],Tabla2[[#This Row],[Minutos a Horas*]])+(Tabla2[[#This Row],[Tiempo Total a Nivel Proncincial (Horas)]])</f>
        <v>10.233333333333334</v>
      </c>
    </row>
    <row r="756" spans="28:45" x14ac:dyDescent="0.25">
      <c r="AB756" s="89"/>
      <c r="AD756" s="33" t="s">
        <v>2382</v>
      </c>
      <c r="AE756" s="10" t="s">
        <v>379</v>
      </c>
      <c r="AF756" s="20" t="s">
        <v>905</v>
      </c>
      <c r="AG756" s="10"/>
      <c r="AH756" s="22" t="str">
        <f t="shared" si="22"/>
        <v>Cusco_08 Espinar</v>
      </c>
      <c r="AI756" s="10" t="s">
        <v>1019</v>
      </c>
      <c r="AJ756" s="20" t="s">
        <v>970</v>
      </c>
      <c r="AK756" s="22" t="str">
        <f t="shared" si="23"/>
        <v>Cusco_08 Espinar_05 Pallpata</v>
      </c>
      <c r="AL756" s="25">
        <v>4</v>
      </c>
      <c r="AM756" s="25">
        <v>14</v>
      </c>
      <c r="AN756" s="26">
        <f>Tabla2[[#This Row],[Minutos]]/60</f>
        <v>0.23333333333333334</v>
      </c>
      <c r="AO756" s="27">
        <f>SUM(Tabla2[[#This Row],[Horas]],Tabla2[[#This Row],[Minutos a Horas]])</f>
        <v>4.2333333333333334</v>
      </c>
      <c r="AP756" s="49">
        <v>5</v>
      </c>
      <c r="AQ756" s="49">
        <v>15</v>
      </c>
      <c r="AR756" s="26">
        <f>Tabla2[[#This Row],[Minutos*]]/60</f>
        <v>0.25</v>
      </c>
      <c r="AS756" s="27">
        <f>SUM(Tabla2[[#This Row],[Horas*]],Tabla2[[#This Row],[Minutos a Horas*]])+(Tabla2[[#This Row],[Tiempo Total a Nivel Proncincial (Horas)]])</f>
        <v>9.4833333333333343</v>
      </c>
    </row>
    <row r="757" spans="28:45" x14ac:dyDescent="0.25">
      <c r="AB757" s="89"/>
      <c r="AD757" s="33" t="s">
        <v>2382</v>
      </c>
      <c r="AE757" s="10" t="s">
        <v>379</v>
      </c>
      <c r="AF757" s="20" t="s">
        <v>905</v>
      </c>
      <c r="AG757" s="10"/>
      <c r="AH757" s="22" t="str">
        <f t="shared" si="22"/>
        <v>Cusco_08 Espinar</v>
      </c>
      <c r="AI757" s="10" t="s">
        <v>1019</v>
      </c>
      <c r="AJ757" s="20" t="s">
        <v>971</v>
      </c>
      <c r="AK757" s="22" t="str">
        <f t="shared" si="23"/>
        <v>Cusco_08 Espinar_06 Pichigua</v>
      </c>
      <c r="AL757" s="25">
        <v>4</v>
      </c>
      <c r="AM757" s="25">
        <v>14</v>
      </c>
      <c r="AN757" s="26">
        <f>Tabla2[[#This Row],[Minutos]]/60</f>
        <v>0.23333333333333334</v>
      </c>
      <c r="AO757" s="27">
        <f>SUM(Tabla2[[#This Row],[Horas]],Tabla2[[#This Row],[Minutos a Horas]])</f>
        <v>4.2333333333333334</v>
      </c>
      <c r="AP757" s="49">
        <v>4</v>
      </c>
      <c r="AQ757" s="49">
        <v>0</v>
      </c>
      <c r="AR757" s="26">
        <f>Tabla2[[#This Row],[Minutos*]]/60</f>
        <v>0</v>
      </c>
      <c r="AS757" s="27">
        <f>SUM(Tabla2[[#This Row],[Horas*]],Tabla2[[#This Row],[Minutos a Horas*]])+(Tabla2[[#This Row],[Tiempo Total a Nivel Proncincial (Horas)]])</f>
        <v>8.2333333333333343</v>
      </c>
    </row>
    <row r="758" spans="28:45" x14ac:dyDescent="0.25">
      <c r="AB758" s="89"/>
      <c r="AD758" s="33" t="s">
        <v>2382</v>
      </c>
      <c r="AE758" s="10" t="s">
        <v>379</v>
      </c>
      <c r="AF758" s="20" t="s">
        <v>905</v>
      </c>
      <c r="AG758" s="10"/>
      <c r="AH758" s="22" t="str">
        <f t="shared" si="22"/>
        <v>Cusco_08 Espinar</v>
      </c>
      <c r="AI758" s="10" t="s">
        <v>1019</v>
      </c>
      <c r="AJ758" s="20" t="s">
        <v>972</v>
      </c>
      <c r="AK758" s="22" t="str">
        <f t="shared" si="23"/>
        <v>Cusco_08 Espinar_07 Suyckutambo</v>
      </c>
      <c r="AL758" s="25">
        <v>4</v>
      </c>
      <c r="AM758" s="25">
        <v>14</v>
      </c>
      <c r="AN758" s="26">
        <f>Tabla2[[#This Row],[Minutos]]/60</f>
        <v>0.23333333333333334</v>
      </c>
      <c r="AO758" s="27">
        <f>SUM(Tabla2[[#This Row],[Horas]],Tabla2[[#This Row],[Minutos a Horas]])</f>
        <v>4.2333333333333334</v>
      </c>
      <c r="AP758" s="49">
        <v>6</v>
      </c>
      <c r="AQ758" s="49">
        <v>45</v>
      </c>
      <c r="AR758" s="26">
        <f>Tabla2[[#This Row],[Minutos*]]/60</f>
        <v>0.75</v>
      </c>
      <c r="AS758" s="27">
        <f>SUM(Tabla2[[#This Row],[Horas*]],Tabla2[[#This Row],[Minutos a Horas*]])+(Tabla2[[#This Row],[Tiempo Total a Nivel Proncincial (Horas)]])</f>
        <v>10.983333333333334</v>
      </c>
    </row>
    <row r="759" spans="28:45" x14ac:dyDescent="0.25">
      <c r="AB759" s="89"/>
      <c r="AD759" s="33" t="s">
        <v>2382</v>
      </c>
      <c r="AE759" s="10" t="s">
        <v>379</v>
      </c>
      <c r="AF759" s="20" t="s">
        <v>905</v>
      </c>
      <c r="AG759" s="10"/>
      <c r="AH759" s="22" t="str">
        <f t="shared" si="22"/>
        <v>Cusco_08 Espinar</v>
      </c>
      <c r="AI759" s="10" t="s">
        <v>1019</v>
      </c>
      <c r="AJ759" s="20" t="s">
        <v>973</v>
      </c>
      <c r="AK759" s="22" t="str">
        <f t="shared" si="23"/>
        <v>Cusco_08 Espinar_08 Alto Pichigua</v>
      </c>
      <c r="AL759" s="25">
        <v>4</v>
      </c>
      <c r="AM759" s="25">
        <v>14</v>
      </c>
      <c r="AN759" s="26">
        <f>Tabla2[[#This Row],[Minutos]]/60</f>
        <v>0.23333333333333334</v>
      </c>
      <c r="AO759" s="27">
        <f>SUM(Tabla2[[#This Row],[Horas]],Tabla2[[#This Row],[Minutos a Horas]])</f>
        <v>4.2333333333333334</v>
      </c>
      <c r="AP759" s="49">
        <v>4</v>
      </c>
      <c r="AQ759" s="49">
        <v>15</v>
      </c>
      <c r="AR759" s="26">
        <f>Tabla2[[#This Row],[Minutos*]]/60</f>
        <v>0.25</v>
      </c>
      <c r="AS759" s="27">
        <f>SUM(Tabla2[[#This Row],[Horas*]],Tabla2[[#This Row],[Minutos a Horas*]])+(Tabla2[[#This Row],[Tiempo Total a Nivel Proncincial (Horas)]])</f>
        <v>8.4833333333333343</v>
      </c>
    </row>
    <row r="760" spans="28:45" x14ac:dyDescent="0.25">
      <c r="AB760" s="89"/>
      <c r="AD760" s="33" t="s">
        <v>2382</v>
      </c>
      <c r="AE760" s="10" t="s">
        <v>379</v>
      </c>
      <c r="AF760" s="20" t="s">
        <v>906</v>
      </c>
      <c r="AG760" s="10"/>
      <c r="AH760" s="22" t="str">
        <f t="shared" si="22"/>
        <v>Cusco_09 La Convención</v>
      </c>
      <c r="AI760" s="10" t="s">
        <v>1020</v>
      </c>
      <c r="AJ760" s="20" t="s">
        <v>974</v>
      </c>
      <c r="AK760" s="22" t="str">
        <f t="shared" si="23"/>
        <v>Cusco_09 La Convención_01 Santa Ana</v>
      </c>
      <c r="AL760" s="25">
        <v>4</v>
      </c>
      <c r="AM760" s="25">
        <v>3</v>
      </c>
      <c r="AN760" s="26">
        <f>Tabla2[[#This Row],[Minutos]]/60</f>
        <v>0.05</v>
      </c>
      <c r="AO760" s="27">
        <f>SUM(Tabla2[[#This Row],[Horas]],Tabla2[[#This Row],[Minutos a Horas]])</f>
        <v>4.05</v>
      </c>
      <c r="AP760" s="49">
        <v>5</v>
      </c>
      <c r="AQ760" s="49">
        <v>30</v>
      </c>
      <c r="AR760" s="26">
        <f>Tabla2[[#This Row],[Minutos*]]/60</f>
        <v>0.5</v>
      </c>
      <c r="AS760" s="27">
        <f>SUM(Tabla2[[#This Row],[Horas*]],Tabla2[[#This Row],[Minutos a Horas*]])+(Tabla2[[#This Row],[Tiempo Total a Nivel Proncincial (Horas)]])</f>
        <v>9.5500000000000007</v>
      </c>
    </row>
    <row r="761" spans="28:45" x14ac:dyDescent="0.25">
      <c r="AB761" s="89"/>
      <c r="AD761" s="33" t="s">
        <v>2382</v>
      </c>
      <c r="AE761" s="10" t="s">
        <v>379</v>
      </c>
      <c r="AF761" s="20" t="s">
        <v>906</v>
      </c>
      <c r="AG761" s="10"/>
      <c r="AH761" s="22" t="str">
        <f t="shared" si="22"/>
        <v>Cusco_09 La Convención</v>
      </c>
      <c r="AI761" s="10" t="s">
        <v>1020</v>
      </c>
      <c r="AJ761" s="20" t="s">
        <v>975</v>
      </c>
      <c r="AK761" s="22" t="str">
        <f t="shared" si="23"/>
        <v>Cusco_09 La Convención_02 Echarate</v>
      </c>
      <c r="AL761" s="25">
        <v>4</v>
      </c>
      <c r="AM761" s="25">
        <v>3</v>
      </c>
      <c r="AN761" s="26">
        <f>Tabla2[[#This Row],[Minutos]]/60</f>
        <v>0.05</v>
      </c>
      <c r="AO761" s="27">
        <f>SUM(Tabla2[[#This Row],[Horas]],Tabla2[[#This Row],[Minutos a Horas]])</f>
        <v>4.05</v>
      </c>
      <c r="AP761" s="49">
        <v>6</v>
      </c>
      <c r="AQ761" s="49">
        <v>30</v>
      </c>
      <c r="AR761" s="26">
        <f>Tabla2[[#This Row],[Minutos*]]/60</f>
        <v>0.5</v>
      </c>
      <c r="AS761" s="27">
        <f>SUM(Tabla2[[#This Row],[Horas*]],Tabla2[[#This Row],[Minutos a Horas*]])+(Tabla2[[#This Row],[Tiempo Total a Nivel Proncincial (Horas)]])</f>
        <v>10.55</v>
      </c>
    </row>
    <row r="762" spans="28:45" x14ac:dyDescent="0.25">
      <c r="AB762" s="89"/>
      <c r="AD762" s="33" t="s">
        <v>2382</v>
      </c>
      <c r="AE762" s="10" t="s">
        <v>379</v>
      </c>
      <c r="AF762" s="20" t="s">
        <v>906</v>
      </c>
      <c r="AG762" s="10"/>
      <c r="AH762" s="22" t="str">
        <f t="shared" si="22"/>
        <v>Cusco_09 La Convención</v>
      </c>
      <c r="AI762" s="10" t="s">
        <v>1020</v>
      </c>
      <c r="AJ762" s="20" t="s">
        <v>976</v>
      </c>
      <c r="AK762" s="22" t="str">
        <f t="shared" si="23"/>
        <v>Cusco_09 La Convención_03 Huayopata</v>
      </c>
      <c r="AL762" s="25">
        <v>4</v>
      </c>
      <c r="AM762" s="25">
        <v>3</v>
      </c>
      <c r="AN762" s="26">
        <f>Tabla2[[#This Row],[Minutos]]/60</f>
        <v>0.05</v>
      </c>
      <c r="AO762" s="27">
        <f>SUM(Tabla2[[#This Row],[Horas]],Tabla2[[#This Row],[Minutos a Horas]])</f>
        <v>4.05</v>
      </c>
      <c r="AP762" s="49">
        <v>4</v>
      </c>
      <c r="AQ762" s="49">
        <v>45</v>
      </c>
      <c r="AR762" s="26">
        <f>Tabla2[[#This Row],[Minutos*]]/60</f>
        <v>0.75</v>
      </c>
      <c r="AS762" s="27">
        <f>SUM(Tabla2[[#This Row],[Horas*]],Tabla2[[#This Row],[Minutos a Horas*]])+(Tabla2[[#This Row],[Tiempo Total a Nivel Proncincial (Horas)]])</f>
        <v>8.8000000000000007</v>
      </c>
    </row>
    <row r="763" spans="28:45" x14ac:dyDescent="0.25">
      <c r="AB763" s="89"/>
      <c r="AD763" s="33" t="s">
        <v>2382</v>
      </c>
      <c r="AE763" s="10" t="s">
        <v>379</v>
      </c>
      <c r="AF763" s="20" t="s">
        <v>906</v>
      </c>
      <c r="AG763" s="10"/>
      <c r="AH763" s="22" t="str">
        <f t="shared" si="22"/>
        <v>Cusco_09 La Convención</v>
      </c>
      <c r="AI763" s="10" t="s">
        <v>1020</v>
      </c>
      <c r="AJ763" s="20" t="s">
        <v>977</v>
      </c>
      <c r="AK763" s="22" t="str">
        <f t="shared" si="23"/>
        <v>Cusco_09 La Convención_04 Maranura</v>
      </c>
      <c r="AL763" s="25">
        <v>4</v>
      </c>
      <c r="AM763" s="25">
        <v>3</v>
      </c>
      <c r="AN763" s="26">
        <f>Tabla2[[#This Row],[Minutos]]/60</f>
        <v>0.05</v>
      </c>
      <c r="AO763" s="27">
        <f>SUM(Tabla2[[#This Row],[Horas]],Tabla2[[#This Row],[Minutos a Horas]])</f>
        <v>4.05</v>
      </c>
      <c r="AP763" s="49">
        <v>5</v>
      </c>
      <c r="AQ763" s="49">
        <v>0</v>
      </c>
      <c r="AR763" s="26">
        <f>Tabla2[[#This Row],[Minutos*]]/60</f>
        <v>0</v>
      </c>
      <c r="AS763" s="27">
        <f>SUM(Tabla2[[#This Row],[Horas*]],Tabla2[[#This Row],[Minutos a Horas*]])+(Tabla2[[#This Row],[Tiempo Total a Nivel Proncincial (Horas)]])</f>
        <v>9.0500000000000007</v>
      </c>
    </row>
    <row r="764" spans="28:45" x14ac:dyDescent="0.25">
      <c r="AB764" s="89"/>
      <c r="AD764" s="33" t="s">
        <v>2382</v>
      </c>
      <c r="AE764" s="10" t="s">
        <v>379</v>
      </c>
      <c r="AF764" s="20" t="s">
        <v>906</v>
      </c>
      <c r="AG764" s="10"/>
      <c r="AH764" s="22" t="str">
        <f t="shared" si="22"/>
        <v>Cusco_09 La Convención</v>
      </c>
      <c r="AI764" s="10" t="s">
        <v>1020</v>
      </c>
      <c r="AJ764" s="20" t="s">
        <v>467</v>
      </c>
      <c r="AK764" s="22" t="str">
        <f t="shared" si="23"/>
        <v>Cusco_09 La Convención_05 Ocobamba</v>
      </c>
      <c r="AL764" s="25">
        <v>4</v>
      </c>
      <c r="AM764" s="25">
        <v>3</v>
      </c>
      <c r="AN764" s="26">
        <f>Tabla2[[#This Row],[Minutos]]/60</f>
        <v>0.05</v>
      </c>
      <c r="AO764" s="27">
        <f>SUM(Tabla2[[#This Row],[Horas]],Tabla2[[#This Row],[Minutos a Horas]])</f>
        <v>4.05</v>
      </c>
      <c r="AP764" s="49">
        <v>6</v>
      </c>
      <c r="AQ764" s="49">
        <v>30</v>
      </c>
      <c r="AR764" s="26">
        <f>Tabla2[[#This Row],[Minutos*]]/60</f>
        <v>0.5</v>
      </c>
      <c r="AS764" s="27">
        <f>SUM(Tabla2[[#This Row],[Horas*]],Tabla2[[#This Row],[Minutos a Horas*]])+(Tabla2[[#This Row],[Tiempo Total a Nivel Proncincial (Horas)]])</f>
        <v>10.55</v>
      </c>
    </row>
    <row r="765" spans="28:45" x14ac:dyDescent="0.25">
      <c r="AB765" s="89"/>
      <c r="AD765" s="33" t="s">
        <v>2382</v>
      </c>
      <c r="AE765" s="10" t="s">
        <v>379</v>
      </c>
      <c r="AF765" s="20" t="s">
        <v>906</v>
      </c>
      <c r="AG765" s="10"/>
      <c r="AH765" s="22" t="str">
        <f t="shared" si="22"/>
        <v>Cusco_09 La Convención</v>
      </c>
      <c r="AI765" s="10" t="s">
        <v>1020</v>
      </c>
      <c r="AJ765" s="20" t="s">
        <v>978</v>
      </c>
      <c r="AK765" s="22" t="str">
        <f t="shared" si="23"/>
        <v>Cusco_09 La Convención_06 Quellouno</v>
      </c>
      <c r="AL765" s="25">
        <v>4</v>
      </c>
      <c r="AM765" s="25">
        <v>3</v>
      </c>
      <c r="AN765" s="26">
        <f>Tabla2[[#This Row],[Minutos]]/60</f>
        <v>0.05</v>
      </c>
      <c r="AO765" s="27">
        <f>SUM(Tabla2[[#This Row],[Horas]],Tabla2[[#This Row],[Minutos a Horas]])</f>
        <v>4.05</v>
      </c>
      <c r="AP765" s="49">
        <v>7</v>
      </c>
      <c r="AQ765" s="49">
        <v>0</v>
      </c>
      <c r="AR765" s="26">
        <f>Tabla2[[#This Row],[Minutos*]]/60</f>
        <v>0</v>
      </c>
      <c r="AS765" s="27">
        <f>SUM(Tabla2[[#This Row],[Horas*]],Tabla2[[#This Row],[Minutos a Horas*]])+(Tabla2[[#This Row],[Tiempo Total a Nivel Proncincial (Horas)]])</f>
        <v>11.05</v>
      </c>
    </row>
    <row r="766" spans="28:45" x14ac:dyDescent="0.25">
      <c r="AB766" s="89"/>
      <c r="AD766" s="33" t="s">
        <v>2382</v>
      </c>
      <c r="AE766" s="10" t="s">
        <v>379</v>
      </c>
      <c r="AF766" s="20" t="s">
        <v>906</v>
      </c>
      <c r="AG766" s="10"/>
      <c r="AH766" s="22" t="str">
        <f t="shared" si="22"/>
        <v>Cusco_09 La Convención</v>
      </c>
      <c r="AI766" s="10" t="s">
        <v>1020</v>
      </c>
      <c r="AJ766" s="20" t="s">
        <v>2410</v>
      </c>
      <c r="AK766" s="22" t="str">
        <f t="shared" si="23"/>
        <v>Cusco_09 La Convención_07 Santa Teresa</v>
      </c>
      <c r="AL766" s="25">
        <v>4</v>
      </c>
      <c r="AM766" s="25">
        <v>3</v>
      </c>
      <c r="AN766" s="26">
        <f>Tabla2[[#This Row],[Minutos]]/60</f>
        <v>0.05</v>
      </c>
      <c r="AO766" s="27">
        <f>SUM(Tabla2[[#This Row],[Horas]],Tabla2[[#This Row],[Minutos a Horas]])</f>
        <v>4.05</v>
      </c>
      <c r="AP766" s="49">
        <v>12</v>
      </c>
      <c r="AQ766" s="49">
        <v>0</v>
      </c>
      <c r="AR766" s="26">
        <f>Tabla2[[#This Row],[Minutos*]]/60</f>
        <v>0</v>
      </c>
      <c r="AS766" s="27">
        <f>SUM(Tabla2[[#This Row],[Horas*]],Tabla2[[#This Row],[Minutos a Horas*]])+(Tabla2[[#This Row],[Tiempo Total a Nivel Proncincial (Horas)]])</f>
        <v>16.05</v>
      </c>
    </row>
    <row r="767" spans="28:45" x14ac:dyDescent="0.25">
      <c r="AB767" s="89"/>
      <c r="AD767" s="33" t="s">
        <v>2382</v>
      </c>
      <c r="AE767" s="10" t="s">
        <v>379</v>
      </c>
      <c r="AF767" s="20" t="s">
        <v>906</v>
      </c>
      <c r="AG767" s="10"/>
      <c r="AH767" s="22" t="str">
        <f t="shared" si="22"/>
        <v>Cusco_09 La Convención</v>
      </c>
      <c r="AI767" s="10" t="s">
        <v>1020</v>
      </c>
      <c r="AJ767" s="20" t="s">
        <v>1709</v>
      </c>
      <c r="AK767" s="22" t="str">
        <f t="shared" si="23"/>
        <v>Cusco_09 La Convención_08 Vilcabamba</v>
      </c>
      <c r="AL767" s="25">
        <v>4</v>
      </c>
      <c r="AM767" s="25">
        <v>3</v>
      </c>
      <c r="AN767" s="26">
        <f>Tabla2[[#This Row],[Minutos]]/60</f>
        <v>0.05</v>
      </c>
      <c r="AO767" s="27">
        <f>SUM(Tabla2[[#This Row],[Horas]],Tabla2[[#This Row],[Minutos a Horas]])</f>
        <v>4.05</v>
      </c>
      <c r="AP767" s="49">
        <v>5</v>
      </c>
      <c r="AQ767" s="49">
        <v>30</v>
      </c>
      <c r="AR767" s="26">
        <f>Tabla2[[#This Row],[Minutos*]]/60</f>
        <v>0.5</v>
      </c>
      <c r="AS767" s="27">
        <f>SUM(Tabla2[[#This Row],[Horas*]],Tabla2[[#This Row],[Minutos a Horas*]])+(Tabla2[[#This Row],[Tiempo Total a Nivel Proncincial (Horas)]])</f>
        <v>9.5500000000000007</v>
      </c>
    </row>
    <row r="768" spans="28:45" x14ac:dyDescent="0.25">
      <c r="AB768" s="89"/>
      <c r="AD768" s="33" t="s">
        <v>2382</v>
      </c>
      <c r="AE768" s="10" t="s">
        <v>379</v>
      </c>
      <c r="AF768" s="20" t="s">
        <v>906</v>
      </c>
      <c r="AG768" s="10"/>
      <c r="AH768" s="22" t="str">
        <f t="shared" si="22"/>
        <v>Cusco_09 La Convención</v>
      </c>
      <c r="AI768" s="10" t="s">
        <v>1020</v>
      </c>
      <c r="AJ768" s="20" t="s">
        <v>2411</v>
      </c>
      <c r="AK768" s="22" t="str">
        <f t="shared" si="23"/>
        <v>Cusco_09 La Convención_09 Inkawasi</v>
      </c>
      <c r="AL768" s="25">
        <v>4</v>
      </c>
      <c r="AM768" s="25">
        <v>3</v>
      </c>
      <c r="AN768" s="26">
        <f>Tabla2[[#This Row],[Minutos]]/60</f>
        <v>0.05</v>
      </c>
      <c r="AO768" s="27">
        <f>SUM(Tabla2[[#This Row],[Horas]],Tabla2[[#This Row],[Minutos a Horas]])</f>
        <v>4.05</v>
      </c>
      <c r="AP768" s="49">
        <v>7</v>
      </c>
      <c r="AQ768" s="49">
        <v>0</v>
      </c>
      <c r="AR768" s="26">
        <f>Tabla2[[#This Row],[Minutos*]]/60</f>
        <v>0</v>
      </c>
      <c r="AS768" s="27">
        <f>SUM(Tabla2[[#This Row],[Horas*]],Tabla2[[#This Row],[Minutos a Horas*]])+(Tabla2[[#This Row],[Tiempo Total a Nivel Proncincial (Horas)]])</f>
        <v>11.05</v>
      </c>
    </row>
    <row r="769" spans="28:45" x14ac:dyDescent="0.25">
      <c r="AB769" s="89"/>
      <c r="AD769" s="33" t="s">
        <v>2382</v>
      </c>
      <c r="AE769" s="10" t="s">
        <v>379</v>
      </c>
      <c r="AF769" s="20" t="s">
        <v>906</v>
      </c>
      <c r="AG769" s="10"/>
      <c r="AH769" s="22" t="str">
        <f t="shared" si="22"/>
        <v>Cusco_09 La Convención</v>
      </c>
      <c r="AI769" s="10" t="s">
        <v>1020</v>
      </c>
      <c r="AJ769" s="20" t="s">
        <v>2412</v>
      </c>
      <c r="AK769" s="22" t="str">
        <f t="shared" si="23"/>
        <v>Cusco_09 La Convención_10 Villa Virgen</v>
      </c>
      <c r="AL769" s="25">
        <v>4</v>
      </c>
      <c r="AM769" s="25">
        <v>3</v>
      </c>
      <c r="AN769" s="26">
        <f>Tabla2[[#This Row],[Minutos]]/60</f>
        <v>0.05</v>
      </c>
      <c r="AO769" s="27">
        <f>SUM(Tabla2[[#This Row],[Horas]],Tabla2[[#This Row],[Minutos a Horas]])</f>
        <v>4.05</v>
      </c>
      <c r="AP769" s="49">
        <v>14</v>
      </c>
      <c r="AQ769" s="49">
        <v>0</v>
      </c>
      <c r="AR769" s="26">
        <f>Tabla2[[#This Row],[Minutos*]]/60</f>
        <v>0</v>
      </c>
      <c r="AS769" s="27">
        <f>SUM(Tabla2[[#This Row],[Horas*]],Tabla2[[#This Row],[Minutos a Horas*]])+(Tabla2[[#This Row],[Tiempo Total a Nivel Proncincial (Horas)]])</f>
        <v>18.05</v>
      </c>
    </row>
    <row r="770" spans="28:45" x14ac:dyDescent="0.25">
      <c r="AB770" s="89"/>
      <c r="AD770" s="33" t="s">
        <v>2382</v>
      </c>
      <c r="AE770" s="10" t="s">
        <v>379</v>
      </c>
      <c r="AF770" s="20" t="s">
        <v>906</v>
      </c>
      <c r="AG770" s="10"/>
      <c r="AH770" s="22" t="str">
        <f t="shared" si="22"/>
        <v>Cusco_09 La Convención</v>
      </c>
      <c r="AI770" s="10" t="s">
        <v>1020</v>
      </c>
      <c r="AJ770" s="20" t="s">
        <v>2413</v>
      </c>
      <c r="AK770" s="22" t="str">
        <f t="shared" si="23"/>
        <v>Cusco_09 La Convención_11 Villa Kintiarina</v>
      </c>
      <c r="AL770" s="25">
        <v>4</v>
      </c>
      <c r="AM770" s="25">
        <v>3</v>
      </c>
      <c r="AN770" s="26">
        <f>Tabla2[[#This Row],[Minutos]]/60</f>
        <v>0.05</v>
      </c>
      <c r="AO770" s="27">
        <f>SUM(Tabla2[[#This Row],[Horas]],Tabla2[[#This Row],[Minutos a Horas]])</f>
        <v>4.05</v>
      </c>
      <c r="AP770" s="49">
        <v>7</v>
      </c>
      <c r="AQ770" s="49">
        <v>30</v>
      </c>
      <c r="AR770" s="26">
        <f>Tabla2[[#This Row],[Minutos*]]/60</f>
        <v>0.5</v>
      </c>
      <c r="AS770" s="27">
        <f>SUM(Tabla2[[#This Row],[Horas*]],Tabla2[[#This Row],[Minutos a Horas*]])+(Tabla2[[#This Row],[Tiempo Total a Nivel Proncincial (Horas)]])</f>
        <v>11.55</v>
      </c>
    </row>
    <row r="771" spans="28:45" x14ac:dyDescent="0.25">
      <c r="AB771" s="89"/>
      <c r="AD771" s="33" t="s">
        <v>2382</v>
      </c>
      <c r="AE771" s="10" t="s">
        <v>379</v>
      </c>
      <c r="AF771" s="20" t="s">
        <v>907</v>
      </c>
      <c r="AG771" s="10"/>
      <c r="AH771" s="22" t="str">
        <f t="shared" si="22"/>
        <v>Cusco_10 Paruro</v>
      </c>
      <c r="AI771" s="10" t="s">
        <v>1021</v>
      </c>
      <c r="AJ771" s="20" t="s">
        <v>980</v>
      </c>
      <c r="AK771" s="22" t="str">
        <f t="shared" si="23"/>
        <v>Cusco_10 Paruro_01 Paruro</v>
      </c>
      <c r="AL771" s="25">
        <v>1</v>
      </c>
      <c r="AM771" s="25">
        <v>31</v>
      </c>
      <c r="AN771" s="26">
        <f>Tabla2[[#This Row],[Minutos]]/60</f>
        <v>0.51666666666666672</v>
      </c>
      <c r="AO771" s="27">
        <f>SUM(Tabla2[[#This Row],[Horas]],Tabla2[[#This Row],[Minutos a Horas]])</f>
        <v>1.5166666666666666</v>
      </c>
      <c r="AP771" s="49">
        <v>11</v>
      </c>
      <c r="AQ771" s="49">
        <v>30</v>
      </c>
      <c r="AR771" s="26">
        <f>Tabla2[[#This Row],[Minutos*]]/60</f>
        <v>0.5</v>
      </c>
      <c r="AS771" s="27">
        <f>SUM(Tabla2[[#This Row],[Horas*]],Tabla2[[#This Row],[Minutos a Horas*]])+(Tabla2[[#This Row],[Tiempo Total a Nivel Proncincial (Horas)]])</f>
        <v>13.016666666666666</v>
      </c>
    </row>
    <row r="772" spans="28:45" x14ac:dyDescent="0.25">
      <c r="AB772" s="89"/>
      <c r="AD772" s="33" t="s">
        <v>2382</v>
      </c>
      <c r="AE772" s="10" t="s">
        <v>379</v>
      </c>
      <c r="AF772" s="20" t="s">
        <v>907</v>
      </c>
      <c r="AG772" s="10"/>
      <c r="AH772" s="22" t="str">
        <f t="shared" si="22"/>
        <v>Cusco_10 Paruro</v>
      </c>
      <c r="AI772" s="10" t="s">
        <v>1021</v>
      </c>
      <c r="AJ772" s="20" t="s">
        <v>981</v>
      </c>
      <c r="AK772" s="22" t="str">
        <f t="shared" si="23"/>
        <v>Cusco_10 Paruro_02 Accha</v>
      </c>
      <c r="AL772" s="25">
        <v>1</v>
      </c>
      <c r="AM772" s="25">
        <v>31</v>
      </c>
      <c r="AN772" s="26">
        <f>Tabla2[[#This Row],[Minutos]]/60</f>
        <v>0.51666666666666672</v>
      </c>
      <c r="AO772" s="27">
        <f>SUM(Tabla2[[#This Row],[Horas]],Tabla2[[#This Row],[Minutos a Horas]])</f>
        <v>1.5166666666666666</v>
      </c>
      <c r="AP772" s="49">
        <v>10</v>
      </c>
      <c r="AQ772" s="49">
        <v>0</v>
      </c>
      <c r="AR772" s="26">
        <f>Tabla2[[#This Row],[Minutos*]]/60</f>
        <v>0</v>
      </c>
      <c r="AS772" s="27">
        <f>SUM(Tabla2[[#This Row],[Horas*]],Tabla2[[#This Row],[Minutos a Horas*]])+(Tabla2[[#This Row],[Tiempo Total a Nivel Proncincial (Horas)]])</f>
        <v>11.516666666666666</v>
      </c>
    </row>
    <row r="773" spans="28:45" x14ac:dyDescent="0.25">
      <c r="AB773" s="89"/>
      <c r="AD773" s="33" t="s">
        <v>2382</v>
      </c>
      <c r="AE773" s="10" t="s">
        <v>379</v>
      </c>
      <c r="AF773" s="20" t="s">
        <v>907</v>
      </c>
      <c r="AG773" s="10"/>
      <c r="AH773" s="22" t="str">
        <f t="shared" si="22"/>
        <v>Cusco_10 Paruro</v>
      </c>
      <c r="AI773" s="10" t="s">
        <v>1021</v>
      </c>
      <c r="AJ773" s="20" t="s">
        <v>982</v>
      </c>
      <c r="AK773" s="22" t="str">
        <f t="shared" si="23"/>
        <v>Cusco_10 Paruro_03 Ccapi</v>
      </c>
      <c r="AL773" s="25">
        <v>1</v>
      </c>
      <c r="AM773" s="25">
        <v>31</v>
      </c>
      <c r="AN773" s="26">
        <f>Tabla2[[#This Row],[Minutos]]/60</f>
        <v>0.51666666666666672</v>
      </c>
      <c r="AO773" s="27">
        <f>SUM(Tabla2[[#This Row],[Horas]],Tabla2[[#This Row],[Minutos a Horas]])</f>
        <v>1.5166666666666666</v>
      </c>
      <c r="AP773" s="49">
        <v>3</v>
      </c>
      <c r="AQ773" s="49">
        <v>15</v>
      </c>
      <c r="AR773" s="26">
        <f>Tabla2[[#This Row],[Minutos*]]/60</f>
        <v>0.25</v>
      </c>
      <c r="AS773" s="27">
        <f>SUM(Tabla2[[#This Row],[Horas*]],Tabla2[[#This Row],[Minutos a Horas*]])+(Tabla2[[#This Row],[Tiempo Total a Nivel Proncincial (Horas)]])</f>
        <v>4.7666666666666666</v>
      </c>
    </row>
    <row r="774" spans="28:45" x14ac:dyDescent="0.25">
      <c r="AB774" s="89"/>
      <c r="AD774" s="33" t="s">
        <v>2382</v>
      </c>
      <c r="AE774" s="10" t="s">
        <v>379</v>
      </c>
      <c r="AF774" s="20" t="s">
        <v>907</v>
      </c>
      <c r="AG774" s="10"/>
      <c r="AH774" s="22" t="str">
        <f t="shared" si="22"/>
        <v>Cusco_10 Paruro</v>
      </c>
      <c r="AI774" s="10" t="s">
        <v>1021</v>
      </c>
      <c r="AJ774" s="20" t="s">
        <v>983</v>
      </c>
      <c r="AK774" s="22" t="str">
        <f t="shared" si="23"/>
        <v>Cusco_10 Paruro_04 Colcha</v>
      </c>
      <c r="AL774" s="25">
        <v>1</v>
      </c>
      <c r="AM774" s="25">
        <v>31</v>
      </c>
      <c r="AN774" s="26">
        <f>Tabla2[[#This Row],[Minutos]]/60</f>
        <v>0.51666666666666672</v>
      </c>
      <c r="AO774" s="27">
        <f>SUM(Tabla2[[#This Row],[Horas]],Tabla2[[#This Row],[Minutos a Horas]])</f>
        <v>1.5166666666666666</v>
      </c>
      <c r="AP774" s="49">
        <v>4</v>
      </c>
      <c r="AQ774" s="49">
        <v>30</v>
      </c>
      <c r="AR774" s="26">
        <f>Tabla2[[#This Row],[Minutos*]]/60</f>
        <v>0.5</v>
      </c>
      <c r="AS774" s="27">
        <f>SUM(Tabla2[[#This Row],[Horas*]],Tabla2[[#This Row],[Minutos a Horas*]])+(Tabla2[[#This Row],[Tiempo Total a Nivel Proncincial (Horas)]])</f>
        <v>6.0166666666666666</v>
      </c>
    </row>
    <row r="775" spans="28:45" x14ac:dyDescent="0.25">
      <c r="AB775" s="89"/>
      <c r="AD775" s="33" t="s">
        <v>2382</v>
      </c>
      <c r="AE775" s="10" t="s">
        <v>379</v>
      </c>
      <c r="AF775" s="20" t="s">
        <v>907</v>
      </c>
      <c r="AG775" s="10"/>
      <c r="AH775" s="22" t="str">
        <f t="shared" si="22"/>
        <v>Cusco_10 Paruro</v>
      </c>
      <c r="AI775" s="10" t="s">
        <v>1021</v>
      </c>
      <c r="AJ775" s="20" t="s">
        <v>984</v>
      </c>
      <c r="AK775" s="22" t="str">
        <f t="shared" si="23"/>
        <v>Cusco_10 Paruro_05 Huanoquite</v>
      </c>
      <c r="AL775" s="25">
        <v>1</v>
      </c>
      <c r="AM775" s="25">
        <v>31</v>
      </c>
      <c r="AN775" s="26">
        <f>Tabla2[[#This Row],[Minutos]]/60</f>
        <v>0.51666666666666672</v>
      </c>
      <c r="AO775" s="27">
        <f>SUM(Tabla2[[#This Row],[Horas]],Tabla2[[#This Row],[Minutos a Horas]])</f>
        <v>1.5166666666666666</v>
      </c>
      <c r="AP775" s="49">
        <v>4</v>
      </c>
      <c r="AQ775" s="49">
        <v>0</v>
      </c>
      <c r="AR775" s="26">
        <f>Tabla2[[#This Row],[Minutos*]]/60</f>
        <v>0</v>
      </c>
      <c r="AS775" s="27">
        <f>SUM(Tabla2[[#This Row],[Horas*]],Tabla2[[#This Row],[Minutos a Horas*]])+(Tabla2[[#This Row],[Tiempo Total a Nivel Proncincial (Horas)]])</f>
        <v>5.5166666666666666</v>
      </c>
    </row>
    <row r="776" spans="28:45" x14ac:dyDescent="0.25">
      <c r="AB776" s="89"/>
      <c r="AD776" s="33" t="s">
        <v>2382</v>
      </c>
      <c r="AE776" s="10" t="s">
        <v>379</v>
      </c>
      <c r="AF776" s="20" t="s">
        <v>907</v>
      </c>
      <c r="AG776" s="10"/>
      <c r="AH776" s="22" t="str">
        <f t="shared" ref="AH776:AH839" si="24">CONCATENATE(AD776,"_",AF776)</f>
        <v>Cusco_10 Paruro</v>
      </c>
      <c r="AI776" s="10" t="s">
        <v>1021</v>
      </c>
      <c r="AJ776" s="20" t="s">
        <v>985</v>
      </c>
      <c r="AK776" s="22" t="str">
        <f t="shared" ref="AK776:AK839" si="25">CONCATENATE(AH776,"_",AJ776)</f>
        <v>Cusco_10 Paruro_06 Omacha</v>
      </c>
      <c r="AL776" s="25">
        <v>1</v>
      </c>
      <c r="AM776" s="25">
        <v>31</v>
      </c>
      <c r="AN776" s="26">
        <f>Tabla2[[#This Row],[Minutos]]/60</f>
        <v>0.51666666666666672</v>
      </c>
      <c r="AO776" s="27">
        <f>SUM(Tabla2[[#This Row],[Horas]],Tabla2[[#This Row],[Minutos a Horas]])</f>
        <v>1.5166666666666666</v>
      </c>
      <c r="AP776" s="49">
        <v>4</v>
      </c>
      <c r="AQ776" s="49">
        <v>15</v>
      </c>
      <c r="AR776" s="26">
        <f>Tabla2[[#This Row],[Minutos*]]/60</f>
        <v>0.25</v>
      </c>
      <c r="AS776" s="27">
        <f>SUM(Tabla2[[#This Row],[Horas*]],Tabla2[[#This Row],[Minutos a Horas*]])+(Tabla2[[#This Row],[Tiempo Total a Nivel Proncincial (Horas)]])</f>
        <v>5.7666666666666666</v>
      </c>
    </row>
    <row r="777" spans="28:45" x14ac:dyDescent="0.25">
      <c r="AB777" s="89"/>
      <c r="AD777" s="33" t="s">
        <v>2382</v>
      </c>
      <c r="AE777" s="10" t="s">
        <v>379</v>
      </c>
      <c r="AF777" s="20" t="s">
        <v>907</v>
      </c>
      <c r="AG777" s="10"/>
      <c r="AH777" s="22" t="str">
        <f t="shared" si="24"/>
        <v>Cusco_10 Paruro</v>
      </c>
      <c r="AI777" s="10" t="s">
        <v>1021</v>
      </c>
      <c r="AJ777" s="20" t="s">
        <v>986</v>
      </c>
      <c r="AK777" s="22" t="str">
        <f t="shared" si="25"/>
        <v>Cusco_10 Paruro_07 Paccaritambo</v>
      </c>
      <c r="AL777" s="25">
        <v>1</v>
      </c>
      <c r="AM777" s="25">
        <v>31</v>
      </c>
      <c r="AN777" s="26">
        <f>Tabla2[[#This Row],[Minutos]]/60</f>
        <v>0.51666666666666672</v>
      </c>
      <c r="AO777" s="27">
        <f>SUM(Tabla2[[#This Row],[Horas]],Tabla2[[#This Row],[Minutos a Horas]])</f>
        <v>1.5166666666666666</v>
      </c>
      <c r="AP777" s="49">
        <v>2</v>
      </c>
      <c r="AQ777" s="49">
        <v>15</v>
      </c>
      <c r="AR777" s="26">
        <f>Tabla2[[#This Row],[Minutos*]]/60</f>
        <v>0.25</v>
      </c>
      <c r="AS777" s="27">
        <f>SUM(Tabla2[[#This Row],[Horas*]],Tabla2[[#This Row],[Minutos a Horas*]])+(Tabla2[[#This Row],[Tiempo Total a Nivel Proncincial (Horas)]])</f>
        <v>3.7666666666666666</v>
      </c>
    </row>
    <row r="778" spans="28:45" x14ac:dyDescent="0.25">
      <c r="AB778" s="89"/>
      <c r="AD778" s="33" t="s">
        <v>2382</v>
      </c>
      <c r="AE778" s="10" t="s">
        <v>379</v>
      </c>
      <c r="AF778" s="20" t="s">
        <v>907</v>
      </c>
      <c r="AG778" s="10"/>
      <c r="AH778" s="22" t="str">
        <f t="shared" si="24"/>
        <v>Cusco_10 Paruro</v>
      </c>
      <c r="AI778" s="10" t="s">
        <v>1021</v>
      </c>
      <c r="AJ778" s="20" t="s">
        <v>987</v>
      </c>
      <c r="AK778" s="22" t="str">
        <f t="shared" si="25"/>
        <v>Cusco_10 Paruro_08 Pillpinto</v>
      </c>
      <c r="AL778" s="25">
        <v>1</v>
      </c>
      <c r="AM778" s="25">
        <v>31</v>
      </c>
      <c r="AN778" s="26">
        <f>Tabla2[[#This Row],[Minutos]]/60</f>
        <v>0.51666666666666672</v>
      </c>
      <c r="AO778" s="27">
        <f>SUM(Tabla2[[#This Row],[Horas]],Tabla2[[#This Row],[Minutos a Horas]])</f>
        <v>1.5166666666666666</v>
      </c>
      <c r="AP778" s="49">
        <v>5</v>
      </c>
      <c r="AQ778" s="49">
        <v>15</v>
      </c>
      <c r="AR778" s="26">
        <f>Tabla2[[#This Row],[Minutos*]]/60</f>
        <v>0.25</v>
      </c>
      <c r="AS778" s="27">
        <f>SUM(Tabla2[[#This Row],[Horas*]],Tabla2[[#This Row],[Minutos a Horas*]])+(Tabla2[[#This Row],[Tiempo Total a Nivel Proncincial (Horas)]])</f>
        <v>6.7666666666666666</v>
      </c>
    </row>
    <row r="779" spans="28:45" x14ac:dyDescent="0.25">
      <c r="AB779" s="89"/>
      <c r="AD779" s="33" t="s">
        <v>2382</v>
      </c>
      <c r="AE779" s="10" t="s">
        <v>379</v>
      </c>
      <c r="AF779" s="20" t="s">
        <v>907</v>
      </c>
      <c r="AG779" s="10"/>
      <c r="AH779" s="22" t="str">
        <f t="shared" si="24"/>
        <v>Cusco_10 Paruro</v>
      </c>
      <c r="AI779" s="10" t="s">
        <v>1021</v>
      </c>
      <c r="AJ779" s="20" t="s">
        <v>988</v>
      </c>
      <c r="AK779" s="22" t="str">
        <f t="shared" si="25"/>
        <v>Cusco_10 Paruro_09 Yaurisque</v>
      </c>
      <c r="AL779" s="25">
        <v>1</v>
      </c>
      <c r="AM779" s="25">
        <v>31</v>
      </c>
      <c r="AN779" s="26">
        <f>Tabla2[[#This Row],[Minutos]]/60</f>
        <v>0.51666666666666672</v>
      </c>
      <c r="AO779" s="27">
        <f>SUM(Tabla2[[#This Row],[Horas]],Tabla2[[#This Row],[Minutos a Horas]])</f>
        <v>1.5166666666666666</v>
      </c>
      <c r="AP779" s="49">
        <v>1</v>
      </c>
      <c r="AQ779" s="49">
        <v>45</v>
      </c>
      <c r="AR779" s="26">
        <f>Tabla2[[#This Row],[Minutos*]]/60</f>
        <v>0.75</v>
      </c>
      <c r="AS779" s="27">
        <f>SUM(Tabla2[[#This Row],[Horas*]],Tabla2[[#This Row],[Minutos a Horas*]])+(Tabla2[[#This Row],[Tiempo Total a Nivel Proncincial (Horas)]])</f>
        <v>3.2666666666666666</v>
      </c>
    </row>
    <row r="780" spans="28:45" x14ac:dyDescent="0.25">
      <c r="AB780" s="89"/>
      <c r="AD780" s="33" t="s">
        <v>2382</v>
      </c>
      <c r="AE780" s="10" t="s">
        <v>379</v>
      </c>
      <c r="AF780" s="20" t="s">
        <v>908</v>
      </c>
      <c r="AG780" s="10"/>
      <c r="AH780" s="22" t="str">
        <f t="shared" si="24"/>
        <v>Cusco_11 Paucartambo</v>
      </c>
      <c r="AI780" s="10" t="s">
        <v>1022</v>
      </c>
      <c r="AJ780" s="20" t="s">
        <v>989</v>
      </c>
      <c r="AK780" s="22" t="str">
        <f t="shared" si="25"/>
        <v>Cusco_11 Paucartambo_01 Paucartambo</v>
      </c>
      <c r="AL780" s="25">
        <v>2</v>
      </c>
      <c r="AM780" s="25">
        <v>29</v>
      </c>
      <c r="AN780" s="26">
        <f>Tabla2[[#This Row],[Minutos]]/60</f>
        <v>0.48333333333333334</v>
      </c>
      <c r="AO780" s="27">
        <f>SUM(Tabla2[[#This Row],[Horas]],Tabla2[[#This Row],[Minutos a Horas]])</f>
        <v>2.4833333333333334</v>
      </c>
      <c r="AP780" s="49">
        <v>4</v>
      </c>
      <c r="AQ780" s="49">
        <v>30</v>
      </c>
      <c r="AR780" s="26">
        <f>Tabla2[[#This Row],[Minutos*]]/60</f>
        <v>0.5</v>
      </c>
      <c r="AS780" s="27">
        <f>SUM(Tabla2[[#This Row],[Horas*]],Tabla2[[#This Row],[Minutos a Horas*]])+(Tabla2[[#This Row],[Tiempo Total a Nivel Proncincial (Horas)]])</f>
        <v>6.9833333333333334</v>
      </c>
    </row>
    <row r="781" spans="28:45" x14ac:dyDescent="0.25">
      <c r="AB781" s="89"/>
      <c r="AD781" s="33" t="s">
        <v>2382</v>
      </c>
      <c r="AE781" s="10" t="s">
        <v>379</v>
      </c>
      <c r="AF781" s="20" t="s">
        <v>908</v>
      </c>
      <c r="AG781" s="10"/>
      <c r="AH781" s="22" t="str">
        <f t="shared" si="24"/>
        <v>Cusco_11 Paucartambo</v>
      </c>
      <c r="AI781" s="10" t="s">
        <v>1022</v>
      </c>
      <c r="AJ781" s="20" t="s">
        <v>990</v>
      </c>
      <c r="AK781" s="22" t="str">
        <f t="shared" si="25"/>
        <v>Cusco_11 Paucartambo_02 Caicay</v>
      </c>
      <c r="AL781" s="25">
        <v>2</v>
      </c>
      <c r="AM781" s="25">
        <v>29</v>
      </c>
      <c r="AN781" s="26">
        <f>Tabla2[[#This Row],[Minutos]]/60</f>
        <v>0.48333333333333334</v>
      </c>
      <c r="AO781" s="27">
        <f>SUM(Tabla2[[#This Row],[Horas]],Tabla2[[#This Row],[Minutos a Horas]])</f>
        <v>2.4833333333333334</v>
      </c>
      <c r="AP781" s="49">
        <v>1</v>
      </c>
      <c r="AQ781" s="49">
        <v>30</v>
      </c>
      <c r="AR781" s="26">
        <f>Tabla2[[#This Row],[Minutos*]]/60</f>
        <v>0.5</v>
      </c>
      <c r="AS781" s="27">
        <f>SUM(Tabla2[[#This Row],[Horas*]],Tabla2[[#This Row],[Minutos a Horas*]])+(Tabla2[[#This Row],[Tiempo Total a Nivel Proncincial (Horas)]])</f>
        <v>3.9833333333333334</v>
      </c>
    </row>
    <row r="782" spans="28:45" x14ac:dyDescent="0.25">
      <c r="AB782" s="89"/>
      <c r="AD782" s="33" t="s">
        <v>2382</v>
      </c>
      <c r="AE782" s="10" t="s">
        <v>379</v>
      </c>
      <c r="AF782" s="20" t="s">
        <v>908</v>
      </c>
      <c r="AG782" s="10"/>
      <c r="AH782" s="22" t="str">
        <f t="shared" si="24"/>
        <v>Cusco_11 Paucartambo</v>
      </c>
      <c r="AI782" s="10" t="s">
        <v>1022</v>
      </c>
      <c r="AJ782" s="20" t="s">
        <v>991</v>
      </c>
      <c r="AK782" s="22" t="str">
        <f t="shared" si="25"/>
        <v>Cusco_11 Paucartambo_03 Challabamba</v>
      </c>
      <c r="AL782" s="25">
        <v>2</v>
      </c>
      <c r="AM782" s="25">
        <v>29</v>
      </c>
      <c r="AN782" s="26">
        <f>Tabla2[[#This Row],[Minutos]]/60</f>
        <v>0.48333333333333334</v>
      </c>
      <c r="AO782" s="27">
        <f>SUM(Tabla2[[#This Row],[Horas]],Tabla2[[#This Row],[Minutos a Horas]])</f>
        <v>2.4833333333333334</v>
      </c>
      <c r="AP782" s="49">
        <v>3</v>
      </c>
      <c r="AQ782" s="49">
        <v>0</v>
      </c>
      <c r="AR782" s="26">
        <f>Tabla2[[#This Row],[Minutos*]]/60</f>
        <v>0</v>
      </c>
      <c r="AS782" s="27">
        <f>SUM(Tabla2[[#This Row],[Horas*]],Tabla2[[#This Row],[Minutos a Horas*]])+(Tabla2[[#This Row],[Tiempo Total a Nivel Proncincial (Horas)]])</f>
        <v>5.4833333333333334</v>
      </c>
    </row>
    <row r="783" spans="28:45" x14ac:dyDescent="0.25">
      <c r="AB783" s="89"/>
      <c r="AD783" s="33" t="s">
        <v>2382</v>
      </c>
      <c r="AE783" s="10" t="s">
        <v>379</v>
      </c>
      <c r="AF783" s="20" t="s">
        <v>908</v>
      </c>
      <c r="AG783" s="10"/>
      <c r="AH783" s="22" t="str">
        <f t="shared" si="24"/>
        <v>Cusco_11 Paucartambo</v>
      </c>
      <c r="AI783" s="10" t="s">
        <v>1022</v>
      </c>
      <c r="AJ783" s="20" t="s">
        <v>992</v>
      </c>
      <c r="AK783" s="22" t="str">
        <f t="shared" si="25"/>
        <v>Cusco_11 Paucartambo_04 Colquepata</v>
      </c>
      <c r="AL783" s="25">
        <v>2</v>
      </c>
      <c r="AM783" s="25">
        <v>29</v>
      </c>
      <c r="AN783" s="26">
        <f>Tabla2[[#This Row],[Minutos]]/60</f>
        <v>0.48333333333333334</v>
      </c>
      <c r="AO783" s="27">
        <f>SUM(Tabla2[[#This Row],[Horas]],Tabla2[[#This Row],[Minutos a Horas]])</f>
        <v>2.4833333333333334</v>
      </c>
      <c r="AP783" s="49">
        <v>0</v>
      </c>
      <c r="AQ783" s="49">
        <v>50</v>
      </c>
      <c r="AR783" s="26">
        <f>Tabla2[[#This Row],[Minutos*]]/60</f>
        <v>0.83333333333333337</v>
      </c>
      <c r="AS783" s="27">
        <f>SUM(Tabla2[[#This Row],[Horas*]],Tabla2[[#This Row],[Minutos a Horas*]])+(Tabla2[[#This Row],[Tiempo Total a Nivel Proncincial (Horas)]])</f>
        <v>3.3166666666666669</v>
      </c>
    </row>
    <row r="784" spans="28:45" x14ac:dyDescent="0.25">
      <c r="AB784" s="89"/>
      <c r="AD784" s="33" t="s">
        <v>2382</v>
      </c>
      <c r="AE784" s="10" t="s">
        <v>379</v>
      </c>
      <c r="AF784" s="20" t="s">
        <v>908</v>
      </c>
      <c r="AG784" s="10"/>
      <c r="AH784" s="22" t="str">
        <f t="shared" si="24"/>
        <v>Cusco_11 Paucartambo</v>
      </c>
      <c r="AI784" s="10" t="s">
        <v>1022</v>
      </c>
      <c r="AJ784" s="20" t="s">
        <v>993</v>
      </c>
      <c r="AK784" s="22" t="str">
        <f t="shared" si="25"/>
        <v>Cusco_11 Paucartambo_05 Huancarani</v>
      </c>
      <c r="AL784" s="25">
        <v>2</v>
      </c>
      <c r="AM784" s="25">
        <v>29</v>
      </c>
      <c r="AN784" s="26">
        <f>Tabla2[[#This Row],[Minutos]]/60</f>
        <v>0.48333333333333334</v>
      </c>
      <c r="AO784" s="27">
        <f>SUM(Tabla2[[#This Row],[Horas]],Tabla2[[#This Row],[Minutos a Horas]])</f>
        <v>2.4833333333333334</v>
      </c>
      <c r="AP784" s="49">
        <v>3</v>
      </c>
      <c r="AQ784" s="49">
        <v>30</v>
      </c>
      <c r="AR784" s="26">
        <f>Tabla2[[#This Row],[Minutos*]]/60</f>
        <v>0.5</v>
      </c>
      <c r="AS784" s="27">
        <f>SUM(Tabla2[[#This Row],[Horas*]],Tabla2[[#This Row],[Minutos a Horas*]])+(Tabla2[[#This Row],[Tiempo Total a Nivel Proncincial (Horas)]])</f>
        <v>5.9833333333333334</v>
      </c>
    </row>
    <row r="785" spans="28:45" x14ac:dyDescent="0.25">
      <c r="AB785" s="89"/>
      <c r="AD785" s="33" t="s">
        <v>2382</v>
      </c>
      <c r="AE785" s="10" t="s">
        <v>379</v>
      </c>
      <c r="AF785" s="20" t="s">
        <v>908</v>
      </c>
      <c r="AG785" s="10"/>
      <c r="AH785" s="22" t="str">
        <f t="shared" si="24"/>
        <v>Cusco_11 Paucartambo</v>
      </c>
      <c r="AI785" s="10" t="s">
        <v>1022</v>
      </c>
      <c r="AJ785" s="20" t="s">
        <v>994</v>
      </c>
      <c r="AK785" s="22" t="str">
        <f t="shared" si="25"/>
        <v>Cusco_11 Paucartambo_06 Kosñipata</v>
      </c>
      <c r="AL785" s="25">
        <v>2</v>
      </c>
      <c r="AM785" s="25">
        <v>29</v>
      </c>
      <c r="AN785" s="26">
        <f>Tabla2[[#This Row],[Minutos]]/60</f>
        <v>0.48333333333333334</v>
      </c>
      <c r="AO785" s="27">
        <f>SUM(Tabla2[[#This Row],[Horas]],Tabla2[[#This Row],[Minutos a Horas]])</f>
        <v>2.4833333333333334</v>
      </c>
      <c r="AP785" s="49">
        <v>2</v>
      </c>
      <c r="AQ785" s="49">
        <v>30</v>
      </c>
      <c r="AR785" s="26">
        <f>Tabla2[[#This Row],[Minutos*]]/60</f>
        <v>0.5</v>
      </c>
      <c r="AS785" s="27">
        <f>SUM(Tabla2[[#This Row],[Horas*]],Tabla2[[#This Row],[Minutos a Horas*]])+(Tabla2[[#This Row],[Tiempo Total a Nivel Proncincial (Horas)]])</f>
        <v>4.9833333333333334</v>
      </c>
    </row>
    <row r="786" spans="28:45" x14ac:dyDescent="0.25">
      <c r="AB786" s="89"/>
      <c r="AD786" s="33" t="s">
        <v>2382</v>
      </c>
      <c r="AE786" s="10" t="s">
        <v>379</v>
      </c>
      <c r="AF786" s="20" t="s">
        <v>909</v>
      </c>
      <c r="AG786" s="10"/>
      <c r="AH786" s="22" t="str">
        <f t="shared" si="24"/>
        <v>Cusco_12 Quispicanchi</v>
      </c>
      <c r="AI786" s="10" t="s">
        <v>1023</v>
      </c>
      <c r="AJ786" s="20" t="s">
        <v>995</v>
      </c>
      <c r="AK786" s="22" t="str">
        <f t="shared" si="25"/>
        <v>Cusco_12 Quispicanchi_01 Urcos</v>
      </c>
      <c r="AL786" s="25">
        <v>1</v>
      </c>
      <c r="AM786" s="25">
        <v>3</v>
      </c>
      <c r="AN786" s="26">
        <f>Tabla2[[#This Row],[Minutos]]/60</f>
        <v>0.05</v>
      </c>
      <c r="AO786" s="27">
        <f>SUM(Tabla2[[#This Row],[Horas]],Tabla2[[#This Row],[Minutos a Horas]])</f>
        <v>1.05</v>
      </c>
      <c r="AP786" s="49">
        <v>1</v>
      </c>
      <c r="AQ786" s="49">
        <v>30</v>
      </c>
      <c r="AR786" s="26">
        <f>Tabla2[[#This Row],[Minutos*]]/60</f>
        <v>0.5</v>
      </c>
      <c r="AS786" s="27">
        <f>SUM(Tabla2[[#This Row],[Horas*]],Tabla2[[#This Row],[Minutos a Horas*]])+(Tabla2[[#This Row],[Tiempo Total a Nivel Proncincial (Horas)]])</f>
        <v>2.5499999999999998</v>
      </c>
    </row>
    <row r="787" spans="28:45" x14ac:dyDescent="0.25">
      <c r="AB787" s="89"/>
      <c r="AD787" s="33" t="s">
        <v>2382</v>
      </c>
      <c r="AE787" s="10" t="s">
        <v>379</v>
      </c>
      <c r="AF787" s="20" t="s">
        <v>909</v>
      </c>
      <c r="AG787" s="10"/>
      <c r="AH787" s="22" t="str">
        <f t="shared" si="24"/>
        <v>Cusco_12 Quispicanchi</v>
      </c>
      <c r="AI787" s="10" t="s">
        <v>1023</v>
      </c>
      <c r="AJ787" s="20" t="s">
        <v>996</v>
      </c>
      <c r="AK787" s="22" t="str">
        <f t="shared" si="25"/>
        <v>Cusco_12 Quispicanchi_02 Andahuaylillas</v>
      </c>
      <c r="AL787" s="25">
        <v>1</v>
      </c>
      <c r="AM787" s="25">
        <v>3</v>
      </c>
      <c r="AN787" s="26">
        <f>Tabla2[[#This Row],[Minutos]]/60</f>
        <v>0.05</v>
      </c>
      <c r="AO787" s="27">
        <f>SUM(Tabla2[[#This Row],[Horas]],Tabla2[[#This Row],[Minutos a Horas]])</f>
        <v>1.05</v>
      </c>
      <c r="AP787" s="49">
        <v>8</v>
      </c>
      <c r="AQ787" s="49">
        <v>0</v>
      </c>
      <c r="AR787" s="26">
        <f>Tabla2[[#This Row],[Minutos*]]/60</f>
        <v>0</v>
      </c>
      <c r="AS787" s="27">
        <f>SUM(Tabla2[[#This Row],[Horas*]],Tabla2[[#This Row],[Minutos a Horas*]])+(Tabla2[[#This Row],[Tiempo Total a Nivel Proncincial (Horas)]])</f>
        <v>9.0500000000000007</v>
      </c>
    </row>
    <row r="788" spans="28:45" x14ac:dyDescent="0.25">
      <c r="AB788" s="89"/>
      <c r="AD788" s="33" t="s">
        <v>2382</v>
      </c>
      <c r="AE788" s="10" t="s">
        <v>379</v>
      </c>
      <c r="AF788" s="20" t="s">
        <v>909</v>
      </c>
      <c r="AG788" s="10"/>
      <c r="AH788" s="22" t="str">
        <f t="shared" si="24"/>
        <v>Cusco_12 Quispicanchi</v>
      </c>
      <c r="AI788" s="10" t="s">
        <v>1023</v>
      </c>
      <c r="AJ788" s="20" t="s">
        <v>997</v>
      </c>
      <c r="AK788" s="22" t="str">
        <f t="shared" si="25"/>
        <v>Cusco_12 Quispicanchi_03 Camanti</v>
      </c>
      <c r="AL788" s="25">
        <v>1</v>
      </c>
      <c r="AM788" s="25">
        <v>3</v>
      </c>
      <c r="AN788" s="26">
        <f>Tabla2[[#This Row],[Minutos]]/60</f>
        <v>0.05</v>
      </c>
      <c r="AO788" s="27">
        <f>SUM(Tabla2[[#This Row],[Horas]],Tabla2[[#This Row],[Minutos a Horas]])</f>
        <v>1.05</v>
      </c>
      <c r="AP788" s="49">
        <v>1</v>
      </c>
      <c r="AQ788" s="49">
        <v>15</v>
      </c>
      <c r="AR788" s="26">
        <f>Tabla2[[#This Row],[Minutos*]]/60</f>
        <v>0.25</v>
      </c>
      <c r="AS788" s="27">
        <f>SUM(Tabla2[[#This Row],[Horas*]],Tabla2[[#This Row],[Minutos a Horas*]])+(Tabla2[[#This Row],[Tiempo Total a Nivel Proncincial (Horas)]])</f>
        <v>2.2999999999999998</v>
      </c>
    </row>
    <row r="789" spans="28:45" x14ac:dyDescent="0.25">
      <c r="AB789" s="89"/>
      <c r="AD789" s="33" t="s">
        <v>2382</v>
      </c>
      <c r="AE789" s="10" t="s">
        <v>379</v>
      </c>
      <c r="AF789" s="20" t="s">
        <v>909</v>
      </c>
      <c r="AG789" s="10"/>
      <c r="AH789" s="22" t="str">
        <f t="shared" si="24"/>
        <v>Cusco_12 Quispicanchi</v>
      </c>
      <c r="AI789" s="10" t="s">
        <v>1023</v>
      </c>
      <c r="AJ789" s="20" t="s">
        <v>998</v>
      </c>
      <c r="AK789" s="22" t="str">
        <f t="shared" si="25"/>
        <v>Cusco_12 Quispicanchi_04 Ccarhuayo</v>
      </c>
      <c r="AL789" s="25">
        <v>1</v>
      </c>
      <c r="AM789" s="25">
        <v>3</v>
      </c>
      <c r="AN789" s="26">
        <f>Tabla2[[#This Row],[Minutos]]/60</f>
        <v>0.05</v>
      </c>
      <c r="AO789" s="27">
        <f>SUM(Tabla2[[#This Row],[Horas]],Tabla2[[#This Row],[Minutos a Horas]])</f>
        <v>1.05</v>
      </c>
      <c r="AP789" s="49">
        <v>1</v>
      </c>
      <c r="AQ789" s="49">
        <v>0</v>
      </c>
      <c r="AR789" s="26">
        <f>Tabla2[[#This Row],[Minutos*]]/60</f>
        <v>0</v>
      </c>
      <c r="AS789" s="27">
        <f>SUM(Tabla2[[#This Row],[Horas*]],Tabla2[[#This Row],[Minutos a Horas*]])+(Tabla2[[#This Row],[Tiempo Total a Nivel Proncincial (Horas)]])</f>
        <v>2.0499999999999998</v>
      </c>
    </row>
    <row r="790" spans="28:45" x14ac:dyDescent="0.25">
      <c r="AB790" s="89"/>
      <c r="AD790" s="33" t="s">
        <v>2382</v>
      </c>
      <c r="AE790" s="10" t="s">
        <v>379</v>
      </c>
      <c r="AF790" s="20" t="s">
        <v>909</v>
      </c>
      <c r="AG790" s="10"/>
      <c r="AH790" s="22" t="str">
        <f t="shared" si="24"/>
        <v>Cusco_12 Quispicanchi</v>
      </c>
      <c r="AI790" s="10" t="s">
        <v>1023</v>
      </c>
      <c r="AJ790" s="20" t="s">
        <v>999</v>
      </c>
      <c r="AK790" s="22" t="str">
        <f t="shared" si="25"/>
        <v>Cusco_12 Quispicanchi_05 Ccatca</v>
      </c>
      <c r="AL790" s="25">
        <v>1</v>
      </c>
      <c r="AM790" s="25">
        <v>3</v>
      </c>
      <c r="AN790" s="26">
        <f>Tabla2[[#This Row],[Minutos]]/60</f>
        <v>0.05</v>
      </c>
      <c r="AO790" s="27">
        <f>SUM(Tabla2[[#This Row],[Horas]],Tabla2[[#This Row],[Minutos a Horas]])</f>
        <v>1.05</v>
      </c>
      <c r="AP790" s="49">
        <v>6</v>
      </c>
      <c r="AQ790" s="49">
        <v>0</v>
      </c>
      <c r="AR790" s="26">
        <f>Tabla2[[#This Row],[Minutos*]]/60</f>
        <v>0</v>
      </c>
      <c r="AS790" s="27">
        <f>SUM(Tabla2[[#This Row],[Horas*]],Tabla2[[#This Row],[Minutos a Horas*]])+(Tabla2[[#This Row],[Tiempo Total a Nivel Proncincial (Horas)]])</f>
        <v>7.05</v>
      </c>
    </row>
    <row r="791" spans="28:45" x14ac:dyDescent="0.25">
      <c r="AB791" s="89"/>
      <c r="AD791" s="33" t="s">
        <v>2382</v>
      </c>
      <c r="AE791" s="10" t="s">
        <v>379</v>
      </c>
      <c r="AF791" s="20" t="s">
        <v>909</v>
      </c>
      <c r="AG791" s="10"/>
      <c r="AH791" s="22" t="str">
        <f t="shared" si="24"/>
        <v>Cusco_12 Quispicanchi</v>
      </c>
      <c r="AI791" s="10" t="s">
        <v>1023</v>
      </c>
      <c r="AJ791" s="20" t="s">
        <v>1000</v>
      </c>
      <c r="AK791" s="22" t="str">
        <f t="shared" si="25"/>
        <v>Cusco_12 Quispicanchi_06 Cusipata</v>
      </c>
      <c r="AL791" s="25">
        <v>1</v>
      </c>
      <c r="AM791" s="25">
        <v>3</v>
      </c>
      <c r="AN791" s="26">
        <f>Tabla2[[#This Row],[Minutos]]/60</f>
        <v>0.05</v>
      </c>
      <c r="AO791" s="27">
        <f>SUM(Tabla2[[#This Row],[Horas]],Tabla2[[#This Row],[Minutos a Horas]])</f>
        <v>1.05</v>
      </c>
      <c r="AP791" s="49">
        <v>4</v>
      </c>
      <c r="AQ791" s="49">
        <v>30</v>
      </c>
      <c r="AR791" s="26">
        <f>Tabla2[[#This Row],[Minutos*]]/60</f>
        <v>0.5</v>
      </c>
      <c r="AS791" s="27">
        <f>SUM(Tabla2[[#This Row],[Horas*]],Tabla2[[#This Row],[Minutos a Horas*]])+(Tabla2[[#This Row],[Tiempo Total a Nivel Proncincial (Horas)]])</f>
        <v>5.55</v>
      </c>
    </row>
    <row r="792" spans="28:45" x14ac:dyDescent="0.25">
      <c r="AB792" s="89"/>
      <c r="AD792" s="33" t="s">
        <v>2382</v>
      </c>
      <c r="AE792" s="10" t="s">
        <v>379</v>
      </c>
      <c r="AF792" s="20" t="s">
        <v>909</v>
      </c>
      <c r="AG792" s="10"/>
      <c r="AH792" s="22" t="str">
        <f t="shared" si="24"/>
        <v>Cusco_12 Quispicanchi</v>
      </c>
      <c r="AI792" s="10" t="s">
        <v>1023</v>
      </c>
      <c r="AJ792" s="20" t="s">
        <v>1001</v>
      </c>
      <c r="AK792" s="22" t="str">
        <f t="shared" si="25"/>
        <v>Cusco_12 Quispicanchi_07 Huaro</v>
      </c>
      <c r="AL792" s="25">
        <v>1</v>
      </c>
      <c r="AM792" s="25">
        <v>3</v>
      </c>
      <c r="AN792" s="26">
        <f>Tabla2[[#This Row],[Minutos]]/60</f>
        <v>0.05</v>
      </c>
      <c r="AO792" s="27">
        <f>SUM(Tabla2[[#This Row],[Horas]],Tabla2[[#This Row],[Minutos a Horas]])</f>
        <v>1.05</v>
      </c>
      <c r="AP792" s="49">
        <v>2</v>
      </c>
      <c r="AQ792" s="49">
        <v>0</v>
      </c>
      <c r="AR792" s="26">
        <f>Tabla2[[#This Row],[Minutos*]]/60</f>
        <v>0</v>
      </c>
      <c r="AS792" s="27">
        <f>SUM(Tabla2[[#This Row],[Horas*]],Tabla2[[#This Row],[Minutos a Horas*]])+(Tabla2[[#This Row],[Tiempo Total a Nivel Proncincial (Horas)]])</f>
        <v>3.05</v>
      </c>
    </row>
    <row r="793" spans="28:45" x14ac:dyDescent="0.25">
      <c r="AB793" s="89"/>
      <c r="AD793" s="33" t="s">
        <v>2382</v>
      </c>
      <c r="AE793" s="10" t="s">
        <v>379</v>
      </c>
      <c r="AF793" s="20" t="s">
        <v>909</v>
      </c>
      <c r="AG793" s="10"/>
      <c r="AH793" s="22" t="str">
        <f t="shared" si="24"/>
        <v>Cusco_12 Quispicanchi</v>
      </c>
      <c r="AI793" s="10" t="s">
        <v>1023</v>
      </c>
      <c r="AJ793" s="20" t="s">
        <v>1002</v>
      </c>
      <c r="AK793" s="22" t="str">
        <f t="shared" si="25"/>
        <v>Cusco_12 Quispicanchi_08 Lucre</v>
      </c>
      <c r="AL793" s="25">
        <v>1</v>
      </c>
      <c r="AM793" s="25">
        <v>3</v>
      </c>
      <c r="AN793" s="26">
        <f>Tabla2[[#This Row],[Minutos]]/60</f>
        <v>0.05</v>
      </c>
      <c r="AO793" s="27">
        <f>SUM(Tabla2[[#This Row],[Horas]],Tabla2[[#This Row],[Minutos a Horas]])</f>
        <v>1.05</v>
      </c>
      <c r="AP793" s="49">
        <v>1</v>
      </c>
      <c r="AQ793" s="49">
        <v>45</v>
      </c>
      <c r="AR793" s="26">
        <f>Tabla2[[#This Row],[Minutos*]]/60</f>
        <v>0.75</v>
      </c>
      <c r="AS793" s="27">
        <f>SUM(Tabla2[[#This Row],[Horas*]],Tabla2[[#This Row],[Minutos a Horas*]])+(Tabla2[[#This Row],[Tiempo Total a Nivel Proncincial (Horas)]])</f>
        <v>2.8</v>
      </c>
    </row>
    <row r="794" spans="28:45" x14ac:dyDescent="0.25">
      <c r="AB794" s="89"/>
      <c r="AD794" s="33" t="s">
        <v>2382</v>
      </c>
      <c r="AE794" s="10" t="s">
        <v>379</v>
      </c>
      <c r="AF794" s="20" t="s">
        <v>909</v>
      </c>
      <c r="AG794" s="10"/>
      <c r="AH794" s="22" t="str">
        <f t="shared" si="24"/>
        <v>Cusco_12 Quispicanchi</v>
      </c>
      <c r="AI794" s="10" t="s">
        <v>1023</v>
      </c>
      <c r="AJ794" s="20" t="s">
        <v>1003</v>
      </c>
      <c r="AK794" s="22" t="str">
        <f t="shared" si="25"/>
        <v>Cusco_12 Quispicanchi_09 Marcapata</v>
      </c>
      <c r="AL794" s="25">
        <v>1</v>
      </c>
      <c r="AM794" s="25">
        <v>3</v>
      </c>
      <c r="AN794" s="26">
        <f>Tabla2[[#This Row],[Minutos]]/60</f>
        <v>0.05</v>
      </c>
      <c r="AO794" s="27">
        <f>SUM(Tabla2[[#This Row],[Horas]],Tabla2[[#This Row],[Minutos a Horas]])</f>
        <v>1.05</v>
      </c>
      <c r="AP794" s="49">
        <v>1</v>
      </c>
      <c r="AQ794" s="49">
        <v>10</v>
      </c>
      <c r="AR794" s="26">
        <f>Tabla2[[#This Row],[Minutos*]]/60</f>
        <v>0.16666666666666666</v>
      </c>
      <c r="AS794" s="27">
        <f>SUM(Tabla2[[#This Row],[Horas*]],Tabla2[[#This Row],[Minutos a Horas*]])+(Tabla2[[#This Row],[Tiempo Total a Nivel Proncincial (Horas)]])</f>
        <v>2.2166666666666668</v>
      </c>
    </row>
    <row r="795" spans="28:45" x14ac:dyDescent="0.25">
      <c r="AB795" s="89"/>
      <c r="AD795" s="33" t="s">
        <v>2382</v>
      </c>
      <c r="AE795" s="10" t="s">
        <v>379</v>
      </c>
      <c r="AF795" s="20" t="s">
        <v>909</v>
      </c>
      <c r="AG795" s="10"/>
      <c r="AH795" s="22" t="str">
        <f t="shared" si="24"/>
        <v>Cusco_12 Quispicanchi</v>
      </c>
      <c r="AI795" s="10" t="s">
        <v>1023</v>
      </c>
      <c r="AJ795" s="20" t="s">
        <v>1004</v>
      </c>
      <c r="AK795" s="22" t="str">
        <f t="shared" si="25"/>
        <v>Cusco_12 Quispicanchi_10 Ocongate</v>
      </c>
      <c r="AL795" s="25">
        <v>1</v>
      </c>
      <c r="AM795" s="25">
        <v>3</v>
      </c>
      <c r="AN795" s="26">
        <f>Tabla2[[#This Row],[Minutos]]/60</f>
        <v>0.05</v>
      </c>
      <c r="AO795" s="27">
        <f>SUM(Tabla2[[#This Row],[Horas]],Tabla2[[#This Row],[Minutos a Horas]])</f>
        <v>1.05</v>
      </c>
      <c r="AP795" s="49">
        <v>0</v>
      </c>
      <c r="AQ795" s="49">
        <v>45</v>
      </c>
      <c r="AR795" s="26">
        <f>Tabla2[[#This Row],[Minutos*]]/60</f>
        <v>0.75</v>
      </c>
      <c r="AS795" s="27">
        <f>SUM(Tabla2[[#This Row],[Horas*]],Tabla2[[#This Row],[Minutos a Horas*]])+(Tabla2[[#This Row],[Tiempo Total a Nivel Proncincial (Horas)]])</f>
        <v>1.8</v>
      </c>
    </row>
    <row r="796" spans="28:45" x14ac:dyDescent="0.25">
      <c r="AB796" s="89"/>
      <c r="AD796" s="33" t="s">
        <v>2382</v>
      </c>
      <c r="AE796" s="10" t="s">
        <v>379</v>
      </c>
      <c r="AF796" s="20" t="s">
        <v>909</v>
      </c>
      <c r="AG796" s="10"/>
      <c r="AH796" s="22" t="str">
        <f t="shared" si="24"/>
        <v>Cusco_12 Quispicanchi</v>
      </c>
      <c r="AI796" s="10" t="s">
        <v>1023</v>
      </c>
      <c r="AJ796" s="20" t="s">
        <v>1005</v>
      </c>
      <c r="AK796" s="22" t="str">
        <f t="shared" si="25"/>
        <v>Cusco_12 Quispicanchi_11 Oropesa</v>
      </c>
      <c r="AL796" s="25">
        <v>1</v>
      </c>
      <c r="AM796" s="25">
        <v>3</v>
      </c>
      <c r="AN796" s="26">
        <f>Tabla2[[#This Row],[Minutos]]/60</f>
        <v>0.05</v>
      </c>
      <c r="AO796" s="27">
        <f>SUM(Tabla2[[#This Row],[Horas]],Tabla2[[#This Row],[Minutos a Horas]])</f>
        <v>1.05</v>
      </c>
      <c r="AP796" s="49">
        <v>5</v>
      </c>
      <c r="AQ796" s="49">
        <v>0</v>
      </c>
      <c r="AR796" s="26">
        <f>Tabla2[[#This Row],[Minutos*]]/60</f>
        <v>0</v>
      </c>
      <c r="AS796" s="27">
        <f>SUM(Tabla2[[#This Row],[Horas*]],Tabla2[[#This Row],[Minutos a Horas*]])+(Tabla2[[#This Row],[Tiempo Total a Nivel Proncincial (Horas)]])</f>
        <v>6.05</v>
      </c>
    </row>
    <row r="797" spans="28:45" x14ac:dyDescent="0.25">
      <c r="AB797" s="89"/>
      <c r="AD797" s="33" t="s">
        <v>2382</v>
      </c>
      <c r="AE797" s="10" t="s">
        <v>379</v>
      </c>
      <c r="AF797" s="20" t="s">
        <v>909</v>
      </c>
      <c r="AG797" s="10"/>
      <c r="AH797" s="22" t="str">
        <f t="shared" si="24"/>
        <v>Cusco_12 Quispicanchi</v>
      </c>
      <c r="AI797" s="10" t="s">
        <v>1023</v>
      </c>
      <c r="AJ797" s="20" t="s">
        <v>1006</v>
      </c>
      <c r="AK797" s="22" t="str">
        <f t="shared" si="25"/>
        <v>Cusco_12 Quispicanchi_12 Quiquijana</v>
      </c>
      <c r="AL797" s="25">
        <v>1</v>
      </c>
      <c r="AM797" s="25">
        <v>3</v>
      </c>
      <c r="AN797" s="26">
        <f>Tabla2[[#This Row],[Minutos]]/60</f>
        <v>0.05</v>
      </c>
      <c r="AO797" s="27">
        <f>SUM(Tabla2[[#This Row],[Horas]],Tabla2[[#This Row],[Minutos a Horas]])</f>
        <v>1.05</v>
      </c>
      <c r="AP797" s="49">
        <v>2</v>
      </c>
      <c r="AQ797" s="49">
        <v>45</v>
      </c>
      <c r="AR797" s="26">
        <f>Tabla2[[#This Row],[Minutos*]]/60</f>
        <v>0.75</v>
      </c>
      <c r="AS797" s="27">
        <f>SUM(Tabla2[[#This Row],[Horas*]],Tabla2[[#This Row],[Minutos a Horas*]])+(Tabla2[[#This Row],[Tiempo Total a Nivel Proncincial (Horas)]])</f>
        <v>3.8</v>
      </c>
    </row>
    <row r="798" spans="28:45" x14ac:dyDescent="0.25">
      <c r="AB798" s="89"/>
      <c r="AD798" s="33" t="s">
        <v>2382</v>
      </c>
      <c r="AE798" s="10" t="s">
        <v>379</v>
      </c>
      <c r="AF798" s="20" t="s">
        <v>910</v>
      </c>
      <c r="AG798" s="10"/>
      <c r="AH798" s="22" t="str">
        <f t="shared" si="24"/>
        <v>Cusco_13 Urubamba</v>
      </c>
      <c r="AI798" s="10" t="s">
        <v>1024</v>
      </c>
      <c r="AJ798" s="20" t="s">
        <v>1007</v>
      </c>
      <c r="AK798" s="22" t="str">
        <f t="shared" si="25"/>
        <v>Cusco_13 Urubamba_01 Urubamba</v>
      </c>
      <c r="AL798" s="25">
        <v>1</v>
      </c>
      <c r="AM798" s="25">
        <v>2</v>
      </c>
      <c r="AN798" s="26">
        <f>Tabla2[[#This Row],[Minutos]]/60</f>
        <v>3.3333333333333333E-2</v>
      </c>
      <c r="AO798" s="27">
        <f>SUM(Tabla2[[#This Row],[Horas]],Tabla2[[#This Row],[Minutos a Horas]])</f>
        <v>1.0333333333333334</v>
      </c>
      <c r="AP798" s="49">
        <v>0</v>
      </c>
      <c r="AQ798" s="49">
        <v>30</v>
      </c>
      <c r="AR798" s="26">
        <f>Tabla2[[#This Row],[Minutos*]]/60</f>
        <v>0.5</v>
      </c>
      <c r="AS798" s="27">
        <f>SUM(Tabla2[[#This Row],[Horas*]],Tabla2[[#This Row],[Minutos a Horas*]])+(Tabla2[[#This Row],[Tiempo Total a Nivel Proncincial (Horas)]])</f>
        <v>1.5333333333333334</v>
      </c>
    </row>
    <row r="799" spans="28:45" x14ac:dyDescent="0.25">
      <c r="AB799" s="89"/>
      <c r="AD799" s="33" t="s">
        <v>2382</v>
      </c>
      <c r="AE799" s="10" t="s">
        <v>379</v>
      </c>
      <c r="AF799" s="20" t="s">
        <v>910</v>
      </c>
      <c r="AG799" s="10"/>
      <c r="AH799" s="22" t="str">
        <f t="shared" si="24"/>
        <v>Cusco_13 Urubamba</v>
      </c>
      <c r="AI799" s="10" t="s">
        <v>1024</v>
      </c>
      <c r="AJ799" s="20" t="s">
        <v>1008</v>
      </c>
      <c r="AK799" s="22" t="str">
        <f t="shared" si="25"/>
        <v>Cusco_13 Urubamba_02 Chinchero</v>
      </c>
      <c r="AL799" s="25">
        <v>1</v>
      </c>
      <c r="AM799" s="25">
        <v>2</v>
      </c>
      <c r="AN799" s="26">
        <f>Tabla2[[#This Row],[Minutos]]/60</f>
        <v>3.3333333333333333E-2</v>
      </c>
      <c r="AO799" s="27">
        <f>SUM(Tabla2[[#This Row],[Horas]],Tabla2[[#This Row],[Minutos a Horas]])</f>
        <v>1.0333333333333334</v>
      </c>
      <c r="AP799" s="49">
        <v>1</v>
      </c>
      <c r="AQ799" s="49">
        <v>45</v>
      </c>
      <c r="AR799" s="26">
        <f>Tabla2[[#This Row],[Minutos*]]/60</f>
        <v>0.75</v>
      </c>
      <c r="AS799" s="27">
        <f>SUM(Tabla2[[#This Row],[Horas*]],Tabla2[[#This Row],[Minutos a Horas*]])+(Tabla2[[#This Row],[Tiempo Total a Nivel Proncincial (Horas)]])</f>
        <v>2.7833333333333332</v>
      </c>
    </row>
    <row r="800" spans="28:45" x14ac:dyDescent="0.25">
      <c r="AB800" s="89"/>
      <c r="AD800" s="33" t="s">
        <v>2382</v>
      </c>
      <c r="AE800" s="10" t="s">
        <v>379</v>
      </c>
      <c r="AF800" s="20" t="s">
        <v>910</v>
      </c>
      <c r="AG800" s="10"/>
      <c r="AH800" s="22" t="str">
        <f t="shared" si="24"/>
        <v>Cusco_13 Urubamba</v>
      </c>
      <c r="AI800" s="10" t="s">
        <v>1024</v>
      </c>
      <c r="AJ800" s="20" t="s">
        <v>1009</v>
      </c>
      <c r="AK800" s="22" t="str">
        <f t="shared" si="25"/>
        <v>Cusco_13 Urubamba_03 Huayllabamba</v>
      </c>
      <c r="AL800" s="25">
        <v>1</v>
      </c>
      <c r="AM800" s="25">
        <v>2</v>
      </c>
      <c r="AN800" s="26">
        <f>Tabla2[[#This Row],[Minutos]]/60</f>
        <v>3.3333333333333333E-2</v>
      </c>
      <c r="AO800" s="27">
        <f>SUM(Tabla2[[#This Row],[Horas]],Tabla2[[#This Row],[Minutos a Horas]])</f>
        <v>1.0333333333333334</v>
      </c>
      <c r="AP800" s="49">
        <v>1</v>
      </c>
      <c r="AQ800" s="49">
        <v>30</v>
      </c>
      <c r="AR800" s="26">
        <f>Tabla2[[#This Row],[Minutos*]]/60</f>
        <v>0.5</v>
      </c>
      <c r="AS800" s="27">
        <f>SUM(Tabla2[[#This Row],[Horas*]],Tabla2[[#This Row],[Minutos a Horas*]])+(Tabla2[[#This Row],[Tiempo Total a Nivel Proncincial (Horas)]])</f>
        <v>2.5333333333333332</v>
      </c>
    </row>
    <row r="801" spans="28:45" x14ac:dyDescent="0.25">
      <c r="AB801" s="89"/>
      <c r="AD801" s="33" t="s">
        <v>2382</v>
      </c>
      <c r="AE801" s="10" t="s">
        <v>379</v>
      </c>
      <c r="AF801" s="20" t="s">
        <v>910</v>
      </c>
      <c r="AG801" s="10"/>
      <c r="AH801" s="22" t="str">
        <f t="shared" si="24"/>
        <v>Cusco_13 Urubamba</v>
      </c>
      <c r="AI801" s="10" t="s">
        <v>1024</v>
      </c>
      <c r="AJ801" s="20" t="s">
        <v>1010</v>
      </c>
      <c r="AK801" s="22" t="str">
        <f t="shared" si="25"/>
        <v>Cusco_13 Urubamba_04 Machupicchu</v>
      </c>
      <c r="AL801" s="25">
        <v>1</v>
      </c>
      <c r="AM801" s="25">
        <v>2</v>
      </c>
      <c r="AN801" s="26">
        <f>Tabla2[[#This Row],[Minutos]]/60</f>
        <v>3.3333333333333333E-2</v>
      </c>
      <c r="AO801" s="27">
        <f>SUM(Tabla2[[#This Row],[Horas]],Tabla2[[#This Row],[Minutos a Horas]])</f>
        <v>1.0333333333333334</v>
      </c>
      <c r="AP801" s="49">
        <v>0</v>
      </c>
      <c r="AQ801" s="49">
        <v>45</v>
      </c>
      <c r="AR801" s="26">
        <f>Tabla2[[#This Row],[Minutos*]]/60</f>
        <v>0.75</v>
      </c>
      <c r="AS801" s="27">
        <f>SUM(Tabla2[[#This Row],[Horas*]],Tabla2[[#This Row],[Minutos a Horas*]])+(Tabla2[[#This Row],[Tiempo Total a Nivel Proncincial (Horas)]])</f>
        <v>1.7833333333333334</v>
      </c>
    </row>
    <row r="802" spans="28:45" x14ac:dyDescent="0.25">
      <c r="AB802" s="89"/>
      <c r="AD802" s="33" t="s">
        <v>2382</v>
      </c>
      <c r="AE802" s="10" t="s">
        <v>379</v>
      </c>
      <c r="AF802" s="20" t="s">
        <v>910</v>
      </c>
      <c r="AG802" s="10"/>
      <c r="AH802" s="22" t="str">
        <f t="shared" si="24"/>
        <v>Cusco_13 Urubamba</v>
      </c>
      <c r="AI802" s="10" t="s">
        <v>1024</v>
      </c>
      <c r="AJ802" s="20" t="s">
        <v>1011</v>
      </c>
      <c r="AK802" s="22" t="str">
        <f t="shared" si="25"/>
        <v>Cusco_13 Urubamba_05 Maras</v>
      </c>
      <c r="AL802" s="25">
        <v>1</v>
      </c>
      <c r="AM802" s="25">
        <v>2</v>
      </c>
      <c r="AN802" s="26">
        <f>Tabla2[[#This Row],[Minutos]]/60</f>
        <v>3.3333333333333333E-2</v>
      </c>
      <c r="AO802" s="27">
        <f>SUM(Tabla2[[#This Row],[Horas]],Tabla2[[#This Row],[Minutos a Horas]])</f>
        <v>1.0333333333333334</v>
      </c>
      <c r="AP802" s="49">
        <v>1</v>
      </c>
      <c r="AQ802" s="49">
        <v>45</v>
      </c>
      <c r="AR802" s="26">
        <f>Tabla2[[#This Row],[Minutos*]]/60</f>
        <v>0.75</v>
      </c>
      <c r="AS802" s="27">
        <f>SUM(Tabla2[[#This Row],[Horas*]],Tabla2[[#This Row],[Minutos a Horas*]])+(Tabla2[[#This Row],[Tiempo Total a Nivel Proncincial (Horas)]])</f>
        <v>2.7833333333333332</v>
      </c>
    </row>
    <row r="803" spans="28:45" x14ac:dyDescent="0.25">
      <c r="AB803" s="89"/>
      <c r="AD803" s="33" t="s">
        <v>2382</v>
      </c>
      <c r="AE803" s="10" t="s">
        <v>379</v>
      </c>
      <c r="AF803" s="20" t="s">
        <v>910</v>
      </c>
      <c r="AG803" s="10"/>
      <c r="AH803" s="22" t="str">
        <f t="shared" si="24"/>
        <v>Cusco_13 Urubamba</v>
      </c>
      <c r="AI803" s="10" t="s">
        <v>1024</v>
      </c>
      <c r="AJ803" s="20" t="s">
        <v>1012</v>
      </c>
      <c r="AK803" s="22" t="str">
        <f t="shared" si="25"/>
        <v>Cusco_13 Urubamba_06 Ollantaytambo</v>
      </c>
      <c r="AL803" s="25">
        <v>1</v>
      </c>
      <c r="AM803" s="25">
        <v>2</v>
      </c>
      <c r="AN803" s="26">
        <f>Tabla2[[#This Row],[Minutos]]/60</f>
        <v>3.3333333333333333E-2</v>
      </c>
      <c r="AO803" s="27">
        <f>SUM(Tabla2[[#This Row],[Horas]],Tabla2[[#This Row],[Minutos a Horas]])</f>
        <v>1.0333333333333334</v>
      </c>
      <c r="AP803" s="49">
        <v>7</v>
      </c>
      <c r="AQ803" s="49">
        <v>0</v>
      </c>
      <c r="AR803" s="26">
        <f>Tabla2[[#This Row],[Minutos*]]/60</f>
        <v>0</v>
      </c>
      <c r="AS803" s="27">
        <f>SUM(Tabla2[[#This Row],[Horas*]],Tabla2[[#This Row],[Minutos a Horas*]])+(Tabla2[[#This Row],[Tiempo Total a Nivel Proncincial (Horas)]])</f>
        <v>8.0333333333333332</v>
      </c>
    </row>
    <row r="804" spans="28:45" x14ac:dyDescent="0.25">
      <c r="AB804" s="89"/>
      <c r="AD804" s="33" t="s">
        <v>2382</v>
      </c>
      <c r="AE804" s="10" t="s">
        <v>379</v>
      </c>
      <c r="AF804" s="20" t="s">
        <v>910</v>
      </c>
      <c r="AG804" s="10"/>
      <c r="AH804" s="22" t="str">
        <f t="shared" si="24"/>
        <v>Cusco_13 Urubamba</v>
      </c>
      <c r="AI804" s="10" t="s">
        <v>1024</v>
      </c>
      <c r="AJ804" s="20" t="s">
        <v>1013</v>
      </c>
      <c r="AK804" s="22" t="str">
        <f t="shared" si="25"/>
        <v>Cusco_13 Urubamba_07 Yucay</v>
      </c>
      <c r="AL804" s="25">
        <v>1</v>
      </c>
      <c r="AM804" s="25">
        <v>2</v>
      </c>
      <c r="AN804" s="26">
        <f>Tabla2[[#This Row],[Minutos]]/60</f>
        <v>3.3333333333333333E-2</v>
      </c>
      <c r="AO804" s="27">
        <f>SUM(Tabla2[[#This Row],[Horas]],Tabla2[[#This Row],[Minutos a Horas]])</f>
        <v>1.0333333333333334</v>
      </c>
      <c r="AP804" s="49">
        <v>1</v>
      </c>
      <c r="AQ804" s="49">
        <v>45</v>
      </c>
      <c r="AR804" s="26">
        <f>Tabla2[[#This Row],[Minutos*]]/60</f>
        <v>0.75</v>
      </c>
      <c r="AS804" s="27">
        <f>SUM(Tabla2[[#This Row],[Horas*]],Tabla2[[#This Row],[Minutos a Horas*]])+(Tabla2[[#This Row],[Tiempo Total a Nivel Proncincial (Horas)]])</f>
        <v>2.7833333333333332</v>
      </c>
    </row>
    <row r="805" spans="28:45" x14ac:dyDescent="0.25">
      <c r="AB805" s="89"/>
      <c r="AD805" s="20" t="s">
        <v>2383</v>
      </c>
      <c r="AE805" s="10" t="s">
        <v>380</v>
      </c>
      <c r="AF805" s="20" t="s">
        <v>1025</v>
      </c>
      <c r="AG805" s="10" t="s">
        <v>1025</v>
      </c>
      <c r="AH805" s="22" t="str">
        <f t="shared" si="24"/>
        <v>Huancavelica_01 Huancavelica</v>
      </c>
      <c r="AI805" s="10" t="s">
        <v>1125</v>
      </c>
      <c r="AJ805" s="20" t="s">
        <v>1025</v>
      </c>
      <c r="AK805" s="22" t="str">
        <f t="shared" si="25"/>
        <v>Huancavelica_01 Huancavelica_01 Huancavelica</v>
      </c>
      <c r="AL805" s="25">
        <v>3</v>
      </c>
      <c r="AM805" s="25">
        <v>49</v>
      </c>
      <c r="AN805" s="26">
        <f>Tabla2[[#This Row],[Minutos]]/60</f>
        <v>0.81666666666666665</v>
      </c>
      <c r="AO805" s="27">
        <f>SUM(Tabla2[[#This Row],[Horas]],Tabla2[[#This Row],[Minutos a Horas]])</f>
        <v>3.8166666666666664</v>
      </c>
      <c r="AP805" s="49">
        <v>0</v>
      </c>
      <c r="AQ805" s="49">
        <v>0</v>
      </c>
      <c r="AR805" s="26">
        <f>Tabla2[[#This Row],[Minutos*]]/60</f>
        <v>0</v>
      </c>
      <c r="AS805" s="27">
        <f>SUM(Tabla2[[#This Row],[Horas*]],Tabla2[[#This Row],[Minutos a Horas*]])+(Tabla2[[#This Row],[Tiempo Total a Nivel Proncincial (Horas)]])</f>
        <v>3.8166666666666664</v>
      </c>
    </row>
    <row r="806" spans="28:45" x14ac:dyDescent="0.25">
      <c r="AB806" s="89"/>
      <c r="AD806" s="20" t="s">
        <v>2383</v>
      </c>
      <c r="AE806" s="10" t="s">
        <v>380</v>
      </c>
      <c r="AF806" s="20" t="s">
        <v>1025</v>
      </c>
      <c r="AG806" s="10" t="s">
        <v>330</v>
      </c>
      <c r="AH806" s="22" t="str">
        <f t="shared" si="24"/>
        <v>Huancavelica_01 Huancavelica</v>
      </c>
      <c r="AI806" s="10" t="s">
        <v>1125</v>
      </c>
      <c r="AJ806" s="20" t="s">
        <v>1031</v>
      </c>
      <c r="AK806" s="22" t="str">
        <f t="shared" si="25"/>
        <v>Huancavelica_01 Huancavelica_02 Acobambilla</v>
      </c>
      <c r="AL806" s="25">
        <v>3</v>
      </c>
      <c r="AM806" s="25">
        <v>49</v>
      </c>
      <c r="AN806" s="26">
        <f>Tabla2[[#This Row],[Minutos]]/60</f>
        <v>0.81666666666666665</v>
      </c>
      <c r="AO806" s="27">
        <f>SUM(Tabla2[[#This Row],[Horas]],Tabla2[[#This Row],[Minutos a Horas]])</f>
        <v>3.8166666666666664</v>
      </c>
      <c r="AP806" s="49">
        <v>5</v>
      </c>
      <c r="AQ806" s="49">
        <v>0</v>
      </c>
      <c r="AR806" s="26">
        <f>Tabla2[[#This Row],[Minutos*]]/60</f>
        <v>0</v>
      </c>
      <c r="AS806" s="27">
        <f>SUM(Tabla2[[#This Row],[Horas*]],Tabla2[[#This Row],[Minutos a Horas*]])+(Tabla2[[#This Row],[Tiempo Total a Nivel Proncincial (Horas)]])</f>
        <v>8.8166666666666664</v>
      </c>
    </row>
    <row r="807" spans="28:45" x14ac:dyDescent="0.25">
      <c r="AB807" s="89"/>
      <c r="AD807" s="20" t="s">
        <v>2383</v>
      </c>
      <c r="AE807" s="10" t="s">
        <v>380</v>
      </c>
      <c r="AF807" s="20" t="s">
        <v>1025</v>
      </c>
      <c r="AG807" s="10" t="s">
        <v>1026</v>
      </c>
      <c r="AH807" s="22" t="str">
        <f t="shared" si="24"/>
        <v>Huancavelica_01 Huancavelica</v>
      </c>
      <c r="AI807" s="10" t="s">
        <v>1125</v>
      </c>
      <c r="AJ807" s="20" t="s">
        <v>1032</v>
      </c>
      <c r="AK807" s="22" t="str">
        <f t="shared" si="25"/>
        <v>Huancavelica_01 Huancavelica_03 Acoria</v>
      </c>
      <c r="AL807" s="25">
        <v>3</v>
      </c>
      <c r="AM807" s="25">
        <v>49</v>
      </c>
      <c r="AN807" s="26">
        <f>Tabla2[[#This Row],[Minutos]]/60</f>
        <v>0.81666666666666665</v>
      </c>
      <c r="AO807" s="27">
        <f>SUM(Tabla2[[#This Row],[Horas]],Tabla2[[#This Row],[Minutos a Horas]])</f>
        <v>3.8166666666666664</v>
      </c>
      <c r="AP807" s="49">
        <v>2</v>
      </c>
      <c r="AQ807" s="49">
        <v>30</v>
      </c>
      <c r="AR807" s="26">
        <f>Tabla2[[#This Row],[Minutos*]]/60</f>
        <v>0.5</v>
      </c>
      <c r="AS807" s="27">
        <f>SUM(Tabla2[[#This Row],[Horas*]],Tabla2[[#This Row],[Minutos a Horas*]])+(Tabla2[[#This Row],[Tiempo Total a Nivel Proncincial (Horas)]])</f>
        <v>6.3166666666666664</v>
      </c>
    </row>
    <row r="808" spans="28:45" x14ac:dyDescent="0.25">
      <c r="AB808" s="89"/>
      <c r="AD808" s="20" t="s">
        <v>2383</v>
      </c>
      <c r="AE808" s="10" t="s">
        <v>380</v>
      </c>
      <c r="AF808" s="20" t="s">
        <v>1025</v>
      </c>
      <c r="AG808" s="10" t="s">
        <v>1027</v>
      </c>
      <c r="AH808" s="22" t="str">
        <f t="shared" si="24"/>
        <v>Huancavelica_01 Huancavelica</v>
      </c>
      <c r="AI808" s="10" t="s">
        <v>1125</v>
      </c>
      <c r="AJ808" s="20" t="s">
        <v>1033</v>
      </c>
      <c r="AK808" s="22" t="str">
        <f t="shared" si="25"/>
        <v>Huancavelica_01 Huancavelica_04 Conayca</v>
      </c>
      <c r="AL808" s="25">
        <v>3</v>
      </c>
      <c r="AM808" s="25">
        <v>49</v>
      </c>
      <c r="AN808" s="26">
        <f>Tabla2[[#This Row],[Minutos]]/60</f>
        <v>0.81666666666666665</v>
      </c>
      <c r="AO808" s="27">
        <f>SUM(Tabla2[[#This Row],[Horas]],Tabla2[[#This Row],[Minutos a Horas]])</f>
        <v>3.8166666666666664</v>
      </c>
      <c r="AP808" s="49">
        <v>3</v>
      </c>
      <c r="AQ808" s="49">
        <v>30</v>
      </c>
      <c r="AR808" s="26">
        <f>Tabla2[[#This Row],[Minutos*]]/60</f>
        <v>0.5</v>
      </c>
      <c r="AS808" s="27">
        <f>SUM(Tabla2[[#This Row],[Horas*]],Tabla2[[#This Row],[Minutos a Horas*]])+(Tabla2[[#This Row],[Tiempo Total a Nivel Proncincial (Horas)]])</f>
        <v>7.3166666666666664</v>
      </c>
    </row>
    <row r="809" spans="28:45" x14ac:dyDescent="0.25">
      <c r="AB809" s="89"/>
      <c r="AD809" s="20" t="s">
        <v>2383</v>
      </c>
      <c r="AE809" s="10" t="s">
        <v>380</v>
      </c>
      <c r="AF809" s="20" t="s">
        <v>1025</v>
      </c>
      <c r="AG809" s="10" t="s">
        <v>1028</v>
      </c>
      <c r="AH809" s="22" t="str">
        <f t="shared" si="24"/>
        <v>Huancavelica_01 Huancavelica</v>
      </c>
      <c r="AI809" s="10" t="s">
        <v>1125</v>
      </c>
      <c r="AJ809" s="20" t="s">
        <v>1034</v>
      </c>
      <c r="AK809" s="22" t="str">
        <f t="shared" si="25"/>
        <v>Huancavelica_01 Huancavelica_05 Cuenca</v>
      </c>
      <c r="AL809" s="25">
        <v>3</v>
      </c>
      <c r="AM809" s="25">
        <v>49</v>
      </c>
      <c r="AN809" s="26">
        <f>Tabla2[[#This Row],[Minutos]]/60</f>
        <v>0.81666666666666665</v>
      </c>
      <c r="AO809" s="27">
        <f>SUM(Tabla2[[#This Row],[Horas]],Tabla2[[#This Row],[Minutos a Horas]])</f>
        <v>3.8166666666666664</v>
      </c>
      <c r="AP809" s="49">
        <v>2</v>
      </c>
      <c r="AQ809" s="49">
        <v>30</v>
      </c>
      <c r="AR809" s="26">
        <f>Tabla2[[#This Row],[Minutos*]]/60</f>
        <v>0.5</v>
      </c>
      <c r="AS809" s="27">
        <f>SUM(Tabla2[[#This Row],[Horas*]],Tabla2[[#This Row],[Minutos a Horas*]])+(Tabla2[[#This Row],[Tiempo Total a Nivel Proncincial (Horas)]])</f>
        <v>6.3166666666666664</v>
      </c>
    </row>
    <row r="810" spans="28:45" x14ac:dyDescent="0.25">
      <c r="AB810" s="89"/>
      <c r="AD810" s="20" t="s">
        <v>2383</v>
      </c>
      <c r="AE810" s="10" t="s">
        <v>380</v>
      </c>
      <c r="AF810" s="20" t="s">
        <v>1025</v>
      </c>
      <c r="AG810" s="10" t="s">
        <v>1029</v>
      </c>
      <c r="AH810" s="22" t="str">
        <f t="shared" si="24"/>
        <v>Huancavelica_01 Huancavelica</v>
      </c>
      <c r="AI810" s="10" t="s">
        <v>1125</v>
      </c>
      <c r="AJ810" s="20" t="s">
        <v>1035</v>
      </c>
      <c r="AK810" s="22" t="str">
        <f t="shared" si="25"/>
        <v>Huancavelica_01 Huancavelica_06 Huachocolpa</v>
      </c>
      <c r="AL810" s="25">
        <v>3</v>
      </c>
      <c r="AM810" s="25">
        <v>49</v>
      </c>
      <c r="AN810" s="26">
        <f>Tabla2[[#This Row],[Minutos]]/60</f>
        <v>0.81666666666666665</v>
      </c>
      <c r="AO810" s="27">
        <f>SUM(Tabla2[[#This Row],[Horas]],Tabla2[[#This Row],[Minutos a Horas]])</f>
        <v>3.8166666666666664</v>
      </c>
      <c r="AP810" s="49">
        <v>3</v>
      </c>
      <c r="AQ810" s="49">
        <v>30</v>
      </c>
      <c r="AR810" s="26">
        <f>Tabla2[[#This Row],[Minutos*]]/60</f>
        <v>0.5</v>
      </c>
      <c r="AS810" s="27">
        <f>SUM(Tabla2[[#This Row],[Horas*]],Tabla2[[#This Row],[Minutos a Horas*]])+(Tabla2[[#This Row],[Tiempo Total a Nivel Proncincial (Horas)]])</f>
        <v>7.3166666666666664</v>
      </c>
    </row>
    <row r="811" spans="28:45" x14ac:dyDescent="0.25">
      <c r="AB811" s="89"/>
      <c r="AD811" s="20" t="s">
        <v>2383</v>
      </c>
      <c r="AE811" s="10" t="s">
        <v>380</v>
      </c>
      <c r="AF811" s="20" t="s">
        <v>1025</v>
      </c>
      <c r="AG811" s="10" t="s">
        <v>1030</v>
      </c>
      <c r="AH811" s="22" t="str">
        <f t="shared" si="24"/>
        <v>Huancavelica_01 Huancavelica</v>
      </c>
      <c r="AI811" s="10" t="s">
        <v>1125</v>
      </c>
      <c r="AJ811" s="20" t="s">
        <v>1036</v>
      </c>
      <c r="AK811" s="22" t="str">
        <f t="shared" si="25"/>
        <v>Huancavelica_01 Huancavelica_07 Huayllahuara</v>
      </c>
      <c r="AL811" s="25">
        <v>3</v>
      </c>
      <c r="AM811" s="25">
        <v>49</v>
      </c>
      <c r="AN811" s="26">
        <f>Tabla2[[#This Row],[Minutos]]/60</f>
        <v>0.81666666666666665</v>
      </c>
      <c r="AO811" s="27">
        <f>SUM(Tabla2[[#This Row],[Horas]],Tabla2[[#This Row],[Minutos a Horas]])</f>
        <v>3.8166666666666664</v>
      </c>
      <c r="AP811" s="49">
        <v>5</v>
      </c>
      <c r="AQ811" s="49">
        <v>20</v>
      </c>
      <c r="AR811" s="26">
        <f>Tabla2[[#This Row],[Minutos*]]/60</f>
        <v>0.33333333333333331</v>
      </c>
      <c r="AS811" s="27">
        <f>SUM(Tabla2[[#This Row],[Horas*]],Tabla2[[#This Row],[Minutos a Horas*]])+(Tabla2[[#This Row],[Tiempo Total a Nivel Proncincial (Horas)]])</f>
        <v>9.1499999999999986</v>
      </c>
    </row>
    <row r="812" spans="28:45" x14ac:dyDescent="0.25">
      <c r="AB812" s="89"/>
      <c r="AD812" s="20" t="s">
        <v>2383</v>
      </c>
      <c r="AE812" s="10" t="s">
        <v>380</v>
      </c>
      <c r="AF812" s="20" t="s">
        <v>1025</v>
      </c>
      <c r="AG812" s="10"/>
      <c r="AH812" s="22" t="str">
        <f t="shared" si="24"/>
        <v>Huancavelica_01 Huancavelica</v>
      </c>
      <c r="AI812" s="10" t="s">
        <v>1125</v>
      </c>
      <c r="AJ812" s="20" t="s">
        <v>1037</v>
      </c>
      <c r="AK812" s="22" t="str">
        <f t="shared" si="25"/>
        <v>Huancavelica_01 Huancavelica_08 Izcuchaca</v>
      </c>
      <c r="AL812" s="25">
        <v>3</v>
      </c>
      <c r="AM812" s="25">
        <v>49</v>
      </c>
      <c r="AN812" s="26">
        <f>Tabla2[[#This Row],[Minutos]]/60</f>
        <v>0.81666666666666665</v>
      </c>
      <c r="AO812" s="27">
        <f>SUM(Tabla2[[#This Row],[Horas]],Tabla2[[#This Row],[Minutos a Horas]])</f>
        <v>3.8166666666666664</v>
      </c>
      <c r="AP812" s="49">
        <v>2</v>
      </c>
      <c r="AQ812" s="49">
        <v>30</v>
      </c>
      <c r="AR812" s="26">
        <f>Tabla2[[#This Row],[Minutos*]]/60</f>
        <v>0.5</v>
      </c>
      <c r="AS812" s="27">
        <f>SUM(Tabla2[[#This Row],[Horas*]],Tabla2[[#This Row],[Minutos a Horas*]])+(Tabla2[[#This Row],[Tiempo Total a Nivel Proncincial (Horas)]])</f>
        <v>6.3166666666666664</v>
      </c>
    </row>
    <row r="813" spans="28:45" x14ac:dyDescent="0.25">
      <c r="AB813" s="89"/>
      <c r="AD813" s="20" t="s">
        <v>2383</v>
      </c>
      <c r="AE813" s="10" t="s">
        <v>380</v>
      </c>
      <c r="AF813" s="20" t="s">
        <v>1025</v>
      </c>
      <c r="AG813" s="10"/>
      <c r="AH813" s="22" t="str">
        <f t="shared" si="24"/>
        <v>Huancavelica_01 Huancavelica</v>
      </c>
      <c r="AI813" s="10" t="s">
        <v>1125</v>
      </c>
      <c r="AJ813" s="20" t="s">
        <v>1038</v>
      </c>
      <c r="AK813" s="22" t="str">
        <f t="shared" si="25"/>
        <v>Huancavelica_01 Huancavelica_09 Laria</v>
      </c>
      <c r="AL813" s="25">
        <v>3</v>
      </c>
      <c r="AM813" s="25">
        <v>49</v>
      </c>
      <c r="AN813" s="26">
        <f>Tabla2[[#This Row],[Minutos]]/60</f>
        <v>0.81666666666666665</v>
      </c>
      <c r="AO813" s="27">
        <f>SUM(Tabla2[[#This Row],[Horas]],Tabla2[[#This Row],[Minutos a Horas]])</f>
        <v>3.8166666666666664</v>
      </c>
      <c r="AP813" s="49">
        <v>3</v>
      </c>
      <c r="AQ813" s="49">
        <v>0</v>
      </c>
      <c r="AR813" s="26">
        <f>Tabla2[[#This Row],[Minutos*]]/60</f>
        <v>0</v>
      </c>
      <c r="AS813" s="27">
        <f>SUM(Tabla2[[#This Row],[Horas*]],Tabla2[[#This Row],[Minutos a Horas*]])+(Tabla2[[#This Row],[Tiempo Total a Nivel Proncincial (Horas)]])</f>
        <v>6.8166666666666664</v>
      </c>
    </row>
    <row r="814" spans="28:45" x14ac:dyDescent="0.25">
      <c r="AB814" s="89"/>
      <c r="AD814" s="20" t="s">
        <v>2383</v>
      </c>
      <c r="AE814" s="10" t="s">
        <v>380</v>
      </c>
      <c r="AF814" s="20" t="s">
        <v>1025</v>
      </c>
      <c r="AG814" s="10"/>
      <c r="AH814" s="22" t="str">
        <f t="shared" si="24"/>
        <v>Huancavelica_01 Huancavelica</v>
      </c>
      <c r="AI814" s="10" t="s">
        <v>1125</v>
      </c>
      <c r="AJ814" s="20" t="s">
        <v>1039</v>
      </c>
      <c r="AK814" s="22" t="str">
        <f t="shared" si="25"/>
        <v>Huancavelica_01 Huancavelica_10 Manta</v>
      </c>
      <c r="AL814" s="25">
        <v>3</v>
      </c>
      <c r="AM814" s="25">
        <v>49</v>
      </c>
      <c r="AN814" s="26">
        <f>Tabla2[[#This Row],[Minutos]]/60</f>
        <v>0.81666666666666665</v>
      </c>
      <c r="AO814" s="27">
        <f>SUM(Tabla2[[#This Row],[Horas]],Tabla2[[#This Row],[Minutos a Horas]])</f>
        <v>3.8166666666666664</v>
      </c>
      <c r="AP814" s="49">
        <v>4</v>
      </c>
      <c r="AQ814" s="49">
        <v>0</v>
      </c>
      <c r="AR814" s="26">
        <f>Tabla2[[#This Row],[Minutos*]]/60</f>
        <v>0</v>
      </c>
      <c r="AS814" s="27">
        <f>SUM(Tabla2[[#This Row],[Horas*]],Tabla2[[#This Row],[Minutos a Horas*]])+(Tabla2[[#This Row],[Tiempo Total a Nivel Proncincial (Horas)]])</f>
        <v>7.8166666666666664</v>
      </c>
    </row>
    <row r="815" spans="28:45" x14ac:dyDescent="0.25">
      <c r="AB815" s="89"/>
      <c r="AD815" s="20" t="s">
        <v>2383</v>
      </c>
      <c r="AE815" s="10" t="s">
        <v>380</v>
      </c>
      <c r="AF815" s="20" t="s">
        <v>1025</v>
      </c>
      <c r="AG815" s="10"/>
      <c r="AH815" s="22" t="str">
        <f t="shared" si="24"/>
        <v>Huancavelica_01 Huancavelica</v>
      </c>
      <c r="AI815" s="10" t="s">
        <v>1125</v>
      </c>
      <c r="AJ815" s="20" t="s">
        <v>1040</v>
      </c>
      <c r="AK815" s="22" t="str">
        <f t="shared" si="25"/>
        <v>Huancavelica_01 Huancavelica_11 Mariscal Cáceres</v>
      </c>
      <c r="AL815" s="25">
        <v>3</v>
      </c>
      <c r="AM815" s="25">
        <v>49</v>
      </c>
      <c r="AN815" s="26">
        <f>Tabla2[[#This Row],[Minutos]]/60</f>
        <v>0.81666666666666665</v>
      </c>
      <c r="AO815" s="27">
        <f>SUM(Tabla2[[#This Row],[Horas]],Tabla2[[#This Row],[Minutos a Horas]])</f>
        <v>3.8166666666666664</v>
      </c>
      <c r="AP815" s="49">
        <v>2</v>
      </c>
      <c r="AQ815" s="49">
        <v>30</v>
      </c>
      <c r="AR815" s="26">
        <f>Tabla2[[#This Row],[Minutos*]]/60</f>
        <v>0.5</v>
      </c>
      <c r="AS815" s="27">
        <f>SUM(Tabla2[[#This Row],[Horas*]],Tabla2[[#This Row],[Minutos a Horas*]])+(Tabla2[[#This Row],[Tiempo Total a Nivel Proncincial (Horas)]])</f>
        <v>6.3166666666666664</v>
      </c>
    </row>
    <row r="816" spans="28:45" x14ac:dyDescent="0.25">
      <c r="AB816" s="89"/>
      <c r="AD816" s="20" t="s">
        <v>2383</v>
      </c>
      <c r="AE816" s="10" t="s">
        <v>380</v>
      </c>
      <c r="AF816" s="20" t="s">
        <v>1025</v>
      </c>
      <c r="AG816" s="10"/>
      <c r="AH816" s="22" t="str">
        <f t="shared" si="24"/>
        <v>Huancavelica_01 Huancavelica</v>
      </c>
      <c r="AI816" s="10" t="s">
        <v>1125</v>
      </c>
      <c r="AJ816" s="20" t="s">
        <v>1041</v>
      </c>
      <c r="AK816" s="22" t="str">
        <f t="shared" si="25"/>
        <v>Huancavelica_01 Huancavelica_12 Moya</v>
      </c>
      <c r="AL816" s="25">
        <v>3</v>
      </c>
      <c r="AM816" s="25">
        <v>49</v>
      </c>
      <c r="AN816" s="26">
        <f>Tabla2[[#This Row],[Minutos]]/60</f>
        <v>0.81666666666666665</v>
      </c>
      <c r="AO816" s="27">
        <f>SUM(Tabla2[[#This Row],[Horas]],Tabla2[[#This Row],[Minutos a Horas]])</f>
        <v>3.8166666666666664</v>
      </c>
      <c r="AP816" s="49">
        <v>4</v>
      </c>
      <c r="AQ816" s="49">
        <v>30</v>
      </c>
      <c r="AR816" s="26">
        <f>Tabla2[[#This Row],[Minutos*]]/60</f>
        <v>0.5</v>
      </c>
      <c r="AS816" s="27">
        <f>SUM(Tabla2[[#This Row],[Horas*]],Tabla2[[#This Row],[Minutos a Horas*]])+(Tabla2[[#This Row],[Tiempo Total a Nivel Proncincial (Horas)]])</f>
        <v>8.3166666666666664</v>
      </c>
    </row>
    <row r="817" spans="28:45" x14ac:dyDescent="0.25">
      <c r="AB817" s="89"/>
      <c r="AD817" s="20" t="s">
        <v>2383</v>
      </c>
      <c r="AE817" s="10" t="s">
        <v>380</v>
      </c>
      <c r="AF817" s="20" t="s">
        <v>1025</v>
      </c>
      <c r="AG817" s="10"/>
      <c r="AH817" s="22" t="str">
        <f t="shared" si="24"/>
        <v>Huancavelica_01 Huancavelica</v>
      </c>
      <c r="AI817" s="10" t="s">
        <v>1125</v>
      </c>
      <c r="AJ817" s="20" t="s">
        <v>1042</v>
      </c>
      <c r="AK817" s="22" t="str">
        <f t="shared" si="25"/>
        <v>Huancavelica_01 Huancavelica_13 Nuevo Occoro</v>
      </c>
      <c r="AL817" s="25">
        <v>3</v>
      </c>
      <c r="AM817" s="25">
        <v>49</v>
      </c>
      <c r="AN817" s="26">
        <f>Tabla2[[#This Row],[Minutos]]/60</f>
        <v>0.81666666666666665</v>
      </c>
      <c r="AO817" s="27">
        <f>SUM(Tabla2[[#This Row],[Horas]],Tabla2[[#This Row],[Minutos a Horas]])</f>
        <v>3.8166666666666664</v>
      </c>
      <c r="AP817" s="49">
        <v>4</v>
      </c>
      <c r="AQ817" s="49">
        <v>0</v>
      </c>
      <c r="AR817" s="26">
        <f>Tabla2[[#This Row],[Minutos*]]/60</f>
        <v>0</v>
      </c>
      <c r="AS817" s="27">
        <f>SUM(Tabla2[[#This Row],[Horas*]],Tabla2[[#This Row],[Minutos a Horas*]])+(Tabla2[[#This Row],[Tiempo Total a Nivel Proncincial (Horas)]])</f>
        <v>7.8166666666666664</v>
      </c>
    </row>
    <row r="818" spans="28:45" x14ac:dyDescent="0.25">
      <c r="AB818" s="89"/>
      <c r="AD818" s="20" t="s">
        <v>2383</v>
      </c>
      <c r="AE818" s="10" t="s">
        <v>380</v>
      </c>
      <c r="AF818" s="20" t="s">
        <v>1025</v>
      </c>
      <c r="AG818" s="10"/>
      <c r="AH818" s="22" t="str">
        <f t="shared" si="24"/>
        <v>Huancavelica_01 Huancavelica</v>
      </c>
      <c r="AI818" s="10" t="s">
        <v>1125</v>
      </c>
      <c r="AJ818" s="20" t="s">
        <v>1043</v>
      </c>
      <c r="AK818" s="22" t="str">
        <f t="shared" si="25"/>
        <v>Huancavelica_01 Huancavelica_14 Palca</v>
      </c>
      <c r="AL818" s="25">
        <v>3</v>
      </c>
      <c r="AM818" s="25">
        <v>49</v>
      </c>
      <c r="AN818" s="26">
        <f>Tabla2[[#This Row],[Minutos]]/60</f>
        <v>0.81666666666666665</v>
      </c>
      <c r="AO818" s="27">
        <f>SUM(Tabla2[[#This Row],[Horas]],Tabla2[[#This Row],[Minutos a Horas]])</f>
        <v>3.8166666666666664</v>
      </c>
      <c r="AP818" s="49">
        <v>1</v>
      </c>
      <c r="AQ818" s="49">
        <v>30</v>
      </c>
      <c r="AR818" s="26">
        <f>Tabla2[[#This Row],[Minutos*]]/60</f>
        <v>0.5</v>
      </c>
      <c r="AS818" s="27">
        <f>SUM(Tabla2[[#This Row],[Horas*]],Tabla2[[#This Row],[Minutos a Horas*]])+(Tabla2[[#This Row],[Tiempo Total a Nivel Proncincial (Horas)]])</f>
        <v>5.3166666666666664</v>
      </c>
    </row>
    <row r="819" spans="28:45" x14ac:dyDescent="0.25">
      <c r="AB819" s="89"/>
      <c r="AD819" s="20" t="s">
        <v>2383</v>
      </c>
      <c r="AE819" s="10" t="s">
        <v>380</v>
      </c>
      <c r="AF819" s="20" t="s">
        <v>1025</v>
      </c>
      <c r="AG819" s="10"/>
      <c r="AH819" s="22" t="str">
        <f t="shared" si="24"/>
        <v>Huancavelica_01 Huancavelica</v>
      </c>
      <c r="AI819" s="10" t="s">
        <v>1125</v>
      </c>
      <c r="AJ819" s="20" t="s">
        <v>1044</v>
      </c>
      <c r="AK819" s="22" t="str">
        <f t="shared" si="25"/>
        <v>Huancavelica_01 Huancavelica_15 Pilchaca</v>
      </c>
      <c r="AL819" s="25">
        <v>3</v>
      </c>
      <c r="AM819" s="25">
        <v>49</v>
      </c>
      <c r="AN819" s="26">
        <f>Tabla2[[#This Row],[Minutos]]/60</f>
        <v>0.81666666666666665</v>
      </c>
      <c r="AO819" s="27">
        <f>SUM(Tabla2[[#This Row],[Horas]],Tabla2[[#This Row],[Minutos a Horas]])</f>
        <v>3.8166666666666664</v>
      </c>
      <c r="AP819" s="49">
        <v>2</v>
      </c>
      <c r="AQ819" s="49">
        <v>40</v>
      </c>
      <c r="AR819" s="26">
        <f>Tabla2[[#This Row],[Minutos*]]/60</f>
        <v>0.66666666666666663</v>
      </c>
      <c r="AS819" s="27">
        <f>SUM(Tabla2[[#This Row],[Horas*]],Tabla2[[#This Row],[Minutos a Horas*]])+(Tabla2[[#This Row],[Tiempo Total a Nivel Proncincial (Horas)]])</f>
        <v>6.4833333333333325</v>
      </c>
    </row>
    <row r="820" spans="28:45" x14ac:dyDescent="0.25">
      <c r="AB820" s="89"/>
      <c r="AD820" s="20" t="s">
        <v>2383</v>
      </c>
      <c r="AE820" s="10" t="s">
        <v>380</v>
      </c>
      <c r="AF820" s="20" t="s">
        <v>1025</v>
      </c>
      <c r="AG820" s="10"/>
      <c r="AH820" s="22" t="str">
        <f t="shared" si="24"/>
        <v>Huancavelica_01 Huancavelica</v>
      </c>
      <c r="AI820" s="10" t="s">
        <v>1125</v>
      </c>
      <c r="AJ820" s="20" t="s">
        <v>1045</v>
      </c>
      <c r="AK820" s="22" t="str">
        <f t="shared" si="25"/>
        <v>Huancavelica_01 Huancavelica_16 Vilca</v>
      </c>
      <c r="AL820" s="25">
        <v>3</v>
      </c>
      <c r="AM820" s="25">
        <v>49</v>
      </c>
      <c r="AN820" s="26">
        <f>Tabla2[[#This Row],[Minutos]]/60</f>
        <v>0.81666666666666665</v>
      </c>
      <c r="AO820" s="27">
        <f>SUM(Tabla2[[#This Row],[Horas]],Tabla2[[#This Row],[Minutos a Horas]])</f>
        <v>3.8166666666666664</v>
      </c>
      <c r="AP820" s="49">
        <v>5</v>
      </c>
      <c r="AQ820" s="49">
        <v>0</v>
      </c>
      <c r="AR820" s="26">
        <f>Tabla2[[#This Row],[Minutos*]]/60</f>
        <v>0</v>
      </c>
      <c r="AS820" s="27">
        <f>SUM(Tabla2[[#This Row],[Horas*]],Tabla2[[#This Row],[Minutos a Horas*]])+(Tabla2[[#This Row],[Tiempo Total a Nivel Proncincial (Horas)]])</f>
        <v>8.8166666666666664</v>
      </c>
    </row>
    <row r="821" spans="28:45" x14ac:dyDescent="0.25">
      <c r="AB821" s="89"/>
      <c r="AD821" s="20" t="s">
        <v>2383</v>
      </c>
      <c r="AE821" s="10" t="s">
        <v>380</v>
      </c>
      <c r="AF821" s="20" t="s">
        <v>1025</v>
      </c>
      <c r="AG821" s="10"/>
      <c r="AH821" s="22" t="str">
        <f t="shared" si="24"/>
        <v>Huancavelica_01 Huancavelica</v>
      </c>
      <c r="AI821" s="10" t="s">
        <v>1125</v>
      </c>
      <c r="AJ821" s="20" t="s">
        <v>1046</v>
      </c>
      <c r="AK821" s="22" t="str">
        <f t="shared" si="25"/>
        <v>Huancavelica_01 Huancavelica_17 Yauli</v>
      </c>
      <c r="AL821" s="25">
        <v>3</v>
      </c>
      <c r="AM821" s="25">
        <v>49</v>
      </c>
      <c r="AN821" s="26">
        <f>Tabla2[[#This Row],[Minutos]]/60</f>
        <v>0.81666666666666665</v>
      </c>
      <c r="AO821" s="27">
        <f>SUM(Tabla2[[#This Row],[Horas]],Tabla2[[#This Row],[Minutos a Horas]])</f>
        <v>3.8166666666666664</v>
      </c>
      <c r="AP821" s="49">
        <v>0</v>
      </c>
      <c r="AQ821" s="49">
        <v>45</v>
      </c>
      <c r="AR821" s="26">
        <f>Tabla2[[#This Row],[Minutos*]]/60</f>
        <v>0.75</v>
      </c>
      <c r="AS821" s="27">
        <f>SUM(Tabla2[[#This Row],[Horas*]],Tabla2[[#This Row],[Minutos a Horas*]])+(Tabla2[[#This Row],[Tiempo Total a Nivel Proncincial (Horas)]])</f>
        <v>4.5666666666666664</v>
      </c>
    </row>
    <row r="822" spans="28:45" x14ac:dyDescent="0.25">
      <c r="AB822" s="89"/>
      <c r="AD822" s="20" t="s">
        <v>2383</v>
      </c>
      <c r="AE822" s="10" t="s">
        <v>380</v>
      </c>
      <c r="AF822" s="20" t="s">
        <v>1025</v>
      </c>
      <c r="AG822" s="10"/>
      <c r="AH822" s="22" t="str">
        <f t="shared" si="24"/>
        <v>Huancavelica_01 Huancavelica</v>
      </c>
      <c r="AI822" s="10" t="s">
        <v>1125</v>
      </c>
      <c r="AJ822" s="20" t="s">
        <v>1047</v>
      </c>
      <c r="AK822" s="22" t="str">
        <f t="shared" si="25"/>
        <v>Huancavelica_01 Huancavelica_18 Ascensión</v>
      </c>
      <c r="AL822" s="25">
        <v>3</v>
      </c>
      <c r="AM822" s="25">
        <v>49</v>
      </c>
      <c r="AN822" s="26">
        <f>Tabla2[[#This Row],[Minutos]]/60</f>
        <v>0.81666666666666665</v>
      </c>
      <c r="AO822" s="27">
        <f>SUM(Tabla2[[#This Row],[Horas]],Tabla2[[#This Row],[Minutos a Horas]])</f>
        <v>3.8166666666666664</v>
      </c>
      <c r="AP822" s="49">
        <v>0</v>
      </c>
      <c r="AQ822" s="49">
        <v>20</v>
      </c>
      <c r="AR822" s="26">
        <f>Tabla2[[#This Row],[Minutos*]]/60</f>
        <v>0.33333333333333331</v>
      </c>
      <c r="AS822" s="27">
        <f>SUM(Tabla2[[#This Row],[Horas*]],Tabla2[[#This Row],[Minutos a Horas*]])+(Tabla2[[#This Row],[Tiempo Total a Nivel Proncincial (Horas)]])</f>
        <v>4.1499999999999995</v>
      </c>
    </row>
    <row r="823" spans="28:45" x14ac:dyDescent="0.25">
      <c r="AB823" s="89"/>
      <c r="AD823" s="20" t="s">
        <v>2383</v>
      </c>
      <c r="AE823" s="10" t="s">
        <v>380</v>
      </c>
      <c r="AF823" s="20" t="s">
        <v>1025</v>
      </c>
      <c r="AG823" s="10"/>
      <c r="AH823" s="22" t="str">
        <f t="shared" si="24"/>
        <v>Huancavelica_01 Huancavelica</v>
      </c>
      <c r="AI823" s="10" t="s">
        <v>1125</v>
      </c>
      <c r="AJ823" s="20" t="s">
        <v>1048</v>
      </c>
      <c r="AK823" s="22" t="str">
        <f t="shared" si="25"/>
        <v>Huancavelica_01 Huancavelica_19 Huando</v>
      </c>
      <c r="AL823" s="25">
        <v>3</v>
      </c>
      <c r="AM823" s="25">
        <v>49</v>
      </c>
      <c r="AN823" s="26">
        <f>Tabla2[[#This Row],[Minutos]]/60</f>
        <v>0.81666666666666665</v>
      </c>
      <c r="AO823" s="27">
        <f>SUM(Tabla2[[#This Row],[Horas]],Tabla2[[#This Row],[Minutos a Horas]])</f>
        <v>3.8166666666666664</v>
      </c>
      <c r="AP823" s="49">
        <v>2</v>
      </c>
      <c r="AQ823" s="49">
        <v>0</v>
      </c>
      <c r="AR823" s="26">
        <f>Tabla2[[#This Row],[Minutos*]]/60</f>
        <v>0</v>
      </c>
      <c r="AS823" s="27">
        <f>SUM(Tabla2[[#This Row],[Horas*]],Tabla2[[#This Row],[Minutos a Horas*]])+(Tabla2[[#This Row],[Tiempo Total a Nivel Proncincial (Horas)]])</f>
        <v>5.8166666666666664</v>
      </c>
    </row>
    <row r="824" spans="28:45" x14ac:dyDescent="0.25">
      <c r="AB824" s="89"/>
      <c r="AD824" s="20" t="s">
        <v>2383</v>
      </c>
      <c r="AE824" s="10" t="s">
        <v>380</v>
      </c>
      <c r="AF824" s="20" t="s">
        <v>330</v>
      </c>
      <c r="AG824" s="10"/>
      <c r="AH824" s="22" t="str">
        <f t="shared" si="24"/>
        <v>Huancavelica_02 Acobamba</v>
      </c>
      <c r="AI824" s="10" t="s">
        <v>1126</v>
      </c>
      <c r="AJ824" s="20" t="s">
        <v>1049</v>
      </c>
      <c r="AK824" s="22" t="str">
        <f t="shared" si="25"/>
        <v>Huancavelica_02 Acobamba_01 Acobamba</v>
      </c>
      <c r="AL824" s="25">
        <v>2</v>
      </c>
      <c r="AM824" s="25">
        <v>43</v>
      </c>
      <c r="AN824" s="26">
        <f>Tabla2[[#This Row],[Minutos]]/60</f>
        <v>0.71666666666666667</v>
      </c>
      <c r="AO824" s="27">
        <f>SUM(Tabla2[[#This Row],[Horas]],Tabla2[[#This Row],[Minutos a Horas]])</f>
        <v>2.7166666666666668</v>
      </c>
      <c r="AP824" s="49">
        <v>3</v>
      </c>
      <c r="AQ824" s="49">
        <v>50</v>
      </c>
      <c r="AR824" s="26">
        <f>Tabla2[[#This Row],[Minutos*]]/60</f>
        <v>0.83333333333333337</v>
      </c>
      <c r="AS824" s="27">
        <f>SUM(Tabla2[[#This Row],[Horas*]],Tabla2[[#This Row],[Minutos a Horas*]])+(Tabla2[[#This Row],[Tiempo Total a Nivel Proncincial (Horas)]])</f>
        <v>6.5500000000000007</v>
      </c>
    </row>
    <row r="825" spans="28:45" x14ac:dyDescent="0.25">
      <c r="AB825" s="89"/>
      <c r="AD825" s="20" t="s">
        <v>2383</v>
      </c>
      <c r="AE825" s="10" t="s">
        <v>380</v>
      </c>
      <c r="AF825" s="20" t="s">
        <v>330</v>
      </c>
      <c r="AG825" s="10"/>
      <c r="AH825" s="22" t="str">
        <f t="shared" si="24"/>
        <v>Huancavelica_02 Acobamba</v>
      </c>
      <c r="AI825" s="10" t="s">
        <v>1126</v>
      </c>
      <c r="AJ825" s="20" t="s">
        <v>875</v>
      </c>
      <c r="AK825" s="22" t="str">
        <f t="shared" si="25"/>
        <v>Huancavelica_02 Acobamba_02 Andabamba</v>
      </c>
      <c r="AL825" s="25">
        <v>2</v>
      </c>
      <c r="AM825" s="25">
        <v>43</v>
      </c>
      <c r="AN825" s="26">
        <f>Tabla2[[#This Row],[Minutos]]/60</f>
        <v>0.71666666666666667</v>
      </c>
      <c r="AO825" s="27">
        <f>SUM(Tabla2[[#This Row],[Horas]],Tabla2[[#This Row],[Minutos a Horas]])</f>
        <v>2.7166666666666668</v>
      </c>
      <c r="AP825" s="49">
        <v>4</v>
      </c>
      <c r="AQ825" s="49">
        <v>0</v>
      </c>
      <c r="AR825" s="26">
        <f>Tabla2[[#This Row],[Minutos*]]/60</f>
        <v>0</v>
      </c>
      <c r="AS825" s="27">
        <f>SUM(Tabla2[[#This Row],[Horas*]],Tabla2[[#This Row],[Minutos a Horas*]])+(Tabla2[[#This Row],[Tiempo Total a Nivel Proncincial (Horas)]])</f>
        <v>6.7166666666666668</v>
      </c>
    </row>
    <row r="826" spans="28:45" x14ac:dyDescent="0.25">
      <c r="AB826" s="89"/>
      <c r="AD826" s="20" t="s">
        <v>2383</v>
      </c>
      <c r="AE826" s="10" t="s">
        <v>380</v>
      </c>
      <c r="AF826" s="20" t="s">
        <v>330</v>
      </c>
      <c r="AG826" s="10"/>
      <c r="AH826" s="22" t="str">
        <f t="shared" si="24"/>
        <v>Huancavelica_02 Acobamba</v>
      </c>
      <c r="AI826" s="10" t="s">
        <v>1126</v>
      </c>
      <c r="AJ826" s="20" t="s">
        <v>900</v>
      </c>
      <c r="AK826" s="22" t="str">
        <f t="shared" si="25"/>
        <v>Huancavelica_02 Acobamba_03 Anta</v>
      </c>
      <c r="AL826" s="25">
        <v>2</v>
      </c>
      <c r="AM826" s="25">
        <v>43</v>
      </c>
      <c r="AN826" s="26">
        <f>Tabla2[[#This Row],[Minutos]]/60</f>
        <v>0.71666666666666667</v>
      </c>
      <c r="AO826" s="27">
        <f>SUM(Tabla2[[#This Row],[Horas]],Tabla2[[#This Row],[Minutos a Horas]])</f>
        <v>2.7166666666666668</v>
      </c>
      <c r="AP826" s="49">
        <v>4</v>
      </c>
      <c r="AQ826" s="49">
        <v>20</v>
      </c>
      <c r="AR826" s="26">
        <f>Tabla2[[#This Row],[Minutos*]]/60</f>
        <v>0.33333333333333331</v>
      </c>
      <c r="AS826" s="27">
        <f>SUM(Tabla2[[#This Row],[Horas*]],Tabla2[[#This Row],[Minutos a Horas*]])+(Tabla2[[#This Row],[Tiempo Total a Nivel Proncincial (Horas)]])</f>
        <v>7.05</v>
      </c>
    </row>
    <row r="827" spans="28:45" x14ac:dyDescent="0.25">
      <c r="AB827" s="89"/>
      <c r="AD827" s="20" t="s">
        <v>2383</v>
      </c>
      <c r="AE827" s="10" t="s">
        <v>380</v>
      </c>
      <c r="AF827" s="20" t="s">
        <v>330</v>
      </c>
      <c r="AG827" s="10"/>
      <c r="AH827" s="22" t="str">
        <f t="shared" si="24"/>
        <v>Huancavelica_02 Acobamba</v>
      </c>
      <c r="AI827" s="10" t="s">
        <v>1126</v>
      </c>
      <c r="AJ827" s="20" t="s">
        <v>1050</v>
      </c>
      <c r="AK827" s="22" t="str">
        <f t="shared" si="25"/>
        <v>Huancavelica_02 Acobamba_04 Caja</v>
      </c>
      <c r="AL827" s="25">
        <v>2</v>
      </c>
      <c r="AM827" s="25">
        <v>43</v>
      </c>
      <c r="AN827" s="26">
        <f>Tabla2[[#This Row],[Minutos]]/60</f>
        <v>0.71666666666666667</v>
      </c>
      <c r="AO827" s="27">
        <f>SUM(Tabla2[[#This Row],[Horas]],Tabla2[[#This Row],[Minutos a Horas]])</f>
        <v>2.7166666666666668</v>
      </c>
      <c r="AP827" s="49">
        <v>4</v>
      </c>
      <c r="AQ827" s="49">
        <v>10</v>
      </c>
      <c r="AR827" s="26">
        <f>Tabla2[[#This Row],[Minutos*]]/60</f>
        <v>0.16666666666666666</v>
      </c>
      <c r="AS827" s="27">
        <f>SUM(Tabla2[[#This Row],[Horas*]],Tabla2[[#This Row],[Minutos a Horas*]])+(Tabla2[[#This Row],[Tiempo Total a Nivel Proncincial (Horas)]])</f>
        <v>6.8833333333333337</v>
      </c>
    </row>
    <row r="828" spans="28:45" x14ac:dyDescent="0.25">
      <c r="AB828" s="89"/>
      <c r="AD828" s="20" t="s">
        <v>2383</v>
      </c>
      <c r="AE828" s="10" t="s">
        <v>380</v>
      </c>
      <c r="AF828" s="20" t="s">
        <v>330</v>
      </c>
      <c r="AG828" s="10"/>
      <c r="AH828" s="22" t="str">
        <f t="shared" si="24"/>
        <v>Huancavelica_02 Acobamba</v>
      </c>
      <c r="AI828" s="10" t="s">
        <v>1126</v>
      </c>
      <c r="AJ828" s="20" t="s">
        <v>1051</v>
      </c>
      <c r="AK828" s="22" t="str">
        <f t="shared" si="25"/>
        <v>Huancavelica_02 Acobamba_05 Marcas</v>
      </c>
      <c r="AL828" s="25">
        <v>2</v>
      </c>
      <c r="AM828" s="25">
        <v>43</v>
      </c>
      <c r="AN828" s="26">
        <f>Tabla2[[#This Row],[Minutos]]/60</f>
        <v>0.71666666666666667</v>
      </c>
      <c r="AO828" s="27">
        <f>SUM(Tabla2[[#This Row],[Horas]],Tabla2[[#This Row],[Minutos a Horas]])</f>
        <v>2.7166666666666668</v>
      </c>
      <c r="AP828" s="49">
        <v>4</v>
      </c>
      <c r="AQ828" s="49">
        <v>50</v>
      </c>
      <c r="AR828" s="26">
        <f>Tabla2[[#This Row],[Minutos*]]/60</f>
        <v>0.83333333333333337</v>
      </c>
      <c r="AS828" s="27">
        <f>SUM(Tabla2[[#This Row],[Horas*]],Tabla2[[#This Row],[Minutos a Horas*]])+(Tabla2[[#This Row],[Tiempo Total a Nivel Proncincial (Horas)]])</f>
        <v>7.55</v>
      </c>
    </row>
    <row r="829" spans="28:45" x14ac:dyDescent="0.25">
      <c r="AB829" s="89"/>
      <c r="AD829" s="20" t="s">
        <v>2383</v>
      </c>
      <c r="AE829" s="10" t="s">
        <v>380</v>
      </c>
      <c r="AF829" s="20" t="s">
        <v>330</v>
      </c>
      <c r="AG829" s="10"/>
      <c r="AH829" s="22" t="str">
        <f t="shared" si="24"/>
        <v>Huancavelica_02 Acobamba</v>
      </c>
      <c r="AI829" s="10" t="s">
        <v>1126</v>
      </c>
      <c r="AJ829" s="20" t="s">
        <v>1052</v>
      </c>
      <c r="AK829" s="22" t="str">
        <f t="shared" si="25"/>
        <v>Huancavelica_02 Acobamba_06 Paucara</v>
      </c>
      <c r="AL829" s="25">
        <v>2</v>
      </c>
      <c r="AM829" s="25">
        <v>43</v>
      </c>
      <c r="AN829" s="26">
        <f>Tabla2[[#This Row],[Minutos]]/60</f>
        <v>0.71666666666666667</v>
      </c>
      <c r="AO829" s="27">
        <f>SUM(Tabla2[[#This Row],[Horas]],Tabla2[[#This Row],[Minutos a Horas]])</f>
        <v>2.7166666666666668</v>
      </c>
      <c r="AP829" s="49">
        <v>3</v>
      </c>
      <c r="AQ829" s="49">
        <v>0</v>
      </c>
      <c r="AR829" s="26">
        <f>Tabla2[[#This Row],[Minutos*]]/60</f>
        <v>0</v>
      </c>
      <c r="AS829" s="27">
        <f>SUM(Tabla2[[#This Row],[Horas*]],Tabla2[[#This Row],[Minutos a Horas*]])+(Tabla2[[#This Row],[Tiempo Total a Nivel Proncincial (Horas)]])</f>
        <v>5.7166666666666668</v>
      </c>
    </row>
    <row r="830" spans="28:45" x14ac:dyDescent="0.25">
      <c r="AB830" s="89"/>
      <c r="AD830" s="20" t="s">
        <v>2383</v>
      </c>
      <c r="AE830" s="10" t="s">
        <v>380</v>
      </c>
      <c r="AF830" s="20" t="s">
        <v>330</v>
      </c>
      <c r="AG830" s="10"/>
      <c r="AH830" s="22" t="str">
        <f t="shared" si="24"/>
        <v>Huancavelica_02 Acobamba</v>
      </c>
      <c r="AI830" s="10" t="s">
        <v>1126</v>
      </c>
      <c r="AJ830" s="20" t="s">
        <v>1053</v>
      </c>
      <c r="AK830" s="22" t="str">
        <f t="shared" si="25"/>
        <v>Huancavelica_02 Acobamba_07 Pomacocha</v>
      </c>
      <c r="AL830" s="25">
        <v>2</v>
      </c>
      <c r="AM830" s="25">
        <v>43</v>
      </c>
      <c r="AN830" s="26">
        <f>Tabla2[[#This Row],[Minutos]]/60</f>
        <v>0.71666666666666667</v>
      </c>
      <c r="AO830" s="27">
        <f>SUM(Tabla2[[#This Row],[Horas]],Tabla2[[#This Row],[Minutos a Horas]])</f>
        <v>2.7166666666666668</v>
      </c>
      <c r="AP830" s="49">
        <v>3</v>
      </c>
      <c r="AQ830" s="49">
        <v>52</v>
      </c>
      <c r="AR830" s="26">
        <f>Tabla2[[#This Row],[Minutos*]]/60</f>
        <v>0.8666666666666667</v>
      </c>
      <c r="AS830" s="27">
        <f>SUM(Tabla2[[#This Row],[Horas*]],Tabla2[[#This Row],[Minutos a Horas*]])+(Tabla2[[#This Row],[Tiempo Total a Nivel Proncincial (Horas)]])</f>
        <v>6.5833333333333339</v>
      </c>
    </row>
    <row r="831" spans="28:45" x14ac:dyDescent="0.25">
      <c r="AB831" s="89"/>
      <c r="AD831" s="20" t="s">
        <v>2383</v>
      </c>
      <c r="AE831" s="10" t="s">
        <v>380</v>
      </c>
      <c r="AF831" s="20" t="s">
        <v>330</v>
      </c>
      <c r="AG831" s="10"/>
      <c r="AH831" s="22" t="str">
        <f t="shared" si="24"/>
        <v>Huancavelica_02 Acobamba</v>
      </c>
      <c r="AI831" s="10" t="s">
        <v>1126</v>
      </c>
      <c r="AJ831" s="20" t="s">
        <v>1054</v>
      </c>
      <c r="AK831" s="22" t="str">
        <f t="shared" si="25"/>
        <v>Huancavelica_02 Acobamba_08 Rosario</v>
      </c>
      <c r="AL831" s="25">
        <v>2</v>
      </c>
      <c r="AM831" s="25">
        <v>43</v>
      </c>
      <c r="AN831" s="26">
        <f>Tabla2[[#This Row],[Minutos]]/60</f>
        <v>0.71666666666666667</v>
      </c>
      <c r="AO831" s="27">
        <f>SUM(Tabla2[[#This Row],[Horas]],Tabla2[[#This Row],[Minutos a Horas]])</f>
        <v>2.7166666666666668</v>
      </c>
      <c r="AP831" s="49">
        <v>4</v>
      </c>
      <c r="AQ831" s="49">
        <v>5</v>
      </c>
      <c r="AR831" s="26">
        <f>Tabla2[[#This Row],[Minutos*]]/60</f>
        <v>8.3333333333333329E-2</v>
      </c>
      <c r="AS831" s="27">
        <f>SUM(Tabla2[[#This Row],[Horas*]],Tabla2[[#This Row],[Minutos a Horas*]])+(Tabla2[[#This Row],[Tiempo Total a Nivel Proncincial (Horas)]])</f>
        <v>6.8</v>
      </c>
    </row>
    <row r="832" spans="28:45" x14ac:dyDescent="0.25">
      <c r="AB832" s="89"/>
      <c r="AD832" s="20" t="s">
        <v>2383</v>
      </c>
      <c r="AE832" s="10" t="s">
        <v>380</v>
      </c>
      <c r="AF832" s="20" t="s">
        <v>1026</v>
      </c>
      <c r="AG832" s="10"/>
      <c r="AH832" s="22" t="str">
        <f t="shared" si="24"/>
        <v>Huancavelica_03 Angaraes</v>
      </c>
      <c r="AI832" s="10" t="s">
        <v>1127</v>
      </c>
      <c r="AJ832" s="20" t="s">
        <v>1055</v>
      </c>
      <c r="AK832" s="22" t="str">
        <f t="shared" si="25"/>
        <v>Huancavelica_03 Angaraes_01 Lircay</v>
      </c>
      <c r="AL832" s="25">
        <v>2</v>
      </c>
      <c r="AM832" s="25">
        <v>8</v>
      </c>
      <c r="AN832" s="26">
        <f>Tabla2[[#This Row],[Minutos]]/60</f>
        <v>0.13333333333333333</v>
      </c>
      <c r="AO832" s="27">
        <f>SUM(Tabla2[[#This Row],[Horas]],Tabla2[[#This Row],[Minutos a Horas]])</f>
        <v>2.1333333333333333</v>
      </c>
      <c r="AP832" s="49">
        <v>2</v>
      </c>
      <c r="AQ832" s="49">
        <v>40</v>
      </c>
      <c r="AR832" s="26">
        <f>Tabla2[[#This Row],[Minutos*]]/60</f>
        <v>0.66666666666666663</v>
      </c>
      <c r="AS832" s="27">
        <f>SUM(Tabla2[[#This Row],[Horas*]],Tabla2[[#This Row],[Minutos a Horas*]])+(Tabla2[[#This Row],[Tiempo Total a Nivel Proncincial (Horas)]])</f>
        <v>4.8</v>
      </c>
    </row>
    <row r="833" spans="28:45" x14ac:dyDescent="0.25">
      <c r="AB833" s="89"/>
      <c r="AD833" s="20" t="s">
        <v>2383</v>
      </c>
      <c r="AE833" s="10" t="s">
        <v>380</v>
      </c>
      <c r="AF833" s="20" t="s">
        <v>1026</v>
      </c>
      <c r="AG833" s="10"/>
      <c r="AH833" s="22" t="str">
        <f t="shared" si="24"/>
        <v>Huancavelica_03 Angaraes</v>
      </c>
      <c r="AI833" s="10" t="s">
        <v>1127</v>
      </c>
      <c r="AJ833" s="20" t="s">
        <v>1056</v>
      </c>
      <c r="AK833" s="22" t="str">
        <f t="shared" si="25"/>
        <v>Huancavelica_03 Angaraes_02 Anchonga</v>
      </c>
      <c r="AL833" s="25">
        <v>2</v>
      </c>
      <c r="AM833" s="25">
        <v>8</v>
      </c>
      <c r="AN833" s="26">
        <f>Tabla2[[#This Row],[Minutos]]/60</f>
        <v>0.13333333333333333</v>
      </c>
      <c r="AO833" s="27">
        <f>SUM(Tabla2[[#This Row],[Horas]],Tabla2[[#This Row],[Minutos a Horas]])</f>
        <v>2.1333333333333333</v>
      </c>
      <c r="AP833" s="49">
        <v>2</v>
      </c>
      <c r="AQ833" s="49">
        <v>50</v>
      </c>
      <c r="AR833" s="26">
        <f>Tabla2[[#This Row],[Minutos*]]/60</f>
        <v>0.83333333333333337</v>
      </c>
      <c r="AS833" s="27">
        <f>SUM(Tabla2[[#This Row],[Horas*]],Tabla2[[#This Row],[Minutos a Horas*]])+(Tabla2[[#This Row],[Tiempo Total a Nivel Proncincial (Horas)]])</f>
        <v>4.9666666666666668</v>
      </c>
    </row>
    <row r="834" spans="28:45" x14ac:dyDescent="0.25">
      <c r="AB834" s="89"/>
      <c r="AD834" s="20" t="s">
        <v>2383</v>
      </c>
      <c r="AE834" s="10" t="s">
        <v>380</v>
      </c>
      <c r="AF834" s="20" t="s">
        <v>1026</v>
      </c>
      <c r="AG834" s="10"/>
      <c r="AH834" s="22" t="str">
        <f t="shared" si="24"/>
        <v>Huancavelica_03 Angaraes</v>
      </c>
      <c r="AI834" s="10" t="s">
        <v>1127</v>
      </c>
      <c r="AJ834" s="20" t="s">
        <v>1057</v>
      </c>
      <c r="AK834" s="22" t="str">
        <f t="shared" si="25"/>
        <v>Huancavelica_03 Angaraes_03 Callanmarca</v>
      </c>
      <c r="AL834" s="25">
        <v>2</v>
      </c>
      <c r="AM834" s="25">
        <v>8</v>
      </c>
      <c r="AN834" s="26">
        <f>Tabla2[[#This Row],[Minutos]]/60</f>
        <v>0.13333333333333333</v>
      </c>
      <c r="AO834" s="27">
        <f>SUM(Tabla2[[#This Row],[Horas]],Tabla2[[#This Row],[Minutos a Horas]])</f>
        <v>2.1333333333333333</v>
      </c>
      <c r="AP834" s="49">
        <v>3</v>
      </c>
      <c r="AQ834" s="49">
        <v>30</v>
      </c>
      <c r="AR834" s="26">
        <f>Tabla2[[#This Row],[Minutos*]]/60</f>
        <v>0.5</v>
      </c>
      <c r="AS834" s="27">
        <f>SUM(Tabla2[[#This Row],[Horas*]],Tabla2[[#This Row],[Minutos a Horas*]])+(Tabla2[[#This Row],[Tiempo Total a Nivel Proncincial (Horas)]])</f>
        <v>5.6333333333333329</v>
      </c>
    </row>
    <row r="835" spans="28:45" x14ac:dyDescent="0.25">
      <c r="AB835" s="89"/>
      <c r="AD835" s="20" t="s">
        <v>2383</v>
      </c>
      <c r="AE835" s="10" t="s">
        <v>380</v>
      </c>
      <c r="AF835" s="20" t="s">
        <v>1026</v>
      </c>
      <c r="AG835" s="10"/>
      <c r="AH835" s="22" t="str">
        <f t="shared" si="24"/>
        <v>Huancavelica_03 Angaraes</v>
      </c>
      <c r="AI835" s="10" t="s">
        <v>1127</v>
      </c>
      <c r="AJ835" s="20" t="s">
        <v>1058</v>
      </c>
      <c r="AK835" s="22" t="str">
        <f t="shared" si="25"/>
        <v>Huancavelica_03 Angaraes_04 Ccochaccasa</v>
      </c>
      <c r="AL835" s="25">
        <v>2</v>
      </c>
      <c r="AM835" s="25">
        <v>8</v>
      </c>
      <c r="AN835" s="26">
        <f>Tabla2[[#This Row],[Minutos]]/60</f>
        <v>0.13333333333333333</v>
      </c>
      <c r="AO835" s="27">
        <f>SUM(Tabla2[[#This Row],[Horas]],Tabla2[[#This Row],[Minutos a Horas]])</f>
        <v>2.1333333333333333</v>
      </c>
      <c r="AP835" s="49">
        <v>2</v>
      </c>
      <c r="AQ835" s="49">
        <v>15</v>
      </c>
      <c r="AR835" s="26">
        <f>Tabla2[[#This Row],[Minutos*]]/60</f>
        <v>0.25</v>
      </c>
      <c r="AS835" s="27">
        <f>SUM(Tabla2[[#This Row],[Horas*]],Tabla2[[#This Row],[Minutos a Horas*]])+(Tabla2[[#This Row],[Tiempo Total a Nivel Proncincial (Horas)]])</f>
        <v>4.3833333333333329</v>
      </c>
    </row>
    <row r="836" spans="28:45" x14ac:dyDescent="0.25">
      <c r="AB836" s="89"/>
      <c r="AD836" s="20" t="s">
        <v>2383</v>
      </c>
      <c r="AE836" s="10" t="s">
        <v>380</v>
      </c>
      <c r="AF836" s="20" t="s">
        <v>1026</v>
      </c>
      <c r="AG836" s="10"/>
      <c r="AH836" s="22" t="str">
        <f t="shared" si="24"/>
        <v>Huancavelica_03 Angaraes</v>
      </c>
      <c r="AI836" s="10" t="s">
        <v>1127</v>
      </c>
      <c r="AJ836" s="20" t="s">
        <v>1059</v>
      </c>
      <c r="AK836" s="22" t="str">
        <f t="shared" si="25"/>
        <v>Huancavelica_03 Angaraes_05 Chincho</v>
      </c>
      <c r="AL836" s="25">
        <v>2</v>
      </c>
      <c r="AM836" s="25">
        <v>8</v>
      </c>
      <c r="AN836" s="26">
        <f>Tabla2[[#This Row],[Minutos]]/60</f>
        <v>0.13333333333333333</v>
      </c>
      <c r="AO836" s="27">
        <f>SUM(Tabla2[[#This Row],[Horas]],Tabla2[[#This Row],[Minutos a Horas]])</f>
        <v>2.1333333333333333</v>
      </c>
      <c r="AP836" s="49">
        <v>4</v>
      </c>
      <c r="AQ836" s="49">
        <v>15</v>
      </c>
      <c r="AR836" s="26">
        <f>Tabla2[[#This Row],[Minutos*]]/60</f>
        <v>0.25</v>
      </c>
      <c r="AS836" s="27">
        <f>SUM(Tabla2[[#This Row],[Horas*]],Tabla2[[#This Row],[Minutos a Horas*]])+(Tabla2[[#This Row],[Tiempo Total a Nivel Proncincial (Horas)]])</f>
        <v>6.3833333333333329</v>
      </c>
    </row>
    <row r="837" spans="28:45" x14ac:dyDescent="0.25">
      <c r="AB837" s="89"/>
      <c r="AD837" s="20" t="s">
        <v>2383</v>
      </c>
      <c r="AE837" s="10" t="s">
        <v>380</v>
      </c>
      <c r="AF837" s="20" t="s">
        <v>1026</v>
      </c>
      <c r="AG837" s="10"/>
      <c r="AH837" s="22" t="str">
        <f t="shared" si="24"/>
        <v>Huancavelica_03 Angaraes</v>
      </c>
      <c r="AI837" s="10" t="s">
        <v>1127</v>
      </c>
      <c r="AJ837" s="20" t="s">
        <v>1060</v>
      </c>
      <c r="AK837" s="22" t="str">
        <f t="shared" si="25"/>
        <v>Huancavelica_03 Angaraes_06 Congalla</v>
      </c>
      <c r="AL837" s="25">
        <v>2</v>
      </c>
      <c r="AM837" s="25">
        <v>8</v>
      </c>
      <c r="AN837" s="26">
        <f>Tabla2[[#This Row],[Minutos]]/60</f>
        <v>0.13333333333333333</v>
      </c>
      <c r="AO837" s="27">
        <f>SUM(Tabla2[[#This Row],[Horas]],Tabla2[[#This Row],[Minutos a Horas]])</f>
        <v>2.1333333333333333</v>
      </c>
      <c r="AP837" s="49">
        <v>3</v>
      </c>
      <c r="AQ837" s="49">
        <v>50</v>
      </c>
      <c r="AR837" s="26">
        <f>Tabla2[[#This Row],[Minutos*]]/60</f>
        <v>0.83333333333333337</v>
      </c>
      <c r="AS837" s="27">
        <f>SUM(Tabla2[[#This Row],[Horas*]],Tabla2[[#This Row],[Minutos a Horas*]])+(Tabla2[[#This Row],[Tiempo Total a Nivel Proncincial (Horas)]])</f>
        <v>5.9666666666666668</v>
      </c>
    </row>
    <row r="838" spans="28:45" x14ac:dyDescent="0.25">
      <c r="AB838" s="89"/>
      <c r="AD838" s="20" t="s">
        <v>2383</v>
      </c>
      <c r="AE838" s="10" t="s">
        <v>380</v>
      </c>
      <c r="AF838" s="20" t="s">
        <v>1026</v>
      </c>
      <c r="AG838" s="10"/>
      <c r="AH838" s="22" t="str">
        <f t="shared" si="24"/>
        <v>Huancavelica_03 Angaraes</v>
      </c>
      <c r="AI838" s="10" t="s">
        <v>1127</v>
      </c>
      <c r="AJ838" s="20" t="s">
        <v>1061</v>
      </c>
      <c r="AK838" s="22" t="str">
        <f t="shared" si="25"/>
        <v>Huancavelica_03 Angaraes_07 Huanca-Huanca</v>
      </c>
      <c r="AL838" s="25">
        <v>2</v>
      </c>
      <c r="AM838" s="25">
        <v>8</v>
      </c>
      <c r="AN838" s="26">
        <f>Tabla2[[#This Row],[Minutos]]/60</f>
        <v>0.13333333333333333</v>
      </c>
      <c r="AO838" s="27">
        <f>SUM(Tabla2[[#This Row],[Horas]],Tabla2[[#This Row],[Minutos a Horas]])</f>
        <v>2.1333333333333333</v>
      </c>
      <c r="AP838" s="49">
        <v>3</v>
      </c>
      <c r="AQ838" s="49">
        <v>40</v>
      </c>
      <c r="AR838" s="26">
        <f>Tabla2[[#This Row],[Minutos*]]/60</f>
        <v>0.66666666666666663</v>
      </c>
      <c r="AS838" s="27">
        <f>SUM(Tabla2[[#This Row],[Horas*]],Tabla2[[#This Row],[Minutos a Horas*]])+(Tabla2[[#This Row],[Tiempo Total a Nivel Proncincial (Horas)]])</f>
        <v>5.8</v>
      </c>
    </row>
    <row r="839" spans="28:45" x14ac:dyDescent="0.25">
      <c r="AB839" s="89"/>
      <c r="AD839" s="20" t="s">
        <v>2383</v>
      </c>
      <c r="AE839" s="10" t="s">
        <v>380</v>
      </c>
      <c r="AF839" s="20" t="s">
        <v>1026</v>
      </c>
      <c r="AG839" s="10"/>
      <c r="AH839" s="22" t="str">
        <f t="shared" si="24"/>
        <v>Huancavelica_03 Angaraes</v>
      </c>
      <c r="AI839" s="10" t="s">
        <v>1127</v>
      </c>
      <c r="AJ839" s="20" t="s">
        <v>1062</v>
      </c>
      <c r="AK839" s="22" t="str">
        <f t="shared" si="25"/>
        <v>Huancavelica_03 Angaraes_08 Huayllay Grande</v>
      </c>
      <c r="AL839" s="25">
        <v>2</v>
      </c>
      <c r="AM839" s="25">
        <v>8</v>
      </c>
      <c r="AN839" s="26">
        <f>Tabla2[[#This Row],[Minutos]]/60</f>
        <v>0.13333333333333333</v>
      </c>
      <c r="AO839" s="27">
        <f>SUM(Tabla2[[#This Row],[Horas]],Tabla2[[#This Row],[Minutos a Horas]])</f>
        <v>2.1333333333333333</v>
      </c>
      <c r="AP839" s="49">
        <v>2</v>
      </c>
      <c r="AQ839" s="49">
        <v>52</v>
      </c>
      <c r="AR839" s="26">
        <f>Tabla2[[#This Row],[Minutos*]]/60</f>
        <v>0.8666666666666667</v>
      </c>
      <c r="AS839" s="27">
        <f>SUM(Tabla2[[#This Row],[Horas*]],Tabla2[[#This Row],[Minutos a Horas*]])+(Tabla2[[#This Row],[Tiempo Total a Nivel Proncincial (Horas)]])</f>
        <v>5</v>
      </c>
    </row>
    <row r="840" spans="28:45" x14ac:dyDescent="0.25">
      <c r="AB840" s="89"/>
      <c r="AD840" s="20" t="s">
        <v>2383</v>
      </c>
      <c r="AE840" s="10" t="s">
        <v>380</v>
      </c>
      <c r="AF840" s="20" t="s">
        <v>1026</v>
      </c>
      <c r="AG840" s="10"/>
      <c r="AH840" s="22" t="str">
        <f t="shared" ref="AH840:AH903" si="26">CONCATENATE(AD840,"_",AF840)</f>
        <v>Huancavelica_03 Angaraes</v>
      </c>
      <c r="AI840" s="10" t="s">
        <v>1127</v>
      </c>
      <c r="AJ840" s="20" t="s">
        <v>1063</v>
      </c>
      <c r="AK840" s="22" t="str">
        <f t="shared" ref="AK840:AK903" si="27">CONCATENATE(AH840,"_",AJ840)</f>
        <v>Huancavelica_03 Angaraes_09 Julcamarca</v>
      </c>
      <c r="AL840" s="25">
        <v>2</v>
      </c>
      <c r="AM840" s="25">
        <v>8</v>
      </c>
      <c r="AN840" s="26">
        <f>Tabla2[[#This Row],[Minutos]]/60</f>
        <v>0.13333333333333333</v>
      </c>
      <c r="AO840" s="27">
        <f>SUM(Tabla2[[#This Row],[Horas]],Tabla2[[#This Row],[Minutos a Horas]])</f>
        <v>2.1333333333333333</v>
      </c>
      <c r="AP840" s="49">
        <v>3</v>
      </c>
      <c r="AQ840" s="49">
        <v>45</v>
      </c>
      <c r="AR840" s="26">
        <f>Tabla2[[#This Row],[Minutos*]]/60</f>
        <v>0.75</v>
      </c>
      <c r="AS840" s="27">
        <f>SUM(Tabla2[[#This Row],[Horas*]],Tabla2[[#This Row],[Minutos a Horas*]])+(Tabla2[[#This Row],[Tiempo Total a Nivel Proncincial (Horas)]])</f>
        <v>5.8833333333333329</v>
      </c>
    </row>
    <row r="841" spans="28:45" x14ac:dyDescent="0.25">
      <c r="AB841" s="89"/>
      <c r="AD841" s="20" t="s">
        <v>2383</v>
      </c>
      <c r="AE841" s="10" t="s">
        <v>380</v>
      </c>
      <c r="AF841" s="20" t="s">
        <v>1026</v>
      </c>
      <c r="AG841" s="10"/>
      <c r="AH841" s="22" t="str">
        <f t="shared" si="26"/>
        <v>Huancavelica_03 Angaraes</v>
      </c>
      <c r="AI841" s="10" t="s">
        <v>1127</v>
      </c>
      <c r="AJ841" s="20" t="s">
        <v>1064</v>
      </c>
      <c r="AK841" s="22" t="str">
        <f t="shared" si="27"/>
        <v>Huancavelica_03 Angaraes_10 San Antonio de Antaparco</v>
      </c>
      <c r="AL841" s="25">
        <v>2</v>
      </c>
      <c r="AM841" s="25">
        <v>8</v>
      </c>
      <c r="AN841" s="26">
        <f>Tabla2[[#This Row],[Minutos]]/60</f>
        <v>0.13333333333333333</v>
      </c>
      <c r="AO841" s="27">
        <f>SUM(Tabla2[[#This Row],[Horas]],Tabla2[[#This Row],[Minutos a Horas]])</f>
        <v>2.1333333333333333</v>
      </c>
      <c r="AP841" s="49">
        <v>3</v>
      </c>
      <c r="AQ841" s="49">
        <v>45</v>
      </c>
      <c r="AR841" s="26">
        <f>Tabla2[[#This Row],[Minutos*]]/60</f>
        <v>0.75</v>
      </c>
      <c r="AS841" s="27">
        <f>SUM(Tabla2[[#This Row],[Horas*]],Tabla2[[#This Row],[Minutos a Horas*]])+(Tabla2[[#This Row],[Tiempo Total a Nivel Proncincial (Horas)]])</f>
        <v>5.8833333333333329</v>
      </c>
    </row>
    <row r="842" spans="28:45" x14ac:dyDescent="0.25">
      <c r="AB842" s="89"/>
      <c r="AD842" s="20" t="s">
        <v>2383</v>
      </c>
      <c r="AE842" s="10" t="s">
        <v>380</v>
      </c>
      <c r="AF842" s="20" t="s">
        <v>1026</v>
      </c>
      <c r="AG842" s="10"/>
      <c r="AH842" s="22" t="str">
        <f t="shared" si="26"/>
        <v>Huancavelica_03 Angaraes</v>
      </c>
      <c r="AI842" s="10" t="s">
        <v>1127</v>
      </c>
      <c r="AJ842" s="20" t="s">
        <v>1065</v>
      </c>
      <c r="AK842" s="22" t="str">
        <f t="shared" si="27"/>
        <v>Huancavelica_03 Angaraes_11 Santo Tomas de Pata</v>
      </c>
      <c r="AL842" s="25">
        <v>2</v>
      </c>
      <c r="AM842" s="25">
        <v>8</v>
      </c>
      <c r="AN842" s="26">
        <f>Tabla2[[#This Row],[Minutos]]/60</f>
        <v>0.13333333333333333</v>
      </c>
      <c r="AO842" s="27">
        <f>SUM(Tabla2[[#This Row],[Horas]],Tabla2[[#This Row],[Minutos a Horas]])</f>
        <v>2.1333333333333333</v>
      </c>
      <c r="AP842" s="49">
        <v>3</v>
      </c>
      <c r="AQ842" s="49">
        <v>30</v>
      </c>
      <c r="AR842" s="26">
        <f>Tabla2[[#This Row],[Minutos*]]/60</f>
        <v>0.5</v>
      </c>
      <c r="AS842" s="27">
        <f>SUM(Tabla2[[#This Row],[Horas*]],Tabla2[[#This Row],[Minutos a Horas*]])+(Tabla2[[#This Row],[Tiempo Total a Nivel Proncincial (Horas)]])</f>
        <v>5.6333333333333329</v>
      </c>
    </row>
    <row r="843" spans="28:45" x14ac:dyDescent="0.25">
      <c r="AB843" s="89"/>
      <c r="AD843" s="20" t="s">
        <v>2383</v>
      </c>
      <c r="AE843" s="10" t="s">
        <v>380</v>
      </c>
      <c r="AF843" s="20" t="s">
        <v>1026</v>
      </c>
      <c r="AG843" s="10"/>
      <c r="AH843" s="22" t="str">
        <f t="shared" si="26"/>
        <v>Huancavelica_03 Angaraes</v>
      </c>
      <c r="AI843" s="10" t="s">
        <v>1127</v>
      </c>
      <c r="AJ843" s="20" t="s">
        <v>1066</v>
      </c>
      <c r="AK843" s="22" t="str">
        <f t="shared" si="27"/>
        <v>Huancavelica_03 Angaraes_12 Secclla</v>
      </c>
      <c r="AL843" s="25">
        <v>2</v>
      </c>
      <c r="AM843" s="25">
        <v>8</v>
      </c>
      <c r="AN843" s="26">
        <f>Tabla2[[#This Row],[Minutos]]/60</f>
        <v>0.13333333333333333</v>
      </c>
      <c r="AO843" s="27">
        <f>SUM(Tabla2[[#This Row],[Horas]],Tabla2[[#This Row],[Minutos a Horas]])</f>
        <v>2.1333333333333333</v>
      </c>
      <c r="AP843" s="49">
        <v>3</v>
      </c>
      <c r="AQ843" s="49">
        <v>35</v>
      </c>
      <c r="AR843" s="26">
        <f>Tabla2[[#This Row],[Minutos*]]/60</f>
        <v>0.58333333333333337</v>
      </c>
      <c r="AS843" s="27">
        <f>SUM(Tabla2[[#This Row],[Horas*]],Tabla2[[#This Row],[Minutos a Horas*]])+(Tabla2[[#This Row],[Tiempo Total a Nivel Proncincial (Horas)]])</f>
        <v>5.7166666666666668</v>
      </c>
    </row>
    <row r="844" spans="28:45" x14ac:dyDescent="0.25">
      <c r="AB844" s="89"/>
      <c r="AD844" s="20" t="s">
        <v>2383</v>
      </c>
      <c r="AE844" s="10" t="s">
        <v>380</v>
      </c>
      <c r="AF844" s="20" t="s">
        <v>1027</v>
      </c>
      <c r="AG844" s="10"/>
      <c r="AH844" s="22" t="str">
        <f t="shared" si="26"/>
        <v>Huancavelica_04 Castrovirreyna</v>
      </c>
      <c r="AI844" s="10" t="s">
        <v>1128</v>
      </c>
      <c r="AJ844" s="20" t="s">
        <v>1067</v>
      </c>
      <c r="AK844" s="22" t="str">
        <f t="shared" si="27"/>
        <v>Huancavelica_04 Castrovirreyna_01 Castrovirreyna</v>
      </c>
      <c r="AL844" s="25">
        <v>2</v>
      </c>
      <c r="AM844" s="25">
        <v>12</v>
      </c>
      <c r="AN844" s="26">
        <f>Tabla2[[#This Row],[Minutos]]/60</f>
        <v>0.2</v>
      </c>
      <c r="AO844" s="27">
        <f>SUM(Tabla2[[#This Row],[Horas]],Tabla2[[#This Row],[Minutos a Horas]])</f>
        <v>2.2000000000000002</v>
      </c>
      <c r="AP844" s="49">
        <v>3</v>
      </c>
      <c r="AQ844" s="49">
        <v>30</v>
      </c>
      <c r="AR844" s="26">
        <f>Tabla2[[#This Row],[Minutos*]]/60</f>
        <v>0.5</v>
      </c>
      <c r="AS844" s="27">
        <f>SUM(Tabla2[[#This Row],[Horas*]],Tabla2[[#This Row],[Minutos a Horas*]])+(Tabla2[[#This Row],[Tiempo Total a Nivel Proncincial (Horas)]])</f>
        <v>5.7</v>
      </c>
    </row>
    <row r="845" spans="28:45" x14ac:dyDescent="0.25">
      <c r="AB845" s="89"/>
      <c r="AD845" s="20" t="s">
        <v>2383</v>
      </c>
      <c r="AE845" s="10" t="s">
        <v>380</v>
      </c>
      <c r="AF845" s="20" t="s">
        <v>1027</v>
      </c>
      <c r="AG845" s="10"/>
      <c r="AH845" s="22" t="str">
        <f t="shared" si="26"/>
        <v>Huancavelica_04 Castrovirreyna</v>
      </c>
      <c r="AI845" s="10" t="s">
        <v>1128</v>
      </c>
      <c r="AJ845" s="20" t="s">
        <v>1068</v>
      </c>
      <c r="AK845" s="22" t="str">
        <f t="shared" si="27"/>
        <v>Huancavelica_04 Castrovirreyna_02 Arma</v>
      </c>
      <c r="AL845" s="25">
        <v>2</v>
      </c>
      <c r="AM845" s="25">
        <v>12</v>
      </c>
      <c r="AN845" s="26">
        <f>Tabla2[[#This Row],[Minutos]]/60</f>
        <v>0.2</v>
      </c>
      <c r="AO845" s="27">
        <f>SUM(Tabla2[[#This Row],[Horas]],Tabla2[[#This Row],[Minutos a Horas]])</f>
        <v>2.2000000000000002</v>
      </c>
      <c r="AP845" s="49">
        <v>1</v>
      </c>
      <c r="AQ845" s="49">
        <v>25</v>
      </c>
      <c r="AR845" s="26">
        <f>Tabla2[[#This Row],[Minutos*]]/60</f>
        <v>0.41666666666666669</v>
      </c>
      <c r="AS845" s="27">
        <f>SUM(Tabla2[[#This Row],[Horas*]],Tabla2[[#This Row],[Minutos a Horas*]])+(Tabla2[[#This Row],[Tiempo Total a Nivel Proncincial (Horas)]])</f>
        <v>3.6166666666666671</v>
      </c>
    </row>
    <row r="846" spans="28:45" x14ac:dyDescent="0.25">
      <c r="AB846" s="89"/>
      <c r="AD846" s="20" t="s">
        <v>2383</v>
      </c>
      <c r="AE846" s="10" t="s">
        <v>380</v>
      </c>
      <c r="AF846" s="20" t="s">
        <v>1027</v>
      </c>
      <c r="AG846" s="10"/>
      <c r="AH846" s="22" t="str">
        <f t="shared" si="26"/>
        <v>Huancavelica_04 Castrovirreyna</v>
      </c>
      <c r="AI846" s="10" t="s">
        <v>1128</v>
      </c>
      <c r="AJ846" s="20" t="s">
        <v>1069</v>
      </c>
      <c r="AK846" s="22" t="str">
        <f t="shared" si="27"/>
        <v>Huancavelica_04 Castrovirreyna_03 Aurahua</v>
      </c>
      <c r="AL846" s="25">
        <v>2</v>
      </c>
      <c r="AM846" s="25">
        <v>12</v>
      </c>
      <c r="AN846" s="26">
        <f>Tabla2[[#This Row],[Minutos]]/60</f>
        <v>0.2</v>
      </c>
      <c r="AO846" s="27">
        <f>SUM(Tabla2[[#This Row],[Horas]],Tabla2[[#This Row],[Minutos a Horas]])</f>
        <v>2.2000000000000002</v>
      </c>
      <c r="AP846" s="49">
        <v>1</v>
      </c>
      <c r="AQ846" s="49">
        <v>0</v>
      </c>
      <c r="AR846" s="26">
        <f>Tabla2[[#This Row],[Minutos*]]/60</f>
        <v>0</v>
      </c>
      <c r="AS846" s="27">
        <f>SUM(Tabla2[[#This Row],[Horas*]],Tabla2[[#This Row],[Minutos a Horas*]])+(Tabla2[[#This Row],[Tiempo Total a Nivel Proncincial (Horas)]])</f>
        <v>3.2</v>
      </c>
    </row>
    <row r="847" spans="28:45" x14ac:dyDescent="0.25">
      <c r="AB847" s="89"/>
      <c r="AD847" s="20" t="s">
        <v>2383</v>
      </c>
      <c r="AE847" s="10" t="s">
        <v>380</v>
      </c>
      <c r="AF847" s="20" t="s">
        <v>1027</v>
      </c>
      <c r="AG847" s="10"/>
      <c r="AH847" s="22" t="str">
        <f t="shared" si="26"/>
        <v>Huancavelica_04 Castrovirreyna</v>
      </c>
      <c r="AI847" s="10" t="s">
        <v>1128</v>
      </c>
      <c r="AJ847" s="20" t="s">
        <v>1070</v>
      </c>
      <c r="AK847" s="22" t="str">
        <f t="shared" si="27"/>
        <v>Huancavelica_04 Castrovirreyna_04 Capillas</v>
      </c>
      <c r="AL847" s="25">
        <v>2</v>
      </c>
      <c r="AM847" s="25">
        <v>12</v>
      </c>
      <c r="AN847" s="26">
        <f>Tabla2[[#This Row],[Minutos]]/60</f>
        <v>0.2</v>
      </c>
      <c r="AO847" s="27">
        <f>SUM(Tabla2[[#This Row],[Horas]],Tabla2[[#This Row],[Minutos a Horas]])</f>
        <v>2.2000000000000002</v>
      </c>
      <c r="AP847" s="49">
        <v>2</v>
      </c>
      <c r="AQ847" s="49">
        <v>24</v>
      </c>
      <c r="AR847" s="26">
        <f>Tabla2[[#This Row],[Minutos*]]/60</f>
        <v>0.4</v>
      </c>
      <c r="AS847" s="27">
        <f>SUM(Tabla2[[#This Row],[Horas*]],Tabla2[[#This Row],[Minutos a Horas*]])+(Tabla2[[#This Row],[Tiempo Total a Nivel Proncincial (Horas)]])</f>
        <v>4.5999999999999996</v>
      </c>
    </row>
    <row r="848" spans="28:45" x14ac:dyDescent="0.25">
      <c r="AB848" s="89"/>
      <c r="AD848" s="20" t="s">
        <v>2383</v>
      </c>
      <c r="AE848" s="10" t="s">
        <v>380</v>
      </c>
      <c r="AF848" s="20" t="s">
        <v>1027</v>
      </c>
      <c r="AG848" s="10"/>
      <c r="AH848" s="22" t="str">
        <f t="shared" si="26"/>
        <v>Huancavelica_04 Castrovirreyna</v>
      </c>
      <c r="AI848" s="10" t="s">
        <v>1128</v>
      </c>
      <c r="AJ848" s="20" t="s">
        <v>1071</v>
      </c>
      <c r="AK848" s="22" t="str">
        <f t="shared" si="27"/>
        <v>Huancavelica_04 Castrovirreyna_05 Chupamarca</v>
      </c>
      <c r="AL848" s="25">
        <v>2</v>
      </c>
      <c r="AM848" s="25">
        <v>12</v>
      </c>
      <c r="AN848" s="26">
        <f>Tabla2[[#This Row],[Minutos]]/60</f>
        <v>0.2</v>
      </c>
      <c r="AO848" s="27">
        <f>SUM(Tabla2[[#This Row],[Horas]],Tabla2[[#This Row],[Minutos a Horas]])</f>
        <v>2.2000000000000002</v>
      </c>
      <c r="AP848" s="49">
        <v>3</v>
      </c>
      <c r="AQ848" s="49">
        <v>25</v>
      </c>
      <c r="AR848" s="26">
        <f>Tabla2[[#This Row],[Minutos*]]/60</f>
        <v>0.41666666666666669</v>
      </c>
      <c r="AS848" s="27">
        <f>SUM(Tabla2[[#This Row],[Horas*]],Tabla2[[#This Row],[Minutos a Horas*]])+(Tabla2[[#This Row],[Tiempo Total a Nivel Proncincial (Horas)]])</f>
        <v>5.6166666666666671</v>
      </c>
    </row>
    <row r="849" spans="28:45" x14ac:dyDescent="0.25">
      <c r="AB849" s="89"/>
      <c r="AD849" s="20" t="s">
        <v>2383</v>
      </c>
      <c r="AE849" s="10" t="s">
        <v>380</v>
      </c>
      <c r="AF849" s="20" t="s">
        <v>1027</v>
      </c>
      <c r="AG849" s="10"/>
      <c r="AH849" s="22" t="str">
        <f t="shared" si="26"/>
        <v>Huancavelica_04 Castrovirreyna</v>
      </c>
      <c r="AI849" s="10" t="s">
        <v>1128</v>
      </c>
      <c r="AJ849" s="20" t="s">
        <v>1072</v>
      </c>
      <c r="AK849" s="22" t="str">
        <f t="shared" si="27"/>
        <v>Huancavelica_04 Castrovirreyna_06 Cocas</v>
      </c>
      <c r="AL849" s="25">
        <v>2</v>
      </c>
      <c r="AM849" s="25">
        <v>12</v>
      </c>
      <c r="AN849" s="26">
        <f>Tabla2[[#This Row],[Minutos]]/60</f>
        <v>0.2</v>
      </c>
      <c r="AO849" s="27">
        <f>SUM(Tabla2[[#This Row],[Horas]],Tabla2[[#This Row],[Minutos a Horas]])</f>
        <v>2.2000000000000002</v>
      </c>
      <c r="AP849" s="49">
        <v>3</v>
      </c>
      <c r="AQ849" s="49">
        <v>15</v>
      </c>
      <c r="AR849" s="26">
        <f>Tabla2[[#This Row],[Minutos*]]/60</f>
        <v>0.25</v>
      </c>
      <c r="AS849" s="27">
        <f>SUM(Tabla2[[#This Row],[Horas*]],Tabla2[[#This Row],[Minutos a Horas*]])+(Tabla2[[#This Row],[Tiempo Total a Nivel Proncincial (Horas)]])</f>
        <v>5.45</v>
      </c>
    </row>
    <row r="850" spans="28:45" x14ac:dyDescent="0.25">
      <c r="AB850" s="89"/>
      <c r="AD850" s="20" t="s">
        <v>2383</v>
      </c>
      <c r="AE850" s="10" t="s">
        <v>380</v>
      </c>
      <c r="AF850" s="20" t="s">
        <v>1027</v>
      </c>
      <c r="AG850" s="10"/>
      <c r="AH850" s="22" t="str">
        <f t="shared" si="26"/>
        <v>Huancavelica_04 Castrovirreyna</v>
      </c>
      <c r="AI850" s="10" t="s">
        <v>1128</v>
      </c>
      <c r="AJ850" s="20" t="s">
        <v>1073</v>
      </c>
      <c r="AK850" s="22" t="str">
        <f t="shared" si="27"/>
        <v>Huancavelica_04 Castrovirreyna_07 Huachos</v>
      </c>
      <c r="AL850" s="25">
        <v>2</v>
      </c>
      <c r="AM850" s="25">
        <v>12</v>
      </c>
      <c r="AN850" s="26">
        <f>Tabla2[[#This Row],[Minutos]]/60</f>
        <v>0.2</v>
      </c>
      <c r="AO850" s="27">
        <f>SUM(Tabla2[[#This Row],[Horas]],Tabla2[[#This Row],[Minutos a Horas]])</f>
        <v>2.2000000000000002</v>
      </c>
      <c r="AP850" s="49">
        <v>1</v>
      </c>
      <c r="AQ850" s="49">
        <v>56</v>
      </c>
      <c r="AR850" s="26">
        <f>Tabla2[[#This Row],[Minutos*]]/60</f>
        <v>0.93333333333333335</v>
      </c>
      <c r="AS850" s="27">
        <f>SUM(Tabla2[[#This Row],[Horas*]],Tabla2[[#This Row],[Minutos a Horas*]])+(Tabla2[[#This Row],[Tiempo Total a Nivel Proncincial (Horas)]])</f>
        <v>4.1333333333333337</v>
      </c>
    </row>
    <row r="851" spans="28:45" x14ac:dyDescent="0.25">
      <c r="AB851" s="89"/>
      <c r="AD851" s="20" t="s">
        <v>2383</v>
      </c>
      <c r="AE851" s="10" t="s">
        <v>380</v>
      </c>
      <c r="AF851" s="20" t="s">
        <v>1027</v>
      </c>
      <c r="AG851" s="10"/>
      <c r="AH851" s="22" t="str">
        <f t="shared" si="26"/>
        <v>Huancavelica_04 Castrovirreyna</v>
      </c>
      <c r="AI851" s="10" t="s">
        <v>1128</v>
      </c>
      <c r="AJ851" s="20" t="s">
        <v>1074</v>
      </c>
      <c r="AK851" s="22" t="str">
        <f t="shared" si="27"/>
        <v>Huancavelica_04 Castrovirreyna_08 Huamatambo</v>
      </c>
      <c r="AL851" s="25">
        <v>2</v>
      </c>
      <c r="AM851" s="25">
        <v>12</v>
      </c>
      <c r="AN851" s="26">
        <f>Tabla2[[#This Row],[Minutos]]/60</f>
        <v>0.2</v>
      </c>
      <c r="AO851" s="27">
        <f>SUM(Tabla2[[#This Row],[Horas]],Tabla2[[#This Row],[Minutos a Horas]])</f>
        <v>2.2000000000000002</v>
      </c>
      <c r="AP851" s="49">
        <v>2</v>
      </c>
      <c r="AQ851" s="49">
        <v>40</v>
      </c>
      <c r="AR851" s="26">
        <f>Tabla2[[#This Row],[Minutos*]]/60</f>
        <v>0.66666666666666663</v>
      </c>
      <c r="AS851" s="27">
        <f>SUM(Tabla2[[#This Row],[Horas*]],Tabla2[[#This Row],[Minutos a Horas*]])+(Tabla2[[#This Row],[Tiempo Total a Nivel Proncincial (Horas)]])</f>
        <v>4.8666666666666671</v>
      </c>
    </row>
    <row r="852" spans="28:45" x14ac:dyDescent="0.25">
      <c r="AB852" s="89"/>
      <c r="AD852" s="20" t="s">
        <v>2383</v>
      </c>
      <c r="AE852" s="10" t="s">
        <v>380</v>
      </c>
      <c r="AF852" s="20" t="s">
        <v>1027</v>
      </c>
      <c r="AG852" s="10"/>
      <c r="AH852" s="22" t="str">
        <f t="shared" si="26"/>
        <v>Huancavelica_04 Castrovirreyna</v>
      </c>
      <c r="AI852" s="10" t="s">
        <v>1128</v>
      </c>
      <c r="AJ852" s="20" t="s">
        <v>1075</v>
      </c>
      <c r="AK852" s="22" t="str">
        <f t="shared" si="27"/>
        <v>Huancavelica_04 Castrovirreyna_09 Mollepampa</v>
      </c>
      <c r="AL852" s="25">
        <v>2</v>
      </c>
      <c r="AM852" s="25">
        <v>12</v>
      </c>
      <c r="AN852" s="26">
        <f>Tabla2[[#This Row],[Minutos]]/60</f>
        <v>0.2</v>
      </c>
      <c r="AO852" s="27">
        <f>SUM(Tabla2[[#This Row],[Horas]],Tabla2[[#This Row],[Minutos a Horas]])</f>
        <v>2.2000000000000002</v>
      </c>
      <c r="AP852" s="49">
        <v>3</v>
      </c>
      <c r="AQ852" s="49">
        <v>7</v>
      </c>
      <c r="AR852" s="26">
        <f>Tabla2[[#This Row],[Minutos*]]/60</f>
        <v>0.11666666666666667</v>
      </c>
      <c r="AS852" s="27">
        <f>SUM(Tabla2[[#This Row],[Horas*]],Tabla2[[#This Row],[Minutos a Horas*]])+(Tabla2[[#This Row],[Tiempo Total a Nivel Proncincial (Horas)]])</f>
        <v>5.3166666666666664</v>
      </c>
    </row>
    <row r="853" spans="28:45" x14ac:dyDescent="0.25">
      <c r="AB853" s="89"/>
      <c r="AD853" s="20" t="s">
        <v>2383</v>
      </c>
      <c r="AE853" s="10" t="s">
        <v>380</v>
      </c>
      <c r="AF853" s="20" t="s">
        <v>1027</v>
      </c>
      <c r="AG853" s="10"/>
      <c r="AH853" s="22" t="str">
        <f t="shared" si="26"/>
        <v>Huancavelica_04 Castrovirreyna</v>
      </c>
      <c r="AI853" s="10" t="s">
        <v>1128</v>
      </c>
      <c r="AJ853" s="20" t="s">
        <v>1076</v>
      </c>
      <c r="AK853" s="22" t="str">
        <f t="shared" si="27"/>
        <v>Huancavelica_04 Castrovirreyna_10 San Juan</v>
      </c>
      <c r="AL853" s="25">
        <v>2</v>
      </c>
      <c r="AM853" s="25">
        <v>12</v>
      </c>
      <c r="AN853" s="26">
        <f>Tabla2[[#This Row],[Minutos]]/60</f>
        <v>0.2</v>
      </c>
      <c r="AO853" s="27">
        <f>SUM(Tabla2[[#This Row],[Horas]],Tabla2[[#This Row],[Minutos a Horas]])</f>
        <v>2.2000000000000002</v>
      </c>
      <c r="AP853" s="49">
        <v>3</v>
      </c>
      <c r="AQ853" s="49">
        <v>0</v>
      </c>
      <c r="AR853" s="26">
        <f>Tabla2[[#This Row],[Minutos*]]/60</f>
        <v>0</v>
      </c>
      <c r="AS853" s="27">
        <f>SUM(Tabla2[[#This Row],[Horas*]],Tabla2[[#This Row],[Minutos a Horas*]])+(Tabla2[[#This Row],[Tiempo Total a Nivel Proncincial (Horas)]])</f>
        <v>5.2</v>
      </c>
    </row>
    <row r="854" spans="28:45" x14ac:dyDescent="0.25">
      <c r="AB854" s="89"/>
      <c r="AD854" s="20" t="s">
        <v>2383</v>
      </c>
      <c r="AE854" s="10" t="s">
        <v>380</v>
      </c>
      <c r="AF854" s="20" t="s">
        <v>1027</v>
      </c>
      <c r="AG854" s="10"/>
      <c r="AH854" s="22" t="str">
        <f t="shared" si="26"/>
        <v>Huancavelica_04 Castrovirreyna</v>
      </c>
      <c r="AI854" s="10" t="s">
        <v>1128</v>
      </c>
      <c r="AJ854" s="20" t="s">
        <v>1077</v>
      </c>
      <c r="AK854" s="22" t="str">
        <f t="shared" si="27"/>
        <v>Huancavelica_04 Castrovirreyna_11 Santa Ana</v>
      </c>
      <c r="AL854" s="25">
        <v>2</v>
      </c>
      <c r="AM854" s="25">
        <v>12</v>
      </c>
      <c r="AN854" s="26">
        <f>Tabla2[[#This Row],[Minutos]]/60</f>
        <v>0.2</v>
      </c>
      <c r="AO854" s="27">
        <f>SUM(Tabla2[[#This Row],[Horas]],Tabla2[[#This Row],[Minutos a Horas]])</f>
        <v>2.2000000000000002</v>
      </c>
      <c r="AP854" s="49">
        <v>1</v>
      </c>
      <c r="AQ854" s="49">
        <v>40</v>
      </c>
      <c r="AR854" s="26">
        <f>Tabla2[[#This Row],[Minutos*]]/60</f>
        <v>0.66666666666666663</v>
      </c>
      <c r="AS854" s="27">
        <f>SUM(Tabla2[[#This Row],[Horas*]],Tabla2[[#This Row],[Minutos a Horas*]])+(Tabla2[[#This Row],[Tiempo Total a Nivel Proncincial (Horas)]])</f>
        <v>3.8666666666666667</v>
      </c>
    </row>
    <row r="855" spans="28:45" x14ac:dyDescent="0.25">
      <c r="AB855" s="89"/>
      <c r="AD855" s="20" t="s">
        <v>2383</v>
      </c>
      <c r="AE855" s="10" t="s">
        <v>380</v>
      </c>
      <c r="AF855" s="20" t="s">
        <v>1027</v>
      </c>
      <c r="AG855" s="10"/>
      <c r="AH855" s="22" t="str">
        <f t="shared" si="26"/>
        <v>Huancavelica_04 Castrovirreyna</v>
      </c>
      <c r="AI855" s="10" t="s">
        <v>1128</v>
      </c>
      <c r="AJ855" s="20" t="s">
        <v>1078</v>
      </c>
      <c r="AK855" s="22" t="str">
        <f t="shared" si="27"/>
        <v>Huancavelica_04 Castrovirreyna_12 Tantara</v>
      </c>
      <c r="AL855" s="25">
        <v>2</v>
      </c>
      <c r="AM855" s="25">
        <v>12</v>
      </c>
      <c r="AN855" s="26">
        <f>Tabla2[[#This Row],[Minutos]]/60</f>
        <v>0.2</v>
      </c>
      <c r="AO855" s="27">
        <f>SUM(Tabla2[[#This Row],[Horas]],Tabla2[[#This Row],[Minutos a Horas]])</f>
        <v>2.2000000000000002</v>
      </c>
      <c r="AP855" s="49">
        <v>2</v>
      </c>
      <c r="AQ855" s="49">
        <v>45</v>
      </c>
      <c r="AR855" s="26">
        <f>Tabla2[[#This Row],[Minutos*]]/60</f>
        <v>0.75</v>
      </c>
      <c r="AS855" s="27">
        <f>SUM(Tabla2[[#This Row],[Horas*]],Tabla2[[#This Row],[Minutos a Horas*]])+(Tabla2[[#This Row],[Tiempo Total a Nivel Proncincial (Horas)]])</f>
        <v>4.95</v>
      </c>
    </row>
    <row r="856" spans="28:45" x14ac:dyDescent="0.25">
      <c r="AB856" s="89"/>
      <c r="AD856" s="20" t="s">
        <v>2383</v>
      </c>
      <c r="AE856" s="10" t="s">
        <v>380</v>
      </c>
      <c r="AF856" s="20" t="s">
        <v>1027</v>
      </c>
      <c r="AG856" s="10"/>
      <c r="AH856" s="22" t="str">
        <f t="shared" si="26"/>
        <v>Huancavelica_04 Castrovirreyna</v>
      </c>
      <c r="AI856" s="10" t="s">
        <v>1128</v>
      </c>
      <c r="AJ856" s="20" t="s">
        <v>1079</v>
      </c>
      <c r="AK856" s="22" t="str">
        <f t="shared" si="27"/>
        <v>Huancavelica_04 Castrovirreyna_13 Ticrapo</v>
      </c>
      <c r="AL856" s="25">
        <v>2</v>
      </c>
      <c r="AM856" s="25">
        <v>12</v>
      </c>
      <c r="AN856" s="26">
        <f>Tabla2[[#This Row],[Minutos]]/60</f>
        <v>0.2</v>
      </c>
      <c r="AO856" s="27">
        <f>SUM(Tabla2[[#This Row],[Horas]],Tabla2[[#This Row],[Minutos a Horas]])</f>
        <v>2.2000000000000002</v>
      </c>
      <c r="AP856" s="49">
        <v>3</v>
      </c>
      <c r="AQ856" s="49">
        <v>26</v>
      </c>
      <c r="AR856" s="26">
        <f>Tabla2[[#This Row],[Minutos*]]/60</f>
        <v>0.43333333333333335</v>
      </c>
      <c r="AS856" s="27">
        <f>SUM(Tabla2[[#This Row],[Horas*]],Tabla2[[#This Row],[Minutos a Horas*]])+(Tabla2[[#This Row],[Tiempo Total a Nivel Proncincial (Horas)]])</f>
        <v>5.6333333333333337</v>
      </c>
    </row>
    <row r="857" spans="28:45" x14ac:dyDescent="0.25">
      <c r="AB857" s="89"/>
      <c r="AD857" s="20" t="s">
        <v>2383</v>
      </c>
      <c r="AE857" s="10" t="s">
        <v>380</v>
      </c>
      <c r="AF857" s="20" t="s">
        <v>1028</v>
      </c>
      <c r="AG857" s="10"/>
      <c r="AH857" s="22" t="str">
        <f t="shared" si="26"/>
        <v>Huancavelica_05 Churcampa</v>
      </c>
      <c r="AI857" s="10" t="s">
        <v>1129</v>
      </c>
      <c r="AJ857" s="20" t="s">
        <v>1080</v>
      </c>
      <c r="AK857" s="22" t="str">
        <f t="shared" si="27"/>
        <v>Huancavelica_05 Churcampa_01 Churcampa</v>
      </c>
      <c r="AL857" s="25">
        <v>4</v>
      </c>
      <c r="AM857" s="25">
        <v>4</v>
      </c>
      <c r="AN857" s="26">
        <f>Tabla2[[#This Row],[Minutos]]/60</f>
        <v>6.6666666666666666E-2</v>
      </c>
      <c r="AO857" s="27">
        <f>SUM(Tabla2[[#This Row],[Horas]],Tabla2[[#This Row],[Minutos a Horas]])</f>
        <v>4.0666666666666664</v>
      </c>
      <c r="AP857" s="49">
        <v>6</v>
      </c>
      <c r="AQ857" s="49">
        <v>40</v>
      </c>
      <c r="AR857" s="26">
        <f>Tabla2[[#This Row],[Minutos*]]/60</f>
        <v>0.66666666666666663</v>
      </c>
      <c r="AS857" s="27">
        <f>SUM(Tabla2[[#This Row],[Horas*]],Tabla2[[#This Row],[Minutos a Horas*]])+(Tabla2[[#This Row],[Tiempo Total a Nivel Proncincial (Horas)]])</f>
        <v>10.733333333333334</v>
      </c>
    </row>
    <row r="858" spans="28:45" x14ac:dyDescent="0.25">
      <c r="AB858" s="89"/>
      <c r="AD858" s="20" t="s">
        <v>2383</v>
      </c>
      <c r="AE858" s="10" t="s">
        <v>380</v>
      </c>
      <c r="AF858" s="20" t="s">
        <v>1028</v>
      </c>
      <c r="AG858" s="10"/>
      <c r="AH858" s="22" t="str">
        <f t="shared" si="26"/>
        <v>Huancavelica_05 Churcampa</v>
      </c>
      <c r="AI858" s="10" t="s">
        <v>1129</v>
      </c>
      <c r="AJ858" s="20" t="s">
        <v>658</v>
      </c>
      <c r="AK858" s="22" t="str">
        <f t="shared" si="27"/>
        <v>Huancavelica_05 Churcampa_02 Anco</v>
      </c>
      <c r="AL858" s="25">
        <v>4</v>
      </c>
      <c r="AM858" s="25">
        <v>4</v>
      </c>
      <c r="AN858" s="26">
        <f>Tabla2[[#This Row],[Minutos]]/60</f>
        <v>6.6666666666666666E-2</v>
      </c>
      <c r="AO858" s="27">
        <f>SUM(Tabla2[[#This Row],[Horas]],Tabla2[[#This Row],[Minutos a Horas]])</f>
        <v>4.0666666666666664</v>
      </c>
      <c r="AP858" s="49">
        <v>5</v>
      </c>
      <c r="AQ858" s="49">
        <v>15</v>
      </c>
      <c r="AR858" s="26">
        <f>Tabla2[[#This Row],[Minutos*]]/60</f>
        <v>0.25</v>
      </c>
      <c r="AS858" s="27">
        <f>SUM(Tabla2[[#This Row],[Horas*]],Tabla2[[#This Row],[Minutos a Horas*]])+(Tabla2[[#This Row],[Tiempo Total a Nivel Proncincial (Horas)]])</f>
        <v>9.3166666666666664</v>
      </c>
    </row>
    <row r="859" spans="28:45" x14ac:dyDescent="0.25">
      <c r="AB859" s="89"/>
      <c r="AD859" s="20" t="s">
        <v>2383</v>
      </c>
      <c r="AE859" s="10" t="s">
        <v>380</v>
      </c>
      <c r="AF859" s="20" t="s">
        <v>1028</v>
      </c>
      <c r="AG859" s="10"/>
      <c r="AH859" s="22" t="str">
        <f t="shared" si="26"/>
        <v>Huancavelica_05 Churcampa</v>
      </c>
      <c r="AI859" s="10" t="s">
        <v>1129</v>
      </c>
      <c r="AJ859" s="20" t="s">
        <v>1081</v>
      </c>
      <c r="AK859" s="22" t="str">
        <f t="shared" si="27"/>
        <v>Huancavelica_05 Churcampa_03 Chinchihuasi</v>
      </c>
      <c r="AL859" s="25">
        <v>4</v>
      </c>
      <c r="AM859" s="25">
        <v>4</v>
      </c>
      <c r="AN859" s="26">
        <f>Tabla2[[#This Row],[Minutos]]/60</f>
        <v>6.6666666666666666E-2</v>
      </c>
      <c r="AO859" s="27">
        <f>SUM(Tabla2[[#This Row],[Horas]],Tabla2[[#This Row],[Minutos a Horas]])</f>
        <v>4.0666666666666664</v>
      </c>
      <c r="AP859" s="49">
        <v>5</v>
      </c>
      <c r="AQ859" s="49">
        <v>45</v>
      </c>
      <c r="AR859" s="26">
        <f>Tabla2[[#This Row],[Minutos*]]/60</f>
        <v>0.75</v>
      </c>
      <c r="AS859" s="27">
        <f>SUM(Tabla2[[#This Row],[Horas*]],Tabla2[[#This Row],[Minutos a Horas*]])+(Tabla2[[#This Row],[Tiempo Total a Nivel Proncincial (Horas)]])</f>
        <v>9.8166666666666664</v>
      </c>
    </row>
    <row r="860" spans="28:45" x14ac:dyDescent="0.25">
      <c r="AB860" s="89"/>
      <c r="AD860" s="20" t="s">
        <v>2383</v>
      </c>
      <c r="AE860" s="10" t="s">
        <v>380</v>
      </c>
      <c r="AF860" s="20" t="s">
        <v>1028</v>
      </c>
      <c r="AG860" s="10"/>
      <c r="AH860" s="22" t="str">
        <f t="shared" si="26"/>
        <v>Huancavelica_05 Churcampa</v>
      </c>
      <c r="AI860" s="10" t="s">
        <v>1129</v>
      </c>
      <c r="AJ860" s="20" t="s">
        <v>1082</v>
      </c>
      <c r="AK860" s="22" t="str">
        <f t="shared" si="27"/>
        <v>Huancavelica_05 Churcampa_04 El Carmen</v>
      </c>
      <c r="AL860" s="25">
        <v>4</v>
      </c>
      <c r="AM860" s="25">
        <v>4</v>
      </c>
      <c r="AN860" s="26">
        <f>Tabla2[[#This Row],[Minutos]]/60</f>
        <v>6.6666666666666666E-2</v>
      </c>
      <c r="AO860" s="27">
        <f>SUM(Tabla2[[#This Row],[Horas]],Tabla2[[#This Row],[Minutos a Horas]])</f>
        <v>4.0666666666666664</v>
      </c>
      <c r="AP860" s="49">
        <v>6</v>
      </c>
      <c r="AQ860" s="49">
        <v>30</v>
      </c>
      <c r="AR860" s="26">
        <f>Tabla2[[#This Row],[Minutos*]]/60</f>
        <v>0.5</v>
      </c>
      <c r="AS860" s="27">
        <f>SUM(Tabla2[[#This Row],[Horas*]],Tabla2[[#This Row],[Minutos a Horas*]])+(Tabla2[[#This Row],[Tiempo Total a Nivel Proncincial (Horas)]])</f>
        <v>10.566666666666666</v>
      </c>
    </row>
    <row r="861" spans="28:45" x14ac:dyDescent="0.25">
      <c r="AB861" s="89"/>
      <c r="AD861" s="20" t="s">
        <v>2383</v>
      </c>
      <c r="AE861" s="10" t="s">
        <v>380</v>
      </c>
      <c r="AF861" s="20" t="s">
        <v>1028</v>
      </c>
      <c r="AG861" s="10"/>
      <c r="AH861" s="22" t="str">
        <f t="shared" si="26"/>
        <v>Huancavelica_05 Churcampa</v>
      </c>
      <c r="AI861" s="10" t="s">
        <v>1129</v>
      </c>
      <c r="AJ861" s="20" t="s">
        <v>1083</v>
      </c>
      <c r="AK861" s="22" t="str">
        <f t="shared" si="27"/>
        <v>Huancavelica_05 Churcampa_05 La Merced</v>
      </c>
      <c r="AL861" s="25">
        <v>4</v>
      </c>
      <c r="AM861" s="25">
        <v>4</v>
      </c>
      <c r="AN861" s="26">
        <f>Tabla2[[#This Row],[Minutos]]/60</f>
        <v>6.6666666666666666E-2</v>
      </c>
      <c r="AO861" s="27">
        <f>SUM(Tabla2[[#This Row],[Horas]],Tabla2[[#This Row],[Minutos a Horas]])</f>
        <v>4.0666666666666664</v>
      </c>
      <c r="AP861" s="49">
        <v>6</v>
      </c>
      <c r="AQ861" s="49">
        <v>0</v>
      </c>
      <c r="AR861" s="26">
        <f>Tabla2[[#This Row],[Minutos*]]/60</f>
        <v>0</v>
      </c>
      <c r="AS861" s="27">
        <f>SUM(Tabla2[[#This Row],[Horas*]],Tabla2[[#This Row],[Minutos a Horas*]])+(Tabla2[[#This Row],[Tiempo Total a Nivel Proncincial (Horas)]])</f>
        <v>10.066666666666666</v>
      </c>
    </row>
    <row r="862" spans="28:45" x14ac:dyDescent="0.25">
      <c r="AB862" s="89"/>
      <c r="AD862" s="20" t="s">
        <v>2383</v>
      </c>
      <c r="AE862" s="10" t="s">
        <v>380</v>
      </c>
      <c r="AF862" s="20" t="s">
        <v>1028</v>
      </c>
      <c r="AG862" s="10"/>
      <c r="AH862" s="22" t="str">
        <f t="shared" si="26"/>
        <v>Huancavelica_05 Churcampa</v>
      </c>
      <c r="AI862" s="10" t="s">
        <v>1129</v>
      </c>
      <c r="AJ862" s="20" t="s">
        <v>1084</v>
      </c>
      <c r="AK862" s="22" t="str">
        <f t="shared" si="27"/>
        <v>Huancavelica_05 Churcampa_06 Locroja</v>
      </c>
      <c r="AL862" s="25">
        <v>4</v>
      </c>
      <c r="AM862" s="25">
        <v>4</v>
      </c>
      <c r="AN862" s="26">
        <f>Tabla2[[#This Row],[Minutos]]/60</f>
        <v>6.6666666666666666E-2</v>
      </c>
      <c r="AO862" s="27">
        <f>SUM(Tabla2[[#This Row],[Horas]],Tabla2[[#This Row],[Minutos a Horas]])</f>
        <v>4.0666666666666664</v>
      </c>
      <c r="AP862" s="49">
        <v>6</v>
      </c>
      <c r="AQ862" s="49">
        <v>30</v>
      </c>
      <c r="AR862" s="26">
        <f>Tabla2[[#This Row],[Minutos*]]/60</f>
        <v>0.5</v>
      </c>
      <c r="AS862" s="27">
        <f>SUM(Tabla2[[#This Row],[Horas*]],Tabla2[[#This Row],[Minutos a Horas*]])+(Tabla2[[#This Row],[Tiempo Total a Nivel Proncincial (Horas)]])</f>
        <v>10.566666666666666</v>
      </c>
    </row>
    <row r="863" spans="28:45" x14ac:dyDescent="0.25">
      <c r="AB863" s="89"/>
      <c r="AD863" s="20" t="s">
        <v>2383</v>
      </c>
      <c r="AE863" s="10" t="s">
        <v>380</v>
      </c>
      <c r="AF863" s="20" t="s">
        <v>1028</v>
      </c>
      <c r="AG863" s="10"/>
      <c r="AH863" s="22" t="str">
        <f t="shared" si="26"/>
        <v>Huancavelica_05 Churcampa</v>
      </c>
      <c r="AI863" s="10" t="s">
        <v>1129</v>
      </c>
      <c r="AJ863" s="20" t="s">
        <v>1085</v>
      </c>
      <c r="AK863" s="22" t="str">
        <f t="shared" si="27"/>
        <v>Huancavelica_05 Churcampa_07 Paucarbamba</v>
      </c>
      <c r="AL863" s="25">
        <v>4</v>
      </c>
      <c r="AM863" s="25">
        <v>4</v>
      </c>
      <c r="AN863" s="26">
        <f>Tabla2[[#This Row],[Minutos]]/60</f>
        <v>6.6666666666666666E-2</v>
      </c>
      <c r="AO863" s="27">
        <f>SUM(Tabla2[[#This Row],[Horas]],Tabla2[[#This Row],[Minutos a Horas]])</f>
        <v>4.0666666666666664</v>
      </c>
      <c r="AP863" s="49">
        <v>5</v>
      </c>
      <c r="AQ863" s="49">
        <v>45</v>
      </c>
      <c r="AR863" s="26">
        <f>Tabla2[[#This Row],[Minutos*]]/60</f>
        <v>0.75</v>
      </c>
      <c r="AS863" s="27">
        <f>SUM(Tabla2[[#This Row],[Horas*]],Tabla2[[#This Row],[Minutos a Horas*]])+(Tabla2[[#This Row],[Tiempo Total a Nivel Proncincial (Horas)]])</f>
        <v>9.8166666666666664</v>
      </c>
    </row>
    <row r="864" spans="28:45" x14ac:dyDescent="0.25">
      <c r="AB864" s="89"/>
      <c r="AD864" s="20" t="s">
        <v>2383</v>
      </c>
      <c r="AE864" s="10" t="s">
        <v>380</v>
      </c>
      <c r="AF864" s="20" t="s">
        <v>1028</v>
      </c>
      <c r="AG864" s="10"/>
      <c r="AH864" s="22" t="str">
        <f t="shared" si="26"/>
        <v>Huancavelica_05 Churcampa</v>
      </c>
      <c r="AI864" s="10" t="s">
        <v>1129</v>
      </c>
      <c r="AJ864" s="20" t="s">
        <v>1086</v>
      </c>
      <c r="AK864" s="22" t="str">
        <f t="shared" si="27"/>
        <v>Huancavelica_05 Churcampa_08 San Miguel de Mayocc</v>
      </c>
      <c r="AL864" s="25">
        <v>4</v>
      </c>
      <c r="AM864" s="25">
        <v>4</v>
      </c>
      <c r="AN864" s="26">
        <f>Tabla2[[#This Row],[Minutos]]/60</f>
        <v>6.6666666666666666E-2</v>
      </c>
      <c r="AO864" s="27">
        <f>SUM(Tabla2[[#This Row],[Horas]],Tabla2[[#This Row],[Minutos a Horas]])</f>
        <v>4.0666666666666664</v>
      </c>
      <c r="AP864" s="49">
        <v>5</v>
      </c>
      <c r="AQ864" s="49">
        <v>52</v>
      </c>
      <c r="AR864" s="26">
        <f>Tabla2[[#This Row],[Minutos*]]/60</f>
        <v>0.8666666666666667</v>
      </c>
      <c r="AS864" s="27">
        <f>SUM(Tabla2[[#This Row],[Horas*]],Tabla2[[#This Row],[Minutos a Horas*]])+(Tabla2[[#This Row],[Tiempo Total a Nivel Proncincial (Horas)]])</f>
        <v>9.9333333333333336</v>
      </c>
    </row>
    <row r="865" spans="28:45" x14ac:dyDescent="0.25">
      <c r="AB865" s="89"/>
      <c r="AD865" s="20" t="s">
        <v>2383</v>
      </c>
      <c r="AE865" s="10" t="s">
        <v>380</v>
      </c>
      <c r="AF865" s="20" t="s">
        <v>1028</v>
      </c>
      <c r="AG865" s="10"/>
      <c r="AH865" s="22" t="str">
        <f t="shared" si="26"/>
        <v>Huancavelica_05 Churcampa</v>
      </c>
      <c r="AI865" s="10" t="s">
        <v>1129</v>
      </c>
      <c r="AJ865" s="20" t="s">
        <v>1087</v>
      </c>
      <c r="AK865" s="22" t="str">
        <f t="shared" si="27"/>
        <v>Huancavelica_05 Churcampa_09 San Pedro de Coris</v>
      </c>
      <c r="AL865" s="25">
        <v>4</v>
      </c>
      <c r="AM865" s="25">
        <v>4</v>
      </c>
      <c r="AN865" s="26">
        <f>Tabla2[[#This Row],[Minutos]]/60</f>
        <v>6.6666666666666666E-2</v>
      </c>
      <c r="AO865" s="27">
        <f>SUM(Tabla2[[#This Row],[Horas]],Tabla2[[#This Row],[Minutos a Horas]])</f>
        <v>4.0666666666666664</v>
      </c>
      <c r="AP865" s="49">
        <v>6</v>
      </c>
      <c r="AQ865" s="49">
        <v>42</v>
      </c>
      <c r="AR865" s="26">
        <f>Tabla2[[#This Row],[Minutos*]]/60</f>
        <v>0.7</v>
      </c>
      <c r="AS865" s="27">
        <f>SUM(Tabla2[[#This Row],[Horas*]],Tabla2[[#This Row],[Minutos a Horas*]])+(Tabla2[[#This Row],[Tiempo Total a Nivel Proncincial (Horas)]])</f>
        <v>10.766666666666666</v>
      </c>
    </row>
    <row r="866" spans="28:45" x14ac:dyDescent="0.25">
      <c r="AB866" s="89"/>
      <c r="AD866" s="20" t="s">
        <v>2383</v>
      </c>
      <c r="AE866" s="10" t="s">
        <v>380</v>
      </c>
      <c r="AF866" s="20" t="s">
        <v>1028</v>
      </c>
      <c r="AG866" s="10"/>
      <c r="AH866" s="22" t="str">
        <f t="shared" si="26"/>
        <v>Huancavelica_05 Churcampa</v>
      </c>
      <c r="AI866" s="10" t="s">
        <v>1129</v>
      </c>
      <c r="AJ866" s="20" t="s">
        <v>1088</v>
      </c>
      <c r="AK866" s="22" t="str">
        <f t="shared" si="27"/>
        <v>Huancavelica_05 Churcampa_10 Pachamarca</v>
      </c>
      <c r="AL866" s="25">
        <v>4</v>
      </c>
      <c r="AM866" s="25">
        <v>4</v>
      </c>
      <c r="AN866" s="26">
        <f>Tabla2[[#This Row],[Minutos]]/60</f>
        <v>6.6666666666666666E-2</v>
      </c>
      <c r="AO866" s="27">
        <f>SUM(Tabla2[[#This Row],[Horas]],Tabla2[[#This Row],[Minutos a Horas]])</f>
        <v>4.0666666666666664</v>
      </c>
      <c r="AP866" s="49">
        <v>6</v>
      </c>
      <c r="AQ866" s="49">
        <v>20</v>
      </c>
      <c r="AR866" s="26">
        <f>Tabla2[[#This Row],[Minutos*]]/60</f>
        <v>0.33333333333333331</v>
      </c>
      <c r="AS866" s="27">
        <f>SUM(Tabla2[[#This Row],[Horas*]],Tabla2[[#This Row],[Minutos a Horas*]])+(Tabla2[[#This Row],[Tiempo Total a Nivel Proncincial (Horas)]])</f>
        <v>10.399999999999999</v>
      </c>
    </row>
    <row r="867" spans="28:45" x14ac:dyDescent="0.25">
      <c r="AB867" s="89"/>
      <c r="AD867" s="20" t="s">
        <v>2383</v>
      </c>
      <c r="AE867" s="10" t="s">
        <v>380</v>
      </c>
      <c r="AF867" s="20" t="s">
        <v>1028</v>
      </c>
      <c r="AG867" s="10"/>
      <c r="AH867" s="22" t="str">
        <f t="shared" si="26"/>
        <v>Huancavelica_05 Churcampa</v>
      </c>
      <c r="AI867" s="10" t="s">
        <v>1129</v>
      </c>
      <c r="AJ867" s="20" t="s">
        <v>1089</v>
      </c>
      <c r="AK867" s="22" t="str">
        <f t="shared" si="27"/>
        <v>Huancavelica_05 Churcampa_11 Cosme</v>
      </c>
      <c r="AL867" s="25">
        <v>4</v>
      </c>
      <c r="AM867" s="25">
        <v>4</v>
      </c>
      <c r="AN867" s="26">
        <f>Tabla2[[#This Row],[Minutos]]/60</f>
        <v>6.6666666666666666E-2</v>
      </c>
      <c r="AO867" s="27">
        <f>SUM(Tabla2[[#This Row],[Horas]],Tabla2[[#This Row],[Minutos a Horas]])</f>
        <v>4.0666666666666664</v>
      </c>
      <c r="AP867" s="49">
        <v>4</v>
      </c>
      <c r="AQ867" s="49">
        <v>30</v>
      </c>
      <c r="AR867" s="26">
        <f>Tabla2[[#This Row],[Minutos*]]/60</f>
        <v>0.5</v>
      </c>
      <c r="AS867" s="27">
        <f>SUM(Tabla2[[#This Row],[Horas*]],Tabla2[[#This Row],[Minutos a Horas*]])+(Tabla2[[#This Row],[Tiempo Total a Nivel Proncincial (Horas)]])</f>
        <v>8.5666666666666664</v>
      </c>
    </row>
    <row r="868" spans="28:45" x14ac:dyDescent="0.25">
      <c r="AB868" s="89"/>
      <c r="AD868" s="20" t="s">
        <v>2383</v>
      </c>
      <c r="AE868" s="10" t="s">
        <v>380</v>
      </c>
      <c r="AF868" s="20" t="s">
        <v>1029</v>
      </c>
      <c r="AG868" s="10"/>
      <c r="AH868" s="22" t="str">
        <f t="shared" si="26"/>
        <v>Huancavelica_06 Huaytará</v>
      </c>
      <c r="AI868" s="10" t="s">
        <v>1130</v>
      </c>
      <c r="AJ868" s="20" t="s">
        <v>1090</v>
      </c>
      <c r="AK868" s="22" t="str">
        <f t="shared" si="27"/>
        <v>Huancavelica_06 Huaytará_01 Huaytara</v>
      </c>
      <c r="AL868" s="25">
        <v>3</v>
      </c>
      <c r="AM868" s="25">
        <v>16</v>
      </c>
      <c r="AN868" s="26">
        <f>Tabla2[[#This Row],[Minutos]]/60</f>
        <v>0.26666666666666666</v>
      </c>
      <c r="AO868" s="27">
        <f>SUM(Tabla2[[#This Row],[Horas]],Tabla2[[#This Row],[Minutos a Horas]])</f>
        <v>3.2666666666666666</v>
      </c>
      <c r="AP868" s="49">
        <v>4</v>
      </c>
      <c r="AQ868" s="49">
        <v>20</v>
      </c>
      <c r="AR868" s="26">
        <f>Tabla2[[#This Row],[Minutos*]]/60</f>
        <v>0.33333333333333331</v>
      </c>
      <c r="AS868" s="27">
        <f>SUM(Tabla2[[#This Row],[Horas*]],Tabla2[[#This Row],[Minutos a Horas*]])+(Tabla2[[#This Row],[Tiempo Total a Nivel Proncincial (Horas)]])</f>
        <v>7.6</v>
      </c>
    </row>
    <row r="869" spans="28:45" x14ac:dyDescent="0.25">
      <c r="AB869" s="89"/>
      <c r="AD869" s="20" t="s">
        <v>2383</v>
      </c>
      <c r="AE869" s="10" t="s">
        <v>380</v>
      </c>
      <c r="AF869" s="20" t="s">
        <v>1029</v>
      </c>
      <c r="AG869" s="10"/>
      <c r="AH869" s="22" t="str">
        <f t="shared" si="26"/>
        <v>Huancavelica_06 Huaytará</v>
      </c>
      <c r="AI869" s="10" t="s">
        <v>1130</v>
      </c>
      <c r="AJ869" s="20" t="s">
        <v>1091</v>
      </c>
      <c r="AK869" s="22" t="str">
        <f t="shared" si="27"/>
        <v>Huancavelica_06 Huaytará_02 Ayavi</v>
      </c>
      <c r="AL869" s="25">
        <v>3</v>
      </c>
      <c r="AM869" s="25">
        <v>16</v>
      </c>
      <c r="AN869" s="26">
        <f>Tabla2[[#This Row],[Minutos]]/60</f>
        <v>0.26666666666666666</v>
      </c>
      <c r="AO869" s="27">
        <f>SUM(Tabla2[[#This Row],[Horas]],Tabla2[[#This Row],[Minutos a Horas]])</f>
        <v>3.2666666666666666</v>
      </c>
      <c r="AP869" s="49">
        <v>5</v>
      </c>
      <c r="AQ869" s="49">
        <v>0</v>
      </c>
      <c r="AR869" s="26">
        <f>Tabla2[[#This Row],[Minutos*]]/60</f>
        <v>0</v>
      </c>
      <c r="AS869" s="27">
        <f>SUM(Tabla2[[#This Row],[Horas*]],Tabla2[[#This Row],[Minutos a Horas*]])+(Tabla2[[#This Row],[Tiempo Total a Nivel Proncincial (Horas)]])</f>
        <v>8.2666666666666657</v>
      </c>
    </row>
    <row r="870" spans="28:45" x14ac:dyDescent="0.25">
      <c r="AB870" s="89"/>
      <c r="AD870" s="20" t="s">
        <v>2383</v>
      </c>
      <c r="AE870" s="10" t="s">
        <v>380</v>
      </c>
      <c r="AF870" s="20" t="s">
        <v>1029</v>
      </c>
      <c r="AG870" s="10"/>
      <c r="AH870" s="22" t="str">
        <f t="shared" si="26"/>
        <v>Huancavelica_06 Huaytará</v>
      </c>
      <c r="AI870" s="10" t="s">
        <v>1130</v>
      </c>
      <c r="AJ870" s="20" t="s">
        <v>1092</v>
      </c>
      <c r="AK870" s="22" t="str">
        <f t="shared" si="27"/>
        <v>Huancavelica_06 Huaytará_03 Córdova</v>
      </c>
      <c r="AL870" s="25">
        <v>3</v>
      </c>
      <c r="AM870" s="25">
        <v>16</v>
      </c>
      <c r="AN870" s="26">
        <f>Tabla2[[#This Row],[Minutos]]/60</f>
        <v>0.26666666666666666</v>
      </c>
      <c r="AO870" s="27">
        <f>SUM(Tabla2[[#This Row],[Horas]],Tabla2[[#This Row],[Minutos a Horas]])</f>
        <v>3.2666666666666666</v>
      </c>
      <c r="AP870" s="49">
        <v>6</v>
      </c>
      <c r="AQ870" s="49">
        <v>45</v>
      </c>
      <c r="AR870" s="26">
        <f>Tabla2[[#This Row],[Minutos*]]/60</f>
        <v>0.75</v>
      </c>
      <c r="AS870" s="27">
        <f>SUM(Tabla2[[#This Row],[Horas*]],Tabla2[[#This Row],[Minutos a Horas*]])+(Tabla2[[#This Row],[Tiempo Total a Nivel Proncincial (Horas)]])</f>
        <v>10.016666666666666</v>
      </c>
    </row>
    <row r="871" spans="28:45" x14ac:dyDescent="0.25">
      <c r="AB871" s="89"/>
      <c r="AD871" s="20" t="s">
        <v>2383</v>
      </c>
      <c r="AE871" s="10" t="s">
        <v>380</v>
      </c>
      <c r="AF871" s="20" t="s">
        <v>1029</v>
      </c>
      <c r="AG871" s="10"/>
      <c r="AH871" s="22" t="str">
        <f t="shared" si="26"/>
        <v>Huancavelica_06 Huaytará</v>
      </c>
      <c r="AI871" s="10" t="s">
        <v>1130</v>
      </c>
      <c r="AJ871" s="20" t="s">
        <v>1093</v>
      </c>
      <c r="AK871" s="22" t="str">
        <f t="shared" si="27"/>
        <v>Huancavelica_06 Huaytará_04 Huayacundo Arma</v>
      </c>
      <c r="AL871" s="25">
        <v>3</v>
      </c>
      <c r="AM871" s="25">
        <v>16</v>
      </c>
      <c r="AN871" s="26">
        <f>Tabla2[[#This Row],[Minutos]]/60</f>
        <v>0.26666666666666666</v>
      </c>
      <c r="AO871" s="27">
        <f>SUM(Tabla2[[#This Row],[Horas]],Tabla2[[#This Row],[Minutos a Horas]])</f>
        <v>3.2666666666666666</v>
      </c>
      <c r="AP871" s="49">
        <v>3</v>
      </c>
      <c r="AQ871" s="49">
        <v>40</v>
      </c>
      <c r="AR871" s="26">
        <f>Tabla2[[#This Row],[Minutos*]]/60</f>
        <v>0.66666666666666663</v>
      </c>
      <c r="AS871" s="27">
        <f>SUM(Tabla2[[#This Row],[Horas*]],Tabla2[[#This Row],[Minutos a Horas*]])+(Tabla2[[#This Row],[Tiempo Total a Nivel Proncincial (Horas)]])</f>
        <v>6.9333333333333336</v>
      </c>
    </row>
    <row r="872" spans="28:45" x14ac:dyDescent="0.25">
      <c r="AB872" s="89"/>
      <c r="AD872" s="20" t="s">
        <v>2383</v>
      </c>
      <c r="AE872" s="10" t="s">
        <v>380</v>
      </c>
      <c r="AF872" s="20" t="s">
        <v>1029</v>
      </c>
      <c r="AG872" s="10"/>
      <c r="AH872" s="22" t="str">
        <f t="shared" si="26"/>
        <v>Huancavelica_06 Huaytará</v>
      </c>
      <c r="AI872" s="10" t="s">
        <v>1130</v>
      </c>
      <c r="AJ872" s="20" t="s">
        <v>1094</v>
      </c>
      <c r="AK872" s="22" t="str">
        <f t="shared" si="27"/>
        <v>Huancavelica_06 Huaytará_05 Laramarca</v>
      </c>
      <c r="AL872" s="25">
        <v>3</v>
      </c>
      <c r="AM872" s="25">
        <v>16</v>
      </c>
      <c r="AN872" s="26">
        <f>Tabla2[[#This Row],[Minutos]]/60</f>
        <v>0.26666666666666666</v>
      </c>
      <c r="AO872" s="27">
        <f>SUM(Tabla2[[#This Row],[Horas]],Tabla2[[#This Row],[Minutos a Horas]])</f>
        <v>3.2666666666666666</v>
      </c>
      <c r="AP872" s="49">
        <v>7</v>
      </c>
      <c r="AQ872" s="49">
        <v>0</v>
      </c>
      <c r="AR872" s="26">
        <f>Tabla2[[#This Row],[Minutos*]]/60</f>
        <v>0</v>
      </c>
      <c r="AS872" s="27">
        <f>SUM(Tabla2[[#This Row],[Horas*]],Tabla2[[#This Row],[Minutos a Horas*]])+(Tabla2[[#This Row],[Tiempo Total a Nivel Proncincial (Horas)]])</f>
        <v>10.266666666666666</v>
      </c>
    </row>
    <row r="873" spans="28:45" x14ac:dyDescent="0.25">
      <c r="AB873" s="89"/>
      <c r="AD873" s="20" t="s">
        <v>2383</v>
      </c>
      <c r="AE873" s="10" t="s">
        <v>380</v>
      </c>
      <c r="AF873" s="20" t="s">
        <v>1029</v>
      </c>
      <c r="AG873" s="10"/>
      <c r="AH873" s="22" t="str">
        <f t="shared" si="26"/>
        <v>Huancavelica_06 Huaytará</v>
      </c>
      <c r="AI873" s="10" t="s">
        <v>1130</v>
      </c>
      <c r="AJ873" s="20" t="s">
        <v>1095</v>
      </c>
      <c r="AK873" s="22" t="str">
        <f t="shared" si="27"/>
        <v>Huancavelica_06 Huaytará_06 Ocoyo</v>
      </c>
      <c r="AL873" s="25">
        <v>3</v>
      </c>
      <c r="AM873" s="25">
        <v>16</v>
      </c>
      <c r="AN873" s="26">
        <f>Tabla2[[#This Row],[Minutos]]/60</f>
        <v>0.26666666666666666</v>
      </c>
      <c r="AO873" s="27">
        <f>SUM(Tabla2[[#This Row],[Horas]],Tabla2[[#This Row],[Minutos a Horas]])</f>
        <v>3.2666666666666666</v>
      </c>
      <c r="AP873" s="49">
        <v>7</v>
      </c>
      <c r="AQ873" s="49">
        <v>30</v>
      </c>
      <c r="AR873" s="26">
        <f>Tabla2[[#This Row],[Minutos*]]/60</f>
        <v>0.5</v>
      </c>
      <c r="AS873" s="27">
        <f>SUM(Tabla2[[#This Row],[Horas*]],Tabla2[[#This Row],[Minutos a Horas*]])+(Tabla2[[#This Row],[Tiempo Total a Nivel Proncincial (Horas)]])</f>
        <v>10.766666666666666</v>
      </c>
    </row>
    <row r="874" spans="28:45" x14ac:dyDescent="0.25">
      <c r="AB874" s="89"/>
      <c r="AD874" s="20" t="s">
        <v>2383</v>
      </c>
      <c r="AE874" s="10" t="s">
        <v>380</v>
      </c>
      <c r="AF874" s="20" t="s">
        <v>1029</v>
      </c>
      <c r="AG874" s="10"/>
      <c r="AH874" s="22" t="str">
        <f t="shared" si="26"/>
        <v>Huancavelica_06 Huaytará</v>
      </c>
      <c r="AI874" s="10" t="s">
        <v>1130</v>
      </c>
      <c r="AJ874" s="20" t="s">
        <v>1096</v>
      </c>
      <c r="AK874" s="22" t="str">
        <f t="shared" si="27"/>
        <v>Huancavelica_06 Huaytará_07 Pilpichaca</v>
      </c>
      <c r="AL874" s="25">
        <v>3</v>
      </c>
      <c r="AM874" s="25">
        <v>16</v>
      </c>
      <c r="AN874" s="26">
        <f>Tabla2[[#This Row],[Minutos]]/60</f>
        <v>0.26666666666666666</v>
      </c>
      <c r="AO874" s="27">
        <f>SUM(Tabla2[[#This Row],[Horas]],Tabla2[[#This Row],[Minutos a Horas]])</f>
        <v>3.2666666666666666</v>
      </c>
      <c r="AP874" s="49">
        <v>2</v>
      </c>
      <c r="AQ874" s="49">
        <v>30</v>
      </c>
      <c r="AR874" s="26">
        <f>Tabla2[[#This Row],[Minutos*]]/60</f>
        <v>0.5</v>
      </c>
      <c r="AS874" s="27">
        <f>SUM(Tabla2[[#This Row],[Horas*]],Tabla2[[#This Row],[Minutos a Horas*]])+(Tabla2[[#This Row],[Tiempo Total a Nivel Proncincial (Horas)]])</f>
        <v>5.7666666666666666</v>
      </c>
    </row>
    <row r="875" spans="28:45" x14ac:dyDescent="0.25">
      <c r="AB875" s="89"/>
      <c r="AD875" s="20" t="s">
        <v>2383</v>
      </c>
      <c r="AE875" s="10" t="s">
        <v>380</v>
      </c>
      <c r="AF875" s="20" t="s">
        <v>1029</v>
      </c>
      <c r="AG875" s="10"/>
      <c r="AH875" s="22" t="str">
        <f t="shared" si="26"/>
        <v>Huancavelica_06 Huaytará</v>
      </c>
      <c r="AI875" s="10" t="s">
        <v>1130</v>
      </c>
      <c r="AJ875" s="20" t="s">
        <v>1097</v>
      </c>
      <c r="AK875" s="22" t="str">
        <f t="shared" si="27"/>
        <v>Huancavelica_06 Huaytará_08 Querco</v>
      </c>
      <c r="AL875" s="25">
        <v>3</v>
      </c>
      <c r="AM875" s="25">
        <v>16</v>
      </c>
      <c r="AN875" s="26">
        <f>Tabla2[[#This Row],[Minutos]]/60</f>
        <v>0.26666666666666666</v>
      </c>
      <c r="AO875" s="27">
        <f>SUM(Tabla2[[#This Row],[Horas]],Tabla2[[#This Row],[Minutos a Horas]])</f>
        <v>3.2666666666666666</v>
      </c>
      <c r="AP875" s="49">
        <v>7</v>
      </c>
      <c r="AQ875" s="49">
        <v>20</v>
      </c>
      <c r="AR875" s="26">
        <f>Tabla2[[#This Row],[Minutos*]]/60</f>
        <v>0.33333333333333331</v>
      </c>
      <c r="AS875" s="27">
        <f>SUM(Tabla2[[#This Row],[Horas*]],Tabla2[[#This Row],[Minutos a Horas*]])+(Tabla2[[#This Row],[Tiempo Total a Nivel Proncincial (Horas)]])</f>
        <v>10.6</v>
      </c>
    </row>
    <row r="876" spans="28:45" x14ac:dyDescent="0.25">
      <c r="AB876" s="89"/>
      <c r="AD876" s="20" t="s">
        <v>2383</v>
      </c>
      <c r="AE876" s="10" t="s">
        <v>380</v>
      </c>
      <c r="AF876" s="20" t="s">
        <v>1029</v>
      </c>
      <c r="AG876" s="10"/>
      <c r="AH876" s="22" t="str">
        <f t="shared" si="26"/>
        <v>Huancavelica_06 Huaytará</v>
      </c>
      <c r="AI876" s="10" t="s">
        <v>1130</v>
      </c>
      <c r="AJ876" s="20" t="s">
        <v>1098</v>
      </c>
      <c r="AK876" s="22" t="str">
        <f t="shared" si="27"/>
        <v>Huancavelica_06 Huaytará_09 Quito-Arma</v>
      </c>
      <c r="AL876" s="25">
        <v>3</v>
      </c>
      <c r="AM876" s="25">
        <v>16</v>
      </c>
      <c r="AN876" s="26">
        <f>Tabla2[[#This Row],[Minutos]]/60</f>
        <v>0.26666666666666666</v>
      </c>
      <c r="AO876" s="27">
        <f>SUM(Tabla2[[#This Row],[Horas]],Tabla2[[#This Row],[Minutos a Horas]])</f>
        <v>3.2666666666666666</v>
      </c>
      <c r="AP876" s="49">
        <v>3</v>
      </c>
      <c r="AQ876" s="49">
        <v>40</v>
      </c>
      <c r="AR876" s="26">
        <f>Tabla2[[#This Row],[Minutos*]]/60</f>
        <v>0.66666666666666663</v>
      </c>
      <c r="AS876" s="27">
        <f>SUM(Tabla2[[#This Row],[Horas*]],Tabla2[[#This Row],[Minutos a Horas*]])+(Tabla2[[#This Row],[Tiempo Total a Nivel Proncincial (Horas)]])</f>
        <v>6.9333333333333336</v>
      </c>
    </row>
    <row r="877" spans="28:45" x14ac:dyDescent="0.25">
      <c r="AB877" s="89"/>
      <c r="AD877" s="20" t="s">
        <v>2383</v>
      </c>
      <c r="AE877" s="10" t="s">
        <v>380</v>
      </c>
      <c r="AF877" s="20" t="s">
        <v>1029</v>
      </c>
      <c r="AG877" s="10"/>
      <c r="AH877" s="22" t="str">
        <f t="shared" si="26"/>
        <v>Huancavelica_06 Huaytará</v>
      </c>
      <c r="AI877" s="10" t="s">
        <v>1130</v>
      </c>
      <c r="AJ877" s="20" t="s">
        <v>1099</v>
      </c>
      <c r="AK877" s="22" t="str">
        <f t="shared" si="27"/>
        <v>Huancavelica_06 Huaytará_10 San Antonio de Cusicancha</v>
      </c>
      <c r="AL877" s="25">
        <v>3</v>
      </c>
      <c r="AM877" s="25">
        <v>16</v>
      </c>
      <c r="AN877" s="26">
        <f>Tabla2[[#This Row],[Minutos]]/60</f>
        <v>0.26666666666666666</v>
      </c>
      <c r="AO877" s="27">
        <f>SUM(Tabla2[[#This Row],[Horas]],Tabla2[[#This Row],[Minutos a Horas]])</f>
        <v>3.2666666666666666</v>
      </c>
      <c r="AP877" s="49">
        <v>4</v>
      </c>
      <c r="AQ877" s="49">
        <v>0</v>
      </c>
      <c r="AR877" s="26">
        <f>Tabla2[[#This Row],[Minutos*]]/60</f>
        <v>0</v>
      </c>
      <c r="AS877" s="27">
        <f>SUM(Tabla2[[#This Row],[Horas*]],Tabla2[[#This Row],[Minutos a Horas*]])+(Tabla2[[#This Row],[Tiempo Total a Nivel Proncincial (Horas)]])</f>
        <v>7.2666666666666666</v>
      </c>
    </row>
    <row r="878" spans="28:45" x14ac:dyDescent="0.25">
      <c r="AB878" s="89"/>
      <c r="AD878" s="20" t="s">
        <v>2383</v>
      </c>
      <c r="AE878" s="10" t="s">
        <v>380</v>
      </c>
      <c r="AF878" s="20" t="s">
        <v>1029</v>
      </c>
      <c r="AG878" s="10"/>
      <c r="AH878" s="22" t="str">
        <f t="shared" si="26"/>
        <v>Huancavelica_06 Huaytará</v>
      </c>
      <c r="AI878" s="10" t="s">
        <v>1130</v>
      </c>
      <c r="AJ878" s="20" t="s">
        <v>1100</v>
      </c>
      <c r="AK878" s="22" t="str">
        <f t="shared" si="27"/>
        <v>Huancavelica_06 Huaytará_11 San Francisco de Sangayaico</v>
      </c>
      <c r="AL878" s="25">
        <v>3</v>
      </c>
      <c r="AM878" s="25">
        <v>16</v>
      </c>
      <c r="AN878" s="26">
        <f>Tabla2[[#This Row],[Minutos]]/60</f>
        <v>0.26666666666666666</v>
      </c>
      <c r="AO878" s="27">
        <f>SUM(Tabla2[[#This Row],[Horas]],Tabla2[[#This Row],[Minutos a Horas]])</f>
        <v>3.2666666666666666</v>
      </c>
      <c r="AP878" s="49">
        <v>7</v>
      </c>
      <c r="AQ878" s="49">
        <v>45</v>
      </c>
      <c r="AR878" s="26">
        <f>Tabla2[[#This Row],[Minutos*]]/60</f>
        <v>0.75</v>
      </c>
      <c r="AS878" s="27">
        <f>SUM(Tabla2[[#This Row],[Horas*]],Tabla2[[#This Row],[Minutos a Horas*]])+(Tabla2[[#This Row],[Tiempo Total a Nivel Proncincial (Horas)]])</f>
        <v>11.016666666666666</v>
      </c>
    </row>
    <row r="879" spans="28:45" x14ac:dyDescent="0.25">
      <c r="AB879" s="89"/>
      <c r="AD879" s="20" t="s">
        <v>2383</v>
      </c>
      <c r="AE879" s="10" t="s">
        <v>380</v>
      </c>
      <c r="AF879" s="20" t="s">
        <v>1029</v>
      </c>
      <c r="AG879" s="10"/>
      <c r="AH879" s="22" t="str">
        <f t="shared" si="26"/>
        <v>Huancavelica_06 Huaytará</v>
      </c>
      <c r="AI879" s="10" t="s">
        <v>1130</v>
      </c>
      <c r="AJ879" s="20" t="s">
        <v>1101</v>
      </c>
      <c r="AK879" s="22" t="str">
        <f t="shared" si="27"/>
        <v>Huancavelica_06 Huaytará_12 San Isidro</v>
      </c>
      <c r="AL879" s="25">
        <v>3</v>
      </c>
      <c r="AM879" s="25">
        <v>16</v>
      </c>
      <c r="AN879" s="26">
        <f>Tabla2[[#This Row],[Minutos]]/60</f>
        <v>0.26666666666666666</v>
      </c>
      <c r="AO879" s="27">
        <f>SUM(Tabla2[[#This Row],[Horas]],Tabla2[[#This Row],[Minutos a Horas]])</f>
        <v>3.2666666666666666</v>
      </c>
      <c r="AP879" s="49">
        <v>7</v>
      </c>
      <c r="AQ879" s="49">
        <v>20</v>
      </c>
      <c r="AR879" s="26">
        <f>Tabla2[[#This Row],[Minutos*]]/60</f>
        <v>0.33333333333333331</v>
      </c>
      <c r="AS879" s="27">
        <f>SUM(Tabla2[[#This Row],[Horas*]],Tabla2[[#This Row],[Minutos a Horas*]])+(Tabla2[[#This Row],[Tiempo Total a Nivel Proncincial (Horas)]])</f>
        <v>10.6</v>
      </c>
    </row>
    <row r="880" spans="28:45" x14ac:dyDescent="0.25">
      <c r="AB880" s="89"/>
      <c r="AD880" s="20" t="s">
        <v>2383</v>
      </c>
      <c r="AE880" s="10" t="s">
        <v>380</v>
      </c>
      <c r="AF880" s="20" t="s">
        <v>1029</v>
      </c>
      <c r="AG880" s="10"/>
      <c r="AH880" s="22" t="str">
        <f t="shared" si="26"/>
        <v>Huancavelica_06 Huaytará</v>
      </c>
      <c r="AI880" s="10" t="s">
        <v>1130</v>
      </c>
      <c r="AJ880" s="20" t="s">
        <v>1102</v>
      </c>
      <c r="AK880" s="22" t="str">
        <f t="shared" si="27"/>
        <v>Huancavelica_06 Huaytará_13 Santiago de Chocorvos</v>
      </c>
      <c r="AL880" s="25">
        <v>3</v>
      </c>
      <c r="AM880" s="25">
        <v>16</v>
      </c>
      <c r="AN880" s="26">
        <f>Tabla2[[#This Row],[Minutos]]/60</f>
        <v>0.26666666666666666</v>
      </c>
      <c r="AO880" s="27">
        <f>SUM(Tabla2[[#This Row],[Horas]],Tabla2[[#This Row],[Minutos a Horas]])</f>
        <v>3.2666666666666666</v>
      </c>
      <c r="AP880" s="49">
        <v>7</v>
      </c>
      <c r="AQ880" s="49">
        <v>30</v>
      </c>
      <c r="AR880" s="26">
        <f>Tabla2[[#This Row],[Minutos*]]/60</f>
        <v>0.5</v>
      </c>
      <c r="AS880" s="27">
        <f>SUM(Tabla2[[#This Row],[Horas*]],Tabla2[[#This Row],[Minutos a Horas*]])+(Tabla2[[#This Row],[Tiempo Total a Nivel Proncincial (Horas)]])</f>
        <v>10.766666666666666</v>
      </c>
    </row>
    <row r="881" spans="28:45" x14ac:dyDescent="0.25">
      <c r="AB881" s="89"/>
      <c r="AD881" s="20" t="s">
        <v>2383</v>
      </c>
      <c r="AE881" s="10" t="s">
        <v>380</v>
      </c>
      <c r="AF881" s="20" t="s">
        <v>1029</v>
      </c>
      <c r="AG881" s="10"/>
      <c r="AH881" s="22" t="str">
        <f t="shared" si="26"/>
        <v>Huancavelica_06 Huaytará</v>
      </c>
      <c r="AI881" s="10" t="s">
        <v>1130</v>
      </c>
      <c r="AJ881" s="20" t="s">
        <v>1103</v>
      </c>
      <c r="AK881" s="22" t="str">
        <f t="shared" si="27"/>
        <v>Huancavelica_06 Huaytará_14 Santiago de Quirahuara</v>
      </c>
      <c r="AL881" s="25">
        <v>3</v>
      </c>
      <c r="AM881" s="25">
        <v>16</v>
      </c>
      <c r="AN881" s="26">
        <f>Tabla2[[#This Row],[Minutos]]/60</f>
        <v>0.26666666666666666</v>
      </c>
      <c r="AO881" s="27">
        <f>SUM(Tabla2[[#This Row],[Horas]],Tabla2[[#This Row],[Minutos a Horas]])</f>
        <v>3.2666666666666666</v>
      </c>
      <c r="AP881" s="49">
        <v>13</v>
      </c>
      <c r="AQ881" s="49">
        <v>30</v>
      </c>
      <c r="AR881" s="26">
        <f>Tabla2[[#This Row],[Minutos*]]/60</f>
        <v>0.5</v>
      </c>
      <c r="AS881" s="27">
        <f>SUM(Tabla2[[#This Row],[Horas*]],Tabla2[[#This Row],[Minutos a Horas*]])+(Tabla2[[#This Row],[Tiempo Total a Nivel Proncincial (Horas)]])</f>
        <v>16.766666666666666</v>
      </c>
    </row>
    <row r="882" spans="28:45" x14ac:dyDescent="0.25">
      <c r="AB882" s="89"/>
      <c r="AD882" s="20" t="s">
        <v>2383</v>
      </c>
      <c r="AE882" s="10" t="s">
        <v>380</v>
      </c>
      <c r="AF882" s="20" t="s">
        <v>1029</v>
      </c>
      <c r="AG882" s="10"/>
      <c r="AH882" s="22" t="str">
        <f t="shared" si="26"/>
        <v>Huancavelica_06 Huaytará</v>
      </c>
      <c r="AI882" s="10" t="s">
        <v>1130</v>
      </c>
      <c r="AJ882" s="20" t="s">
        <v>1104</v>
      </c>
      <c r="AK882" s="22" t="str">
        <f t="shared" si="27"/>
        <v>Huancavelica_06 Huaytará_15 Santo Domingo de Capillas</v>
      </c>
      <c r="AL882" s="25">
        <v>3</v>
      </c>
      <c r="AM882" s="25">
        <v>16</v>
      </c>
      <c r="AN882" s="26">
        <f>Tabla2[[#This Row],[Minutos]]/60</f>
        <v>0.26666666666666666</v>
      </c>
      <c r="AO882" s="27">
        <f>SUM(Tabla2[[#This Row],[Horas]],Tabla2[[#This Row],[Minutos a Horas]])</f>
        <v>3.2666666666666666</v>
      </c>
      <c r="AP882" s="49">
        <v>8</v>
      </c>
      <c r="AQ882" s="49">
        <v>0</v>
      </c>
      <c r="AR882" s="26">
        <f>Tabla2[[#This Row],[Minutos*]]/60</f>
        <v>0</v>
      </c>
      <c r="AS882" s="27">
        <f>SUM(Tabla2[[#This Row],[Horas*]],Tabla2[[#This Row],[Minutos a Horas*]])+(Tabla2[[#This Row],[Tiempo Total a Nivel Proncincial (Horas)]])</f>
        <v>11.266666666666666</v>
      </c>
    </row>
    <row r="883" spans="28:45" x14ac:dyDescent="0.25">
      <c r="AB883" s="89"/>
      <c r="AD883" s="20" t="s">
        <v>2383</v>
      </c>
      <c r="AE883" s="10" t="s">
        <v>380</v>
      </c>
      <c r="AF883" s="20" t="s">
        <v>1029</v>
      </c>
      <c r="AG883" s="10"/>
      <c r="AH883" s="22" t="str">
        <f t="shared" si="26"/>
        <v>Huancavelica_06 Huaytará</v>
      </c>
      <c r="AI883" s="10" t="s">
        <v>1130</v>
      </c>
      <c r="AJ883" s="20" t="s">
        <v>1105</v>
      </c>
      <c r="AK883" s="22" t="str">
        <f t="shared" si="27"/>
        <v>Huancavelica_06 Huaytará_16 Tambo</v>
      </c>
      <c r="AL883" s="25">
        <v>3</v>
      </c>
      <c r="AM883" s="25">
        <v>16</v>
      </c>
      <c r="AN883" s="26">
        <f>Tabla2[[#This Row],[Minutos]]/60</f>
        <v>0.26666666666666666</v>
      </c>
      <c r="AO883" s="27">
        <f>SUM(Tabla2[[#This Row],[Horas]],Tabla2[[#This Row],[Minutos a Horas]])</f>
        <v>3.2666666666666666</v>
      </c>
      <c r="AP883" s="49">
        <v>8</v>
      </c>
      <c r="AQ883" s="49">
        <v>30</v>
      </c>
      <c r="AR883" s="26">
        <f>Tabla2[[#This Row],[Minutos*]]/60</f>
        <v>0.5</v>
      </c>
      <c r="AS883" s="27">
        <f>SUM(Tabla2[[#This Row],[Horas*]],Tabla2[[#This Row],[Minutos a Horas*]])+(Tabla2[[#This Row],[Tiempo Total a Nivel Proncincial (Horas)]])</f>
        <v>11.766666666666666</v>
      </c>
    </row>
    <row r="884" spans="28:45" x14ac:dyDescent="0.25">
      <c r="AB884" s="89"/>
      <c r="AD884" s="20" t="s">
        <v>2383</v>
      </c>
      <c r="AE884" s="10" t="s">
        <v>380</v>
      </c>
      <c r="AF884" s="20" t="s">
        <v>1030</v>
      </c>
      <c r="AG884" s="10"/>
      <c r="AH884" s="22" t="str">
        <f t="shared" si="26"/>
        <v>Huancavelica_07 Tayacaja</v>
      </c>
      <c r="AI884" s="10" t="s">
        <v>1131</v>
      </c>
      <c r="AJ884" s="20" t="s">
        <v>1106</v>
      </c>
      <c r="AK884" s="22" t="str">
        <f t="shared" si="27"/>
        <v>Huancavelica_07 Tayacaja_01 Pampas</v>
      </c>
      <c r="AL884" s="25">
        <v>2</v>
      </c>
      <c r="AM884" s="25">
        <v>59</v>
      </c>
      <c r="AN884" s="26">
        <f>Tabla2[[#This Row],[Minutos]]/60</f>
        <v>0.98333333333333328</v>
      </c>
      <c r="AO884" s="27">
        <f>SUM(Tabla2[[#This Row],[Horas]],Tabla2[[#This Row],[Minutos a Horas]])</f>
        <v>2.9833333333333334</v>
      </c>
      <c r="AP884" s="49">
        <v>4</v>
      </c>
      <c r="AQ884" s="49">
        <v>0</v>
      </c>
      <c r="AR884" s="26">
        <f>Tabla2[[#This Row],[Minutos*]]/60</f>
        <v>0</v>
      </c>
      <c r="AS884" s="27">
        <f>SUM(Tabla2[[#This Row],[Horas*]],Tabla2[[#This Row],[Minutos a Horas*]])+(Tabla2[[#This Row],[Tiempo Total a Nivel Proncincial (Horas)]])</f>
        <v>6.9833333333333334</v>
      </c>
    </row>
    <row r="885" spans="28:45" x14ac:dyDescent="0.25">
      <c r="AB885" s="89"/>
      <c r="AD885" s="20" t="s">
        <v>2383</v>
      </c>
      <c r="AE885" s="10" t="s">
        <v>380</v>
      </c>
      <c r="AF885" s="20" t="s">
        <v>1030</v>
      </c>
      <c r="AG885" s="10"/>
      <c r="AH885" s="22" t="str">
        <f t="shared" si="26"/>
        <v>Huancavelica_07 Tayacaja</v>
      </c>
      <c r="AI885" s="10" t="s">
        <v>1131</v>
      </c>
      <c r="AJ885" s="20" t="s">
        <v>1107</v>
      </c>
      <c r="AK885" s="22" t="str">
        <f t="shared" si="27"/>
        <v>Huancavelica_07 Tayacaja_02 Acostambo</v>
      </c>
      <c r="AL885" s="25">
        <v>2</v>
      </c>
      <c r="AM885" s="25">
        <v>59</v>
      </c>
      <c r="AN885" s="26">
        <f>Tabla2[[#This Row],[Minutos]]/60</f>
        <v>0.98333333333333328</v>
      </c>
      <c r="AO885" s="27">
        <f>SUM(Tabla2[[#This Row],[Horas]],Tabla2[[#This Row],[Minutos a Horas]])</f>
        <v>2.9833333333333334</v>
      </c>
      <c r="AP885" s="49">
        <v>2</v>
      </c>
      <c r="AQ885" s="49">
        <v>40</v>
      </c>
      <c r="AR885" s="26">
        <f>Tabla2[[#This Row],[Minutos*]]/60</f>
        <v>0.66666666666666663</v>
      </c>
      <c r="AS885" s="27">
        <f>SUM(Tabla2[[#This Row],[Horas*]],Tabla2[[#This Row],[Minutos a Horas*]])+(Tabla2[[#This Row],[Tiempo Total a Nivel Proncincial (Horas)]])</f>
        <v>5.65</v>
      </c>
    </row>
    <row r="886" spans="28:45" x14ac:dyDescent="0.25">
      <c r="AB886" s="89"/>
      <c r="AD886" s="20" t="s">
        <v>2383</v>
      </c>
      <c r="AE886" s="10" t="s">
        <v>380</v>
      </c>
      <c r="AF886" s="20" t="s">
        <v>1030</v>
      </c>
      <c r="AG886" s="10"/>
      <c r="AH886" s="22" t="str">
        <f t="shared" si="26"/>
        <v>Huancavelica_07 Tayacaja</v>
      </c>
      <c r="AI886" s="10" t="s">
        <v>1131</v>
      </c>
      <c r="AJ886" s="20" t="s">
        <v>1108</v>
      </c>
      <c r="AK886" s="22" t="str">
        <f t="shared" si="27"/>
        <v>Huancavelica_07 Tayacaja_03 Acraquia</v>
      </c>
      <c r="AL886" s="25">
        <v>2</v>
      </c>
      <c r="AM886" s="25">
        <v>59</v>
      </c>
      <c r="AN886" s="26">
        <f>Tabla2[[#This Row],[Minutos]]/60</f>
        <v>0.98333333333333328</v>
      </c>
      <c r="AO886" s="27">
        <f>SUM(Tabla2[[#This Row],[Horas]],Tabla2[[#This Row],[Minutos a Horas]])</f>
        <v>2.9833333333333334</v>
      </c>
      <c r="AP886" s="49">
        <v>4</v>
      </c>
      <c r="AQ886" s="49">
        <v>10</v>
      </c>
      <c r="AR886" s="26">
        <f>Tabla2[[#This Row],[Minutos*]]/60</f>
        <v>0.16666666666666666</v>
      </c>
      <c r="AS886" s="27">
        <f>SUM(Tabla2[[#This Row],[Horas*]],Tabla2[[#This Row],[Minutos a Horas*]])+(Tabla2[[#This Row],[Tiempo Total a Nivel Proncincial (Horas)]])</f>
        <v>7.15</v>
      </c>
    </row>
    <row r="887" spans="28:45" x14ac:dyDescent="0.25">
      <c r="AB887" s="89"/>
      <c r="AD887" s="20" t="s">
        <v>2383</v>
      </c>
      <c r="AE887" s="10" t="s">
        <v>380</v>
      </c>
      <c r="AF887" s="20" t="s">
        <v>1030</v>
      </c>
      <c r="AG887" s="10"/>
      <c r="AH887" s="22" t="str">
        <f t="shared" si="26"/>
        <v>Huancavelica_07 Tayacaja</v>
      </c>
      <c r="AI887" s="10" t="s">
        <v>1131</v>
      </c>
      <c r="AJ887" s="20" t="s">
        <v>1109</v>
      </c>
      <c r="AK887" s="22" t="str">
        <f t="shared" si="27"/>
        <v>Huancavelica_07 Tayacaja_04 Ahuaycha</v>
      </c>
      <c r="AL887" s="25">
        <v>2</v>
      </c>
      <c r="AM887" s="25">
        <v>59</v>
      </c>
      <c r="AN887" s="26">
        <f>Tabla2[[#This Row],[Minutos]]/60</f>
        <v>0.98333333333333328</v>
      </c>
      <c r="AO887" s="27">
        <f>SUM(Tabla2[[#This Row],[Horas]],Tabla2[[#This Row],[Minutos a Horas]])</f>
        <v>2.9833333333333334</v>
      </c>
      <c r="AP887" s="49">
        <v>4</v>
      </c>
      <c r="AQ887" s="49">
        <v>5</v>
      </c>
      <c r="AR887" s="26">
        <f>Tabla2[[#This Row],[Minutos*]]/60</f>
        <v>8.3333333333333329E-2</v>
      </c>
      <c r="AS887" s="27">
        <f>SUM(Tabla2[[#This Row],[Horas*]],Tabla2[[#This Row],[Minutos a Horas*]])+(Tabla2[[#This Row],[Tiempo Total a Nivel Proncincial (Horas)]])</f>
        <v>7.0666666666666664</v>
      </c>
    </row>
    <row r="888" spans="28:45" x14ac:dyDescent="0.25">
      <c r="AB888" s="89"/>
      <c r="AD888" s="20" t="s">
        <v>2383</v>
      </c>
      <c r="AE888" s="10" t="s">
        <v>380</v>
      </c>
      <c r="AF888" s="20" t="s">
        <v>1030</v>
      </c>
      <c r="AG888" s="10"/>
      <c r="AH888" s="22" t="str">
        <f t="shared" si="26"/>
        <v>Huancavelica_07 Tayacaja</v>
      </c>
      <c r="AI888" s="10" t="s">
        <v>1131</v>
      </c>
      <c r="AJ888" s="20" t="s">
        <v>444</v>
      </c>
      <c r="AK888" s="22" t="str">
        <f t="shared" si="27"/>
        <v>Huancavelica_07 Tayacaja_05 Colcabamba</v>
      </c>
      <c r="AL888" s="25">
        <v>2</v>
      </c>
      <c r="AM888" s="25">
        <v>59</v>
      </c>
      <c r="AN888" s="26">
        <f>Tabla2[[#This Row],[Minutos]]/60</f>
        <v>0.98333333333333328</v>
      </c>
      <c r="AO888" s="27">
        <f>SUM(Tabla2[[#This Row],[Horas]],Tabla2[[#This Row],[Minutos a Horas]])</f>
        <v>2.9833333333333334</v>
      </c>
      <c r="AP888" s="49">
        <v>4</v>
      </c>
      <c r="AQ888" s="49">
        <v>40</v>
      </c>
      <c r="AR888" s="26">
        <f>Tabla2[[#This Row],[Minutos*]]/60</f>
        <v>0.66666666666666663</v>
      </c>
      <c r="AS888" s="27">
        <f>SUM(Tabla2[[#This Row],[Horas*]],Tabla2[[#This Row],[Minutos a Horas*]])+(Tabla2[[#This Row],[Tiempo Total a Nivel Proncincial (Horas)]])</f>
        <v>7.65</v>
      </c>
    </row>
    <row r="889" spans="28:45" x14ac:dyDescent="0.25">
      <c r="AB889" s="89"/>
      <c r="AD889" s="20" t="s">
        <v>2383</v>
      </c>
      <c r="AE889" s="10" t="s">
        <v>380</v>
      </c>
      <c r="AF889" s="20" t="s">
        <v>1030</v>
      </c>
      <c r="AG889" s="10"/>
      <c r="AH889" s="22" t="str">
        <f t="shared" si="26"/>
        <v>Huancavelica_07 Tayacaja</v>
      </c>
      <c r="AI889" s="10" t="s">
        <v>1131</v>
      </c>
      <c r="AJ889" s="20" t="s">
        <v>1110</v>
      </c>
      <c r="AK889" s="22" t="str">
        <f t="shared" si="27"/>
        <v>Huancavelica_07 Tayacaja_06 Daniel Hernández</v>
      </c>
      <c r="AL889" s="25">
        <v>2</v>
      </c>
      <c r="AM889" s="25">
        <v>59</v>
      </c>
      <c r="AN889" s="26">
        <f>Tabla2[[#This Row],[Minutos]]/60</f>
        <v>0.98333333333333328</v>
      </c>
      <c r="AO889" s="27">
        <f>SUM(Tabla2[[#This Row],[Horas]],Tabla2[[#This Row],[Minutos a Horas]])</f>
        <v>2.9833333333333334</v>
      </c>
      <c r="AP889" s="49">
        <v>4</v>
      </c>
      <c r="AQ889" s="49">
        <v>0</v>
      </c>
      <c r="AR889" s="26">
        <f>Tabla2[[#This Row],[Minutos*]]/60</f>
        <v>0</v>
      </c>
      <c r="AS889" s="27">
        <f>SUM(Tabla2[[#This Row],[Horas*]],Tabla2[[#This Row],[Minutos a Horas*]])+(Tabla2[[#This Row],[Tiempo Total a Nivel Proncincial (Horas)]])</f>
        <v>6.9833333333333334</v>
      </c>
    </row>
    <row r="890" spans="28:45" x14ac:dyDescent="0.25">
      <c r="AB890" s="89"/>
      <c r="AD890" s="20" t="s">
        <v>2383</v>
      </c>
      <c r="AE890" s="10" t="s">
        <v>380</v>
      </c>
      <c r="AF890" s="20" t="s">
        <v>1030</v>
      </c>
      <c r="AG890" s="10"/>
      <c r="AH890" s="22" t="str">
        <f t="shared" si="26"/>
        <v>Huancavelica_07 Tayacaja</v>
      </c>
      <c r="AI890" s="10" t="s">
        <v>1131</v>
      </c>
      <c r="AJ890" s="20" t="s">
        <v>1111</v>
      </c>
      <c r="AK890" s="22" t="str">
        <f t="shared" si="27"/>
        <v>Huancavelica_07 Tayacaja_07 Huachocolpa</v>
      </c>
      <c r="AL890" s="25">
        <v>2</v>
      </c>
      <c r="AM890" s="25">
        <v>59</v>
      </c>
      <c r="AN890" s="26">
        <f>Tabla2[[#This Row],[Minutos]]/60</f>
        <v>0.98333333333333328</v>
      </c>
      <c r="AO890" s="27">
        <f>SUM(Tabla2[[#This Row],[Horas]],Tabla2[[#This Row],[Minutos a Horas]])</f>
        <v>2.9833333333333334</v>
      </c>
      <c r="AP890" s="49">
        <v>6</v>
      </c>
      <c r="AQ890" s="49">
        <v>25</v>
      </c>
      <c r="AR890" s="26">
        <f>Tabla2[[#This Row],[Minutos*]]/60</f>
        <v>0.41666666666666669</v>
      </c>
      <c r="AS890" s="27">
        <f>SUM(Tabla2[[#This Row],[Horas*]],Tabla2[[#This Row],[Minutos a Horas*]])+(Tabla2[[#This Row],[Tiempo Total a Nivel Proncincial (Horas)]])</f>
        <v>9.4</v>
      </c>
    </row>
    <row r="891" spans="28:45" x14ac:dyDescent="0.25">
      <c r="AB891" s="89"/>
      <c r="AD891" s="20" t="s">
        <v>2383</v>
      </c>
      <c r="AE891" s="10" t="s">
        <v>380</v>
      </c>
      <c r="AF891" s="20" t="s">
        <v>1030</v>
      </c>
      <c r="AG891" s="10"/>
      <c r="AH891" s="22" t="str">
        <f t="shared" si="26"/>
        <v>Huancavelica_07 Tayacaja</v>
      </c>
      <c r="AI891" s="10" t="s">
        <v>1131</v>
      </c>
      <c r="AJ891" s="20" t="s">
        <v>1112</v>
      </c>
      <c r="AK891" s="22" t="str">
        <f t="shared" si="27"/>
        <v>Huancavelica_07 Tayacaja_09 Huaribamba</v>
      </c>
      <c r="AL891" s="25">
        <v>2</v>
      </c>
      <c r="AM891" s="25">
        <v>59</v>
      </c>
      <c r="AN891" s="26">
        <f>Tabla2[[#This Row],[Minutos]]/60</f>
        <v>0.98333333333333328</v>
      </c>
      <c r="AO891" s="27">
        <f>SUM(Tabla2[[#This Row],[Horas]],Tabla2[[#This Row],[Minutos a Horas]])</f>
        <v>2.9833333333333334</v>
      </c>
      <c r="AP891" s="49">
        <v>3</v>
      </c>
      <c r="AQ891" s="49">
        <v>30</v>
      </c>
      <c r="AR891" s="26">
        <f>Tabla2[[#This Row],[Minutos*]]/60</f>
        <v>0.5</v>
      </c>
      <c r="AS891" s="27">
        <f>SUM(Tabla2[[#This Row],[Horas*]],Tabla2[[#This Row],[Minutos a Horas*]])+(Tabla2[[#This Row],[Tiempo Total a Nivel Proncincial (Horas)]])</f>
        <v>6.4833333333333334</v>
      </c>
    </row>
    <row r="892" spans="28:45" x14ac:dyDescent="0.25">
      <c r="AB892" s="89"/>
      <c r="AD892" s="20" t="s">
        <v>2383</v>
      </c>
      <c r="AE892" s="10" t="s">
        <v>380</v>
      </c>
      <c r="AF892" s="20" t="s">
        <v>1030</v>
      </c>
      <c r="AG892" s="10"/>
      <c r="AH892" s="22" t="str">
        <f t="shared" si="26"/>
        <v>Huancavelica_07 Tayacaja</v>
      </c>
      <c r="AI892" s="10" t="s">
        <v>1131</v>
      </c>
      <c r="AJ892" s="20" t="s">
        <v>1113</v>
      </c>
      <c r="AK892" s="22" t="str">
        <f t="shared" si="27"/>
        <v>Huancavelica_07 Tayacaja_10 Ñahuimpuquio</v>
      </c>
      <c r="AL892" s="25">
        <v>2</v>
      </c>
      <c r="AM892" s="25">
        <v>59</v>
      </c>
      <c r="AN892" s="26">
        <f>Tabla2[[#This Row],[Minutos]]/60</f>
        <v>0.98333333333333328</v>
      </c>
      <c r="AO892" s="27">
        <f>SUM(Tabla2[[#This Row],[Horas]],Tabla2[[#This Row],[Minutos a Horas]])</f>
        <v>2.9833333333333334</v>
      </c>
      <c r="AP892" s="49">
        <v>3</v>
      </c>
      <c r="AQ892" s="49">
        <v>0</v>
      </c>
      <c r="AR892" s="26">
        <f>Tabla2[[#This Row],[Minutos*]]/60</f>
        <v>0</v>
      </c>
      <c r="AS892" s="27">
        <f>SUM(Tabla2[[#This Row],[Horas*]],Tabla2[[#This Row],[Minutos a Horas*]])+(Tabla2[[#This Row],[Tiempo Total a Nivel Proncincial (Horas)]])</f>
        <v>5.9833333333333334</v>
      </c>
    </row>
    <row r="893" spans="28:45" x14ac:dyDescent="0.25">
      <c r="AB893" s="89"/>
      <c r="AD893" s="20" t="s">
        <v>2383</v>
      </c>
      <c r="AE893" s="10" t="s">
        <v>380</v>
      </c>
      <c r="AF893" s="20" t="s">
        <v>1030</v>
      </c>
      <c r="AG893" s="10"/>
      <c r="AH893" s="22" t="str">
        <f t="shared" si="26"/>
        <v>Huancavelica_07 Tayacaja</v>
      </c>
      <c r="AI893" s="10" t="s">
        <v>1131</v>
      </c>
      <c r="AJ893" s="20" t="s">
        <v>1114</v>
      </c>
      <c r="AK893" s="22" t="str">
        <f t="shared" si="27"/>
        <v>Huancavelica_07 Tayacaja_11 Pazos</v>
      </c>
      <c r="AL893" s="25">
        <v>2</v>
      </c>
      <c r="AM893" s="25">
        <v>59</v>
      </c>
      <c r="AN893" s="26">
        <f>Tabla2[[#This Row],[Minutos]]/60</f>
        <v>0.98333333333333328</v>
      </c>
      <c r="AO893" s="27">
        <f>SUM(Tabla2[[#This Row],[Horas]],Tabla2[[#This Row],[Minutos a Horas]])</f>
        <v>2.9833333333333334</v>
      </c>
      <c r="AP893" s="49">
        <v>3</v>
      </c>
      <c r="AQ893" s="49">
        <v>30</v>
      </c>
      <c r="AR893" s="26">
        <f>Tabla2[[#This Row],[Minutos*]]/60</f>
        <v>0.5</v>
      </c>
      <c r="AS893" s="27">
        <f>SUM(Tabla2[[#This Row],[Horas*]],Tabla2[[#This Row],[Minutos a Horas*]])+(Tabla2[[#This Row],[Tiempo Total a Nivel Proncincial (Horas)]])</f>
        <v>6.4833333333333334</v>
      </c>
    </row>
    <row r="894" spans="28:45" x14ac:dyDescent="0.25">
      <c r="AB894" s="89"/>
      <c r="AD894" s="20" t="s">
        <v>2383</v>
      </c>
      <c r="AE894" s="10" t="s">
        <v>380</v>
      </c>
      <c r="AF894" s="20" t="s">
        <v>1030</v>
      </c>
      <c r="AG894" s="10"/>
      <c r="AH894" s="22" t="str">
        <f t="shared" si="26"/>
        <v>Huancavelica_07 Tayacaja</v>
      </c>
      <c r="AI894" s="10" t="s">
        <v>1131</v>
      </c>
      <c r="AJ894" s="20" t="s">
        <v>1115</v>
      </c>
      <c r="AK894" s="22" t="str">
        <f t="shared" si="27"/>
        <v>Huancavelica_07 Tayacaja_13 Quishuar</v>
      </c>
      <c r="AL894" s="25">
        <v>2</v>
      </c>
      <c r="AM894" s="25">
        <v>59</v>
      </c>
      <c r="AN894" s="26">
        <f>Tabla2[[#This Row],[Minutos]]/60</f>
        <v>0.98333333333333328</v>
      </c>
      <c r="AO894" s="27">
        <f>SUM(Tabla2[[#This Row],[Horas]],Tabla2[[#This Row],[Minutos a Horas]])</f>
        <v>2.9833333333333334</v>
      </c>
      <c r="AP894" s="49">
        <v>5</v>
      </c>
      <c r="AQ894" s="49">
        <v>30</v>
      </c>
      <c r="AR894" s="26">
        <f>Tabla2[[#This Row],[Minutos*]]/60</f>
        <v>0.5</v>
      </c>
      <c r="AS894" s="27">
        <f>SUM(Tabla2[[#This Row],[Horas*]],Tabla2[[#This Row],[Minutos a Horas*]])+(Tabla2[[#This Row],[Tiempo Total a Nivel Proncincial (Horas)]])</f>
        <v>8.4833333333333343</v>
      </c>
    </row>
    <row r="895" spans="28:45" x14ac:dyDescent="0.25">
      <c r="AB895" s="89"/>
      <c r="AD895" s="20" t="s">
        <v>2383</v>
      </c>
      <c r="AE895" s="10" t="s">
        <v>380</v>
      </c>
      <c r="AF895" s="20" t="s">
        <v>1030</v>
      </c>
      <c r="AG895" s="10"/>
      <c r="AH895" s="22" t="str">
        <f t="shared" si="26"/>
        <v>Huancavelica_07 Tayacaja</v>
      </c>
      <c r="AI895" s="10" t="s">
        <v>1131</v>
      </c>
      <c r="AJ895" s="20" t="s">
        <v>1116</v>
      </c>
      <c r="AK895" s="22" t="str">
        <f t="shared" si="27"/>
        <v>Huancavelica_07 Tayacaja_14 Salcabamba</v>
      </c>
      <c r="AL895" s="25">
        <v>2</v>
      </c>
      <c r="AM895" s="25">
        <v>59</v>
      </c>
      <c r="AN895" s="26">
        <f>Tabla2[[#This Row],[Minutos]]/60</f>
        <v>0.98333333333333328</v>
      </c>
      <c r="AO895" s="27">
        <f>SUM(Tabla2[[#This Row],[Horas]],Tabla2[[#This Row],[Minutos a Horas]])</f>
        <v>2.9833333333333334</v>
      </c>
      <c r="AP895" s="49">
        <v>6</v>
      </c>
      <c r="AQ895" s="49">
        <v>0</v>
      </c>
      <c r="AR895" s="26">
        <f>Tabla2[[#This Row],[Minutos*]]/60</f>
        <v>0</v>
      </c>
      <c r="AS895" s="27">
        <f>SUM(Tabla2[[#This Row],[Horas*]],Tabla2[[#This Row],[Minutos a Horas*]])+(Tabla2[[#This Row],[Tiempo Total a Nivel Proncincial (Horas)]])</f>
        <v>8.9833333333333343</v>
      </c>
    </row>
    <row r="896" spans="28:45" x14ac:dyDescent="0.25">
      <c r="AB896" s="89"/>
      <c r="AD896" s="20" t="s">
        <v>2383</v>
      </c>
      <c r="AE896" s="10" t="s">
        <v>380</v>
      </c>
      <c r="AF896" s="20" t="s">
        <v>1030</v>
      </c>
      <c r="AG896" s="10"/>
      <c r="AH896" s="22" t="str">
        <f t="shared" si="26"/>
        <v>Huancavelica_07 Tayacaja</v>
      </c>
      <c r="AI896" s="10" t="s">
        <v>1131</v>
      </c>
      <c r="AJ896" s="20" t="s">
        <v>1117</v>
      </c>
      <c r="AK896" s="22" t="str">
        <f t="shared" si="27"/>
        <v>Huancavelica_07 Tayacaja_15 Salcahuasi</v>
      </c>
      <c r="AL896" s="25">
        <v>2</v>
      </c>
      <c r="AM896" s="25">
        <v>59</v>
      </c>
      <c r="AN896" s="26">
        <f>Tabla2[[#This Row],[Minutos]]/60</f>
        <v>0.98333333333333328</v>
      </c>
      <c r="AO896" s="27">
        <f>SUM(Tabla2[[#This Row],[Horas]],Tabla2[[#This Row],[Minutos a Horas]])</f>
        <v>2.9833333333333334</v>
      </c>
      <c r="AP896" s="49">
        <v>5</v>
      </c>
      <c r="AQ896" s="49">
        <v>30</v>
      </c>
      <c r="AR896" s="26">
        <f>Tabla2[[#This Row],[Minutos*]]/60</f>
        <v>0.5</v>
      </c>
      <c r="AS896" s="27">
        <f>SUM(Tabla2[[#This Row],[Horas*]],Tabla2[[#This Row],[Minutos a Horas*]])+(Tabla2[[#This Row],[Tiempo Total a Nivel Proncincial (Horas)]])</f>
        <v>8.4833333333333343</v>
      </c>
    </row>
    <row r="897" spans="28:45" x14ac:dyDescent="0.25">
      <c r="AB897" s="89"/>
      <c r="AD897" s="20" t="s">
        <v>2383</v>
      </c>
      <c r="AE897" s="10" t="s">
        <v>380</v>
      </c>
      <c r="AF897" s="20" t="s">
        <v>1030</v>
      </c>
      <c r="AG897" s="10"/>
      <c r="AH897" s="22" t="str">
        <f t="shared" si="26"/>
        <v>Huancavelica_07 Tayacaja</v>
      </c>
      <c r="AI897" s="10" t="s">
        <v>1131</v>
      </c>
      <c r="AJ897" s="20" t="s">
        <v>1118</v>
      </c>
      <c r="AK897" s="22" t="str">
        <f t="shared" si="27"/>
        <v>Huancavelica_07 Tayacaja_16 San Marcos de Rocchac</v>
      </c>
      <c r="AL897" s="25">
        <v>2</v>
      </c>
      <c r="AM897" s="25">
        <v>59</v>
      </c>
      <c r="AN897" s="26">
        <f>Tabla2[[#This Row],[Minutos]]/60</f>
        <v>0.98333333333333328</v>
      </c>
      <c r="AO897" s="27">
        <f>SUM(Tabla2[[#This Row],[Horas]],Tabla2[[#This Row],[Minutos a Horas]])</f>
        <v>2.9833333333333334</v>
      </c>
      <c r="AP897" s="49">
        <v>5</v>
      </c>
      <c r="AQ897" s="49">
        <v>30</v>
      </c>
      <c r="AR897" s="26">
        <f>Tabla2[[#This Row],[Minutos*]]/60</f>
        <v>0.5</v>
      </c>
      <c r="AS897" s="27">
        <f>SUM(Tabla2[[#This Row],[Horas*]],Tabla2[[#This Row],[Minutos a Horas*]])+(Tabla2[[#This Row],[Tiempo Total a Nivel Proncincial (Horas)]])</f>
        <v>8.4833333333333343</v>
      </c>
    </row>
    <row r="898" spans="28:45" x14ac:dyDescent="0.25">
      <c r="AB898" s="89"/>
      <c r="AD898" s="20" t="s">
        <v>2383</v>
      </c>
      <c r="AE898" s="10" t="s">
        <v>380</v>
      </c>
      <c r="AF898" s="20" t="s">
        <v>1030</v>
      </c>
      <c r="AG898" s="10"/>
      <c r="AH898" s="22" t="str">
        <f t="shared" si="26"/>
        <v>Huancavelica_07 Tayacaja</v>
      </c>
      <c r="AI898" s="10" t="s">
        <v>1131</v>
      </c>
      <c r="AJ898" s="20" t="s">
        <v>1119</v>
      </c>
      <c r="AK898" s="22" t="str">
        <f t="shared" si="27"/>
        <v>Huancavelica_07 Tayacaja_17 Surcubamba</v>
      </c>
      <c r="AL898" s="25">
        <v>2</v>
      </c>
      <c r="AM898" s="25">
        <v>59</v>
      </c>
      <c r="AN898" s="26">
        <f>Tabla2[[#This Row],[Minutos]]/60</f>
        <v>0.98333333333333328</v>
      </c>
      <c r="AO898" s="27">
        <f>SUM(Tabla2[[#This Row],[Horas]],Tabla2[[#This Row],[Minutos a Horas]])</f>
        <v>2.9833333333333334</v>
      </c>
      <c r="AP898" s="49">
        <v>7</v>
      </c>
      <c r="AQ898" s="49">
        <v>0</v>
      </c>
      <c r="AR898" s="26">
        <f>Tabla2[[#This Row],[Minutos*]]/60</f>
        <v>0</v>
      </c>
      <c r="AS898" s="27">
        <f>SUM(Tabla2[[#This Row],[Horas*]],Tabla2[[#This Row],[Minutos a Horas*]])+(Tabla2[[#This Row],[Tiempo Total a Nivel Proncincial (Horas)]])</f>
        <v>9.9833333333333343</v>
      </c>
    </row>
    <row r="899" spans="28:45" x14ac:dyDescent="0.25">
      <c r="AB899" s="89"/>
      <c r="AD899" s="20" t="s">
        <v>2383</v>
      </c>
      <c r="AE899" s="10" t="s">
        <v>380</v>
      </c>
      <c r="AF899" s="20" t="s">
        <v>1030</v>
      </c>
      <c r="AG899" s="10"/>
      <c r="AH899" s="22" t="str">
        <f t="shared" si="26"/>
        <v>Huancavelica_07 Tayacaja</v>
      </c>
      <c r="AI899" s="10" t="s">
        <v>1131</v>
      </c>
      <c r="AJ899" s="20" t="s">
        <v>1120</v>
      </c>
      <c r="AK899" s="22" t="str">
        <f t="shared" si="27"/>
        <v>Huancavelica_07 Tayacaja_18 Tintay Puncu</v>
      </c>
      <c r="AL899" s="25">
        <v>2</v>
      </c>
      <c r="AM899" s="25">
        <v>59</v>
      </c>
      <c r="AN899" s="26">
        <f>Tabla2[[#This Row],[Minutos]]/60</f>
        <v>0.98333333333333328</v>
      </c>
      <c r="AO899" s="27">
        <f>SUM(Tabla2[[#This Row],[Horas]],Tabla2[[#This Row],[Minutos a Horas]])</f>
        <v>2.9833333333333334</v>
      </c>
      <c r="AP899" s="49">
        <v>7</v>
      </c>
      <c r="AQ899" s="49">
        <v>30</v>
      </c>
      <c r="AR899" s="26">
        <f>Tabla2[[#This Row],[Minutos*]]/60</f>
        <v>0.5</v>
      </c>
      <c r="AS899" s="27">
        <f>SUM(Tabla2[[#This Row],[Horas*]],Tabla2[[#This Row],[Minutos a Horas*]])+(Tabla2[[#This Row],[Tiempo Total a Nivel Proncincial (Horas)]])</f>
        <v>10.483333333333334</v>
      </c>
    </row>
    <row r="900" spans="28:45" x14ac:dyDescent="0.25">
      <c r="AB900" s="89"/>
      <c r="AD900" s="20" t="s">
        <v>2383</v>
      </c>
      <c r="AE900" s="10" t="s">
        <v>380</v>
      </c>
      <c r="AF900" s="20" t="s">
        <v>1030</v>
      </c>
      <c r="AG900" s="10"/>
      <c r="AH900" s="22" t="str">
        <f t="shared" si="26"/>
        <v>Huancavelica_07 Tayacaja</v>
      </c>
      <c r="AI900" s="10" t="s">
        <v>1131</v>
      </c>
      <c r="AJ900" s="20" t="s">
        <v>1121</v>
      </c>
      <c r="AK900" s="22" t="str">
        <f t="shared" si="27"/>
        <v>Huancavelica_07 Tayacaja_19 Quichuas</v>
      </c>
      <c r="AL900" s="25">
        <v>2</v>
      </c>
      <c r="AM900" s="25">
        <v>59</v>
      </c>
      <c r="AN900" s="26">
        <f>Tabla2[[#This Row],[Minutos]]/60</f>
        <v>0.98333333333333328</v>
      </c>
      <c r="AO900" s="27">
        <f>SUM(Tabla2[[#This Row],[Horas]],Tabla2[[#This Row],[Minutos a Horas]])</f>
        <v>2.9833333333333334</v>
      </c>
      <c r="AP900" s="49">
        <v>4</v>
      </c>
      <c r="AQ900" s="49">
        <v>0</v>
      </c>
      <c r="AR900" s="26">
        <f>Tabla2[[#This Row],[Minutos*]]/60</f>
        <v>0</v>
      </c>
      <c r="AS900" s="27">
        <f>SUM(Tabla2[[#This Row],[Horas*]],Tabla2[[#This Row],[Minutos a Horas*]])+(Tabla2[[#This Row],[Tiempo Total a Nivel Proncincial (Horas)]])</f>
        <v>6.9833333333333334</v>
      </c>
    </row>
    <row r="901" spans="28:45" x14ac:dyDescent="0.25">
      <c r="AB901" s="89"/>
      <c r="AD901" s="20" t="s">
        <v>2383</v>
      </c>
      <c r="AE901" s="10" t="s">
        <v>380</v>
      </c>
      <c r="AF901" s="20" t="s">
        <v>1030</v>
      </c>
      <c r="AG901" s="10"/>
      <c r="AH901" s="22" t="str">
        <f t="shared" si="26"/>
        <v>Huancavelica_07 Tayacaja</v>
      </c>
      <c r="AI901" s="10" t="s">
        <v>1131</v>
      </c>
      <c r="AJ901" s="20" t="s">
        <v>1122</v>
      </c>
      <c r="AK901" s="22" t="str">
        <f t="shared" si="27"/>
        <v>Huancavelica_07 Tayacaja_20 Andaymarca</v>
      </c>
      <c r="AL901" s="25">
        <v>2</v>
      </c>
      <c r="AM901" s="25">
        <v>59</v>
      </c>
      <c r="AN901" s="26">
        <f>Tabla2[[#This Row],[Minutos]]/60</f>
        <v>0.98333333333333328</v>
      </c>
      <c r="AO901" s="27">
        <f>SUM(Tabla2[[#This Row],[Horas]],Tabla2[[#This Row],[Minutos a Horas]])</f>
        <v>2.9833333333333334</v>
      </c>
      <c r="AP901" s="49">
        <v>6</v>
      </c>
      <c r="AQ901" s="49">
        <v>0</v>
      </c>
      <c r="AR901" s="26">
        <f>Tabla2[[#This Row],[Minutos*]]/60</f>
        <v>0</v>
      </c>
      <c r="AS901" s="27">
        <f>SUM(Tabla2[[#This Row],[Horas*]],Tabla2[[#This Row],[Minutos a Horas*]])+(Tabla2[[#This Row],[Tiempo Total a Nivel Proncincial (Horas)]])</f>
        <v>8.9833333333333343</v>
      </c>
    </row>
    <row r="902" spans="28:45" x14ac:dyDescent="0.25">
      <c r="AB902" s="89"/>
      <c r="AD902" s="20" t="s">
        <v>2383</v>
      </c>
      <c r="AE902" s="10" t="s">
        <v>380</v>
      </c>
      <c r="AF902" s="20" t="s">
        <v>1030</v>
      </c>
      <c r="AG902" s="10"/>
      <c r="AH902" s="22" t="str">
        <f t="shared" si="26"/>
        <v>Huancavelica_07 Tayacaja</v>
      </c>
      <c r="AI902" s="10" t="s">
        <v>1131</v>
      </c>
      <c r="AJ902" s="20" t="s">
        <v>1123</v>
      </c>
      <c r="AK902" s="22" t="str">
        <f t="shared" si="27"/>
        <v>Huancavelica_07 Tayacaja_21 Roble</v>
      </c>
      <c r="AL902" s="25">
        <v>2</v>
      </c>
      <c r="AM902" s="25">
        <v>59</v>
      </c>
      <c r="AN902" s="26">
        <f>Tabla2[[#This Row],[Minutos]]/60</f>
        <v>0.98333333333333328</v>
      </c>
      <c r="AO902" s="27">
        <f>SUM(Tabla2[[#This Row],[Horas]],Tabla2[[#This Row],[Minutos a Horas]])</f>
        <v>2.9833333333333334</v>
      </c>
      <c r="AP902" s="49">
        <v>7</v>
      </c>
      <c r="AQ902" s="49">
        <v>20</v>
      </c>
      <c r="AR902" s="26">
        <f>Tabla2[[#This Row],[Minutos*]]/60</f>
        <v>0.33333333333333331</v>
      </c>
      <c r="AS902" s="27">
        <f>SUM(Tabla2[[#This Row],[Horas*]],Tabla2[[#This Row],[Minutos a Horas*]])+(Tabla2[[#This Row],[Tiempo Total a Nivel Proncincial (Horas)]])</f>
        <v>10.316666666666666</v>
      </c>
    </row>
    <row r="903" spans="28:45" x14ac:dyDescent="0.25">
      <c r="AB903" s="89"/>
      <c r="AD903" s="20" t="s">
        <v>2383</v>
      </c>
      <c r="AE903" s="10" t="s">
        <v>380</v>
      </c>
      <c r="AF903" s="20" t="s">
        <v>1030</v>
      </c>
      <c r="AG903" s="10"/>
      <c r="AH903" s="22" t="str">
        <f t="shared" si="26"/>
        <v>Huancavelica_07 Tayacaja</v>
      </c>
      <c r="AI903" s="10" t="s">
        <v>1131</v>
      </c>
      <c r="AJ903" s="20" t="s">
        <v>1124</v>
      </c>
      <c r="AK903" s="22" t="str">
        <f t="shared" si="27"/>
        <v>Huancavelica_07 Tayacaja_22 Pichos</v>
      </c>
      <c r="AL903" s="25">
        <v>2</v>
      </c>
      <c r="AM903" s="25">
        <v>59</v>
      </c>
      <c r="AN903" s="26">
        <f>Tabla2[[#This Row],[Minutos]]/60</f>
        <v>0.98333333333333328</v>
      </c>
      <c r="AO903" s="27">
        <f>SUM(Tabla2[[#This Row],[Horas]],Tabla2[[#This Row],[Minutos a Horas]])</f>
        <v>2.9833333333333334</v>
      </c>
      <c r="AP903" s="49">
        <v>5</v>
      </c>
      <c r="AQ903" s="49">
        <v>0</v>
      </c>
      <c r="AR903" s="26">
        <f>Tabla2[[#This Row],[Minutos*]]/60</f>
        <v>0</v>
      </c>
      <c r="AS903" s="27">
        <f>SUM(Tabla2[[#This Row],[Horas*]],Tabla2[[#This Row],[Minutos a Horas*]])+(Tabla2[[#This Row],[Tiempo Total a Nivel Proncincial (Horas)]])</f>
        <v>7.9833333333333334</v>
      </c>
    </row>
    <row r="904" spans="28:45" x14ac:dyDescent="0.25">
      <c r="AB904" s="89"/>
      <c r="AD904" s="32" t="s">
        <v>2399</v>
      </c>
      <c r="AE904" s="10" t="s">
        <v>381</v>
      </c>
      <c r="AF904" s="20" t="s">
        <v>1132</v>
      </c>
      <c r="AG904" s="63" t="s">
        <v>1132</v>
      </c>
      <c r="AH904" s="22" t="str">
        <f t="shared" ref="AH904:AH967" si="28">CONCATENATE(AD904,"_",AF904)</f>
        <v>Huánuco_01 Huánuco</v>
      </c>
      <c r="AI904" s="10" t="s">
        <v>1224</v>
      </c>
      <c r="AJ904" s="20" t="s">
        <v>1132</v>
      </c>
      <c r="AK904" s="22" t="str">
        <f t="shared" ref="AK904:AK967" si="29">CONCATENATE(AH904,"_",AJ904)</f>
        <v>Huánuco_01 Huánuco_01 Huánuco</v>
      </c>
      <c r="AL904" s="25">
        <v>1</v>
      </c>
      <c r="AM904" s="25">
        <v>33</v>
      </c>
      <c r="AN904" s="26">
        <f>Tabla2[[#This Row],[Minutos]]/60</f>
        <v>0.55000000000000004</v>
      </c>
      <c r="AO904" s="27">
        <f>SUM(Tabla2[[#This Row],[Horas]],Tabla2[[#This Row],[Minutos a Horas]])</f>
        <v>1.55</v>
      </c>
      <c r="AP904" s="49"/>
      <c r="AQ904" s="49">
        <v>10</v>
      </c>
      <c r="AR904" s="26">
        <f>Tabla2[[#This Row],[Minutos*]]/60</f>
        <v>0.16666666666666666</v>
      </c>
      <c r="AS904" s="27">
        <f>SUM(Tabla2[[#This Row],[Horas*]],Tabla2[[#This Row],[Minutos a Horas*]])+(Tabla2[[#This Row],[Tiempo Total a Nivel Proncincial (Horas)]])</f>
        <v>1.7166666666666668</v>
      </c>
    </row>
    <row r="905" spans="28:45" x14ac:dyDescent="0.25">
      <c r="AB905" s="89"/>
      <c r="AD905" s="32" t="s">
        <v>2399</v>
      </c>
      <c r="AE905" s="10" t="s">
        <v>381</v>
      </c>
      <c r="AF905" s="20" t="s">
        <v>1132</v>
      </c>
      <c r="AG905" s="10" t="s">
        <v>1133</v>
      </c>
      <c r="AH905" s="22" t="str">
        <f t="shared" si="28"/>
        <v>Huánuco_01 Huánuco</v>
      </c>
      <c r="AI905" s="10" t="s">
        <v>1224</v>
      </c>
      <c r="AJ905" s="20" t="s">
        <v>1143</v>
      </c>
      <c r="AK905" s="22" t="str">
        <f t="shared" si="29"/>
        <v>Huánuco_01 Huánuco_02 Amarilis</v>
      </c>
      <c r="AL905" s="25">
        <v>1</v>
      </c>
      <c r="AM905" s="25">
        <v>33</v>
      </c>
      <c r="AN905" s="26">
        <f>Tabla2[[#This Row],[Minutos]]/60</f>
        <v>0.55000000000000004</v>
      </c>
      <c r="AO905" s="27">
        <f>SUM(Tabla2[[#This Row],[Horas]],Tabla2[[#This Row],[Minutos a Horas]])</f>
        <v>1.55</v>
      </c>
      <c r="AP905" s="49"/>
      <c r="AQ905" s="49">
        <v>18</v>
      </c>
      <c r="AR905" s="26">
        <f>Tabla2[[#This Row],[Minutos*]]/60</f>
        <v>0.3</v>
      </c>
      <c r="AS905" s="27">
        <f>SUM(Tabla2[[#This Row],[Horas*]],Tabla2[[#This Row],[Minutos a Horas*]])+(Tabla2[[#This Row],[Tiempo Total a Nivel Proncincial (Horas)]])</f>
        <v>1.85</v>
      </c>
    </row>
    <row r="906" spans="28:45" x14ac:dyDescent="0.25">
      <c r="AB906" s="89"/>
      <c r="AD906" s="32" t="s">
        <v>2399</v>
      </c>
      <c r="AE906" s="10" t="s">
        <v>381</v>
      </c>
      <c r="AF906" s="20" t="s">
        <v>1132</v>
      </c>
      <c r="AG906" s="10" t="s">
        <v>1134</v>
      </c>
      <c r="AH906" s="22" t="str">
        <f t="shared" si="28"/>
        <v>Huánuco_01 Huánuco</v>
      </c>
      <c r="AI906" s="10" t="s">
        <v>1224</v>
      </c>
      <c r="AJ906" s="20" t="s">
        <v>1144</v>
      </c>
      <c r="AK906" s="22" t="str">
        <f t="shared" si="29"/>
        <v>Huánuco_01 Huánuco_03 Chinchao</v>
      </c>
      <c r="AL906" s="25">
        <v>1</v>
      </c>
      <c r="AM906" s="25">
        <v>33</v>
      </c>
      <c r="AN906" s="26">
        <f>Tabla2[[#This Row],[Minutos]]/60</f>
        <v>0.55000000000000004</v>
      </c>
      <c r="AO906" s="27">
        <f>SUM(Tabla2[[#This Row],[Horas]],Tabla2[[#This Row],[Minutos a Horas]])</f>
        <v>1.55</v>
      </c>
      <c r="AP906" s="49">
        <v>1</v>
      </c>
      <c r="AQ906" s="49">
        <v>57</v>
      </c>
      <c r="AR906" s="26">
        <f>Tabla2[[#This Row],[Minutos*]]/60</f>
        <v>0.95</v>
      </c>
      <c r="AS906" s="27">
        <f>SUM(Tabla2[[#This Row],[Horas*]],Tabla2[[#This Row],[Minutos a Horas*]])+(Tabla2[[#This Row],[Tiempo Total a Nivel Proncincial (Horas)]])</f>
        <v>3.5</v>
      </c>
    </row>
    <row r="907" spans="28:45" x14ac:dyDescent="0.25">
      <c r="AB907" s="89"/>
      <c r="AD907" s="32" t="s">
        <v>2399</v>
      </c>
      <c r="AE907" s="10" t="s">
        <v>381</v>
      </c>
      <c r="AF907" s="20" t="s">
        <v>1132</v>
      </c>
      <c r="AG907" s="10" t="s">
        <v>1135</v>
      </c>
      <c r="AH907" s="22" t="str">
        <f t="shared" si="28"/>
        <v>Huánuco_01 Huánuco</v>
      </c>
      <c r="AI907" s="10" t="s">
        <v>1224</v>
      </c>
      <c r="AJ907" s="20" t="s">
        <v>1145</v>
      </c>
      <c r="AK907" s="22" t="str">
        <f t="shared" si="29"/>
        <v>Huánuco_01 Huánuco_04 Churubamba</v>
      </c>
      <c r="AL907" s="25">
        <v>1</v>
      </c>
      <c r="AM907" s="25">
        <v>33</v>
      </c>
      <c r="AN907" s="26">
        <f>Tabla2[[#This Row],[Minutos]]/60</f>
        <v>0.55000000000000004</v>
      </c>
      <c r="AO907" s="27">
        <f>SUM(Tabla2[[#This Row],[Horas]],Tabla2[[#This Row],[Minutos a Horas]])</f>
        <v>1.55</v>
      </c>
      <c r="AP907" s="49"/>
      <c r="AQ907" s="49">
        <v>58</v>
      </c>
      <c r="AR907" s="26">
        <f>Tabla2[[#This Row],[Minutos*]]/60</f>
        <v>0.96666666666666667</v>
      </c>
      <c r="AS907" s="27">
        <f>SUM(Tabla2[[#This Row],[Horas*]],Tabla2[[#This Row],[Minutos a Horas*]])+(Tabla2[[#This Row],[Tiempo Total a Nivel Proncincial (Horas)]])</f>
        <v>2.5166666666666666</v>
      </c>
    </row>
    <row r="908" spans="28:45" x14ac:dyDescent="0.25">
      <c r="AB908" s="89"/>
      <c r="AD908" s="32" t="s">
        <v>2399</v>
      </c>
      <c r="AE908" s="10" t="s">
        <v>381</v>
      </c>
      <c r="AF908" s="20" t="s">
        <v>1132</v>
      </c>
      <c r="AG908" s="10" t="s">
        <v>1136</v>
      </c>
      <c r="AH908" s="22" t="str">
        <f t="shared" si="28"/>
        <v>Huánuco_01 Huánuco</v>
      </c>
      <c r="AI908" s="10" t="s">
        <v>1224</v>
      </c>
      <c r="AJ908" s="20" t="s">
        <v>1146</v>
      </c>
      <c r="AK908" s="22" t="str">
        <f t="shared" si="29"/>
        <v>Huánuco_01 Huánuco_05 Margos</v>
      </c>
      <c r="AL908" s="25">
        <v>1</v>
      </c>
      <c r="AM908" s="25">
        <v>33</v>
      </c>
      <c r="AN908" s="26">
        <f>Tabla2[[#This Row],[Minutos]]/60</f>
        <v>0.55000000000000004</v>
      </c>
      <c r="AO908" s="27">
        <f>SUM(Tabla2[[#This Row],[Horas]],Tabla2[[#This Row],[Minutos a Horas]])</f>
        <v>1.55</v>
      </c>
      <c r="AP908" s="49">
        <v>1</v>
      </c>
      <c r="AQ908" s="49">
        <v>52</v>
      </c>
      <c r="AR908" s="26">
        <f>Tabla2[[#This Row],[Minutos*]]/60</f>
        <v>0.8666666666666667</v>
      </c>
      <c r="AS908" s="27">
        <f>SUM(Tabla2[[#This Row],[Horas*]],Tabla2[[#This Row],[Minutos a Horas*]])+(Tabla2[[#This Row],[Tiempo Total a Nivel Proncincial (Horas)]])</f>
        <v>3.416666666666667</v>
      </c>
    </row>
    <row r="909" spans="28:45" x14ac:dyDescent="0.25">
      <c r="AB909" s="89"/>
      <c r="AD909" s="32" t="s">
        <v>2399</v>
      </c>
      <c r="AE909" s="10" t="s">
        <v>381</v>
      </c>
      <c r="AF909" s="20" t="s">
        <v>1132</v>
      </c>
      <c r="AG909" s="10" t="s">
        <v>1137</v>
      </c>
      <c r="AH909" s="22" t="str">
        <f t="shared" si="28"/>
        <v>Huánuco_01 Huánuco</v>
      </c>
      <c r="AI909" s="10" t="s">
        <v>1224</v>
      </c>
      <c r="AJ909" s="20" t="s">
        <v>1147</v>
      </c>
      <c r="AK909" s="22" t="str">
        <f t="shared" si="29"/>
        <v>Huánuco_01 Huánuco_06 Quisqui (Kichki)</v>
      </c>
      <c r="AL909" s="25">
        <v>1</v>
      </c>
      <c r="AM909" s="25">
        <v>33</v>
      </c>
      <c r="AN909" s="26">
        <f>Tabla2[[#This Row],[Minutos]]/60</f>
        <v>0.55000000000000004</v>
      </c>
      <c r="AO909" s="27">
        <f>SUM(Tabla2[[#This Row],[Horas]],Tabla2[[#This Row],[Minutos a Horas]])</f>
        <v>1.55</v>
      </c>
      <c r="AP909" s="49">
        <v>1</v>
      </c>
      <c r="AQ909" s="49">
        <v>29</v>
      </c>
      <c r="AR909" s="26">
        <f>Tabla2[[#This Row],[Minutos*]]/60</f>
        <v>0.48333333333333334</v>
      </c>
      <c r="AS909" s="27">
        <f>SUM(Tabla2[[#This Row],[Horas*]],Tabla2[[#This Row],[Minutos a Horas*]])+(Tabla2[[#This Row],[Tiempo Total a Nivel Proncincial (Horas)]])</f>
        <v>3.0333333333333332</v>
      </c>
    </row>
    <row r="910" spans="28:45" x14ac:dyDescent="0.25">
      <c r="AB910" s="89"/>
      <c r="AD910" s="32" t="s">
        <v>2399</v>
      </c>
      <c r="AE910" s="10" t="s">
        <v>381</v>
      </c>
      <c r="AF910" s="20" t="s">
        <v>1132</v>
      </c>
      <c r="AG910" s="10" t="s">
        <v>1138</v>
      </c>
      <c r="AH910" s="22" t="str">
        <f t="shared" si="28"/>
        <v>Huánuco_01 Huánuco</v>
      </c>
      <c r="AI910" s="10" t="s">
        <v>1224</v>
      </c>
      <c r="AJ910" s="20" t="s">
        <v>1148</v>
      </c>
      <c r="AK910" s="22" t="str">
        <f t="shared" si="29"/>
        <v>Huánuco_01 Huánuco_07 San Francisco de Cayran</v>
      </c>
      <c r="AL910" s="25">
        <v>1</v>
      </c>
      <c r="AM910" s="25">
        <v>33</v>
      </c>
      <c r="AN910" s="26">
        <f>Tabla2[[#This Row],[Minutos]]/60</f>
        <v>0.55000000000000004</v>
      </c>
      <c r="AO910" s="27">
        <f>SUM(Tabla2[[#This Row],[Horas]],Tabla2[[#This Row],[Minutos a Horas]])</f>
        <v>1.55</v>
      </c>
      <c r="AP910" s="49">
        <v>1</v>
      </c>
      <c r="AQ910" s="49">
        <v>32</v>
      </c>
      <c r="AR910" s="26">
        <f>Tabla2[[#This Row],[Minutos*]]/60</f>
        <v>0.53333333333333333</v>
      </c>
      <c r="AS910" s="27">
        <f>SUM(Tabla2[[#This Row],[Horas*]],Tabla2[[#This Row],[Minutos a Horas*]])+(Tabla2[[#This Row],[Tiempo Total a Nivel Proncincial (Horas)]])</f>
        <v>3.083333333333333</v>
      </c>
    </row>
    <row r="911" spans="28:45" x14ac:dyDescent="0.25">
      <c r="AB911" s="89"/>
      <c r="AD911" s="32" t="s">
        <v>2399</v>
      </c>
      <c r="AE911" s="10" t="s">
        <v>381</v>
      </c>
      <c r="AF911" s="20" t="s">
        <v>1132</v>
      </c>
      <c r="AG911" s="10" t="s">
        <v>1139</v>
      </c>
      <c r="AH911" s="22" t="str">
        <f t="shared" si="28"/>
        <v>Huánuco_01 Huánuco</v>
      </c>
      <c r="AI911" s="10" t="s">
        <v>1224</v>
      </c>
      <c r="AJ911" s="20" t="s">
        <v>1149</v>
      </c>
      <c r="AK911" s="22" t="str">
        <f t="shared" si="29"/>
        <v>Huánuco_01 Huánuco_08 San Pedro de Chaulan</v>
      </c>
      <c r="AL911" s="25">
        <v>1</v>
      </c>
      <c r="AM911" s="25">
        <v>33</v>
      </c>
      <c r="AN911" s="26">
        <f>Tabla2[[#This Row],[Minutos]]/60</f>
        <v>0.55000000000000004</v>
      </c>
      <c r="AO911" s="27">
        <f>SUM(Tabla2[[#This Row],[Horas]],Tabla2[[#This Row],[Minutos a Horas]])</f>
        <v>1.55</v>
      </c>
      <c r="AP911" s="49">
        <v>2</v>
      </c>
      <c r="AQ911" s="49">
        <v>30</v>
      </c>
      <c r="AR911" s="26">
        <f>Tabla2[[#This Row],[Minutos*]]/60</f>
        <v>0.5</v>
      </c>
      <c r="AS911" s="27">
        <f>SUM(Tabla2[[#This Row],[Horas*]],Tabla2[[#This Row],[Minutos a Horas*]])+(Tabla2[[#This Row],[Tiempo Total a Nivel Proncincial (Horas)]])</f>
        <v>4.05</v>
      </c>
    </row>
    <row r="912" spans="28:45" x14ac:dyDescent="0.25">
      <c r="AB912" s="89"/>
      <c r="AD912" s="32" t="s">
        <v>2399</v>
      </c>
      <c r="AE912" s="10" t="s">
        <v>381</v>
      </c>
      <c r="AF912" s="20" t="s">
        <v>1132</v>
      </c>
      <c r="AG912" s="63" t="s">
        <v>1140</v>
      </c>
      <c r="AH912" s="22" t="str">
        <f t="shared" si="28"/>
        <v>Huánuco_01 Huánuco</v>
      </c>
      <c r="AI912" s="10" t="s">
        <v>1224</v>
      </c>
      <c r="AJ912" s="20" t="s">
        <v>1150</v>
      </c>
      <c r="AK912" s="22" t="str">
        <f t="shared" si="29"/>
        <v>Huánuco_01 Huánuco_09 Santa María del Valle</v>
      </c>
      <c r="AL912" s="25">
        <v>1</v>
      </c>
      <c r="AM912" s="25">
        <v>33</v>
      </c>
      <c r="AN912" s="26">
        <f>Tabla2[[#This Row],[Minutos]]/60</f>
        <v>0.55000000000000004</v>
      </c>
      <c r="AO912" s="27">
        <f>SUM(Tabla2[[#This Row],[Horas]],Tabla2[[#This Row],[Minutos a Horas]])</f>
        <v>1.55</v>
      </c>
      <c r="AP912" s="49"/>
      <c r="AQ912" s="49">
        <v>35</v>
      </c>
      <c r="AR912" s="26">
        <f>Tabla2[[#This Row],[Minutos*]]/60</f>
        <v>0.58333333333333337</v>
      </c>
      <c r="AS912" s="27">
        <f>SUM(Tabla2[[#This Row],[Horas*]],Tabla2[[#This Row],[Minutos a Horas*]])+(Tabla2[[#This Row],[Tiempo Total a Nivel Proncincial (Horas)]])</f>
        <v>2.1333333333333333</v>
      </c>
    </row>
    <row r="913" spans="28:45" x14ac:dyDescent="0.25">
      <c r="AB913" s="89"/>
      <c r="AD913" s="32" t="s">
        <v>2399</v>
      </c>
      <c r="AE913" s="10" t="s">
        <v>381</v>
      </c>
      <c r="AF913" s="20" t="s">
        <v>1132</v>
      </c>
      <c r="AG913" s="10" t="s">
        <v>1141</v>
      </c>
      <c r="AH913" s="22" t="str">
        <f t="shared" si="28"/>
        <v>Huánuco_01 Huánuco</v>
      </c>
      <c r="AI913" s="10" t="s">
        <v>1224</v>
      </c>
      <c r="AJ913" s="20" t="s">
        <v>1151</v>
      </c>
      <c r="AK913" s="22" t="str">
        <f t="shared" si="29"/>
        <v>Huánuco_01 Huánuco_10 Yarumayo</v>
      </c>
      <c r="AL913" s="25">
        <v>1</v>
      </c>
      <c r="AM913" s="25">
        <v>33</v>
      </c>
      <c r="AN913" s="26">
        <f>Tabla2[[#This Row],[Minutos]]/60</f>
        <v>0.55000000000000004</v>
      </c>
      <c r="AO913" s="27">
        <f>SUM(Tabla2[[#This Row],[Horas]],Tabla2[[#This Row],[Minutos a Horas]])</f>
        <v>1.55</v>
      </c>
      <c r="AP913" s="49">
        <v>1</v>
      </c>
      <c r="AQ913" s="49">
        <v>35</v>
      </c>
      <c r="AR913" s="26">
        <f>Tabla2[[#This Row],[Minutos*]]/60</f>
        <v>0.58333333333333337</v>
      </c>
      <c r="AS913" s="27">
        <f>SUM(Tabla2[[#This Row],[Horas*]],Tabla2[[#This Row],[Minutos a Horas*]])+(Tabla2[[#This Row],[Tiempo Total a Nivel Proncincial (Horas)]])</f>
        <v>3.1333333333333337</v>
      </c>
    </row>
    <row r="914" spans="28:45" x14ac:dyDescent="0.25">
      <c r="AB914" s="89"/>
      <c r="AD914" s="32" t="s">
        <v>2399</v>
      </c>
      <c r="AE914" s="10" t="s">
        <v>381</v>
      </c>
      <c r="AF914" s="20" t="s">
        <v>1132</v>
      </c>
      <c r="AG914" s="10" t="s">
        <v>1142</v>
      </c>
      <c r="AH914" s="22" t="str">
        <f t="shared" si="28"/>
        <v>Huánuco_01 Huánuco</v>
      </c>
      <c r="AI914" s="10" t="s">
        <v>1224</v>
      </c>
      <c r="AJ914" s="20" t="s">
        <v>1152</v>
      </c>
      <c r="AK914" s="22" t="str">
        <f t="shared" si="29"/>
        <v>Huánuco_01 Huánuco_11 Pillco Marca</v>
      </c>
      <c r="AL914" s="25">
        <v>1</v>
      </c>
      <c r="AM914" s="25">
        <v>33</v>
      </c>
      <c r="AN914" s="26">
        <f>Tabla2[[#This Row],[Minutos]]/60</f>
        <v>0.55000000000000004</v>
      </c>
      <c r="AO914" s="27">
        <f>SUM(Tabla2[[#This Row],[Horas]],Tabla2[[#This Row],[Minutos a Horas]])</f>
        <v>1.55</v>
      </c>
      <c r="AP914" s="49"/>
      <c r="AQ914" s="49">
        <v>16</v>
      </c>
      <c r="AR914" s="26">
        <f>Tabla2[[#This Row],[Minutos*]]/60</f>
        <v>0.26666666666666666</v>
      </c>
      <c r="AS914" s="27">
        <f>SUM(Tabla2[[#This Row],[Horas*]],Tabla2[[#This Row],[Minutos a Horas*]])+(Tabla2[[#This Row],[Tiempo Total a Nivel Proncincial (Horas)]])</f>
        <v>1.8166666666666667</v>
      </c>
    </row>
    <row r="915" spans="28:45" x14ac:dyDescent="0.25">
      <c r="AB915" s="89"/>
      <c r="AD915" s="32" t="s">
        <v>2399</v>
      </c>
      <c r="AE915" s="10" t="s">
        <v>381</v>
      </c>
      <c r="AF915" s="20" t="s">
        <v>1132</v>
      </c>
      <c r="AG915" s="10"/>
      <c r="AH915" s="22" t="str">
        <f t="shared" si="28"/>
        <v>Huánuco_01 Huánuco</v>
      </c>
      <c r="AI915" s="10" t="s">
        <v>1224</v>
      </c>
      <c r="AJ915" s="20" t="s">
        <v>1153</v>
      </c>
      <c r="AK915" s="22" t="str">
        <f t="shared" si="29"/>
        <v>Huánuco_01 Huánuco_12 Yacus</v>
      </c>
      <c r="AL915" s="25">
        <v>1</v>
      </c>
      <c r="AM915" s="25">
        <v>33</v>
      </c>
      <c r="AN915" s="26">
        <f>Tabla2[[#This Row],[Minutos]]/60</f>
        <v>0.55000000000000004</v>
      </c>
      <c r="AO915" s="27">
        <f>SUM(Tabla2[[#This Row],[Horas]],Tabla2[[#This Row],[Minutos a Horas]])</f>
        <v>1.55</v>
      </c>
      <c r="AP915" s="49">
        <v>1</v>
      </c>
      <c r="AQ915" s="49">
        <v>35</v>
      </c>
      <c r="AR915" s="26">
        <f>Tabla2[[#This Row],[Minutos*]]/60</f>
        <v>0.58333333333333337</v>
      </c>
      <c r="AS915" s="27">
        <f>SUM(Tabla2[[#This Row],[Horas*]],Tabla2[[#This Row],[Minutos a Horas*]])+(Tabla2[[#This Row],[Tiempo Total a Nivel Proncincial (Horas)]])</f>
        <v>3.1333333333333337</v>
      </c>
    </row>
    <row r="916" spans="28:45" x14ac:dyDescent="0.25">
      <c r="AB916" s="89"/>
      <c r="AD916" s="32" t="s">
        <v>2399</v>
      </c>
      <c r="AE916" s="10" t="s">
        <v>381</v>
      </c>
      <c r="AF916" s="20" t="s">
        <v>1132</v>
      </c>
      <c r="AG916" s="10"/>
      <c r="AH916" s="22" t="str">
        <f t="shared" si="28"/>
        <v>Huánuco_01 Huánuco</v>
      </c>
      <c r="AI916" s="10" t="s">
        <v>1224</v>
      </c>
      <c r="AJ916" s="20" t="s">
        <v>1154</v>
      </c>
      <c r="AK916" s="22" t="str">
        <f t="shared" si="29"/>
        <v>Huánuco_01 Huánuco_13 San Pablo de Pillao</v>
      </c>
      <c r="AL916" s="25">
        <v>1</v>
      </c>
      <c r="AM916" s="25">
        <v>33</v>
      </c>
      <c r="AN916" s="26">
        <f>Tabla2[[#This Row],[Minutos]]/60</f>
        <v>0.55000000000000004</v>
      </c>
      <c r="AO916" s="27">
        <f>SUM(Tabla2[[#This Row],[Horas]],Tabla2[[#This Row],[Minutos a Horas]])</f>
        <v>1.55</v>
      </c>
      <c r="AP916" s="49">
        <v>1</v>
      </c>
      <c r="AQ916" s="49">
        <v>45</v>
      </c>
      <c r="AR916" s="26">
        <f>Tabla2[[#This Row],[Minutos*]]/60</f>
        <v>0.75</v>
      </c>
      <c r="AS916" s="27">
        <f>SUM(Tabla2[[#This Row],[Horas*]],Tabla2[[#This Row],[Minutos a Horas*]])+(Tabla2[[#This Row],[Tiempo Total a Nivel Proncincial (Horas)]])</f>
        <v>3.3</v>
      </c>
    </row>
    <row r="917" spans="28:45" x14ac:dyDescent="0.25">
      <c r="AB917" s="89"/>
      <c r="AD917" s="32" t="s">
        <v>2399</v>
      </c>
      <c r="AE917" s="10" t="s">
        <v>381</v>
      </c>
      <c r="AF917" s="20" t="s">
        <v>1133</v>
      </c>
      <c r="AG917" s="10"/>
      <c r="AH917" s="22" t="str">
        <f t="shared" si="28"/>
        <v>Huánuco_02 Ambo</v>
      </c>
      <c r="AI917" s="10" t="s">
        <v>1225</v>
      </c>
      <c r="AJ917" s="20" t="s">
        <v>1155</v>
      </c>
      <c r="AK917" s="22" t="str">
        <f t="shared" si="29"/>
        <v>Huánuco_02 Ambo_01 Ambo</v>
      </c>
      <c r="AL917" s="25">
        <v>0</v>
      </c>
      <c r="AM917" s="25">
        <v>44</v>
      </c>
      <c r="AN917" s="26">
        <f>Tabla2[[#This Row],[Minutos]]/60</f>
        <v>0.73333333333333328</v>
      </c>
      <c r="AO917" s="27">
        <f>SUM(Tabla2[[#This Row],[Horas]],Tabla2[[#This Row],[Minutos a Horas]])</f>
        <v>0.73333333333333328</v>
      </c>
      <c r="AP917" s="49"/>
      <c r="AQ917" s="49">
        <v>56</v>
      </c>
      <c r="AR917" s="26">
        <f>Tabla2[[#This Row],[Minutos*]]/60</f>
        <v>0.93333333333333335</v>
      </c>
      <c r="AS917" s="27">
        <f>SUM(Tabla2[[#This Row],[Horas*]],Tabla2[[#This Row],[Minutos a Horas*]])+(Tabla2[[#This Row],[Tiempo Total a Nivel Proncincial (Horas)]])</f>
        <v>1.6666666666666665</v>
      </c>
    </row>
    <row r="918" spans="28:45" x14ac:dyDescent="0.25">
      <c r="AB918" s="89"/>
      <c r="AD918" s="32" t="s">
        <v>2399</v>
      </c>
      <c r="AE918" s="10" t="s">
        <v>381</v>
      </c>
      <c r="AF918" s="20" t="s">
        <v>1133</v>
      </c>
      <c r="AG918" s="10"/>
      <c r="AH918" s="22" t="str">
        <f t="shared" si="28"/>
        <v>Huánuco_02 Ambo</v>
      </c>
      <c r="AI918" s="10" t="s">
        <v>1225</v>
      </c>
      <c r="AJ918" s="20" t="s">
        <v>1156</v>
      </c>
      <c r="AK918" s="22" t="str">
        <f t="shared" si="29"/>
        <v>Huánuco_02 Ambo_02 Cayna</v>
      </c>
      <c r="AL918" s="25">
        <v>0</v>
      </c>
      <c r="AM918" s="25">
        <v>44</v>
      </c>
      <c r="AN918" s="26">
        <f>Tabla2[[#This Row],[Minutos]]/60</f>
        <v>0.73333333333333328</v>
      </c>
      <c r="AO918" s="27">
        <f>SUM(Tabla2[[#This Row],[Horas]],Tabla2[[#This Row],[Minutos a Horas]])</f>
        <v>0.73333333333333328</v>
      </c>
      <c r="AP918" s="49">
        <v>2</v>
      </c>
      <c r="AQ918" s="49">
        <v>45</v>
      </c>
      <c r="AR918" s="26">
        <f>Tabla2[[#This Row],[Minutos*]]/60</f>
        <v>0.75</v>
      </c>
      <c r="AS918" s="27">
        <f>SUM(Tabla2[[#This Row],[Horas*]],Tabla2[[#This Row],[Minutos a Horas*]])+(Tabla2[[#This Row],[Tiempo Total a Nivel Proncincial (Horas)]])</f>
        <v>3.4833333333333334</v>
      </c>
    </row>
    <row r="919" spans="28:45" x14ac:dyDescent="0.25">
      <c r="AB919" s="89"/>
      <c r="AD919" s="32" t="s">
        <v>2399</v>
      </c>
      <c r="AE919" s="10" t="s">
        <v>381</v>
      </c>
      <c r="AF919" s="20" t="s">
        <v>1133</v>
      </c>
      <c r="AG919" s="10"/>
      <c r="AH919" s="22" t="str">
        <f t="shared" si="28"/>
        <v>Huánuco_02 Ambo</v>
      </c>
      <c r="AI919" s="10" t="s">
        <v>1225</v>
      </c>
      <c r="AJ919" s="20" t="s">
        <v>1157</v>
      </c>
      <c r="AK919" s="22" t="str">
        <f t="shared" si="29"/>
        <v>Huánuco_02 Ambo_03 Colpas</v>
      </c>
      <c r="AL919" s="25">
        <v>0</v>
      </c>
      <c r="AM919" s="25">
        <v>44</v>
      </c>
      <c r="AN919" s="26">
        <f>Tabla2[[#This Row],[Minutos]]/60</f>
        <v>0.73333333333333328</v>
      </c>
      <c r="AO919" s="27">
        <f>SUM(Tabla2[[#This Row],[Horas]],Tabla2[[#This Row],[Minutos a Horas]])</f>
        <v>0.73333333333333328</v>
      </c>
      <c r="AP919" s="49">
        <v>2</v>
      </c>
      <c r="AQ919" s="49">
        <v>5</v>
      </c>
      <c r="AR919" s="26">
        <f>Tabla2[[#This Row],[Minutos*]]/60</f>
        <v>8.3333333333333329E-2</v>
      </c>
      <c r="AS919" s="27">
        <f>SUM(Tabla2[[#This Row],[Horas*]],Tabla2[[#This Row],[Minutos a Horas*]])+(Tabla2[[#This Row],[Tiempo Total a Nivel Proncincial (Horas)]])</f>
        <v>2.8166666666666669</v>
      </c>
    </row>
    <row r="920" spans="28:45" x14ac:dyDescent="0.25">
      <c r="AB920" s="89"/>
      <c r="AD920" s="32" t="s">
        <v>2399</v>
      </c>
      <c r="AE920" s="10" t="s">
        <v>381</v>
      </c>
      <c r="AF920" s="20" t="s">
        <v>1133</v>
      </c>
      <c r="AG920" s="10"/>
      <c r="AH920" s="22" t="str">
        <f t="shared" si="28"/>
        <v>Huánuco_02 Ambo</v>
      </c>
      <c r="AI920" s="10" t="s">
        <v>1225</v>
      </c>
      <c r="AJ920" s="20" t="s">
        <v>1158</v>
      </c>
      <c r="AK920" s="22" t="str">
        <f t="shared" si="29"/>
        <v>Huánuco_02 Ambo_04 Conchamarca</v>
      </c>
      <c r="AL920" s="25">
        <v>0</v>
      </c>
      <c r="AM920" s="25">
        <v>44</v>
      </c>
      <c r="AN920" s="26">
        <f>Tabla2[[#This Row],[Minutos]]/60</f>
        <v>0.73333333333333328</v>
      </c>
      <c r="AO920" s="27">
        <f>SUM(Tabla2[[#This Row],[Horas]],Tabla2[[#This Row],[Minutos a Horas]])</f>
        <v>0.73333333333333328</v>
      </c>
      <c r="AP920" s="49">
        <v>1</v>
      </c>
      <c r="AQ920" s="49">
        <v>41</v>
      </c>
      <c r="AR920" s="26">
        <f>Tabla2[[#This Row],[Minutos*]]/60</f>
        <v>0.68333333333333335</v>
      </c>
      <c r="AS920" s="27">
        <f>SUM(Tabla2[[#This Row],[Horas*]],Tabla2[[#This Row],[Minutos a Horas*]])+(Tabla2[[#This Row],[Tiempo Total a Nivel Proncincial (Horas)]])</f>
        <v>2.4166666666666665</v>
      </c>
    </row>
    <row r="921" spans="28:45" x14ac:dyDescent="0.25">
      <c r="AB921" s="89"/>
      <c r="AD921" s="32" t="s">
        <v>2399</v>
      </c>
      <c r="AE921" s="10" t="s">
        <v>381</v>
      </c>
      <c r="AF921" s="20" t="s">
        <v>1133</v>
      </c>
      <c r="AG921" s="10"/>
      <c r="AH921" s="22" t="str">
        <f t="shared" si="28"/>
        <v>Huánuco_02 Ambo</v>
      </c>
      <c r="AI921" s="10" t="s">
        <v>1225</v>
      </c>
      <c r="AJ921" s="20" t="s">
        <v>1159</v>
      </c>
      <c r="AK921" s="22" t="str">
        <f t="shared" si="29"/>
        <v>Huánuco_02 Ambo_05 Huacar</v>
      </c>
      <c r="AL921" s="25">
        <v>0</v>
      </c>
      <c r="AM921" s="25">
        <v>44</v>
      </c>
      <c r="AN921" s="26">
        <f>Tabla2[[#This Row],[Minutos]]/60</f>
        <v>0.73333333333333328</v>
      </c>
      <c r="AO921" s="27">
        <f>SUM(Tabla2[[#This Row],[Horas]],Tabla2[[#This Row],[Minutos a Horas]])</f>
        <v>0.73333333333333328</v>
      </c>
      <c r="AP921" s="49">
        <v>1</v>
      </c>
      <c r="AQ921" s="49">
        <v>10</v>
      </c>
      <c r="AR921" s="26">
        <f>Tabla2[[#This Row],[Minutos*]]/60</f>
        <v>0.16666666666666666</v>
      </c>
      <c r="AS921" s="27">
        <f>SUM(Tabla2[[#This Row],[Horas*]],Tabla2[[#This Row],[Minutos a Horas*]])+(Tabla2[[#This Row],[Tiempo Total a Nivel Proncincial (Horas)]])</f>
        <v>1.9</v>
      </c>
    </row>
    <row r="922" spans="28:45" x14ac:dyDescent="0.25">
      <c r="AB922" s="89"/>
      <c r="AD922" s="32" t="s">
        <v>2399</v>
      </c>
      <c r="AE922" s="10" t="s">
        <v>381</v>
      </c>
      <c r="AF922" s="20" t="s">
        <v>1133</v>
      </c>
      <c r="AG922" s="10"/>
      <c r="AH922" s="22" t="str">
        <f t="shared" si="28"/>
        <v>Huánuco_02 Ambo</v>
      </c>
      <c r="AI922" s="10" t="s">
        <v>1225</v>
      </c>
      <c r="AJ922" s="20" t="s">
        <v>1160</v>
      </c>
      <c r="AK922" s="22" t="str">
        <f t="shared" si="29"/>
        <v>Huánuco_02 Ambo_06 San Francisco</v>
      </c>
      <c r="AL922" s="25">
        <v>0</v>
      </c>
      <c r="AM922" s="25">
        <v>44</v>
      </c>
      <c r="AN922" s="26">
        <f>Tabla2[[#This Row],[Minutos]]/60</f>
        <v>0.73333333333333328</v>
      </c>
      <c r="AO922" s="27">
        <f>SUM(Tabla2[[#This Row],[Horas]],Tabla2[[#This Row],[Minutos a Horas]])</f>
        <v>0.73333333333333328</v>
      </c>
      <c r="AP922" s="49">
        <v>2</v>
      </c>
      <c r="AQ922" s="49">
        <v>5</v>
      </c>
      <c r="AR922" s="26">
        <f>Tabla2[[#This Row],[Minutos*]]/60</f>
        <v>8.3333333333333329E-2</v>
      </c>
      <c r="AS922" s="27">
        <f>SUM(Tabla2[[#This Row],[Horas*]],Tabla2[[#This Row],[Minutos a Horas*]])+(Tabla2[[#This Row],[Tiempo Total a Nivel Proncincial (Horas)]])</f>
        <v>2.8166666666666669</v>
      </c>
    </row>
    <row r="923" spans="28:45" x14ac:dyDescent="0.25">
      <c r="AB923" s="89"/>
      <c r="AD923" s="32" t="s">
        <v>2399</v>
      </c>
      <c r="AE923" s="10" t="s">
        <v>381</v>
      </c>
      <c r="AF923" s="20" t="s">
        <v>1133</v>
      </c>
      <c r="AG923" s="10"/>
      <c r="AH923" s="22" t="str">
        <f t="shared" si="28"/>
        <v>Huánuco_02 Ambo</v>
      </c>
      <c r="AI923" s="10" t="s">
        <v>1225</v>
      </c>
      <c r="AJ923" s="20" t="s">
        <v>1161</v>
      </c>
      <c r="AK923" s="22" t="str">
        <f t="shared" si="29"/>
        <v>Huánuco_02 Ambo_07 San Rafael</v>
      </c>
      <c r="AL923" s="25">
        <v>0</v>
      </c>
      <c r="AM923" s="25">
        <v>44</v>
      </c>
      <c r="AN923" s="26">
        <f>Tabla2[[#This Row],[Minutos]]/60</f>
        <v>0.73333333333333328</v>
      </c>
      <c r="AO923" s="27">
        <f>SUM(Tabla2[[#This Row],[Horas]],Tabla2[[#This Row],[Minutos a Horas]])</f>
        <v>0.73333333333333328</v>
      </c>
      <c r="AP923" s="49">
        <v>1</v>
      </c>
      <c r="AQ923" s="49">
        <v>15</v>
      </c>
      <c r="AR923" s="26">
        <f>Tabla2[[#This Row],[Minutos*]]/60</f>
        <v>0.25</v>
      </c>
      <c r="AS923" s="27">
        <f>SUM(Tabla2[[#This Row],[Horas*]],Tabla2[[#This Row],[Minutos a Horas*]])+(Tabla2[[#This Row],[Tiempo Total a Nivel Proncincial (Horas)]])</f>
        <v>1.9833333333333334</v>
      </c>
    </row>
    <row r="924" spans="28:45" x14ac:dyDescent="0.25">
      <c r="AB924" s="89"/>
      <c r="AD924" s="32" t="s">
        <v>2399</v>
      </c>
      <c r="AE924" s="10" t="s">
        <v>381</v>
      </c>
      <c r="AF924" s="20" t="s">
        <v>1133</v>
      </c>
      <c r="AG924" s="10"/>
      <c r="AH924" s="22" t="str">
        <f t="shared" si="28"/>
        <v>Huánuco_02 Ambo</v>
      </c>
      <c r="AI924" s="10" t="s">
        <v>1225</v>
      </c>
      <c r="AJ924" s="20" t="s">
        <v>1162</v>
      </c>
      <c r="AK924" s="22" t="str">
        <f t="shared" si="29"/>
        <v>Huánuco_02 Ambo_08 Tomay Kichwa</v>
      </c>
      <c r="AL924" s="25">
        <v>0</v>
      </c>
      <c r="AM924" s="25">
        <v>44</v>
      </c>
      <c r="AN924" s="26">
        <f>Tabla2[[#This Row],[Minutos]]/60</f>
        <v>0.73333333333333328</v>
      </c>
      <c r="AO924" s="27">
        <f>SUM(Tabla2[[#This Row],[Horas]],Tabla2[[#This Row],[Minutos a Horas]])</f>
        <v>0.73333333333333328</v>
      </c>
      <c r="AP924" s="49"/>
      <c r="AQ924" s="49">
        <v>54</v>
      </c>
      <c r="AR924" s="26">
        <f>Tabla2[[#This Row],[Minutos*]]/60</f>
        <v>0.9</v>
      </c>
      <c r="AS924" s="27">
        <f>SUM(Tabla2[[#This Row],[Horas*]],Tabla2[[#This Row],[Minutos a Horas*]])+(Tabla2[[#This Row],[Tiempo Total a Nivel Proncincial (Horas)]])</f>
        <v>1.6333333333333333</v>
      </c>
    </row>
    <row r="925" spans="28:45" x14ac:dyDescent="0.25">
      <c r="AB925" s="89"/>
      <c r="AD925" s="32" t="s">
        <v>2399</v>
      </c>
      <c r="AE925" s="10" t="s">
        <v>381</v>
      </c>
      <c r="AF925" s="20" t="s">
        <v>1134</v>
      </c>
      <c r="AG925" s="10"/>
      <c r="AH925" s="22" t="str">
        <f t="shared" si="28"/>
        <v>Huánuco_03 Dos de Mayo</v>
      </c>
      <c r="AI925" s="10" t="s">
        <v>1226</v>
      </c>
      <c r="AJ925" s="20" t="s">
        <v>1163</v>
      </c>
      <c r="AK925" s="22" t="str">
        <f t="shared" si="29"/>
        <v>Huánuco_03 Dos de Mayo_01 La Unión</v>
      </c>
      <c r="AL925" s="25">
        <v>3</v>
      </c>
      <c r="AM925" s="25">
        <v>3</v>
      </c>
      <c r="AN925" s="26">
        <f>Tabla2[[#This Row],[Minutos]]/60</f>
        <v>0.05</v>
      </c>
      <c r="AO925" s="27">
        <f>SUM(Tabla2[[#This Row],[Horas]],Tabla2[[#This Row],[Minutos a Horas]])</f>
        <v>3.05</v>
      </c>
      <c r="AP925" s="49">
        <v>4</v>
      </c>
      <c r="AQ925" s="49">
        <v>35</v>
      </c>
      <c r="AR925" s="26">
        <f>Tabla2[[#This Row],[Minutos*]]/60</f>
        <v>0.58333333333333337</v>
      </c>
      <c r="AS925" s="27">
        <f>SUM(Tabla2[[#This Row],[Horas*]],Tabla2[[#This Row],[Minutos a Horas*]])+(Tabla2[[#This Row],[Tiempo Total a Nivel Proncincial (Horas)]])</f>
        <v>7.6333333333333329</v>
      </c>
    </row>
    <row r="926" spans="28:45" x14ac:dyDescent="0.25">
      <c r="AB926" s="89"/>
      <c r="AD926" s="32" t="s">
        <v>2399</v>
      </c>
      <c r="AE926" s="10" t="s">
        <v>381</v>
      </c>
      <c r="AF926" s="20" t="s">
        <v>1134</v>
      </c>
      <c r="AG926" s="10"/>
      <c r="AH926" s="22" t="str">
        <f t="shared" si="28"/>
        <v>Huánuco_03 Dos de Mayo</v>
      </c>
      <c r="AI926" s="10" t="s">
        <v>1226</v>
      </c>
      <c r="AJ926" s="20" t="s">
        <v>1164</v>
      </c>
      <c r="AK926" s="22" t="str">
        <f t="shared" si="29"/>
        <v>Huánuco_03 Dos de Mayo_07 Chuquis</v>
      </c>
      <c r="AL926" s="25">
        <v>3</v>
      </c>
      <c r="AM926" s="25">
        <v>3</v>
      </c>
      <c r="AN926" s="26">
        <f>Tabla2[[#This Row],[Minutos]]/60</f>
        <v>0.05</v>
      </c>
      <c r="AO926" s="27">
        <f>SUM(Tabla2[[#This Row],[Horas]],Tabla2[[#This Row],[Minutos a Horas]])</f>
        <v>3.05</v>
      </c>
      <c r="AP926" s="49">
        <v>3</v>
      </c>
      <c r="AQ926" s="49">
        <v>6</v>
      </c>
      <c r="AR926" s="26">
        <f>Tabla2[[#This Row],[Minutos*]]/60</f>
        <v>0.1</v>
      </c>
      <c r="AS926" s="27">
        <f>SUM(Tabla2[[#This Row],[Horas*]],Tabla2[[#This Row],[Minutos a Horas*]])+(Tabla2[[#This Row],[Tiempo Total a Nivel Proncincial (Horas)]])</f>
        <v>6.15</v>
      </c>
    </row>
    <row r="927" spans="28:45" x14ac:dyDescent="0.25">
      <c r="AB927" s="89"/>
      <c r="AD927" s="32" t="s">
        <v>2399</v>
      </c>
      <c r="AE927" s="10" t="s">
        <v>381</v>
      </c>
      <c r="AF927" s="20" t="s">
        <v>1134</v>
      </c>
      <c r="AG927" s="10"/>
      <c r="AH927" s="22" t="str">
        <f t="shared" si="28"/>
        <v>Huánuco_03 Dos de Mayo</v>
      </c>
      <c r="AI927" s="10" t="s">
        <v>1226</v>
      </c>
      <c r="AJ927" s="20" t="s">
        <v>1165</v>
      </c>
      <c r="AK927" s="22" t="str">
        <f t="shared" si="29"/>
        <v>Huánuco_03 Dos de Mayo_11 Marías</v>
      </c>
      <c r="AL927" s="25">
        <v>3</v>
      </c>
      <c r="AM927" s="25">
        <v>3</v>
      </c>
      <c r="AN927" s="26">
        <f>Tabla2[[#This Row],[Minutos]]/60</f>
        <v>0.05</v>
      </c>
      <c r="AO927" s="27">
        <f>SUM(Tabla2[[#This Row],[Horas]],Tabla2[[#This Row],[Minutos a Horas]])</f>
        <v>3.05</v>
      </c>
      <c r="AP927" s="49">
        <v>3</v>
      </c>
      <c r="AQ927" s="49">
        <v>32</v>
      </c>
      <c r="AR927" s="26">
        <f>Tabla2[[#This Row],[Minutos*]]/60</f>
        <v>0.53333333333333333</v>
      </c>
      <c r="AS927" s="27">
        <f>SUM(Tabla2[[#This Row],[Horas*]],Tabla2[[#This Row],[Minutos a Horas*]])+(Tabla2[[#This Row],[Tiempo Total a Nivel Proncincial (Horas)]])</f>
        <v>6.583333333333333</v>
      </c>
    </row>
    <row r="928" spans="28:45" x14ac:dyDescent="0.25">
      <c r="AB928" s="89"/>
      <c r="AD928" s="32" t="s">
        <v>2399</v>
      </c>
      <c r="AE928" s="10" t="s">
        <v>381</v>
      </c>
      <c r="AF928" s="20" t="s">
        <v>1134</v>
      </c>
      <c r="AG928" s="10"/>
      <c r="AH928" s="22" t="str">
        <f t="shared" si="28"/>
        <v>Huánuco_03 Dos de Mayo</v>
      </c>
      <c r="AI928" s="10" t="s">
        <v>1226</v>
      </c>
      <c r="AJ928" s="20" t="s">
        <v>1166</v>
      </c>
      <c r="AK928" s="22" t="str">
        <f t="shared" si="29"/>
        <v>Huánuco_03 Dos de Mayo_13 Pachas</v>
      </c>
      <c r="AL928" s="25">
        <v>3</v>
      </c>
      <c r="AM928" s="25">
        <v>3</v>
      </c>
      <c r="AN928" s="26">
        <f>Tabla2[[#This Row],[Minutos]]/60</f>
        <v>0.05</v>
      </c>
      <c r="AO928" s="27">
        <f>SUM(Tabla2[[#This Row],[Horas]],Tabla2[[#This Row],[Minutos a Horas]])</f>
        <v>3.05</v>
      </c>
      <c r="AP928" s="49">
        <v>3</v>
      </c>
      <c r="AQ928" s="49">
        <v>44</v>
      </c>
      <c r="AR928" s="26">
        <f>Tabla2[[#This Row],[Minutos*]]/60</f>
        <v>0.73333333333333328</v>
      </c>
      <c r="AS928" s="27">
        <f>SUM(Tabla2[[#This Row],[Horas*]],Tabla2[[#This Row],[Minutos a Horas*]])+(Tabla2[[#This Row],[Tiempo Total a Nivel Proncincial (Horas)]])</f>
        <v>6.7833333333333332</v>
      </c>
    </row>
    <row r="929" spans="28:45" x14ac:dyDescent="0.25">
      <c r="AB929" s="89"/>
      <c r="AD929" s="32" t="s">
        <v>2399</v>
      </c>
      <c r="AE929" s="10" t="s">
        <v>381</v>
      </c>
      <c r="AF929" s="20" t="s">
        <v>1134</v>
      </c>
      <c r="AG929" s="10"/>
      <c r="AH929" s="22" t="str">
        <f t="shared" si="28"/>
        <v>Huánuco_03 Dos de Mayo</v>
      </c>
      <c r="AI929" s="10" t="s">
        <v>1226</v>
      </c>
      <c r="AJ929" s="20" t="s">
        <v>1167</v>
      </c>
      <c r="AK929" s="22" t="str">
        <f t="shared" si="29"/>
        <v>Huánuco_03 Dos de Mayo_16 Quivilla</v>
      </c>
      <c r="AL929" s="25">
        <v>3</v>
      </c>
      <c r="AM929" s="25">
        <v>3</v>
      </c>
      <c r="AN929" s="26">
        <f>Tabla2[[#This Row],[Minutos]]/60</f>
        <v>0.05</v>
      </c>
      <c r="AO929" s="27">
        <f>SUM(Tabla2[[#This Row],[Horas]],Tabla2[[#This Row],[Minutos a Horas]])</f>
        <v>3.05</v>
      </c>
      <c r="AP929" s="49">
        <v>3</v>
      </c>
      <c r="AQ929" s="49">
        <v>42</v>
      </c>
      <c r="AR929" s="26">
        <f>Tabla2[[#This Row],[Minutos*]]/60</f>
        <v>0.7</v>
      </c>
      <c r="AS929" s="27">
        <f>SUM(Tabla2[[#This Row],[Horas*]],Tabla2[[#This Row],[Minutos a Horas*]])+(Tabla2[[#This Row],[Tiempo Total a Nivel Proncincial (Horas)]])</f>
        <v>6.75</v>
      </c>
    </row>
    <row r="930" spans="28:45" x14ac:dyDescent="0.25">
      <c r="AB930" s="89"/>
      <c r="AD930" s="32" t="s">
        <v>2399</v>
      </c>
      <c r="AE930" s="10" t="s">
        <v>381</v>
      </c>
      <c r="AF930" s="20" t="s">
        <v>1134</v>
      </c>
      <c r="AG930" s="10"/>
      <c r="AH930" s="22" t="str">
        <f t="shared" si="28"/>
        <v>Huánuco_03 Dos de Mayo</v>
      </c>
      <c r="AI930" s="10" t="s">
        <v>1226</v>
      </c>
      <c r="AJ930" s="20" t="s">
        <v>1168</v>
      </c>
      <c r="AK930" s="22" t="str">
        <f t="shared" si="29"/>
        <v>Huánuco_03 Dos de Mayo_17 Ripan</v>
      </c>
      <c r="AL930" s="25">
        <v>3</v>
      </c>
      <c r="AM930" s="25">
        <v>3</v>
      </c>
      <c r="AN930" s="26">
        <f>Tabla2[[#This Row],[Minutos]]/60</f>
        <v>0.05</v>
      </c>
      <c r="AO930" s="27">
        <f>SUM(Tabla2[[#This Row],[Horas]],Tabla2[[#This Row],[Minutos a Horas]])</f>
        <v>3.05</v>
      </c>
      <c r="AP930" s="49">
        <v>3</v>
      </c>
      <c r="AQ930" s="49">
        <v>55</v>
      </c>
      <c r="AR930" s="26">
        <f>Tabla2[[#This Row],[Minutos*]]/60</f>
        <v>0.91666666666666663</v>
      </c>
      <c r="AS930" s="27">
        <f>SUM(Tabla2[[#This Row],[Horas*]],Tabla2[[#This Row],[Minutos a Horas*]])+(Tabla2[[#This Row],[Tiempo Total a Nivel Proncincial (Horas)]])</f>
        <v>6.9666666666666668</v>
      </c>
    </row>
    <row r="931" spans="28:45" x14ac:dyDescent="0.25">
      <c r="AB931" s="89"/>
      <c r="AD931" s="32" t="s">
        <v>2399</v>
      </c>
      <c r="AE931" s="10" t="s">
        <v>381</v>
      </c>
      <c r="AF931" s="20" t="s">
        <v>1134</v>
      </c>
      <c r="AG931" s="10"/>
      <c r="AH931" s="22" t="str">
        <f t="shared" si="28"/>
        <v>Huánuco_03 Dos de Mayo</v>
      </c>
      <c r="AI931" s="10" t="s">
        <v>1226</v>
      </c>
      <c r="AJ931" s="20" t="s">
        <v>1169</v>
      </c>
      <c r="AK931" s="22" t="str">
        <f t="shared" si="29"/>
        <v>Huánuco_03 Dos de Mayo_21 Shunqui</v>
      </c>
      <c r="AL931" s="25">
        <v>3</v>
      </c>
      <c r="AM931" s="25">
        <v>3</v>
      </c>
      <c r="AN931" s="26">
        <f>Tabla2[[#This Row],[Minutos]]/60</f>
        <v>0.05</v>
      </c>
      <c r="AO931" s="27">
        <f>SUM(Tabla2[[#This Row],[Horas]],Tabla2[[#This Row],[Minutos a Horas]])</f>
        <v>3.05</v>
      </c>
      <c r="AP931" s="49">
        <v>4</v>
      </c>
      <c r="AQ931" s="49">
        <v>0</v>
      </c>
      <c r="AR931" s="26">
        <f>Tabla2[[#This Row],[Minutos*]]/60</f>
        <v>0</v>
      </c>
      <c r="AS931" s="27">
        <f>SUM(Tabla2[[#This Row],[Horas*]],Tabla2[[#This Row],[Minutos a Horas*]])+(Tabla2[[#This Row],[Tiempo Total a Nivel Proncincial (Horas)]])</f>
        <v>7.05</v>
      </c>
    </row>
    <row r="932" spans="28:45" x14ac:dyDescent="0.25">
      <c r="AB932" s="89"/>
      <c r="AD932" s="32" t="s">
        <v>2399</v>
      </c>
      <c r="AE932" s="10" t="s">
        <v>381</v>
      </c>
      <c r="AF932" s="20" t="s">
        <v>1134</v>
      </c>
      <c r="AG932" s="10"/>
      <c r="AH932" s="22" t="str">
        <f t="shared" si="28"/>
        <v>Huánuco_03 Dos de Mayo</v>
      </c>
      <c r="AI932" s="10" t="s">
        <v>1226</v>
      </c>
      <c r="AJ932" s="20" t="s">
        <v>1170</v>
      </c>
      <c r="AK932" s="22" t="str">
        <f t="shared" si="29"/>
        <v>Huánuco_03 Dos de Mayo_22 Sillapata</v>
      </c>
      <c r="AL932" s="25">
        <v>3</v>
      </c>
      <c r="AM932" s="25">
        <v>3</v>
      </c>
      <c r="AN932" s="26">
        <f>Tabla2[[#This Row],[Minutos]]/60</f>
        <v>0.05</v>
      </c>
      <c r="AO932" s="27">
        <f>SUM(Tabla2[[#This Row],[Horas]],Tabla2[[#This Row],[Minutos a Horas]])</f>
        <v>3.05</v>
      </c>
      <c r="AP932" s="49">
        <v>4</v>
      </c>
      <c r="AQ932" s="49">
        <v>10</v>
      </c>
      <c r="AR932" s="26">
        <f>Tabla2[[#This Row],[Minutos*]]/60</f>
        <v>0.16666666666666666</v>
      </c>
      <c r="AS932" s="27">
        <f>SUM(Tabla2[[#This Row],[Horas*]],Tabla2[[#This Row],[Minutos a Horas*]])+(Tabla2[[#This Row],[Tiempo Total a Nivel Proncincial (Horas)]])</f>
        <v>7.2166666666666668</v>
      </c>
    </row>
    <row r="933" spans="28:45" x14ac:dyDescent="0.25">
      <c r="AB933" s="89"/>
      <c r="AD933" s="32" t="s">
        <v>2399</v>
      </c>
      <c r="AE933" s="10" t="s">
        <v>381</v>
      </c>
      <c r="AF933" s="20" t="s">
        <v>1134</v>
      </c>
      <c r="AG933" s="10"/>
      <c r="AH933" s="22" t="str">
        <f t="shared" si="28"/>
        <v>Huánuco_03 Dos de Mayo</v>
      </c>
      <c r="AI933" s="10" t="s">
        <v>1226</v>
      </c>
      <c r="AJ933" s="20" t="s">
        <v>1171</v>
      </c>
      <c r="AK933" s="22" t="str">
        <f t="shared" si="29"/>
        <v>Huánuco_03 Dos de Mayo_23 Yanas</v>
      </c>
      <c r="AL933" s="25">
        <v>3</v>
      </c>
      <c r="AM933" s="25">
        <v>3</v>
      </c>
      <c r="AN933" s="26">
        <f>Tabla2[[#This Row],[Minutos]]/60</f>
        <v>0.05</v>
      </c>
      <c r="AO933" s="27">
        <f>SUM(Tabla2[[#This Row],[Horas]],Tabla2[[#This Row],[Minutos a Horas]])</f>
        <v>3.05</v>
      </c>
      <c r="AP933" s="49">
        <v>4</v>
      </c>
      <c r="AQ933" s="49">
        <v>53</v>
      </c>
      <c r="AR933" s="26">
        <f>Tabla2[[#This Row],[Minutos*]]/60</f>
        <v>0.8833333333333333</v>
      </c>
      <c r="AS933" s="27">
        <f>SUM(Tabla2[[#This Row],[Horas*]],Tabla2[[#This Row],[Minutos a Horas*]])+(Tabla2[[#This Row],[Tiempo Total a Nivel Proncincial (Horas)]])</f>
        <v>7.9333333333333327</v>
      </c>
    </row>
    <row r="934" spans="28:45" x14ac:dyDescent="0.25">
      <c r="AB934" s="89"/>
      <c r="AD934" s="32" t="s">
        <v>2399</v>
      </c>
      <c r="AE934" s="10" t="s">
        <v>381</v>
      </c>
      <c r="AF934" s="20" t="s">
        <v>1135</v>
      </c>
      <c r="AG934" s="10"/>
      <c r="AH934" s="22" t="str">
        <f t="shared" si="28"/>
        <v>Huánuco_04 Huacaybamba</v>
      </c>
      <c r="AI934" s="10" t="s">
        <v>1227</v>
      </c>
      <c r="AJ934" s="20" t="s">
        <v>1172</v>
      </c>
      <c r="AK934" s="22" t="str">
        <f t="shared" si="29"/>
        <v>Huánuco_04 Huacaybamba_01 Huacaybamba</v>
      </c>
      <c r="AL934" s="25">
        <v>6</v>
      </c>
      <c r="AM934" s="25">
        <v>56</v>
      </c>
      <c r="AN934" s="26">
        <f>Tabla2[[#This Row],[Minutos]]/60</f>
        <v>0.93333333333333335</v>
      </c>
      <c r="AO934" s="27">
        <f>SUM(Tabla2[[#This Row],[Horas]],Tabla2[[#This Row],[Minutos a Horas]])</f>
        <v>6.9333333333333336</v>
      </c>
      <c r="AP934" s="49">
        <v>8</v>
      </c>
      <c r="AQ934" s="49">
        <v>14</v>
      </c>
      <c r="AR934" s="26">
        <f>Tabla2[[#This Row],[Minutos*]]/60</f>
        <v>0.23333333333333334</v>
      </c>
      <c r="AS934" s="27">
        <f>SUM(Tabla2[[#This Row],[Horas*]],Tabla2[[#This Row],[Minutos a Horas*]])+(Tabla2[[#This Row],[Tiempo Total a Nivel Proncincial (Horas)]])</f>
        <v>15.166666666666666</v>
      </c>
    </row>
    <row r="935" spans="28:45" x14ac:dyDescent="0.25">
      <c r="AB935" s="89"/>
      <c r="AD935" s="32" t="s">
        <v>2399</v>
      </c>
      <c r="AE935" s="10" t="s">
        <v>381</v>
      </c>
      <c r="AF935" s="20" t="s">
        <v>1135</v>
      </c>
      <c r="AG935" s="10"/>
      <c r="AH935" s="22" t="str">
        <f t="shared" si="28"/>
        <v>Huánuco_04 Huacaybamba</v>
      </c>
      <c r="AI935" s="10" t="s">
        <v>1227</v>
      </c>
      <c r="AJ935" s="20" t="s">
        <v>1173</v>
      </c>
      <c r="AK935" s="22" t="str">
        <f t="shared" si="29"/>
        <v>Huánuco_04 Huacaybamba_02 Canchabamba</v>
      </c>
      <c r="AL935" s="25">
        <v>6</v>
      </c>
      <c r="AM935" s="25">
        <v>56</v>
      </c>
      <c r="AN935" s="26">
        <f>Tabla2[[#This Row],[Minutos]]/60</f>
        <v>0.93333333333333335</v>
      </c>
      <c r="AO935" s="27">
        <f>SUM(Tabla2[[#This Row],[Horas]],Tabla2[[#This Row],[Minutos a Horas]])</f>
        <v>6.9333333333333336</v>
      </c>
      <c r="AP935" s="49">
        <v>8</v>
      </c>
      <c r="AQ935" s="49">
        <v>48</v>
      </c>
      <c r="AR935" s="26">
        <f>Tabla2[[#This Row],[Minutos*]]/60</f>
        <v>0.8</v>
      </c>
      <c r="AS935" s="27">
        <f>SUM(Tabla2[[#This Row],[Horas*]],Tabla2[[#This Row],[Minutos a Horas*]])+(Tabla2[[#This Row],[Tiempo Total a Nivel Proncincial (Horas)]])</f>
        <v>15.733333333333334</v>
      </c>
    </row>
    <row r="936" spans="28:45" x14ac:dyDescent="0.25">
      <c r="AB936" s="89"/>
      <c r="AD936" s="32" t="s">
        <v>2399</v>
      </c>
      <c r="AE936" s="10" t="s">
        <v>381</v>
      </c>
      <c r="AF936" s="20" t="s">
        <v>1135</v>
      </c>
      <c r="AG936" s="10"/>
      <c r="AH936" s="22" t="str">
        <f t="shared" si="28"/>
        <v>Huánuco_04 Huacaybamba</v>
      </c>
      <c r="AI936" s="10" t="s">
        <v>1227</v>
      </c>
      <c r="AJ936" s="20" t="s">
        <v>1174</v>
      </c>
      <c r="AK936" s="22" t="str">
        <f t="shared" si="29"/>
        <v>Huánuco_04 Huacaybamba_03 Cochabamba</v>
      </c>
      <c r="AL936" s="25">
        <v>6</v>
      </c>
      <c r="AM936" s="25">
        <v>56</v>
      </c>
      <c r="AN936" s="26">
        <f>Tabla2[[#This Row],[Minutos]]/60</f>
        <v>0.93333333333333335</v>
      </c>
      <c r="AO936" s="27">
        <f>SUM(Tabla2[[#This Row],[Horas]],Tabla2[[#This Row],[Minutos a Horas]])</f>
        <v>6.9333333333333336</v>
      </c>
      <c r="AP936" s="49">
        <v>7</v>
      </c>
      <c r="AQ936" s="49">
        <v>55</v>
      </c>
      <c r="AR936" s="26">
        <f>Tabla2[[#This Row],[Minutos*]]/60</f>
        <v>0.91666666666666663</v>
      </c>
      <c r="AS936" s="27">
        <f>SUM(Tabla2[[#This Row],[Horas*]],Tabla2[[#This Row],[Minutos a Horas*]])+(Tabla2[[#This Row],[Tiempo Total a Nivel Proncincial (Horas)]])</f>
        <v>14.850000000000001</v>
      </c>
    </row>
    <row r="937" spans="28:45" x14ac:dyDescent="0.25">
      <c r="AB937" s="89"/>
      <c r="AD937" s="32" t="s">
        <v>2399</v>
      </c>
      <c r="AE937" s="10" t="s">
        <v>381</v>
      </c>
      <c r="AF937" s="20" t="s">
        <v>1135</v>
      </c>
      <c r="AG937" s="10"/>
      <c r="AH937" s="22" t="str">
        <f t="shared" si="28"/>
        <v>Huánuco_04 Huacaybamba</v>
      </c>
      <c r="AI937" s="10" t="s">
        <v>1227</v>
      </c>
      <c r="AJ937" s="20" t="s">
        <v>1175</v>
      </c>
      <c r="AK937" s="22" t="str">
        <f t="shared" si="29"/>
        <v>Huánuco_04 Huacaybamba_04 Pinra</v>
      </c>
      <c r="AL937" s="25">
        <v>6</v>
      </c>
      <c r="AM937" s="25">
        <v>56</v>
      </c>
      <c r="AN937" s="26">
        <f>Tabla2[[#This Row],[Minutos]]/60</f>
        <v>0.93333333333333335</v>
      </c>
      <c r="AO937" s="27">
        <f>SUM(Tabla2[[#This Row],[Horas]],Tabla2[[#This Row],[Minutos a Horas]])</f>
        <v>6.9333333333333336</v>
      </c>
      <c r="AP937" s="49">
        <v>8</v>
      </c>
      <c r="AQ937" s="49">
        <v>38</v>
      </c>
      <c r="AR937" s="26">
        <f>Tabla2[[#This Row],[Minutos*]]/60</f>
        <v>0.6333333333333333</v>
      </c>
      <c r="AS937" s="27">
        <f>SUM(Tabla2[[#This Row],[Horas*]],Tabla2[[#This Row],[Minutos a Horas*]])+(Tabla2[[#This Row],[Tiempo Total a Nivel Proncincial (Horas)]])</f>
        <v>15.566666666666666</v>
      </c>
    </row>
    <row r="938" spans="28:45" x14ac:dyDescent="0.25">
      <c r="AB938" s="89"/>
      <c r="AD938" s="32" t="s">
        <v>2399</v>
      </c>
      <c r="AE938" s="10" t="s">
        <v>381</v>
      </c>
      <c r="AF938" s="20" t="s">
        <v>1136</v>
      </c>
      <c r="AG938" s="10"/>
      <c r="AH938" s="22" t="str">
        <f t="shared" si="28"/>
        <v>Huánuco_05 Huamalíes</v>
      </c>
      <c r="AI938" s="10" t="s">
        <v>1228</v>
      </c>
      <c r="AJ938" s="20" t="s">
        <v>1176</v>
      </c>
      <c r="AK938" s="22" t="str">
        <f t="shared" si="29"/>
        <v>Huánuco_05 Huamalíes_01 Llata</v>
      </c>
      <c r="AL938" s="25">
        <v>4</v>
      </c>
      <c r="AM938" s="25">
        <v>9</v>
      </c>
      <c r="AN938" s="26">
        <f>Tabla2[[#This Row],[Minutos]]/60</f>
        <v>0.15</v>
      </c>
      <c r="AO938" s="27">
        <f>SUM(Tabla2[[#This Row],[Horas]],Tabla2[[#This Row],[Minutos a Horas]])</f>
        <v>4.1500000000000004</v>
      </c>
      <c r="AP938" s="49">
        <v>4</v>
      </c>
      <c r="AQ938" s="49">
        <v>28</v>
      </c>
      <c r="AR938" s="26">
        <f>Tabla2[[#This Row],[Minutos*]]/60</f>
        <v>0.46666666666666667</v>
      </c>
      <c r="AS938" s="27">
        <f>SUM(Tabla2[[#This Row],[Horas*]],Tabla2[[#This Row],[Minutos a Horas*]])+(Tabla2[[#This Row],[Tiempo Total a Nivel Proncincial (Horas)]])</f>
        <v>8.6166666666666671</v>
      </c>
    </row>
    <row r="939" spans="28:45" x14ac:dyDescent="0.25">
      <c r="AB939" s="89"/>
      <c r="AD939" s="32" t="s">
        <v>2399</v>
      </c>
      <c r="AE939" s="10" t="s">
        <v>381</v>
      </c>
      <c r="AF939" s="20" t="s">
        <v>1136</v>
      </c>
      <c r="AG939" s="10"/>
      <c r="AH939" s="22" t="str">
        <f t="shared" si="28"/>
        <v>Huánuco_05 Huamalíes</v>
      </c>
      <c r="AI939" s="10" t="s">
        <v>1228</v>
      </c>
      <c r="AJ939" s="20" t="s">
        <v>1177</v>
      </c>
      <c r="AK939" s="22" t="str">
        <f t="shared" si="29"/>
        <v>Huánuco_05 Huamalíes_02 Arancay</v>
      </c>
      <c r="AL939" s="25">
        <v>4</v>
      </c>
      <c r="AM939" s="25">
        <v>9</v>
      </c>
      <c r="AN939" s="26">
        <f>Tabla2[[#This Row],[Minutos]]/60</f>
        <v>0.15</v>
      </c>
      <c r="AO939" s="27">
        <f>SUM(Tabla2[[#This Row],[Horas]],Tabla2[[#This Row],[Minutos a Horas]])</f>
        <v>4.1500000000000004</v>
      </c>
      <c r="AP939" s="49">
        <v>5</v>
      </c>
      <c r="AQ939" s="49">
        <v>57</v>
      </c>
      <c r="AR939" s="26">
        <f>Tabla2[[#This Row],[Minutos*]]/60</f>
        <v>0.95</v>
      </c>
      <c r="AS939" s="27">
        <f>SUM(Tabla2[[#This Row],[Horas*]],Tabla2[[#This Row],[Minutos a Horas*]])+(Tabla2[[#This Row],[Tiempo Total a Nivel Proncincial (Horas)]])</f>
        <v>10.100000000000001</v>
      </c>
    </row>
    <row r="940" spans="28:45" x14ac:dyDescent="0.25">
      <c r="AB940" s="89"/>
      <c r="AD940" s="32" t="s">
        <v>2399</v>
      </c>
      <c r="AE940" s="10" t="s">
        <v>381</v>
      </c>
      <c r="AF940" s="20" t="s">
        <v>1136</v>
      </c>
      <c r="AG940" s="10"/>
      <c r="AH940" s="22" t="str">
        <f t="shared" si="28"/>
        <v>Huánuco_05 Huamalíes</v>
      </c>
      <c r="AI940" s="10" t="s">
        <v>1228</v>
      </c>
      <c r="AJ940" s="20" t="s">
        <v>1178</v>
      </c>
      <c r="AK940" s="22" t="str">
        <f t="shared" si="29"/>
        <v>Huánuco_05 Huamalíes_03 Chavín de Pariarca</v>
      </c>
      <c r="AL940" s="25">
        <v>4</v>
      </c>
      <c r="AM940" s="25">
        <v>9</v>
      </c>
      <c r="AN940" s="26">
        <f>Tabla2[[#This Row],[Minutos]]/60</f>
        <v>0.15</v>
      </c>
      <c r="AO940" s="27">
        <f>SUM(Tabla2[[#This Row],[Horas]],Tabla2[[#This Row],[Minutos a Horas]])</f>
        <v>4.1500000000000004</v>
      </c>
      <c r="AP940" s="49">
        <v>4</v>
      </c>
      <c r="AQ940" s="49">
        <v>15</v>
      </c>
      <c r="AR940" s="26">
        <f>Tabla2[[#This Row],[Minutos*]]/60</f>
        <v>0.25</v>
      </c>
      <c r="AS940" s="27">
        <f>SUM(Tabla2[[#This Row],[Horas*]],Tabla2[[#This Row],[Minutos a Horas*]])+(Tabla2[[#This Row],[Tiempo Total a Nivel Proncincial (Horas)]])</f>
        <v>8.4</v>
      </c>
    </row>
    <row r="941" spans="28:45" x14ac:dyDescent="0.25">
      <c r="AB941" s="89"/>
      <c r="AD941" s="32" t="s">
        <v>2399</v>
      </c>
      <c r="AE941" s="10" t="s">
        <v>381</v>
      </c>
      <c r="AF941" s="20" t="s">
        <v>1136</v>
      </c>
      <c r="AG941" s="10"/>
      <c r="AH941" s="22" t="str">
        <f t="shared" si="28"/>
        <v>Huánuco_05 Huamalíes</v>
      </c>
      <c r="AI941" s="10" t="s">
        <v>1228</v>
      </c>
      <c r="AJ941" s="20" t="s">
        <v>1179</v>
      </c>
      <c r="AK941" s="22" t="str">
        <f t="shared" si="29"/>
        <v>Huánuco_05 Huamalíes_04 Jacas Grande</v>
      </c>
      <c r="AL941" s="25">
        <v>4</v>
      </c>
      <c r="AM941" s="25">
        <v>9</v>
      </c>
      <c r="AN941" s="26">
        <f>Tabla2[[#This Row],[Minutos]]/60</f>
        <v>0.15</v>
      </c>
      <c r="AO941" s="27">
        <f>SUM(Tabla2[[#This Row],[Horas]],Tabla2[[#This Row],[Minutos a Horas]])</f>
        <v>4.1500000000000004</v>
      </c>
      <c r="AP941" s="49">
        <v>3</v>
      </c>
      <c r="AQ941" s="49">
        <v>59</v>
      </c>
      <c r="AR941" s="26">
        <f>Tabla2[[#This Row],[Minutos*]]/60</f>
        <v>0.98333333333333328</v>
      </c>
      <c r="AS941" s="27">
        <f>SUM(Tabla2[[#This Row],[Horas*]],Tabla2[[#This Row],[Minutos a Horas*]])+(Tabla2[[#This Row],[Tiempo Total a Nivel Proncincial (Horas)]])</f>
        <v>8.1333333333333329</v>
      </c>
    </row>
    <row r="942" spans="28:45" x14ac:dyDescent="0.25">
      <c r="AB942" s="89"/>
      <c r="AD942" s="32" t="s">
        <v>2399</v>
      </c>
      <c r="AE942" s="10" t="s">
        <v>381</v>
      </c>
      <c r="AF942" s="20" t="s">
        <v>1136</v>
      </c>
      <c r="AG942" s="10"/>
      <c r="AH942" s="22" t="str">
        <f t="shared" si="28"/>
        <v>Huánuco_05 Huamalíes</v>
      </c>
      <c r="AI942" s="10" t="s">
        <v>1228</v>
      </c>
      <c r="AJ942" s="20" t="s">
        <v>1180</v>
      </c>
      <c r="AK942" s="22" t="str">
        <f t="shared" si="29"/>
        <v>Huánuco_05 Huamalíes_05 Jircan</v>
      </c>
      <c r="AL942" s="25">
        <v>4</v>
      </c>
      <c r="AM942" s="25">
        <v>9</v>
      </c>
      <c r="AN942" s="26">
        <f>Tabla2[[#This Row],[Minutos]]/60</f>
        <v>0.15</v>
      </c>
      <c r="AO942" s="27">
        <f>SUM(Tabla2[[#This Row],[Horas]],Tabla2[[#This Row],[Minutos a Horas]])</f>
        <v>4.1500000000000004</v>
      </c>
      <c r="AP942" s="49">
        <v>5</v>
      </c>
      <c r="AQ942" s="49">
        <v>32</v>
      </c>
      <c r="AR942" s="26">
        <f>Tabla2[[#This Row],[Minutos*]]/60</f>
        <v>0.53333333333333333</v>
      </c>
      <c r="AS942" s="27">
        <f>SUM(Tabla2[[#This Row],[Horas*]],Tabla2[[#This Row],[Minutos a Horas*]])+(Tabla2[[#This Row],[Tiempo Total a Nivel Proncincial (Horas)]])</f>
        <v>9.6833333333333336</v>
      </c>
    </row>
    <row r="943" spans="28:45" x14ac:dyDescent="0.25">
      <c r="AB943" s="89"/>
      <c r="AD943" s="32" t="s">
        <v>2399</v>
      </c>
      <c r="AE943" s="10" t="s">
        <v>381</v>
      </c>
      <c r="AF943" s="20" t="s">
        <v>1136</v>
      </c>
      <c r="AG943" s="10"/>
      <c r="AH943" s="22" t="str">
        <f t="shared" si="28"/>
        <v>Huánuco_05 Huamalíes</v>
      </c>
      <c r="AI943" s="10" t="s">
        <v>1228</v>
      </c>
      <c r="AJ943" s="20" t="s">
        <v>1181</v>
      </c>
      <c r="AK943" s="22" t="str">
        <f t="shared" si="29"/>
        <v>Huánuco_05 Huamalíes_06 Miraflores</v>
      </c>
      <c r="AL943" s="25">
        <v>4</v>
      </c>
      <c r="AM943" s="25">
        <v>9</v>
      </c>
      <c r="AN943" s="26">
        <f>Tabla2[[#This Row],[Minutos]]/60</f>
        <v>0.15</v>
      </c>
      <c r="AO943" s="27">
        <f>SUM(Tabla2[[#This Row],[Horas]],Tabla2[[#This Row],[Minutos a Horas]])</f>
        <v>4.1500000000000004</v>
      </c>
      <c r="AP943" s="49">
        <v>4</v>
      </c>
      <c r="AQ943" s="49">
        <v>50</v>
      </c>
      <c r="AR943" s="26">
        <f>Tabla2[[#This Row],[Minutos*]]/60</f>
        <v>0.83333333333333337</v>
      </c>
      <c r="AS943" s="27">
        <f>SUM(Tabla2[[#This Row],[Horas*]],Tabla2[[#This Row],[Minutos a Horas*]])+(Tabla2[[#This Row],[Tiempo Total a Nivel Proncincial (Horas)]])</f>
        <v>8.9833333333333343</v>
      </c>
    </row>
    <row r="944" spans="28:45" x14ac:dyDescent="0.25">
      <c r="AB944" s="89"/>
      <c r="AD944" s="32" t="s">
        <v>2399</v>
      </c>
      <c r="AE944" s="10" t="s">
        <v>381</v>
      </c>
      <c r="AF944" s="20" t="s">
        <v>1136</v>
      </c>
      <c r="AG944" s="10"/>
      <c r="AH944" s="22" t="str">
        <f t="shared" si="28"/>
        <v>Huánuco_05 Huamalíes</v>
      </c>
      <c r="AI944" s="10" t="s">
        <v>1228</v>
      </c>
      <c r="AJ944" s="20" t="s">
        <v>1182</v>
      </c>
      <c r="AK944" s="22" t="str">
        <f t="shared" si="29"/>
        <v>Huánuco_05 Huamalíes_07 Monzón</v>
      </c>
      <c r="AL944" s="25">
        <v>4</v>
      </c>
      <c r="AM944" s="25">
        <v>9</v>
      </c>
      <c r="AN944" s="26">
        <f>Tabla2[[#This Row],[Minutos]]/60</f>
        <v>0.15</v>
      </c>
      <c r="AO944" s="27">
        <f>SUM(Tabla2[[#This Row],[Horas]],Tabla2[[#This Row],[Minutos a Horas]])</f>
        <v>4.1500000000000004</v>
      </c>
      <c r="AP944" s="49">
        <v>4</v>
      </c>
      <c r="AQ944" s="49">
        <v>40</v>
      </c>
      <c r="AR944" s="26">
        <f>Tabla2[[#This Row],[Minutos*]]/60</f>
        <v>0.66666666666666663</v>
      </c>
      <c r="AS944" s="27">
        <f>SUM(Tabla2[[#This Row],[Horas*]],Tabla2[[#This Row],[Minutos a Horas*]])+(Tabla2[[#This Row],[Tiempo Total a Nivel Proncincial (Horas)]])</f>
        <v>8.8166666666666664</v>
      </c>
    </row>
    <row r="945" spans="28:45" x14ac:dyDescent="0.25">
      <c r="AB945" s="89"/>
      <c r="AD945" s="32" t="s">
        <v>2399</v>
      </c>
      <c r="AE945" s="10" t="s">
        <v>381</v>
      </c>
      <c r="AF945" s="20" t="s">
        <v>1136</v>
      </c>
      <c r="AG945" s="10"/>
      <c r="AH945" s="22" t="str">
        <f t="shared" si="28"/>
        <v>Huánuco_05 Huamalíes</v>
      </c>
      <c r="AI945" s="10" t="s">
        <v>1228</v>
      </c>
      <c r="AJ945" s="20" t="s">
        <v>1183</v>
      </c>
      <c r="AK945" s="22" t="str">
        <f t="shared" si="29"/>
        <v>Huánuco_05 Huamalíes_08 Punchao</v>
      </c>
      <c r="AL945" s="25">
        <v>4</v>
      </c>
      <c r="AM945" s="25">
        <v>9</v>
      </c>
      <c r="AN945" s="26">
        <f>Tabla2[[#This Row],[Minutos]]/60</f>
        <v>0.15</v>
      </c>
      <c r="AO945" s="27">
        <f>SUM(Tabla2[[#This Row],[Horas]],Tabla2[[#This Row],[Minutos a Horas]])</f>
        <v>4.1500000000000004</v>
      </c>
      <c r="AP945" s="49">
        <v>4</v>
      </c>
      <c r="AQ945" s="49">
        <v>52</v>
      </c>
      <c r="AR945" s="26">
        <f>Tabla2[[#This Row],[Minutos*]]/60</f>
        <v>0.8666666666666667</v>
      </c>
      <c r="AS945" s="27">
        <f>SUM(Tabla2[[#This Row],[Horas*]],Tabla2[[#This Row],[Minutos a Horas*]])+(Tabla2[[#This Row],[Tiempo Total a Nivel Proncincial (Horas)]])</f>
        <v>9.0166666666666675</v>
      </c>
    </row>
    <row r="946" spans="28:45" x14ac:dyDescent="0.25">
      <c r="AB946" s="89"/>
      <c r="AD946" s="32" t="s">
        <v>2399</v>
      </c>
      <c r="AE946" s="10" t="s">
        <v>381</v>
      </c>
      <c r="AF946" s="20" t="s">
        <v>1136</v>
      </c>
      <c r="AG946" s="10"/>
      <c r="AH946" s="22" t="str">
        <f t="shared" si="28"/>
        <v>Huánuco_05 Huamalíes</v>
      </c>
      <c r="AI946" s="10" t="s">
        <v>1228</v>
      </c>
      <c r="AJ946" s="20" t="s">
        <v>1184</v>
      </c>
      <c r="AK946" s="22" t="str">
        <f t="shared" si="29"/>
        <v>Huánuco_05 Huamalíes_09 Puños</v>
      </c>
      <c r="AL946" s="25">
        <v>4</v>
      </c>
      <c r="AM946" s="25">
        <v>9</v>
      </c>
      <c r="AN946" s="26">
        <f>Tabla2[[#This Row],[Minutos]]/60</f>
        <v>0.15</v>
      </c>
      <c r="AO946" s="27">
        <f>SUM(Tabla2[[#This Row],[Horas]],Tabla2[[#This Row],[Minutos a Horas]])</f>
        <v>4.1500000000000004</v>
      </c>
      <c r="AP946" s="49">
        <v>4</v>
      </c>
      <c r="AQ946" s="49">
        <v>32</v>
      </c>
      <c r="AR946" s="26">
        <f>Tabla2[[#This Row],[Minutos*]]/60</f>
        <v>0.53333333333333333</v>
      </c>
      <c r="AS946" s="27">
        <f>SUM(Tabla2[[#This Row],[Horas*]],Tabla2[[#This Row],[Minutos a Horas*]])+(Tabla2[[#This Row],[Tiempo Total a Nivel Proncincial (Horas)]])</f>
        <v>8.6833333333333336</v>
      </c>
    </row>
    <row r="947" spans="28:45" x14ac:dyDescent="0.25">
      <c r="AB947" s="89"/>
      <c r="AD947" s="32" t="s">
        <v>2399</v>
      </c>
      <c r="AE947" s="10" t="s">
        <v>381</v>
      </c>
      <c r="AF947" s="20" t="s">
        <v>1136</v>
      </c>
      <c r="AG947" s="10"/>
      <c r="AH947" s="22" t="str">
        <f t="shared" si="28"/>
        <v>Huánuco_05 Huamalíes</v>
      </c>
      <c r="AI947" s="10" t="s">
        <v>1228</v>
      </c>
      <c r="AJ947" s="20" t="s">
        <v>1185</v>
      </c>
      <c r="AK947" s="22" t="str">
        <f t="shared" si="29"/>
        <v>Huánuco_05 Huamalíes_10 Singa</v>
      </c>
      <c r="AL947" s="25">
        <v>4</v>
      </c>
      <c r="AM947" s="25">
        <v>9</v>
      </c>
      <c r="AN947" s="26">
        <f>Tabla2[[#This Row],[Minutos]]/60</f>
        <v>0.15</v>
      </c>
      <c r="AO947" s="27">
        <f>SUM(Tabla2[[#This Row],[Horas]],Tabla2[[#This Row],[Minutos a Horas]])</f>
        <v>4.1500000000000004</v>
      </c>
      <c r="AP947" s="49">
        <v>5</v>
      </c>
      <c r="AQ947" s="49">
        <v>14</v>
      </c>
      <c r="AR947" s="26">
        <f>Tabla2[[#This Row],[Minutos*]]/60</f>
        <v>0.23333333333333334</v>
      </c>
      <c r="AS947" s="27">
        <f>SUM(Tabla2[[#This Row],[Horas*]],Tabla2[[#This Row],[Minutos a Horas*]])+(Tabla2[[#This Row],[Tiempo Total a Nivel Proncincial (Horas)]])</f>
        <v>9.3833333333333329</v>
      </c>
    </row>
    <row r="948" spans="28:45" x14ac:dyDescent="0.25">
      <c r="AB948" s="89"/>
      <c r="AD948" s="32" t="s">
        <v>2399</v>
      </c>
      <c r="AE948" s="10" t="s">
        <v>381</v>
      </c>
      <c r="AF948" s="20" t="s">
        <v>1136</v>
      </c>
      <c r="AG948" s="10"/>
      <c r="AH948" s="22" t="str">
        <f t="shared" si="28"/>
        <v>Huánuco_05 Huamalíes</v>
      </c>
      <c r="AI948" s="10" t="s">
        <v>1228</v>
      </c>
      <c r="AJ948" s="20" t="s">
        <v>1186</v>
      </c>
      <c r="AK948" s="22" t="str">
        <f t="shared" si="29"/>
        <v>Huánuco_05 Huamalíes_11 Tantamayo</v>
      </c>
      <c r="AL948" s="25">
        <v>4</v>
      </c>
      <c r="AM948" s="25">
        <v>9</v>
      </c>
      <c r="AN948" s="26">
        <f>Tabla2[[#This Row],[Minutos]]/60</f>
        <v>0.15</v>
      </c>
      <c r="AO948" s="27">
        <f>SUM(Tabla2[[#This Row],[Horas]],Tabla2[[#This Row],[Minutos a Horas]])</f>
        <v>4.1500000000000004</v>
      </c>
      <c r="AP948" s="49">
        <v>4</v>
      </c>
      <c r="AQ948" s="49">
        <v>45</v>
      </c>
      <c r="AR948" s="26">
        <f>Tabla2[[#This Row],[Minutos*]]/60</f>
        <v>0.75</v>
      </c>
      <c r="AS948" s="27">
        <f>SUM(Tabla2[[#This Row],[Horas*]],Tabla2[[#This Row],[Minutos a Horas*]])+(Tabla2[[#This Row],[Tiempo Total a Nivel Proncincial (Horas)]])</f>
        <v>8.9</v>
      </c>
    </row>
    <row r="949" spans="28:45" x14ac:dyDescent="0.25">
      <c r="AB949" s="89"/>
      <c r="AD949" s="32" t="s">
        <v>2399</v>
      </c>
      <c r="AE949" s="10" t="s">
        <v>381</v>
      </c>
      <c r="AF949" s="20" t="s">
        <v>1137</v>
      </c>
      <c r="AG949" s="10"/>
      <c r="AH949" s="22" t="str">
        <f t="shared" si="28"/>
        <v>Huánuco_06 Leoncio Prado</v>
      </c>
      <c r="AI949" s="10" t="s">
        <v>1229</v>
      </c>
      <c r="AJ949" s="20" t="s">
        <v>1187</v>
      </c>
      <c r="AK949" s="22" t="str">
        <f t="shared" si="29"/>
        <v>Huánuco_06 Leoncio Prado_01 Rupa-Rupa</v>
      </c>
      <c r="AL949" s="25">
        <v>2</v>
      </c>
      <c r="AM949" s="25">
        <v>39</v>
      </c>
      <c r="AN949" s="26">
        <f>Tabla2[[#This Row],[Minutos]]/60</f>
        <v>0.65</v>
      </c>
      <c r="AO949" s="27">
        <f>SUM(Tabla2[[#This Row],[Horas]],Tabla2[[#This Row],[Minutos a Horas]])</f>
        <v>2.65</v>
      </c>
      <c r="AP949" s="49">
        <v>2</v>
      </c>
      <c r="AQ949" s="49">
        <v>52</v>
      </c>
      <c r="AR949" s="26">
        <f>Tabla2[[#This Row],[Minutos*]]/60</f>
        <v>0.8666666666666667</v>
      </c>
      <c r="AS949" s="27">
        <f>SUM(Tabla2[[#This Row],[Horas*]],Tabla2[[#This Row],[Minutos a Horas*]])+(Tabla2[[#This Row],[Tiempo Total a Nivel Proncincial (Horas)]])</f>
        <v>5.5166666666666666</v>
      </c>
    </row>
    <row r="950" spans="28:45" x14ac:dyDescent="0.25">
      <c r="AB950" s="89"/>
      <c r="AD950" s="32" t="s">
        <v>2399</v>
      </c>
      <c r="AE950" s="10" t="s">
        <v>381</v>
      </c>
      <c r="AF950" s="20" t="s">
        <v>1137</v>
      </c>
      <c r="AG950" s="10"/>
      <c r="AH950" s="22" t="str">
        <f t="shared" si="28"/>
        <v>Huánuco_06 Leoncio Prado</v>
      </c>
      <c r="AI950" s="10" t="s">
        <v>1229</v>
      </c>
      <c r="AJ950" s="20" t="s">
        <v>1188</v>
      </c>
      <c r="AK950" s="22" t="str">
        <f t="shared" si="29"/>
        <v>Huánuco_06 Leoncio Prado_02 Daniel Alomía Robles</v>
      </c>
      <c r="AL950" s="25">
        <v>2</v>
      </c>
      <c r="AM950" s="25">
        <v>39</v>
      </c>
      <c r="AN950" s="26">
        <f>Tabla2[[#This Row],[Minutos]]/60</f>
        <v>0.65</v>
      </c>
      <c r="AO950" s="27">
        <f>SUM(Tabla2[[#This Row],[Horas]],Tabla2[[#This Row],[Minutos a Horas]])</f>
        <v>2.65</v>
      </c>
      <c r="AP950" s="49">
        <v>3</v>
      </c>
      <c r="AQ950" s="49">
        <v>58</v>
      </c>
      <c r="AR950" s="26">
        <f>Tabla2[[#This Row],[Minutos*]]/60</f>
        <v>0.96666666666666667</v>
      </c>
      <c r="AS950" s="27">
        <f>SUM(Tabla2[[#This Row],[Horas*]],Tabla2[[#This Row],[Minutos a Horas*]])+(Tabla2[[#This Row],[Tiempo Total a Nivel Proncincial (Horas)]])</f>
        <v>6.6166666666666671</v>
      </c>
    </row>
    <row r="951" spans="28:45" x14ac:dyDescent="0.25">
      <c r="AB951" s="89"/>
      <c r="AD951" s="32" t="s">
        <v>2399</v>
      </c>
      <c r="AE951" s="10" t="s">
        <v>381</v>
      </c>
      <c r="AF951" s="20" t="s">
        <v>1137</v>
      </c>
      <c r="AG951" s="10"/>
      <c r="AH951" s="22" t="str">
        <f t="shared" si="28"/>
        <v>Huánuco_06 Leoncio Prado</v>
      </c>
      <c r="AI951" s="10" t="s">
        <v>1229</v>
      </c>
      <c r="AJ951" s="20" t="s">
        <v>1189</v>
      </c>
      <c r="AK951" s="22" t="str">
        <f t="shared" si="29"/>
        <v>Huánuco_06 Leoncio Prado_03 Hermílio Valdizan</v>
      </c>
      <c r="AL951" s="25">
        <v>2</v>
      </c>
      <c r="AM951" s="25">
        <v>39</v>
      </c>
      <c r="AN951" s="26">
        <f>Tabla2[[#This Row],[Minutos]]/60</f>
        <v>0.65</v>
      </c>
      <c r="AO951" s="27">
        <f>SUM(Tabla2[[#This Row],[Horas]],Tabla2[[#This Row],[Minutos a Horas]])</f>
        <v>2.65</v>
      </c>
      <c r="AP951" s="49">
        <v>4</v>
      </c>
      <c r="AQ951" s="49">
        <v>0</v>
      </c>
      <c r="AR951" s="26">
        <f>Tabla2[[#This Row],[Minutos*]]/60</f>
        <v>0</v>
      </c>
      <c r="AS951" s="27">
        <f>SUM(Tabla2[[#This Row],[Horas*]],Tabla2[[#This Row],[Minutos a Horas*]])+(Tabla2[[#This Row],[Tiempo Total a Nivel Proncincial (Horas)]])</f>
        <v>6.65</v>
      </c>
    </row>
    <row r="952" spans="28:45" x14ac:dyDescent="0.25">
      <c r="AB952" s="89"/>
      <c r="AD952" s="32" t="s">
        <v>2399</v>
      </c>
      <c r="AE952" s="10" t="s">
        <v>381</v>
      </c>
      <c r="AF952" s="20" t="s">
        <v>1137</v>
      </c>
      <c r="AG952" s="10"/>
      <c r="AH952" s="22" t="str">
        <f t="shared" si="28"/>
        <v>Huánuco_06 Leoncio Prado</v>
      </c>
      <c r="AI952" s="10" t="s">
        <v>1229</v>
      </c>
      <c r="AJ952" s="20" t="s">
        <v>1190</v>
      </c>
      <c r="AK952" s="22" t="str">
        <f t="shared" si="29"/>
        <v>Huánuco_06 Leoncio Prado_04 José Crespo y Castillo</v>
      </c>
      <c r="AL952" s="25">
        <v>2</v>
      </c>
      <c r="AM952" s="25">
        <v>39</v>
      </c>
      <c r="AN952" s="26">
        <f>Tabla2[[#This Row],[Minutos]]/60</f>
        <v>0.65</v>
      </c>
      <c r="AO952" s="27">
        <f>SUM(Tabla2[[#This Row],[Horas]],Tabla2[[#This Row],[Minutos a Horas]])</f>
        <v>2.65</v>
      </c>
      <c r="AP952" s="49">
        <v>3</v>
      </c>
      <c r="AQ952" s="49">
        <v>50</v>
      </c>
      <c r="AR952" s="26">
        <f>Tabla2[[#This Row],[Minutos*]]/60</f>
        <v>0.83333333333333337</v>
      </c>
      <c r="AS952" s="27">
        <f>SUM(Tabla2[[#This Row],[Horas*]],Tabla2[[#This Row],[Minutos a Horas*]])+(Tabla2[[#This Row],[Tiempo Total a Nivel Proncincial (Horas)]])</f>
        <v>6.4833333333333334</v>
      </c>
    </row>
    <row r="953" spans="28:45" x14ac:dyDescent="0.25">
      <c r="AB953" s="89"/>
      <c r="AD953" s="32" t="s">
        <v>2399</v>
      </c>
      <c r="AE953" s="10" t="s">
        <v>381</v>
      </c>
      <c r="AF953" s="20" t="s">
        <v>1137</v>
      </c>
      <c r="AG953" s="10"/>
      <c r="AH953" s="22" t="str">
        <f t="shared" si="28"/>
        <v>Huánuco_06 Leoncio Prado</v>
      </c>
      <c r="AI953" s="10" t="s">
        <v>1229</v>
      </c>
      <c r="AJ953" s="20" t="s">
        <v>1191</v>
      </c>
      <c r="AK953" s="22" t="str">
        <f t="shared" si="29"/>
        <v>Huánuco_06 Leoncio Prado_05 Luyando</v>
      </c>
      <c r="AL953" s="25">
        <v>2</v>
      </c>
      <c r="AM953" s="25">
        <v>39</v>
      </c>
      <c r="AN953" s="26">
        <f>Tabla2[[#This Row],[Minutos]]/60</f>
        <v>0.65</v>
      </c>
      <c r="AO953" s="27">
        <f>SUM(Tabla2[[#This Row],[Horas]],Tabla2[[#This Row],[Minutos a Horas]])</f>
        <v>2.65</v>
      </c>
      <c r="AP953" s="49">
        <v>3</v>
      </c>
      <c r="AQ953" s="49">
        <v>16</v>
      </c>
      <c r="AR953" s="26">
        <f>Tabla2[[#This Row],[Minutos*]]/60</f>
        <v>0.26666666666666666</v>
      </c>
      <c r="AS953" s="27">
        <f>SUM(Tabla2[[#This Row],[Horas*]],Tabla2[[#This Row],[Minutos a Horas*]])+(Tabla2[[#This Row],[Tiempo Total a Nivel Proncincial (Horas)]])</f>
        <v>5.9166666666666661</v>
      </c>
    </row>
    <row r="954" spans="28:45" x14ac:dyDescent="0.25">
      <c r="AB954" s="89"/>
      <c r="AD954" s="32" t="s">
        <v>2399</v>
      </c>
      <c r="AE954" s="10" t="s">
        <v>381</v>
      </c>
      <c r="AF954" s="20" t="s">
        <v>1137</v>
      </c>
      <c r="AG954" s="10"/>
      <c r="AH954" s="22" t="str">
        <f t="shared" si="28"/>
        <v>Huánuco_06 Leoncio Prado</v>
      </c>
      <c r="AI954" s="10" t="s">
        <v>1229</v>
      </c>
      <c r="AJ954" s="20" t="s">
        <v>1192</v>
      </c>
      <c r="AK954" s="22" t="str">
        <f t="shared" si="29"/>
        <v>Huánuco_06 Leoncio Prado_06 Mariano Damaso Beraun</v>
      </c>
      <c r="AL954" s="25">
        <v>2</v>
      </c>
      <c r="AM954" s="25">
        <v>39</v>
      </c>
      <c r="AN954" s="26">
        <f>Tabla2[[#This Row],[Minutos]]/60</f>
        <v>0.65</v>
      </c>
      <c r="AO954" s="27">
        <f>SUM(Tabla2[[#This Row],[Horas]],Tabla2[[#This Row],[Minutos a Horas]])</f>
        <v>2.65</v>
      </c>
      <c r="AP954" s="49">
        <v>2</v>
      </c>
      <c r="AQ954" s="49">
        <v>34</v>
      </c>
      <c r="AR954" s="26">
        <f>Tabla2[[#This Row],[Minutos*]]/60</f>
        <v>0.56666666666666665</v>
      </c>
      <c r="AS954" s="27">
        <f>SUM(Tabla2[[#This Row],[Horas*]],Tabla2[[#This Row],[Minutos a Horas*]])+(Tabla2[[#This Row],[Tiempo Total a Nivel Proncincial (Horas)]])</f>
        <v>5.2166666666666668</v>
      </c>
    </row>
    <row r="955" spans="28:45" x14ac:dyDescent="0.25">
      <c r="AB955" s="89"/>
      <c r="AD955" s="32" t="s">
        <v>2399</v>
      </c>
      <c r="AE955" s="10" t="s">
        <v>381</v>
      </c>
      <c r="AF955" s="20" t="s">
        <v>1137</v>
      </c>
      <c r="AG955" s="10"/>
      <c r="AH955" s="22" t="str">
        <f t="shared" si="28"/>
        <v>Huánuco_06 Leoncio Prado</v>
      </c>
      <c r="AI955" s="10" t="s">
        <v>1229</v>
      </c>
      <c r="AJ955" s="20" t="s">
        <v>1193</v>
      </c>
      <c r="AK955" s="22" t="str">
        <f t="shared" si="29"/>
        <v>Huánuco_06 Leoncio Prado_07 Pucayacu</v>
      </c>
      <c r="AL955" s="25">
        <v>2</v>
      </c>
      <c r="AM955" s="25">
        <v>39</v>
      </c>
      <c r="AN955" s="26">
        <f>Tabla2[[#This Row],[Minutos]]/60</f>
        <v>0.65</v>
      </c>
      <c r="AO955" s="27">
        <f>SUM(Tabla2[[#This Row],[Horas]],Tabla2[[#This Row],[Minutos a Horas]])</f>
        <v>2.65</v>
      </c>
      <c r="AP955" s="49">
        <v>4</v>
      </c>
      <c r="AQ955" s="49">
        <v>4</v>
      </c>
      <c r="AR955" s="26">
        <f>Tabla2[[#This Row],[Minutos*]]/60</f>
        <v>6.6666666666666666E-2</v>
      </c>
      <c r="AS955" s="27">
        <f>SUM(Tabla2[[#This Row],[Horas*]],Tabla2[[#This Row],[Minutos a Horas*]])+(Tabla2[[#This Row],[Tiempo Total a Nivel Proncincial (Horas)]])</f>
        <v>6.7166666666666668</v>
      </c>
    </row>
    <row r="956" spans="28:45" x14ac:dyDescent="0.25">
      <c r="AB956" s="89"/>
      <c r="AD956" s="32" t="s">
        <v>2399</v>
      </c>
      <c r="AE956" s="10" t="s">
        <v>381</v>
      </c>
      <c r="AF956" s="20" t="s">
        <v>1137</v>
      </c>
      <c r="AG956" s="10"/>
      <c r="AH956" s="22" t="str">
        <f t="shared" si="28"/>
        <v>Huánuco_06 Leoncio Prado</v>
      </c>
      <c r="AI956" s="10" t="s">
        <v>1229</v>
      </c>
      <c r="AJ956" s="20" t="s">
        <v>1194</v>
      </c>
      <c r="AK956" s="22" t="str">
        <f t="shared" si="29"/>
        <v>Huánuco_06 Leoncio Prado_08 Castillo Grande</v>
      </c>
      <c r="AL956" s="25">
        <v>2</v>
      </c>
      <c r="AM956" s="25">
        <v>39</v>
      </c>
      <c r="AN956" s="26">
        <f>Tabla2[[#This Row],[Minutos]]/60</f>
        <v>0.65</v>
      </c>
      <c r="AO956" s="27">
        <f>SUM(Tabla2[[#This Row],[Horas]],Tabla2[[#This Row],[Minutos a Horas]])</f>
        <v>2.65</v>
      </c>
      <c r="AP956" s="49">
        <v>2</v>
      </c>
      <c r="AQ956" s="49">
        <v>59</v>
      </c>
      <c r="AR956" s="26">
        <f>Tabla2[[#This Row],[Minutos*]]/60</f>
        <v>0.98333333333333328</v>
      </c>
      <c r="AS956" s="27">
        <f>SUM(Tabla2[[#This Row],[Horas*]],Tabla2[[#This Row],[Minutos a Horas*]])+(Tabla2[[#This Row],[Tiempo Total a Nivel Proncincial (Horas)]])</f>
        <v>5.6333333333333329</v>
      </c>
    </row>
    <row r="957" spans="28:45" x14ac:dyDescent="0.25">
      <c r="AB957" s="89"/>
      <c r="AD957" s="32" t="s">
        <v>2399</v>
      </c>
      <c r="AE957" s="10" t="s">
        <v>381</v>
      </c>
      <c r="AF957" s="20" t="s">
        <v>1138</v>
      </c>
      <c r="AG957" s="10"/>
      <c r="AH957" s="22" t="str">
        <f t="shared" si="28"/>
        <v>Huánuco_07 Marañón</v>
      </c>
      <c r="AI957" s="10" t="s">
        <v>1230</v>
      </c>
      <c r="AJ957" s="20" t="s">
        <v>1195</v>
      </c>
      <c r="AK957" s="22" t="str">
        <f t="shared" si="29"/>
        <v>Huánuco_07 Marañón_01 Huacrachuco</v>
      </c>
      <c r="AL957" s="25">
        <v>6</v>
      </c>
      <c r="AM957" s="25">
        <v>58</v>
      </c>
      <c r="AN957" s="26">
        <f>Tabla2[[#This Row],[Minutos]]/60</f>
        <v>0.96666666666666667</v>
      </c>
      <c r="AO957" s="27">
        <f>SUM(Tabla2[[#This Row],[Horas]],Tabla2[[#This Row],[Minutos a Horas]])</f>
        <v>6.9666666666666668</v>
      </c>
      <c r="AP957" s="49">
        <v>10</v>
      </c>
      <c r="AQ957" s="49">
        <v>33</v>
      </c>
      <c r="AR957" s="26">
        <f>Tabla2[[#This Row],[Minutos*]]/60</f>
        <v>0.55000000000000004</v>
      </c>
      <c r="AS957" s="27">
        <f>SUM(Tabla2[[#This Row],[Horas*]],Tabla2[[#This Row],[Minutos a Horas*]])+(Tabla2[[#This Row],[Tiempo Total a Nivel Proncincial (Horas)]])</f>
        <v>17.516666666666666</v>
      </c>
    </row>
    <row r="958" spans="28:45" x14ac:dyDescent="0.25">
      <c r="AB958" s="89"/>
      <c r="AD958" s="32" t="s">
        <v>2399</v>
      </c>
      <c r="AE958" s="10" t="s">
        <v>381</v>
      </c>
      <c r="AF958" s="20" t="s">
        <v>1138</v>
      </c>
      <c r="AG958" s="10"/>
      <c r="AH958" s="22" t="str">
        <f t="shared" si="28"/>
        <v>Huánuco_07 Marañón</v>
      </c>
      <c r="AI958" s="10" t="s">
        <v>1230</v>
      </c>
      <c r="AJ958" s="20" t="s">
        <v>1196</v>
      </c>
      <c r="AK958" s="22" t="str">
        <f t="shared" si="29"/>
        <v>Huánuco_07 Marañón_02 Cholon</v>
      </c>
      <c r="AL958" s="25">
        <v>6</v>
      </c>
      <c r="AM958" s="25">
        <v>58</v>
      </c>
      <c r="AN958" s="26">
        <f>Tabla2[[#This Row],[Minutos]]/60</f>
        <v>0.96666666666666667</v>
      </c>
      <c r="AO958" s="27">
        <f>SUM(Tabla2[[#This Row],[Horas]],Tabla2[[#This Row],[Minutos a Horas]])</f>
        <v>6.9666666666666668</v>
      </c>
      <c r="AP958" s="49">
        <v>8</v>
      </c>
      <c r="AQ958" s="49">
        <v>31</v>
      </c>
      <c r="AR958" s="26">
        <f>Tabla2[[#This Row],[Minutos*]]/60</f>
        <v>0.51666666666666672</v>
      </c>
      <c r="AS958" s="27">
        <f>SUM(Tabla2[[#This Row],[Horas*]],Tabla2[[#This Row],[Minutos a Horas*]])+(Tabla2[[#This Row],[Tiempo Total a Nivel Proncincial (Horas)]])</f>
        <v>15.483333333333334</v>
      </c>
    </row>
    <row r="959" spans="28:45" x14ac:dyDescent="0.25">
      <c r="AB959" s="89"/>
      <c r="AD959" s="32" t="s">
        <v>2399</v>
      </c>
      <c r="AE959" s="10" t="s">
        <v>381</v>
      </c>
      <c r="AF959" s="20" t="s">
        <v>1138</v>
      </c>
      <c r="AG959" s="10"/>
      <c r="AH959" s="22" t="str">
        <f t="shared" si="28"/>
        <v>Huánuco_07 Marañón</v>
      </c>
      <c r="AI959" s="10" t="s">
        <v>1230</v>
      </c>
      <c r="AJ959" s="20" t="s">
        <v>1197</v>
      </c>
      <c r="AK959" s="22" t="str">
        <f t="shared" si="29"/>
        <v>Huánuco_07 Marañón_03 San Buenaventura</v>
      </c>
      <c r="AL959" s="25">
        <v>6</v>
      </c>
      <c r="AM959" s="25">
        <v>58</v>
      </c>
      <c r="AN959" s="26">
        <f>Tabla2[[#This Row],[Minutos]]/60</f>
        <v>0.96666666666666667</v>
      </c>
      <c r="AO959" s="27">
        <f>SUM(Tabla2[[#This Row],[Horas]],Tabla2[[#This Row],[Minutos a Horas]])</f>
        <v>6.9666666666666668</v>
      </c>
      <c r="AP959" s="49">
        <v>10</v>
      </c>
      <c r="AQ959" s="49">
        <v>58</v>
      </c>
      <c r="AR959" s="26">
        <f>Tabla2[[#This Row],[Minutos*]]/60</f>
        <v>0.96666666666666667</v>
      </c>
      <c r="AS959" s="27">
        <f>SUM(Tabla2[[#This Row],[Horas*]],Tabla2[[#This Row],[Minutos a Horas*]])+(Tabla2[[#This Row],[Tiempo Total a Nivel Proncincial (Horas)]])</f>
        <v>17.933333333333334</v>
      </c>
    </row>
    <row r="960" spans="28:45" x14ac:dyDescent="0.25">
      <c r="AB960" s="89"/>
      <c r="AD960" s="32" t="s">
        <v>2399</v>
      </c>
      <c r="AE960" s="10" t="s">
        <v>381</v>
      </c>
      <c r="AF960" s="20" t="s">
        <v>1138</v>
      </c>
      <c r="AG960" s="10"/>
      <c r="AH960" s="22" t="str">
        <f t="shared" si="28"/>
        <v>Huánuco_07 Marañón</v>
      </c>
      <c r="AI960" s="10" t="s">
        <v>1230</v>
      </c>
      <c r="AJ960" s="20" t="s">
        <v>1198</v>
      </c>
      <c r="AK960" s="22" t="str">
        <f t="shared" si="29"/>
        <v>Huánuco_07 Marañón_04 La Morada</v>
      </c>
      <c r="AL960" s="25">
        <v>6</v>
      </c>
      <c r="AM960" s="25">
        <v>58</v>
      </c>
      <c r="AN960" s="26">
        <f>Tabla2[[#This Row],[Minutos]]/60</f>
        <v>0.96666666666666667</v>
      </c>
      <c r="AO960" s="27">
        <f>SUM(Tabla2[[#This Row],[Horas]],Tabla2[[#This Row],[Minutos a Horas]])</f>
        <v>6.9666666666666668</v>
      </c>
      <c r="AP960" s="49">
        <v>4</v>
      </c>
      <c r="AQ960" s="49">
        <v>6</v>
      </c>
      <c r="AR960" s="26">
        <f>Tabla2[[#This Row],[Minutos*]]/60</f>
        <v>0.1</v>
      </c>
      <c r="AS960" s="27">
        <f>SUM(Tabla2[[#This Row],[Horas*]],Tabla2[[#This Row],[Minutos a Horas*]])+(Tabla2[[#This Row],[Tiempo Total a Nivel Proncincial (Horas)]])</f>
        <v>11.066666666666666</v>
      </c>
    </row>
    <row r="961" spans="28:45" ht="30" x14ac:dyDescent="0.25">
      <c r="AB961" s="89"/>
      <c r="AD961" s="32" t="s">
        <v>2399</v>
      </c>
      <c r="AE961" s="10" t="s">
        <v>381</v>
      </c>
      <c r="AF961" s="20" t="s">
        <v>1138</v>
      </c>
      <c r="AG961" s="10"/>
      <c r="AH961" s="22" t="str">
        <f t="shared" si="28"/>
        <v>Huánuco_07 Marañón</v>
      </c>
      <c r="AI961" s="10" t="s">
        <v>1230</v>
      </c>
      <c r="AJ961" s="20" t="s">
        <v>1199</v>
      </c>
      <c r="AK961" s="22" t="str">
        <f t="shared" si="29"/>
        <v>Huánuco_07 Marañón_05 Santa Rosa de Alto Yanajanca</v>
      </c>
      <c r="AL961" s="25">
        <v>6</v>
      </c>
      <c r="AM961" s="25">
        <v>58</v>
      </c>
      <c r="AN961" s="26">
        <f>Tabla2[[#This Row],[Minutos]]/60</f>
        <v>0.96666666666666667</v>
      </c>
      <c r="AO961" s="27">
        <f>SUM(Tabla2[[#This Row],[Horas]],Tabla2[[#This Row],[Minutos a Horas]])</f>
        <v>6.9666666666666668</v>
      </c>
      <c r="AP961" s="49">
        <v>4</v>
      </c>
      <c r="AQ961" s="49">
        <v>39</v>
      </c>
      <c r="AR961" s="26">
        <f>Tabla2[[#This Row],[Minutos*]]/60</f>
        <v>0.65</v>
      </c>
      <c r="AS961" s="27">
        <f>SUM(Tabla2[[#This Row],[Horas*]],Tabla2[[#This Row],[Minutos a Horas*]])+(Tabla2[[#This Row],[Tiempo Total a Nivel Proncincial (Horas)]])</f>
        <v>11.616666666666667</v>
      </c>
    </row>
    <row r="962" spans="28:45" x14ac:dyDescent="0.25">
      <c r="AB962" s="89"/>
      <c r="AD962" s="32" t="s">
        <v>2399</v>
      </c>
      <c r="AE962" s="10" t="s">
        <v>381</v>
      </c>
      <c r="AF962" s="20" t="s">
        <v>1139</v>
      </c>
      <c r="AG962" s="10"/>
      <c r="AH962" s="22" t="str">
        <f t="shared" si="28"/>
        <v>Huánuco_08 Pachitea</v>
      </c>
      <c r="AI962" s="10" t="s">
        <v>1231</v>
      </c>
      <c r="AJ962" s="20" t="s">
        <v>1200</v>
      </c>
      <c r="AK962" s="22" t="str">
        <f t="shared" si="29"/>
        <v>Huánuco_08 Pachitea_01 Panao</v>
      </c>
      <c r="AL962" s="25">
        <v>1</v>
      </c>
      <c r="AM962" s="25">
        <v>45</v>
      </c>
      <c r="AN962" s="26">
        <f>Tabla2[[#This Row],[Minutos]]/60</f>
        <v>0.75</v>
      </c>
      <c r="AO962" s="27">
        <f>SUM(Tabla2[[#This Row],[Horas]],Tabla2[[#This Row],[Minutos a Horas]])</f>
        <v>1.75</v>
      </c>
      <c r="AP962" s="49">
        <v>2</v>
      </c>
      <c r="AQ962" s="49">
        <v>13</v>
      </c>
      <c r="AR962" s="26">
        <f>Tabla2[[#This Row],[Minutos*]]/60</f>
        <v>0.21666666666666667</v>
      </c>
      <c r="AS962" s="27">
        <f>SUM(Tabla2[[#This Row],[Horas*]],Tabla2[[#This Row],[Minutos a Horas*]])+(Tabla2[[#This Row],[Tiempo Total a Nivel Proncincial (Horas)]])</f>
        <v>3.9666666666666668</v>
      </c>
    </row>
    <row r="963" spans="28:45" x14ac:dyDescent="0.25">
      <c r="AB963" s="89"/>
      <c r="AD963" s="32" t="s">
        <v>2399</v>
      </c>
      <c r="AE963" s="10" t="s">
        <v>381</v>
      </c>
      <c r="AF963" s="20" t="s">
        <v>1139</v>
      </c>
      <c r="AG963" s="10"/>
      <c r="AH963" s="22" t="str">
        <f t="shared" si="28"/>
        <v>Huánuco_08 Pachitea</v>
      </c>
      <c r="AI963" s="10" t="s">
        <v>1231</v>
      </c>
      <c r="AJ963" s="20" t="s">
        <v>1201</v>
      </c>
      <c r="AK963" s="22" t="str">
        <f t="shared" si="29"/>
        <v>Huánuco_08 Pachitea_02 Chaglla</v>
      </c>
      <c r="AL963" s="25">
        <v>1</v>
      </c>
      <c r="AM963" s="25">
        <v>45</v>
      </c>
      <c r="AN963" s="26">
        <f>Tabla2[[#This Row],[Minutos]]/60</f>
        <v>0.75</v>
      </c>
      <c r="AO963" s="27">
        <f>SUM(Tabla2[[#This Row],[Horas]],Tabla2[[#This Row],[Minutos a Horas]])</f>
        <v>1.75</v>
      </c>
      <c r="AP963" s="49">
        <v>2</v>
      </c>
      <c r="AQ963" s="49">
        <v>46</v>
      </c>
      <c r="AR963" s="26">
        <f>Tabla2[[#This Row],[Minutos*]]/60</f>
        <v>0.76666666666666672</v>
      </c>
      <c r="AS963" s="27">
        <f>SUM(Tabla2[[#This Row],[Horas*]],Tabla2[[#This Row],[Minutos a Horas*]])+(Tabla2[[#This Row],[Tiempo Total a Nivel Proncincial (Horas)]])</f>
        <v>4.5166666666666666</v>
      </c>
    </row>
    <row r="964" spans="28:45" x14ac:dyDescent="0.25">
      <c r="AB964" s="89"/>
      <c r="AD964" s="32" t="s">
        <v>2399</v>
      </c>
      <c r="AE964" s="10" t="s">
        <v>381</v>
      </c>
      <c r="AF964" s="20" t="s">
        <v>1139</v>
      </c>
      <c r="AG964" s="10"/>
      <c r="AH964" s="22" t="str">
        <f t="shared" si="28"/>
        <v>Huánuco_08 Pachitea</v>
      </c>
      <c r="AI964" s="10" t="s">
        <v>1231</v>
      </c>
      <c r="AJ964" s="20" t="s">
        <v>1202</v>
      </c>
      <c r="AK964" s="22" t="str">
        <f t="shared" si="29"/>
        <v>Huánuco_08 Pachitea_03 Molino</v>
      </c>
      <c r="AL964" s="25">
        <v>1</v>
      </c>
      <c r="AM964" s="25">
        <v>45</v>
      </c>
      <c r="AN964" s="26">
        <f>Tabla2[[#This Row],[Minutos]]/60</f>
        <v>0.75</v>
      </c>
      <c r="AO964" s="27">
        <f>SUM(Tabla2[[#This Row],[Horas]],Tabla2[[#This Row],[Minutos a Horas]])</f>
        <v>1.75</v>
      </c>
      <c r="AP964" s="49">
        <v>1</v>
      </c>
      <c r="AQ964" s="49">
        <v>39</v>
      </c>
      <c r="AR964" s="26">
        <f>Tabla2[[#This Row],[Minutos*]]/60</f>
        <v>0.65</v>
      </c>
      <c r="AS964" s="27">
        <f>SUM(Tabla2[[#This Row],[Horas*]],Tabla2[[#This Row],[Minutos a Horas*]])+(Tabla2[[#This Row],[Tiempo Total a Nivel Proncincial (Horas)]])</f>
        <v>3.4</v>
      </c>
    </row>
    <row r="965" spans="28:45" x14ac:dyDescent="0.25">
      <c r="AB965" s="89"/>
      <c r="AD965" s="32" t="s">
        <v>2399</v>
      </c>
      <c r="AE965" s="10" t="s">
        <v>381</v>
      </c>
      <c r="AF965" s="20" t="s">
        <v>1139</v>
      </c>
      <c r="AG965" s="10"/>
      <c r="AH965" s="22" t="str">
        <f t="shared" si="28"/>
        <v>Huánuco_08 Pachitea</v>
      </c>
      <c r="AI965" s="10" t="s">
        <v>1231</v>
      </c>
      <c r="AJ965" s="20" t="s">
        <v>1203</v>
      </c>
      <c r="AK965" s="22" t="str">
        <f t="shared" si="29"/>
        <v>Huánuco_08 Pachitea_04 Umari</v>
      </c>
      <c r="AL965" s="25">
        <v>1</v>
      </c>
      <c r="AM965" s="25">
        <v>45</v>
      </c>
      <c r="AN965" s="26">
        <f>Tabla2[[#This Row],[Minutos]]/60</f>
        <v>0.75</v>
      </c>
      <c r="AO965" s="27">
        <f>SUM(Tabla2[[#This Row],[Horas]],Tabla2[[#This Row],[Minutos a Horas]])</f>
        <v>1.75</v>
      </c>
      <c r="AP965" s="49">
        <v>1</v>
      </c>
      <c r="AQ965" s="49">
        <v>29</v>
      </c>
      <c r="AR965" s="26">
        <f>Tabla2[[#This Row],[Minutos*]]/60</f>
        <v>0.48333333333333334</v>
      </c>
      <c r="AS965" s="27">
        <f>SUM(Tabla2[[#This Row],[Horas*]],Tabla2[[#This Row],[Minutos a Horas*]])+(Tabla2[[#This Row],[Tiempo Total a Nivel Proncincial (Horas)]])</f>
        <v>3.2333333333333334</v>
      </c>
    </row>
    <row r="966" spans="28:45" x14ac:dyDescent="0.25">
      <c r="AB966" s="89"/>
      <c r="AD966" s="32" t="s">
        <v>2399</v>
      </c>
      <c r="AE966" s="10" t="s">
        <v>381</v>
      </c>
      <c r="AF966" s="20" t="s">
        <v>1140</v>
      </c>
      <c r="AG966" s="10"/>
      <c r="AH966" s="22" t="str">
        <f t="shared" si="28"/>
        <v>Huánuco_09 Puerto Inca</v>
      </c>
      <c r="AI966" s="10" t="s">
        <v>1232</v>
      </c>
      <c r="AJ966" s="64" t="s">
        <v>1204</v>
      </c>
      <c r="AK966" s="22" t="str">
        <f t="shared" si="29"/>
        <v>Huánuco_09 Puerto Inca_01 Puerto Inca</v>
      </c>
      <c r="AL966" s="25"/>
      <c r="AM966" s="25"/>
      <c r="AN966" s="26">
        <f>Tabla2[[#This Row],[Minutos]]/60</f>
        <v>0</v>
      </c>
      <c r="AO966" s="27">
        <f>SUM(Tabla2[[#This Row],[Horas]],Tabla2[[#This Row],[Minutos a Horas]])</f>
        <v>0</v>
      </c>
      <c r="AP966" s="49">
        <v>7</v>
      </c>
      <c r="AQ966" s="49">
        <v>20</v>
      </c>
      <c r="AR966" s="26">
        <f>Tabla2[[#This Row],[Minutos*]]/60</f>
        <v>0.33333333333333331</v>
      </c>
      <c r="AS966" s="27">
        <f>SUM(Tabla2[[#This Row],[Horas*]],Tabla2[[#This Row],[Minutos a Horas*]])+(Tabla2[[#This Row],[Tiempo Total a Nivel Proncincial (Horas)]])</f>
        <v>7.333333333333333</v>
      </c>
    </row>
    <row r="967" spans="28:45" x14ac:dyDescent="0.25">
      <c r="AB967" s="89"/>
      <c r="AD967" s="32" t="s">
        <v>2399</v>
      </c>
      <c r="AE967" s="10" t="s">
        <v>381</v>
      </c>
      <c r="AF967" s="20" t="s">
        <v>1140</v>
      </c>
      <c r="AG967" s="10"/>
      <c r="AH967" s="22" t="str">
        <f t="shared" si="28"/>
        <v>Huánuco_09 Puerto Inca</v>
      </c>
      <c r="AI967" s="10" t="s">
        <v>1232</v>
      </c>
      <c r="AJ967" s="20" t="s">
        <v>1205</v>
      </c>
      <c r="AK967" s="22" t="str">
        <f t="shared" si="29"/>
        <v>Huánuco_09 Puerto Inca_02 Codo del Pozuzo</v>
      </c>
      <c r="AL967" s="25"/>
      <c r="AM967" s="25"/>
      <c r="AN967" s="26">
        <f>Tabla2[[#This Row],[Minutos]]/60</f>
        <v>0</v>
      </c>
      <c r="AO967" s="27">
        <f>SUM(Tabla2[[#This Row],[Horas]],Tabla2[[#This Row],[Minutos a Horas]])</f>
        <v>0</v>
      </c>
      <c r="AP967" s="49">
        <v>8</v>
      </c>
      <c r="AQ967" s="49">
        <v>58</v>
      </c>
      <c r="AR967" s="26">
        <f>Tabla2[[#This Row],[Minutos*]]/60</f>
        <v>0.96666666666666667</v>
      </c>
      <c r="AS967" s="27">
        <f>SUM(Tabla2[[#This Row],[Horas*]],Tabla2[[#This Row],[Minutos a Horas*]])+(Tabla2[[#This Row],[Tiempo Total a Nivel Proncincial (Horas)]])</f>
        <v>8.9666666666666668</v>
      </c>
    </row>
    <row r="968" spans="28:45" x14ac:dyDescent="0.25">
      <c r="AB968" s="89"/>
      <c r="AD968" s="32" t="s">
        <v>2399</v>
      </c>
      <c r="AE968" s="10" t="s">
        <v>381</v>
      </c>
      <c r="AF968" s="20" t="s">
        <v>1140</v>
      </c>
      <c r="AG968" s="10"/>
      <c r="AH968" s="22" t="str">
        <f t="shared" ref="AH968:AH1031" si="30">CONCATENATE(AD968,"_",AF968)</f>
        <v>Huánuco_09 Puerto Inca</v>
      </c>
      <c r="AI968" s="10" t="s">
        <v>1232</v>
      </c>
      <c r="AJ968" s="20" t="s">
        <v>1206</v>
      </c>
      <c r="AK968" s="22" t="str">
        <f t="shared" ref="AK968:AK1031" si="31">CONCATENATE(AH968,"_",AJ968)</f>
        <v>Huánuco_09 Puerto Inca_03 Honoria</v>
      </c>
      <c r="AL968" s="25"/>
      <c r="AM968" s="25"/>
      <c r="AN968" s="26">
        <f>Tabla2[[#This Row],[Minutos]]/60</f>
        <v>0</v>
      </c>
      <c r="AO968" s="27">
        <f>SUM(Tabla2[[#This Row],[Horas]],Tabla2[[#This Row],[Minutos a Horas]])</f>
        <v>0</v>
      </c>
      <c r="AP968" s="49">
        <v>8</v>
      </c>
      <c r="AQ968" s="49">
        <v>7</v>
      </c>
      <c r="AR968" s="26">
        <f>Tabla2[[#This Row],[Minutos*]]/60</f>
        <v>0.11666666666666667</v>
      </c>
      <c r="AS968" s="27">
        <f>SUM(Tabla2[[#This Row],[Horas*]],Tabla2[[#This Row],[Minutos a Horas*]])+(Tabla2[[#This Row],[Tiempo Total a Nivel Proncincial (Horas)]])</f>
        <v>8.1166666666666671</v>
      </c>
    </row>
    <row r="969" spans="28:45" x14ac:dyDescent="0.25">
      <c r="AB969" s="89"/>
      <c r="AD969" s="32" t="s">
        <v>2399</v>
      </c>
      <c r="AE969" s="10" t="s">
        <v>381</v>
      </c>
      <c r="AF969" s="20" t="s">
        <v>1140</v>
      </c>
      <c r="AG969" s="10"/>
      <c r="AH969" s="22" t="str">
        <f t="shared" si="30"/>
        <v>Huánuco_09 Puerto Inca</v>
      </c>
      <c r="AI969" s="10" t="s">
        <v>1232</v>
      </c>
      <c r="AJ969" s="20" t="s">
        <v>1207</v>
      </c>
      <c r="AK969" s="22" t="str">
        <f t="shared" si="31"/>
        <v>Huánuco_09 Puerto Inca_04 Tournavista</v>
      </c>
      <c r="AL969" s="25"/>
      <c r="AM969" s="25"/>
      <c r="AN969" s="26">
        <f>Tabla2[[#This Row],[Minutos]]/60</f>
        <v>0</v>
      </c>
      <c r="AO969" s="27">
        <f>SUM(Tabla2[[#This Row],[Horas]],Tabla2[[#This Row],[Minutos a Horas]])</f>
        <v>0</v>
      </c>
      <c r="AP969" s="49">
        <v>8</v>
      </c>
      <c r="AQ969" s="49">
        <v>37</v>
      </c>
      <c r="AR969" s="26">
        <f>Tabla2[[#This Row],[Minutos*]]/60</f>
        <v>0.6166666666666667</v>
      </c>
      <c r="AS969" s="27">
        <f>SUM(Tabla2[[#This Row],[Horas*]],Tabla2[[#This Row],[Minutos a Horas*]])+(Tabla2[[#This Row],[Tiempo Total a Nivel Proncincial (Horas)]])</f>
        <v>8.6166666666666671</v>
      </c>
    </row>
    <row r="970" spans="28:45" x14ac:dyDescent="0.25">
      <c r="AB970" s="89"/>
      <c r="AD970" s="32" t="s">
        <v>2399</v>
      </c>
      <c r="AE970" s="10" t="s">
        <v>381</v>
      </c>
      <c r="AF970" s="20" t="s">
        <v>1140</v>
      </c>
      <c r="AG970" s="10"/>
      <c r="AH970" s="22" t="str">
        <f t="shared" si="30"/>
        <v>Huánuco_09 Puerto Inca</v>
      </c>
      <c r="AI970" s="10" t="s">
        <v>1232</v>
      </c>
      <c r="AJ970" s="20" t="s">
        <v>1208</v>
      </c>
      <c r="AK970" s="22" t="str">
        <f t="shared" si="31"/>
        <v>Huánuco_09 Puerto Inca_05 Yuyapichis</v>
      </c>
      <c r="AL970" s="25"/>
      <c r="AM970" s="25"/>
      <c r="AN970" s="26">
        <f>Tabla2[[#This Row],[Minutos]]/60</f>
        <v>0</v>
      </c>
      <c r="AO970" s="27">
        <f>SUM(Tabla2[[#This Row],[Horas]],Tabla2[[#This Row],[Minutos a Horas]])</f>
        <v>0</v>
      </c>
      <c r="AP970" s="49">
        <v>8</v>
      </c>
      <c r="AQ970" s="49">
        <v>11</v>
      </c>
      <c r="AR970" s="26">
        <f>Tabla2[[#This Row],[Minutos*]]/60</f>
        <v>0.18333333333333332</v>
      </c>
      <c r="AS970" s="27">
        <f>SUM(Tabla2[[#This Row],[Horas*]],Tabla2[[#This Row],[Minutos a Horas*]])+(Tabla2[[#This Row],[Tiempo Total a Nivel Proncincial (Horas)]])</f>
        <v>8.1833333333333336</v>
      </c>
    </row>
    <row r="971" spans="28:45" x14ac:dyDescent="0.25">
      <c r="AB971" s="89"/>
      <c r="AD971" s="32" t="s">
        <v>2399</v>
      </c>
      <c r="AE971" s="10" t="s">
        <v>381</v>
      </c>
      <c r="AF971" s="20" t="s">
        <v>1141</v>
      </c>
      <c r="AG971" s="10"/>
      <c r="AH971" s="22" t="str">
        <f t="shared" si="30"/>
        <v xml:space="preserve">Huánuco_10 Lauricocha </v>
      </c>
      <c r="AI971" s="10" t="s">
        <v>1233</v>
      </c>
      <c r="AJ971" s="20" t="s">
        <v>1209</v>
      </c>
      <c r="AK971" s="22" t="str">
        <f t="shared" si="31"/>
        <v>Huánuco_10 Lauricocha _01 Jesús</v>
      </c>
      <c r="AL971" s="25">
        <v>2</v>
      </c>
      <c r="AM971" s="25">
        <v>58</v>
      </c>
      <c r="AN971" s="26">
        <f>Tabla2[[#This Row],[Minutos]]/60</f>
        <v>0.96666666666666667</v>
      </c>
      <c r="AO971" s="27">
        <f>SUM(Tabla2[[#This Row],[Horas]],Tabla2[[#This Row],[Minutos a Horas]])</f>
        <v>2.9666666666666668</v>
      </c>
      <c r="AP971" s="49">
        <v>2</v>
      </c>
      <c r="AQ971" s="49">
        <v>3</v>
      </c>
      <c r="AR971" s="26">
        <f>Tabla2[[#This Row],[Minutos*]]/60</f>
        <v>0.05</v>
      </c>
      <c r="AS971" s="27">
        <f>SUM(Tabla2[[#This Row],[Horas*]],Tabla2[[#This Row],[Minutos a Horas*]])+(Tabla2[[#This Row],[Tiempo Total a Nivel Proncincial (Horas)]])</f>
        <v>5.0166666666666666</v>
      </c>
    </row>
    <row r="972" spans="28:45" x14ac:dyDescent="0.25">
      <c r="AB972" s="89"/>
      <c r="AD972" s="32" t="s">
        <v>2399</v>
      </c>
      <c r="AE972" s="10" t="s">
        <v>381</v>
      </c>
      <c r="AF972" s="20" t="s">
        <v>1141</v>
      </c>
      <c r="AG972" s="10"/>
      <c r="AH972" s="22" t="str">
        <f t="shared" si="30"/>
        <v xml:space="preserve">Huánuco_10 Lauricocha </v>
      </c>
      <c r="AI972" s="10" t="s">
        <v>1233</v>
      </c>
      <c r="AJ972" s="20" t="s">
        <v>1210</v>
      </c>
      <c r="AK972" s="22" t="str">
        <f t="shared" si="31"/>
        <v>Huánuco_10 Lauricocha _02 Baños</v>
      </c>
      <c r="AL972" s="25">
        <v>2</v>
      </c>
      <c r="AM972" s="25">
        <v>58</v>
      </c>
      <c r="AN972" s="26">
        <f>Tabla2[[#This Row],[Minutos]]/60</f>
        <v>0.96666666666666667</v>
      </c>
      <c r="AO972" s="27">
        <f>SUM(Tabla2[[#This Row],[Horas]],Tabla2[[#This Row],[Minutos a Horas]])</f>
        <v>2.9666666666666668</v>
      </c>
      <c r="AP972" s="49">
        <v>3</v>
      </c>
      <c r="AQ972" s="49">
        <v>52</v>
      </c>
      <c r="AR972" s="26">
        <f>Tabla2[[#This Row],[Minutos*]]/60</f>
        <v>0.8666666666666667</v>
      </c>
      <c r="AS972" s="27">
        <f>SUM(Tabla2[[#This Row],[Horas*]],Tabla2[[#This Row],[Minutos a Horas*]])+(Tabla2[[#This Row],[Tiempo Total a Nivel Proncincial (Horas)]])</f>
        <v>6.8333333333333339</v>
      </c>
    </row>
    <row r="973" spans="28:45" x14ac:dyDescent="0.25">
      <c r="AB973" s="89"/>
      <c r="AD973" s="32" t="s">
        <v>2399</v>
      </c>
      <c r="AE973" s="10" t="s">
        <v>381</v>
      </c>
      <c r="AF973" s="20" t="s">
        <v>1141</v>
      </c>
      <c r="AG973" s="10"/>
      <c r="AH973" s="22" t="str">
        <f t="shared" si="30"/>
        <v xml:space="preserve">Huánuco_10 Lauricocha </v>
      </c>
      <c r="AI973" s="10" t="s">
        <v>1233</v>
      </c>
      <c r="AJ973" s="20" t="s">
        <v>1211</v>
      </c>
      <c r="AK973" s="22" t="str">
        <f t="shared" si="31"/>
        <v>Huánuco_10 Lauricocha _03 Jivia</v>
      </c>
      <c r="AL973" s="25">
        <v>2</v>
      </c>
      <c r="AM973" s="25">
        <v>58</v>
      </c>
      <c r="AN973" s="26">
        <f>Tabla2[[#This Row],[Minutos]]/60</f>
        <v>0.96666666666666667</v>
      </c>
      <c r="AO973" s="27">
        <f>SUM(Tabla2[[#This Row],[Horas]],Tabla2[[#This Row],[Minutos a Horas]])</f>
        <v>2.9666666666666668</v>
      </c>
      <c r="AP973" s="49">
        <v>3</v>
      </c>
      <c r="AQ973" s="49">
        <v>33</v>
      </c>
      <c r="AR973" s="26">
        <f>Tabla2[[#This Row],[Minutos*]]/60</f>
        <v>0.55000000000000004</v>
      </c>
      <c r="AS973" s="27">
        <f>SUM(Tabla2[[#This Row],[Horas*]],Tabla2[[#This Row],[Minutos a Horas*]])+(Tabla2[[#This Row],[Tiempo Total a Nivel Proncincial (Horas)]])</f>
        <v>6.5166666666666666</v>
      </c>
    </row>
    <row r="974" spans="28:45" x14ac:dyDescent="0.25">
      <c r="AB974" s="89"/>
      <c r="AD974" s="32" t="s">
        <v>2399</v>
      </c>
      <c r="AE974" s="10" t="s">
        <v>381</v>
      </c>
      <c r="AF974" s="20" t="s">
        <v>1141</v>
      </c>
      <c r="AG974" s="10"/>
      <c r="AH974" s="22" t="str">
        <f t="shared" si="30"/>
        <v xml:space="preserve">Huánuco_10 Lauricocha </v>
      </c>
      <c r="AI974" s="10" t="s">
        <v>1233</v>
      </c>
      <c r="AJ974" s="20" t="s">
        <v>1212</v>
      </c>
      <c r="AK974" s="22" t="str">
        <f t="shared" si="31"/>
        <v>Huánuco_10 Lauricocha _04 Queropalca</v>
      </c>
      <c r="AL974" s="25">
        <v>2</v>
      </c>
      <c r="AM974" s="25">
        <v>58</v>
      </c>
      <c r="AN974" s="26">
        <f>Tabla2[[#This Row],[Minutos]]/60</f>
        <v>0.96666666666666667</v>
      </c>
      <c r="AO974" s="27">
        <f>SUM(Tabla2[[#This Row],[Horas]],Tabla2[[#This Row],[Minutos a Horas]])</f>
        <v>2.9666666666666668</v>
      </c>
      <c r="AP974" s="49">
        <v>3</v>
      </c>
      <c r="AQ974" s="49">
        <v>40</v>
      </c>
      <c r="AR974" s="26">
        <f>Tabla2[[#This Row],[Minutos*]]/60</f>
        <v>0.66666666666666663</v>
      </c>
      <c r="AS974" s="27">
        <f>SUM(Tabla2[[#This Row],[Horas*]],Tabla2[[#This Row],[Minutos a Horas*]])+(Tabla2[[#This Row],[Tiempo Total a Nivel Proncincial (Horas)]])</f>
        <v>6.6333333333333329</v>
      </c>
    </row>
    <row r="975" spans="28:45" x14ac:dyDescent="0.25">
      <c r="AB975" s="89"/>
      <c r="AD975" s="32" t="s">
        <v>2399</v>
      </c>
      <c r="AE975" s="10" t="s">
        <v>381</v>
      </c>
      <c r="AF975" s="20" t="s">
        <v>1141</v>
      </c>
      <c r="AG975" s="10"/>
      <c r="AH975" s="22" t="str">
        <f t="shared" si="30"/>
        <v xml:space="preserve">Huánuco_10 Lauricocha </v>
      </c>
      <c r="AI975" s="10" t="s">
        <v>1233</v>
      </c>
      <c r="AJ975" s="20" t="s">
        <v>1213</v>
      </c>
      <c r="AK975" s="22" t="str">
        <f t="shared" si="31"/>
        <v>Huánuco_10 Lauricocha _05 Rondos</v>
      </c>
      <c r="AL975" s="25">
        <v>2</v>
      </c>
      <c r="AM975" s="25">
        <v>58</v>
      </c>
      <c r="AN975" s="26">
        <f>Tabla2[[#This Row],[Minutos]]/60</f>
        <v>0.96666666666666667</v>
      </c>
      <c r="AO975" s="27">
        <f>SUM(Tabla2[[#This Row],[Horas]],Tabla2[[#This Row],[Minutos a Horas]])</f>
        <v>2.9666666666666668</v>
      </c>
      <c r="AP975" s="49">
        <v>3</v>
      </c>
      <c r="AQ975" s="49">
        <v>37</v>
      </c>
      <c r="AR975" s="26">
        <f>Tabla2[[#This Row],[Minutos*]]/60</f>
        <v>0.6166666666666667</v>
      </c>
      <c r="AS975" s="27">
        <f>SUM(Tabla2[[#This Row],[Horas*]],Tabla2[[#This Row],[Minutos a Horas*]])+(Tabla2[[#This Row],[Tiempo Total a Nivel Proncincial (Horas)]])</f>
        <v>6.5833333333333339</v>
      </c>
    </row>
    <row r="976" spans="28:45" x14ac:dyDescent="0.25">
      <c r="AB976" s="89"/>
      <c r="AD976" s="32" t="s">
        <v>2399</v>
      </c>
      <c r="AE976" s="10" t="s">
        <v>381</v>
      </c>
      <c r="AF976" s="20" t="s">
        <v>1141</v>
      </c>
      <c r="AG976" s="10"/>
      <c r="AH976" s="22" t="str">
        <f t="shared" si="30"/>
        <v xml:space="preserve">Huánuco_10 Lauricocha </v>
      </c>
      <c r="AI976" s="10" t="s">
        <v>1233</v>
      </c>
      <c r="AJ976" s="20" t="s">
        <v>1214</v>
      </c>
      <c r="AK976" s="22" t="str">
        <f t="shared" si="31"/>
        <v>Huánuco_10 Lauricocha _06 San Francisco de Asís</v>
      </c>
      <c r="AL976" s="25">
        <v>2</v>
      </c>
      <c r="AM976" s="25">
        <v>58</v>
      </c>
      <c r="AN976" s="26">
        <f>Tabla2[[#This Row],[Minutos]]/60</f>
        <v>0.96666666666666667</v>
      </c>
      <c r="AO976" s="27">
        <f>SUM(Tabla2[[#This Row],[Horas]],Tabla2[[#This Row],[Minutos a Horas]])</f>
        <v>2.9666666666666668</v>
      </c>
      <c r="AP976" s="49">
        <v>3</v>
      </c>
      <c r="AQ976" s="49">
        <v>15</v>
      </c>
      <c r="AR976" s="26">
        <f>Tabla2[[#This Row],[Minutos*]]/60</f>
        <v>0.25</v>
      </c>
      <c r="AS976" s="27">
        <f>SUM(Tabla2[[#This Row],[Horas*]],Tabla2[[#This Row],[Minutos a Horas*]])+(Tabla2[[#This Row],[Tiempo Total a Nivel Proncincial (Horas)]])</f>
        <v>6.2166666666666668</v>
      </c>
    </row>
    <row r="977" spans="28:45" x14ac:dyDescent="0.25">
      <c r="AB977" s="89"/>
      <c r="AD977" s="32" t="s">
        <v>2399</v>
      </c>
      <c r="AE977" s="10" t="s">
        <v>381</v>
      </c>
      <c r="AF977" s="20" t="s">
        <v>1141</v>
      </c>
      <c r="AG977" s="10"/>
      <c r="AH977" s="22" t="str">
        <f t="shared" si="30"/>
        <v xml:space="preserve">Huánuco_10 Lauricocha </v>
      </c>
      <c r="AI977" s="10" t="s">
        <v>1233</v>
      </c>
      <c r="AJ977" s="20" t="s">
        <v>1215</v>
      </c>
      <c r="AK977" s="22" t="str">
        <f t="shared" si="31"/>
        <v>Huánuco_10 Lauricocha _07 San Miguel de Cauri</v>
      </c>
      <c r="AL977" s="25">
        <v>2</v>
      </c>
      <c r="AM977" s="25">
        <v>58</v>
      </c>
      <c r="AN977" s="26">
        <f>Tabla2[[#This Row],[Minutos]]/60</f>
        <v>0.96666666666666667</v>
      </c>
      <c r="AO977" s="27">
        <f>SUM(Tabla2[[#This Row],[Horas]],Tabla2[[#This Row],[Minutos a Horas]])</f>
        <v>2.9666666666666668</v>
      </c>
      <c r="AP977" s="49">
        <v>2</v>
      </c>
      <c r="AQ977" s="49">
        <v>26</v>
      </c>
      <c r="AR977" s="26">
        <f>Tabla2[[#This Row],[Minutos*]]/60</f>
        <v>0.43333333333333335</v>
      </c>
      <c r="AS977" s="27">
        <f>SUM(Tabla2[[#This Row],[Horas*]],Tabla2[[#This Row],[Minutos a Horas*]])+(Tabla2[[#This Row],[Tiempo Total a Nivel Proncincial (Horas)]])</f>
        <v>5.4</v>
      </c>
    </row>
    <row r="978" spans="28:45" x14ac:dyDescent="0.25">
      <c r="AB978" s="89"/>
      <c r="AD978" s="32" t="s">
        <v>2399</v>
      </c>
      <c r="AE978" s="10" t="s">
        <v>381</v>
      </c>
      <c r="AF978" s="20" t="s">
        <v>1142</v>
      </c>
      <c r="AG978" s="10"/>
      <c r="AH978" s="22" t="str">
        <f t="shared" si="30"/>
        <v xml:space="preserve">Huánuco_11 Yarowilca </v>
      </c>
      <c r="AI978" s="10" t="s">
        <v>1234</v>
      </c>
      <c r="AJ978" s="20" t="s">
        <v>1216</v>
      </c>
      <c r="AK978" s="22" t="str">
        <f t="shared" si="31"/>
        <v>Huánuco_11 Yarowilca _01 Chavinillo</v>
      </c>
      <c r="AL978" s="25">
        <v>2</v>
      </c>
      <c r="AM978" s="25">
        <v>31</v>
      </c>
      <c r="AN978" s="26">
        <f>Tabla2[[#This Row],[Minutos]]/60</f>
        <v>0.51666666666666672</v>
      </c>
      <c r="AO978" s="27">
        <f>SUM(Tabla2[[#This Row],[Horas]],Tabla2[[#This Row],[Minutos a Horas]])</f>
        <v>2.5166666666666666</v>
      </c>
      <c r="AP978" s="49">
        <v>2</v>
      </c>
      <c r="AQ978" s="49">
        <v>21</v>
      </c>
      <c r="AR978" s="26">
        <f>Tabla2[[#This Row],[Minutos*]]/60</f>
        <v>0.35</v>
      </c>
      <c r="AS978" s="27">
        <f>SUM(Tabla2[[#This Row],[Horas*]],Tabla2[[#This Row],[Minutos a Horas*]])+(Tabla2[[#This Row],[Tiempo Total a Nivel Proncincial (Horas)]])</f>
        <v>4.8666666666666671</v>
      </c>
    </row>
    <row r="979" spans="28:45" x14ac:dyDescent="0.25">
      <c r="AB979" s="89"/>
      <c r="AD979" s="32" t="s">
        <v>2399</v>
      </c>
      <c r="AE979" s="10" t="s">
        <v>381</v>
      </c>
      <c r="AF979" s="20" t="s">
        <v>1142</v>
      </c>
      <c r="AG979" s="10"/>
      <c r="AH979" s="22" t="str">
        <f t="shared" si="30"/>
        <v xml:space="preserve">Huánuco_11 Yarowilca </v>
      </c>
      <c r="AI979" s="10" t="s">
        <v>1234</v>
      </c>
      <c r="AJ979" s="20" t="s">
        <v>1217</v>
      </c>
      <c r="AK979" s="22" t="str">
        <f t="shared" si="31"/>
        <v>Huánuco_11 Yarowilca _02 Cahuac</v>
      </c>
      <c r="AL979" s="25">
        <v>2</v>
      </c>
      <c r="AM979" s="25">
        <v>31</v>
      </c>
      <c r="AN979" s="26">
        <f>Tabla2[[#This Row],[Minutos]]/60</f>
        <v>0.51666666666666672</v>
      </c>
      <c r="AO979" s="27">
        <f>SUM(Tabla2[[#This Row],[Horas]],Tabla2[[#This Row],[Minutos a Horas]])</f>
        <v>2.5166666666666666</v>
      </c>
      <c r="AP979" s="49">
        <v>2</v>
      </c>
      <c r="AQ979" s="49">
        <v>31</v>
      </c>
      <c r="AR979" s="26">
        <f>Tabla2[[#This Row],[Minutos*]]/60</f>
        <v>0.51666666666666672</v>
      </c>
      <c r="AS979" s="27">
        <f>SUM(Tabla2[[#This Row],[Horas*]],Tabla2[[#This Row],[Minutos a Horas*]])+(Tabla2[[#This Row],[Tiempo Total a Nivel Proncincial (Horas)]])</f>
        <v>5.0333333333333332</v>
      </c>
    </row>
    <row r="980" spans="28:45" x14ac:dyDescent="0.25">
      <c r="AB980" s="89"/>
      <c r="AD980" s="32" t="s">
        <v>2399</v>
      </c>
      <c r="AE980" s="10" t="s">
        <v>381</v>
      </c>
      <c r="AF980" s="20" t="s">
        <v>1142</v>
      </c>
      <c r="AG980" s="10"/>
      <c r="AH980" s="22" t="str">
        <f t="shared" si="30"/>
        <v xml:space="preserve">Huánuco_11 Yarowilca </v>
      </c>
      <c r="AI980" s="10" t="s">
        <v>1234</v>
      </c>
      <c r="AJ980" s="20" t="s">
        <v>1218</v>
      </c>
      <c r="AK980" s="22" t="str">
        <f t="shared" si="31"/>
        <v>Huánuco_11 Yarowilca _03 Chacabamba</v>
      </c>
      <c r="AL980" s="25">
        <v>2</v>
      </c>
      <c r="AM980" s="25">
        <v>31</v>
      </c>
      <c r="AN980" s="26">
        <f>Tabla2[[#This Row],[Minutos]]/60</f>
        <v>0.51666666666666672</v>
      </c>
      <c r="AO980" s="27">
        <f>SUM(Tabla2[[#This Row],[Horas]],Tabla2[[#This Row],[Minutos a Horas]])</f>
        <v>2.5166666666666666</v>
      </c>
      <c r="AP980" s="49">
        <v>2</v>
      </c>
      <c r="AQ980" s="49">
        <v>30</v>
      </c>
      <c r="AR980" s="26">
        <f>Tabla2[[#This Row],[Minutos*]]/60</f>
        <v>0.5</v>
      </c>
      <c r="AS980" s="27">
        <f>SUM(Tabla2[[#This Row],[Horas*]],Tabla2[[#This Row],[Minutos a Horas*]])+(Tabla2[[#This Row],[Tiempo Total a Nivel Proncincial (Horas)]])</f>
        <v>5.0166666666666666</v>
      </c>
    </row>
    <row r="981" spans="28:45" x14ac:dyDescent="0.25">
      <c r="AB981" s="89"/>
      <c r="AD981" s="32" t="s">
        <v>2399</v>
      </c>
      <c r="AE981" s="10" t="s">
        <v>381</v>
      </c>
      <c r="AF981" s="20" t="s">
        <v>1142</v>
      </c>
      <c r="AG981" s="10"/>
      <c r="AH981" s="22" t="str">
        <f t="shared" si="30"/>
        <v xml:space="preserve">Huánuco_11 Yarowilca </v>
      </c>
      <c r="AI981" s="10" t="s">
        <v>1234</v>
      </c>
      <c r="AJ981" s="20" t="s">
        <v>1219</v>
      </c>
      <c r="AK981" s="22" t="str">
        <f t="shared" si="31"/>
        <v>Huánuco_11 Yarowilca _04 Aparicio Pomares</v>
      </c>
      <c r="AL981" s="25">
        <v>2</v>
      </c>
      <c r="AM981" s="25">
        <v>31</v>
      </c>
      <c r="AN981" s="26">
        <f>Tabla2[[#This Row],[Minutos]]/60</f>
        <v>0.51666666666666672</v>
      </c>
      <c r="AO981" s="27">
        <f>SUM(Tabla2[[#This Row],[Horas]],Tabla2[[#This Row],[Minutos a Horas]])</f>
        <v>2.5166666666666666</v>
      </c>
      <c r="AP981" s="49">
        <v>3</v>
      </c>
      <c r="AQ981" s="49">
        <v>16</v>
      </c>
      <c r="AR981" s="26">
        <f>Tabla2[[#This Row],[Minutos*]]/60</f>
        <v>0.26666666666666666</v>
      </c>
      <c r="AS981" s="27">
        <f>SUM(Tabla2[[#This Row],[Horas*]],Tabla2[[#This Row],[Minutos a Horas*]])+(Tabla2[[#This Row],[Tiempo Total a Nivel Proncincial (Horas)]])</f>
        <v>5.7833333333333332</v>
      </c>
    </row>
    <row r="982" spans="28:45" x14ac:dyDescent="0.25">
      <c r="AB982" s="89"/>
      <c r="AD982" s="32" t="s">
        <v>2399</v>
      </c>
      <c r="AE982" s="10" t="s">
        <v>381</v>
      </c>
      <c r="AF982" s="20" t="s">
        <v>1142</v>
      </c>
      <c r="AG982" s="10"/>
      <c r="AH982" s="22" t="str">
        <f t="shared" si="30"/>
        <v xml:space="preserve">Huánuco_11 Yarowilca </v>
      </c>
      <c r="AI982" s="10" t="s">
        <v>1234</v>
      </c>
      <c r="AJ982" s="20" t="s">
        <v>1220</v>
      </c>
      <c r="AK982" s="22" t="str">
        <f t="shared" si="31"/>
        <v>Huánuco_11 Yarowilca _05 Jacas Chico</v>
      </c>
      <c r="AL982" s="25">
        <v>2</v>
      </c>
      <c r="AM982" s="25">
        <v>31</v>
      </c>
      <c r="AN982" s="26">
        <f>Tabla2[[#This Row],[Minutos]]/60</f>
        <v>0.51666666666666672</v>
      </c>
      <c r="AO982" s="27">
        <f>SUM(Tabla2[[#This Row],[Horas]],Tabla2[[#This Row],[Minutos a Horas]])</f>
        <v>2.5166666666666666</v>
      </c>
      <c r="AP982" s="49">
        <v>2</v>
      </c>
      <c r="AQ982" s="49">
        <v>2</v>
      </c>
      <c r="AR982" s="26">
        <f>Tabla2[[#This Row],[Minutos*]]/60</f>
        <v>3.3333333333333333E-2</v>
      </c>
      <c r="AS982" s="27">
        <f>SUM(Tabla2[[#This Row],[Horas*]],Tabla2[[#This Row],[Minutos a Horas*]])+(Tabla2[[#This Row],[Tiempo Total a Nivel Proncincial (Horas)]])</f>
        <v>4.55</v>
      </c>
    </row>
    <row r="983" spans="28:45" x14ac:dyDescent="0.25">
      <c r="AB983" s="89"/>
      <c r="AD983" s="32" t="s">
        <v>2399</v>
      </c>
      <c r="AE983" s="10" t="s">
        <v>381</v>
      </c>
      <c r="AF983" s="20" t="s">
        <v>1142</v>
      </c>
      <c r="AG983" s="10"/>
      <c r="AH983" s="22" t="str">
        <f t="shared" si="30"/>
        <v xml:space="preserve">Huánuco_11 Yarowilca </v>
      </c>
      <c r="AI983" s="10" t="s">
        <v>1234</v>
      </c>
      <c r="AJ983" s="20" t="s">
        <v>1221</v>
      </c>
      <c r="AK983" s="22" t="str">
        <f t="shared" si="31"/>
        <v>Huánuco_11 Yarowilca _06 Obas</v>
      </c>
      <c r="AL983" s="25">
        <v>2</v>
      </c>
      <c r="AM983" s="25">
        <v>31</v>
      </c>
      <c r="AN983" s="26">
        <f>Tabla2[[#This Row],[Minutos]]/60</f>
        <v>0.51666666666666672</v>
      </c>
      <c r="AO983" s="27">
        <f>SUM(Tabla2[[#This Row],[Horas]],Tabla2[[#This Row],[Minutos a Horas]])</f>
        <v>2.5166666666666666</v>
      </c>
      <c r="AP983" s="49">
        <v>2</v>
      </c>
      <c r="AQ983" s="49">
        <v>47</v>
      </c>
      <c r="AR983" s="26">
        <f>Tabla2[[#This Row],[Minutos*]]/60</f>
        <v>0.78333333333333333</v>
      </c>
      <c r="AS983" s="27">
        <f>SUM(Tabla2[[#This Row],[Horas*]],Tabla2[[#This Row],[Minutos a Horas*]])+(Tabla2[[#This Row],[Tiempo Total a Nivel Proncincial (Horas)]])</f>
        <v>5.3</v>
      </c>
    </row>
    <row r="984" spans="28:45" x14ac:dyDescent="0.25">
      <c r="AB984" s="89"/>
      <c r="AD984" s="32" t="s">
        <v>2399</v>
      </c>
      <c r="AE984" s="10" t="s">
        <v>381</v>
      </c>
      <c r="AF984" s="20" t="s">
        <v>1142</v>
      </c>
      <c r="AG984" s="10"/>
      <c r="AH984" s="22" t="str">
        <f t="shared" si="30"/>
        <v xml:space="preserve">Huánuco_11 Yarowilca </v>
      </c>
      <c r="AI984" s="10" t="s">
        <v>1234</v>
      </c>
      <c r="AJ984" s="20" t="s">
        <v>1222</v>
      </c>
      <c r="AK984" s="22" t="str">
        <f t="shared" si="31"/>
        <v>Huánuco_11 Yarowilca _07 Pampamarca</v>
      </c>
      <c r="AL984" s="25">
        <v>2</v>
      </c>
      <c r="AM984" s="25">
        <v>31</v>
      </c>
      <c r="AN984" s="26">
        <f>Tabla2[[#This Row],[Minutos]]/60</f>
        <v>0.51666666666666672</v>
      </c>
      <c r="AO984" s="27">
        <f>SUM(Tabla2[[#This Row],[Horas]],Tabla2[[#This Row],[Minutos a Horas]])</f>
        <v>2.5166666666666666</v>
      </c>
      <c r="AP984" s="49">
        <v>3</v>
      </c>
      <c r="AQ984" s="49">
        <v>26</v>
      </c>
      <c r="AR984" s="26">
        <f>Tabla2[[#This Row],[Minutos*]]/60</f>
        <v>0.43333333333333335</v>
      </c>
      <c r="AS984" s="27">
        <f>SUM(Tabla2[[#This Row],[Horas*]],Tabla2[[#This Row],[Minutos a Horas*]])+(Tabla2[[#This Row],[Tiempo Total a Nivel Proncincial (Horas)]])</f>
        <v>5.95</v>
      </c>
    </row>
    <row r="985" spans="28:45" x14ac:dyDescent="0.25">
      <c r="AB985" s="89"/>
      <c r="AD985" s="32" t="s">
        <v>2399</v>
      </c>
      <c r="AE985" s="10" t="s">
        <v>381</v>
      </c>
      <c r="AF985" s="20" t="s">
        <v>1142</v>
      </c>
      <c r="AG985" s="10"/>
      <c r="AH985" s="22" t="str">
        <f t="shared" si="30"/>
        <v xml:space="preserve">Huánuco_11 Yarowilca </v>
      </c>
      <c r="AI985" s="10" t="s">
        <v>1234</v>
      </c>
      <c r="AJ985" s="20" t="s">
        <v>1223</v>
      </c>
      <c r="AK985" s="22" t="str">
        <f t="shared" si="31"/>
        <v>Huánuco_11 Yarowilca _08 Choras</v>
      </c>
      <c r="AL985" s="25">
        <v>2</v>
      </c>
      <c r="AM985" s="25">
        <v>31</v>
      </c>
      <c r="AN985" s="26">
        <f>Tabla2[[#This Row],[Minutos]]/60</f>
        <v>0.51666666666666672</v>
      </c>
      <c r="AO985" s="27">
        <f>SUM(Tabla2[[#This Row],[Horas]],Tabla2[[#This Row],[Minutos a Horas]])</f>
        <v>2.5166666666666666</v>
      </c>
      <c r="AP985" s="49">
        <v>2</v>
      </c>
      <c r="AQ985" s="49">
        <v>35</v>
      </c>
      <c r="AR985" s="26">
        <f>Tabla2[[#This Row],[Minutos*]]/60</f>
        <v>0.58333333333333337</v>
      </c>
      <c r="AS985" s="27">
        <f>SUM(Tabla2[[#This Row],[Horas*]],Tabla2[[#This Row],[Minutos a Horas*]])+(Tabla2[[#This Row],[Tiempo Total a Nivel Proncincial (Horas)]])</f>
        <v>5.0999999999999996</v>
      </c>
    </row>
    <row r="986" spans="28:45" x14ac:dyDescent="0.25">
      <c r="AB986" s="89"/>
      <c r="AD986" s="20" t="s">
        <v>2384</v>
      </c>
      <c r="AE986" s="10" t="s">
        <v>382</v>
      </c>
      <c r="AF986" s="20" t="s">
        <v>1235</v>
      </c>
      <c r="AG986" s="10" t="s">
        <v>1235</v>
      </c>
      <c r="AH986" s="22" t="str">
        <f t="shared" si="30"/>
        <v xml:space="preserve">Ica_01 Ica </v>
      </c>
      <c r="AI986" s="10" t="s">
        <v>1281</v>
      </c>
      <c r="AJ986" s="20" t="s">
        <v>1240</v>
      </c>
      <c r="AK986" s="22" t="str">
        <f t="shared" si="31"/>
        <v>Ica_01 Ica _01 Ica</v>
      </c>
      <c r="AL986" s="25">
        <v>0</v>
      </c>
      <c r="AM986" s="25">
        <v>18</v>
      </c>
      <c r="AN986" s="26">
        <f>Tabla2[[#This Row],[Minutos]]/60</f>
        <v>0.3</v>
      </c>
      <c r="AO986" s="27">
        <f>SUM(Tabla2[[#This Row],[Horas]],Tabla2[[#This Row],[Minutos a Horas]])</f>
        <v>0.3</v>
      </c>
      <c r="AP986" s="49"/>
      <c r="AQ986" s="49">
        <v>20</v>
      </c>
      <c r="AR986" s="26">
        <f>Tabla2[[#This Row],[Minutos*]]/60</f>
        <v>0.33333333333333331</v>
      </c>
      <c r="AS986" s="27">
        <f>SUM(Tabla2[[#This Row],[Horas*]],Tabla2[[#This Row],[Minutos a Horas*]])+(Tabla2[[#This Row],[Tiempo Total a Nivel Proncincial (Horas)]])</f>
        <v>0.6333333333333333</v>
      </c>
    </row>
    <row r="987" spans="28:45" x14ac:dyDescent="0.25">
      <c r="AB987" s="89"/>
      <c r="AD987" s="20" t="s">
        <v>2384</v>
      </c>
      <c r="AE987" s="10" t="s">
        <v>382</v>
      </c>
      <c r="AF987" s="20" t="s">
        <v>1235</v>
      </c>
      <c r="AG987" s="10" t="s">
        <v>1236</v>
      </c>
      <c r="AH987" s="22" t="str">
        <f t="shared" si="30"/>
        <v xml:space="preserve">Ica_01 Ica </v>
      </c>
      <c r="AI987" s="10" t="s">
        <v>1281</v>
      </c>
      <c r="AJ987" s="20" t="s">
        <v>1241</v>
      </c>
      <c r="AK987" s="22" t="str">
        <f t="shared" si="31"/>
        <v>Ica_01 Ica _02 La Tinguiña</v>
      </c>
      <c r="AL987" s="25">
        <v>0</v>
      </c>
      <c r="AM987" s="25">
        <v>18</v>
      </c>
      <c r="AN987" s="26">
        <f>Tabla2[[#This Row],[Minutos]]/60</f>
        <v>0.3</v>
      </c>
      <c r="AO987" s="27">
        <f>SUM(Tabla2[[#This Row],[Horas]],Tabla2[[#This Row],[Minutos a Horas]])</f>
        <v>0.3</v>
      </c>
      <c r="AP987" s="49"/>
      <c r="AQ987" s="49">
        <v>25</v>
      </c>
      <c r="AR987" s="26">
        <f>Tabla2[[#This Row],[Minutos*]]/60</f>
        <v>0.41666666666666669</v>
      </c>
      <c r="AS987" s="27">
        <f>SUM(Tabla2[[#This Row],[Horas*]],Tabla2[[#This Row],[Minutos a Horas*]])+(Tabla2[[#This Row],[Tiempo Total a Nivel Proncincial (Horas)]])</f>
        <v>0.71666666666666667</v>
      </c>
    </row>
    <row r="988" spans="28:45" x14ac:dyDescent="0.25">
      <c r="AB988" s="89"/>
      <c r="AD988" s="20" t="s">
        <v>2384</v>
      </c>
      <c r="AE988" s="10" t="s">
        <v>382</v>
      </c>
      <c r="AF988" s="20" t="s">
        <v>1235</v>
      </c>
      <c r="AG988" s="10" t="s">
        <v>1237</v>
      </c>
      <c r="AH988" s="22" t="str">
        <f t="shared" si="30"/>
        <v xml:space="preserve">Ica_01 Ica </v>
      </c>
      <c r="AI988" s="10" t="s">
        <v>1281</v>
      </c>
      <c r="AJ988" s="20" t="s">
        <v>1242</v>
      </c>
      <c r="AK988" s="22" t="str">
        <f t="shared" si="31"/>
        <v>Ica_01 Ica _03 Los Aquijes</v>
      </c>
      <c r="AL988" s="25">
        <v>0</v>
      </c>
      <c r="AM988" s="25">
        <v>18</v>
      </c>
      <c r="AN988" s="26">
        <f>Tabla2[[#This Row],[Minutos]]/60</f>
        <v>0.3</v>
      </c>
      <c r="AO988" s="27">
        <f>SUM(Tabla2[[#This Row],[Horas]],Tabla2[[#This Row],[Minutos a Horas]])</f>
        <v>0.3</v>
      </c>
      <c r="AP988" s="49"/>
      <c r="AQ988" s="49">
        <v>25</v>
      </c>
      <c r="AR988" s="26">
        <f>Tabla2[[#This Row],[Minutos*]]/60</f>
        <v>0.41666666666666669</v>
      </c>
      <c r="AS988" s="27">
        <f>SUM(Tabla2[[#This Row],[Horas*]],Tabla2[[#This Row],[Minutos a Horas*]])+(Tabla2[[#This Row],[Tiempo Total a Nivel Proncincial (Horas)]])</f>
        <v>0.71666666666666667</v>
      </c>
    </row>
    <row r="989" spans="28:45" x14ac:dyDescent="0.25">
      <c r="AB989" s="89"/>
      <c r="AD989" s="20" t="s">
        <v>2384</v>
      </c>
      <c r="AE989" s="10" t="s">
        <v>382</v>
      </c>
      <c r="AF989" s="20" t="s">
        <v>1235</v>
      </c>
      <c r="AG989" s="10" t="s">
        <v>1238</v>
      </c>
      <c r="AH989" s="22" t="str">
        <f t="shared" si="30"/>
        <v xml:space="preserve">Ica_01 Ica </v>
      </c>
      <c r="AI989" s="10" t="s">
        <v>1281</v>
      </c>
      <c r="AJ989" s="20" t="s">
        <v>1243</v>
      </c>
      <c r="AK989" s="22" t="str">
        <f t="shared" si="31"/>
        <v>Ica_01 Ica _04 Ocucaje</v>
      </c>
      <c r="AL989" s="25">
        <v>0</v>
      </c>
      <c r="AM989" s="25">
        <v>18</v>
      </c>
      <c r="AN989" s="26">
        <f>Tabla2[[#This Row],[Minutos]]/60</f>
        <v>0.3</v>
      </c>
      <c r="AO989" s="27">
        <f>SUM(Tabla2[[#This Row],[Horas]],Tabla2[[#This Row],[Minutos a Horas]])</f>
        <v>0.3</v>
      </c>
      <c r="AP989" s="49"/>
      <c r="AQ989" s="49">
        <v>50</v>
      </c>
      <c r="AR989" s="26">
        <f>Tabla2[[#This Row],[Minutos*]]/60</f>
        <v>0.83333333333333337</v>
      </c>
      <c r="AS989" s="27">
        <f>SUM(Tabla2[[#This Row],[Horas*]],Tabla2[[#This Row],[Minutos a Horas*]])+(Tabla2[[#This Row],[Tiempo Total a Nivel Proncincial (Horas)]])</f>
        <v>1.1333333333333333</v>
      </c>
    </row>
    <row r="990" spans="28:45" x14ac:dyDescent="0.25">
      <c r="AB990" s="89"/>
      <c r="AD990" s="20" t="s">
        <v>2384</v>
      </c>
      <c r="AE990" s="10" t="s">
        <v>382</v>
      </c>
      <c r="AF990" s="20" t="s">
        <v>1235</v>
      </c>
      <c r="AG990" s="10" t="s">
        <v>1239</v>
      </c>
      <c r="AH990" s="22" t="str">
        <f t="shared" si="30"/>
        <v xml:space="preserve">Ica_01 Ica </v>
      </c>
      <c r="AI990" s="10" t="s">
        <v>1281</v>
      </c>
      <c r="AJ990" s="20" t="s">
        <v>1244</v>
      </c>
      <c r="AK990" s="22" t="str">
        <f t="shared" si="31"/>
        <v>Ica_01 Ica _05 Pachacutec</v>
      </c>
      <c r="AL990" s="25">
        <v>0</v>
      </c>
      <c r="AM990" s="25">
        <v>18</v>
      </c>
      <c r="AN990" s="26">
        <f>Tabla2[[#This Row],[Minutos]]/60</f>
        <v>0.3</v>
      </c>
      <c r="AO990" s="27">
        <f>SUM(Tabla2[[#This Row],[Horas]],Tabla2[[#This Row],[Minutos a Horas]])</f>
        <v>0.3</v>
      </c>
      <c r="AP990" s="49"/>
      <c r="AQ990" s="49">
        <v>40</v>
      </c>
      <c r="AR990" s="26">
        <f>Tabla2[[#This Row],[Minutos*]]/60</f>
        <v>0.66666666666666663</v>
      </c>
      <c r="AS990" s="27">
        <f>SUM(Tabla2[[#This Row],[Horas*]],Tabla2[[#This Row],[Minutos a Horas*]])+(Tabla2[[#This Row],[Tiempo Total a Nivel Proncincial (Horas)]])</f>
        <v>0.96666666666666656</v>
      </c>
    </row>
    <row r="991" spans="28:45" x14ac:dyDescent="0.25">
      <c r="AB991" s="89"/>
      <c r="AD991" s="20" t="s">
        <v>2384</v>
      </c>
      <c r="AE991" s="10" t="s">
        <v>382</v>
      </c>
      <c r="AF991" s="20" t="s">
        <v>1235</v>
      </c>
      <c r="AG991" s="10"/>
      <c r="AH991" s="22" t="str">
        <f t="shared" si="30"/>
        <v xml:space="preserve">Ica_01 Ica </v>
      </c>
      <c r="AI991" s="10" t="s">
        <v>1281</v>
      </c>
      <c r="AJ991" s="20" t="s">
        <v>1245</v>
      </c>
      <c r="AK991" s="22" t="str">
        <f t="shared" si="31"/>
        <v>Ica_01 Ica _06 Parcona</v>
      </c>
      <c r="AL991" s="25">
        <v>0</v>
      </c>
      <c r="AM991" s="25">
        <v>18</v>
      </c>
      <c r="AN991" s="26">
        <f>Tabla2[[#This Row],[Minutos]]/60</f>
        <v>0.3</v>
      </c>
      <c r="AO991" s="27">
        <f>SUM(Tabla2[[#This Row],[Horas]],Tabla2[[#This Row],[Minutos a Horas]])</f>
        <v>0.3</v>
      </c>
      <c r="AP991" s="49"/>
      <c r="AQ991" s="49">
        <v>20</v>
      </c>
      <c r="AR991" s="26">
        <f>Tabla2[[#This Row],[Minutos*]]/60</f>
        <v>0.33333333333333331</v>
      </c>
      <c r="AS991" s="27">
        <f>SUM(Tabla2[[#This Row],[Horas*]],Tabla2[[#This Row],[Minutos a Horas*]])+(Tabla2[[#This Row],[Tiempo Total a Nivel Proncincial (Horas)]])</f>
        <v>0.6333333333333333</v>
      </c>
    </row>
    <row r="992" spans="28:45" x14ac:dyDescent="0.25">
      <c r="AB992" s="89"/>
      <c r="AD992" s="20" t="s">
        <v>2384</v>
      </c>
      <c r="AE992" s="10" t="s">
        <v>382</v>
      </c>
      <c r="AF992" s="20" t="s">
        <v>1235</v>
      </c>
      <c r="AG992" s="10"/>
      <c r="AH992" s="22" t="str">
        <f t="shared" si="30"/>
        <v xml:space="preserve">Ica_01 Ica </v>
      </c>
      <c r="AI992" s="10" t="s">
        <v>1281</v>
      </c>
      <c r="AJ992" s="20" t="s">
        <v>1246</v>
      </c>
      <c r="AK992" s="22" t="str">
        <f t="shared" si="31"/>
        <v>Ica_01 Ica _07 Pueblo Nuevo</v>
      </c>
      <c r="AL992" s="25">
        <v>0</v>
      </c>
      <c r="AM992" s="25">
        <v>18</v>
      </c>
      <c r="AN992" s="26">
        <f>Tabla2[[#This Row],[Minutos]]/60</f>
        <v>0.3</v>
      </c>
      <c r="AO992" s="27">
        <f>SUM(Tabla2[[#This Row],[Horas]],Tabla2[[#This Row],[Minutos a Horas]])</f>
        <v>0.3</v>
      </c>
      <c r="AP992" s="49"/>
      <c r="AQ992" s="49">
        <v>25</v>
      </c>
      <c r="AR992" s="26">
        <f>Tabla2[[#This Row],[Minutos*]]/60</f>
        <v>0.41666666666666669</v>
      </c>
      <c r="AS992" s="27">
        <f>SUM(Tabla2[[#This Row],[Horas*]],Tabla2[[#This Row],[Minutos a Horas*]])+(Tabla2[[#This Row],[Tiempo Total a Nivel Proncincial (Horas)]])</f>
        <v>0.71666666666666667</v>
      </c>
    </row>
    <row r="993" spans="28:45" x14ac:dyDescent="0.25">
      <c r="AB993" s="89"/>
      <c r="AD993" s="20" t="s">
        <v>2384</v>
      </c>
      <c r="AE993" s="10" t="s">
        <v>382</v>
      </c>
      <c r="AF993" s="20" t="s">
        <v>1235</v>
      </c>
      <c r="AG993" s="10"/>
      <c r="AH993" s="22" t="str">
        <f t="shared" si="30"/>
        <v xml:space="preserve">Ica_01 Ica </v>
      </c>
      <c r="AI993" s="10" t="s">
        <v>1281</v>
      </c>
      <c r="AJ993" s="20" t="s">
        <v>1247</v>
      </c>
      <c r="AK993" s="22" t="str">
        <f t="shared" si="31"/>
        <v>Ica_01 Ica _08 Salas</v>
      </c>
      <c r="AL993" s="25">
        <v>0</v>
      </c>
      <c r="AM993" s="25">
        <v>18</v>
      </c>
      <c r="AN993" s="26">
        <f>Tabla2[[#This Row],[Minutos]]/60</f>
        <v>0.3</v>
      </c>
      <c r="AO993" s="27">
        <f>SUM(Tabla2[[#This Row],[Horas]],Tabla2[[#This Row],[Minutos a Horas]])</f>
        <v>0.3</v>
      </c>
      <c r="AP993" s="49"/>
      <c r="AQ993" s="49">
        <v>30</v>
      </c>
      <c r="AR993" s="26">
        <f>Tabla2[[#This Row],[Minutos*]]/60</f>
        <v>0.5</v>
      </c>
      <c r="AS993" s="27">
        <f>SUM(Tabla2[[#This Row],[Horas*]],Tabla2[[#This Row],[Minutos a Horas*]])+(Tabla2[[#This Row],[Tiempo Total a Nivel Proncincial (Horas)]])</f>
        <v>0.8</v>
      </c>
    </row>
    <row r="994" spans="28:45" x14ac:dyDescent="0.25">
      <c r="AB994" s="89"/>
      <c r="AD994" s="20" t="s">
        <v>2384</v>
      </c>
      <c r="AE994" s="10" t="s">
        <v>382</v>
      </c>
      <c r="AF994" s="20" t="s">
        <v>1235</v>
      </c>
      <c r="AG994" s="10"/>
      <c r="AH994" s="22" t="str">
        <f t="shared" si="30"/>
        <v xml:space="preserve">Ica_01 Ica </v>
      </c>
      <c r="AI994" s="10" t="s">
        <v>1281</v>
      </c>
      <c r="AJ994" s="20" t="s">
        <v>1248</v>
      </c>
      <c r="AK994" s="22" t="str">
        <f t="shared" si="31"/>
        <v>Ica_01 Ica _09 San José de Los Molinos</v>
      </c>
      <c r="AL994" s="25">
        <v>0</v>
      </c>
      <c r="AM994" s="25">
        <v>18</v>
      </c>
      <c r="AN994" s="26">
        <f>Tabla2[[#This Row],[Minutos]]/60</f>
        <v>0.3</v>
      </c>
      <c r="AO994" s="27">
        <f>SUM(Tabla2[[#This Row],[Horas]],Tabla2[[#This Row],[Minutos a Horas]])</f>
        <v>0.3</v>
      </c>
      <c r="AP994" s="49"/>
      <c r="AQ994" s="49">
        <v>45</v>
      </c>
      <c r="AR994" s="26">
        <f>Tabla2[[#This Row],[Minutos*]]/60</f>
        <v>0.75</v>
      </c>
      <c r="AS994" s="27">
        <f>SUM(Tabla2[[#This Row],[Horas*]],Tabla2[[#This Row],[Minutos a Horas*]])+(Tabla2[[#This Row],[Tiempo Total a Nivel Proncincial (Horas)]])</f>
        <v>1.05</v>
      </c>
    </row>
    <row r="995" spans="28:45" x14ac:dyDescent="0.25">
      <c r="AB995" s="89"/>
      <c r="AD995" s="20" t="s">
        <v>2384</v>
      </c>
      <c r="AE995" s="10" t="s">
        <v>382</v>
      </c>
      <c r="AF995" s="20" t="s">
        <v>1235</v>
      </c>
      <c r="AG995" s="10"/>
      <c r="AH995" s="22" t="str">
        <f t="shared" si="30"/>
        <v xml:space="preserve">Ica_01 Ica </v>
      </c>
      <c r="AI995" s="10" t="s">
        <v>1281</v>
      </c>
      <c r="AJ995" s="20" t="s">
        <v>628</v>
      </c>
      <c r="AK995" s="22" t="str">
        <f t="shared" si="31"/>
        <v>Ica_01 Ica _10 San Juan Bautista</v>
      </c>
      <c r="AL995" s="25">
        <v>0</v>
      </c>
      <c r="AM995" s="25">
        <v>18</v>
      </c>
      <c r="AN995" s="26">
        <f>Tabla2[[#This Row],[Minutos]]/60</f>
        <v>0.3</v>
      </c>
      <c r="AO995" s="27">
        <f>SUM(Tabla2[[#This Row],[Horas]],Tabla2[[#This Row],[Minutos a Horas]])</f>
        <v>0.3</v>
      </c>
      <c r="AP995" s="49"/>
      <c r="AQ995" s="49">
        <v>45</v>
      </c>
      <c r="AR995" s="26">
        <f>Tabla2[[#This Row],[Minutos*]]/60</f>
        <v>0.75</v>
      </c>
      <c r="AS995" s="27">
        <f>SUM(Tabla2[[#This Row],[Horas*]],Tabla2[[#This Row],[Minutos a Horas*]])+(Tabla2[[#This Row],[Tiempo Total a Nivel Proncincial (Horas)]])</f>
        <v>1.05</v>
      </c>
    </row>
    <row r="996" spans="28:45" x14ac:dyDescent="0.25">
      <c r="AB996" s="89"/>
      <c r="AD996" s="20" t="s">
        <v>2384</v>
      </c>
      <c r="AE996" s="10" t="s">
        <v>382</v>
      </c>
      <c r="AF996" s="20" t="s">
        <v>1235</v>
      </c>
      <c r="AG996" s="10"/>
      <c r="AH996" s="22" t="str">
        <f t="shared" si="30"/>
        <v xml:space="preserve">Ica_01 Ica </v>
      </c>
      <c r="AI996" s="10" t="s">
        <v>1281</v>
      </c>
      <c r="AJ996" s="20" t="s">
        <v>1249</v>
      </c>
      <c r="AK996" s="22" t="str">
        <f t="shared" si="31"/>
        <v>Ica_01 Ica _11 Santiago</v>
      </c>
      <c r="AL996" s="25">
        <v>0</v>
      </c>
      <c r="AM996" s="25">
        <v>18</v>
      </c>
      <c r="AN996" s="26">
        <f>Tabla2[[#This Row],[Minutos]]/60</f>
        <v>0.3</v>
      </c>
      <c r="AO996" s="27">
        <f>SUM(Tabla2[[#This Row],[Horas]],Tabla2[[#This Row],[Minutos a Horas]])</f>
        <v>0.3</v>
      </c>
      <c r="AP996" s="49"/>
      <c r="AQ996" s="49">
        <v>30</v>
      </c>
      <c r="AR996" s="26">
        <f>Tabla2[[#This Row],[Minutos*]]/60</f>
        <v>0.5</v>
      </c>
      <c r="AS996" s="27">
        <f>SUM(Tabla2[[#This Row],[Horas*]],Tabla2[[#This Row],[Minutos a Horas*]])+(Tabla2[[#This Row],[Tiempo Total a Nivel Proncincial (Horas)]])</f>
        <v>0.8</v>
      </c>
    </row>
    <row r="997" spans="28:45" x14ac:dyDescent="0.25">
      <c r="AB997" s="89"/>
      <c r="AD997" s="20" t="s">
        <v>2384</v>
      </c>
      <c r="AE997" s="10" t="s">
        <v>382</v>
      </c>
      <c r="AF997" s="20" t="s">
        <v>1235</v>
      </c>
      <c r="AG997" s="10"/>
      <c r="AH997" s="22" t="str">
        <f t="shared" si="30"/>
        <v xml:space="preserve">Ica_01 Ica </v>
      </c>
      <c r="AI997" s="10" t="s">
        <v>1281</v>
      </c>
      <c r="AJ997" s="20" t="s">
        <v>1250</v>
      </c>
      <c r="AK997" s="22" t="str">
        <f t="shared" si="31"/>
        <v>Ica_01 Ica _12 Subtanjalla</v>
      </c>
      <c r="AL997" s="25">
        <v>0</v>
      </c>
      <c r="AM997" s="25">
        <v>18</v>
      </c>
      <c r="AN997" s="26">
        <f>Tabla2[[#This Row],[Minutos]]/60</f>
        <v>0.3</v>
      </c>
      <c r="AO997" s="27">
        <f>SUM(Tabla2[[#This Row],[Horas]],Tabla2[[#This Row],[Minutos a Horas]])</f>
        <v>0.3</v>
      </c>
      <c r="AP997" s="49"/>
      <c r="AQ997" s="49">
        <v>20</v>
      </c>
      <c r="AR997" s="26">
        <f>Tabla2[[#This Row],[Minutos*]]/60</f>
        <v>0.33333333333333331</v>
      </c>
      <c r="AS997" s="27">
        <f>SUM(Tabla2[[#This Row],[Horas*]],Tabla2[[#This Row],[Minutos a Horas*]])+(Tabla2[[#This Row],[Tiempo Total a Nivel Proncincial (Horas)]])</f>
        <v>0.6333333333333333</v>
      </c>
    </row>
    <row r="998" spans="28:45" x14ac:dyDescent="0.25">
      <c r="AB998" s="89"/>
      <c r="AD998" s="20" t="s">
        <v>2384</v>
      </c>
      <c r="AE998" s="10" t="s">
        <v>382</v>
      </c>
      <c r="AF998" s="20" t="s">
        <v>1235</v>
      </c>
      <c r="AG998" s="10"/>
      <c r="AH998" s="22" t="str">
        <f t="shared" si="30"/>
        <v xml:space="preserve">Ica_01 Ica </v>
      </c>
      <c r="AI998" s="10" t="s">
        <v>1281</v>
      </c>
      <c r="AJ998" s="20" t="s">
        <v>1251</v>
      </c>
      <c r="AK998" s="22" t="str">
        <f t="shared" si="31"/>
        <v>Ica_01 Ica _13 Tate</v>
      </c>
      <c r="AL998" s="25">
        <v>0</v>
      </c>
      <c r="AM998" s="25">
        <v>18</v>
      </c>
      <c r="AN998" s="26">
        <f>Tabla2[[#This Row],[Minutos]]/60</f>
        <v>0.3</v>
      </c>
      <c r="AO998" s="27">
        <f>SUM(Tabla2[[#This Row],[Horas]],Tabla2[[#This Row],[Minutos a Horas]])</f>
        <v>0.3</v>
      </c>
      <c r="AP998" s="49"/>
      <c r="AQ998" s="49">
        <v>35</v>
      </c>
      <c r="AR998" s="26">
        <f>Tabla2[[#This Row],[Minutos*]]/60</f>
        <v>0.58333333333333337</v>
      </c>
      <c r="AS998" s="27">
        <f>SUM(Tabla2[[#This Row],[Horas*]],Tabla2[[#This Row],[Minutos a Horas*]])+(Tabla2[[#This Row],[Tiempo Total a Nivel Proncincial (Horas)]])</f>
        <v>0.8833333333333333</v>
      </c>
    </row>
    <row r="999" spans="28:45" x14ac:dyDescent="0.25">
      <c r="AB999" s="89"/>
      <c r="AD999" s="20" t="s">
        <v>2384</v>
      </c>
      <c r="AE999" s="10" t="s">
        <v>382</v>
      </c>
      <c r="AF999" s="20" t="s">
        <v>1235</v>
      </c>
      <c r="AG999" s="10"/>
      <c r="AH999" s="22" t="str">
        <f t="shared" si="30"/>
        <v xml:space="preserve">Ica_01 Ica </v>
      </c>
      <c r="AI999" s="10" t="s">
        <v>1281</v>
      </c>
      <c r="AJ999" s="20" t="s">
        <v>1252</v>
      </c>
      <c r="AK999" s="22" t="str">
        <f t="shared" si="31"/>
        <v>Ica_01 Ica _14 Yauca del Rosario</v>
      </c>
      <c r="AL999" s="25">
        <v>0</v>
      </c>
      <c r="AM999" s="25">
        <v>18</v>
      </c>
      <c r="AN999" s="26">
        <f>Tabla2[[#This Row],[Minutos]]/60</f>
        <v>0.3</v>
      </c>
      <c r="AO999" s="27">
        <f>SUM(Tabla2[[#This Row],[Horas]],Tabla2[[#This Row],[Minutos a Horas]])</f>
        <v>0.3</v>
      </c>
      <c r="AP999" s="49"/>
      <c r="AQ999" s="49">
        <v>40</v>
      </c>
      <c r="AR999" s="26">
        <f>Tabla2[[#This Row],[Minutos*]]/60</f>
        <v>0.66666666666666663</v>
      </c>
      <c r="AS999" s="27">
        <f>SUM(Tabla2[[#This Row],[Horas*]],Tabla2[[#This Row],[Minutos a Horas*]])+(Tabla2[[#This Row],[Tiempo Total a Nivel Proncincial (Horas)]])</f>
        <v>0.96666666666666656</v>
      </c>
    </row>
    <row r="1000" spans="28:45" x14ac:dyDescent="0.25">
      <c r="AB1000" s="89"/>
      <c r="AD1000" s="20" t="s">
        <v>2384</v>
      </c>
      <c r="AE1000" s="10" t="s">
        <v>382</v>
      </c>
      <c r="AF1000" s="20" t="s">
        <v>1236</v>
      </c>
      <c r="AG1000" s="10"/>
      <c r="AH1000" s="22" t="str">
        <f t="shared" si="30"/>
        <v xml:space="preserve">Ica_02 Chincha </v>
      </c>
      <c r="AI1000" s="10" t="s">
        <v>1282</v>
      </c>
      <c r="AJ1000" s="20" t="s">
        <v>1253</v>
      </c>
      <c r="AK1000" s="22" t="str">
        <f t="shared" si="31"/>
        <v>Ica_02 Chincha _01 Chincha Alta</v>
      </c>
      <c r="AL1000" s="25">
        <v>1</v>
      </c>
      <c r="AM1000" s="25">
        <v>47</v>
      </c>
      <c r="AN1000" s="26">
        <f>Tabla2[[#This Row],[Minutos]]/60</f>
        <v>0.78333333333333333</v>
      </c>
      <c r="AO1000" s="27">
        <f>SUM(Tabla2[[#This Row],[Horas]],Tabla2[[#This Row],[Minutos a Horas]])</f>
        <v>1.7833333333333332</v>
      </c>
      <c r="AP1000" s="49">
        <v>2</v>
      </c>
      <c r="AQ1000" s="49">
        <v>0</v>
      </c>
      <c r="AR1000" s="26">
        <f>Tabla2[[#This Row],[Minutos*]]/60</f>
        <v>0</v>
      </c>
      <c r="AS1000" s="27">
        <f>SUM(Tabla2[[#This Row],[Horas*]],Tabla2[[#This Row],[Minutos a Horas*]])+(Tabla2[[#This Row],[Tiempo Total a Nivel Proncincial (Horas)]])</f>
        <v>3.7833333333333332</v>
      </c>
    </row>
    <row r="1001" spans="28:45" x14ac:dyDescent="0.25">
      <c r="AB1001" s="89"/>
      <c r="AD1001" s="20" t="s">
        <v>2384</v>
      </c>
      <c r="AE1001" s="10" t="s">
        <v>382</v>
      </c>
      <c r="AF1001" s="20" t="s">
        <v>1236</v>
      </c>
      <c r="AG1001" s="10"/>
      <c r="AH1001" s="22" t="str">
        <f t="shared" si="30"/>
        <v xml:space="preserve">Ica_02 Chincha </v>
      </c>
      <c r="AI1001" s="10" t="s">
        <v>1282</v>
      </c>
      <c r="AJ1001" s="20" t="s">
        <v>1254</v>
      </c>
      <c r="AK1001" s="22" t="str">
        <f t="shared" si="31"/>
        <v>Ica_02 Chincha _02 Alto Laran</v>
      </c>
      <c r="AL1001" s="25">
        <v>1</v>
      </c>
      <c r="AM1001" s="25">
        <v>47</v>
      </c>
      <c r="AN1001" s="26">
        <f>Tabla2[[#This Row],[Minutos]]/60</f>
        <v>0.78333333333333333</v>
      </c>
      <c r="AO1001" s="27">
        <f>SUM(Tabla2[[#This Row],[Horas]],Tabla2[[#This Row],[Minutos a Horas]])</f>
        <v>1.7833333333333332</v>
      </c>
      <c r="AP1001" s="49">
        <v>2</v>
      </c>
      <c r="AQ1001" s="49">
        <v>20</v>
      </c>
      <c r="AR1001" s="26">
        <f>Tabla2[[#This Row],[Minutos*]]/60</f>
        <v>0.33333333333333331</v>
      </c>
      <c r="AS1001" s="27">
        <f>SUM(Tabla2[[#This Row],[Horas*]],Tabla2[[#This Row],[Minutos a Horas*]])+(Tabla2[[#This Row],[Tiempo Total a Nivel Proncincial (Horas)]])</f>
        <v>4.1166666666666671</v>
      </c>
    </row>
    <row r="1002" spans="28:45" x14ac:dyDescent="0.25">
      <c r="AB1002" s="89"/>
      <c r="AD1002" s="20" t="s">
        <v>2384</v>
      </c>
      <c r="AE1002" s="10" t="s">
        <v>382</v>
      </c>
      <c r="AF1002" s="20" t="s">
        <v>1236</v>
      </c>
      <c r="AG1002" s="10"/>
      <c r="AH1002" s="22" t="str">
        <f t="shared" si="30"/>
        <v xml:space="preserve">Ica_02 Chincha </v>
      </c>
      <c r="AI1002" s="10" t="s">
        <v>1282</v>
      </c>
      <c r="AJ1002" s="20" t="s">
        <v>1255</v>
      </c>
      <c r="AK1002" s="22" t="str">
        <f t="shared" si="31"/>
        <v>Ica_02 Chincha _03 Chavin</v>
      </c>
      <c r="AL1002" s="25">
        <v>1</v>
      </c>
      <c r="AM1002" s="25">
        <v>47</v>
      </c>
      <c r="AN1002" s="26">
        <f>Tabla2[[#This Row],[Minutos]]/60</f>
        <v>0.78333333333333333</v>
      </c>
      <c r="AO1002" s="27">
        <f>SUM(Tabla2[[#This Row],[Horas]],Tabla2[[#This Row],[Minutos a Horas]])</f>
        <v>1.7833333333333332</v>
      </c>
      <c r="AP1002" s="49">
        <v>2</v>
      </c>
      <c r="AQ1002" s="49">
        <v>25</v>
      </c>
      <c r="AR1002" s="26">
        <f>Tabla2[[#This Row],[Minutos*]]/60</f>
        <v>0.41666666666666669</v>
      </c>
      <c r="AS1002" s="27">
        <f>SUM(Tabla2[[#This Row],[Horas*]],Tabla2[[#This Row],[Minutos a Horas*]])+(Tabla2[[#This Row],[Tiempo Total a Nivel Proncincial (Horas)]])</f>
        <v>4.1999999999999993</v>
      </c>
    </row>
    <row r="1003" spans="28:45" x14ac:dyDescent="0.25">
      <c r="AB1003" s="89"/>
      <c r="AD1003" s="20" t="s">
        <v>2384</v>
      </c>
      <c r="AE1003" s="10" t="s">
        <v>382</v>
      </c>
      <c r="AF1003" s="20" t="s">
        <v>1236</v>
      </c>
      <c r="AG1003" s="10"/>
      <c r="AH1003" s="22" t="str">
        <f t="shared" si="30"/>
        <v xml:space="preserve">Ica_02 Chincha </v>
      </c>
      <c r="AI1003" s="10" t="s">
        <v>1282</v>
      </c>
      <c r="AJ1003" s="20" t="s">
        <v>1256</v>
      </c>
      <c r="AK1003" s="22" t="str">
        <f t="shared" si="31"/>
        <v>Ica_02 Chincha _04 Chincha Baja</v>
      </c>
      <c r="AL1003" s="25">
        <v>1</v>
      </c>
      <c r="AM1003" s="25">
        <v>47</v>
      </c>
      <c r="AN1003" s="26">
        <f>Tabla2[[#This Row],[Minutos]]/60</f>
        <v>0.78333333333333333</v>
      </c>
      <c r="AO1003" s="27">
        <f>SUM(Tabla2[[#This Row],[Horas]],Tabla2[[#This Row],[Minutos a Horas]])</f>
        <v>1.7833333333333332</v>
      </c>
      <c r="AP1003" s="49">
        <v>2</v>
      </c>
      <c r="AQ1003" s="49">
        <v>30</v>
      </c>
      <c r="AR1003" s="26">
        <f>Tabla2[[#This Row],[Minutos*]]/60</f>
        <v>0.5</v>
      </c>
      <c r="AS1003" s="27">
        <f>SUM(Tabla2[[#This Row],[Horas*]],Tabla2[[#This Row],[Minutos a Horas*]])+(Tabla2[[#This Row],[Tiempo Total a Nivel Proncincial (Horas)]])</f>
        <v>4.2833333333333332</v>
      </c>
    </row>
    <row r="1004" spans="28:45" x14ac:dyDescent="0.25">
      <c r="AB1004" s="89"/>
      <c r="AD1004" s="20" t="s">
        <v>2384</v>
      </c>
      <c r="AE1004" s="10" t="s">
        <v>382</v>
      </c>
      <c r="AF1004" s="20" t="s">
        <v>1236</v>
      </c>
      <c r="AG1004" s="10"/>
      <c r="AH1004" s="22" t="str">
        <f t="shared" si="30"/>
        <v xml:space="preserve">Ica_02 Chincha </v>
      </c>
      <c r="AI1004" s="10" t="s">
        <v>1282</v>
      </c>
      <c r="AJ1004" s="20" t="s">
        <v>1257</v>
      </c>
      <c r="AK1004" s="22" t="str">
        <f t="shared" si="31"/>
        <v>Ica_02 Chincha _05 El Carmen</v>
      </c>
      <c r="AL1004" s="25">
        <v>1</v>
      </c>
      <c r="AM1004" s="25">
        <v>47</v>
      </c>
      <c r="AN1004" s="26">
        <f>Tabla2[[#This Row],[Minutos]]/60</f>
        <v>0.78333333333333333</v>
      </c>
      <c r="AO1004" s="27">
        <f>SUM(Tabla2[[#This Row],[Horas]],Tabla2[[#This Row],[Minutos a Horas]])</f>
        <v>1.7833333333333332</v>
      </c>
      <c r="AP1004" s="49">
        <v>2</v>
      </c>
      <c r="AQ1004" s="49">
        <v>10</v>
      </c>
      <c r="AR1004" s="26">
        <f>Tabla2[[#This Row],[Minutos*]]/60</f>
        <v>0.16666666666666666</v>
      </c>
      <c r="AS1004" s="27">
        <f>SUM(Tabla2[[#This Row],[Horas*]],Tabla2[[#This Row],[Minutos a Horas*]])+(Tabla2[[#This Row],[Tiempo Total a Nivel Proncincial (Horas)]])</f>
        <v>3.9499999999999997</v>
      </c>
    </row>
    <row r="1005" spans="28:45" x14ac:dyDescent="0.25">
      <c r="AB1005" s="89"/>
      <c r="AD1005" s="20" t="s">
        <v>2384</v>
      </c>
      <c r="AE1005" s="10" t="s">
        <v>382</v>
      </c>
      <c r="AF1005" s="20" t="s">
        <v>1236</v>
      </c>
      <c r="AG1005" s="10"/>
      <c r="AH1005" s="22" t="str">
        <f t="shared" si="30"/>
        <v xml:space="preserve">Ica_02 Chincha </v>
      </c>
      <c r="AI1005" s="10" t="s">
        <v>1282</v>
      </c>
      <c r="AJ1005" s="20" t="s">
        <v>1258</v>
      </c>
      <c r="AK1005" s="22" t="str">
        <f t="shared" si="31"/>
        <v>Ica_02 Chincha _06 Grocio Prado</v>
      </c>
      <c r="AL1005" s="25">
        <v>1</v>
      </c>
      <c r="AM1005" s="25">
        <v>47</v>
      </c>
      <c r="AN1005" s="26">
        <f>Tabla2[[#This Row],[Minutos]]/60</f>
        <v>0.78333333333333333</v>
      </c>
      <c r="AO1005" s="27">
        <f>SUM(Tabla2[[#This Row],[Horas]],Tabla2[[#This Row],[Minutos a Horas]])</f>
        <v>1.7833333333333332</v>
      </c>
      <c r="AP1005" s="49">
        <v>2</v>
      </c>
      <c r="AQ1005" s="49">
        <v>25</v>
      </c>
      <c r="AR1005" s="26">
        <f>Tabla2[[#This Row],[Minutos*]]/60</f>
        <v>0.41666666666666669</v>
      </c>
      <c r="AS1005" s="27">
        <f>SUM(Tabla2[[#This Row],[Horas*]],Tabla2[[#This Row],[Minutos a Horas*]])+(Tabla2[[#This Row],[Tiempo Total a Nivel Proncincial (Horas)]])</f>
        <v>4.1999999999999993</v>
      </c>
    </row>
    <row r="1006" spans="28:45" x14ac:dyDescent="0.25">
      <c r="AB1006" s="89"/>
      <c r="AD1006" s="20" t="s">
        <v>2384</v>
      </c>
      <c r="AE1006" s="10" t="s">
        <v>382</v>
      </c>
      <c r="AF1006" s="20" t="s">
        <v>1236</v>
      </c>
      <c r="AG1006" s="10"/>
      <c r="AH1006" s="22" t="str">
        <f t="shared" si="30"/>
        <v xml:space="preserve">Ica_02 Chincha </v>
      </c>
      <c r="AI1006" s="10" t="s">
        <v>1282</v>
      </c>
      <c r="AJ1006" s="20" t="s">
        <v>1246</v>
      </c>
      <c r="AK1006" s="22" t="str">
        <f t="shared" si="31"/>
        <v>Ica_02 Chincha _07 Pueblo Nuevo</v>
      </c>
      <c r="AL1006" s="25">
        <v>1</v>
      </c>
      <c r="AM1006" s="25">
        <v>47</v>
      </c>
      <c r="AN1006" s="26">
        <f>Tabla2[[#This Row],[Minutos]]/60</f>
        <v>0.78333333333333333</v>
      </c>
      <c r="AO1006" s="27">
        <f>SUM(Tabla2[[#This Row],[Horas]],Tabla2[[#This Row],[Minutos a Horas]])</f>
        <v>1.7833333333333332</v>
      </c>
      <c r="AP1006" s="49">
        <v>2</v>
      </c>
      <c r="AQ1006" s="49">
        <v>25</v>
      </c>
      <c r="AR1006" s="26">
        <f>Tabla2[[#This Row],[Minutos*]]/60</f>
        <v>0.41666666666666669</v>
      </c>
      <c r="AS1006" s="27">
        <f>SUM(Tabla2[[#This Row],[Horas*]],Tabla2[[#This Row],[Minutos a Horas*]])+(Tabla2[[#This Row],[Tiempo Total a Nivel Proncincial (Horas)]])</f>
        <v>4.1999999999999993</v>
      </c>
    </row>
    <row r="1007" spans="28:45" x14ac:dyDescent="0.25">
      <c r="AB1007" s="89"/>
      <c r="AD1007" s="20" t="s">
        <v>2384</v>
      </c>
      <c r="AE1007" s="10" t="s">
        <v>382</v>
      </c>
      <c r="AF1007" s="20" t="s">
        <v>1236</v>
      </c>
      <c r="AG1007" s="10"/>
      <c r="AH1007" s="22" t="str">
        <f t="shared" si="30"/>
        <v xml:space="preserve">Ica_02 Chincha </v>
      </c>
      <c r="AI1007" s="10" t="s">
        <v>1282</v>
      </c>
      <c r="AJ1007" s="20" t="s">
        <v>1259</v>
      </c>
      <c r="AK1007" s="22" t="str">
        <f t="shared" si="31"/>
        <v>Ica_02 Chincha _08 San Juan de Yanac</v>
      </c>
      <c r="AL1007" s="25">
        <v>1</v>
      </c>
      <c r="AM1007" s="25">
        <v>47</v>
      </c>
      <c r="AN1007" s="26">
        <f>Tabla2[[#This Row],[Minutos]]/60</f>
        <v>0.78333333333333333</v>
      </c>
      <c r="AO1007" s="27">
        <f>SUM(Tabla2[[#This Row],[Horas]],Tabla2[[#This Row],[Minutos a Horas]])</f>
        <v>1.7833333333333332</v>
      </c>
      <c r="AP1007" s="49">
        <v>2</v>
      </c>
      <c r="AQ1007" s="49">
        <v>35</v>
      </c>
      <c r="AR1007" s="26">
        <f>Tabla2[[#This Row],[Minutos*]]/60</f>
        <v>0.58333333333333337</v>
      </c>
      <c r="AS1007" s="27">
        <f>SUM(Tabla2[[#This Row],[Horas*]],Tabla2[[#This Row],[Minutos a Horas*]])+(Tabla2[[#This Row],[Tiempo Total a Nivel Proncincial (Horas)]])</f>
        <v>4.3666666666666671</v>
      </c>
    </row>
    <row r="1008" spans="28:45" x14ac:dyDescent="0.25">
      <c r="AB1008" s="89"/>
      <c r="AD1008" s="20" t="s">
        <v>2384</v>
      </c>
      <c r="AE1008" s="10" t="s">
        <v>382</v>
      </c>
      <c r="AF1008" s="20" t="s">
        <v>1236</v>
      </c>
      <c r="AG1008" s="10"/>
      <c r="AH1008" s="22" t="str">
        <f t="shared" si="30"/>
        <v xml:space="preserve">Ica_02 Chincha </v>
      </c>
      <c r="AI1008" s="10" t="s">
        <v>1282</v>
      </c>
      <c r="AJ1008" s="20" t="s">
        <v>1260</v>
      </c>
      <c r="AK1008" s="22" t="str">
        <f t="shared" si="31"/>
        <v>Ica_02 Chincha _09 San Pedro de Huacarpana</v>
      </c>
      <c r="AL1008" s="25">
        <v>1</v>
      </c>
      <c r="AM1008" s="25">
        <v>47</v>
      </c>
      <c r="AN1008" s="26">
        <f>Tabla2[[#This Row],[Minutos]]/60</f>
        <v>0.78333333333333333</v>
      </c>
      <c r="AO1008" s="27">
        <f>SUM(Tabla2[[#This Row],[Horas]],Tabla2[[#This Row],[Minutos a Horas]])</f>
        <v>1.7833333333333332</v>
      </c>
      <c r="AP1008" s="49">
        <v>2</v>
      </c>
      <c r="AQ1008" s="49">
        <v>30</v>
      </c>
      <c r="AR1008" s="26">
        <f>Tabla2[[#This Row],[Minutos*]]/60</f>
        <v>0.5</v>
      </c>
      <c r="AS1008" s="27">
        <f>SUM(Tabla2[[#This Row],[Horas*]],Tabla2[[#This Row],[Minutos a Horas*]])+(Tabla2[[#This Row],[Tiempo Total a Nivel Proncincial (Horas)]])</f>
        <v>4.2833333333333332</v>
      </c>
    </row>
    <row r="1009" spans="28:45" x14ac:dyDescent="0.25">
      <c r="AB1009" s="89"/>
      <c r="AD1009" s="20" t="s">
        <v>2384</v>
      </c>
      <c r="AE1009" s="10" t="s">
        <v>382</v>
      </c>
      <c r="AF1009" s="20" t="s">
        <v>1236</v>
      </c>
      <c r="AG1009" s="10"/>
      <c r="AH1009" s="22" t="str">
        <f t="shared" si="30"/>
        <v xml:space="preserve">Ica_02 Chincha </v>
      </c>
      <c r="AI1009" s="10" t="s">
        <v>1282</v>
      </c>
      <c r="AJ1009" s="20" t="s">
        <v>1261</v>
      </c>
      <c r="AK1009" s="22" t="str">
        <f t="shared" si="31"/>
        <v>Ica_02 Chincha _10 Sunampe</v>
      </c>
      <c r="AL1009" s="25">
        <v>1</v>
      </c>
      <c r="AM1009" s="25">
        <v>47</v>
      </c>
      <c r="AN1009" s="26">
        <f>Tabla2[[#This Row],[Minutos]]/60</f>
        <v>0.78333333333333333</v>
      </c>
      <c r="AO1009" s="27">
        <f>SUM(Tabla2[[#This Row],[Horas]],Tabla2[[#This Row],[Minutos a Horas]])</f>
        <v>1.7833333333333332</v>
      </c>
      <c r="AP1009" s="49">
        <v>2</v>
      </c>
      <c r="AQ1009" s="49">
        <v>30</v>
      </c>
      <c r="AR1009" s="26">
        <f>Tabla2[[#This Row],[Minutos*]]/60</f>
        <v>0.5</v>
      </c>
      <c r="AS1009" s="27">
        <f>SUM(Tabla2[[#This Row],[Horas*]],Tabla2[[#This Row],[Minutos a Horas*]])+(Tabla2[[#This Row],[Tiempo Total a Nivel Proncincial (Horas)]])</f>
        <v>4.2833333333333332</v>
      </c>
    </row>
    <row r="1010" spans="28:45" x14ac:dyDescent="0.25">
      <c r="AB1010" s="89"/>
      <c r="AD1010" s="20" t="s">
        <v>2384</v>
      </c>
      <c r="AE1010" s="10" t="s">
        <v>382</v>
      </c>
      <c r="AF1010" s="20" t="s">
        <v>1236</v>
      </c>
      <c r="AG1010" s="10"/>
      <c r="AH1010" s="22" t="str">
        <f t="shared" si="30"/>
        <v xml:space="preserve">Ica_02 Chincha </v>
      </c>
      <c r="AI1010" s="10" t="s">
        <v>1282</v>
      </c>
      <c r="AJ1010" s="20" t="s">
        <v>1262</v>
      </c>
      <c r="AK1010" s="22" t="str">
        <f t="shared" si="31"/>
        <v>Ica_02 Chincha _11 Tambo de Mora</v>
      </c>
      <c r="AL1010" s="25">
        <v>1</v>
      </c>
      <c r="AM1010" s="25">
        <v>47</v>
      </c>
      <c r="AN1010" s="26">
        <f>Tabla2[[#This Row],[Minutos]]/60</f>
        <v>0.78333333333333333</v>
      </c>
      <c r="AO1010" s="27">
        <f>SUM(Tabla2[[#This Row],[Horas]],Tabla2[[#This Row],[Minutos a Horas]])</f>
        <v>1.7833333333333332</v>
      </c>
      <c r="AP1010" s="49">
        <v>2</v>
      </c>
      <c r="AQ1010" s="49">
        <v>25</v>
      </c>
      <c r="AR1010" s="26">
        <f>Tabla2[[#This Row],[Minutos*]]/60</f>
        <v>0.41666666666666669</v>
      </c>
      <c r="AS1010" s="27">
        <f>SUM(Tabla2[[#This Row],[Horas*]],Tabla2[[#This Row],[Minutos a Horas*]])+(Tabla2[[#This Row],[Tiempo Total a Nivel Proncincial (Horas)]])</f>
        <v>4.1999999999999993</v>
      </c>
    </row>
    <row r="1011" spans="28:45" x14ac:dyDescent="0.25">
      <c r="AB1011" s="89"/>
      <c r="AD1011" s="20" t="s">
        <v>2384</v>
      </c>
      <c r="AE1011" s="10" t="s">
        <v>382</v>
      </c>
      <c r="AF1011" s="20" t="s">
        <v>1237</v>
      </c>
      <c r="AG1011" s="10"/>
      <c r="AH1011" s="22" t="str">
        <f t="shared" si="30"/>
        <v xml:space="preserve">Ica_03 Nasca </v>
      </c>
      <c r="AI1011" s="10" t="s">
        <v>1283</v>
      </c>
      <c r="AJ1011" s="20" t="s">
        <v>1263</v>
      </c>
      <c r="AK1011" s="22" t="str">
        <f t="shared" si="31"/>
        <v>Ica_03 Nasca _01 Nasca</v>
      </c>
      <c r="AL1011" s="25">
        <v>2</v>
      </c>
      <c r="AM1011" s="25">
        <v>2</v>
      </c>
      <c r="AN1011" s="26">
        <f>Tabla2[[#This Row],[Minutos]]/60</f>
        <v>3.3333333333333333E-2</v>
      </c>
      <c r="AO1011" s="27">
        <f>SUM(Tabla2[[#This Row],[Horas]],Tabla2[[#This Row],[Minutos a Horas]])</f>
        <v>2.0333333333333332</v>
      </c>
      <c r="AP1011" s="49">
        <v>2</v>
      </c>
      <c r="AQ1011" s="49">
        <v>20</v>
      </c>
      <c r="AR1011" s="26">
        <f>Tabla2[[#This Row],[Minutos*]]/60</f>
        <v>0.33333333333333331</v>
      </c>
      <c r="AS1011" s="27">
        <f>SUM(Tabla2[[#This Row],[Horas*]],Tabla2[[#This Row],[Minutos a Horas*]])+(Tabla2[[#This Row],[Tiempo Total a Nivel Proncincial (Horas)]])</f>
        <v>4.3666666666666671</v>
      </c>
    </row>
    <row r="1012" spans="28:45" x14ac:dyDescent="0.25">
      <c r="AB1012" s="89"/>
      <c r="AD1012" s="20" t="s">
        <v>2384</v>
      </c>
      <c r="AE1012" s="10" t="s">
        <v>382</v>
      </c>
      <c r="AF1012" s="20" t="s">
        <v>1237</v>
      </c>
      <c r="AG1012" s="10"/>
      <c r="AH1012" s="22" t="str">
        <f t="shared" si="30"/>
        <v xml:space="preserve">Ica_03 Nasca </v>
      </c>
      <c r="AI1012" s="10" t="s">
        <v>1283</v>
      </c>
      <c r="AJ1012" s="20" t="s">
        <v>1264</v>
      </c>
      <c r="AK1012" s="22" t="str">
        <f t="shared" si="31"/>
        <v>Ica_03 Nasca _02 Changuillo</v>
      </c>
      <c r="AL1012" s="25">
        <v>2</v>
      </c>
      <c r="AM1012" s="25">
        <v>2</v>
      </c>
      <c r="AN1012" s="26">
        <f>Tabla2[[#This Row],[Minutos]]/60</f>
        <v>3.3333333333333333E-2</v>
      </c>
      <c r="AO1012" s="27">
        <f>SUM(Tabla2[[#This Row],[Horas]],Tabla2[[#This Row],[Minutos a Horas]])</f>
        <v>2.0333333333333332</v>
      </c>
      <c r="AP1012" s="49">
        <v>2</v>
      </c>
      <c r="AQ1012" s="49">
        <v>10</v>
      </c>
      <c r="AR1012" s="26">
        <f>Tabla2[[#This Row],[Minutos*]]/60</f>
        <v>0.16666666666666666</v>
      </c>
      <c r="AS1012" s="27">
        <f>SUM(Tabla2[[#This Row],[Horas*]],Tabla2[[#This Row],[Minutos a Horas*]])+(Tabla2[[#This Row],[Tiempo Total a Nivel Proncincial (Horas)]])</f>
        <v>4.1999999999999993</v>
      </c>
    </row>
    <row r="1013" spans="28:45" x14ac:dyDescent="0.25">
      <c r="AB1013" s="89"/>
      <c r="AD1013" s="20" t="s">
        <v>2384</v>
      </c>
      <c r="AE1013" s="10" t="s">
        <v>382</v>
      </c>
      <c r="AF1013" s="20" t="s">
        <v>1237</v>
      </c>
      <c r="AG1013" s="10"/>
      <c r="AH1013" s="22" t="str">
        <f t="shared" si="30"/>
        <v xml:space="preserve">Ica_03 Nasca </v>
      </c>
      <c r="AI1013" s="10" t="s">
        <v>1283</v>
      </c>
      <c r="AJ1013" s="20" t="s">
        <v>1265</v>
      </c>
      <c r="AK1013" s="22" t="str">
        <f t="shared" si="31"/>
        <v>Ica_03 Nasca _03 El Ingenio</v>
      </c>
      <c r="AL1013" s="25">
        <v>2</v>
      </c>
      <c r="AM1013" s="25">
        <v>2</v>
      </c>
      <c r="AN1013" s="26">
        <f>Tabla2[[#This Row],[Minutos]]/60</f>
        <v>3.3333333333333333E-2</v>
      </c>
      <c r="AO1013" s="27">
        <f>SUM(Tabla2[[#This Row],[Horas]],Tabla2[[#This Row],[Minutos a Horas]])</f>
        <v>2.0333333333333332</v>
      </c>
      <c r="AP1013" s="49">
        <v>1</v>
      </c>
      <c r="AQ1013" s="49">
        <v>45</v>
      </c>
      <c r="AR1013" s="26">
        <f>Tabla2[[#This Row],[Minutos*]]/60</f>
        <v>0.75</v>
      </c>
      <c r="AS1013" s="27">
        <f>SUM(Tabla2[[#This Row],[Horas*]],Tabla2[[#This Row],[Minutos a Horas*]])+(Tabla2[[#This Row],[Tiempo Total a Nivel Proncincial (Horas)]])</f>
        <v>3.7833333333333332</v>
      </c>
    </row>
    <row r="1014" spans="28:45" x14ac:dyDescent="0.25">
      <c r="AB1014" s="89"/>
      <c r="AD1014" s="20" t="s">
        <v>2384</v>
      </c>
      <c r="AE1014" s="10" t="s">
        <v>382</v>
      </c>
      <c r="AF1014" s="20" t="s">
        <v>1237</v>
      </c>
      <c r="AG1014" s="10"/>
      <c r="AH1014" s="22" t="str">
        <f t="shared" si="30"/>
        <v xml:space="preserve">Ica_03 Nasca </v>
      </c>
      <c r="AI1014" s="10" t="s">
        <v>1283</v>
      </c>
      <c r="AJ1014" s="20" t="s">
        <v>1266</v>
      </c>
      <c r="AK1014" s="22" t="str">
        <f t="shared" si="31"/>
        <v>Ica_03 Nasca _04 Marcona</v>
      </c>
      <c r="AL1014" s="25">
        <v>2</v>
      </c>
      <c r="AM1014" s="25">
        <v>2</v>
      </c>
      <c r="AN1014" s="26">
        <f>Tabla2[[#This Row],[Minutos]]/60</f>
        <v>3.3333333333333333E-2</v>
      </c>
      <c r="AO1014" s="27">
        <f>SUM(Tabla2[[#This Row],[Horas]],Tabla2[[#This Row],[Minutos a Horas]])</f>
        <v>2.0333333333333332</v>
      </c>
      <c r="AP1014" s="49">
        <v>3</v>
      </c>
      <c r="AQ1014" s="49">
        <v>15</v>
      </c>
      <c r="AR1014" s="26">
        <f>Tabla2[[#This Row],[Minutos*]]/60</f>
        <v>0.25</v>
      </c>
      <c r="AS1014" s="27">
        <f>SUM(Tabla2[[#This Row],[Horas*]],Tabla2[[#This Row],[Minutos a Horas*]])+(Tabla2[[#This Row],[Tiempo Total a Nivel Proncincial (Horas)]])</f>
        <v>5.2833333333333332</v>
      </c>
    </row>
    <row r="1015" spans="28:45" x14ac:dyDescent="0.25">
      <c r="AB1015" s="89"/>
      <c r="AD1015" s="20" t="s">
        <v>2384</v>
      </c>
      <c r="AE1015" s="10" t="s">
        <v>382</v>
      </c>
      <c r="AF1015" s="20" t="s">
        <v>1237</v>
      </c>
      <c r="AG1015" s="10"/>
      <c r="AH1015" s="22" t="str">
        <f t="shared" si="30"/>
        <v xml:space="preserve">Ica_03 Nasca </v>
      </c>
      <c r="AI1015" s="10" t="s">
        <v>1283</v>
      </c>
      <c r="AJ1015" s="20" t="s">
        <v>1267</v>
      </c>
      <c r="AK1015" s="22" t="str">
        <f t="shared" si="31"/>
        <v>Ica_03 Nasca _05 Vista Alegre</v>
      </c>
      <c r="AL1015" s="25">
        <v>2</v>
      </c>
      <c r="AM1015" s="25">
        <v>2</v>
      </c>
      <c r="AN1015" s="26">
        <f>Tabla2[[#This Row],[Minutos]]/60</f>
        <v>3.3333333333333333E-2</v>
      </c>
      <c r="AO1015" s="27">
        <f>SUM(Tabla2[[#This Row],[Horas]],Tabla2[[#This Row],[Minutos a Horas]])</f>
        <v>2.0333333333333332</v>
      </c>
      <c r="AP1015" s="49">
        <v>2</v>
      </c>
      <c r="AQ1015" s="49">
        <v>15</v>
      </c>
      <c r="AR1015" s="26">
        <f>Tabla2[[#This Row],[Minutos*]]/60</f>
        <v>0.25</v>
      </c>
      <c r="AS1015" s="27">
        <f>SUM(Tabla2[[#This Row],[Horas*]],Tabla2[[#This Row],[Minutos a Horas*]])+(Tabla2[[#This Row],[Tiempo Total a Nivel Proncincial (Horas)]])</f>
        <v>4.2833333333333332</v>
      </c>
    </row>
    <row r="1016" spans="28:45" x14ac:dyDescent="0.25">
      <c r="AB1016" s="89"/>
      <c r="AD1016" s="20" t="s">
        <v>2384</v>
      </c>
      <c r="AE1016" s="10" t="s">
        <v>382</v>
      </c>
      <c r="AF1016" s="20" t="s">
        <v>1238</v>
      </c>
      <c r="AG1016" s="10"/>
      <c r="AH1016" s="22" t="str">
        <f t="shared" si="30"/>
        <v xml:space="preserve">Ica_04 Palpa </v>
      </c>
      <c r="AI1016" s="10" t="s">
        <v>1284</v>
      </c>
      <c r="AJ1016" s="20" t="s">
        <v>1268</v>
      </c>
      <c r="AK1016" s="22" t="str">
        <f t="shared" si="31"/>
        <v>Ica_04 Palpa _01 Palpa</v>
      </c>
      <c r="AL1016" s="25">
        <v>1</v>
      </c>
      <c r="AM1016" s="25">
        <v>31</v>
      </c>
      <c r="AN1016" s="26">
        <f>Tabla2[[#This Row],[Minutos]]/60</f>
        <v>0.51666666666666672</v>
      </c>
      <c r="AO1016" s="27">
        <f>SUM(Tabla2[[#This Row],[Horas]],Tabla2[[#This Row],[Minutos a Horas]])</f>
        <v>1.5166666666666666</v>
      </c>
      <c r="AP1016" s="49">
        <v>1</v>
      </c>
      <c r="AQ1016" s="49">
        <v>10</v>
      </c>
      <c r="AR1016" s="26">
        <f>Tabla2[[#This Row],[Minutos*]]/60</f>
        <v>0.16666666666666666</v>
      </c>
      <c r="AS1016" s="27">
        <f>SUM(Tabla2[[#This Row],[Horas*]],Tabla2[[#This Row],[Minutos a Horas*]])+(Tabla2[[#This Row],[Tiempo Total a Nivel Proncincial (Horas)]])</f>
        <v>2.6833333333333336</v>
      </c>
    </row>
    <row r="1017" spans="28:45" x14ac:dyDescent="0.25">
      <c r="AB1017" s="89"/>
      <c r="AD1017" s="20" t="s">
        <v>2384</v>
      </c>
      <c r="AE1017" s="10" t="s">
        <v>382</v>
      </c>
      <c r="AF1017" s="20" t="s">
        <v>1238</v>
      </c>
      <c r="AG1017" s="10"/>
      <c r="AH1017" s="22" t="str">
        <f t="shared" si="30"/>
        <v xml:space="preserve">Ica_04 Palpa </v>
      </c>
      <c r="AI1017" s="10" t="s">
        <v>1284</v>
      </c>
      <c r="AJ1017" s="20" t="s">
        <v>1269</v>
      </c>
      <c r="AK1017" s="22" t="str">
        <f t="shared" si="31"/>
        <v>Ica_04 Palpa _02 Llipata</v>
      </c>
      <c r="AL1017" s="25">
        <v>1</v>
      </c>
      <c r="AM1017" s="25">
        <v>31</v>
      </c>
      <c r="AN1017" s="26">
        <f>Tabla2[[#This Row],[Minutos]]/60</f>
        <v>0.51666666666666672</v>
      </c>
      <c r="AO1017" s="27">
        <f>SUM(Tabla2[[#This Row],[Horas]],Tabla2[[#This Row],[Minutos a Horas]])</f>
        <v>1.5166666666666666</v>
      </c>
      <c r="AP1017" s="49">
        <v>1</v>
      </c>
      <c r="AQ1017" s="49">
        <v>20</v>
      </c>
      <c r="AR1017" s="26">
        <f>Tabla2[[#This Row],[Minutos*]]/60</f>
        <v>0.33333333333333331</v>
      </c>
      <c r="AS1017" s="27">
        <f>SUM(Tabla2[[#This Row],[Horas*]],Tabla2[[#This Row],[Minutos a Horas*]])+(Tabla2[[#This Row],[Tiempo Total a Nivel Proncincial (Horas)]])</f>
        <v>2.8499999999999996</v>
      </c>
    </row>
    <row r="1018" spans="28:45" x14ac:dyDescent="0.25">
      <c r="AB1018" s="89"/>
      <c r="AD1018" s="20" t="s">
        <v>2384</v>
      </c>
      <c r="AE1018" s="10" t="s">
        <v>382</v>
      </c>
      <c r="AF1018" s="20" t="s">
        <v>1238</v>
      </c>
      <c r="AG1018" s="10"/>
      <c r="AH1018" s="22" t="str">
        <f t="shared" si="30"/>
        <v xml:space="preserve">Ica_04 Palpa </v>
      </c>
      <c r="AI1018" s="10" t="s">
        <v>1284</v>
      </c>
      <c r="AJ1018" s="20" t="s">
        <v>1270</v>
      </c>
      <c r="AK1018" s="22" t="str">
        <f t="shared" si="31"/>
        <v>Ica_04 Palpa _03 Río Grande</v>
      </c>
      <c r="AL1018" s="25">
        <v>1</v>
      </c>
      <c r="AM1018" s="25">
        <v>31</v>
      </c>
      <c r="AN1018" s="26">
        <f>Tabla2[[#This Row],[Minutos]]/60</f>
        <v>0.51666666666666672</v>
      </c>
      <c r="AO1018" s="27">
        <f>SUM(Tabla2[[#This Row],[Horas]],Tabla2[[#This Row],[Minutos a Horas]])</f>
        <v>1.5166666666666666</v>
      </c>
      <c r="AP1018" s="49">
        <v>1</v>
      </c>
      <c r="AQ1018" s="49">
        <v>25</v>
      </c>
      <c r="AR1018" s="26">
        <f>Tabla2[[#This Row],[Minutos*]]/60</f>
        <v>0.41666666666666669</v>
      </c>
      <c r="AS1018" s="27">
        <f>SUM(Tabla2[[#This Row],[Horas*]],Tabla2[[#This Row],[Minutos a Horas*]])+(Tabla2[[#This Row],[Tiempo Total a Nivel Proncincial (Horas)]])</f>
        <v>2.9333333333333336</v>
      </c>
    </row>
    <row r="1019" spans="28:45" x14ac:dyDescent="0.25">
      <c r="AB1019" s="89"/>
      <c r="AD1019" s="20" t="s">
        <v>2384</v>
      </c>
      <c r="AE1019" s="10" t="s">
        <v>382</v>
      </c>
      <c r="AF1019" s="20" t="s">
        <v>1238</v>
      </c>
      <c r="AG1019" s="10"/>
      <c r="AH1019" s="22" t="str">
        <f t="shared" si="30"/>
        <v xml:space="preserve">Ica_04 Palpa </v>
      </c>
      <c r="AI1019" s="10" t="s">
        <v>1284</v>
      </c>
      <c r="AJ1019" s="20" t="s">
        <v>1271</v>
      </c>
      <c r="AK1019" s="22" t="str">
        <f t="shared" si="31"/>
        <v>Ica_04 Palpa _04 Santa Cruz</v>
      </c>
      <c r="AL1019" s="25">
        <v>1</v>
      </c>
      <c r="AM1019" s="25">
        <v>31</v>
      </c>
      <c r="AN1019" s="26">
        <f>Tabla2[[#This Row],[Minutos]]/60</f>
        <v>0.51666666666666672</v>
      </c>
      <c r="AO1019" s="27">
        <f>SUM(Tabla2[[#This Row],[Horas]],Tabla2[[#This Row],[Minutos a Horas]])</f>
        <v>1.5166666666666666</v>
      </c>
      <c r="AP1019" s="49"/>
      <c r="AQ1019" s="49">
        <v>50</v>
      </c>
      <c r="AR1019" s="26">
        <f>Tabla2[[#This Row],[Minutos*]]/60</f>
        <v>0.83333333333333337</v>
      </c>
      <c r="AS1019" s="27">
        <f>SUM(Tabla2[[#This Row],[Horas*]],Tabla2[[#This Row],[Minutos a Horas*]])+(Tabla2[[#This Row],[Tiempo Total a Nivel Proncincial (Horas)]])</f>
        <v>2.35</v>
      </c>
    </row>
    <row r="1020" spans="28:45" x14ac:dyDescent="0.25">
      <c r="AB1020" s="89"/>
      <c r="AD1020" s="20" t="s">
        <v>2384</v>
      </c>
      <c r="AE1020" s="10" t="s">
        <v>382</v>
      </c>
      <c r="AF1020" s="20" t="s">
        <v>1238</v>
      </c>
      <c r="AG1020" s="10"/>
      <c r="AH1020" s="22" t="str">
        <f t="shared" si="30"/>
        <v xml:space="preserve">Ica_04 Palpa </v>
      </c>
      <c r="AI1020" s="10" t="s">
        <v>1284</v>
      </c>
      <c r="AJ1020" s="20" t="s">
        <v>1272</v>
      </c>
      <c r="AK1020" s="22" t="str">
        <f t="shared" si="31"/>
        <v>Ica_04 Palpa _05 Tibillo</v>
      </c>
      <c r="AL1020" s="25">
        <v>1</v>
      </c>
      <c r="AM1020" s="25">
        <v>31</v>
      </c>
      <c r="AN1020" s="26">
        <f>Tabla2[[#This Row],[Minutos]]/60</f>
        <v>0.51666666666666672</v>
      </c>
      <c r="AO1020" s="27">
        <f>SUM(Tabla2[[#This Row],[Horas]],Tabla2[[#This Row],[Minutos a Horas]])</f>
        <v>1.5166666666666666</v>
      </c>
      <c r="AP1020" s="49">
        <v>1</v>
      </c>
      <c r="AQ1020" s="49">
        <v>0</v>
      </c>
      <c r="AR1020" s="26">
        <f>Tabla2[[#This Row],[Minutos*]]/60</f>
        <v>0</v>
      </c>
      <c r="AS1020" s="27">
        <f>SUM(Tabla2[[#This Row],[Horas*]],Tabla2[[#This Row],[Minutos a Horas*]])+(Tabla2[[#This Row],[Tiempo Total a Nivel Proncincial (Horas)]])</f>
        <v>2.5166666666666666</v>
      </c>
    </row>
    <row r="1021" spans="28:45" x14ac:dyDescent="0.25">
      <c r="AB1021" s="89"/>
      <c r="AD1021" s="20" t="s">
        <v>2384</v>
      </c>
      <c r="AE1021" s="10" t="s">
        <v>382</v>
      </c>
      <c r="AF1021" s="20" t="s">
        <v>1239</v>
      </c>
      <c r="AG1021" s="10"/>
      <c r="AH1021" s="22" t="str">
        <f t="shared" si="30"/>
        <v xml:space="preserve">Ica_05 Pisco </v>
      </c>
      <c r="AI1021" s="10" t="s">
        <v>1285</v>
      </c>
      <c r="AJ1021" s="20" t="s">
        <v>1273</v>
      </c>
      <c r="AK1021" s="22" t="str">
        <f t="shared" si="31"/>
        <v>Ica_05 Pisco _01 Pisco</v>
      </c>
      <c r="AL1021" s="25">
        <v>1</v>
      </c>
      <c r="AM1021" s="25">
        <v>17</v>
      </c>
      <c r="AN1021" s="26">
        <f>Tabla2[[#This Row],[Minutos]]/60</f>
        <v>0.28333333333333333</v>
      </c>
      <c r="AO1021" s="27">
        <f>SUM(Tabla2[[#This Row],[Horas]],Tabla2[[#This Row],[Minutos a Horas]])</f>
        <v>1.2833333333333332</v>
      </c>
      <c r="AP1021" s="49">
        <v>1</v>
      </c>
      <c r="AQ1021" s="49">
        <v>10</v>
      </c>
      <c r="AR1021" s="26">
        <f>Tabla2[[#This Row],[Minutos*]]/60</f>
        <v>0.16666666666666666</v>
      </c>
      <c r="AS1021" s="27">
        <f>SUM(Tabla2[[#This Row],[Horas*]],Tabla2[[#This Row],[Minutos a Horas*]])+(Tabla2[[#This Row],[Tiempo Total a Nivel Proncincial (Horas)]])</f>
        <v>2.4500000000000002</v>
      </c>
    </row>
    <row r="1022" spans="28:45" x14ac:dyDescent="0.25">
      <c r="AB1022" s="89"/>
      <c r="AD1022" s="20" t="s">
        <v>2384</v>
      </c>
      <c r="AE1022" s="10" t="s">
        <v>382</v>
      </c>
      <c r="AF1022" s="20" t="s">
        <v>1239</v>
      </c>
      <c r="AG1022" s="10"/>
      <c r="AH1022" s="22" t="str">
        <f t="shared" si="30"/>
        <v xml:space="preserve">Ica_05 Pisco </v>
      </c>
      <c r="AI1022" s="10" t="s">
        <v>1285</v>
      </c>
      <c r="AJ1022" s="20" t="s">
        <v>1274</v>
      </c>
      <c r="AK1022" s="22" t="str">
        <f t="shared" si="31"/>
        <v>Ica_05 Pisco _02 Huancano</v>
      </c>
      <c r="AL1022" s="25">
        <v>1</v>
      </c>
      <c r="AM1022" s="25">
        <v>17</v>
      </c>
      <c r="AN1022" s="26">
        <f>Tabla2[[#This Row],[Minutos]]/60</f>
        <v>0.28333333333333333</v>
      </c>
      <c r="AO1022" s="27">
        <f>SUM(Tabla2[[#This Row],[Horas]],Tabla2[[#This Row],[Minutos a Horas]])</f>
        <v>1.2833333333333332</v>
      </c>
      <c r="AP1022" s="49">
        <v>2</v>
      </c>
      <c r="AQ1022" s="49">
        <v>0</v>
      </c>
      <c r="AR1022" s="26">
        <f>Tabla2[[#This Row],[Minutos*]]/60</f>
        <v>0</v>
      </c>
      <c r="AS1022" s="27">
        <f>SUM(Tabla2[[#This Row],[Horas*]],Tabla2[[#This Row],[Minutos a Horas*]])+(Tabla2[[#This Row],[Tiempo Total a Nivel Proncincial (Horas)]])</f>
        <v>3.2833333333333332</v>
      </c>
    </row>
    <row r="1023" spans="28:45" x14ac:dyDescent="0.25">
      <c r="AB1023" s="89"/>
      <c r="AD1023" s="20" t="s">
        <v>2384</v>
      </c>
      <c r="AE1023" s="10" t="s">
        <v>382</v>
      </c>
      <c r="AF1023" s="20" t="s">
        <v>1239</v>
      </c>
      <c r="AG1023" s="10"/>
      <c r="AH1023" s="22" t="str">
        <f t="shared" si="30"/>
        <v xml:space="preserve">Ica_05 Pisco </v>
      </c>
      <c r="AI1023" s="10" t="s">
        <v>1285</v>
      </c>
      <c r="AJ1023" s="20" t="s">
        <v>1275</v>
      </c>
      <c r="AK1023" s="22" t="str">
        <f t="shared" si="31"/>
        <v>Ica_05 Pisco _03 Humay</v>
      </c>
      <c r="AL1023" s="25">
        <v>1</v>
      </c>
      <c r="AM1023" s="25">
        <v>17</v>
      </c>
      <c r="AN1023" s="26">
        <f>Tabla2[[#This Row],[Minutos]]/60</f>
        <v>0.28333333333333333</v>
      </c>
      <c r="AO1023" s="27">
        <f>SUM(Tabla2[[#This Row],[Horas]],Tabla2[[#This Row],[Minutos a Horas]])</f>
        <v>1.2833333333333332</v>
      </c>
      <c r="AP1023" s="49">
        <v>1</v>
      </c>
      <c r="AQ1023" s="49">
        <v>30</v>
      </c>
      <c r="AR1023" s="26">
        <f>Tabla2[[#This Row],[Minutos*]]/60</f>
        <v>0.5</v>
      </c>
      <c r="AS1023" s="27">
        <f>SUM(Tabla2[[#This Row],[Horas*]],Tabla2[[#This Row],[Minutos a Horas*]])+(Tabla2[[#This Row],[Tiempo Total a Nivel Proncincial (Horas)]])</f>
        <v>2.7833333333333332</v>
      </c>
    </row>
    <row r="1024" spans="28:45" x14ac:dyDescent="0.25">
      <c r="AB1024" s="89"/>
      <c r="AD1024" s="20" t="s">
        <v>2384</v>
      </c>
      <c r="AE1024" s="10" t="s">
        <v>382</v>
      </c>
      <c r="AF1024" s="20" t="s">
        <v>1239</v>
      </c>
      <c r="AG1024" s="10"/>
      <c r="AH1024" s="22" t="str">
        <f t="shared" si="30"/>
        <v xml:space="preserve">Ica_05 Pisco </v>
      </c>
      <c r="AI1024" s="10" t="s">
        <v>1285</v>
      </c>
      <c r="AJ1024" s="20" t="s">
        <v>1276</v>
      </c>
      <c r="AK1024" s="22" t="str">
        <f t="shared" si="31"/>
        <v>Ica_05 Pisco _04 Independencia</v>
      </c>
      <c r="AL1024" s="25">
        <v>1</v>
      </c>
      <c r="AM1024" s="25">
        <v>17</v>
      </c>
      <c r="AN1024" s="26">
        <f>Tabla2[[#This Row],[Minutos]]/60</f>
        <v>0.28333333333333333</v>
      </c>
      <c r="AO1024" s="27">
        <f>SUM(Tabla2[[#This Row],[Horas]],Tabla2[[#This Row],[Minutos a Horas]])</f>
        <v>1.2833333333333332</v>
      </c>
      <c r="AP1024" s="49">
        <v>1</v>
      </c>
      <c r="AQ1024" s="49">
        <v>20</v>
      </c>
      <c r="AR1024" s="26">
        <f>Tabla2[[#This Row],[Minutos*]]/60</f>
        <v>0.33333333333333331</v>
      </c>
      <c r="AS1024" s="27">
        <f>SUM(Tabla2[[#This Row],[Horas*]],Tabla2[[#This Row],[Minutos a Horas*]])+(Tabla2[[#This Row],[Tiempo Total a Nivel Proncincial (Horas)]])</f>
        <v>2.6166666666666663</v>
      </c>
    </row>
    <row r="1025" spans="28:45" x14ac:dyDescent="0.25">
      <c r="AB1025" s="89"/>
      <c r="AD1025" s="20" t="s">
        <v>2384</v>
      </c>
      <c r="AE1025" s="10" t="s">
        <v>382</v>
      </c>
      <c r="AF1025" s="20" t="s">
        <v>1239</v>
      </c>
      <c r="AG1025" s="10"/>
      <c r="AH1025" s="22" t="str">
        <f t="shared" si="30"/>
        <v xml:space="preserve">Ica_05 Pisco </v>
      </c>
      <c r="AI1025" s="10" t="s">
        <v>1285</v>
      </c>
      <c r="AJ1025" s="20" t="s">
        <v>1277</v>
      </c>
      <c r="AK1025" s="22" t="str">
        <f t="shared" si="31"/>
        <v>Ica_05 Pisco _05 Paracas</v>
      </c>
      <c r="AL1025" s="25">
        <v>1</v>
      </c>
      <c r="AM1025" s="25">
        <v>17</v>
      </c>
      <c r="AN1025" s="26">
        <f>Tabla2[[#This Row],[Minutos]]/60</f>
        <v>0.28333333333333333</v>
      </c>
      <c r="AO1025" s="27">
        <f>SUM(Tabla2[[#This Row],[Horas]],Tabla2[[#This Row],[Minutos a Horas]])</f>
        <v>1.2833333333333332</v>
      </c>
      <c r="AP1025" s="49">
        <v>1</v>
      </c>
      <c r="AQ1025" s="49">
        <v>0</v>
      </c>
      <c r="AR1025" s="26">
        <f>Tabla2[[#This Row],[Minutos*]]/60</f>
        <v>0</v>
      </c>
      <c r="AS1025" s="27">
        <f>SUM(Tabla2[[#This Row],[Horas*]],Tabla2[[#This Row],[Minutos a Horas*]])+(Tabla2[[#This Row],[Tiempo Total a Nivel Proncincial (Horas)]])</f>
        <v>2.2833333333333332</v>
      </c>
    </row>
    <row r="1026" spans="28:45" x14ac:dyDescent="0.25">
      <c r="AB1026" s="89"/>
      <c r="AD1026" s="20" t="s">
        <v>2384</v>
      </c>
      <c r="AE1026" s="10" t="s">
        <v>382</v>
      </c>
      <c r="AF1026" s="20" t="s">
        <v>1239</v>
      </c>
      <c r="AG1026" s="10"/>
      <c r="AH1026" s="22" t="str">
        <f t="shared" si="30"/>
        <v xml:space="preserve">Ica_05 Pisco </v>
      </c>
      <c r="AI1026" s="10" t="s">
        <v>1285</v>
      </c>
      <c r="AJ1026" s="20" t="s">
        <v>1278</v>
      </c>
      <c r="AK1026" s="22" t="str">
        <f t="shared" si="31"/>
        <v>Ica_05 Pisco _06 San Andrés</v>
      </c>
      <c r="AL1026" s="25">
        <v>1</v>
      </c>
      <c r="AM1026" s="25">
        <v>17</v>
      </c>
      <c r="AN1026" s="26">
        <f>Tabla2[[#This Row],[Minutos]]/60</f>
        <v>0.28333333333333333</v>
      </c>
      <c r="AO1026" s="27">
        <f>SUM(Tabla2[[#This Row],[Horas]],Tabla2[[#This Row],[Minutos a Horas]])</f>
        <v>1.2833333333333332</v>
      </c>
      <c r="AP1026" s="49">
        <v>1</v>
      </c>
      <c r="AQ1026" s="49">
        <v>20</v>
      </c>
      <c r="AR1026" s="26">
        <f>Tabla2[[#This Row],[Minutos*]]/60</f>
        <v>0.33333333333333331</v>
      </c>
      <c r="AS1026" s="27">
        <f>SUM(Tabla2[[#This Row],[Horas*]],Tabla2[[#This Row],[Minutos a Horas*]])+(Tabla2[[#This Row],[Tiempo Total a Nivel Proncincial (Horas)]])</f>
        <v>2.6166666666666663</v>
      </c>
    </row>
    <row r="1027" spans="28:45" x14ac:dyDescent="0.25">
      <c r="AB1027" s="89"/>
      <c r="AD1027" s="20" t="s">
        <v>2384</v>
      </c>
      <c r="AE1027" s="10" t="s">
        <v>382</v>
      </c>
      <c r="AF1027" s="20" t="s">
        <v>1239</v>
      </c>
      <c r="AG1027" s="10"/>
      <c r="AH1027" s="22" t="str">
        <f t="shared" si="30"/>
        <v xml:space="preserve">Ica_05 Pisco </v>
      </c>
      <c r="AI1027" s="10" t="s">
        <v>1285</v>
      </c>
      <c r="AJ1027" s="20" t="s">
        <v>1279</v>
      </c>
      <c r="AK1027" s="22" t="str">
        <f t="shared" si="31"/>
        <v>Ica_05 Pisco _07 San Clemente</v>
      </c>
      <c r="AL1027" s="25">
        <v>1</v>
      </c>
      <c r="AM1027" s="25">
        <v>17</v>
      </c>
      <c r="AN1027" s="26">
        <f>Tabla2[[#This Row],[Minutos]]/60</f>
        <v>0.28333333333333333</v>
      </c>
      <c r="AO1027" s="27">
        <f>SUM(Tabla2[[#This Row],[Horas]],Tabla2[[#This Row],[Minutos a Horas]])</f>
        <v>1.2833333333333332</v>
      </c>
      <c r="AP1027" s="49">
        <v>1</v>
      </c>
      <c r="AQ1027" s="49">
        <v>20</v>
      </c>
      <c r="AR1027" s="26">
        <f>Tabla2[[#This Row],[Minutos*]]/60</f>
        <v>0.33333333333333331</v>
      </c>
      <c r="AS1027" s="27">
        <f>SUM(Tabla2[[#This Row],[Horas*]],Tabla2[[#This Row],[Minutos a Horas*]])+(Tabla2[[#This Row],[Tiempo Total a Nivel Proncincial (Horas)]])</f>
        <v>2.6166666666666663</v>
      </c>
    </row>
    <row r="1028" spans="28:45" x14ac:dyDescent="0.25">
      <c r="AB1028" s="89"/>
      <c r="AD1028" s="20" t="s">
        <v>2384</v>
      </c>
      <c r="AE1028" s="10" t="s">
        <v>382</v>
      </c>
      <c r="AF1028" s="20" t="s">
        <v>1239</v>
      </c>
      <c r="AG1028" s="10"/>
      <c r="AH1028" s="22" t="str">
        <f t="shared" si="30"/>
        <v xml:space="preserve">Ica_05 Pisco </v>
      </c>
      <c r="AI1028" s="10" t="s">
        <v>1285</v>
      </c>
      <c r="AJ1028" s="20" t="s">
        <v>1280</v>
      </c>
      <c r="AK1028" s="22" t="str">
        <f t="shared" si="31"/>
        <v>Ica_05 Pisco _08 Tupac Amaru Inca</v>
      </c>
      <c r="AL1028" s="25">
        <v>1</v>
      </c>
      <c r="AM1028" s="25">
        <v>17</v>
      </c>
      <c r="AN1028" s="26">
        <f>Tabla2[[#This Row],[Minutos]]/60</f>
        <v>0.28333333333333333</v>
      </c>
      <c r="AO1028" s="27">
        <f>SUM(Tabla2[[#This Row],[Horas]],Tabla2[[#This Row],[Minutos a Horas]])</f>
        <v>1.2833333333333332</v>
      </c>
      <c r="AP1028" s="49">
        <v>1</v>
      </c>
      <c r="AQ1028" s="49">
        <v>20</v>
      </c>
      <c r="AR1028" s="26">
        <f>Tabla2[[#This Row],[Minutos*]]/60</f>
        <v>0.33333333333333331</v>
      </c>
      <c r="AS1028" s="27">
        <f>SUM(Tabla2[[#This Row],[Horas*]],Tabla2[[#This Row],[Minutos a Horas*]])+(Tabla2[[#This Row],[Tiempo Total a Nivel Proncincial (Horas)]])</f>
        <v>2.6166666666666663</v>
      </c>
    </row>
    <row r="1029" spans="28:45" x14ac:dyDescent="0.25">
      <c r="AB1029" s="89"/>
      <c r="AD1029" s="33" t="s">
        <v>2394</v>
      </c>
      <c r="AE1029" s="10" t="s">
        <v>383</v>
      </c>
      <c r="AF1029" s="20" t="s">
        <v>1295</v>
      </c>
      <c r="AG1029" s="10" t="s">
        <v>1295</v>
      </c>
      <c r="AH1029" s="22" t="str">
        <f t="shared" si="30"/>
        <v xml:space="preserve">Junín_01 Huancayo </v>
      </c>
      <c r="AI1029" s="10" t="s">
        <v>1286</v>
      </c>
      <c r="AJ1029" s="20" t="s">
        <v>1304</v>
      </c>
      <c r="AK1029" s="22" t="str">
        <f t="shared" si="31"/>
        <v>Junín_01 Huancayo _01 Huancayo</v>
      </c>
      <c r="AL1029" s="25">
        <v>1</v>
      </c>
      <c r="AM1029" s="25">
        <v>37</v>
      </c>
      <c r="AN1029" s="26">
        <f>Tabla2[[#This Row],[Minutos]]/60</f>
        <v>0.6166666666666667</v>
      </c>
      <c r="AO1029" s="27">
        <f>SUM(Tabla2[[#This Row],[Horas]],Tabla2[[#This Row],[Minutos a Horas]])</f>
        <v>1.6166666666666667</v>
      </c>
      <c r="AP1029" s="85">
        <v>0</v>
      </c>
      <c r="AQ1029" s="85">
        <v>10</v>
      </c>
      <c r="AR1029" s="26">
        <f>Tabla2[[#This Row],[Minutos*]]/60</f>
        <v>0.16666666666666666</v>
      </c>
      <c r="AS1029" s="27">
        <f>SUM(Tabla2[[#This Row],[Horas*]],Tabla2[[#This Row],[Minutos a Horas*]])+(Tabla2[[#This Row],[Tiempo Total a Nivel Proncincial (Horas)]])</f>
        <v>1.7833333333333334</v>
      </c>
    </row>
    <row r="1030" spans="28:45" x14ac:dyDescent="0.25">
      <c r="AB1030" s="89"/>
      <c r="AD1030" s="33" t="s">
        <v>2394</v>
      </c>
      <c r="AE1030" s="10" t="s">
        <v>383</v>
      </c>
      <c r="AF1030" s="20" t="s">
        <v>1295</v>
      </c>
      <c r="AG1030" s="10" t="s">
        <v>1296</v>
      </c>
      <c r="AH1030" s="22" t="str">
        <f t="shared" si="30"/>
        <v xml:space="preserve">Junín_01 Huancayo </v>
      </c>
      <c r="AI1030" s="10" t="s">
        <v>1286</v>
      </c>
      <c r="AJ1030" s="20" t="s">
        <v>1305</v>
      </c>
      <c r="AK1030" s="22" t="str">
        <f t="shared" si="31"/>
        <v>Junín_01 Huancayo _04 Carhuacallanga</v>
      </c>
      <c r="AL1030" s="25">
        <v>1</v>
      </c>
      <c r="AM1030" s="25">
        <v>37</v>
      </c>
      <c r="AN1030" s="26">
        <f>Tabla2[[#This Row],[Minutos]]/60</f>
        <v>0.6166666666666667</v>
      </c>
      <c r="AO1030" s="27">
        <f>SUM(Tabla2[[#This Row],[Horas]],Tabla2[[#This Row],[Minutos a Horas]])</f>
        <v>1.6166666666666667</v>
      </c>
      <c r="AP1030" s="85">
        <v>3</v>
      </c>
      <c r="AQ1030" s="85">
        <v>30</v>
      </c>
      <c r="AR1030" s="26">
        <f>Tabla2[[#This Row],[Minutos*]]/60</f>
        <v>0.5</v>
      </c>
      <c r="AS1030" s="27">
        <f>SUM(Tabla2[[#This Row],[Horas*]],Tabla2[[#This Row],[Minutos a Horas*]])+(Tabla2[[#This Row],[Tiempo Total a Nivel Proncincial (Horas)]])</f>
        <v>5.1166666666666671</v>
      </c>
    </row>
    <row r="1031" spans="28:45" x14ac:dyDescent="0.25">
      <c r="AB1031" s="89"/>
      <c r="AD1031" s="33" t="s">
        <v>2394</v>
      </c>
      <c r="AE1031" s="10" t="s">
        <v>383</v>
      </c>
      <c r="AF1031" s="20" t="s">
        <v>1295</v>
      </c>
      <c r="AG1031" s="10" t="s">
        <v>1297</v>
      </c>
      <c r="AH1031" s="22" t="str">
        <f t="shared" si="30"/>
        <v xml:space="preserve">Junín_01 Huancayo </v>
      </c>
      <c r="AI1031" s="10" t="s">
        <v>1286</v>
      </c>
      <c r="AJ1031" s="20" t="s">
        <v>1306</v>
      </c>
      <c r="AK1031" s="22" t="str">
        <f t="shared" si="31"/>
        <v>Junín_01 Huancayo _05 Chacapampa</v>
      </c>
      <c r="AL1031" s="25">
        <v>1</v>
      </c>
      <c r="AM1031" s="25">
        <v>37</v>
      </c>
      <c r="AN1031" s="26">
        <f>Tabla2[[#This Row],[Minutos]]/60</f>
        <v>0.6166666666666667</v>
      </c>
      <c r="AO1031" s="27">
        <f>SUM(Tabla2[[#This Row],[Horas]],Tabla2[[#This Row],[Minutos a Horas]])</f>
        <v>1.6166666666666667</v>
      </c>
      <c r="AP1031" s="85">
        <v>2</v>
      </c>
      <c r="AQ1031" s="85">
        <v>20</v>
      </c>
      <c r="AR1031" s="26">
        <f>Tabla2[[#This Row],[Minutos*]]/60</f>
        <v>0.33333333333333331</v>
      </c>
      <c r="AS1031" s="27">
        <f>SUM(Tabla2[[#This Row],[Horas*]],Tabla2[[#This Row],[Minutos a Horas*]])+(Tabla2[[#This Row],[Tiempo Total a Nivel Proncincial (Horas)]])</f>
        <v>3.95</v>
      </c>
    </row>
    <row r="1032" spans="28:45" x14ac:dyDescent="0.25">
      <c r="AB1032" s="89"/>
      <c r="AD1032" s="33" t="s">
        <v>2394</v>
      </c>
      <c r="AE1032" s="10" t="s">
        <v>383</v>
      </c>
      <c r="AF1032" s="20" t="s">
        <v>1295</v>
      </c>
      <c r="AG1032" s="10" t="s">
        <v>1298</v>
      </c>
      <c r="AH1032" s="22" t="str">
        <f t="shared" ref="AH1032:AH1095" si="32">CONCATENATE(AD1032,"_",AF1032)</f>
        <v xml:space="preserve">Junín_01 Huancayo </v>
      </c>
      <c r="AI1032" s="10" t="s">
        <v>1286</v>
      </c>
      <c r="AJ1032" s="20" t="s">
        <v>1307</v>
      </c>
      <c r="AK1032" s="22" t="str">
        <f t="shared" ref="AK1032:AK1095" si="33">CONCATENATE(AH1032,"_",AJ1032)</f>
        <v>Junín_01 Huancayo _06 Chicche</v>
      </c>
      <c r="AL1032" s="25">
        <v>1</v>
      </c>
      <c r="AM1032" s="25">
        <v>37</v>
      </c>
      <c r="AN1032" s="26">
        <f>Tabla2[[#This Row],[Minutos]]/60</f>
        <v>0.6166666666666667</v>
      </c>
      <c r="AO1032" s="27">
        <f>SUM(Tabla2[[#This Row],[Horas]],Tabla2[[#This Row],[Minutos a Horas]])</f>
        <v>1.6166666666666667</v>
      </c>
      <c r="AP1032" s="85">
        <v>2</v>
      </c>
      <c r="AQ1032" s="85">
        <v>45</v>
      </c>
      <c r="AR1032" s="26">
        <f>Tabla2[[#This Row],[Minutos*]]/60</f>
        <v>0.75</v>
      </c>
      <c r="AS1032" s="27">
        <f>SUM(Tabla2[[#This Row],[Horas*]],Tabla2[[#This Row],[Minutos a Horas*]])+(Tabla2[[#This Row],[Tiempo Total a Nivel Proncincial (Horas)]])</f>
        <v>4.3666666666666671</v>
      </c>
    </row>
    <row r="1033" spans="28:45" x14ac:dyDescent="0.25">
      <c r="AB1033" s="89"/>
      <c r="AD1033" s="33" t="s">
        <v>2394</v>
      </c>
      <c r="AE1033" s="10" t="s">
        <v>383</v>
      </c>
      <c r="AF1033" s="20" t="s">
        <v>1295</v>
      </c>
      <c r="AG1033" s="10" t="s">
        <v>1299</v>
      </c>
      <c r="AH1033" s="22" t="str">
        <f t="shared" si="32"/>
        <v xml:space="preserve">Junín_01 Huancayo </v>
      </c>
      <c r="AI1033" s="10" t="s">
        <v>1286</v>
      </c>
      <c r="AJ1033" s="20" t="s">
        <v>1308</v>
      </c>
      <c r="AK1033" s="22" t="str">
        <f t="shared" si="33"/>
        <v>Junín_01 Huancayo _07 Chilca</v>
      </c>
      <c r="AL1033" s="25">
        <v>1</v>
      </c>
      <c r="AM1033" s="25">
        <v>37</v>
      </c>
      <c r="AN1033" s="26">
        <f>Tabla2[[#This Row],[Minutos]]/60</f>
        <v>0.6166666666666667</v>
      </c>
      <c r="AO1033" s="27">
        <f>SUM(Tabla2[[#This Row],[Horas]],Tabla2[[#This Row],[Minutos a Horas]])</f>
        <v>1.6166666666666667</v>
      </c>
      <c r="AP1033" s="85">
        <v>0</v>
      </c>
      <c r="AQ1033" s="85">
        <v>15</v>
      </c>
      <c r="AR1033" s="26">
        <f>Tabla2[[#This Row],[Minutos*]]/60</f>
        <v>0.25</v>
      </c>
      <c r="AS1033" s="27">
        <f>SUM(Tabla2[[#This Row],[Horas*]],Tabla2[[#This Row],[Minutos a Horas*]])+(Tabla2[[#This Row],[Tiempo Total a Nivel Proncincial (Horas)]])</f>
        <v>1.8666666666666667</v>
      </c>
    </row>
    <row r="1034" spans="28:45" x14ac:dyDescent="0.25">
      <c r="AB1034" s="89"/>
      <c r="AD1034" s="33" t="s">
        <v>2394</v>
      </c>
      <c r="AE1034" s="10" t="s">
        <v>383</v>
      </c>
      <c r="AF1034" s="20" t="s">
        <v>1295</v>
      </c>
      <c r="AG1034" s="10" t="s">
        <v>1300</v>
      </c>
      <c r="AH1034" s="22" t="str">
        <f t="shared" si="32"/>
        <v xml:space="preserve">Junín_01 Huancayo </v>
      </c>
      <c r="AI1034" s="10" t="s">
        <v>1286</v>
      </c>
      <c r="AJ1034" s="20" t="s">
        <v>1309</v>
      </c>
      <c r="AK1034" s="22" t="str">
        <f t="shared" si="33"/>
        <v>Junín_01 Huancayo _08 Chongos Alto</v>
      </c>
      <c r="AL1034" s="25">
        <v>1</v>
      </c>
      <c r="AM1034" s="25">
        <v>37</v>
      </c>
      <c r="AN1034" s="26">
        <f>Tabla2[[#This Row],[Minutos]]/60</f>
        <v>0.6166666666666667</v>
      </c>
      <c r="AO1034" s="27">
        <f>SUM(Tabla2[[#This Row],[Horas]],Tabla2[[#This Row],[Minutos a Horas]])</f>
        <v>1.6166666666666667</v>
      </c>
      <c r="AP1034" s="85">
        <v>2</v>
      </c>
      <c r="AQ1034" s="85">
        <v>20</v>
      </c>
      <c r="AR1034" s="26">
        <f>Tabla2[[#This Row],[Minutos*]]/60</f>
        <v>0.33333333333333331</v>
      </c>
      <c r="AS1034" s="27">
        <f>SUM(Tabla2[[#This Row],[Horas*]],Tabla2[[#This Row],[Minutos a Horas*]])+(Tabla2[[#This Row],[Tiempo Total a Nivel Proncincial (Horas)]])</f>
        <v>3.95</v>
      </c>
    </row>
    <row r="1035" spans="28:45" x14ac:dyDescent="0.25">
      <c r="AB1035" s="89"/>
      <c r="AD1035" s="33" t="s">
        <v>2394</v>
      </c>
      <c r="AE1035" s="10" t="s">
        <v>383</v>
      </c>
      <c r="AF1035" s="20" t="s">
        <v>1295</v>
      </c>
      <c r="AG1035" s="10" t="s">
        <v>1301</v>
      </c>
      <c r="AH1035" s="22" t="str">
        <f t="shared" si="32"/>
        <v xml:space="preserve">Junín_01 Huancayo </v>
      </c>
      <c r="AI1035" s="10" t="s">
        <v>1286</v>
      </c>
      <c r="AJ1035" s="20" t="s">
        <v>1310</v>
      </c>
      <c r="AK1035" s="22" t="str">
        <f t="shared" si="33"/>
        <v>Junín_01 Huancayo _11 Chupuro</v>
      </c>
      <c r="AL1035" s="25">
        <v>1</v>
      </c>
      <c r="AM1035" s="25">
        <v>37</v>
      </c>
      <c r="AN1035" s="26">
        <f>Tabla2[[#This Row],[Minutos]]/60</f>
        <v>0.6166666666666667</v>
      </c>
      <c r="AO1035" s="27">
        <f>SUM(Tabla2[[#This Row],[Horas]],Tabla2[[#This Row],[Minutos a Horas]])</f>
        <v>1.6166666666666667</v>
      </c>
      <c r="AP1035" s="85">
        <v>0</v>
      </c>
      <c r="AQ1035" s="85">
        <v>50</v>
      </c>
      <c r="AR1035" s="26">
        <f>Tabla2[[#This Row],[Minutos*]]/60</f>
        <v>0.83333333333333337</v>
      </c>
      <c r="AS1035" s="27">
        <f>SUM(Tabla2[[#This Row],[Horas*]],Tabla2[[#This Row],[Minutos a Horas*]])+(Tabla2[[#This Row],[Tiempo Total a Nivel Proncincial (Horas)]])</f>
        <v>2.4500000000000002</v>
      </c>
    </row>
    <row r="1036" spans="28:45" x14ac:dyDescent="0.25">
      <c r="AB1036" s="89"/>
      <c r="AD1036" s="33" t="s">
        <v>2394</v>
      </c>
      <c r="AE1036" s="10" t="s">
        <v>383</v>
      </c>
      <c r="AF1036" s="20" t="s">
        <v>1295</v>
      </c>
      <c r="AG1036" s="10" t="s">
        <v>1302</v>
      </c>
      <c r="AH1036" s="22" t="str">
        <f t="shared" si="32"/>
        <v xml:space="preserve">Junín_01 Huancayo </v>
      </c>
      <c r="AI1036" s="10" t="s">
        <v>1286</v>
      </c>
      <c r="AJ1036" s="20" t="s">
        <v>1311</v>
      </c>
      <c r="AK1036" s="22" t="str">
        <f t="shared" si="33"/>
        <v>Junín_01 Huancayo _12 Colca</v>
      </c>
      <c r="AL1036" s="25">
        <v>1</v>
      </c>
      <c r="AM1036" s="25">
        <v>37</v>
      </c>
      <c r="AN1036" s="26">
        <f>Tabla2[[#This Row],[Minutos]]/60</f>
        <v>0.6166666666666667</v>
      </c>
      <c r="AO1036" s="27">
        <f>SUM(Tabla2[[#This Row],[Horas]],Tabla2[[#This Row],[Minutos a Horas]])</f>
        <v>1.6166666666666667</v>
      </c>
      <c r="AP1036" s="85">
        <v>1</v>
      </c>
      <c r="AQ1036" s="85">
        <v>30</v>
      </c>
      <c r="AR1036" s="26">
        <f>Tabla2[[#This Row],[Minutos*]]/60</f>
        <v>0.5</v>
      </c>
      <c r="AS1036" s="27">
        <f>SUM(Tabla2[[#This Row],[Horas*]],Tabla2[[#This Row],[Minutos a Horas*]])+(Tabla2[[#This Row],[Tiempo Total a Nivel Proncincial (Horas)]])</f>
        <v>3.1166666666666667</v>
      </c>
    </row>
    <row r="1037" spans="28:45" x14ac:dyDescent="0.25">
      <c r="AB1037" s="89"/>
      <c r="AD1037" s="33" t="s">
        <v>2394</v>
      </c>
      <c r="AE1037" s="10" t="s">
        <v>383</v>
      </c>
      <c r="AF1037" s="20" t="s">
        <v>1295</v>
      </c>
      <c r="AG1037" s="10" t="s">
        <v>1303</v>
      </c>
      <c r="AH1037" s="22" t="str">
        <f t="shared" si="32"/>
        <v xml:space="preserve">Junín_01 Huancayo </v>
      </c>
      <c r="AI1037" s="10" t="s">
        <v>1286</v>
      </c>
      <c r="AJ1037" s="20" t="s">
        <v>1312</v>
      </c>
      <c r="AK1037" s="22" t="str">
        <f t="shared" si="33"/>
        <v>Junín_01 Huancayo _13 Cullhuas</v>
      </c>
      <c r="AL1037" s="25">
        <v>1</v>
      </c>
      <c r="AM1037" s="25">
        <v>37</v>
      </c>
      <c r="AN1037" s="26">
        <f>Tabla2[[#This Row],[Minutos]]/60</f>
        <v>0.6166666666666667</v>
      </c>
      <c r="AO1037" s="27">
        <f>SUM(Tabla2[[#This Row],[Horas]],Tabla2[[#This Row],[Minutos a Horas]])</f>
        <v>1.6166666666666667</v>
      </c>
      <c r="AP1037" s="85">
        <v>0</v>
      </c>
      <c r="AQ1037" s="85">
        <v>39</v>
      </c>
      <c r="AR1037" s="26">
        <f>Tabla2[[#This Row],[Minutos*]]/60</f>
        <v>0.65</v>
      </c>
      <c r="AS1037" s="27">
        <f>SUM(Tabla2[[#This Row],[Horas*]],Tabla2[[#This Row],[Minutos a Horas*]])+(Tabla2[[#This Row],[Tiempo Total a Nivel Proncincial (Horas)]])</f>
        <v>2.2666666666666666</v>
      </c>
    </row>
    <row r="1038" spans="28:45" x14ac:dyDescent="0.25">
      <c r="AB1038" s="89"/>
      <c r="AD1038" s="33" t="s">
        <v>2394</v>
      </c>
      <c r="AE1038" s="10" t="s">
        <v>383</v>
      </c>
      <c r="AF1038" s="20" t="s">
        <v>1295</v>
      </c>
      <c r="AG1038" s="10"/>
      <c r="AH1038" s="22" t="str">
        <f t="shared" si="32"/>
        <v xml:space="preserve">Junín_01 Huancayo </v>
      </c>
      <c r="AI1038" s="10" t="s">
        <v>1286</v>
      </c>
      <c r="AJ1038" s="20" t="s">
        <v>1313</v>
      </c>
      <c r="AK1038" s="22" t="str">
        <f t="shared" si="33"/>
        <v>Junín_01 Huancayo _14 El Tambo</v>
      </c>
      <c r="AL1038" s="25">
        <v>1</v>
      </c>
      <c r="AM1038" s="25">
        <v>37</v>
      </c>
      <c r="AN1038" s="26">
        <f>Tabla2[[#This Row],[Minutos]]/60</f>
        <v>0.6166666666666667</v>
      </c>
      <c r="AO1038" s="27">
        <f>SUM(Tabla2[[#This Row],[Horas]],Tabla2[[#This Row],[Minutos a Horas]])</f>
        <v>1.6166666666666667</v>
      </c>
      <c r="AP1038" s="85">
        <v>0</v>
      </c>
      <c r="AQ1038" s="85">
        <v>13</v>
      </c>
      <c r="AR1038" s="26">
        <f>Tabla2[[#This Row],[Minutos*]]/60</f>
        <v>0.21666666666666667</v>
      </c>
      <c r="AS1038" s="27">
        <f>SUM(Tabla2[[#This Row],[Horas*]],Tabla2[[#This Row],[Minutos a Horas*]])+(Tabla2[[#This Row],[Tiempo Total a Nivel Proncincial (Horas)]])</f>
        <v>1.8333333333333335</v>
      </c>
    </row>
    <row r="1039" spans="28:45" x14ac:dyDescent="0.25">
      <c r="AB1039" s="89"/>
      <c r="AD1039" s="33" t="s">
        <v>2394</v>
      </c>
      <c r="AE1039" s="10" t="s">
        <v>383</v>
      </c>
      <c r="AF1039" s="20" t="s">
        <v>1295</v>
      </c>
      <c r="AG1039" s="10"/>
      <c r="AH1039" s="22" t="str">
        <f t="shared" si="32"/>
        <v xml:space="preserve">Junín_01 Huancayo </v>
      </c>
      <c r="AI1039" s="10" t="s">
        <v>1286</v>
      </c>
      <c r="AJ1039" s="20" t="s">
        <v>1314</v>
      </c>
      <c r="AK1039" s="22" t="str">
        <f t="shared" si="33"/>
        <v>Junín_01 Huancayo _16 Huacrapuquio</v>
      </c>
      <c r="AL1039" s="25">
        <v>1</v>
      </c>
      <c r="AM1039" s="25">
        <v>37</v>
      </c>
      <c r="AN1039" s="26">
        <f>Tabla2[[#This Row],[Minutos]]/60</f>
        <v>0.6166666666666667</v>
      </c>
      <c r="AO1039" s="27">
        <f>SUM(Tabla2[[#This Row],[Horas]],Tabla2[[#This Row],[Minutos a Horas]])</f>
        <v>1.6166666666666667</v>
      </c>
      <c r="AP1039" s="85">
        <v>0</v>
      </c>
      <c r="AQ1039" s="85">
        <v>39</v>
      </c>
      <c r="AR1039" s="26">
        <f>Tabla2[[#This Row],[Minutos*]]/60</f>
        <v>0.65</v>
      </c>
      <c r="AS1039" s="27">
        <f>SUM(Tabla2[[#This Row],[Horas*]],Tabla2[[#This Row],[Minutos a Horas*]])+(Tabla2[[#This Row],[Tiempo Total a Nivel Proncincial (Horas)]])</f>
        <v>2.2666666666666666</v>
      </c>
    </row>
    <row r="1040" spans="28:45" x14ac:dyDescent="0.25">
      <c r="AB1040" s="89"/>
      <c r="AD1040" s="33" t="s">
        <v>2394</v>
      </c>
      <c r="AE1040" s="10" t="s">
        <v>383</v>
      </c>
      <c r="AF1040" s="20" t="s">
        <v>1295</v>
      </c>
      <c r="AG1040" s="10"/>
      <c r="AH1040" s="22" t="str">
        <f t="shared" si="32"/>
        <v xml:space="preserve">Junín_01 Huancayo </v>
      </c>
      <c r="AI1040" s="10" t="s">
        <v>1286</v>
      </c>
      <c r="AJ1040" s="20" t="s">
        <v>1315</v>
      </c>
      <c r="AK1040" s="22" t="str">
        <f t="shared" si="33"/>
        <v>Junín_01 Huancayo _17 Hualhuas</v>
      </c>
      <c r="AL1040" s="25">
        <v>1</v>
      </c>
      <c r="AM1040" s="25">
        <v>37</v>
      </c>
      <c r="AN1040" s="26">
        <f>Tabla2[[#This Row],[Minutos]]/60</f>
        <v>0.6166666666666667</v>
      </c>
      <c r="AO1040" s="27">
        <f>SUM(Tabla2[[#This Row],[Horas]],Tabla2[[#This Row],[Minutos a Horas]])</f>
        <v>1.6166666666666667</v>
      </c>
      <c r="AP1040" s="85">
        <v>0</v>
      </c>
      <c r="AQ1040" s="85">
        <v>35</v>
      </c>
      <c r="AR1040" s="26">
        <f>Tabla2[[#This Row],[Minutos*]]/60</f>
        <v>0.58333333333333337</v>
      </c>
      <c r="AS1040" s="27">
        <f>SUM(Tabla2[[#This Row],[Horas*]],Tabla2[[#This Row],[Minutos a Horas*]])+(Tabla2[[#This Row],[Tiempo Total a Nivel Proncincial (Horas)]])</f>
        <v>2.2000000000000002</v>
      </c>
    </row>
    <row r="1041" spans="28:45" x14ac:dyDescent="0.25">
      <c r="AB1041" s="89"/>
      <c r="AD1041" s="33" t="s">
        <v>2394</v>
      </c>
      <c r="AE1041" s="10" t="s">
        <v>383</v>
      </c>
      <c r="AF1041" s="20" t="s">
        <v>1295</v>
      </c>
      <c r="AG1041" s="10"/>
      <c r="AH1041" s="22" t="str">
        <f t="shared" si="32"/>
        <v xml:space="preserve">Junín_01 Huancayo </v>
      </c>
      <c r="AI1041" s="10" t="s">
        <v>1286</v>
      </c>
      <c r="AJ1041" s="20" t="s">
        <v>1316</v>
      </c>
      <c r="AK1041" s="22" t="str">
        <f t="shared" si="33"/>
        <v>Junín_01 Huancayo _19 Huancan</v>
      </c>
      <c r="AL1041" s="25">
        <v>1</v>
      </c>
      <c r="AM1041" s="25">
        <v>37</v>
      </c>
      <c r="AN1041" s="26">
        <f>Tabla2[[#This Row],[Minutos]]/60</f>
        <v>0.6166666666666667</v>
      </c>
      <c r="AO1041" s="27">
        <f>SUM(Tabla2[[#This Row],[Horas]],Tabla2[[#This Row],[Minutos a Horas]])</f>
        <v>1.6166666666666667</v>
      </c>
      <c r="AP1041" s="85">
        <v>0</v>
      </c>
      <c r="AQ1041" s="85">
        <v>25</v>
      </c>
      <c r="AR1041" s="26">
        <f>Tabla2[[#This Row],[Minutos*]]/60</f>
        <v>0.41666666666666669</v>
      </c>
      <c r="AS1041" s="27">
        <f>SUM(Tabla2[[#This Row],[Horas*]],Tabla2[[#This Row],[Minutos a Horas*]])+(Tabla2[[#This Row],[Tiempo Total a Nivel Proncincial (Horas)]])</f>
        <v>2.0333333333333332</v>
      </c>
    </row>
    <row r="1042" spans="28:45" x14ac:dyDescent="0.25">
      <c r="AB1042" s="89"/>
      <c r="AD1042" s="33" t="s">
        <v>2394</v>
      </c>
      <c r="AE1042" s="10" t="s">
        <v>383</v>
      </c>
      <c r="AF1042" s="20" t="s">
        <v>1295</v>
      </c>
      <c r="AG1042" s="10"/>
      <c r="AH1042" s="22" t="str">
        <f t="shared" si="32"/>
        <v xml:space="preserve">Junín_01 Huancayo </v>
      </c>
      <c r="AI1042" s="10" t="s">
        <v>1286</v>
      </c>
      <c r="AJ1042" s="20" t="s">
        <v>1317</v>
      </c>
      <c r="AK1042" s="22" t="str">
        <f t="shared" si="33"/>
        <v>Junín_01 Huancayo _20 Huasicancha</v>
      </c>
      <c r="AL1042" s="25">
        <v>1</v>
      </c>
      <c r="AM1042" s="25">
        <v>37</v>
      </c>
      <c r="AN1042" s="26">
        <f>Tabla2[[#This Row],[Minutos]]/60</f>
        <v>0.6166666666666667</v>
      </c>
      <c r="AO1042" s="27">
        <f>SUM(Tabla2[[#This Row],[Horas]],Tabla2[[#This Row],[Minutos a Horas]])</f>
        <v>1.6166666666666667</v>
      </c>
      <c r="AP1042" s="85">
        <v>2</v>
      </c>
      <c r="AQ1042" s="85">
        <v>10</v>
      </c>
      <c r="AR1042" s="26">
        <f>Tabla2[[#This Row],[Minutos*]]/60</f>
        <v>0.16666666666666666</v>
      </c>
      <c r="AS1042" s="27">
        <f>SUM(Tabla2[[#This Row],[Horas*]],Tabla2[[#This Row],[Minutos a Horas*]])+(Tabla2[[#This Row],[Tiempo Total a Nivel Proncincial (Horas)]])</f>
        <v>3.7833333333333332</v>
      </c>
    </row>
    <row r="1043" spans="28:45" x14ac:dyDescent="0.25">
      <c r="AB1043" s="89"/>
      <c r="AD1043" s="33" t="s">
        <v>2394</v>
      </c>
      <c r="AE1043" s="10" t="s">
        <v>383</v>
      </c>
      <c r="AF1043" s="20" t="s">
        <v>1295</v>
      </c>
      <c r="AG1043" s="10"/>
      <c r="AH1043" s="22" t="str">
        <f t="shared" si="32"/>
        <v xml:space="preserve">Junín_01 Huancayo </v>
      </c>
      <c r="AI1043" s="10" t="s">
        <v>1286</v>
      </c>
      <c r="AJ1043" s="20" t="s">
        <v>1318</v>
      </c>
      <c r="AK1043" s="22" t="str">
        <f t="shared" si="33"/>
        <v>Junín_01 Huancayo _21 Huayucachi</v>
      </c>
      <c r="AL1043" s="25">
        <v>1</v>
      </c>
      <c r="AM1043" s="25">
        <v>37</v>
      </c>
      <c r="AN1043" s="26">
        <f>Tabla2[[#This Row],[Minutos]]/60</f>
        <v>0.6166666666666667</v>
      </c>
      <c r="AO1043" s="27">
        <f>SUM(Tabla2[[#This Row],[Horas]],Tabla2[[#This Row],[Minutos a Horas]])</f>
        <v>1.6166666666666667</v>
      </c>
      <c r="AP1043" s="85">
        <v>0</v>
      </c>
      <c r="AQ1043" s="85">
        <v>30</v>
      </c>
      <c r="AR1043" s="26">
        <f>Tabla2[[#This Row],[Minutos*]]/60</f>
        <v>0.5</v>
      </c>
      <c r="AS1043" s="27">
        <f>SUM(Tabla2[[#This Row],[Horas*]],Tabla2[[#This Row],[Minutos a Horas*]])+(Tabla2[[#This Row],[Tiempo Total a Nivel Proncincial (Horas)]])</f>
        <v>2.1166666666666667</v>
      </c>
    </row>
    <row r="1044" spans="28:45" x14ac:dyDescent="0.25">
      <c r="AB1044" s="89"/>
      <c r="AD1044" s="33" t="s">
        <v>2394</v>
      </c>
      <c r="AE1044" s="10" t="s">
        <v>383</v>
      </c>
      <c r="AF1044" s="20" t="s">
        <v>1295</v>
      </c>
      <c r="AG1044" s="10"/>
      <c r="AH1044" s="22" t="str">
        <f t="shared" si="32"/>
        <v xml:space="preserve">Junín_01 Huancayo </v>
      </c>
      <c r="AI1044" s="10" t="s">
        <v>1286</v>
      </c>
      <c r="AJ1044" s="20" t="s">
        <v>1319</v>
      </c>
      <c r="AK1044" s="22" t="str">
        <f t="shared" si="33"/>
        <v>Junín_01 Huancayo _22 Ingenio</v>
      </c>
      <c r="AL1044" s="25">
        <v>1</v>
      </c>
      <c r="AM1044" s="25">
        <v>37</v>
      </c>
      <c r="AN1044" s="26">
        <f>Tabla2[[#This Row],[Minutos]]/60</f>
        <v>0.6166666666666667</v>
      </c>
      <c r="AO1044" s="27">
        <f>SUM(Tabla2[[#This Row],[Horas]],Tabla2[[#This Row],[Minutos a Horas]])</f>
        <v>1.6166666666666667</v>
      </c>
      <c r="AP1044" s="85">
        <v>1</v>
      </c>
      <c r="AQ1044" s="85">
        <v>0</v>
      </c>
      <c r="AR1044" s="26">
        <f>Tabla2[[#This Row],[Minutos*]]/60</f>
        <v>0</v>
      </c>
      <c r="AS1044" s="27">
        <f>SUM(Tabla2[[#This Row],[Horas*]],Tabla2[[#This Row],[Minutos a Horas*]])+(Tabla2[[#This Row],[Tiempo Total a Nivel Proncincial (Horas)]])</f>
        <v>2.6166666666666667</v>
      </c>
    </row>
    <row r="1045" spans="28:45" x14ac:dyDescent="0.25">
      <c r="AB1045" s="89"/>
      <c r="AD1045" s="33" t="s">
        <v>2394</v>
      </c>
      <c r="AE1045" s="10" t="s">
        <v>383</v>
      </c>
      <c r="AF1045" s="20" t="s">
        <v>1295</v>
      </c>
      <c r="AG1045" s="10"/>
      <c r="AH1045" s="22" t="str">
        <f t="shared" si="32"/>
        <v xml:space="preserve">Junín_01 Huancayo </v>
      </c>
      <c r="AI1045" s="10" t="s">
        <v>1286</v>
      </c>
      <c r="AJ1045" s="20" t="s">
        <v>1320</v>
      </c>
      <c r="AK1045" s="22" t="str">
        <f t="shared" si="33"/>
        <v>Junín_01 Huancayo _24 Pariahuanca</v>
      </c>
      <c r="AL1045" s="25">
        <v>1</v>
      </c>
      <c r="AM1045" s="25">
        <v>37</v>
      </c>
      <c r="AN1045" s="26">
        <f>Tabla2[[#This Row],[Minutos]]/60</f>
        <v>0.6166666666666667</v>
      </c>
      <c r="AO1045" s="27">
        <f>SUM(Tabla2[[#This Row],[Horas]],Tabla2[[#This Row],[Minutos a Horas]])</f>
        <v>1.6166666666666667</v>
      </c>
      <c r="AP1045" s="85">
        <v>1</v>
      </c>
      <c r="AQ1045" s="85">
        <v>10</v>
      </c>
      <c r="AR1045" s="26">
        <f>Tabla2[[#This Row],[Minutos*]]/60</f>
        <v>0.16666666666666666</v>
      </c>
      <c r="AS1045" s="27">
        <f>SUM(Tabla2[[#This Row],[Horas*]],Tabla2[[#This Row],[Minutos a Horas*]])+(Tabla2[[#This Row],[Tiempo Total a Nivel Proncincial (Horas)]])</f>
        <v>2.7833333333333332</v>
      </c>
    </row>
    <row r="1046" spans="28:45" x14ac:dyDescent="0.25">
      <c r="AB1046" s="89"/>
      <c r="AD1046" s="33" t="s">
        <v>2394</v>
      </c>
      <c r="AE1046" s="10" t="s">
        <v>383</v>
      </c>
      <c r="AF1046" s="20" t="s">
        <v>1295</v>
      </c>
      <c r="AG1046" s="10"/>
      <c r="AH1046" s="22" t="str">
        <f t="shared" si="32"/>
        <v xml:space="preserve">Junín_01 Huancayo </v>
      </c>
      <c r="AI1046" s="10" t="s">
        <v>1286</v>
      </c>
      <c r="AJ1046" s="20" t="s">
        <v>1321</v>
      </c>
      <c r="AK1046" s="22" t="str">
        <f t="shared" si="33"/>
        <v>Junín_01 Huancayo _25 Pilcomayo</v>
      </c>
      <c r="AL1046" s="25">
        <v>1</v>
      </c>
      <c r="AM1046" s="25">
        <v>37</v>
      </c>
      <c r="AN1046" s="26">
        <f>Tabla2[[#This Row],[Minutos]]/60</f>
        <v>0.6166666666666667</v>
      </c>
      <c r="AO1046" s="27">
        <f>SUM(Tabla2[[#This Row],[Horas]],Tabla2[[#This Row],[Minutos a Horas]])</f>
        <v>1.6166666666666667</v>
      </c>
      <c r="AP1046" s="85">
        <v>0</v>
      </c>
      <c r="AQ1046" s="85">
        <v>24</v>
      </c>
      <c r="AR1046" s="26">
        <f>Tabla2[[#This Row],[Minutos*]]/60</f>
        <v>0.4</v>
      </c>
      <c r="AS1046" s="27">
        <f>SUM(Tabla2[[#This Row],[Horas*]],Tabla2[[#This Row],[Minutos a Horas*]])+(Tabla2[[#This Row],[Tiempo Total a Nivel Proncincial (Horas)]])</f>
        <v>2.0166666666666666</v>
      </c>
    </row>
    <row r="1047" spans="28:45" x14ac:dyDescent="0.25">
      <c r="AB1047" s="89"/>
      <c r="AD1047" s="33" t="s">
        <v>2394</v>
      </c>
      <c r="AE1047" s="10" t="s">
        <v>383</v>
      </c>
      <c r="AF1047" s="20" t="s">
        <v>1295</v>
      </c>
      <c r="AG1047" s="10"/>
      <c r="AH1047" s="22" t="str">
        <f t="shared" si="32"/>
        <v xml:space="preserve">Junín_01 Huancayo </v>
      </c>
      <c r="AI1047" s="10" t="s">
        <v>1286</v>
      </c>
      <c r="AJ1047" s="20" t="s">
        <v>1322</v>
      </c>
      <c r="AK1047" s="22" t="str">
        <f t="shared" si="33"/>
        <v>Junín_01 Huancayo _26 Pucara</v>
      </c>
      <c r="AL1047" s="25">
        <v>1</v>
      </c>
      <c r="AM1047" s="25">
        <v>37</v>
      </c>
      <c r="AN1047" s="26">
        <f>Tabla2[[#This Row],[Minutos]]/60</f>
        <v>0.6166666666666667</v>
      </c>
      <c r="AO1047" s="27">
        <f>SUM(Tabla2[[#This Row],[Horas]],Tabla2[[#This Row],[Minutos a Horas]])</f>
        <v>1.6166666666666667</v>
      </c>
      <c r="AP1047" s="85">
        <v>0</v>
      </c>
      <c r="AQ1047" s="85">
        <v>34</v>
      </c>
      <c r="AR1047" s="26">
        <f>Tabla2[[#This Row],[Minutos*]]/60</f>
        <v>0.56666666666666665</v>
      </c>
      <c r="AS1047" s="27">
        <f>SUM(Tabla2[[#This Row],[Horas*]],Tabla2[[#This Row],[Minutos a Horas*]])+(Tabla2[[#This Row],[Tiempo Total a Nivel Proncincial (Horas)]])</f>
        <v>2.1833333333333336</v>
      </c>
    </row>
    <row r="1048" spans="28:45" x14ac:dyDescent="0.25">
      <c r="AB1048" s="89"/>
      <c r="AD1048" s="33" t="s">
        <v>2394</v>
      </c>
      <c r="AE1048" s="10" t="s">
        <v>383</v>
      </c>
      <c r="AF1048" s="20" t="s">
        <v>1295</v>
      </c>
      <c r="AG1048" s="10"/>
      <c r="AH1048" s="22" t="str">
        <f t="shared" si="32"/>
        <v xml:space="preserve">Junín_01 Huancayo </v>
      </c>
      <c r="AI1048" s="10" t="s">
        <v>1286</v>
      </c>
      <c r="AJ1048" s="20" t="s">
        <v>1323</v>
      </c>
      <c r="AK1048" s="22" t="str">
        <f t="shared" si="33"/>
        <v>Junín_01 Huancayo _27 Quichuay</v>
      </c>
      <c r="AL1048" s="25">
        <v>1</v>
      </c>
      <c r="AM1048" s="25">
        <v>37</v>
      </c>
      <c r="AN1048" s="26">
        <f>Tabla2[[#This Row],[Minutos]]/60</f>
        <v>0.6166666666666667</v>
      </c>
      <c r="AO1048" s="27">
        <f>SUM(Tabla2[[#This Row],[Horas]],Tabla2[[#This Row],[Minutos a Horas]])</f>
        <v>1.6166666666666667</v>
      </c>
      <c r="AP1048" s="85">
        <v>0</v>
      </c>
      <c r="AQ1048" s="85">
        <v>55</v>
      </c>
      <c r="AR1048" s="26">
        <f>Tabla2[[#This Row],[Minutos*]]/60</f>
        <v>0.91666666666666663</v>
      </c>
      <c r="AS1048" s="27">
        <f>SUM(Tabla2[[#This Row],[Horas*]],Tabla2[[#This Row],[Minutos a Horas*]])+(Tabla2[[#This Row],[Tiempo Total a Nivel Proncincial (Horas)]])</f>
        <v>2.5333333333333332</v>
      </c>
    </row>
    <row r="1049" spans="28:45" x14ac:dyDescent="0.25">
      <c r="AB1049" s="89"/>
      <c r="AD1049" s="33" t="s">
        <v>2394</v>
      </c>
      <c r="AE1049" s="10" t="s">
        <v>383</v>
      </c>
      <c r="AF1049" s="20" t="s">
        <v>1295</v>
      </c>
      <c r="AG1049" s="10"/>
      <c r="AH1049" s="22" t="str">
        <f t="shared" si="32"/>
        <v xml:space="preserve">Junín_01 Huancayo </v>
      </c>
      <c r="AI1049" s="10" t="s">
        <v>1286</v>
      </c>
      <c r="AJ1049" s="20" t="s">
        <v>1324</v>
      </c>
      <c r="AK1049" s="22" t="str">
        <f t="shared" si="33"/>
        <v>Junín_01 Huancayo _28 Quilcas</v>
      </c>
      <c r="AL1049" s="25">
        <v>1</v>
      </c>
      <c r="AM1049" s="25">
        <v>37</v>
      </c>
      <c r="AN1049" s="26">
        <f>Tabla2[[#This Row],[Minutos]]/60</f>
        <v>0.6166666666666667</v>
      </c>
      <c r="AO1049" s="27">
        <f>SUM(Tabla2[[#This Row],[Horas]],Tabla2[[#This Row],[Minutos a Horas]])</f>
        <v>1.6166666666666667</v>
      </c>
      <c r="AP1049" s="85">
        <v>0</v>
      </c>
      <c r="AQ1049" s="85">
        <v>40</v>
      </c>
      <c r="AR1049" s="26">
        <f>Tabla2[[#This Row],[Minutos*]]/60</f>
        <v>0.66666666666666663</v>
      </c>
      <c r="AS1049" s="27">
        <f>SUM(Tabla2[[#This Row],[Horas*]],Tabla2[[#This Row],[Minutos a Horas*]])+(Tabla2[[#This Row],[Tiempo Total a Nivel Proncincial (Horas)]])</f>
        <v>2.2833333333333332</v>
      </c>
    </row>
    <row r="1050" spans="28:45" x14ac:dyDescent="0.25">
      <c r="AB1050" s="89"/>
      <c r="AD1050" s="33" t="s">
        <v>2394</v>
      </c>
      <c r="AE1050" s="10" t="s">
        <v>383</v>
      </c>
      <c r="AF1050" s="20" t="s">
        <v>1295</v>
      </c>
      <c r="AG1050" s="10"/>
      <c r="AH1050" s="22" t="str">
        <f t="shared" si="32"/>
        <v xml:space="preserve">Junín_01 Huancayo </v>
      </c>
      <c r="AI1050" s="10" t="s">
        <v>1286</v>
      </c>
      <c r="AJ1050" s="20" t="s">
        <v>1325</v>
      </c>
      <c r="AK1050" s="22" t="str">
        <f t="shared" si="33"/>
        <v>Junín_01 Huancayo _29 San Agustín</v>
      </c>
      <c r="AL1050" s="25">
        <v>1</v>
      </c>
      <c r="AM1050" s="25">
        <v>37</v>
      </c>
      <c r="AN1050" s="26">
        <f>Tabla2[[#This Row],[Minutos]]/60</f>
        <v>0.6166666666666667</v>
      </c>
      <c r="AO1050" s="27">
        <f>SUM(Tabla2[[#This Row],[Horas]],Tabla2[[#This Row],[Minutos a Horas]])</f>
        <v>1.6166666666666667</v>
      </c>
      <c r="AP1050" s="85">
        <v>0</v>
      </c>
      <c r="AQ1050" s="85">
        <v>29</v>
      </c>
      <c r="AR1050" s="26">
        <f>Tabla2[[#This Row],[Minutos*]]/60</f>
        <v>0.48333333333333334</v>
      </c>
      <c r="AS1050" s="27">
        <f>SUM(Tabla2[[#This Row],[Horas*]],Tabla2[[#This Row],[Minutos a Horas*]])+(Tabla2[[#This Row],[Tiempo Total a Nivel Proncincial (Horas)]])</f>
        <v>2.1</v>
      </c>
    </row>
    <row r="1051" spans="28:45" x14ac:dyDescent="0.25">
      <c r="AB1051" s="89"/>
      <c r="AD1051" s="33" t="s">
        <v>2394</v>
      </c>
      <c r="AE1051" s="10" t="s">
        <v>383</v>
      </c>
      <c r="AF1051" s="20" t="s">
        <v>1295</v>
      </c>
      <c r="AG1051" s="10"/>
      <c r="AH1051" s="22" t="str">
        <f t="shared" si="32"/>
        <v xml:space="preserve">Junín_01 Huancayo </v>
      </c>
      <c r="AI1051" s="10" t="s">
        <v>1286</v>
      </c>
      <c r="AJ1051" s="20" t="s">
        <v>1326</v>
      </c>
      <c r="AK1051" s="22" t="str">
        <f t="shared" si="33"/>
        <v>Junín_01 Huancayo _30 San Jerónimo de Tunan</v>
      </c>
      <c r="AL1051" s="25">
        <v>1</v>
      </c>
      <c r="AM1051" s="25">
        <v>37</v>
      </c>
      <c r="AN1051" s="26">
        <f>Tabla2[[#This Row],[Minutos]]/60</f>
        <v>0.6166666666666667</v>
      </c>
      <c r="AO1051" s="27">
        <f>SUM(Tabla2[[#This Row],[Horas]],Tabla2[[#This Row],[Minutos a Horas]])</f>
        <v>1.6166666666666667</v>
      </c>
      <c r="AP1051" s="85">
        <v>0</v>
      </c>
      <c r="AQ1051" s="85">
        <v>38</v>
      </c>
      <c r="AR1051" s="26">
        <f>Tabla2[[#This Row],[Minutos*]]/60</f>
        <v>0.6333333333333333</v>
      </c>
      <c r="AS1051" s="27">
        <f>SUM(Tabla2[[#This Row],[Horas*]],Tabla2[[#This Row],[Minutos a Horas*]])+(Tabla2[[#This Row],[Tiempo Total a Nivel Proncincial (Horas)]])</f>
        <v>2.25</v>
      </c>
    </row>
    <row r="1052" spans="28:45" x14ac:dyDescent="0.25">
      <c r="AB1052" s="89"/>
      <c r="AD1052" s="33" t="s">
        <v>2394</v>
      </c>
      <c r="AE1052" s="10" t="s">
        <v>383</v>
      </c>
      <c r="AF1052" s="20" t="s">
        <v>1295</v>
      </c>
      <c r="AG1052" s="10"/>
      <c r="AH1052" s="22" t="str">
        <f t="shared" si="32"/>
        <v xml:space="preserve">Junín_01 Huancayo </v>
      </c>
      <c r="AI1052" s="10" t="s">
        <v>1286</v>
      </c>
      <c r="AJ1052" s="20" t="s">
        <v>1327</v>
      </c>
      <c r="AK1052" s="22" t="str">
        <f t="shared" si="33"/>
        <v>Junín_01 Huancayo _32 Saño</v>
      </c>
      <c r="AL1052" s="25">
        <v>1</v>
      </c>
      <c r="AM1052" s="25">
        <v>37</v>
      </c>
      <c r="AN1052" s="26">
        <f>Tabla2[[#This Row],[Minutos]]/60</f>
        <v>0.6166666666666667</v>
      </c>
      <c r="AO1052" s="27">
        <f>SUM(Tabla2[[#This Row],[Horas]],Tabla2[[#This Row],[Minutos a Horas]])</f>
        <v>1.6166666666666667</v>
      </c>
      <c r="AP1052" s="85">
        <v>0</v>
      </c>
      <c r="AQ1052" s="85">
        <v>21</v>
      </c>
      <c r="AR1052" s="26">
        <f>Tabla2[[#This Row],[Minutos*]]/60</f>
        <v>0.35</v>
      </c>
      <c r="AS1052" s="27">
        <f>SUM(Tabla2[[#This Row],[Horas*]],Tabla2[[#This Row],[Minutos a Horas*]])+(Tabla2[[#This Row],[Tiempo Total a Nivel Proncincial (Horas)]])</f>
        <v>1.9666666666666668</v>
      </c>
    </row>
    <row r="1053" spans="28:45" x14ac:dyDescent="0.25">
      <c r="AB1053" s="89"/>
      <c r="AD1053" s="33" t="s">
        <v>2394</v>
      </c>
      <c r="AE1053" s="10" t="s">
        <v>383</v>
      </c>
      <c r="AF1053" s="20" t="s">
        <v>1295</v>
      </c>
      <c r="AG1053" s="10"/>
      <c r="AH1053" s="22" t="str">
        <f t="shared" si="32"/>
        <v xml:space="preserve">Junín_01 Huancayo </v>
      </c>
      <c r="AI1053" s="10" t="s">
        <v>1286</v>
      </c>
      <c r="AJ1053" s="20" t="s">
        <v>1328</v>
      </c>
      <c r="AK1053" s="22" t="str">
        <f t="shared" si="33"/>
        <v>Junín_01 Huancayo _33 Sapallanga</v>
      </c>
      <c r="AL1053" s="25">
        <v>1</v>
      </c>
      <c r="AM1053" s="25">
        <v>37</v>
      </c>
      <c r="AN1053" s="26">
        <f>Tabla2[[#This Row],[Minutos]]/60</f>
        <v>0.6166666666666667</v>
      </c>
      <c r="AO1053" s="27">
        <f>SUM(Tabla2[[#This Row],[Horas]],Tabla2[[#This Row],[Minutos a Horas]])</f>
        <v>1.6166666666666667</v>
      </c>
      <c r="AP1053" s="85">
        <v>0</v>
      </c>
      <c r="AQ1053" s="85">
        <v>33</v>
      </c>
      <c r="AR1053" s="26">
        <f>Tabla2[[#This Row],[Minutos*]]/60</f>
        <v>0.55000000000000004</v>
      </c>
      <c r="AS1053" s="27">
        <f>SUM(Tabla2[[#This Row],[Horas*]],Tabla2[[#This Row],[Minutos a Horas*]])+(Tabla2[[#This Row],[Tiempo Total a Nivel Proncincial (Horas)]])</f>
        <v>2.166666666666667</v>
      </c>
    </row>
    <row r="1054" spans="28:45" x14ac:dyDescent="0.25">
      <c r="AB1054" s="89"/>
      <c r="AD1054" s="33" t="s">
        <v>2394</v>
      </c>
      <c r="AE1054" s="10" t="s">
        <v>383</v>
      </c>
      <c r="AF1054" s="20" t="s">
        <v>1295</v>
      </c>
      <c r="AG1054" s="10"/>
      <c r="AH1054" s="22" t="str">
        <f t="shared" si="32"/>
        <v xml:space="preserve">Junín_01 Huancayo </v>
      </c>
      <c r="AI1054" s="10" t="s">
        <v>1286</v>
      </c>
      <c r="AJ1054" s="20" t="s">
        <v>1329</v>
      </c>
      <c r="AK1054" s="22" t="str">
        <f t="shared" si="33"/>
        <v>Junín_01 Huancayo _34 Sicaya</v>
      </c>
      <c r="AL1054" s="25">
        <v>1</v>
      </c>
      <c r="AM1054" s="25">
        <v>37</v>
      </c>
      <c r="AN1054" s="26">
        <f>Tabla2[[#This Row],[Minutos]]/60</f>
        <v>0.6166666666666667</v>
      </c>
      <c r="AO1054" s="27">
        <f>SUM(Tabla2[[#This Row],[Horas]],Tabla2[[#This Row],[Minutos a Horas]])</f>
        <v>1.6166666666666667</v>
      </c>
      <c r="AP1054" s="85">
        <v>0</v>
      </c>
      <c r="AQ1054" s="85">
        <v>33</v>
      </c>
      <c r="AR1054" s="26">
        <f>Tabla2[[#This Row],[Minutos*]]/60</f>
        <v>0.55000000000000004</v>
      </c>
      <c r="AS1054" s="27">
        <f>SUM(Tabla2[[#This Row],[Horas*]],Tabla2[[#This Row],[Minutos a Horas*]])+(Tabla2[[#This Row],[Tiempo Total a Nivel Proncincial (Horas)]])</f>
        <v>2.166666666666667</v>
      </c>
    </row>
    <row r="1055" spans="28:45" ht="30" x14ac:dyDescent="0.25">
      <c r="AB1055" s="89"/>
      <c r="AD1055" s="33" t="s">
        <v>2394</v>
      </c>
      <c r="AE1055" s="10" t="s">
        <v>383</v>
      </c>
      <c r="AF1055" s="20" t="s">
        <v>1295</v>
      </c>
      <c r="AG1055" s="10"/>
      <c r="AH1055" s="22" t="str">
        <f t="shared" si="32"/>
        <v xml:space="preserve">Junín_01 Huancayo </v>
      </c>
      <c r="AI1055" s="10" t="s">
        <v>1286</v>
      </c>
      <c r="AJ1055" s="20" t="s">
        <v>1330</v>
      </c>
      <c r="AK1055" s="22" t="str">
        <f t="shared" si="33"/>
        <v>Junín_01 Huancayo _35 Santo Domingo de Acobamba</v>
      </c>
      <c r="AL1055" s="25">
        <v>1</v>
      </c>
      <c r="AM1055" s="25">
        <v>37</v>
      </c>
      <c r="AN1055" s="26">
        <f>Tabla2[[#This Row],[Minutos]]/60</f>
        <v>0.6166666666666667</v>
      </c>
      <c r="AO1055" s="27">
        <f>SUM(Tabla2[[#This Row],[Horas]],Tabla2[[#This Row],[Minutos a Horas]])</f>
        <v>1.6166666666666667</v>
      </c>
      <c r="AP1055" s="85">
        <v>2</v>
      </c>
      <c r="AQ1055" s="85">
        <v>33</v>
      </c>
      <c r="AR1055" s="26">
        <f>Tabla2[[#This Row],[Minutos*]]/60</f>
        <v>0.55000000000000004</v>
      </c>
      <c r="AS1055" s="27">
        <f>SUM(Tabla2[[#This Row],[Horas*]],Tabla2[[#This Row],[Minutos a Horas*]])+(Tabla2[[#This Row],[Tiempo Total a Nivel Proncincial (Horas)]])</f>
        <v>4.1666666666666661</v>
      </c>
    </row>
    <row r="1056" spans="28:45" x14ac:dyDescent="0.25">
      <c r="AB1056" s="89"/>
      <c r="AD1056" s="33" t="s">
        <v>2394</v>
      </c>
      <c r="AE1056" s="10" t="s">
        <v>383</v>
      </c>
      <c r="AF1056" s="20" t="s">
        <v>1295</v>
      </c>
      <c r="AG1056" s="10"/>
      <c r="AH1056" s="22" t="str">
        <f t="shared" si="32"/>
        <v xml:space="preserve">Junín_01 Huancayo </v>
      </c>
      <c r="AI1056" s="10" t="s">
        <v>1286</v>
      </c>
      <c r="AJ1056" s="20" t="s">
        <v>1331</v>
      </c>
      <c r="AK1056" s="22" t="str">
        <f t="shared" si="33"/>
        <v>Junín_01 Huancayo _36 Viques</v>
      </c>
      <c r="AL1056" s="25">
        <v>1</v>
      </c>
      <c r="AM1056" s="25">
        <v>37</v>
      </c>
      <c r="AN1056" s="26">
        <f>Tabla2[[#This Row],[Minutos]]/60</f>
        <v>0.6166666666666667</v>
      </c>
      <c r="AO1056" s="27">
        <f>SUM(Tabla2[[#This Row],[Horas]],Tabla2[[#This Row],[Minutos a Horas]])</f>
        <v>1.6166666666666667</v>
      </c>
      <c r="AP1056" s="85">
        <v>0</v>
      </c>
      <c r="AQ1056" s="85">
        <v>35</v>
      </c>
      <c r="AR1056" s="26">
        <f>Tabla2[[#This Row],[Minutos*]]/60</f>
        <v>0.58333333333333337</v>
      </c>
      <c r="AS1056" s="27">
        <f>SUM(Tabla2[[#This Row],[Horas*]],Tabla2[[#This Row],[Minutos a Horas*]])+(Tabla2[[#This Row],[Tiempo Total a Nivel Proncincial (Horas)]])</f>
        <v>2.2000000000000002</v>
      </c>
    </row>
    <row r="1057" spans="28:45" x14ac:dyDescent="0.25">
      <c r="AB1057" s="89"/>
      <c r="AD1057" s="33" t="s">
        <v>2394</v>
      </c>
      <c r="AE1057" s="10" t="s">
        <v>383</v>
      </c>
      <c r="AF1057" s="20" t="s">
        <v>1296</v>
      </c>
      <c r="AG1057" s="10"/>
      <c r="AH1057" s="22" t="str">
        <f t="shared" si="32"/>
        <v xml:space="preserve">Junín_02 Concepción </v>
      </c>
      <c r="AI1057" s="10" t="s">
        <v>1287</v>
      </c>
      <c r="AJ1057" s="20" t="s">
        <v>1332</v>
      </c>
      <c r="AK1057" s="22" t="str">
        <f t="shared" si="33"/>
        <v>Junín_02 Concepción _01 Concepción</v>
      </c>
      <c r="AL1057" s="25">
        <v>0</v>
      </c>
      <c r="AM1057" s="25">
        <v>42</v>
      </c>
      <c r="AN1057" s="26">
        <f>Tabla2[[#This Row],[Minutos]]/60</f>
        <v>0.7</v>
      </c>
      <c r="AO1057" s="27">
        <f>SUM(Tabla2[[#This Row],[Horas]],Tabla2[[#This Row],[Minutos a Horas]])</f>
        <v>0.7</v>
      </c>
      <c r="AP1057" s="85">
        <v>0</v>
      </c>
      <c r="AQ1057" s="85">
        <v>45</v>
      </c>
      <c r="AR1057" s="26">
        <f>Tabla2[[#This Row],[Minutos*]]/60</f>
        <v>0.75</v>
      </c>
      <c r="AS1057" s="27">
        <f>SUM(Tabla2[[#This Row],[Horas*]],Tabla2[[#This Row],[Minutos a Horas*]])+(Tabla2[[#This Row],[Tiempo Total a Nivel Proncincial (Horas)]])</f>
        <v>1.45</v>
      </c>
    </row>
    <row r="1058" spans="28:45" x14ac:dyDescent="0.25">
      <c r="AB1058" s="89"/>
      <c r="AD1058" s="33" t="s">
        <v>2394</v>
      </c>
      <c r="AE1058" s="10" t="s">
        <v>383</v>
      </c>
      <c r="AF1058" s="20" t="s">
        <v>1296</v>
      </c>
      <c r="AG1058" s="10"/>
      <c r="AH1058" s="22" t="str">
        <f t="shared" si="32"/>
        <v xml:space="preserve">Junín_02 Concepción </v>
      </c>
      <c r="AI1058" s="10" t="s">
        <v>1287</v>
      </c>
      <c r="AJ1058" s="20" t="s">
        <v>241</v>
      </c>
      <c r="AK1058" s="22" t="str">
        <f t="shared" si="33"/>
        <v>Junín_02 Concepción _02 Aco</v>
      </c>
      <c r="AL1058" s="25">
        <v>0</v>
      </c>
      <c r="AM1058" s="25">
        <v>42</v>
      </c>
      <c r="AN1058" s="26">
        <f>Tabla2[[#This Row],[Minutos]]/60</f>
        <v>0.7</v>
      </c>
      <c r="AO1058" s="27">
        <f>SUM(Tabla2[[#This Row],[Horas]],Tabla2[[#This Row],[Minutos a Horas]])</f>
        <v>0.7</v>
      </c>
      <c r="AP1058" s="85">
        <v>0</v>
      </c>
      <c r="AQ1058" s="85">
        <v>59</v>
      </c>
      <c r="AR1058" s="26">
        <f>Tabla2[[#This Row],[Minutos*]]/60</f>
        <v>0.98333333333333328</v>
      </c>
      <c r="AS1058" s="27">
        <f>SUM(Tabla2[[#This Row],[Horas*]],Tabla2[[#This Row],[Minutos a Horas*]])+(Tabla2[[#This Row],[Tiempo Total a Nivel Proncincial (Horas)]])</f>
        <v>1.6833333333333331</v>
      </c>
    </row>
    <row r="1059" spans="28:45" x14ac:dyDescent="0.25">
      <c r="AB1059" s="89"/>
      <c r="AD1059" s="33" t="s">
        <v>2394</v>
      </c>
      <c r="AE1059" s="10" t="s">
        <v>383</v>
      </c>
      <c r="AF1059" s="20" t="s">
        <v>1296</v>
      </c>
      <c r="AG1059" s="10"/>
      <c r="AH1059" s="22" t="str">
        <f t="shared" si="32"/>
        <v xml:space="preserve">Junín_02 Concepción </v>
      </c>
      <c r="AI1059" s="10" t="s">
        <v>1287</v>
      </c>
      <c r="AJ1059" s="20" t="s">
        <v>1333</v>
      </c>
      <c r="AK1059" s="22" t="str">
        <f t="shared" si="33"/>
        <v>Junín_02 Concepción _03 Andamarca</v>
      </c>
      <c r="AL1059" s="25">
        <v>0</v>
      </c>
      <c r="AM1059" s="25">
        <v>42</v>
      </c>
      <c r="AN1059" s="26">
        <f>Tabla2[[#This Row],[Minutos]]/60</f>
        <v>0.7</v>
      </c>
      <c r="AO1059" s="27">
        <f>SUM(Tabla2[[#This Row],[Horas]],Tabla2[[#This Row],[Minutos a Horas]])</f>
        <v>0.7</v>
      </c>
      <c r="AP1059" s="85">
        <v>2</v>
      </c>
      <c r="AQ1059" s="85">
        <v>36</v>
      </c>
      <c r="AR1059" s="26">
        <f>Tabla2[[#This Row],[Minutos*]]/60</f>
        <v>0.6</v>
      </c>
      <c r="AS1059" s="27">
        <f>SUM(Tabla2[[#This Row],[Horas*]],Tabla2[[#This Row],[Minutos a Horas*]])+(Tabla2[[#This Row],[Tiempo Total a Nivel Proncincial (Horas)]])</f>
        <v>3.3</v>
      </c>
    </row>
    <row r="1060" spans="28:45" x14ac:dyDescent="0.25">
      <c r="AB1060" s="89"/>
      <c r="AD1060" s="33" t="s">
        <v>2394</v>
      </c>
      <c r="AE1060" s="10" t="s">
        <v>383</v>
      </c>
      <c r="AF1060" s="20" t="s">
        <v>1296</v>
      </c>
      <c r="AG1060" s="10"/>
      <c r="AH1060" s="22" t="str">
        <f t="shared" si="32"/>
        <v xml:space="preserve">Junín_02 Concepción </v>
      </c>
      <c r="AI1060" s="10" t="s">
        <v>1287</v>
      </c>
      <c r="AJ1060" s="20" t="s">
        <v>1334</v>
      </c>
      <c r="AK1060" s="22" t="str">
        <f t="shared" si="33"/>
        <v>Junín_02 Concepción _04 Chambara</v>
      </c>
      <c r="AL1060" s="25">
        <v>0</v>
      </c>
      <c r="AM1060" s="25">
        <v>42</v>
      </c>
      <c r="AN1060" s="26">
        <f>Tabla2[[#This Row],[Minutos]]/60</f>
        <v>0.7</v>
      </c>
      <c r="AO1060" s="27">
        <f>SUM(Tabla2[[#This Row],[Horas]],Tabla2[[#This Row],[Minutos a Horas]])</f>
        <v>0.7</v>
      </c>
      <c r="AP1060" s="85">
        <v>1</v>
      </c>
      <c r="AQ1060" s="85">
        <v>3</v>
      </c>
      <c r="AR1060" s="26">
        <f>Tabla2[[#This Row],[Minutos*]]/60</f>
        <v>0.05</v>
      </c>
      <c r="AS1060" s="27">
        <f>SUM(Tabla2[[#This Row],[Horas*]],Tabla2[[#This Row],[Minutos a Horas*]])+(Tabla2[[#This Row],[Tiempo Total a Nivel Proncincial (Horas)]])</f>
        <v>1.75</v>
      </c>
    </row>
    <row r="1061" spans="28:45" x14ac:dyDescent="0.25">
      <c r="AB1061" s="89"/>
      <c r="AD1061" s="33" t="s">
        <v>2394</v>
      </c>
      <c r="AE1061" s="10" t="s">
        <v>383</v>
      </c>
      <c r="AF1061" s="20" t="s">
        <v>1296</v>
      </c>
      <c r="AG1061" s="10"/>
      <c r="AH1061" s="22" t="str">
        <f t="shared" si="32"/>
        <v xml:space="preserve">Junín_02 Concepción </v>
      </c>
      <c r="AI1061" s="10" t="s">
        <v>1287</v>
      </c>
      <c r="AJ1061" s="20" t="s">
        <v>290</v>
      </c>
      <c r="AK1061" s="22" t="str">
        <f t="shared" si="33"/>
        <v>Junín_02 Concepción _05 Cochas</v>
      </c>
      <c r="AL1061" s="25">
        <v>0</v>
      </c>
      <c r="AM1061" s="25">
        <v>42</v>
      </c>
      <c r="AN1061" s="26">
        <f>Tabla2[[#This Row],[Minutos]]/60</f>
        <v>0.7</v>
      </c>
      <c r="AO1061" s="27">
        <f>SUM(Tabla2[[#This Row],[Horas]],Tabla2[[#This Row],[Minutos a Horas]])</f>
        <v>0.7</v>
      </c>
      <c r="AP1061" s="85">
        <v>0</v>
      </c>
      <c r="AQ1061" s="85">
        <v>25</v>
      </c>
      <c r="AR1061" s="26">
        <f>Tabla2[[#This Row],[Minutos*]]/60</f>
        <v>0.41666666666666669</v>
      </c>
      <c r="AS1061" s="27">
        <f>SUM(Tabla2[[#This Row],[Horas*]],Tabla2[[#This Row],[Minutos a Horas*]])+(Tabla2[[#This Row],[Tiempo Total a Nivel Proncincial (Horas)]])</f>
        <v>1.1166666666666667</v>
      </c>
    </row>
    <row r="1062" spans="28:45" x14ac:dyDescent="0.25">
      <c r="AB1062" s="89"/>
      <c r="AD1062" s="33" t="s">
        <v>2394</v>
      </c>
      <c r="AE1062" s="10" t="s">
        <v>383</v>
      </c>
      <c r="AF1062" s="20" t="s">
        <v>1296</v>
      </c>
      <c r="AG1062" s="10"/>
      <c r="AH1062" s="22" t="str">
        <f t="shared" si="32"/>
        <v xml:space="preserve">Junín_02 Concepción </v>
      </c>
      <c r="AI1062" s="10" t="s">
        <v>1287</v>
      </c>
      <c r="AJ1062" s="20" t="s">
        <v>1335</v>
      </c>
      <c r="AK1062" s="22" t="str">
        <f t="shared" si="33"/>
        <v>Junín_02 Concepción _06 Comas</v>
      </c>
      <c r="AL1062" s="25">
        <v>0</v>
      </c>
      <c r="AM1062" s="25">
        <v>42</v>
      </c>
      <c r="AN1062" s="26">
        <f>Tabla2[[#This Row],[Minutos]]/60</f>
        <v>0.7</v>
      </c>
      <c r="AO1062" s="27">
        <f>SUM(Tabla2[[#This Row],[Horas]],Tabla2[[#This Row],[Minutos a Horas]])</f>
        <v>0.7</v>
      </c>
      <c r="AP1062" s="85">
        <v>1</v>
      </c>
      <c r="AQ1062" s="85">
        <v>42</v>
      </c>
      <c r="AR1062" s="26">
        <f>Tabla2[[#This Row],[Minutos*]]/60</f>
        <v>0.7</v>
      </c>
      <c r="AS1062" s="27">
        <f>SUM(Tabla2[[#This Row],[Horas*]],Tabla2[[#This Row],[Minutos a Horas*]])+(Tabla2[[#This Row],[Tiempo Total a Nivel Proncincial (Horas)]])</f>
        <v>2.4</v>
      </c>
    </row>
    <row r="1063" spans="28:45" x14ac:dyDescent="0.25">
      <c r="AB1063" s="89"/>
      <c r="AD1063" s="33" t="s">
        <v>2394</v>
      </c>
      <c r="AE1063" s="10" t="s">
        <v>383</v>
      </c>
      <c r="AF1063" s="20" t="s">
        <v>1296</v>
      </c>
      <c r="AG1063" s="10"/>
      <c r="AH1063" s="22" t="str">
        <f t="shared" si="32"/>
        <v xml:space="preserve">Junín_02 Concepción </v>
      </c>
      <c r="AI1063" s="10" t="s">
        <v>1287</v>
      </c>
      <c r="AJ1063" s="20" t="s">
        <v>1336</v>
      </c>
      <c r="AK1063" s="22" t="str">
        <f t="shared" si="33"/>
        <v>Junín_02 Concepción _07 Heroínas Toledo</v>
      </c>
      <c r="AL1063" s="25">
        <v>0</v>
      </c>
      <c r="AM1063" s="25">
        <v>42</v>
      </c>
      <c r="AN1063" s="26">
        <f>Tabla2[[#This Row],[Minutos]]/60</f>
        <v>0.7</v>
      </c>
      <c r="AO1063" s="27">
        <f>SUM(Tabla2[[#This Row],[Horas]],Tabla2[[#This Row],[Minutos a Horas]])</f>
        <v>0.7</v>
      </c>
      <c r="AP1063" s="85">
        <v>0</v>
      </c>
      <c r="AQ1063" s="85">
        <v>49</v>
      </c>
      <c r="AR1063" s="26">
        <f>Tabla2[[#This Row],[Minutos*]]/60</f>
        <v>0.81666666666666665</v>
      </c>
      <c r="AS1063" s="27">
        <f>SUM(Tabla2[[#This Row],[Horas*]],Tabla2[[#This Row],[Minutos a Horas*]])+(Tabla2[[#This Row],[Tiempo Total a Nivel Proncincial (Horas)]])</f>
        <v>1.5166666666666666</v>
      </c>
    </row>
    <row r="1064" spans="28:45" x14ac:dyDescent="0.25">
      <c r="AB1064" s="89"/>
      <c r="AD1064" s="33" t="s">
        <v>2394</v>
      </c>
      <c r="AE1064" s="10" t="s">
        <v>383</v>
      </c>
      <c r="AF1064" s="20" t="s">
        <v>1296</v>
      </c>
      <c r="AG1064" s="10"/>
      <c r="AH1064" s="22" t="str">
        <f t="shared" si="32"/>
        <v xml:space="preserve">Junín_02 Concepción </v>
      </c>
      <c r="AI1064" s="10" t="s">
        <v>1287</v>
      </c>
      <c r="AJ1064" s="20" t="s">
        <v>1337</v>
      </c>
      <c r="AK1064" s="22" t="str">
        <f t="shared" si="33"/>
        <v>Junín_02 Concepción _08 Manzanares</v>
      </c>
      <c r="AL1064" s="25">
        <v>0</v>
      </c>
      <c r="AM1064" s="25">
        <v>42</v>
      </c>
      <c r="AN1064" s="26">
        <f>Tabla2[[#This Row],[Minutos]]/60</f>
        <v>0.7</v>
      </c>
      <c r="AO1064" s="27">
        <f>SUM(Tabla2[[#This Row],[Horas]],Tabla2[[#This Row],[Minutos a Horas]])</f>
        <v>0.7</v>
      </c>
      <c r="AP1064" s="85">
        <v>0</v>
      </c>
      <c r="AQ1064" s="85">
        <v>46</v>
      </c>
      <c r="AR1064" s="26">
        <f>Tabla2[[#This Row],[Minutos*]]/60</f>
        <v>0.76666666666666672</v>
      </c>
      <c r="AS1064" s="27">
        <f>SUM(Tabla2[[#This Row],[Horas*]],Tabla2[[#This Row],[Minutos a Horas*]])+(Tabla2[[#This Row],[Tiempo Total a Nivel Proncincial (Horas)]])</f>
        <v>1.4666666666666668</v>
      </c>
    </row>
    <row r="1065" spans="28:45" x14ac:dyDescent="0.25">
      <c r="AB1065" s="89"/>
      <c r="AD1065" s="33" t="s">
        <v>2394</v>
      </c>
      <c r="AE1065" s="10" t="s">
        <v>383</v>
      </c>
      <c r="AF1065" s="20" t="s">
        <v>1296</v>
      </c>
      <c r="AG1065" s="10"/>
      <c r="AH1065" s="22" t="str">
        <f t="shared" si="32"/>
        <v xml:space="preserve">Junín_02 Concepción </v>
      </c>
      <c r="AI1065" s="10" t="s">
        <v>1287</v>
      </c>
      <c r="AJ1065" s="20" t="s">
        <v>1338</v>
      </c>
      <c r="AK1065" s="22" t="str">
        <f t="shared" si="33"/>
        <v>Junín_02 Concepción _09 Mariscal Castilla</v>
      </c>
      <c r="AL1065" s="25">
        <v>0</v>
      </c>
      <c r="AM1065" s="25">
        <v>42</v>
      </c>
      <c r="AN1065" s="26">
        <f>Tabla2[[#This Row],[Minutos]]/60</f>
        <v>0.7</v>
      </c>
      <c r="AO1065" s="27">
        <f>SUM(Tabla2[[#This Row],[Horas]],Tabla2[[#This Row],[Minutos a Horas]])</f>
        <v>0.7</v>
      </c>
      <c r="AP1065" s="85">
        <v>2</v>
      </c>
      <c r="AQ1065" s="85">
        <v>5</v>
      </c>
      <c r="AR1065" s="26">
        <f>Tabla2[[#This Row],[Minutos*]]/60</f>
        <v>8.3333333333333329E-2</v>
      </c>
      <c r="AS1065" s="27">
        <f>SUM(Tabla2[[#This Row],[Horas*]],Tabla2[[#This Row],[Minutos a Horas*]])+(Tabla2[[#This Row],[Tiempo Total a Nivel Proncincial (Horas)]])</f>
        <v>2.7833333333333332</v>
      </c>
    </row>
    <row r="1066" spans="28:45" x14ac:dyDescent="0.25">
      <c r="AB1066" s="89"/>
      <c r="AD1066" s="33" t="s">
        <v>2394</v>
      </c>
      <c r="AE1066" s="10" t="s">
        <v>383</v>
      </c>
      <c r="AF1066" s="20" t="s">
        <v>1296</v>
      </c>
      <c r="AG1066" s="10"/>
      <c r="AH1066" s="22" t="str">
        <f t="shared" si="32"/>
        <v xml:space="preserve">Junín_02 Concepción </v>
      </c>
      <c r="AI1066" s="10" t="s">
        <v>1287</v>
      </c>
      <c r="AJ1066" s="20" t="s">
        <v>1339</v>
      </c>
      <c r="AK1066" s="22" t="str">
        <f t="shared" si="33"/>
        <v>Junín_02 Concepción _10 Matahuasi</v>
      </c>
      <c r="AL1066" s="25">
        <v>0</v>
      </c>
      <c r="AM1066" s="25">
        <v>42</v>
      </c>
      <c r="AN1066" s="26">
        <f>Tabla2[[#This Row],[Minutos]]/60</f>
        <v>0.7</v>
      </c>
      <c r="AO1066" s="27">
        <f>SUM(Tabla2[[#This Row],[Horas]],Tabla2[[#This Row],[Minutos a Horas]])</f>
        <v>0.7</v>
      </c>
      <c r="AP1066" s="85">
        <v>0</v>
      </c>
      <c r="AQ1066" s="85">
        <v>51</v>
      </c>
      <c r="AR1066" s="26">
        <f>Tabla2[[#This Row],[Minutos*]]/60</f>
        <v>0.85</v>
      </c>
      <c r="AS1066" s="27">
        <f>SUM(Tabla2[[#This Row],[Horas*]],Tabla2[[#This Row],[Minutos a Horas*]])+(Tabla2[[#This Row],[Tiempo Total a Nivel Proncincial (Horas)]])</f>
        <v>1.5499999999999998</v>
      </c>
    </row>
    <row r="1067" spans="28:45" x14ac:dyDescent="0.25">
      <c r="AB1067" s="89"/>
      <c r="AD1067" s="33" t="s">
        <v>2394</v>
      </c>
      <c r="AE1067" s="10" t="s">
        <v>383</v>
      </c>
      <c r="AF1067" s="20" t="s">
        <v>1296</v>
      </c>
      <c r="AG1067" s="10"/>
      <c r="AH1067" s="22" t="str">
        <f t="shared" si="32"/>
        <v xml:space="preserve">Junín_02 Concepción </v>
      </c>
      <c r="AI1067" s="10" t="s">
        <v>1287</v>
      </c>
      <c r="AJ1067" s="20" t="s">
        <v>1340</v>
      </c>
      <c r="AK1067" s="22" t="str">
        <f t="shared" si="33"/>
        <v>Junín_02 Concepción _11 Mito</v>
      </c>
      <c r="AL1067" s="25">
        <v>0</v>
      </c>
      <c r="AM1067" s="25">
        <v>42</v>
      </c>
      <c r="AN1067" s="26">
        <f>Tabla2[[#This Row],[Minutos]]/60</f>
        <v>0.7</v>
      </c>
      <c r="AO1067" s="27">
        <f>SUM(Tabla2[[#This Row],[Horas]],Tabla2[[#This Row],[Minutos a Horas]])</f>
        <v>0.7</v>
      </c>
      <c r="AP1067" s="85">
        <v>0</v>
      </c>
      <c r="AQ1067" s="85">
        <v>46</v>
      </c>
      <c r="AR1067" s="26">
        <f>Tabla2[[#This Row],[Minutos*]]/60</f>
        <v>0.76666666666666672</v>
      </c>
      <c r="AS1067" s="27">
        <f>SUM(Tabla2[[#This Row],[Horas*]],Tabla2[[#This Row],[Minutos a Horas*]])+(Tabla2[[#This Row],[Tiempo Total a Nivel Proncincial (Horas)]])</f>
        <v>1.4666666666666668</v>
      </c>
    </row>
    <row r="1068" spans="28:45" x14ac:dyDescent="0.25">
      <c r="AB1068" s="89"/>
      <c r="AD1068" s="33" t="s">
        <v>2394</v>
      </c>
      <c r="AE1068" s="10" t="s">
        <v>383</v>
      </c>
      <c r="AF1068" s="20" t="s">
        <v>1296</v>
      </c>
      <c r="AG1068" s="10"/>
      <c r="AH1068" s="22" t="str">
        <f t="shared" si="32"/>
        <v xml:space="preserve">Junín_02 Concepción </v>
      </c>
      <c r="AI1068" s="10" t="s">
        <v>1287</v>
      </c>
      <c r="AJ1068" s="20" t="s">
        <v>1341</v>
      </c>
      <c r="AK1068" s="22" t="str">
        <f t="shared" si="33"/>
        <v>Junín_02 Concepción _12 Nueve de Julio</v>
      </c>
      <c r="AL1068" s="25">
        <v>0</v>
      </c>
      <c r="AM1068" s="25">
        <v>42</v>
      </c>
      <c r="AN1068" s="26">
        <f>Tabla2[[#This Row],[Minutos]]/60</f>
        <v>0.7</v>
      </c>
      <c r="AO1068" s="27">
        <f>SUM(Tabla2[[#This Row],[Horas]],Tabla2[[#This Row],[Minutos a Horas]])</f>
        <v>0.7</v>
      </c>
      <c r="AP1068" s="85">
        <v>0</v>
      </c>
      <c r="AQ1068" s="85">
        <v>56</v>
      </c>
      <c r="AR1068" s="26">
        <f>Tabla2[[#This Row],[Minutos*]]/60</f>
        <v>0.93333333333333335</v>
      </c>
      <c r="AS1068" s="27">
        <f>SUM(Tabla2[[#This Row],[Horas*]],Tabla2[[#This Row],[Minutos a Horas*]])+(Tabla2[[#This Row],[Tiempo Total a Nivel Proncincial (Horas)]])</f>
        <v>1.6333333333333333</v>
      </c>
    </row>
    <row r="1069" spans="28:45" x14ac:dyDescent="0.25">
      <c r="AB1069" s="89"/>
      <c r="AD1069" s="33" t="s">
        <v>2394</v>
      </c>
      <c r="AE1069" s="10" t="s">
        <v>383</v>
      </c>
      <c r="AF1069" s="20" t="s">
        <v>1296</v>
      </c>
      <c r="AG1069" s="10"/>
      <c r="AH1069" s="22" t="str">
        <f t="shared" si="32"/>
        <v xml:space="preserve">Junín_02 Concepción </v>
      </c>
      <c r="AI1069" s="10" t="s">
        <v>1287</v>
      </c>
      <c r="AJ1069" s="20" t="s">
        <v>1342</v>
      </c>
      <c r="AK1069" s="22" t="str">
        <f t="shared" si="33"/>
        <v>Junín_02 Concepción _13 Orcotuna</v>
      </c>
      <c r="AL1069" s="25">
        <v>0</v>
      </c>
      <c r="AM1069" s="25">
        <v>42</v>
      </c>
      <c r="AN1069" s="26">
        <f>Tabla2[[#This Row],[Minutos]]/60</f>
        <v>0.7</v>
      </c>
      <c r="AO1069" s="27">
        <f>SUM(Tabla2[[#This Row],[Horas]],Tabla2[[#This Row],[Minutos a Horas]])</f>
        <v>0.7</v>
      </c>
      <c r="AP1069" s="85">
        <v>0</v>
      </c>
      <c r="AQ1069" s="85">
        <v>37</v>
      </c>
      <c r="AR1069" s="26">
        <f>Tabla2[[#This Row],[Minutos*]]/60</f>
        <v>0.6166666666666667</v>
      </c>
      <c r="AS1069" s="27">
        <f>SUM(Tabla2[[#This Row],[Horas*]],Tabla2[[#This Row],[Minutos a Horas*]])+(Tabla2[[#This Row],[Tiempo Total a Nivel Proncincial (Horas)]])</f>
        <v>1.3166666666666667</v>
      </c>
    </row>
    <row r="1070" spans="28:45" x14ac:dyDescent="0.25">
      <c r="AB1070" s="89"/>
      <c r="AD1070" s="33" t="s">
        <v>2394</v>
      </c>
      <c r="AE1070" s="10" t="s">
        <v>383</v>
      </c>
      <c r="AF1070" s="20" t="s">
        <v>1296</v>
      </c>
      <c r="AG1070" s="10"/>
      <c r="AH1070" s="22" t="str">
        <f t="shared" si="32"/>
        <v xml:space="preserve">Junín_02 Concepción </v>
      </c>
      <c r="AI1070" s="10" t="s">
        <v>1287</v>
      </c>
      <c r="AJ1070" s="20" t="s">
        <v>1343</v>
      </c>
      <c r="AK1070" s="22" t="str">
        <f t="shared" si="33"/>
        <v>Junín_02 Concepción _14 San José de Quero</v>
      </c>
      <c r="AL1070" s="25">
        <v>0</v>
      </c>
      <c r="AM1070" s="25">
        <v>42</v>
      </c>
      <c r="AN1070" s="26">
        <f>Tabla2[[#This Row],[Minutos]]/60</f>
        <v>0.7</v>
      </c>
      <c r="AO1070" s="27">
        <f>SUM(Tabla2[[#This Row],[Horas]],Tabla2[[#This Row],[Minutos a Horas]])</f>
        <v>0.7</v>
      </c>
      <c r="AP1070" s="85">
        <v>1</v>
      </c>
      <c r="AQ1070" s="85">
        <v>24</v>
      </c>
      <c r="AR1070" s="26">
        <f>Tabla2[[#This Row],[Minutos*]]/60</f>
        <v>0.4</v>
      </c>
      <c r="AS1070" s="27">
        <f>SUM(Tabla2[[#This Row],[Horas*]],Tabla2[[#This Row],[Minutos a Horas*]])+(Tabla2[[#This Row],[Tiempo Total a Nivel Proncincial (Horas)]])</f>
        <v>2.0999999999999996</v>
      </c>
    </row>
    <row r="1071" spans="28:45" x14ac:dyDescent="0.25">
      <c r="AB1071" s="89"/>
      <c r="AD1071" s="33" t="s">
        <v>2394</v>
      </c>
      <c r="AE1071" s="10" t="s">
        <v>383</v>
      </c>
      <c r="AF1071" s="20" t="s">
        <v>1296</v>
      </c>
      <c r="AG1071" s="10"/>
      <c r="AH1071" s="22" t="str">
        <f t="shared" si="32"/>
        <v xml:space="preserve">Junín_02 Concepción </v>
      </c>
      <c r="AI1071" s="10" t="s">
        <v>1287</v>
      </c>
      <c r="AJ1071" s="20" t="s">
        <v>1344</v>
      </c>
      <c r="AK1071" s="22" t="str">
        <f t="shared" si="33"/>
        <v>Junín_02 Concepción _15 Santa Rosa de Ocopa</v>
      </c>
      <c r="AL1071" s="25">
        <v>0</v>
      </c>
      <c r="AM1071" s="25">
        <v>42</v>
      </c>
      <c r="AN1071" s="26">
        <f>Tabla2[[#This Row],[Minutos]]/60</f>
        <v>0.7</v>
      </c>
      <c r="AO1071" s="27">
        <f>SUM(Tabla2[[#This Row],[Horas]],Tabla2[[#This Row],[Minutos a Horas]])</f>
        <v>0.7</v>
      </c>
      <c r="AP1071" s="85">
        <v>0</v>
      </c>
      <c r="AQ1071" s="85">
        <v>57</v>
      </c>
      <c r="AR1071" s="26">
        <f>Tabla2[[#This Row],[Minutos*]]/60</f>
        <v>0.95</v>
      </c>
      <c r="AS1071" s="27">
        <f>SUM(Tabla2[[#This Row],[Horas*]],Tabla2[[#This Row],[Minutos a Horas*]])+(Tabla2[[#This Row],[Tiempo Total a Nivel Proncincial (Horas)]])</f>
        <v>1.65</v>
      </c>
    </row>
    <row r="1072" spans="28:45" x14ac:dyDescent="0.25">
      <c r="AB1072" s="89"/>
      <c r="AD1072" s="33" t="s">
        <v>2394</v>
      </c>
      <c r="AE1072" s="10" t="s">
        <v>383</v>
      </c>
      <c r="AF1072" s="20" t="s">
        <v>1297</v>
      </c>
      <c r="AG1072" s="10"/>
      <c r="AH1072" s="22" t="str">
        <f t="shared" si="32"/>
        <v xml:space="preserve">Junín_03 Chanchamayo </v>
      </c>
      <c r="AI1072" s="10" t="s">
        <v>1288</v>
      </c>
      <c r="AJ1072" s="20" t="s">
        <v>1345</v>
      </c>
      <c r="AK1072" s="22" t="str">
        <f t="shared" si="33"/>
        <v>Junín_03 Chanchamayo _01 Chanchamayo</v>
      </c>
      <c r="AL1072" s="25">
        <v>3</v>
      </c>
      <c r="AM1072" s="25">
        <v>27</v>
      </c>
      <c r="AN1072" s="26">
        <f>Tabla2[[#This Row],[Minutos]]/60</f>
        <v>0.45</v>
      </c>
      <c r="AO1072" s="27">
        <f>SUM(Tabla2[[#This Row],[Horas]],Tabla2[[#This Row],[Minutos a Horas]])</f>
        <v>3.45</v>
      </c>
      <c r="AP1072" s="85">
        <v>4</v>
      </c>
      <c r="AQ1072" s="85">
        <v>0</v>
      </c>
      <c r="AR1072" s="26">
        <f>Tabla2[[#This Row],[Minutos*]]/60</f>
        <v>0</v>
      </c>
      <c r="AS1072" s="27">
        <f>SUM(Tabla2[[#This Row],[Horas*]],Tabla2[[#This Row],[Minutos a Horas*]])+(Tabla2[[#This Row],[Tiempo Total a Nivel Proncincial (Horas)]])</f>
        <v>7.45</v>
      </c>
    </row>
    <row r="1073" spans="28:45" x14ac:dyDescent="0.25">
      <c r="AB1073" s="89"/>
      <c r="AD1073" s="33" t="s">
        <v>2394</v>
      </c>
      <c r="AE1073" s="10" t="s">
        <v>383</v>
      </c>
      <c r="AF1073" s="20" t="s">
        <v>1297</v>
      </c>
      <c r="AG1073" s="10"/>
      <c r="AH1073" s="22" t="str">
        <f t="shared" si="32"/>
        <v xml:space="preserve">Junín_03 Chanchamayo </v>
      </c>
      <c r="AI1073" s="10" t="s">
        <v>1288</v>
      </c>
      <c r="AJ1073" s="20" t="s">
        <v>1346</v>
      </c>
      <c r="AK1073" s="22" t="str">
        <f t="shared" si="33"/>
        <v>Junín_03 Chanchamayo _02 Perene</v>
      </c>
      <c r="AL1073" s="25">
        <v>3</v>
      </c>
      <c r="AM1073" s="25">
        <v>27</v>
      </c>
      <c r="AN1073" s="26">
        <f>Tabla2[[#This Row],[Minutos]]/60</f>
        <v>0.45</v>
      </c>
      <c r="AO1073" s="27">
        <f>SUM(Tabla2[[#This Row],[Horas]],Tabla2[[#This Row],[Minutos a Horas]])</f>
        <v>3.45</v>
      </c>
      <c r="AP1073" s="85">
        <v>5</v>
      </c>
      <c r="AQ1073" s="85">
        <v>0</v>
      </c>
      <c r="AR1073" s="26">
        <f>Tabla2[[#This Row],[Minutos*]]/60</f>
        <v>0</v>
      </c>
      <c r="AS1073" s="27">
        <f>SUM(Tabla2[[#This Row],[Horas*]],Tabla2[[#This Row],[Minutos a Horas*]])+(Tabla2[[#This Row],[Tiempo Total a Nivel Proncincial (Horas)]])</f>
        <v>8.4499999999999993</v>
      </c>
    </row>
    <row r="1074" spans="28:45" x14ac:dyDescent="0.25">
      <c r="AB1074" s="89"/>
      <c r="AD1074" s="33" t="s">
        <v>2394</v>
      </c>
      <c r="AE1074" s="10" t="s">
        <v>383</v>
      </c>
      <c r="AF1074" s="20" t="s">
        <v>1297</v>
      </c>
      <c r="AG1074" s="10"/>
      <c r="AH1074" s="22" t="str">
        <f t="shared" si="32"/>
        <v xml:space="preserve">Junín_03 Chanchamayo </v>
      </c>
      <c r="AI1074" s="10" t="s">
        <v>1288</v>
      </c>
      <c r="AJ1074" s="20" t="s">
        <v>1347</v>
      </c>
      <c r="AK1074" s="22" t="str">
        <f t="shared" si="33"/>
        <v>Junín_03 Chanchamayo _03 Pichanaqui</v>
      </c>
      <c r="AL1074" s="25">
        <v>3</v>
      </c>
      <c r="AM1074" s="25">
        <v>27</v>
      </c>
      <c r="AN1074" s="26">
        <f>Tabla2[[#This Row],[Minutos]]/60</f>
        <v>0.45</v>
      </c>
      <c r="AO1074" s="27">
        <f>SUM(Tabla2[[#This Row],[Horas]],Tabla2[[#This Row],[Minutos a Horas]])</f>
        <v>3.45</v>
      </c>
      <c r="AP1074" s="85">
        <v>5</v>
      </c>
      <c r="AQ1074" s="85">
        <v>30</v>
      </c>
      <c r="AR1074" s="26">
        <f>Tabla2[[#This Row],[Minutos*]]/60</f>
        <v>0.5</v>
      </c>
      <c r="AS1074" s="27">
        <f>SUM(Tabla2[[#This Row],[Horas*]],Tabla2[[#This Row],[Minutos a Horas*]])+(Tabla2[[#This Row],[Tiempo Total a Nivel Proncincial (Horas)]])</f>
        <v>8.9499999999999993</v>
      </c>
    </row>
    <row r="1075" spans="28:45" x14ac:dyDescent="0.25">
      <c r="AB1075" s="89"/>
      <c r="AD1075" s="33" t="s">
        <v>2394</v>
      </c>
      <c r="AE1075" s="10" t="s">
        <v>383</v>
      </c>
      <c r="AF1075" s="20" t="s">
        <v>1297</v>
      </c>
      <c r="AG1075" s="10"/>
      <c r="AH1075" s="22" t="str">
        <f t="shared" si="32"/>
        <v xml:space="preserve">Junín_03 Chanchamayo </v>
      </c>
      <c r="AI1075" s="10" t="s">
        <v>1288</v>
      </c>
      <c r="AJ1075" s="20" t="s">
        <v>1348</v>
      </c>
      <c r="AK1075" s="22" t="str">
        <f t="shared" si="33"/>
        <v>Junín_03 Chanchamayo _04 San Luis de Shuaro</v>
      </c>
      <c r="AL1075" s="25">
        <v>3</v>
      </c>
      <c r="AM1075" s="25">
        <v>27</v>
      </c>
      <c r="AN1075" s="26">
        <f>Tabla2[[#This Row],[Minutos]]/60</f>
        <v>0.45</v>
      </c>
      <c r="AO1075" s="27">
        <f>SUM(Tabla2[[#This Row],[Horas]],Tabla2[[#This Row],[Minutos a Horas]])</f>
        <v>3.45</v>
      </c>
      <c r="AP1075" s="85">
        <v>5</v>
      </c>
      <c r="AQ1075" s="85">
        <v>0</v>
      </c>
      <c r="AR1075" s="26">
        <f>Tabla2[[#This Row],[Minutos*]]/60</f>
        <v>0</v>
      </c>
      <c r="AS1075" s="27">
        <f>SUM(Tabla2[[#This Row],[Horas*]],Tabla2[[#This Row],[Minutos a Horas*]])+(Tabla2[[#This Row],[Tiempo Total a Nivel Proncincial (Horas)]])</f>
        <v>8.4499999999999993</v>
      </c>
    </row>
    <row r="1076" spans="28:45" x14ac:dyDescent="0.25">
      <c r="AB1076" s="89"/>
      <c r="AD1076" s="33" t="s">
        <v>2394</v>
      </c>
      <c r="AE1076" s="10" t="s">
        <v>383</v>
      </c>
      <c r="AF1076" s="20" t="s">
        <v>1297</v>
      </c>
      <c r="AG1076" s="10"/>
      <c r="AH1076" s="22" t="str">
        <f t="shared" si="32"/>
        <v xml:space="preserve">Junín_03 Chanchamayo </v>
      </c>
      <c r="AI1076" s="10" t="s">
        <v>1288</v>
      </c>
      <c r="AJ1076" s="20" t="s">
        <v>1349</v>
      </c>
      <c r="AK1076" s="22" t="str">
        <f t="shared" si="33"/>
        <v>Junín_03 Chanchamayo _05 San Ramón</v>
      </c>
      <c r="AL1076" s="25">
        <v>3</v>
      </c>
      <c r="AM1076" s="25">
        <v>27</v>
      </c>
      <c r="AN1076" s="26">
        <f>Tabla2[[#This Row],[Minutos]]/60</f>
        <v>0.45</v>
      </c>
      <c r="AO1076" s="27">
        <f>SUM(Tabla2[[#This Row],[Horas]],Tabla2[[#This Row],[Minutos a Horas]])</f>
        <v>3.45</v>
      </c>
      <c r="AP1076" s="85">
        <v>4</v>
      </c>
      <c r="AQ1076" s="85">
        <v>0</v>
      </c>
      <c r="AR1076" s="26">
        <f>Tabla2[[#This Row],[Minutos*]]/60</f>
        <v>0</v>
      </c>
      <c r="AS1076" s="27">
        <f>SUM(Tabla2[[#This Row],[Horas*]],Tabla2[[#This Row],[Minutos a Horas*]])+(Tabla2[[#This Row],[Tiempo Total a Nivel Proncincial (Horas)]])</f>
        <v>7.45</v>
      </c>
    </row>
    <row r="1077" spans="28:45" x14ac:dyDescent="0.25">
      <c r="AB1077" s="89"/>
      <c r="AD1077" s="33" t="s">
        <v>2394</v>
      </c>
      <c r="AE1077" s="10" t="s">
        <v>383</v>
      </c>
      <c r="AF1077" s="20" t="s">
        <v>1297</v>
      </c>
      <c r="AG1077" s="10"/>
      <c r="AH1077" s="22" t="str">
        <f t="shared" si="32"/>
        <v xml:space="preserve">Junín_03 Chanchamayo </v>
      </c>
      <c r="AI1077" s="10" t="s">
        <v>1288</v>
      </c>
      <c r="AJ1077" s="20" t="s">
        <v>1350</v>
      </c>
      <c r="AK1077" s="22" t="str">
        <f t="shared" si="33"/>
        <v>Junín_03 Chanchamayo _06 Vitoc</v>
      </c>
      <c r="AL1077" s="25">
        <v>3</v>
      </c>
      <c r="AM1077" s="25">
        <v>27</v>
      </c>
      <c r="AN1077" s="26">
        <f>Tabla2[[#This Row],[Minutos]]/60</f>
        <v>0.45</v>
      </c>
      <c r="AO1077" s="27">
        <f>SUM(Tabla2[[#This Row],[Horas]],Tabla2[[#This Row],[Minutos a Horas]])</f>
        <v>3.45</v>
      </c>
      <c r="AP1077" s="85">
        <v>4</v>
      </c>
      <c r="AQ1077" s="85">
        <v>30</v>
      </c>
      <c r="AR1077" s="26">
        <f>Tabla2[[#This Row],[Minutos*]]/60</f>
        <v>0.5</v>
      </c>
      <c r="AS1077" s="27">
        <f>SUM(Tabla2[[#This Row],[Horas*]],Tabla2[[#This Row],[Minutos a Horas*]])+(Tabla2[[#This Row],[Tiempo Total a Nivel Proncincial (Horas)]])</f>
        <v>7.95</v>
      </c>
    </row>
    <row r="1078" spans="28:45" x14ac:dyDescent="0.25">
      <c r="AB1078" s="89"/>
      <c r="AD1078" s="33" t="s">
        <v>2394</v>
      </c>
      <c r="AE1078" s="10" t="s">
        <v>383</v>
      </c>
      <c r="AF1078" s="20" t="s">
        <v>1298</v>
      </c>
      <c r="AG1078" s="10"/>
      <c r="AH1078" s="22" t="str">
        <f t="shared" si="32"/>
        <v xml:space="preserve">Junín_04 Jauja </v>
      </c>
      <c r="AI1078" s="10" t="s">
        <v>1289</v>
      </c>
      <c r="AJ1078" s="20" t="s">
        <v>1351</v>
      </c>
      <c r="AK1078" s="22" t="str">
        <f t="shared" si="33"/>
        <v>Junín_04 Jauja _01 Jauja</v>
      </c>
      <c r="AL1078" s="25">
        <v>1</v>
      </c>
      <c r="AM1078" s="25">
        <v>1</v>
      </c>
      <c r="AN1078" s="26">
        <f>Tabla2[[#This Row],[Minutos]]/60</f>
        <v>1.6666666666666666E-2</v>
      </c>
      <c r="AO1078" s="27">
        <f>SUM(Tabla2[[#This Row],[Horas]],Tabla2[[#This Row],[Minutos a Horas]])</f>
        <v>1.0166666666666666</v>
      </c>
      <c r="AP1078" s="85">
        <v>0</v>
      </c>
      <c r="AQ1078" s="85">
        <v>50</v>
      </c>
      <c r="AR1078" s="26">
        <f>Tabla2[[#This Row],[Minutos*]]/60</f>
        <v>0.83333333333333337</v>
      </c>
      <c r="AS1078" s="27">
        <f>SUM(Tabla2[[#This Row],[Horas*]],Tabla2[[#This Row],[Minutos a Horas*]])+(Tabla2[[#This Row],[Tiempo Total a Nivel Proncincial (Horas)]])</f>
        <v>1.85</v>
      </c>
    </row>
    <row r="1079" spans="28:45" x14ac:dyDescent="0.25">
      <c r="AB1079" s="89"/>
      <c r="AD1079" s="33" t="s">
        <v>2394</v>
      </c>
      <c r="AE1079" s="10" t="s">
        <v>383</v>
      </c>
      <c r="AF1079" s="20" t="s">
        <v>1298</v>
      </c>
      <c r="AG1079" s="10"/>
      <c r="AH1079" s="22" t="str">
        <f t="shared" si="32"/>
        <v xml:space="preserve">Junín_04 Jauja </v>
      </c>
      <c r="AI1079" s="10" t="s">
        <v>1289</v>
      </c>
      <c r="AJ1079" s="20" t="s">
        <v>1352</v>
      </c>
      <c r="AK1079" s="22" t="str">
        <f t="shared" si="33"/>
        <v>Junín_04 Jauja _02 Acolla</v>
      </c>
      <c r="AL1079" s="25">
        <v>1</v>
      </c>
      <c r="AM1079" s="25">
        <v>1</v>
      </c>
      <c r="AN1079" s="26">
        <f>Tabla2[[#This Row],[Minutos]]/60</f>
        <v>1.6666666666666666E-2</v>
      </c>
      <c r="AO1079" s="27">
        <f>SUM(Tabla2[[#This Row],[Horas]],Tabla2[[#This Row],[Minutos a Horas]])</f>
        <v>1.0166666666666666</v>
      </c>
      <c r="AP1079" s="85">
        <v>1</v>
      </c>
      <c r="AQ1079" s="85">
        <v>15</v>
      </c>
      <c r="AR1079" s="26">
        <f>Tabla2[[#This Row],[Minutos*]]/60</f>
        <v>0.25</v>
      </c>
      <c r="AS1079" s="27">
        <f>SUM(Tabla2[[#This Row],[Horas*]],Tabla2[[#This Row],[Minutos a Horas*]])+(Tabla2[[#This Row],[Tiempo Total a Nivel Proncincial (Horas)]])</f>
        <v>2.2666666666666666</v>
      </c>
    </row>
    <row r="1080" spans="28:45" x14ac:dyDescent="0.25">
      <c r="AB1080" s="89"/>
      <c r="AD1080" s="33" t="s">
        <v>2394</v>
      </c>
      <c r="AE1080" s="10" t="s">
        <v>383</v>
      </c>
      <c r="AF1080" s="20" t="s">
        <v>1298</v>
      </c>
      <c r="AG1080" s="10"/>
      <c r="AH1080" s="22" t="str">
        <f t="shared" si="32"/>
        <v xml:space="preserve">Junín_04 Jauja </v>
      </c>
      <c r="AI1080" s="10" t="s">
        <v>1289</v>
      </c>
      <c r="AJ1080" s="20" t="s">
        <v>1353</v>
      </c>
      <c r="AK1080" s="22" t="str">
        <f t="shared" si="33"/>
        <v>Junín_04 Jauja _03 Apata</v>
      </c>
      <c r="AL1080" s="25">
        <v>1</v>
      </c>
      <c r="AM1080" s="25">
        <v>1</v>
      </c>
      <c r="AN1080" s="26">
        <f>Tabla2[[#This Row],[Minutos]]/60</f>
        <v>1.6666666666666666E-2</v>
      </c>
      <c r="AO1080" s="27">
        <f>SUM(Tabla2[[#This Row],[Horas]],Tabla2[[#This Row],[Minutos a Horas]])</f>
        <v>1.0166666666666666</v>
      </c>
      <c r="AP1080" s="85">
        <v>1</v>
      </c>
      <c r="AQ1080" s="85">
        <v>0</v>
      </c>
      <c r="AR1080" s="26">
        <f>Tabla2[[#This Row],[Minutos*]]/60</f>
        <v>0</v>
      </c>
      <c r="AS1080" s="27">
        <f>SUM(Tabla2[[#This Row],[Horas*]],Tabla2[[#This Row],[Minutos a Horas*]])+(Tabla2[[#This Row],[Tiempo Total a Nivel Proncincial (Horas)]])</f>
        <v>2.0166666666666666</v>
      </c>
    </row>
    <row r="1081" spans="28:45" x14ac:dyDescent="0.25">
      <c r="AB1081" s="89"/>
      <c r="AD1081" s="33" t="s">
        <v>2394</v>
      </c>
      <c r="AE1081" s="10" t="s">
        <v>383</v>
      </c>
      <c r="AF1081" s="20" t="s">
        <v>1298</v>
      </c>
      <c r="AG1081" s="10"/>
      <c r="AH1081" s="22" t="str">
        <f t="shared" si="32"/>
        <v xml:space="preserve">Junín_04 Jauja </v>
      </c>
      <c r="AI1081" s="10" t="s">
        <v>1289</v>
      </c>
      <c r="AJ1081" s="20" t="s">
        <v>1354</v>
      </c>
      <c r="AK1081" s="22" t="str">
        <f t="shared" si="33"/>
        <v>Junín_04 Jauja _04 Ataura</v>
      </c>
      <c r="AL1081" s="25">
        <v>1</v>
      </c>
      <c r="AM1081" s="25">
        <v>1</v>
      </c>
      <c r="AN1081" s="26">
        <f>Tabla2[[#This Row],[Minutos]]/60</f>
        <v>1.6666666666666666E-2</v>
      </c>
      <c r="AO1081" s="27">
        <f>SUM(Tabla2[[#This Row],[Horas]],Tabla2[[#This Row],[Minutos a Horas]])</f>
        <v>1.0166666666666666</v>
      </c>
      <c r="AP1081" s="85">
        <v>1</v>
      </c>
      <c r="AQ1081" s="85">
        <v>10</v>
      </c>
      <c r="AR1081" s="26">
        <f>Tabla2[[#This Row],[Minutos*]]/60</f>
        <v>0.16666666666666666</v>
      </c>
      <c r="AS1081" s="27">
        <f>SUM(Tabla2[[#This Row],[Horas*]],Tabla2[[#This Row],[Minutos a Horas*]])+(Tabla2[[#This Row],[Tiempo Total a Nivel Proncincial (Horas)]])</f>
        <v>2.1833333333333336</v>
      </c>
    </row>
    <row r="1082" spans="28:45" x14ac:dyDescent="0.25">
      <c r="AB1082" s="89"/>
      <c r="AD1082" s="33" t="s">
        <v>2394</v>
      </c>
      <c r="AE1082" s="10" t="s">
        <v>383</v>
      </c>
      <c r="AF1082" s="20" t="s">
        <v>1298</v>
      </c>
      <c r="AG1082" s="10"/>
      <c r="AH1082" s="22" t="str">
        <f t="shared" si="32"/>
        <v xml:space="preserve">Junín_04 Jauja </v>
      </c>
      <c r="AI1082" s="10" t="s">
        <v>1289</v>
      </c>
      <c r="AJ1082" s="20" t="s">
        <v>1355</v>
      </c>
      <c r="AK1082" s="22" t="str">
        <f t="shared" si="33"/>
        <v>Junín_04 Jauja _05 Canchayllo</v>
      </c>
      <c r="AL1082" s="25">
        <v>1</v>
      </c>
      <c r="AM1082" s="25">
        <v>1</v>
      </c>
      <c r="AN1082" s="26">
        <f>Tabla2[[#This Row],[Minutos]]/60</f>
        <v>1.6666666666666666E-2</v>
      </c>
      <c r="AO1082" s="27">
        <f>SUM(Tabla2[[#This Row],[Horas]],Tabla2[[#This Row],[Minutos a Horas]])</f>
        <v>1.0166666666666666</v>
      </c>
      <c r="AP1082" s="85">
        <v>1</v>
      </c>
      <c r="AQ1082" s="85">
        <v>46</v>
      </c>
      <c r="AR1082" s="26">
        <f>Tabla2[[#This Row],[Minutos*]]/60</f>
        <v>0.76666666666666672</v>
      </c>
      <c r="AS1082" s="27">
        <f>SUM(Tabla2[[#This Row],[Horas*]],Tabla2[[#This Row],[Minutos a Horas*]])+(Tabla2[[#This Row],[Tiempo Total a Nivel Proncincial (Horas)]])</f>
        <v>2.7833333333333332</v>
      </c>
    </row>
    <row r="1083" spans="28:45" x14ac:dyDescent="0.25">
      <c r="AB1083" s="89"/>
      <c r="AD1083" s="33" t="s">
        <v>2394</v>
      </c>
      <c r="AE1083" s="10" t="s">
        <v>383</v>
      </c>
      <c r="AF1083" s="20" t="s">
        <v>1298</v>
      </c>
      <c r="AG1083" s="10"/>
      <c r="AH1083" s="22" t="str">
        <f t="shared" si="32"/>
        <v xml:space="preserve">Junín_04 Jauja </v>
      </c>
      <c r="AI1083" s="10" t="s">
        <v>1289</v>
      </c>
      <c r="AJ1083" s="20" t="s">
        <v>1356</v>
      </c>
      <c r="AK1083" s="22" t="str">
        <f t="shared" si="33"/>
        <v>Junín_04 Jauja _06 Curicaca</v>
      </c>
      <c r="AL1083" s="25">
        <v>1</v>
      </c>
      <c r="AM1083" s="25">
        <v>1</v>
      </c>
      <c r="AN1083" s="26">
        <f>Tabla2[[#This Row],[Minutos]]/60</f>
        <v>1.6666666666666666E-2</v>
      </c>
      <c r="AO1083" s="27">
        <f>SUM(Tabla2[[#This Row],[Horas]],Tabla2[[#This Row],[Minutos a Horas]])</f>
        <v>1.0166666666666666</v>
      </c>
      <c r="AP1083" s="85">
        <v>1</v>
      </c>
      <c r="AQ1083" s="85">
        <v>30</v>
      </c>
      <c r="AR1083" s="26">
        <f>Tabla2[[#This Row],[Minutos*]]/60</f>
        <v>0.5</v>
      </c>
      <c r="AS1083" s="27">
        <f>SUM(Tabla2[[#This Row],[Horas*]],Tabla2[[#This Row],[Minutos a Horas*]])+(Tabla2[[#This Row],[Tiempo Total a Nivel Proncincial (Horas)]])</f>
        <v>2.5166666666666666</v>
      </c>
    </row>
    <row r="1084" spans="28:45" x14ac:dyDescent="0.25">
      <c r="AB1084" s="89"/>
      <c r="AD1084" s="33" t="s">
        <v>2394</v>
      </c>
      <c r="AE1084" s="10" t="s">
        <v>383</v>
      </c>
      <c r="AF1084" s="20" t="s">
        <v>1298</v>
      </c>
      <c r="AG1084" s="10"/>
      <c r="AH1084" s="22" t="str">
        <f t="shared" si="32"/>
        <v xml:space="preserve">Junín_04 Jauja </v>
      </c>
      <c r="AI1084" s="10" t="s">
        <v>1289</v>
      </c>
      <c r="AJ1084" s="20" t="s">
        <v>1357</v>
      </c>
      <c r="AK1084" s="22" t="str">
        <f t="shared" si="33"/>
        <v>Junín_04 Jauja _07 El Mantaro</v>
      </c>
      <c r="AL1084" s="25">
        <v>1</v>
      </c>
      <c r="AM1084" s="25">
        <v>1</v>
      </c>
      <c r="AN1084" s="26">
        <f>Tabla2[[#This Row],[Minutos]]/60</f>
        <v>1.6666666666666666E-2</v>
      </c>
      <c r="AO1084" s="27">
        <f>SUM(Tabla2[[#This Row],[Horas]],Tabla2[[#This Row],[Minutos a Horas]])</f>
        <v>1.0166666666666666</v>
      </c>
      <c r="AP1084" s="85">
        <v>1</v>
      </c>
      <c r="AQ1084" s="85">
        <v>10</v>
      </c>
      <c r="AR1084" s="26">
        <f>Tabla2[[#This Row],[Minutos*]]/60</f>
        <v>0.16666666666666666</v>
      </c>
      <c r="AS1084" s="27">
        <f>SUM(Tabla2[[#This Row],[Horas*]],Tabla2[[#This Row],[Minutos a Horas*]])+(Tabla2[[#This Row],[Tiempo Total a Nivel Proncincial (Horas)]])</f>
        <v>2.1833333333333336</v>
      </c>
    </row>
    <row r="1085" spans="28:45" x14ac:dyDescent="0.25">
      <c r="AB1085" s="89"/>
      <c r="AD1085" s="33" t="s">
        <v>2394</v>
      </c>
      <c r="AE1085" s="10" t="s">
        <v>383</v>
      </c>
      <c r="AF1085" s="20" t="s">
        <v>1298</v>
      </c>
      <c r="AG1085" s="10"/>
      <c r="AH1085" s="22" t="str">
        <f t="shared" si="32"/>
        <v xml:space="preserve">Junín_04 Jauja </v>
      </c>
      <c r="AI1085" s="10" t="s">
        <v>1289</v>
      </c>
      <c r="AJ1085" s="20" t="s">
        <v>1358</v>
      </c>
      <c r="AK1085" s="22" t="str">
        <f t="shared" si="33"/>
        <v>Junín_04 Jauja _08 Huamali</v>
      </c>
      <c r="AL1085" s="25">
        <v>1</v>
      </c>
      <c r="AM1085" s="25">
        <v>1</v>
      </c>
      <c r="AN1085" s="26">
        <f>Tabla2[[#This Row],[Minutos]]/60</f>
        <v>1.6666666666666666E-2</v>
      </c>
      <c r="AO1085" s="27">
        <f>SUM(Tabla2[[#This Row],[Horas]],Tabla2[[#This Row],[Minutos a Horas]])</f>
        <v>1.0166666666666666</v>
      </c>
      <c r="AP1085" s="85">
        <v>1</v>
      </c>
      <c r="AQ1085" s="85">
        <v>10</v>
      </c>
      <c r="AR1085" s="26">
        <f>Tabla2[[#This Row],[Minutos*]]/60</f>
        <v>0.16666666666666666</v>
      </c>
      <c r="AS1085" s="27">
        <f>SUM(Tabla2[[#This Row],[Horas*]],Tabla2[[#This Row],[Minutos a Horas*]])+(Tabla2[[#This Row],[Tiempo Total a Nivel Proncincial (Horas)]])</f>
        <v>2.1833333333333336</v>
      </c>
    </row>
    <row r="1086" spans="28:45" x14ac:dyDescent="0.25">
      <c r="AB1086" s="89"/>
      <c r="AD1086" s="33" t="s">
        <v>2394</v>
      </c>
      <c r="AE1086" s="10" t="s">
        <v>383</v>
      </c>
      <c r="AF1086" s="20" t="s">
        <v>1298</v>
      </c>
      <c r="AG1086" s="10"/>
      <c r="AH1086" s="22" t="str">
        <f t="shared" si="32"/>
        <v xml:space="preserve">Junín_04 Jauja </v>
      </c>
      <c r="AI1086" s="10" t="s">
        <v>1289</v>
      </c>
      <c r="AJ1086" s="20" t="s">
        <v>1359</v>
      </c>
      <c r="AK1086" s="22" t="str">
        <f t="shared" si="33"/>
        <v>Junín_04 Jauja _09 Huaripampa</v>
      </c>
      <c r="AL1086" s="25">
        <v>1</v>
      </c>
      <c r="AM1086" s="25">
        <v>1</v>
      </c>
      <c r="AN1086" s="26">
        <f>Tabla2[[#This Row],[Minutos]]/60</f>
        <v>1.6666666666666666E-2</v>
      </c>
      <c r="AO1086" s="27">
        <f>SUM(Tabla2[[#This Row],[Horas]],Tabla2[[#This Row],[Minutos a Horas]])</f>
        <v>1.0166666666666666</v>
      </c>
      <c r="AP1086" s="85">
        <v>1</v>
      </c>
      <c r="AQ1086" s="85">
        <v>0</v>
      </c>
      <c r="AR1086" s="26">
        <f>Tabla2[[#This Row],[Minutos*]]/60</f>
        <v>0</v>
      </c>
      <c r="AS1086" s="27">
        <f>SUM(Tabla2[[#This Row],[Horas*]],Tabla2[[#This Row],[Minutos a Horas*]])+(Tabla2[[#This Row],[Tiempo Total a Nivel Proncincial (Horas)]])</f>
        <v>2.0166666666666666</v>
      </c>
    </row>
    <row r="1087" spans="28:45" x14ac:dyDescent="0.25">
      <c r="AB1087" s="89"/>
      <c r="AD1087" s="33" t="s">
        <v>2394</v>
      </c>
      <c r="AE1087" s="10" t="s">
        <v>383</v>
      </c>
      <c r="AF1087" s="20" t="s">
        <v>1298</v>
      </c>
      <c r="AG1087" s="10"/>
      <c r="AH1087" s="22" t="str">
        <f t="shared" si="32"/>
        <v xml:space="preserve">Junín_04 Jauja </v>
      </c>
      <c r="AI1087" s="10" t="s">
        <v>1289</v>
      </c>
      <c r="AJ1087" s="20" t="s">
        <v>1360</v>
      </c>
      <c r="AK1087" s="22" t="str">
        <f t="shared" si="33"/>
        <v>Junín_04 Jauja _10 Huertas</v>
      </c>
      <c r="AL1087" s="25">
        <v>1</v>
      </c>
      <c r="AM1087" s="25">
        <v>1</v>
      </c>
      <c r="AN1087" s="26">
        <f>Tabla2[[#This Row],[Minutos]]/60</f>
        <v>1.6666666666666666E-2</v>
      </c>
      <c r="AO1087" s="27">
        <f>SUM(Tabla2[[#This Row],[Horas]],Tabla2[[#This Row],[Minutos a Horas]])</f>
        <v>1.0166666666666666</v>
      </c>
      <c r="AP1087" s="85">
        <v>1</v>
      </c>
      <c r="AQ1087" s="85">
        <v>10</v>
      </c>
      <c r="AR1087" s="26">
        <f>Tabla2[[#This Row],[Minutos*]]/60</f>
        <v>0.16666666666666666</v>
      </c>
      <c r="AS1087" s="27">
        <f>SUM(Tabla2[[#This Row],[Horas*]],Tabla2[[#This Row],[Minutos a Horas*]])+(Tabla2[[#This Row],[Tiempo Total a Nivel Proncincial (Horas)]])</f>
        <v>2.1833333333333336</v>
      </c>
    </row>
    <row r="1088" spans="28:45" x14ac:dyDescent="0.25">
      <c r="AB1088" s="89"/>
      <c r="AD1088" s="33" t="s">
        <v>2394</v>
      </c>
      <c r="AE1088" s="10" t="s">
        <v>383</v>
      </c>
      <c r="AF1088" s="20" t="s">
        <v>1298</v>
      </c>
      <c r="AG1088" s="10"/>
      <c r="AH1088" s="22" t="str">
        <f t="shared" si="32"/>
        <v xml:space="preserve">Junín_04 Jauja </v>
      </c>
      <c r="AI1088" s="10" t="s">
        <v>1289</v>
      </c>
      <c r="AJ1088" s="20" t="s">
        <v>1361</v>
      </c>
      <c r="AK1088" s="22" t="str">
        <f t="shared" si="33"/>
        <v>Junín_04 Jauja _11 Janjaillo</v>
      </c>
      <c r="AL1088" s="25">
        <v>1</v>
      </c>
      <c r="AM1088" s="25">
        <v>1</v>
      </c>
      <c r="AN1088" s="26">
        <f>Tabla2[[#This Row],[Minutos]]/60</f>
        <v>1.6666666666666666E-2</v>
      </c>
      <c r="AO1088" s="27">
        <f>SUM(Tabla2[[#This Row],[Horas]],Tabla2[[#This Row],[Minutos a Horas]])</f>
        <v>1.0166666666666666</v>
      </c>
      <c r="AP1088" s="85">
        <v>1</v>
      </c>
      <c r="AQ1088" s="85">
        <v>30</v>
      </c>
      <c r="AR1088" s="26">
        <f>Tabla2[[#This Row],[Minutos*]]/60</f>
        <v>0.5</v>
      </c>
      <c r="AS1088" s="27">
        <f>SUM(Tabla2[[#This Row],[Horas*]],Tabla2[[#This Row],[Minutos a Horas*]])+(Tabla2[[#This Row],[Tiempo Total a Nivel Proncincial (Horas)]])</f>
        <v>2.5166666666666666</v>
      </c>
    </row>
    <row r="1089" spans="28:45" x14ac:dyDescent="0.25">
      <c r="AB1089" s="89"/>
      <c r="AD1089" s="33" t="s">
        <v>2394</v>
      </c>
      <c r="AE1089" s="10" t="s">
        <v>383</v>
      </c>
      <c r="AF1089" s="20" t="s">
        <v>1298</v>
      </c>
      <c r="AG1089" s="10"/>
      <c r="AH1089" s="22" t="str">
        <f t="shared" si="32"/>
        <v xml:space="preserve">Junín_04 Jauja </v>
      </c>
      <c r="AI1089" s="10" t="s">
        <v>1289</v>
      </c>
      <c r="AJ1089" s="20" t="s">
        <v>1362</v>
      </c>
      <c r="AK1089" s="22" t="str">
        <f t="shared" si="33"/>
        <v>Junín_04 Jauja _12 Julcán</v>
      </c>
      <c r="AL1089" s="25">
        <v>1</v>
      </c>
      <c r="AM1089" s="25">
        <v>1</v>
      </c>
      <c r="AN1089" s="26">
        <f>Tabla2[[#This Row],[Minutos]]/60</f>
        <v>1.6666666666666666E-2</v>
      </c>
      <c r="AO1089" s="27">
        <f>SUM(Tabla2[[#This Row],[Horas]],Tabla2[[#This Row],[Minutos a Horas]])</f>
        <v>1.0166666666666666</v>
      </c>
      <c r="AP1089" s="85">
        <v>1</v>
      </c>
      <c r="AQ1089" s="85">
        <v>15</v>
      </c>
      <c r="AR1089" s="26">
        <f>Tabla2[[#This Row],[Minutos*]]/60</f>
        <v>0.25</v>
      </c>
      <c r="AS1089" s="27">
        <f>SUM(Tabla2[[#This Row],[Horas*]],Tabla2[[#This Row],[Minutos a Horas*]])+(Tabla2[[#This Row],[Tiempo Total a Nivel Proncincial (Horas)]])</f>
        <v>2.2666666666666666</v>
      </c>
    </row>
    <row r="1090" spans="28:45" x14ac:dyDescent="0.25">
      <c r="AB1090" s="89"/>
      <c r="AD1090" s="33" t="s">
        <v>2394</v>
      </c>
      <c r="AE1090" s="10" t="s">
        <v>383</v>
      </c>
      <c r="AF1090" s="20" t="s">
        <v>1298</v>
      </c>
      <c r="AG1090" s="10"/>
      <c r="AH1090" s="22" t="str">
        <f t="shared" si="32"/>
        <v xml:space="preserve">Junín_04 Jauja </v>
      </c>
      <c r="AI1090" s="10" t="s">
        <v>1289</v>
      </c>
      <c r="AJ1090" s="20" t="s">
        <v>1363</v>
      </c>
      <c r="AK1090" s="22" t="str">
        <f t="shared" si="33"/>
        <v>Junín_04 Jauja _13 Leonor Ordóñez</v>
      </c>
      <c r="AL1090" s="25">
        <v>1</v>
      </c>
      <c r="AM1090" s="25">
        <v>1</v>
      </c>
      <c r="AN1090" s="26">
        <f>Tabla2[[#This Row],[Minutos]]/60</f>
        <v>1.6666666666666666E-2</v>
      </c>
      <c r="AO1090" s="27">
        <f>SUM(Tabla2[[#This Row],[Horas]],Tabla2[[#This Row],[Minutos a Horas]])</f>
        <v>1.0166666666666666</v>
      </c>
      <c r="AP1090" s="85"/>
      <c r="AQ1090" s="86">
        <v>45</v>
      </c>
      <c r="AR1090" s="26">
        <f>Tabla2[[#This Row],[Minutos*]]/60</f>
        <v>0.75</v>
      </c>
      <c r="AS1090" s="27">
        <f>SUM(Tabla2[[#This Row],[Horas*]],Tabla2[[#This Row],[Minutos a Horas*]])+(Tabla2[[#This Row],[Tiempo Total a Nivel Proncincial (Horas)]])</f>
        <v>1.7666666666666666</v>
      </c>
    </row>
    <row r="1091" spans="28:45" x14ac:dyDescent="0.25">
      <c r="AB1091" s="89"/>
      <c r="AD1091" s="33" t="s">
        <v>2394</v>
      </c>
      <c r="AE1091" s="10" t="s">
        <v>383</v>
      </c>
      <c r="AF1091" s="20" t="s">
        <v>1298</v>
      </c>
      <c r="AG1091" s="10"/>
      <c r="AH1091" s="22" t="str">
        <f t="shared" si="32"/>
        <v xml:space="preserve">Junín_04 Jauja </v>
      </c>
      <c r="AI1091" s="10" t="s">
        <v>1289</v>
      </c>
      <c r="AJ1091" s="20" t="s">
        <v>1364</v>
      </c>
      <c r="AK1091" s="22" t="str">
        <f t="shared" si="33"/>
        <v>Junín_04 Jauja _14 Llocllapampa</v>
      </c>
      <c r="AL1091" s="25">
        <v>1</v>
      </c>
      <c r="AM1091" s="25">
        <v>1</v>
      </c>
      <c r="AN1091" s="26">
        <f>Tabla2[[#This Row],[Minutos]]/60</f>
        <v>1.6666666666666666E-2</v>
      </c>
      <c r="AO1091" s="27">
        <f>SUM(Tabla2[[#This Row],[Horas]],Tabla2[[#This Row],[Minutos a Horas]])</f>
        <v>1.0166666666666666</v>
      </c>
      <c r="AP1091" s="85">
        <v>1</v>
      </c>
      <c r="AQ1091" s="85">
        <v>30</v>
      </c>
      <c r="AR1091" s="26">
        <f>Tabla2[[#This Row],[Minutos*]]/60</f>
        <v>0.5</v>
      </c>
      <c r="AS1091" s="27">
        <f>SUM(Tabla2[[#This Row],[Horas*]],Tabla2[[#This Row],[Minutos a Horas*]])+(Tabla2[[#This Row],[Tiempo Total a Nivel Proncincial (Horas)]])</f>
        <v>2.5166666666666666</v>
      </c>
    </row>
    <row r="1092" spans="28:45" x14ac:dyDescent="0.25">
      <c r="AB1092" s="89"/>
      <c r="AD1092" s="33" t="s">
        <v>2394</v>
      </c>
      <c r="AE1092" s="10" t="s">
        <v>383</v>
      </c>
      <c r="AF1092" s="20" t="s">
        <v>1298</v>
      </c>
      <c r="AG1092" s="10"/>
      <c r="AH1092" s="22" t="str">
        <f t="shared" si="32"/>
        <v xml:space="preserve">Junín_04 Jauja </v>
      </c>
      <c r="AI1092" s="10" t="s">
        <v>1289</v>
      </c>
      <c r="AJ1092" s="20" t="s">
        <v>1365</v>
      </c>
      <c r="AK1092" s="22" t="str">
        <f t="shared" si="33"/>
        <v>Junín_04 Jauja _15 Marco</v>
      </c>
      <c r="AL1092" s="25">
        <v>1</v>
      </c>
      <c r="AM1092" s="25">
        <v>1</v>
      </c>
      <c r="AN1092" s="26">
        <f>Tabla2[[#This Row],[Minutos]]/60</f>
        <v>1.6666666666666666E-2</v>
      </c>
      <c r="AO1092" s="27">
        <f>SUM(Tabla2[[#This Row],[Horas]],Tabla2[[#This Row],[Minutos a Horas]])</f>
        <v>1.0166666666666666</v>
      </c>
      <c r="AP1092" s="85">
        <v>1</v>
      </c>
      <c r="AQ1092" s="85">
        <v>30</v>
      </c>
      <c r="AR1092" s="26">
        <f>Tabla2[[#This Row],[Minutos*]]/60</f>
        <v>0.5</v>
      </c>
      <c r="AS1092" s="27">
        <f>SUM(Tabla2[[#This Row],[Horas*]],Tabla2[[#This Row],[Minutos a Horas*]])+(Tabla2[[#This Row],[Tiempo Total a Nivel Proncincial (Horas)]])</f>
        <v>2.5166666666666666</v>
      </c>
    </row>
    <row r="1093" spans="28:45" x14ac:dyDescent="0.25">
      <c r="AB1093" s="89"/>
      <c r="AD1093" s="33" t="s">
        <v>2394</v>
      </c>
      <c r="AE1093" s="10" t="s">
        <v>383</v>
      </c>
      <c r="AF1093" s="20" t="s">
        <v>1298</v>
      </c>
      <c r="AG1093" s="10"/>
      <c r="AH1093" s="22" t="str">
        <f t="shared" si="32"/>
        <v xml:space="preserve">Junín_04 Jauja </v>
      </c>
      <c r="AI1093" s="10" t="s">
        <v>1289</v>
      </c>
      <c r="AJ1093" s="20" t="s">
        <v>1366</v>
      </c>
      <c r="AK1093" s="22" t="str">
        <f t="shared" si="33"/>
        <v>Junín_04 Jauja _16 Masma</v>
      </c>
      <c r="AL1093" s="25">
        <v>1</v>
      </c>
      <c r="AM1093" s="25">
        <v>1</v>
      </c>
      <c r="AN1093" s="26">
        <f>Tabla2[[#This Row],[Minutos]]/60</f>
        <v>1.6666666666666666E-2</v>
      </c>
      <c r="AO1093" s="27">
        <f>SUM(Tabla2[[#This Row],[Horas]],Tabla2[[#This Row],[Minutos a Horas]])</f>
        <v>1.0166666666666666</v>
      </c>
      <c r="AP1093" s="85">
        <v>1</v>
      </c>
      <c r="AQ1093" s="85">
        <v>20</v>
      </c>
      <c r="AR1093" s="26">
        <f>Tabla2[[#This Row],[Minutos*]]/60</f>
        <v>0.33333333333333331</v>
      </c>
      <c r="AS1093" s="27">
        <f>SUM(Tabla2[[#This Row],[Horas*]],Tabla2[[#This Row],[Minutos a Horas*]])+(Tabla2[[#This Row],[Tiempo Total a Nivel Proncincial (Horas)]])</f>
        <v>2.3499999999999996</v>
      </c>
    </row>
    <row r="1094" spans="28:45" x14ac:dyDescent="0.25">
      <c r="AB1094" s="89"/>
      <c r="AD1094" s="33" t="s">
        <v>2394</v>
      </c>
      <c r="AE1094" s="10" t="s">
        <v>383</v>
      </c>
      <c r="AF1094" s="20" t="s">
        <v>1298</v>
      </c>
      <c r="AG1094" s="10"/>
      <c r="AH1094" s="22" t="str">
        <f t="shared" si="32"/>
        <v xml:space="preserve">Junín_04 Jauja </v>
      </c>
      <c r="AI1094" s="10" t="s">
        <v>1289</v>
      </c>
      <c r="AJ1094" s="20" t="s">
        <v>1367</v>
      </c>
      <c r="AK1094" s="22" t="str">
        <f t="shared" si="33"/>
        <v>Junín_04 Jauja _17 Masma Chicche</v>
      </c>
      <c r="AL1094" s="25">
        <v>1</v>
      </c>
      <c r="AM1094" s="25">
        <v>1</v>
      </c>
      <c r="AN1094" s="26">
        <f>Tabla2[[#This Row],[Minutos]]/60</f>
        <v>1.6666666666666666E-2</v>
      </c>
      <c r="AO1094" s="27">
        <f>SUM(Tabla2[[#This Row],[Horas]],Tabla2[[#This Row],[Minutos a Horas]])</f>
        <v>1.0166666666666666</v>
      </c>
      <c r="AP1094" s="85">
        <v>1</v>
      </c>
      <c r="AQ1094" s="85">
        <v>30</v>
      </c>
      <c r="AR1094" s="26">
        <f>Tabla2[[#This Row],[Minutos*]]/60</f>
        <v>0.5</v>
      </c>
      <c r="AS1094" s="27">
        <f>SUM(Tabla2[[#This Row],[Horas*]],Tabla2[[#This Row],[Minutos a Horas*]])+(Tabla2[[#This Row],[Tiempo Total a Nivel Proncincial (Horas)]])</f>
        <v>2.5166666666666666</v>
      </c>
    </row>
    <row r="1095" spans="28:45" x14ac:dyDescent="0.25">
      <c r="AB1095" s="89"/>
      <c r="AD1095" s="33" t="s">
        <v>2394</v>
      </c>
      <c r="AE1095" s="10" t="s">
        <v>383</v>
      </c>
      <c r="AF1095" s="20" t="s">
        <v>1298</v>
      </c>
      <c r="AG1095" s="10"/>
      <c r="AH1095" s="22" t="str">
        <f t="shared" si="32"/>
        <v xml:space="preserve">Junín_04 Jauja </v>
      </c>
      <c r="AI1095" s="10" t="s">
        <v>1289</v>
      </c>
      <c r="AJ1095" s="20" t="s">
        <v>1368</v>
      </c>
      <c r="AK1095" s="22" t="str">
        <f t="shared" si="33"/>
        <v>Junín_04 Jauja _18 Molinos</v>
      </c>
      <c r="AL1095" s="25">
        <v>1</v>
      </c>
      <c r="AM1095" s="25">
        <v>1</v>
      </c>
      <c r="AN1095" s="26">
        <f>Tabla2[[#This Row],[Minutos]]/60</f>
        <v>1.6666666666666666E-2</v>
      </c>
      <c r="AO1095" s="27">
        <f>SUM(Tabla2[[#This Row],[Horas]],Tabla2[[#This Row],[Minutos a Horas]])</f>
        <v>1.0166666666666666</v>
      </c>
      <c r="AP1095" s="85">
        <v>1</v>
      </c>
      <c r="AQ1095" s="85">
        <v>20</v>
      </c>
      <c r="AR1095" s="26">
        <f>Tabla2[[#This Row],[Minutos*]]/60</f>
        <v>0.33333333333333331</v>
      </c>
      <c r="AS1095" s="27">
        <f>SUM(Tabla2[[#This Row],[Horas*]],Tabla2[[#This Row],[Minutos a Horas*]])+(Tabla2[[#This Row],[Tiempo Total a Nivel Proncincial (Horas)]])</f>
        <v>2.3499999999999996</v>
      </c>
    </row>
    <row r="1096" spans="28:45" x14ac:dyDescent="0.25">
      <c r="AB1096" s="89"/>
      <c r="AD1096" s="33" t="s">
        <v>2394</v>
      </c>
      <c r="AE1096" s="10" t="s">
        <v>383</v>
      </c>
      <c r="AF1096" s="20" t="s">
        <v>1298</v>
      </c>
      <c r="AG1096" s="10"/>
      <c r="AH1096" s="22" t="str">
        <f t="shared" ref="AH1096:AH1159" si="34">CONCATENATE(AD1096,"_",AF1096)</f>
        <v xml:space="preserve">Junín_04 Jauja </v>
      </c>
      <c r="AI1096" s="10" t="s">
        <v>1289</v>
      </c>
      <c r="AJ1096" s="20" t="s">
        <v>1369</v>
      </c>
      <c r="AK1096" s="22" t="str">
        <f t="shared" ref="AK1096:AK1159" si="35">CONCATENATE(AH1096,"_",AJ1096)</f>
        <v>Junín_04 Jauja _19 Monobamba</v>
      </c>
      <c r="AL1096" s="25">
        <v>1</v>
      </c>
      <c r="AM1096" s="25">
        <v>1</v>
      </c>
      <c r="AN1096" s="26">
        <f>Tabla2[[#This Row],[Minutos]]/60</f>
        <v>1.6666666666666666E-2</v>
      </c>
      <c r="AO1096" s="27">
        <f>SUM(Tabla2[[#This Row],[Horas]],Tabla2[[#This Row],[Minutos a Horas]])</f>
        <v>1.0166666666666666</v>
      </c>
      <c r="AP1096" s="85">
        <v>2</v>
      </c>
      <c r="AQ1096" s="85">
        <v>30</v>
      </c>
      <c r="AR1096" s="26">
        <f>Tabla2[[#This Row],[Minutos*]]/60</f>
        <v>0.5</v>
      </c>
      <c r="AS1096" s="27">
        <f>SUM(Tabla2[[#This Row],[Horas*]],Tabla2[[#This Row],[Minutos a Horas*]])+(Tabla2[[#This Row],[Tiempo Total a Nivel Proncincial (Horas)]])</f>
        <v>3.5166666666666666</v>
      </c>
    </row>
    <row r="1097" spans="28:45" x14ac:dyDescent="0.25">
      <c r="AB1097" s="89"/>
      <c r="AD1097" s="33" t="s">
        <v>2394</v>
      </c>
      <c r="AE1097" s="10" t="s">
        <v>383</v>
      </c>
      <c r="AF1097" s="20" t="s">
        <v>1298</v>
      </c>
      <c r="AG1097" s="10"/>
      <c r="AH1097" s="22" t="str">
        <f t="shared" si="34"/>
        <v xml:space="preserve">Junín_04 Jauja </v>
      </c>
      <c r="AI1097" s="10" t="s">
        <v>1289</v>
      </c>
      <c r="AJ1097" s="20" t="s">
        <v>1370</v>
      </c>
      <c r="AK1097" s="22" t="str">
        <f t="shared" si="35"/>
        <v>Junín_04 Jauja _20 Muqui</v>
      </c>
      <c r="AL1097" s="25">
        <v>1</v>
      </c>
      <c r="AM1097" s="25">
        <v>1</v>
      </c>
      <c r="AN1097" s="26">
        <f>Tabla2[[#This Row],[Minutos]]/60</f>
        <v>1.6666666666666666E-2</v>
      </c>
      <c r="AO1097" s="27">
        <f>SUM(Tabla2[[#This Row],[Horas]],Tabla2[[#This Row],[Minutos a Horas]])</f>
        <v>1.0166666666666666</v>
      </c>
      <c r="AP1097" s="85">
        <v>1</v>
      </c>
      <c r="AQ1097" s="85">
        <v>0</v>
      </c>
      <c r="AR1097" s="26">
        <f>Tabla2[[#This Row],[Minutos*]]/60</f>
        <v>0</v>
      </c>
      <c r="AS1097" s="27">
        <f>SUM(Tabla2[[#This Row],[Horas*]],Tabla2[[#This Row],[Minutos a Horas*]])+(Tabla2[[#This Row],[Tiempo Total a Nivel Proncincial (Horas)]])</f>
        <v>2.0166666666666666</v>
      </c>
    </row>
    <row r="1098" spans="28:45" x14ac:dyDescent="0.25">
      <c r="AB1098" s="89"/>
      <c r="AD1098" s="33" t="s">
        <v>2394</v>
      </c>
      <c r="AE1098" s="10" t="s">
        <v>383</v>
      </c>
      <c r="AF1098" s="20" t="s">
        <v>1298</v>
      </c>
      <c r="AG1098" s="10"/>
      <c r="AH1098" s="22" t="str">
        <f t="shared" si="34"/>
        <v xml:space="preserve">Junín_04 Jauja </v>
      </c>
      <c r="AI1098" s="10" t="s">
        <v>1289</v>
      </c>
      <c r="AJ1098" s="20" t="s">
        <v>1371</v>
      </c>
      <c r="AK1098" s="22" t="str">
        <f t="shared" si="35"/>
        <v>Junín_04 Jauja _21 Muquiyauyo</v>
      </c>
      <c r="AL1098" s="25">
        <v>1</v>
      </c>
      <c r="AM1098" s="25">
        <v>1</v>
      </c>
      <c r="AN1098" s="26">
        <f>Tabla2[[#This Row],[Minutos]]/60</f>
        <v>1.6666666666666666E-2</v>
      </c>
      <c r="AO1098" s="27">
        <f>SUM(Tabla2[[#This Row],[Horas]],Tabla2[[#This Row],[Minutos a Horas]])</f>
        <v>1.0166666666666666</v>
      </c>
      <c r="AP1098" s="85">
        <v>1</v>
      </c>
      <c r="AQ1098" s="85">
        <v>0</v>
      </c>
      <c r="AR1098" s="26">
        <f>Tabla2[[#This Row],[Minutos*]]/60</f>
        <v>0</v>
      </c>
      <c r="AS1098" s="27">
        <f>SUM(Tabla2[[#This Row],[Horas*]],Tabla2[[#This Row],[Minutos a Horas*]])+(Tabla2[[#This Row],[Tiempo Total a Nivel Proncincial (Horas)]])</f>
        <v>2.0166666666666666</v>
      </c>
    </row>
    <row r="1099" spans="28:45" x14ac:dyDescent="0.25">
      <c r="AB1099" s="89"/>
      <c r="AD1099" s="33" t="s">
        <v>2394</v>
      </c>
      <c r="AE1099" s="10" t="s">
        <v>383</v>
      </c>
      <c r="AF1099" s="20" t="s">
        <v>1298</v>
      </c>
      <c r="AG1099" s="10"/>
      <c r="AH1099" s="22" t="str">
        <f t="shared" si="34"/>
        <v xml:space="preserve">Junín_04 Jauja </v>
      </c>
      <c r="AI1099" s="10" t="s">
        <v>1289</v>
      </c>
      <c r="AJ1099" s="20" t="s">
        <v>1372</v>
      </c>
      <c r="AK1099" s="22" t="str">
        <f t="shared" si="35"/>
        <v>Junín_04 Jauja _22 Paca</v>
      </c>
      <c r="AL1099" s="25">
        <v>1</v>
      </c>
      <c r="AM1099" s="25">
        <v>1</v>
      </c>
      <c r="AN1099" s="26">
        <f>Tabla2[[#This Row],[Minutos]]/60</f>
        <v>1.6666666666666666E-2</v>
      </c>
      <c r="AO1099" s="27">
        <f>SUM(Tabla2[[#This Row],[Horas]],Tabla2[[#This Row],[Minutos a Horas]])</f>
        <v>1.0166666666666666</v>
      </c>
      <c r="AP1099" s="85">
        <v>2</v>
      </c>
      <c r="AQ1099" s="85">
        <v>10</v>
      </c>
      <c r="AR1099" s="26">
        <f>Tabla2[[#This Row],[Minutos*]]/60</f>
        <v>0.16666666666666666</v>
      </c>
      <c r="AS1099" s="27">
        <f>SUM(Tabla2[[#This Row],[Horas*]],Tabla2[[#This Row],[Minutos a Horas*]])+(Tabla2[[#This Row],[Tiempo Total a Nivel Proncincial (Horas)]])</f>
        <v>3.1833333333333331</v>
      </c>
    </row>
    <row r="1100" spans="28:45" x14ac:dyDescent="0.25">
      <c r="AB1100" s="89"/>
      <c r="AD1100" s="33" t="s">
        <v>2394</v>
      </c>
      <c r="AE1100" s="10" t="s">
        <v>383</v>
      </c>
      <c r="AF1100" s="20" t="s">
        <v>1298</v>
      </c>
      <c r="AG1100" s="10"/>
      <c r="AH1100" s="22" t="str">
        <f t="shared" si="34"/>
        <v xml:space="preserve">Junín_04 Jauja </v>
      </c>
      <c r="AI1100" s="10" t="s">
        <v>1289</v>
      </c>
      <c r="AJ1100" s="20" t="s">
        <v>1373</v>
      </c>
      <c r="AK1100" s="22" t="str">
        <f t="shared" si="35"/>
        <v>Junín_04 Jauja _23 Paccha</v>
      </c>
      <c r="AL1100" s="25">
        <v>1</v>
      </c>
      <c r="AM1100" s="25">
        <v>1</v>
      </c>
      <c r="AN1100" s="26">
        <f>Tabla2[[#This Row],[Minutos]]/60</f>
        <v>1.6666666666666666E-2</v>
      </c>
      <c r="AO1100" s="27">
        <f>SUM(Tabla2[[#This Row],[Horas]],Tabla2[[#This Row],[Minutos a Horas]])</f>
        <v>1.0166666666666666</v>
      </c>
      <c r="AP1100" s="85">
        <v>1</v>
      </c>
      <c r="AQ1100" s="85">
        <v>50</v>
      </c>
      <c r="AR1100" s="26">
        <f>Tabla2[[#This Row],[Minutos*]]/60</f>
        <v>0.83333333333333337</v>
      </c>
      <c r="AS1100" s="27">
        <f>SUM(Tabla2[[#This Row],[Horas*]],Tabla2[[#This Row],[Minutos a Horas*]])+(Tabla2[[#This Row],[Tiempo Total a Nivel Proncincial (Horas)]])</f>
        <v>2.85</v>
      </c>
    </row>
    <row r="1101" spans="28:45" x14ac:dyDescent="0.25">
      <c r="AB1101" s="89"/>
      <c r="AD1101" s="33" t="s">
        <v>2394</v>
      </c>
      <c r="AE1101" s="10" t="s">
        <v>383</v>
      </c>
      <c r="AF1101" s="20" t="s">
        <v>1298</v>
      </c>
      <c r="AG1101" s="10"/>
      <c r="AH1101" s="22" t="str">
        <f t="shared" si="34"/>
        <v xml:space="preserve">Junín_04 Jauja </v>
      </c>
      <c r="AI1101" s="10" t="s">
        <v>1289</v>
      </c>
      <c r="AJ1101" s="20" t="s">
        <v>1374</v>
      </c>
      <c r="AK1101" s="22" t="str">
        <f t="shared" si="35"/>
        <v>Junín_04 Jauja _24 Pancan</v>
      </c>
      <c r="AL1101" s="25">
        <v>1</v>
      </c>
      <c r="AM1101" s="25">
        <v>1</v>
      </c>
      <c r="AN1101" s="26">
        <f>Tabla2[[#This Row],[Minutos]]/60</f>
        <v>1.6666666666666666E-2</v>
      </c>
      <c r="AO1101" s="27">
        <f>SUM(Tabla2[[#This Row],[Horas]],Tabla2[[#This Row],[Minutos a Horas]])</f>
        <v>1.0166666666666666</v>
      </c>
      <c r="AP1101" s="85">
        <v>1</v>
      </c>
      <c r="AQ1101" s="85">
        <v>30</v>
      </c>
      <c r="AR1101" s="26">
        <f>Tabla2[[#This Row],[Minutos*]]/60</f>
        <v>0.5</v>
      </c>
      <c r="AS1101" s="27">
        <f>SUM(Tabla2[[#This Row],[Horas*]],Tabla2[[#This Row],[Minutos a Horas*]])+(Tabla2[[#This Row],[Tiempo Total a Nivel Proncincial (Horas)]])</f>
        <v>2.5166666666666666</v>
      </c>
    </row>
    <row r="1102" spans="28:45" x14ac:dyDescent="0.25">
      <c r="AB1102" s="89"/>
      <c r="AD1102" s="33" t="s">
        <v>2394</v>
      </c>
      <c r="AE1102" s="10" t="s">
        <v>383</v>
      </c>
      <c r="AF1102" s="20" t="s">
        <v>1298</v>
      </c>
      <c r="AG1102" s="10"/>
      <c r="AH1102" s="22" t="str">
        <f t="shared" si="34"/>
        <v xml:space="preserve">Junín_04 Jauja </v>
      </c>
      <c r="AI1102" s="10" t="s">
        <v>1289</v>
      </c>
      <c r="AJ1102" s="20" t="s">
        <v>1375</v>
      </c>
      <c r="AK1102" s="22" t="str">
        <f t="shared" si="35"/>
        <v>Junín_04 Jauja _25 Parco</v>
      </c>
      <c r="AL1102" s="25">
        <v>1</v>
      </c>
      <c r="AM1102" s="25">
        <v>1</v>
      </c>
      <c r="AN1102" s="26">
        <f>Tabla2[[#This Row],[Minutos]]/60</f>
        <v>1.6666666666666666E-2</v>
      </c>
      <c r="AO1102" s="27">
        <f>SUM(Tabla2[[#This Row],[Horas]],Tabla2[[#This Row],[Minutos a Horas]])</f>
        <v>1.0166666666666666</v>
      </c>
      <c r="AP1102" s="85">
        <v>1</v>
      </c>
      <c r="AQ1102" s="85">
        <v>30</v>
      </c>
      <c r="AR1102" s="26">
        <f>Tabla2[[#This Row],[Minutos*]]/60</f>
        <v>0.5</v>
      </c>
      <c r="AS1102" s="27">
        <f>SUM(Tabla2[[#This Row],[Horas*]],Tabla2[[#This Row],[Minutos a Horas*]])+(Tabla2[[#This Row],[Tiempo Total a Nivel Proncincial (Horas)]])</f>
        <v>2.5166666666666666</v>
      </c>
    </row>
    <row r="1103" spans="28:45" x14ac:dyDescent="0.25">
      <c r="AB1103" s="89"/>
      <c r="AD1103" s="33" t="s">
        <v>2394</v>
      </c>
      <c r="AE1103" s="10" t="s">
        <v>383</v>
      </c>
      <c r="AF1103" s="20" t="s">
        <v>1298</v>
      </c>
      <c r="AG1103" s="10"/>
      <c r="AH1103" s="22" t="str">
        <f t="shared" si="34"/>
        <v xml:space="preserve">Junín_04 Jauja </v>
      </c>
      <c r="AI1103" s="10" t="s">
        <v>1289</v>
      </c>
      <c r="AJ1103" s="20" t="s">
        <v>1376</v>
      </c>
      <c r="AK1103" s="22" t="str">
        <f t="shared" si="35"/>
        <v>Junín_04 Jauja _26 Pomacancha</v>
      </c>
      <c r="AL1103" s="25">
        <v>1</v>
      </c>
      <c r="AM1103" s="25">
        <v>1</v>
      </c>
      <c r="AN1103" s="26">
        <f>Tabla2[[#This Row],[Minutos]]/60</f>
        <v>1.6666666666666666E-2</v>
      </c>
      <c r="AO1103" s="27">
        <f>SUM(Tabla2[[#This Row],[Horas]],Tabla2[[#This Row],[Minutos a Horas]])</f>
        <v>1.0166666666666666</v>
      </c>
      <c r="AP1103" s="85">
        <v>1</v>
      </c>
      <c r="AQ1103" s="85">
        <v>40</v>
      </c>
      <c r="AR1103" s="26">
        <f>Tabla2[[#This Row],[Minutos*]]/60</f>
        <v>0.66666666666666663</v>
      </c>
      <c r="AS1103" s="27">
        <f>SUM(Tabla2[[#This Row],[Horas*]],Tabla2[[#This Row],[Minutos a Horas*]])+(Tabla2[[#This Row],[Tiempo Total a Nivel Proncincial (Horas)]])</f>
        <v>2.6833333333333331</v>
      </c>
    </row>
    <row r="1104" spans="28:45" x14ac:dyDescent="0.25">
      <c r="AB1104" s="89"/>
      <c r="AD1104" s="33" t="s">
        <v>2394</v>
      </c>
      <c r="AE1104" s="10" t="s">
        <v>383</v>
      </c>
      <c r="AF1104" s="20" t="s">
        <v>1298</v>
      </c>
      <c r="AG1104" s="10"/>
      <c r="AH1104" s="22" t="str">
        <f t="shared" si="34"/>
        <v xml:space="preserve">Junín_04 Jauja </v>
      </c>
      <c r="AI1104" s="10" t="s">
        <v>1289</v>
      </c>
      <c r="AJ1104" s="20" t="s">
        <v>1377</v>
      </c>
      <c r="AK1104" s="22" t="str">
        <f t="shared" si="35"/>
        <v>Junín_04 Jauja _27 Ricran</v>
      </c>
      <c r="AL1104" s="25">
        <v>1</v>
      </c>
      <c r="AM1104" s="25">
        <v>1</v>
      </c>
      <c r="AN1104" s="26">
        <f>Tabla2[[#This Row],[Minutos]]/60</f>
        <v>1.6666666666666666E-2</v>
      </c>
      <c r="AO1104" s="27">
        <f>SUM(Tabla2[[#This Row],[Horas]],Tabla2[[#This Row],[Minutos a Horas]])</f>
        <v>1.0166666666666666</v>
      </c>
      <c r="AP1104" s="85">
        <v>2</v>
      </c>
      <c r="AQ1104" s="85">
        <v>50</v>
      </c>
      <c r="AR1104" s="26">
        <f>Tabla2[[#This Row],[Minutos*]]/60</f>
        <v>0.83333333333333337</v>
      </c>
      <c r="AS1104" s="27">
        <f>SUM(Tabla2[[#This Row],[Horas*]],Tabla2[[#This Row],[Minutos a Horas*]])+(Tabla2[[#This Row],[Tiempo Total a Nivel Proncincial (Horas)]])</f>
        <v>3.85</v>
      </c>
    </row>
    <row r="1105" spans="28:45" x14ac:dyDescent="0.25">
      <c r="AB1105" s="89"/>
      <c r="AD1105" s="33" t="s">
        <v>2394</v>
      </c>
      <c r="AE1105" s="10" t="s">
        <v>383</v>
      </c>
      <c r="AF1105" s="20" t="s">
        <v>1298</v>
      </c>
      <c r="AG1105" s="10"/>
      <c r="AH1105" s="22" t="str">
        <f t="shared" si="34"/>
        <v xml:space="preserve">Junín_04 Jauja </v>
      </c>
      <c r="AI1105" s="10" t="s">
        <v>1289</v>
      </c>
      <c r="AJ1105" s="20" t="s">
        <v>1378</v>
      </c>
      <c r="AK1105" s="22" t="str">
        <f t="shared" si="35"/>
        <v>Junín_04 Jauja _28 San Lorenzo</v>
      </c>
      <c r="AL1105" s="25">
        <v>1</v>
      </c>
      <c r="AM1105" s="25">
        <v>1</v>
      </c>
      <c r="AN1105" s="26">
        <f>Tabla2[[#This Row],[Minutos]]/60</f>
        <v>1.6666666666666666E-2</v>
      </c>
      <c r="AO1105" s="27">
        <f>SUM(Tabla2[[#This Row],[Horas]],Tabla2[[#This Row],[Minutos a Horas]])</f>
        <v>1.0166666666666666</v>
      </c>
      <c r="AP1105" s="85">
        <v>0</v>
      </c>
      <c r="AQ1105" s="85">
        <v>40</v>
      </c>
      <c r="AR1105" s="26">
        <f>Tabla2[[#This Row],[Minutos*]]/60</f>
        <v>0.66666666666666663</v>
      </c>
      <c r="AS1105" s="27">
        <f>SUM(Tabla2[[#This Row],[Horas*]],Tabla2[[#This Row],[Minutos a Horas*]])+(Tabla2[[#This Row],[Tiempo Total a Nivel Proncincial (Horas)]])</f>
        <v>1.6833333333333331</v>
      </c>
    </row>
    <row r="1106" spans="28:45" x14ac:dyDescent="0.25">
      <c r="AB1106" s="89"/>
      <c r="AD1106" s="33" t="s">
        <v>2394</v>
      </c>
      <c r="AE1106" s="10" t="s">
        <v>383</v>
      </c>
      <c r="AF1106" s="20" t="s">
        <v>1298</v>
      </c>
      <c r="AG1106" s="10"/>
      <c r="AH1106" s="22" t="str">
        <f t="shared" si="34"/>
        <v xml:space="preserve">Junín_04 Jauja </v>
      </c>
      <c r="AI1106" s="10" t="s">
        <v>1289</v>
      </c>
      <c r="AJ1106" s="20" t="s">
        <v>1379</v>
      </c>
      <c r="AK1106" s="22" t="str">
        <f t="shared" si="35"/>
        <v>Junín_04 Jauja _29 San Pedro de Chunan</v>
      </c>
      <c r="AL1106" s="25">
        <v>1</v>
      </c>
      <c r="AM1106" s="25">
        <v>1</v>
      </c>
      <c r="AN1106" s="26">
        <f>Tabla2[[#This Row],[Minutos]]/60</f>
        <v>1.6666666666666666E-2</v>
      </c>
      <c r="AO1106" s="27">
        <f>SUM(Tabla2[[#This Row],[Horas]],Tabla2[[#This Row],[Minutos a Horas]])</f>
        <v>1.0166666666666666</v>
      </c>
      <c r="AP1106" s="85">
        <v>1</v>
      </c>
      <c r="AQ1106" s="85">
        <v>20</v>
      </c>
      <c r="AR1106" s="26">
        <f>Tabla2[[#This Row],[Minutos*]]/60</f>
        <v>0.33333333333333331</v>
      </c>
      <c r="AS1106" s="27">
        <f>SUM(Tabla2[[#This Row],[Horas*]],Tabla2[[#This Row],[Minutos a Horas*]])+(Tabla2[[#This Row],[Tiempo Total a Nivel Proncincial (Horas)]])</f>
        <v>2.3499999999999996</v>
      </c>
    </row>
    <row r="1107" spans="28:45" x14ac:dyDescent="0.25">
      <c r="AB1107" s="89"/>
      <c r="AD1107" s="33" t="s">
        <v>2394</v>
      </c>
      <c r="AE1107" s="10" t="s">
        <v>383</v>
      </c>
      <c r="AF1107" s="20" t="s">
        <v>1298</v>
      </c>
      <c r="AG1107" s="10"/>
      <c r="AH1107" s="22" t="str">
        <f t="shared" si="34"/>
        <v xml:space="preserve">Junín_04 Jauja </v>
      </c>
      <c r="AI1107" s="10" t="s">
        <v>1289</v>
      </c>
      <c r="AJ1107" s="20" t="s">
        <v>1380</v>
      </c>
      <c r="AK1107" s="22" t="str">
        <f t="shared" si="35"/>
        <v>Junín_04 Jauja _30 Sausa</v>
      </c>
      <c r="AL1107" s="25">
        <v>1</v>
      </c>
      <c r="AM1107" s="25">
        <v>1</v>
      </c>
      <c r="AN1107" s="26">
        <f>Tabla2[[#This Row],[Minutos]]/60</f>
        <v>1.6666666666666666E-2</v>
      </c>
      <c r="AO1107" s="27">
        <f>SUM(Tabla2[[#This Row],[Horas]],Tabla2[[#This Row],[Minutos a Horas]])</f>
        <v>1.0166666666666666</v>
      </c>
      <c r="AP1107" s="85">
        <v>1</v>
      </c>
      <c r="AQ1107" s="85">
        <v>20</v>
      </c>
      <c r="AR1107" s="26">
        <f>Tabla2[[#This Row],[Minutos*]]/60</f>
        <v>0.33333333333333331</v>
      </c>
      <c r="AS1107" s="27">
        <f>SUM(Tabla2[[#This Row],[Horas*]],Tabla2[[#This Row],[Minutos a Horas*]])+(Tabla2[[#This Row],[Tiempo Total a Nivel Proncincial (Horas)]])</f>
        <v>2.3499999999999996</v>
      </c>
    </row>
    <row r="1108" spans="28:45" x14ac:dyDescent="0.25">
      <c r="AB1108" s="89"/>
      <c r="AD1108" s="33" t="s">
        <v>2394</v>
      </c>
      <c r="AE1108" s="10" t="s">
        <v>383</v>
      </c>
      <c r="AF1108" s="20" t="s">
        <v>1298</v>
      </c>
      <c r="AG1108" s="10"/>
      <c r="AH1108" s="22" t="str">
        <f t="shared" si="34"/>
        <v xml:space="preserve">Junín_04 Jauja </v>
      </c>
      <c r="AI1108" s="10" t="s">
        <v>1289</v>
      </c>
      <c r="AJ1108" s="20" t="s">
        <v>1381</v>
      </c>
      <c r="AK1108" s="22" t="str">
        <f t="shared" si="35"/>
        <v>Junín_04 Jauja _31 Sincos</v>
      </c>
      <c r="AL1108" s="25">
        <v>1</v>
      </c>
      <c r="AM1108" s="25">
        <v>1</v>
      </c>
      <c r="AN1108" s="26">
        <f>Tabla2[[#This Row],[Minutos]]/60</f>
        <v>1.6666666666666666E-2</v>
      </c>
      <c r="AO1108" s="27">
        <f>SUM(Tabla2[[#This Row],[Horas]],Tabla2[[#This Row],[Minutos a Horas]])</f>
        <v>1.0166666666666666</v>
      </c>
      <c r="AP1108" s="85">
        <v>0</v>
      </c>
      <c r="AQ1108" s="85">
        <v>50</v>
      </c>
      <c r="AR1108" s="26">
        <f>Tabla2[[#This Row],[Minutos*]]/60</f>
        <v>0.83333333333333337</v>
      </c>
      <c r="AS1108" s="27">
        <f>SUM(Tabla2[[#This Row],[Horas*]],Tabla2[[#This Row],[Minutos a Horas*]])+(Tabla2[[#This Row],[Tiempo Total a Nivel Proncincial (Horas)]])</f>
        <v>1.85</v>
      </c>
    </row>
    <row r="1109" spans="28:45" x14ac:dyDescent="0.25">
      <c r="AB1109" s="89"/>
      <c r="AD1109" s="33" t="s">
        <v>2394</v>
      </c>
      <c r="AE1109" s="10" t="s">
        <v>383</v>
      </c>
      <c r="AF1109" s="20" t="s">
        <v>1298</v>
      </c>
      <c r="AG1109" s="10"/>
      <c r="AH1109" s="22" t="str">
        <f t="shared" si="34"/>
        <v xml:space="preserve">Junín_04 Jauja </v>
      </c>
      <c r="AI1109" s="10" t="s">
        <v>1289</v>
      </c>
      <c r="AJ1109" s="20" t="s">
        <v>1382</v>
      </c>
      <c r="AK1109" s="22" t="str">
        <f t="shared" si="35"/>
        <v>Junín_04 Jauja _32 Tunan Marca</v>
      </c>
      <c r="AL1109" s="25">
        <v>1</v>
      </c>
      <c r="AM1109" s="25">
        <v>1</v>
      </c>
      <c r="AN1109" s="26">
        <f>Tabla2[[#This Row],[Minutos]]/60</f>
        <v>1.6666666666666666E-2</v>
      </c>
      <c r="AO1109" s="27">
        <f>SUM(Tabla2[[#This Row],[Horas]],Tabla2[[#This Row],[Minutos a Horas]])</f>
        <v>1.0166666666666666</v>
      </c>
      <c r="AP1109" s="85">
        <v>2</v>
      </c>
      <c r="AQ1109" s="85">
        <v>0</v>
      </c>
      <c r="AR1109" s="26">
        <f>Tabla2[[#This Row],[Minutos*]]/60</f>
        <v>0</v>
      </c>
      <c r="AS1109" s="27">
        <f>SUM(Tabla2[[#This Row],[Horas*]],Tabla2[[#This Row],[Minutos a Horas*]])+(Tabla2[[#This Row],[Tiempo Total a Nivel Proncincial (Horas)]])</f>
        <v>3.0166666666666666</v>
      </c>
    </row>
    <row r="1110" spans="28:45" x14ac:dyDescent="0.25">
      <c r="AB1110" s="89"/>
      <c r="AD1110" s="33" t="s">
        <v>2394</v>
      </c>
      <c r="AE1110" s="10" t="s">
        <v>383</v>
      </c>
      <c r="AF1110" s="20" t="s">
        <v>1298</v>
      </c>
      <c r="AG1110" s="10"/>
      <c r="AH1110" s="22" t="str">
        <f t="shared" si="34"/>
        <v xml:space="preserve">Junín_04 Jauja </v>
      </c>
      <c r="AI1110" s="10" t="s">
        <v>1289</v>
      </c>
      <c r="AJ1110" s="20" t="s">
        <v>1383</v>
      </c>
      <c r="AK1110" s="22" t="str">
        <f t="shared" si="35"/>
        <v>Junín_04 Jauja _33 Yauli</v>
      </c>
      <c r="AL1110" s="25">
        <v>1</v>
      </c>
      <c r="AM1110" s="25">
        <v>1</v>
      </c>
      <c r="AN1110" s="26">
        <f>Tabla2[[#This Row],[Minutos]]/60</f>
        <v>1.6666666666666666E-2</v>
      </c>
      <c r="AO1110" s="27">
        <f>SUM(Tabla2[[#This Row],[Horas]],Tabla2[[#This Row],[Minutos a Horas]])</f>
        <v>1.0166666666666666</v>
      </c>
      <c r="AP1110" s="85">
        <v>2</v>
      </c>
      <c r="AQ1110" s="85">
        <v>10</v>
      </c>
      <c r="AR1110" s="26">
        <f>Tabla2[[#This Row],[Minutos*]]/60</f>
        <v>0.16666666666666666</v>
      </c>
      <c r="AS1110" s="27">
        <f>SUM(Tabla2[[#This Row],[Horas*]],Tabla2[[#This Row],[Minutos a Horas*]])+(Tabla2[[#This Row],[Tiempo Total a Nivel Proncincial (Horas)]])</f>
        <v>3.1833333333333331</v>
      </c>
    </row>
    <row r="1111" spans="28:45" x14ac:dyDescent="0.25">
      <c r="AB1111" s="89"/>
      <c r="AD1111" s="33" t="s">
        <v>2394</v>
      </c>
      <c r="AE1111" s="10" t="s">
        <v>383</v>
      </c>
      <c r="AF1111" s="20" t="s">
        <v>1298</v>
      </c>
      <c r="AG1111" s="10"/>
      <c r="AH1111" s="22" t="str">
        <f t="shared" si="34"/>
        <v xml:space="preserve">Junín_04 Jauja </v>
      </c>
      <c r="AI1111" s="10" t="s">
        <v>1289</v>
      </c>
      <c r="AJ1111" s="20" t="s">
        <v>1384</v>
      </c>
      <c r="AK1111" s="22" t="str">
        <f t="shared" si="35"/>
        <v>Junín_04 Jauja _34 Yauyos</v>
      </c>
      <c r="AL1111" s="25">
        <v>1</v>
      </c>
      <c r="AM1111" s="25">
        <v>1</v>
      </c>
      <c r="AN1111" s="26">
        <f>Tabla2[[#This Row],[Minutos]]/60</f>
        <v>1.6666666666666666E-2</v>
      </c>
      <c r="AO1111" s="27">
        <f>SUM(Tabla2[[#This Row],[Horas]],Tabla2[[#This Row],[Minutos a Horas]])</f>
        <v>1.0166666666666666</v>
      </c>
      <c r="AP1111" s="85">
        <v>0</v>
      </c>
      <c r="AQ1111" s="85">
        <v>10</v>
      </c>
      <c r="AR1111" s="26">
        <f>Tabla2[[#This Row],[Minutos*]]/60</f>
        <v>0.16666666666666666</v>
      </c>
      <c r="AS1111" s="27">
        <f>SUM(Tabla2[[#This Row],[Horas*]],Tabla2[[#This Row],[Minutos a Horas*]])+(Tabla2[[#This Row],[Tiempo Total a Nivel Proncincial (Horas)]])</f>
        <v>1.1833333333333333</v>
      </c>
    </row>
    <row r="1112" spans="28:45" x14ac:dyDescent="0.25">
      <c r="AB1112" s="89"/>
      <c r="AD1112" s="33" t="s">
        <v>2394</v>
      </c>
      <c r="AE1112" s="10" t="s">
        <v>383</v>
      </c>
      <c r="AF1112" s="20" t="s">
        <v>1299</v>
      </c>
      <c r="AG1112" s="10"/>
      <c r="AH1112" s="22" t="str">
        <f t="shared" si="34"/>
        <v xml:space="preserve">Junín_05 Junín </v>
      </c>
      <c r="AI1112" s="10" t="s">
        <v>1290</v>
      </c>
      <c r="AJ1112" s="20" t="s">
        <v>1385</v>
      </c>
      <c r="AK1112" s="22" t="str">
        <f t="shared" si="35"/>
        <v>Junín_05 Junín _01 Junin</v>
      </c>
      <c r="AL1112" s="25">
        <v>3</v>
      </c>
      <c r="AM1112" s="25">
        <v>57</v>
      </c>
      <c r="AN1112" s="26">
        <f>Tabla2[[#This Row],[Minutos]]/60</f>
        <v>0.95</v>
      </c>
      <c r="AO1112" s="27">
        <f>SUM(Tabla2[[#This Row],[Horas]],Tabla2[[#This Row],[Minutos a Horas]])</f>
        <v>3.95</v>
      </c>
      <c r="AP1112" s="85">
        <v>3</v>
      </c>
      <c r="AQ1112" s="85">
        <v>0</v>
      </c>
      <c r="AR1112" s="26">
        <f>Tabla2[[#This Row],[Minutos*]]/60</f>
        <v>0</v>
      </c>
      <c r="AS1112" s="27">
        <f>SUM(Tabla2[[#This Row],[Horas*]],Tabla2[[#This Row],[Minutos a Horas*]])+(Tabla2[[#This Row],[Tiempo Total a Nivel Proncincial (Horas)]])</f>
        <v>6.95</v>
      </c>
    </row>
    <row r="1113" spans="28:45" x14ac:dyDescent="0.25">
      <c r="AB1113" s="89"/>
      <c r="AD1113" s="33" t="s">
        <v>2394</v>
      </c>
      <c r="AE1113" s="10" t="s">
        <v>383</v>
      </c>
      <c r="AF1113" s="20" t="s">
        <v>1299</v>
      </c>
      <c r="AG1113" s="10"/>
      <c r="AH1113" s="22" t="str">
        <f t="shared" si="34"/>
        <v xml:space="preserve">Junín_05 Junín </v>
      </c>
      <c r="AI1113" s="10" t="s">
        <v>1290</v>
      </c>
      <c r="AJ1113" s="20" t="s">
        <v>1386</v>
      </c>
      <c r="AK1113" s="22" t="str">
        <f t="shared" si="35"/>
        <v>Junín_05 Junín _02 Carhuamayo</v>
      </c>
      <c r="AL1113" s="25">
        <v>3</v>
      </c>
      <c r="AM1113" s="25">
        <v>57</v>
      </c>
      <c r="AN1113" s="26">
        <f>Tabla2[[#This Row],[Minutos]]/60</f>
        <v>0.95</v>
      </c>
      <c r="AO1113" s="27">
        <f>SUM(Tabla2[[#This Row],[Horas]],Tabla2[[#This Row],[Minutos a Horas]])</f>
        <v>3.95</v>
      </c>
      <c r="AP1113" s="85">
        <v>3</v>
      </c>
      <c r="AQ1113" s="85">
        <v>30</v>
      </c>
      <c r="AR1113" s="26">
        <f>Tabla2[[#This Row],[Minutos*]]/60</f>
        <v>0.5</v>
      </c>
      <c r="AS1113" s="27">
        <f>SUM(Tabla2[[#This Row],[Horas*]],Tabla2[[#This Row],[Minutos a Horas*]])+(Tabla2[[#This Row],[Tiempo Total a Nivel Proncincial (Horas)]])</f>
        <v>7.45</v>
      </c>
    </row>
    <row r="1114" spans="28:45" x14ac:dyDescent="0.25">
      <c r="AB1114" s="89"/>
      <c r="AD1114" s="33" t="s">
        <v>2394</v>
      </c>
      <c r="AE1114" s="10" t="s">
        <v>383</v>
      </c>
      <c r="AF1114" s="20" t="s">
        <v>1299</v>
      </c>
      <c r="AG1114" s="10"/>
      <c r="AH1114" s="22" t="str">
        <f t="shared" si="34"/>
        <v xml:space="preserve">Junín_05 Junín </v>
      </c>
      <c r="AI1114" s="10" t="s">
        <v>1290</v>
      </c>
      <c r="AJ1114" s="20" t="s">
        <v>1387</v>
      </c>
      <c r="AK1114" s="22" t="str">
        <f t="shared" si="35"/>
        <v>Junín_05 Junín _03 Ondores</v>
      </c>
      <c r="AL1114" s="25">
        <v>3</v>
      </c>
      <c r="AM1114" s="25">
        <v>57</v>
      </c>
      <c r="AN1114" s="26">
        <f>Tabla2[[#This Row],[Minutos]]/60</f>
        <v>0.95</v>
      </c>
      <c r="AO1114" s="27">
        <f>SUM(Tabla2[[#This Row],[Horas]],Tabla2[[#This Row],[Minutos a Horas]])</f>
        <v>3.95</v>
      </c>
      <c r="AP1114" s="85">
        <v>3</v>
      </c>
      <c r="AQ1114" s="85">
        <v>30</v>
      </c>
      <c r="AR1114" s="26">
        <f>Tabla2[[#This Row],[Minutos*]]/60</f>
        <v>0.5</v>
      </c>
      <c r="AS1114" s="27">
        <f>SUM(Tabla2[[#This Row],[Horas*]],Tabla2[[#This Row],[Minutos a Horas*]])+(Tabla2[[#This Row],[Tiempo Total a Nivel Proncincial (Horas)]])</f>
        <v>7.45</v>
      </c>
    </row>
    <row r="1115" spans="28:45" x14ac:dyDescent="0.25">
      <c r="AB1115" s="89"/>
      <c r="AD1115" s="33" t="s">
        <v>2394</v>
      </c>
      <c r="AE1115" s="10" t="s">
        <v>383</v>
      </c>
      <c r="AF1115" s="20" t="s">
        <v>1299</v>
      </c>
      <c r="AG1115" s="10"/>
      <c r="AH1115" s="22" t="str">
        <f t="shared" si="34"/>
        <v xml:space="preserve">Junín_05 Junín </v>
      </c>
      <c r="AI1115" s="10" t="s">
        <v>1290</v>
      </c>
      <c r="AJ1115" s="20" t="s">
        <v>1388</v>
      </c>
      <c r="AK1115" s="22" t="str">
        <f t="shared" si="35"/>
        <v>Junín_05 Junín _04 Ulcumayo</v>
      </c>
      <c r="AL1115" s="25">
        <v>3</v>
      </c>
      <c r="AM1115" s="25">
        <v>57</v>
      </c>
      <c r="AN1115" s="26">
        <f>Tabla2[[#This Row],[Minutos]]/60</f>
        <v>0.95</v>
      </c>
      <c r="AO1115" s="27">
        <f>SUM(Tabla2[[#This Row],[Horas]],Tabla2[[#This Row],[Minutos a Horas]])</f>
        <v>3.95</v>
      </c>
      <c r="AP1115" s="85">
        <v>4</v>
      </c>
      <c r="AQ1115" s="85">
        <v>10</v>
      </c>
      <c r="AR1115" s="26">
        <f>Tabla2[[#This Row],[Minutos*]]/60</f>
        <v>0.16666666666666666</v>
      </c>
      <c r="AS1115" s="27">
        <f>SUM(Tabla2[[#This Row],[Horas*]],Tabla2[[#This Row],[Minutos a Horas*]])+(Tabla2[[#This Row],[Tiempo Total a Nivel Proncincial (Horas)]])</f>
        <v>8.1166666666666671</v>
      </c>
    </row>
    <row r="1116" spans="28:45" x14ac:dyDescent="0.25">
      <c r="AB1116" s="89"/>
      <c r="AD1116" s="33" t="s">
        <v>2394</v>
      </c>
      <c r="AE1116" s="10" t="s">
        <v>383</v>
      </c>
      <c r="AF1116" s="20" t="s">
        <v>1300</v>
      </c>
      <c r="AG1116" s="10"/>
      <c r="AH1116" s="22" t="str">
        <f t="shared" si="34"/>
        <v xml:space="preserve">Junín_06 Satipo </v>
      </c>
      <c r="AI1116" s="10" t="s">
        <v>1291</v>
      </c>
      <c r="AJ1116" s="20" t="s">
        <v>1389</v>
      </c>
      <c r="AK1116" s="22" t="str">
        <f t="shared" si="35"/>
        <v>Junín_06 Satipo _01 Satipo</v>
      </c>
      <c r="AL1116" s="25">
        <v>3</v>
      </c>
      <c r="AM1116" s="25">
        <v>59</v>
      </c>
      <c r="AN1116" s="26">
        <f>Tabla2[[#This Row],[Minutos]]/60</f>
        <v>0.98333333333333328</v>
      </c>
      <c r="AO1116" s="27">
        <f>SUM(Tabla2[[#This Row],[Horas]],Tabla2[[#This Row],[Minutos a Horas]])</f>
        <v>3.9833333333333334</v>
      </c>
      <c r="AP1116" s="85">
        <v>7</v>
      </c>
      <c r="AQ1116" s="85">
        <v>0</v>
      </c>
      <c r="AR1116" s="26">
        <f>Tabla2[[#This Row],[Minutos*]]/60</f>
        <v>0</v>
      </c>
      <c r="AS1116" s="27">
        <f>SUM(Tabla2[[#This Row],[Horas*]],Tabla2[[#This Row],[Minutos a Horas*]])+(Tabla2[[#This Row],[Tiempo Total a Nivel Proncincial (Horas)]])</f>
        <v>10.983333333333334</v>
      </c>
    </row>
    <row r="1117" spans="28:45" x14ac:dyDescent="0.25">
      <c r="AB1117" s="89"/>
      <c r="AD1117" s="33" t="s">
        <v>2394</v>
      </c>
      <c r="AE1117" s="10" t="s">
        <v>383</v>
      </c>
      <c r="AF1117" s="20" t="s">
        <v>1300</v>
      </c>
      <c r="AG1117" s="10"/>
      <c r="AH1117" s="22" t="str">
        <f t="shared" si="34"/>
        <v xml:space="preserve">Junín_06 Satipo </v>
      </c>
      <c r="AI1117" s="10" t="s">
        <v>1291</v>
      </c>
      <c r="AJ1117" s="20" t="s">
        <v>1390</v>
      </c>
      <c r="AK1117" s="22" t="str">
        <f t="shared" si="35"/>
        <v>Junín_06 Satipo _02 Coviriali</v>
      </c>
      <c r="AL1117" s="25">
        <v>3</v>
      </c>
      <c r="AM1117" s="25">
        <v>59</v>
      </c>
      <c r="AN1117" s="26">
        <f>Tabla2[[#This Row],[Minutos]]/60</f>
        <v>0.98333333333333328</v>
      </c>
      <c r="AO1117" s="27">
        <f>SUM(Tabla2[[#This Row],[Horas]],Tabla2[[#This Row],[Minutos a Horas]])</f>
        <v>3.9833333333333334</v>
      </c>
      <c r="AP1117" s="85">
        <v>7</v>
      </c>
      <c r="AQ1117" s="85">
        <v>20</v>
      </c>
      <c r="AR1117" s="26">
        <f>Tabla2[[#This Row],[Minutos*]]/60</f>
        <v>0.33333333333333331</v>
      </c>
      <c r="AS1117" s="27">
        <f>SUM(Tabla2[[#This Row],[Horas*]],Tabla2[[#This Row],[Minutos a Horas*]])+(Tabla2[[#This Row],[Tiempo Total a Nivel Proncincial (Horas)]])</f>
        <v>11.316666666666666</v>
      </c>
    </row>
    <row r="1118" spans="28:45" x14ac:dyDescent="0.25">
      <c r="AB1118" s="89"/>
      <c r="AD1118" s="33" t="s">
        <v>2394</v>
      </c>
      <c r="AE1118" s="10" t="s">
        <v>383</v>
      </c>
      <c r="AF1118" s="20" t="s">
        <v>1300</v>
      </c>
      <c r="AG1118" s="10"/>
      <c r="AH1118" s="22" t="str">
        <f t="shared" si="34"/>
        <v xml:space="preserve">Junín_06 Satipo </v>
      </c>
      <c r="AI1118" s="10" t="s">
        <v>1291</v>
      </c>
      <c r="AJ1118" s="20" t="s">
        <v>1391</v>
      </c>
      <c r="AK1118" s="22" t="str">
        <f t="shared" si="35"/>
        <v>Junín_06 Satipo _03 Llaylla</v>
      </c>
      <c r="AL1118" s="25">
        <v>3</v>
      </c>
      <c r="AM1118" s="25">
        <v>59</v>
      </c>
      <c r="AN1118" s="26">
        <f>Tabla2[[#This Row],[Minutos]]/60</f>
        <v>0.98333333333333328</v>
      </c>
      <c r="AO1118" s="27">
        <f>SUM(Tabla2[[#This Row],[Horas]],Tabla2[[#This Row],[Minutos a Horas]])</f>
        <v>3.9833333333333334</v>
      </c>
      <c r="AP1118" s="85">
        <v>8</v>
      </c>
      <c r="AQ1118" s="85">
        <v>0</v>
      </c>
      <c r="AR1118" s="26">
        <f>Tabla2[[#This Row],[Minutos*]]/60</f>
        <v>0</v>
      </c>
      <c r="AS1118" s="27">
        <f>SUM(Tabla2[[#This Row],[Horas*]],Tabla2[[#This Row],[Minutos a Horas*]])+(Tabla2[[#This Row],[Tiempo Total a Nivel Proncincial (Horas)]])</f>
        <v>11.983333333333334</v>
      </c>
    </row>
    <row r="1119" spans="28:45" x14ac:dyDescent="0.25">
      <c r="AB1119" s="89"/>
      <c r="AD1119" s="33" t="s">
        <v>2394</v>
      </c>
      <c r="AE1119" s="10" t="s">
        <v>383</v>
      </c>
      <c r="AF1119" s="20" t="s">
        <v>1300</v>
      </c>
      <c r="AG1119" s="10"/>
      <c r="AH1119" s="22" t="str">
        <f t="shared" si="34"/>
        <v xml:space="preserve">Junín_06 Satipo </v>
      </c>
      <c r="AI1119" s="10" t="s">
        <v>1291</v>
      </c>
      <c r="AJ1119" s="20" t="s">
        <v>1392</v>
      </c>
      <c r="AK1119" s="22" t="str">
        <f t="shared" si="35"/>
        <v>Junín_06 Satipo _04 Mazamari</v>
      </c>
      <c r="AL1119" s="25">
        <v>3</v>
      </c>
      <c r="AM1119" s="25">
        <v>59</v>
      </c>
      <c r="AN1119" s="26">
        <f>Tabla2[[#This Row],[Minutos]]/60</f>
        <v>0.98333333333333328</v>
      </c>
      <c r="AO1119" s="27">
        <f>SUM(Tabla2[[#This Row],[Horas]],Tabla2[[#This Row],[Minutos a Horas]])</f>
        <v>3.9833333333333334</v>
      </c>
      <c r="AP1119" s="85">
        <v>8</v>
      </c>
      <c r="AQ1119" s="85">
        <v>0</v>
      </c>
      <c r="AR1119" s="26">
        <f>Tabla2[[#This Row],[Minutos*]]/60</f>
        <v>0</v>
      </c>
      <c r="AS1119" s="27">
        <f>SUM(Tabla2[[#This Row],[Horas*]],Tabla2[[#This Row],[Minutos a Horas*]])+(Tabla2[[#This Row],[Tiempo Total a Nivel Proncincial (Horas)]])</f>
        <v>11.983333333333334</v>
      </c>
    </row>
    <row r="1120" spans="28:45" x14ac:dyDescent="0.25">
      <c r="AB1120" s="89"/>
      <c r="AD1120" s="33" t="s">
        <v>2394</v>
      </c>
      <c r="AE1120" s="10" t="s">
        <v>383</v>
      </c>
      <c r="AF1120" s="20" t="s">
        <v>1300</v>
      </c>
      <c r="AG1120" s="10"/>
      <c r="AH1120" s="22" t="str">
        <f t="shared" si="34"/>
        <v xml:space="preserve">Junín_06 Satipo </v>
      </c>
      <c r="AI1120" s="10" t="s">
        <v>1291</v>
      </c>
      <c r="AJ1120" s="20" t="s">
        <v>1393</v>
      </c>
      <c r="AK1120" s="22" t="str">
        <f t="shared" si="35"/>
        <v>Junín_06 Satipo _05 Pampa Hermosa</v>
      </c>
      <c r="AL1120" s="25">
        <v>3</v>
      </c>
      <c r="AM1120" s="25">
        <v>59</v>
      </c>
      <c r="AN1120" s="26">
        <f>Tabla2[[#This Row],[Minutos]]/60</f>
        <v>0.98333333333333328</v>
      </c>
      <c r="AO1120" s="27">
        <f>SUM(Tabla2[[#This Row],[Horas]],Tabla2[[#This Row],[Minutos a Horas]])</f>
        <v>3.9833333333333334</v>
      </c>
      <c r="AP1120" s="85">
        <v>9</v>
      </c>
      <c r="AQ1120" s="85">
        <v>30</v>
      </c>
      <c r="AR1120" s="26">
        <f>Tabla2[[#This Row],[Minutos*]]/60</f>
        <v>0.5</v>
      </c>
      <c r="AS1120" s="27">
        <f>SUM(Tabla2[[#This Row],[Horas*]],Tabla2[[#This Row],[Minutos a Horas*]])+(Tabla2[[#This Row],[Tiempo Total a Nivel Proncincial (Horas)]])</f>
        <v>13.483333333333334</v>
      </c>
    </row>
    <row r="1121" spans="28:45" x14ac:dyDescent="0.25">
      <c r="AB1121" s="89"/>
      <c r="AD1121" s="33" t="s">
        <v>2394</v>
      </c>
      <c r="AE1121" s="10" t="s">
        <v>383</v>
      </c>
      <c r="AF1121" s="20" t="s">
        <v>1300</v>
      </c>
      <c r="AG1121" s="10"/>
      <c r="AH1121" s="22" t="str">
        <f t="shared" si="34"/>
        <v xml:space="preserve">Junín_06 Satipo </v>
      </c>
      <c r="AI1121" s="10" t="s">
        <v>1291</v>
      </c>
      <c r="AJ1121" s="20" t="s">
        <v>1394</v>
      </c>
      <c r="AK1121" s="22" t="str">
        <f t="shared" si="35"/>
        <v>Junín_06 Satipo _06 Pangoa</v>
      </c>
      <c r="AL1121" s="25">
        <v>3</v>
      </c>
      <c r="AM1121" s="25">
        <v>59</v>
      </c>
      <c r="AN1121" s="26">
        <f>Tabla2[[#This Row],[Minutos]]/60</f>
        <v>0.98333333333333328</v>
      </c>
      <c r="AO1121" s="27">
        <f>SUM(Tabla2[[#This Row],[Horas]],Tabla2[[#This Row],[Minutos a Horas]])</f>
        <v>3.9833333333333334</v>
      </c>
      <c r="AP1121" s="85">
        <v>9</v>
      </c>
      <c r="AQ1121" s="85">
        <v>20</v>
      </c>
      <c r="AR1121" s="26">
        <f>Tabla2[[#This Row],[Minutos*]]/60</f>
        <v>0.33333333333333331</v>
      </c>
      <c r="AS1121" s="27">
        <f>SUM(Tabla2[[#This Row],[Horas*]],Tabla2[[#This Row],[Minutos a Horas*]])+(Tabla2[[#This Row],[Tiempo Total a Nivel Proncincial (Horas)]])</f>
        <v>13.316666666666666</v>
      </c>
    </row>
    <row r="1122" spans="28:45" x14ac:dyDescent="0.25">
      <c r="AB1122" s="89"/>
      <c r="AD1122" s="33" t="s">
        <v>2394</v>
      </c>
      <c r="AE1122" s="10" t="s">
        <v>383</v>
      </c>
      <c r="AF1122" s="20" t="s">
        <v>1300</v>
      </c>
      <c r="AG1122" s="10"/>
      <c r="AH1122" s="22" t="str">
        <f t="shared" si="34"/>
        <v xml:space="preserve">Junín_06 Satipo </v>
      </c>
      <c r="AI1122" s="10" t="s">
        <v>1291</v>
      </c>
      <c r="AJ1122" s="20" t="s">
        <v>1395</v>
      </c>
      <c r="AK1122" s="22" t="str">
        <f t="shared" si="35"/>
        <v>Junín_06 Satipo _07 Río Negro</v>
      </c>
      <c r="AL1122" s="25">
        <v>3</v>
      </c>
      <c r="AM1122" s="25">
        <v>59</v>
      </c>
      <c r="AN1122" s="26">
        <f>Tabla2[[#This Row],[Minutos]]/60</f>
        <v>0.98333333333333328</v>
      </c>
      <c r="AO1122" s="27">
        <f>SUM(Tabla2[[#This Row],[Horas]],Tabla2[[#This Row],[Minutos a Horas]])</f>
        <v>3.9833333333333334</v>
      </c>
      <c r="AP1122" s="85">
        <v>6</v>
      </c>
      <c r="AQ1122" s="85">
        <v>45</v>
      </c>
      <c r="AR1122" s="26">
        <f>Tabla2[[#This Row],[Minutos*]]/60</f>
        <v>0.75</v>
      </c>
      <c r="AS1122" s="27">
        <f>SUM(Tabla2[[#This Row],[Horas*]],Tabla2[[#This Row],[Minutos a Horas*]])+(Tabla2[[#This Row],[Tiempo Total a Nivel Proncincial (Horas)]])</f>
        <v>10.733333333333334</v>
      </c>
    </row>
    <row r="1123" spans="28:45" x14ac:dyDescent="0.25">
      <c r="AB1123" s="89"/>
      <c r="AD1123" s="33" t="s">
        <v>2394</v>
      </c>
      <c r="AE1123" s="10" t="s">
        <v>383</v>
      </c>
      <c r="AF1123" s="20" t="s">
        <v>1300</v>
      </c>
      <c r="AG1123" s="10"/>
      <c r="AH1123" s="22" t="str">
        <f t="shared" si="34"/>
        <v xml:space="preserve">Junín_06 Satipo </v>
      </c>
      <c r="AI1123" s="10" t="s">
        <v>1291</v>
      </c>
      <c r="AJ1123" s="20" t="s">
        <v>1396</v>
      </c>
      <c r="AK1123" s="22" t="str">
        <f t="shared" si="35"/>
        <v>Junín_06 Satipo _08 Río Tambo</v>
      </c>
      <c r="AL1123" s="25">
        <v>3</v>
      </c>
      <c r="AM1123" s="25">
        <v>59</v>
      </c>
      <c r="AN1123" s="26">
        <f>Tabla2[[#This Row],[Minutos]]/60</f>
        <v>0.98333333333333328</v>
      </c>
      <c r="AO1123" s="27">
        <f>SUM(Tabla2[[#This Row],[Horas]],Tabla2[[#This Row],[Minutos a Horas]])</f>
        <v>3.9833333333333334</v>
      </c>
      <c r="AP1123" s="85">
        <v>15</v>
      </c>
      <c r="AQ1123" s="85">
        <v>0</v>
      </c>
      <c r="AR1123" s="26">
        <f>Tabla2[[#This Row],[Minutos*]]/60</f>
        <v>0</v>
      </c>
      <c r="AS1123" s="27">
        <f>SUM(Tabla2[[#This Row],[Horas*]],Tabla2[[#This Row],[Minutos a Horas*]])+(Tabla2[[#This Row],[Tiempo Total a Nivel Proncincial (Horas)]])</f>
        <v>18.983333333333334</v>
      </c>
    </row>
    <row r="1124" spans="28:45" x14ac:dyDescent="0.25">
      <c r="AB1124" s="89"/>
      <c r="AD1124" s="33" t="s">
        <v>2394</v>
      </c>
      <c r="AE1124" s="10" t="s">
        <v>383</v>
      </c>
      <c r="AF1124" s="20" t="s">
        <v>1300</v>
      </c>
      <c r="AG1124" s="10"/>
      <c r="AH1124" s="22" t="str">
        <f t="shared" si="34"/>
        <v xml:space="preserve">Junín_06 Satipo </v>
      </c>
      <c r="AI1124" s="10" t="s">
        <v>1291</v>
      </c>
      <c r="AJ1124" s="20" t="s">
        <v>1397</v>
      </c>
      <c r="AK1124" s="22" t="str">
        <f t="shared" si="35"/>
        <v>Junín_06 Satipo _09 Vizcatan del Ene</v>
      </c>
      <c r="AL1124" s="25">
        <v>3</v>
      </c>
      <c r="AM1124" s="25">
        <v>59</v>
      </c>
      <c r="AN1124" s="26">
        <f>Tabla2[[#This Row],[Minutos]]/60</f>
        <v>0.98333333333333328</v>
      </c>
      <c r="AO1124" s="27">
        <f>SUM(Tabla2[[#This Row],[Horas]],Tabla2[[#This Row],[Minutos a Horas]])</f>
        <v>3.9833333333333334</v>
      </c>
      <c r="AP1124" s="85">
        <v>9</v>
      </c>
      <c r="AQ1124" s="85">
        <v>55</v>
      </c>
      <c r="AR1124" s="26">
        <f>Tabla2[[#This Row],[Minutos*]]/60</f>
        <v>0.91666666666666663</v>
      </c>
      <c r="AS1124" s="27">
        <f>SUM(Tabla2[[#This Row],[Horas*]],Tabla2[[#This Row],[Minutos a Horas*]])+(Tabla2[[#This Row],[Tiempo Total a Nivel Proncincial (Horas)]])</f>
        <v>13.899999999999999</v>
      </c>
    </row>
    <row r="1125" spans="28:45" x14ac:dyDescent="0.25">
      <c r="AB1125" s="89"/>
      <c r="AD1125" s="33" t="s">
        <v>2394</v>
      </c>
      <c r="AE1125" s="10" t="s">
        <v>383</v>
      </c>
      <c r="AF1125" s="20" t="s">
        <v>1301</v>
      </c>
      <c r="AG1125" s="10"/>
      <c r="AH1125" s="22" t="str">
        <f t="shared" si="34"/>
        <v xml:space="preserve">Junín_07 Tarma </v>
      </c>
      <c r="AI1125" s="10" t="s">
        <v>1292</v>
      </c>
      <c r="AJ1125" s="20" t="s">
        <v>1398</v>
      </c>
      <c r="AK1125" s="22" t="str">
        <f t="shared" si="35"/>
        <v>Junín_07 Tarma _01 Tarma</v>
      </c>
      <c r="AL1125" s="25">
        <v>2</v>
      </c>
      <c r="AM1125" s="25">
        <v>9</v>
      </c>
      <c r="AN1125" s="26">
        <f>Tabla2[[#This Row],[Minutos]]/60</f>
        <v>0.15</v>
      </c>
      <c r="AO1125" s="27">
        <f>SUM(Tabla2[[#This Row],[Horas]],Tabla2[[#This Row],[Minutos a Horas]])</f>
        <v>2.15</v>
      </c>
      <c r="AP1125" s="85">
        <v>2</v>
      </c>
      <c r="AQ1125" s="85">
        <v>20</v>
      </c>
      <c r="AR1125" s="26">
        <f>Tabla2[[#This Row],[Minutos*]]/60</f>
        <v>0.33333333333333331</v>
      </c>
      <c r="AS1125" s="27">
        <f>SUM(Tabla2[[#This Row],[Horas*]],Tabla2[[#This Row],[Minutos a Horas*]])+(Tabla2[[#This Row],[Tiempo Total a Nivel Proncincial (Horas)]])</f>
        <v>4.4833333333333334</v>
      </c>
    </row>
    <row r="1126" spans="28:45" x14ac:dyDescent="0.25">
      <c r="AB1126" s="89"/>
      <c r="AD1126" s="33" t="s">
        <v>2394</v>
      </c>
      <c r="AE1126" s="10" t="s">
        <v>383</v>
      </c>
      <c r="AF1126" s="20" t="s">
        <v>1301</v>
      </c>
      <c r="AG1126" s="10"/>
      <c r="AH1126" s="22" t="str">
        <f t="shared" si="34"/>
        <v xml:space="preserve">Junín_07 Tarma </v>
      </c>
      <c r="AI1126" s="10" t="s">
        <v>1292</v>
      </c>
      <c r="AJ1126" s="20" t="s">
        <v>330</v>
      </c>
      <c r="AK1126" s="22" t="str">
        <f t="shared" si="35"/>
        <v>Junín_07 Tarma _02 Acobamba</v>
      </c>
      <c r="AL1126" s="25">
        <v>2</v>
      </c>
      <c r="AM1126" s="25">
        <v>9</v>
      </c>
      <c r="AN1126" s="26">
        <f>Tabla2[[#This Row],[Minutos]]/60</f>
        <v>0.15</v>
      </c>
      <c r="AO1126" s="27">
        <f>SUM(Tabla2[[#This Row],[Horas]],Tabla2[[#This Row],[Minutos a Horas]])</f>
        <v>2.15</v>
      </c>
      <c r="AP1126" s="85">
        <v>2</v>
      </c>
      <c r="AQ1126" s="87">
        <v>40</v>
      </c>
      <c r="AR1126" s="26">
        <f>Tabla2[[#This Row],[Minutos*]]/60</f>
        <v>0.66666666666666663</v>
      </c>
      <c r="AS1126" s="27">
        <f>SUM(Tabla2[[#This Row],[Horas*]],Tabla2[[#This Row],[Minutos a Horas*]])+(Tabla2[[#This Row],[Tiempo Total a Nivel Proncincial (Horas)]])</f>
        <v>4.8166666666666664</v>
      </c>
    </row>
    <row r="1127" spans="28:45" x14ac:dyDescent="0.25">
      <c r="AB1127" s="89"/>
      <c r="AD1127" s="33" t="s">
        <v>2394</v>
      </c>
      <c r="AE1127" s="10" t="s">
        <v>383</v>
      </c>
      <c r="AF1127" s="20" t="s">
        <v>1301</v>
      </c>
      <c r="AG1127" s="10"/>
      <c r="AH1127" s="22" t="str">
        <f t="shared" si="34"/>
        <v xml:space="preserve">Junín_07 Tarma </v>
      </c>
      <c r="AI1127" s="10" t="s">
        <v>1292</v>
      </c>
      <c r="AJ1127" s="20" t="s">
        <v>1399</v>
      </c>
      <c r="AK1127" s="22" t="str">
        <f t="shared" si="35"/>
        <v>Junín_07 Tarma _03 Huaricolca</v>
      </c>
      <c r="AL1127" s="25">
        <v>2</v>
      </c>
      <c r="AM1127" s="25">
        <v>9</v>
      </c>
      <c r="AN1127" s="26">
        <f>Tabla2[[#This Row],[Minutos]]/60</f>
        <v>0.15</v>
      </c>
      <c r="AO1127" s="27">
        <f>SUM(Tabla2[[#This Row],[Horas]],Tabla2[[#This Row],[Minutos a Horas]])</f>
        <v>2.15</v>
      </c>
      <c r="AP1127" s="85">
        <v>2</v>
      </c>
      <c r="AQ1127" s="85">
        <v>0</v>
      </c>
      <c r="AR1127" s="26">
        <f>Tabla2[[#This Row],[Minutos*]]/60</f>
        <v>0</v>
      </c>
      <c r="AS1127" s="27">
        <f>SUM(Tabla2[[#This Row],[Horas*]],Tabla2[[#This Row],[Minutos a Horas*]])+(Tabla2[[#This Row],[Tiempo Total a Nivel Proncincial (Horas)]])</f>
        <v>4.1500000000000004</v>
      </c>
    </row>
    <row r="1128" spans="28:45" x14ac:dyDescent="0.25">
      <c r="AB1128" s="89"/>
      <c r="AD1128" s="33" t="s">
        <v>2394</v>
      </c>
      <c r="AE1128" s="10" t="s">
        <v>383</v>
      </c>
      <c r="AF1128" s="20" t="s">
        <v>1301</v>
      </c>
      <c r="AG1128" s="10"/>
      <c r="AH1128" s="22" t="str">
        <f t="shared" si="34"/>
        <v xml:space="preserve">Junín_07 Tarma </v>
      </c>
      <c r="AI1128" s="10" t="s">
        <v>1292</v>
      </c>
      <c r="AJ1128" s="20" t="s">
        <v>1400</v>
      </c>
      <c r="AK1128" s="22" t="str">
        <f t="shared" si="35"/>
        <v>Junín_07 Tarma _04 Huasahuasi</v>
      </c>
      <c r="AL1128" s="25">
        <v>2</v>
      </c>
      <c r="AM1128" s="25">
        <v>9</v>
      </c>
      <c r="AN1128" s="26">
        <f>Tabla2[[#This Row],[Minutos]]/60</f>
        <v>0.15</v>
      </c>
      <c r="AO1128" s="27">
        <f>SUM(Tabla2[[#This Row],[Horas]],Tabla2[[#This Row],[Minutos a Horas]])</f>
        <v>2.15</v>
      </c>
      <c r="AP1128" s="85">
        <v>4</v>
      </c>
      <c r="AQ1128" s="85">
        <v>40</v>
      </c>
      <c r="AR1128" s="26">
        <f>Tabla2[[#This Row],[Minutos*]]/60</f>
        <v>0.66666666666666663</v>
      </c>
      <c r="AS1128" s="27">
        <f>SUM(Tabla2[[#This Row],[Horas*]],Tabla2[[#This Row],[Minutos a Horas*]])+(Tabla2[[#This Row],[Tiempo Total a Nivel Proncincial (Horas)]])</f>
        <v>6.8166666666666664</v>
      </c>
    </row>
    <row r="1129" spans="28:45" x14ac:dyDescent="0.25">
      <c r="AB1129" s="89"/>
      <c r="AD1129" s="33" t="s">
        <v>2394</v>
      </c>
      <c r="AE1129" s="10" t="s">
        <v>383</v>
      </c>
      <c r="AF1129" s="20" t="s">
        <v>1301</v>
      </c>
      <c r="AG1129" s="10"/>
      <c r="AH1129" s="22" t="str">
        <f t="shared" si="34"/>
        <v xml:space="preserve">Junín_07 Tarma </v>
      </c>
      <c r="AI1129" s="10" t="s">
        <v>1292</v>
      </c>
      <c r="AJ1129" s="20" t="s">
        <v>1401</v>
      </c>
      <c r="AK1129" s="22" t="str">
        <f t="shared" si="35"/>
        <v>Junín_07 Tarma _05 La Unión</v>
      </c>
      <c r="AL1129" s="25">
        <v>2</v>
      </c>
      <c r="AM1129" s="25">
        <v>9</v>
      </c>
      <c r="AN1129" s="26">
        <f>Tabla2[[#This Row],[Minutos]]/60</f>
        <v>0.15</v>
      </c>
      <c r="AO1129" s="27">
        <f>SUM(Tabla2[[#This Row],[Horas]],Tabla2[[#This Row],[Minutos a Horas]])</f>
        <v>2.15</v>
      </c>
      <c r="AP1129" s="85">
        <v>3</v>
      </c>
      <c r="AQ1129" s="85">
        <v>0</v>
      </c>
      <c r="AR1129" s="26">
        <f>Tabla2[[#This Row],[Minutos*]]/60</f>
        <v>0</v>
      </c>
      <c r="AS1129" s="27">
        <f>SUM(Tabla2[[#This Row],[Horas*]],Tabla2[[#This Row],[Minutos a Horas*]])+(Tabla2[[#This Row],[Tiempo Total a Nivel Proncincial (Horas)]])</f>
        <v>5.15</v>
      </c>
    </row>
    <row r="1130" spans="28:45" x14ac:dyDescent="0.25">
      <c r="AB1130" s="89"/>
      <c r="AD1130" s="33" t="s">
        <v>2394</v>
      </c>
      <c r="AE1130" s="10" t="s">
        <v>383</v>
      </c>
      <c r="AF1130" s="20" t="s">
        <v>1301</v>
      </c>
      <c r="AG1130" s="10"/>
      <c r="AH1130" s="22" t="str">
        <f t="shared" si="34"/>
        <v xml:space="preserve">Junín_07 Tarma </v>
      </c>
      <c r="AI1130" s="10" t="s">
        <v>1292</v>
      </c>
      <c r="AJ1130" s="20" t="s">
        <v>1402</v>
      </c>
      <c r="AK1130" s="22" t="str">
        <f t="shared" si="35"/>
        <v>Junín_07 Tarma _06 Palca</v>
      </c>
      <c r="AL1130" s="25">
        <v>2</v>
      </c>
      <c r="AM1130" s="25">
        <v>9</v>
      </c>
      <c r="AN1130" s="26">
        <f>Tabla2[[#This Row],[Minutos]]/60</f>
        <v>0.15</v>
      </c>
      <c r="AO1130" s="27">
        <f>SUM(Tabla2[[#This Row],[Horas]],Tabla2[[#This Row],[Minutos a Horas]])</f>
        <v>2.15</v>
      </c>
      <c r="AP1130" s="85">
        <v>2</v>
      </c>
      <c r="AQ1130" s="85">
        <v>40</v>
      </c>
      <c r="AR1130" s="26">
        <f>Tabla2[[#This Row],[Minutos*]]/60</f>
        <v>0.66666666666666663</v>
      </c>
      <c r="AS1130" s="27">
        <f>SUM(Tabla2[[#This Row],[Horas*]],Tabla2[[#This Row],[Minutos a Horas*]])+(Tabla2[[#This Row],[Tiempo Total a Nivel Proncincial (Horas)]])</f>
        <v>4.8166666666666664</v>
      </c>
    </row>
    <row r="1131" spans="28:45" x14ac:dyDescent="0.25">
      <c r="AB1131" s="89"/>
      <c r="AD1131" s="33" t="s">
        <v>2394</v>
      </c>
      <c r="AE1131" s="10" t="s">
        <v>383</v>
      </c>
      <c r="AF1131" s="20" t="s">
        <v>1301</v>
      </c>
      <c r="AG1131" s="10"/>
      <c r="AH1131" s="22" t="str">
        <f t="shared" si="34"/>
        <v xml:space="preserve">Junín_07 Tarma </v>
      </c>
      <c r="AI1131" s="10" t="s">
        <v>1292</v>
      </c>
      <c r="AJ1131" s="20" t="s">
        <v>1403</v>
      </c>
      <c r="AK1131" s="22" t="str">
        <f t="shared" si="35"/>
        <v>Junín_07 Tarma _07 Palcamayo</v>
      </c>
      <c r="AL1131" s="25">
        <v>2</v>
      </c>
      <c r="AM1131" s="25">
        <v>9</v>
      </c>
      <c r="AN1131" s="26">
        <f>Tabla2[[#This Row],[Minutos]]/60</f>
        <v>0.15</v>
      </c>
      <c r="AO1131" s="27">
        <f>SUM(Tabla2[[#This Row],[Horas]],Tabla2[[#This Row],[Minutos a Horas]])</f>
        <v>2.15</v>
      </c>
      <c r="AP1131" s="85">
        <v>3</v>
      </c>
      <c r="AQ1131" s="85">
        <v>0</v>
      </c>
      <c r="AR1131" s="26">
        <f>Tabla2[[#This Row],[Minutos*]]/60</f>
        <v>0</v>
      </c>
      <c r="AS1131" s="27">
        <f>SUM(Tabla2[[#This Row],[Horas*]],Tabla2[[#This Row],[Minutos a Horas*]])+(Tabla2[[#This Row],[Tiempo Total a Nivel Proncincial (Horas)]])</f>
        <v>5.15</v>
      </c>
    </row>
    <row r="1132" spans="28:45" x14ac:dyDescent="0.25">
      <c r="AB1132" s="89"/>
      <c r="AD1132" s="33" t="s">
        <v>2394</v>
      </c>
      <c r="AE1132" s="10" t="s">
        <v>383</v>
      </c>
      <c r="AF1132" s="20" t="s">
        <v>1301</v>
      </c>
      <c r="AG1132" s="10"/>
      <c r="AH1132" s="22" t="str">
        <f t="shared" si="34"/>
        <v xml:space="preserve">Junín_07 Tarma </v>
      </c>
      <c r="AI1132" s="10" t="s">
        <v>1292</v>
      </c>
      <c r="AJ1132" s="20" t="s">
        <v>1404</v>
      </c>
      <c r="AK1132" s="22" t="str">
        <f t="shared" si="35"/>
        <v>Junín_07 Tarma _08 San Pedro de Cajas</v>
      </c>
      <c r="AL1132" s="25">
        <v>2</v>
      </c>
      <c r="AM1132" s="25">
        <v>9</v>
      </c>
      <c r="AN1132" s="26">
        <f>Tabla2[[#This Row],[Minutos]]/60</f>
        <v>0.15</v>
      </c>
      <c r="AO1132" s="27">
        <f>SUM(Tabla2[[#This Row],[Horas]],Tabla2[[#This Row],[Minutos a Horas]])</f>
        <v>2.15</v>
      </c>
      <c r="AP1132" s="85">
        <v>3</v>
      </c>
      <c r="AQ1132" s="85">
        <v>45</v>
      </c>
      <c r="AR1132" s="26">
        <f>Tabla2[[#This Row],[Minutos*]]/60</f>
        <v>0.75</v>
      </c>
      <c r="AS1132" s="27">
        <f>SUM(Tabla2[[#This Row],[Horas*]],Tabla2[[#This Row],[Minutos a Horas*]])+(Tabla2[[#This Row],[Tiempo Total a Nivel Proncincial (Horas)]])</f>
        <v>5.9</v>
      </c>
    </row>
    <row r="1133" spans="28:45" x14ac:dyDescent="0.25">
      <c r="AB1133" s="89"/>
      <c r="AD1133" s="33" t="s">
        <v>2394</v>
      </c>
      <c r="AE1133" s="10" t="s">
        <v>383</v>
      </c>
      <c r="AF1133" s="20" t="s">
        <v>1301</v>
      </c>
      <c r="AG1133" s="10"/>
      <c r="AH1133" s="22" t="str">
        <f t="shared" si="34"/>
        <v xml:space="preserve">Junín_07 Tarma </v>
      </c>
      <c r="AI1133" s="10" t="s">
        <v>1292</v>
      </c>
      <c r="AJ1133" s="20" t="s">
        <v>1405</v>
      </c>
      <c r="AK1133" s="22" t="str">
        <f t="shared" si="35"/>
        <v>Junín_07 Tarma _09 Tapo</v>
      </c>
      <c r="AL1133" s="25">
        <v>2</v>
      </c>
      <c r="AM1133" s="25">
        <v>9</v>
      </c>
      <c r="AN1133" s="26">
        <f>Tabla2[[#This Row],[Minutos]]/60</f>
        <v>0.15</v>
      </c>
      <c r="AO1133" s="27">
        <f>SUM(Tabla2[[#This Row],[Horas]],Tabla2[[#This Row],[Minutos a Horas]])</f>
        <v>2.15</v>
      </c>
      <c r="AP1133" s="85">
        <v>3</v>
      </c>
      <c r="AQ1133" s="85">
        <v>0</v>
      </c>
      <c r="AR1133" s="26">
        <f>Tabla2[[#This Row],[Minutos*]]/60</f>
        <v>0</v>
      </c>
      <c r="AS1133" s="27">
        <f>SUM(Tabla2[[#This Row],[Horas*]],Tabla2[[#This Row],[Minutos a Horas*]])+(Tabla2[[#This Row],[Tiempo Total a Nivel Proncincial (Horas)]])</f>
        <v>5.15</v>
      </c>
    </row>
    <row r="1134" spans="28:45" x14ac:dyDescent="0.25">
      <c r="AB1134" s="89"/>
      <c r="AD1134" s="33" t="s">
        <v>2394</v>
      </c>
      <c r="AE1134" s="10" t="s">
        <v>383</v>
      </c>
      <c r="AF1134" s="20" t="s">
        <v>1302</v>
      </c>
      <c r="AG1134" s="10"/>
      <c r="AH1134" s="22" t="str">
        <f t="shared" si="34"/>
        <v xml:space="preserve">Junín_08 Yauli </v>
      </c>
      <c r="AI1134" s="10" t="s">
        <v>1293</v>
      </c>
      <c r="AJ1134" s="20" t="s">
        <v>1406</v>
      </c>
      <c r="AK1134" s="22" t="str">
        <f t="shared" si="35"/>
        <v>Junín_08 Yauli _01 La Oroya</v>
      </c>
      <c r="AL1134" s="25">
        <v>3</v>
      </c>
      <c r="AM1134" s="25">
        <v>2</v>
      </c>
      <c r="AN1134" s="26">
        <f>Tabla2[[#This Row],[Minutos]]/60</f>
        <v>3.3333333333333333E-2</v>
      </c>
      <c r="AO1134" s="27">
        <f>SUM(Tabla2[[#This Row],[Horas]],Tabla2[[#This Row],[Minutos a Horas]])</f>
        <v>3.0333333333333332</v>
      </c>
      <c r="AP1134" s="85">
        <v>2</v>
      </c>
      <c r="AQ1134" s="85">
        <v>10</v>
      </c>
      <c r="AR1134" s="26">
        <f>Tabla2[[#This Row],[Minutos*]]/60</f>
        <v>0.16666666666666666</v>
      </c>
      <c r="AS1134" s="27">
        <f>SUM(Tabla2[[#This Row],[Horas*]],Tabla2[[#This Row],[Minutos a Horas*]])+(Tabla2[[#This Row],[Tiempo Total a Nivel Proncincial (Horas)]])</f>
        <v>5.1999999999999993</v>
      </c>
    </row>
    <row r="1135" spans="28:45" x14ac:dyDescent="0.25">
      <c r="AB1135" s="89"/>
      <c r="AD1135" s="33" t="s">
        <v>2394</v>
      </c>
      <c r="AE1135" s="10" t="s">
        <v>383</v>
      </c>
      <c r="AF1135" s="20" t="s">
        <v>1302</v>
      </c>
      <c r="AG1135" s="10"/>
      <c r="AH1135" s="22" t="str">
        <f t="shared" si="34"/>
        <v xml:space="preserve">Junín_08 Yauli </v>
      </c>
      <c r="AI1135" s="10" t="s">
        <v>1293</v>
      </c>
      <c r="AJ1135" s="20" t="s">
        <v>1407</v>
      </c>
      <c r="AK1135" s="22" t="str">
        <f t="shared" si="35"/>
        <v>Junín_08 Yauli _02 Chacapalpa</v>
      </c>
      <c r="AL1135" s="25">
        <v>3</v>
      </c>
      <c r="AM1135" s="25">
        <v>2</v>
      </c>
      <c r="AN1135" s="26">
        <f>Tabla2[[#This Row],[Minutos]]/60</f>
        <v>3.3333333333333333E-2</v>
      </c>
      <c r="AO1135" s="27">
        <f>SUM(Tabla2[[#This Row],[Horas]],Tabla2[[#This Row],[Minutos a Horas]])</f>
        <v>3.0333333333333332</v>
      </c>
      <c r="AP1135" s="85">
        <v>1</v>
      </c>
      <c r="AQ1135" s="85">
        <v>40</v>
      </c>
      <c r="AR1135" s="26">
        <f>Tabla2[[#This Row],[Minutos*]]/60</f>
        <v>0.66666666666666663</v>
      </c>
      <c r="AS1135" s="27">
        <f>SUM(Tabla2[[#This Row],[Horas*]],Tabla2[[#This Row],[Minutos a Horas*]])+(Tabla2[[#This Row],[Tiempo Total a Nivel Proncincial (Horas)]])</f>
        <v>4.6999999999999993</v>
      </c>
    </row>
    <row r="1136" spans="28:45" x14ac:dyDescent="0.25">
      <c r="AB1136" s="89"/>
      <c r="AD1136" s="33" t="s">
        <v>2394</v>
      </c>
      <c r="AE1136" s="10" t="s">
        <v>383</v>
      </c>
      <c r="AF1136" s="20" t="s">
        <v>1302</v>
      </c>
      <c r="AG1136" s="10"/>
      <c r="AH1136" s="22" t="str">
        <f t="shared" si="34"/>
        <v xml:space="preserve">Junín_08 Yauli </v>
      </c>
      <c r="AI1136" s="10" t="s">
        <v>1293</v>
      </c>
      <c r="AJ1136" s="20" t="s">
        <v>1408</v>
      </c>
      <c r="AK1136" s="22" t="str">
        <f t="shared" si="35"/>
        <v>Junín_08 Yauli _03 Huay-Huay</v>
      </c>
      <c r="AL1136" s="25">
        <v>3</v>
      </c>
      <c r="AM1136" s="25">
        <v>2</v>
      </c>
      <c r="AN1136" s="26">
        <f>Tabla2[[#This Row],[Minutos]]/60</f>
        <v>3.3333333333333333E-2</v>
      </c>
      <c r="AO1136" s="27">
        <f>SUM(Tabla2[[#This Row],[Horas]],Tabla2[[#This Row],[Minutos a Horas]])</f>
        <v>3.0333333333333332</v>
      </c>
      <c r="AP1136" s="85">
        <v>2</v>
      </c>
      <c r="AQ1136" s="85">
        <v>40</v>
      </c>
      <c r="AR1136" s="26">
        <f>Tabla2[[#This Row],[Minutos*]]/60</f>
        <v>0.66666666666666663</v>
      </c>
      <c r="AS1136" s="27">
        <f>SUM(Tabla2[[#This Row],[Horas*]],Tabla2[[#This Row],[Minutos a Horas*]])+(Tabla2[[#This Row],[Tiempo Total a Nivel Proncincial (Horas)]])</f>
        <v>5.6999999999999993</v>
      </c>
    </row>
    <row r="1137" spans="28:45" x14ac:dyDescent="0.25">
      <c r="AB1137" s="89"/>
      <c r="AD1137" s="33" t="s">
        <v>2394</v>
      </c>
      <c r="AE1137" s="10" t="s">
        <v>383</v>
      </c>
      <c r="AF1137" s="20" t="s">
        <v>1302</v>
      </c>
      <c r="AG1137" s="10"/>
      <c r="AH1137" s="22" t="str">
        <f t="shared" si="34"/>
        <v xml:space="preserve">Junín_08 Yauli </v>
      </c>
      <c r="AI1137" s="10" t="s">
        <v>1293</v>
      </c>
      <c r="AJ1137" s="20" t="s">
        <v>1409</v>
      </c>
      <c r="AK1137" s="22" t="str">
        <f t="shared" si="35"/>
        <v>Junín_08 Yauli _04 Marcapomacocha</v>
      </c>
      <c r="AL1137" s="25">
        <v>3</v>
      </c>
      <c r="AM1137" s="25">
        <v>2</v>
      </c>
      <c r="AN1137" s="26">
        <f>Tabla2[[#This Row],[Minutos]]/60</f>
        <v>3.3333333333333333E-2</v>
      </c>
      <c r="AO1137" s="27">
        <f>SUM(Tabla2[[#This Row],[Horas]],Tabla2[[#This Row],[Minutos a Horas]])</f>
        <v>3.0333333333333332</v>
      </c>
      <c r="AP1137" s="85">
        <v>4</v>
      </c>
      <c r="AQ1137" s="85">
        <v>40</v>
      </c>
      <c r="AR1137" s="26">
        <f>Tabla2[[#This Row],[Minutos*]]/60</f>
        <v>0.66666666666666663</v>
      </c>
      <c r="AS1137" s="27">
        <f>SUM(Tabla2[[#This Row],[Horas*]],Tabla2[[#This Row],[Minutos a Horas*]])+(Tabla2[[#This Row],[Tiempo Total a Nivel Proncincial (Horas)]])</f>
        <v>7.7</v>
      </c>
    </row>
    <row r="1138" spans="28:45" x14ac:dyDescent="0.25">
      <c r="AB1138" s="89"/>
      <c r="AD1138" s="33" t="s">
        <v>2394</v>
      </c>
      <c r="AE1138" s="10" t="s">
        <v>383</v>
      </c>
      <c r="AF1138" s="20" t="s">
        <v>1302</v>
      </c>
      <c r="AG1138" s="10"/>
      <c r="AH1138" s="22" t="str">
        <f t="shared" si="34"/>
        <v xml:space="preserve">Junín_08 Yauli </v>
      </c>
      <c r="AI1138" s="10" t="s">
        <v>1293</v>
      </c>
      <c r="AJ1138" s="20" t="s">
        <v>1410</v>
      </c>
      <c r="AK1138" s="22" t="str">
        <f t="shared" si="35"/>
        <v>Junín_08 Yauli _05 Morococha</v>
      </c>
      <c r="AL1138" s="25">
        <v>3</v>
      </c>
      <c r="AM1138" s="25">
        <v>2</v>
      </c>
      <c r="AN1138" s="26">
        <f>Tabla2[[#This Row],[Minutos]]/60</f>
        <v>3.3333333333333333E-2</v>
      </c>
      <c r="AO1138" s="27">
        <f>SUM(Tabla2[[#This Row],[Horas]],Tabla2[[#This Row],[Minutos a Horas]])</f>
        <v>3.0333333333333332</v>
      </c>
      <c r="AP1138" s="85">
        <v>4</v>
      </c>
      <c r="AQ1138" s="85">
        <v>0</v>
      </c>
      <c r="AR1138" s="26">
        <f>Tabla2[[#This Row],[Minutos*]]/60</f>
        <v>0</v>
      </c>
      <c r="AS1138" s="27">
        <f>SUM(Tabla2[[#This Row],[Horas*]],Tabla2[[#This Row],[Minutos a Horas*]])+(Tabla2[[#This Row],[Tiempo Total a Nivel Proncincial (Horas)]])</f>
        <v>7.0333333333333332</v>
      </c>
    </row>
    <row r="1139" spans="28:45" x14ac:dyDescent="0.25">
      <c r="AB1139" s="89"/>
      <c r="AD1139" s="33" t="s">
        <v>2394</v>
      </c>
      <c r="AE1139" s="10" t="s">
        <v>383</v>
      </c>
      <c r="AF1139" s="20" t="s">
        <v>1302</v>
      </c>
      <c r="AG1139" s="10"/>
      <c r="AH1139" s="22" t="str">
        <f t="shared" si="34"/>
        <v xml:space="preserve">Junín_08 Yauli </v>
      </c>
      <c r="AI1139" s="10" t="s">
        <v>1293</v>
      </c>
      <c r="AJ1139" s="20" t="s">
        <v>1411</v>
      </c>
      <c r="AK1139" s="22" t="str">
        <f t="shared" si="35"/>
        <v>Junín_08 Yauli _06 Paccha</v>
      </c>
      <c r="AL1139" s="25">
        <v>3</v>
      </c>
      <c r="AM1139" s="25">
        <v>2</v>
      </c>
      <c r="AN1139" s="26">
        <f>Tabla2[[#This Row],[Minutos]]/60</f>
        <v>3.3333333333333333E-2</v>
      </c>
      <c r="AO1139" s="27">
        <f>SUM(Tabla2[[#This Row],[Horas]],Tabla2[[#This Row],[Minutos a Horas]])</f>
        <v>3.0333333333333332</v>
      </c>
      <c r="AP1139" s="85">
        <v>2</v>
      </c>
      <c r="AQ1139" s="85">
        <v>20</v>
      </c>
      <c r="AR1139" s="26">
        <f>Tabla2[[#This Row],[Minutos*]]/60</f>
        <v>0.33333333333333331</v>
      </c>
      <c r="AS1139" s="27">
        <f>SUM(Tabla2[[#This Row],[Horas*]],Tabla2[[#This Row],[Minutos a Horas*]])+(Tabla2[[#This Row],[Tiempo Total a Nivel Proncincial (Horas)]])</f>
        <v>5.3666666666666671</v>
      </c>
    </row>
    <row r="1140" spans="28:45" ht="30" x14ac:dyDescent="0.25">
      <c r="AB1140" s="89"/>
      <c r="AD1140" s="33" t="s">
        <v>2394</v>
      </c>
      <c r="AE1140" s="10" t="s">
        <v>383</v>
      </c>
      <c r="AF1140" s="20" t="s">
        <v>1302</v>
      </c>
      <c r="AG1140" s="10"/>
      <c r="AH1140" s="22" t="str">
        <f t="shared" si="34"/>
        <v xml:space="preserve">Junín_08 Yauli </v>
      </c>
      <c r="AI1140" s="10" t="s">
        <v>1293</v>
      </c>
      <c r="AJ1140" s="20" t="s">
        <v>1412</v>
      </c>
      <c r="AK1140" s="22" t="str">
        <f t="shared" si="35"/>
        <v>Junín_08 Yauli _07 Santa Bárbara de Carhuacayan</v>
      </c>
      <c r="AL1140" s="25">
        <v>3</v>
      </c>
      <c r="AM1140" s="25">
        <v>2</v>
      </c>
      <c r="AN1140" s="26">
        <f>Tabla2[[#This Row],[Minutos]]/60</f>
        <v>3.3333333333333333E-2</v>
      </c>
      <c r="AO1140" s="27">
        <f>SUM(Tabla2[[#This Row],[Horas]],Tabla2[[#This Row],[Minutos a Horas]])</f>
        <v>3.0333333333333332</v>
      </c>
      <c r="AP1140" s="85">
        <v>3</v>
      </c>
      <c r="AQ1140" s="85">
        <v>40</v>
      </c>
      <c r="AR1140" s="26">
        <f>Tabla2[[#This Row],[Minutos*]]/60</f>
        <v>0.66666666666666663</v>
      </c>
      <c r="AS1140" s="27">
        <f>SUM(Tabla2[[#This Row],[Horas*]],Tabla2[[#This Row],[Minutos a Horas*]])+(Tabla2[[#This Row],[Tiempo Total a Nivel Proncincial (Horas)]])</f>
        <v>6.6999999999999993</v>
      </c>
    </row>
    <row r="1141" spans="28:45" x14ac:dyDescent="0.25">
      <c r="AB1141" s="89"/>
      <c r="AD1141" s="33" t="s">
        <v>2394</v>
      </c>
      <c r="AE1141" s="10" t="s">
        <v>383</v>
      </c>
      <c r="AF1141" s="20" t="s">
        <v>1302</v>
      </c>
      <c r="AG1141" s="10"/>
      <c r="AH1141" s="22" t="str">
        <f t="shared" si="34"/>
        <v xml:space="preserve">Junín_08 Yauli </v>
      </c>
      <c r="AI1141" s="10" t="s">
        <v>1293</v>
      </c>
      <c r="AJ1141" s="20" t="s">
        <v>1413</v>
      </c>
      <c r="AK1141" s="22" t="str">
        <f t="shared" si="35"/>
        <v>Junín_08 Yauli _08 Santa Rosa de Sacco</v>
      </c>
      <c r="AL1141" s="25">
        <v>3</v>
      </c>
      <c r="AM1141" s="25">
        <v>2</v>
      </c>
      <c r="AN1141" s="26">
        <f>Tabla2[[#This Row],[Minutos]]/60</f>
        <v>3.3333333333333333E-2</v>
      </c>
      <c r="AO1141" s="27">
        <f>SUM(Tabla2[[#This Row],[Horas]],Tabla2[[#This Row],[Minutos a Horas]])</f>
        <v>3.0333333333333332</v>
      </c>
      <c r="AP1141" s="85">
        <v>2</v>
      </c>
      <c r="AQ1141" s="85">
        <v>30</v>
      </c>
      <c r="AR1141" s="26">
        <f>Tabla2[[#This Row],[Minutos*]]/60</f>
        <v>0.5</v>
      </c>
      <c r="AS1141" s="27">
        <f>SUM(Tabla2[[#This Row],[Horas*]],Tabla2[[#This Row],[Minutos a Horas*]])+(Tabla2[[#This Row],[Tiempo Total a Nivel Proncincial (Horas)]])</f>
        <v>5.5333333333333332</v>
      </c>
    </row>
    <row r="1142" spans="28:45" x14ac:dyDescent="0.25">
      <c r="AB1142" s="89"/>
      <c r="AD1142" s="33" t="s">
        <v>2394</v>
      </c>
      <c r="AE1142" s="10" t="s">
        <v>383</v>
      </c>
      <c r="AF1142" s="20" t="s">
        <v>1302</v>
      </c>
      <c r="AG1142" s="10"/>
      <c r="AH1142" s="22" t="str">
        <f t="shared" si="34"/>
        <v xml:space="preserve">Junín_08 Yauli </v>
      </c>
      <c r="AI1142" s="10" t="s">
        <v>1293</v>
      </c>
      <c r="AJ1142" s="20" t="s">
        <v>1414</v>
      </c>
      <c r="AK1142" s="22" t="str">
        <f t="shared" si="35"/>
        <v>Junín_08 Yauli _09 Suitucancha</v>
      </c>
      <c r="AL1142" s="25">
        <v>3</v>
      </c>
      <c r="AM1142" s="25">
        <v>2</v>
      </c>
      <c r="AN1142" s="26">
        <f>Tabla2[[#This Row],[Minutos]]/60</f>
        <v>3.3333333333333333E-2</v>
      </c>
      <c r="AO1142" s="27">
        <f>SUM(Tabla2[[#This Row],[Horas]],Tabla2[[#This Row],[Minutos a Horas]])</f>
        <v>3.0333333333333332</v>
      </c>
      <c r="AP1142" s="85">
        <v>2</v>
      </c>
      <c r="AQ1142" s="85">
        <v>10</v>
      </c>
      <c r="AR1142" s="26">
        <f>Tabla2[[#This Row],[Minutos*]]/60</f>
        <v>0.16666666666666666</v>
      </c>
      <c r="AS1142" s="27">
        <f>SUM(Tabla2[[#This Row],[Horas*]],Tabla2[[#This Row],[Minutos a Horas*]])+(Tabla2[[#This Row],[Tiempo Total a Nivel Proncincial (Horas)]])</f>
        <v>5.1999999999999993</v>
      </c>
    </row>
    <row r="1143" spans="28:45" x14ac:dyDescent="0.25">
      <c r="AB1143" s="89"/>
      <c r="AD1143" s="33" t="s">
        <v>2394</v>
      </c>
      <c r="AE1143" s="10" t="s">
        <v>383</v>
      </c>
      <c r="AF1143" s="20" t="s">
        <v>1302</v>
      </c>
      <c r="AG1143" s="10"/>
      <c r="AH1143" s="22" t="str">
        <f t="shared" si="34"/>
        <v xml:space="preserve">Junín_08 Yauli </v>
      </c>
      <c r="AI1143" s="10" t="s">
        <v>1293</v>
      </c>
      <c r="AJ1143" s="20" t="s">
        <v>1415</v>
      </c>
      <c r="AK1143" s="22" t="str">
        <f t="shared" si="35"/>
        <v>Junín_08 Yauli _10 Yauli</v>
      </c>
      <c r="AL1143" s="25">
        <v>3</v>
      </c>
      <c r="AM1143" s="25">
        <v>2</v>
      </c>
      <c r="AN1143" s="26">
        <f>Tabla2[[#This Row],[Minutos]]/60</f>
        <v>3.3333333333333333E-2</v>
      </c>
      <c r="AO1143" s="27">
        <f>SUM(Tabla2[[#This Row],[Horas]],Tabla2[[#This Row],[Minutos a Horas]])</f>
        <v>3.0333333333333332</v>
      </c>
      <c r="AP1143" s="85">
        <v>3</v>
      </c>
      <c r="AQ1143" s="85">
        <v>0</v>
      </c>
      <c r="AR1143" s="26">
        <f>Tabla2[[#This Row],[Minutos*]]/60</f>
        <v>0</v>
      </c>
      <c r="AS1143" s="27">
        <f>SUM(Tabla2[[#This Row],[Horas*]],Tabla2[[#This Row],[Minutos a Horas*]])+(Tabla2[[#This Row],[Tiempo Total a Nivel Proncincial (Horas)]])</f>
        <v>6.0333333333333332</v>
      </c>
    </row>
    <row r="1144" spans="28:45" x14ac:dyDescent="0.25">
      <c r="AB1144" s="89"/>
      <c r="AD1144" s="33" t="s">
        <v>2394</v>
      </c>
      <c r="AE1144" s="10" t="s">
        <v>383</v>
      </c>
      <c r="AF1144" s="20" t="s">
        <v>1303</v>
      </c>
      <c r="AG1144" s="10"/>
      <c r="AH1144" s="22" t="str">
        <f t="shared" si="34"/>
        <v xml:space="preserve">Junín_09 Chupaca </v>
      </c>
      <c r="AI1144" s="10" t="s">
        <v>1294</v>
      </c>
      <c r="AJ1144" s="20" t="s">
        <v>1416</v>
      </c>
      <c r="AK1144" s="22" t="str">
        <f t="shared" si="35"/>
        <v>Junín_09 Chupaca _01 Chupaca</v>
      </c>
      <c r="AL1144" s="25">
        <v>0</v>
      </c>
      <c r="AM1144" s="25">
        <v>40</v>
      </c>
      <c r="AN1144" s="26">
        <f>Tabla2[[#This Row],[Minutos]]/60</f>
        <v>0.66666666666666663</v>
      </c>
      <c r="AO1144" s="27">
        <f>SUM(Tabla2[[#This Row],[Horas]],Tabla2[[#This Row],[Minutos a Horas]])</f>
        <v>0.66666666666666663</v>
      </c>
      <c r="AP1144" s="85">
        <v>0</v>
      </c>
      <c r="AQ1144" s="85">
        <v>34</v>
      </c>
      <c r="AR1144" s="26">
        <f>Tabla2[[#This Row],[Minutos*]]/60</f>
        <v>0.56666666666666665</v>
      </c>
      <c r="AS1144" s="27">
        <f>SUM(Tabla2[[#This Row],[Horas*]],Tabla2[[#This Row],[Minutos a Horas*]])+(Tabla2[[#This Row],[Tiempo Total a Nivel Proncincial (Horas)]])</f>
        <v>1.2333333333333334</v>
      </c>
    </row>
    <row r="1145" spans="28:45" x14ac:dyDescent="0.25">
      <c r="AB1145" s="89"/>
      <c r="AD1145" s="33" t="s">
        <v>2394</v>
      </c>
      <c r="AE1145" s="10" t="s">
        <v>383</v>
      </c>
      <c r="AF1145" s="20" t="s">
        <v>1303</v>
      </c>
      <c r="AG1145" s="10"/>
      <c r="AH1145" s="22" t="str">
        <f t="shared" si="34"/>
        <v xml:space="preserve">Junín_09 Chupaca </v>
      </c>
      <c r="AI1145" s="10" t="s">
        <v>1294</v>
      </c>
      <c r="AJ1145" s="20" t="s">
        <v>1417</v>
      </c>
      <c r="AK1145" s="22" t="str">
        <f t="shared" si="35"/>
        <v>Junín_09 Chupaca _02 Ahuac</v>
      </c>
      <c r="AL1145" s="25">
        <v>0</v>
      </c>
      <c r="AM1145" s="25">
        <v>40</v>
      </c>
      <c r="AN1145" s="26">
        <f>Tabla2[[#This Row],[Minutos]]/60</f>
        <v>0.66666666666666663</v>
      </c>
      <c r="AO1145" s="27">
        <f>SUM(Tabla2[[#This Row],[Horas]],Tabla2[[#This Row],[Minutos a Horas]])</f>
        <v>0.66666666666666663</v>
      </c>
      <c r="AP1145" s="85">
        <v>0</v>
      </c>
      <c r="AQ1145" s="85">
        <v>50</v>
      </c>
      <c r="AR1145" s="26">
        <f>Tabla2[[#This Row],[Minutos*]]/60</f>
        <v>0.83333333333333337</v>
      </c>
      <c r="AS1145" s="27">
        <f>SUM(Tabla2[[#This Row],[Horas*]],Tabla2[[#This Row],[Minutos a Horas*]])+(Tabla2[[#This Row],[Tiempo Total a Nivel Proncincial (Horas)]])</f>
        <v>1.5</v>
      </c>
    </row>
    <row r="1146" spans="28:45" x14ac:dyDescent="0.25">
      <c r="AB1146" s="89"/>
      <c r="AD1146" s="33" t="s">
        <v>2394</v>
      </c>
      <c r="AE1146" s="10" t="s">
        <v>383</v>
      </c>
      <c r="AF1146" s="20" t="s">
        <v>1303</v>
      </c>
      <c r="AG1146" s="10"/>
      <c r="AH1146" s="22" t="str">
        <f t="shared" si="34"/>
        <v xml:space="preserve">Junín_09 Chupaca </v>
      </c>
      <c r="AI1146" s="10" t="s">
        <v>1294</v>
      </c>
      <c r="AJ1146" s="20" t="s">
        <v>1418</v>
      </c>
      <c r="AK1146" s="22" t="str">
        <f t="shared" si="35"/>
        <v>Junín_09 Chupaca _03 Chongos Bajo</v>
      </c>
      <c r="AL1146" s="25">
        <v>0</v>
      </c>
      <c r="AM1146" s="25">
        <v>40</v>
      </c>
      <c r="AN1146" s="26">
        <f>Tabla2[[#This Row],[Minutos]]/60</f>
        <v>0.66666666666666663</v>
      </c>
      <c r="AO1146" s="27">
        <f>SUM(Tabla2[[#This Row],[Horas]],Tabla2[[#This Row],[Minutos a Horas]])</f>
        <v>0.66666666666666663</v>
      </c>
      <c r="AP1146" s="85">
        <v>0</v>
      </c>
      <c r="AQ1146" s="85">
        <v>50</v>
      </c>
      <c r="AR1146" s="26">
        <f>Tabla2[[#This Row],[Minutos*]]/60</f>
        <v>0.83333333333333337</v>
      </c>
      <c r="AS1146" s="27">
        <f>SUM(Tabla2[[#This Row],[Horas*]],Tabla2[[#This Row],[Minutos a Horas*]])+(Tabla2[[#This Row],[Tiempo Total a Nivel Proncincial (Horas)]])</f>
        <v>1.5</v>
      </c>
    </row>
    <row r="1147" spans="28:45" x14ac:dyDescent="0.25">
      <c r="AB1147" s="89"/>
      <c r="AD1147" s="33" t="s">
        <v>2394</v>
      </c>
      <c r="AE1147" s="10" t="s">
        <v>383</v>
      </c>
      <c r="AF1147" s="20" t="s">
        <v>1303</v>
      </c>
      <c r="AG1147" s="10"/>
      <c r="AH1147" s="22" t="str">
        <f t="shared" si="34"/>
        <v xml:space="preserve">Junín_09 Chupaca </v>
      </c>
      <c r="AI1147" s="10" t="s">
        <v>1294</v>
      </c>
      <c r="AJ1147" s="20" t="s">
        <v>1419</v>
      </c>
      <c r="AK1147" s="22" t="str">
        <f t="shared" si="35"/>
        <v>Junín_09 Chupaca _04 Huachac</v>
      </c>
      <c r="AL1147" s="25">
        <v>0</v>
      </c>
      <c r="AM1147" s="25">
        <v>40</v>
      </c>
      <c r="AN1147" s="26">
        <f>Tabla2[[#This Row],[Minutos]]/60</f>
        <v>0.66666666666666663</v>
      </c>
      <c r="AO1147" s="27">
        <f>SUM(Tabla2[[#This Row],[Horas]],Tabla2[[#This Row],[Minutos a Horas]])</f>
        <v>0.66666666666666663</v>
      </c>
      <c r="AP1147" s="85">
        <v>0</v>
      </c>
      <c r="AQ1147" s="85">
        <v>50</v>
      </c>
      <c r="AR1147" s="26">
        <f>Tabla2[[#This Row],[Minutos*]]/60</f>
        <v>0.83333333333333337</v>
      </c>
      <c r="AS1147" s="27">
        <f>SUM(Tabla2[[#This Row],[Horas*]],Tabla2[[#This Row],[Minutos a Horas*]])+(Tabla2[[#This Row],[Tiempo Total a Nivel Proncincial (Horas)]])</f>
        <v>1.5</v>
      </c>
    </row>
    <row r="1148" spans="28:45" x14ac:dyDescent="0.25">
      <c r="AB1148" s="89"/>
      <c r="AD1148" s="33" t="s">
        <v>2394</v>
      </c>
      <c r="AE1148" s="10" t="s">
        <v>383</v>
      </c>
      <c r="AF1148" s="20" t="s">
        <v>1303</v>
      </c>
      <c r="AG1148" s="10"/>
      <c r="AH1148" s="22" t="str">
        <f t="shared" si="34"/>
        <v xml:space="preserve">Junín_09 Chupaca </v>
      </c>
      <c r="AI1148" s="10" t="s">
        <v>1294</v>
      </c>
      <c r="AJ1148" s="20" t="s">
        <v>1420</v>
      </c>
      <c r="AK1148" s="22" t="str">
        <f t="shared" si="35"/>
        <v>Junín_09 Chupaca _05 Huamancaca Chico</v>
      </c>
      <c r="AL1148" s="25">
        <v>0</v>
      </c>
      <c r="AM1148" s="25">
        <v>40</v>
      </c>
      <c r="AN1148" s="26">
        <f>Tabla2[[#This Row],[Minutos]]/60</f>
        <v>0.66666666666666663</v>
      </c>
      <c r="AO1148" s="27">
        <f>SUM(Tabla2[[#This Row],[Horas]],Tabla2[[#This Row],[Minutos a Horas]])</f>
        <v>0.66666666666666663</v>
      </c>
      <c r="AP1148" s="85">
        <v>0</v>
      </c>
      <c r="AQ1148" s="85">
        <v>30</v>
      </c>
      <c r="AR1148" s="26">
        <f>Tabla2[[#This Row],[Minutos*]]/60</f>
        <v>0.5</v>
      </c>
      <c r="AS1148" s="27">
        <f>SUM(Tabla2[[#This Row],[Horas*]],Tabla2[[#This Row],[Minutos a Horas*]])+(Tabla2[[#This Row],[Tiempo Total a Nivel Proncincial (Horas)]])</f>
        <v>1.1666666666666665</v>
      </c>
    </row>
    <row r="1149" spans="28:45" x14ac:dyDescent="0.25">
      <c r="AB1149" s="89"/>
      <c r="AD1149" s="33" t="s">
        <v>2394</v>
      </c>
      <c r="AE1149" s="10" t="s">
        <v>383</v>
      </c>
      <c r="AF1149" s="20" t="s">
        <v>1303</v>
      </c>
      <c r="AG1149" s="10"/>
      <c r="AH1149" s="22" t="str">
        <f t="shared" si="34"/>
        <v xml:space="preserve">Junín_09 Chupaca </v>
      </c>
      <c r="AI1149" s="10" t="s">
        <v>1294</v>
      </c>
      <c r="AJ1149" s="20" t="s">
        <v>1421</v>
      </c>
      <c r="AK1149" s="22" t="str">
        <f t="shared" si="35"/>
        <v>Junín_09 Chupaca _06 San Juan de Iscos</v>
      </c>
      <c r="AL1149" s="25">
        <v>0</v>
      </c>
      <c r="AM1149" s="25">
        <v>40</v>
      </c>
      <c r="AN1149" s="26">
        <f>Tabla2[[#This Row],[Minutos]]/60</f>
        <v>0.66666666666666663</v>
      </c>
      <c r="AO1149" s="27">
        <f>SUM(Tabla2[[#This Row],[Horas]],Tabla2[[#This Row],[Minutos a Horas]])</f>
        <v>0.66666666666666663</v>
      </c>
      <c r="AP1149" s="85">
        <v>0</v>
      </c>
      <c r="AQ1149" s="85">
        <v>50</v>
      </c>
      <c r="AR1149" s="26">
        <f>Tabla2[[#This Row],[Minutos*]]/60</f>
        <v>0.83333333333333337</v>
      </c>
      <c r="AS1149" s="27">
        <f>SUM(Tabla2[[#This Row],[Horas*]],Tabla2[[#This Row],[Minutos a Horas*]])+(Tabla2[[#This Row],[Tiempo Total a Nivel Proncincial (Horas)]])</f>
        <v>1.5</v>
      </c>
    </row>
    <row r="1150" spans="28:45" x14ac:dyDescent="0.25">
      <c r="AB1150" s="89"/>
      <c r="AD1150" s="33" t="s">
        <v>2394</v>
      </c>
      <c r="AE1150" s="10" t="s">
        <v>383</v>
      </c>
      <c r="AF1150" s="20" t="s">
        <v>1303</v>
      </c>
      <c r="AG1150" s="10"/>
      <c r="AH1150" s="22" t="str">
        <f t="shared" si="34"/>
        <v xml:space="preserve">Junín_09 Chupaca </v>
      </c>
      <c r="AI1150" s="10" t="s">
        <v>1294</v>
      </c>
      <c r="AJ1150" s="20" t="s">
        <v>1422</v>
      </c>
      <c r="AK1150" s="22" t="str">
        <f t="shared" si="35"/>
        <v>Junín_09 Chupaca _07 San Juan de Jarpa</v>
      </c>
      <c r="AL1150" s="25">
        <v>0</v>
      </c>
      <c r="AM1150" s="25">
        <v>40</v>
      </c>
      <c r="AN1150" s="26">
        <f>Tabla2[[#This Row],[Minutos]]/60</f>
        <v>0.66666666666666663</v>
      </c>
      <c r="AO1150" s="27">
        <f>SUM(Tabla2[[#This Row],[Horas]],Tabla2[[#This Row],[Minutos a Horas]])</f>
        <v>0.66666666666666663</v>
      </c>
      <c r="AP1150" s="85">
        <v>1</v>
      </c>
      <c r="AQ1150" s="85">
        <v>20</v>
      </c>
      <c r="AR1150" s="26">
        <f>Tabla2[[#This Row],[Minutos*]]/60</f>
        <v>0.33333333333333331</v>
      </c>
      <c r="AS1150" s="27">
        <f>SUM(Tabla2[[#This Row],[Horas*]],Tabla2[[#This Row],[Minutos a Horas*]])+(Tabla2[[#This Row],[Tiempo Total a Nivel Proncincial (Horas)]])</f>
        <v>2</v>
      </c>
    </row>
    <row r="1151" spans="28:45" x14ac:dyDescent="0.25">
      <c r="AB1151" s="89"/>
      <c r="AD1151" s="33" t="s">
        <v>2394</v>
      </c>
      <c r="AE1151" s="10" t="s">
        <v>383</v>
      </c>
      <c r="AF1151" s="20" t="s">
        <v>1303</v>
      </c>
      <c r="AG1151" s="10"/>
      <c r="AH1151" s="22" t="str">
        <f t="shared" si="34"/>
        <v xml:space="preserve">Junín_09 Chupaca </v>
      </c>
      <c r="AI1151" s="10" t="s">
        <v>1294</v>
      </c>
      <c r="AJ1151" s="20" t="s">
        <v>1423</v>
      </c>
      <c r="AK1151" s="22" t="str">
        <f t="shared" si="35"/>
        <v>Junín_09 Chupaca _08 Tres de Diciembre</v>
      </c>
      <c r="AL1151" s="25">
        <v>0</v>
      </c>
      <c r="AM1151" s="25">
        <v>40</v>
      </c>
      <c r="AN1151" s="26">
        <f>Tabla2[[#This Row],[Minutos]]/60</f>
        <v>0.66666666666666663</v>
      </c>
      <c r="AO1151" s="27">
        <f>SUM(Tabla2[[#This Row],[Horas]],Tabla2[[#This Row],[Minutos a Horas]])</f>
        <v>0.66666666666666663</v>
      </c>
      <c r="AP1151" s="85">
        <v>0</v>
      </c>
      <c r="AQ1151" s="85">
        <v>40</v>
      </c>
      <c r="AR1151" s="26">
        <f>Tabla2[[#This Row],[Minutos*]]/60</f>
        <v>0.66666666666666663</v>
      </c>
      <c r="AS1151" s="27">
        <f>SUM(Tabla2[[#This Row],[Horas*]],Tabla2[[#This Row],[Minutos a Horas*]])+(Tabla2[[#This Row],[Tiempo Total a Nivel Proncincial (Horas)]])</f>
        <v>1.3333333333333333</v>
      </c>
    </row>
    <row r="1152" spans="28:45" x14ac:dyDescent="0.25">
      <c r="AB1152" s="89"/>
      <c r="AD1152" s="33" t="s">
        <v>2394</v>
      </c>
      <c r="AE1152" s="10" t="s">
        <v>383</v>
      </c>
      <c r="AF1152" s="20" t="s">
        <v>1303</v>
      </c>
      <c r="AG1152" s="10"/>
      <c r="AH1152" s="22" t="str">
        <f t="shared" si="34"/>
        <v xml:space="preserve">Junín_09 Chupaca </v>
      </c>
      <c r="AI1152" s="10" t="s">
        <v>1294</v>
      </c>
      <c r="AJ1152" s="20" t="s">
        <v>1424</v>
      </c>
      <c r="AK1152" s="22" t="str">
        <f t="shared" si="35"/>
        <v>Junín_09 Chupaca _09 Yanacancha</v>
      </c>
      <c r="AL1152" s="25">
        <v>0</v>
      </c>
      <c r="AM1152" s="25">
        <v>40</v>
      </c>
      <c r="AN1152" s="26">
        <f>Tabla2[[#This Row],[Minutos]]/60</f>
        <v>0.66666666666666663</v>
      </c>
      <c r="AO1152" s="27">
        <f>SUM(Tabla2[[#This Row],[Horas]],Tabla2[[#This Row],[Minutos a Horas]])</f>
        <v>0.66666666666666663</v>
      </c>
      <c r="AP1152" s="85">
        <v>1</v>
      </c>
      <c r="AQ1152" s="85">
        <v>50</v>
      </c>
      <c r="AR1152" s="26">
        <f>Tabla2[[#This Row],[Minutos*]]/60</f>
        <v>0.83333333333333337</v>
      </c>
      <c r="AS1152" s="27">
        <f>SUM(Tabla2[[#This Row],[Horas*]],Tabla2[[#This Row],[Minutos a Horas*]])+(Tabla2[[#This Row],[Tiempo Total a Nivel Proncincial (Horas)]])</f>
        <v>2.5</v>
      </c>
    </row>
    <row r="1153" spans="28:45" x14ac:dyDescent="0.25">
      <c r="AB1153" s="89"/>
      <c r="AD1153" s="32" t="s">
        <v>2396</v>
      </c>
      <c r="AE1153" s="10" t="s">
        <v>384</v>
      </c>
      <c r="AF1153" s="20" t="s">
        <v>1425</v>
      </c>
      <c r="AG1153" s="10" t="s">
        <v>1425</v>
      </c>
      <c r="AH1153" s="22" t="str">
        <f t="shared" si="34"/>
        <v xml:space="preserve">La_Libertad_01 Trujillo </v>
      </c>
      <c r="AI1153" s="10" t="s">
        <v>1519</v>
      </c>
      <c r="AJ1153" s="20" t="s">
        <v>1437</v>
      </c>
      <c r="AK1153" s="22" t="str">
        <f t="shared" si="35"/>
        <v>La_Libertad_01 Trujillo _01 Trujillo</v>
      </c>
      <c r="AL1153" s="25">
        <v>0</v>
      </c>
      <c r="AM1153" s="25">
        <v>49</v>
      </c>
      <c r="AN1153" s="26">
        <f>Tabla2[[#This Row],[Minutos]]/60</f>
        <v>0.81666666666666665</v>
      </c>
      <c r="AO1153" s="27">
        <f>SUM(Tabla2[[#This Row],[Horas]],Tabla2[[#This Row],[Minutos a Horas]])</f>
        <v>0.81666666666666665</v>
      </c>
      <c r="AP1153" s="49">
        <v>0</v>
      </c>
      <c r="AQ1153" s="49">
        <v>0</v>
      </c>
      <c r="AR1153" s="26">
        <f>Tabla2[[#This Row],[Minutos*]]/60</f>
        <v>0</v>
      </c>
      <c r="AS1153" s="27">
        <f>SUM(Tabla2[[#This Row],[Horas*]],Tabla2[[#This Row],[Minutos a Horas*]])+(Tabla2[[#This Row],[Tiempo Total a Nivel Proncincial (Horas)]])</f>
        <v>0.81666666666666665</v>
      </c>
    </row>
    <row r="1154" spans="28:45" x14ac:dyDescent="0.25">
      <c r="AB1154" s="89"/>
      <c r="AD1154" s="32" t="s">
        <v>2396</v>
      </c>
      <c r="AE1154" s="10" t="s">
        <v>384</v>
      </c>
      <c r="AF1154" s="20" t="s">
        <v>1425</v>
      </c>
      <c r="AG1154" s="10" t="s">
        <v>1426</v>
      </c>
      <c r="AH1154" s="22" t="str">
        <f t="shared" si="34"/>
        <v xml:space="preserve">La_Libertad_01 Trujillo </v>
      </c>
      <c r="AI1154" s="10" t="s">
        <v>1519</v>
      </c>
      <c r="AJ1154" s="20" t="s">
        <v>1438</v>
      </c>
      <c r="AK1154" s="22" t="str">
        <f t="shared" si="35"/>
        <v>La_Libertad_01 Trujillo _02 El Porvenir</v>
      </c>
      <c r="AL1154" s="25">
        <v>0</v>
      </c>
      <c r="AM1154" s="25">
        <v>49</v>
      </c>
      <c r="AN1154" s="26">
        <f>Tabla2[[#This Row],[Minutos]]/60</f>
        <v>0.81666666666666665</v>
      </c>
      <c r="AO1154" s="27">
        <f>SUM(Tabla2[[#This Row],[Horas]],Tabla2[[#This Row],[Minutos a Horas]])</f>
        <v>0.81666666666666665</v>
      </c>
      <c r="AP1154" s="49">
        <v>0</v>
      </c>
      <c r="AQ1154" s="49">
        <v>20</v>
      </c>
      <c r="AR1154" s="26">
        <f>Tabla2[[#This Row],[Minutos*]]/60</f>
        <v>0.33333333333333331</v>
      </c>
      <c r="AS1154" s="27">
        <f>SUM(Tabla2[[#This Row],[Horas*]],Tabla2[[#This Row],[Minutos a Horas*]])+(Tabla2[[#This Row],[Tiempo Total a Nivel Proncincial (Horas)]])</f>
        <v>1.1499999999999999</v>
      </c>
    </row>
    <row r="1155" spans="28:45" x14ac:dyDescent="0.25">
      <c r="AB1155" s="89"/>
      <c r="AD1155" s="32" t="s">
        <v>2396</v>
      </c>
      <c r="AE1155" s="10" t="s">
        <v>384</v>
      </c>
      <c r="AF1155" s="20" t="s">
        <v>1425</v>
      </c>
      <c r="AG1155" s="10" t="s">
        <v>1427</v>
      </c>
      <c r="AH1155" s="22" t="str">
        <f t="shared" si="34"/>
        <v xml:space="preserve">La_Libertad_01 Trujillo </v>
      </c>
      <c r="AI1155" s="10" t="s">
        <v>1519</v>
      </c>
      <c r="AJ1155" s="20" t="s">
        <v>1439</v>
      </c>
      <c r="AK1155" s="22" t="str">
        <f t="shared" si="35"/>
        <v>La_Libertad_01 Trujillo _03 Florencia de Mora</v>
      </c>
      <c r="AL1155" s="25">
        <v>0</v>
      </c>
      <c r="AM1155" s="25">
        <v>49</v>
      </c>
      <c r="AN1155" s="26">
        <f>Tabla2[[#This Row],[Minutos]]/60</f>
        <v>0.81666666666666665</v>
      </c>
      <c r="AO1155" s="27">
        <f>SUM(Tabla2[[#This Row],[Horas]],Tabla2[[#This Row],[Minutos a Horas]])</f>
        <v>0.81666666666666665</v>
      </c>
      <c r="AP1155" s="49">
        <v>0</v>
      </c>
      <c r="AQ1155" s="49">
        <v>15</v>
      </c>
      <c r="AR1155" s="26">
        <f>Tabla2[[#This Row],[Minutos*]]/60</f>
        <v>0.25</v>
      </c>
      <c r="AS1155" s="27">
        <f>SUM(Tabla2[[#This Row],[Horas*]],Tabla2[[#This Row],[Minutos a Horas*]])+(Tabla2[[#This Row],[Tiempo Total a Nivel Proncincial (Horas)]])</f>
        <v>1.0666666666666667</v>
      </c>
    </row>
    <row r="1156" spans="28:45" x14ac:dyDescent="0.25">
      <c r="AB1156" s="89"/>
      <c r="AD1156" s="32" t="s">
        <v>2396</v>
      </c>
      <c r="AE1156" s="10" t="s">
        <v>384</v>
      </c>
      <c r="AF1156" s="20" t="s">
        <v>1425</v>
      </c>
      <c r="AG1156" s="10" t="s">
        <v>1428</v>
      </c>
      <c r="AH1156" s="22" t="str">
        <f t="shared" si="34"/>
        <v xml:space="preserve">La_Libertad_01 Trujillo </v>
      </c>
      <c r="AI1156" s="10" t="s">
        <v>1519</v>
      </c>
      <c r="AJ1156" s="20" t="s">
        <v>1440</v>
      </c>
      <c r="AK1156" s="22" t="str">
        <f t="shared" si="35"/>
        <v>La_Libertad_01 Trujillo _04 Huanchaco</v>
      </c>
      <c r="AL1156" s="25">
        <v>0</v>
      </c>
      <c r="AM1156" s="25">
        <v>49</v>
      </c>
      <c r="AN1156" s="26">
        <f>Tabla2[[#This Row],[Minutos]]/60</f>
        <v>0.81666666666666665</v>
      </c>
      <c r="AO1156" s="27">
        <f>SUM(Tabla2[[#This Row],[Horas]],Tabla2[[#This Row],[Minutos a Horas]])</f>
        <v>0.81666666666666665</v>
      </c>
      <c r="AP1156" s="49">
        <v>0</v>
      </c>
      <c r="AQ1156" s="49">
        <v>25</v>
      </c>
      <c r="AR1156" s="26">
        <f>Tabla2[[#This Row],[Minutos*]]/60</f>
        <v>0.41666666666666669</v>
      </c>
      <c r="AS1156" s="27">
        <f>SUM(Tabla2[[#This Row],[Horas*]],Tabla2[[#This Row],[Minutos a Horas*]])+(Tabla2[[#This Row],[Tiempo Total a Nivel Proncincial (Horas)]])</f>
        <v>1.2333333333333334</v>
      </c>
    </row>
    <row r="1157" spans="28:45" x14ac:dyDescent="0.25">
      <c r="AB1157" s="89"/>
      <c r="AD1157" s="32" t="s">
        <v>2396</v>
      </c>
      <c r="AE1157" s="10" t="s">
        <v>384</v>
      </c>
      <c r="AF1157" s="20" t="s">
        <v>1425</v>
      </c>
      <c r="AG1157" s="10" t="s">
        <v>1429</v>
      </c>
      <c r="AH1157" s="22" t="str">
        <f t="shared" si="34"/>
        <v xml:space="preserve">La_Libertad_01 Trujillo </v>
      </c>
      <c r="AI1157" s="10" t="s">
        <v>1519</v>
      </c>
      <c r="AJ1157" s="20" t="s">
        <v>878</v>
      </c>
      <c r="AK1157" s="22" t="str">
        <f t="shared" si="35"/>
        <v>La_Libertad_01 Trujillo _05 La Esperanza</v>
      </c>
      <c r="AL1157" s="25">
        <v>0</v>
      </c>
      <c r="AM1157" s="25">
        <v>49</v>
      </c>
      <c r="AN1157" s="26">
        <f>Tabla2[[#This Row],[Minutos]]/60</f>
        <v>0.81666666666666665</v>
      </c>
      <c r="AO1157" s="27">
        <f>SUM(Tabla2[[#This Row],[Horas]],Tabla2[[#This Row],[Minutos a Horas]])</f>
        <v>0.81666666666666665</v>
      </c>
      <c r="AP1157" s="49">
        <v>0</v>
      </c>
      <c r="AQ1157" s="49">
        <v>20</v>
      </c>
      <c r="AR1157" s="26">
        <f>Tabla2[[#This Row],[Minutos*]]/60</f>
        <v>0.33333333333333331</v>
      </c>
      <c r="AS1157" s="27">
        <f>SUM(Tabla2[[#This Row],[Horas*]],Tabla2[[#This Row],[Minutos a Horas*]])+(Tabla2[[#This Row],[Tiempo Total a Nivel Proncincial (Horas)]])</f>
        <v>1.1499999999999999</v>
      </c>
    </row>
    <row r="1158" spans="28:45" x14ac:dyDescent="0.25">
      <c r="AB1158" s="89"/>
      <c r="AD1158" s="32" t="s">
        <v>2396</v>
      </c>
      <c r="AE1158" s="10" t="s">
        <v>384</v>
      </c>
      <c r="AF1158" s="20" t="s">
        <v>1425</v>
      </c>
      <c r="AG1158" s="10" t="s">
        <v>1430</v>
      </c>
      <c r="AH1158" s="22" t="str">
        <f t="shared" si="34"/>
        <v xml:space="preserve">La_Libertad_01 Trujillo </v>
      </c>
      <c r="AI1158" s="10" t="s">
        <v>1519</v>
      </c>
      <c r="AJ1158" s="20" t="s">
        <v>1441</v>
      </c>
      <c r="AK1158" s="22" t="str">
        <f t="shared" si="35"/>
        <v>La_Libertad_01 Trujillo _06 Laredo</v>
      </c>
      <c r="AL1158" s="25">
        <v>0</v>
      </c>
      <c r="AM1158" s="25">
        <v>49</v>
      </c>
      <c r="AN1158" s="26">
        <f>Tabla2[[#This Row],[Minutos]]/60</f>
        <v>0.81666666666666665</v>
      </c>
      <c r="AO1158" s="27">
        <f>SUM(Tabla2[[#This Row],[Horas]],Tabla2[[#This Row],[Minutos a Horas]])</f>
        <v>0.81666666666666665</v>
      </c>
      <c r="AP1158" s="49">
        <v>0</v>
      </c>
      <c r="AQ1158" s="49">
        <v>20</v>
      </c>
      <c r="AR1158" s="26">
        <f>Tabla2[[#This Row],[Minutos*]]/60</f>
        <v>0.33333333333333331</v>
      </c>
      <c r="AS1158" s="27">
        <f>SUM(Tabla2[[#This Row],[Horas*]],Tabla2[[#This Row],[Minutos a Horas*]])+(Tabla2[[#This Row],[Tiempo Total a Nivel Proncincial (Horas)]])</f>
        <v>1.1499999999999999</v>
      </c>
    </row>
    <row r="1159" spans="28:45" x14ac:dyDescent="0.25">
      <c r="AB1159" s="89"/>
      <c r="AD1159" s="32" t="s">
        <v>2396</v>
      </c>
      <c r="AE1159" s="10" t="s">
        <v>384</v>
      </c>
      <c r="AF1159" s="20" t="s">
        <v>1425</v>
      </c>
      <c r="AG1159" s="10" t="s">
        <v>1431</v>
      </c>
      <c r="AH1159" s="22" t="str">
        <f t="shared" si="34"/>
        <v xml:space="preserve">La_Libertad_01 Trujillo </v>
      </c>
      <c r="AI1159" s="10" t="s">
        <v>1519</v>
      </c>
      <c r="AJ1159" s="20" t="s">
        <v>1442</v>
      </c>
      <c r="AK1159" s="22" t="str">
        <f t="shared" si="35"/>
        <v>La_Libertad_01 Trujillo _07 Moche</v>
      </c>
      <c r="AL1159" s="25">
        <v>0</v>
      </c>
      <c r="AM1159" s="25">
        <v>49</v>
      </c>
      <c r="AN1159" s="26">
        <f>Tabla2[[#This Row],[Minutos]]/60</f>
        <v>0.81666666666666665</v>
      </c>
      <c r="AO1159" s="27">
        <f>SUM(Tabla2[[#This Row],[Horas]],Tabla2[[#This Row],[Minutos a Horas]])</f>
        <v>0.81666666666666665</v>
      </c>
      <c r="AP1159" s="49">
        <v>0</v>
      </c>
      <c r="AQ1159" s="49">
        <v>20</v>
      </c>
      <c r="AR1159" s="26">
        <f>Tabla2[[#This Row],[Minutos*]]/60</f>
        <v>0.33333333333333331</v>
      </c>
      <c r="AS1159" s="27">
        <f>SUM(Tabla2[[#This Row],[Horas*]],Tabla2[[#This Row],[Minutos a Horas*]])+(Tabla2[[#This Row],[Tiempo Total a Nivel Proncincial (Horas)]])</f>
        <v>1.1499999999999999</v>
      </c>
    </row>
    <row r="1160" spans="28:45" x14ac:dyDescent="0.25">
      <c r="AB1160" s="89"/>
      <c r="AD1160" s="32" t="s">
        <v>2396</v>
      </c>
      <c r="AE1160" s="10" t="s">
        <v>384</v>
      </c>
      <c r="AF1160" s="20" t="s">
        <v>1425</v>
      </c>
      <c r="AG1160" s="10" t="s">
        <v>1432</v>
      </c>
      <c r="AH1160" s="22" t="str">
        <f t="shared" ref="AH1160:AH1223" si="36">CONCATENATE(AD1160,"_",AF1160)</f>
        <v xml:space="preserve">La_Libertad_01 Trujillo </v>
      </c>
      <c r="AI1160" s="10" t="s">
        <v>1519</v>
      </c>
      <c r="AJ1160" s="20" t="s">
        <v>1443</v>
      </c>
      <c r="AK1160" s="22" t="str">
        <f t="shared" ref="AK1160:AK1223" si="37">CONCATENATE(AH1160,"_",AJ1160)</f>
        <v>La_Libertad_01 Trujillo _08 Poroto</v>
      </c>
      <c r="AL1160" s="25">
        <v>0</v>
      </c>
      <c r="AM1160" s="25">
        <v>49</v>
      </c>
      <c r="AN1160" s="26">
        <f>Tabla2[[#This Row],[Minutos]]/60</f>
        <v>0.81666666666666665</v>
      </c>
      <c r="AO1160" s="27">
        <f>SUM(Tabla2[[#This Row],[Horas]],Tabla2[[#This Row],[Minutos a Horas]])</f>
        <v>0.81666666666666665</v>
      </c>
      <c r="AP1160" s="49">
        <v>1</v>
      </c>
      <c r="AQ1160" s="49">
        <v>15</v>
      </c>
      <c r="AR1160" s="26">
        <f>Tabla2[[#This Row],[Minutos*]]/60</f>
        <v>0.25</v>
      </c>
      <c r="AS1160" s="27">
        <f>SUM(Tabla2[[#This Row],[Horas*]],Tabla2[[#This Row],[Minutos a Horas*]])+(Tabla2[[#This Row],[Tiempo Total a Nivel Proncincial (Horas)]])</f>
        <v>2.0666666666666664</v>
      </c>
    </row>
    <row r="1161" spans="28:45" x14ac:dyDescent="0.25">
      <c r="AB1161" s="89"/>
      <c r="AD1161" s="32" t="s">
        <v>2396</v>
      </c>
      <c r="AE1161" s="10" t="s">
        <v>384</v>
      </c>
      <c r="AF1161" s="20" t="s">
        <v>1425</v>
      </c>
      <c r="AG1161" s="10" t="s">
        <v>1433</v>
      </c>
      <c r="AH1161" s="22" t="str">
        <f t="shared" si="36"/>
        <v xml:space="preserve">La_Libertad_01 Trujillo </v>
      </c>
      <c r="AI1161" s="10" t="s">
        <v>1519</v>
      </c>
      <c r="AJ1161" s="20" t="s">
        <v>1444</v>
      </c>
      <c r="AK1161" s="22" t="str">
        <f t="shared" si="37"/>
        <v>La_Libertad_01 Trujillo _09 Salaverry</v>
      </c>
      <c r="AL1161" s="25">
        <v>0</v>
      </c>
      <c r="AM1161" s="25">
        <v>49</v>
      </c>
      <c r="AN1161" s="26">
        <f>Tabla2[[#This Row],[Minutos]]/60</f>
        <v>0.81666666666666665</v>
      </c>
      <c r="AO1161" s="27">
        <f>SUM(Tabla2[[#This Row],[Horas]],Tabla2[[#This Row],[Minutos a Horas]])</f>
        <v>0.81666666666666665</v>
      </c>
      <c r="AP1161" s="49">
        <v>0</v>
      </c>
      <c r="AQ1161" s="49">
        <v>25</v>
      </c>
      <c r="AR1161" s="26">
        <f>Tabla2[[#This Row],[Minutos*]]/60</f>
        <v>0.41666666666666669</v>
      </c>
      <c r="AS1161" s="27">
        <f>SUM(Tabla2[[#This Row],[Horas*]],Tabla2[[#This Row],[Minutos a Horas*]])+(Tabla2[[#This Row],[Tiempo Total a Nivel Proncincial (Horas)]])</f>
        <v>1.2333333333333334</v>
      </c>
    </row>
    <row r="1162" spans="28:45" x14ac:dyDescent="0.25">
      <c r="AB1162" s="89"/>
      <c r="AD1162" s="32" t="s">
        <v>2396</v>
      </c>
      <c r="AE1162" s="10" t="s">
        <v>384</v>
      </c>
      <c r="AF1162" s="20" t="s">
        <v>1425</v>
      </c>
      <c r="AG1162" s="10" t="s">
        <v>1434</v>
      </c>
      <c r="AH1162" s="22" t="str">
        <f t="shared" si="36"/>
        <v xml:space="preserve">La_Libertad_01 Trujillo </v>
      </c>
      <c r="AI1162" s="10" t="s">
        <v>1519</v>
      </c>
      <c r="AJ1162" s="20" t="s">
        <v>1445</v>
      </c>
      <c r="AK1162" s="22" t="str">
        <f t="shared" si="37"/>
        <v>La_Libertad_01 Trujillo _10 Simbal</v>
      </c>
      <c r="AL1162" s="25">
        <v>0</v>
      </c>
      <c r="AM1162" s="25">
        <v>49</v>
      </c>
      <c r="AN1162" s="26">
        <f>Tabla2[[#This Row],[Minutos]]/60</f>
        <v>0.81666666666666665</v>
      </c>
      <c r="AO1162" s="27">
        <f>SUM(Tabla2[[#This Row],[Horas]],Tabla2[[#This Row],[Minutos a Horas]])</f>
        <v>0.81666666666666665</v>
      </c>
      <c r="AP1162" s="49">
        <v>0</v>
      </c>
      <c r="AQ1162" s="49">
        <v>55</v>
      </c>
      <c r="AR1162" s="26">
        <f>Tabla2[[#This Row],[Minutos*]]/60</f>
        <v>0.91666666666666663</v>
      </c>
      <c r="AS1162" s="27">
        <f>SUM(Tabla2[[#This Row],[Horas*]],Tabla2[[#This Row],[Minutos a Horas*]])+(Tabla2[[#This Row],[Tiempo Total a Nivel Proncincial (Horas)]])</f>
        <v>1.7333333333333334</v>
      </c>
    </row>
    <row r="1163" spans="28:45" x14ac:dyDescent="0.25">
      <c r="AB1163" s="89"/>
      <c r="AD1163" s="32" t="s">
        <v>2396</v>
      </c>
      <c r="AE1163" s="10" t="s">
        <v>384</v>
      </c>
      <c r="AF1163" s="20" t="s">
        <v>1425</v>
      </c>
      <c r="AG1163" s="10" t="s">
        <v>1435</v>
      </c>
      <c r="AH1163" s="22" t="str">
        <f t="shared" si="36"/>
        <v xml:space="preserve">La_Libertad_01 Trujillo </v>
      </c>
      <c r="AI1163" s="10" t="s">
        <v>1519</v>
      </c>
      <c r="AJ1163" s="20" t="s">
        <v>1446</v>
      </c>
      <c r="AK1163" s="22" t="str">
        <f t="shared" si="37"/>
        <v>La_Libertad_01 Trujillo _11 Victor Larco Herrera</v>
      </c>
      <c r="AL1163" s="25">
        <v>0</v>
      </c>
      <c r="AM1163" s="25">
        <v>49</v>
      </c>
      <c r="AN1163" s="26">
        <f>Tabla2[[#This Row],[Minutos]]/60</f>
        <v>0.81666666666666665</v>
      </c>
      <c r="AO1163" s="27">
        <f>SUM(Tabla2[[#This Row],[Horas]],Tabla2[[#This Row],[Minutos a Horas]])</f>
        <v>0.81666666666666665</v>
      </c>
      <c r="AP1163" s="49">
        <v>0</v>
      </c>
      <c r="AQ1163" s="49">
        <v>15</v>
      </c>
      <c r="AR1163" s="26">
        <f>Tabla2[[#This Row],[Minutos*]]/60</f>
        <v>0.25</v>
      </c>
      <c r="AS1163" s="27">
        <f>SUM(Tabla2[[#This Row],[Horas*]],Tabla2[[#This Row],[Minutos a Horas*]])+(Tabla2[[#This Row],[Tiempo Total a Nivel Proncincial (Horas)]])</f>
        <v>1.0666666666666667</v>
      </c>
    </row>
    <row r="1164" spans="28:45" x14ac:dyDescent="0.25">
      <c r="AB1164" s="89"/>
      <c r="AD1164" s="32" t="s">
        <v>2396</v>
      </c>
      <c r="AE1164" s="10" t="s">
        <v>384</v>
      </c>
      <c r="AF1164" s="20" t="s">
        <v>1426</v>
      </c>
      <c r="AG1164" s="10" t="s">
        <v>1436</v>
      </c>
      <c r="AH1164" s="22" t="str">
        <f t="shared" si="36"/>
        <v xml:space="preserve">La_Libertad_02 Ascope </v>
      </c>
      <c r="AI1164" s="10" t="s">
        <v>1520</v>
      </c>
      <c r="AJ1164" s="20" t="s">
        <v>1447</v>
      </c>
      <c r="AK1164" s="22" t="str">
        <f t="shared" si="37"/>
        <v>La_Libertad_02 Ascope _01 Ascope</v>
      </c>
      <c r="AL1164" s="25">
        <v>1</v>
      </c>
      <c r="AM1164" s="25">
        <v>5</v>
      </c>
      <c r="AN1164" s="26">
        <f>Tabla2[[#This Row],[Minutos]]/60</f>
        <v>8.3333333333333329E-2</v>
      </c>
      <c r="AO1164" s="27">
        <f>SUM(Tabla2[[#This Row],[Horas]],Tabla2[[#This Row],[Minutos a Horas]])</f>
        <v>1.0833333333333333</v>
      </c>
      <c r="AP1164" s="49">
        <v>1</v>
      </c>
      <c r="AQ1164" s="49">
        <v>10</v>
      </c>
      <c r="AR1164" s="26">
        <f>Tabla2[[#This Row],[Minutos*]]/60</f>
        <v>0.16666666666666666</v>
      </c>
      <c r="AS1164" s="27">
        <f>SUM(Tabla2[[#This Row],[Horas*]],Tabla2[[#This Row],[Minutos a Horas*]])+(Tabla2[[#This Row],[Tiempo Total a Nivel Proncincial (Horas)]])</f>
        <v>2.25</v>
      </c>
    </row>
    <row r="1165" spans="28:45" x14ac:dyDescent="0.25">
      <c r="AB1165" s="89"/>
      <c r="AD1165" s="32" t="s">
        <v>2396</v>
      </c>
      <c r="AE1165" s="10" t="s">
        <v>384</v>
      </c>
      <c r="AF1165" s="20" t="s">
        <v>1426</v>
      </c>
      <c r="AG1165" s="10"/>
      <c r="AH1165" s="22" t="str">
        <f t="shared" si="36"/>
        <v xml:space="preserve">La_Libertad_02 Ascope </v>
      </c>
      <c r="AI1165" s="10" t="s">
        <v>1520</v>
      </c>
      <c r="AJ1165" s="20" t="s">
        <v>1448</v>
      </c>
      <c r="AK1165" s="22" t="str">
        <f t="shared" si="37"/>
        <v>La_Libertad_02 Ascope _02 Chicama</v>
      </c>
      <c r="AL1165" s="25">
        <v>1</v>
      </c>
      <c r="AM1165" s="25">
        <v>5</v>
      </c>
      <c r="AN1165" s="26">
        <f>Tabla2[[#This Row],[Minutos]]/60</f>
        <v>8.3333333333333329E-2</v>
      </c>
      <c r="AO1165" s="27">
        <f>SUM(Tabla2[[#This Row],[Horas]],Tabla2[[#This Row],[Minutos a Horas]])</f>
        <v>1.0833333333333333</v>
      </c>
      <c r="AP1165" s="49">
        <v>0</v>
      </c>
      <c r="AQ1165" s="49">
        <v>50</v>
      </c>
      <c r="AR1165" s="26">
        <f>Tabla2[[#This Row],[Minutos*]]/60</f>
        <v>0.83333333333333337</v>
      </c>
      <c r="AS1165" s="27">
        <f>SUM(Tabla2[[#This Row],[Horas*]],Tabla2[[#This Row],[Minutos a Horas*]])+(Tabla2[[#This Row],[Tiempo Total a Nivel Proncincial (Horas)]])</f>
        <v>1.9166666666666665</v>
      </c>
    </row>
    <row r="1166" spans="28:45" x14ac:dyDescent="0.25">
      <c r="AB1166" s="89"/>
      <c r="AD1166" s="32" t="s">
        <v>2396</v>
      </c>
      <c r="AE1166" s="10" t="s">
        <v>384</v>
      </c>
      <c r="AF1166" s="20" t="s">
        <v>1426</v>
      </c>
      <c r="AG1166" s="10"/>
      <c r="AH1166" s="22" t="str">
        <f t="shared" si="36"/>
        <v xml:space="preserve">La_Libertad_02 Ascope </v>
      </c>
      <c r="AI1166" s="10" t="s">
        <v>1520</v>
      </c>
      <c r="AJ1166" s="20" t="s">
        <v>1449</v>
      </c>
      <c r="AK1166" s="22" t="str">
        <f t="shared" si="37"/>
        <v>La_Libertad_02 Ascope _03 Chocope</v>
      </c>
      <c r="AL1166" s="25">
        <v>1</v>
      </c>
      <c r="AM1166" s="25">
        <v>5</v>
      </c>
      <c r="AN1166" s="26">
        <f>Tabla2[[#This Row],[Minutos]]/60</f>
        <v>8.3333333333333329E-2</v>
      </c>
      <c r="AO1166" s="27">
        <f>SUM(Tabla2[[#This Row],[Horas]],Tabla2[[#This Row],[Minutos a Horas]])</f>
        <v>1.0833333333333333</v>
      </c>
      <c r="AP1166" s="49">
        <v>0</v>
      </c>
      <c r="AQ1166" s="49">
        <v>55</v>
      </c>
      <c r="AR1166" s="26">
        <f>Tabla2[[#This Row],[Minutos*]]/60</f>
        <v>0.91666666666666663</v>
      </c>
      <c r="AS1166" s="27">
        <f>SUM(Tabla2[[#This Row],[Horas*]],Tabla2[[#This Row],[Minutos a Horas*]])+(Tabla2[[#This Row],[Tiempo Total a Nivel Proncincial (Horas)]])</f>
        <v>2</v>
      </c>
    </row>
    <row r="1167" spans="28:45" x14ac:dyDescent="0.25">
      <c r="AB1167" s="89"/>
      <c r="AD1167" s="32" t="s">
        <v>2396</v>
      </c>
      <c r="AE1167" s="10" t="s">
        <v>384</v>
      </c>
      <c r="AF1167" s="20" t="s">
        <v>1426</v>
      </c>
      <c r="AG1167" s="10"/>
      <c r="AH1167" s="22" t="str">
        <f t="shared" si="36"/>
        <v xml:space="preserve">La_Libertad_02 Ascope </v>
      </c>
      <c r="AI1167" s="10" t="s">
        <v>1520</v>
      </c>
      <c r="AJ1167" s="20" t="s">
        <v>1450</v>
      </c>
      <c r="AK1167" s="22" t="str">
        <f t="shared" si="37"/>
        <v>La_Libertad_02 Ascope _04 Magdalena de Cao</v>
      </c>
      <c r="AL1167" s="25">
        <v>1</v>
      </c>
      <c r="AM1167" s="25">
        <v>5</v>
      </c>
      <c r="AN1167" s="26">
        <f>Tabla2[[#This Row],[Minutos]]/60</f>
        <v>8.3333333333333329E-2</v>
      </c>
      <c r="AO1167" s="27">
        <f>SUM(Tabla2[[#This Row],[Horas]],Tabla2[[#This Row],[Minutos a Horas]])</f>
        <v>1.0833333333333333</v>
      </c>
      <c r="AP1167" s="49">
        <v>1</v>
      </c>
      <c r="AQ1167" s="49">
        <v>20</v>
      </c>
      <c r="AR1167" s="26">
        <f>Tabla2[[#This Row],[Minutos*]]/60</f>
        <v>0.33333333333333331</v>
      </c>
      <c r="AS1167" s="27">
        <f>SUM(Tabla2[[#This Row],[Horas*]],Tabla2[[#This Row],[Minutos a Horas*]])+(Tabla2[[#This Row],[Tiempo Total a Nivel Proncincial (Horas)]])</f>
        <v>2.4166666666666665</v>
      </c>
    </row>
    <row r="1168" spans="28:45" x14ac:dyDescent="0.25">
      <c r="AB1168" s="89"/>
      <c r="AD1168" s="32" t="s">
        <v>2396</v>
      </c>
      <c r="AE1168" s="10" t="s">
        <v>384</v>
      </c>
      <c r="AF1168" s="20" t="s">
        <v>1426</v>
      </c>
      <c r="AG1168" s="10"/>
      <c r="AH1168" s="22" t="str">
        <f t="shared" si="36"/>
        <v xml:space="preserve">La_Libertad_02 Ascope </v>
      </c>
      <c r="AI1168" s="10" t="s">
        <v>1520</v>
      </c>
      <c r="AJ1168" s="20" t="s">
        <v>1451</v>
      </c>
      <c r="AK1168" s="22" t="str">
        <f t="shared" si="37"/>
        <v>La_Libertad_02 Ascope _05 Paijan</v>
      </c>
      <c r="AL1168" s="25">
        <v>1</v>
      </c>
      <c r="AM1168" s="25">
        <v>5</v>
      </c>
      <c r="AN1168" s="26">
        <f>Tabla2[[#This Row],[Minutos]]/60</f>
        <v>8.3333333333333329E-2</v>
      </c>
      <c r="AO1168" s="27">
        <f>SUM(Tabla2[[#This Row],[Horas]],Tabla2[[#This Row],[Minutos a Horas]])</f>
        <v>1.0833333333333333</v>
      </c>
      <c r="AP1168" s="49">
        <v>1</v>
      </c>
      <c r="AQ1168" s="49">
        <v>15</v>
      </c>
      <c r="AR1168" s="26">
        <f>Tabla2[[#This Row],[Minutos*]]/60</f>
        <v>0.25</v>
      </c>
      <c r="AS1168" s="27">
        <f>SUM(Tabla2[[#This Row],[Horas*]],Tabla2[[#This Row],[Minutos a Horas*]])+(Tabla2[[#This Row],[Tiempo Total a Nivel Proncincial (Horas)]])</f>
        <v>2.333333333333333</v>
      </c>
    </row>
    <row r="1169" spans="28:45" x14ac:dyDescent="0.25">
      <c r="AB1169" s="89"/>
      <c r="AD1169" s="32" t="s">
        <v>2396</v>
      </c>
      <c r="AE1169" s="10" t="s">
        <v>384</v>
      </c>
      <c r="AF1169" s="20" t="s">
        <v>1426</v>
      </c>
      <c r="AG1169" s="10"/>
      <c r="AH1169" s="22" t="str">
        <f t="shared" si="36"/>
        <v xml:space="preserve">La_Libertad_02 Ascope </v>
      </c>
      <c r="AI1169" s="10" t="s">
        <v>1520</v>
      </c>
      <c r="AJ1169" s="20" t="s">
        <v>1452</v>
      </c>
      <c r="AK1169" s="22" t="str">
        <f t="shared" si="37"/>
        <v>La_Libertad_02 Ascope _06 Rázuri</v>
      </c>
      <c r="AL1169" s="25">
        <v>1</v>
      </c>
      <c r="AM1169" s="25">
        <v>5</v>
      </c>
      <c r="AN1169" s="26">
        <f>Tabla2[[#This Row],[Minutos]]/60</f>
        <v>8.3333333333333329E-2</v>
      </c>
      <c r="AO1169" s="27">
        <f>SUM(Tabla2[[#This Row],[Horas]],Tabla2[[#This Row],[Minutos a Horas]])</f>
        <v>1.0833333333333333</v>
      </c>
      <c r="AP1169" s="49">
        <v>1</v>
      </c>
      <c r="AQ1169" s="49">
        <v>40</v>
      </c>
      <c r="AR1169" s="26">
        <f>Tabla2[[#This Row],[Minutos*]]/60</f>
        <v>0.66666666666666663</v>
      </c>
      <c r="AS1169" s="27">
        <f>SUM(Tabla2[[#This Row],[Horas*]],Tabla2[[#This Row],[Minutos a Horas*]])+(Tabla2[[#This Row],[Tiempo Total a Nivel Proncincial (Horas)]])</f>
        <v>2.75</v>
      </c>
    </row>
    <row r="1170" spans="28:45" x14ac:dyDescent="0.25">
      <c r="AB1170" s="89"/>
      <c r="AD1170" s="32" t="s">
        <v>2396</v>
      </c>
      <c r="AE1170" s="10" t="s">
        <v>384</v>
      </c>
      <c r="AF1170" s="20" t="s">
        <v>1426</v>
      </c>
      <c r="AG1170" s="10"/>
      <c r="AH1170" s="22" t="str">
        <f t="shared" si="36"/>
        <v xml:space="preserve">La_Libertad_02 Ascope </v>
      </c>
      <c r="AI1170" s="10" t="s">
        <v>1520</v>
      </c>
      <c r="AJ1170" s="20" t="s">
        <v>1453</v>
      </c>
      <c r="AK1170" s="22" t="str">
        <f t="shared" si="37"/>
        <v>La_Libertad_02 Ascope _07 Santiago de Cao</v>
      </c>
      <c r="AL1170" s="25">
        <v>1</v>
      </c>
      <c r="AM1170" s="25">
        <v>5</v>
      </c>
      <c r="AN1170" s="26">
        <f>Tabla2[[#This Row],[Minutos]]/60</f>
        <v>8.3333333333333329E-2</v>
      </c>
      <c r="AO1170" s="27">
        <f>SUM(Tabla2[[#This Row],[Horas]],Tabla2[[#This Row],[Minutos a Horas]])</f>
        <v>1.0833333333333333</v>
      </c>
      <c r="AP1170" s="49">
        <v>1</v>
      </c>
      <c r="AQ1170" s="49">
        <v>30</v>
      </c>
      <c r="AR1170" s="26">
        <f>Tabla2[[#This Row],[Minutos*]]/60</f>
        <v>0.5</v>
      </c>
      <c r="AS1170" s="27">
        <f>SUM(Tabla2[[#This Row],[Horas*]],Tabla2[[#This Row],[Minutos a Horas*]])+(Tabla2[[#This Row],[Tiempo Total a Nivel Proncincial (Horas)]])</f>
        <v>2.583333333333333</v>
      </c>
    </row>
    <row r="1171" spans="28:45" x14ac:dyDescent="0.25">
      <c r="AB1171" s="89"/>
      <c r="AD1171" s="32" t="s">
        <v>2396</v>
      </c>
      <c r="AE1171" s="10" t="s">
        <v>384</v>
      </c>
      <c r="AF1171" s="20" t="s">
        <v>1426</v>
      </c>
      <c r="AG1171" s="10"/>
      <c r="AH1171" s="22" t="str">
        <f t="shared" si="36"/>
        <v xml:space="preserve">La_Libertad_02 Ascope </v>
      </c>
      <c r="AI1171" s="10" t="s">
        <v>1520</v>
      </c>
      <c r="AJ1171" s="20" t="s">
        <v>1454</v>
      </c>
      <c r="AK1171" s="22" t="str">
        <f t="shared" si="37"/>
        <v>La_Libertad_02 Ascope _08 Casa Grande</v>
      </c>
      <c r="AL1171" s="25">
        <v>1</v>
      </c>
      <c r="AM1171" s="25">
        <v>5</v>
      </c>
      <c r="AN1171" s="26">
        <f>Tabla2[[#This Row],[Minutos]]/60</f>
        <v>8.3333333333333329E-2</v>
      </c>
      <c r="AO1171" s="27">
        <f>SUM(Tabla2[[#This Row],[Horas]],Tabla2[[#This Row],[Minutos a Horas]])</f>
        <v>1.0833333333333333</v>
      </c>
      <c r="AP1171" s="49">
        <v>1</v>
      </c>
      <c r="AQ1171" s="49">
        <v>10</v>
      </c>
      <c r="AR1171" s="26">
        <f>Tabla2[[#This Row],[Minutos*]]/60</f>
        <v>0.16666666666666666</v>
      </c>
      <c r="AS1171" s="27">
        <f>SUM(Tabla2[[#This Row],[Horas*]],Tabla2[[#This Row],[Minutos a Horas*]])+(Tabla2[[#This Row],[Tiempo Total a Nivel Proncincial (Horas)]])</f>
        <v>2.25</v>
      </c>
    </row>
    <row r="1172" spans="28:45" x14ac:dyDescent="0.25">
      <c r="AB1172" s="89"/>
      <c r="AD1172" s="32" t="s">
        <v>2396</v>
      </c>
      <c r="AE1172" s="10" t="s">
        <v>384</v>
      </c>
      <c r="AF1172" s="20" t="s">
        <v>1427</v>
      </c>
      <c r="AG1172" s="10"/>
      <c r="AH1172" s="22" t="str">
        <f t="shared" si="36"/>
        <v xml:space="preserve">La_Libertad_03 Bolívar </v>
      </c>
      <c r="AI1172" s="10" t="s">
        <v>1521</v>
      </c>
      <c r="AJ1172" s="20" t="s">
        <v>1455</v>
      </c>
      <c r="AK1172" s="22" t="str">
        <f t="shared" si="37"/>
        <v>La_Libertad_03 Bolívar _01 Bolívar</v>
      </c>
      <c r="AL1172" s="25">
        <v>10</v>
      </c>
      <c r="AM1172" s="25">
        <v>56</v>
      </c>
      <c r="AN1172" s="26">
        <f>Tabla2[[#This Row],[Minutos]]/60</f>
        <v>0.93333333333333335</v>
      </c>
      <c r="AO1172" s="27">
        <f>SUM(Tabla2[[#This Row],[Horas]],Tabla2[[#This Row],[Minutos a Horas]])</f>
        <v>10.933333333333334</v>
      </c>
      <c r="AP1172" s="49">
        <v>15</v>
      </c>
      <c r="AQ1172" s="49">
        <v>0</v>
      </c>
      <c r="AR1172" s="26">
        <f>Tabla2[[#This Row],[Minutos*]]/60</f>
        <v>0</v>
      </c>
      <c r="AS1172" s="27">
        <f>SUM(Tabla2[[#This Row],[Horas*]],Tabla2[[#This Row],[Minutos a Horas*]])+(Tabla2[[#This Row],[Tiempo Total a Nivel Proncincial (Horas)]])</f>
        <v>25.933333333333334</v>
      </c>
    </row>
    <row r="1173" spans="28:45" x14ac:dyDescent="0.25">
      <c r="AB1173" s="89"/>
      <c r="AD1173" s="32" t="s">
        <v>2396</v>
      </c>
      <c r="AE1173" s="10" t="s">
        <v>384</v>
      </c>
      <c r="AF1173" s="20" t="s">
        <v>1427</v>
      </c>
      <c r="AG1173" s="10"/>
      <c r="AH1173" s="22" t="str">
        <f t="shared" si="36"/>
        <v xml:space="preserve">La_Libertad_03 Bolívar </v>
      </c>
      <c r="AI1173" s="10" t="s">
        <v>1521</v>
      </c>
      <c r="AJ1173" s="20" t="s">
        <v>1456</v>
      </c>
      <c r="AK1173" s="22" t="str">
        <f t="shared" si="37"/>
        <v>La_Libertad_03 Bolívar _02 Bambamarca</v>
      </c>
      <c r="AL1173" s="25">
        <v>10</v>
      </c>
      <c r="AM1173" s="25">
        <v>56</v>
      </c>
      <c r="AN1173" s="26">
        <f>Tabla2[[#This Row],[Minutos]]/60</f>
        <v>0.93333333333333335</v>
      </c>
      <c r="AO1173" s="27">
        <f>SUM(Tabla2[[#This Row],[Horas]],Tabla2[[#This Row],[Minutos a Horas]])</f>
        <v>10.933333333333334</v>
      </c>
      <c r="AP1173" s="49">
        <v>16</v>
      </c>
      <c r="AQ1173" s="49"/>
      <c r="AR1173" s="26">
        <f>Tabla2[[#This Row],[Minutos*]]/60</f>
        <v>0</v>
      </c>
      <c r="AS1173" s="27">
        <f>SUM(Tabla2[[#This Row],[Horas*]],Tabla2[[#This Row],[Minutos a Horas*]])+(Tabla2[[#This Row],[Tiempo Total a Nivel Proncincial (Horas)]])</f>
        <v>26.933333333333334</v>
      </c>
    </row>
    <row r="1174" spans="28:45" x14ac:dyDescent="0.25">
      <c r="AB1174" s="89"/>
      <c r="AD1174" s="32" t="s">
        <v>2396</v>
      </c>
      <c r="AE1174" s="10" t="s">
        <v>384</v>
      </c>
      <c r="AF1174" s="20" t="s">
        <v>1427</v>
      </c>
      <c r="AG1174" s="10"/>
      <c r="AH1174" s="22" t="str">
        <f t="shared" si="36"/>
        <v xml:space="preserve">La_Libertad_03 Bolívar </v>
      </c>
      <c r="AI1174" s="10" t="s">
        <v>1521</v>
      </c>
      <c r="AJ1174" s="20" t="s">
        <v>1457</v>
      </c>
      <c r="AK1174" s="22" t="str">
        <f t="shared" si="37"/>
        <v>La_Libertad_03 Bolívar _03 Condormarca</v>
      </c>
      <c r="AL1174" s="25">
        <v>10</v>
      </c>
      <c r="AM1174" s="25">
        <v>56</v>
      </c>
      <c r="AN1174" s="26">
        <f>Tabla2[[#This Row],[Minutos]]/60</f>
        <v>0.93333333333333335</v>
      </c>
      <c r="AO1174" s="27">
        <f>SUM(Tabla2[[#This Row],[Horas]],Tabla2[[#This Row],[Minutos a Horas]])</f>
        <v>10.933333333333334</v>
      </c>
      <c r="AP1174" s="49">
        <v>16</v>
      </c>
      <c r="AQ1174" s="49"/>
      <c r="AR1174" s="26">
        <f>Tabla2[[#This Row],[Minutos*]]/60</f>
        <v>0</v>
      </c>
      <c r="AS1174" s="27">
        <f>SUM(Tabla2[[#This Row],[Horas*]],Tabla2[[#This Row],[Minutos a Horas*]])+(Tabla2[[#This Row],[Tiempo Total a Nivel Proncincial (Horas)]])</f>
        <v>26.933333333333334</v>
      </c>
    </row>
    <row r="1175" spans="28:45" x14ac:dyDescent="0.25">
      <c r="AB1175" s="89"/>
      <c r="AD1175" s="32" t="s">
        <v>2396</v>
      </c>
      <c r="AE1175" s="10" t="s">
        <v>384</v>
      </c>
      <c r="AF1175" s="20" t="s">
        <v>1427</v>
      </c>
      <c r="AG1175" s="10"/>
      <c r="AH1175" s="22" t="str">
        <f t="shared" si="36"/>
        <v xml:space="preserve">La_Libertad_03 Bolívar </v>
      </c>
      <c r="AI1175" s="10" t="s">
        <v>1521</v>
      </c>
      <c r="AJ1175" s="20" t="s">
        <v>1458</v>
      </c>
      <c r="AK1175" s="22" t="str">
        <f t="shared" si="37"/>
        <v>La_Libertad_03 Bolívar _04 Longotea</v>
      </c>
      <c r="AL1175" s="25">
        <v>10</v>
      </c>
      <c r="AM1175" s="25">
        <v>56</v>
      </c>
      <c r="AN1175" s="26">
        <f>Tabla2[[#This Row],[Minutos]]/60</f>
        <v>0.93333333333333335</v>
      </c>
      <c r="AO1175" s="27">
        <f>SUM(Tabla2[[#This Row],[Horas]],Tabla2[[#This Row],[Minutos a Horas]])</f>
        <v>10.933333333333334</v>
      </c>
      <c r="AP1175" s="49"/>
      <c r="AQ1175" s="49"/>
      <c r="AR1175" s="26">
        <f>Tabla2[[#This Row],[Minutos*]]/60</f>
        <v>0</v>
      </c>
      <c r="AS1175" s="27">
        <f>SUM(Tabla2[[#This Row],[Horas*]],Tabla2[[#This Row],[Minutos a Horas*]])+(Tabla2[[#This Row],[Tiempo Total a Nivel Proncincial (Horas)]])</f>
        <v>10.933333333333334</v>
      </c>
    </row>
    <row r="1176" spans="28:45" x14ac:dyDescent="0.25">
      <c r="AB1176" s="89"/>
      <c r="AD1176" s="32" t="s">
        <v>2396</v>
      </c>
      <c r="AE1176" s="10" t="s">
        <v>384</v>
      </c>
      <c r="AF1176" s="20" t="s">
        <v>1427</v>
      </c>
      <c r="AG1176" s="10"/>
      <c r="AH1176" s="22" t="str">
        <f t="shared" si="36"/>
        <v xml:space="preserve">La_Libertad_03 Bolívar </v>
      </c>
      <c r="AI1176" s="10" t="s">
        <v>1521</v>
      </c>
      <c r="AJ1176" s="20" t="s">
        <v>1459</v>
      </c>
      <c r="AK1176" s="22" t="str">
        <f t="shared" si="37"/>
        <v>La_Libertad_03 Bolívar _05 Uchumarca</v>
      </c>
      <c r="AL1176" s="25">
        <v>10</v>
      </c>
      <c r="AM1176" s="25">
        <v>56</v>
      </c>
      <c r="AN1176" s="26">
        <f>Tabla2[[#This Row],[Minutos]]/60</f>
        <v>0.93333333333333335</v>
      </c>
      <c r="AO1176" s="27">
        <f>SUM(Tabla2[[#This Row],[Horas]],Tabla2[[#This Row],[Minutos a Horas]])</f>
        <v>10.933333333333334</v>
      </c>
      <c r="AP1176" s="49">
        <v>14</v>
      </c>
      <c r="AQ1176" s="49">
        <v>0</v>
      </c>
      <c r="AR1176" s="26">
        <f>Tabla2[[#This Row],[Minutos*]]/60</f>
        <v>0</v>
      </c>
      <c r="AS1176" s="27">
        <f>SUM(Tabla2[[#This Row],[Horas*]],Tabla2[[#This Row],[Minutos a Horas*]])+(Tabla2[[#This Row],[Tiempo Total a Nivel Proncincial (Horas)]])</f>
        <v>24.933333333333334</v>
      </c>
    </row>
    <row r="1177" spans="28:45" x14ac:dyDescent="0.25">
      <c r="AB1177" s="89"/>
      <c r="AD1177" s="32" t="s">
        <v>2396</v>
      </c>
      <c r="AE1177" s="10" t="s">
        <v>384</v>
      </c>
      <c r="AF1177" s="20" t="s">
        <v>1427</v>
      </c>
      <c r="AG1177" s="10"/>
      <c r="AH1177" s="22" t="str">
        <f t="shared" si="36"/>
        <v xml:space="preserve">La_Libertad_03 Bolívar </v>
      </c>
      <c r="AI1177" s="10" t="s">
        <v>1521</v>
      </c>
      <c r="AJ1177" s="20" t="s">
        <v>1460</v>
      </c>
      <c r="AK1177" s="22" t="str">
        <f t="shared" si="37"/>
        <v>La_Libertad_03 Bolívar _06 Ucuncha</v>
      </c>
      <c r="AL1177" s="25">
        <v>10</v>
      </c>
      <c r="AM1177" s="25">
        <v>56</v>
      </c>
      <c r="AN1177" s="26">
        <f>Tabla2[[#This Row],[Minutos]]/60</f>
        <v>0.93333333333333335</v>
      </c>
      <c r="AO1177" s="27">
        <f>SUM(Tabla2[[#This Row],[Horas]],Tabla2[[#This Row],[Minutos a Horas]])</f>
        <v>10.933333333333334</v>
      </c>
      <c r="AP1177" s="49"/>
      <c r="AQ1177" s="49"/>
      <c r="AR1177" s="26">
        <f>Tabla2[[#This Row],[Minutos*]]/60</f>
        <v>0</v>
      </c>
      <c r="AS1177" s="27">
        <f>SUM(Tabla2[[#This Row],[Horas*]],Tabla2[[#This Row],[Minutos a Horas*]])+(Tabla2[[#This Row],[Tiempo Total a Nivel Proncincial (Horas)]])</f>
        <v>10.933333333333334</v>
      </c>
    </row>
    <row r="1178" spans="28:45" x14ac:dyDescent="0.25">
      <c r="AB1178" s="89"/>
      <c r="AD1178" s="32" t="s">
        <v>2396</v>
      </c>
      <c r="AE1178" s="10" t="s">
        <v>384</v>
      </c>
      <c r="AF1178" s="20" t="s">
        <v>1428</v>
      </c>
      <c r="AG1178" s="10"/>
      <c r="AH1178" s="22" t="str">
        <f t="shared" si="36"/>
        <v xml:space="preserve">La_Libertad_04 Chepén </v>
      </c>
      <c r="AI1178" s="10" t="s">
        <v>1522</v>
      </c>
      <c r="AJ1178" s="20" t="s">
        <v>1461</v>
      </c>
      <c r="AK1178" s="22" t="str">
        <f t="shared" si="37"/>
        <v>La_Libertad_04 Chepén _01 Chepen</v>
      </c>
      <c r="AL1178" s="25">
        <v>2</v>
      </c>
      <c r="AM1178" s="25">
        <v>28</v>
      </c>
      <c r="AN1178" s="26">
        <f>Tabla2[[#This Row],[Minutos]]/60</f>
        <v>0.46666666666666667</v>
      </c>
      <c r="AO1178" s="27">
        <f>SUM(Tabla2[[#This Row],[Horas]],Tabla2[[#This Row],[Minutos a Horas]])</f>
        <v>2.4666666666666668</v>
      </c>
      <c r="AP1178" s="49">
        <v>2</v>
      </c>
      <c r="AQ1178" s="49">
        <v>30</v>
      </c>
      <c r="AR1178" s="26">
        <f>Tabla2[[#This Row],[Minutos*]]/60</f>
        <v>0.5</v>
      </c>
      <c r="AS1178" s="27">
        <f>SUM(Tabla2[[#This Row],[Horas*]],Tabla2[[#This Row],[Minutos a Horas*]])+(Tabla2[[#This Row],[Tiempo Total a Nivel Proncincial (Horas)]])</f>
        <v>4.9666666666666668</v>
      </c>
    </row>
    <row r="1179" spans="28:45" x14ac:dyDescent="0.25">
      <c r="AB1179" s="89"/>
      <c r="AD1179" s="32" t="s">
        <v>2396</v>
      </c>
      <c r="AE1179" s="10" t="s">
        <v>384</v>
      </c>
      <c r="AF1179" s="20" t="s">
        <v>1428</v>
      </c>
      <c r="AG1179" s="10"/>
      <c r="AH1179" s="22" t="str">
        <f t="shared" si="36"/>
        <v xml:space="preserve">La_Libertad_04 Chepén </v>
      </c>
      <c r="AI1179" s="10" t="s">
        <v>1522</v>
      </c>
      <c r="AJ1179" s="20" t="s">
        <v>1462</v>
      </c>
      <c r="AK1179" s="22" t="str">
        <f t="shared" si="37"/>
        <v>La_Libertad_04 Chepén _02 Pacanga</v>
      </c>
      <c r="AL1179" s="25">
        <v>2</v>
      </c>
      <c r="AM1179" s="25">
        <v>28</v>
      </c>
      <c r="AN1179" s="26">
        <f>Tabla2[[#This Row],[Minutos]]/60</f>
        <v>0.46666666666666667</v>
      </c>
      <c r="AO1179" s="27">
        <f>SUM(Tabla2[[#This Row],[Horas]],Tabla2[[#This Row],[Minutos a Horas]])</f>
        <v>2.4666666666666668</v>
      </c>
      <c r="AP1179" s="49">
        <v>2</v>
      </c>
      <c r="AQ1179" s="49">
        <v>35</v>
      </c>
      <c r="AR1179" s="26">
        <f>Tabla2[[#This Row],[Minutos*]]/60</f>
        <v>0.58333333333333337</v>
      </c>
      <c r="AS1179" s="27">
        <f>SUM(Tabla2[[#This Row],[Horas*]],Tabla2[[#This Row],[Minutos a Horas*]])+(Tabla2[[#This Row],[Tiempo Total a Nivel Proncincial (Horas)]])</f>
        <v>5.0500000000000007</v>
      </c>
    </row>
    <row r="1180" spans="28:45" x14ac:dyDescent="0.25">
      <c r="AB1180" s="89"/>
      <c r="AD1180" s="32" t="s">
        <v>2396</v>
      </c>
      <c r="AE1180" s="10" t="s">
        <v>384</v>
      </c>
      <c r="AF1180" s="20" t="s">
        <v>1428</v>
      </c>
      <c r="AG1180" s="10"/>
      <c r="AH1180" s="22" t="str">
        <f t="shared" si="36"/>
        <v xml:space="preserve">La_Libertad_04 Chepén </v>
      </c>
      <c r="AI1180" s="10" t="s">
        <v>1522</v>
      </c>
      <c r="AJ1180" s="20" t="s">
        <v>1463</v>
      </c>
      <c r="AK1180" s="22" t="str">
        <f t="shared" si="37"/>
        <v>La_Libertad_04 Chepén _03 Pueblo Nuevo</v>
      </c>
      <c r="AL1180" s="25">
        <v>2</v>
      </c>
      <c r="AM1180" s="25">
        <v>28</v>
      </c>
      <c r="AN1180" s="26">
        <f>Tabla2[[#This Row],[Minutos]]/60</f>
        <v>0.46666666666666667</v>
      </c>
      <c r="AO1180" s="27">
        <f>SUM(Tabla2[[#This Row],[Horas]],Tabla2[[#This Row],[Minutos a Horas]])</f>
        <v>2.4666666666666668</v>
      </c>
      <c r="AP1180" s="49">
        <v>2</v>
      </c>
      <c r="AQ1180" s="49">
        <v>35</v>
      </c>
      <c r="AR1180" s="26">
        <f>Tabla2[[#This Row],[Minutos*]]/60</f>
        <v>0.58333333333333337</v>
      </c>
      <c r="AS1180" s="27">
        <f>SUM(Tabla2[[#This Row],[Horas*]],Tabla2[[#This Row],[Minutos a Horas*]])+(Tabla2[[#This Row],[Tiempo Total a Nivel Proncincial (Horas)]])</f>
        <v>5.0500000000000007</v>
      </c>
    </row>
    <row r="1181" spans="28:45" x14ac:dyDescent="0.25">
      <c r="AB1181" s="89"/>
      <c r="AD1181" s="32" t="s">
        <v>2396</v>
      </c>
      <c r="AE1181" s="10" t="s">
        <v>384</v>
      </c>
      <c r="AF1181" s="20" t="s">
        <v>1429</v>
      </c>
      <c r="AG1181" s="10"/>
      <c r="AH1181" s="22" t="str">
        <f t="shared" si="36"/>
        <v xml:space="preserve">La_Libertad_05 Julcán </v>
      </c>
      <c r="AI1181" s="10" t="s">
        <v>1523</v>
      </c>
      <c r="AJ1181" s="20" t="s">
        <v>1464</v>
      </c>
      <c r="AK1181" s="22" t="str">
        <f t="shared" si="37"/>
        <v>La_Libertad_05 Julcán _01 Julcan</v>
      </c>
      <c r="AL1181" s="25">
        <v>2</v>
      </c>
      <c r="AM1181" s="25">
        <v>31</v>
      </c>
      <c r="AN1181" s="26">
        <f>Tabla2[[#This Row],[Minutos]]/60</f>
        <v>0.51666666666666672</v>
      </c>
      <c r="AO1181" s="27">
        <f>SUM(Tabla2[[#This Row],[Horas]],Tabla2[[#This Row],[Minutos a Horas]])</f>
        <v>2.5166666666666666</v>
      </c>
      <c r="AP1181" s="49">
        <v>3</v>
      </c>
      <c r="AQ1181" s="49">
        <v>0</v>
      </c>
      <c r="AR1181" s="26">
        <f>Tabla2[[#This Row],[Minutos*]]/60</f>
        <v>0</v>
      </c>
      <c r="AS1181" s="27">
        <f>SUM(Tabla2[[#This Row],[Horas*]],Tabla2[[#This Row],[Minutos a Horas*]])+(Tabla2[[#This Row],[Tiempo Total a Nivel Proncincial (Horas)]])</f>
        <v>5.5166666666666666</v>
      </c>
    </row>
    <row r="1182" spans="28:45" x14ac:dyDescent="0.25">
      <c r="AB1182" s="89"/>
      <c r="AD1182" s="32" t="s">
        <v>2396</v>
      </c>
      <c r="AE1182" s="10" t="s">
        <v>384</v>
      </c>
      <c r="AF1182" s="20" t="s">
        <v>1429</v>
      </c>
      <c r="AG1182" s="10"/>
      <c r="AH1182" s="22" t="str">
        <f t="shared" si="36"/>
        <v xml:space="preserve">La_Libertad_05 Julcán </v>
      </c>
      <c r="AI1182" s="10" t="s">
        <v>1523</v>
      </c>
      <c r="AJ1182" s="20" t="s">
        <v>1465</v>
      </c>
      <c r="AK1182" s="22" t="str">
        <f t="shared" si="37"/>
        <v>La_Libertad_05 Julcán _02 Calamarca</v>
      </c>
      <c r="AL1182" s="25">
        <v>2</v>
      </c>
      <c r="AM1182" s="25">
        <v>31</v>
      </c>
      <c r="AN1182" s="26">
        <f>Tabla2[[#This Row],[Minutos]]/60</f>
        <v>0.51666666666666672</v>
      </c>
      <c r="AO1182" s="27">
        <f>SUM(Tabla2[[#This Row],[Horas]],Tabla2[[#This Row],[Minutos a Horas]])</f>
        <v>2.5166666666666666</v>
      </c>
      <c r="AP1182" s="49">
        <v>2</v>
      </c>
      <c r="AQ1182" s="49"/>
      <c r="AR1182" s="26">
        <f>Tabla2[[#This Row],[Minutos*]]/60</f>
        <v>0</v>
      </c>
      <c r="AS1182" s="27">
        <f>SUM(Tabla2[[#This Row],[Horas*]],Tabla2[[#This Row],[Minutos a Horas*]])+(Tabla2[[#This Row],[Tiempo Total a Nivel Proncincial (Horas)]])</f>
        <v>4.5166666666666666</v>
      </c>
    </row>
    <row r="1183" spans="28:45" x14ac:dyDescent="0.25">
      <c r="AB1183" s="89"/>
      <c r="AD1183" s="32" t="s">
        <v>2396</v>
      </c>
      <c r="AE1183" s="10" t="s">
        <v>384</v>
      </c>
      <c r="AF1183" s="20" t="s">
        <v>1429</v>
      </c>
      <c r="AG1183" s="10"/>
      <c r="AH1183" s="22" t="str">
        <f t="shared" si="36"/>
        <v xml:space="preserve">La_Libertad_05 Julcán </v>
      </c>
      <c r="AI1183" s="10" t="s">
        <v>1523</v>
      </c>
      <c r="AJ1183" s="20" t="s">
        <v>1466</v>
      </c>
      <c r="AK1183" s="22" t="str">
        <f t="shared" si="37"/>
        <v>La_Libertad_05 Julcán _03 Carabamba</v>
      </c>
      <c r="AL1183" s="25">
        <v>2</v>
      </c>
      <c r="AM1183" s="25">
        <v>31</v>
      </c>
      <c r="AN1183" s="26">
        <f>Tabla2[[#This Row],[Minutos]]/60</f>
        <v>0.51666666666666672</v>
      </c>
      <c r="AO1183" s="27">
        <f>SUM(Tabla2[[#This Row],[Horas]],Tabla2[[#This Row],[Minutos a Horas]])</f>
        <v>2.5166666666666666</v>
      </c>
      <c r="AP1183" s="49">
        <v>2</v>
      </c>
      <c r="AQ1183" s="49"/>
      <c r="AR1183" s="26">
        <f>Tabla2[[#This Row],[Minutos*]]/60</f>
        <v>0</v>
      </c>
      <c r="AS1183" s="27">
        <f>SUM(Tabla2[[#This Row],[Horas*]],Tabla2[[#This Row],[Minutos a Horas*]])+(Tabla2[[#This Row],[Tiempo Total a Nivel Proncincial (Horas)]])</f>
        <v>4.5166666666666666</v>
      </c>
    </row>
    <row r="1184" spans="28:45" x14ac:dyDescent="0.25">
      <c r="AB1184" s="89"/>
      <c r="AD1184" s="32" t="s">
        <v>2396</v>
      </c>
      <c r="AE1184" s="10" t="s">
        <v>384</v>
      </c>
      <c r="AF1184" s="20" t="s">
        <v>1429</v>
      </c>
      <c r="AG1184" s="10"/>
      <c r="AH1184" s="22" t="str">
        <f t="shared" si="36"/>
        <v xml:space="preserve">La_Libertad_05 Julcán </v>
      </c>
      <c r="AI1184" s="10" t="s">
        <v>1523</v>
      </c>
      <c r="AJ1184" s="20" t="s">
        <v>1467</v>
      </c>
      <c r="AK1184" s="22" t="str">
        <f t="shared" si="37"/>
        <v>La_Libertad_05 Julcán _04 Huaso</v>
      </c>
      <c r="AL1184" s="25">
        <v>2</v>
      </c>
      <c r="AM1184" s="25">
        <v>31</v>
      </c>
      <c r="AN1184" s="26">
        <f>Tabla2[[#This Row],[Minutos]]/60</f>
        <v>0.51666666666666672</v>
      </c>
      <c r="AO1184" s="27">
        <f>SUM(Tabla2[[#This Row],[Horas]],Tabla2[[#This Row],[Minutos a Horas]])</f>
        <v>2.5166666666666666</v>
      </c>
      <c r="AP1184" s="49"/>
      <c r="AQ1184" s="49"/>
      <c r="AR1184" s="26">
        <f>Tabla2[[#This Row],[Minutos*]]/60</f>
        <v>0</v>
      </c>
      <c r="AS1184" s="27">
        <f>SUM(Tabla2[[#This Row],[Horas*]],Tabla2[[#This Row],[Minutos a Horas*]])+(Tabla2[[#This Row],[Tiempo Total a Nivel Proncincial (Horas)]])</f>
        <v>2.5166666666666666</v>
      </c>
    </row>
    <row r="1185" spans="28:45" x14ac:dyDescent="0.25">
      <c r="AB1185" s="89"/>
      <c r="AD1185" s="32" t="s">
        <v>2396</v>
      </c>
      <c r="AE1185" s="10" t="s">
        <v>384</v>
      </c>
      <c r="AF1185" s="20" t="s">
        <v>1430</v>
      </c>
      <c r="AG1185" s="10"/>
      <c r="AH1185" s="22" t="str">
        <f t="shared" si="36"/>
        <v xml:space="preserve">La_Libertad_06 Otuzco </v>
      </c>
      <c r="AI1185" s="10" t="s">
        <v>1524</v>
      </c>
      <c r="AJ1185" s="20" t="s">
        <v>1468</v>
      </c>
      <c r="AK1185" s="22" t="str">
        <f t="shared" si="37"/>
        <v>La_Libertad_06 Otuzco _01 Otuzco</v>
      </c>
      <c r="AL1185" s="25">
        <v>1</v>
      </c>
      <c r="AM1185" s="25">
        <v>51</v>
      </c>
      <c r="AN1185" s="26">
        <f>Tabla2[[#This Row],[Minutos]]/60</f>
        <v>0.85</v>
      </c>
      <c r="AO1185" s="27">
        <f>SUM(Tabla2[[#This Row],[Horas]],Tabla2[[#This Row],[Minutos a Horas]])</f>
        <v>1.85</v>
      </c>
      <c r="AP1185" s="49">
        <v>1</v>
      </c>
      <c r="AQ1185" s="49">
        <v>45</v>
      </c>
      <c r="AR1185" s="26">
        <f>Tabla2[[#This Row],[Minutos*]]/60</f>
        <v>0.75</v>
      </c>
      <c r="AS1185" s="27">
        <f>SUM(Tabla2[[#This Row],[Horas*]],Tabla2[[#This Row],[Minutos a Horas*]])+(Tabla2[[#This Row],[Tiempo Total a Nivel Proncincial (Horas)]])</f>
        <v>3.6</v>
      </c>
    </row>
    <row r="1186" spans="28:45" x14ac:dyDescent="0.25">
      <c r="AB1186" s="89"/>
      <c r="AD1186" s="32" t="s">
        <v>2396</v>
      </c>
      <c r="AE1186" s="10" t="s">
        <v>384</v>
      </c>
      <c r="AF1186" s="20" t="s">
        <v>1430</v>
      </c>
      <c r="AG1186" s="10"/>
      <c r="AH1186" s="22" t="str">
        <f t="shared" si="36"/>
        <v xml:space="preserve">La_Libertad_06 Otuzco </v>
      </c>
      <c r="AI1186" s="10" t="s">
        <v>1524</v>
      </c>
      <c r="AJ1186" s="20" t="s">
        <v>1469</v>
      </c>
      <c r="AK1186" s="22" t="str">
        <f t="shared" si="37"/>
        <v>La_Libertad_06 Otuzco _02 Agallpampa</v>
      </c>
      <c r="AL1186" s="25">
        <v>1</v>
      </c>
      <c r="AM1186" s="25">
        <v>51</v>
      </c>
      <c r="AN1186" s="26">
        <f>Tabla2[[#This Row],[Minutos]]/60</f>
        <v>0.85</v>
      </c>
      <c r="AO1186" s="27">
        <f>SUM(Tabla2[[#This Row],[Horas]],Tabla2[[#This Row],[Minutos a Horas]])</f>
        <v>1.85</v>
      </c>
      <c r="AP1186" s="49">
        <v>2</v>
      </c>
      <c r="AQ1186" s="49"/>
      <c r="AR1186" s="26">
        <f>Tabla2[[#This Row],[Minutos*]]/60</f>
        <v>0</v>
      </c>
      <c r="AS1186" s="27">
        <f>SUM(Tabla2[[#This Row],[Horas*]],Tabla2[[#This Row],[Minutos a Horas*]])+(Tabla2[[#This Row],[Tiempo Total a Nivel Proncincial (Horas)]])</f>
        <v>3.85</v>
      </c>
    </row>
    <row r="1187" spans="28:45" x14ac:dyDescent="0.25">
      <c r="AB1187" s="89"/>
      <c r="AD1187" s="32" t="s">
        <v>2396</v>
      </c>
      <c r="AE1187" s="10" t="s">
        <v>384</v>
      </c>
      <c r="AF1187" s="20" t="s">
        <v>1430</v>
      </c>
      <c r="AG1187" s="10"/>
      <c r="AH1187" s="22" t="str">
        <f t="shared" si="36"/>
        <v xml:space="preserve">La_Libertad_06 Otuzco </v>
      </c>
      <c r="AI1187" s="10" t="s">
        <v>1524</v>
      </c>
      <c r="AJ1187" s="20" t="s">
        <v>1470</v>
      </c>
      <c r="AK1187" s="22" t="str">
        <f t="shared" si="37"/>
        <v>La_Libertad_06 Otuzco _04 Charat</v>
      </c>
      <c r="AL1187" s="25">
        <v>1</v>
      </c>
      <c r="AM1187" s="25">
        <v>51</v>
      </c>
      <c r="AN1187" s="26">
        <f>Tabla2[[#This Row],[Minutos]]/60</f>
        <v>0.85</v>
      </c>
      <c r="AO1187" s="27">
        <f>SUM(Tabla2[[#This Row],[Horas]],Tabla2[[#This Row],[Minutos a Horas]])</f>
        <v>1.85</v>
      </c>
      <c r="AP1187" s="49">
        <v>3</v>
      </c>
      <c r="AQ1187" s="49">
        <v>45</v>
      </c>
      <c r="AR1187" s="26">
        <f>Tabla2[[#This Row],[Minutos*]]/60</f>
        <v>0.75</v>
      </c>
      <c r="AS1187" s="27">
        <f>SUM(Tabla2[[#This Row],[Horas*]],Tabla2[[#This Row],[Minutos a Horas*]])+(Tabla2[[#This Row],[Tiempo Total a Nivel Proncincial (Horas)]])</f>
        <v>5.6</v>
      </c>
    </row>
    <row r="1188" spans="28:45" x14ac:dyDescent="0.25">
      <c r="AB1188" s="89"/>
      <c r="AD1188" s="32" t="s">
        <v>2396</v>
      </c>
      <c r="AE1188" s="10" t="s">
        <v>384</v>
      </c>
      <c r="AF1188" s="20" t="s">
        <v>1430</v>
      </c>
      <c r="AG1188" s="10"/>
      <c r="AH1188" s="22" t="str">
        <f t="shared" si="36"/>
        <v xml:space="preserve">La_Libertad_06 Otuzco </v>
      </c>
      <c r="AI1188" s="10" t="s">
        <v>1524</v>
      </c>
      <c r="AJ1188" s="20" t="s">
        <v>1471</v>
      </c>
      <c r="AK1188" s="22" t="str">
        <f t="shared" si="37"/>
        <v>La_Libertad_06 Otuzco _05 Huaranchal</v>
      </c>
      <c r="AL1188" s="25">
        <v>1</v>
      </c>
      <c r="AM1188" s="25">
        <v>51</v>
      </c>
      <c r="AN1188" s="26">
        <f>Tabla2[[#This Row],[Minutos]]/60</f>
        <v>0.85</v>
      </c>
      <c r="AO1188" s="27">
        <f>SUM(Tabla2[[#This Row],[Horas]],Tabla2[[#This Row],[Minutos a Horas]])</f>
        <v>1.85</v>
      </c>
      <c r="AP1188" s="49">
        <v>6</v>
      </c>
      <c r="AQ1188" s="49">
        <v>0</v>
      </c>
      <c r="AR1188" s="26">
        <f>Tabla2[[#This Row],[Minutos*]]/60</f>
        <v>0</v>
      </c>
      <c r="AS1188" s="27">
        <f>SUM(Tabla2[[#This Row],[Horas*]],Tabla2[[#This Row],[Minutos a Horas*]])+(Tabla2[[#This Row],[Tiempo Total a Nivel Proncincial (Horas)]])</f>
        <v>7.85</v>
      </c>
    </row>
    <row r="1189" spans="28:45" x14ac:dyDescent="0.25">
      <c r="AB1189" s="89"/>
      <c r="AD1189" s="32" t="s">
        <v>2396</v>
      </c>
      <c r="AE1189" s="10" t="s">
        <v>384</v>
      </c>
      <c r="AF1189" s="20" t="s">
        <v>1430</v>
      </c>
      <c r="AG1189" s="10"/>
      <c r="AH1189" s="22" t="str">
        <f t="shared" si="36"/>
        <v xml:space="preserve">La_Libertad_06 Otuzco </v>
      </c>
      <c r="AI1189" s="10" t="s">
        <v>1524</v>
      </c>
      <c r="AJ1189" s="20" t="s">
        <v>1472</v>
      </c>
      <c r="AK1189" s="22" t="str">
        <f t="shared" si="37"/>
        <v>La_Libertad_06 Otuzco _06 La Cuesta</v>
      </c>
      <c r="AL1189" s="25">
        <v>1</v>
      </c>
      <c r="AM1189" s="25">
        <v>51</v>
      </c>
      <c r="AN1189" s="26">
        <f>Tabla2[[#This Row],[Minutos]]/60</f>
        <v>0.85</v>
      </c>
      <c r="AO1189" s="27">
        <f>SUM(Tabla2[[#This Row],[Horas]],Tabla2[[#This Row],[Minutos a Horas]])</f>
        <v>1.85</v>
      </c>
      <c r="AP1189" s="49">
        <v>3</v>
      </c>
      <c r="AQ1189" s="49"/>
      <c r="AR1189" s="26">
        <f>Tabla2[[#This Row],[Minutos*]]/60</f>
        <v>0</v>
      </c>
      <c r="AS1189" s="27">
        <f>SUM(Tabla2[[#This Row],[Horas*]],Tabla2[[#This Row],[Minutos a Horas*]])+(Tabla2[[#This Row],[Tiempo Total a Nivel Proncincial (Horas)]])</f>
        <v>4.8499999999999996</v>
      </c>
    </row>
    <row r="1190" spans="28:45" x14ac:dyDescent="0.25">
      <c r="AB1190" s="89"/>
      <c r="AD1190" s="32" t="s">
        <v>2396</v>
      </c>
      <c r="AE1190" s="10" t="s">
        <v>384</v>
      </c>
      <c r="AF1190" s="20" t="s">
        <v>1430</v>
      </c>
      <c r="AG1190" s="10"/>
      <c r="AH1190" s="22" t="str">
        <f t="shared" si="36"/>
        <v xml:space="preserve">La_Libertad_06 Otuzco </v>
      </c>
      <c r="AI1190" s="10" t="s">
        <v>1524</v>
      </c>
      <c r="AJ1190" s="20" t="s">
        <v>1473</v>
      </c>
      <c r="AK1190" s="22" t="str">
        <f t="shared" si="37"/>
        <v>La_Libertad_06 Otuzco _08 Mache</v>
      </c>
      <c r="AL1190" s="25">
        <v>1</v>
      </c>
      <c r="AM1190" s="25">
        <v>51</v>
      </c>
      <c r="AN1190" s="26">
        <f>Tabla2[[#This Row],[Minutos]]/60</f>
        <v>0.85</v>
      </c>
      <c r="AO1190" s="27">
        <f>SUM(Tabla2[[#This Row],[Horas]],Tabla2[[#This Row],[Minutos a Horas]])</f>
        <v>1.85</v>
      </c>
      <c r="AP1190" s="49">
        <v>2</v>
      </c>
      <c r="AQ1190" s="49">
        <v>30</v>
      </c>
      <c r="AR1190" s="26">
        <f>Tabla2[[#This Row],[Minutos*]]/60</f>
        <v>0.5</v>
      </c>
      <c r="AS1190" s="27">
        <f>SUM(Tabla2[[#This Row],[Horas*]],Tabla2[[#This Row],[Minutos a Horas*]])+(Tabla2[[#This Row],[Tiempo Total a Nivel Proncincial (Horas)]])</f>
        <v>4.3499999999999996</v>
      </c>
    </row>
    <row r="1191" spans="28:45" x14ac:dyDescent="0.25">
      <c r="AB1191" s="89"/>
      <c r="AD1191" s="32" t="s">
        <v>2396</v>
      </c>
      <c r="AE1191" s="10" t="s">
        <v>384</v>
      </c>
      <c r="AF1191" s="20" t="s">
        <v>1430</v>
      </c>
      <c r="AG1191" s="10"/>
      <c r="AH1191" s="22" t="str">
        <f t="shared" si="36"/>
        <v xml:space="preserve">La_Libertad_06 Otuzco </v>
      </c>
      <c r="AI1191" s="10" t="s">
        <v>1524</v>
      </c>
      <c r="AJ1191" s="20" t="s">
        <v>1474</v>
      </c>
      <c r="AK1191" s="22" t="str">
        <f t="shared" si="37"/>
        <v>La_Libertad_06 Otuzco _10 Paranday</v>
      </c>
      <c r="AL1191" s="25">
        <v>1</v>
      </c>
      <c r="AM1191" s="25">
        <v>51</v>
      </c>
      <c r="AN1191" s="26">
        <f>Tabla2[[#This Row],[Minutos]]/60</f>
        <v>0.85</v>
      </c>
      <c r="AO1191" s="27">
        <f>SUM(Tabla2[[#This Row],[Horas]],Tabla2[[#This Row],[Minutos a Horas]])</f>
        <v>1.85</v>
      </c>
      <c r="AP1191" s="49">
        <v>2</v>
      </c>
      <c r="AQ1191" s="49">
        <v>30</v>
      </c>
      <c r="AR1191" s="26">
        <f>Tabla2[[#This Row],[Minutos*]]/60</f>
        <v>0.5</v>
      </c>
      <c r="AS1191" s="27">
        <f>SUM(Tabla2[[#This Row],[Horas*]],Tabla2[[#This Row],[Minutos a Horas*]])+(Tabla2[[#This Row],[Tiempo Total a Nivel Proncincial (Horas)]])</f>
        <v>4.3499999999999996</v>
      </c>
    </row>
    <row r="1192" spans="28:45" x14ac:dyDescent="0.25">
      <c r="AB1192" s="89"/>
      <c r="AD1192" s="32" t="s">
        <v>2396</v>
      </c>
      <c r="AE1192" s="10" t="s">
        <v>384</v>
      </c>
      <c r="AF1192" s="20" t="s">
        <v>1430</v>
      </c>
      <c r="AG1192" s="10"/>
      <c r="AH1192" s="22" t="str">
        <f t="shared" si="36"/>
        <v xml:space="preserve">La_Libertad_06 Otuzco </v>
      </c>
      <c r="AI1192" s="10" t="s">
        <v>1524</v>
      </c>
      <c r="AJ1192" s="20" t="s">
        <v>1475</v>
      </c>
      <c r="AK1192" s="22" t="str">
        <f t="shared" si="37"/>
        <v>La_Libertad_06 Otuzco _11 Salpo</v>
      </c>
      <c r="AL1192" s="25">
        <v>1</v>
      </c>
      <c r="AM1192" s="25">
        <v>51</v>
      </c>
      <c r="AN1192" s="26">
        <f>Tabla2[[#This Row],[Minutos]]/60</f>
        <v>0.85</v>
      </c>
      <c r="AO1192" s="27">
        <f>SUM(Tabla2[[#This Row],[Horas]],Tabla2[[#This Row],[Minutos a Horas]])</f>
        <v>1.85</v>
      </c>
      <c r="AP1192" s="49">
        <v>3</v>
      </c>
      <c r="AQ1192" s="49"/>
      <c r="AR1192" s="26">
        <f>Tabla2[[#This Row],[Minutos*]]/60</f>
        <v>0</v>
      </c>
      <c r="AS1192" s="27">
        <f>SUM(Tabla2[[#This Row],[Horas*]],Tabla2[[#This Row],[Minutos a Horas*]])+(Tabla2[[#This Row],[Tiempo Total a Nivel Proncincial (Horas)]])</f>
        <v>4.8499999999999996</v>
      </c>
    </row>
    <row r="1193" spans="28:45" x14ac:dyDescent="0.25">
      <c r="AB1193" s="89"/>
      <c r="AD1193" s="32" t="s">
        <v>2396</v>
      </c>
      <c r="AE1193" s="10" t="s">
        <v>384</v>
      </c>
      <c r="AF1193" s="20" t="s">
        <v>1430</v>
      </c>
      <c r="AG1193" s="10"/>
      <c r="AH1193" s="22" t="str">
        <f t="shared" si="36"/>
        <v xml:space="preserve">La_Libertad_06 Otuzco </v>
      </c>
      <c r="AI1193" s="10" t="s">
        <v>1524</v>
      </c>
      <c r="AJ1193" s="20" t="s">
        <v>1476</v>
      </c>
      <c r="AK1193" s="22" t="str">
        <f t="shared" si="37"/>
        <v>La_Libertad_06 Otuzco _13 Sinsicap</v>
      </c>
      <c r="AL1193" s="25">
        <v>1</v>
      </c>
      <c r="AM1193" s="25">
        <v>51</v>
      </c>
      <c r="AN1193" s="26">
        <f>Tabla2[[#This Row],[Minutos]]/60</f>
        <v>0.85</v>
      </c>
      <c r="AO1193" s="27">
        <f>SUM(Tabla2[[#This Row],[Horas]],Tabla2[[#This Row],[Minutos a Horas]])</f>
        <v>1.85</v>
      </c>
      <c r="AP1193" s="49">
        <v>4</v>
      </c>
      <c r="AQ1193" s="49"/>
      <c r="AR1193" s="26">
        <f>Tabla2[[#This Row],[Minutos*]]/60</f>
        <v>0</v>
      </c>
      <c r="AS1193" s="27">
        <f>SUM(Tabla2[[#This Row],[Horas*]],Tabla2[[#This Row],[Minutos a Horas*]])+(Tabla2[[#This Row],[Tiempo Total a Nivel Proncincial (Horas)]])</f>
        <v>5.85</v>
      </c>
    </row>
    <row r="1194" spans="28:45" x14ac:dyDescent="0.25">
      <c r="AB1194" s="89"/>
      <c r="AD1194" s="32" t="s">
        <v>2396</v>
      </c>
      <c r="AE1194" s="10" t="s">
        <v>384</v>
      </c>
      <c r="AF1194" s="20" t="s">
        <v>1430</v>
      </c>
      <c r="AG1194" s="10"/>
      <c r="AH1194" s="22" t="str">
        <f t="shared" si="36"/>
        <v xml:space="preserve">La_Libertad_06 Otuzco </v>
      </c>
      <c r="AI1194" s="10" t="s">
        <v>1524</v>
      </c>
      <c r="AJ1194" s="20" t="s">
        <v>1477</v>
      </c>
      <c r="AK1194" s="22" t="str">
        <f t="shared" si="37"/>
        <v>La_Libertad_06 Otuzco _14 Usquil</v>
      </c>
      <c r="AL1194" s="25">
        <v>1</v>
      </c>
      <c r="AM1194" s="25">
        <v>51</v>
      </c>
      <c r="AN1194" s="26">
        <f>Tabla2[[#This Row],[Minutos]]/60</f>
        <v>0.85</v>
      </c>
      <c r="AO1194" s="27">
        <f>SUM(Tabla2[[#This Row],[Horas]],Tabla2[[#This Row],[Minutos a Horas]])</f>
        <v>1.85</v>
      </c>
      <c r="AP1194" s="49">
        <v>3</v>
      </c>
      <c r="AQ1194" s="49">
        <v>30</v>
      </c>
      <c r="AR1194" s="26">
        <f>Tabla2[[#This Row],[Minutos*]]/60</f>
        <v>0.5</v>
      </c>
      <c r="AS1194" s="27">
        <f>SUM(Tabla2[[#This Row],[Horas*]],Tabla2[[#This Row],[Minutos a Horas*]])+(Tabla2[[#This Row],[Tiempo Total a Nivel Proncincial (Horas)]])</f>
        <v>5.35</v>
      </c>
    </row>
    <row r="1195" spans="28:45" x14ac:dyDescent="0.25">
      <c r="AB1195" s="89"/>
      <c r="AD1195" s="32" t="s">
        <v>2396</v>
      </c>
      <c r="AE1195" s="10" t="s">
        <v>384</v>
      </c>
      <c r="AF1195" s="20" t="s">
        <v>1431</v>
      </c>
      <c r="AG1195" s="10"/>
      <c r="AH1195" s="22" t="str">
        <f t="shared" si="36"/>
        <v xml:space="preserve">La_Libertad_07 Pacasmayo </v>
      </c>
      <c r="AI1195" s="10" t="s">
        <v>1525</v>
      </c>
      <c r="AJ1195" s="20" t="s">
        <v>1478</v>
      </c>
      <c r="AK1195" s="22" t="str">
        <f t="shared" si="37"/>
        <v>La_Libertad_07 Pacasmayo _01 San Pedro de Lloc</v>
      </c>
      <c r="AL1195" s="25">
        <v>1</v>
      </c>
      <c r="AM1195" s="25">
        <v>57</v>
      </c>
      <c r="AN1195" s="26">
        <f>Tabla2[[#This Row],[Minutos]]/60</f>
        <v>0.95</v>
      </c>
      <c r="AO1195" s="27">
        <f>SUM(Tabla2[[#This Row],[Horas]],Tabla2[[#This Row],[Minutos a Horas]])</f>
        <v>1.95</v>
      </c>
      <c r="AP1195" s="49">
        <v>1</v>
      </c>
      <c r="AQ1195" s="49">
        <v>50</v>
      </c>
      <c r="AR1195" s="26">
        <f>Tabla2[[#This Row],[Minutos*]]/60</f>
        <v>0.83333333333333337</v>
      </c>
      <c r="AS1195" s="27">
        <f>SUM(Tabla2[[#This Row],[Horas*]],Tabla2[[#This Row],[Minutos a Horas*]])+(Tabla2[[#This Row],[Tiempo Total a Nivel Proncincial (Horas)]])</f>
        <v>3.7833333333333332</v>
      </c>
    </row>
    <row r="1196" spans="28:45" x14ac:dyDescent="0.25">
      <c r="AB1196" s="89"/>
      <c r="AD1196" s="32" t="s">
        <v>2396</v>
      </c>
      <c r="AE1196" s="10" t="s">
        <v>384</v>
      </c>
      <c r="AF1196" s="20" t="s">
        <v>1431</v>
      </c>
      <c r="AG1196" s="10"/>
      <c r="AH1196" s="22" t="str">
        <f t="shared" si="36"/>
        <v xml:space="preserve">La_Libertad_07 Pacasmayo </v>
      </c>
      <c r="AI1196" s="10" t="s">
        <v>1525</v>
      </c>
      <c r="AJ1196" s="20" t="s">
        <v>1479</v>
      </c>
      <c r="AK1196" s="22" t="str">
        <f t="shared" si="37"/>
        <v>La_Libertad_07 Pacasmayo _02 Guadalupe</v>
      </c>
      <c r="AL1196" s="25">
        <v>1</v>
      </c>
      <c r="AM1196" s="25">
        <v>57</v>
      </c>
      <c r="AN1196" s="26">
        <f>Tabla2[[#This Row],[Minutos]]/60</f>
        <v>0.95</v>
      </c>
      <c r="AO1196" s="27">
        <f>SUM(Tabla2[[#This Row],[Horas]],Tabla2[[#This Row],[Minutos a Horas]])</f>
        <v>1.95</v>
      </c>
      <c r="AP1196" s="49">
        <v>2</v>
      </c>
      <c r="AQ1196" s="49">
        <v>20</v>
      </c>
      <c r="AR1196" s="26">
        <f>Tabla2[[#This Row],[Minutos*]]/60</f>
        <v>0.33333333333333331</v>
      </c>
      <c r="AS1196" s="27">
        <f>SUM(Tabla2[[#This Row],[Horas*]],Tabla2[[#This Row],[Minutos a Horas*]])+(Tabla2[[#This Row],[Tiempo Total a Nivel Proncincial (Horas)]])</f>
        <v>4.2833333333333332</v>
      </c>
    </row>
    <row r="1197" spans="28:45" x14ac:dyDescent="0.25">
      <c r="AB1197" s="89"/>
      <c r="AD1197" s="32" t="s">
        <v>2396</v>
      </c>
      <c r="AE1197" s="10" t="s">
        <v>384</v>
      </c>
      <c r="AF1197" s="20" t="s">
        <v>1431</v>
      </c>
      <c r="AG1197" s="10"/>
      <c r="AH1197" s="22" t="str">
        <f t="shared" si="36"/>
        <v xml:space="preserve">La_Libertad_07 Pacasmayo </v>
      </c>
      <c r="AI1197" s="10" t="s">
        <v>1525</v>
      </c>
      <c r="AJ1197" s="20" t="s">
        <v>1480</v>
      </c>
      <c r="AK1197" s="22" t="str">
        <f t="shared" si="37"/>
        <v>La_Libertad_07 Pacasmayo _03 Jequetepeque</v>
      </c>
      <c r="AL1197" s="25">
        <v>1</v>
      </c>
      <c r="AM1197" s="25">
        <v>57</v>
      </c>
      <c r="AN1197" s="26">
        <f>Tabla2[[#This Row],[Minutos]]/60</f>
        <v>0.95</v>
      </c>
      <c r="AO1197" s="27">
        <f>SUM(Tabla2[[#This Row],[Horas]],Tabla2[[#This Row],[Minutos a Horas]])</f>
        <v>1.95</v>
      </c>
      <c r="AP1197" s="49">
        <v>2</v>
      </c>
      <c r="AQ1197" s="49">
        <v>10</v>
      </c>
      <c r="AR1197" s="26">
        <f>Tabla2[[#This Row],[Minutos*]]/60</f>
        <v>0.16666666666666666</v>
      </c>
      <c r="AS1197" s="27">
        <f>SUM(Tabla2[[#This Row],[Horas*]],Tabla2[[#This Row],[Minutos a Horas*]])+(Tabla2[[#This Row],[Tiempo Total a Nivel Proncincial (Horas)]])</f>
        <v>4.1166666666666663</v>
      </c>
    </row>
    <row r="1198" spans="28:45" x14ac:dyDescent="0.25">
      <c r="AB1198" s="89"/>
      <c r="AD1198" s="32" t="s">
        <v>2396</v>
      </c>
      <c r="AE1198" s="10" t="s">
        <v>384</v>
      </c>
      <c r="AF1198" s="20" t="s">
        <v>1431</v>
      </c>
      <c r="AG1198" s="10"/>
      <c r="AH1198" s="22" t="str">
        <f t="shared" si="36"/>
        <v xml:space="preserve">La_Libertad_07 Pacasmayo </v>
      </c>
      <c r="AI1198" s="10" t="s">
        <v>1525</v>
      </c>
      <c r="AJ1198" s="20" t="s">
        <v>1481</v>
      </c>
      <c r="AK1198" s="22" t="str">
        <f t="shared" si="37"/>
        <v>La_Libertad_07 Pacasmayo _04 Pacasmayo</v>
      </c>
      <c r="AL1198" s="25">
        <v>1</v>
      </c>
      <c r="AM1198" s="25">
        <v>57</v>
      </c>
      <c r="AN1198" s="26">
        <f>Tabla2[[#This Row],[Minutos]]/60</f>
        <v>0.95</v>
      </c>
      <c r="AO1198" s="27">
        <f>SUM(Tabla2[[#This Row],[Horas]],Tabla2[[#This Row],[Minutos a Horas]])</f>
        <v>1.95</v>
      </c>
      <c r="AP1198" s="49">
        <v>2</v>
      </c>
      <c r="AQ1198" s="49">
        <v>0</v>
      </c>
      <c r="AR1198" s="26">
        <f>Tabla2[[#This Row],[Minutos*]]/60</f>
        <v>0</v>
      </c>
      <c r="AS1198" s="27">
        <f>SUM(Tabla2[[#This Row],[Horas*]],Tabla2[[#This Row],[Minutos a Horas*]])+(Tabla2[[#This Row],[Tiempo Total a Nivel Proncincial (Horas)]])</f>
        <v>3.95</v>
      </c>
    </row>
    <row r="1199" spans="28:45" x14ac:dyDescent="0.25">
      <c r="AB1199" s="89"/>
      <c r="AD1199" s="32" t="s">
        <v>2396</v>
      </c>
      <c r="AE1199" s="10" t="s">
        <v>384</v>
      </c>
      <c r="AF1199" s="20" t="s">
        <v>1431</v>
      </c>
      <c r="AG1199" s="10"/>
      <c r="AH1199" s="22" t="str">
        <f t="shared" si="36"/>
        <v xml:space="preserve">La_Libertad_07 Pacasmayo </v>
      </c>
      <c r="AI1199" s="10" t="s">
        <v>1525</v>
      </c>
      <c r="AJ1199" s="20" t="s">
        <v>1482</v>
      </c>
      <c r="AK1199" s="22" t="str">
        <f t="shared" si="37"/>
        <v>La_Libertad_07 Pacasmayo _05 San José</v>
      </c>
      <c r="AL1199" s="25">
        <v>1</v>
      </c>
      <c r="AM1199" s="25">
        <v>57</v>
      </c>
      <c r="AN1199" s="26">
        <f>Tabla2[[#This Row],[Minutos]]/60</f>
        <v>0.95</v>
      </c>
      <c r="AO1199" s="27">
        <f>SUM(Tabla2[[#This Row],[Horas]],Tabla2[[#This Row],[Minutos a Horas]])</f>
        <v>1.95</v>
      </c>
      <c r="AP1199" s="49">
        <v>2</v>
      </c>
      <c r="AQ1199" s="49">
        <v>5</v>
      </c>
      <c r="AR1199" s="26">
        <f>Tabla2[[#This Row],[Minutos*]]/60</f>
        <v>8.3333333333333329E-2</v>
      </c>
      <c r="AS1199" s="27">
        <f>SUM(Tabla2[[#This Row],[Horas*]],Tabla2[[#This Row],[Minutos a Horas*]])+(Tabla2[[#This Row],[Tiempo Total a Nivel Proncincial (Horas)]])</f>
        <v>4.0333333333333332</v>
      </c>
    </row>
    <row r="1200" spans="28:45" x14ac:dyDescent="0.25">
      <c r="AB1200" s="89"/>
      <c r="AD1200" s="32" t="s">
        <v>2396</v>
      </c>
      <c r="AE1200" s="10" t="s">
        <v>384</v>
      </c>
      <c r="AF1200" s="20" t="s">
        <v>1432</v>
      </c>
      <c r="AG1200" s="10"/>
      <c r="AH1200" s="22" t="str">
        <f t="shared" si="36"/>
        <v xml:space="preserve">La_Libertad_08 Pataz </v>
      </c>
      <c r="AI1200" s="10" t="s">
        <v>1526</v>
      </c>
      <c r="AJ1200" s="20" t="s">
        <v>1483</v>
      </c>
      <c r="AK1200" s="22" t="str">
        <f t="shared" si="37"/>
        <v>La_Libertad_08 Pataz _01 Tayabamba</v>
      </c>
      <c r="AL1200" s="25">
        <v>9</v>
      </c>
      <c r="AM1200" s="25">
        <v>1</v>
      </c>
      <c r="AN1200" s="26">
        <f>Tabla2[[#This Row],[Minutos]]/60</f>
        <v>1.6666666666666666E-2</v>
      </c>
      <c r="AO1200" s="27">
        <f>SUM(Tabla2[[#This Row],[Horas]],Tabla2[[#This Row],[Minutos a Horas]])</f>
        <v>9.0166666666666675</v>
      </c>
      <c r="AP1200" s="49">
        <v>15</v>
      </c>
      <c r="AQ1200" s="49">
        <v>0</v>
      </c>
      <c r="AR1200" s="26">
        <f>Tabla2[[#This Row],[Minutos*]]/60</f>
        <v>0</v>
      </c>
      <c r="AS1200" s="27">
        <f>SUM(Tabla2[[#This Row],[Horas*]],Tabla2[[#This Row],[Minutos a Horas*]])+(Tabla2[[#This Row],[Tiempo Total a Nivel Proncincial (Horas)]])</f>
        <v>24.016666666666666</v>
      </c>
    </row>
    <row r="1201" spans="28:45" x14ac:dyDescent="0.25">
      <c r="AB1201" s="89"/>
      <c r="AD1201" s="32" t="s">
        <v>2396</v>
      </c>
      <c r="AE1201" s="10" t="s">
        <v>384</v>
      </c>
      <c r="AF1201" s="20" t="s">
        <v>1432</v>
      </c>
      <c r="AG1201" s="10"/>
      <c r="AH1201" s="22" t="str">
        <f t="shared" si="36"/>
        <v xml:space="preserve">La_Libertad_08 Pataz </v>
      </c>
      <c r="AI1201" s="10" t="s">
        <v>1526</v>
      </c>
      <c r="AJ1201" s="20" t="s">
        <v>1484</v>
      </c>
      <c r="AK1201" s="22" t="str">
        <f t="shared" si="37"/>
        <v>La_Libertad_08 Pataz _02 Buldibuyo</v>
      </c>
      <c r="AL1201" s="25">
        <v>9</v>
      </c>
      <c r="AM1201" s="25">
        <v>1</v>
      </c>
      <c r="AN1201" s="26">
        <f>Tabla2[[#This Row],[Minutos]]/60</f>
        <v>1.6666666666666666E-2</v>
      </c>
      <c r="AO1201" s="27">
        <f>SUM(Tabla2[[#This Row],[Horas]],Tabla2[[#This Row],[Minutos a Horas]])</f>
        <v>9.0166666666666675</v>
      </c>
      <c r="AP1201" s="49">
        <v>16</v>
      </c>
      <c r="AQ1201" s="49">
        <v>30</v>
      </c>
      <c r="AR1201" s="26">
        <f>Tabla2[[#This Row],[Minutos*]]/60</f>
        <v>0.5</v>
      </c>
      <c r="AS1201" s="27">
        <f>SUM(Tabla2[[#This Row],[Horas*]],Tabla2[[#This Row],[Minutos a Horas*]])+(Tabla2[[#This Row],[Tiempo Total a Nivel Proncincial (Horas)]])</f>
        <v>25.516666666666666</v>
      </c>
    </row>
    <row r="1202" spans="28:45" x14ac:dyDescent="0.25">
      <c r="AB1202" s="89"/>
      <c r="AD1202" s="32" t="s">
        <v>2396</v>
      </c>
      <c r="AE1202" s="10" t="s">
        <v>384</v>
      </c>
      <c r="AF1202" s="20" t="s">
        <v>1432</v>
      </c>
      <c r="AG1202" s="10"/>
      <c r="AH1202" s="22" t="str">
        <f t="shared" si="36"/>
        <v xml:space="preserve">La_Libertad_08 Pataz </v>
      </c>
      <c r="AI1202" s="10" t="s">
        <v>1526</v>
      </c>
      <c r="AJ1202" s="20" t="s">
        <v>1485</v>
      </c>
      <c r="AK1202" s="22" t="str">
        <f t="shared" si="37"/>
        <v>La_Libertad_08 Pataz _03 Chillia</v>
      </c>
      <c r="AL1202" s="25">
        <v>9</v>
      </c>
      <c r="AM1202" s="25">
        <v>1</v>
      </c>
      <c r="AN1202" s="26">
        <f>Tabla2[[#This Row],[Minutos]]/60</f>
        <v>1.6666666666666666E-2</v>
      </c>
      <c r="AO1202" s="27">
        <f>SUM(Tabla2[[#This Row],[Horas]],Tabla2[[#This Row],[Minutos a Horas]])</f>
        <v>9.0166666666666675</v>
      </c>
      <c r="AP1202" s="49">
        <v>14</v>
      </c>
      <c r="AQ1202" s="49">
        <v>30</v>
      </c>
      <c r="AR1202" s="26">
        <f>Tabla2[[#This Row],[Minutos*]]/60</f>
        <v>0.5</v>
      </c>
      <c r="AS1202" s="27">
        <f>SUM(Tabla2[[#This Row],[Horas*]],Tabla2[[#This Row],[Minutos a Horas*]])+(Tabla2[[#This Row],[Tiempo Total a Nivel Proncincial (Horas)]])</f>
        <v>23.516666666666666</v>
      </c>
    </row>
    <row r="1203" spans="28:45" x14ac:dyDescent="0.25">
      <c r="AB1203" s="89"/>
      <c r="AD1203" s="32" t="s">
        <v>2396</v>
      </c>
      <c r="AE1203" s="10" t="s">
        <v>384</v>
      </c>
      <c r="AF1203" s="20" t="s">
        <v>1432</v>
      </c>
      <c r="AG1203" s="10"/>
      <c r="AH1203" s="22" t="str">
        <f t="shared" si="36"/>
        <v xml:space="preserve">La_Libertad_08 Pataz </v>
      </c>
      <c r="AI1203" s="10" t="s">
        <v>1526</v>
      </c>
      <c r="AJ1203" s="20" t="s">
        <v>1486</v>
      </c>
      <c r="AK1203" s="22" t="str">
        <f t="shared" si="37"/>
        <v>La_Libertad_08 Pataz _04 Huancaspata</v>
      </c>
      <c r="AL1203" s="25">
        <v>9</v>
      </c>
      <c r="AM1203" s="25">
        <v>1</v>
      </c>
      <c r="AN1203" s="26">
        <f>Tabla2[[#This Row],[Minutos]]/60</f>
        <v>1.6666666666666666E-2</v>
      </c>
      <c r="AO1203" s="27">
        <f>SUM(Tabla2[[#This Row],[Horas]],Tabla2[[#This Row],[Minutos a Horas]])</f>
        <v>9.0166666666666675</v>
      </c>
      <c r="AP1203" s="49">
        <v>12</v>
      </c>
      <c r="AQ1203" s="49">
        <v>0</v>
      </c>
      <c r="AR1203" s="26">
        <f>Tabla2[[#This Row],[Minutos*]]/60</f>
        <v>0</v>
      </c>
      <c r="AS1203" s="27">
        <f>SUM(Tabla2[[#This Row],[Horas*]],Tabla2[[#This Row],[Minutos a Horas*]])+(Tabla2[[#This Row],[Tiempo Total a Nivel Proncincial (Horas)]])</f>
        <v>21.016666666666666</v>
      </c>
    </row>
    <row r="1204" spans="28:45" x14ac:dyDescent="0.25">
      <c r="AB1204" s="89"/>
      <c r="AD1204" s="32" t="s">
        <v>2396</v>
      </c>
      <c r="AE1204" s="10" t="s">
        <v>384</v>
      </c>
      <c r="AF1204" s="20" t="s">
        <v>1432</v>
      </c>
      <c r="AG1204" s="10"/>
      <c r="AH1204" s="22" t="str">
        <f t="shared" si="36"/>
        <v xml:space="preserve">La_Libertad_08 Pataz </v>
      </c>
      <c r="AI1204" s="10" t="s">
        <v>1526</v>
      </c>
      <c r="AJ1204" s="20" t="s">
        <v>1487</v>
      </c>
      <c r="AK1204" s="22" t="str">
        <f t="shared" si="37"/>
        <v>La_Libertad_08 Pataz _05 Huaylillas</v>
      </c>
      <c r="AL1204" s="25">
        <v>9</v>
      </c>
      <c r="AM1204" s="25">
        <v>1</v>
      </c>
      <c r="AN1204" s="26">
        <f>Tabla2[[#This Row],[Minutos]]/60</f>
        <v>1.6666666666666666E-2</v>
      </c>
      <c r="AO1204" s="27">
        <f>SUM(Tabla2[[#This Row],[Horas]],Tabla2[[#This Row],[Minutos a Horas]])</f>
        <v>9.0166666666666675</v>
      </c>
      <c r="AP1204" s="49">
        <v>18</v>
      </c>
      <c r="AQ1204" s="49"/>
      <c r="AR1204" s="26">
        <f>Tabla2[[#This Row],[Minutos*]]/60</f>
        <v>0</v>
      </c>
      <c r="AS1204" s="27">
        <f>SUM(Tabla2[[#This Row],[Horas*]],Tabla2[[#This Row],[Minutos a Horas*]])+(Tabla2[[#This Row],[Tiempo Total a Nivel Proncincial (Horas)]])</f>
        <v>27.016666666666666</v>
      </c>
    </row>
    <row r="1205" spans="28:45" x14ac:dyDescent="0.25">
      <c r="AB1205" s="89"/>
      <c r="AD1205" s="32" t="s">
        <v>2396</v>
      </c>
      <c r="AE1205" s="10" t="s">
        <v>384</v>
      </c>
      <c r="AF1205" s="20" t="s">
        <v>1432</v>
      </c>
      <c r="AG1205" s="10"/>
      <c r="AH1205" s="22" t="str">
        <f t="shared" si="36"/>
        <v xml:space="preserve">La_Libertad_08 Pataz </v>
      </c>
      <c r="AI1205" s="10" t="s">
        <v>1526</v>
      </c>
      <c r="AJ1205" s="20" t="s">
        <v>1488</v>
      </c>
      <c r="AK1205" s="22" t="str">
        <f t="shared" si="37"/>
        <v>La_Libertad_08 Pataz _06 Huayo</v>
      </c>
      <c r="AL1205" s="25">
        <v>9</v>
      </c>
      <c r="AM1205" s="25">
        <v>1</v>
      </c>
      <c r="AN1205" s="26">
        <f>Tabla2[[#This Row],[Minutos]]/60</f>
        <v>1.6666666666666666E-2</v>
      </c>
      <c r="AO1205" s="27">
        <f>SUM(Tabla2[[#This Row],[Horas]],Tabla2[[#This Row],[Minutos a Horas]])</f>
        <v>9.0166666666666675</v>
      </c>
      <c r="AP1205" s="49"/>
      <c r="AQ1205" s="49"/>
      <c r="AR1205" s="26">
        <f>Tabla2[[#This Row],[Minutos*]]/60</f>
        <v>0</v>
      </c>
      <c r="AS1205" s="27">
        <f>SUM(Tabla2[[#This Row],[Horas*]],Tabla2[[#This Row],[Minutos a Horas*]])+(Tabla2[[#This Row],[Tiempo Total a Nivel Proncincial (Horas)]])</f>
        <v>9.0166666666666675</v>
      </c>
    </row>
    <row r="1206" spans="28:45" x14ac:dyDescent="0.25">
      <c r="AB1206" s="89"/>
      <c r="AD1206" s="32" t="s">
        <v>2396</v>
      </c>
      <c r="AE1206" s="10" t="s">
        <v>384</v>
      </c>
      <c r="AF1206" s="20" t="s">
        <v>1432</v>
      </c>
      <c r="AG1206" s="10"/>
      <c r="AH1206" s="22" t="str">
        <f t="shared" si="36"/>
        <v xml:space="preserve">La_Libertad_08 Pataz </v>
      </c>
      <c r="AI1206" s="10" t="s">
        <v>1526</v>
      </c>
      <c r="AJ1206" s="20" t="s">
        <v>1489</v>
      </c>
      <c r="AK1206" s="22" t="str">
        <f t="shared" si="37"/>
        <v>La_Libertad_08 Pataz _07 Ongon</v>
      </c>
      <c r="AL1206" s="25">
        <v>9</v>
      </c>
      <c r="AM1206" s="25">
        <v>1</v>
      </c>
      <c r="AN1206" s="26">
        <f>Tabla2[[#This Row],[Minutos]]/60</f>
        <v>1.6666666666666666E-2</v>
      </c>
      <c r="AO1206" s="27">
        <f>SUM(Tabla2[[#This Row],[Horas]],Tabla2[[#This Row],[Minutos a Horas]])</f>
        <v>9.0166666666666675</v>
      </c>
      <c r="AP1206" s="49"/>
      <c r="AQ1206" s="49"/>
      <c r="AR1206" s="26">
        <f>Tabla2[[#This Row],[Minutos*]]/60</f>
        <v>0</v>
      </c>
      <c r="AS1206" s="27">
        <f>SUM(Tabla2[[#This Row],[Horas*]],Tabla2[[#This Row],[Minutos a Horas*]])+(Tabla2[[#This Row],[Tiempo Total a Nivel Proncincial (Horas)]])</f>
        <v>9.0166666666666675</v>
      </c>
    </row>
    <row r="1207" spans="28:45" x14ac:dyDescent="0.25">
      <c r="AB1207" s="89"/>
      <c r="AD1207" s="32" t="s">
        <v>2396</v>
      </c>
      <c r="AE1207" s="10" t="s">
        <v>384</v>
      </c>
      <c r="AF1207" s="20" t="s">
        <v>1432</v>
      </c>
      <c r="AG1207" s="10"/>
      <c r="AH1207" s="22" t="str">
        <f t="shared" si="36"/>
        <v xml:space="preserve">La_Libertad_08 Pataz </v>
      </c>
      <c r="AI1207" s="10" t="s">
        <v>1526</v>
      </c>
      <c r="AJ1207" s="20" t="s">
        <v>1490</v>
      </c>
      <c r="AK1207" s="22" t="str">
        <f t="shared" si="37"/>
        <v>La_Libertad_08 Pataz _08 Parcoy</v>
      </c>
      <c r="AL1207" s="25">
        <v>9</v>
      </c>
      <c r="AM1207" s="25">
        <v>1</v>
      </c>
      <c r="AN1207" s="26">
        <f>Tabla2[[#This Row],[Minutos]]/60</f>
        <v>1.6666666666666666E-2</v>
      </c>
      <c r="AO1207" s="27">
        <f>SUM(Tabla2[[#This Row],[Horas]],Tabla2[[#This Row],[Minutos a Horas]])</f>
        <v>9.0166666666666675</v>
      </c>
      <c r="AP1207" s="49">
        <v>18</v>
      </c>
      <c r="AQ1207" s="49"/>
      <c r="AR1207" s="26">
        <f>Tabla2[[#This Row],[Minutos*]]/60</f>
        <v>0</v>
      </c>
      <c r="AS1207" s="27">
        <f>SUM(Tabla2[[#This Row],[Horas*]],Tabla2[[#This Row],[Minutos a Horas*]])+(Tabla2[[#This Row],[Tiempo Total a Nivel Proncincial (Horas)]])</f>
        <v>27.016666666666666</v>
      </c>
    </row>
    <row r="1208" spans="28:45" x14ac:dyDescent="0.25">
      <c r="AB1208" s="89"/>
      <c r="AD1208" s="32" t="s">
        <v>2396</v>
      </c>
      <c r="AE1208" s="10" t="s">
        <v>384</v>
      </c>
      <c r="AF1208" s="20" t="s">
        <v>1432</v>
      </c>
      <c r="AG1208" s="10"/>
      <c r="AH1208" s="22" t="str">
        <f t="shared" si="36"/>
        <v xml:space="preserve">La_Libertad_08 Pataz </v>
      </c>
      <c r="AI1208" s="10" t="s">
        <v>1526</v>
      </c>
      <c r="AJ1208" s="20" t="s">
        <v>1491</v>
      </c>
      <c r="AK1208" s="22" t="str">
        <f t="shared" si="37"/>
        <v>La_Libertad_08 Pataz _09 Pataz</v>
      </c>
      <c r="AL1208" s="25">
        <v>9</v>
      </c>
      <c r="AM1208" s="25">
        <v>1</v>
      </c>
      <c r="AN1208" s="26">
        <f>Tabla2[[#This Row],[Minutos]]/60</f>
        <v>1.6666666666666666E-2</v>
      </c>
      <c r="AO1208" s="27">
        <f>SUM(Tabla2[[#This Row],[Horas]],Tabla2[[#This Row],[Minutos a Horas]])</f>
        <v>9.0166666666666675</v>
      </c>
      <c r="AP1208" s="49">
        <v>19</v>
      </c>
      <c r="AQ1208" s="49"/>
      <c r="AR1208" s="26">
        <f>Tabla2[[#This Row],[Minutos*]]/60</f>
        <v>0</v>
      </c>
      <c r="AS1208" s="27">
        <f>SUM(Tabla2[[#This Row],[Horas*]],Tabla2[[#This Row],[Minutos a Horas*]])+(Tabla2[[#This Row],[Tiempo Total a Nivel Proncincial (Horas)]])</f>
        <v>28.016666666666666</v>
      </c>
    </row>
    <row r="1209" spans="28:45" x14ac:dyDescent="0.25">
      <c r="AB1209" s="89"/>
      <c r="AD1209" s="32" t="s">
        <v>2396</v>
      </c>
      <c r="AE1209" s="10" t="s">
        <v>384</v>
      </c>
      <c r="AF1209" s="20" t="s">
        <v>1432</v>
      </c>
      <c r="AG1209" s="10"/>
      <c r="AH1209" s="22" t="str">
        <f t="shared" si="36"/>
        <v xml:space="preserve">La_Libertad_08 Pataz </v>
      </c>
      <c r="AI1209" s="10" t="s">
        <v>1526</v>
      </c>
      <c r="AJ1209" s="20" t="s">
        <v>1492</v>
      </c>
      <c r="AK1209" s="22" t="str">
        <f t="shared" si="37"/>
        <v>La_Libertad_08 Pataz _10 Pias</v>
      </c>
      <c r="AL1209" s="25">
        <v>9</v>
      </c>
      <c r="AM1209" s="25">
        <v>1</v>
      </c>
      <c r="AN1209" s="26">
        <f>Tabla2[[#This Row],[Minutos]]/60</f>
        <v>1.6666666666666666E-2</v>
      </c>
      <c r="AO1209" s="27">
        <f>SUM(Tabla2[[#This Row],[Horas]],Tabla2[[#This Row],[Minutos a Horas]])</f>
        <v>9.0166666666666675</v>
      </c>
      <c r="AP1209" s="49">
        <v>20</v>
      </c>
      <c r="AQ1209" s="49"/>
      <c r="AR1209" s="26">
        <f>Tabla2[[#This Row],[Minutos*]]/60</f>
        <v>0</v>
      </c>
      <c r="AS1209" s="27">
        <f>SUM(Tabla2[[#This Row],[Horas*]],Tabla2[[#This Row],[Minutos a Horas*]])+(Tabla2[[#This Row],[Tiempo Total a Nivel Proncincial (Horas)]])</f>
        <v>29.016666666666666</v>
      </c>
    </row>
    <row r="1210" spans="28:45" x14ac:dyDescent="0.25">
      <c r="AB1210" s="89"/>
      <c r="AD1210" s="32" t="s">
        <v>2396</v>
      </c>
      <c r="AE1210" s="10" t="s">
        <v>384</v>
      </c>
      <c r="AF1210" s="20" t="s">
        <v>1432</v>
      </c>
      <c r="AG1210" s="10"/>
      <c r="AH1210" s="22" t="str">
        <f t="shared" si="36"/>
        <v xml:space="preserve">La_Libertad_08 Pataz </v>
      </c>
      <c r="AI1210" s="10" t="s">
        <v>1526</v>
      </c>
      <c r="AJ1210" s="20" t="s">
        <v>1493</v>
      </c>
      <c r="AK1210" s="22" t="str">
        <f t="shared" si="37"/>
        <v>La_Libertad_08 Pataz _11 Santiago de Challas</v>
      </c>
      <c r="AL1210" s="25">
        <v>9</v>
      </c>
      <c r="AM1210" s="25">
        <v>1</v>
      </c>
      <c r="AN1210" s="26">
        <f>Tabla2[[#This Row],[Minutos]]/60</f>
        <v>1.6666666666666666E-2</v>
      </c>
      <c r="AO1210" s="27">
        <f>SUM(Tabla2[[#This Row],[Horas]],Tabla2[[#This Row],[Minutos a Horas]])</f>
        <v>9.0166666666666675</v>
      </c>
      <c r="AP1210" s="49">
        <v>18</v>
      </c>
      <c r="AQ1210" s="49"/>
      <c r="AR1210" s="26">
        <f>Tabla2[[#This Row],[Minutos*]]/60</f>
        <v>0</v>
      </c>
      <c r="AS1210" s="27">
        <f>SUM(Tabla2[[#This Row],[Horas*]],Tabla2[[#This Row],[Minutos a Horas*]])+(Tabla2[[#This Row],[Tiempo Total a Nivel Proncincial (Horas)]])</f>
        <v>27.016666666666666</v>
      </c>
    </row>
    <row r="1211" spans="28:45" x14ac:dyDescent="0.25">
      <c r="AB1211" s="89"/>
      <c r="AD1211" s="32" t="s">
        <v>2396</v>
      </c>
      <c r="AE1211" s="10" t="s">
        <v>384</v>
      </c>
      <c r="AF1211" s="20" t="s">
        <v>1432</v>
      </c>
      <c r="AG1211" s="10"/>
      <c r="AH1211" s="22" t="str">
        <f t="shared" si="36"/>
        <v xml:space="preserve">La_Libertad_08 Pataz </v>
      </c>
      <c r="AI1211" s="10" t="s">
        <v>1526</v>
      </c>
      <c r="AJ1211" s="20" t="s">
        <v>1494</v>
      </c>
      <c r="AK1211" s="22" t="str">
        <f t="shared" si="37"/>
        <v>La_Libertad_08 Pataz _12 Taurija</v>
      </c>
      <c r="AL1211" s="25">
        <v>9</v>
      </c>
      <c r="AM1211" s="25">
        <v>1</v>
      </c>
      <c r="AN1211" s="26">
        <f>Tabla2[[#This Row],[Minutos]]/60</f>
        <v>1.6666666666666666E-2</v>
      </c>
      <c r="AO1211" s="27">
        <f>SUM(Tabla2[[#This Row],[Horas]],Tabla2[[#This Row],[Minutos a Horas]])</f>
        <v>9.0166666666666675</v>
      </c>
      <c r="AP1211" s="49">
        <v>16</v>
      </c>
      <c r="AQ1211" s="49"/>
      <c r="AR1211" s="26">
        <f>Tabla2[[#This Row],[Minutos*]]/60</f>
        <v>0</v>
      </c>
      <c r="AS1211" s="27">
        <f>SUM(Tabla2[[#This Row],[Horas*]],Tabla2[[#This Row],[Minutos a Horas*]])+(Tabla2[[#This Row],[Tiempo Total a Nivel Proncincial (Horas)]])</f>
        <v>25.016666666666666</v>
      </c>
    </row>
    <row r="1212" spans="28:45" x14ac:dyDescent="0.25">
      <c r="AB1212" s="89"/>
      <c r="AD1212" s="32" t="s">
        <v>2396</v>
      </c>
      <c r="AE1212" s="10" t="s">
        <v>384</v>
      </c>
      <c r="AF1212" s="20" t="s">
        <v>1432</v>
      </c>
      <c r="AG1212" s="10"/>
      <c r="AH1212" s="22" t="str">
        <f t="shared" si="36"/>
        <v xml:space="preserve">La_Libertad_08 Pataz </v>
      </c>
      <c r="AI1212" s="10" t="s">
        <v>1526</v>
      </c>
      <c r="AJ1212" s="20" t="s">
        <v>1495</v>
      </c>
      <c r="AK1212" s="22" t="str">
        <f t="shared" si="37"/>
        <v>La_Libertad_08 Pataz _13 Urpay</v>
      </c>
      <c r="AL1212" s="25">
        <v>9</v>
      </c>
      <c r="AM1212" s="25">
        <v>1</v>
      </c>
      <c r="AN1212" s="26">
        <f>Tabla2[[#This Row],[Minutos]]/60</f>
        <v>1.6666666666666666E-2</v>
      </c>
      <c r="AO1212" s="27">
        <f>SUM(Tabla2[[#This Row],[Horas]],Tabla2[[#This Row],[Minutos a Horas]])</f>
        <v>9.0166666666666675</v>
      </c>
      <c r="AP1212" s="49">
        <v>16</v>
      </c>
      <c r="AQ1212" s="49"/>
      <c r="AR1212" s="26">
        <f>Tabla2[[#This Row],[Minutos*]]/60</f>
        <v>0</v>
      </c>
      <c r="AS1212" s="27">
        <f>SUM(Tabla2[[#This Row],[Horas*]],Tabla2[[#This Row],[Minutos a Horas*]])+(Tabla2[[#This Row],[Tiempo Total a Nivel Proncincial (Horas)]])</f>
        <v>25.016666666666666</v>
      </c>
    </row>
    <row r="1213" spans="28:45" x14ac:dyDescent="0.25">
      <c r="AB1213" s="89"/>
      <c r="AD1213" s="32" t="s">
        <v>2396</v>
      </c>
      <c r="AE1213" s="10" t="s">
        <v>384</v>
      </c>
      <c r="AF1213" s="20" t="s">
        <v>1433</v>
      </c>
      <c r="AG1213" s="10"/>
      <c r="AH1213" s="22" t="str">
        <f t="shared" si="36"/>
        <v xml:space="preserve">La_Libertad_09 Sánchez Carrión </v>
      </c>
      <c r="AI1213" s="10" t="s">
        <v>1527</v>
      </c>
      <c r="AJ1213" s="20" t="s">
        <v>1496</v>
      </c>
      <c r="AK1213" s="22" t="str">
        <f t="shared" si="37"/>
        <v>La_Libertad_09 Sánchez Carrión _01 Huamachuco</v>
      </c>
      <c r="AL1213" s="25">
        <v>4</v>
      </c>
      <c r="AM1213" s="25">
        <v>9</v>
      </c>
      <c r="AN1213" s="26">
        <f>Tabla2[[#This Row],[Minutos]]/60</f>
        <v>0.15</v>
      </c>
      <c r="AO1213" s="27">
        <f>SUM(Tabla2[[#This Row],[Horas]],Tabla2[[#This Row],[Minutos a Horas]])</f>
        <v>4.1500000000000004</v>
      </c>
      <c r="AP1213" s="49">
        <v>4</v>
      </c>
      <c r="AQ1213" s="49">
        <v>30</v>
      </c>
      <c r="AR1213" s="26">
        <f>Tabla2[[#This Row],[Minutos*]]/60</f>
        <v>0.5</v>
      </c>
      <c r="AS1213" s="27">
        <f>SUM(Tabla2[[#This Row],[Horas*]],Tabla2[[#This Row],[Minutos a Horas*]])+(Tabla2[[#This Row],[Tiempo Total a Nivel Proncincial (Horas)]])</f>
        <v>8.65</v>
      </c>
    </row>
    <row r="1214" spans="28:45" x14ac:dyDescent="0.25">
      <c r="AB1214" s="89"/>
      <c r="AD1214" s="32" t="s">
        <v>2396</v>
      </c>
      <c r="AE1214" s="10" t="s">
        <v>384</v>
      </c>
      <c r="AF1214" s="20" t="s">
        <v>1433</v>
      </c>
      <c r="AG1214" s="10"/>
      <c r="AH1214" s="22" t="str">
        <f t="shared" si="36"/>
        <v xml:space="preserve">La_Libertad_09 Sánchez Carrión </v>
      </c>
      <c r="AI1214" s="10" t="s">
        <v>1527</v>
      </c>
      <c r="AJ1214" s="20" t="s">
        <v>1497</v>
      </c>
      <c r="AK1214" s="22" t="str">
        <f t="shared" si="37"/>
        <v>La_Libertad_09 Sánchez Carrión _02 Chugay</v>
      </c>
      <c r="AL1214" s="25">
        <v>4</v>
      </c>
      <c r="AM1214" s="25">
        <v>9</v>
      </c>
      <c r="AN1214" s="26">
        <f>Tabla2[[#This Row],[Minutos]]/60</f>
        <v>0.15</v>
      </c>
      <c r="AO1214" s="27">
        <f>SUM(Tabla2[[#This Row],[Horas]],Tabla2[[#This Row],[Minutos a Horas]])</f>
        <v>4.1500000000000004</v>
      </c>
      <c r="AP1214" s="49">
        <v>5</v>
      </c>
      <c r="AQ1214" s="49">
        <v>45</v>
      </c>
      <c r="AR1214" s="26">
        <f>Tabla2[[#This Row],[Minutos*]]/60</f>
        <v>0.75</v>
      </c>
      <c r="AS1214" s="27">
        <f>SUM(Tabla2[[#This Row],[Horas*]],Tabla2[[#This Row],[Minutos a Horas*]])+(Tabla2[[#This Row],[Tiempo Total a Nivel Proncincial (Horas)]])</f>
        <v>9.9</v>
      </c>
    </row>
    <row r="1215" spans="28:45" x14ac:dyDescent="0.25">
      <c r="AB1215" s="89"/>
      <c r="AD1215" s="32" t="s">
        <v>2396</v>
      </c>
      <c r="AE1215" s="10" t="s">
        <v>384</v>
      </c>
      <c r="AF1215" s="20" t="s">
        <v>1433</v>
      </c>
      <c r="AG1215" s="10"/>
      <c r="AH1215" s="22" t="str">
        <f t="shared" si="36"/>
        <v xml:space="preserve">La_Libertad_09 Sánchez Carrión </v>
      </c>
      <c r="AI1215" s="10" t="s">
        <v>1527</v>
      </c>
      <c r="AJ1215" s="20" t="s">
        <v>1498</v>
      </c>
      <c r="AK1215" s="22" t="str">
        <f t="shared" si="37"/>
        <v>La_Libertad_09 Sánchez Carrión _03 Cochorco</v>
      </c>
      <c r="AL1215" s="25">
        <v>4</v>
      </c>
      <c r="AM1215" s="25">
        <v>9</v>
      </c>
      <c r="AN1215" s="26">
        <f>Tabla2[[#This Row],[Minutos]]/60</f>
        <v>0.15</v>
      </c>
      <c r="AO1215" s="27">
        <f>SUM(Tabla2[[#This Row],[Horas]],Tabla2[[#This Row],[Minutos a Horas]])</f>
        <v>4.1500000000000004</v>
      </c>
      <c r="AP1215" s="49">
        <v>8</v>
      </c>
      <c r="AQ1215" s="49"/>
      <c r="AR1215" s="26">
        <f>Tabla2[[#This Row],[Minutos*]]/60</f>
        <v>0</v>
      </c>
      <c r="AS1215" s="27">
        <f>SUM(Tabla2[[#This Row],[Horas*]],Tabla2[[#This Row],[Minutos a Horas*]])+(Tabla2[[#This Row],[Tiempo Total a Nivel Proncincial (Horas)]])</f>
        <v>12.15</v>
      </c>
    </row>
    <row r="1216" spans="28:45" x14ac:dyDescent="0.25">
      <c r="AB1216" s="89"/>
      <c r="AD1216" s="32" t="s">
        <v>2396</v>
      </c>
      <c r="AE1216" s="10" t="s">
        <v>384</v>
      </c>
      <c r="AF1216" s="20" t="s">
        <v>1433</v>
      </c>
      <c r="AG1216" s="10"/>
      <c r="AH1216" s="22" t="str">
        <f t="shared" si="36"/>
        <v xml:space="preserve">La_Libertad_09 Sánchez Carrión </v>
      </c>
      <c r="AI1216" s="10" t="s">
        <v>1527</v>
      </c>
      <c r="AJ1216" s="20" t="s">
        <v>1499</v>
      </c>
      <c r="AK1216" s="22" t="str">
        <f t="shared" si="37"/>
        <v>La_Libertad_09 Sánchez Carrión _04 Curgos</v>
      </c>
      <c r="AL1216" s="25">
        <v>4</v>
      </c>
      <c r="AM1216" s="25">
        <v>9</v>
      </c>
      <c r="AN1216" s="26">
        <f>Tabla2[[#This Row],[Minutos]]/60</f>
        <v>0.15</v>
      </c>
      <c r="AO1216" s="27">
        <f>SUM(Tabla2[[#This Row],[Horas]],Tabla2[[#This Row],[Minutos a Horas]])</f>
        <v>4.1500000000000004</v>
      </c>
      <c r="AP1216" s="49">
        <v>5</v>
      </c>
      <c r="AQ1216" s="49">
        <v>0</v>
      </c>
      <c r="AR1216" s="26">
        <f>Tabla2[[#This Row],[Minutos*]]/60</f>
        <v>0</v>
      </c>
      <c r="AS1216" s="27">
        <f>SUM(Tabla2[[#This Row],[Horas*]],Tabla2[[#This Row],[Minutos a Horas*]])+(Tabla2[[#This Row],[Tiempo Total a Nivel Proncincial (Horas)]])</f>
        <v>9.15</v>
      </c>
    </row>
    <row r="1217" spans="28:45" x14ac:dyDescent="0.25">
      <c r="AB1217" s="89"/>
      <c r="AD1217" s="32" t="s">
        <v>2396</v>
      </c>
      <c r="AE1217" s="10" t="s">
        <v>384</v>
      </c>
      <c r="AF1217" s="20" t="s">
        <v>1433</v>
      </c>
      <c r="AG1217" s="10"/>
      <c r="AH1217" s="22" t="str">
        <f t="shared" si="36"/>
        <v xml:space="preserve">La_Libertad_09 Sánchez Carrión </v>
      </c>
      <c r="AI1217" s="10" t="s">
        <v>1527</v>
      </c>
      <c r="AJ1217" s="20" t="s">
        <v>1500</v>
      </c>
      <c r="AK1217" s="22" t="str">
        <f t="shared" si="37"/>
        <v>La_Libertad_09 Sánchez Carrión _05 Marcabal</v>
      </c>
      <c r="AL1217" s="25">
        <v>4</v>
      </c>
      <c r="AM1217" s="25">
        <v>9</v>
      </c>
      <c r="AN1217" s="26">
        <f>Tabla2[[#This Row],[Minutos]]/60</f>
        <v>0.15</v>
      </c>
      <c r="AO1217" s="27">
        <f>SUM(Tabla2[[#This Row],[Horas]],Tabla2[[#This Row],[Minutos a Horas]])</f>
        <v>4.1500000000000004</v>
      </c>
      <c r="AP1217" s="49">
        <v>5</v>
      </c>
      <c r="AQ1217" s="49">
        <v>20</v>
      </c>
      <c r="AR1217" s="26">
        <f>Tabla2[[#This Row],[Minutos*]]/60</f>
        <v>0.33333333333333331</v>
      </c>
      <c r="AS1217" s="27">
        <f>SUM(Tabla2[[#This Row],[Horas*]],Tabla2[[#This Row],[Minutos a Horas*]])+(Tabla2[[#This Row],[Tiempo Total a Nivel Proncincial (Horas)]])</f>
        <v>9.4833333333333343</v>
      </c>
    </row>
    <row r="1218" spans="28:45" x14ac:dyDescent="0.25">
      <c r="AB1218" s="89"/>
      <c r="AD1218" s="32" t="s">
        <v>2396</v>
      </c>
      <c r="AE1218" s="10" t="s">
        <v>384</v>
      </c>
      <c r="AF1218" s="20" t="s">
        <v>1433</v>
      </c>
      <c r="AG1218" s="10"/>
      <c r="AH1218" s="22" t="str">
        <f t="shared" si="36"/>
        <v xml:space="preserve">La_Libertad_09 Sánchez Carrión </v>
      </c>
      <c r="AI1218" s="10" t="s">
        <v>1527</v>
      </c>
      <c r="AJ1218" s="20" t="s">
        <v>1501</v>
      </c>
      <c r="AK1218" s="22" t="str">
        <f t="shared" si="37"/>
        <v>La_Libertad_09 Sánchez Carrión _06 Sanagoran</v>
      </c>
      <c r="AL1218" s="25">
        <v>4</v>
      </c>
      <c r="AM1218" s="25">
        <v>9</v>
      </c>
      <c r="AN1218" s="26">
        <f>Tabla2[[#This Row],[Minutos]]/60</f>
        <v>0.15</v>
      </c>
      <c r="AO1218" s="27">
        <f>SUM(Tabla2[[#This Row],[Horas]],Tabla2[[#This Row],[Minutos a Horas]])</f>
        <v>4.1500000000000004</v>
      </c>
      <c r="AP1218" s="49">
        <v>5</v>
      </c>
      <c r="AQ1218" s="49"/>
      <c r="AR1218" s="26">
        <f>Tabla2[[#This Row],[Minutos*]]/60</f>
        <v>0</v>
      </c>
      <c r="AS1218" s="27">
        <f>SUM(Tabla2[[#This Row],[Horas*]],Tabla2[[#This Row],[Minutos a Horas*]])+(Tabla2[[#This Row],[Tiempo Total a Nivel Proncincial (Horas)]])</f>
        <v>9.15</v>
      </c>
    </row>
    <row r="1219" spans="28:45" x14ac:dyDescent="0.25">
      <c r="AB1219" s="89"/>
      <c r="AD1219" s="32" t="s">
        <v>2396</v>
      </c>
      <c r="AE1219" s="10" t="s">
        <v>384</v>
      </c>
      <c r="AF1219" s="20" t="s">
        <v>1433</v>
      </c>
      <c r="AG1219" s="10"/>
      <c r="AH1219" s="22" t="str">
        <f t="shared" si="36"/>
        <v xml:space="preserve">La_Libertad_09 Sánchez Carrión </v>
      </c>
      <c r="AI1219" s="10" t="s">
        <v>1527</v>
      </c>
      <c r="AJ1219" s="20" t="s">
        <v>1502</v>
      </c>
      <c r="AK1219" s="22" t="str">
        <f t="shared" si="37"/>
        <v>La_Libertad_09 Sánchez Carrión _07 Sarin</v>
      </c>
      <c r="AL1219" s="25">
        <v>4</v>
      </c>
      <c r="AM1219" s="25">
        <v>9</v>
      </c>
      <c r="AN1219" s="26">
        <f>Tabla2[[#This Row],[Minutos]]/60</f>
        <v>0.15</v>
      </c>
      <c r="AO1219" s="27">
        <f>SUM(Tabla2[[#This Row],[Horas]],Tabla2[[#This Row],[Minutos a Horas]])</f>
        <v>4.1500000000000004</v>
      </c>
      <c r="AP1219" s="49">
        <v>6</v>
      </c>
      <c r="AQ1219" s="49"/>
      <c r="AR1219" s="26">
        <f>Tabla2[[#This Row],[Minutos*]]/60</f>
        <v>0</v>
      </c>
      <c r="AS1219" s="27">
        <f>SUM(Tabla2[[#This Row],[Horas*]],Tabla2[[#This Row],[Minutos a Horas*]])+(Tabla2[[#This Row],[Tiempo Total a Nivel Proncincial (Horas)]])</f>
        <v>10.15</v>
      </c>
    </row>
    <row r="1220" spans="28:45" x14ac:dyDescent="0.25">
      <c r="AB1220" s="89"/>
      <c r="AD1220" s="32" t="s">
        <v>2396</v>
      </c>
      <c r="AE1220" s="10" t="s">
        <v>384</v>
      </c>
      <c r="AF1220" s="20" t="s">
        <v>1433</v>
      </c>
      <c r="AG1220" s="10"/>
      <c r="AH1220" s="22" t="str">
        <f t="shared" si="36"/>
        <v xml:space="preserve">La_Libertad_09 Sánchez Carrión </v>
      </c>
      <c r="AI1220" s="10" t="s">
        <v>1527</v>
      </c>
      <c r="AJ1220" s="20" t="s">
        <v>1503</v>
      </c>
      <c r="AK1220" s="22" t="str">
        <f t="shared" si="37"/>
        <v>La_Libertad_09 Sánchez Carrión _08 Sartimbamba</v>
      </c>
      <c r="AL1220" s="25">
        <v>4</v>
      </c>
      <c r="AM1220" s="25">
        <v>9</v>
      </c>
      <c r="AN1220" s="26">
        <f>Tabla2[[#This Row],[Minutos]]/60</f>
        <v>0.15</v>
      </c>
      <c r="AO1220" s="27">
        <f>SUM(Tabla2[[#This Row],[Horas]],Tabla2[[#This Row],[Minutos a Horas]])</f>
        <v>4.1500000000000004</v>
      </c>
      <c r="AP1220" s="49">
        <v>7</v>
      </c>
      <c r="AQ1220" s="49">
        <v>0</v>
      </c>
      <c r="AR1220" s="26">
        <f>Tabla2[[#This Row],[Minutos*]]/60</f>
        <v>0</v>
      </c>
      <c r="AS1220" s="27">
        <f>SUM(Tabla2[[#This Row],[Horas*]],Tabla2[[#This Row],[Minutos a Horas*]])+(Tabla2[[#This Row],[Tiempo Total a Nivel Proncincial (Horas)]])</f>
        <v>11.15</v>
      </c>
    </row>
    <row r="1221" spans="28:45" x14ac:dyDescent="0.25">
      <c r="AB1221" s="89"/>
      <c r="AD1221" s="32" t="s">
        <v>2396</v>
      </c>
      <c r="AE1221" s="10" t="s">
        <v>384</v>
      </c>
      <c r="AF1221" s="20" t="s">
        <v>1434</v>
      </c>
      <c r="AG1221" s="10"/>
      <c r="AH1221" s="22" t="str">
        <f t="shared" si="36"/>
        <v xml:space="preserve">La_Libertad_10 Santiago de Chuco </v>
      </c>
      <c r="AI1221" s="10" t="s">
        <v>1528</v>
      </c>
      <c r="AJ1221" s="20" t="s">
        <v>1504</v>
      </c>
      <c r="AK1221" s="22" t="str">
        <f t="shared" si="37"/>
        <v>La_Libertad_10 Santiago de Chuco _01 Santiago de Chuco</v>
      </c>
      <c r="AL1221" s="25">
        <v>3</v>
      </c>
      <c r="AM1221" s="25">
        <v>5</v>
      </c>
      <c r="AN1221" s="26">
        <f>Tabla2[[#This Row],[Minutos]]/60</f>
        <v>8.3333333333333329E-2</v>
      </c>
      <c r="AO1221" s="27">
        <f>SUM(Tabla2[[#This Row],[Horas]],Tabla2[[#This Row],[Minutos a Horas]])</f>
        <v>3.0833333333333335</v>
      </c>
      <c r="AP1221" s="49">
        <v>4</v>
      </c>
      <c r="AQ1221" s="49">
        <v>30</v>
      </c>
      <c r="AR1221" s="26">
        <f>Tabla2[[#This Row],[Minutos*]]/60</f>
        <v>0.5</v>
      </c>
      <c r="AS1221" s="27">
        <f>SUM(Tabla2[[#This Row],[Horas*]],Tabla2[[#This Row],[Minutos a Horas*]])+(Tabla2[[#This Row],[Tiempo Total a Nivel Proncincial (Horas)]])</f>
        <v>7.5833333333333339</v>
      </c>
    </row>
    <row r="1222" spans="28:45" x14ac:dyDescent="0.25">
      <c r="AB1222" s="89"/>
      <c r="AD1222" s="32" t="s">
        <v>2396</v>
      </c>
      <c r="AE1222" s="10" t="s">
        <v>384</v>
      </c>
      <c r="AF1222" s="20" t="s">
        <v>1434</v>
      </c>
      <c r="AG1222" s="10"/>
      <c r="AH1222" s="22" t="str">
        <f t="shared" si="36"/>
        <v xml:space="preserve">La_Libertad_10 Santiago de Chuco </v>
      </c>
      <c r="AI1222" s="10" t="s">
        <v>1528</v>
      </c>
      <c r="AJ1222" s="20" t="s">
        <v>1505</v>
      </c>
      <c r="AK1222" s="22" t="str">
        <f t="shared" si="37"/>
        <v>La_Libertad_10 Santiago de Chuco _02 Angasmarca</v>
      </c>
      <c r="AL1222" s="25">
        <v>3</v>
      </c>
      <c r="AM1222" s="25">
        <v>5</v>
      </c>
      <c r="AN1222" s="26">
        <f>Tabla2[[#This Row],[Minutos]]/60</f>
        <v>8.3333333333333329E-2</v>
      </c>
      <c r="AO1222" s="27">
        <f>SUM(Tabla2[[#This Row],[Horas]],Tabla2[[#This Row],[Minutos a Horas]])</f>
        <v>3.0833333333333335</v>
      </c>
      <c r="AP1222" s="49">
        <v>6</v>
      </c>
      <c r="AQ1222" s="49">
        <v>0</v>
      </c>
      <c r="AR1222" s="26">
        <f>Tabla2[[#This Row],[Minutos*]]/60</f>
        <v>0</v>
      </c>
      <c r="AS1222" s="27">
        <f>SUM(Tabla2[[#This Row],[Horas*]],Tabla2[[#This Row],[Minutos a Horas*]])+(Tabla2[[#This Row],[Tiempo Total a Nivel Proncincial (Horas)]])</f>
        <v>9.0833333333333339</v>
      </c>
    </row>
    <row r="1223" spans="28:45" x14ac:dyDescent="0.25">
      <c r="AB1223" s="89"/>
      <c r="AD1223" s="32" t="s">
        <v>2396</v>
      </c>
      <c r="AE1223" s="10" t="s">
        <v>384</v>
      </c>
      <c r="AF1223" s="20" t="s">
        <v>1434</v>
      </c>
      <c r="AG1223" s="10"/>
      <c r="AH1223" s="22" t="str">
        <f t="shared" si="36"/>
        <v xml:space="preserve">La_Libertad_10 Santiago de Chuco </v>
      </c>
      <c r="AI1223" s="10" t="s">
        <v>1528</v>
      </c>
      <c r="AJ1223" s="20" t="s">
        <v>1506</v>
      </c>
      <c r="AK1223" s="22" t="str">
        <f t="shared" si="37"/>
        <v>La_Libertad_10 Santiago de Chuco _03 Cachicadan</v>
      </c>
      <c r="AL1223" s="25">
        <v>3</v>
      </c>
      <c r="AM1223" s="25">
        <v>5</v>
      </c>
      <c r="AN1223" s="26">
        <f>Tabla2[[#This Row],[Minutos]]/60</f>
        <v>8.3333333333333329E-2</v>
      </c>
      <c r="AO1223" s="27">
        <f>SUM(Tabla2[[#This Row],[Horas]],Tabla2[[#This Row],[Minutos a Horas]])</f>
        <v>3.0833333333333335</v>
      </c>
      <c r="AP1223" s="49">
        <v>5</v>
      </c>
      <c r="AQ1223" s="49">
        <v>0</v>
      </c>
      <c r="AR1223" s="26">
        <f>Tabla2[[#This Row],[Minutos*]]/60</f>
        <v>0</v>
      </c>
      <c r="AS1223" s="27">
        <f>SUM(Tabla2[[#This Row],[Horas*]],Tabla2[[#This Row],[Minutos a Horas*]])+(Tabla2[[#This Row],[Tiempo Total a Nivel Proncincial (Horas)]])</f>
        <v>8.0833333333333339</v>
      </c>
    </row>
    <row r="1224" spans="28:45" x14ac:dyDescent="0.25">
      <c r="AB1224" s="89"/>
      <c r="AD1224" s="32" t="s">
        <v>2396</v>
      </c>
      <c r="AE1224" s="10" t="s">
        <v>384</v>
      </c>
      <c r="AF1224" s="20" t="s">
        <v>1434</v>
      </c>
      <c r="AG1224" s="10"/>
      <c r="AH1224" s="22" t="str">
        <f t="shared" ref="AH1224:AH1305" si="38">CONCATENATE(AD1224,"_",AF1224)</f>
        <v xml:space="preserve">La_Libertad_10 Santiago de Chuco </v>
      </c>
      <c r="AI1224" s="10" t="s">
        <v>1528</v>
      </c>
      <c r="AJ1224" s="20" t="s">
        <v>1507</v>
      </c>
      <c r="AK1224" s="22" t="str">
        <f t="shared" ref="AK1224:AK1305" si="39">CONCATENATE(AH1224,"_",AJ1224)</f>
        <v>La_Libertad_10 Santiago de Chuco _04 Mollebamba</v>
      </c>
      <c r="AL1224" s="25">
        <v>3</v>
      </c>
      <c r="AM1224" s="25">
        <v>5</v>
      </c>
      <c r="AN1224" s="26">
        <f>Tabla2[[#This Row],[Minutos]]/60</f>
        <v>8.3333333333333329E-2</v>
      </c>
      <c r="AO1224" s="27">
        <f>SUM(Tabla2[[#This Row],[Horas]],Tabla2[[#This Row],[Minutos a Horas]])</f>
        <v>3.0833333333333335</v>
      </c>
      <c r="AP1224" s="49">
        <v>6</v>
      </c>
      <c r="AQ1224" s="49">
        <v>30</v>
      </c>
      <c r="AR1224" s="26">
        <f>Tabla2[[#This Row],[Minutos*]]/60</f>
        <v>0.5</v>
      </c>
      <c r="AS1224" s="27">
        <f>SUM(Tabla2[[#This Row],[Horas*]],Tabla2[[#This Row],[Minutos a Horas*]])+(Tabla2[[#This Row],[Tiempo Total a Nivel Proncincial (Horas)]])</f>
        <v>9.5833333333333339</v>
      </c>
    </row>
    <row r="1225" spans="28:45" x14ac:dyDescent="0.25">
      <c r="AB1225" s="89"/>
      <c r="AD1225" s="32" t="s">
        <v>2396</v>
      </c>
      <c r="AE1225" s="10" t="s">
        <v>384</v>
      </c>
      <c r="AF1225" s="20" t="s">
        <v>1434</v>
      </c>
      <c r="AG1225" s="10"/>
      <c r="AH1225" s="22" t="str">
        <f t="shared" si="38"/>
        <v xml:space="preserve">La_Libertad_10 Santiago de Chuco </v>
      </c>
      <c r="AI1225" s="10" t="s">
        <v>1528</v>
      </c>
      <c r="AJ1225" s="20" t="s">
        <v>1508</v>
      </c>
      <c r="AK1225" s="22" t="str">
        <f t="shared" si="39"/>
        <v>La_Libertad_10 Santiago de Chuco _05 Mollepata</v>
      </c>
      <c r="AL1225" s="25">
        <v>3</v>
      </c>
      <c r="AM1225" s="25">
        <v>5</v>
      </c>
      <c r="AN1225" s="26">
        <f>Tabla2[[#This Row],[Minutos]]/60</f>
        <v>8.3333333333333329E-2</v>
      </c>
      <c r="AO1225" s="27">
        <f>SUM(Tabla2[[#This Row],[Horas]],Tabla2[[#This Row],[Minutos a Horas]])</f>
        <v>3.0833333333333335</v>
      </c>
      <c r="AP1225" s="49">
        <v>7</v>
      </c>
      <c r="AQ1225" s="49">
        <v>0</v>
      </c>
      <c r="AR1225" s="26">
        <f>Tabla2[[#This Row],[Minutos*]]/60</f>
        <v>0</v>
      </c>
      <c r="AS1225" s="27">
        <f>SUM(Tabla2[[#This Row],[Horas*]],Tabla2[[#This Row],[Minutos a Horas*]])+(Tabla2[[#This Row],[Tiempo Total a Nivel Proncincial (Horas)]])</f>
        <v>10.083333333333334</v>
      </c>
    </row>
    <row r="1226" spans="28:45" x14ac:dyDescent="0.25">
      <c r="AB1226" s="89"/>
      <c r="AD1226" s="32" t="s">
        <v>2396</v>
      </c>
      <c r="AE1226" s="10" t="s">
        <v>384</v>
      </c>
      <c r="AF1226" s="20" t="s">
        <v>1434</v>
      </c>
      <c r="AG1226" s="10"/>
      <c r="AH1226" s="22" t="str">
        <f t="shared" si="38"/>
        <v xml:space="preserve">La_Libertad_10 Santiago de Chuco </v>
      </c>
      <c r="AI1226" s="10" t="s">
        <v>1528</v>
      </c>
      <c r="AJ1226" s="20" t="s">
        <v>1509</v>
      </c>
      <c r="AK1226" s="22" t="str">
        <f t="shared" si="39"/>
        <v>La_Libertad_10 Santiago de Chuco _06 Quiruvilca</v>
      </c>
      <c r="AL1226" s="25">
        <v>3</v>
      </c>
      <c r="AM1226" s="25">
        <v>5</v>
      </c>
      <c r="AN1226" s="26">
        <f>Tabla2[[#This Row],[Minutos]]/60</f>
        <v>8.3333333333333329E-2</v>
      </c>
      <c r="AO1226" s="27">
        <f>SUM(Tabla2[[#This Row],[Horas]],Tabla2[[#This Row],[Minutos a Horas]])</f>
        <v>3.0833333333333335</v>
      </c>
      <c r="AP1226" s="49">
        <v>2</v>
      </c>
      <c r="AQ1226" s="49">
        <v>50</v>
      </c>
      <c r="AR1226" s="26">
        <f>Tabla2[[#This Row],[Minutos*]]/60</f>
        <v>0.83333333333333337</v>
      </c>
      <c r="AS1226" s="27">
        <f>SUM(Tabla2[[#This Row],[Horas*]],Tabla2[[#This Row],[Minutos a Horas*]])+(Tabla2[[#This Row],[Tiempo Total a Nivel Proncincial (Horas)]])</f>
        <v>5.916666666666667</v>
      </c>
    </row>
    <row r="1227" spans="28:45" x14ac:dyDescent="0.25">
      <c r="AB1227" s="89"/>
      <c r="AD1227" s="32" t="s">
        <v>2396</v>
      </c>
      <c r="AE1227" s="10" t="s">
        <v>384</v>
      </c>
      <c r="AF1227" s="20" t="s">
        <v>1434</v>
      </c>
      <c r="AG1227" s="10"/>
      <c r="AH1227" s="22" t="str">
        <f t="shared" si="38"/>
        <v xml:space="preserve">La_Libertad_10 Santiago de Chuco </v>
      </c>
      <c r="AI1227" s="10" t="s">
        <v>1528</v>
      </c>
      <c r="AJ1227" s="20" t="s">
        <v>1510</v>
      </c>
      <c r="AK1227" s="22" t="str">
        <f t="shared" si="39"/>
        <v>La_Libertad_10 Santiago de Chuco _07 Santa Cruz de Chuca</v>
      </c>
      <c r="AL1227" s="25">
        <v>3</v>
      </c>
      <c r="AM1227" s="25">
        <v>5</v>
      </c>
      <c r="AN1227" s="26">
        <f>Tabla2[[#This Row],[Minutos]]/60</f>
        <v>8.3333333333333329E-2</v>
      </c>
      <c r="AO1227" s="27">
        <f>SUM(Tabla2[[#This Row],[Horas]],Tabla2[[#This Row],[Minutos a Horas]])</f>
        <v>3.0833333333333335</v>
      </c>
      <c r="AP1227" s="49">
        <v>5</v>
      </c>
      <c r="AQ1227" s="49">
        <v>30</v>
      </c>
      <c r="AR1227" s="26">
        <f>Tabla2[[#This Row],[Minutos*]]/60</f>
        <v>0.5</v>
      </c>
      <c r="AS1227" s="27">
        <f>SUM(Tabla2[[#This Row],[Horas*]],Tabla2[[#This Row],[Minutos a Horas*]])+(Tabla2[[#This Row],[Tiempo Total a Nivel Proncincial (Horas)]])</f>
        <v>8.5833333333333339</v>
      </c>
    </row>
    <row r="1228" spans="28:45" x14ac:dyDescent="0.25">
      <c r="AB1228" s="89"/>
      <c r="AD1228" s="32" t="s">
        <v>2396</v>
      </c>
      <c r="AE1228" s="10" t="s">
        <v>384</v>
      </c>
      <c r="AF1228" s="20" t="s">
        <v>1434</v>
      </c>
      <c r="AG1228" s="10"/>
      <c r="AH1228" s="22" t="str">
        <f t="shared" si="38"/>
        <v xml:space="preserve">La_Libertad_10 Santiago de Chuco </v>
      </c>
      <c r="AI1228" s="10" t="s">
        <v>1528</v>
      </c>
      <c r="AJ1228" s="20" t="s">
        <v>1511</v>
      </c>
      <c r="AK1228" s="22" t="str">
        <f t="shared" si="39"/>
        <v>La_Libertad_10 Santiago de Chuco _08 Sitabamba</v>
      </c>
      <c r="AL1228" s="25">
        <v>3</v>
      </c>
      <c r="AM1228" s="25">
        <v>5</v>
      </c>
      <c r="AN1228" s="26">
        <f>Tabla2[[#This Row],[Minutos]]/60</f>
        <v>8.3333333333333329E-2</v>
      </c>
      <c r="AO1228" s="27">
        <f>SUM(Tabla2[[#This Row],[Horas]],Tabla2[[#This Row],[Minutos a Horas]])</f>
        <v>3.0833333333333335</v>
      </c>
      <c r="AP1228" s="49"/>
      <c r="AQ1228" s="49"/>
      <c r="AR1228" s="26">
        <f>Tabla2[[#This Row],[Minutos*]]/60</f>
        <v>0</v>
      </c>
      <c r="AS1228" s="27">
        <f>SUM(Tabla2[[#This Row],[Horas*]],Tabla2[[#This Row],[Minutos a Horas*]])+(Tabla2[[#This Row],[Tiempo Total a Nivel Proncincial (Horas)]])</f>
        <v>3.0833333333333335</v>
      </c>
    </row>
    <row r="1229" spans="28:45" x14ac:dyDescent="0.25">
      <c r="AB1229" s="89"/>
      <c r="AD1229" s="32" t="s">
        <v>2396</v>
      </c>
      <c r="AE1229" s="10" t="s">
        <v>384</v>
      </c>
      <c r="AF1229" s="20" t="s">
        <v>1435</v>
      </c>
      <c r="AG1229" s="10"/>
      <c r="AH1229" s="22" t="str">
        <f t="shared" si="38"/>
        <v xml:space="preserve">La_Libertad_11 Gran Chimú </v>
      </c>
      <c r="AI1229" s="10" t="s">
        <v>1529</v>
      </c>
      <c r="AJ1229" s="20" t="s">
        <v>1512</v>
      </c>
      <c r="AK1229" s="22" t="str">
        <f t="shared" si="39"/>
        <v>La_Libertad_11 Gran Chimú _01 Cascas</v>
      </c>
      <c r="AL1229" s="25">
        <v>2</v>
      </c>
      <c r="AM1229" s="25">
        <v>15</v>
      </c>
      <c r="AN1229" s="26">
        <f>Tabla2[[#This Row],[Minutos]]/60</f>
        <v>0.25</v>
      </c>
      <c r="AO1229" s="27">
        <f>SUM(Tabla2[[#This Row],[Horas]],Tabla2[[#This Row],[Minutos a Horas]])</f>
        <v>2.25</v>
      </c>
      <c r="AP1229" s="49">
        <v>3</v>
      </c>
      <c r="AQ1229" s="49"/>
      <c r="AR1229" s="26">
        <f>Tabla2[[#This Row],[Minutos*]]/60</f>
        <v>0</v>
      </c>
      <c r="AS1229" s="27">
        <f>SUM(Tabla2[[#This Row],[Horas*]],Tabla2[[#This Row],[Minutos a Horas*]])+(Tabla2[[#This Row],[Tiempo Total a Nivel Proncincial (Horas)]])</f>
        <v>5.25</v>
      </c>
    </row>
    <row r="1230" spans="28:45" x14ac:dyDescent="0.25">
      <c r="AB1230" s="89"/>
      <c r="AD1230" s="32" t="s">
        <v>2396</v>
      </c>
      <c r="AE1230" s="10" t="s">
        <v>384</v>
      </c>
      <c r="AF1230" s="20" t="s">
        <v>1435</v>
      </c>
      <c r="AG1230" s="10"/>
      <c r="AH1230" s="22" t="str">
        <f t="shared" si="38"/>
        <v xml:space="preserve">La_Libertad_11 Gran Chimú </v>
      </c>
      <c r="AI1230" s="10" t="s">
        <v>1529</v>
      </c>
      <c r="AJ1230" s="20" t="s">
        <v>1513</v>
      </c>
      <c r="AK1230" s="22" t="str">
        <f t="shared" si="39"/>
        <v>La_Libertad_11 Gran Chimú _02 Lucma</v>
      </c>
      <c r="AL1230" s="25">
        <v>2</v>
      </c>
      <c r="AM1230" s="25">
        <v>15</v>
      </c>
      <c r="AN1230" s="26">
        <f>Tabla2[[#This Row],[Minutos]]/60</f>
        <v>0.25</v>
      </c>
      <c r="AO1230" s="27">
        <f>SUM(Tabla2[[#This Row],[Horas]],Tabla2[[#This Row],[Minutos a Horas]])</f>
        <v>2.25</v>
      </c>
      <c r="AP1230" s="49">
        <v>4</v>
      </c>
      <c r="AQ1230" s="49"/>
      <c r="AR1230" s="26">
        <f>Tabla2[[#This Row],[Minutos*]]/60</f>
        <v>0</v>
      </c>
      <c r="AS1230" s="27">
        <f>SUM(Tabla2[[#This Row],[Horas*]],Tabla2[[#This Row],[Minutos a Horas*]])+(Tabla2[[#This Row],[Tiempo Total a Nivel Proncincial (Horas)]])</f>
        <v>6.25</v>
      </c>
    </row>
    <row r="1231" spans="28:45" x14ac:dyDescent="0.25">
      <c r="AB1231" s="89"/>
      <c r="AD1231" s="32" t="s">
        <v>2396</v>
      </c>
      <c r="AE1231" s="10" t="s">
        <v>384</v>
      </c>
      <c r="AF1231" s="20" t="s">
        <v>1435</v>
      </c>
      <c r="AG1231" s="10"/>
      <c r="AH1231" s="22" t="str">
        <f t="shared" si="38"/>
        <v xml:space="preserve">La_Libertad_11 Gran Chimú </v>
      </c>
      <c r="AI1231" s="10" t="s">
        <v>1529</v>
      </c>
      <c r="AJ1231" s="20" t="s">
        <v>1514</v>
      </c>
      <c r="AK1231" s="22" t="str">
        <f t="shared" si="39"/>
        <v>La_Libertad_11 Gran Chimú _03 Marmot</v>
      </c>
      <c r="AL1231" s="25">
        <v>2</v>
      </c>
      <c r="AM1231" s="25">
        <v>15</v>
      </c>
      <c r="AN1231" s="26">
        <f>Tabla2[[#This Row],[Minutos]]/60</f>
        <v>0.25</v>
      </c>
      <c r="AO1231" s="27">
        <f>SUM(Tabla2[[#This Row],[Horas]],Tabla2[[#This Row],[Minutos a Horas]])</f>
        <v>2.25</v>
      </c>
      <c r="AP1231" s="49">
        <v>4</v>
      </c>
      <c r="AQ1231" s="49"/>
      <c r="AR1231" s="26">
        <f>Tabla2[[#This Row],[Minutos*]]/60</f>
        <v>0</v>
      </c>
      <c r="AS1231" s="27">
        <f>SUM(Tabla2[[#This Row],[Horas*]],Tabla2[[#This Row],[Minutos a Horas*]])+(Tabla2[[#This Row],[Tiempo Total a Nivel Proncincial (Horas)]])</f>
        <v>6.25</v>
      </c>
    </row>
    <row r="1232" spans="28:45" x14ac:dyDescent="0.25">
      <c r="AB1232" s="89"/>
      <c r="AD1232" s="32" t="s">
        <v>2396</v>
      </c>
      <c r="AE1232" s="10" t="s">
        <v>384</v>
      </c>
      <c r="AF1232" s="20" t="s">
        <v>1435</v>
      </c>
      <c r="AG1232" s="10"/>
      <c r="AH1232" s="22" t="str">
        <f t="shared" si="38"/>
        <v xml:space="preserve">La_Libertad_11 Gran Chimú </v>
      </c>
      <c r="AI1232" s="10" t="s">
        <v>1529</v>
      </c>
      <c r="AJ1232" s="20" t="s">
        <v>1515</v>
      </c>
      <c r="AK1232" s="22" t="str">
        <f t="shared" si="39"/>
        <v>La_Libertad_11 Gran Chimú _04 Sayapullo</v>
      </c>
      <c r="AL1232" s="25">
        <v>2</v>
      </c>
      <c r="AM1232" s="25">
        <v>15</v>
      </c>
      <c r="AN1232" s="26">
        <f>Tabla2[[#This Row],[Minutos]]/60</f>
        <v>0.25</v>
      </c>
      <c r="AO1232" s="27">
        <f>SUM(Tabla2[[#This Row],[Horas]],Tabla2[[#This Row],[Minutos a Horas]])</f>
        <v>2.25</v>
      </c>
      <c r="AP1232" s="49">
        <v>4</v>
      </c>
      <c r="AQ1232" s="49">
        <v>45</v>
      </c>
      <c r="AR1232" s="26">
        <f>Tabla2[[#This Row],[Minutos*]]/60</f>
        <v>0.75</v>
      </c>
      <c r="AS1232" s="27">
        <f>SUM(Tabla2[[#This Row],[Horas*]],Tabla2[[#This Row],[Minutos a Horas*]])+(Tabla2[[#This Row],[Tiempo Total a Nivel Proncincial (Horas)]])</f>
        <v>7</v>
      </c>
    </row>
    <row r="1233" spans="28:45" x14ac:dyDescent="0.25">
      <c r="AB1233" s="89"/>
      <c r="AD1233" s="32" t="s">
        <v>2396</v>
      </c>
      <c r="AE1233" s="10" t="s">
        <v>384</v>
      </c>
      <c r="AF1233" s="20" t="s">
        <v>1436</v>
      </c>
      <c r="AG1233" s="10"/>
      <c r="AH1233" s="22" t="str">
        <f t="shared" si="38"/>
        <v xml:space="preserve">La_Libertad_12 Virú </v>
      </c>
      <c r="AI1233" s="10" t="s">
        <v>1530</v>
      </c>
      <c r="AJ1233" s="20" t="s">
        <v>1516</v>
      </c>
      <c r="AK1233" s="22" t="str">
        <f t="shared" si="39"/>
        <v>La_Libertad_12 Virú _01 Viru</v>
      </c>
      <c r="AL1233" s="25">
        <v>1</v>
      </c>
      <c r="AM1233" s="25">
        <v>11</v>
      </c>
      <c r="AN1233" s="26">
        <f>Tabla2[[#This Row],[Minutos]]/60</f>
        <v>0.18333333333333332</v>
      </c>
      <c r="AO1233" s="27">
        <f>SUM(Tabla2[[#This Row],[Horas]],Tabla2[[#This Row],[Minutos a Horas]])</f>
        <v>1.1833333333333333</v>
      </c>
      <c r="AP1233" s="49">
        <v>1</v>
      </c>
      <c r="AQ1233" s="49">
        <v>20</v>
      </c>
      <c r="AR1233" s="26">
        <f>Tabla2[[#This Row],[Minutos*]]/60</f>
        <v>0.33333333333333331</v>
      </c>
      <c r="AS1233" s="27">
        <f>SUM(Tabla2[[#This Row],[Horas*]],Tabla2[[#This Row],[Minutos a Horas*]])+(Tabla2[[#This Row],[Tiempo Total a Nivel Proncincial (Horas)]])</f>
        <v>2.5166666666666666</v>
      </c>
    </row>
    <row r="1234" spans="28:45" x14ac:dyDescent="0.25">
      <c r="AB1234" s="89"/>
      <c r="AD1234" s="32" t="s">
        <v>2396</v>
      </c>
      <c r="AE1234" s="10" t="s">
        <v>384</v>
      </c>
      <c r="AF1234" s="20" t="s">
        <v>1436</v>
      </c>
      <c r="AG1234" s="10"/>
      <c r="AH1234" s="22" t="str">
        <f t="shared" si="38"/>
        <v xml:space="preserve">La_Libertad_12 Virú </v>
      </c>
      <c r="AI1234" s="10" t="s">
        <v>1530</v>
      </c>
      <c r="AJ1234" s="20" t="s">
        <v>1517</v>
      </c>
      <c r="AK1234" s="22" t="str">
        <f t="shared" si="39"/>
        <v>La_Libertad_12 Virú _02 Chao</v>
      </c>
      <c r="AL1234" s="25">
        <v>1</v>
      </c>
      <c r="AM1234" s="25">
        <v>11</v>
      </c>
      <c r="AN1234" s="26">
        <f>Tabla2[[#This Row],[Minutos]]/60</f>
        <v>0.18333333333333332</v>
      </c>
      <c r="AO1234" s="27">
        <f>SUM(Tabla2[[#This Row],[Horas]],Tabla2[[#This Row],[Minutos a Horas]])</f>
        <v>1.1833333333333333</v>
      </c>
      <c r="AP1234" s="49">
        <v>1</v>
      </c>
      <c r="AQ1234" s="49">
        <v>20</v>
      </c>
      <c r="AR1234" s="26">
        <f>Tabla2[[#This Row],[Minutos*]]/60</f>
        <v>0.33333333333333331</v>
      </c>
      <c r="AS1234" s="27">
        <f>SUM(Tabla2[[#This Row],[Horas*]],Tabla2[[#This Row],[Minutos a Horas*]])+(Tabla2[[#This Row],[Tiempo Total a Nivel Proncincial (Horas)]])</f>
        <v>2.5166666666666666</v>
      </c>
    </row>
    <row r="1235" spans="28:45" x14ac:dyDescent="0.25">
      <c r="AB1235" s="89"/>
      <c r="AD1235" s="32" t="s">
        <v>2396</v>
      </c>
      <c r="AE1235" s="10" t="s">
        <v>384</v>
      </c>
      <c r="AF1235" s="20" t="s">
        <v>1436</v>
      </c>
      <c r="AG1235" s="10"/>
      <c r="AH1235" s="22" t="str">
        <f t="shared" si="38"/>
        <v xml:space="preserve">La_Libertad_12 Virú </v>
      </c>
      <c r="AI1235" s="10" t="s">
        <v>1530</v>
      </c>
      <c r="AJ1235" s="20" t="s">
        <v>1518</v>
      </c>
      <c r="AK1235" s="22" t="str">
        <f t="shared" si="39"/>
        <v>La_Libertad_12 Virú _03 Guadalupito</v>
      </c>
      <c r="AL1235" s="25">
        <v>1</v>
      </c>
      <c r="AM1235" s="25">
        <v>11</v>
      </c>
      <c r="AN1235" s="26">
        <f>Tabla2[[#This Row],[Minutos]]/60</f>
        <v>0.18333333333333332</v>
      </c>
      <c r="AO1235" s="27">
        <f>SUM(Tabla2[[#This Row],[Horas]],Tabla2[[#This Row],[Minutos a Horas]])</f>
        <v>1.1833333333333333</v>
      </c>
      <c r="AP1235" s="49">
        <v>1</v>
      </c>
      <c r="AQ1235" s="49">
        <v>55</v>
      </c>
      <c r="AR1235" s="26">
        <f>Tabla2[[#This Row],[Minutos*]]/60</f>
        <v>0.91666666666666663</v>
      </c>
      <c r="AS1235" s="27">
        <f>SUM(Tabla2[[#This Row],[Horas*]],Tabla2[[#This Row],[Minutos a Horas*]])+(Tabla2[[#This Row],[Tiempo Total a Nivel Proncincial (Horas)]])</f>
        <v>3.0999999999999996</v>
      </c>
    </row>
    <row r="1236" spans="28:45" x14ac:dyDescent="0.25">
      <c r="AB1236" s="89"/>
      <c r="AD1236" s="20" t="s">
        <v>2393</v>
      </c>
      <c r="AE1236" s="10" t="s">
        <v>385</v>
      </c>
      <c r="AF1236" s="20" t="s">
        <v>1531</v>
      </c>
      <c r="AG1236" s="10" t="s">
        <v>1531</v>
      </c>
      <c r="AH1236" s="22" t="str">
        <f t="shared" si="38"/>
        <v xml:space="preserve">Lambayeque_01 Chiclayo </v>
      </c>
      <c r="AI1236" s="10" t="s">
        <v>1572</v>
      </c>
      <c r="AJ1236" s="20" t="s">
        <v>1534</v>
      </c>
      <c r="AK1236" s="22" t="str">
        <f t="shared" si="39"/>
        <v>Lambayeque_01 Chiclayo _01 Chiclayo</v>
      </c>
      <c r="AL1236" s="25">
        <v>1</v>
      </c>
      <c r="AM1236" s="25">
        <v>26</v>
      </c>
      <c r="AN1236" s="26">
        <f>Tabla2[[#This Row],[Minutos]]/60</f>
        <v>0.43333333333333335</v>
      </c>
      <c r="AO1236" s="27">
        <f>SUM(Tabla2[[#This Row],[Horas]],Tabla2[[#This Row],[Minutos a Horas]])</f>
        <v>1.4333333333333333</v>
      </c>
      <c r="AP1236" s="49">
        <v>0</v>
      </c>
      <c r="AQ1236" s="49">
        <v>10</v>
      </c>
      <c r="AR1236" s="26">
        <f>Tabla2[[#This Row],[Minutos*]]/60</f>
        <v>0.16666666666666666</v>
      </c>
      <c r="AS1236" s="27">
        <f>SUM(Tabla2[[#This Row],[Horas*]],Tabla2[[#This Row],[Minutos a Horas*]])+(Tabla2[[#This Row],[Tiempo Total a Nivel Proncincial (Horas)]])</f>
        <v>1.6</v>
      </c>
    </row>
    <row r="1237" spans="28:45" x14ac:dyDescent="0.25">
      <c r="AB1237" s="89"/>
      <c r="AD1237" s="20" t="s">
        <v>2393</v>
      </c>
      <c r="AE1237" s="10" t="s">
        <v>385</v>
      </c>
      <c r="AF1237" s="20" t="s">
        <v>1531</v>
      </c>
      <c r="AG1237" s="10" t="s">
        <v>1532</v>
      </c>
      <c r="AH1237" s="22" t="str">
        <f t="shared" si="38"/>
        <v xml:space="preserve">Lambayeque_01 Chiclayo </v>
      </c>
      <c r="AI1237" s="10" t="s">
        <v>1572</v>
      </c>
      <c r="AJ1237" s="20" t="s">
        <v>1535</v>
      </c>
      <c r="AK1237" s="22" t="str">
        <f t="shared" si="39"/>
        <v>Lambayeque_01 Chiclayo _02 Chongoyape</v>
      </c>
      <c r="AL1237" s="25">
        <v>1</v>
      </c>
      <c r="AM1237" s="25">
        <v>26</v>
      </c>
      <c r="AN1237" s="26">
        <f>Tabla2[[#This Row],[Minutos]]/60</f>
        <v>0.43333333333333335</v>
      </c>
      <c r="AO1237" s="27">
        <f>SUM(Tabla2[[#This Row],[Horas]],Tabla2[[#This Row],[Minutos a Horas]])</f>
        <v>1.4333333333333333</v>
      </c>
      <c r="AP1237" s="49">
        <v>1</v>
      </c>
      <c r="AQ1237" s="49">
        <v>19</v>
      </c>
      <c r="AR1237" s="26">
        <f>Tabla2[[#This Row],[Minutos*]]/60</f>
        <v>0.31666666666666665</v>
      </c>
      <c r="AS1237" s="27">
        <f>SUM(Tabla2[[#This Row],[Horas*]],Tabla2[[#This Row],[Minutos a Horas*]])+(Tabla2[[#This Row],[Tiempo Total a Nivel Proncincial (Horas)]])</f>
        <v>2.75</v>
      </c>
    </row>
    <row r="1238" spans="28:45" x14ac:dyDescent="0.25">
      <c r="AB1238" s="89"/>
      <c r="AD1238" s="20" t="s">
        <v>2393</v>
      </c>
      <c r="AE1238" s="10" t="s">
        <v>385</v>
      </c>
      <c r="AF1238" s="20" t="s">
        <v>1531</v>
      </c>
      <c r="AG1238" s="10" t="s">
        <v>1533</v>
      </c>
      <c r="AH1238" s="22" t="str">
        <f t="shared" si="38"/>
        <v xml:space="preserve">Lambayeque_01 Chiclayo </v>
      </c>
      <c r="AI1238" s="10" t="s">
        <v>1572</v>
      </c>
      <c r="AJ1238" s="20" t="s">
        <v>1536</v>
      </c>
      <c r="AK1238" s="22" t="str">
        <f t="shared" si="39"/>
        <v>Lambayeque_01 Chiclayo _03 Eten</v>
      </c>
      <c r="AL1238" s="25">
        <v>1</v>
      </c>
      <c r="AM1238" s="25">
        <v>26</v>
      </c>
      <c r="AN1238" s="26">
        <f>Tabla2[[#This Row],[Minutos]]/60</f>
        <v>0.43333333333333335</v>
      </c>
      <c r="AO1238" s="27">
        <f>SUM(Tabla2[[#This Row],[Horas]],Tabla2[[#This Row],[Minutos a Horas]])</f>
        <v>1.4333333333333333</v>
      </c>
      <c r="AP1238" s="49">
        <v>0</v>
      </c>
      <c r="AQ1238" s="49">
        <v>26</v>
      </c>
      <c r="AR1238" s="26">
        <f>Tabla2[[#This Row],[Minutos*]]/60</f>
        <v>0.43333333333333335</v>
      </c>
      <c r="AS1238" s="27">
        <f>SUM(Tabla2[[#This Row],[Horas*]],Tabla2[[#This Row],[Minutos a Horas*]])+(Tabla2[[#This Row],[Tiempo Total a Nivel Proncincial (Horas)]])</f>
        <v>1.8666666666666667</v>
      </c>
    </row>
    <row r="1239" spans="28:45" x14ac:dyDescent="0.25">
      <c r="AB1239" s="89"/>
      <c r="AD1239" s="20" t="s">
        <v>2393</v>
      </c>
      <c r="AE1239" s="10" t="s">
        <v>385</v>
      </c>
      <c r="AF1239" s="20" t="s">
        <v>1531</v>
      </c>
      <c r="AG1239" s="10" t="s">
        <v>2459</v>
      </c>
      <c r="AH1239" s="22" t="str">
        <f t="shared" si="38"/>
        <v xml:space="preserve">Lambayeque_01 Chiclayo </v>
      </c>
      <c r="AI1239" s="10" t="s">
        <v>1572</v>
      </c>
      <c r="AJ1239" s="20" t="s">
        <v>1537</v>
      </c>
      <c r="AK1239" s="22" t="str">
        <f t="shared" si="39"/>
        <v>Lambayeque_01 Chiclayo _04 Eten Puerto</v>
      </c>
      <c r="AL1239" s="25">
        <v>1</v>
      </c>
      <c r="AM1239" s="25">
        <v>26</v>
      </c>
      <c r="AN1239" s="26">
        <f>Tabla2[[#This Row],[Minutos]]/60</f>
        <v>0.43333333333333335</v>
      </c>
      <c r="AO1239" s="27">
        <f>SUM(Tabla2[[#This Row],[Horas]],Tabla2[[#This Row],[Minutos a Horas]])</f>
        <v>1.4333333333333333</v>
      </c>
      <c r="AP1239" s="49">
        <v>0</v>
      </c>
      <c r="AQ1239" s="49">
        <v>28</v>
      </c>
      <c r="AR1239" s="26">
        <f>Tabla2[[#This Row],[Minutos*]]/60</f>
        <v>0.46666666666666667</v>
      </c>
      <c r="AS1239" s="27">
        <f>SUM(Tabla2[[#This Row],[Horas*]],Tabla2[[#This Row],[Minutos a Horas*]])+(Tabla2[[#This Row],[Tiempo Total a Nivel Proncincial (Horas)]])</f>
        <v>1.9</v>
      </c>
    </row>
    <row r="1240" spans="28:45" x14ac:dyDescent="0.25">
      <c r="AB1240" s="89"/>
      <c r="AD1240" s="20" t="s">
        <v>2393</v>
      </c>
      <c r="AE1240" s="10" t="s">
        <v>385</v>
      </c>
      <c r="AF1240" s="20" t="s">
        <v>1531</v>
      </c>
      <c r="AG1240" s="10" t="s">
        <v>2460</v>
      </c>
      <c r="AH1240" s="22" t="str">
        <f t="shared" si="38"/>
        <v xml:space="preserve">Lambayeque_01 Chiclayo </v>
      </c>
      <c r="AI1240" s="10" t="s">
        <v>1572</v>
      </c>
      <c r="AJ1240" s="20" t="s">
        <v>1538</v>
      </c>
      <c r="AK1240" s="22" t="str">
        <f t="shared" si="39"/>
        <v>Lambayeque_01 Chiclayo _05 José Leonardo Ortiz</v>
      </c>
      <c r="AL1240" s="25">
        <v>1</v>
      </c>
      <c r="AM1240" s="25">
        <v>26</v>
      </c>
      <c r="AN1240" s="26">
        <f>Tabla2[[#This Row],[Minutos]]/60</f>
        <v>0.43333333333333335</v>
      </c>
      <c r="AO1240" s="27">
        <f>SUM(Tabla2[[#This Row],[Horas]],Tabla2[[#This Row],[Minutos a Horas]])</f>
        <v>1.4333333333333333</v>
      </c>
      <c r="AP1240" s="49">
        <v>0</v>
      </c>
      <c r="AQ1240" s="49">
        <v>19</v>
      </c>
      <c r="AR1240" s="26">
        <f>Tabla2[[#This Row],[Minutos*]]/60</f>
        <v>0.31666666666666665</v>
      </c>
      <c r="AS1240" s="27">
        <f>SUM(Tabla2[[#This Row],[Horas*]],Tabla2[[#This Row],[Minutos a Horas*]])+(Tabla2[[#This Row],[Tiempo Total a Nivel Proncincial (Horas)]])</f>
        <v>1.75</v>
      </c>
    </row>
    <row r="1241" spans="28:45" x14ac:dyDescent="0.25">
      <c r="AB1241" s="89"/>
      <c r="AD1241" s="20" t="s">
        <v>2393</v>
      </c>
      <c r="AE1241" s="10" t="s">
        <v>385</v>
      </c>
      <c r="AF1241" s="20" t="s">
        <v>1531</v>
      </c>
      <c r="AG1241" s="10" t="s">
        <v>2461</v>
      </c>
      <c r="AH1241" s="22" t="str">
        <f t="shared" si="38"/>
        <v xml:space="preserve">Lambayeque_01 Chiclayo </v>
      </c>
      <c r="AI1241" s="10" t="s">
        <v>1572</v>
      </c>
      <c r="AJ1241" s="20" t="s">
        <v>1539</v>
      </c>
      <c r="AK1241" s="22" t="str">
        <f t="shared" si="39"/>
        <v>Lambayeque_01 Chiclayo _06 La Victoria</v>
      </c>
      <c r="AL1241" s="25">
        <v>1</v>
      </c>
      <c r="AM1241" s="25">
        <v>26</v>
      </c>
      <c r="AN1241" s="26">
        <f>Tabla2[[#This Row],[Minutos]]/60</f>
        <v>0.43333333333333335</v>
      </c>
      <c r="AO1241" s="27">
        <f>SUM(Tabla2[[#This Row],[Horas]],Tabla2[[#This Row],[Minutos a Horas]])</f>
        <v>1.4333333333333333</v>
      </c>
      <c r="AP1241" s="49">
        <v>0</v>
      </c>
      <c r="AQ1241" s="49">
        <v>6</v>
      </c>
      <c r="AR1241" s="26">
        <f>Tabla2[[#This Row],[Minutos*]]/60</f>
        <v>0.1</v>
      </c>
      <c r="AS1241" s="27">
        <f>SUM(Tabla2[[#This Row],[Horas*]],Tabla2[[#This Row],[Minutos a Horas*]])+(Tabla2[[#This Row],[Tiempo Total a Nivel Proncincial (Horas)]])</f>
        <v>1.5333333333333334</v>
      </c>
    </row>
    <row r="1242" spans="28:45" x14ac:dyDescent="0.25">
      <c r="AB1242" s="89"/>
      <c r="AD1242" s="20" t="s">
        <v>2393</v>
      </c>
      <c r="AE1242" s="10" t="s">
        <v>385</v>
      </c>
      <c r="AF1242" s="20" t="s">
        <v>1531</v>
      </c>
      <c r="AG1242" s="10" t="s">
        <v>2462</v>
      </c>
      <c r="AH1242" s="22" t="str">
        <f t="shared" si="38"/>
        <v xml:space="preserve">Lambayeque_01 Chiclayo </v>
      </c>
      <c r="AI1242" s="10" t="s">
        <v>1572</v>
      </c>
      <c r="AJ1242" s="20" t="s">
        <v>1540</v>
      </c>
      <c r="AK1242" s="22" t="str">
        <f t="shared" si="39"/>
        <v>Lambayeque_01 Chiclayo _07 Lagunas</v>
      </c>
      <c r="AL1242" s="25">
        <v>1</v>
      </c>
      <c r="AM1242" s="25">
        <v>26</v>
      </c>
      <c r="AN1242" s="26">
        <f>Tabla2[[#This Row],[Minutos]]/60</f>
        <v>0.43333333333333335</v>
      </c>
      <c r="AO1242" s="27">
        <f>SUM(Tabla2[[#This Row],[Horas]],Tabla2[[#This Row],[Minutos a Horas]])</f>
        <v>1.4333333333333333</v>
      </c>
      <c r="AP1242" s="49">
        <v>0</v>
      </c>
      <c r="AQ1242" s="49">
        <v>43</v>
      </c>
      <c r="AR1242" s="26">
        <f>Tabla2[[#This Row],[Minutos*]]/60</f>
        <v>0.71666666666666667</v>
      </c>
      <c r="AS1242" s="27">
        <f>SUM(Tabla2[[#This Row],[Horas*]],Tabla2[[#This Row],[Minutos a Horas*]])+(Tabla2[[#This Row],[Tiempo Total a Nivel Proncincial (Horas)]])</f>
        <v>2.15</v>
      </c>
    </row>
    <row r="1243" spans="28:45" x14ac:dyDescent="0.25">
      <c r="AB1243" s="89"/>
      <c r="AD1243" s="20" t="s">
        <v>2393</v>
      </c>
      <c r="AE1243" s="10" t="s">
        <v>385</v>
      </c>
      <c r="AF1243" s="20" t="s">
        <v>1531</v>
      </c>
      <c r="AG1243" s="10" t="s">
        <v>2463</v>
      </c>
      <c r="AH1243" s="22" t="str">
        <f t="shared" si="38"/>
        <v xml:space="preserve">Lambayeque_01 Chiclayo </v>
      </c>
      <c r="AI1243" s="10" t="s">
        <v>1572</v>
      </c>
      <c r="AJ1243" s="20" t="s">
        <v>1541</v>
      </c>
      <c r="AK1243" s="22" t="str">
        <f t="shared" si="39"/>
        <v>Lambayeque_01 Chiclayo _08 Monsefu</v>
      </c>
      <c r="AL1243" s="25">
        <v>1</v>
      </c>
      <c r="AM1243" s="25">
        <v>26</v>
      </c>
      <c r="AN1243" s="26">
        <f>Tabla2[[#This Row],[Minutos]]/60</f>
        <v>0.43333333333333335</v>
      </c>
      <c r="AO1243" s="27">
        <f>SUM(Tabla2[[#This Row],[Horas]],Tabla2[[#This Row],[Minutos a Horas]])</f>
        <v>1.4333333333333333</v>
      </c>
      <c r="AP1243" s="49">
        <v>0</v>
      </c>
      <c r="AQ1243" s="49">
        <v>19</v>
      </c>
      <c r="AR1243" s="26">
        <f>Tabla2[[#This Row],[Minutos*]]/60</f>
        <v>0.31666666666666665</v>
      </c>
      <c r="AS1243" s="27">
        <f>SUM(Tabla2[[#This Row],[Horas*]],Tabla2[[#This Row],[Minutos a Horas*]])+(Tabla2[[#This Row],[Tiempo Total a Nivel Proncincial (Horas)]])</f>
        <v>1.75</v>
      </c>
    </row>
    <row r="1244" spans="28:45" x14ac:dyDescent="0.25">
      <c r="AB1244" s="89"/>
      <c r="AD1244" s="20" t="s">
        <v>2393</v>
      </c>
      <c r="AE1244" s="10" t="s">
        <v>385</v>
      </c>
      <c r="AF1244" s="20" t="s">
        <v>1531</v>
      </c>
      <c r="AG1244" s="10"/>
      <c r="AH1244" s="22" t="str">
        <f t="shared" si="38"/>
        <v xml:space="preserve">Lambayeque_01 Chiclayo </v>
      </c>
      <c r="AI1244" s="10" t="s">
        <v>1572</v>
      </c>
      <c r="AJ1244" s="20" t="s">
        <v>1542</v>
      </c>
      <c r="AK1244" s="22" t="str">
        <f t="shared" si="39"/>
        <v>Lambayeque_01 Chiclayo _09 Nueva Arica</v>
      </c>
      <c r="AL1244" s="25">
        <v>1</v>
      </c>
      <c r="AM1244" s="25">
        <v>26</v>
      </c>
      <c r="AN1244" s="26">
        <f>Tabla2[[#This Row],[Minutos]]/60</f>
        <v>0.43333333333333335</v>
      </c>
      <c r="AO1244" s="27">
        <f>SUM(Tabla2[[#This Row],[Horas]],Tabla2[[#This Row],[Minutos a Horas]])</f>
        <v>1.4333333333333333</v>
      </c>
      <c r="AP1244" s="49">
        <v>1</v>
      </c>
      <c r="AQ1244" s="49">
        <v>14</v>
      </c>
      <c r="AR1244" s="26">
        <f>Tabla2[[#This Row],[Minutos*]]/60</f>
        <v>0.23333333333333334</v>
      </c>
      <c r="AS1244" s="27">
        <f>SUM(Tabla2[[#This Row],[Horas*]],Tabla2[[#This Row],[Minutos a Horas*]])+(Tabla2[[#This Row],[Tiempo Total a Nivel Proncincial (Horas)]])</f>
        <v>2.666666666666667</v>
      </c>
    </row>
    <row r="1245" spans="28:45" x14ac:dyDescent="0.25">
      <c r="AB1245" s="89"/>
      <c r="AD1245" s="20" t="s">
        <v>2393</v>
      </c>
      <c r="AE1245" s="10" t="s">
        <v>385</v>
      </c>
      <c r="AF1245" s="20" t="s">
        <v>1531</v>
      </c>
      <c r="AG1245" s="10"/>
      <c r="AH1245" s="22" t="str">
        <f t="shared" si="38"/>
        <v xml:space="preserve">Lambayeque_01 Chiclayo </v>
      </c>
      <c r="AI1245" s="10" t="s">
        <v>1572</v>
      </c>
      <c r="AJ1245" s="20" t="s">
        <v>1543</v>
      </c>
      <c r="AK1245" s="22" t="str">
        <f t="shared" si="39"/>
        <v>Lambayeque_01 Chiclayo _10 Oyotun</v>
      </c>
      <c r="AL1245" s="25">
        <v>1</v>
      </c>
      <c r="AM1245" s="25">
        <v>26</v>
      </c>
      <c r="AN1245" s="26">
        <f>Tabla2[[#This Row],[Minutos]]/60</f>
        <v>0.43333333333333335</v>
      </c>
      <c r="AO1245" s="27">
        <f>SUM(Tabla2[[#This Row],[Horas]],Tabla2[[#This Row],[Minutos a Horas]])</f>
        <v>1.4333333333333333</v>
      </c>
      <c r="AP1245" s="49">
        <v>1</v>
      </c>
      <c r="AQ1245" s="49">
        <v>26</v>
      </c>
      <c r="AR1245" s="26">
        <f>Tabla2[[#This Row],[Minutos*]]/60</f>
        <v>0.43333333333333335</v>
      </c>
      <c r="AS1245" s="27">
        <f>SUM(Tabla2[[#This Row],[Horas*]],Tabla2[[#This Row],[Minutos a Horas*]])+(Tabla2[[#This Row],[Tiempo Total a Nivel Proncincial (Horas)]])</f>
        <v>2.8666666666666667</v>
      </c>
    </row>
    <row r="1246" spans="28:45" x14ac:dyDescent="0.25">
      <c r="AB1246" s="89"/>
      <c r="AD1246" s="20" t="s">
        <v>2393</v>
      </c>
      <c r="AE1246" s="10" t="s">
        <v>385</v>
      </c>
      <c r="AF1246" s="20" t="s">
        <v>1531</v>
      </c>
      <c r="AG1246" s="10"/>
      <c r="AH1246" s="22" t="str">
        <f t="shared" si="38"/>
        <v xml:space="preserve">Lambayeque_01 Chiclayo </v>
      </c>
      <c r="AI1246" s="10" t="s">
        <v>1572</v>
      </c>
      <c r="AJ1246" s="20" t="s">
        <v>1544</v>
      </c>
      <c r="AK1246" s="22" t="str">
        <f t="shared" si="39"/>
        <v>Lambayeque_01 Chiclayo _11 Picsi</v>
      </c>
      <c r="AL1246" s="25">
        <v>1</v>
      </c>
      <c r="AM1246" s="25">
        <v>26</v>
      </c>
      <c r="AN1246" s="26">
        <f>Tabla2[[#This Row],[Minutos]]/60</f>
        <v>0.43333333333333335</v>
      </c>
      <c r="AO1246" s="27">
        <f>SUM(Tabla2[[#This Row],[Horas]],Tabla2[[#This Row],[Minutos a Horas]])</f>
        <v>1.4333333333333333</v>
      </c>
      <c r="AP1246" s="49">
        <v>0</v>
      </c>
      <c r="AQ1246" s="49">
        <v>22</v>
      </c>
      <c r="AR1246" s="26">
        <f>Tabla2[[#This Row],[Minutos*]]/60</f>
        <v>0.36666666666666664</v>
      </c>
      <c r="AS1246" s="27">
        <f>SUM(Tabla2[[#This Row],[Horas*]],Tabla2[[#This Row],[Minutos a Horas*]])+(Tabla2[[#This Row],[Tiempo Total a Nivel Proncincial (Horas)]])</f>
        <v>1.8</v>
      </c>
    </row>
    <row r="1247" spans="28:45" x14ac:dyDescent="0.25">
      <c r="AB1247" s="89"/>
      <c r="AD1247" s="20" t="s">
        <v>2393</v>
      </c>
      <c r="AE1247" s="10" t="s">
        <v>385</v>
      </c>
      <c r="AF1247" s="20" t="s">
        <v>1531</v>
      </c>
      <c r="AG1247" s="10"/>
      <c r="AH1247" s="22" t="str">
        <f t="shared" si="38"/>
        <v xml:space="preserve">Lambayeque_01 Chiclayo </v>
      </c>
      <c r="AI1247" s="10" t="s">
        <v>1572</v>
      </c>
      <c r="AJ1247" s="20" t="s">
        <v>1545</v>
      </c>
      <c r="AK1247" s="22" t="str">
        <f t="shared" si="39"/>
        <v>Lambayeque_01 Chiclayo _12 Pimentel</v>
      </c>
      <c r="AL1247" s="25">
        <v>1</v>
      </c>
      <c r="AM1247" s="25">
        <v>26</v>
      </c>
      <c r="AN1247" s="26">
        <f>Tabla2[[#This Row],[Minutos]]/60</f>
        <v>0.43333333333333335</v>
      </c>
      <c r="AO1247" s="27">
        <f>SUM(Tabla2[[#This Row],[Horas]],Tabla2[[#This Row],[Minutos a Horas]])</f>
        <v>1.4333333333333333</v>
      </c>
      <c r="AP1247" s="49">
        <v>0</v>
      </c>
      <c r="AQ1247" s="49">
        <v>19</v>
      </c>
      <c r="AR1247" s="26">
        <f>Tabla2[[#This Row],[Minutos*]]/60</f>
        <v>0.31666666666666665</v>
      </c>
      <c r="AS1247" s="27">
        <f>SUM(Tabla2[[#This Row],[Horas*]],Tabla2[[#This Row],[Minutos a Horas*]])+(Tabla2[[#This Row],[Tiempo Total a Nivel Proncincial (Horas)]])</f>
        <v>1.75</v>
      </c>
    </row>
    <row r="1248" spans="28:45" x14ac:dyDescent="0.25">
      <c r="AB1248" s="89"/>
      <c r="AD1248" s="20" t="s">
        <v>2393</v>
      </c>
      <c r="AE1248" s="10" t="s">
        <v>385</v>
      </c>
      <c r="AF1248" s="20" t="s">
        <v>1531</v>
      </c>
      <c r="AG1248" s="10"/>
      <c r="AH1248" s="22" t="str">
        <f t="shared" si="38"/>
        <v xml:space="preserve">Lambayeque_01 Chiclayo </v>
      </c>
      <c r="AI1248" s="10" t="s">
        <v>1572</v>
      </c>
      <c r="AJ1248" s="20" t="s">
        <v>1546</v>
      </c>
      <c r="AK1248" s="22" t="str">
        <f t="shared" si="39"/>
        <v>Lambayeque_01 Chiclayo _13 Reque</v>
      </c>
      <c r="AL1248" s="25">
        <v>1</v>
      </c>
      <c r="AM1248" s="25">
        <v>26</v>
      </c>
      <c r="AN1248" s="26">
        <f>Tabla2[[#This Row],[Minutos]]/60</f>
        <v>0.43333333333333335</v>
      </c>
      <c r="AO1248" s="27">
        <f>SUM(Tabla2[[#This Row],[Horas]],Tabla2[[#This Row],[Minutos a Horas]])</f>
        <v>1.4333333333333333</v>
      </c>
      <c r="AP1248" s="49">
        <v>0</v>
      </c>
      <c r="AQ1248" s="49">
        <v>18</v>
      </c>
      <c r="AR1248" s="26">
        <f>Tabla2[[#This Row],[Minutos*]]/60</f>
        <v>0.3</v>
      </c>
      <c r="AS1248" s="27">
        <f>SUM(Tabla2[[#This Row],[Horas*]],Tabla2[[#This Row],[Minutos a Horas*]])+(Tabla2[[#This Row],[Tiempo Total a Nivel Proncincial (Horas)]])</f>
        <v>1.7333333333333334</v>
      </c>
    </row>
    <row r="1249" spans="28:45" x14ac:dyDescent="0.25">
      <c r="AB1249" s="89"/>
      <c r="AD1249" s="20" t="s">
        <v>2393</v>
      </c>
      <c r="AE1249" s="10" t="s">
        <v>385</v>
      </c>
      <c r="AF1249" s="20" t="s">
        <v>1531</v>
      </c>
      <c r="AG1249" s="10"/>
      <c r="AH1249" s="22" t="str">
        <f t="shared" si="38"/>
        <v xml:space="preserve">Lambayeque_01 Chiclayo </v>
      </c>
      <c r="AI1249" s="10" t="s">
        <v>1572</v>
      </c>
      <c r="AJ1249" s="20" t="s">
        <v>1547</v>
      </c>
      <c r="AK1249" s="22" t="str">
        <f t="shared" si="39"/>
        <v>Lambayeque_01 Chiclayo _14 Santa Rosa</v>
      </c>
      <c r="AL1249" s="25">
        <v>1</v>
      </c>
      <c r="AM1249" s="25">
        <v>26</v>
      </c>
      <c r="AN1249" s="26">
        <f>Tabla2[[#This Row],[Minutos]]/60</f>
        <v>0.43333333333333335</v>
      </c>
      <c r="AO1249" s="27">
        <f>SUM(Tabla2[[#This Row],[Horas]],Tabla2[[#This Row],[Minutos a Horas]])</f>
        <v>1.4333333333333333</v>
      </c>
      <c r="AP1249" s="49">
        <v>0</v>
      </c>
      <c r="AQ1249" s="49">
        <v>30</v>
      </c>
      <c r="AR1249" s="26">
        <f>Tabla2[[#This Row],[Minutos*]]/60</f>
        <v>0.5</v>
      </c>
      <c r="AS1249" s="27">
        <f>SUM(Tabla2[[#This Row],[Horas*]],Tabla2[[#This Row],[Minutos a Horas*]])+(Tabla2[[#This Row],[Tiempo Total a Nivel Proncincial (Horas)]])</f>
        <v>1.9333333333333333</v>
      </c>
    </row>
    <row r="1250" spans="28:45" x14ac:dyDescent="0.25">
      <c r="AB1250" s="89"/>
      <c r="AD1250" s="20" t="s">
        <v>2393</v>
      </c>
      <c r="AE1250" s="10" t="s">
        <v>385</v>
      </c>
      <c r="AF1250" s="20" t="s">
        <v>1531</v>
      </c>
      <c r="AG1250" s="10"/>
      <c r="AH1250" s="22" t="str">
        <f t="shared" si="38"/>
        <v xml:space="preserve">Lambayeque_01 Chiclayo </v>
      </c>
      <c r="AI1250" s="10" t="s">
        <v>1572</v>
      </c>
      <c r="AJ1250" s="20" t="s">
        <v>1548</v>
      </c>
      <c r="AK1250" s="22" t="str">
        <f t="shared" si="39"/>
        <v>Lambayeque_01 Chiclayo _15 Saña</v>
      </c>
      <c r="AL1250" s="25">
        <v>1</v>
      </c>
      <c r="AM1250" s="25">
        <v>26</v>
      </c>
      <c r="AN1250" s="26">
        <f>Tabla2[[#This Row],[Minutos]]/60</f>
        <v>0.43333333333333335</v>
      </c>
      <c r="AO1250" s="27">
        <f>SUM(Tabla2[[#This Row],[Horas]],Tabla2[[#This Row],[Minutos a Horas]])</f>
        <v>1.4333333333333333</v>
      </c>
      <c r="AP1250" s="49">
        <v>0</v>
      </c>
      <c r="AQ1250" s="49">
        <v>49</v>
      </c>
      <c r="AR1250" s="26">
        <f>Tabla2[[#This Row],[Minutos*]]/60</f>
        <v>0.81666666666666665</v>
      </c>
      <c r="AS1250" s="27">
        <f>SUM(Tabla2[[#This Row],[Horas*]],Tabla2[[#This Row],[Minutos a Horas*]])+(Tabla2[[#This Row],[Tiempo Total a Nivel Proncincial (Horas)]])</f>
        <v>2.25</v>
      </c>
    </row>
    <row r="1251" spans="28:45" x14ac:dyDescent="0.25">
      <c r="AB1251" s="89"/>
      <c r="AD1251" s="20" t="s">
        <v>2393</v>
      </c>
      <c r="AE1251" s="10" t="s">
        <v>385</v>
      </c>
      <c r="AF1251" s="20" t="s">
        <v>1531</v>
      </c>
      <c r="AG1251" s="10"/>
      <c r="AH1251" s="22" t="str">
        <f t="shared" si="38"/>
        <v xml:space="preserve">Lambayeque_01 Chiclayo </v>
      </c>
      <c r="AI1251" s="10" t="s">
        <v>1572</v>
      </c>
      <c r="AJ1251" s="20" t="s">
        <v>1549</v>
      </c>
      <c r="AK1251" s="22" t="str">
        <f t="shared" si="39"/>
        <v>Lambayeque_01 Chiclayo _16 Cayalti</v>
      </c>
      <c r="AL1251" s="25">
        <v>1</v>
      </c>
      <c r="AM1251" s="25">
        <v>26</v>
      </c>
      <c r="AN1251" s="26">
        <f>Tabla2[[#This Row],[Minutos]]/60</f>
        <v>0.43333333333333335</v>
      </c>
      <c r="AO1251" s="27">
        <f>SUM(Tabla2[[#This Row],[Horas]],Tabla2[[#This Row],[Minutos a Horas]])</f>
        <v>1.4333333333333333</v>
      </c>
      <c r="AP1251" s="49">
        <v>0</v>
      </c>
      <c r="AQ1251" s="49">
        <v>56</v>
      </c>
      <c r="AR1251" s="26">
        <f>Tabla2[[#This Row],[Minutos*]]/60</f>
        <v>0.93333333333333335</v>
      </c>
      <c r="AS1251" s="27">
        <f>SUM(Tabla2[[#This Row],[Horas*]],Tabla2[[#This Row],[Minutos a Horas*]])+(Tabla2[[#This Row],[Tiempo Total a Nivel Proncincial (Horas)]])</f>
        <v>2.3666666666666667</v>
      </c>
    </row>
    <row r="1252" spans="28:45" x14ac:dyDescent="0.25">
      <c r="AB1252" s="89"/>
      <c r="AD1252" s="20" t="s">
        <v>2393</v>
      </c>
      <c r="AE1252" s="10" t="s">
        <v>385</v>
      </c>
      <c r="AF1252" s="20" t="s">
        <v>1531</v>
      </c>
      <c r="AG1252" s="10"/>
      <c r="AH1252" s="22" t="str">
        <f t="shared" si="38"/>
        <v xml:space="preserve">Lambayeque_01 Chiclayo </v>
      </c>
      <c r="AI1252" s="10" t="s">
        <v>1572</v>
      </c>
      <c r="AJ1252" s="20" t="s">
        <v>1550</v>
      </c>
      <c r="AK1252" s="22" t="str">
        <f t="shared" si="39"/>
        <v>Lambayeque_01 Chiclayo _17 Patapo</v>
      </c>
      <c r="AL1252" s="25">
        <v>1</v>
      </c>
      <c r="AM1252" s="25">
        <v>26</v>
      </c>
      <c r="AN1252" s="26">
        <f>Tabla2[[#This Row],[Minutos]]/60</f>
        <v>0.43333333333333335</v>
      </c>
      <c r="AO1252" s="27">
        <f>SUM(Tabla2[[#This Row],[Horas]],Tabla2[[#This Row],[Minutos a Horas]])</f>
        <v>1.4333333333333333</v>
      </c>
      <c r="AP1252" s="49">
        <v>0</v>
      </c>
      <c r="AQ1252" s="49">
        <v>40</v>
      </c>
      <c r="AR1252" s="26">
        <f>Tabla2[[#This Row],[Minutos*]]/60</f>
        <v>0.66666666666666663</v>
      </c>
      <c r="AS1252" s="27">
        <f>SUM(Tabla2[[#This Row],[Horas*]],Tabla2[[#This Row],[Minutos a Horas*]])+(Tabla2[[#This Row],[Tiempo Total a Nivel Proncincial (Horas)]])</f>
        <v>2.1</v>
      </c>
    </row>
    <row r="1253" spans="28:45" x14ac:dyDescent="0.25">
      <c r="AB1253" s="89"/>
      <c r="AD1253" s="20" t="s">
        <v>2393</v>
      </c>
      <c r="AE1253" s="10" t="s">
        <v>385</v>
      </c>
      <c r="AF1253" s="20" t="s">
        <v>1531</v>
      </c>
      <c r="AG1253" s="10"/>
      <c r="AH1253" s="22" t="str">
        <f t="shared" si="38"/>
        <v xml:space="preserve">Lambayeque_01 Chiclayo </v>
      </c>
      <c r="AI1253" s="10" t="s">
        <v>1572</v>
      </c>
      <c r="AJ1253" s="20" t="s">
        <v>1551</v>
      </c>
      <c r="AK1253" s="22" t="str">
        <f t="shared" si="39"/>
        <v>Lambayeque_01 Chiclayo _18 Pomalca</v>
      </c>
      <c r="AL1253" s="25">
        <v>1</v>
      </c>
      <c r="AM1253" s="25">
        <v>26</v>
      </c>
      <c r="AN1253" s="26">
        <f>Tabla2[[#This Row],[Minutos]]/60</f>
        <v>0.43333333333333335</v>
      </c>
      <c r="AO1253" s="27">
        <f>SUM(Tabla2[[#This Row],[Horas]],Tabla2[[#This Row],[Minutos a Horas]])</f>
        <v>1.4333333333333333</v>
      </c>
      <c r="AP1253" s="49">
        <v>0</v>
      </c>
      <c r="AQ1253" s="49">
        <v>19</v>
      </c>
      <c r="AR1253" s="26">
        <f>Tabla2[[#This Row],[Minutos*]]/60</f>
        <v>0.31666666666666665</v>
      </c>
      <c r="AS1253" s="27">
        <f>SUM(Tabla2[[#This Row],[Horas*]],Tabla2[[#This Row],[Minutos a Horas*]])+(Tabla2[[#This Row],[Tiempo Total a Nivel Proncincial (Horas)]])</f>
        <v>1.75</v>
      </c>
    </row>
    <row r="1254" spans="28:45" x14ac:dyDescent="0.25">
      <c r="AB1254" s="89"/>
      <c r="AD1254" s="20" t="s">
        <v>2393</v>
      </c>
      <c r="AE1254" s="10" t="s">
        <v>385</v>
      </c>
      <c r="AF1254" s="20" t="s">
        <v>1531</v>
      </c>
      <c r="AG1254" s="10"/>
      <c r="AH1254" s="22" t="str">
        <f t="shared" si="38"/>
        <v xml:space="preserve">Lambayeque_01 Chiclayo </v>
      </c>
      <c r="AI1254" s="10" t="s">
        <v>1572</v>
      </c>
      <c r="AJ1254" s="20" t="s">
        <v>1552</v>
      </c>
      <c r="AK1254" s="22" t="str">
        <f t="shared" si="39"/>
        <v>Lambayeque_01 Chiclayo _19 Pucala</v>
      </c>
      <c r="AL1254" s="25">
        <v>1</v>
      </c>
      <c r="AM1254" s="25">
        <v>26</v>
      </c>
      <c r="AN1254" s="26">
        <f>Tabla2[[#This Row],[Minutos]]/60</f>
        <v>0.43333333333333335</v>
      </c>
      <c r="AO1254" s="27">
        <f>SUM(Tabla2[[#This Row],[Horas]],Tabla2[[#This Row],[Minutos a Horas]])</f>
        <v>1.4333333333333333</v>
      </c>
      <c r="AP1254" s="49">
        <v>0</v>
      </c>
      <c r="AQ1254" s="49">
        <v>48</v>
      </c>
      <c r="AR1254" s="26">
        <f>Tabla2[[#This Row],[Minutos*]]/60</f>
        <v>0.8</v>
      </c>
      <c r="AS1254" s="27">
        <f>SUM(Tabla2[[#This Row],[Horas*]],Tabla2[[#This Row],[Minutos a Horas*]])+(Tabla2[[#This Row],[Tiempo Total a Nivel Proncincial (Horas)]])</f>
        <v>2.2333333333333334</v>
      </c>
    </row>
    <row r="1255" spans="28:45" x14ac:dyDescent="0.25">
      <c r="AB1255" s="89"/>
      <c r="AD1255" s="20" t="s">
        <v>2393</v>
      </c>
      <c r="AE1255" s="10" t="s">
        <v>385</v>
      </c>
      <c r="AF1255" s="20" t="s">
        <v>1531</v>
      </c>
      <c r="AG1255" s="10"/>
      <c r="AH1255" s="22" t="str">
        <f t="shared" si="38"/>
        <v xml:space="preserve">Lambayeque_01 Chiclayo </v>
      </c>
      <c r="AI1255" s="10" t="s">
        <v>1572</v>
      </c>
      <c r="AJ1255" s="20" t="s">
        <v>1553</v>
      </c>
      <c r="AK1255" s="22" t="str">
        <f t="shared" si="39"/>
        <v>Lambayeque_01 Chiclayo _20 Tuman</v>
      </c>
      <c r="AL1255" s="25">
        <v>1</v>
      </c>
      <c r="AM1255" s="25">
        <v>26</v>
      </c>
      <c r="AN1255" s="26">
        <f>Tabla2[[#This Row],[Minutos]]/60</f>
        <v>0.43333333333333335</v>
      </c>
      <c r="AO1255" s="27">
        <f>SUM(Tabla2[[#This Row],[Horas]],Tabla2[[#This Row],[Minutos a Horas]])</f>
        <v>1.4333333333333333</v>
      </c>
      <c r="AP1255" s="49">
        <v>0</v>
      </c>
      <c r="AQ1255" s="49">
        <v>29</v>
      </c>
      <c r="AR1255" s="26">
        <f>Tabla2[[#This Row],[Minutos*]]/60</f>
        <v>0.48333333333333334</v>
      </c>
      <c r="AS1255" s="27">
        <f>SUM(Tabla2[[#This Row],[Horas*]],Tabla2[[#This Row],[Minutos a Horas*]])+(Tabla2[[#This Row],[Tiempo Total a Nivel Proncincial (Horas)]])</f>
        <v>1.9166666666666667</v>
      </c>
    </row>
    <row r="1256" spans="28:45" x14ac:dyDescent="0.25">
      <c r="AB1256" s="89"/>
      <c r="AD1256" s="20" t="s">
        <v>2393</v>
      </c>
      <c r="AE1256" s="10" t="s">
        <v>385</v>
      </c>
      <c r="AF1256" s="20" t="s">
        <v>1532</v>
      </c>
      <c r="AG1256" s="10"/>
      <c r="AH1256" s="22" t="str">
        <f t="shared" si="38"/>
        <v xml:space="preserve">Lambayeque_02 Ferreñafe </v>
      </c>
      <c r="AI1256" s="10" t="s">
        <v>1573</v>
      </c>
      <c r="AJ1256" s="20" t="s">
        <v>1554</v>
      </c>
      <c r="AK1256" s="22" t="str">
        <f t="shared" si="39"/>
        <v>Lambayeque_02 Ferreñafe _01 Ferreñafe</v>
      </c>
      <c r="AL1256" s="25">
        <v>0</v>
      </c>
      <c r="AM1256" s="25">
        <v>35</v>
      </c>
      <c r="AN1256" s="26">
        <f>Tabla2[[#This Row],[Minutos]]/60</f>
        <v>0.58333333333333337</v>
      </c>
      <c r="AO1256" s="27">
        <f>SUM(Tabla2[[#This Row],[Horas]],Tabla2[[#This Row],[Minutos a Horas]])</f>
        <v>0.58333333333333337</v>
      </c>
      <c r="AP1256" s="49">
        <v>0</v>
      </c>
      <c r="AQ1256" s="49">
        <v>35</v>
      </c>
      <c r="AR1256" s="26">
        <f>Tabla2[[#This Row],[Minutos*]]/60</f>
        <v>0.58333333333333337</v>
      </c>
      <c r="AS1256" s="27">
        <f>SUM(Tabla2[[#This Row],[Horas*]],Tabla2[[#This Row],[Minutos a Horas*]])+(Tabla2[[#This Row],[Tiempo Total a Nivel Proncincial (Horas)]])</f>
        <v>1.1666666666666667</v>
      </c>
    </row>
    <row r="1257" spans="28:45" x14ac:dyDescent="0.25">
      <c r="AB1257" s="89"/>
      <c r="AD1257" s="20" t="s">
        <v>2393</v>
      </c>
      <c r="AE1257" s="10" t="s">
        <v>385</v>
      </c>
      <c r="AF1257" s="20" t="s">
        <v>1532</v>
      </c>
      <c r="AG1257" s="10"/>
      <c r="AH1257" s="22" t="str">
        <f t="shared" si="38"/>
        <v xml:space="preserve">Lambayeque_02 Ferreñafe </v>
      </c>
      <c r="AI1257" s="10" t="s">
        <v>1573</v>
      </c>
      <c r="AJ1257" s="20" t="s">
        <v>1555</v>
      </c>
      <c r="AK1257" s="22" t="str">
        <f t="shared" si="39"/>
        <v>Lambayeque_02 Ferreñafe _02 Cañaris</v>
      </c>
      <c r="AL1257" s="25">
        <v>0</v>
      </c>
      <c r="AM1257" s="25">
        <v>35</v>
      </c>
      <c r="AN1257" s="26">
        <f>Tabla2[[#This Row],[Minutos]]/60</f>
        <v>0.58333333333333337</v>
      </c>
      <c r="AO1257" s="27">
        <f>SUM(Tabla2[[#This Row],[Horas]],Tabla2[[#This Row],[Minutos a Horas]])</f>
        <v>0.58333333333333337</v>
      </c>
      <c r="AP1257" s="49">
        <v>2</v>
      </c>
      <c r="AQ1257" s="49">
        <v>42</v>
      </c>
      <c r="AR1257" s="26">
        <f>Tabla2[[#This Row],[Minutos*]]/60</f>
        <v>0.7</v>
      </c>
      <c r="AS1257" s="27">
        <f>SUM(Tabla2[[#This Row],[Horas*]],Tabla2[[#This Row],[Minutos a Horas*]])+(Tabla2[[#This Row],[Tiempo Total a Nivel Proncincial (Horas)]])</f>
        <v>3.2833333333333337</v>
      </c>
    </row>
    <row r="1258" spans="28:45" x14ac:dyDescent="0.25">
      <c r="AB1258" s="89"/>
      <c r="AD1258" s="20" t="s">
        <v>2393</v>
      </c>
      <c r="AE1258" s="10" t="s">
        <v>385</v>
      </c>
      <c r="AF1258" s="20" t="s">
        <v>1532</v>
      </c>
      <c r="AG1258" s="10"/>
      <c r="AH1258" s="22" t="str">
        <f t="shared" si="38"/>
        <v xml:space="preserve">Lambayeque_02 Ferreñafe </v>
      </c>
      <c r="AI1258" s="10" t="s">
        <v>1573</v>
      </c>
      <c r="AJ1258" s="20" t="s">
        <v>1556</v>
      </c>
      <c r="AK1258" s="22" t="str">
        <f t="shared" si="39"/>
        <v>Lambayeque_02 Ferreñafe _03 Incahuasi</v>
      </c>
      <c r="AL1258" s="25">
        <v>0</v>
      </c>
      <c r="AM1258" s="25">
        <v>35</v>
      </c>
      <c r="AN1258" s="26">
        <f>Tabla2[[#This Row],[Minutos]]/60</f>
        <v>0.58333333333333337</v>
      </c>
      <c r="AO1258" s="27">
        <f>SUM(Tabla2[[#This Row],[Horas]],Tabla2[[#This Row],[Minutos a Horas]])</f>
        <v>0.58333333333333337</v>
      </c>
      <c r="AP1258" s="49">
        <v>2</v>
      </c>
      <c r="AQ1258" s="49">
        <v>31</v>
      </c>
      <c r="AR1258" s="26">
        <f>Tabla2[[#This Row],[Minutos*]]/60</f>
        <v>0.51666666666666672</v>
      </c>
      <c r="AS1258" s="27">
        <f>SUM(Tabla2[[#This Row],[Horas*]],Tabla2[[#This Row],[Minutos a Horas*]])+(Tabla2[[#This Row],[Tiempo Total a Nivel Proncincial (Horas)]])</f>
        <v>3.1</v>
      </c>
    </row>
    <row r="1259" spans="28:45" ht="30" x14ac:dyDescent="0.25">
      <c r="AB1259" s="89"/>
      <c r="AD1259" s="20" t="s">
        <v>2393</v>
      </c>
      <c r="AE1259" s="10" t="s">
        <v>385</v>
      </c>
      <c r="AF1259" s="20" t="s">
        <v>1532</v>
      </c>
      <c r="AG1259" s="10"/>
      <c r="AH1259" s="22" t="str">
        <f t="shared" si="38"/>
        <v xml:space="preserve">Lambayeque_02 Ferreñafe </v>
      </c>
      <c r="AI1259" s="10" t="s">
        <v>1573</v>
      </c>
      <c r="AJ1259" s="20" t="s">
        <v>1557</v>
      </c>
      <c r="AK1259" s="22" t="str">
        <f t="shared" si="39"/>
        <v>Lambayeque_02 Ferreñafe _04 Manuel Antonio Mesones Muro</v>
      </c>
      <c r="AL1259" s="25">
        <v>0</v>
      </c>
      <c r="AM1259" s="25">
        <v>35</v>
      </c>
      <c r="AN1259" s="26">
        <f>Tabla2[[#This Row],[Minutos]]/60</f>
        <v>0.58333333333333337</v>
      </c>
      <c r="AO1259" s="27">
        <f>SUM(Tabla2[[#This Row],[Horas]],Tabla2[[#This Row],[Minutos a Horas]])</f>
        <v>0.58333333333333337</v>
      </c>
      <c r="AP1259" s="49">
        <v>0</v>
      </c>
      <c r="AQ1259" s="49">
        <v>42</v>
      </c>
      <c r="AR1259" s="26">
        <f>Tabla2[[#This Row],[Minutos*]]/60</f>
        <v>0.7</v>
      </c>
      <c r="AS1259" s="27">
        <f>SUM(Tabla2[[#This Row],[Horas*]],Tabla2[[#This Row],[Minutos a Horas*]])+(Tabla2[[#This Row],[Tiempo Total a Nivel Proncincial (Horas)]])</f>
        <v>1.2833333333333332</v>
      </c>
    </row>
    <row r="1260" spans="28:45" x14ac:dyDescent="0.25">
      <c r="AB1260" s="89"/>
      <c r="AD1260" s="20" t="s">
        <v>2393</v>
      </c>
      <c r="AE1260" s="10" t="s">
        <v>385</v>
      </c>
      <c r="AF1260" s="20" t="s">
        <v>1532</v>
      </c>
      <c r="AG1260" s="10"/>
      <c r="AH1260" s="22" t="str">
        <f t="shared" si="38"/>
        <v xml:space="preserve">Lambayeque_02 Ferreñafe </v>
      </c>
      <c r="AI1260" s="10" t="s">
        <v>1573</v>
      </c>
      <c r="AJ1260" s="20" t="s">
        <v>1558</v>
      </c>
      <c r="AK1260" s="22" t="str">
        <f t="shared" si="39"/>
        <v>Lambayeque_02 Ferreñafe _05 Pitipo</v>
      </c>
      <c r="AL1260" s="25">
        <v>0</v>
      </c>
      <c r="AM1260" s="25">
        <v>35</v>
      </c>
      <c r="AN1260" s="26">
        <f>Tabla2[[#This Row],[Minutos]]/60</f>
        <v>0.58333333333333337</v>
      </c>
      <c r="AO1260" s="27">
        <f>SUM(Tabla2[[#This Row],[Horas]],Tabla2[[#This Row],[Minutos a Horas]])</f>
        <v>0.58333333333333337</v>
      </c>
      <c r="AP1260" s="49">
        <v>0</v>
      </c>
      <c r="AQ1260" s="49">
        <v>48</v>
      </c>
      <c r="AR1260" s="26">
        <f>Tabla2[[#This Row],[Minutos*]]/60</f>
        <v>0.8</v>
      </c>
      <c r="AS1260" s="27">
        <f>SUM(Tabla2[[#This Row],[Horas*]],Tabla2[[#This Row],[Minutos a Horas*]])+(Tabla2[[#This Row],[Tiempo Total a Nivel Proncincial (Horas)]])</f>
        <v>1.3833333333333333</v>
      </c>
    </row>
    <row r="1261" spans="28:45" x14ac:dyDescent="0.25">
      <c r="AB1261" s="89"/>
      <c r="AD1261" s="20" t="s">
        <v>2393</v>
      </c>
      <c r="AE1261" s="10" t="s">
        <v>385</v>
      </c>
      <c r="AF1261" s="20" t="s">
        <v>1532</v>
      </c>
      <c r="AG1261" s="10"/>
      <c r="AH1261" s="22" t="str">
        <f t="shared" si="38"/>
        <v xml:space="preserve">Lambayeque_02 Ferreñafe </v>
      </c>
      <c r="AI1261" s="10" t="s">
        <v>1573</v>
      </c>
      <c r="AJ1261" s="20" t="s">
        <v>1559</v>
      </c>
      <c r="AK1261" s="22" t="str">
        <f t="shared" si="39"/>
        <v>Lambayeque_02 Ferreñafe _06 Pueblo Nuevo</v>
      </c>
      <c r="AL1261" s="25">
        <v>0</v>
      </c>
      <c r="AM1261" s="25">
        <v>35</v>
      </c>
      <c r="AN1261" s="26">
        <f>Tabla2[[#This Row],[Minutos]]/60</f>
        <v>0.58333333333333337</v>
      </c>
      <c r="AO1261" s="27">
        <f>SUM(Tabla2[[#This Row],[Horas]],Tabla2[[#This Row],[Minutos a Horas]])</f>
        <v>0.58333333333333337</v>
      </c>
      <c r="AP1261" s="49">
        <v>0</v>
      </c>
      <c r="AQ1261" s="49">
        <v>33</v>
      </c>
      <c r="AR1261" s="26">
        <f>Tabla2[[#This Row],[Minutos*]]/60</f>
        <v>0.55000000000000004</v>
      </c>
      <c r="AS1261" s="27">
        <f>SUM(Tabla2[[#This Row],[Horas*]],Tabla2[[#This Row],[Minutos a Horas*]])+(Tabla2[[#This Row],[Tiempo Total a Nivel Proncincial (Horas)]])</f>
        <v>1.1333333333333333</v>
      </c>
    </row>
    <row r="1262" spans="28:45" x14ac:dyDescent="0.25">
      <c r="AB1262" s="89"/>
      <c r="AD1262" s="20" t="s">
        <v>2393</v>
      </c>
      <c r="AE1262" s="10" t="s">
        <v>385</v>
      </c>
      <c r="AF1262" s="20" t="s">
        <v>1533</v>
      </c>
      <c r="AG1262" s="10"/>
      <c r="AH1262" s="22" t="str">
        <f t="shared" si="38"/>
        <v xml:space="preserve">Lambayeque_03 Lambayeque </v>
      </c>
      <c r="AI1262" s="10" t="s">
        <v>1574</v>
      </c>
      <c r="AJ1262" s="20" t="s">
        <v>1560</v>
      </c>
      <c r="AK1262" s="22" t="str">
        <f t="shared" si="39"/>
        <v>Lambayeque_03 Lambayeque _01 Lambayeque</v>
      </c>
      <c r="AL1262" s="25">
        <v>0</v>
      </c>
      <c r="AM1262" s="25">
        <v>31</v>
      </c>
      <c r="AN1262" s="26">
        <f>Tabla2[[#This Row],[Minutos]]/60</f>
        <v>0.51666666666666672</v>
      </c>
      <c r="AO1262" s="27">
        <f>SUM(Tabla2[[#This Row],[Horas]],Tabla2[[#This Row],[Minutos a Horas]])</f>
        <v>0.51666666666666672</v>
      </c>
      <c r="AP1262" s="49">
        <v>0</v>
      </c>
      <c r="AQ1262" s="49">
        <v>31</v>
      </c>
      <c r="AR1262" s="26">
        <f>Tabla2[[#This Row],[Minutos*]]/60</f>
        <v>0.51666666666666672</v>
      </c>
      <c r="AS1262" s="27">
        <f>SUM(Tabla2[[#This Row],[Horas*]],Tabla2[[#This Row],[Minutos a Horas*]])+(Tabla2[[#This Row],[Tiempo Total a Nivel Proncincial (Horas)]])</f>
        <v>1.0333333333333334</v>
      </c>
    </row>
    <row r="1263" spans="28:45" x14ac:dyDescent="0.25">
      <c r="AB1263" s="89"/>
      <c r="AD1263" s="20" t="s">
        <v>2393</v>
      </c>
      <c r="AE1263" s="10" t="s">
        <v>385</v>
      </c>
      <c r="AF1263" s="20" t="s">
        <v>1533</v>
      </c>
      <c r="AG1263" s="10"/>
      <c r="AH1263" s="22" t="str">
        <f t="shared" si="38"/>
        <v xml:space="preserve">Lambayeque_03 Lambayeque </v>
      </c>
      <c r="AI1263" s="10" t="s">
        <v>1574</v>
      </c>
      <c r="AJ1263" s="20" t="s">
        <v>1561</v>
      </c>
      <c r="AK1263" s="22" t="str">
        <f t="shared" si="39"/>
        <v>Lambayeque_03 Lambayeque _02 Chochope</v>
      </c>
      <c r="AL1263" s="25">
        <v>0</v>
      </c>
      <c r="AM1263" s="25">
        <v>31</v>
      </c>
      <c r="AN1263" s="26">
        <f>Tabla2[[#This Row],[Minutos]]/60</f>
        <v>0.51666666666666672</v>
      </c>
      <c r="AO1263" s="27">
        <f>SUM(Tabla2[[#This Row],[Horas]],Tabla2[[#This Row],[Minutos a Horas]])</f>
        <v>0.51666666666666672</v>
      </c>
      <c r="AP1263" s="49">
        <v>1</v>
      </c>
      <c r="AQ1263" s="49">
        <v>49</v>
      </c>
      <c r="AR1263" s="26">
        <f>Tabla2[[#This Row],[Minutos*]]/60</f>
        <v>0.81666666666666665</v>
      </c>
      <c r="AS1263" s="27">
        <f>SUM(Tabla2[[#This Row],[Horas*]],Tabla2[[#This Row],[Minutos a Horas*]])+(Tabla2[[#This Row],[Tiempo Total a Nivel Proncincial (Horas)]])</f>
        <v>2.3333333333333335</v>
      </c>
    </row>
    <row r="1264" spans="28:45" x14ac:dyDescent="0.25">
      <c r="AB1264" s="89"/>
      <c r="AD1264" s="20" t="s">
        <v>2393</v>
      </c>
      <c r="AE1264" s="10" t="s">
        <v>385</v>
      </c>
      <c r="AF1264" s="20" t="s">
        <v>1533</v>
      </c>
      <c r="AG1264" s="10"/>
      <c r="AH1264" s="22" t="str">
        <f t="shared" si="38"/>
        <v xml:space="preserve">Lambayeque_03 Lambayeque </v>
      </c>
      <c r="AI1264" s="10" t="s">
        <v>1574</v>
      </c>
      <c r="AJ1264" s="20" t="s">
        <v>1562</v>
      </c>
      <c r="AK1264" s="22" t="str">
        <f t="shared" si="39"/>
        <v>Lambayeque_03 Lambayeque _03 Illimo</v>
      </c>
      <c r="AL1264" s="25">
        <v>0</v>
      </c>
      <c r="AM1264" s="25">
        <v>31</v>
      </c>
      <c r="AN1264" s="26">
        <f>Tabla2[[#This Row],[Minutos]]/60</f>
        <v>0.51666666666666672</v>
      </c>
      <c r="AO1264" s="27">
        <f>SUM(Tabla2[[#This Row],[Horas]],Tabla2[[#This Row],[Minutos a Horas]])</f>
        <v>0.51666666666666672</v>
      </c>
      <c r="AP1264" s="49">
        <v>0</v>
      </c>
      <c r="AQ1264" s="49">
        <v>58</v>
      </c>
      <c r="AR1264" s="26">
        <f>Tabla2[[#This Row],[Minutos*]]/60</f>
        <v>0.96666666666666667</v>
      </c>
      <c r="AS1264" s="27">
        <f>SUM(Tabla2[[#This Row],[Horas*]],Tabla2[[#This Row],[Minutos a Horas*]])+(Tabla2[[#This Row],[Tiempo Total a Nivel Proncincial (Horas)]])</f>
        <v>1.4833333333333334</v>
      </c>
    </row>
    <row r="1265" spans="28:45" x14ac:dyDescent="0.25">
      <c r="AB1265" s="89"/>
      <c r="AD1265" s="20" t="s">
        <v>2393</v>
      </c>
      <c r="AE1265" s="10" t="s">
        <v>385</v>
      </c>
      <c r="AF1265" s="20" t="s">
        <v>1533</v>
      </c>
      <c r="AG1265" s="10"/>
      <c r="AH1265" s="22" t="str">
        <f t="shared" si="38"/>
        <v xml:space="preserve">Lambayeque_03 Lambayeque </v>
      </c>
      <c r="AI1265" s="10" t="s">
        <v>1574</v>
      </c>
      <c r="AJ1265" s="20" t="s">
        <v>1563</v>
      </c>
      <c r="AK1265" s="22" t="str">
        <f t="shared" si="39"/>
        <v>Lambayeque_03 Lambayeque _04 Jayanca</v>
      </c>
      <c r="AL1265" s="25">
        <v>0</v>
      </c>
      <c r="AM1265" s="25">
        <v>31</v>
      </c>
      <c r="AN1265" s="26">
        <f>Tabla2[[#This Row],[Minutos]]/60</f>
        <v>0.51666666666666672</v>
      </c>
      <c r="AO1265" s="27">
        <f>SUM(Tabla2[[#This Row],[Horas]],Tabla2[[#This Row],[Minutos a Horas]])</f>
        <v>0.51666666666666672</v>
      </c>
      <c r="AP1265" s="49">
        <v>1</v>
      </c>
      <c r="AQ1265" s="49">
        <v>12</v>
      </c>
      <c r="AR1265" s="26">
        <f>Tabla2[[#This Row],[Minutos*]]/60</f>
        <v>0.2</v>
      </c>
      <c r="AS1265" s="27">
        <f>SUM(Tabla2[[#This Row],[Horas*]],Tabla2[[#This Row],[Minutos a Horas*]])+(Tabla2[[#This Row],[Tiempo Total a Nivel Proncincial (Horas)]])</f>
        <v>1.7166666666666668</v>
      </c>
    </row>
    <row r="1266" spans="28:45" x14ac:dyDescent="0.25">
      <c r="AB1266" s="89"/>
      <c r="AD1266" s="20" t="s">
        <v>2393</v>
      </c>
      <c r="AE1266" s="10" t="s">
        <v>385</v>
      </c>
      <c r="AF1266" s="20" t="s">
        <v>1533</v>
      </c>
      <c r="AG1266" s="10"/>
      <c r="AH1266" s="22" t="str">
        <f t="shared" si="38"/>
        <v xml:space="preserve">Lambayeque_03 Lambayeque </v>
      </c>
      <c r="AI1266" s="10" t="s">
        <v>1574</v>
      </c>
      <c r="AJ1266" s="20" t="s">
        <v>1564</v>
      </c>
      <c r="AK1266" s="22" t="str">
        <f t="shared" si="39"/>
        <v>Lambayeque_03 Lambayeque _05 Mochumi</v>
      </c>
      <c r="AL1266" s="25">
        <v>0</v>
      </c>
      <c r="AM1266" s="25">
        <v>31</v>
      </c>
      <c r="AN1266" s="26">
        <f>Tabla2[[#This Row],[Minutos]]/60</f>
        <v>0.51666666666666672</v>
      </c>
      <c r="AO1266" s="27">
        <f>SUM(Tabla2[[#This Row],[Horas]],Tabla2[[#This Row],[Minutos a Horas]])</f>
        <v>0.51666666666666672</v>
      </c>
      <c r="AP1266" s="49">
        <v>0</v>
      </c>
      <c r="AQ1266" s="49">
        <v>43</v>
      </c>
      <c r="AR1266" s="26">
        <f>Tabla2[[#This Row],[Minutos*]]/60</f>
        <v>0.71666666666666667</v>
      </c>
      <c r="AS1266" s="27">
        <f>SUM(Tabla2[[#This Row],[Horas*]],Tabla2[[#This Row],[Minutos a Horas*]])+(Tabla2[[#This Row],[Tiempo Total a Nivel Proncincial (Horas)]])</f>
        <v>1.2333333333333334</v>
      </c>
    </row>
    <row r="1267" spans="28:45" x14ac:dyDescent="0.25">
      <c r="AB1267" s="89"/>
      <c r="AD1267" s="20" t="s">
        <v>2393</v>
      </c>
      <c r="AE1267" s="10" t="s">
        <v>385</v>
      </c>
      <c r="AF1267" s="20" t="s">
        <v>1533</v>
      </c>
      <c r="AG1267" s="10"/>
      <c r="AH1267" s="22" t="str">
        <f t="shared" si="38"/>
        <v xml:space="preserve">Lambayeque_03 Lambayeque </v>
      </c>
      <c r="AI1267" s="10" t="s">
        <v>1574</v>
      </c>
      <c r="AJ1267" s="20" t="s">
        <v>1565</v>
      </c>
      <c r="AK1267" s="22" t="str">
        <f t="shared" si="39"/>
        <v>Lambayeque_03 Lambayeque _06 Morrope</v>
      </c>
      <c r="AL1267" s="25">
        <v>0</v>
      </c>
      <c r="AM1267" s="25">
        <v>31</v>
      </c>
      <c r="AN1267" s="26">
        <f>Tabla2[[#This Row],[Minutos]]/60</f>
        <v>0.51666666666666672</v>
      </c>
      <c r="AO1267" s="27">
        <f>SUM(Tabla2[[#This Row],[Horas]],Tabla2[[#This Row],[Minutos a Horas]])</f>
        <v>0.51666666666666672</v>
      </c>
      <c r="AP1267" s="49">
        <v>0</v>
      </c>
      <c r="AQ1267" s="49">
        <v>42</v>
      </c>
      <c r="AR1267" s="26">
        <f>Tabla2[[#This Row],[Minutos*]]/60</f>
        <v>0.7</v>
      </c>
      <c r="AS1267" s="27">
        <f>SUM(Tabla2[[#This Row],[Horas*]],Tabla2[[#This Row],[Minutos a Horas*]])+(Tabla2[[#This Row],[Tiempo Total a Nivel Proncincial (Horas)]])</f>
        <v>1.2166666666666668</v>
      </c>
    </row>
    <row r="1268" spans="28:45" x14ac:dyDescent="0.25">
      <c r="AB1268" s="89"/>
      <c r="AD1268" s="20" t="s">
        <v>2393</v>
      </c>
      <c r="AE1268" s="10" t="s">
        <v>385</v>
      </c>
      <c r="AF1268" s="20" t="s">
        <v>1533</v>
      </c>
      <c r="AG1268" s="10"/>
      <c r="AH1268" s="22" t="str">
        <f t="shared" si="38"/>
        <v xml:space="preserve">Lambayeque_03 Lambayeque </v>
      </c>
      <c r="AI1268" s="10" t="s">
        <v>1574</v>
      </c>
      <c r="AJ1268" s="20" t="s">
        <v>1566</v>
      </c>
      <c r="AK1268" s="22" t="str">
        <f t="shared" si="39"/>
        <v>Lambayeque_03 Lambayeque _07 Motupe</v>
      </c>
      <c r="AL1268" s="25">
        <v>0</v>
      </c>
      <c r="AM1268" s="25">
        <v>31</v>
      </c>
      <c r="AN1268" s="26">
        <f>Tabla2[[#This Row],[Minutos]]/60</f>
        <v>0.51666666666666672</v>
      </c>
      <c r="AO1268" s="27">
        <f>SUM(Tabla2[[#This Row],[Horas]],Tabla2[[#This Row],[Minutos a Horas]])</f>
        <v>0.51666666666666672</v>
      </c>
      <c r="AP1268" s="49">
        <v>1</v>
      </c>
      <c r="AQ1268" s="49">
        <v>44</v>
      </c>
      <c r="AR1268" s="26">
        <f>Tabla2[[#This Row],[Minutos*]]/60</f>
        <v>0.73333333333333328</v>
      </c>
      <c r="AS1268" s="27">
        <f>SUM(Tabla2[[#This Row],[Horas*]],Tabla2[[#This Row],[Minutos a Horas*]])+(Tabla2[[#This Row],[Tiempo Total a Nivel Proncincial (Horas)]])</f>
        <v>2.25</v>
      </c>
    </row>
    <row r="1269" spans="28:45" x14ac:dyDescent="0.25">
      <c r="AB1269" s="89"/>
      <c r="AD1269" s="20" t="s">
        <v>2393</v>
      </c>
      <c r="AE1269" s="10" t="s">
        <v>385</v>
      </c>
      <c r="AF1269" s="20" t="s">
        <v>1533</v>
      </c>
      <c r="AG1269" s="10"/>
      <c r="AH1269" s="22" t="str">
        <f t="shared" si="38"/>
        <v xml:space="preserve">Lambayeque_03 Lambayeque </v>
      </c>
      <c r="AI1269" s="10" t="s">
        <v>1574</v>
      </c>
      <c r="AJ1269" s="20" t="s">
        <v>1567</v>
      </c>
      <c r="AK1269" s="22" t="str">
        <f t="shared" si="39"/>
        <v>Lambayeque_03 Lambayeque _08 Olmos</v>
      </c>
      <c r="AL1269" s="25">
        <v>0</v>
      </c>
      <c r="AM1269" s="25">
        <v>31</v>
      </c>
      <c r="AN1269" s="26">
        <f>Tabla2[[#This Row],[Minutos]]/60</f>
        <v>0.51666666666666672</v>
      </c>
      <c r="AO1269" s="27">
        <f>SUM(Tabla2[[#This Row],[Horas]],Tabla2[[#This Row],[Minutos a Horas]])</f>
        <v>0.51666666666666672</v>
      </c>
      <c r="AP1269" s="49">
        <v>2</v>
      </c>
      <c r="AQ1269" s="49">
        <v>11</v>
      </c>
      <c r="AR1269" s="26">
        <f>Tabla2[[#This Row],[Minutos*]]/60</f>
        <v>0.18333333333333332</v>
      </c>
      <c r="AS1269" s="27">
        <f>SUM(Tabla2[[#This Row],[Horas*]],Tabla2[[#This Row],[Minutos a Horas*]])+(Tabla2[[#This Row],[Tiempo Total a Nivel Proncincial (Horas)]])</f>
        <v>2.6999999999999997</v>
      </c>
    </row>
    <row r="1270" spans="28:45" x14ac:dyDescent="0.25">
      <c r="AB1270" s="89"/>
      <c r="AD1270" s="20" t="s">
        <v>2393</v>
      </c>
      <c r="AE1270" s="10" t="s">
        <v>385</v>
      </c>
      <c r="AF1270" s="20" t="s">
        <v>1533</v>
      </c>
      <c r="AG1270" s="10"/>
      <c r="AH1270" s="22" t="str">
        <f t="shared" si="38"/>
        <v xml:space="preserve">Lambayeque_03 Lambayeque </v>
      </c>
      <c r="AI1270" s="10" t="s">
        <v>1574</v>
      </c>
      <c r="AJ1270" s="20" t="s">
        <v>1568</v>
      </c>
      <c r="AK1270" s="22" t="str">
        <f t="shared" si="39"/>
        <v>Lambayeque_03 Lambayeque _09 Pacora</v>
      </c>
      <c r="AL1270" s="25">
        <v>0</v>
      </c>
      <c r="AM1270" s="25">
        <v>31</v>
      </c>
      <c r="AN1270" s="26">
        <f>Tabla2[[#This Row],[Minutos]]/60</f>
        <v>0.51666666666666672</v>
      </c>
      <c r="AO1270" s="27">
        <f>SUM(Tabla2[[#This Row],[Horas]],Tabla2[[#This Row],[Minutos a Horas]])</f>
        <v>0.51666666666666672</v>
      </c>
      <c r="AP1270" s="49">
        <v>1</v>
      </c>
      <c r="AQ1270" s="49">
        <v>31</v>
      </c>
      <c r="AR1270" s="26">
        <f>Tabla2[[#This Row],[Minutos*]]/60</f>
        <v>0.51666666666666672</v>
      </c>
      <c r="AS1270" s="27">
        <f>SUM(Tabla2[[#This Row],[Horas*]],Tabla2[[#This Row],[Minutos a Horas*]])+(Tabla2[[#This Row],[Tiempo Total a Nivel Proncincial (Horas)]])</f>
        <v>2.0333333333333332</v>
      </c>
    </row>
    <row r="1271" spans="28:45" x14ac:dyDescent="0.25">
      <c r="AB1271" s="89"/>
      <c r="AD1271" s="20" t="s">
        <v>2393</v>
      </c>
      <c r="AE1271" s="10" t="s">
        <v>385</v>
      </c>
      <c r="AF1271" s="20" t="s">
        <v>1533</v>
      </c>
      <c r="AG1271" s="10"/>
      <c r="AH1271" s="22" t="str">
        <f t="shared" si="38"/>
        <v xml:space="preserve">Lambayeque_03 Lambayeque </v>
      </c>
      <c r="AI1271" s="10" t="s">
        <v>1574</v>
      </c>
      <c r="AJ1271" s="20" t="s">
        <v>1569</v>
      </c>
      <c r="AK1271" s="22" t="str">
        <f t="shared" si="39"/>
        <v>Lambayeque_03 Lambayeque _10 Salas</v>
      </c>
      <c r="AL1271" s="25">
        <v>0</v>
      </c>
      <c r="AM1271" s="25">
        <v>31</v>
      </c>
      <c r="AN1271" s="26">
        <f>Tabla2[[#This Row],[Minutos]]/60</f>
        <v>0.51666666666666672</v>
      </c>
      <c r="AO1271" s="27">
        <f>SUM(Tabla2[[#This Row],[Horas]],Tabla2[[#This Row],[Minutos a Horas]])</f>
        <v>0.51666666666666672</v>
      </c>
      <c r="AP1271" s="49">
        <v>1</v>
      </c>
      <c r="AQ1271" s="49">
        <v>43</v>
      </c>
      <c r="AR1271" s="26">
        <f>Tabla2[[#This Row],[Minutos*]]/60</f>
        <v>0.71666666666666667</v>
      </c>
      <c r="AS1271" s="27">
        <f>SUM(Tabla2[[#This Row],[Horas*]],Tabla2[[#This Row],[Minutos a Horas*]])+(Tabla2[[#This Row],[Tiempo Total a Nivel Proncincial (Horas)]])</f>
        <v>2.2333333333333334</v>
      </c>
    </row>
    <row r="1272" spans="28:45" x14ac:dyDescent="0.25">
      <c r="AB1272" s="89"/>
      <c r="AD1272" s="20" t="s">
        <v>2393</v>
      </c>
      <c r="AE1272" s="10" t="s">
        <v>385</v>
      </c>
      <c r="AF1272" s="20" t="s">
        <v>1533</v>
      </c>
      <c r="AG1272" s="10"/>
      <c r="AH1272" s="22" t="str">
        <f t="shared" si="38"/>
        <v xml:space="preserve">Lambayeque_03 Lambayeque </v>
      </c>
      <c r="AI1272" s="10" t="s">
        <v>1574</v>
      </c>
      <c r="AJ1272" s="20" t="s">
        <v>1570</v>
      </c>
      <c r="AK1272" s="22" t="str">
        <f t="shared" si="39"/>
        <v>Lambayeque_03 Lambayeque _11 San José</v>
      </c>
      <c r="AL1272" s="25">
        <v>0</v>
      </c>
      <c r="AM1272" s="25">
        <v>31</v>
      </c>
      <c r="AN1272" s="26">
        <f>Tabla2[[#This Row],[Minutos]]/60</f>
        <v>0.51666666666666672</v>
      </c>
      <c r="AO1272" s="27">
        <f>SUM(Tabla2[[#This Row],[Horas]],Tabla2[[#This Row],[Minutos a Horas]])</f>
        <v>0.51666666666666672</v>
      </c>
      <c r="AP1272" s="49">
        <v>0</v>
      </c>
      <c r="AQ1272" s="49">
        <v>25</v>
      </c>
      <c r="AR1272" s="26">
        <f>Tabla2[[#This Row],[Minutos*]]/60</f>
        <v>0.41666666666666669</v>
      </c>
      <c r="AS1272" s="27">
        <f>SUM(Tabla2[[#This Row],[Horas*]],Tabla2[[#This Row],[Minutos a Horas*]])+(Tabla2[[#This Row],[Tiempo Total a Nivel Proncincial (Horas)]])</f>
        <v>0.93333333333333335</v>
      </c>
    </row>
    <row r="1273" spans="28:45" x14ac:dyDescent="0.25">
      <c r="AB1273" s="89"/>
      <c r="AD1273" s="33" t="s">
        <v>2393</v>
      </c>
      <c r="AE1273" s="10" t="s">
        <v>385</v>
      </c>
      <c r="AF1273" s="20" t="s">
        <v>1533</v>
      </c>
      <c r="AG1273" s="10"/>
      <c r="AH1273" s="22" t="str">
        <f t="shared" si="38"/>
        <v xml:space="preserve">Lambayeque_03 Lambayeque </v>
      </c>
      <c r="AI1273" s="10" t="s">
        <v>1574</v>
      </c>
      <c r="AJ1273" s="20" t="s">
        <v>1571</v>
      </c>
      <c r="AK1273" s="22" t="str">
        <f t="shared" si="39"/>
        <v>Lambayeque_03 Lambayeque _12 Tucume</v>
      </c>
      <c r="AL1273" s="25">
        <v>0</v>
      </c>
      <c r="AM1273" s="25">
        <v>31</v>
      </c>
      <c r="AN1273" s="26">
        <f>Tabla2[[#This Row],[Minutos]]/60</f>
        <v>0.51666666666666672</v>
      </c>
      <c r="AO1273" s="27">
        <f>SUM(Tabla2[[#This Row],[Horas]],Tabla2[[#This Row],[Minutos a Horas]])</f>
        <v>0.51666666666666672</v>
      </c>
      <c r="AP1273" s="49">
        <v>0</v>
      </c>
      <c r="AQ1273" s="49">
        <v>56</v>
      </c>
      <c r="AR1273" s="26">
        <f>Tabla2[[#This Row],[Minutos*]]/60</f>
        <v>0.93333333333333335</v>
      </c>
      <c r="AS1273" s="27">
        <f>SUM(Tabla2[[#This Row],[Horas*]],Tabla2[[#This Row],[Minutos a Horas*]])+(Tabla2[[#This Row],[Tiempo Total a Nivel Proncincial (Horas)]])</f>
        <v>1.4500000000000002</v>
      </c>
    </row>
    <row r="1274" spans="28:45" x14ac:dyDescent="0.25">
      <c r="AB1274" s="89"/>
      <c r="AD1274" s="33" t="s">
        <v>2393</v>
      </c>
      <c r="AE1274" s="10" t="s">
        <v>385</v>
      </c>
      <c r="AF1274" s="20" t="s">
        <v>2459</v>
      </c>
      <c r="AG1274" s="10"/>
      <c r="AH1274" s="22" t="str">
        <f t="shared" ref="AH1274:AH1291" si="40">CONCATENATE(AD1274,"_",AF1274)</f>
        <v>Lambayeque_04 San Miguel (Cajamarca)</v>
      </c>
      <c r="AI1274" s="10" t="s">
        <v>2464</v>
      </c>
      <c r="AJ1274" s="20" t="s">
        <v>2444</v>
      </c>
      <c r="AK1274" s="22" t="str">
        <f t="shared" ref="AK1274:AK1291" si="41">CONCATENATE(AH1274,"_",AJ1274)</f>
        <v>Lambayeque_04 San Miguel (Cajamarca)_01 La Florida</v>
      </c>
      <c r="AL1274" s="25">
        <v>0</v>
      </c>
      <c r="AM1274" s="25">
        <v>31</v>
      </c>
      <c r="AN1274" s="26">
        <f>Tabla2[[#This Row],[Minutos]]/60</f>
        <v>0.51666666666666672</v>
      </c>
      <c r="AO1274" s="27">
        <f>SUM(Tabla2[[#This Row],[Horas]],Tabla2[[#This Row],[Minutos a Horas]])</f>
        <v>0.51666666666666672</v>
      </c>
      <c r="AP1274" s="49">
        <v>2</v>
      </c>
      <c r="AQ1274" s="49">
        <v>36</v>
      </c>
      <c r="AR1274" s="26">
        <f>Tabla2[[#This Row],[Minutos*]]/60</f>
        <v>0.6</v>
      </c>
      <c r="AS1274" s="27">
        <f>SUM(Tabla2[[#This Row],[Horas*]],Tabla2[[#This Row],[Minutos a Horas*]])+(Tabla2[[#This Row],[Tiempo Total a Nivel Proncincial (Horas)]])</f>
        <v>3.1166666666666667</v>
      </c>
    </row>
    <row r="1275" spans="28:45" x14ac:dyDescent="0.25">
      <c r="AB1275" s="89"/>
      <c r="AD1275" s="33" t="s">
        <v>2393</v>
      </c>
      <c r="AE1275" s="10" t="s">
        <v>385</v>
      </c>
      <c r="AF1275" s="20" t="s">
        <v>2459</v>
      </c>
      <c r="AG1275" s="10"/>
      <c r="AH1275" s="22" t="str">
        <f t="shared" si="40"/>
        <v>Lambayeque_04 San Miguel (Cajamarca)</v>
      </c>
      <c r="AI1275" s="10" t="s">
        <v>2464</v>
      </c>
      <c r="AJ1275" s="20" t="s">
        <v>2445</v>
      </c>
      <c r="AK1275" s="22" t="str">
        <f t="shared" si="41"/>
        <v>Lambayeque_04 San Miguel (Cajamarca)_02 Niepos</v>
      </c>
      <c r="AL1275" s="25">
        <v>0</v>
      </c>
      <c r="AM1275" s="25">
        <v>31</v>
      </c>
      <c r="AN1275" s="26">
        <f>Tabla2[[#This Row],[Minutos]]/60</f>
        <v>0.51666666666666672</v>
      </c>
      <c r="AO1275" s="27">
        <f>SUM(Tabla2[[#This Row],[Horas]],Tabla2[[#This Row],[Minutos a Horas]])</f>
        <v>0.51666666666666672</v>
      </c>
      <c r="AP1275" s="49">
        <v>4</v>
      </c>
      <c r="AQ1275" s="49">
        <v>1</v>
      </c>
      <c r="AR1275" s="26">
        <f>Tabla2[[#This Row],[Minutos*]]/60</f>
        <v>1.6666666666666666E-2</v>
      </c>
      <c r="AS1275" s="27">
        <f>SUM(Tabla2[[#This Row],[Horas*]],Tabla2[[#This Row],[Minutos a Horas*]])+(Tabla2[[#This Row],[Tiempo Total a Nivel Proncincial (Horas)]])</f>
        <v>4.5333333333333332</v>
      </c>
    </row>
    <row r="1276" spans="28:45" x14ac:dyDescent="0.25">
      <c r="AB1276" s="89"/>
      <c r="AD1276" s="33" t="s">
        <v>2393</v>
      </c>
      <c r="AE1276" s="10" t="s">
        <v>385</v>
      </c>
      <c r="AF1276" s="20" t="s">
        <v>2459</v>
      </c>
      <c r="AG1276" s="10"/>
      <c r="AH1276" s="22" t="str">
        <f t="shared" si="40"/>
        <v>Lambayeque_04 San Miguel (Cajamarca)</v>
      </c>
      <c r="AI1276" s="10" t="s">
        <v>2464</v>
      </c>
      <c r="AJ1276" s="20" t="s">
        <v>2446</v>
      </c>
      <c r="AK1276" s="22" t="str">
        <f t="shared" si="41"/>
        <v>Lambayeque_04 San Miguel (Cajamarca)_03 Bolivar</v>
      </c>
      <c r="AL1276" s="25">
        <v>0</v>
      </c>
      <c r="AM1276" s="25">
        <v>31</v>
      </c>
      <c r="AN1276" s="26">
        <f>Tabla2[[#This Row],[Minutos]]/60</f>
        <v>0.51666666666666672</v>
      </c>
      <c r="AO1276" s="27">
        <f>SUM(Tabla2[[#This Row],[Horas]],Tabla2[[#This Row],[Minutos a Horas]])</f>
        <v>0.51666666666666672</v>
      </c>
      <c r="AP1276" s="49">
        <v>5</v>
      </c>
      <c r="AQ1276" s="49">
        <v>47</v>
      </c>
      <c r="AR1276" s="26">
        <f>Tabla2[[#This Row],[Minutos*]]/60</f>
        <v>0.78333333333333333</v>
      </c>
      <c r="AS1276" s="27">
        <f>SUM(Tabla2[[#This Row],[Horas*]],Tabla2[[#This Row],[Minutos a Horas*]])+(Tabla2[[#This Row],[Tiempo Total a Nivel Proncincial (Horas)]])</f>
        <v>6.3</v>
      </c>
    </row>
    <row r="1277" spans="28:45" x14ac:dyDescent="0.25">
      <c r="AB1277" s="89"/>
      <c r="AD1277" s="33" t="s">
        <v>2393</v>
      </c>
      <c r="AE1277" s="10" t="s">
        <v>385</v>
      </c>
      <c r="AF1277" s="20" t="s">
        <v>2459</v>
      </c>
      <c r="AG1277" s="10"/>
      <c r="AH1277" s="22" t="str">
        <f t="shared" si="40"/>
        <v>Lambayeque_04 San Miguel (Cajamarca)</v>
      </c>
      <c r="AI1277" s="10" t="s">
        <v>2464</v>
      </c>
      <c r="AJ1277" s="20" t="s">
        <v>2447</v>
      </c>
      <c r="AK1277" s="22" t="str">
        <f t="shared" si="41"/>
        <v>Lambayeque_04 San Miguel (Cajamarca)_04 Nanchoc</v>
      </c>
      <c r="AL1277" s="25">
        <v>0</v>
      </c>
      <c r="AM1277" s="25">
        <v>31</v>
      </c>
      <c r="AN1277" s="26">
        <f>Tabla2[[#This Row],[Minutos]]/60</f>
        <v>0.51666666666666672</v>
      </c>
      <c r="AO1277" s="27">
        <f>SUM(Tabla2[[#This Row],[Horas]],Tabla2[[#This Row],[Minutos a Horas]])</f>
        <v>0.51666666666666672</v>
      </c>
      <c r="AP1277" s="49">
        <v>1</v>
      </c>
      <c r="AQ1277" s="49">
        <v>43</v>
      </c>
      <c r="AR1277" s="26">
        <f>Tabla2[[#This Row],[Minutos*]]/60</f>
        <v>0.71666666666666667</v>
      </c>
      <c r="AS1277" s="27">
        <f>SUM(Tabla2[[#This Row],[Horas*]],Tabla2[[#This Row],[Minutos a Horas*]])+(Tabla2[[#This Row],[Tiempo Total a Nivel Proncincial (Horas)]])</f>
        <v>2.2333333333333334</v>
      </c>
    </row>
    <row r="1278" spans="28:45" x14ac:dyDescent="0.25">
      <c r="AB1278" s="89"/>
      <c r="AD1278" s="33" t="s">
        <v>2393</v>
      </c>
      <c r="AE1278" s="10" t="s">
        <v>385</v>
      </c>
      <c r="AF1278" s="20" t="s">
        <v>2460</v>
      </c>
      <c r="AG1278" s="10"/>
      <c r="AH1278" s="22" t="str">
        <f t="shared" si="40"/>
        <v>Lambayeque_05 Santa Cruz (Cajamarca)</v>
      </c>
      <c r="AI1278" s="10" t="s">
        <v>2464</v>
      </c>
      <c r="AJ1278" s="20" t="s">
        <v>2448</v>
      </c>
      <c r="AK1278" s="22" t="str">
        <f t="shared" si="41"/>
        <v>Lambayeque_05 Santa Cruz (Cajamarca)_02 Catache</v>
      </c>
      <c r="AL1278" s="25">
        <v>0</v>
      </c>
      <c r="AM1278" s="25">
        <v>31</v>
      </c>
      <c r="AN1278" s="26">
        <f>Tabla2[[#This Row],[Minutos]]/60</f>
        <v>0.51666666666666672</v>
      </c>
      <c r="AO1278" s="27">
        <f>SUM(Tabla2[[#This Row],[Horas]],Tabla2[[#This Row],[Minutos a Horas]])</f>
        <v>0.51666666666666672</v>
      </c>
      <c r="AP1278" s="49">
        <v>2</v>
      </c>
      <c r="AQ1278" s="49">
        <v>33</v>
      </c>
      <c r="AR1278" s="26">
        <f>Tabla2[[#This Row],[Minutos*]]/60</f>
        <v>0.55000000000000004</v>
      </c>
      <c r="AS1278" s="27">
        <f>SUM(Tabla2[[#This Row],[Horas*]],Tabla2[[#This Row],[Minutos a Horas*]])+(Tabla2[[#This Row],[Tiempo Total a Nivel Proncincial (Horas)]])</f>
        <v>3.0666666666666664</v>
      </c>
    </row>
    <row r="1279" spans="28:45" x14ac:dyDescent="0.25">
      <c r="AB1279" s="89"/>
      <c r="AD1279" s="33" t="s">
        <v>2393</v>
      </c>
      <c r="AE1279" s="10" t="s">
        <v>385</v>
      </c>
      <c r="AF1279" s="20" t="s">
        <v>2460</v>
      </c>
      <c r="AG1279" s="10"/>
      <c r="AH1279" s="22" t="str">
        <f t="shared" si="40"/>
        <v>Lambayeque_05 Santa Cruz (Cajamarca)</v>
      </c>
      <c r="AI1279" s="10" t="s">
        <v>2464</v>
      </c>
      <c r="AJ1279" s="20" t="s">
        <v>1271</v>
      </c>
      <c r="AK1279" s="22" t="str">
        <f t="shared" si="41"/>
        <v>Lambayeque_05 Santa Cruz (Cajamarca)_04 Santa Cruz</v>
      </c>
      <c r="AL1279" s="25">
        <v>0</v>
      </c>
      <c r="AM1279" s="25">
        <v>31</v>
      </c>
      <c r="AN1279" s="26">
        <f>Tabla2[[#This Row],[Minutos]]/60</f>
        <v>0.51666666666666672</v>
      </c>
      <c r="AO1279" s="27">
        <f>SUM(Tabla2[[#This Row],[Horas]],Tabla2[[#This Row],[Minutos a Horas]])</f>
        <v>0.51666666666666672</v>
      </c>
      <c r="AP1279" s="49">
        <v>3</v>
      </c>
      <c r="AQ1279" s="49">
        <v>24</v>
      </c>
      <c r="AR1279" s="26">
        <f>Tabla2[[#This Row],[Minutos*]]/60</f>
        <v>0.4</v>
      </c>
      <c r="AS1279" s="27">
        <f>SUM(Tabla2[[#This Row],[Horas*]],Tabla2[[#This Row],[Minutos a Horas*]])+(Tabla2[[#This Row],[Tiempo Total a Nivel Proncincial (Horas)]])</f>
        <v>3.9166666666666665</v>
      </c>
    </row>
    <row r="1280" spans="28:45" x14ac:dyDescent="0.25">
      <c r="AB1280" s="89"/>
      <c r="AD1280" s="33" t="s">
        <v>2393</v>
      </c>
      <c r="AE1280" s="10" t="s">
        <v>385</v>
      </c>
      <c r="AF1280" s="20" t="s">
        <v>2461</v>
      </c>
      <c r="AG1280" s="10"/>
      <c r="AH1280" s="22" t="str">
        <f t="shared" si="40"/>
        <v>Lambayeque_06 Chota (Cajamarca)</v>
      </c>
      <c r="AI1280" s="10" t="s">
        <v>2465</v>
      </c>
      <c r="AJ1280" s="20" t="s">
        <v>2449</v>
      </c>
      <c r="AK1280" s="22" t="str">
        <f t="shared" si="41"/>
        <v>Lambayeque_06 Chota (Cajamarca)_01 Llama</v>
      </c>
      <c r="AL1280" s="25">
        <v>0</v>
      </c>
      <c r="AM1280" s="25">
        <v>31</v>
      </c>
      <c r="AN1280" s="26">
        <f>Tabla2[[#This Row],[Minutos]]/60</f>
        <v>0.51666666666666672</v>
      </c>
      <c r="AO1280" s="27">
        <f>SUM(Tabla2[[#This Row],[Horas]],Tabla2[[#This Row],[Minutos a Horas]])</f>
        <v>0.51666666666666672</v>
      </c>
      <c r="AP1280" s="49">
        <v>2</v>
      </c>
      <c r="AQ1280" s="49">
        <v>36</v>
      </c>
      <c r="AR1280" s="26">
        <f>Tabla2[[#This Row],[Minutos*]]/60</f>
        <v>0.6</v>
      </c>
      <c r="AS1280" s="27">
        <f>SUM(Tabla2[[#This Row],[Horas*]],Tabla2[[#This Row],[Minutos a Horas*]])+(Tabla2[[#This Row],[Tiempo Total a Nivel Proncincial (Horas)]])</f>
        <v>3.1166666666666667</v>
      </c>
    </row>
    <row r="1281" spans="28:45" x14ac:dyDescent="0.25">
      <c r="AB1281" s="89"/>
      <c r="AD1281" s="33" t="s">
        <v>2393</v>
      </c>
      <c r="AE1281" s="10" t="s">
        <v>385</v>
      </c>
      <c r="AF1281" s="20" t="s">
        <v>2461</v>
      </c>
      <c r="AG1281" s="10"/>
      <c r="AH1281" s="22" t="str">
        <f t="shared" si="40"/>
        <v>Lambayeque_06 Chota (Cajamarca)</v>
      </c>
      <c r="AI1281" s="10" t="s">
        <v>2465</v>
      </c>
      <c r="AJ1281" s="20" t="s">
        <v>2450</v>
      </c>
      <c r="AK1281" s="22" t="str">
        <f t="shared" si="41"/>
        <v>Lambayeque_06 Chota (Cajamarca)_02 Miracosta</v>
      </c>
      <c r="AL1281" s="25">
        <v>0</v>
      </c>
      <c r="AM1281" s="25">
        <v>31</v>
      </c>
      <c r="AN1281" s="26">
        <f>Tabla2[[#This Row],[Minutos]]/60</f>
        <v>0.51666666666666672</v>
      </c>
      <c r="AO1281" s="27">
        <f>SUM(Tabla2[[#This Row],[Horas]],Tabla2[[#This Row],[Minutos a Horas]])</f>
        <v>0.51666666666666672</v>
      </c>
      <c r="AP1281" s="49">
        <v>3</v>
      </c>
      <c r="AQ1281" s="49">
        <v>31</v>
      </c>
      <c r="AR1281" s="26">
        <f>Tabla2[[#This Row],[Minutos*]]/60</f>
        <v>0.51666666666666672</v>
      </c>
      <c r="AS1281" s="27">
        <f>SUM(Tabla2[[#This Row],[Horas*]],Tabla2[[#This Row],[Minutos a Horas*]])+(Tabla2[[#This Row],[Tiempo Total a Nivel Proncincial (Horas)]])</f>
        <v>4.0333333333333332</v>
      </c>
    </row>
    <row r="1282" spans="28:45" x14ac:dyDescent="0.25">
      <c r="AB1282" s="89"/>
      <c r="AD1282" s="33" t="s">
        <v>2393</v>
      </c>
      <c r="AE1282" s="10" t="s">
        <v>385</v>
      </c>
      <c r="AF1282" s="20" t="s">
        <v>2461</v>
      </c>
      <c r="AG1282" s="10"/>
      <c r="AH1282" s="22" t="str">
        <f t="shared" si="40"/>
        <v>Lambayeque_06 Chota (Cajamarca)</v>
      </c>
      <c r="AI1282" s="10" t="s">
        <v>2465</v>
      </c>
      <c r="AJ1282" s="20" t="s">
        <v>2451</v>
      </c>
      <c r="AK1282" s="22" t="str">
        <f t="shared" si="41"/>
        <v>Lambayeque_06 Chota (Cajamarca)_03 San Juan de Licupiz</v>
      </c>
      <c r="AL1282" s="25">
        <v>0</v>
      </c>
      <c r="AM1282" s="25">
        <v>31</v>
      </c>
      <c r="AN1282" s="26">
        <f>Tabla2[[#This Row],[Minutos]]/60</f>
        <v>0.51666666666666672</v>
      </c>
      <c r="AO1282" s="27">
        <f>SUM(Tabla2[[#This Row],[Horas]],Tabla2[[#This Row],[Minutos a Horas]])</f>
        <v>0.51666666666666672</v>
      </c>
      <c r="AP1282" s="49">
        <v>4</v>
      </c>
      <c r="AQ1282" s="49">
        <v>13</v>
      </c>
      <c r="AR1282" s="26">
        <f>Tabla2[[#This Row],[Minutos*]]/60</f>
        <v>0.21666666666666667</v>
      </c>
      <c r="AS1282" s="27">
        <f>SUM(Tabla2[[#This Row],[Horas*]],Tabla2[[#This Row],[Minutos a Horas*]])+(Tabla2[[#This Row],[Tiempo Total a Nivel Proncincial (Horas)]])</f>
        <v>4.7333333333333334</v>
      </c>
    </row>
    <row r="1283" spans="28:45" x14ac:dyDescent="0.25">
      <c r="AB1283" s="89"/>
      <c r="AD1283" s="33" t="s">
        <v>2393</v>
      </c>
      <c r="AE1283" s="10" t="s">
        <v>385</v>
      </c>
      <c r="AF1283" s="20" t="s">
        <v>2461</v>
      </c>
      <c r="AG1283" s="10"/>
      <c r="AH1283" s="22" t="str">
        <f t="shared" si="40"/>
        <v>Lambayeque_06 Chota (Cajamarca)</v>
      </c>
      <c r="AI1283" s="10" t="s">
        <v>2465</v>
      </c>
      <c r="AJ1283" s="20" t="s">
        <v>2452</v>
      </c>
      <c r="AK1283" s="22" t="str">
        <f t="shared" si="41"/>
        <v>Lambayeque_06 Chota (Cajamarca)_04 Tocmoche</v>
      </c>
      <c r="AL1283" s="25">
        <v>0</v>
      </c>
      <c r="AM1283" s="25">
        <v>31</v>
      </c>
      <c r="AN1283" s="26">
        <f>Tabla2[[#This Row],[Minutos]]/60</f>
        <v>0.51666666666666672</v>
      </c>
      <c r="AO1283" s="27">
        <f>SUM(Tabla2[[#This Row],[Horas]],Tabla2[[#This Row],[Minutos a Horas]])</f>
        <v>0.51666666666666672</v>
      </c>
      <c r="AP1283" s="49">
        <v>2</v>
      </c>
      <c r="AQ1283" s="49">
        <v>55</v>
      </c>
      <c r="AR1283" s="26">
        <f>Tabla2[[#This Row],[Minutos*]]/60</f>
        <v>0.91666666666666663</v>
      </c>
      <c r="AS1283" s="27">
        <f>SUM(Tabla2[[#This Row],[Horas*]],Tabla2[[#This Row],[Minutos a Horas*]])+(Tabla2[[#This Row],[Tiempo Total a Nivel Proncincial (Horas)]])</f>
        <v>3.4333333333333331</v>
      </c>
    </row>
    <row r="1284" spans="28:45" x14ac:dyDescent="0.25">
      <c r="AB1284" s="89"/>
      <c r="AD1284" s="33" t="s">
        <v>2393</v>
      </c>
      <c r="AE1284" s="10" t="s">
        <v>385</v>
      </c>
      <c r="AF1284" s="20" t="s">
        <v>2461</v>
      </c>
      <c r="AG1284" s="10"/>
      <c r="AH1284" s="22" t="str">
        <f t="shared" si="40"/>
        <v>Lambayeque_06 Chota (Cajamarca)</v>
      </c>
      <c r="AI1284" s="10" t="s">
        <v>2465</v>
      </c>
      <c r="AJ1284" s="20" t="s">
        <v>2453</v>
      </c>
      <c r="AK1284" s="22" t="str">
        <f t="shared" si="41"/>
        <v>Lambayeque_06 Chota (Cajamarca)_05 Chota</v>
      </c>
      <c r="AL1284" s="25">
        <v>0</v>
      </c>
      <c r="AM1284" s="25">
        <v>31</v>
      </c>
      <c r="AN1284" s="26">
        <f>Tabla2[[#This Row],[Minutos]]/60</f>
        <v>0.51666666666666672</v>
      </c>
      <c r="AO1284" s="27">
        <f>SUM(Tabla2[[#This Row],[Horas]],Tabla2[[#This Row],[Minutos a Horas]])</f>
        <v>0.51666666666666672</v>
      </c>
      <c r="AP1284" s="49">
        <v>4</v>
      </c>
      <c r="AQ1284" s="49">
        <v>52</v>
      </c>
      <c r="AR1284" s="26">
        <f>Tabla2[[#This Row],[Minutos*]]/60</f>
        <v>0.8666666666666667</v>
      </c>
      <c r="AS1284" s="27">
        <f>SUM(Tabla2[[#This Row],[Horas*]],Tabla2[[#This Row],[Minutos a Horas*]])+(Tabla2[[#This Row],[Tiempo Total a Nivel Proncincial (Horas)]])</f>
        <v>5.3833333333333337</v>
      </c>
    </row>
    <row r="1285" spans="28:45" x14ac:dyDescent="0.25">
      <c r="AB1285" s="89"/>
      <c r="AD1285" s="33" t="s">
        <v>2393</v>
      </c>
      <c r="AE1285" s="10" t="s">
        <v>385</v>
      </c>
      <c r="AF1285" s="20" t="s">
        <v>2461</v>
      </c>
      <c r="AG1285" s="10"/>
      <c r="AH1285" s="22" t="str">
        <f t="shared" si="40"/>
        <v>Lambayeque_06 Chota (Cajamarca)</v>
      </c>
      <c r="AI1285" s="10" t="s">
        <v>2465</v>
      </c>
      <c r="AJ1285" s="20" t="s">
        <v>877</v>
      </c>
      <c r="AK1285" s="22" t="str">
        <f t="shared" si="41"/>
        <v>Lambayeque_06 Chota (Cajamarca)_04 Chancaybaños</v>
      </c>
      <c r="AL1285" s="25">
        <v>0</v>
      </c>
      <c r="AM1285" s="25">
        <v>31</v>
      </c>
      <c r="AN1285" s="26">
        <f>Tabla2[[#This Row],[Minutos]]/60</f>
        <v>0.51666666666666672</v>
      </c>
      <c r="AO1285" s="27">
        <f>SUM(Tabla2[[#This Row],[Horas]],Tabla2[[#This Row],[Minutos a Horas]])</f>
        <v>0.51666666666666672</v>
      </c>
      <c r="AP1285" s="49">
        <v>4</v>
      </c>
      <c r="AQ1285" s="49">
        <v>27</v>
      </c>
      <c r="AR1285" s="26">
        <f>Tabla2[[#This Row],[Minutos*]]/60</f>
        <v>0.45</v>
      </c>
      <c r="AS1285" s="27">
        <f>SUM(Tabla2[[#This Row],[Horas*]],Tabla2[[#This Row],[Minutos a Horas*]])+(Tabla2[[#This Row],[Tiempo Total a Nivel Proncincial (Horas)]])</f>
        <v>4.9666666666666668</v>
      </c>
    </row>
    <row r="1286" spans="28:45" x14ac:dyDescent="0.25">
      <c r="AB1286" s="89"/>
      <c r="AD1286" s="33" t="s">
        <v>2393</v>
      </c>
      <c r="AE1286" s="10" t="s">
        <v>385</v>
      </c>
      <c r="AF1286" s="20" t="s">
        <v>2461</v>
      </c>
      <c r="AG1286" s="10"/>
      <c r="AH1286" s="22" t="str">
        <f t="shared" si="40"/>
        <v>Lambayeque_06 Chota (Cajamarca)</v>
      </c>
      <c r="AI1286" s="10" t="s">
        <v>2465</v>
      </c>
      <c r="AJ1286" s="20" t="s">
        <v>2454</v>
      </c>
      <c r="AK1286" s="22" t="str">
        <f t="shared" si="41"/>
        <v>Lambayeque_06 Chota (Cajamarca)_08 Huambos</v>
      </c>
      <c r="AL1286" s="25">
        <v>0</v>
      </c>
      <c r="AM1286" s="25">
        <v>31</v>
      </c>
      <c r="AN1286" s="26">
        <f>Tabla2[[#This Row],[Minutos]]/60</f>
        <v>0.51666666666666672</v>
      </c>
      <c r="AO1286" s="27">
        <f>SUM(Tabla2[[#This Row],[Horas]],Tabla2[[#This Row],[Minutos a Horas]])</f>
        <v>0.51666666666666672</v>
      </c>
      <c r="AP1286" s="49">
        <v>3</v>
      </c>
      <c r="AQ1286" s="49">
        <v>28</v>
      </c>
      <c r="AR1286" s="26">
        <f>Tabla2[[#This Row],[Minutos*]]/60</f>
        <v>0.46666666666666667</v>
      </c>
      <c r="AS1286" s="27">
        <f>SUM(Tabla2[[#This Row],[Horas*]],Tabla2[[#This Row],[Minutos a Horas*]])+(Tabla2[[#This Row],[Tiempo Total a Nivel Proncincial (Horas)]])</f>
        <v>3.9833333333333334</v>
      </c>
    </row>
    <row r="1287" spans="28:45" x14ac:dyDescent="0.25">
      <c r="AB1287" s="89"/>
      <c r="AD1287" s="33" t="s">
        <v>2393</v>
      </c>
      <c r="AE1287" s="10" t="s">
        <v>385</v>
      </c>
      <c r="AF1287" s="20" t="s">
        <v>2462</v>
      </c>
      <c r="AG1287" s="10"/>
      <c r="AH1287" s="22" t="str">
        <f t="shared" si="40"/>
        <v>Lambayeque_07 Cutervo (Cajamarca)</v>
      </c>
      <c r="AI1287" s="10" t="s">
        <v>2466</v>
      </c>
      <c r="AJ1287" s="20" t="s">
        <v>814</v>
      </c>
      <c r="AK1287" s="22" t="str">
        <f t="shared" si="41"/>
        <v>Lambayeque_07 Cutervo (Cajamarca)_01 Cutervo</v>
      </c>
      <c r="AL1287" s="25">
        <v>0</v>
      </c>
      <c r="AM1287" s="25">
        <v>31</v>
      </c>
      <c r="AN1287" s="26">
        <f>Tabla2[[#This Row],[Minutos]]/60</f>
        <v>0.51666666666666672</v>
      </c>
      <c r="AO1287" s="27">
        <f>SUM(Tabla2[[#This Row],[Horas]],Tabla2[[#This Row],[Minutos a Horas]])</f>
        <v>0.51666666666666672</v>
      </c>
      <c r="AP1287" s="49">
        <v>5</v>
      </c>
      <c r="AQ1287" s="49">
        <v>43</v>
      </c>
      <c r="AR1287" s="26">
        <f>Tabla2[[#This Row],[Minutos*]]/60</f>
        <v>0.71666666666666667</v>
      </c>
      <c r="AS1287" s="27">
        <f>SUM(Tabla2[[#This Row],[Horas*]],Tabla2[[#This Row],[Minutos a Horas*]])+(Tabla2[[#This Row],[Tiempo Total a Nivel Proncincial (Horas)]])</f>
        <v>6.2333333333333334</v>
      </c>
    </row>
    <row r="1288" spans="28:45" x14ac:dyDescent="0.25">
      <c r="AB1288" s="89"/>
      <c r="AD1288" s="33" t="s">
        <v>2393</v>
      </c>
      <c r="AE1288" s="10" t="s">
        <v>385</v>
      </c>
      <c r="AF1288" s="20" t="s">
        <v>2462</v>
      </c>
      <c r="AG1288" s="10"/>
      <c r="AH1288" s="22" t="str">
        <f t="shared" si="40"/>
        <v>Lambayeque_07 Cutervo (Cajamarca)</v>
      </c>
      <c r="AI1288" s="10" t="s">
        <v>2466</v>
      </c>
      <c r="AJ1288" s="20" t="s">
        <v>2455</v>
      </c>
      <c r="AK1288" s="22" t="str">
        <f t="shared" si="41"/>
        <v>Lambayeque_07 Cutervo (Cajamarca)_02 Socota</v>
      </c>
      <c r="AL1288" s="25">
        <v>0</v>
      </c>
      <c r="AM1288" s="25">
        <v>31</v>
      </c>
      <c r="AN1288" s="26">
        <f>Tabla2[[#This Row],[Minutos]]/60</f>
        <v>0.51666666666666672</v>
      </c>
      <c r="AO1288" s="27">
        <f>SUM(Tabla2[[#This Row],[Horas]],Tabla2[[#This Row],[Minutos a Horas]])</f>
        <v>0.51666666666666672</v>
      </c>
      <c r="AP1288" s="49">
        <v>5</v>
      </c>
      <c r="AQ1288" s="49">
        <v>53</v>
      </c>
      <c r="AR1288" s="26">
        <f>Tabla2[[#This Row],[Minutos*]]/60</f>
        <v>0.8833333333333333</v>
      </c>
      <c r="AS1288" s="27">
        <f>SUM(Tabla2[[#This Row],[Horas*]],Tabla2[[#This Row],[Minutos a Horas*]])+(Tabla2[[#This Row],[Tiempo Total a Nivel Proncincial (Horas)]])</f>
        <v>6.3999999999999995</v>
      </c>
    </row>
    <row r="1289" spans="28:45" x14ac:dyDescent="0.25">
      <c r="AB1289" s="89"/>
      <c r="AD1289" s="33" t="s">
        <v>2393</v>
      </c>
      <c r="AE1289" s="10" t="s">
        <v>385</v>
      </c>
      <c r="AF1289" s="20" t="s">
        <v>2462</v>
      </c>
      <c r="AG1289" s="10"/>
      <c r="AH1289" s="22" t="str">
        <f t="shared" si="40"/>
        <v>Lambayeque_07 Cutervo (Cajamarca)</v>
      </c>
      <c r="AI1289" s="10" t="s">
        <v>2466</v>
      </c>
      <c r="AJ1289" s="20" t="s">
        <v>2456</v>
      </c>
      <c r="AK1289" s="22" t="str">
        <f t="shared" si="41"/>
        <v>Lambayeque_07 Cutervo (Cajamarca)_03 San Luis de Lucma</v>
      </c>
      <c r="AL1289" s="25">
        <v>0</v>
      </c>
      <c r="AM1289" s="25">
        <v>31</v>
      </c>
      <c r="AN1289" s="26">
        <f>Tabla2[[#This Row],[Minutos]]/60</f>
        <v>0.51666666666666672</v>
      </c>
      <c r="AO1289" s="27">
        <f>SUM(Tabla2[[#This Row],[Horas]],Tabla2[[#This Row],[Minutos a Horas]])</f>
        <v>0.51666666666666672</v>
      </c>
      <c r="AP1289" s="49">
        <v>6</v>
      </c>
      <c r="AQ1289" s="49">
        <v>33</v>
      </c>
      <c r="AR1289" s="26">
        <f>Tabla2[[#This Row],[Minutos*]]/60</f>
        <v>0.55000000000000004</v>
      </c>
      <c r="AS1289" s="27">
        <f>SUM(Tabla2[[#This Row],[Horas*]],Tabla2[[#This Row],[Minutos a Horas*]])+(Tabla2[[#This Row],[Tiempo Total a Nivel Proncincial (Horas)]])</f>
        <v>7.0666666666666664</v>
      </c>
    </row>
    <row r="1290" spans="28:45" x14ac:dyDescent="0.25">
      <c r="AB1290" s="89"/>
      <c r="AD1290" s="33" t="s">
        <v>2393</v>
      </c>
      <c r="AE1290" s="10" t="s">
        <v>385</v>
      </c>
      <c r="AF1290" s="20" t="s">
        <v>2463</v>
      </c>
      <c r="AG1290" s="10"/>
      <c r="AH1290" s="22" t="str">
        <f t="shared" si="40"/>
        <v>Lambayeque_08 Hualgayoc (Cajamarca)</v>
      </c>
      <c r="AI1290" s="10" t="s">
        <v>2467</v>
      </c>
      <c r="AJ1290" s="20" t="s">
        <v>2457</v>
      </c>
      <c r="AK1290" s="22" t="str">
        <f t="shared" si="41"/>
        <v>Lambayeque_08 Hualgayoc (Cajamarca)_10 Hualgayoc</v>
      </c>
      <c r="AL1290" s="25">
        <v>0</v>
      </c>
      <c r="AM1290" s="25">
        <v>31</v>
      </c>
      <c r="AN1290" s="26">
        <f>Tabla2[[#This Row],[Minutos]]/60</f>
        <v>0.51666666666666672</v>
      </c>
      <c r="AO1290" s="27">
        <f>SUM(Tabla2[[#This Row],[Horas]],Tabla2[[#This Row],[Minutos a Horas]])</f>
        <v>0.51666666666666672</v>
      </c>
      <c r="AP1290" s="49">
        <v>5</v>
      </c>
      <c r="AQ1290" s="49">
        <v>50</v>
      </c>
      <c r="AR1290" s="26">
        <f>Tabla2[[#This Row],[Minutos*]]/60</f>
        <v>0.83333333333333337</v>
      </c>
      <c r="AS1290" s="27">
        <f>SUM(Tabla2[[#This Row],[Horas*]],Tabla2[[#This Row],[Minutos a Horas*]])+(Tabla2[[#This Row],[Tiempo Total a Nivel Proncincial (Horas)]])</f>
        <v>6.35</v>
      </c>
    </row>
    <row r="1291" spans="28:45" x14ac:dyDescent="0.25">
      <c r="AB1291" s="89"/>
      <c r="AD1291" s="33" t="s">
        <v>2393</v>
      </c>
      <c r="AE1291" s="10" t="s">
        <v>385</v>
      </c>
      <c r="AF1291" s="20" t="s">
        <v>2463</v>
      </c>
      <c r="AG1291" s="10"/>
      <c r="AH1291" s="22" t="str">
        <f t="shared" si="40"/>
        <v>Lambayeque_08 Hualgayoc (Cajamarca)</v>
      </c>
      <c r="AI1291" s="10" t="s">
        <v>2467</v>
      </c>
      <c r="AJ1291" s="20" t="s">
        <v>2458</v>
      </c>
      <c r="AK1291" s="22" t="str">
        <f t="shared" si="41"/>
        <v>Lambayeque_08 Hualgayoc (Cajamarca)_11 Bambamarca</v>
      </c>
      <c r="AL1291" s="25">
        <v>0</v>
      </c>
      <c r="AM1291" s="25">
        <v>31</v>
      </c>
      <c r="AN1291" s="26">
        <f>Tabla2[[#This Row],[Minutos]]/60</f>
        <v>0.51666666666666672</v>
      </c>
      <c r="AO1291" s="27">
        <f>SUM(Tabla2[[#This Row],[Horas]],Tabla2[[#This Row],[Minutos a Horas]])</f>
        <v>0.51666666666666672</v>
      </c>
      <c r="AP1291" s="49">
        <v>5</v>
      </c>
      <c r="AQ1291" s="49">
        <v>56</v>
      </c>
      <c r="AR1291" s="26">
        <f>Tabla2[[#This Row],[Minutos*]]/60</f>
        <v>0.93333333333333335</v>
      </c>
      <c r="AS1291" s="27">
        <f>SUM(Tabla2[[#This Row],[Horas*]],Tabla2[[#This Row],[Minutos a Horas*]])+(Tabla2[[#This Row],[Tiempo Total a Nivel Proncincial (Horas)]])</f>
        <v>6.45</v>
      </c>
    </row>
    <row r="1292" spans="28:45" x14ac:dyDescent="0.25">
      <c r="AB1292" s="89"/>
      <c r="AD1292" s="20" t="s">
        <v>2385</v>
      </c>
      <c r="AE1292" s="10" t="s">
        <v>386</v>
      </c>
      <c r="AF1292" s="20" t="s">
        <v>1575</v>
      </c>
      <c r="AG1292" s="10" t="s">
        <v>1575</v>
      </c>
      <c r="AH1292" s="22" t="str">
        <f t="shared" si="38"/>
        <v xml:space="preserve">Loreto_01 Maynas </v>
      </c>
      <c r="AI1292" s="10" t="s">
        <v>1635</v>
      </c>
      <c r="AJ1292" s="20" t="s">
        <v>2468</v>
      </c>
      <c r="AK1292" s="22" t="str">
        <f t="shared" si="39"/>
        <v>Loreto_01 Maynas _01 Iquitos</v>
      </c>
      <c r="AL1292" s="25">
        <v>0</v>
      </c>
      <c r="AM1292" s="25">
        <v>30</v>
      </c>
      <c r="AN1292" s="26">
        <f>Tabla2[[#This Row],[Minutos]]/60</f>
        <v>0.5</v>
      </c>
      <c r="AO1292" s="27">
        <f>SUM(Tabla2[[#This Row],[Horas]],Tabla2[[#This Row],[Minutos a Horas]])</f>
        <v>0.5</v>
      </c>
      <c r="AP1292" s="49"/>
      <c r="AQ1292" s="49"/>
      <c r="AR1292" s="26">
        <f>Tabla2[[#This Row],[Minutos*]]/60</f>
        <v>0</v>
      </c>
      <c r="AS1292" s="27">
        <f>SUM(Tabla2[[#This Row],[Horas*]],Tabla2[[#This Row],[Minutos a Horas*]])+(Tabla2[[#This Row],[Tiempo Total a Nivel Proncincial (Horas)]])</f>
        <v>0.5</v>
      </c>
    </row>
    <row r="1293" spans="28:45" x14ac:dyDescent="0.25">
      <c r="AB1293" s="89"/>
      <c r="AD1293" s="20" t="s">
        <v>2385</v>
      </c>
      <c r="AE1293" s="10" t="s">
        <v>386</v>
      </c>
      <c r="AF1293" s="20" t="s">
        <v>1575</v>
      </c>
      <c r="AG1293" s="10" t="s">
        <v>1576</v>
      </c>
      <c r="AH1293" s="22" t="str">
        <f t="shared" si="38"/>
        <v xml:space="preserve">Loreto_01 Maynas </v>
      </c>
      <c r="AI1293" s="10" t="s">
        <v>1635</v>
      </c>
      <c r="AJ1293" s="20" t="s">
        <v>1583</v>
      </c>
      <c r="AK1293" s="22" t="str">
        <f t="shared" si="39"/>
        <v>Loreto_01 Maynas _02 Alto Nanay</v>
      </c>
      <c r="AL1293" s="25">
        <v>0</v>
      </c>
      <c r="AM1293" s="25">
        <v>30</v>
      </c>
      <c r="AN1293" s="26">
        <f>Tabla2[[#This Row],[Minutos]]/60</f>
        <v>0.5</v>
      </c>
      <c r="AO1293" s="27">
        <f>SUM(Tabla2[[#This Row],[Horas]],Tabla2[[#This Row],[Minutos a Horas]])</f>
        <v>0.5</v>
      </c>
      <c r="AP1293" s="49">
        <v>0</v>
      </c>
      <c r="AQ1293" s="49">
        <v>35</v>
      </c>
      <c r="AR1293" s="26">
        <f>Tabla2[[#This Row],[Minutos*]]/60</f>
        <v>0.58333333333333337</v>
      </c>
      <c r="AS1293" s="27">
        <f>SUM(Tabla2[[#This Row],[Horas*]],Tabla2[[#This Row],[Minutos a Horas*]])+(Tabla2[[#This Row],[Tiempo Total a Nivel Proncincial (Horas)]])</f>
        <v>1.0833333333333335</v>
      </c>
    </row>
    <row r="1294" spans="28:45" x14ac:dyDescent="0.25">
      <c r="AB1294" s="89"/>
      <c r="AD1294" s="20" t="s">
        <v>2385</v>
      </c>
      <c r="AE1294" s="10" t="s">
        <v>386</v>
      </c>
      <c r="AF1294" s="20" t="s">
        <v>1575</v>
      </c>
      <c r="AG1294" s="10" t="s">
        <v>1577</v>
      </c>
      <c r="AH1294" s="22" t="str">
        <f t="shared" si="38"/>
        <v xml:space="preserve">Loreto_01 Maynas </v>
      </c>
      <c r="AI1294" s="10" t="s">
        <v>1635</v>
      </c>
      <c r="AJ1294" s="20" t="s">
        <v>1584</v>
      </c>
      <c r="AK1294" s="22" t="str">
        <f t="shared" si="39"/>
        <v>Loreto_01 Maynas _03 Fernando Lores</v>
      </c>
      <c r="AL1294" s="25">
        <v>0</v>
      </c>
      <c r="AM1294" s="25">
        <v>30</v>
      </c>
      <c r="AN1294" s="26">
        <f>Tabla2[[#This Row],[Minutos]]/60</f>
        <v>0.5</v>
      </c>
      <c r="AO1294" s="27">
        <f>SUM(Tabla2[[#This Row],[Horas]],Tabla2[[#This Row],[Minutos a Horas]])</f>
        <v>0.5</v>
      </c>
      <c r="AP1294" s="49">
        <v>2</v>
      </c>
      <c r="AQ1294" s="49">
        <v>40</v>
      </c>
      <c r="AR1294" s="26">
        <f>Tabla2[[#This Row],[Minutos*]]/60</f>
        <v>0.66666666666666663</v>
      </c>
      <c r="AS1294" s="27">
        <f>SUM(Tabla2[[#This Row],[Horas*]],Tabla2[[#This Row],[Minutos a Horas*]])+(Tabla2[[#This Row],[Tiempo Total a Nivel Proncincial (Horas)]])</f>
        <v>3.1666666666666665</v>
      </c>
    </row>
    <row r="1295" spans="28:45" x14ac:dyDescent="0.25">
      <c r="AB1295" s="89"/>
      <c r="AD1295" s="20" t="s">
        <v>2385</v>
      </c>
      <c r="AE1295" s="10" t="s">
        <v>386</v>
      </c>
      <c r="AF1295" s="20" t="s">
        <v>1575</v>
      </c>
      <c r="AG1295" s="10" t="s">
        <v>1578</v>
      </c>
      <c r="AH1295" s="22" t="str">
        <f t="shared" si="38"/>
        <v xml:space="preserve">Loreto_01 Maynas </v>
      </c>
      <c r="AI1295" s="10" t="s">
        <v>1635</v>
      </c>
      <c r="AJ1295" s="20" t="s">
        <v>1585</v>
      </c>
      <c r="AK1295" s="22" t="str">
        <f t="shared" si="39"/>
        <v>Loreto_01 Maynas _04 Indiana</v>
      </c>
      <c r="AL1295" s="25">
        <v>0</v>
      </c>
      <c r="AM1295" s="25">
        <v>30</v>
      </c>
      <c r="AN1295" s="26">
        <f>Tabla2[[#This Row],[Minutos]]/60</f>
        <v>0.5</v>
      </c>
      <c r="AO1295" s="27">
        <f>SUM(Tabla2[[#This Row],[Horas]],Tabla2[[#This Row],[Minutos a Horas]])</f>
        <v>0.5</v>
      </c>
      <c r="AP1295" s="49">
        <v>1</v>
      </c>
      <c r="AQ1295" s="49">
        <v>50</v>
      </c>
      <c r="AR1295" s="26">
        <f>Tabla2[[#This Row],[Minutos*]]/60</f>
        <v>0.83333333333333337</v>
      </c>
      <c r="AS1295" s="27">
        <f>SUM(Tabla2[[#This Row],[Horas*]],Tabla2[[#This Row],[Minutos a Horas*]])+(Tabla2[[#This Row],[Tiempo Total a Nivel Proncincial (Horas)]])</f>
        <v>2.3333333333333335</v>
      </c>
    </row>
    <row r="1296" spans="28:45" x14ac:dyDescent="0.25">
      <c r="AB1296" s="89"/>
      <c r="AD1296" s="20" t="s">
        <v>2385</v>
      </c>
      <c r="AE1296" s="10" t="s">
        <v>386</v>
      </c>
      <c r="AF1296" s="20" t="s">
        <v>1575</v>
      </c>
      <c r="AG1296" s="10" t="s">
        <v>1579</v>
      </c>
      <c r="AH1296" s="22" t="str">
        <f t="shared" si="38"/>
        <v xml:space="preserve">Loreto_01 Maynas </v>
      </c>
      <c r="AI1296" s="10" t="s">
        <v>1635</v>
      </c>
      <c r="AJ1296" s="20" t="s">
        <v>1586</v>
      </c>
      <c r="AK1296" s="22" t="str">
        <f t="shared" si="39"/>
        <v>Loreto_01 Maynas _05 Las Amazonas</v>
      </c>
      <c r="AL1296" s="25">
        <v>0</v>
      </c>
      <c r="AM1296" s="25">
        <v>30</v>
      </c>
      <c r="AN1296" s="26">
        <f>Tabla2[[#This Row],[Minutos]]/60</f>
        <v>0.5</v>
      </c>
      <c r="AO1296" s="27">
        <f>SUM(Tabla2[[#This Row],[Horas]],Tabla2[[#This Row],[Minutos a Horas]])</f>
        <v>0.5</v>
      </c>
      <c r="AP1296" s="49">
        <v>3</v>
      </c>
      <c r="AQ1296" s="49">
        <v>50</v>
      </c>
      <c r="AR1296" s="26">
        <f>Tabla2[[#This Row],[Minutos*]]/60</f>
        <v>0.83333333333333337</v>
      </c>
      <c r="AS1296" s="27">
        <f>SUM(Tabla2[[#This Row],[Horas*]],Tabla2[[#This Row],[Minutos a Horas*]])+(Tabla2[[#This Row],[Tiempo Total a Nivel Proncincial (Horas)]])</f>
        <v>4.3333333333333339</v>
      </c>
    </row>
    <row r="1297" spans="28:45" x14ac:dyDescent="0.25">
      <c r="AB1297" s="89"/>
      <c r="AD1297" s="20" t="s">
        <v>2385</v>
      </c>
      <c r="AE1297" s="10" t="s">
        <v>386</v>
      </c>
      <c r="AF1297" s="20" t="s">
        <v>1575</v>
      </c>
      <c r="AG1297" s="10" t="s">
        <v>1580</v>
      </c>
      <c r="AH1297" s="22" t="str">
        <f t="shared" si="38"/>
        <v xml:space="preserve">Loreto_01 Maynas </v>
      </c>
      <c r="AI1297" s="10" t="s">
        <v>1635</v>
      </c>
      <c r="AJ1297" s="20" t="s">
        <v>1587</v>
      </c>
      <c r="AK1297" s="22" t="str">
        <f t="shared" si="39"/>
        <v>Loreto_01 Maynas _06 Mazan</v>
      </c>
      <c r="AL1297" s="25">
        <v>0</v>
      </c>
      <c r="AM1297" s="25">
        <v>30</v>
      </c>
      <c r="AN1297" s="26">
        <f>Tabla2[[#This Row],[Minutos]]/60</f>
        <v>0.5</v>
      </c>
      <c r="AO1297" s="27">
        <f>SUM(Tabla2[[#This Row],[Horas]],Tabla2[[#This Row],[Minutos a Horas]])</f>
        <v>0.5</v>
      </c>
      <c r="AP1297" s="49">
        <v>2</v>
      </c>
      <c r="AQ1297" s="49">
        <v>30</v>
      </c>
      <c r="AR1297" s="26">
        <f>Tabla2[[#This Row],[Minutos*]]/60</f>
        <v>0.5</v>
      </c>
      <c r="AS1297" s="27">
        <f>SUM(Tabla2[[#This Row],[Horas*]],Tabla2[[#This Row],[Minutos a Horas*]])+(Tabla2[[#This Row],[Tiempo Total a Nivel Proncincial (Horas)]])</f>
        <v>3</v>
      </c>
    </row>
    <row r="1298" spans="28:45" x14ac:dyDescent="0.25">
      <c r="AB1298" s="89"/>
      <c r="AD1298" s="20" t="s">
        <v>2385</v>
      </c>
      <c r="AE1298" s="10" t="s">
        <v>386</v>
      </c>
      <c r="AF1298" s="20" t="s">
        <v>1575</v>
      </c>
      <c r="AG1298" s="10" t="s">
        <v>1581</v>
      </c>
      <c r="AH1298" s="22" t="str">
        <f t="shared" si="38"/>
        <v xml:space="preserve">Loreto_01 Maynas </v>
      </c>
      <c r="AI1298" s="10" t="s">
        <v>1635</v>
      </c>
      <c r="AJ1298" s="20" t="s">
        <v>1588</v>
      </c>
      <c r="AK1298" s="22" t="str">
        <f t="shared" si="39"/>
        <v>Loreto_01 Maynas _07 Napo</v>
      </c>
      <c r="AL1298" s="25">
        <v>0</v>
      </c>
      <c r="AM1298" s="25">
        <v>30</v>
      </c>
      <c r="AN1298" s="26">
        <f>Tabla2[[#This Row],[Minutos]]/60</f>
        <v>0.5</v>
      </c>
      <c r="AO1298" s="27">
        <f>SUM(Tabla2[[#This Row],[Horas]],Tabla2[[#This Row],[Minutos a Horas]])</f>
        <v>0.5</v>
      </c>
      <c r="AP1298" s="49">
        <v>6</v>
      </c>
      <c r="AQ1298" s="49">
        <v>30</v>
      </c>
      <c r="AR1298" s="26">
        <f>Tabla2[[#This Row],[Minutos*]]/60</f>
        <v>0.5</v>
      </c>
      <c r="AS1298" s="27">
        <f>SUM(Tabla2[[#This Row],[Horas*]],Tabla2[[#This Row],[Minutos a Horas*]])+(Tabla2[[#This Row],[Tiempo Total a Nivel Proncincial (Horas)]])</f>
        <v>7</v>
      </c>
    </row>
    <row r="1299" spans="28:45" x14ac:dyDescent="0.25">
      <c r="AB1299" s="89"/>
      <c r="AD1299" s="20" t="s">
        <v>2385</v>
      </c>
      <c r="AE1299" s="10" t="s">
        <v>386</v>
      </c>
      <c r="AF1299" s="20" t="s">
        <v>1575</v>
      </c>
      <c r="AG1299" s="10" t="s">
        <v>1582</v>
      </c>
      <c r="AH1299" s="22" t="str">
        <f t="shared" si="38"/>
        <v xml:space="preserve">Loreto_01 Maynas </v>
      </c>
      <c r="AI1299" s="10" t="s">
        <v>1635</v>
      </c>
      <c r="AJ1299" s="20" t="s">
        <v>1589</v>
      </c>
      <c r="AK1299" s="22" t="str">
        <f t="shared" si="39"/>
        <v>Loreto_01 Maynas _08 Punchana</v>
      </c>
      <c r="AL1299" s="25">
        <v>0</v>
      </c>
      <c r="AM1299" s="25">
        <v>30</v>
      </c>
      <c r="AN1299" s="26">
        <f>Tabla2[[#This Row],[Minutos]]/60</f>
        <v>0.5</v>
      </c>
      <c r="AO1299" s="27">
        <f>SUM(Tabla2[[#This Row],[Horas]],Tabla2[[#This Row],[Minutos a Horas]])</f>
        <v>0.5</v>
      </c>
      <c r="AP1299" s="49"/>
      <c r="AQ1299" s="49">
        <v>20</v>
      </c>
      <c r="AR1299" s="26">
        <f>Tabla2[[#This Row],[Minutos*]]/60</f>
        <v>0.33333333333333331</v>
      </c>
      <c r="AS1299" s="27">
        <f>SUM(Tabla2[[#This Row],[Horas*]],Tabla2[[#This Row],[Minutos a Horas*]])+(Tabla2[[#This Row],[Tiempo Total a Nivel Proncincial (Horas)]])</f>
        <v>0.83333333333333326</v>
      </c>
    </row>
    <row r="1300" spans="28:45" x14ac:dyDescent="0.25">
      <c r="AB1300" s="89"/>
      <c r="AD1300" s="20" t="s">
        <v>2385</v>
      </c>
      <c r="AE1300" s="10" t="s">
        <v>386</v>
      </c>
      <c r="AF1300" s="20" t="s">
        <v>1575</v>
      </c>
      <c r="AG1300" s="10"/>
      <c r="AH1300" s="22" t="str">
        <f t="shared" si="38"/>
        <v xml:space="preserve">Loreto_01 Maynas </v>
      </c>
      <c r="AI1300" s="10" t="s">
        <v>1635</v>
      </c>
      <c r="AJ1300" s="20" t="s">
        <v>1590</v>
      </c>
      <c r="AK1300" s="22" t="str">
        <f t="shared" si="39"/>
        <v>Loreto_01 Maynas _10 Torres Causana</v>
      </c>
      <c r="AL1300" s="25">
        <v>0</v>
      </c>
      <c r="AM1300" s="25">
        <v>30</v>
      </c>
      <c r="AN1300" s="26">
        <f>Tabla2[[#This Row],[Minutos]]/60</f>
        <v>0.5</v>
      </c>
      <c r="AO1300" s="27">
        <f>SUM(Tabla2[[#This Row],[Horas]],Tabla2[[#This Row],[Minutos a Horas]])</f>
        <v>0.5</v>
      </c>
      <c r="AP1300" s="49">
        <v>1</v>
      </c>
      <c r="AQ1300" s="49">
        <v>30</v>
      </c>
      <c r="AR1300" s="26">
        <f>Tabla2[[#This Row],[Minutos*]]/60</f>
        <v>0.5</v>
      </c>
      <c r="AS1300" s="27">
        <f>SUM(Tabla2[[#This Row],[Horas*]],Tabla2[[#This Row],[Minutos a Horas*]])+(Tabla2[[#This Row],[Tiempo Total a Nivel Proncincial (Horas)]])</f>
        <v>2</v>
      </c>
    </row>
    <row r="1301" spans="28:45" x14ac:dyDescent="0.25">
      <c r="AB1301" s="89"/>
      <c r="AD1301" s="20" t="s">
        <v>2385</v>
      </c>
      <c r="AE1301" s="10" t="s">
        <v>386</v>
      </c>
      <c r="AF1301" s="20" t="s">
        <v>1575</v>
      </c>
      <c r="AG1301" s="10"/>
      <c r="AH1301" s="22" t="str">
        <f t="shared" si="38"/>
        <v xml:space="preserve">Loreto_01 Maynas </v>
      </c>
      <c r="AI1301" s="10" t="s">
        <v>1635</v>
      </c>
      <c r="AJ1301" s="20" t="s">
        <v>1591</v>
      </c>
      <c r="AK1301" s="22" t="str">
        <f t="shared" si="39"/>
        <v>Loreto_01 Maynas _12 Belén</v>
      </c>
      <c r="AL1301" s="25">
        <v>0</v>
      </c>
      <c r="AM1301" s="25">
        <v>30</v>
      </c>
      <c r="AN1301" s="26">
        <f>Tabla2[[#This Row],[Minutos]]/60</f>
        <v>0.5</v>
      </c>
      <c r="AO1301" s="27">
        <f>SUM(Tabla2[[#This Row],[Horas]],Tabla2[[#This Row],[Minutos a Horas]])</f>
        <v>0.5</v>
      </c>
      <c r="AP1301" s="49"/>
      <c r="AQ1301" s="49">
        <v>15</v>
      </c>
      <c r="AR1301" s="26">
        <f>Tabla2[[#This Row],[Minutos*]]/60</f>
        <v>0.25</v>
      </c>
      <c r="AS1301" s="27">
        <f>SUM(Tabla2[[#This Row],[Horas*]],Tabla2[[#This Row],[Minutos a Horas*]])+(Tabla2[[#This Row],[Tiempo Total a Nivel Proncincial (Horas)]])</f>
        <v>0.75</v>
      </c>
    </row>
    <row r="1302" spans="28:45" x14ac:dyDescent="0.25">
      <c r="AB1302" s="89"/>
      <c r="AD1302" s="20" t="s">
        <v>2385</v>
      </c>
      <c r="AE1302" s="10" t="s">
        <v>386</v>
      </c>
      <c r="AF1302" s="20" t="s">
        <v>1575</v>
      </c>
      <c r="AG1302" s="10"/>
      <c r="AH1302" s="22" t="str">
        <f t="shared" si="38"/>
        <v xml:space="preserve">Loreto_01 Maynas </v>
      </c>
      <c r="AI1302" s="10" t="s">
        <v>1635</v>
      </c>
      <c r="AJ1302" s="20" t="s">
        <v>1592</v>
      </c>
      <c r="AK1302" s="22" t="str">
        <f t="shared" si="39"/>
        <v>Loreto_01 Maynas _13 San Juan Bautista</v>
      </c>
      <c r="AL1302" s="25">
        <v>0</v>
      </c>
      <c r="AM1302" s="25">
        <v>30</v>
      </c>
      <c r="AN1302" s="26">
        <f>Tabla2[[#This Row],[Minutos]]/60</f>
        <v>0.5</v>
      </c>
      <c r="AO1302" s="27">
        <f>SUM(Tabla2[[#This Row],[Horas]],Tabla2[[#This Row],[Minutos a Horas]])</f>
        <v>0.5</v>
      </c>
      <c r="AP1302" s="49"/>
      <c r="AQ1302" s="49">
        <v>20</v>
      </c>
      <c r="AR1302" s="26">
        <f>Tabla2[[#This Row],[Minutos*]]/60</f>
        <v>0.33333333333333331</v>
      </c>
      <c r="AS1302" s="27">
        <f>SUM(Tabla2[[#This Row],[Horas*]],Tabla2[[#This Row],[Minutos a Horas*]])+(Tabla2[[#This Row],[Tiempo Total a Nivel Proncincial (Horas)]])</f>
        <v>0.83333333333333326</v>
      </c>
    </row>
    <row r="1303" spans="28:45" x14ac:dyDescent="0.25">
      <c r="AB1303" s="89"/>
      <c r="AD1303" s="20" t="s">
        <v>2385</v>
      </c>
      <c r="AE1303" s="10" t="s">
        <v>386</v>
      </c>
      <c r="AF1303" s="20" t="s">
        <v>1576</v>
      </c>
      <c r="AG1303" s="10"/>
      <c r="AH1303" s="22" t="str">
        <f t="shared" si="38"/>
        <v xml:space="preserve">Loreto_02 Alto Amazonas </v>
      </c>
      <c r="AI1303" s="10" t="s">
        <v>1636</v>
      </c>
      <c r="AJ1303" s="20" t="s">
        <v>1593</v>
      </c>
      <c r="AK1303" s="22" t="str">
        <f t="shared" si="39"/>
        <v>Loreto_02 Alto Amazonas _01 Yurimaguas</v>
      </c>
      <c r="AL1303" s="25">
        <v>4</v>
      </c>
      <c r="AM1303" s="25">
        <v>0</v>
      </c>
      <c r="AN1303" s="26">
        <f>Tabla2[[#This Row],[Minutos]]/60</f>
        <v>0</v>
      </c>
      <c r="AO1303" s="27">
        <f>SUM(Tabla2[[#This Row],[Horas]],Tabla2[[#This Row],[Minutos a Horas]])</f>
        <v>4</v>
      </c>
      <c r="AP1303" s="49">
        <v>15</v>
      </c>
      <c r="AQ1303" s="49">
        <v>30</v>
      </c>
      <c r="AR1303" s="26">
        <f>Tabla2[[#This Row],[Minutos*]]/60</f>
        <v>0.5</v>
      </c>
      <c r="AS1303" s="27">
        <f>SUM(Tabla2[[#This Row],[Horas*]],Tabla2[[#This Row],[Minutos a Horas*]])+(Tabla2[[#This Row],[Tiempo Total a Nivel Proncincial (Horas)]])</f>
        <v>19.5</v>
      </c>
    </row>
    <row r="1304" spans="28:45" x14ac:dyDescent="0.25">
      <c r="AB1304" s="89"/>
      <c r="AD1304" s="20" t="s">
        <v>2385</v>
      </c>
      <c r="AE1304" s="10" t="s">
        <v>386</v>
      </c>
      <c r="AF1304" s="20" t="s">
        <v>1576</v>
      </c>
      <c r="AG1304" s="10"/>
      <c r="AH1304" s="22" t="str">
        <f t="shared" si="38"/>
        <v xml:space="preserve">Loreto_02 Alto Amazonas </v>
      </c>
      <c r="AI1304" s="10" t="s">
        <v>1636</v>
      </c>
      <c r="AJ1304" s="20" t="s">
        <v>1594</v>
      </c>
      <c r="AK1304" s="22" t="str">
        <f t="shared" si="39"/>
        <v>Loreto_02 Alto Amazonas _02 Balsapuerto</v>
      </c>
      <c r="AL1304" s="25">
        <v>4</v>
      </c>
      <c r="AM1304" s="25">
        <v>0</v>
      </c>
      <c r="AN1304" s="26">
        <f>Tabla2[[#This Row],[Minutos]]/60</f>
        <v>0</v>
      </c>
      <c r="AO1304" s="27">
        <f>SUM(Tabla2[[#This Row],[Horas]],Tabla2[[#This Row],[Minutos a Horas]])</f>
        <v>4</v>
      </c>
      <c r="AP1304" s="49">
        <v>20</v>
      </c>
      <c r="AQ1304" s="49">
        <v>0</v>
      </c>
      <c r="AR1304" s="26">
        <f>Tabla2[[#This Row],[Minutos*]]/60</f>
        <v>0</v>
      </c>
      <c r="AS1304" s="27">
        <f>SUM(Tabla2[[#This Row],[Horas*]],Tabla2[[#This Row],[Minutos a Horas*]])+(Tabla2[[#This Row],[Tiempo Total a Nivel Proncincial (Horas)]])</f>
        <v>24</v>
      </c>
    </row>
    <row r="1305" spans="28:45" x14ac:dyDescent="0.25">
      <c r="AB1305" s="89"/>
      <c r="AD1305" s="20" t="s">
        <v>2385</v>
      </c>
      <c r="AE1305" s="10" t="s">
        <v>386</v>
      </c>
      <c r="AF1305" s="20" t="s">
        <v>1576</v>
      </c>
      <c r="AG1305" s="10"/>
      <c r="AH1305" s="22" t="str">
        <f t="shared" si="38"/>
        <v xml:space="preserve">Loreto_02 Alto Amazonas </v>
      </c>
      <c r="AI1305" s="10" t="s">
        <v>1636</v>
      </c>
      <c r="AJ1305" s="20" t="s">
        <v>1595</v>
      </c>
      <c r="AK1305" s="22" t="str">
        <f t="shared" si="39"/>
        <v>Loreto_02 Alto Amazonas _05 Jeberos</v>
      </c>
      <c r="AL1305" s="25">
        <v>4</v>
      </c>
      <c r="AM1305" s="25">
        <v>0</v>
      </c>
      <c r="AN1305" s="26">
        <f>Tabla2[[#This Row],[Minutos]]/60</f>
        <v>0</v>
      </c>
      <c r="AO1305" s="27">
        <f>SUM(Tabla2[[#This Row],[Horas]],Tabla2[[#This Row],[Minutos a Horas]])</f>
        <v>4</v>
      </c>
      <c r="AP1305" s="49">
        <v>23</v>
      </c>
      <c r="AQ1305" s="49">
        <v>30</v>
      </c>
      <c r="AR1305" s="26">
        <f>Tabla2[[#This Row],[Minutos*]]/60</f>
        <v>0.5</v>
      </c>
      <c r="AS1305" s="27">
        <f>SUM(Tabla2[[#This Row],[Horas*]],Tabla2[[#This Row],[Minutos a Horas*]])+(Tabla2[[#This Row],[Tiempo Total a Nivel Proncincial (Horas)]])</f>
        <v>27.5</v>
      </c>
    </row>
    <row r="1306" spans="28:45" x14ac:dyDescent="0.25">
      <c r="AB1306" s="89"/>
      <c r="AD1306" s="20" t="s">
        <v>2385</v>
      </c>
      <c r="AE1306" s="10" t="s">
        <v>386</v>
      </c>
      <c r="AF1306" s="20" t="s">
        <v>1576</v>
      </c>
      <c r="AG1306" s="10"/>
      <c r="AH1306" s="22" t="str">
        <f t="shared" ref="AH1306:AH1369" si="42">CONCATENATE(AD1306,"_",AF1306)</f>
        <v xml:space="preserve">Loreto_02 Alto Amazonas </v>
      </c>
      <c r="AI1306" s="10" t="s">
        <v>1636</v>
      </c>
      <c r="AJ1306" s="20" t="s">
        <v>1596</v>
      </c>
      <c r="AK1306" s="22" t="str">
        <f t="shared" ref="AK1306:AK1369" si="43">CONCATENATE(AH1306,"_",AJ1306)</f>
        <v>Loreto_02 Alto Amazonas _06 Lagunas</v>
      </c>
      <c r="AL1306" s="25">
        <v>4</v>
      </c>
      <c r="AM1306" s="25">
        <v>0</v>
      </c>
      <c r="AN1306" s="26">
        <f>Tabla2[[#This Row],[Minutos]]/60</f>
        <v>0</v>
      </c>
      <c r="AO1306" s="27">
        <f>SUM(Tabla2[[#This Row],[Horas]],Tabla2[[#This Row],[Minutos a Horas]])</f>
        <v>4</v>
      </c>
      <c r="AP1306" s="49">
        <v>22</v>
      </c>
      <c r="AQ1306" s="49">
        <v>30</v>
      </c>
      <c r="AR1306" s="26">
        <f>Tabla2[[#This Row],[Minutos*]]/60</f>
        <v>0.5</v>
      </c>
      <c r="AS1306" s="27">
        <f>SUM(Tabla2[[#This Row],[Horas*]],Tabla2[[#This Row],[Minutos a Horas*]])+(Tabla2[[#This Row],[Tiempo Total a Nivel Proncincial (Horas)]])</f>
        <v>26.5</v>
      </c>
    </row>
    <row r="1307" spans="28:45" x14ac:dyDescent="0.25">
      <c r="AB1307" s="89"/>
      <c r="AD1307" s="20" t="s">
        <v>2385</v>
      </c>
      <c r="AE1307" s="10" t="s">
        <v>386</v>
      </c>
      <c r="AF1307" s="20" t="s">
        <v>1576</v>
      </c>
      <c r="AG1307" s="10"/>
      <c r="AH1307" s="22" t="str">
        <f t="shared" si="42"/>
        <v xml:space="preserve">Loreto_02 Alto Amazonas </v>
      </c>
      <c r="AI1307" s="10" t="s">
        <v>1636</v>
      </c>
      <c r="AJ1307" s="20" t="s">
        <v>1597</v>
      </c>
      <c r="AK1307" s="22" t="str">
        <f t="shared" si="43"/>
        <v>Loreto_02 Alto Amazonas _10 Santa Cruz</v>
      </c>
      <c r="AL1307" s="25">
        <v>4</v>
      </c>
      <c r="AM1307" s="25">
        <v>0</v>
      </c>
      <c r="AN1307" s="26">
        <f>Tabla2[[#This Row],[Minutos]]/60</f>
        <v>0</v>
      </c>
      <c r="AO1307" s="27">
        <f>SUM(Tabla2[[#This Row],[Horas]],Tabla2[[#This Row],[Minutos a Horas]])</f>
        <v>4</v>
      </c>
      <c r="AP1307" s="49">
        <v>20</v>
      </c>
      <c r="AQ1307" s="49">
        <v>30</v>
      </c>
      <c r="AR1307" s="26">
        <f>Tabla2[[#This Row],[Minutos*]]/60</f>
        <v>0.5</v>
      </c>
      <c r="AS1307" s="27">
        <f>SUM(Tabla2[[#This Row],[Horas*]],Tabla2[[#This Row],[Minutos a Horas*]])+(Tabla2[[#This Row],[Tiempo Total a Nivel Proncincial (Horas)]])</f>
        <v>24.5</v>
      </c>
    </row>
    <row r="1308" spans="28:45" x14ac:dyDescent="0.25">
      <c r="AB1308" s="89"/>
      <c r="AD1308" s="20" t="s">
        <v>2385</v>
      </c>
      <c r="AE1308" s="10" t="s">
        <v>386</v>
      </c>
      <c r="AF1308" s="20" t="s">
        <v>1576</v>
      </c>
      <c r="AG1308" s="10"/>
      <c r="AH1308" s="22" t="str">
        <f t="shared" si="42"/>
        <v xml:space="preserve">Loreto_02 Alto Amazonas </v>
      </c>
      <c r="AI1308" s="10" t="s">
        <v>1636</v>
      </c>
      <c r="AJ1308" s="20" t="s">
        <v>1598</v>
      </c>
      <c r="AK1308" s="22" t="str">
        <f t="shared" si="43"/>
        <v>Loreto_02 Alto Amazonas _11 Teniente Cesar López Rojas</v>
      </c>
      <c r="AL1308" s="25">
        <v>4</v>
      </c>
      <c r="AM1308" s="25">
        <v>0</v>
      </c>
      <c r="AN1308" s="26">
        <f>Tabla2[[#This Row],[Minutos]]/60</f>
        <v>0</v>
      </c>
      <c r="AO1308" s="27">
        <f>SUM(Tabla2[[#This Row],[Horas]],Tabla2[[#This Row],[Minutos a Horas]])</f>
        <v>4</v>
      </c>
      <c r="AP1308" s="49">
        <v>15</v>
      </c>
      <c r="AQ1308" s="49">
        <v>10</v>
      </c>
      <c r="AR1308" s="26">
        <f>Tabla2[[#This Row],[Minutos*]]/60</f>
        <v>0.16666666666666666</v>
      </c>
      <c r="AS1308" s="27">
        <f>SUM(Tabla2[[#This Row],[Horas*]],Tabla2[[#This Row],[Minutos a Horas*]])+(Tabla2[[#This Row],[Tiempo Total a Nivel Proncincial (Horas)]])</f>
        <v>19.166666666666664</v>
      </c>
    </row>
    <row r="1309" spans="28:45" x14ac:dyDescent="0.25">
      <c r="AB1309" s="89"/>
      <c r="AD1309" s="20" t="s">
        <v>2385</v>
      </c>
      <c r="AE1309" s="10" t="s">
        <v>386</v>
      </c>
      <c r="AF1309" s="20" t="s">
        <v>1577</v>
      </c>
      <c r="AG1309" s="10"/>
      <c r="AH1309" s="22" t="str">
        <f t="shared" si="42"/>
        <v xml:space="preserve">Loreto_03 Loreto </v>
      </c>
      <c r="AI1309" s="10" t="s">
        <v>1637</v>
      </c>
      <c r="AJ1309" s="20" t="s">
        <v>1599</v>
      </c>
      <c r="AK1309" s="22" t="str">
        <f t="shared" si="43"/>
        <v>Loreto_03 Loreto _01 Nauta</v>
      </c>
      <c r="AL1309" s="25">
        <v>2</v>
      </c>
      <c r="AM1309" s="25">
        <v>0</v>
      </c>
      <c r="AN1309" s="26">
        <f>Tabla2[[#This Row],[Minutos]]/60</f>
        <v>0</v>
      </c>
      <c r="AO1309" s="27">
        <f>SUM(Tabla2[[#This Row],[Horas]],Tabla2[[#This Row],[Minutos a Horas]])</f>
        <v>2</v>
      </c>
      <c r="AP1309" s="49">
        <v>2</v>
      </c>
      <c r="AQ1309" s="49">
        <v>0</v>
      </c>
      <c r="AR1309" s="26">
        <f>Tabla2[[#This Row],[Minutos*]]/60</f>
        <v>0</v>
      </c>
      <c r="AS1309" s="27">
        <f>SUM(Tabla2[[#This Row],[Horas*]],Tabla2[[#This Row],[Minutos a Horas*]])+(Tabla2[[#This Row],[Tiempo Total a Nivel Proncincial (Horas)]])</f>
        <v>4</v>
      </c>
    </row>
    <row r="1310" spans="28:45" x14ac:dyDescent="0.25">
      <c r="AB1310" s="89"/>
      <c r="AD1310" s="20" t="s">
        <v>2385</v>
      </c>
      <c r="AE1310" s="10" t="s">
        <v>386</v>
      </c>
      <c r="AF1310" s="20" t="s">
        <v>1577</v>
      </c>
      <c r="AG1310" s="10"/>
      <c r="AH1310" s="22" t="str">
        <f t="shared" si="42"/>
        <v xml:space="preserve">Loreto_03 Loreto </v>
      </c>
      <c r="AI1310" s="10" t="s">
        <v>1637</v>
      </c>
      <c r="AJ1310" s="20" t="s">
        <v>1600</v>
      </c>
      <c r="AK1310" s="22" t="str">
        <f t="shared" si="43"/>
        <v>Loreto_03 Loreto _02 Parinari</v>
      </c>
      <c r="AL1310" s="25">
        <v>2</v>
      </c>
      <c r="AM1310" s="25">
        <v>0</v>
      </c>
      <c r="AN1310" s="26">
        <f>Tabla2[[#This Row],[Minutos]]/60</f>
        <v>0</v>
      </c>
      <c r="AO1310" s="27">
        <f>SUM(Tabla2[[#This Row],[Horas]],Tabla2[[#This Row],[Minutos a Horas]])</f>
        <v>2</v>
      </c>
      <c r="AP1310" s="49">
        <v>5</v>
      </c>
      <c r="AQ1310" s="49">
        <v>0</v>
      </c>
      <c r="AR1310" s="26">
        <f>Tabla2[[#This Row],[Minutos*]]/60</f>
        <v>0</v>
      </c>
      <c r="AS1310" s="27">
        <f>SUM(Tabla2[[#This Row],[Horas*]],Tabla2[[#This Row],[Minutos a Horas*]])+(Tabla2[[#This Row],[Tiempo Total a Nivel Proncincial (Horas)]])</f>
        <v>7</v>
      </c>
    </row>
    <row r="1311" spans="28:45" x14ac:dyDescent="0.25">
      <c r="AB1311" s="89"/>
      <c r="AD1311" s="20" t="s">
        <v>2385</v>
      </c>
      <c r="AE1311" s="10" t="s">
        <v>386</v>
      </c>
      <c r="AF1311" s="20" t="s">
        <v>1577</v>
      </c>
      <c r="AG1311" s="10"/>
      <c r="AH1311" s="22" t="str">
        <f t="shared" si="42"/>
        <v xml:space="preserve">Loreto_03 Loreto </v>
      </c>
      <c r="AI1311" s="10" t="s">
        <v>1637</v>
      </c>
      <c r="AJ1311" s="20" t="s">
        <v>1601</v>
      </c>
      <c r="AK1311" s="22" t="str">
        <f t="shared" si="43"/>
        <v>Loreto_03 Loreto _03 Tigre</v>
      </c>
      <c r="AL1311" s="25">
        <v>2</v>
      </c>
      <c r="AM1311" s="25">
        <v>0</v>
      </c>
      <c r="AN1311" s="26">
        <f>Tabla2[[#This Row],[Minutos]]/60</f>
        <v>0</v>
      </c>
      <c r="AO1311" s="27">
        <f>SUM(Tabla2[[#This Row],[Horas]],Tabla2[[#This Row],[Minutos a Horas]])</f>
        <v>2</v>
      </c>
      <c r="AP1311" s="49">
        <v>10</v>
      </c>
      <c r="AQ1311" s="49">
        <v>30</v>
      </c>
      <c r="AR1311" s="26">
        <f>Tabla2[[#This Row],[Minutos*]]/60</f>
        <v>0.5</v>
      </c>
      <c r="AS1311" s="27">
        <f>SUM(Tabla2[[#This Row],[Horas*]],Tabla2[[#This Row],[Minutos a Horas*]])+(Tabla2[[#This Row],[Tiempo Total a Nivel Proncincial (Horas)]])</f>
        <v>12.5</v>
      </c>
    </row>
    <row r="1312" spans="28:45" x14ac:dyDescent="0.25">
      <c r="AB1312" s="89"/>
      <c r="AD1312" s="20" t="s">
        <v>2385</v>
      </c>
      <c r="AE1312" s="10" t="s">
        <v>386</v>
      </c>
      <c r="AF1312" s="20" t="s">
        <v>1577</v>
      </c>
      <c r="AG1312" s="10"/>
      <c r="AH1312" s="22" t="str">
        <f t="shared" si="42"/>
        <v xml:space="preserve">Loreto_03 Loreto </v>
      </c>
      <c r="AI1312" s="10" t="s">
        <v>1637</v>
      </c>
      <c r="AJ1312" s="20" t="s">
        <v>1602</v>
      </c>
      <c r="AK1312" s="22" t="str">
        <f t="shared" si="43"/>
        <v>Loreto_03 Loreto _04 Trompeteros</v>
      </c>
      <c r="AL1312" s="25">
        <v>2</v>
      </c>
      <c r="AM1312" s="25">
        <v>0</v>
      </c>
      <c r="AN1312" s="26">
        <f>Tabla2[[#This Row],[Minutos]]/60</f>
        <v>0</v>
      </c>
      <c r="AO1312" s="27">
        <f>SUM(Tabla2[[#This Row],[Horas]],Tabla2[[#This Row],[Minutos a Horas]])</f>
        <v>2</v>
      </c>
      <c r="AP1312" s="49">
        <v>9</v>
      </c>
      <c r="AQ1312" s="49">
        <v>30</v>
      </c>
      <c r="AR1312" s="26">
        <f>Tabla2[[#This Row],[Minutos*]]/60</f>
        <v>0.5</v>
      </c>
      <c r="AS1312" s="27">
        <f>SUM(Tabla2[[#This Row],[Horas*]],Tabla2[[#This Row],[Minutos a Horas*]])+(Tabla2[[#This Row],[Tiempo Total a Nivel Proncincial (Horas)]])</f>
        <v>11.5</v>
      </c>
    </row>
    <row r="1313" spans="28:45" x14ac:dyDescent="0.25">
      <c r="AB1313" s="89"/>
      <c r="AD1313" s="20" t="s">
        <v>2385</v>
      </c>
      <c r="AE1313" s="10" t="s">
        <v>386</v>
      </c>
      <c r="AF1313" s="20" t="s">
        <v>1577</v>
      </c>
      <c r="AG1313" s="10"/>
      <c r="AH1313" s="22" t="str">
        <f t="shared" si="42"/>
        <v xml:space="preserve">Loreto_03 Loreto </v>
      </c>
      <c r="AI1313" s="10" t="s">
        <v>1637</v>
      </c>
      <c r="AJ1313" s="20" t="s">
        <v>1603</v>
      </c>
      <c r="AK1313" s="22" t="str">
        <f t="shared" si="43"/>
        <v>Loreto_03 Loreto _05 Urarinas</v>
      </c>
      <c r="AL1313" s="25">
        <v>2</v>
      </c>
      <c r="AM1313" s="25">
        <v>0</v>
      </c>
      <c r="AN1313" s="26">
        <f>Tabla2[[#This Row],[Minutos]]/60</f>
        <v>0</v>
      </c>
      <c r="AO1313" s="27">
        <f>SUM(Tabla2[[#This Row],[Horas]],Tabla2[[#This Row],[Minutos a Horas]])</f>
        <v>2</v>
      </c>
      <c r="AP1313" s="49">
        <v>8</v>
      </c>
      <c r="AQ1313" s="49">
        <v>0</v>
      </c>
      <c r="AR1313" s="26">
        <f>Tabla2[[#This Row],[Minutos*]]/60</f>
        <v>0</v>
      </c>
      <c r="AS1313" s="27">
        <f>SUM(Tabla2[[#This Row],[Horas*]],Tabla2[[#This Row],[Minutos a Horas*]])+(Tabla2[[#This Row],[Tiempo Total a Nivel Proncincial (Horas)]])</f>
        <v>10</v>
      </c>
    </row>
    <row r="1314" spans="28:45" x14ac:dyDescent="0.25">
      <c r="AB1314" s="89"/>
      <c r="AD1314" s="20" t="s">
        <v>2385</v>
      </c>
      <c r="AE1314" s="10" t="s">
        <v>386</v>
      </c>
      <c r="AF1314" s="20" t="s">
        <v>1578</v>
      </c>
      <c r="AG1314" s="10"/>
      <c r="AH1314" s="22" t="str">
        <f t="shared" si="42"/>
        <v xml:space="preserve">Loreto_04 Mariscal Ramón Castilla </v>
      </c>
      <c r="AI1314" s="10" t="s">
        <v>1638</v>
      </c>
      <c r="AJ1314" s="20" t="s">
        <v>1604</v>
      </c>
      <c r="AK1314" s="22" t="str">
        <f t="shared" si="43"/>
        <v>Loreto_04 Mariscal Ramón Castilla _01 Ramón Castilla</v>
      </c>
      <c r="AL1314" s="25">
        <v>2.5</v>
      </c>
      <c r="AM1314" s="25">
        <v>0</v>
      </c>
      <c r="AN1314" s="26">
        <f>Tabla2[[#This Row],[Minutos]]/60</f>
        <v>0</v>
      </c>
      <c r="AO1314" s="27">
        <f>SUM(Tabla2[[#This Row],[Horas]],Tabla2[[#This Row],[Minutos a Horas]])</f>
        <v>2.5</v>
      </c>
      <c r="AP1314" s="49">
        <v>9</v>
      </c>
      <c r="AQ1314" s="49">
        <v>30</v>
      </c>
      <c r="AR1314" s="26">
        <f>Tabla2[[#This Row],[Minutos*]]/60</f>
        <v>0.5</v>
      </c>
      <c r="AS1314" s="27">
        <f>SUM(Tabla2[[#This Row],[Horas*]],Tabla2[[#This Row],[Minutos a Horas*]])+(Tabla2[[#This Row],[Tiempo Total a Nivel Proncincial (Horas)]])</f>
        <v>12</v>
      </c>
    </row>
    <row r="1315" spans="28:45" x14ac:dyDescent="0.25">
      <c r="AB1315" s="89"/>
      <c r="AD1315" s="20" t="s">
        <v>2385</v>
      </c>
      <c r="AE1315" s="10" t="s">
        <v>386</v>
      </c>
      <c r="AF1315" s="20" t="s">
        <v>1578</v>
      </c>
      <c r="AG1315" s="10"/>
      <c r="AH1315" s="22" t="str">
        <f t="shared" si="42"/>
        <v xml:space="preserve">Loreto_04 Mariscal Ramón Castilla </v>
      </c>
      <c r="AI1315" s="10" t="s">
        <v>1638</v>
      </c>
      <c r="AJ1315" s="20" t="s">
        <v>1605</v>
      </c>
      <c r="AK1315" s="22" t="str">
        <f t="shared" si="43"/>
        <v>Loreto_04 Mariscal Ramón Castilla _02 Pebas</v>
      </c>
      <c r="AL1315" s="25">
        <v>2.5</v>
      </c>
      <c r="AM1315" s="25">
        <v>0</v>
      </c>
      <c r="AN1315" s="26">
        <f>Tabla2[[#This Row],[Minutos]]/60</f>
        <v>0</v>
      </c>
      <c r="AO1315" s="27">
        <f>SUM(Tabla2[[#This Row],[Horas]],Tabla2[[#This Row],[Minutos a Horas]])</f>
        <v>2.5</v>
      </c>
      <c r="AP1315" s="49">
        <v>5</v>
      </c>
      <c r="AQ1315" s="49">
        <v>30</v>
      </c>
      <c r="AR1315" s="26">
        <f>Tabla2[[#This Row],[Minutos*]]/60</f>
        <v>0.5</v>
      </c>
      <c r="AS1315" s="27">
        <f>SUM(Tabla2[[#This Row],[Horas*]],Tabla2[[#This Row],[Minutos a Horas*]])+(Tabla2[[#This Row],[Tiempo Total a Nivel Proncincial (Horas)]])</f>
        <v>8</v>
      </c>
    </row>
    <row r="1316" spans="28:45" x14ac:dyDescent="0.25">
      <c r="AB1316" s="89"/>
      <c r="AD1316" s="20" t="s">
        <v>2385</v>
      </c>
      <c r="AE1316" s="10" t="s">
        <v>386</v>
      </c>
      <c r="AF1316" s="20" t="s">
        <v>1578</v>
      </c>
      <c r="AG1316" s="10"/>
      <c r="AH1316" s="22" t="str">
        <f t="shared" si="42"/>
        <v xml:space="preserve">Loreto_04 Mariscal Ramón Castilla </v>
      </c>
      <c r="AI1316" s="10" t="s">
        <v>1638</v>
      </c>
      <c r="AJ1316" s="20" t="s">
        <v>1606</v>
      </c>
      <c r="AK1316" s="22" t="str">
        <f t="shared" si="43"/>
        <v>Loreto_04 Mariscal Ramón Castilla _03 Yavari</v>
      </c>
      <c r="AL1316" s="25">
        <v>2.5</v>
      </c>
      <c r="AM1316" s="25">
        <v>0</v>
      </c>
      <c r="AN1316" s="26">
        <f>Tabla2[[#This Row],[Minutos]]/60</f>
        <v>0</v>
      </c>
      <c r="AO1316" s="27">
        <f>SUM(Tabla2[[#This Row],[Horas]],Tabla2[[#This Row],[Minutos a Horas]])</f>
        <v>2.5</v>
      </c>
      <c r="AP1316" s="49">
        <v>12</v>
      </c>
      <c r="AQ1316" s="49">
        <v>30</v>
      </c>
      <c r="AR1316" s="26">
        <f>Tabla2[[#This Row],[Minutos*]]/60</f>
        <v>0.5</v>
      </c>
      <c r="AS1316" s="27">
        <f>SUM(Tabla2[[#This Row],[Horas*]],Tabla2[[#This Row],[Minutos a Horas*]])+(Tabla2[[#This Row],[Tiempo Total a Nivel Proncincial (Horas)]])</f>
        <v>15</v>
      </c>
    </row>
    <row r="1317" spans="28:45" x14ac:dyDescent="0.25">
      <c r="AB1317" s="89"/>
      <c r="AD1317" s="20" t="s">
        <v>2385</v>
      </c>
      <c r="AE1317" s="10" t="s">
        <v>386</v>
      </c>
      <c r="AF1317" s="20" t="s">
        <v>1578</v>
      </c>
      <c r="AG1317" s="10"/>
      <c r="AH1317" s="22" t="str">
        <f t="shared" si="42"/>
        <v xml:space="preserve">Loreto_04 Mariscal Ramón Castilla </v>
      </c>
      <c r="AI1317" s="10" t="s">
        <v>1638</v>
      </c>
      <c r="AJ1317" s="20" t="s">
        <v>1607</v>
      </c>
      <c r="AK1317" s="22" t="str">
        <f t="shared" si="43"/>
        <v>Loreto_04 Mariscal Ramón Castilla _04 San Pablo</v>
      </c>
      <c r="AL1317" s="25">
        <v>2.5</v>
      </c>
      <c r="AM1317" s="25">
        <v>0</v>
      </c>
      <c r="AN1317" s="26">
        <f>Tabla2[[#This Row],[Minutos]]/60</f>
        <v>0</v>
      </c>
      <c r="AO1317" s="27">
        <f>SUM(Tabla2[[#This Row],[Horas]],Tabla2[[#This Row],[Minutos a Horas]])</f>
        <v>2.5</v>
      </c>
      <c r="AP1317" s="49">
        <v>7</v>
      </c>
      <c r="AQ1317" s="49">
        <v>0</v>
      </c>
      <c r="AR1317" s="26">
        <f>Tabla2[[#This Row],[Minutos*]]/60</f>
        <v>0</v>
      </c>
      <c r="AS1317" s="27">
        <f>SUM(Tabla2[[#This Row],[Horas*]],Tabla2[[#This Row],[Minutos a Horas*]])+(Tabla2[[#This Row],[Tiempo Total a Nivel Proncincial (Horas)]])</f>
        <v>9.5</v>
      </c>
    </row>
    <row r="1318" spans="28:45" x14ac:dyDescent="0.25">
      <c r="AB1318" s="89"/>
      <c r="AD1318" s="20" t="s">
        <v>2385</v>
      </c>
      <c r="AE1318" s="10" t="s">
        <v>386</v>
      </c>
      <c r="AF1318" s="20" t="s">
        <v>1579</v>
      </c>
      <c r="AG1318" s="10"/>
      <c r="AH1318" s="22" t="str">
        <f t="shared" si="42"/>
        <v xml:space="preserve">Loreto_05 Requena </v>
      </c>
      <c r="AI1318" s="10" t="s">
        <v>1639</v>
      </c>
      <c r="AJ1318" s="20" t="s">
        <v>1608</v>
      </c>
      <c r="AK1318" s="22" t="str">
        <f t="shared" si="43"/>
        <v>Loreto_05 Requena _01 Requena</v>
      </c>
      <c r="AL1318" s="25">
        <v>4</v>
      </c>
      <c r="AM1318" s="25">
        <v>0</v>
      </c>
      <c r="AN1318" s="26">
        <f>Tabla2[[#This Row],[Minutos]]/60</f>
        <v>0</v>
      </c>
      <c r="AO1318" s="27">
        <f>SUM(Tabla2[[#This Row],[Horas]],Tabla2[[#This Row],[Minutos a Horas]])</f>
        <v>4</v>
      </c>
      <c r="AP1318" s="49">
        <v>6</v>
      </c>
      <c r="AQ1318" s="49">
        <v>30</v>
      </c>
      <c r="AR1318" s="26">
        <f>Tabla2[[#This Row],[Minutos*]]/60</f>
        <v>0.5</v>
      </c>
      <c r="AS1318" s="27">
        <f>SUM(Tabla2[[#This Row],[Horas*]],Tabla2[[#This Row],[Minutos a Horas*]])+(Tabla2[[#This Row],[Tiempo Total a Nivel Proncincial (Horas)]])</f>
        <v>10.5</v>
      </c>
    </row>
    <row r="1319" spans="28:45" x14ac:dyDescent="0.25">
      <c r="AB1319" s="89"/>
      <c r="AD1319" s="20" t="s">
        <v>2385</v>
      </c>
      <c r="AE1319" s="10" t="s">
        <v>386</v>
      </c>
      <c r="AF1319" s="20" t="s">
        <v>1579</v>
      </c>
      <c r="AG1319" s="10"/>
      <c r="AH1319" s="22" t="str">
        <f t="shared" si="42"/>
        <v xml:space="preserve">Loreto_05 Requena </v>
      </c>
      <c r="AI1319" s="10" t="s">
        <v>1639</v>
      </c>
      <c r="AJ1319" s="20" t="s">
        <v>1609</v>
      </c>
      <c r="AK1319" s="22" t="str">
        <f t="shared" si="43"/>
        <v>Loreto_05 Requena _02 Alto Tapiche</v>
      </c>
      <c r="AL1319" s="25">
        <v>4</v>
      </c>
      <c r="AM1319" s="25">
        <v>0</v>
      </c>
      <c r="AN1319" s="26">
        <f>Tabla2[[#This Row],[Minutos]]/60</f>
        <v>0</v>
      </c>
      <c r="AO1319" s="27">
        <f>SUM(Tabla2[[#This Row],[Horas]],Tabla2[[#This Row],[Minutos a Horas]])</f>
        <v>4</v>
      </c>
      <c r="AP1319" s="49">
        <v>10</v>
      </c>
      <c r="AQ1319" s="49">
        <v>30</v>
      </c>
      <c r="AR1319" s="26">
        <f>Tabla2[[#This Row],[Minutos*]]/60</f>
        <v>0.5</v>
      </c>
      <c r="AS1319" s="27">
        <f>SUM(Tabla2[[#This Row],[Horas*]],Tabla2[[#This Row],[Minutos a Horas*]])+(Tabla2[[#This Row],[Tiempo Total a Nivel Proncincial (Horas)]])</f>
        <v>14.5</v>
      </c>
    </row>
    <row r="1320" spans="28:45" x14ac:dyDescent="0.25">
      <c r="AB1320" s="89"/>
      <c r="AD1320" s="20" t="s">
        <v>2385</v>
      </c>
      <c r="AE1320" s="10" t="s">
        <v>386</v>
      </c>
      <c r="AF1320" s="20" t="s">
        <v>1579</v>
      </c>
      <c r="AG1320" s="10"/>
      <c r="AH1320" s="22" t="str">
        <f t="shared" si="42"/>
        <v xml:space="preserve">Loreto_05 Requena </v>
      </c>
      <c r="AI1320" s="10" t="s">
        <v>1639</v>
      </c>
      <c r="AJ1320" s="20" t="s">
        <v>1610</v>
      </c>
      <c r="AK1320" s="22" t="str">
        <f t="shared" si="43"/>
        <v>Loreto_05 Requena _03 Capelo</v>
      </c>
      <c r="AL1320" s="25">
        <v>4</v>
      </c>
      <c r="AM1320" s="25">
        <v>0</v>
      </c>
      <c r="AN1320" s="26">
        <f>Tabla2[[#This Row],[Minutos]]/60</f>
        <v>0</v>
      </c>
      <c r="AO1320" s="27">
        <f>SUM(Tabla2[[#This Row],[Horas]],Tabla2[[#This Row],[Minutos a Horas]])</f>
        <v>4</v>
      </c>
      <c r="AP1320" s="49">
        <v>10</v>
      </c>
      <c r="AQ1320" s="49">
        <v>30</v>
      </c>
      <c r="AR1320" s="26">
        <f>Tabla2[[#This Row],[Minutos*]]/60</f>
        <v>0.5</v>
      </c>
      <c r="AS1320" s="27">
        <f>SUM(Tabla2[[#This Row],[Horas*]],Tabla2[[#This Row],[Minutos a Horas*]])+(Tabla2[[#This Row],[Tiempo Total a Nivel Proncincial (Horas)]])</f>
        <v>14.5</v>
      </c>
    </row>
    <row r="1321" spans="28:45" x14ac:dyDescent="0.25">
      <c r="AB1321" s="89"/>
      <c r="AD1321" s="20" t="s">
        <v>2385</v>
      </c>
      <c r="AE1321" s="10" t="s">
        <v>386</v>
      </c>
      <c r="AF1321" s="20" t="s">
        <v>1579</v>
      </c>
      <c r="AG1321" s="10"/>
      <c r="AH1321" s="22" t="str">
        <f t="shared" si="42"/>
        <v xml:space="preserve">Loreto_05 Requena </v>
      </c>
      <c r="AI1321" s="10" t="s">
        <v>1639</v>
      </c>
      <c r="AJ1321" s="20" t="s">
        <v>1611</v>
      </c>
      <c r="AK1321" s="22" t="str">
        <f t="shared" si="43"/>
        <v>Loreto_05 Requena _04 Emilio San Martín</v>
      </c>
      <c r="AL1321" s="25">
        <v>4</v>
      </c>
      <c r="AM1321" s="25">
        <v>0</v>
      </c>
      <c r="AN1321" s="26">
        <f>Tabla2[[#This Row],[Minutos]]/60</f>
        <v>0</v>
      </c>
      <c r="AO1321" s="27">
        <f>SUM(Tabla2[[#This Row],[Horas]],Tabla2[[#This Row],[Minutos a Horas]])</f>
        <v>4</v>
      </c>
      <c r="AP1321" s="49">
        <v>10</v>
      </c>
      <c r="AQ1321" s="49">
        <v>30</v>
      </c>
      <c r="AR1321" s="26">
        <f>Tabla2[[#This Row],[Minutos*]]/60</f>
        <v>0.5</v>
      </c>
      <c r="AS1321" s="27">
        <f>SUM(Tabla2[[#This Row],[Horas*]],Tabla2[[#This Row],[Minutos a Horas*]])+(Tabla2[[#This Row],[Tiempo Total a Nivel Proncincial (Horas)]])</f>
        <v>14.5</v>
      </c>
    </row>
    <row r="1322" spans="28:45" x14ac:dyDescent="0.25">
      <c r="AB1322" s="89"/>
      <c r="AD1322" s="20" t="s">
        <v>2385</v>
      </c>
      <c r="AE1322" s="10" t="s">
        <v>386</v>
      </c>
      <c r="AF1322" s="20" t="s">
        <v>1579</v>
      </c>
      <c r="AG1322" s="10"/>
      <c r="AH1322" s="22" t="str">
        <f t="shared" si="42"/>
        <v xml:space="preserve">Loreto_05 Requena </v>
      </c>
      <c r="AI1322" s="10" t="s">
        <v>1639</v>
      </c>
      <c r="AJ1322" s="20" t="s">
        <v>1612</v>
      </c>
      <c r="AK1322" s="22" t="str">
        <f t="shared" si="43"/>
        <v>Loreto_05 Requena _05 Maquia</v>
      </c>
      <c r="AL1322" s="25">
        <v>4</v>
      </c>
      <c r="AM1322" s="25">
        <v>0</v>
      </c>
      <c r="AN1322" s="26">
        <f>Tabla2[[#This Row],[Minutos]]/60</f>
        <v>0</v>
      </c>
      <c r="AO1322" s="27">
        <f>SUM(Tabla2[[#This Row],[Horas]],Tabla2[[#This Row],[Minutos a Horas]])</f>
        <v>4</v>
      </c>
      <c r="AP1322" s="49">
        <v>10</v>
      </c>
      <c r="AQ1322" s="49">
        <v>30</v>
      </c>
      <c r="AR1322" s="26">
        <f>Tabla2[[#This Row],[Minutos*]]/60</f>
        <v>0.5</v>
      </c>
      <c r="AS1322" s="27">
        <f>SUM(Tabla2[[#This Row],[Horas*]],Tabla2[[#This Row],[Minutos a Horas*]])+(Tabla2[[#This Row],[Tiempo Total a Nivel Proncincial (Horas)]])</f>
        <v>14.5</v>
      </c>
    </row>
    <row r="1323" spans="28:45" x14ac:dyDescent="0.25">
      <c r="AB1323" s="89"/>
      <c r="AD1323" s="20" t="s">
        <v>2385</v>
      </c>
      <c r="AE1323" s="10" t="s">
        <v>386</v>
      </c>
      <c r="AF1323" s="20" t="s">
        <v>1579</v>
      </c>
      <c r="AG1323" s="10"/>
      <c r="AH1323" s="22" t="str">
        <f t="shared" si="42"/>
        <v xml:space="preserve">Loreto_05 Requena </v>
      </c>
      <c r="AI1323" s="10" t="s">
        <v>1639</v>
      </c>
      <c r="AJ1323" s="20" t="s">
        <v>1613</v>
      </c>
      <c r="AK1323" s="22" t="str">
        <f t="shared" si="43"/>
        <v>Loreto_05 Requena _06 Puinahua</v>
      </c>
      <c r="AL1323" s="25">
        <v>4</v>
      </c>
      <c r="AM1323" s="25">
        <v>0</v>
      </c>
      <c r="AN1323" s="26">
        <f>Tabla2[[#This Row],[Minutos]]/60</f>
        <v>0</v>
      </c>
      <c r="AO1323" s="27">
        <f>SUM(Tabla2[[#This Row],[Horas]],Tabla2[[#This Row],[Minutos a Horas]])</f>
        <v>4</v>
      </c>
      <c r="AP1323" s="49">
        <v>10</v>
      </c>
      <c r="AQ1323" s="49">
        <v>30</v>
      </c>
      <c r="AR1323" s="26">
        <f>Tabla2[[#This Row],[Minutos*]]/60</f>
        <v>0.5</v>
      </c>
      <c r="AS1323" s="27">
        <f>SUM(Tabla2[[#This Row],[Horas*]],Tabla2[[#This Row],[Minutos a Horas*]])+(Tabla2[[#This Row],[Tiempo Total a Nivel Proncincial (Horas)]])</f>
        <v>14.5</v>
      </c>
    </row>
    <row r="1324" spans="28:45" x14ac:dyDescent="0.25">
      <c r="AB1324" s="89"/>
      <c r="AD1324" s="20" t="s">
        <v>2385</v>
      </c>
      <c r="AE1324" s="10" t="s">
        <v>386</v>
      </c>
      <c r="AF1324" s="20" t="s">
        <v>1579</v>
      </c>
      <c r="AG1324" s="10"/>
      <c r="AH1324" s="22" t="str">
        <f t="shared" si="42"/>
        <v xml:space="preserve">Loreto_05 Requena </v>
      </c>
      <c r="AI1324" s="10" t="s">
        <v>1639</v>
      </c>
      <c r="AJ1324" s="20" t="s">
        <v>1614</v>
      </c>
      <c r="AK1324" s="22" t="str">
        <f t="shared" si="43"/>
        <v>Loreto_05 Requena _07 Saquena</v>
      </c>
      <c r="AL1324" s="25">
        <v>4</v>
      </c>
      <c r="AM1324" s="25">
        <v>0</v>
      </c>
      <c r="AN1324" s="26">
        <f>Tabla2[[#This Row],[Minutos]]/60</f>
        <v>0</v>
      </c>
      <c r="AO1324" s="27">
        <f>SUM(Tabla2[[#This Row],[Horas]],Tabla2[[#This Row],[Minutos a Horas]])</f>
        <v>4</v>
      </c>
      <c r="AP1324" s="49">
        <v>4</v>
      </c>
      <c r="AQ1324" s="49">
        <v>0</v>
      </c>
      <c r="AR1324" s="26">
        <f>Tabla2[[#This Row],[Minutos*]]/60</f>
        <v>0</v>
      </c>
      <c r="AS1324" s="27">
        <f>SUM(Tabla2[[#This Row],[Horas*]],Tabla2[[#This Row],[Minutos a Horas*]])+(Tabla2[[#This Row],[Tiempo Total a Nivel Proncincial (Horas)]])</f>
        <v>8</v>
      </c>
    </row>
    <row r="1325" spans="28:45" x14ac:dyDescent="0.25">
      <c r="AB1325" s="89"/>
      <c r="AD1325" s="20" t="s">
        <v>2385</v>
      </c>
      <c r="AE1325" s="10" t="s">
        <v>386</v>
      </c>
      <c r="AF1325" s="20" t="s">
        <v>1579</v>
      </c>
      <c r="AG1325" s="10"/>
      <c r="AH1325" s="22" t="str">
        <f t="shared" si="42"/>
        <v xml:space="preserve">Loreto_05 Requena </v>
      </c>
      <c r="AI1325" s="10" t="s">
        <v>1639</v>
      </c>
      <c r="AJ1325" s="20" t="s">
        <v>1615</v>
      </c>
      <c r="AK1325" s="22" t="str">
        <f t="shared" si="43"/>
        <v>Loreto_05 Requena _08 Soplin</v>
      </c>
      <c r="AL1325" s="25">
        <v>4</v>
      </c>
      <c r="AM1325" s="25">
        <v>0</v>
      </c>
      <c r="AN1325" s="26">
        <f>Tabla2[[#This Row],[Minutos]]/60</f>
        <v>0</v>
      </c>
      <c r="AO1325" s="27">
        <f>SUM(Tabla2[[#This Row],[Horas]],Tabla2[[#This Row],[Minutos a Horas]])</f>
        <v>4</v>
      </c>
      <c r="AP1325" s="49">
        <v>10</v>
      </c>
      <c r="AQ1325" s="49">
        <v>30</v>
      </c>
      <c r="AR1325" s="26">
        <f>Tabla2[[#This Row],[Minutos*]]/60</f>
        <v>0.5</v>
      </c>
      <c r="AS1325" s="27">
        <f>SUM(Tabla2[[#This Row],[Horas*]],Tabla2[[#This Row],[Minutos a Horas*]])+(Tabla2[[#This Row],[Tiempo Total a Nivel Proncincial (Horas)]])</f>
        <v>14.5</v>
      </c>
    </row>
    <row r="1326" spans="28:45" x14ac:dyDescent="0.25">
      <c r="AB1326" s="89"/>
      <c r="AD1326" s="20" t="s">
        <v>2385</v>
      </c>
      <c r="AE1326" s="10" t="s">
        <v>386</v>
      </c>
      <c r="AF1326" s="20" t="s">
        <v>1579</v>
      </c>
      <c r="AG1326" s="10"/>
      <c r="AH1326" s="22" t="str">
        <f t="shared" si="42"/>
        <v xml:space="preserve">Loreto_05 Requena </v>
      </c>
      <c r="AI1326" s="10" t="s">
        <v>1639</v>
      </c>
      <c r="AJ1326" s="20" t="s">
        <v>1616</v>
      </c>
      <c r="AK1326" s="22" t="str">
        <f t="shared" si="43"/>
        <v>Loreto_05 Requena _09 Tapiche</v>
      </c>
      <c r="AL1326" s="25">
        <v>4</v>
      </c>
      <c r="AM1326" s="25">
        <v>0</v>
      </c>
      <c r="AN1326" s="26">
        <f>Tabla2[[#This Row],[Minutos]]/60</f>
        <v>0</v>
      </c>
      <c r="AO1326" s="27">
        <f>SUM(Tabla2[[#This Row],[Horas]],Tabla2[[#This Row],[Minutos a Horas]])</f>
        <v>4</v>
      </c>
      <c r="AP1326" s="49">
        <v>10</v>
      </c>
      <c r="AQ1326" s="49">
        <v>30</v>
      </c>
      <c r="AR1326" s="26">
        <f>Tabla2[[#This Row],[Minutos*]]/60</f>
        <v>0.5</v>
      </c>
      <c r="AS1326" s="27">
        <f>SUM(Tabla2[[#This Row],[Horas*]],Tabla2[[#This Row],[Minutos a Horas*]])+(Tabla2[[#This Row],[Tiempo Total a Nivel Proncincial (Horas)]])</f>
        <v>14.5</v>
      </c>
    </row>
    <row r="1327" spans="28:45" x14ac:dyDescent="0.25">
      <c r="AB1327" s="89"/>
      <c r="AD1327" s="20" t="s">
        <v>2385</v>
      </c>
      <c r="AE1327" s="10" t="s">
        <v>386</v>
      </c>
      <c r="AF1327" s="20" t="s">
        <v>1579</v>
      </c>
      <c r="AG1327" s="10"/>
      <c r="AH1327" s="22" t="str">
        <f t="shared" si="42"/>
        <v xml:space="preserve">Loreto_05 Requena </v>
      </c>
      <c r="AI1327" s="10" t="s">
        <v>1639</v>
      </c>
      <c r="AJ1327" s="20" t="s">
        <v>1617</v>
      </c>
      <c r="AK1327" s="22" t="str">
        <f t="shared" si="43"/>
        <v>Loreto_05 Requena _10 Jenaro Herrera</v>
      </c>
      <c r="AL1327" s="25">
        <v>4</v>
      </c>
      <c r="AM1327" s="25">
        <v>0</v>
      </c>
      <c r="AN1327" s="26">
        <f>Tabla2[[#This Row],[Minutos]]/60</f>
        <v>0</v>
      </c>
      <c r="AO1327" s="27">
        <f>SUM(Tabla2[[#This Row],[Horas]],Tabla2[[#This Row],[Minutos a Horas]])</f>
        <v>4</v>
      </c>
      <c r="AP1327" s="49">
        <v>5</v>
      </c>
      <c r="AQ1327" s="49">
        <v>0</v>
      </c>
      <c r="AR1327" s="26">
        <f>Tabla2[[#This Row],[Minutos*]]/60</f>
        <v>0</v>
      </c>
      <c r="AS1327" s="27">
        <f>SUM(Tabla2[[#This Row],[Horas*]],Tabla2[[#This Row],[Minutos a Horas*]])+(Tabla2[[#This Row],[Tiempo Total a Nivel Proncincial (Horas)]])</f>
        <v>9</v>
      </c>
    </row>
    <row r="1328" spans="28:45" x14ac:dyDescent="0.25">
      <c r="AB1328" s="89"/>
      <c r="AD1328" s="20" t="s">
        <v>2385</v>
      </c>
      <c r="AE1328" s="10" t="s">
        <v>386</v>
      </c>
      <c r="AF1328" s="20" t="s">
        <v>1579</v>
      </c>
      <c r="AG1328" s="10"/>
      <c r="AH1328" s="22" t="str">
        <f t="shared" si="42"/>
        <v xml:space="preserve">Loreto_05 Requena </v>
      </c>
      <c r="AI1328" s="10" t="s">
        <v>1639</v>
      </c>
      <c r="AJ1328" s="20" t="s">
        <v>1618</v>
      </c>
      <c r="AK1328" s="22" t="str">
        <f t="shared" si="43"/>
        <v>Loreto_05 Requena _11 Yaquerana</v>
      </c>
      <c r="AL1328" s="25">
        <v>4</v>
      </c>
      <c r="AM1328" s="25">
        <v>0</v>
      </c>
      <c r="AN1328" s="26">
        <f>Tabla2[[#This Row],[Minutos]]/60</f>
        <v>0</v>
      </c>
      <c r="AO1328" s="27">
        <f>SUM(Tabla2[[#This Row],[Horas]],Tabla2[[#This Row],[Minutos a Horas]])</f>
        <v>4</v>
      </c>
      <c r="AP1328" s="49">
        <v>10</v>
      </c>
      <c r="AQ1328" s="49">
        <v>30</v>
      </c>
      <c r="AR1328" s="26">
        <f>Tabla2[[#This Row],[Minutos*]]/60</f>
        <v>0.5</v>
      </c>
      <c r="AS1328" s="27">
        <f>SUM(Tabla2[[#This Row],[Horas*]],Tabla2[[#This Row],[Minutos a Horas*]])+(Tabla2[[#This Row],[Tiempo Total a Nivel Proncincial (Horas)]])</f>
        <v>14.5</v>
      </c>
    </row>
    <row r="1329" spans="28:45" x14ac:dyDescent="0.25">
      <c r="AB1329" s="89"/>
      <c r="AD1329" s="20" t="s">
        <v>2385</v>
      </c>
      <c r="AE1329" s="10" t="s">
        <v>386</v>
      </c>
      <c r="AF1329" s="20" t="s">
        <v>1580</v>
      </c>
      <c r="AG1329" s="10"/>
      <c r="AH1329" s="22" t="str">
        <f t="shared" si="42"/>
        <v xml:space="preserve">Loreto_06 Ucayali </v>
      </c>
      <c r="AI1329" s="10" t="s">
        <v>1640</v>
      </c>
      <c r="AJ1329" s="20" t="s">
        <v>1619</v>
      </c>
      <c r="AK1329" s="22" t="str">
        <f t="shared" si="43"/>
        <v>Loreto_06 Ucayali _01 Contamana</v>
      </c>
      <c r="AL1329" s="25">
        <v>3.5</v>
      </c>
      <c r="AM1329" s="25">
        <v>0</v>
      </c>
      <c r="AN1329" s="26">
        <f>Tabla2[[#This Row],[Minutos]]/60</f>
        <v>0</v>
      </c>
      <c r="AO1329" s="27">
        <f>SUM(Tabla2[[#This Row],[Horas]],Tabla2[[#This Row],[Minutos a Horas]])</f>
        <v>3.5</v>
      </c>
      <c r="AP1329" s="49">
        <v>12</v>
      </c>
      <c r="AQ1329" s="49">
        <v>30</v>
      </c>
      <c r="AR1329" s="26">
        <f>Tabla2[[#This Row],[Minutos*]]/60</f>
        <v>0.5</v>
      </c>
      <c r="AS1329" s="27">
        <f>SUM(Tabla2[[#This Row],[Horas*]],Tabla2[[#This Row],[Minutos a Horas*]])+(Tabla2[[#This Row],[Tiempo Total a Nivel Proncincial (Horas)]])</f>
        <v>16</v>
      </c>
    </row>
    <row r="1330" spans="28:45" x14ac:dyDescent="0.25">
      <c r="AB1330" s="89"/>
      <c r="AD1330" s="20" t="s">
        <v>2385</v>
      </c>
      <c r="AE1330" s="10" t="s">
        <v>386</v>
      </c>
      <c r="AF1330" s="20" t="s">
        <v>1580</v>
      </c>
      <c r="AG1330" s="10"/>
      <c r="AH1330" s="22" t="str">
        <f t="shared" si="42"/>
        <v xml:space="preserve">Loreto_06 Ucayali </v>
      </c>
      <c r="AI1330" s="10" t="s">
        <v>1640</v>
      </c>
      <c r="AJ1330" s="20" t="s">
        <v>1620</v>
      </c>
      <c r="AK1330" s="22" t="str">
        <f t="shared" si="43"/>
        <v>Loreto_06 Ucayali _02 Inahuaya</v>
      </c>
      <c r="AL1330" s="25">
        <v>3.5</v>
      </c>
      <c r="AM1330" s="25">
        <v>0</v>
      </c>
      <c r="AN1330" s="26">
        <f>Tabla2[[#This Row],[Minutos]]/60</f>
        <v>0</v>
      </c>
      <c r="AO1330" s="27">
        <f>SUM(Tabla2[[#This Row],[Horas]],Tabla2[[#This Row],[Minutos a Horas]])</f>
        <v>3.5</v>
      </c>
      <c r="AP1330" s="49">
        <v>3</v>
      </c>
      <c r="AQ1330" s="49">
        <v>30</v>
      </c>
      <c r="AR1330" s="26">
        <f>Tabla2[[#This Row],[Minutos*]]/60</f>
        <v>0.5</v>
      </c>
      <c r="AS1330" s="27">
        <f>SUM(Tabla2[[#This Row],[Horas*]],Tabla2[[#This Row],[Minutos a Horas*]])+(Tabla2[[#This Row],[Tiempo Total a Nivel Proncincial (Horas)]])</f>
        <v>7</v>
      </c>
    </row>
    <row r="1331" spans="28:45" x14ac:dyDescent="0.25">
      <c r="AB1331" s="89"/>
      <c r="AD1331" s="20" t="s">
        <v>2385</v>
      </c>
      <c r="AE1331" s="10" t="s">
        <v>386</v>
      </c>
      <c r="AF1331" s="20" t="s">
        <v>1580</v>
      </c>
      <c r="AG1331" s="10"/>
      <c r="AH1331" s="22" t="str">
        <f t="shared" si="42"/>
        <v xml:space="preserve">Loreto_06 Ucayali </v>
      </c>
      <c r="AI1331" s="10" t="s">
        <v>1640</v>
      </c>
      <c r="AJ1331" s="20" t="s">
        <v>1621</v>
      </c>
      <c r="AK1331" s="22" t="str">
        <f t="shared" si="43"/>
        <v>Loreto_06 Ucayali _03 Padre Márquez</v>
      </c>
      <c r="AL1331" s="25">
        <v>3.5</v>
      </c>
      <c r="AM1331" s="25">
        <v>0</v>
      </c>
      <c r="AN1331" s="26">
        <f>Tabla2[[#This Row],[Minutos]]/60</f>
        <v>0</v>
      </c>
      <c r="AO1331" s="27">
        <f>SUM(Tabla2[[#This Row],[Horas]],Tabla2[[#This Row],[Minutos a Horas]])</f>
        <v>3.5</v>
      </c>
      <c r="AP1331" s="49">
        <v>3</v>
      </c>
      <c r="AQ1331" s="49">
        <v>0</v>
      </c>
      <c r="AR1331" s="26">
        <f>Tabla2[[#This Row],[Minutos*]]/60</f>
        <v>0</v>
      </c>
      <c r="AS1331" s="27">
        <f>SUM(Tabla2[[#This Row],[Horas*]],Tabla2[[#This Row],[Minutos a Horas*]])+(Tabla2[[#This Row],[Tiempo Total a Nivel Proncincial (Horas)]])</f>
        <v>6.5</v>
      </c>
    </row>
    <row r="1332" spans="28:45" x14ac:dyDescent="0.25">
      <c r="AB1332" s="89"/>
      <c r="AD1332" s="20" t="s">
        <v>2385</v>
      </c>
      <c r="AE1332" s="10" t="s">
        <v>386</v>
      </c>
      <c r="AF1332" s="20" t="s">
        <v>1580</v>
      </c>
      <c r="AG1332" s="10"/>
      <c r="AH1332" s="22" t="str">
        <f t="shared" si="42"/>
        <v xml:space="preserve">Loreto_06 Ucayali </v>
      </c>
      <c r="AI1332" s="10" t="s">
        <v>1640</v>
      </c>
      <c r="AJ1332" s="20" t="s">
        <v>1622</v>
      </c>
      <c r="AK1332" s="22" t="str">
        <f t="shared" si="43"/>
        <v>Loreto_06 Ucayali _04 Pampa Hermosa</v>
      </c>
      <c r="AL1332" s="25">
        <v>3.5</v>
      </c>
      <c r="AM1332" s="25">
        <v>0</v>
      </c>
      <c r="AN1332" s="26">
        <f>Tabla2[[#This Row],[Minutos]]/60</f>
        <v>0</v>
      </c>
      <c r="AO1332" s="27">
        <f>SUM(Tabla2[[#This Row],[Horas]],Tabla2[[#This Row],[Minutos a Horas]])</f>
        <v>3.5</v>
      </c>
      <c r="AP1332" s="49">
        <v>3</v>
      </c>
      <c r="AQ1332" s="49">
        <v>30</v>
      </c>
      <c r="AR1332" s="26">
        <f>Tabla2[[#This Row],[Minutos*]]/60</f>
        <v>0.5</v>
      </c>
      <c r="AS1332" s="27">
        <f>SUM(Tabla2[[#This Row],[Horas*]],Tabla2[[#This Row],[Minutos a Horas*]])+(Tabla2[[#This Row],[Tiempo Total a Nivel Proncincial (Horas)]])</f>
        <v>7</v>
      </c>
    </row>
    <row r="1333" spans="28:45" x14ac:dyDescent="0.25">
      <c r="AB1333" s="89"/>
      <c r="AD1333" s="20" t="s">
        <v>2385</v>
      </c>
      <c r="AE1333" s="10" t="s">
        <v>386</v>
      </c>
      <c r="AF1333" s="20" t="s">
        <v>1580</v>
      </c>
      <c r="AG1333" s="10"/>
      <c r="AH1333" s="22" t="str">
        <f t="shared" si="42"/>
        <v xml:space="preserve">Loreto_06 Ucayali </v>
      </c>
      <c r="AI1333" s="10" t="s">
        <v>1640</v>
      </c>
      <c r="AJ1333" s="20" t="s">
        <v>1623</v>
      </c>
      <c r="AK1333" s="22" t="str">
        <f t="shared" si="43"/>
        <v>Loreto_06 Ucayali _05 Sarayacu</v>
      </c>
      <c r="AL1333" s="25">
        <v>3.5</v>
      </c>
      <c r="AM1333" s="25">
        <v>0</v>
      </c>
      <c r="AN1333" s="26">
        <f>Tabla2[[#This Row],[Minutos]]/60</f>
        <v>0</v>
      </c>
      <c r="AO1333" s="27">
        <f>SUM(Tabla2[[#This Row],[Horas]],Tabla2[[#This Row],[Minutos a Horas]])</f>
        <v>3.5</v>
      </c>
      <c r="AP1333" s="49">
        <v>3</v>
      </c>
      <c r="AQ1333" s="49">
        <v>0</v>
      </c>
      <c r="AR1333" s="26">
        <f>Tabla2[[#This Row],[Minutos*]]/60</f>
        <v>0</v>
      </c>
      <c r="AS1333" s="27">
        <f>SUM(Tabla2[[#This Row],[Horas*]],Tabla2[[#This Row],[Minutos a Horas*]])+(Tabla2[[#This Row],[Tiempo Total a Nivel Proncincial (Horas)]])</f>
        <v>6.5</v>
      </c>
    </row>
    <row r="1334" spans="28:45" x14ac:dyDescent="0.25">
      <c r="AB1334" s="89"/>
      <c r="AD1334" s="20" t="s">
        <v>2385</v>
      </c>
      <c r="AE1334" s="10" t="s">
        <v>386</v>
      </c>
      <c r="AF1334" s="20" t="s">
        <v>1580</v>
      </c>
      <c r="AG1334" s="10"/>
      <c r="AH1334" s="22" t="str">
        <f t="shared" si="42"/>
        <v xml:space="preserve">Loreto_06 Ucayali </v>
      </c>
      <c r="AI1334" s="10" t="s">
        <v>1640</v>
      </c>
      <c r="AJ1334" s="20" t="s">
        <v>1624</v>
      </c>
      <c r="AK1334" s="22" t="str">
        <f t="shared" si="43"/>
        <v>Loreto_06 Ucayali _06 Vargas Guerra</v>
      </c>
      <c r="AL1334" s="25">
        <v>3.5</v>
      </c>
      <c r="AM1334" s="25">
        <v>0</v>
      </c>
      <c r="AN1334" s="26">
        <f>Tabla2[[#This Row],[Minutos]]/60</f>
        <v>0</v>
      </c>
      <c r="AO1334" s="27">
        <f>SUM(Tabla2[[#This Row],[Horas]],Tabla2[[#This Row],[Minutos a Horas]])</f>
        <v>3.5</v>
      </c>
      <c r="AP1334" s="49">
        <v>3</v>
      </c>
      <c r="AQ1334" s="49">
        <v>0</v>
      </c>
      <c r="AR1334" s="26">
        <f>Tabla2[[#This Row],[Minutos*]]/60</f>
        <v>0</v>
      </c>
      <c r="AS1334" s="27">
        <f>SUM(Tabla2[[#This Row],[Horas*]],Tabla2[[#This Row],[Minutos a Horas*]])+(Tabla2[[#This Row],[Tiempo Total a Nivel Proncincial (Horas)]])</f>
        <v>6.5</v>
      </c>
    </row>
    <row r="1335" spans="28:45" x14ac:dyDescent="0.25">
      <c r="AB1335" s="89"/>
      <c r="AD1335" s="20" t="s">
        <v>2385</v>
      </c>
      <c r="AE1335" s="10" t="s">
        <v>386</v>
      </c>
      <c r="AF1335" s="20" t="s">
        <v>1581</v>
      </c>
      <c r="AG1335" s="10"/>
      <c r="AH1335" s="22" t="str">
        <f t="shared" si="42"/>
        <v xml:space="preserve">Loreto_07 Datem del Marañón </v>
      </c>
      <c r="AI1335" s="10" t="s">
        <v>1641</v>
      </c>
      <c r="AJ1335" s="20" t="s">
        <v>1625</v>
      </c>
      <c r="AK1335" s="22" t="str">
        <f t="shared" si="43"/>
        <v>Loreto_07 Datem del Marañón _01 Barranca</v>
      </c>
      <c r="AL1335" s="25">
        <v>3.5</v>
      </c>
      <c r="AM1335" s="25">
        <v>0</v>
      </c>
      <c r="AN1335" s="26">
        <f>Tabla2[[#This Row],[Minutos]]/60</f>
        <v>0</v>
      </c>
      <c r="AO1335" s="27">
        <f>SUM(Tabla2[[#This Row],[Horas]],Tabla2[[#This Row],[Minutos a Horas]])</f>
        <v>3.5</v>
      </c>
      <c r="AP1335" s="49">
        <v>18</v>
      </c>
      <c r="AQ1335" s="49">
        <v>0</v>
      </c>
      <c r="AR1335" s="26">
        <f>Tabla2[[#This Row],[Minutos*]]/60</f>
        <v>0</v>
      </c>
      <c r="AS1335" s="27">
        <f>SUM(Tabla2[[#This Row],[Horas*]],Tabla2[[#This Row],[Minutos a Horas*]])+(Tabla2[[#This Row],[Tiempo Total a Nivel Proncincial (Horas)]])</f>
        <v>21.5</v>
      </c>
    </row>
    <row r="1336" spans="28:45" x14ac:dyDescent="0.25">
      <c r="AB1336" s="89"/>
      <c r="AD1336" s="20" t="s">
        <v>2385</v>
      </c>
      <c r="AE1336" s="10" t="s">
        <v>386</v>
      </c>
      <c r="AF1336" s="20" t="s">
        <v>1581</v>
      </c>
      <c r="AG1336" s="10"/>
      <c r="AH1336" s="22" t="str">
        <f t="shared" si="42"/>
        <v xml:space="preserve">Loreto_07 Datem del Marañón </v>
      </c>
      <c r="AI1336" s="10" t="s">
        <v>1641</v>
      </c>
      <c r="AJ1336" s="20" t="s">
        <v>1626</v>
      </c>
      <c r="AK1336" s="22" t="str">
        <f t="shared" si="43"/>
        <v>Loreto_07 Datem del Marañón _02 Cahuapanas</v>
      </c>
      <c r="AL1336" s="25">
        <v>3.5</v>
      </c>
      <c r="AM1336" s="25">
        <v>0</v>
      </c>
      <c r="AN1336" s="26">
        <f>Tabla2[[#This Row],[Minutos]]/60</f>
        <v>0</v>
      </c>
      <c r="AO1336" s="27">
        <f>SUM(Tabla2[[#This Row],[Horas]],Tabla2[[#This Row],[Minutos a Horas]])</f>
        <v>3.5</v>
      </c>
      <c r="AP1336" s="49">
        <v>17</v>
      </c>
      <c r="AQ1336" s="49">
        <v>0</v>
      </c>
      <c r="AR1336" s="26">
        <f>Tabla2[[#This Row],[Minutos*]]/60</f>
        <v>0</v>
      </c>
      <c r="AS1336" s="27">
        <f>SUM(Tabla2[[#This Row],[Horas*]],Tabla2[[#This Row],[Minutos a Horas*]])+(Tabla2[[#This Row],[Tiempo Total a Nivel Proncincial (Horas)]])</f>
        <v>20.5</v>
      </c>
    </row>
    <row r="1337" spans="28:45" x14ac:dyDescent="0.25">
      <c r="AB1337" s="89"/>
      <c r="AD1337" s="20" t="s">
        <v>2385</v>
      </c>
      <c r="AE1337" s="10" t="s">
        <v>386</v>
      </c>
      <c r="AF1337" s="20" t="s">
        <v>1581</v>
      </c>
      <c r="AG1337" s="10"/>
      <c r="AH1337" s="22" t="str">
        <f t="shared" si="42"/>
        <v xml:space="preserve">Loreto_07 Datem del Marañón </v>
      </c>
      <c r="AI1337" s="10" t="s">
        <v>1641</v>
      </c>
      <c r="AJ1337" s="20" t="s">
        <v>1627</v>
      </c>
      <c r="AK1337" s="22" t="str">
        <f t="shared" si="43"/>
        <v>Loreto_07 Datem del Marañón _03 Manseriche</v>
      </c>
      <c r="AL1337" s="25">
        <v>3.5</v>
      </c>
      <c r="AM1337" s="25">
        <v>0</v>
      </c>
      <c r="AN1337" s="26">
        <f>Tabla2[[#This Row],[Minutos]]/60</f>
        <v>0</v>
      </c>
      <c r="AO1337" s="27">
        <f>SUM(Tabla2[[#This Row],[Horas]],Tabla2[[#This Row],[Minutos a Horas]])</f>
        <v>3.5</v>
      </c>
      <c r="AP1337" s="49">
        <v>24</v>
      </c>
      <c r="AQ1337" s="49">
        <v>0</v>
      </c>
      <c r="AR1337" s="26">
        <f>Tabla2[[#This Row],[Minutos*]]/60</f>
        <v>0</v>
      </c>
      <c r="AS1337" s="27">
        <f>SUM(Tabla2[[#This Row],[Horas*]],Tabla2[[#This Row],[Minutos a Horas*]])+(Tabla2[[#This Row],[Tiempo Total a Nivel Proncincial (Horas)]])</f>
        <v>27.5</v>
      </c>
    </row>
    <row r="1338" spans="28:45" x14ac:dyDescent="0.25">
      <c r="AB1338" s="89"/>
      <c r="AD1338" s="20" t="s">
        <v>2385</v>
      </c>
      <c r="AE1338" s="10" t="s">
        <v>386</v>
      </c>
      <c r="AF1338" s="20" t="s">
        <v>1581</v>
      </c>
      <c r="AG1338" s="10"/>
      <c r="AH1338" s="22" t="str">
        <f t="shared" si="42"/>
        <v xml:space="preserve">Loreto_07 Datem del Marañón </v>
      </c>
      <c r="AI1338" s="10" t="s">
        <v>1641</v>
      </c>
      <c r="AJ1338" s="20" t="s">
        <v>1628</v>
      </c>
      <c r="AK1338" s="22" t="str">
        <f t="shared" si="43"/>
        <v>Loreto_07 Datem del Marañón _04 Morona</v>
      </c>
      <c r="AL1338" s="25">
        <v>3.5</v>
      </c>
      <c r="AM1338" s="25">
        <v>0</v>
      </c>
      <c r="AN1338" s="26">
        <f>Tabla2[[#This Row],[Minutos]]/60</f>
        <v>0</v>
      </c>
      <c r="AO1338" s="27">
        <f>SUM(Tabla2[[#This Row],[Horas]],Tabla2[[#This Row],[Minutos a Horas]])</f>
        <v>3.5</v>
      </c>
      <c r="AP1338" s="49">
        <v>19</v>
      </c>
      <c r="AQ1338" s="49">
        <v>30</v>
      </c>
      <c r="AR1338" s="26">
        <f>Tabla2[[#This Row],[Minutos*]]/60</f>
        <v>0.5</v>
      </c>
      <c r="AS1338" s="27">
        <f>SUM(Tabla2[[#This Row],[Horas*]],Tabla2[[#This Row],[Minutos a Horas*]])+(Tabla2[[#This Row],[Tiempo Total a Nivel Proncincial (Horas)]])</f>
        <v>23</v>
      </c>
    </row>
    <row r="1339" spans="28:45" x14ac:dyDescent="0.25">
      <c r="AB1339" s="89"/>
      <c r="AD1339" s="20" t="s">
        <v>2385</v>
      </c>
      <c r="AE1339" s="10" t="s">
        <v>386</v>
      </c>
      <c r="AF1339" s="20" t="s">
        <v>1581</v>
      </c>
      <c r="AG1339" s="10"/>
      <c r="AH1339" s="22" t="str">
        <f t="shared" si="42"/>
        <v xml:space="preserve">Loreto_07 Datem del Marañón </v>
      </c>
      <c r="AI1339" s="10" t="s">
        <v>1641</v>
      </c>
      <c r="AJ1339" s="20" t="s">
        <v>1629</v>
      </c>
      <c r="AK1339" s="22" t="str">
        <f t="shared" si="43"/>
        <v>Loreto_07 Datem del Marañón _05 Pastaza</v>
      </c>
      <c r="AL1339" s="25">
        <v>3.5</v>
      </c>
      <c r="AM1339" s="25">
        <v>0</v>
      </c>
      <c r="AN1339" s="26">
        <f>Tabla2[[#This Row],[Minutos]]/60</f>
        <v>0</v>
      </c>
      <c r="AO1339" s="27">
        <f>SUM(Tabla2[[#This Row],[Horas]],Tabla2[[#This Row],[Minutos a Horas]])</f>
        <v>3.5</v>
      </c>
      <c r="AP1339" s="49">
        <v>17</v>
      </c>
      <c r="AQ1339" s="49">
        <v>0</v>
      </c>
      <c r="AR1339" s="26">
        <f>Tabla2[[#This Row],[Minutos*]]/60</f>
        <v>0</v>
      </c>
      <c r="AS1339" s="27">
        <f>SUM(Tabla2[[#This Row],[Horas*]],Tabla2[[#This Row],[Minutos a Horas*]])+(Tabla2[[#This Row],[Tiempo Total a Nivel Proncincial (Horas)]])</f>
        <v>20.5</v>
      </c>
    </row>
    <row r="1340" spans="28:45" x14ac:dyDescent="0.25">
      <c r="AB1340" s="89"/>
      <c r="AD1340" s="20" t="s">
        <v>2385</v>
      </c>
      <c r="AE1340" s="10" t="s">
        <v>386</v>
      </c>
      <c r="AF1340" s="20" t="s">
        <v>1581</v>
      </c>
      <c r="AG1340" s="10"/>
      <c r="AH1340" s="22" t="str">
        <f t="shared" si="42"/>
        <v xml:space="preserve">Loreto_07 Datem del Marañón </v>
      </c>
      <c r="AI1340" s="10" t="s">
        <v>1641</v>
      </c>
      <c r="AJ1340" s="20" t="s">
        <v>1630</v>
      </c>
      <c r="AK1340" s="22" t="str">
        <f t="shared" si="43"/>
        <v>Loreto_07 Datem del Marañón _06 Andoas</v>
      </c>
      <c r="AL1340" s="25">
        <v>3.5</v>
      </c>
      <c r="AM1340" s="25">
        <v>0</v>
      </c>
      <c r="AN1340" s="26">
        <f>Tabla2[[#This Row],[Minutos]]/60</f>
        <v>0</v>
      </c>
      <c r="AO1340" s="27">
        <f>SUM(Tabla2[[#This Row],[Horas]],Tabla2[[#This Row],[Minutos a Horas]])</f>
        <v>3.5</v>
      </c>
      <c r="AP1340" s="49">
        <v>1</v>
      </c>
      <c r="AQ1340" s="49">
        <v>0</v>
      </c>
      <c r="AR1340" s="26">
        <f>Tabla2[[#This Row],[Minutos*]]/60</f>
        <v>0</v>
      </c>
      <c r="AS1340" s="27">
        <f>SUM(Tabla2[[#This Row],[Horas*]],Tabla2[[#This Row],[Minutos a Horas*]])+(Tabla2[[#This Row],[Tiempo Total a Nivel Proncincial (Horas)]])</f>
        <v>4.5</v>
      </c>
    </row>
    <row r="1341" spans="28:45" x14ac:dyDescent="0.25">
      <c r="AB1341" s="89"/>
      <c r="AD1341" s="20" t="s">
        <v>2385</v>
      </c>
      <c r="AE1341" s="10" t="s">
        <v>386</v>
      </c>
      <c r="AF1341" s="20" t="s">
        <v>1582</v>
      </c>
      <c r="AG1341" s="10"/>
      <c r="AH1341" s="22" t="str">
        <f t="shared" si="42"/>
        <v>Loreto_08 Putumayo</v>
      </c>
      <c r="AI1341" s="10" t="s">
        <v>1642</v>
      </c>
      <c r="AJ1341" s="20" t="s">
        <v>1631</v>
      </c>
      <c r="AK1341" s="22" t="str">
        <f t="shared" si="43"/>
        <v>Loreto_08 Putumayo_01 Putumayo</v>
      </c>
      <c r="AL1341" s="25">
        <v>3.5</v>
      </c>
      <c r="AM1341" s="25">
        <v>0</v>
      </c>
      <c r="AN1341" s="26">
        <f>Tabla2[[#This Row],[Minutos]]/60</f>
        <v>0</v>
      </c>
      <c r="AO1341" s="27">
        <f>SUM(Tabla2[[#This Row],[Horas]],Tabla2[[#This Row],[Minutos a Horas]])</f>
        <v>3.5</v>
      </c>
      <c r="AP1341" s="49">
        <v>1</v>
      </c>
      <c r="AQ1341" s="49">
        <v>0</v>
      </c>
      <c r="AR1341" s="26">
        <f>Tabla2[[#This Row],[Minutos*]]/60</f>
        <v>0</v>
      </c>
      <c r="AS1341" s="27">
        <f>SUM(Tabla2[[#This Row],[Horas*]],Tabla2[[#This Row],[Minutos a Horas*]])+(Tabla2[[#This Row],[Tiempo Total a Nivel Proncincial (Horas)]])</f>
        <v>4.5</v>
      </c>
    </row>
    <row r="1342" spans="28:45" x14ac:dyDescent="0.25">
      <c r="AB1342" s="89"/>
      <c r="AD1342" s="20" t="s">
        <v>2385</v>
      </c>
      <c r="AE1342" s="10" t="s">
        <v>386</v>
      </c>
      <c r="AF1342" s="20" t="s">
        <v>1582</v>
      </c>
      <c r="AG1342" s="10"/>
      <c r="AH1342" s="22" t="str">
        <f t="shared" si="42"/>
        <v>Loreto_08 Putumayo</v>
      </c>
      <c r="AI1342" s="10" t="s">
        <v>1642</v>
      </c>
      <c r="AJ1342" s="20" t="s">
        <v>1632</v>
      </c>
      <c r="AK1342" s="22" t="str">
        <f t="shared" si="43"/>
        <v>Loreto_08 Putumayo_02 Rosa Panduro</v>
      </c>
      <c r="AL1342" s="25">
        <v>3.5</v>
      </c>
      <c r="AM1342" s="25">
        <v>0</v>
      </c>
      <c r="AN1342" s="26">
        <f>Tabla2[[#This Row],[Minutos]]/60</f>
        <v>0</v>
      </c>
      <c r="AO1342" s="27">
        <f>SUM(Tabla2[[#This Row],[Horas]],Tabla2[[#This Row],[Minutos a Horas]])</f>
        <v>3.5</v>
      </c>
      <c r="AP1342" s="49">
        <v>1</v>
      </c>
      <c r="AQ1342" s="49">
        <v>0</v>
      </c>
      <c r="AR1342" s="26">
        <f>Tabla2[[#This Row],[Minutos*]]/60</f>
        <v>0</v>
      </c>
      <c r="AS1342" s="27">
        <f>SUM(Tabla2[[#This Row],[Horas*]],Tabla2[[#This Row],[Minutos a Horas*]])+(Tabla2[[#This Row],[Tiempo Total a Nivel Proncincial (Horas)]])</f>
        <v>4.5</v>
      </c>
    </row>
    <row r="1343" spans="28:45" x14ac:dyDescent="0.25">
      <c r="AB1343" s="89"/>
      <c r="AD1343" s="20" t="s">
        <v>2385</v>
      </c>
      <c r="AE1343" s="10" t="s">
        <v>386</v>
      </c>
      <c r="AF1343" s="20" t="s">
        <v>1582</v>
      </c>
      <c r="AG1343" s="10"/>
      <c r="AH1343" s="22" t="str">
        <f t="shared" si="42"/>
        <v>Loreto_08 Putumayo</v>
      </c>
      <c r="AI1343" s="10" t="s">
        <v>1642</v>
      </c>
      <c r="AJ1343" s="20" t="s">
        <v>1633</v>
      </c>
      <c r="AK1343" s="22" t="str">
        <f t="shared" si="43"/>
        <v>Loreto_08 Putumayo_03 Teniente Manuel Clavero</v>
      </c>
      <c r="AL1343" s="25">
        <v>3.5</v>
      </c>
      <c r="AM1343" s="25">
        <v>0</v>
      </c>
      <c r="AN1343" s="26">
        <f>Tabla2[[#This Row],[Minutos]]/60</f>
        <v>0</v>
      </c>
      <c r="AO1343" s="27">
        <f>SUM(Tabla2[[#This Row],[Horas]],Tabla2[[#This Row],[Minutos a Horas]])</f>
        <v>3.5</v>
      </c>
      <c r="AP1343" s="49">
        <v>1</v>
      </c>
      <c r="AQ1343" s="49">
        <v>30</v>
      </c>
      <c r="AR1343" s="26">
        <f>Tabla2[[#This Row],[Minutos*]]/60</f>
        <v>0.5</v>
      </c>
      <c r="AS1343" s="27">
        <f>SUM(Tabla2[[#This Row],[Horas*]],Tabla2[[#This Row],[Minutos a Horas*]])+(Tabla2[[#This Row],[Tiempo Total a Nivel Proncincial (Horas)]])</f>
        <v>5</v>
      </c>
    </row>
    <row r="1344" spans="28:45" x14ac:dyDescent="0.25">
      <c r="AB1344" s="89"/>
      <c r="AD1344" s="20" t="s">
        <v>2385</v>
      </c>
      <c r="AE1344" s="10" t="s">
        <v>386</v>
      </c>
      <c r="AF1344" s="20" t="s">
        <v>1582</v>
      </c>
      <c r="AG1344" s="10"/>
      <c r="AH1344" s="22" t="str">
        <f t="shared" si="42"/>
        <v>Loreto_08 Putumayo</v>
      </c>
      <c r="AI1344" s="10" t="s">
        <v>1642</v>
      </c>
      <c r="AJ1344" s="20" t="s">
        <v>1634</v>
      </c>
      <c r="AK1344" s="22" t="str">
        <f t="shared" si="43"/>
        <v>Loreto_08 Putumayo_04 Yaguas</v>
      </c>
      <c r="AL1344" s="25">
        <v>3.5</v>
      </c>
      <c r="AM1344" s="25">
        <v>0</v>
      </c>
      <c r="AN1344" s="26">
        <f>Tabla2[[#This Row],[Minutos]]/60</f>
        <v>0</v>
      </c>
      <c r="AO1344" s="27">
        <f>SUM(Tabla2[[#This Row],[Horas]],Tabla2[[#This Row],[Minutos a Horas]])</f>
        <v>3.5</v>
      </c>
      <c r="AP1344" s="49">
        <v>1</v>
      </c>
      <c r="AQ1344" s="49">
        <v>15</v>
      </c>
      <c r="AR1344" s="26">
        <f>Tabla2[[#This Row],[Minutos*]]/60</f>
        <v>0.25</v>
      </c>
      <c r="AS1344" s="27">
        <f>SUM(Tabla2[[#This Row],[Horas*]],Tabla2[[#This Row],[Minutos a Horas*]])+(Tabla2[[#This Row],[Tiempo Total a Nivel Proncincial (Horas)]])</f>
        <v>4.75</v>
      </c>
    </row>
    <row r="1345" spans="30:45" hidden="1" x14ac:dyDescent="0.25">
      <c r="AD1345" s="20" t="s">
        <v>2397</v>
      </c>
      <c r="AE1345" s="10" t="s">
        <v>387</v>
      </c>
      <c r="AF1345" s="20" t="s">
        <v>1643</v>
      </c>
      <c r="AG1345" s="10" t="s">
        <v>1643</v>
      </c>
      <c r="AH1345" s="22" t="str">
        <f t="shared" si="42"/>
        <v xml:space="preserve">Madre_de_Dios_01 Tambopata </v>
      </c>
      <c r="AI1345" s="10" t="s">
        <v>1657</v>
      </c>
      <c r="AJ1345" s="20" t="s">
        <v>1646</v>
      </c>
      <c r="AK1345" s="22" t="str">
        <f t="shared" si="43"/>
        <v>Madre_de_Dios_01 Tambopata _01 Tambopata</v>
      </c>
      <c r="AL1345" s="25">
        <v>2</v>
      </c>
      <c r="AM1345" s="25">
        <v>29</v>
      </c>
      <c r="AN1345" s="26">
        <f>Tabla2[[#This Row],[Minutos]]/60</f>
        <v>0.48333333333333334</v>
      </c>
      <c r="AO1345" s="73">
        <f>SUM(Tabla2[[#This Row],[Horas]],Tabla2[[#This Row],[Minutos a Horas]])</f>
        <v>2.4833333333333334</v>
      </c>
      <c r="AP1345" s="49">
        <v>0</v>
      </c>
      <c r="AQ1345" s="49">
        <v>30</v>
      </c>
      <c r="AR1345" s="26">
        <f>Tabla2[[#This Row],[Minutos*]]/60</f>
        <v>0.5</v>
      </c>
      <c r="AS1345" s="73">
        <f>SUM(Tabla2[[#This Row],[Horas*]],Tabla2[[#This Row],[Minutos a Horas*]])+(Tabla2[[#This Row],[Tiempo Total a Nivel Proncincial (Horas)]])</f>
        <v>2.9833333333333334</v>
      </c>
    </row>
    <row r="1346" spans="30:45" hidden="1" x14ac:dyDescent="0.25">
      <c r="AD1346" s="20" t="s">
        <v>2397</v>
      </c>
      <c r="AE1346" s="10" t="s">
        <v>387</v>
      </c>
      <c r="AF1346" s="20" t="s">
        <v>1643</v>
      </c>
      <c r="AG1346" s="10" t="s">
        <v>1644</v>
      </c>
      <c r="AH1346" s="22" t="str">
        <f t="shared" si="42"/>
        <v xml:space="preserve">Madre_de_Dios_01 Tambopata </v>
      </c>
      <c r="AI1346" s="10" t="s">
        <v>1657</v>
      </c>
      <c r="AJ1346" s="20" t="s">
        <v>1647</v>
      </c>
      <c r="AK1346" s="22" t="str">
        <f t="shared" si="43"/>
        <v>Madre_de_Dios_01 Tambopata _02 Inambari</v>
      </c>
      <c r="AL1346" s="25">
        <v>2</v>
      </c>
      <c r="AM1346" s="25">
        <v>29</v>
      </c>
      <c r="AN1346" s="26">
        <f>Tabla2[[#This Row],[Minutos]]/60</f>
        <v>0.48333333333333334</v>
      </c>
      <c r="AO1346" s="73">
        <f>SUM(Tabla2[[#This Row],[Horas]],Tabla2[[#This Row],[Minutos a Horas]])</f>
        <v>2.4833333333333334</v>
      </c>
      <c r="AP1346" s="49">
        <v>2</v>
      </c>
      <c r="AQ1346" s="49">
        <v>50</v>
      </c>
      <c r="AR1346" s="26">
        <f>Tabla2[[#This Row],[Minutos*]]/60</f>
        <v>0.83333333333333337</v>
      </c>
      <c r="AS1346" s="73">
        <f>SUM(Tabla2[[#This Row],[Horas*]],Tabla2[[#This Row],[Minutos a Horas*]])+(Tabla2[[#This Row],[Tiempo Total a Nivel Proncincial (Horas)]])</f>
        <v>5.3166666666666664</v>
      </c>
    </row>
    <row r="1347" spans="30:45" hidden="1" x14ac:dyDescent="0.25">
      <c r="AD1347" s="20" t="s">
        <v>2397</v>
      </c>
      <c r="AE1347" s="10" t="s">
        <v>387</v>
      </c>
      <c r="AF1347" s="20" t="s">
        <v>1643</v>
      </c>
      <c r="AG1347" s="10" t="s">
        <v>1645</v>
      </c>
      <c r="AH1347" s="22" t="str">
        <f t="shared" si="42"/>
        <v xml:space="preserve">Madre_de_Dios_01 Tambopata </v>
      </c>
      <c r="AI1347" s="10" t="s">
        <v>1657</v>
      </c>
      <c r="AJ1347" s="20" t="s">
        <v>1648</v>
      </c>
      <c r="AK1347" s="22" t="str">
        <f t="shared" si="43"/>
        <v>Madre_de_Dios_01 Tambopata _03 Las Piedras</v>
      </c>
      <c r="AL1347" s="25">
        <v>2</v>
      </c>
      <c r="AM1347" s="25">
        <v>29</v>
      </c>
      <c r="AN1347" s="26">
        <f>Tabla2[[#This Row],[Minutos]]/60</f>
        <v>0.48333333333333334</v>
      </c>
      <c r="AO1347" s="73">
        <f>SUM(Tabla2[[#This Row],[Horas]],Tabla2[[#This Row],[Minutos a Horas]])</f>
        <v>2.4833333333333334</v>
      </c>
      <c r="AP1347" s="49">
        <v>1</v>
      </c>
      <c r="AQ1347" s="49">
        <v>0</v>
      </c>
      <c r="AR1347" s="26">
        <f>Tabla2[[#This Row],[Minutos*]]/60</f>
        <v>0</v>
      </c>
      <c r="AS1347" s="73">
        <f>SUM(Tabla2[[#This Row],[Horas*]],Tabla2[[#This Row],[Minutos a Horas*]])+(Tabla2[[#This Row],[Tiempo Total a Nivel Proncincial (Horas)]])</f>
        <v>3.4833333333333334</v>
      </c>
    </row>
    <row r="1348" spans="30:45" hidden="1" x14ac:dyDescent="0.25">
      <c r="AD1348" s="20" t="s">
        <v>2397</v>
      </c>
      <c r="AE1348" s="10" t="s">
        <v>387</v>
      </c>
      <c r="AF1348" s="20" t="s">
        <v>1643</v>
      </c>
      <c r="AG1348" s="10"/>
      <c r="AH1348" s="22" t="str">
        <f t="shared" si="42"/>
        <v xml:space="preserve">Madre_de_Dios_01 Tambopata </v>
      </c>
      <c r="AI1348" s="10" t="s">
        <v>1657</v>
      </c>
      <c r="AJ1348" s="20" t="s">
        <v>1649</v>
      </c>
      <c r="AK1348" s="22" t="str">
        <f t="shared" si="43"/>
        <v>Madre_de_Dios_01 Tambopata _04 Laberinto</v>
      </c>
      <c r="AL1348" s="25">
        <v>2</v>
      </c>
      <c r="AM1348" s="25">
        <v>29</v>
      </c>
      <c r="AN1348" s="26">
        <f>Tabla2[[#This Row],[Minutos]]/60</f>
        <v>0.48333333333333334</v>
      </c>
      <c r="AO1348" s="73">
        <f>SUM(Tabla2[[#This Row],[Horas]],Tabla2[[#This Row],[Minutos a Horas]])</f>
        <v>2.4833333333333334</v>
      </c>
      <c r="AP1348" s="49">
        <v>0</v>
      </c>
      <c r="AQ1348" s="49">
        <v>50</v>
      </c>
      <c r="AR1348" s="26">
        <f>Tabla2[[#This Row],[Minutos*]]/60</f>
        <v>0.83333333333333337</v>
      </c>
      <c r="AS1348" s="73">
        <f>SUM(Tabla2[[#This Row],[Horas*]],Tabla2[[#This Row],[Minutos a Horas*]])+(Tabla2[[#This Row],[Tiempo Total a Nivel Proncincial (Horas)]])</f>
        <v>3.3166666666666669</v>
      </c>
    </row>
    <row r="1349" spans="30:45" hidden="1" x14ac:dyDescent="0.25">
      <c r="AD1349" s="20" t="s">
        <v>2397</v>
      </c>
      <c r="AE1349" s="10" t="s">
        <v>387</v>
      </c>
      <c r="AF1349" s="20" t="s">
        <v>1644</v>
      </c>
      <c r="AG1349" s="10"/>
      <c r="AH1349" s="22" t="str">
        <f t="shared" si="42"/>
        <v xml:space="preserve">Madre_de_Dios_02 Manu </v>
      </c>
      <c r="AI1349" s="10" t="s">
        <v>1658</v>
      </c>
      <c r="AJ1349" s="20" t="s">
        <v>1650</v>
      </c>
      <c r="AK1349" s="22" t="str">
        <f t="shared" si="43"/>
        <v>Madre_de_Dios_02 Manu _01 Manu</v>
      </c>
      <c r="AL1349" s="25">
        <v>3</v>
      </c>
      <c r="AM1349" s="25">
        <v>10</v>
      </c>
      <c r="AN1349" s="26">
        <f>Tabla2[[#This Row],[Minutos]]/60</f>
        <v>0.16666666666666666</v>
      </c>
      <c r="AO1349" s="73">
        <f>SUM(Tabla2[[#This Row],[Horas]],Tabla2[[#This Row],[Minutos a Horas]])</f>
        <v>3.1666666666666665</v>
      </c>
      <c r="AP1349" s="49">
        <v>14</v>
      </c>
      <c r="AQ1349" s="49">
        <v>30</v>
      </c>
      <c r="AR1349" s="26">
        <f>Tabla2[[#This Row],[Minutos*]]/60</f>
        <v>0.5</v>
      </c>
      <c r="AS1349" s="73">
        <f>SUM(Tabla2[[#This Row],[Horas*]],Tabla2[[#This Row],[Minutos a Horas*]])+(Tabla2[[#This Row],[Tiempo Total a Nivel Proncincial (Horas)]])</f>
        <v>17.666666666666668</v>
      </c>
    </row>
    <row r="1350" spans="30:45" hidden="1" x14ac:dyDescent="0.25">
      <c r="AD1350" s="20" t="s">
        <v>2397</v>
      </c>
      <c r="AE1350" s="10" t="s">
        <v>387</v>
      </c>
      <c r="AF1350" s="20" t="s">
        <v>1644</v>
      </c>
      <c r="AG1350" s="10"/>
      <c r="AH1350" s="22" t="str">
        <f t="shared" si="42"/>
        <v xml:space="preserve">Madre_de_Dios_02 Manu </v>
      </c>
      <c r="AI1350" s="10" t="s">
        <v>1658</v>
      </c>
      <c r="AJ1350" s="20" t="s">
        <v>1651</v>
      </c>
      <c r="AK1350" s="22" t="str">
        <f t="shared" si="43"/>
        <v>Madre_de_Dios_02 Manu _02 Fitzcarrald</v>
      </c>
      <c r="AL1350" s="25">
        <v>3</v>
      </c>
      <c r="AM1350" s="25">
        <v>10</v>
      </c>
      <c r="AN1350" s="26">
        <f>Tabla2[[#This Row],[Minutos]]/60</f>
        <v>0.16666666666666666</v>
      </c>
      <c r="AO1350" s="73">
        <f>SUM(Tabla2[[#This Row],[Horas]],Tabla2[[#This Row],[Minutos a Horas]])</f>
        <v>3.1666666666666665</v>
      </c>
      <c r="AP1350" s="49">
        <v>16</v>
      </c>
      <c r="AQ1350" s="49">
        <v>0</v>
      </c>
      <c r="AR1350" s="26">
        <f>Tabla2[[#This Row],[Minutos*]]/60</f>
        <v>0</v>
      </c>
      <c r="AS1350" s="73">
        <f>SUM(Tabla2[[#This Row],[Horas*]],Tabla2[[#This Row],[Minutos a Horas*]])+(Tabla2[[#This Row],[Tiempo Total a Nivel Proncincial (Horas)]])</f>
        <v>19.166666666666668</v>
      </c>
    </row>
    <row r="1351" spans="30:45" hidden="1" x14ac:dyDescent="0.25">
      <c r="AD1351" s="20" t="s">
        <v>2397</v>
      </c>
      <c r="AE1351" s="10" t="s">
        <v>387</v>
      </c>
      <c r="AF1351" s="20" t="s">
        <v>1644</v>
      </c>
      <c r="AG1351" s="10"/>
      <c r="AH1351" s="22" t="str">
        <f t="shared" si="42"/>
        <v xml:space="preserve">Madre_de_Dios_02 Manu </v>
      </c>
      <c r="AI1351" s="10" t="s">
        <v>1658</v>
      </c>
      <c r="AJ1351" s="20" t="s">
        <v>1652</v>
      </c>
      <c r="AK1351" s="22" t="str">
        <f t="shared" si="43"/>
        <v>Madre_de_Dios_02 Manu _03 Madre de Dios</v>
      </c>
      <c r="AL1351" s="25">
        <v>3</v>
      </c>
      <c r="AM1351" s="25">
        <v>10</v>
      </c>
      <c r="AN1351" s="26">
        <f>Tabla2[[#This Row],[Minutos]]/60</f>
        <v>0.16666666666666666</v>
      </c>
      <c r="AO1351" s="73">
        <f>SUM(Tabla2[[#This Row],[Horas]],Tabla2[[#This Row],[Minutos a Horas]])</f>
        <v>3.1666666666666665</v>
      </c>
      <c r="AP1351" s="49">
        <v>4</v>
      </c>
      <c r="AQ1351" s="49">
        <v>30</v>
      </c>
      <c r="AR1351" s="26">
        <f>Tabla2[[#This Row],[Minutos*]]/60</f>
        <v>0.5</v>
      </c>
      <c r="AS1351" s="73">
        <f>SUM(Tabla2[[#This Row],[Horas*]],Tabla2[[#This Row],[Minutos a Horas*]])+(Tabla2[[#This Row],[Tiempo Total a Nivel Proncincial (Horas)]])</f>
        <v>7.6666666666666661</v>
      </c>
    </row>
    <row r="1352" spans="30:45" hidden="1" x14ac:dyDescent="0.25">
      <c r="AD1352" s="20" t="s">
        <v>2397</v>
      </c>
      <c r="AE1352" s="10" t="s">
        <v>387</v>
      </c>
      <c r="AF1352" s="20" t="s">
        <v>1644</v>
      </c>
      <c r="AG1352" s="10"/>
      <c r="AH1352" s="22" t="str">
        <f t="shared" si="42"/>
        <v xml:space="preserve">Madre_de_Dios_02 Manu </v>
      </c>
      <c r="AI1352" s="10" t="s">
        <v>1658</v>
      </c>
      <c r="AJ1352" s="20" t="s">
        <v>1653</v>
      </c>
      <c r="AK1352" s="22" t="str">
        <f t="shared" si="43"/>
        <v>Madre_de_Dios_02 Manu _04 Huepetuhe</v>
      </c>
      <c r="AL1352" s="25">
        <v>3</v>
      </c>
      <c r="AM1352" s="25">
        <v>10</v>
      </c>
      <c r="AN1352" s="26">
        <f>Tabla2[[#This Row],[Minutos]]/60</f>
        <v>0.16666666666666666</v>
      </c>
      <c r="AO1352" s="73">
        <f>SUM(Tabla2[[#This Row],[Horas]],Tabla2[[#This Row],[Minutos a Horas]])</f>
        <v>3.1666666666666665</v>
      </c>
      <c r="AP1352" s="49">
        <v>3</v>
      </c>
      <c r="AQ1352" s="49">
        <v>50</v>
      </c>
      <c r="AR1352" s="26">
        <f>Tabla2[[#This Row],[Minutos*]]/60</f>
        <v>0.83333333333333337</v>
      </c>
      <c r="AS1352" s="73">
        <f>SUM(Tabla2[[#This Row],[Horas*]],Tabla2[[#This Row],[Minutos a Horas*]])+(Tabla2[[#This Row],[Tiempo Total a Nivel Proncincial (Horas)]])</f>
        <v>7</v>
      </c>
    </row>
    <row r="1353" spans="30:45" hidden="1" x14ac:dyDescent="0.25">
      <c r="AD1353" s="20" t="s">
        <v>2397</v>
      </c>
      <c r="AE1353" s="10" t="s">
        <v>387</v>
      </c>
      <c r="AF1353" s="20" t="s">
        <v>1645</v>
      </c>
      <c r="AG1353" s="10"/>
      <c r="AH1353" s="22" t="str">
        <f t="shared" si="42"/>
        <v xml:space="preserve">Madre_de_Dios_03 Tahuamanu </v>
      </c>
      <c r="AI1353" s="10" t="s">
        <v>1659</v>
      </c>
      <c r="AJ1353" s="20" t="s">
        <v>1654</v>
      </c>
      <c r="AK1353" s="22" t="str">
        <f t="shared" si="43"/>
        <v>Madre_de_Dios_03 Tahuamanu _01 Iñapari</v>
      </c>
      <c r="AL1353" s="25">
        <v>2</v>
      </c>
      <c r="AM1353" s="25">
        <v>33</v>
      </c>
      <c r="AN1353" s="26">
        <f>Tabla2[[#This Row],[Minutos]]/60</f>
        <v>0.55000000000000004</v>
      </c>
      <c r="AO1353" s="73">
        <f>SUM(Tabla2[[#This Row],[Horas]],Tabla2[[#This Row],[Minutos a Horas]])</f>
        <v>2.5499999999999998</v>
      </c>
      <c r="AP1353" s="49">
        <v>3</v>
      </c>
      <c r="AQ1353" s="49">
        <v>15</v>
      </c>
      <c r="AR1353" s="26">
        <f>Tabla2[[#This Row],[Minutos*]]/60</f>
        <v>0.25</v>
      </c>
      <c r="AS1353" s="73">
        <f>SUM(Tabla2[[#This Row],[Horas*]],Tabla2[[#This Row],[Minutos a Horas*]])+(Tabla2[[#This Row],[Tiempo Total a Nivel Proncincial (Horas)]])</f>
        <v>5.8</v>
      </c>
    </row>
    <row r="1354" spans="30:45" hidden="1" x14ac:dyDescent="0.25">
      <c r="AD1354" s="20" t="s">
        <v>2397</v>
      </c>
      <c r="AE1354" s="10" t="s">
        <v>387</v>
      </c>
      <c r="AF1354" s="20" t="s">
        <v>1645</v>
      </c>
      <c r="AG1354" s="10"/>
      <c r="AH1354" s="22" t="str">
        <f t="shared" si="42"/>
        <v xml:space="preserve">Madre_de_Dios_03 Tahuamanu </v>
      </c>
      <c r="AI1354" s="10" t="s">
        <v>1659</v>
      </c>
      <c r="AJ1354" s="20" t="s">
        <v>1655</v>
      </c>
      <c r="AK1354" s="22" t="str">
        <f t="shared" si="43"/>
        <v>Madre_de_Dios_03 Tahuamanu _02 Iberia</v>
      </c>
      <c r="AL1354" s="25">
        <v>2</v>
      </c>
      <c r="AM1354" s="25">
        <v>33</v>
      </c>
      <c r="AN1354" s="26">
        <f>Tabla2[[#This Row],[Minutos]]/60</f>
        <v>0.55000000000000004</v>
      </c>
      <c r="AO1354" s="73">
        <f>SUM(Tabla2[[#This Row],[Horas]],Tabla2[[#This Row],[Minutos a Horas]])</f>
        <v>2.5499999999999998</v>
      </c>
      <c r="AP1354" s="49">
        <v>2</v>
      </c>
      <c r="AQ1354" s="49">
        <v>30</v>
      </c>
      <c r="AR1354" s="26">
        <f>Tabla2[[#This Row],[Minutos*]]/60</f>
        <v>0.5</v>
      </c>
      <c r="AS1354" s="73">
        <f>SUM(Tabla2[[#This Row],[Horas*]],Tabla2[[#This Row],[Minutos a Horas*]])+(Tabla2[[#This Row],[Tiempo Total a Nivel Proncincial (Horas)]])</f>
        <v>5.05</v>
      </c>
    </row>
    <row r="1355" spans="30:45" hidden="1" x14ac:dyDescent="0.25">
      <c r="AD1355" s="20" t="s">
        <v>2397</v>
      </c>
      <c r="AE1355" s="10" t="s">
        <v>387</v>
      </c>
      <c r="AF1355" s="20" t="s">
        <v>1645</v>
      </c>
      <c r="AG1355" s="10"/>
      <c r="AH1355" s="22" t="str">
        <f t="shared" si="42"/>
        <v xml:space="preserve">Madre_de_Dios_03 Tahuamanu </v>
      </c>
      <c r="AI1355" s="10" t="s">
        <v>1659</v>
      </c>
      <c r="AJ1355" s="20" t="s">
        <v>1656</v>
      </c>
      <c r="AK1355" s="22" t="str">
        <f t="shared" si="43"/>
        <v>Madre_de_Dios_03 Tahuamanu _03 Tahuamanu</v>
      </c>
      <c r="AL1355" s="25">
        <v>2</v>
      </c>
      <c r="AM1355" s="25">
        <v>33</v>
      </c>
      <c r="AN1355" s="26">
        <f>Tabla2[[#This Row],[Minutos]]/60</f>
        <v>0.55000000000000004</v>
      </c>
      <c r="AO1355" s="73">
        <f>SUM(Tabla2[[#This Row],[Horas]],Tabla2[[#This Row],[Minutos a Horas]])</f>
        <v>2.5499999999999998</v>
      </c>
      <c r="AP1355" s="49">
        <v>2</v>
      </c>
      <c r="AQ1355" s="49">
        <v>10</v>
      </c>
      <c r="AR1355" s="26">
        <f>Tabla2[[#This Row],[Minutos*]]/60</f>
        <v>0.16666666666666666</v>
      </c>
      <c r="AS1355" s="73">
        <f>SUM(Tabla2[[#This Row],[Horas*]],Tabla2[[#This Row],[Minutos a Horas*]])+(Tabla2[[#This Row],[Tiempo Total a Nivel Proncincial (Horas)]])</f>
        <v>4.7166666666666668</v>
      </c>
    </row>
    <row r="1356" spans="30:45" hidden="1" x14ac:dyDescent="0.25">
      <c r="AD1356" s="20" t="s">
        <v>2386</v>
      </c>
      <c r="AE1356" s="10" t="s">
        <v>388</v>
      </c>
      <c r="AF1356" s="20" t="s">
        <v>1660</v>
      </c>
      <c r="AG1356" s="10" t="s">
        <v>1660</v>
      </c>
      <c r="AH1356" s="22" t="str">
        <f t="shared" si="42"/>
        <v xml:space="preserve">Moquegua_01 Mariscal Nieto </v>
      </c>
      <c r="AI1356" s="10" t="s">
        <v>1683</v>
      </c>
      <c r="AJ1356" s="20" t="s">
        <v>1663</v>
      </c>
      <c r="AK1356" s="22" t="str">
        <f t="shared" si="43"/>
        <v>Moquegua_01 Mariscal Nieto _01 Moquegua</v>
      </c>
      <c r="AL1356" s="25">
        <v>2</v>
      </c>
      <c r="AM1356" s="25">
        <v>1</v>
      </c>
      <c r="AN1356" s="26">
        <f>Tabla2[[#This Row],[Minutos]]/60</f>
        <v>1.6666666666666666E-2</v>
      </c>
      <c r="AO1356" s="27">
        <f>SUM(Tabla2[[#This Row],[Horas]],Tabla2[[#This Row],[Minutos a Horas]])</f>
        <v>2.0166666666666666</v>
      </c>
      <c r="AP1356" s="49">
        <v>1</v>
      </c>
      <c r="AQ1356" s="49">
        <v>0</v>
      </c>
      <c r="AR1356" s="26">
        <f>Tabla2[[#This Row],[Minutos*]]/60</f>
        <v>0</v>
      </c>
      <c r="AS1356" s="27">
        <f>SUM(Tabla2[[#This Row],[Horas*]],Tabla2[[#This Row],[Minutos a Horas*]])+(Tabla2[[#This Row],[Tiempo Total a Nivel Proncincial (Horas)]])</f>
        <v>3.0166666666666666</v>
      </c>
    </row>
    <row r="1357" spans="30:45" hidden="1" x14ac:dyDescent="0.25">
      <c r="AD1357" s="20" t="s">
        <v>2386</v>
      </c>
      <c r="AE1357" s="10" t="s">
        <v>388</v>
      </c>
      <c r="AF1357" s="20" t="s">
        <v>1660</v>
      </c>
      <c r="AG1357" s="10" t="s">
        <v>1661</v>
      </c>
      <c r="AH1357" s="22" t="str">
        <f t="shared" si="42"/>
        <v xml:space="preserve">Moquegua_01 Mariscal Nieto </v>
      </c>
      <c r="AI1357" s="10" t="s">
        <v>1683</v>
      </c>
      <c r="AJ1357" s="20" t="s">
        <v>1664</v>
      </c>
      <c r="AK1357" s="22" t="str">
        <f t="shared" si="43"/>
        <v>Moquegua_01 Mariscal Nieto _02 Carumas</v>
      </c>
      <c r="AL1357" s="25">
        <v>2</v>
      </c>
      <c r="AM1357" s="25">
        <v>1</v>
      </c>
      <c r="AN1357" s="26">
        <f>Tabla2[[#This Row],[Minutos]]/60</f>
        <v>1.6666666666666666E-2</v>
      </c>
      <c r="AO1357" s="27">
        <f>SUM(Tabla2[[#This Row],[Horas]],Tabla2[[#This Row],[Minutos a Horas]])</f>
        <v>2.0166666666666666</v>
      </c>
      <c r="AP1357" s="49">
        <v>4</v>
      </c>
      <c r="AQ1357" s="49">
        <v>30</v>
      </c>
      <c r="AR1357" s="26">
        <f>Tabla2[[#This Row],[Minutos*]]/60</f>
        <v>0.5</v>
      </c>
      <c r="AS1357" s="27">
        <f>SUM(Tabla2[[#This Row],[Horas*]],Tabla2[[#This Row],[Minutos a Horas*]])+(Tabla2[[#This Row],[Tiempo Total a Nivel Proncincial (Horas)]])</f>
        <v>6.5166666666666666</v>
      </c>
    </row>
    <row r="1358" spans="30:45" hidden="1" x14ac:dyDescent="0.25">
      <c r="AD1358" s="20" t="s">
        <v>2386</v>
      </c>
      <c r="AE1358" s="10" t="s">
        <v>388</v>
      </c>
      <c r="AF1358" s="20" t="s">
        <v>1660</v>
      </c>
      <c r="AG1358" s="10" t="s">
        <v>1662</v>
      </c>
      <c r="AH1358" s="22" t="str">
        <f t="shared" si="42"/>
        <v xml:space="preserve">Moquegua_01 Mariscal Nieto </v>
      </c>
      <c r="AI1358" s="10" t="s">
        <v>1683</v>
      </c>
      <c r="AJ1358" s="20" t="s">
        <v>1665</v>
      </c>
      <c r="AK1358" s="22" t="str">
        <f t="shared" si="43"/>
        <v>Moquegua_01 Mariscal Nieto _03 Cuchumbaya</v>
      </c>
      <c r="AL1358" s="25">
        <v>2</v>
      </c>
      <c r="AM1358" s="25">
        <v>1</v>
      </c>
      <c r="AN1358" s="26">
        <f>Tabla2[[#This Row],[Minutos]]/60</f>
        <v>1.6666666666666666E-2</v>
      </c>
      <c r="AO1358" s="27">
        <f>SUM(Tabla2[[#This Row],[Horas]],Tabla2[[#This Row],[Minutos a Horas]])</f>
        <v>2.0166666666666666</v>
      </c>
      <c r="AP1358" s="49">
        <v>4</v>
      </c>
      <c r="AQ1358" s="49">
        <v>40</v>
      </c>
      <c r="AR1358" s="26">
        <f>Tabla2[[#This Row],[Minutos*]]/60</f>
        <v>0.66666666666666663</v>
      </c>
      <c r="AS1358" s="27">
        <f>SUM(Tabla2[[#This Row],[Horas*]],Tabla2[[#This Row],[Minutos a Horas*]])+(Tabla2[[#This Row],[Tiempo Total a Nivel Proncincial (Horas)]])</f>
        <v>6.6833333333333336</v>
      </c>
    </row>
    <row r="1359" spans="30:45" hidden="1" x14ac:dyDescent="0.25">
      <c r="AD1359" s="20" t="s">
        <v>2386</v>
      </c>
      <c r="AE1359" s="10" t="s">
        <v>388</v>
      </c>
      <c r="AF1359" s="20" t="s">
        <v>1660</v>
      </c>
      <c r="AG1359" s="10"/>
      <c r="AH1359" s="22" t="str">
        <f t="shared" si="42"/>
        <v xml:space="preserve">Moquegua_01 Mariscal Nieto </v>
      </c>
      <c r="AI1359" s="10" t="s">
        <v>1683</v>
      </c>
      <c r="AJ1359" s="20" t="s">
        <v>1666</v>
      </c>
      <c r="AK1359" s="22" t="str">
        <f t="shared" si="43"/>
        <v>Moquegua_01 Mariscal Nieto _04 Samegua</v>
      </c>
      <c r="AL1359" s="25">
        <v>2</v>
      </c>
      <c r="AM1359" s="25">
        <v>1</v>
      </c>
      <c r="AN1359" s="26">
        <f>Tabla2[[#This Row],[Minutos]]/60</f>
        <v>1.6666666666666666E-2</v>
      </c>
      <c r="AO1359" s="27">
        <f>SUM(Tabla2[[#This Row],[Horas]],Tabla2[[#This Row],[Minutos a Horas]])</f>
        <v>2.0166666666666666</v>
      </c>
      <c r="AP1359" s="49">
        <v>1</v>
      </c>
      <c r="AQ1359" s="49">
        <v>0</v>
      </c>
      <c r="AR1359" s="26">
        <f>Tabla2[[#This Row],[Minutos*]]/60</f>
        <v>0</v>
      </c>
      <c r="AS1359" s="27">
        <f>SUM(Tabla2[[#This Row],[Horas*]],Tabla2[[#This Row],[Minutos a Horas*]])+(Tabla2[[#This Row],[Tiempo Total a Nivel Proncincial (Horas)]])</f>
        <v>3.0166666666666666</v>
      </c>
    </row>
    <row r="1360" spans="30:45" hidden="1" x14ac:dyDescent="0.25">
      <c r="AD1360" s="20" t="s">
        <v>2386</v>
      </c>
      <c r="AE1360" s="10" t="s">
        <v>388</v>
      </c>
      <c r="AF1360" s="20" t="s">
        <v>1660</v>
      </c>
      <c r="AG1360" s="10"/>
      <c r="AH1360" s="22" t="str">
        <f t="shared" si="42"/>
        <v xml:space="preserve">Moquegua_01 Mariscal Nieto </v>
      </c>
      <c r="AI1360" s="10" t="s">
        <v>1683</v>
      </c>
      <c r="AJ1360" s="20" t="s">
        <v>1667</v>
      </c>
      <c r="AK1360" s="22" t="str">
        <f t="shared" si="43"/>
        <v>Moquegua_01 Mariscal Nieto _05 San Cristóbal</v>
      </c>
      <c r="AL1360" s="25">
        <v>2</v>
      </c>
      <c r="AM1360" s="25">
        <v>1</v>
      </c>
      <c r="AN1360" s="26">
        <f>Tabla2[[#This Row],[Minutos]]/60</f>
        <v>1.6666666666666666E-2</v>
      </c>
      <c r="AO1360" s="27">
        <f>SUM(Tabla2[[#This Row],[Horas]],Tabla2[[#This Row],[Minutos a Horas]])</f>
        <v>2.0166666666666666</v>
      </c>
      <c r="AP1360" s="49">
        <v>6</v>
      </c>
      <c r="AQ1360" s="49">
        <v>0</v>
      </c>
      <c r="AR1360" s="26">
        <f>Tabla2[[#This Row],[Minutos*]]/60</f>
        <v>0</v>
      </c>
      <c r="AS1360" s="27">
        <f>SUM(Tabla2[[#This Row],[Horas*]],Tabla2[[#This Row],[Minutos a Horas*]])+(Tabla2[[#This Row],[Tiempo Total a Nivel Proncincial (Horas)]])</f>
        <v>8.0166666666666657</v>
      </c>
    </row>
    <row r="1361" spans="30:45" hidden="1" x14ac:dyDescent="0.25">
      <c r="AD1361" s="20" t="s">
        <v>2386</v>
      </c>
      <c r="AE1361" s="10" t="s">
        <v>388</v>
      </c>
      <c r="AF1361" s="20" t="s">
        <v>1660</v>
      </c>
      <c r="AG1361" s="10"/>
      <c r="AH1361" s="22" t="str">
        <f t="shared" si="42"/>
        <v xml:space="preserve">Moquegua_01 Mariscal Nieto </v>
      </c>
      <c r="AI1361" s="10" t="s">
        <v>1683</v>
      </c>
      <c r="AJ1361" s="20" t="s">
        <v>1668</v>
      </c>
      <c r="AK1361" s="22" t="str">
        <f t="shared" si="43"/>
        <v>Moquegua_01 Mariscal Nieto _06 Torata</v>
      </c>
      <c r="AL1361" s="25">
        <v>2</v>
      </c>
      <c r="AM1361" s="25">
        <v>1</v>
      </c>
      <c r="AN1361" s="26">
        <f>Tabla2[[#This Row],[Minutos]]/60</f>
        <v>1.6666666666666666E-2</v>
      </c>
      <c r="AO1361" s="27">
        <f>SUM(Tabla2[[#This Row],[Horas]],Tabla2[[#This Row],[Minutos a Horas]])</f>
        <v>2.0166666666666666</v>
      </c>
      <c r="AP1361" s="49">
        <v>2</v>
      </c>
      <c r="AQ1361" s="49">
        <v>30</v>
      </c>
      <c r="AR1361" s="26">
        <f>Tabla2[[#This Row],[Minutos*]]/60</f>
        <v>0.5</v>
      </c>
      <c r="AS1361" s="27">
        <f>SUM(Tabla2[[#This Row],[Horas*]],Tabla2[[#This Row],[Minutos a Horas*]])+(Tabla2[[#This Row],[Tiempo Total a Nivel Proncincial (Horas)]])</f>
        <v>4.5166666666666666</v>
      </c>
    </row>
    <row r="1362" spans="30:45" hidden="1" x14ac:dyDescent="0.25">
      <c r="AD1362" s="20" t="s">
        <v>2386</v>
      </c>
      <c r="AE1362" s="10" t="s">
        <v>388</v>
      </c>
      <c r="AF1362" s="20" t="s">
        <v>1661</v>
      </c>
      <c r="AG1362" s="10"/>
      <c r="AH1362" s="22" t="str">
        <f t="shared" si="42"/>
        <v xml:space="preserve">Moquegua_02 General Sánchez Cerro </v>
      </c>
      <c r="AI1362" s="10" t="s">
        <v>1684</v>
      </c>
      <c r="AJ1362" s="20" t="s">
        <v>1669</v>
      </c>
      <c r="AK1362" s="22" t="str">
        <f t="shared" si="43"/>
        <v>Moquegua_02 General Sánchez Cerro _01 Omate</v>
      </c>
      <c r="AL1362" s="25">
        <v>2</v>
      </c>
      <c r="AM1362" s="25">
        <v>46</v>
      </c>
      <c r="AN1362" s="26">
        <f>Tabla2[[#This Row],[Minutos]]/60</f>
        <v>0.76666666666666672</v>
      </c>
      <c r="AO1362" s="27">
        <f>SUM(Tabla2[[#This Row],[Horas]],Tabla2[[#This Row],[Minutos a Horas]])</f>
        <v>2.7666666666666666</v>
      </c>
      <c r="AP1362" s="49">
        <v>6</v>
      </c>
      <c r="AQ1362" s="49">
        <v>30</v>
      </c>
      <c r="AR1362" s="26">
        <f>Tabla2[[#This Row],[Minutos*]]/60</f>
        <v>0.5</v>
      </c>
      <c r="AS1362" s="27">
        <f>SUM(Tabla2[[#This Row],[Horas*]],Tabla2[[#This Row],[Minutos a Horas*]])+(Tabla2[[#This Row],[Tiempo Total a Nivel Proncincial (Horas)]])</f>
        <v>9.2666666666666657</v>
      </c>
    </row>
    <row r="1363" spans="30:45" hidden="1" x14ac:dyDescent="0.25">
      <c r="AD1363" s="20" t="s">
        <v>2386</v>
      </c>
      <c r="AE1363" s="10" t="s">
        <v>388</v>
      </c>
      <c r="AF1363" s="20" t="s">
        <v>1661</v>
      </c>
      <c r="AG1363" s="10"/>
      <c r="AH1363" s="22" t="str">
        <f t="shared" si="42"/>
        <v xml:space="preserve">Moquegua_02 General Sánchez Cerro </v>
      </c>
      <c r="AI1363" s="10" t="s">
        <v>1684</v>
      </c>
      <c r="AJ1363" s="20" t="s">
        <v>1670</v>
      </c>
      <c r="AK1363" s="22" t="str">
        <f t="shared" si="43"/>
        <v>Moquegua_02 General Sánchez Cerro _02 Chojata</v>
      </c>
      <c r="AL1363" s="25">
        <v>2</v>
      </c>
      <c r="AM1363" s="25">
        <v>46</v>
      </c>
      <c r="AN1363" s="26">
        <f>Tabla2[[#This Row],[Minutos]]/60</f>
        <v>0.76666666666666672</v>
      </c>
      <c r="AO1363" s="27">
        <f>SUM(Tabla2[[#This Row],[Horas]],Tabla2[[#This Row],[Minutos a Horas]])</f>
        <v>2.7666666666666666</v>
      </c>
      <c r="AP1363" s="49">
        <v>8</v>
      </c>
      <c r="AQ1363" s="49">
        <v>30</v>
      </c>
      <c r="AR1363" s="26">
        <f>Tabla2[[#This Row],[Minutos*]]/60</f>
        <v>0.5</v>
      </c>
      <c r="AS1363" s="27">
        <f>SUM(Tabla2[[#This Row],[Horas*]],Tabla2[[#This Row],[Minutos a Horas*]])+(Tabla2[[#This Row],[Tiempo Total a Nivel Proncincial (Horas)]])</f>
        <v>11.266666666666666</v>
      </c>
    </row>
    <row r="1364" spans="30:45" hidden="1" x14ac:dyDescent="0.25">
      <c r="AD1364" s="20" t="s">
        <v>2386</v>
      </c>
      <c r="AE1364" s="10" t="s">
        <v>388</v>
      </c>
      <c r="AF1364" s="20" t="s">
        <v>1661</v>
      </c>
      <c r="AG1364" s="10"/>
      <c r="AH1364" s="22" t="str">
        <f t="shared" si="42"/>
        <v xml:space="preserve">Moquegua_02 General Sánchez Cerro </v>
      </c>
      <c r="AI1364" s="10" t="s">
        <v>1684</v>
      </c>
      <c r="AJ1364" s="20" t="s">
        <v>1671</v>
      </c>
      <c r="AK1364" s="22" t="str">
        <f t="shared" si="43"/>
        <v>Moquegua_02 General Sánchez Cerro _03 Coalaque</v>
      </c>
      <c r="AL1364" s="25">
        <v>2</v>
      </c>
      <c r="AM1364" s="25">
        <v>46</v>
      </c>
      <c r="AN1364" s="26">
        <f>Tabla2[[#This Row],[Minutos]]/60</f>
        <v>0.76666666666666672</v>
      </c>
      <c r="AO1364" s="27">
        <f>SUM(Tabla2[[#This Row],[Horas]],Tabla2[[#This Row],[Minutos a Horas]])</f>
        <v>2.7666666666666666</v>
      </c>
      <c r="AP1364" s="49">
        <v>10</v>
      </c>
      <c r="AQ1364" s="49">
        <v>30</v>
      </c>
      <c r="AR1364" s="26">
        <f>Tabla2[[#This Row],[Minutos*]]/60</f>
        <v>0.5</v>
      </c>
      <c r="AS1364" s="27">
        <f>SUM(Tabla2[[#This Row],[Horas*]],Tabla2[[#This Row],[Minutos a Horas*]])+(Tabla2[[#This Row],[Tiempo Total a Nivel Proncincial (Horas)]])</f>
        <v>13.266666666666666</v>
      </c>
    </row>
    <row r="1365" spans="30:45" hidden="1" x14ac:dyDescent="0.25">
      <c r="AD1365" s="20" t="s">
        <v>2386</v>
      </c>
      <c r="AE1365" s="10" t="s">
        <v>388</v>
      </c>
      <c r="AF1365" s="20" t="s">
        <v>1661</v>
      </c>
      <c r="AG1365" s="10"/>
      <c r="AH1365" s="22" t="str">
        <f t="shared" si="42"/>
        <v xml:space="preserve">Moquegua_02 General Sánchez Cerro </v>
      </c>
      <c r="AI1365" s="10" t="s">
        <v>1684</v>
      </c>
      <c r="AJ1365" s="20" t="s">
        <v>1672</v>
      </c>
      <c r="AK1365" s="22" t="str">
        <f t="shared" si="43"/>
        <v>Moquegua_02 General Sánchez Cerro _04 Ichuña</v>
      </c>
      <c r="AL1365" s="25">
        <v>2</v>
      </c>
      <c r="AM1365" s="25">
        <v>46</v>
      </c>
      <c r="AN1365" s="26">
        <f>Tabla2[[#This Row],[Minutos]]/60</f>
        <v>0.76666666666666672</v>
      </c>
      <c r="AO1365" s="27">
        <f>SUM(Tabla2[[#This Row],[Horas]],Tabla2[[#This Row],[Minutos a Horas]])</f>
        <v>2.7666666666666666</v>
      </c>
      <c r="AP1365" s="49">
        <v>8</v>
      </c>
      <c r="AQ1365" s="49">
        <v>30</v>
      </c>
      <c r="AR1365" s="26">
        <f>Tabla2[[#This Row],[Minutos*]]/60</f>
        <v>0.5</v>
      </c>
      <c r="AS1365" s="27">
        <f>SUM(Tabla2[[#This Row],[Horas*]],Tabla2[[#This Row],[Minutos a Horas*]])+(Tabla2[[#This Row],[Tiempo Total a Nivel Proncincial (Horas)]])</f>
        <v>11.266666666666666</v>
      </c>
    </row>
    <row r="1366" spans="30:45" hidden="1" x14ac:dyDescent="0.25">
      <c r="AD1366" s="20" t="s">
        <v>2386</v>
      </c>
      <c r="AE1366" s="10" t="s">
        <v>388</v>
      </c>
      <c r="AF1366" s="20" t="s">
        <v>1661</v>
      </c>
      <c r="AG1366" s="10"/>
      <c r="AH1366" s="22" t="str">
        <f t="shared" si="42"/>
        <v xml:space="preserve">Moquegua_02 General Sánchez Cerro </v>
      </c>
      <c r="AI1366" s="10" t="s">
        <v>1684</v>
      </c>
      <c r="AJ1366" s="20" t="s">
        <v>1673</v>
      </c>
      <c r="AK1366" s="22" t="str">
        <f t="shared" si="43"/>
        <v>Moquegua_02 General Sánchez Cerro _05 La Capilla</v>
      </c>
      <c r="AL1366" s="25">
        <v>2</v>
      </c>
      <c r="AM1366" s="25">
        <v>46</v>
      </c>
      <c r="AN1366" s="26">
        <f>Tabla2[[#This Row],[Minutos]]/60</f>
        <v>0.76666666666666672</v>
      </c>
      <c r="AO1366" s="27">
        <f>SUM(Tabla2[[#This Row],[Horas]],Tabla2[[#This Row],[Minutos a Horas]])</f>
        <v>2.7666666666666666</v>
      </c>
      <c r="AP1366" s="49">
        <v>12</v>
      </c>
      <c r="AQ1366" s="49">
        <v>30</v>
      </c>
      <c r="AR1366" s="26">
        <f>Tabla2[[#This Row],[Minutos*]]/60</f>
        <v>0.5</v>
      </c>
      <c r="AS1366" s="27">
        <f>SUM(Tabla2[[#This Row],[Horas*]],Tabla2[[#This Row],[Minutos a Horas*]])+(Tabla2[[#This Row],[Tiempo Total a Nivel Proncincial (Horas)]])</f>
        <v>15.266666666666666</v>
      </c>
    </row>
    <row r="1367" spans="30:45" hidden="1" x14ac:dyDescent="0.25">
      <c r="AD1367" s="20" t="s">
        <v>2386</v>
      </c>
      <c r="AE1367" s="10" t="s">
        <v>388</v>
      </c>
      <c r="AF1367" s="20" t="s">
        <v>1661</v>
      </c>
      <c r="AG1367" s="10"/>
      <c r="AH1367" s="22" t="str">
        <f t="shared" si="42"/>
        <v xml:space="preserve">Moquegua_02 General Sánchez Cerro </v>
      </c>
      <c r="AI1367" s="10" t="s">
        <v>1684</v>
      </c>
      <c r="AJ1367" s="20" t="s">
        <v>1674</v>
      </c>
      <c r="AK1367" s="22" t="str">
        <f t="shared" si="43"/>
        <v>Moquegua_02 General Sánchez Cerro _06 Lloque</v>
      </c>
      <c r="AL1367" s="25">
        <v>2</v>
      </c>
      <c r="AM1367" s="25">
        <v>46</v>
      </c>
      <c r="AN1367" s="26">
        <f>Tabla2[[#This Row],[Minutos]]/60</f>
        <v>0.76666666666666672</v>
      </c>
      <c r="AO1367" s="27">
        <f>SUM(Tabla2[[#This Row],[Horas]],Tabla2[[#This Row],[Minutos a Horas]])</f>
        <v>2.7666666666666666</v>
      </c>
      <c r="AP1367" s="49">
        <v>13</v>
      </c>
      <c r="AQ1367" s="49">
        <v>30</v>
      </c>
      <c r="AR1367" s="26">
        <f>Tabla2[[#This Row],[Minutos*]]/60</f>
        <v>0.5</v>
      </c>
      <c r="AS1367" s="27">
        <f>SUM(Tabla2[[#This Row],[Horas*]],Tabla2[[#This Row],[Minutos a Horas*]])+(Tabla2[[#This Row],[Tiempo Total a Nivel Proncincial (Horas)]])</f>
        <v>16.266666666666666</v>
      </c>
    </row>
    <row r="1368" spans="30:45" hidden="1" x14ac:dyDescent="0.25">
      <c r="AD1368" s="20" t="s">
        <v>2386</v>
      </c>
      <c r="AE1368" s="10" t="s">
        <v>388</v>
      </c>
      <c r="AF1368" s="20" t="s">
        <v>1661</v>
      </c>
      <c r="AG1368" s="10"/>
      <c r="AH1368" s="22" t="str">
        <f t="shared" si="42"/>
        <v xml:space="preserve">Moquegua_02 General Sánchez Cerro </v>
      </c>
      <c r="AI1368" s="10" t="s">
        <v>1684</v>
      </c>
      <c r="AJ1368" s="20" t="s">
        <v>1675</v>
      </c>
      <c r="AK1368" s="22" t="str">
        <f t="shared" si="43"/>
        <v>Moquegua_02 General Sánchez Cerro _07 Matalaque</v>
      </c>
      <c r="AL1368" s="25">
        <v>2</v>
      </c>
      <c r="AM1368" s="25">
        <v>46</v>
      </c>
      <c r="AN1368" s="26">
        <f>Tabla2[[#This Row],[Minutos]]/60</f>
        <v>0.76666666666666672</v>
      </c>
      <c r="AO1368" s="27">
        <f>SUM(Tabla2[[#This Row],[Horas]],Tabla2[[#This Row],[Minutos a Horas]])</f>
        <v>2.7666666666666666</v>
      </c>
      <c r="AP1368" s="49">
        <v>12</v>
      </c>
      <c r="AQ1368" s="49">
        <v>30</v>
      </c>
      <c r="AR1368" s="26">
        <f>Tabla2[[#This Row],[Minutos*]]/60</f>
        <v>0.5</v>
      </c>
      <c r="AS1368" s="27">
        <f>SUM(Tabla2[[#This Row],[Horas*]],Tabla2[[#This Row],[Minutos a Horas*]])+(Tabla2[[#This Row],[Tiempo Total a Nivel Proncincial (Horas)]])</f>
        <v>15.266666666666666</v>
      </c>
    </row>
    <row r="1369" spans="30:45" hidden="1" x14ac:dyDescent="0.25">
      <c r="AD1369" s="20" t="s">
        <v>2386</v>
      </c>
      <c r="AE1369" s="10" t="s">
        <v>388</v>
      </c>
      <c r="AF1369" s="20" t="s">
        <v>1661</v>
      </c>
      <c r="AG1369" s="10"/>
      <c r="AH1369" s="22" t="str">
        <f t="shared" si="42"/>
        <v xml:space="preserve">Moquegua_02 General Sánchez Cerro </v>
      </c>
      <c r="AI1369" s="10" t="s">
        <v>1684</v>
      </c>
      <c r="AJ1369" s="20" t="s">
        <v>1676</v>
      </c>
      <c r="AK1369" s="22" t="str">
        <f t="shared" si="43"/>
        <v>Moquegua_02 General Sánchez Cerro _08 Puquina</v>
      </c>
      <c r="AL1369" s="25">
        <v>2</v>
      </c>
      <c r="AM1369" s="25">
        <v>46</v>
      </c>
      <c r="AN1369" s="26">
        <f>Tabla2[[#This Row],[Minutos]]/60</f>
        <v>0.76666666666666672</v>
      </c>
      <c r="AO1369" s="27">
        <f>SUM(Tabla2[[#This Row],[Horas]],Tabla2[[#This Row],[Minutos a Horas]])</f>
        <v>2.7666666666666666</v>
      </c>
      <c r="AP1369" s="49">
        <v>9</v>
      </c>
      <c r="AQ1369" s="49">
        <v>30</v>
      </c>
      <c r="AR1369" s="26">
        <f>Tabla2[[#This Row],[Minutos*]]/60</f>
        <v>0.5</v>
      </c>
      <c r="AS1369" s="27">
        <f>SUM(Tabla2[[#This Row],[Horas*]],Tabla2[[#This Row],[Minutos a Horas*]])+(Tabla2[[#This Row],[Tiempo Total a Nivel Proncincial (Horas)]])</f>
        <v>12.266666666666666</v>
      </c>
    </row>
    <row r="1370" spans="30:45" hidden="1" x14ac:dyDescent="0.25">
      <c r="AD1370" s="20" t="s">
        <v>2386</v>
      </c>
      <c r="AE1370" s="10" t="s">
        <v>388</v>
      </c>
      <c r="AF1370" s="20" t="s">
        <v>1661</v>
      </c>
      <c r="AG1370" s="10"/>
      <c r="AH1370" s="22" t="str">
        <f t="shared" ref="AH1370:AH1433" si="44">CONCATENATE(AD1370,"_",AF1370)</f>
        <v xml:space="preserve">Moquegua_02 General Sánchez Cerro </v>
      </c>
      <c r="AI1370" s="10" t="s">
        <v>1684</v>
      </c>
      <c r="AJ1370" s="20" t="s">
        <v>1677</v>
      </c>
      <c r="AK1370" s="22" t="str">
        <f t="shared" ref="AK1370:AK1433" si="45">CONCATENATE(AH1370,"_",AJ1370)</f>
        <v>Moquegua_02 General Sánchez Cerro _09 Quinistaquillas</v>
      </c>
      <c r="AL1370" s="25">
        <v>2</v>
      </c>
      <c r="AM1370" s="25">
        <v>46</v>
      </c>
      <c r="AN1370" s="26">
        <f>Tabla2[[#This Row],[Minutos]]/60</f>
        <v>0.76666666666666672</v>
      </c>
      <c r="AO1370" s="27">
        <f>SUM(Tabla2[[#This Row],[Horas]],Tabla2[[#This Row],[Minutos a Horas]])</f>
        <v>2.7666666666666666</v>
      </c>
      <c r="AP1370" s="49">
        <v>6</v>
      </c>
      <c r="AQ1370" s="49">
        <v>30</v>
      </c>
      <c r="AR1370" s="26">
        <f>Tabla2[[#This Row],[Minutos*]]/60</f>
        <v>0.5</v>
      </c>
      <c r="AS1370" s="27">
        <f>SUM(Tabla2[[#This Row],[Horas*]],Tabla2[[#This Row],[Minutos a Horas*]])+(Tabla2[[#This Row],[Tiempo Total a Nivel Proncincial (Horas)]])</f>
        <v>9.2666666666666657</v>
      </c>
    </row>
    <row r="1371" spans="30:45" hidden="1" x14ac:dyDescent="0.25">
      <c r="AD1371" s="20" t="s">
        <v>2386</v>
      </c>
      <c r="AE1371" s="10" t="s">
        <v>388</v>
      </c>
      <c r="AF1371" s="20" t="s">
        <v>1661</v>
      </c>
      <c r="AG1371" s="10"/>
      <c r="AH1371" s="22" t="str">
        <f t="shared" si="44"/>
        <v xml:space="preserve">Moquegua_02 General Sánchez Cerro </v>
      </c>
      <c r="AI1371" s="10" t="s">
        <v>1684</v>
      </c>
      <c r="AJ1371" s="20" t="s">
        <v>1678</v>
      </c>
      <c r="AK1371" s="22" t="str">
        <f t="shared" si="45"/>
        <v>Moquegua_02 General Sánchez Cerro _10 Ubinas</v>
      </c>
      <c r="AL1371" s="25">
        <v>2</v>
      </c>
      <c r="AM1371" s="25">
        <v>46</v>
      </c>
      <c r="AN1371" s="26">
        <f>Tabla2[[#This Row],[Minutos]]/60</f>
        <v>0.76666666666666672</v>
      </c>
      <c r="AO1371" s="27">
        <f>SUM(Tabla2[[#This Row],[Horas]],Tabla2[[#This Row],[Minutos a Horas]])</f>
        <v>2.7666666666666666</v>
      </c>
      <c r="AP1371" s="49">
        <v>10</v>
      </c>
      <c r="AQ1371" s="49">
        <v>30</v>
      </c>
      <c r="AR1371" s="26">
        <f>Tabla2[[#This Row],[Minutos*]]/60</f>
        <v>0.5</v>
      </c>
      <c r="AS1371" s="27">
        <f>SUM(Tabla2[[#This Row],[Horas*]],Tabla2[[#This Row],[Minutos a Horas*]])+(Tabla2[[#This Row],[Tiempo Total a Nivel Proncincial (Horas)]])</f>
        <v>13.266666666666666</v>
      </c>
    </row>
    <row r="1372" spans="30:45" hidden="1" x14ac:dyDescent="0.25">
      <c r="AD1372" s="20" t="s">
        <v>2386</v>
      </c>
      <c r="AE1372" s="10" t="s">
        <v>388</v>
      </c>
      <c r="AF1372" s="20" t="s">
        <v>1661</v>
      </c>
      <c r="AG1372" s="10"/>
      <c r="AH1372" s="22" t="str">
        <f t="shared" si="44"/>
        <v xml:space="preserve">Moquegua_02 General Sánchez Cerro </v>
      </c>
      <c r="AI1372" s="10" t="s">
        <v>1684</v>
      </c>
      <c r="AJ1372" s="20" t="s">
        <v>1679</v>
      </c>
      <c r="AK1372" s="22" t="str">
        <f t="shared" si="45"/>
        <v>Moquegua_02 General Sánchez Cerro _11 Yunga</v>
      </c>
      <c r="AL1372" s="25">
        <v>2</v>
      </c>
      <c r="AM1372" s="25">
        <v>46</v>
      </c>
      <c r="AN1372" s="26">
        <f>Tabla2[[#This Row],[Minutos]]/60</f>
        <v>0.76666666666666672</v>
      </c>
      <c r="AO1372" s="27">
        <f>SUM(Tabla2[[#This Row],[Horas]],Tabla2[[#This Row],[Minutos a Horas]])</f>
        <v>2.7666666666666666</v>
      </c>
      <c r="AP1372" s="49">
        <v>14</v>
      </c>
      <c r="AQ1372" s="49">
        <v>0</v>
      </c>
      <c r="AR1372" s="26">
        <f>Tabla2[[#This Row],[Minutos*]]/60</f>
        <v>0</v>
      </c>
      <c r="AS1372" s="27">
        <f>SUM(Tabla2[[#This Row],[Horas*]],Tabla2[[#This Row],[Minutos a Horas*]])+(Tabla2[[#This Row],[Tiempo Total a Nivel Proncincial (Horas)]])</f>
        <v>16.766666666666666</v>
      </c>
    </row>
    <row r="1373" spans="30:45" hidden="1" x14ac:dyDescent="0.25">
      <c r="AD1373" s="20" t="s">
        <v>2386</v>
      </c>
      <c r="AE1373" s="10" t="s">
        <v>388</v>
      </c>
      <c r="AF1373" s="20" t="s">
        <v>1662</v>
      </c>
      <c r="AG1373" s="10"/>
      <c r="AH1373" s="22" t="str">
        <f t="shared" si="44"/>
        <v xml:space="preserve">Moquegua_03 Ilo </v>
      </c>
      <c r="AI1373" s="10" t="s">
        <v>1685</v>
      </c>
      <c r="AJ1373" s="20" t="s">
        <v>1680</v>
      </c>
      <c r="AK1373" s="22" t="str">
        <f t="shared" si="45"/>
        <v>Moquegua_03 Ilo _01 Ilo</v>
      </c>
      <c r="AL1373" s="25">
        <v>1</v>
      </c>
      <c r="AM1373" s="25">
        <v>17</v>
      </c>
      <c r="AN1373" s="26">
        <f>Tabla2[[#This Row],[Minutos]]/60</f>
        <v>0.28333333333333333</v>
      </c>
      <c r="AO1373" s="27">
        <f>SUM(Tabla2[[#This Row],[Horas]],Tabla2[[#This Row],[Minutos a Horas]])</f>
        <v>1.2833333333333332</v>
      </c>
      <c r="AP1373" s="49">
        <v>2</v>
      </c>
      <c r="AQ1373" s="49">
        <v>0</v>
      </c>
      <c r="AR1373" s="26">
        <f>Tabla2[[#This Row],[Minutos*]]/60</f>
        <v>0</v>
      </c>
      <c r="AS1373" s="27">
        <f>SUM(Tabla2[[#This Row],[Horas*]],Tabla2[[#This Row],[Minutos a Horas*]])+(Tabla2[[#This Row],[Tiempo Total a Nivel Proncincial (Horas)]])</f>
        <v>3.2833333333333332</v>
      </c>
    </row>
    <row r="1374" spans="30:45" hidden="1" x14ac:dyDescent="0.25">
      <c r="AD1374" s="20" t="s">
        <v>2386</v>
      </c>
      <c r="AE1374" s="10" t="s">
        <v>388</v>
      </c>
      <c r="AF1374" s="20" t="s">
        <v>1662</v>
      </c>
      <c r="AG1374" s="10"/>
      <c r="AH1374" s="22" t="str">
        <f t="shared" si="44"/>
        <v xml:space="preserve">Moquegua_03 Ilo </v>
      </c>
      <c r="AI1374" s="10" t="s">
        <v>1685</v>
      </c>
      <c r="AJ1374" s="20" t="s">
        <v>1681</v>
      </c>
      <c r="AK1374" s="22" t="str">
        <f t="shared" si="45"/>
        <v>Moquegua_03 Ilo _02 El Algarrobal</v>
      </c>
      <c r="AL1374" s="25">
        <v>1</v>
      </c>
      <c r="AM1374" s="25">
        <v>17</v>
      </c>
      <c r="AN1374" s="26">
        <f>Tabla2[[#This Row],[Minutos]]/60</f>
        <v>0.28333333333333333</v>
      </c>
      <c r="AO1374" s="27">
        <f>SUM(Tabla2[[#This Row],[Horas]],Tabla2[[#This Row],[Minutos a Horas]])</f>
        <v>1.2833333333333332</v>
      </c>
      <c r="AP1374" s="49">
        <v>2</v>
      </c>
      <c r="AQ1374" s="49">
        <v>0</v>
      </c>
      <c r="AR1374" s="26">
        <f>Tabla2[[#This Row],[Minutos*]]/60</f>
        <v>0</v>
      </c>
      <c r="AS1374" s="27">
        <f>SUM(Tabla2[[#This Row],[Horas*]],Tabla2[[#This Row],[Minutos a Horas*]])+(Tabla2[[#This Row],[Tiempo Total a Nivel Proncincial (Horas)]])</f>
        <v>3.2833333333333332</v>
      </c>
    </row>
    <row r="1375" spans="30:45" hidden="1" x14ac:dyDescent="0.25">
      <c r="AD1375" s="20" t="s">
        <v>2386</v>
      </c>
      <c r="AE1375" s="10" t="s">
        <v>388</v>
      </c>
      <c r="AF1375" s="20" t="s">
        <v>1662</v>
      </c>
      <c r="AG1375" s="10"/>
      <c r="AH1375" s="22" t="str">
        <f t="shared" si="44"/>
        <v xml:space="preserve">Moquegua_03 Ilo </v>
      </c>
      <c r="AI1375" s="10" t="s">
        <v>1685</v>
      </c>
      <c r="AJ1375" s="20" t="s">
        <v>1682</v>
      </c>
      <c r="AK1375" s="22" t="str">
        <f t="shared" si="45"/>
        <v>Moquegua_03 Ilo _03 Pacocha</v>
      </c>
      <c r="AL1375" s="25">
        <v>1</v>
      </c>
      <c r="AM1375" s="25">
        <v>17</v>
      </c>
      <c r="AN1375" s="26">
        <f>Tabla2[[#This Row],[Minutos]]/60</f>
        <v>0.28333333333333333</v>
      </c>
      <c r="AO1375" s="27">
        <f>SUM(Tabla2[[#This Row],[Horas]],Tabla2[[#This Row],[Minutos a Horas]])</f>
        <v>1.2833333333333332</v>
      </c>
      <c r="AP1375" s="49">
        <v>2</v>
      </c>
      <c r="AQ1375" s="49">
        <v>0</v>
      </c>
      <c r="AR1375" s="26">
        <f>Tabla2[[#This Row],[Minutos*]]/60</f>
        <v>0</v>
      </c>
      <c r="AS1375" s="27">
        <f>SUM(Tabla2[[#This Row],[Horas*]],Tabla2[[#This Row],[Minutos a Horas*]])+(Tabla2[[#This Row],[Tiempo Total a Nivel Proncincial (Horas)]])</f>
        <v>3.2833333333333332</v>
      </c>
    </row>
    <row r="1376" spans="30:45" hidden="1" x14ac:dyDescent="0.25">
      <c r="AD1376" s="20" t="s">
        <v>2387</v>
      </c>
      <c r="AE1376" s="10" t="s">
        <v>389</v>
      </c>
      <c r="AF1376" s="20" t="s">
        <v>1686</v>
      </c>
      <c r="AG1376" s="10" t="s">
        <v>1686</v>
      </c>
      <c r="AH1376" s="22" t="str">
        <f t="shared" si="44"/>
        <v xml:space="preserve">Pasco_01 Pasco </v>
      </c>
      <c r="AI1376" s="10" t="s">
        <v>1718</v>
      </c>
      <c r="AJ1376" s="20" t="s">
        <v>1689</v>
      </c>
      <c r="AK1376" s="22" t="str">
        <f t="shared" si="45"/>
        <v>Pasco_01 Pasco _01 Chaupimarca</v>
      </c>
      <c r="AL1376" s="25">
        <v>2</v>
      </c>
      <c r="AM1376" s="25">
        <v>1</v>
      </c>
      <c r="AN1376" s="26">
        <f>Tabla2[[#This Row],[Minutos]]/60</f>
        <v>1.6666666666666666E-2</v>
      </c>
      <c r="AO1376" s="27">
        <f>SUM(Tabla2[[#This Row],[Horas]],Tabla2[[#This Row],[Minutos a Horas]])</f>
        <v>2.0166666666666666</v>
      </c>
      <c r="AP1376" s="49">
        <v>0</v>
      </c>
      <c r="AQ1376" s="49">
        <v>15</v>
      </c>
      <c r="AR1376" s="26">
        <f>Tabla2[[#This Row],[Minutos*]]/60</f>
        <v>0.25</v>
      </c>
      <c r="AS1376" s="27">
        <f>SUM(Tabla2[[#This Row],[Horas*]],Tabla2[[#This Row],[Minutos a Horas*]])+(Tabla2[[#This Row],[Tiempo Total a Nivel Proncincial (Horas)]])</f>
        <v>2.2666666666666666</v>
      </c>
    </row>
    <row r="1377" spans="30:45" hidden="1" x14ac:dyDescent="0.25">
      <c r="AD1377" s="20" t="s">
        <v>2387</v>
      </c>
      <c r="AE1377" s="10" t="s">
        <v>389</v>
      </c>
      <c r="AF1377" s="20" t="s">
        <v>1686</v>
      </c>
      <c r="AG1377" s="10" t="s">
        <v>1687</v>
      </c>
      <c r="AH1377" s="22" t="str">
        <f t="shared" si="44"/>
        <v xml:space="preserve">Pasco_01 Pasco </v>
      </c>
      <c r="AI1377" s="10" t="s">
        <v>1718</v>
      </c>
      <c r="AJ1377" s="20" t="s">
        <v>1690</v>
      </c>
      <c r="AK1377" s="22" t="str">
        <f t="shared" si="45"/>
        <v>Pasco_01 Pasco _02 Huachon</v>
      </c>
      <c r="AL1377" s="25">
        <v>2</v>
      </c>
      <c r="AM1377" s="25">
        <v>1</v>
      </c>
      <c r="AN1377" s="26">
        <f>Tabla2[[#This Row],[Minutos]]/60</f>
        <v>1.6666666666666666E-2</v>
      </c>
      <c r="AO1377" s="27">
        <f>SUM(Tabla2[[#This Row],[Horas]],Tabla2[[#This Row],[Minutos a Horas]])</f>
        <v>2.0166666666666666</v>
      </c>
      <c r="AP1377" s="49">
        <v>2</v>
      </c>
      <c r="AQ1377" s="49">
        <v>30</v>
      </c>
      <c r="AR1377" s="26">
        <f>Tabla2[[#This Row],[Minutos*]]/60</f>
        <v>0.5</v>
      </c>
      <c r="AS1377" s="27">
        <f>SUM(Tabla2[[#This Row],[Horas*]],Tabla2[[#This Row],[Minutos a Horas*]])+(Tabla2[[#This Row],[Tiempo Total a Nivel Proncincial (Horas)]])</f>
        <v>4.5166666666666666</v>
      </c>
    </row>
    <row r="1378" spans="30:45" hidden="1" x14ac:dyDescent="0.25">
      <c r="AD1378" s="20" t="s">
        <v>2387</v>
      </c>
      <c r="AE1378" s="10" t="s">
        <v>389</v>
      </c>
      <c r="AF1378" s="20" t="s">
        <v>1686</v>
      </c>
      <c r="AG1378" s="10" t="s">
        <v>1688</v>
      </c>
      <c r="AH1378" s="22" t="str">
        <f t="shared" si="44"/>
        <v xml:space="preserve">Pasco_01 Pasco </v>
      </c>
      <c r="AI1378" s="10" t="s">
        <v>1718</v>
      </c>
      <c r="AJ1378" s="20" t="s">
        <v>1691</v>
      </c>
      <c r="AK1378" s="22" t="str">
        <f t="shared" si="45"/>
        <v>Pasco_01 Pasco _03 Huariaca</v>
      </c>
      <c r="AL1378" s="25">
        <v>2</v>
      </c>
      <c r="AM1378" s="25">
        <v>1</v>
      </c>
      <c r="AN1378" s="26">
        <f>Tabla2[[#This Row],[Minutos]]/60</f>
        <v>1.6666666666666666E-2</v>
      </c>
      <c r="AO1378" s="27">
        <f>SUM(Tabla2[[#This Row],[Horas]],Tabla2[[#This Row],[Minutos a Horas]])</f>
        <v>2.0166666666666666</v>
      </c>
      <c r="AP1378" s="49">
        <v>1</v>
      </c>
      <c r="AQ1378" s="49">
        <v>15</v>
      </c>
      <c r="AR1378" s="26">
        <f>Tabla2[[#This Row],[Minutos*]]/60</f>
        <v>0.25</v>
      </c>
      <c r="AS1378" s="27">
        <f>SUM(Tabla2[[#This Row],[Horas*]],Tabla2[[#This Row],[Minutos a Horas*]])+(Tabla2[[#This Row],[Tiempo Total a Nivel Proncincial (Horas)]])</f>
        <v>3.2666666666666666</v>
      </c>
    </row>
    <row r="1379" spans="30:45" hidden="1" x14ac:dyDescent="0.25">
      <c r="AD1379" s="20" t="s">
        <v>2387</v>
      </c>
      <c r="AE1379" s="10" t="s">
        <v>389</v>
      </c>
      <c r="AF1379" s="20" t="s">
        <v>1686</v>
      </c>
      <c r="AG1379" s="10"/>
      <c r="AH1379" s="22" t="str">
        <f t="shared" si="44"/>
        <v xml:space="preserve">Pasco_01 Pasco </v>
      </c>
      <c r="AI1379" s="10" t="s">
        <v>1718</v>
      </c>
      <c r="AJ1379" s="20" t="s">
        <v>1692</v>
      </c>
      <c r="AK1379" s="22" t="str">
        <f t="shared" si="45"/>
        <v>Pasco_01 Pasco _04 Huayllay</v>
      </c>
      <c r="AL1379" s="25">
        <v>2</v>
      </c>
      <c r="AM1379" s="25">
        <v>1</v>
      </c>
      <c r="AN1379" s="26">
        <f>Tabla2[[#This Row],[Minutos]]/60</f>
        <v>1.6666666666666666E-2</v>
      </c>
      <c r="AO1379" s="27">
        <f>SUM(Tabla2[[#This Row],[Horas]],Tabla2[[#This Row],[Minutos a Horas]])</f>
        <v>2.0166666666666666</v>
      </c>
      <c r="AP1379" s="49">
        <v>1</v>
      </c>
      <c r="AQ1379" s="49"/>
      <c r="AR1379" s="26">
        <f>Tabla2[[#This Row],[Minutos*]]/60</f>
        <v>0</v>
      </c>
      <c r="AS1379" s="27">
        <f>SUM(Tabla2[[#This Row],[Horas*]],Tabla2[[#This Row],[Minutos a Horas*]])+(Tabla2[[#This Row],[Tiempo Total a Nivel Proncincial (Horas)]])</f>
        <v>3.0166666666666666</v>
      </c>
    </row>
    <row r="1380" spans="30:45" hidden="1" x14ac:dyDescent="0.25">
      <c r="AD1380" s="20" t="s">
        <v>2387</v>
      </c>
      <c r="AE1380" s="10" t="s">
        <v>389</v>
      </c>
      <c r="AF1380" s="20" t="s">
        <v>1686</v>
      </c>
      <c r="AG1380" s="10"/>
      <c r="AH1380" s="22" t="str">
        <f t="shared" si="44"/>
        <v xml:space="preserve">Pasco_01 Pasco </v>
      </c>
      <c r="AI1380" s="10" t="s">
        <v>1718</v>
      </c>
      <c r="AJ1380" s="20" t="s">
        <v>1693</v>
      </c>
      <c r="AK1380" s="22" t="str">
        <f t="shared" si="45"/>
        <v>Pasco_01 Pasco _05 Ninacaca</v>
      </c>
      <c r="AL1380" s="25">
        <v>2</v>
      </c>
      <c r="AM1380" s="25">
        <v>1</v>
      </c>
      <c r="AN1380" s="26">
        <f>Tabla2[[#This Row],[Minutos]]/60</f>
        <v>1.6666666666666666E-2</v>
      </c>
      <c r="AO1380" s="27">
        <f>SUM(Tabla2[[#This Row],[Horas]],Tabla2[[#This Row],[Minutos a Horas]])</f>
        <v>2.0166666666666666</v>
      </c>
      <c r="AP1380" s="49">
        <v>1</v>
      </c>
      <c r="AQ1380" s="49"/>
      <c r="AR1380" s="26">
        <f>Tabla2[[#This Row],[Minutos*]]/60</f>
        <v>0</v>
      </c>
      <c r="AS1380" s="27">
        <f>SUM(Tabla2[[#This Row],[Horas*]],Tabla2[[#This Row],[Minutos a Horas*]])+(Tabla2[[#This Row],[Tiempo Total a Nivel Proncincial (Horas)]])</f>
        <v>3.0166666666666666</v>
      </c>
    </row>
    <row r="1381" spans="30:45" hidden="1" x14ac:dyDescent="0.25">
      <c r="AD1381" s="20" t="s">
        <v>2387</v>
      </c>
      <c r="AE1381" s="10" t="s">
        <v>389</v>
      </c>
      <c r="AF1381" s="20" t="s">
        <v>1686</v>
      </c>
      <c r="AG1381" s="10"/>
      <c r="AH1381" s="22" t="str">
        <f t="shared" si="44"/>
        <v xml:space="preserve">Pasco_01 Pasco </v>
      </c>
      <c r="AI1381" s="10" t="s">
        <v>1718</v>
      </c>
      <c r="AJ1381" s="20" t="s">
        <v>1694</v>
      </c>
      <c r="AK1381" s="22" t="str">
        <f t="shared" si="45"/>
        <v>Pasco_01 Pasco _06 Pallanchacra</v>
      </c>
      <c r="AL1381" s="25">
        <v>2</v>
      </c>
      <c r="AM1381" s="25">
        <v>1</v>
      </c>
      <c r="AN1381" s="26">
        <f>Tabla2[[#This Row],[Minutos]]/60</f>
        <v>1.6666666666666666E-2</v>
      </c>
      <c r="AO1381" s="27">
        <f>SUM(Tabla2[[#This Row],[Horas]],Tabla2[[#This Row],[Minutos a Horas]])</f>
        <v>2.0166666666666666</v>
      </c>
      <c r="AP1381" s="49">
        <v>2</v>
      </c>
      <c r="AQ1381" s="49">
        <v>0</v>
      </c>
      <c r="AR1381" s="26">
        <f>Tabla2[[#This Row],[Minutos*]]/60</f>
        <v>0</v>
      </c>
      <c r="AS1381" s="27">
        <f>SUM(Tabla2[[#This Row],[Horas*]],Tabla2[[#This Row],[Minutos a Horas*]])+(Tabla2[[#This Row],[Tiempo Total a Nivel Proncincial (Horas)]])</f>
        <v>4.0166666666666666</v>
      </c>
    </row>
    <row r="1382" spans="30:45" hidden="1" x14ac:dyDescent="0.25">
      <c r="AD1382" s="20" t="s">
        <v>2387</v>
      </c>
      <c r="AE1382" s="10" t="s">
        <v>389</v>
      </c>
      <c r="AF1382" s="20" t="s">
        <v>1686</v>
      </c>
      <c r="AG1382" s="10"/>
      <c r="AH1382" s="22" t="str">
        <f t="shared" si="44"/>
        <v xml:space="preserve">Pasco_01 Pasco </v>
      </c>
      <c r="AI1382" s="10" t="s">
        <v>1718</v>
      </c>
      <c r="AJ1382" s="20" t="s">
        <v>1695</v>
      </c>
      <c r="AK1382" s="22" t="str">
        <f t="shared" si="45"/>
        <v>Pasco_01 Pasco _07 Paucartambo</v>
      </c>
      <c r="AL1382" s="25">
        <v>2</v>
      </c>
      <c r="AM1382" s="25">
        <v>1</v>
      </c>
      <c r="AN1382" s="26">
        <f>Tabla2[[#This Row],[Minutos]]/60</f>
        <v>1.6666666666666666E-2</v>
      </c>
      <c r="AO1382" s="27">
        <f>SUM(Tabla2[[#This Row],[Horas]],Tabla2[[#This Row],[Minutos a Horas]])</f>
        <v>2.0166666666666666</v>
      </c>
      <c r="AP1382" s="49">
        <v>2</v>
      </c>
      <c r="AQ1382" s="49">
        <v>30</v>
      </c>
      <c r="AR1382" s="26">
        <f>Tabla2[[#This Row],[Minutos*]]/60</f>
        <v>0.5</v>
      </c>
      <c r="AS1382" s="27">
        <f>SUM(Tabla2[[#This Row],[Horas*]],Tabla2[[#This Row],[Minutos a Horas*]])+(Tabla2[[#This Row],[Tiempo Total a Nivel Proncincial (Horas)]])</f>
        <v>4.5166666666666666</v>
      </c>
    </row>
    <row r="1383" spans="30:45" ht="30" hidden="1" x14ac:dyDescent="0.25">
      <c r="AD1383" s="20" t="s">
        <v>2387</v>
      </c>
      <c r="AE1383" s="10" t="s">
        <v>389</v>
      </c>
      <c r="AF1383" s="20" t="s">
        <v>1686</v>
      </c>
      <c r="AG1383" s="10"/>
      <c r="AH1383" s="22" t="str">
        <f t="shared" si="44"/>
        <v xml:space="preserve">Pasco_01 Pasco </v>
      </c>
      <c r="AI1383" s="10" t="s">
        <v>1718</v>
      </c>
      <c r="AJ1383" s="20" t="s">
        <v>1696</v>
      </c>
      <c r="AK1383" s="22" t="str">
        <f t="shared" si="45"/>
        <v>Pasco_01 Pasco _08 San Francisco de Asís de Yarusyacan</v>
      </c>
      <c r="AL1383" s="25">
        <v>2</v>
      </c>
      <c r="AM1383" s="25">
        <v>1</v>
      </c>
      <c r="AN1383" s="26">
        <f>Tabla2[[#This Row],[Minutos]]/60</f>
        <v>1.6666666666666666E-2</v>
      </c>
      <c r="AO1383" s="27">
        <f>SUM(Tabla2[[#This Row],[Horas]],Tabla2[[#This Row],[Minutos a Horas]])</f>
        <v>2.0166666666666666</v>
      </c>
      <c r="AP1383" s="49">
        <v>1</v>
      </c>
      <c r="AQ1383" s="49">
        <v>30</v>
      </c>
      <c r="AR1383" s="26">
        <f>Tabla2[[#This Row],[Minutos*]]/60</f>
        <v>0.5</v>
      </c>
      <c r="AS1383" s="27">
        <f>SUM(Tabla2[[#This Row],[Horas*]],Tabla2[[#This Row],[Minutos a Horas*]])+(Tabla2[[#This Row],[Tiempo Total a Nivel Proncincial (Horas)]])</f>
        <v>3.5166666666666666</v>
      </c>
    </row>
    <row r="1384" spans="30:45" hidden="1" x14ac:dyDescent="0.25">
      <c r="AD1384" s="20" t="s">
        <v>2387</v>
      </c>
      <c r="AE1384" s="10" t="s">
        <v>389</v>
      </c>
      <c r="AF1384" s="20" t="s">
        <v>1686</v>
      </c>
      <c r="AG1384" s="10"/>
      <c r="AH1384" s="22" t="str">
        <f t="shared" si="44"/>
        <v xml:space="preserve">Pasco_01 Pasco </v>
      </c>
      <c r="AI1384" s="10" t="s">
        <v>1718</v>
      </c>
      <c r="AJ1384" s="20" t="s">
        <v>1697</v>
      </c>
      <c r="AK1384" s="22" t="str">
        <f t="shared" si="45"/>
        <v>Pasco_01 Pasco _09 Simon Bolívar</v>
      </c>
      <c r="AL1384" s="25">
        <v>2</v>
      </c>
      <c r="AM1384" s="25">
        <v>1</v>
      </c>
      <c r="AN1384" s="26">
        <f>Tabla2[[#This Row],[Minutos]]/60</f>
        <v>1.6666666666666666E-2</v>
      </c>
      <c r="AO1384" s="27">
        <f>SUM(Tabla2[[#This Row],[Horas]],Tabla2[[#This Row],[Minutos a Horas]])</f>
        <v>2.0166666666666666</v>
      </c>
      <c r="AP1384" s="49">
        <v>0</v>
      </c>
      <c r="AQ1384" s="49">
        <v>25</v>
      </c>
      <c r="AR1384" s="26">
        <f>Tabla2[[#This Row],[Minutos*]]/60</f>
        <v>0.41666666666666669</v>
      </c>
      <c r="AS1384" s="27">
        <f>SUM(Tabla2[[#This Row],[Horas*]],Tabla2[[#This Row],[Minutos a Horas*]])+(Tabla2[[#This Row],[Tiempo Total a Nivel Proncincial (Horas)]])</f>
        <v>2.4333333333333331</v>
      </c>
    </row>
    <row r="1385" spans="30:45" hidden="1" x14ac:dyDescent="0.25">
      <c r="AD1385" s="20" t="s">
        <v>2387</v>
      </c>
      <c r="AE1385" s="10" t="s">
        <v>389</v>
      </c>
      <c r="AF1385" s="20" t="s">
        <v>1686</v>
      </c>
      <c r="AG1385" s="10"/>
      <c r="AH1385" s="22" t="str">
        <f t="shared" si="44"/>
        <v xml:space="preserve">Pasco_01 Pasco </v>
      </c>
      <c r="AI1385" s="10" t="s">
        <v>1718</v>
      </c>
      <c r="AJ1385" s="20" t="s">
        <v>1698</v>
      </c>
      <c r="AK1385" s="22" t="str">
        <f t="shared" si="45"/>
        <v>Pasco_01 Pasco _10 Ticlacayan</v>
      </c>
      <c r="AL1385" s="25">
        <v>2</v>
      </c>
      <c r="AM1385" s="25">
        <v>1</v>
      </c>
      <c r="AN1385" s="26">
        <f>Tabla2[[#This Row],[Minutos]]/60</f>
        <v>1.6666666666666666E-2</v>
      </c>
      <c r="AO1385" s="27">
        <f>SUM(Tabla2[[#This Row],[Horas]],Tabla2[[#This Row],[Minutos a Horas]])</f>
        <v>2.0166666666666666</v>
      </c>
      <c r="AP1385" s="49">
        <v>1</v>
      </c>
      <c r="AQ1385" s="49">
        <v>0</v>
      </c>
      <c r="AR1385" s="26">
        <f>Tabla2[[#This Row],[Minutos*]]/60</f>
        <v>0</v>
      </c>
      <c r="AS1385" s="27">
        <f>SUM(Tabla2[[#This Row],[Horas*]],Tabla2[[#This Row],[Minutos a Horas*]])+(Tabla2[[#This Row],[Tiempo Total a Nivel Proncincial (Horas)]])</f>
        <v>3.0166666666666666</v>
      </c>
    </row>
    <row r="1386" spans="30:45" hidden="1" x14ac:dyDescent="0.25">
      <c r="AD1386" s="20" t="s">
        <v>2387</v>
      </c>
      <c r="AE1386" s="10" t="s">
        <v>389</v>
      </c>
      <c r="AF1386" s="20" t="s">
        <v>1686</v>
      </c>
      <c r="AG1386" s="10"/>
      <c r="AH1386" s="22" t="str">
        <f t="shared" si="44"/>
        <v xml:space="preserve">Pasco_01 Pasco </v>
      </c>
      <c r="AI1386" s="10" t="s">
        <v>1718</v>
      </c>
      <c r="AJ1386" s="20" t="s">
        <v>1699</v>
      </c>
      <c r="AK1386" s="22" t="str">
        <f t="shared" si="45"/>
        <v>Pasco_01 Pasco _11 Tinyahuarco</v>
      </c>
      <c r="AL1386" s="25">
        <v>2</v>
      </c>
      <c r="AM1386" s="25">
        <v>1</v>
      </c>
      <c r="AN1386" s="26">
        <f>Tabla2[[#This Row],[Minutos]]/60</f>
        <v>1.6666666666666666E-2</v>
      </c>
      <c r="AO1386" s="27">
        <f>SUM(Tabla2[[#This Row],[Horas]],Tabla2[[#This Row],[Minutos a Horas]])</f>
        <v>2.0166666666666666</v>
      </c>
      <c r="AP1386" s="49"/>
      <c r="AQ1386" s="49">
        <v>45</v>
      </c>
      <c r="AR1386" s="26">
        <f>Tabla2[[#This Row],[Minutos*]]/60</f>
        <v>0.75</v>
      </c>
      <c r="AS1386" s="27">
        <f>SUM(Tabla2[[#This Row],[Horas*]],Tabla2[[#This Row],[Minutos a Horas*]])+(Tabla2[[#This Row],[Tiempo Total a Nivel Proncincial (Horas)]])</f>
        <v>2.7666666666666666</v>
      </c>
    </row>
    <row r="1387" spans="30:45" hidden="1" x14ac:dyDescent="0.25">
      <c r="AD1387" s="20" t="s">
        <v>2387</v>
      </c>
      <c r="AE1387" s="10" t="s">
        <v>389</v>
      </c>
      <c r="AF1387" s="20" t="s">
        <v>1686</v>
      </c>
      <c r="AG1387" s="10"/>
      <c r="AH1387" s="22" t="str">
        <f t="shared" si="44"/>
        <v xml:space="preserve">Pasco_01 Pasco </v>
      </c>
      <c r="AI1387" s="10" t="s">
        <v>1718</v>
      </c>
      <c r="AJ1387" s="20" t="s">
        <v>1700</v>
      </c>
      <c r="AK1387" s="22" t="str">
        <f t="shared" si="45"/>
        <v>Pasco_01 Pasco _12 Vicco</v>
      </c>
      <c r="AL1387" s="25">
        <v>2</v>
      </c>
      <c r="AM1387" s="25">
        <v>1</v>
      </c>
      <c r="AN1387" s="26">
        <f>Tabla2[[#This Row],[Minutos]]/60</f>
        <v>1.6666666666666666E-2</v>
      </c>
      <c r="AO1387" s="27">
        <f>SUM(Tabla2[[#This Row],[Horas]],Tabla2[[#This Row],[Minutos a Horas]])</f>
        <v>2.0166666666666666</v>
      </c>
      <c r="AP1387" s="49"/>
      <c r="AQ1387" s="49">
        <v>45</v>
      </c>
      <c r="AR1387" s="26">
        <f>Tabla2[[#This Row],[Minutos*]]/60</f>
        <v>0.75</v>
      </c>
      <c r="AS1387" s="27">
        <f>SUM(Tabla2[[#This Row],[Horas*]],Tabla2[[#This Row],[Minutos a Horas*]])+(Tabla2[[#This Row],[Tiempo Total a Nivel Proncincial (Horas)]])</f>
        <v>2.7666666666666666</v>
      </c>
    </row>
    <row r="1388" spans="30:45" hidden="1" x14ac:dyDescent="0.25">
      <c r="AD1388" s="20" t="s">
        <v>2387</v>
      </c>
      <c r="AE1388" s="10" t="s">
        <v>389</v>
      </c>
      <c r="AF1388" s="20" t="s">
        <v>1686</v>
      </c>
      <c r="AG1388" s="10"/>
      <c r="AH1388" s="22" t="str">
        <f t="shared" si="44"/>
        <v xml:space="preserve">Pasco_01 Pasco </v>
      </c>
      <c r="AI1388" s="10" t="s">
        <v>1718</v>
      </c>
      <c r="AJ1388" s="20" t="s">
        <v>1701</v>
      </c>
      <c r="AK1388" s="22" t="str">
        <f t="shared" si="45"/>
        <v>Pasco_01 Pasco _13 Yanacancha</v>
      </c>
      <c r="AL1388" s="25">
        <v>2</v>
      </c>
      <c r="AM1388" s="25">
        <v>1</v>
      </c>
      <c r="AN1388" s="26">
        <f>Tabla2[[#This Row],[Minutos]]/60</f>
        <v>1.6666666666666666E-2</v>
      </c>
      <c r="AO1388" s="27">
        <f>SUM(Tabla2[[#This Row],[Horas]],Tabla2[[#This Row],[Minutos a Horas]])</f>
        <v>2.0166666666666666</v>
      </c>
      <c r="AP1388" s="49"/>
      <c r="AQ1388" s="49">
        <v>0</v>
      </c>
      <c r="AR1388" s="26">
        <f>Tabla2[[#This Row],[Minutos*]]/60</f>
        <v>0</v>
      </c>
      <c r="AS1388" s="27">
        <f>SUM(Tabla2[[#This Row],[Horas*]],Tabla2[[#This Row],[Minutos a Horas*]])+(Tabla2[[#This Row],[Tiempo Total a Nivel Proncincial (Horas)]])</f>
        <v>2.0166666666666666</v>
      </c>
    </row>
    <row r="1389" spans="30:45" hidden="1" x14ac:dyDescent="0.25">
      <c r="AD1389" s="20" t="s">
        <v>2387</v>
      </c>
      <c r="AE1389" s="10" t="s">
        <v>389</v>
      </c>
      <c r="AF1389" s="20" t="s">
        <v>1687</v>
      </c>
      <c r="AG1389" s="10"/>
      <c r="AH1389" s="22" t="str">
        <f t="shared" si="44"/>
        <v xml:space="preserve">Pasco_02 Daniel Alcides Carrión </v>
      </c>
      <c r="AI1389" s="10" t="s">
        <v>1719</v>
      </c>
      <c r="AJ1389" s="20" t="s">
        <v>1702</v>
      </c>
      <c r="AK1389" s="22" t="str">
        <f t="shared" si="45"/>
        <v>Pasco_02 Daniel Alcides Carrión _01 Yanahuanca</v>
      </c>
      <c r="AL1389" s="25">
        <v>1</v>
      </c>
      <c r="AM1389" s="25">
        <v>35</v>
      </c>
      <c r="AN1389" s="26">
        <f>Tabla2[[#This Row],[Minutos]]/60</f>
        <v>0.58333333333333337</v>
      </c>
      <c r="AO1389" s="27">
        <f>SUM(Tabla2[[#This Row],[Horas]],Tabla2[[#This Row],[Minutos a Horas]])</f>
        <v>1.5833333333333335</v>
      </c>
      <c r="AP1389" s="49">
        <v>2</v>
      </c>
      <c r="AQ1389" s="49">
        <v>0</v>
      </c>
      <c r="AR1389" s="26">
        <f>Tabla2[[#This Row],[Minutos*]]/60</f>
        <v>0</v>
      </c>
      <c r="AS1389" s="27">
        <f>SUM(Tabla2[[#This Row],[Horas*]],Tabla2[[#This Row],[Minutos a Horas*]])+(Tabla2[[#This Row],[Tiempo Total a Nivel Proncincial (Horas)]])</f>
        <v>3.5833333333333335</v>
      </c>
    </row>
    <row r="1390" spans="30:45" hidden="1" x14ac:dyDescent="0.25">
      <c r="AD1390" s="20" t="s">
        <v>2387</v>
      </c>
      <c r="AE1390" s="10" t="s">
        <v>389</v>
      </c>
      <c r="AF1390" s="20" t="s">
        <v>1687</v>
      </c>
      <c r="AG1390" s="10"/>
      <c r="AH1390" s="22" t="str">
        <f t="shared" si="44"/>
        <v xml:space="preserve">Pasco_02 Daniel Alcides Carrión </v>
      </c>
      <c r="AI1390" s="10" t="s">
        <v>1719</v>
      </c>
      <c r="AJ1390" s="20" t="s">
        <v>1703</v>
      </c>
      <c r="AK1390" s="22" t="str">
        <f t="shared" si="45"/>
        <v>Pasco_02 Daniel Alcides Carrión _02 Chacayan</v>
      </c>
      <c r="AL1390" s="25">
        <v>1</v>
      </c>
      <c r="AM1390" s="25">
        <v>35</v>
      </c>
      <c r="AN1390" s="26">
        <f>Tabla2[[#This Row],[Minutos]]/60</f>
        <v>0.58333333333333337</v>
      </c>
      <c r="AO1390" s="27">
        <f>SUM(Tabla2[[#This Row],[Horas]],Tabla2[[#This Row],[Minutos a Horas]])</f>
        <v>1.5833333333333335</v>
      </c>
      <c r="AP1390" s="49">
        <v>2</v>
      </c>
      <c r="AQ1390" s="49">
        <v>0</v>
      </c>
      <c r="AR1390" s="26">
        <f>Tabla2[[#This Row],[Minutos*]]/60</f>
        <v>0</v>
      </c>
      <c r="AS1390" s="27">
        <f>SUM(Tabla2[[#This Row],[Horas*]],Tabla2[[#This Row],[Minutos a Horas*]])+(Tabla2[[#This Row],[Tiempo Total a Nivel Proncincial (Horas)]])</f>
        <v>3.5833333333333335</v>
      </c>
    </row>
    <row r="1391" spans="30:45" hidden="1" x14ac:dyDescent="0.25">
      <c r="AD1391" s="20" t="s">
        <v>2387</v>
      </c>
      <c r="AE1391" s="10" t="s">
        <v>389</v>
      </c>
      <c r="AF1391" s="20" t="s">
        <v>1687</v>
      </c>
      <c r="AG1391" s="10"/>
      <c r="AH1391" s="22" t="str">
        <f t="shared" si="44"/>
        <v xml:space="preserve">Pasco_02 Daniel Alcides Carrión </v>
      </c>
      <c r="AI1391" s="10" t="s">
        <v>1719</v>
      </c>
      <c r="AJ1391" s="20" t="s">
        <v>1704</v>
      </c>
      <c r="AK1391" s="22" t="str">
        <f t="shared" si="45"/>
        <v>Pasco_02 Daniel Alcides Carrión _03 Goyllarisquizga</v>
      </c>
      <c r="AL1391" s="25">
        <v>1</v>
      </c>
      <c r="AM1391" s="25">
        <v>35</v>
      </c>
      <c r="AN1391" s="26">
        <f>Tabla2[[#This Row],[Minutos]]/60</f>
        <v>0.58333333333333337</v>
      </c>
      <c r="AO1391" s="27">
        <f>SUM(Tabla2[[#This Row],[Horas]],Tabla2[[#This Row],[Minutos a Horas]])</f>
        <v>1.5833333333333335</v>
      </c>
      <c r="AP1391" s="49">
        <v>1</v>
      </c>
      <c r="AQ1391" s="49">
        <v>15</v>
      </c>
      <c r="AR1391" s="26">
        <f>Tabla2[[#This Row],[Minutos*]]/60</f>
        <v>0.25</v>
      </c>
      <c r="AS1391" s="27">
        <f>SUM(Tabla2[[#This Row],[Horas*]],Tabla2[[#This Row],[Minutos a Horas*]])+(Tabla2[[#This Row],[Tiempo Total a Nivel Proncincial (Horas)]])</f>
        <v>2.8333333333333335</v>
      </c>
    </row>
    <row r="1392" spans="30:45" hidden="1" x14ac:dyDescent="0.25">
      <c r="AD1392" s="20" t="s">
        <v>2387</v>
      </c>
      <c r="AE1392" s="10" t="s">
        <v>389</v>
      </c>
      <c r="AF1392" s="20" t="s">
        <v>1687</v>
      </c>
      <c r="AG1392" s="10"/>
      <c r="AH1392" s="22" t="str">
        <f t="shared" si="44"/>
        <v xml:space="preserve">Pasco_02 Daniel Alcides Carrión </v>
      </c>
      <c r="AI1392" s="10" t="s">
        <v>1719</v>
      </c>
      <c r="AJ1392" s="20" t="s">
        <v>1705</v>
      </c>
      <c r="AK1392" s="22" t="str">
        <f t="shared" si="45"/>
        <v>Pasco_02 Daniel Alcides Carrión _04 Paucar</v>
      </c>
      <c r="AL1392" s="25">
        <v>1</v>
      </c>
      <c r="AM1392" s="25">
        <v>35</v>
      </c>
      <c r="AN1392" s="26">
        <f>Tabla2[[#This Row],[Minutos]]/60</f>
        <v>0.58333333333333337</v>
      </c>
      <c r="AO1392" s="27">
        <f>SUM(Tabla2[[#This Row],[Horas]],Tabla2[[#This Row],[Minutos a Horas]])</f>
        <v>1.5833333333333335</v>
      </c>
      <c r="AP1392" s="49">
        <v>3</v>
      </c>
      <c r="AQ1392" s="49">
        <v>30</v>
      </c>
      <c r="AR1392" s="26">
        <f>Tabla2[[#This Row],[Minutos*]]/60</f>
        <v>0.5</v>
      </c>
      <c r="AS1392" s="27">
        <f>SUM(Tabla2[[#This Row],[Horas*]],Tabla2[[#This Row],[Minutos a Horas*]])+(Tabla2[[#This Row],[Tiempo Total a Nivel Proncincial (Horas)]])</f>
        <v>5.0833333333333339</v>
      </c>
    </row>
    <row r="1393" spans="30:45" hidden="1" x14ac:dyDescent="0.25">
      <c r="AD1393" s="20" t="s">
        <v>2387</v>
      </c>
      <c r="AE1393" s="10" t="s">
        <v>389</v>
      </c>
      <c r="AF1393" s="20" t="s">
        <v>1687</v>
      </c>
      <c r="AG1393" s="10"/>
      <c r="AH1393" s="22" t="str">
        <f t="shared" si="44"/>
        <v xml:space="preserve">Pasco_02 Daniel Alcides Carrión </v>
      </c>
      <c r="AI1393" s="10" t="s">
        <v>1719</v>
      </c>
      <c r="AJ1393" s="20" t="s">
        <v>1706</v>
      </c>
      <c r="AK1393" s="22" t="str">
        <f t="shared" si="45"/>
        <v>Pasco_02 Daniel Alcides Carrión _05 San Pedro de Pillao</v>
      </c>
      <c r="AL1393" s="25">
        <v>1</v>
      </c>
      <c r="AM1393" s="25">
        <v>35</v>
      </c>
      <c r="AN1393" s="26">
        <f>Tabla2[[#This Row],[Minutos]]/60</f>
        <v>0.58333333333333337</v>
      </c>
      <c r="AO1393" s="27">
        <f>SUM(Tabla2[[#This Row],[Horas]],Tabla2[[#This Row],[Minutos a Horas]])</f>
        <v>1.5833333333333335</v>
      </c>
      <c r="AP1393" s="49">
        <v>3</v>
      </c>
      <c r="AQ1393" s="49">
        <v>0</v>
      </c>
      <c r="AR1393" s="26">
        <f>Tabla2[[#This Row],[Minutos*]]/60</f>
        <v>0</v>
      </c>
      <c r="AS1393" s="27">
        <f>SUM(Tabla2[[#This Row],[Horas*]],Tabla2[[#This Row],[Minutos a Horas*]])+(Tabla2[[#This Row],[Tiempo Total a Nivel Proncincial (Horas)]])</f>
        <v>4.5833333333333339</v>
      </c>
    </row>
    <row r="1394" spans="30:45" hidden="1" x14ac:dyDescent="0.25">
      <c r="AD1394" s="20" t="s">
        <v>2387</v>
      </c>
      <c r="AE1394" s="10" t="s">
        <v>389</v>
      </c>
      <c r="AF1394" s="20" t="s">
        <v>1687</v>
      </c>
      <c r="AG1394" s="10"/>
      <c r="AH1394" s="22" t="str">
        <f t="shared" si="44"/>
        <v xml:space="preserve">Pasco_02 Daniel Alcides Carrión </v>
      </c>
      <c r="AI1394" s="10" t="s">
        <v>1719</v>
      </c>
      <c r="AJ1394" s="20" t="s">
        <v>1707</v>
      </c>
      <c r="AK1394" s="22" t="str">
        <f t="shared" si="45"/>
        <v>Pasco_02 Daniel Alcides Carrión _06 Santa Ana de Tusi</v>
      </c>
      <c r="AL1394" s="25">
        <v>1</v>
      </c>
      <c r="AM1394" s="25">
        <v>35</v>
      </c>
      <c r="AN1394" s="26">
        <f>Tabla2[[#This Row],[Minutos]]/60</f>
        <v>0.58333333333333337</v>
      </c>
      <c r="AO1394" s="27">
        <f>SUM(Tabla2[[#This Row],[Horas]],Tabla2[[#This Row],[Minutos a Horas]])</f>
        <v>1.5833333333333335</v>
      </c>
      <c r="AP1394" s="49">
        <v>2</v>
      </c>
      <c r="AQ1394" s="49">
        <v>0</v>
      </c>
      <c r="AR1394" s="26">
        <f>Tabla2[[#This Row],[Minutos*]]/60</f>
        <v>0</v>
      </c>
      <c r="AS1394" s="27">
        <f>SUM(Tabla2[[#This Row],[Horas*]],Tabla2[[#This Row],[Minutos a Horas*]])+(Tabla2[[#This Row],[Tiempo Total a Nivel Proncincial (Horas)]])</f>
        <v>3.5833333333333335</v>
      </c>
    </row>
    <row r="1395" spans="30:45" hidden="1" x14ac:dyDescent="0.25">
      <c r="AD1395" s="20" t="s">
        <v>2387</v>
      </c>
      <c r="AE1395" s="10" t="s">
        <v>389</v>
      </c>
      <c r="AF1395" s="20" t="s">
        <v>1687</v>
      </c>
      <c r="AG1395" s="10"/>
      <c r="AH1395" s="22" t="str">
        <f t="shared" si="44"/>
        <v xml:space="preserve">Pasco_02 Daniel Alcides Carrión </v>
      </c>
      <c r="AI1395" s="10" t="s">
        <v>1719</v>
      </c>
      <c r="AJ1395" s="20" t="s">
        <v>1708</v>
      </c>
      <c r="AK1395" s="22" t="str">
        <f t="shared" si="45"/>
        <v>Pasco_02 Daniel Alcides Carrión _07 Tapuc</v>
      </c>
      <c r="AL1395" s="25">
        <v>1</v>
      </c>
      <c r="AM1395" s="25">
        <v>35</v>
      </c>
      <c r="AN1395" s="26">
        <f>Tabla2[[#This Row],[Minutos]]/60</f>
        <v>0.58333333333333337</v>
      </c>
      <c r="AO1395" s="27">
        <f>SUM(Tabla2[[#This Row],[Horas]],Tabla2[[#This Row],[Minutos a Horas]])</f>
        <v>1.5833333333333335</v>
      </c>
      <c r="AP1395" s="49">
        <v>2</v>
      </c>
      <c r="AQ1395" s="49">
        <v>0</v>
      </c>
      <c r="AR1395" s="26">
        <f>Tabla2[[#This Row],[Minutos*]]/60</f>
        <v>0</v>
      </c>
      <c r="AS1395" s="27">
        <f>SUM(Tabla2[[#This Row],[Horas*]],Tabla2[[#This Row],[Minutos a Horas*]])+(Tabla2[[#This Row],[Tiempo Total a Nivel Proncincial (Horas)]])</f>
        <v>3.5833333333333335</v>
      </c>
    </row>
    <row r="1396" spans="30:45" hidden="1" x14ac:dyDescent="0.25">
      <c r="AD1396" s="20" t="s">
        <v>2387</v>
      </c>
      <c r="AE1396" s="10" t="s">
        <v>389</v>
      </c>
      <c r="AF1396" s="20" t="s">
        <v>1687</v>
      </c>
      <c r="AG1396" s="10"/>
      <c r="AH1396" s="22" t="str">
        <f t="shared" si="44"/>
        <v xml:space="preserve">Pasco_02 Daniel Alcides Carrión </v>
      </c>
      <c r="AI1396" s="10" t="s">
        <v>1719</v>
      </c>
      <c r="AJ1396" s="20" t="s">
        <v>1709</v>
      </c>
      <c r="AK1396" s="22" t="str">
        <f t="shared" si="45"/>
        <v>Pasco_02 Daniel Alcides Carrión _08 Vilcabamba</v>
      </c>
      <c r="AL1396" s="25">
        <v>1</v>
      </c>
      <c r="AM1396" s="25">
        <v>35</v>
      </c>
      <c r="AN1396" s="26">
        <f>Tabla2[[#This Row],[Minutos]]/60</f>
        <v>0.58333333333333337</v>
      </c>
      <c r="AO1396" s="27">
        <f>SUM(Tabla2[[#This Row],[Horas]],Tabla2[[#This Row],[Minutos a Horas]])</f>
        <v>1.5833333333333335</v>
      </c>
      <c r="AP1396" s="49">
        <v>2</v>
      </c>
      <c r="AQ1396" s="49">
        <v>30</v>
      </c>
      <c r="AR1396" s="26">
        <f>Tabla2[[#This Row],[Minutos*]]/60</f>
        <v>0.5</v>
      </c>
      <c r="AS1396" s="27">
        <f>SUM(Tabla2[[#This Row],[Horas*]],Tabla2[[#This Row],[Minutos a Horas*]])+(Tabla2[[#This Row],[Tiempo Total a Nivel Proncincial (Horas)]])</f>
        <v>4.0833333333333339</v>
      </c>
    </row>
    <row r="1397" spans="30:45" hidden="1" x14ac:dyDescent="0.25">
      <c r="AD1397" s="20" t="s">
        <v>2387</v>
      </c>
      <c r="AE1397" s="10" t="s">
        <v>389</v>
      </c>
      <c r="AF1397" s="20" t="s">
        <v>1688</v>
      </c>
      <c r="AG1397" s="10"/>
      <c r="AH1397" s="22" t="str">
        <f t="shared" si="44"/>
        <v xml:space="preserve">Pasco_03 Oxapampa </v>
      </c>
      <c r="AI1397" s="10" t="s">
        <v>1720</v>
      </c>
      <c r="AJ1397" s="20" t="s">
        <v>1710</v>
      </c>
      <c r="AK1397" s="22" t="str">
        <f t="shared" si="45"/>
        <v>Pasco_03 Oxapampa _01 Oxapampa</v>
      </c>
      <c r="AL1397" s="25">
        <v>5</v>
      </c>
      <c r="AM1397" s="25">
        <v>34</v>
      </c>
      <c r="AN1397" s="26">
        <f>Tabla2[[#This Row],[Minutos]]/60</f>
        <v>0.56666666666666665</v>
      </c>
      <c r="AO1397" s="27">
        <f>SUM(Tabla2[[#This Row],[Horas]],Tabla2[[#This Row],[Minutos a Horas]])</f>
        <v>5.5666666666666664</v>
      </c>
      <c r="AP1397" s="49">
        <v>6</v>
      </c>
      <c r="AQ1397" s="49">
        <v>0</v>
      </c>
      <c r="AR1397" s="26">
        <f>Tabla2[[#This Row],[Minutos*]]/60</f>
        <v>0</v>
      </c>
      <c r="AS1397" s="27">
        <f>SUM(Tabla2[[#This Row],[Horas*]],Tabla2[[#This Row],[Minutos a Horas*]])+(Tabla2[[#This Row],[Tiempo Total a Nivel Proncincial (Horas)]])</f>
        <v>11.566666666666666</v>
      </c>
    </row>
    <row r="1398" spans="30:45" hidden="1" x14ac:dyDescent="0.25">
      <c r="AD1398" s="20" t="s">
        <v>2387</v>
      </c>
      <c r="AE1398" s="10" t="s">
        <v>389</v>
      </c>
      <c r="AF1398" s="20" t="s">
        <v>1688</v>
      </c>
      <c r="AG1398" s="10"/>
      <c r="AH1398" s="22" t="str">
        <f t="shared" si="44"/>
        <v xml:space="preserve">Pasco_03 Oxapampa </v>
      </c>
      <c r="AI1398" s="10" t="s">
        <v>1720</v>
      </c>
      <c r="AJ1398" s="20" t="s">
        <v>1711</v>
      </c>
      <c r="AK1398" s="22" t="str">
        <f t="shared" si="45"/>
        <v>Pasco_03 Oxapampa _02 Chontabamba</v>
      </c>
      <c r="AL1398" s="25">
        <v>5</v>
      </c>
      <c r="AM1398" s="25">
        <v>34</v>
      </c>
      <c r="AN1398" s="26">
        <f>Tabla2[[#This Row],[Minutos]]/60</f>
        <v>0.56666666666666665</v>
      </c>
      <c r="AO1398" s="27">
        <f>SUM(Tabla2[[#This Row],[Horas]],Tabla2[[#This Row],[Minutos a Horas]])</f>
        <v>5.5666666666666664</v>
      </c>
      <c r="AP1398" s="49">
        <v>6</v>
      </c>
      <c r="AQ1398" s="49">
        <v>20</v>
      </c>
      <c r="AR1398" s="26">
        <f>Tabla2[[#This Row],[Minutos*]]/60</f>
        <v>0.33333333333333331</v>
      </c>
      <c r="AS1398" s="27">
        <f>SUM(Tabla2[[#This Row],[Horas*]],Tabla2[[#This Row],[Minutos a Horas*]])+(Tabla2[[#This Row],[Tiempo Total a Nivel Proncincial (Horas)]])</f>
        <v>11.899999999999999</v>
      </c>
    </row>
    <row r="1399" spans="30:45" hidden="1" x14ac:dyDescent="0.25">
      <c r="AD1399" s="20" t="s">
        <v>2387</v>
      </c>
      <c r="AE1399" s="10" t="s">
        <v>389</v>
      </c>
      <c r="AF1399" s="20" t="s">
        <v>1688</v>
      </c>
      <c r="AG1399" s="10"/>
      <c r="AH1399" s="22" t="str">
        <f t="shared" si="44"/>
        <v xml:space="preserve">Pasco_03 Oxapampa </v>
      </c>
      <c r="AI1399" s="10" t="s">
        <v>1720</v>
      </c>
      <c r="AJ1399" s="20" t="s">
        <v>1712</v>
      </c>
      <c r="AK1399" s="22" t="str">
        <f t="shared" si="45"/>
        <v>Pasco_03 Oxapampa _03 Huancabamba</v>
      </c>
      <c r="AL1399" s="25">
        <v>5</v>
      </c>
      <c r="AM1399" s="25">
        <v>34</v>
      </c>
      <c r="AN1399" s="26">
        <f>Tabla2[[#This Row],[Minutos]]/60</f>
        <v>0.56666666666666665</v>
      </c>
      <c r="AO1399" s="27">
        <f>SUM(Tabla2[[#This Row],[Horas]],Tabla2[[#This Row],[Minutos a Horas]])</f>
        <v>5.5666666666666664</v>
      </c>
      <c r="AP1399" s="49">
        <v>6</v>
      </c>
      <c r="AQ1399" s="49">
        <v>30</v>
      </c>
      <c r="AR1399" s="26">
        <f>Tabla2[[#This Row],[Minutos*]]/60</f>
        <v>0.5</v>
      </c>
      <c r="AS1399" s="27">
        <f>SUM(Tabla2[[#This Row],[Horas*]],Tabla2[[#This Row],[Minutos a Horas*]])+(Tabla2[[#This Row],[Tiempo Total a Nivel Proncincial (Horas)]])</f>
        <v>12.066666666666666</v>
      </c>
    </row>
    <row r="1400" spans="30:45" hidden="1" x14ac:dyDescent="0.25">
      <c r="AD1400" s="20" t="s">
        <v>2387</v>
      </c>
      <c r="AE1400" s="10" t="s">
        <v>389</v>
      </c>
      <c r="AF1400" s="20" t="s">
        <v>1688</v>
      </c>
      <c r="AG1400" s="10"/>
      <c r="AH1400" s="22" t="str">
        <f t="shared" si="44"/>
        <v xml:space="preserve">Pasco_03 Oxapampa </v>
      </c>
      <c r="AI1400" s="10" t="s">
        <v>1720</v>
      </c>
      <c r="AJ1400" s="20" t="s">
        <v>1713</v>
      </c>
      <c r="AK1400" s="22" t="str">
        <f t="shared" si="45"/>
        <v>Pasco_03 Oxapampa _04 Palcazu</v>
      </c>
      <c r="AL1400" s="25">
        <v>5</v>
      </c>
      <c r="AM1400" s="25">
        <v>34</v>
      </c>
      <c r="AN1400" s="26">
        <f>Tabla2[[#This Row],[Minutos]]/60</f>
        <v>0.56666666666666665</v>
      </c>
      <c r="AO1400" s="27">
        <f>SUM(Tabla2[[#This Row],[Horas]],Tabla2[[#This Row],[Minutos a Horas]])</f>
        <v>5.5666666666666664</v>
      </c>
      <c r="AP1400" s="49">
        <v>9</v>
      </c>
      <c r="AQ1400" s="49">
        <v>0</v>
      </c>
      <c r="AR1400" s="26">
        <f>Tabla2[[#This Row],[Minutos*]]/60</f>
        <v>0</v>
      </c>
      <c r="AS1400" s="27">
        <f>SUM(Tabla2[[#This Row],[Horas*]],Tabla2[[#This Row],[Minutos a Horas*]])+(Tabla2[[#This Row],[Tiempo Total a Nivel Proncincial (Horas)]])</f>
        <v>14.566666666666666</v>
      </c>
    </row>
    <row r="1401" spans="30:45" hidden="1" x14ac:dyDescent="0.25">
      <c r="AD1401" s="20" t="s">
        <v>2387</v>
      </c>
      <c r="AE1401" s="10" t="s">
        <v>389</v>
      </c>
      <c r="AF1401" s="20" t="s">
        <v>1688</v>
      </c>
      <c r="AG1401" s="10"/>
      <c r="AH1401" s="22" t="str">
        <f t="shared" si="44"/>
        <v xml:space="preserve">Pasco_03 Oxapampa </v>
      </c>
      <c r="AI1401" s="10" t="s">
        <v>1720</v>
      </c>
      <c r="AJ1401" s="20" t="s">
        <v>1714</v>
      </c>
      <c r="AK1401" s="22" t="str">
        <f t="shared" si="45"/>
        <v>Pasco_03 Oxapampa _05 Pozuzo</v>
      </c>
      <c r="AL1401" s="25">
        <v>5</v>
      </c>
      <c r="AM1401" s="25">
        <v>34</v>
      </c>
      <c r="AN1401" s="26">
        <f>Tabla2[[#This Row],[Minutos]]/60</f>
        <v>0.56666666666666665</v>
      </c>
      <c r="AO1401" s="27">
        <f>SUM(Tabla2[[#This Row],[Horas]],Tabla2[[#This Row],[Minutos a Horas]])</f>
        <v>5.5666666666666664</v>
      </c>
      <c r="AP1401" s="49">
        <v>9</v>
      </c>
      <c r="AQ1401" s="49">
        <v>0</v>
      </c>
      <c r="AR1401" s="26">
        <f>Tabla2[[#This Row],[Minutos*]]/60</f>
        <v>0</v>
      </c>
      <c r="AS1401" s="27">
        <f>SUM(Tabla2[[#This Row],[Horas*]],Tabla2[[#This Row],[Minutos a Horas*]])+(Tabla2[[#This Row],[Tiempo Total a Nivel Proncincial (Horas)]])</f>
        <v>14.566666666666666</v>
      </c>
    </row>
    <row r="1402" spans="30:45" hidden="1" x14ac:dyDescent="0.25">
      <c r="AD1402" s="20" t="s">
        <v>2387</v>
      </c>
      <c r="AE1402" s="10" t="s">
        <v>389</v>
      </c>
      <c r="AF1402" s="20" t="s">
        <v>1688</v>
      </c>
      <c r="AG1402" s="10"/>
      <c r="AH1402" s="22" t="str">
        <f t="shared" si="44"/>
        <v xml:space="preserve">Pasco_03 Oxapampa </v>
      </c>
      <c r="AI1402" s="10" t="s">
        <v>1720</v>
      </c>
      <c r="AJ1402" s="20" t="s">
        <v>1715</v>
      </c>
      <c r="AK1402" s="22" t="str">
        <f t="shared" si="45"/>
        <v>Pasco_03 Oxapampa _06 Puerto Bermúdez</v>
      </c>
      <c r="AL1402" s="25">
        <v>5</v>
      </c>
      <c r="AM1402" s="25">
        <v>34</v>
      </c>
      <c r="AN1402" s="26">
        <f>Tabla2[[#This Row],[Minutos]]/60</f>
        <v>0.56666666666666665</v>
      </c>
      <c r="AO1402" s="27">
        <f>SUM(Tabla2[[#This Row],[Horas]],Tabla2[[#This Row],[Minutos a Horas]])</f>
        <v>5.5666666666666664</v>
      </c>
      <c r="AP1402" s="49">
        <v>9</v>
      </c>
      <c r="AQ1402" s="49">
        <v>0</v>
      </c>
      <c r="AR1402" s="26">
        <f>Tabla2[[#This Row],[Minutos*]]/60</f>
        <v>0</v>
      </c>
      <c r="AS1402" s="27">
        <f>SUM(Tabla2[[#This Row],[Horas*]],Tabla2[[#This Row],[Minutos a Horas*]])+(Tabla2[[#This Row],[Tiempo Total a Nivel Proncincial (Horas)]])</f>
        <v>14.566666666666666</v>
      </c>
    </row>
    <row r="1403" spans="30:45" hidden="1" x14ac:dyDescent="0.25">
      <c r="AD1403" s="20" t="s">
        <v>2387</v>
      </c>
      <c r="AE1403" s="10" t="s">
        <v>389</v>
      </c>
      <c r="AF1403" s="20" t="s">
        <v>1688</v>
      </c>
      <c r="AG1403" s="10"/>
      <c r="AH1403" s="22" t="str">
        <f t="shared" si="44"/>
        <v xml:space="preserve">Pasco_03 Oxapampa </v>
      </c>
      <c r="AI1403" s="10" t="s">
        <v>1720</v>
      </c>
      <c r="AJ1403" s="20" t="s">
        <v>1716</v>
      </c>
      <c r="AK1403" s="22" t="str">
        <f t="shared" si="45"/>
        <v>Pasco_03 Oxapampa _07 Villa Rica</v>
      </c>
      <c r="AL1403" s="25">
        <v>5</v>
      </c>
      <c r="AM1403" s="25">
        <v>34</v>
      </c>
      <c r="AN1403" s="26">
        <f>Tabla2[[#This Row],[Minutos]]/60</f>
        <v>0.56666666666666665</v>
      </c>
      <c r="AO1403" s="27">
        <f>SUM(Tabla2[[#This Row],[Horas]],Tabla2[[#This Row],[Minutos a Horas]])</f>
        <v>5.5666666666666664</v>
      </c>
      <c r="AP1403" s="49">
        <v>6</v>
      </c>
      <c r="AQ1403" s="49">
        <v>0</v>
      </c>
      <c r="AR1403" s="26">
        <f>Tabla2[[#This Row],[Minutos*]]/60</f>
        <v>0</v>
      </c>
      <c r="AS1403" s="27">
        <f>SUM(Tabla2[[#This Row],[Horas*]],Tabla2[[#This Row],[Minutos a Horas*]])+(Tabla2[[#This Row],[Tiempo Total a Nivel Proncincial (Horas)]])</f>
        <v>11.566666666666666</v>
      </c>
    </row>
    <row r="1404" spans="30:45" hidden="1" x14ac:dyDescent="0.25">
      <c r="AD1404" s="20" t="s">
        <v>2387</v>
      </c>
      <c r="AE1404" s="10" t="s">
        <v>389</v>
      </c>
      <c r="AF1404" s="20" t="s">
        <v>1688</v>
      </c>
      <c r="AG1404" s="10"/>
      <c r="AH1404" s="22" t="str">
        <f t="shared" si="44"/>
        <v xml:space="preserve">Pasco_03 Oxapampa </v>
      </c>
      <c r="AI1404" s="10" t="s">
        <v>1720</v>
      </c>
      <c r="AJ1404" s="20" t="s">
        <v>1717</v>
      </c>
      <c r="AK1404" s="22" t="str">
        <f t="shared" si="45"/>
        <v>Pasco_03 Oxapampa _08 Constitución</v>
      </c>
      <c r="AL1404" s="25">
        <v>5</v>
      </c>
      <c r="AM1404" s="25">
        <v>34</v>
      </c>
      <c r="AN1404" s="26">
        <f>Tabla2[[#This Row],[Minutos]]/60</f>
        <v>0.56666666666666665</v>
      </c>
      <c r="AO1404" s="27">
        <f>SUM(Tabla2[[#This Row],[Horas]],Tabla2[[#This Row],[Minutos a Horas]])</f>
        <v>5.5666666666666664</v>
      </c>
      <c r="AP1404" s="49">
        <v>11</v>
      </c>
      <c r="AQ1404" s="49">
        <v>0</v>
      </c>
      <c r="AR1404" s="26">
        <f>Tabla2[[#This Row],[Minutos*]]/60</f>
        <v>0</v>
      </c>
      <c r="AS1404" s="27">
        <f>SUM(Tabla2[[#This Row],[Horas*]],Tabla2[[#This Row],[Minutos a Horas*]])+(Tabla2[[#This Row],[Tiempo Total a Nivel Proncincial (Horas)]])</f>
        <v>16.566666666666666</v>
      </c>
    </row>
    <row r="1405" spans="30:45" hidden="1" x14ac:dyDescent="0.25">
      <c r="AD1405" s="34" t="s">
        <v>2388</v>
      </c>
      <c r="AE1405" s="10" t="s">
        <v>390</v>
      </c>
      <c r="AF1405" s="20" t="s">
        <v>1731</v>
      </c>
      <c r="AG1405" s="10" t="s">
        <v>1731</v>
      </c>
      <c r="AH1405" s="22" t="str">
        <f t="shared" si="44"/>
        <v xml:space="preserve">Piura_01 Piura </v>
      </c>
      <c r="AI1405" s="10" t="s">
        <v>1721</v>
      </c>
      <c r="AJ1405" s="20" t="s">
        <v>1739</v>
      </c>
      <c r="AK1405" s="22" t="str">
        <f t="shared" si="45"/>
        <v>Piura_01 Piura _01 Piura</v>
      </c>
      <c r="AL1405" s="25">
        <v>1</v>
      </c>
      <c r="AM1405" s="25">
        <v>33</v>
      </c>
      <c r="AN1405" s="26">
        <f>Tabla2[[#This Row],[Minutos]]/60</f>
        <v>0.55000000000000004</v>
      </c>
      <c r="AO1405" s="27">
        <f>SUM(Tabla2[[#This Row],[Horas]],Tabla2[[#This Row],[Minutos a Horas]])</f>
        <v>1.55</v>
      </c>
      <c r="AP1405" s="49">
        <v>0</v>
      </c>
      <c r="AQ1405" s="49">
        <v>25</v>
      </c>
      <c r="AR1405" s="26">
        <f>Tabla2[[#This Row],[Minutos*]]/60</f>
        <v>0.41666666666666669</v>
      </c>
      <c r="AS1405" s="27">
        <f>SUM(Tabla2[[#This Row],[Horas*]],Tabla2[[#This Row],[Minutos a Horas*]])+(Tabla2[[#This Row],[Tiempo Total a Nivel Proncincial (Horas)]])</f>
        <v>1.9666666666666668</v>
      </c>
    </row>
    <row r="1406" spans="30:45" hidden="1" x14ac:dyDescent="0.25">
      <c r="AD1406" s="34" t="s">
        <v>2388</v>
      </c>
      <c r="AE1406" s="10" t="s">
        <v>390</v>
      </c>
      <c r="AF1406" s="20" t="s">
        <v>1731</v>
      </c>
      <c r="AG1406" s="10" t="s">
        <v>1732</v>
      </c>
      <c r="AH1406" s="22" t="str">
        <f t="shared" si="44"/>
        <v xml:space="preserve">Piura_01 Piura </v>
      </c>
      <c r="AI1406" s="10" t="s">
        <v>1721</v>
      </c>
      <c r="AJ1406" s="20" t="s">
        <v>489</v>
      </c>
      <c r="AK1406" s="22" t="str">
        <f t="shared" si="45"/>
        <v>Piura_01 Piura _04 Castilla</v>
      </c>
      <c r="AL1406" s="25">
        <v>1</v>
      </c>
      <c r="AM1406" s="25">
        <v>33</v>
      </c>
      <c r="AN1406" s="26">
        <f>Tabla2[[#This Row],[Minutos]]/60</f>
        <v>0.55000000000000004</v>
      </c>
      <c r="AO1406" s="27">
        <f>SUM(Tabla2[[#This Row],[Horas]],Tabla2[[#This Row],[Minutos a Horas]])</f>
        <v>1.55</v>
      </c>
      <c r="AP1406" s="49">
        <v>0</v>
      </c>
      <c r="AQ1406" s="49">
        <v>30</v>
      </c>
      <c r="AR1406" s="26">
        <f>Tabla2[[#This Row],[Minutos*]]/60</f>
        <v>0.5</v>
      </c>
      <c r="AS1406" s="27">
        <f>SUM(Tabla2[[#This Row],[Horas*]],Tabla2[[#This Row],[Minutos a Horas*]])+(Tabla2[[#This Row],[Tiempo Total a Nivel Proncincial (Horas)]])</f>
        <v>2.0499999999999998</v>
      </c>
    </row>
    <row r="1407" spans="30:45" hidden="1" x14ac:dyDescent="0.25">
      <c r="AD1407" s="34" t="s">
        <v>2388</v>
      </c>
      <c r="AE1407" s="10" t="s">
        <v>390</v>
      </c>
      <c r="AF1407" s="20" t="s">
        <v>1731</v>
      </c>
      <c r="AG1407" s="10" t="s">
        <v>1733</v>
      </c>
      <c r="AH1407" s="22" t="str">
        <f t="shared" si="44"/>
        <v xml:space="preserve">Piura_01 Piura </v>
      </c>
      <c r="AI1407" s="10" t="s">
        <v>1721</v>
      </c>
      <c r="AJ1407" s="20" t="s">
        <v>1740</v>
      </c>
      <c r="AK1407" s="22" t="str">
        <f t="shared" si="45"/>
        <v>Piura_01 Piura _05 Catacaos</v>
      </c>
      <c r="AL1407" s="25">
        <v>1</v>
      </c>
      <c r="AM1407" s="25">
        <v>33</v>
      </c>
      <c r="AN1407" s="26">
        <f>Tabla2[[#This Row],[Minutos]]/60</f>
        <v>0.55000000000000004</v>
      </c>
      <c r="AO1407" s="27">
        <f>SUM(Tabla2[[#This Row],[Horas]],Tabla2[[#This Row],[Minutos a Horas]])</f>
        <v>1.55</v>
      </c>
      <c r="AP1407" s="49">
        <v>0</v>
      </c>
      <c r="AQ1407" s="49">
        <v>35</v>
      </c>
      <c r="AR1407" s="26">
        <f>Tabla2[[#This Row],[Minutos*]]/60</f>
        <v>0.58333333333333337</v>
      </c>
      <c r="AS1407" s="27">
        <f>SUM(Tabla2[[#This Row],[Horas*]],Tabla2[[#This Row],[Minutos a Horas*]])+(Tabla2[[#This Row],[Tiempo Total a Nivel Proncincial (Horas)]])</f>
        <v>2.1333333333333333</v>
      </c>
    </row>
    <row r="1408" spans="30:45" hidden="1" x14ac:dyDescent="0.25">
      <c r="AD1408" s="34" t="s">
        <v>2388</v>
      </c>
      <c r="AE1408" s="10" t="s">
        <v>390</v>
      </c>
      <c r="AF1408" s="20" t="s">
        <v>1731</v>
      </c>
      <c r="AG1408" s="10" t="s">
        <v>1734</v>
      </c>
      <c r="AH1408" s="22" t="str">
        <f t="shared" si="44"/>
        <v xml:space="preserve">Piura_01 Piura </v>
      </c>
      <c r="AI1408" s="10" t="s">
        <v>1721</v>
      </c>
      <c r="AJ1408" s="20" t="s">
        <v>1741</v>
      </c>
      <c r="AK1408" s="22" t="str">
        <f t="shared" si="45"/>
        <v>Piura_01 Piura _07 Cura Mori</v>
      </c>
      <c r="AL1408" s="25">
        <v>1</v>
      </c>
      <c r="AM1408" s="25">
        <v>33</v>
      </c>
      <c r="AN1408" s="26">
        <f>Tabla2[[#This Row],[Minutos]]/60</f>
        <v>0.55000000000000004</v>
      </c>
      <c r="AO1408" s="27">
        <f>SUM(Tabla2[[#This Row],[Horas]],Tabla2[[#This Row],[Minutos a Horas]])</f>
        <v>1.55</v>
      </c>
      <c r="AP1408" s="49">
        <v>1</v>
      </c>
      <c r="AQ1408" s="49">
        <v>30</v>
      </c>
      <c r="AR1408" s="26">
        <f>Tabla2[[#This Row],[Minutos*]]/60</f>
        <v>0.5</v>
      </c>
      <c r="AS1408" s="27">
        <f>SUM(Tabla2[[#This Row],[Horas*]],Tabla2[[#This Row],[Minutos a Horas*]])+(Tabla2[[#This Row],[Tiempo Total a Nivel Proncincial (Horas)]])</f>
        <v>3.05</v>
      </c>
    </row>
    <row r="1409" spans="30:45" hidden="1" x14ac:dyDescent="0.25">
      <c r="AD1409" s="34" t="s">
        <v>2388</v>
      </c>
      <c r="AE1409" s="10" t="s">
        <v>390</v>
      </c>
      <c r="AF1409" s="20" t="s">
        <v>1731</v>
      </c>
      <c r="AG1409" s="10" t="s">
        <v>1735</v>
      </c>
      <c r="AH1409" s="22" t="str">
        <f t="shared" si="44"/>
        <v xml:space="preserve">Piura_01 Piura </v>
      </c>
      <c r="AI1409" s="10" t="s">
        <v>1721</v>
      </c>
      <c r="AJ1409" s="20" t="s">
        <v>1742</v>
      </c>
      <c r="AK1409" s="22" t="str">
        <f t="shared" si="45"/>
        <v>Piura_01 Piura _08 El Tallan</v>
      </c>
      <c r="AL1409" s="25">
        <v>1</v>
      </c>
      <c r="AM1409" s="25">
        <v>33</v>
      </c>
      <c r="AN1409" s="26">
        <f>Tabla2[[#This Row],[Minutos]]/60</f>
        <v>0.55000000000000004</v>
      </c>
      <c r="AO1409" s="27">
        <f>SUM(Tabla2[[#This Row],[Horas]],Tabla2[[#This Row],[Minutos a Horas]])</f>
        <v>1.55</v>
      </c>
      <c r="AP1409" s="49">
        <v>1</v>
      </c>
      <c r="AQ1409" s="49">
        <v>40</v>
      </c>
      <c r="AR1409" s="26">
        <f>Tabla2[[#This Row],[Minutos*]]/60</f>
        <v>0.66666666666666663</v>
      </c>
      <c r="AS1409" s="27">
        <f>SUM(Tabla2[[#This Row],[Horas*]],Tabla2[[#This Row],[Minutos a Horas*]])+(Tabla2[[#This Row],[Tiempo Total a Nivel Proncincial (Horas)]])</f>
        <v>3.2166666666666668</v>
      </c>
    </row>
    <row r="1410" spans="30:45" hidden="1" x14ac:dyDescent="0.25">
      <c r="AD1410" s="34" t="s">
        <v>2388</v>
      </c>
      <c r="AE1410" s="10" t="s">
        <v>390</v>
      </c>
      <c r="AF1410" s="20" t="s">
        <v>1731</v>
      </c>
      <c r="AG1410" s="10" t="s">
        <v>1736</v>
      </c>
      <c r="AH1410" s="22" t="str">
        <f t="shared" si="44"/>
        <v xml:space="preserve">Piura_01 Piura </v>
      </c>
      <c r="AI1410" s="10" t="s">
        <v>1721</v>
      </c>
      <c r="AJ1410" s="20" t="s">
        <v>1743</v>
      </c>
      <c r="AK1410" s="22" t="str">
        <f t="shared" si="45"/>
        <v>Piura_01 Piura _09 La Arena</v>
      </c>
      <c r="AL1410" s="25">
        <v>1</v>
      </c>
      <c r="AM1410" s="25">
        <v>33</v>
      </c>
      <c r="AN1410" s="26">
        <f>Tabla2[[#This Row],[Minutos]]/60</f>
        <v>0.55000000000000004</v>
      </c>
      <c r="AO1410" s="27">
        <f>SUM(Tabla2[[#This Row],[Horas]],Tabla2[[#This Row],[Minutos a Horas]])</f>
        <v>1.55</v>
      </c>
      <c r="AP1410" s="49">
        <v>1</v>
      </c>
      <c r="AQ1410" s="49">
        <v>0</v>
      </c>
      <c r="AR1410" s="26">
        <f>Tabla2[[#This Row],[Minutos*]]/60</f>
        <v>0</v>
      </c>
      <c r="AS1410" s="27">
        <f>SUM(Tabla2[[#This Row],[Horas*]],Tabla2[[#This Row],[Minutos a Horas*]])+(Tabla2[[#This Row],[Tiempo Total a Nivel Proncincial (Horas)]])</f>
        <v>2.5499999999999998</v>
      </c>
    </row>
    <row r="1411" spans="30:45" hidden="1" x14ac:dyDescent="0.25">
      <c r="AD1411" s="34" t="s">
        <v>2388</v>
      </c>
      <c r="AE1411" s="10" t="s">
        <v>390</v>
      </c>
      <c r="AF1411" s="20" t="s">
        <v>1731</v>
      </c>
      <c r="AG1411" s="10" t="s">
        <v>1737</v>
      </c>
      <c r="AH1411" s="22" t="str">
        <f t="shared" si="44"/>
        <v xml:space="preserve">Piura_01 Piura </v>
      </c>
      <c r="AI1411" s="10" t="s">
        <v>1721</v>
      </c>
      <c r="AJ1411" s="20" t="s">
        <v>1744</v>
      </c>
      <c r="AK1411" s="22" t="str">
        <f t="shared" si="45"/>
        <v>Piura_01 Piura _10 La Unión</v>
      </c>
      <c r="AL1411" s="25">
        <v>1</v>
      </c>
      <c r="AM1411" s="25">
        <v>33</v>
      </c>
      <c r="AN1411" s="26">
        <f>Tabla2[[#This Row],[Minutos]]/60</f>
        <v>0.55000000000000004</v>
      </c>
      <c r="AO1411" s="27">
        <f>SUM(Tabla2[[#This Row],[Horas]],Tabla2[[#This Row],[Minutos a Horas]])</f>
        <v>1.55</v>
      </c>
      <c r="AP1411" s="49">
        <v>1</v>
      </c>
      <c r="AQ1411" s="49">
        <v>20</v>
      </c>
      <c r="AR1411" s="26">
        <f>Tabla2[[#This Row],[Minutos*]]/60</f>
        <v>0.33333333333333331</v>
      </c>
      <c r="AS1411" s="27">
        <f>SUM(Tabla2[[#This Row],[Horas*]],Tabla2[[#This Row],[Minutos a Horas*]])+(Tabla2[[#This Row],[Tiempo Total a Nivel Proncincial (Horas)]])</f>
        <v>2.8833333333333333</v>
      </c>
    </row>
    <row r="1412" spans="30:45" hidden="1" x14ac:dyDescent="0.25">
      <c r="AD1412" s="34" t="s">
        <v>2388</v>
      </c>
      <c r="AE1412" s="10" t="s">
        <v>390</v>
      </c>
      <c r="AF1412" s="20" t="s">
        <v>1731</v>
      </c>
      <c r="AG1412" s="10" t="s">
        <v>1738</v>
      </c>
      <c r="AH1412" s="22" t="str">
        <f t="shared" si="44"/>
        <v xml:space="preserve">Piura_01 Piura </v>
      </c>
      <c r="AI1412" s="10" t="s">
        <v>1721</v>
      </c>
      <c r="AJ1412" s="20" t="s">
        <v>1745</v>
      </c>
      <c r="AK1412" s="22" t="str">
        <f t="shared" si="45"/>
        <v>Piura_01 Piura _11 Las Lomas</v>
      </c>
      <c r="AL1412" s="25">
        <v>1</v>
      </c>
      <c r="AM1412" s="25">
        <v>33</v>
      </c>
      <c r="AN1412" s="26">
        <f>Tabla2[[#This Row],[Minutos]]/60</f>
        <v>0.55000000000000004</v>
      </c>
      <c r="AO1412" s="27">
        <f>SUM(Tabla2[[#This Row],[Horas]],Tabla2[[#This Row],[Minutos a Horas]])</f>
        <v>1.55</v>
      </c>
      <c r="AP1412" s="49">
        <v>2</v>
      </c>
      <c r="AQ1412" s="49">
        <v>30</v>
      </c>
      <c r="AR1412" s="26">
        <f>Tabla2[[#This Row],[Minutos*]]/60</f>
        <v>0.5</v>
      </c>
      <c r="AS1412" s="27">
        <f>SUM(Tabla2[[#This Row],[Horas*]],Tabla2[[#This Row],[Minutos a Horas*]])+(Tabla2[[#This Row],[Tiempo Total a Nivel Proncincial (Horas)]])</f>
        <v>4.05</v>
      </c>
    </row>
    <row r="1413" spans="30:45" hidden="1" x14ac:dyDescent="0.25">
      <c r="AD1413" s="34" t="s">
        <v>2388</v>
      </c>
      <c r="AE1413" s="10" t="s">
        <v>390</v>
      </c>
      <c r="AF1413" s="20" t="s">
        <v>1731</v>
      </c>
      <c r="AG1413" s="10"/>
      <c r="AH1413" s="22" t="str">
        <f t="shared" si="44"/>
        <v xml:space="preserve">Piura_01 Piura </v>
      </c>
      <c r="AI1413" s="10" t="s">
        <v>1721</v>
      </c>
      <c r="AJ1413" s="20" t="s">
        <v>1746</v>
      </c>
      <c r="AK1413" s="22" t="str">
        <f t="shared" si="45"/>
        <v>Piura_01 Piura _14 Tambo Grande</v>
      </c>
      <c r="AL1413" s="25">
        <v>1</v>
      </c>
      <c r="AM1413" s="25">
        <v>33</v>
      </c>
      <c r="AN1413" s="26">
        <f>Tabla2[[#This Row],[Minutos]]/60</f>
        <v>0.55000000000000004</v>
      </c>
      <c r="AO1413" s="27">
        <f>SUM(Tabla2[[#This Row],[Horas]],Tabla2[[#This Row],[Minutos a Horas]])</f>
        <v>1.55</v>
      </c>
      <c r="AP1413" s="49">
        <v>1</v>
      </c>
      <c r="AQ1413" s="49">
        <v>30</v>
      </c>
      <c r="AR1413" s="26">
        <f>Tabla2[[#This Row],[Minutos*]]/60</f>
        <v>0.5</v>
      </c>
      <c r="AS1413" s="27">
        <f>SUM(Tabla2[[#This Row],[Horas*]],Tabla2[[#This Row],[Minutos a Horas*]])+(Tabla2[[#This Row],[Tiempo Total a Nivel Proncincial (Horas)]])</f>
        <v>3.05</v>
      </c>
    </row>
    <row r="1414" spans="30:45" hidden="1" x14ac:dyDescent="0.25">
      <c r="AD1414" s="34" t="s">
        <v>2388</v>
      </c>
      <c r="AE1414" s="10" t="s">
        <v>390</v>
      </c>
      <c r="AF1414" s="20" t="s">
        <v>1731</v>
      </c>
      <c r="AG1414" s="10"/>
      <c r="AH1414" s="22" t="str">
        <f t="shared" si="44"/>
        <v xml:space="preserve">Piura_01 Piura </v>
      </c>
      <c r="AI1414" s="10" t="s">
        <v>1721</v>
      </c>
      <c r="AJ1414" s="20" t="s">
        <v>1747</v>
      </c>
      <c r="AK1414" s="22" t="str">
        <f t="shared" si="45"/>
        <v>Piura_01 Piura _15 Veintiseis de Octubre</v>
      </c>
      <c r="AL1414" s="25">
        <v>1</v>
      </c>
      <c r="AM1414" s="25">
        <v>33</v>
      </c>
      <c r="AN1414" s="26">
        <f>Tabla2[[#This Row],[Minutos]]/60</f>
        <v>0.55000000000000004</v>
      </c>
      <c r="AO1414" s="27">
        <f>SUM(Tabla2[[#This Row],[Horas]],Tabla2[[#This Row],[Minutos a Horas]])</f>
        <v>1.55</v>
      </c>
      <c r="AP1414" s="49">
        <v>0</v>
      </c>
      <c r="AQ1414" s="49">
        <v>25</v>
      </c>
      <c r="AR1414" s="26">
        <f>Tabla2[[#This Row],[Minutos*]]/60</f>
        <v>0.41666666666666669</v>
      </c>
      <c r="AS1414" s="27">
        <f>SUM(Tabla2[[#This Row],[Horas*]],Tabla2[[#This Row],[Minutos a Horas*]])+(Tabla2[[#This Row],[Tiempo Total a Nivel Proncincial (Horas)]])</f>
        <v>1.9666666666666668</v>
      </c>
    </row>
    <row r="1415" spans="30:45" hidden="1" x14ac:dyDescent="0.25">
      <c r="AD1415" s="34" t="s">
        <v>2388</v>
      </c>
      <c r="AE1415" s="10" t="s">
        <v>390</v>
      </c>
      <c r="AF1415" s="20" t="s">
        <v>1732</v>
      </c>
      <c r="AG1415" s="10"/>
      <c r="AH1415" s="22" t="str">
        <f t="shared" si="44"/>
        <v xml:space="preserve">Piura_02 Ayabaca </v>
      </c>
      <c r="AI1415" s="10" t="s">
        <v>1722</v>
      </c>
      <c r="AJ1415" s="20" t="s">
        <v>1748</v>
      </c>
      <c r="AK1415" s="22" t="str">
        <f t="shared" si="45"/>
        <v>Piura_02 Ayabaca _01 Ayabaca</v>
      </c>
      <c r="AL1415" s="25">
        <v>4</v>
      </c>
      <c r="AM1415" s="25">
        <v>25</v>
      </c>
      <c r="AN1415" s="26">
        <f>Tabla2[[#This Row],[Minutos]]/60</f>
        <v>0.41666666666666669</v>
      </c>
      <c r="AO1415" s="27">
        <f>SUM(Tabla2[[#This Row],[Horas]],Tabla2[[#This Row],[Minutos a Horas]])</f>
        <v>4.416666666666667</v>
      </c>
      <c r="AP1415" s="49">
        <v>9</v>
      </c>
      <c r="AQ1415" s="49">
        <v>20</v>
      </c>
      <c r="AR1415" s="26">
        <f>Tabla2[[#This Row],[Minutos*]]/60</f>
        <v>0.33333333333333331</v>
      </c>
      <c r="AS1415" s="27">
        <f>SUM(Tabla2[[#This Row],[Horas*]],Tabla2[[#This Row],[Minutos a Horas*]])+(Tabla2[[#This Row],[Tiempo Total a Nivel Proncincial (Horas)]])</f>
        <v>13.75</v>
      </c>
    </row>
    <row r="1416" spans="30:45" hidden="1" x14ac:dyDescent="0.25">
      <c r="AD1416" s="34" t="s">
        <v>2388</v>
      </c>
      <c r="AE1416" s="10" t="s">
        <v>390</v>
      </c>
      <c r="AF1416" s="20" t="s">
        <v>1732</v>
      </c>
      <c r="AG1416" s="10"/>
      <c r="AH1416" s="22" t="str">
        <f t="shared" si="44"/>
        <v xml:space="preserve">Piura_02 Ayabaca </v>
      </c>
      <c r="AI1416" s="10" t="s">
        <v>1722</v>
      </c>
      <c r="AJ1416" s="20" t="s">
        <v>1749</v>
      </c>
      <c r="AK1416" s="22" t="str">
        <f t="shared" si="45"/>
        <v>Piura_02 Ayabaca _02 Frias</v>
      </c>
      <c r="AL1416" s="25">
        <v>4</v>
      </c>
      <c r="AM1416" s="25">
        <v>25</v>
      </c>
      <c r="AN1416" s="26">
        <f>Tabla2[[#This Row],[Minutos]]/60</f>
        <v>0.41666666666666669</v>
      </c>
      <c r="AO1416" s="27">
        <f>SUM(Tabla2[[#This Row],[Horas]],Tabla2[[#This Row],[Minutos a Horas]])</f>
        <v>4.416666666666667</v>
      </c>
      <c r="AP1416" s="49">
        <v>5</v>
      </c>
      <c r="AQ1416" s="49">
        <v>40</v>
      </c>
      <c r="AR1416" s="26">
        <f>Tabla2[[#This Row],[Minutos*]]/60</f>
        <v>0.66666666666666663</v>
      </c>
      <c r="AS1416" s="27">
        <f>SUM(Tabla2[[#This Row],[Horas*]],Tabla2[[#This Row],[Minutos a Horas*]])+(Tabla2[[#This Row],[Tiempo Total a Nivel Proncincial (Horas)]])</f>
        <v>10.083333333333334</v>
      </c>
    </row>
    <row r="1417" spans="30:45" hidden="1" x14ac:dyDescent="0.25">
      <c r="AD1417" s="34" t="s">
        <v>2388</v>
      </c>
      <c r="AE1417" s="10" t="s">
        <v>390</v>
      </c>
      <c r="AF1417" s="20" t="s">
        <v>1732</v>
      </c>
      <c r="AG1417" s="10"/>
      <c r="AH1417" s="22" t="str">
        <f t="shared" si="44"/>
        <v xml:space="preserve">Piura_02 Ayabaca </v>
      </c>
      <c r="AI1417" s="10" t="s">
        <v>1722</v>
      </c>
      <c r="AJ1417" s="20" t="s">
        <v>1750</v>
      </c>
      <c r="AK1417" s="22" t="str">
        <f t="shared" si="45"/>
        <v>Piura_02 Ayabaca _03 Jilili</v>
      </c>
      <c r="AL1417" s="25">
        <v>4</v>
      </c>
      <c r="AM1417" s="25">
        <v>25</v>
      </c>
      <c r="AN1417" s="26">
        <f>Tabla2[[#This Row],[Minutos]]/60</f>
        <v>0.41666666666666669</v>
      </c>
      <c r="AO1417" s="27">
        <f>SUM(Tabla2[[#This Row],[Horas]],Tabla2[[#This Row],[Minutos a Horas]])</f>
        <v>4.416666666666667</v>
      </c>
      <c r="AP1417" s="49">
        <v>7</v>
      </c>
      <c r="AQ1417" s="49">
        <v>20</v>
      </c>
      <c r="AR1417" s="26">
        <f>Tabla2[[#This Row],[Minutos*]]/60</f>
        <v>0.33333333333333331</v>
      </c>
      <c r="AS1417" s="27">
        <f>SUM(Tabla2[[#This Row],[Horas*]],Tabla2[[#This Row],[Minutos a Horas*]])+(Tabla2[[#This Row],[Tiempo Total a Nivel Proncincial (Horas)]])</f>
        <v>11.75</v>
      </c>
    </row>
    <row r="1418" spans="30:45" hidden="1" x14ac:dyDescent="0.25">
      <c r="AD1418" s="34" t="s">
        <v>2388</v>
      </c>
      <c r="AE1418" s="10" t="s">
        <v>390</v>
      </c>
      <c r="AF1418" s="20" t="s">
        <v>1732</v>
      </c>
      <c r="AG1418" s="10"/>
      <c r="AH1418" s="22" t="str">
        <f t="shared" si="44"/>
        <v xml:space="preserve">Piura_02 Ayabaca </v>
      </c>
      <c r="AI1418" s="10" t="s">
        <v>1722</v>
      </c>
      <c r="AJ1418" s="20" t="s">
        <v>1751</v>
      </c>
      <c r="AK1418" s="22" t="str">
        <f t="shared" si="45"/>
        <v>Piura_02 Ayabaca _04 Lagunas</v>
      </c>
      <c r="AL1418" s="25">
        <v>4</v>
      </c>
      <c r="AM1418" s="25">
        <v>25</v>
      </c>
      <c r="AN1418" s="26">
        <f>Tabla2[[#This Row],[Minutos]]/60</f>
        <v>0.41666666666666669</v>
      </c>
      <c r="AO1418" s="27">
        <f>SUM(Tabla2[[#This Row],[Horas]],Tabla2[[#This Row],[Minutos a Horas]])</f>
        <v>4.416666666666667</v>
      </c>
      <c r="AP1418" s="49">
        <v>7</v>
      </c>
      <c r="AQ1418" s="49">
        <v>0</v>
      </c>
      <c r="AR1418" s="26">
        <f>Tabla2[[#This Row],[Minutos*]]/60</f>
        <v>0</v>
      </c>
      <c r="AS1418" s="27">
        <f>SUM(Tabla2[[#This Row],[Horas*]],Tabla2[[#This Row],[Minutos a Horas*]])+(Tabla2[[#This Row],[Tiempo Total a Nivel Proncincial (Horas)]])</f>
        <v>11.416666666666668</v>
      </c>
    </row>
    <row r="1419" spans="30:45" hidden="1" x14ac:dyDescent="0.25">
      <c r="AD1419" s="34" t="s">
        <v>2388</v>
      </c>
      <c r="AE1419" s="10" t="s">
        <v>390</v>
      </c>
      <c r="AF1419" s="20" t="s">
        <v>1732</v>
      </c>
      <c r="AG1419" s="10"/>
      <c r="AH1419" s="22" t="str">
        <f t="shared" si="44"/>
        <v xml:space="preserve">Piura_02 Ayabaca </v>
      </c>
      <c r="AI1419" s="10" t="s">
        <v>1722</v>
      </c>
      <c r="AJ1419" s="20" t="s">
        <v>1752</v>
      </c>
      <c r="AK1419" s="22" t="str">
        <f t="shared" si="45"/>
        <v>Piura_02 Ayabaca _05 Montero</v>
      </c>
      <c r="AL1419" s="25">
        <v>4</v>
      </c>
      <c r="AM1419" s="25">
        <v>25</v>
      </c>
      <c r="AN1419" s="26">
        <f>Tabla2[[#This Row],[Minutos]]/60</f>
        <v>0.41666666666666669</v>
      </c>
      <c r="AO1419" s="27">
        <f>SUM(Tabla2[[#This Row],[Horas]],Tabla2[[#This Row],[Minutos a Horas]])</f>
        <v>4.416666666666667</v>
      </c>
      <c r="AP1419" s="49">
        <v>6</v>
      </c>
      <c r="AQ1419" s="49">
        <v>15</v>
      </c>
      <c r="AR1419" s="26">
        <f>Tabla2[[#This Row],[Minutos*]]/60</f>
        <v>0.25</v>
      </c>
      <c r="AS1419" s="27">
        <f>SUM(Tabla2[[#This Row],[Horas*]],Tabla2[[#This Row],[Minutos a Horas*]])+(Tabla2[[#This Row],[Tiempo Total a Nivel Proncincial (Horas)]])</f>
        <v>10.666666666666668</v>
      </c>
    </row>
    <row r="1420" spans="30:45" hidden="1" x14ac:dyDescent="0.25">
      <c r="AD1420" s="34" t="s">
        <v>2388</v>
      </c>
      <c r="AE1420" s="10" t="s">
        <v>390</v>
      </c>
      <c r="AF1420" s="20" t="s">
        <v>1732</v>
      </c>
      <c r="AG1420" s="10"/>
      <c r="AH1420" s="22" t="str">
        <f t="shared" si="44"/>
        <v xml:space="preserve">Piura_02 Ayabaca </v>
      </c>
      <c r="AI1420" s="10" t="s">
        <v>1722</v>
      </c>
      <c r="AJ1420" s="20" t="s">
        <v>1753</v>
      </c>
      <c r="AK1420" s="22" t="str">
        <f t="shared" si="45"/>
        <v>Piura_02 Ayabaca _06 Pacaipampa</v>
      </c>
      <c r="AL1420" s="25">
        <v>4</v>
      </c>
      <c r="AM1420" s="25">
        <v>25</v>
      </c>
      <c r="AN1420" s="26">
        <f>Tabla2[[#This Row],[Minutos]]/60</f>
        <v>0.41666666666666669</v>
      </c>
      <c r="AO1420" s="27">
        <f>SUM(Tabla2[[#This Row],[Horas]],Tabla2[[#This Row],[Minutos a Horas]])</f>
        <v>4.416666666666667</v>
      </c>
      <c r="AP1420" s="49">
        <v>9</v>
      </c>
      <c r="AQ1420" s="49">
        <v>0</v>
      </c>
      <c r="AR1420" s="26">
        <f>Tabla2[[#This Row],[Minutos*]]/60</f>
        <v>0</v>
      </c>
      <c r="AS1420" s="27">
        <f>SUM(Tabla2[[#This Row],[Horas*]],Tabla2[[#This Row],[Minutos a Horas*]])+(Tabla2[[#This Row],[Tiempo Total a Nivel Proncincial (Horas)]])</f>
        <v>13.416666666666668</v>
      </c>
    </row>
    <row r="1421" spans="30:45" hidden="1" x14ac:dyDescent="0.25">
      <c r="AD1421" s="34" t="s">
        <v>2388</v>
      </c>
      <c r="AE1421" s="10" t="s">
        <v>390</v>
      </c>
      <c r="AF1421" s="20" t="s">
        <v>1732</v>
      </c>
      <c r="AG1421" s="10"/>
      <c r="AH1421" s="22" t="str">
        <f t="shared" si="44"/>
        <v xml:space="preserve">Piura_02 Ayabaca </v>
      </c>
      <c r="AI1421" s="10" t="s">
        <v>1722</v>
      </c>
      <c r="AJ1421" s="20" t="s">
        <v>1754</v>
      </c>
      <c r="AK1421" s="22" t="str">
        <f t="shared" si="45"/>
        <v>Piura_02 Ayabaca _07 Paimas</v>
      </c>
      <c r="AL1421" s="25">
        <v>4</v>
      </c>
      <c r="AM1421" s="25">
        <v>25</v>
      </c>
      <c r="AN1421" s="26">
        <f>Tabla2[[#This Row],[Minutos]]/60</f>
        <v>0.41666666666666669</v>
      </c>
      <c r="AO1421" s="27">
        <f>SUM(Tabla2[[#This Row],[Horas]],Tabla2[[#This Row],[Minutos a Horas]])</f>
        <v>4.416666666666667</v>
      </c>
      <c r="AP1421" s="49">
        <v>5</v>
      </c>
      <c r="AQ1421" s="49">
        <v>10</v>
      </c>
      <c r="AR1421" s="26">
        <f>Tabla2[[#This Row],[Minutos*]]/60</f>
        <v>0.16666666666666666</v>
      </c>
      <c r="AS1421" s="27">
        <f>SUM(Tabla2[[#This Row],[Horas*]],Tabla2[[#This Row],[Minutos a Horas*]])+(Tabla2[[#This Row],[Tiempo Total a Nivel Proncincial (Horas)]])</f>
        <v>9.5833333333333339</v>
      </c>
    </row>
    <row r="1422" spans="30:45" hidden="1" x14ac:dyDescent="0.25">
      <c r="AD1422" s="34" t="s">
        <v>2388</v>
      </c>
      <c r="AE1422" s="10" t="s">
        <v>390</v>
      </c>
      <c r="AF1422" s="20" t="s">
        <v>1732</v>
      </c>
      <c r="AG1422" s="10"/>
      <c r="AH1422" s="22" t="str">
        <f t="shared" si="44"/>
        <v xml:space="preserve">Piura_02 Ayabaca </v>
      </c>
      <c r="AI1422" s="10" t="s">
        <v>1722</v>
      </c>
      <c r="AJ1422" s="20" t="s">
        <v>1755</v>
      </c>
      <c r="AK1422" s="22" t="str">
        <f t="shared" si="45"/>
        <v>Piura_02 Ayabaca _08 Sapillica</v>
      </c>
      <c r="AL1422" s="25">
        <v>4</v>
      </c>
      <c r="AM1422" s="25">
        <v>25</v>
      </c>
      <c r="AN1422" s="26">
        <f>Tabla2[[#This Row],[Minutos]]/60</f>
        <v>0.41666666666666669</v>
      </c>
      <c r="AO1422" s="27">
        <f>SUM(Tabla2[[#This Row],[Horas]],Tabla2[[#This Row],[Minutos a Horas]])</f>
        <v>4.416666666666667</v>
      </c>
      <c r="AP1422" s="49">
        <v>5</v>
      </c>
      <c r="AQ1422" s="49">
        <v>30</v>
      </c>
      <c r="AR1422" s="26">
        <f>Tabla2[[#This Row],[Minutos*]]/60</f>
        <v>0.5</v>
      </c>
      <c r="AS1422" s="27">
        <f>SUM(Tabla2[[#This Row],[Horas*]],Tabla2[[#This Row],[Minutos a Horas*]])+(Tabla2[[#This Row],[Tiempo Total a Nivel Proncincial (Horas)]])</f>
        <v>9.9166666666666679</v>
      </c>
    </row>
    <row r="1423" spans="30:45" hidden="1" x14ac:dyDescent="0.25">
      <c r="AD1423" s="34" t="s">
        <v>2388</v>
      </c>
      <c r="AE1423" s="10" t="s">
        <v>390</v>
      </c>
      <c r="AF1423" s="20" t="s">
        <v>1732</v>
      </c>
      <c r="AG1423" s="10"/>
      <c r="AH1423" s="22" t="str">
        <f t="shared" si="44"/>
        <v xml:space="preserve">Piura_02 Ayabaca </v>
      </c>
      <c r="AI1423" s="10" t="s">
        <v>1722</v>
      </c>
      <c r="AJ1423" s="20" t="s">
        <v>1756</v>
      </c>
      <c r="AK1423" s="22" t="str">
        <f t="shared" si="45"/>
        <v>Piura_02 Ayabaca _09 Sicchez</v>
      </c>
      <c r="AL1423" s="25">
        <v>4</v>
      </c>
      <c r="AM1423" s="25">
        <v>25</v>
      </c>
      <c r="AN1423" s="26">
        <f>Tabla2[[#This Row],[Minutos]]/60</f>
        <v>0.41666666666666669</v>
      </c>
      <c r="AO1423" s="27">
        <f>SUM(Tabla2[[#This Row],[Horas]],Tabla2[[#This Row],[Minutos a Horas]])</f>
        <v>4.416666666666667</v>
      </c>
      <c r="AP1423" s="49">
        <v>9</v>
      </c>
      <c r="AQ1423" s="49">
        <v>10</v>
      </c>
      <c r="AR1423" s="26">
        <f>Tabla2[[#This Row],[Minutos*]]/60</f>
        <v>0.16666666666666666</v>
      </c>
      <c r="AS1423" s="27">
        <f>SUM(Tabla2[[#This Row],[Horas*]],Tabla2[[#This Row],[Minutos a Horas*]])+(Tabla2[[#This Row],[Tiempo Total a Nivel Proncincial (Horas)]])</f>
        <v>13.583333333333332</v>
      </c>
    </row>
    <row r="1424" spans="30:45" hidden="1" x14ac:dyDescent="0.25">
      <c r="AD1424" s="34" t="s">
        <v>2388</v>
      </c>
      <c r="AE1424" s="10" t="s">
        <v>390</v>
      </c>
      <c r="AF1424" s="20" t="s">
        <v>1732</v>
      </c>
      <c r="AG1424" s="10"/>
      <c r="AH1424" s="22" t="str">
        <f t="shared" si="44"/>
        <v xml:space="preserve">Piura_02 Ayabaca </v>
      </c>
      <c r="AI1424" s="10" t="s">
        <v>1722</v>
      </c>
      <c r="AJ1424" s="20" t="s">
        <v>1757</v>
      </c>
      <c r="AK1424" s="22" t="str">
        <f t="shared" si="45"/>
        <v>Piura_02 Ayabaca _10 Suyo</v>
      </c>
      <c r="AL1424" s="25">
        <v>4</v>
      </c>
      <c r="AM1424" s="25">
        <v>25</v>
      </c>
      <c r="AN1424" s="26">
        <f>Tabla2[[#This Row],[Minutos]]/60</f>
        <v>0.41666666666666669</v>
      </c>
      <c r="AO1424" s="27">
        <f>SUM(Tabla2[[#This Row],[Horas]],Tabla2[[#This Row],[Minutos a Horas]])</f>
        <v>4.416666666666667</v>
      </c>
      <c r="AP1424" s="49">
        <v>3</v>
      </c>
      <c r="AQ1424" s="49">
        <v>50</v>
      </c>
      <c r="AR1424" s="26">
        <f>Tabla2[[#This Row],[Minutos*]]/60</f>
        <v>0.83333333333333337</v>
      </c>
      <c r="AS1424" s="27">
        <f>SUM(Tabla2[[#This Row],[Horas*]],Tabla2[[#This Row],[Minutos a Horas*]])+(Tabla2[[#This Row],[Tiempo Total a Nivel Proncincial (Horas)]])</f>
        <v>8.25</v>
      </c>
    </row>
    <row r="1425" spans="30:45" hidden="1" x14ac:dyDescent="0.25">
      <c r="AD1425" s="34" t="s">
        <v>2388</v>
      </c>
      <c r="AE1425" s="10" t="s">
        <v>390</v>
      </c>
      <c r="AF1425" s="20" t="s">
        <v>1733</v>
      </c>
      <c r="AG1425" s="10"/>
      <c r="AH1425" s="22" t="str">
        <f t="shared" si="44"/>
        <v xml:space="preserve">Piura_03 Huancabamba </v>
      </c>
      <c r="AI1425" s="10" t="s">
        <v>1723</v>
      </c>
      <c r="AJ1425" s="20" t="s">
        <v>1758</v>
      </c>
      <c r="AK1425" s="22" t="str">
        <f t="shared" si="45"/>
        <v>Piura_03 Huancabamba _01 Huancabamba</v>
      </c>
      <c r="AL1425" s="25">
        <v>5</v>
      </c>
      <c r="AM1425" s="25">
        <v>14</v>
      </c>
      <c r="AN1425" s="26">
        <f>Tabla2[[#This Row],[Minutos]]/60</f>
        <v>0.23333333333333334</v>
      </c>
      <c r="AO1425" s="27">
        <f>SUM(Tabla2[[#This Row],[Horas]],Tabla2[[#This Row],[Minutos a Horas]])</f>
        <v>5.2333333333333334</v>
      </c>
      <c r="AP1425" s="49">
        <v>8</v>
      </c>
      <c r="AQ1425" s="49">
        <v>30</v>
      </c>
      <c r="AR1425" s="26">
        <f>Tabla2[[#This Row],[Minutos*]]/60</f>
        <v>0.5</v>
      </c>
      <c r="AS1425" s="27">
        <f>SUM(Tabla2[[#This Row],[Horas*]],Tabla2[[#This Row],[Minutos a Horas*]])+(Tabla2[[#This Row],[Tiempo Total a Nivel Proncincial (Horas)]])</f>
        <v>13.733333333333334</v>
      </c>
    </row>
    <row r="1426" spans="30:45" hidden="1" x14ac:dyDescent="0.25">
      <c r="AD1426" s="34" t="s">
        <v>2388</v>
      </c>
      <c r="AE1426" s="10" t="s">
        <v>390</v>
      </c>
      <c r="AF1426" s="20" t="s">
        <v>1733</v>
      </c>
      <c r="AG1426" s="10"/>
      <c r="AH1426" s="22" t="str">
        <f t="shared" si="44"/>
        <v xml:space="preserve">Piura_03 Huancabamba </v>
      </c>
      <c r="AI1426" s="10" t="s">
        <v>1723</v>
      </c>
      <c r="AJ1426" s="20" t="s">
        <v>1759</v>
      </c>
      <c r="AK1426" s="22" t="str">
        <f t="shared" si="45"/>
        <v>Piura_03 Huancabamba _02 Canchaque</v>
      </c>
      <c r="AL1426" s="25">
        <v>5</v>
      </c>
      <c r="AM1426" s="25">
        <v>14</v>
      </c>
      <c r="AN1426" s="26">
        <f>Tabla2[[#This Row],[Minutos]]/60</f>
        <v>0.23333333333333334</v>
      </c>
      <c r="AO1426" s="27">
        <f>SUM(Tabla2[[#This Row],[Horas]],Tabla2[[#This Row],[Minutos a Horas]])</f>
        <v>5.2333333333333334</v>
      </c>
      <c r="AP1426" s="49">
        <v>3</v>
      </c>
      <c r="AQ1426" s="49">
        <v>40</v>
      </c>
      <c r="AR1426" s="26">
        <f>Tabla2[[#This Row],[Minutos*]]/60</f>
        <v>0.66666666666666663</v>
      </c>
      <c r="AS1426" s="27">
        <f>SUM(Tabla2[[#This Row],[Horas*]],Tabla2[[#This Row],[Minutos a Horas*]])+(Tabla2[[#This Row],[Tiempo Total a Nivel Proncincial (Horas)]])</f>
        <v>8.9</v>
      </c>
    </row>
    <row r="1427" spans="30:45" hidden="1" x14ac:dyDescent="0.25">
      <c r="AD1427" s="34" t="s">
        <v>2388</v>
      </c>
      <c r="AE1427" s="10" t="s">
        <v>390</v>
      </c>
      <c r="AF1427" s="20" t="s">
        <v>1733</v>
      </c>
      <c r="AG1427" s="10"/>
      <c r="AH1427" s="22" t="str">
        <f t="shared" si="44"/>
        <v xml:space="preserve">Piura_03 Huancabamba </v>
      </c>
      <c r="AI1427" s="10" t="s">
        <v>1723</v>
      </c>
      <c r="AJ1427" s="20" t="s">
        <v>1760</v>
      </c>
      <c r="AK1427" s="22" t="str">
        <f t="shared" si="45"/>
        <v>Piura_03 Huancabamba _03 El Carmen de la Frontera</v>
      </c>
      <c r="AL1427" s="25">
        <v>5</v>
      </c>
      <c r="AM1427" s="25">
        <v>14</v>
      </c>
      <c r="AN1427" s="26">
        <f>Tabla2[[#This Row],[Minutos]]/60</f>
        <v>0.23333333333333334</v>
      </c>
      <c r="AO1427" s="27">
        <f>SUM(Tabla2[[#This Row],[Horas]],Tabla2[[#This Row],[Minutos a Horas]])</f>
        <v>5.2333333333333334</v>
      </c>
      <c r="AP1427" s="49">
        <v>9</v>
      </c>
      <c r="AQ1427" s="49">
        <v>10</v>
      </c>
      <c r="AR1427" s="26">
        <f>Tabla2[[#This Row],[Minutos*]]/60</f>
        <v>0.16666666666666666</v>
      </c>
      <c r="AS1427" s="27">
        <f>SUM(Tabla2[[#This Row],[Horas*]],Tabla2[[#This Row],[Minutos a Horas*]])+(Tabla2[[#This Row],[Tiempo Total a Nivel Proncincial (Horas)]])</f>
        <v>14.399999999999999</v>
      </c>
    </row>
    <row r="1428" spans="30:45" hidden="1" x14ac:dyDescent="0.25">
      <c r="AD1428" s="34" t="s">
        <v>2388</v>
      </c>
      <c r="AE1428" s="10" t="s">
        <v>390</v>
      </c>
      <c r="AF1428" s="20" t="s">
        <v>1733</v>
      </c>
      <c r="AG1428" s="10"/>
      <c r="AH1428" s="22" t="str">
        <f t="shared" si="44"/>
        <v xml:space="preserve">Piura_03 Huancabamba </v>
      </c>
      <c r="AI1428" s="10" t="s">
        <v>1723</v>
      </c>
      <c r="AJ1428" s="20" t="s">
        <v>1761</v>
      </c>
      <c r="AK1428" s="22" t="str">
        <f t="shared" si="45"/>
        <v>Piura_03 Huancabamba _04 Huarmaca</v>
      </c>
      <c r="AL1428" s="25">
        <v>5</v>
      </c>
      <c r="AM1428" s="25">
        <v>14</v>
      </c>
      <c r="AN1428" s="26">
        <f>Tabla2[[#This Row],[Minutos]]/60</f>
        <v>0.23333333333333334</v>
      </c>
      <c r="AO1428" s="27">
        <f>SUM(Tabla2[[#This Row],[Horas]],Tabla2[[#This Row],[Minutos a Horas]])</f>
        <v>5.2333333333333334</v>
      </c>
      <c r="AP1428" s="49">
        <v>8</v>
      </c>
      <c r="AQ1428" s="49">
        <v>40</v>
      </c>
      <c r="AR1428" s="26">
        <f>Tabla2[[#This Row],[Minutos*]]/60</f>
        <v>0.66666666666666663</v>
      </c>
      <c r="AS1428" s="27">
        <f>SUM(Tabla2[[#This Row],[Horas*]],Tabla2[[#This Row],[Minutos a Horas*]])+(Tabla2[[#This Row],[Tiempo Total a Nivel Proncincial (Horas)]])</f>
        <v>13.899999999999999</v>
      </c>
    </row>
    <row r="1429" spans="30:45" hidden="1" x14ac:dyDescent="0.25">
      <c r="AD1429" s="34" t="s">
        <v>2388</v>
      </c>
      <c r="AE1429" s="10" t="s">
        <v>390</v>
      </c>
      <c r="AF1429" s="20" t="s">
        <v>1733</v>
      </c>
      <c r="AG1429" s="10"/>
      <c r="AH1429" s="22" t="str">
        <f t="shared" si="44"/>
        <v xml:space="preserve">Piura_03 Huancabamba </v>
      </c>
      <c r="AI1429" s="10" t="s">
        <v>1723</v>
      </c>
      <c r="AJ1429" s="20" t="s">
        <v>1762</v>
      </c>
      <c r="AK1429" s="22" t="str">
        <f t="shared" si="45"/>
        <v>Piura_03 Huancabamba _05 Lalaquiz</v>
      </c>
      <c r="AL1429" s="25">
        <v>5</v>
      </c>
      <c r="AM1429" s="25">
        <v>14</v>
      </c>
      <c r="AN1429" s="26">
        <f>Tabla2[[#This Row],[Minutos]]/60</f>
        <v>0.23333333333333334</v>
      </c>
      <c r="AO1429" s="27">
        <f>SUM(Tabla2[[#This Row],[Horas]],Tabla2[[#This Row],[Minutos a Horas]])</f>
        <v>5.2333333333333334</v>
      </c>
      <c r="AP1429" s="49">
        <v>5</v>
      </c>
      <c r="AQ1429" s="49">
        <v>0</v>
      </c>
      <c r="AR1429" s="26">
        <f>Tabla2[[#This Row],[Minutos*]]/60</f>
        <v>0</v>
      </c>
      <c r="AS1429" s="27">
        <f>SUM(Tabla2[[#This Row],[Horas*]],Tabla2[[#This Row],[Minutos a Horas*]])+(Tabla2[[#This Row],[Tiempo Total a Nivel Proncincial (Horas)]])</f>
        <v>10.233333333333334</v>
      </c>
    </row>
    <row r="1430" spans="30:45" hidden="1" x14ac:dyDescent="0.25">
      <c r="AD1430" s="34" t="s">
        <v>2388</v>
      </c>
      <c r="AE1430" s="10" t="s">
        <v>390</v>
      </c>
      <c r="AF1430" s="20" t="s">
        <v>1733</v>
      </c>
      <c r="AG1430" s="10"/>
      <c r="AH1430" s="22" t="str">
        <f t="shared" si="44"/>
        <v xml:space="preserve">Piura_03 Huancabamba </v>
      </c>
      <c r="AI1430" s="10" t="s">
        <v>1723</v>
      </c>
      <c r="AJ1430" s="20" t="s">
        <v>1763</v>
      </c>
      <c r="AK1430" s="22" t="str">
        <f t="shared" si="45"/>
        <v>Piura_03 Huancabamba _06 San Miguel de El Faique</v>
      </c>
      <c r="AL1430" s="25">
        <v>5</v>
      </c>
      <c r="AM1430" s="25">
        <v>14</v>
      </c>
      <c r="AN1430" s="26">
        <f>Tabla2[[#This Row],[Minutos]]/60</f>
        <v>0.23333333333333334</v>
      </c>
      <c r="AO1430" s="27">
        <f>SUM(Tabla2[[#This Row],[Horas]],Tabla2[[#This Row],[Minutos a Horas]])</f>
        <v>5.2333333333333334</v>
      </c>
      <c r="AP1430" s="49">
        <v>4</v>
      </c>
      <c r="AQ1430" s="49">
        <v>0</v>
      </c>
      <c r="AR1430" s="26">
        <f>Tabla2[[#This Row],[Minutos*]]/60</f>
        <v>0</v>
      </c>
      <c r="AS1430" s="27">
        <f>SUM(Tabla2[[#This Row],[Horas*]],Tabla2[[#This Row],[Minutos a Horas*]])+(Tabla2[[#This Row],[Tiempo Total a Nivel Proncincial (Horas)]])</f>
        <v>9.2333333333333343</v>
      </c>
    </row>
    <row r="1431" spans="30:45" hidden="1" x14ac:dyDescent="0.25">
      <c r="AD1431" s="34" t="s">
        <v>2388</v>
      </c>
      <c r="AE1431" s="10" t="s">
        <v>390</v>
      </c>
      <c r="AF1431" s="20" t="s">
        <v>1733</v>
      </c>
      <c r="AG1431" s="10"/>
      <c r="AH1431" s="22" t="str">
        <f t="shared" si="44"/>
        <v xml:space="preserve">Piura_03 Huancabamba </v>
      </c>
      <c r="AI1431" s="10" t="s">
        <v>1723</v>
      </c>
      <c r="AJ1431" s="20" t="s">
        <v>1764</v>
      </c>
      <c r="AK1431" s="22" t="str">
        <f t="shared" si="45"/>
        <v>Piura_03 Huancabamba _07 Sondor</v>
      </c>
      <c r="AL1431" s="25">
        <v>5</v>
      </c>
      <c r="AM1431" s="25">
        <v>14</v>
      </c>
      <c r="AN1431" s="26">
        <f>Tabla2[[#This Row],[Minutos]]/60</f>
        <v>0.23333333333333334</v>
      </c>
      <c r="AO1431" s="27">
        <f>SUM(Tabla2[[#This Row],[Horas]],Tabla2[[#This Row],[Minutos a Horas]])</f>
        <v>5.2333333333333334</v>
      </c>
      <c r="AP1431" s="49">
        <v>7</v>
      </c>
      <c r="AQ1431" s="49">
        <v>40</v>
      </c>
      <c r="AR1431" s="26">
        <f>Tabla2[[#This Row],[Minutos*]]/60</f>
        <v>0.66666666666666663</v>
      </c>
      <c r="AS1431" s="27">
        <f>SUM(Tabla2[[#This Row],[Horas*]],Tabla2[[#This Row],[Minutos a Horas*]])+(Tabla2[[#This Row],[Tiempo Total a Nivel Proncincial (Horas)]])</f>
        <v>12.9</v>
      </c>
    </row>
    <row r="1432" spans="30:45" hidden="1" x14ac:dyDescent="0.25">
      <c r="AD1432" s="34" t="s">
        <v>2388</v>
      </c>
      <c r="AE1432" s="10" t="s">
        <v>390</v>
      </c>
      <c r="AF1432" s="20" t="s">
        <v>1733</v>
      </c>
      <c r="AG1432" s="10"/>
      <c r="AH1432" s="22" t="str">
        <f t="shared" si="44"/>
        <v xml:space="preserve">Piura_03 Huancabamba </v>
      </c>
      <c r="AI1432" s="10" t="s">
        <v>1723</v>
      </c>
      <c r="AJ1432" s="20" t="s">
        <v>1765</v>
      </c>
      <c r="AK1432" s="22" t="str">
        <f t="shared" si="45"/>
        <v>Piura_03 Huancabamba _08 Sondorillo</v>
      </c>
      <c r="AL1432" s="25">
        <v>5</v>
      </c>
      <c r="AM1432" s="25">
        <v>14</v>
      </c>
      <c r="AN1432" s="26">
        <f>Tabla2[[#This Row],[Minutos]]/60</f>
        <v>0.23333333333333334</v>
      </c>
      <c r="AO1432" s="27">
        <f>SUM(Tabla2[[#This Row],[Horas]],Tabla2[[#This Row],[Minutos a Horas]])</f>
        <v>5.2333333333333334</v>
      </c>
      <c r="AP1432" s="49">
        <v>8</v>
      </c>
      <c r="AQ1432" s="49">
        <v>10</v>
      </c>
      <c r="AR1432" s="26">
        <f>Tabla2[[#This Row],[Minutos*]]/60</f>
        <v>0.16666666666666666</v>
      </c>
      <c r="AS1432" s="27">
        <f>SUM(Tabla2[[#This Row],[Horas*]],Tabla2[[#This Row],[Minutos a Horas*]])+(Tabla2[[#This Row],[Tiempo Total a Nivel Proncincial (Horas)]])</f>
        <v>13.399999999999999</v>
      </c>
    </row>
    <row r="1433" spans="30:45" hidden="1" x14ac:dyDescent="0.25">
      <c r="AD1433" s="34" t="s">
        <v>2388</v>
      </c>
      <c r="AE1433" s="10" t="s">
        <v>390</v>
      </c>
      <c r="AF1433" s="20" t="s">
        <v>1734</v>
      </c>
      <c r="AG1433" s="10"/>
      <c r="AH1433" s="22" t="str">
        <f t="shared" si="44"/>
        <v xml:space="preserve">Piura_04 Morropón </v>
      </c>
      <c r="AI1433" s="10" t="s">
        <v>1724</v>
      </c>
      <c r="AJ1433" s="20" t="s">
        <v>1766</v>
      </c>
      <c r="AK1433" s="22" t="str">
        <f t="shared" si="45"/>
        <v>Piura_04 Morropón _01 Chulucanas</v>
      </c>
      <c r="AL1433" s="25">
        <v>1</v>
      </c>
      <c r="AM1433" s="25">
        <v>5</v>
      </c>
      <c r="AN1433" s="26">
        <f>Tabla2[[#This Row],[Minutos]]/60</f>
        <v>8.3333333333333329E-2</v>
      </c>
      <c r="AO1433" s="27">
        <f>SUM(Tabla2[[#This Row],[Horas]],Tabla2[[#This Row],[Minutos a Horas]])</f>
        <v>1.0833333333333333</v>
      </c>
      <c r="AP1433" s="49">
        <v>1</v>
      </c>
      <c r="AQ1433" s="49">
        <v>35</v>
      </c>
      <c r="AR1433" s="26">
        <f>Tabla2[[#This Row],[Minutos*]]/60</f>
        <v>0.58333333333333337</v>
      </c>
      <c r="AS1433" s="27">
        <f>SUM(Tabla2[[#This Row],[Horas*]],Tabla2[[#This Row],[Minutos a Horas*]])+(Tabla2[[#This Row],[Tiempo Total a Nivel Proncincial (Horas)]])</f>
        <v>2.666666666666667</v>
      </c>
    </row>
    <row r="1434" spans="30:45" hidden="1" x14ac:dyDescent="0.25">
      <c r="AD1434" s="34" t="s">
        <v>2388</v>
      </c>
      <c r="AE1434" s="10" t="s">
        <v>390</v>
      </c>
      <c r="AF1434" s="20" t="s">
        <v>1734</v>
      </c>
      <c r="AG1434" s="10"/>
      <c r="AH1434" s="22" t="str">
        <f t="shared" ref="AH1434:AH1497" si="46">CONCATENATE(AD1434,"_",AF1434)</f>
        <v xml:space="preserve">Piura_04 Morropón </v>
      </c>
      <c r="AI1434" s="10" t="s">
        <v>1724</v>
      </c>
      <c r="AJ1434" s="20" t="s">
        <v>1767</v>
      </c>
      <c r="AK1434" s="22" t="str">
        <f t="shared" ref="AK1434:AK1497" si="47">CONCATENATE(AH1434,"_",AJ1434)</f>
        <v>Piura_04 Morropón _02 Buenos Aires</v>
      </c>
      <c r="AL1434" s="25">
        <v>1</v>
      </c>
      <c r="AM1434" s="25">
        <v>5</v>
      </c>
      <c r="AN1434" s="26">
        <f>Tabla2[[#This Row],[Minutos]]/60</f>
        <v>8.3333333333333329E-2</v>
      </c>
      <c r="AO1434" s="27">
        <f>SUM(Tabla2[[#This Row],[Horas]],Tabla2[[#This Row],[Minutos a Horas]])</f>
        <v>1.0833333333333333</v>
      </c>
      <c r="AP1434" s="49">
        <v>1</v>
      </c>
      <c r="AQ1434" s="49">
        <v>52</v>
      </c>
      <c r="AR1434" s="26">
        <f>Tabla2[[#This Row],[Minutos*]]/60</f>
        <v>0.8666666666666667</v>
      </c>
      <c r="AS1434" s="27">
        <f>SUM(Tabla2[[#This Row],[Horas*]],Tabla2[[#This Row],[Minutos a Horas*]])+(Tabla2[[#This Row],[Tiempo Total a Nivel Proncincial (Horas)]])</f>
        <v>2.95</v>
      </c>
    </row>
    <row r="1435" spans="30:45" hidden="1" x14ac:dyDescent="0.25">
      <c r="AD1435" s="34" t="s">
        <v>2388</v>
      </c>
      <c r="AE1435" s="10" t="s">
        <v>390</v>
      </c>
      <c r="AF1435" s="20" t="s">
        <v>1734</v>
      </c>
      <c r="AG1435" s="10"/>
      <c r="AH1435" s="22" t="str">
        <f t="shared" si="46"/>
        <v xml:space="preserve">Piura_04 Morropón </v>
      </c>
      <c r="AI1435" s="10" t="s">
        <v>1724</v>
      </c>
      <c r="AJ1435" s="20" t="s">
        <v>1768</v>
      </c>
      <c r="AK1435" s="22" t="str">
        <f t="shared" si="47"/>
        <v>Piura_04 Morropón _03 Chalaco</v>
      </c>
      <c r="AL1435" s="25">
        <v>1</v>
      </c>
      <c r="AM1435" s="25">
        <v>5</v>
      </c>
      <c r="AN1435" s="26">
        <f>Tabla2[[#This Row],[Minutos]]/60</f>
        <v>8.3333333333333329E-2</v>
      </c>
      <c r="AO1435" s="27">
        <f>SUM(Tabla2[[#This Row],[Horas]],Tabla2[[#This Row],[Minutos a Horas]])</f>
        <v>1.0833333333333333</v>
      </c>
      <c r="AP1435" s="49">
        <v>6</v>
      </c>
      <c r="AQ1435" s="49">
        <v>20</v>
      </c>
      <c r="AR1435" s="26">
        <f>Tabla2[[#This Row],[Minutos*]]/60</f>
        <v>0.33333333333333331</v>
      </c>
      <c r="AS1435" s="27">
        <f>SUM(Tabla2[[#This Row],[Horas*]],Tabla2[[#This Row],[Minutos a Horas*]])+(Tabla2[[#This Row],[Tiempo Total a Nivel Proncincial (Horas)]])</f>
        <v>7.4166666666666661</v>
      </c>
    </row>
    <row r="1436" spans="30:45" hidden="1" x14ac:dyDescent="0.25">
      <c r="AD1436" s="34" t="s">
        <v>2388</v>
      </c>
      <c r="AE1436" s="10" t="s">
        <v>390</v>
      </c>
      <c r="AF1436" s="20" t="s">
        <v>1734</v>
      </c>
      <c r="AG1436" s="10"/>
      <c r="AH1436" s="22" t="str">
        <f t="shared" si="46"/>
        <v xml:space="preserve">Piura_04 Morropón </v>
      </c>
      <c r="AI1436" s="10" t="s">
        <v>1724</v>
      </c>
      <c r="AJ1436" s="20" t="s">
        <v>1769</v>
      </c>
      <c r="AK1436" s="22" t="str">
        <f t="shared" si="47"/>
        <v>Piura_04 Morropón _04 La Matanza</v>
      </c>
      <c r="AL1436" s="25">
        <v>1</v>
      </c>
      <c r="AM1436" s="25">
        <v>5</v>
      </c>
      <c r="AN1436" s="26">
        <f>Tabla2[[#This Row],[Minutos]]/60</f>
        <v>8.3333333333333329E-2</v>
      </c>
      <c r="AO1436" s="27">
        <f>SUM(Tabla2[[#This Row],[Horas]],Tabla2[[#This Row],[Minutos a Horas]])</f>
        <v>1.0833333333333333</v>
      </c>
      <c r="AP1436" s="49">
        <v>1</v>
      </c>
      <c r="AQ1436" s="49">
        <v>40</v>
      </c>
      <c r="AR1436" s="26">
        <f>Tabla2[[#This Row],[Minutos*]]/60</f>
        <v>0.66666666666666663</v>
      </c>
      <c r="AS1436" s="27">
        <f>SUM(Tabla2[[#This Row],[Horas*]],Tabla2[[#This Row],[Minutos a Horas*]])+(Tabla2[[#This Row],[Tiempo Total a Nivel Proncincial (Horas)]])</f>
        <v>2.75</v>
      </c>
    </row>
    <row r="1437" spans="30:45" hidden="1" x14ac:dyDescent="0.25">
      <c r="AD1437" s="34" t="s">
        <v>2388</v>
      </c>
      <c r="AE1437" s="10" t="s">
        <v>390</v>
      </c>
      <c r="AF1437" s="20" t="s">
        <v>1734</v>
      </c>
      <c r="AG1437" s="10"/>
      <c r="AH1437" s="22" t="str">
        <f t="shared" si="46"/>
        <v xml:space="preserve">Piura_04 Morropón </v>
      </c>
      <c r="AI1437" s="10" t="s">
        <v>1724</v>
      </c>
      <c r="AJ1437" s="20" t="s">
        <v>1770</v>
      </c>
      <c r="AK1437" s="22" t="str">
        <f t="shared" si="47"/>
        <v>Piura_04 Morropón _05 Morropon</v>
      </c>
      <c r="AL1437" s="25">
        <v>1</v>
      </c>
      <c r="AM1437" s="25">
        <v>5</v>
      </c>
      <c r="AN1437" s="26">
        <f>Tabla2[[#This Row],[Minutos]]/60</f>
        <v>8.3333333333333329E-2</v>
      </c>
      <c r="AO1437" s="27">
        <f>SUM(Tabla2[[#This Row],[Horas]],Tabla2[[#This Row],[Minutos a Horas]])</f>
        <v>1.0833333333333333</v>
      </c>
      <c r="AP1437" s="49">
        <v>1</v>
      </c>
      <c r="AQ1437" s="49">
        <v>33</v>
      </c>
      <c r="AR1437" s="26">
        <f>Tabla2[[#This Row],[Minutos*]]/60</f>
        <v>0.55000000000000004</v>
      </c>
      <c r="AS1437" s="27">
        <f>SUM(Tabla2[[#This Row],[Horas*]],Tabla2[[#This Row],[Minutos a Horas*]])+(Tabla2[[#This Row],[Tiempo Total a Nivel Proncincial (Horas)]])</f>
        <v>2.6333333333333333</v>
      </c>
    </row>
    <row r="1438" spans="30:45" hidden="1" x14ac:dyDescent="0.25">
      <c r="AD1438" s="34" t="s">
        <v>2388</v>
      </c>
      <c r="AE1438" s="10" t="s">
        <v>390</v>
      </c>
      <c r="AF1438" s="20" t="s">
        <v>1734</v>
      </c>
      <c r="AG1438" s="10"/>
      <c r="AH1438" s="22" t="str">
        <f t="shared" si="46"/>
        <v xml:space="preserve">Piura_04 Morropón </v>
      </c>
      <c r="AI1438" s="10" t="s">
        <v>1724</v>
      </c>
      <c r="AJ1438" s="20" t="s">
        <v>1771</v>
      </c>
      <c r="AK1438" s="22" t="str">
        <f t="shared" si="47"/>
        <v>Piura_04 Morropón _06 Salitral</v>
      </c>
      <c r="AL1438" s="25">
        <v>1</v>
      </c>
      <c r="AM1438" s="25">
        <v>5</v>
      </c>
      <c r="AN1438" s="26">
        <f>Tabla2[[#This Row],[Minutos]]/60</f>
        <v>8.3333333333333329E-2</v>
      </c>
      <c r="AO1438" s="27">
        <f>SUM(Tabla2[[#This Row],[Horas]],Tabla2[[#This Row],[Minutos a Horas]])</f>
        <v>1.0833333333333333</v>
      </c>
      <c r="AP1438" s="49">
        <v>2</v>
      </c>
      <c r="AQ1438" s="49">
        <v>40</v>
      </c>
      <c r="AR1438" s="26">
        <f>Tabla2[[#This Row],[Minutos*]]/60</f>
        <v>0.66666666666666663</v>
      </c>
      <c r="AS1438" s="27">
        <f>SUM(Tabla2[[#This Row],[Horas*]],Tabla2[[#This Row],[Minutos a Horas*]])+(Tabla2[[#This Row],[Tiempo Total a Nivel Proncincial (Horas)]])</f>
        <v>3.75</v>
      </c>
    </row>
    <row r="1439" spans="30:45" hidden="1" x14ac:dyDescent="0.25">
      <c r="AD1439" s="34" t="s">
        <v>2388</v>
      </c>
      <c r="AE1439" s="10" t="s">
        <v>390</v>
      </c>
      <c r="AF1439" s="20" t="s">
        <v>1734</v>
      </c>
      <c r="AG1439" s="10"/>
      <c r="AH1439" s="22" t="str">
        <f t="shared" si="46"/>
        <v xml:space="preserve">Piura_04 Morropón </v>
      </c>
      <c r="AI1439" s="10" t="s">
        <v>1724</v>
      </c>
      <c r="AJ1439" s="20" t="s">
        <v>1772</v>
      </c>
      <c r="AK1439" s="22" t="str">
        <f t="shared" si="47"/>
        <v>Piura_04 Morropón _07 San Juan de Bigote</v>
      </c>
      <c r="AL1439" s="25">
        <v>1</v>
      </c>
      <c r="AM1439" s="25">
        <v>5</v>
      </c>
      <c r="AN1439" s="26">
        <f>Tabla2[[#This Row],[Minutos]]/60</f>
        <v>8.3333333333333329E-2</v>
      </c>
      <c r="AO1439" s="27">
        <f>SUM(Tabla2[[#This Row],[Horas]],Tabla2[[#This Row],[Minutos a Horas]])</f>
        <v>1.0833333333333333</v>
      </c>
      <c r="AP1439" s="49">
        <v>2</v>
      </c>
      <c r="AQ1439" s="49">
        <v>55</v>
      </c>
      <c r="AR1439" s="26">
        <f>Tabla2[[#This Row],[Minutos*]]/60</f>
        <v>0.91666666666666663</v>
      </c>
      <c r="AS1439" s="27">
        <f>SUM(Tabla2[[#This Row],[Horas*]],Tabla2[[#This Row],[Minutos a Horas*]])+(Tabla2[[#This Row],[Tiempo Total a Nivel Proncincial (Horas)]])</f>
        <v>4</v>
      </c>
    </row>
    <row r="1440" spans="30:45" hidden="1" x14ac:dyDescent="0.25">
      <c r="AD1440" s="34" t="s">
        <v>2388</v>
      </c>
      <c r="AE1440" s="10" t="s">
        <v>390</v>
      </c>
      <c r="AF1440" s="20" t="s">
        <v>1734</v>
      </c>
      <c r="AG1440" s="10"/>
      <c r="AH1440" s="22" t="str">
        <f t="shared" si="46"/>
        <v xml:space="preserve">Piura_04 Morropón </v>
      </c>
      <c r="AI1440" s="10" t="s">
        <v>1724</v>
      </c>
      <c r="AJ1440" s="20" t="s">
        <v>1773</v>
      </c>
      <c r="AK1440" s="22" t="str">
        <f t="shared" si="47"/>
        <v>Piura_04 Morropón _08 Santa Catalina de Mossa</v>
      </c>
      <c r="AL1440" s="25">
        <v>1</v>
      </c>
      <c r="AM1440" s="25">
        <v>5</v>
      </c>
      <c r="AN1440" s="26">
        <f>Tabla2[[#This Row],[Minutos]]/60</f>
        <v>8.3333333333333329E-2</v>
      </c>
      <c r="AO1440" s="27">
        <f>SUM(Tabla2[[#This Row],[Horas]],Tabla2[[#This Row],[Minutos a Horas]])</f>
        <v>1.0833333333333333</v>
      </c>
      <c r="AP1440" s="49">
        <v>2</v>
      </c>
      <c r="AQ1440" s="49">
        <v>50</v>
      </c>
      <c r="AR1440" s="26">
        <f>Tabla2[[#This Row],[Minutos*]]/60</f>
        <v>0.83333333333333337</v>
      </c>
      <c r="AS1440" s="27">
        <f>SUM(Tabla2[[#This Row],[Horas*]],Tabla2[[#This Row],[Minutos a Horas*]])+(Tabla2[[#This Row],[Tiempo Total a Nivel Proncincial (Horas)]])</f>
        <v>3.916666666666667</v>
      </c>
    </row>
    <row r="1441" spans="30:45" hidden="1" x14ac:dyDescent="0.25">
      <c r="AD1441" s="34" t="s">
        <v>2388</v>
      </c>
      <c r="AE1441" s="10" t="s">
        <v>390</v>
      </c>
      <c r="AF1441" s="20" t="s">
        <v>1734</v>
      </c>
      <c r="AG1441" s="10"/>
      <c r="AH1441" s="22" t="str">
        <f t="shared" si="46"/>
        <v xml:space="preserve">Piura_04 Morropón </v>
      </c>
      <c r="AI1441" s="10" t="s">
        <v>1724</v>
      </c>
      <c r="AJ1441" s="20" t="s">
        <v>1774</v>
      </c>
      <c r="AK1441" s="22" t="str">
        <f t="shared" si="47"/>
        <v>Piura_04 Morropón _09 Santo Domingo</v>
      </c>
      <c r="AL1441" s="25">
        <v>1</v>
      </c>
      <c r="AM1441" s="25">
        <v>5</v>
      </c>
      <c r="AN1441" s="26">
        <f>Tabla2[[#This Row],[Minutos]]/60</f>
        <v>8.3333333333333329E-2</v>
      </c>
      <c r="AO1441" s="27">
        <f>SUM(Tabla2[[#This Row],[Horas]],Tabla2[[#This Row],[Minutos a Horas]])</f>
        <v>1.0833333333333333</v>
      </c>
      <c r="AP1441" s="49">
        <v>4</v>
      </c>
      <c r="AQ1441" s="49">
        <v>10</v>
      </c>
      <c r="AR1441" s="26">
        <f>Tabla2[[#This Row],[Minutos*]]/60</f>
        <v>0.16666666666666666</v>
      </c>
      <c r="AS1441" s="27">
        <f>SUM(Tabla2[[#This Row],[Horas*]],Tabla2[[#This Row],[Minutos a Horas*]])+(Tabla2[[#This Row],[Tiempo Total a Nivel Proncincial (Horas)]])</f>
        <v>5.25</v>
      </c>
    </row>
    <row r="1442" spans="30:45" hidden="1" x14ac:dyDescent="0.25">
      <c r="AD1442" s="34" t="s">
        <v>2388</v>
      </c>
      <c r="AE1442" s="10" t="s">
        <v>390</v>
      </c>
      <c r="AF1442" s="20" t="s">
        <v>1734</v>
      </c>
      <c r="AG1442" s="10"/>
      <c r="AH1442" s="22" t="str">
        <f t="shared" si="46"/>
        <v xml:space="preserve">Piura_04 Morropón </v>
      </c>
      <c r="AI1442" s="10" t="s">
        <v>1724</v>
      </c>
      <c r="AJ1442" s="20" t="s">
        <v>1775</v>
      </c>
      <c r="AK1442" s="22" t="str">
        <f t="shared" si="47"/>
        <v>Piura_04 Morropón _10 Yamango</v>
      </c>
      <c r="AL1442" s="25">
        <v>1</v>
      </c>
      <c r="AM1442" s="25">
        <v>5</v>
      </c>
      <c r="AN1442" s="26">
        <f>Tabla2[[#This Row],[Minutos]]/60</f>
        <v>8.3333333333333329E-2</v>
      </c>
      <c r="AO1442" s="27">
        <f>SUM(Tabla2[[#This Row],[Horas]],Tabla2[[#This Row],[Minutos a Horas]])</f>
        <v>1.0833333333333333</v>
      </c>
      <c r="AP1442" s="49">
        <v>4</v>
      </c>
      <c r="AQ1442" s="49">
        <v>20</v>
      </c>
      <c r="AR1442" s="26">
        <f>Tabla2[[#This Row],[Minutos*]]/60</f>
        <v>0.33333333333333331</v>
      </c>
      <c r="AS1442" s="27">
        <f>SUM(Tabla2[[#This Row],[Horas*]],Tabla2[[#This Row],[Minutos a Horas*]])+(Tabla2[[#This Row],[Tiempo Total a Nivel Proncincial (Horas)]])</f>
        <v>5.4166666666666661</v>
      </c>
    </row>
    <row r="1443" spans="30:45" hidden="1" x14ac:dyDescent="0.25">
      <c r="AD1443" s="34" t="s">
        <v>2388</v>
      </c>
      <c r="AE1443" s="10" t="s">
        <v>390</v>
      </c>
      <c r="AF1443" s="20" t="s">
        <v>1735</v>
      </c>
      <c r="AG1443" s="10"/>
      <c r="AH1443" s="22" t="str">
        <f t="shared" si="46"/>
        <v xml:space="preserve">Piura_05 Paita </v>
      </c>
      <c r="AI1443" s="10" t="s">
        <v>1725</v>
      </c>
      <c r="AJ1443" s="20" t="s">
        <v>1776</v>
      </c>
      <c r="AK1443" s="22" t="str">
        <f t="shared" si="47"/>
        <v>Piura_05 Paita _01 Paita</v>
      </c>
      <c r="AL1443" s="25">
        <v>0</v>
      </c>
      <c r="AM1443" s="25">
        <v>55</v>
      </c>
      <c r="AN1443" s="26">
        <f>Tabla2[[#This Row],[Minutos]]/60</f>
        <v>0.91666666666666663</v>
      </c>
      <c r="AO1443" s="27">
        <f>SUM(Tabla2[[#This Row],[Horas]],Tabla2[[#This Row],[Minutos a Horas]])</f>
        <v>0.91666666666666663</v>
      </c>
      <c r="AP1443" s="49">
        <v>1</v>
      </c>
      <c r="AQ1443" s="49">
        <v>25</v>
      </c>
      <c r="AR1443" s="26">
        <f>Tabla2[[#This Row],[Minutos*]]/60</f>
        <v>0.41666666666666669</v>
      </c>
      <c r="AS1443" s="27">
        <f>SUM(Tabla2[[#This Row],[Horas*]],Tabla2[[#This Row],[Minutos a Horas*]])+(Tabla2[[#This Row],[Tiempo Total a Nivel Proncincial (Horas)]])</f>
        <v>2.3333333333333335</v>
      </c>
    </row>
    <row r="1444" spans="30:45" hidden="1" x14ac:dyDescent="0.25">
      <c r="AD1444" s="34" t="s">
        <v>2388</v>
      </c>
      <c r="AE1444" s="10" t="s">
        <v>390</v>
      </c>
      <c r="AF1444" s="20" t="s">
        <v>1735</v>
      </c>
      <c r="AG1444" s="10"/>
      <c r="AH1444" s="22" t="str">
        <f t="shared" si="46"/>
        <v xml:space="preserve">Piura_05 Paita </v>
      </c>
      <c r="AI1444" s="10" t="s">
        <v>1725</v>
      </c>
      <c r="AJ1444" s="20" t="s">
        <v>1777</v>
      </c>
      <c r="AK1444" s="22" t="str">
        <f t="shared" si="47"/>
        <v>Piura_05 Paita _02 Amotape</v>
      </c>
      <c r="AL1444" s="25">
        <v>0</v>
      </c>
      <c r="AM1444" s="25">
        <v>55</v>
      </c>
      <c r="AN1444" s="26">
        <f>Tabla2[[#This Row],[Minutos]]/60</f>
        <v>0.91666666666666663</v>
      </c>
      <c r="AO1444" s="27">
        <f>SUM(Tabla2[[#This Row],[Horas]],Tabla2[[#This Row],[Minutos a Horas]])</f>
        <v>0.91666666666666663</v>
      </c>
      <c r="AP1444" s="49">
        <v>2</v>
      </c>
      <c r="AQ1444" s="49">
        <v>50</v>
      </c>
      <c r="AR1444" s="26">
        <f>Tabla2[[#This Row],[Minutos*]]/60</f>
        <v>0.83333333333333337</v>
      </c>
      <c r="AS1444" s="27">
        <f>SUM(Tabla2[[#This Row],[Horas*]],Tabla2[[#This Row],[Minutos a Horas*]])+(Tabla2[[#This Row],[Tiempo Total a Nivel Proncincial (Horas)]])</f>
        <v>3.75</v>
      </c>
    </row>
    <row r="1445" spans="30:45" hidden="1" x14ac:dyDescent="0.25">
      <c r="AD1445" s="34" t="s">
        <v>2388</v>
      </c>
      <c r="AE1445" s="10" t="s">
        <v>390</v>
      </c>
      <c r="AF1445" s="20" t="s">
        <v>1735</v>
      </c>
      <c r="AG1445" s="10"/>
      <c r="AH1445" s="22" t="str">
        <f t="shared" si="46"/>
        <v xml:space="preserve">Piura_05 Paita </v>
      </c>
      <c r="AI1445" s="10" t="s">
        <v>1725</v>
      </c>
      <c r="AJ1445" s="20" t="s">
        <v>1778</v>
      </c>
      <c r="AK1445" s="22" t="str">
        <f t="shared" si="47"/>
        <v>Piura_05 Paita _03 Arenal</v>
      </c>
      <c r="AL1445" s="25">
        <v>0</v>
      </c>
      <c r="AM1445" s="25">
        <v>55</v>
      </c>
      <c r="AN1445" s="26">
        <f>Tabla2[[#This Row],[Minutos]]/60</f>
        <v>0.91666666666666663</v>
      </c>
      <c r="AO1445" s="27">
        <f>SUM(Tabla2[[#This Row],[Horas]],Tabla2[[#This Row],[Minutos a Horas]])</f>
        <v>0.91666666666666663</v>
      </c>
      <c r="AP1445" s="49">
        <v>2</v>
      </c>
      <c r="AQ1445" s="49">
        <v>45</v>
      </c>
      <c r="AR1445" s="26">
        <f>Tabla2[[#This Row],[Minutos*]]/60</f>
        <v>0.75</v>
      </c>
      <c r="AS1445" s="27">
        <f>SUM(Tabla2[[#This Row],[Horas*]],Tabla2[[#This Row],[Minutos a Horas*]])+(Tabla2[[#This Row],[Tiempo Total a Nivel Proncincial (Horas)]])</f>
        <v>3.6666666666666665</v>
      </c>
    </row>
    <row r="1446" spans="30:45" hidden="1" x14ac:dyDescent="0.25">
      <c r="AD1446" s="34" t="s">
        <v>2388</v>
      </c>
      <c r="AE1446" s="10" t="s">
        <v>390</v>
      </c>
      <c r="AF1446" s="20" t="s">
        <v>1735</v>
      </c>
      <c r="AG1446" s="10"/>
      <c r="AH1446" s="22" t="str">
        <f t="shared" si="46"/>
        <v xml:space="preserve">Piura_05 Paita </v>
      </c>
      <c r="AI1446" s="10" t="s">
        <v>1725</v>
      </c>
      <c r="AJ1446" s="20" t="s">
        <v>1779</v>
      </c>
      <c r="AK1446" s="22" t="str">
        <f t="shared" si="47"/>
        <v>Piura_05 Paita _04 Colan</v>
      </c>
      <c r="AL1446" s="25">
        <v>0</v>
      </c>
      <c r="AM1446" s="25">
        <v>55</v>
      </c>
      <c r="AN1446" s="26">
        <f>Tabla2[[#This Row],[Minutos]]/60</f>
        <v>0.91666666666666663</v>
      </c>
      <c r="AO1446" s="27">
        <f>SUM(Tabla2[[#This Row],[Horas]],Tabla2[[#This Row],[Minutos a Horas]])</f>
        <v>0.91666666666666663</v>
      </c>
      <c r="AP1446" s="49">
        <v>2</v>
      </c>
      <c r="AQ1446" s="49">
        <v>20</v>
      </c>
      <c r="AR1446" s="26">
        <f>Tabla2[[#This Row],[Minutos*]]/60</f>
        <v>0.33333333333333331</v>
      </c>
      <c r="AS1446" s="27">
        <f>SUM(Tabla2[[#This Row],[Horas*]],Tabla2[[#This Row],[Minutos a Horas*]])+(Tabla2[[#This Row],[Tiempo Total a Nivel Proncincial (Horas)]])</f>
        <v>3.25</v>
      </c>
    </row>
    <row r="1447" spans="30:45" hidden="1" x14ac:dyDescent="0.25">
      <c r="AD1447" s="34" t="s">
        <v>2388</v>
      </c>
      <c r="AE1447" s="10" t="s">
        <v>390</v>
      </c>
      <c r="AF1447" s="20" t="s">
        <v>1735</v>
      </c>
      <c r="AG1447" s="10"/>
      <c r="AH1447" s="22" t="str">
        <f t="shared" si="46"/>
        <v xml:space="preserve">Piura_05 Paita </v>
      </c>
      <c r="AI1447" s="10" t="s">
        <v>1725</v>
      </c>
      <c r="AJ1447" s="20" t="s">
        <v>1780</v>
      </c>
      <c r="AK1447" s="22" t="str">
        <f t="shared" si="47"/>
        <v>Piura_05 Paita _05 La Huaca</v>
      </c>
      <c r="AL1447" s="25">
        <v>0</v>
      </c>
      <c r="AM1447" s="25">
        <v>55</v>
      </c>
      <c r="AN1447" s="26">
        <f>Tabla2[[#This Row],[Minutos]]/60</f>
        <v>0.91666666666666663</v>
      </c>
      <c r="AO1447" s="27">
        <f>SUM(Tabla2[[#This Row],[Horas]],Tabla2[[#This Row],[Minutos a Horas]])</f>
        <v>0.91666666666666663</v>
      </c>
      <c r="AP1447" s="49">
        <v>2</v>
      </c>
      <c r="AQ1447" s="49">
        <v>40</v>
      </c>
      <c r="AR1447" s="26">
        <f>Tabla2[[#This Row],[Minutos*]]/60</f>
        <v>0.66666666666666663</v>
      </c>
      <c r="AS1447" s="27">
        <f>SUM(Tabla2[[#This Row],[Horas*]],Tabla2[[#This Row],[Minutos a Horas*]])+(Tabla2[[#This Row],[Tiempo Total a Nivel Proncincial (Horas)]])</f>
        <v>3.583333333333333</v>
      </c>
    </row>
    <row r="1448" spans="30:45" hidden="1" x14ac:dyDescent="0.25">
      <c r="AD1448" s="34" t="s">
        <v>2388</v>
      </c>
      <c r="AE1448" s="10" t="s">
        <v>390</v>
      </c>
      <c r="AF1448" s="20" t="s">
        <v>1735</v>
      </c>
      <c r="AG1448" s="10"/>
      <c r="AH1448" s="22" t="str">
        <f t="shared" si="46"/>
        <v xml:space="preserve">Piura_05 Paita </v>
      </c>
      <c r="AI1448" s="10" t="s">
        <v>1725</v>
      </c>
      <c r="AJ1448" s="20" t="s">
        <v>1781</v>
      </c>
      <c r="AK1448" s="22" t="str">
        <f t="shared" si="47"/>
        <v>Piura_05 Paita _06 Tamarindo</v>
      </c>
      <c r="AL1448" s="25">
        <v>0</v>
      </c>
      <c r="AM1448" s="25">
        <v>55</v>
      </c>
      <c r="AN1448" s="26">
        <f>Tabla2[[#This Row],[Minutos]]/60</f>
        <v>0.91666666666666663</v>
      </c>
      <c r="AO1448" s="27">
        <f>SUM(Tabla2[[#This Row],[Horas]],Tabla2[[#This Row],[Minutos a Horas]])</f>
        <v>0.91666666666666663</v>
      </c>
      <c r="AP1448" s="49">
        <v>3</v>
      </c>
      <c r="AQ1448" s="49">
        <v>15</v>
      </c>
      <c r="AR1448" s="26">
        <f>Tabla2[[#This Row],[Minutos*]]/60</f>
        <v>0.25</v>
      </c>
      <c r="AS1448" s="27">
        <f>SUM(Tabla2[[#This Row],[Horas*]],Tabla2[[#This Row],[Minutos a Horas*]])+(Tabla2[[#This Row],[Tiempo Total a Nivel Proncincial (Horas)]])</f>
        <v>4.166666666666667</v>
      </c>
    </row>
    <row r="1449" spans="30:45" hidden="1" x14ac:dyDescent="0.25">
      <c r="AD1449" s="34" t="s">
        <v>2388</v>
      </c>
      <c r="AE1449" s="10" t="s">
        <v>390</v>
      </c>
      <c r="AF1449" s="20" t="s">
        <v>1735</v>
      </c>
      <c r="AG1449" s="10"/>
      <c r="AH1449" s="22" t="str">
        <f t="shared" si="46"/>
        <v xml:space="preserve">Piura_05 Paita </v>
      </c>
      <c r="AI1449" s="10" t="s">
        <v>1725</v>
      </c>
      <c r="AJ1449" s="20" t="s">
        <v>1782</v>
      </c>
      <c r="AK1449" s="22" t="str">
        <f t="shared" si="47"/>
        <v>Piura_05 Paita _07 Vichayal</v>
      </c>
      <c r="AL1449" s="25">
        <v>0</v>
      </c>
      <c r="AM1449" s="25">
        <v>55</v>
      </c>
      <c r="AN1449" s="26">
        <f>Tabla2[[#This Row],[Minutos]]/60</f>
        <v>0.91666666666666663</v>
      </c>
      <c r="AO1449" s="27">
        <f>SUM(Tabla2[[#This Row],[Horas]],Tabla2[[#This Row],[Minutos a Horas]])</f>
        <v>0.91666666666666663</v>
      </c>
      <c r="AP1449" s="49">
        <v>3</v>
      </c>
      <c r="AQ1449" s="49">
        <v>40</v>
      </c>
      <c r="AR1449" s="26">
        <f>Tabla2[[#This Row],[Minutos*]]/60</f>
        <v>0.66666666666666663</v>
      </c>
      <c r="AS1449" s="27">
        <f>SUM(Tabla2[[#This Row],[Horas*]],Tabla2[[#This Row],[Minutos a Horas*]])+(Tabla2[[#This Row],[Tiempo Total a Nivel Proncincial (Horas)]])</f>
        <v>4.583333333333333</v>
      </c>
    </row>
    <row r="1450" spans="30:45" hidden="1" x14ac:dyDescent="0.25">
      <c r="AD1450" s="34" t="s">
        <v>2388</v>
      </c>
      <c r="AE1450" s="10" t="s">
        <v>390</v>
      </c>
      <c r="AF1450" s="20" t="s">
        <v>1736</v>
      </c>
      <c r="AG1450" s="10"/>
      <c r="AH1450" s="22" t="str">
        <f t="shared" si="46"/>
        <v xml:space="preserve">Piura_06 Sullana </v>
      </c>
      <c r="AI1450" s="10" t="s">
        <v>1726</v>
      </c>
      <c r="AJ1450" s="20" t="s">
        <v>1783</v>
      </c>
      <c r="AK1450" s="22" t="str">
        <f t="shared" si="47"/>
        <v>Piura_06 Sullana _01 Sullana</v>
      </c>
      <c r="AL1450" s="25">
        <v>0</v>
      </c>
      <c r="AM1450" s="25">
        <v>47</v>
      </c>
      <c r="AN1450" s="26">
        <f>Tabla2[[#This Row],[Minutos]]/60</f>
        <v>0.78333333333333333</v>
      </c>
      <c r="AO1450" s="27">
        <f>SUM(Tabla2[[#This Row],[Horas]],Tabla2[[#This Row],[Minutos a Horas]])</f>
        <v>0.78333333333333333</v>
      </c>
      <c r="AP1450" s="49">
        <v>1</v>
      </c>
      <c r="AQ1450" s="49">
        <v>10</v>
      </c>
      <c r="AR1450" s="26">
        <f>Tabla2[[#This Row],[Minutos*]]/60</f>
        <v>0.16666666666666666</v>
      </c>
      <c r="AS1450" s="27">
        <f>SUM(Tabla2[[#This Row],[Horas*]],Tabla2[[#This Row],[Minutos a Horas*]])+(Tabla2[[#This Row],[Tiempo Total a Nivel Proncincial (Horas)]])</f>
        <v>1.9500000000000002</v>
      </c>
    </row>
    <row r="1451" spans="30:45" hidden="1" x14ac:dyDescent="0.25">
      <c r="AD1451" s="34" t="s">
        <v>2388</v>
      </c>
      <c r="AE1451" s="10" t="s">
        <v>390</v>
      </c>
      <c r="AF1451" s="20" t="s">
        <v>1736</v>
      </c>
      <c r="AG1451" s="10"/>
      <c r="AH1451" s="22" t="str">
        <f t="shared" si="46"/>
        <v xml:space="preserve">Piura_06 Sullana </v>
      </c>
      <c r="AI1451" s="10" t="s">
        <v>1726</v>
      </c>
      <c r="AJ1451" s="20" t="s">
        <v>833</v>
      </c>
      <c r="AK1451" s="22" t="str">
        <f t="shared" si="47"/>
        <v>Piura_06 Sullana _02 Bellavista</v>
      </c>
      <c r="AL1451" s="25">
        <v>0</v>
      </c>
      <c r="AM1451" s="25">
        <v>47</v>
      </c>
      <c r="AN1451" s="26">
        <f>Tabla2[[#This Row],[Minutos]]/60</f>
        <v>0.78333333333333333</v>
      </c>
      <c r="AO1451" s="27">
        <f>SUM(Tabla2[[#This Row],[Horas]],Tabla2[[#This Row],[Minutos a Horas]])</f>
        <v>0.78333333333333333</v>
      </c>
      <c r="AP1451" s="49">
        <v>1</v>
      </c>
      <c r="AQ1451" s="49">
        <v>20</v>
      </c>
      <c r="AR1451" s="26">
        <f>Tabla2[[#This Row],[Minutos*]]/60</f>
        <v>0.33333333333333331</v>
      </c>
      <c r="AS1451" s="27">
        <f>SUM(Tabla2[[#This Row],[Horas*]],Tabla2[[#This Row],[Minutos a Horas*]])+(Tabla2[[#This Row],[Tiempo Total a Nivel Proncincial (Horas)]])</f>
        <v>2.1166666666666667</v>
      </c>
    </row>
    <row r="1452" spans="30:45" hidden="1" x14ac:dyDescent="0.25">
      <c r="AD1452" s="34" t="s">
        <v>2388</v>
      </c>
      <c r="AE1452" s="10" t="s">
        <v>390</v>
      </c>
      <c r="AF1452" s="20" t="s">
        <v>1736</v>
      </c>
      <c r="AG1452" s="10"/>
      <c r="AH1452" s="22" t="str">
        <f t="shared" si="46"/>
        <v xml:space="preserve">Piura_06 Sullana </v>
      </c>
      <c r="AI1452" s="10" t="s">
        <v>1726</v>
      </c>
      <c r="AJ1452" s="20" t="s">
        <v>1784</v>
      </c>
      <c r="AK1452" s="22" t="str">
        <f t="shared" si="47"/>
        <v>Piura_06 Sullana _03 Ignacio Escudero</v>
      </c>
      <c r="AL1452" s="25">
        <v>0</v>
      </c>
      <c r="AM1452" s="25">
        <v>47</v>
      </c>
      <c r="AN1452" s="26">
        <f>Tabla2[[#This Row],[Minutos]]/60</f>
        <v>0.78333333333333333</v>
      </c>
      <c r="AO1452" s="27">
        <f>SUM(Tabla2[[#This Row],[Horas]],Tabla2[[#This Row],[Minutos a Horas]])</f>
        <v>0.78333333333333333</v>
      </c>
      <c r="AP1452" s="49">
        <v>2</v>
      </c>
      <c r="AQ1452" s="49">
        <v>30</v>
      </c>
      <c r="AR1452" s="26">
        <f>Tabla2[[#This Row],[Minutos*]]/60</f>
        <v>0.5</v>
      </c>
      <c r="AS1452" s="27">
        <f>SUM(Tabla2[[#This Row],[Horas*]],Tabla2[[#This Row],[Minutos a Horas*]])+(Tabla2[[#This Row],[Tiempo Total a Nivel Proncincial (Horas)]])</f>
        <v>3.2833333333333332</v>
      </c>
    </row>
    <row r="1453" spans="30:45" hidden="1" x14ac:dyDescent="0.25">
      <c r="AD1453" s="34" t="s">
        <v>2388</v>
      </c>
      <c r="AE1453" s="10" t="s">
        <v>390</v>
      </c>
      <c r="AF1453" s="20" t="s">
        <v>1736</v>
      </c>
      <c r="AG1453" s="10"/>
      <c r="AH1453" s="22" t="str">
        <f t="shared" si="46"/>
        <v xml:space="preserve">Piura_06 Sullana </v>
      </c>
      <c r="AI1453" s="10" t="s">
        <v>1726</v>
      </c>
      <c r="AJ1453" s="20" t="s">
        <v>1785</v>
      </c>
      <c r="AK1453" s="22" t="str">
        <f t="shared" si="47"/>
        <v>Piura_06 Sullana _04 Lancones</v>
      </c>
      <c r="AL1453" s="25">
        <v>0</v>
      </c>
      <c r="AM1453" s="25">
        <v>47</v>
      </c>
      <c r="AN1453" s="26">
        <f>Tabla2[[#This Row],[Minutos]]/60</f>
        <v>0.78333333333333333</v>
      </c>
      <c r="AO1453" s="27">
        <f>SUM(Tabla2[[#This Row],[Horas]],Tabla2[[#This Row],[Minutos a Horas]])</f>
        <v>0.78333333333333333</v>
      </c>
      <c r="AP1453" s="49">
        <v>2</v>
      </c>
      <c r="AQ1453" s="49">
        <v>25</v>
      </c>
      <c r="AR1453" s="26">
        <f>Tabla2[[#This Row],[Minutos*]]/60</f>
        <v>0.41666666666666669</v>
      </c>
      <c r="AS1453" s="27">
        <f>SUM(Tabla2[[#This Row],[Horas*]],Tabla2[[#This Row],[Minutos a Horas*]])+(Tabla2[[#This Row],[Tiempo Total a Nivel Proncincial (Horas)]])</f>
        <v>3.1999999999999997</v>
      </c>
    </row>
    <row r="1454" spans="30:45" hidden="1" x14ac:dyDescent="0.25">
      <c r="AD1454" s="34" t="s">
        <v>2388</v>
      </c>
      <c r="AE1454" s="10" t="s">
        <v>390</v>
      </c>
      <c r="AF1454" s="20" t="s">
        <v>1736</v>
      </c>
      <c r="AG1454" s="10"/>
      <c r="AH1454" s="22" t="str">
        <f t="shared" si="46"/>
        <v xml:space="preserve">Piura_06 Sullana </v>
      </c>
      <c r="AI1454" s="10" t="s">
        <v>1726</v>
      </c>
      <c r="AJ1454" s="20" t="s">
        <v>1786</v>
      </c>
      <c r="AK1454" s="22" t="str">
        <f t="shared" si="47"/>
        <v>Piura_06 Sullana _05 Marcavelica</v>
      </c>
      <c r="AL1454" s="25">
        <v>0</v>
      </c>
      <c r="AM1454" s="25">
        <v>47</v>
      </c>
      <c r="AN1454" s="26">
        <f>Tabla2[[#This Row],[Minutos]]/60</f>
        <v>0.78333333333333333</v>
      </c>
      <c r="AO1454" s="27">
        <f>SUM(Tabla2[[#This Row],[Horas]],Tabla2[[#This Row],[Minutos a Horas]])</f>
        <v>0.78333333333333333</v>
      </c>
      <c r="AP1454" s="49">
        <v>1</v>
      </c>
      <c r="AQ1454" s="49">
        <v>40</v>
      </c>
      <c r="AR1454" s="26">
        <f>Tabla2[[#This Row],[Minutos*]]/60</f>
        <v>0.66666666666666663</v>
      </c>
      <c r="AS1454" s="27">
        <f>SUM(Tabla2[[#This Row],[Horas*]],Tabla2[[#This Row],[Minutos a Horas*]])+(Tabla2[[#This Row],[Tiempo Total a Nivel Proncincial (Horas)]])</f>
        <v>2.4499999999999997</v>
      </c>
    </row>
    <row r="1455" spans="30:45" hidden="1" x14ac:dyDescent="0.25">
      <c r="AD1455" s="34" t="s">
        <v>2388</v>
      </c>
      <c r="AE1455" s="10" t="s">
        <v>390</v>
      </c>
      <c r="AF1455" s="20" t="s">
        <v>1736</v>
      </c>
      <c r="AG1455" s="10"/>
      <c r="AH1455" s="22" t="str">
        <f t="shared" si="46"/>
        <v xml:space="preserve">Piura_06 Sullana </v>
      </c>
      <c r="AI1455" s="10" t="s">
        <v>1726</v>
      </c>
      <c r="AJ1455" s="20" t="s">
        <v>1787</v>
      </c>
      <c r="AK1455" s="22" t="str">
        <f t="shared" si="47"/>
        <v>Piura_06 Sullana _06 Miguel Checa</v>
      </c>
      <c r="AL1455" s="25">
        <v>0</v>
      </c>
      <c r="AM1455" s="25">
        <v>47</v>
      </c>
      <c r="AN1455" s="26">
        <f>Tabla2[[#This Row],[Minutos]]/60</f>
        <v>0.78333333333333333</v>
      </c>
      <c r="AO1455" s="27">
        <f>SUM(Tabla2[[#This Row],[Horas]],Tabla2[[#This Row],[Minutos a Horas]])</f>
        <v>0.78333333333333333</v>
      </c>
      <c r="AP1455" s="49">
        <v>1</v>
      </c>
      <c r="AQ1455" s="49">
        <v>55</v>
      </c>
      <c r="AR1455" s="26">
        <f>Tabla2[[#This Row],[Minutos*]]/60</f>
        <v>0.91666666666666663</v>
      </c>
      <c r="AS1455" s="27">
        <f>SUM(Tabla2[[#This Row],[Horas*]],Tabla2[[#This Row],[Minutos a Horas*]])+(Tabla2[[#This Row],[Tiempo Total a Nivel Proncincial (Horas)]])</f>
        <v>2.6999999999999997</v>
      </c>
    </row>
    <row r="1456" spans="30:45" hidden="1" x14ac:dyDescent="0.25">
      <c r="AD1456" s="34" t="s">
        <v>2388</v>
      </c>
      <c r="AE1456" s="10" t="s">
        <v>390</v>
      </c>
      <c r="AF1456" s="20" t="s">
        <v>1736</v>
      </c>
      <c r="AG1456" s="10"/>
      <c r="AH1456" s="22" t="str">
        <f t="shared" si="46"/>
        <v xml:space="preserve">Piura_06 Sullana </v>
      </c>
      <c r="AI1456" s="10" t="s">
        <v>1726</v>
      </c>
      <c r="AJ1456" s="20" t="s">
        <v>1788</v>
      </c>
      <c r="AK1456" s="22" t="str">
        <f t="shared" si="47"/>
        <v>Piura_06 Sullana _07 Querecotillo</v>
      </c>
      <c r="AL1456" s="25">
        <v>0</v>
      </c>
      <c r="AM1456" s="25">
        <v>47</v>
      </c>
      <c r="AN1456" s="26">
        <f>Tabla2[[#This Row],[Minutos]]/60</f>
        <v>0.78333333333333333</v>
      </c>
      <c r="AO1456" s="27">
        <f>SUM(Tabla2[[#This Row],[Horas]],Tabla2[[#This Row],[Minutos a Horas]])</f>
        <v>0.78333333333333333</v>
      </c>
      <c r="AP1456" s="49">
        <v>1</v>
      </c>
      <c r="AQ1456" s="49">
        <v>50</v>
      </c>
      <c r="AR1456" s="26">
        <f>Tabla2[[#This Row],[Minutos*]]/60</f>
        <v>0.83333333333333337</v>
      </c>
      <c r="AS1456" s="27">
        <f>SUM(Tabla2[[#This Row],[Horas*]],Tabla2[[#This Row],[Minutos a Horas*]])+(Tabla2[[#This Row],[Tiempo Total a Nivel Proncincial (Horas)]])</f>
        <v>2.6166666666666667</v>
      </c>
    </row>
    <row r="1457" spans="30:45" hidden="1" x14ac:dyDescent="0.25">
      <c r="AD1457" s="34" t="s">
        <v>2388</v>
      </c>
      <c r="AE1457" s="10" t="s">
        <v>390</v>
      </c>
      <c r="AF1457" s="20" t="s">
        <v>1736</v>
      </c>
      <c r="AG1457" s="10"/>
      <c r="AH1457" s="22" t="str">
        <f t="shared" si="46"/>
        <v xml:space="preserve">Piura_06 Sullana </v>
      </c>
      <c r="AI1457" s="10" t="s">
        <v>1726</v>
      </c>
      <c r="AJ1457" s="20" t="s">
        <v>1789</v>
      </c>
      <c r="AK1457" s="22" t="str">
        <f t="shared" si="47"/>
        <v>Piura_06 Sullana _08 Salitral</v>
      </c>
      <c r="AL1457" s="25">
        <v>0</v>
      </c>
      <c r="AM1457" s="25">
        <v>47</v>
      </c>
      <c r="AN1457" s="26">
        <f>Tabla2[[#This Row],[Minutos]]/60</f>
        <v>0.78333333333333333</v>
      </c>
      <c r="AO1457" s="27">
        <f>SUM(Tabla2[[#This Row],[Horas]],Tabla2[[#This Row],[Minutos a Horas]])</f>
        <v>0.78333333333333333</v>
      </c>
      <c r="AP1457" s="49">
        <v>2</v>
      </c>
      <c r="AQ1457" s="49">
        <v>47</v>
      </c>
      <c r="AR1457" s="26">
        <f>Tabla2[[#This Row],[Minutos*]]/60</f>
        <v>0.78333333333333333</v>
      </c>
      <c r="AS1457" s="27">
        <f>SUM(Tabla2[[#This Row],[Horas*]],Tabla2[[#This Row],[Minutos a Horas*]])+(Tabla2[[#This Row],[Tiempo Total a Nivel Proncincial (Horas)]])</f>
        <v>3.5666666666666664</v>
      </c>
    </row>
    <row r="1458" spans="30:45" hidden="1" x14ac:dyDescent="0.25">
      <c r="AD1458" s="34" t="s">
        <v>2388</v>
      </c>
      <c r="AE1458" s="10" t="s">
        <v>390</v>
      </c>
      <c r="AF1458" s="20" t="s">
        <v>1737</v>
      </c>
      <c r="AG1458" s="10"/>
      <c r="AH1458" s="22" t="str">
        <f t="shared" si="46"/>
        <v xml:space="preserve">Piura_07 Talara </v>
      </c>
      <c r="AI1458" s="10" t="s">
        <v>1727</v>
      </c>
      <c r="AJ1458" s="20" t="s">
        <v>1790</v>
      </c>
      <c r="AK1458" s="22" t="str">
        <f t="shared" si="47"/>
        <v>Piura_07 Talara _01 Pariñas</v>
      </c>
      <c r="AL1458" s="25">
        <v>2</v>
      </c>
      <c r="AM1458" s="25">
        <v>21</v>
      </c>
      <c r="AN1458" s="26">
        <f>Tabla2[[#This Row],[Minutos]]/60</f>
        <v>0.35</v>
      </c>
      <c r="AO1458" s="27">
        <f>SUM(Tabla2[[#This Row],[Horas]],Tabla2[[#This Row],[Minutos a Horas]])</f>
        <v>2.35</v>
      </c>
      <c r="AP1458" s="49">
        <v>3</v>
      </c>
      <c r="AQ1458" s="49">
        <v>10</v>
      </c>
      <c r="AR1458" s="26">
        <f>Tabla2[[#This Row],[Minutos*]]/60</f>
        <v>0.16666666666666666</v>
      </c>
      <c r="AS1458" s="27">
        <f>SUM(Tabla2[[#This Row],[Horas*]],Tabla2[[#This Row],[Minutos a Horas*]])+(Tabla2[[#This Row],[Tiempo Total a Nivel Proncincial (Horas)]])</f>
        <v>5.5166666666666666</v>
      </c>
    </row>
    <row r="1459" spans="30:45" hidden="1" x14ac:dyDescent="0.25">
      <c r="AD1459" s="34" t="s">
        <v>2388</v>
      </c>
      <c r="AE1459" s="10" t="s">
        <v>390</v>
      </c>
      <c r="AF1459" s="20" t="s">
        <v>1737</v>
      </c>
      <c r="AG1459" s="10"/>
      <c r="AH1459" s="22" t="str">
        <f t="shared" si="46"/>
        <v xml:space="preserve">Piura_07 Talara </v>
      </c>
      <c r="AI1459" s="10" t="s">
        <v>1727</v>
      </c>
      <c r="AJ1459" s="20" t="s">
        <v>1791</v>
      </c>
      <c r="AK1459" s="22" t="str">
        <f t="shared" si="47"/>
        <v>Piura_07 Talara _02 El Alto</v>
      </c>
      <c r="AL1459" s="25">
        <v>2</v>
      </c>
      <c r="AM1459" s="25">
        <v>21</v>
      </c>
      <c r="AN1459" s="26">
        <f>Tabla2[[#This Row],[Minutos]]/60</f>
        <v>0.35</v>
      </c>
      <c r="AO1459" s="27">
        <f>SUM(Tabla2[[#This Row],[Horas]],Tabla2[[#This Row],[Minutos a Horas]])</f>
        <v>2.35</v>
      </c>
      <c r="AP1459" s="49">
        <v>3</v>
      </c>
      <c r="AQ1459" s="49">
        <v>55</v>
      </c>
      <c r="AR1459" s="26">
        <f>Tabla2[[#This Row],[Minutos*]]/60</f>
        <v>0.91666666666666663</v>
      </c>
      <c r="AS1459" s="27">
        <f>SUM(Tabla2[[#This Row],[Horas*]],Tabla2[[#This Row],[Minutos a Horas*]])+(Tabla2[[#This Row],[Tiempo Total a Nivel Proncincial (Horas)]])</f>
        <v>6.2666666666666666</v>
      </c>
    </row>
    <row r="1460" spans="30:45" hidden="1" x14ac:dyDescent="0.25">
      <c r="AD1460" s="34" t="s">
        <v>2388</v>
      </c>
      <c r="AE1460" s="10" t="s">
        <v>390</v>
      </c>
      <c r="AF1460" s="20" t="s">
        <v>1737</v>
      </c>
      <c r="AG1460" s="10"/>
      <c r="AH1460" s="22" t="str">
        <f t="shared" si="46"/>
        <v xml:space="preserve">Piura_07 Talara </v>
      </c>
      <c r="AI1460" s="10" t="s">
        <v>1727</v>
      </c>
      <c r="AJ1460" s="20" t="s">
        <v>1792</v>
      </c>
      <c r="AK1460" s="22" t="str">
        <f t="shared" si="47"/>
        <v>Piura_07 Talara _03 La Brea</v>
      </c>
      <c r="AL1460" s="25">
        <v>2</v>
      </c>
      <c r="AM1460" s="25">
        <v>21</v>
      </c>
      <c r="AN1460" s="26">
        <f>Tabla2[[#This Row],[Minutos]]/60</f>
        <v>0.35</v>
      </c>
      <c r="AO1460" s="27">
        <f>SUM(Tabla2[[#This Row],[Horas]],Tabla2[[#This Row],[Minutos a Horas]])</f>
        <v>2.35</v>
      </c>
      <c r="AP1460" s="49">
        <v>3</v>
      </c>
      <c r="AQ1460" s="49">
        <v>54</v>
      </c>
      <c r="AR1460" s="26">
        <f>Tabla2[[#This Row],[Minutos*]]/60</f>
        <v>0.9</v>
      </c>
      <c r="AS1460" s="27">
        <f>SUM(Tabla2[[#This Row],[Horas*]],Tabla2[[#This Row],[Minutos a Horas*]])+(Tabla2[[#This Row],[Tiempo Total a Nivel Proncincial (Horas)]])</f>
        <v>6.25</v>
      </c>
    </row>
    <row r="1461" spans="30:45" hidden="1" x14ac:dyDescent="0.25">
      <c r="AD1461" s="34" t="s">
        <v>2388</v>
      </c>
      <c r="AE1461" s="10" t="s">
        <v>390</v>
      </c>
      <c r="AF1461" s="20" t="s">
        <v>1737</v>
      </c>
      <c r="AG1461" s="10"/>
      <c r="AH1461" s="22" t="str">
        <f t="shared" si="46"/>
        <v xml:space="preserve">Piura_07 Talara </v>
      </c>
      <c r="AI1461" s="10" t="s">
        <v>1727</v>
      </c>
      <c r="AJ1461" s="20" t="s">
        <v>1793</v>
      </c>
      <c r="AK1461" s="22" t="str">
        <f t="shared" si="47"/>
        <v>Piura_07 Talara _04 Lobitos</v>
      </c>
      <c r="AL1461" s="25">
        <v>2</v>
      </c>
      <c r="AM1461" s="25">
        <v>21</v>
      </c>
      <c r="AN1461" s="26">
        <f>Tabla2[[#This Row],[Minutos]]/60</f>
        <v>0.35</v>
      </c>
      <c r="AO1461" s="27">
        <f>SUM(Tabla2[[#This Row],[Horas]],Tabla2[[#This Row],[Minutos a Horas]])</f>
        <v>2.35</v>
      </c>
      <c r="AP1461" s="49">
        <v>3</v>
      </c>
      <c r="AQ1461" s="49">
        <v>45</v>
      </c>
      <c r="AR1461" s="26">
        <f>Tabla2[[#This Row],[Minutos*]]/60</f>
        <v>0.75</v>
      </c>
      <c r="AS1461" s="27">
        <f>SUM(Tabla2[[#This Row],[Horas*]],Tabla2[[#This Row],[Minutos a Horas*]])+(Tabla2[[#This Row],[Tiempo Total a Nivel Proncincial (Horas)]])</f>
        <v>6.1</v>
      </c>
    </row>
    <row r="1462" spans="30:45" hidden="1" x14ac:dyDescent="0.25">
      <c r="AD1462" s="34" t="s">
        <v>2388</v>
      </c>
      <c r="AE1462" s="10" t="s">
        <v>390</v>
      </c>
      <c r="AF1462" s="20" t="s">
        <v>1737</v>
      </c>
      <c r="AG1462" s="10"/>
      <c r="AH1462" s="22" t="str">
        <f t="shared" si="46"/>
        <v xml:space="preserve">Piura_07 Talara </v>
      </c>
      <c r="AI1462" s="10" t="s">
        <v>1727</v>
      </c>
      <c r="AJ1462" s="20" t="s">
        <v>1794</v>
      </c>
      <c r="AK1462" s="22" t="str">
        <f t="shared" si="47"/>
        <v>Piura_07 Talara _05 Los Organos</v>
      </c>
      <c r="AL1462" s="25">
        <v>2</v>
      </c>
      <c r="AM1462" s="25">
        <v>21</v>
      </c>
      <c r="AN1462" s="26">
        <f>Tabla2[[#This Row],[Minutos]]/60</f>
        <v>0.35</v>
      </c>
      <c r="AO1462" s="27">
        <f>SUM(Tabla2[[#This Row],[Horas]],Tabla2[[#This Row],[Minutos a Horas]])</f>
        <v>2.35</v>
      </c>
      <c r="AP1462" s="49">
        <v>4</v>
      </c>
      <c r="AQ1462" s="49">
        <v>27</v>
      </c>
      <c r="AR1462" s="26">
        <f>Tabla2[[#This Row],[Minutos*]]/60</f>
        <v>0.45</v>
      </c>
      <c r="AS1462" s="27">
        <f>SUM(Tabla2[[#This Row],[Horas*]],Tabla2[[#This Row],[Minutos a Horas*]])+(Tabla2[[#This Row],[Tiempo Total a Nivel Proncincial (Horas)]])</f>
        <v>6.8000000000000007</v>
      </c>
    </row>
    <row r="1463" spans="30:45" hidden="1" x14ac:dyDescent="0.25">
      <c r="AD1463" s="34" t="s">
        <v>2388</v>
      </c>
      <c r="AE1463" s="10" t="s">
        <v>390</v>
      </c>
      <c r="AF1463" s="20" t="s">
        <v>1737</v>
      </c>
      <c r="AG1463" s="10"/>
      <c r="AH1463" s="22" t="str">
        <f t="shared" si="46"/>
        <v xml:space="preserve">Piura_07 Talara </v>
      </c>
      <c r="AI1463" s="10" t="s">
        <v>1727</v>
      </c>
      <c r="AJ1463" s="20" t="s">
        <v>1795</v>
      </c>
      <c r="AK1463" s="22" t="str">
        <f t="shared" si="47"/>
        <v>Piura_07 Talara _06 Mancora</v>
      </c>
      <c r="AL1463" s="25">
        <v>2</v>
      </c>
      <c r="AM1463" s="25">
        <v>21</v>
      </c>
      <c r="AN1463" s="26">
        <f>Tabla2[[#This Row],[Minutos]]/60</f>
        <v>0.35</v>
      </c>
      <c r="AO1463" s="27">
        <f>SUM(Tabla2[[#This Row],[Horas]],Tabla2[[#This Row],[Minutos a Horas]])</f>
        <v>2.35</v>
      </c>
      <c r="AP1463" s="49">
        <v>4</v>
      </c>
      <c r="AQ1463" s="49">
        <v>40</v>
      </c>
      <c r="AR1463" s="26">
        <f>Tabla2[[#This Row],[Minutos*]]/60</f>
        <v>0.66666666666666663</v>
      </c>
      <c r="AS1463" s="27">
        <f>SUM(Tabla2[[#This Row],[Horas*]],Tabla2[[#This Row],[Minutos a Horas*]])+(Tabla2[[#This Row],[Tiempo Total a Nivel Proncincial (Horas)]])</f>
        <v>7.0166666666666675</v>
      </c>
    </row>
    <row r="1464" spans="30:45" hidden="1" x14ac:dyDescent="0.25">
      <c r="AD1464" s="34" t="s">
        <v>2388</v>
      </c>
      <c r="AE1464" s="10" t="s">
        <v>390</v>
      </c>
      <c r="AF1464" s="20" t="s">
        <v>1738</v>
      </c>
      <c r="AG1464" s="10"/>
      <c r="AH1464" s="22" t="str">
        <f t="shared" si="46"/>
        <v xml:space="preserve">Piura_08 Sechura </v>
      </c>
      <c r="AI1464" s="10" t="s">
        <v>1728</v>
      </c>
      <c r="AJ1464" s="20" t="s">
        <v>1796</v>
      </c>
      <c r="AK1464" s="22" t="str">
        <f t="shared" si="47"/>
        <v>Piura_08 Sechura _01 Sechura</v>
      </c>
      <c r="AL1464" s="25">
        <v>1</v>
      </c>
      <c r="AM1464" s="25">
        <v>29</v>
      </c>
      <c r="AN1464" s="26">
        <f>Tabla2[[#This Row],[Minutos]]/60</f>
        <v>0.48333333333333334</v>
      </c>
      <c r="AO1464" s="27">
        <f>SUM(Tabla2[[#This Row],[Horas]],Tabla2[[#This Row],[Minutos a Horas]])</f>
        <v>1.4833333333333334</v>
      </c>
      <c r="AP1464" s="49">
        <v>2</v>
      </c>
      <c r="AQ1464" s="49">
        <v>35</v>
      </c>
      <c r="AR1464" s="26">
        <f>Tabla2[[#This Row],[Minutos*]]/60</f>
        <v>0.58333333333333337</v>
      </c>
      <c r="AS1464" s="27">
        <f>SUM(Tabla2[[#This Row],[Horas*]],Tabla2[[#This Row],[Minutos a Horas*]])+(Tabla2[[#This Row],[Tiempo Total a Nivel Proncincial (Horas)]])</f>
        <v>4.0666666666666664</v>
      </c>
    </row>
    <row r="1465" spans="30:45" hidden="1" x14ac:dyDescent="0.25">
      <c r="AD1465" s="34" t="s">
        <v>2388</v>
      </c>
      <c r="AE1465" s="10" t="s">
        <v>390</v>
      </c>
      <c r="AF1465" s="20" t="s">
        <v>1738</v>
      </c>
      <c r="AG1465" s="10"/>
      <c r="AH1465" s="22" t="str">
        <f t="shared" si="46"/>
        <v xml:space="preserve">Piura_08 Sechura </v>
      </c>
      <c r="AI1465" s="10" t="s">
        <v>1728</v>
      </c>
      <c r="AJ1465" s="20" t="s">
        <v>1797</v>
      </c>
      <c r="AK1465" s="22" t="str">
        <f t="shared" si="47"/>
        <v>Piura_08 Sechura _02 Bellavista de la Unión</v>
      </c>
      <c r="AL1465" s="25">
        <v>1</v>
      </c>
      <c r="AM1465" s="25">
        <v>29</v>
      </c>
      <c r="AN1465" s="26">
        <f>Tabla2[[#This Row],[Minutos]]/60</f>
        <v>0.48333333333333334</v>
      </c>
      <c r="AO1465" s="27">
        <f>SUM(Tabla2[[#This Row],[Horas]],Tabla2[[#This Row],[Minutos a Horas]])</f>
        <v>1.4833333333333334</v>
      </c>
      <c r="AP1465" s="49">
        <v>2</v>
      </c>
      <c r="AQ1465" s="49">
        <v>10</v>
      </c>
      <c r="AR1465" s="26">
        <f>Tabla2[[#This Row],[Minutos*]]/60</f>
        <v>0.16666666666666666</v>
      </c>
      <c r="AS1465" s="27">
        <f>SUM(Tabla2[[#This Row],[Horas*]],Tabla2[[#This Row],[Minutos a Horas*]])+(Tabla2[[#This Row],[Tiempo Total a Nivel Proncincial (Horas)]])</f>
        <v>3.65</v>
      </c>
    </row>
    <row r="1466" spans="30:45" hidden="1" x14ac:dyDescent="0.25">
      <c r="AD1466" s="34" t="s">
        <v>2388</v>
      </c>
      <c r="AE1466" s="10" t="s">
        <v>390</v>
      </c>
      <c r="AF1466" s="20" t="s">
        <v>1738</v>
      </c>
      <c r="AG1466" s="10"/>
      <c r="AH1466" s="22" t="str">
        <f t="shared" si="46"/>
        <v xml:space="preserve">Piura_08 Sechura </v>
      </c>
      <c r="AI1466" s="10" t="s">
        <v>1728</v>
      </c>
      <c r="AJ1466" s="20" t="s">
        <v>1798</v>
      </c>
      <c r="AK1466" s="22" t="str">
        <f t="shared" si="47"/>
        <v>Piura_08 Sechura _03 Bernal</v>
      </c>
      <c r="AL1466" s="25">
        <v>1</v>
      </c>
      <c r="AM1466" s="25">
        <v>29</v>
      </c>
      <c r="AN1466" s="26">
        <f>Tabla2[[#This Row],[Minutos]]/60</f>
        <v>0.48333333333333334</v>
      </c>
      <c r="AO1466" s="27">
        <f>SUM(Tabla2[[#This Row],[Horas]],Tabla2[[#This Row],[Minutos a Horas]])</f>
        <v>1.4833333333333334</v>
      </c>
      <c r="AP1466" s="49">
        <v>2</v>
      </c>
      <c r="AQ1466" s="49">
        <v>30</v>
      </c>
      <c r="AR1466" s="26">
        <f>Tabla2[[#This Row],[Minutos*]]/60</f>
        <v>0.5</v>
      </c>
      <c r="AS1466" s="27">
        <f>SUM(Tabla2[[#This Row],[Horas*]],Tabla2[[#This Row],[Minutos a Horas*]])+(Tabla2[[#This Row],[Tiempo Total a Nivel Proncincial (Horas)]])</f>
        <v>3.9833333333333334</v>
      </c>
    </row>
    <row r="1467" spans="30:45" hidden="1" x14ac:dyDescent="0.25">
      <c r="AD1467" s="34" t="s">
        <v>2388</v>
      </c>
      <c r="AE1467" s="10" t="s">
        <v>390</v>
      </c>
      <c r="AF1467" s="20" t="s">
        <v>1738</v>
      </c>
      <c r="AG1467" s="10"/>
      <c r="AH1467" s="22" t="str">
        <f t="shared" si="46"/>
        <v xml:space="preserve">Piura_08 Sechura </v>
      </c>
      <c r="AI1467" s="10" t="s">
        <v>1728</v>
      </c>
      <c r="AJ1467" s="20" t="s">
        <v>1799</v>
      </c>
      <c r="AK1467" s="22" t="str">
        <f t="shared" si="47"/>
        <v>Piura_08 Sechura _04 Cristo Nos Valga</v>
      </c>
      <c r="AL1467" s="25">
        <v>1</v>
      </c>
      <c r="AM1467" s="25">
        <v>29</v>
      </c>
      <c r="AN1467" s="26">
        <f>Tabla2[[#This Row],[Minutos]]/60</f>
        <v>0.48333333333333334</v>
      </c>
      <c r="AO1467" s="27">
        <f>SUM(Tabla2[[#This Row],[Horas]],Tabla2[[#This Row],[Minutos a Horas]])</f>
        <v>1.4833333333333334</v>
      </c>
      <c r="AP1467" s="49">
        <v>2</v>
      </c>
      <c r="AQ1467" s="49">
        <v>50</v>
      </c>
      <c r="AR1467" s="26">
        <f>Tabla2[[#This Row],[Minutos*]]/60</f>
        <v>0.83333333333333337</v>
      </c>
      <c r="AS1467" s="27">
        <f>SUM(Tabla2[[#This Row],[Horas*]],Tabla2[[#This Row],[Minutos a Horas*]])+(Tabla2[[#This Row],[Tiempo Total a Nivel Proncincial (Horas)]])</f>
        <v>4.3166666666666664</v>
      </c>
    </row>
    <row r="1468" spans="30:45" hidden="1" x14ac:dyDescent="0.25">
      <c r="AD1468" s="34" t="s">
        <v>2388</v>
      </c>
      <c r="AE1468" s="10" t="s">
        <v>390</v>
      </c>
      <c r="AF1468" s="20" t="s">
        <v>1738</v>
      </c>
      <c r="AG1468" s="10"/>
      <c r="AH1468" s="22" t="str">
        <f t="shared" si="46"/>
        <v xml:space="preserve">Piura_08 Sechura </v>
      </c>
      <c r="AI1468" s="10" t="s">
        <v>1728</v>
      </c>
      <c r="AJ1468" s="20" t="s">
        <v>1800</v>
      </c>
      <c r="AK1468" s="22" t="str">
        <f t="shared" si="47"/>
        <v>Piura_08 Sechura _05 Vice</v>
      </c>
      <c r="AL1468" s="25">
        <v>1</v>
      </c>
      <c r="AM1468" s="25">
        <v>29</v>
      </c>
      <c r="AN1468" s="26">
        <f>Tabla2[[#This Row],[Minutos]]/60</f>
        <v>0.48333333333333334</v>
      </c>
      <c r="AO1468" s="27">
        <f>SUM(Tabla2[[#This Row],[Horas]],Tabla2[[#This Row],[Minutos a Horas]])</f>
        <v>1.4833333333333334</v>
      </c>
      <c r="AP1468" s="49">
        <v>1</v>
      </c>
      <c r="AQ1468" s="49">
        <v>45</v>
      </c>
      <c r="AR1468" s="26">
        <f>Tabla2[[#This Row],[Minutos*]]/60</f>
        <v>0.75</v>
      </c>
      <c r="AS1468" s="27">
        <f>SUM(Tabla2[[#This Row],[Horas*]],Tabla2[[#This Row],[Minutos a Horas*]])+(Tabla2[[#This Row],[Tiempo Total a Nivel Proncincial (Horas)]])</f>
        <v>3.2333333333333334</v>
      </c>
    </row>
    <row r="1469" spans="30:45" hidden="1" x14ac:dyDescent="0.25">
      <c r="AD1469" s="34" t="s">
        <v>2388</v>
      </c>
      <c r="AE1469" s="10" t="s">
        <v>390</v>
      </c>
      <c r="AF1469" s="20" t="s">
        <v>1738</v>
      </c>
      <c r="AG1469" s="10"/>
      <c r="AH1469" s="22" t="str">
        <f t="shared" si="46"/>
        <v xml:space="preserve">Piura_08 Sechura </v>
      </c>
      <c r="AI1469" s="10" t="s">
        <v>1728</v>
      </c>
      <c r="AJ1469" s="20" t="s">
        <v>1801</v>
      </c>
      <c r="AK1469" s="22" t="str">
        <f t="shared" si="47"/>
        <v>Piura_08 Sechura _06 Rinconada Llicuar</v>
      </c>
      <c r="AL1469" s="25">
        <v>1</v>
      </c>
      <c r="AM1469" s="25">
        <v>29</v>
      </c>
      <c r="AN1469" s="26">
        <f>Tabla2[[#This Row],[Minutos]]/60</f>
        <v>0.48333333333333334</v>
      </c>
      <c r="AO1469" s="27">
        <f>SUM(Tabla2[[#This Row],[Horas]],Tabla2[[#This Row],[Minutos a Horas]])</f>
        <v>1.4833333333333334</v>
      </c>
      <c r="AP1469" s="49">
        <v>2</v>
      </c>
      <c r="AQ1469" s="49">
        <v>5</v>
      </c>
      <c r="AR1469" s="26">
        <f>Tabla2[[#This Row],[Minutos*]]/60</f>
        <v>8.3333333333333329E-2</v>
      </c>
      <c r="AS1469" s="27">
        <f>SUM(Tabla2[[#This Row],[Horas*]],Tabla2[[#This Row],[Minutos a Horas*]])+(Tabla2[[#This Row],[Tiempo Total a Nivel Proncincial (Horas)]])</f>
        <v>3.5666666666666669</v>
      </c>
    </row>
    <row r="1470" spans="30:45" hidden="1" x14ac:dyDescent="0.25">
      <c r="AD1470" s="32" t="s">
        <v>2389</v>
      </c>
      <c r="AE1470" s="10" t="s">
        <v>391</v>
      </c>
      <c r="AF1470" s="20" t="s">
        <v>1802</v>
      </c>
      <c r="AG1470" s="10" t="s">
        <v>1802</v>
      </c>
      <c r="AH1470" s="22" t="str">
        <f t="shared" si="46"/>
        <v xml:space="preserve">Puno_01 Puno </v>
      </c>
      <c r="AI1470" s="10" t="s">
        <v>1729</v>
      </c>
      <c r="AJ1470" s="20" t="s">
        <v>1815</v>
      </c>
      <c r="AK1470" s="22" t="str">
        <f t="shared" si="47"/>
        <v>Puno_01 Puno _01 Puno</v>
      </c>
      <c r="AL1470" s="25">
        <v>0</v>
      </c>
      <c r="AM1470" s="25">
        <v>6</v>
      </c>
      <c r="AN1470" s="26">
        <f>Tabla2[[#This Row],[Minutos]]/60</f>
        <v>0.1</v>
      </c>
      <c r="AO1470" s="27">
        <f>SUM(Tabla2[[#This Row],[Horas]],Tabla2[[#This Row],[Minutos a Horas]])</f>
        <v>0.1</v>
      </c>
      <c r="AP1470" s="49">
        <v>0</v>
      </c>
      <c r="AQ1470" s="49">
        <v>0</v>
      </c>
      <c r="AR1470" s="26">
        <f>Tabla2[[#This Row],[Minutos*]]/60</f>
        <v>0</v>
      </c>
      <c r="AS1470" s="27">
        <f>SUM(Tabla2[[#This Row],[Horas*]],Tabla2[[#This Row],[Minutos a Horas*]])+(Tabla2[[#This Row],[Tiempo Total a Nivel Proncincial (Horas)]])</f>
        <v>0.1</v>
      </c>
    </row>
    <row r="1471" spans="30:45" hidden="1" x14ac:dyDescent="0.25">
      <c r="AD1471" s="32" t="s">
        <v>2389</v>
      </c>
      <c r="AE1471" s="10" t="s">
        <v>391</v>
      </c>
      <c r="AF1471" s="20" t="s">
        <v>1802</v>
      </c>
      <c r="AG1471" s="10" t="s">
        <v>1803</v>
      </c>
      <c r="AH1471" s="22" t="str">
        <f t="shared" si="46"/>
        <v xml:space="preserve">Puno_01 Puno </v>
      </c>
      <c r="AI1471" s="10" t="s">
        <v>1729</v>
      </c>
      <c r="AJ1471" s="20" t="s">
        <v>1816</v>
      </c>
      <c r="AK1471" s="22" t="str">
        <f t="shared" si="47"/>
        <v>Puno_01 Puno _02 Acora</v>
      </c>
      <c r="AL1471" s="25">
        <v>0</v>
      </c>
      <c r="AM1471" s="25">
        <v>6</v>
      </c>
      <c r="AN1471" s="26">
        <f>Tabla2[[#This Row],[Minutos]]/60</f>
        <v>0.1</v>
      </c>
      <c r="AO1471" s="27">
        <f>SUM(Tabla2[[#This Row],[Horas]],Tabla2[[#This Row],[Minutos a Horas]])</f>
        <v>0.1</v>
      </c>
      <c r="AP1471" s="49">
        <v>0</v>
      </c>
      <c r="AQ1471" s="49">
        <v>38</v>
      </c>
      <c r="AR1471" s="26">
        <f>Tabla2[[#This Row],[Minutos*]]/60</f>
        <v>0.6333333333333333</v>
      </c>
      <c r="AS1471" s="27">
        <f>SUM(Tabla2[[#This Row],[Horas*]],Tabla2[[#This Row],[Minutos a Horas*]])+(Tabla2[[#This Row],[Tiempo Total a Nivel Proncincial (Horas)]])</f>
        <v>0.73333333333333328</v>
      </c>
    </row>
    <row r="1472" spans="30:45" hidden="1" x14ac:dyDescent="0.25">
      <c r="AD1472" s="32" t="s">
        <v>2389</v>
      </c>
      <c r="AE1472" s="10" t="s">
        <v>391</v>
      </c>
      <c r="AF1472" s="20" t="s">
        <v>1802</v>
      </c>
      <c r="AG1472" s="10" t="s">
        <v>1804</v>
      </c>
      <c r="AH1472" s="22" t="str">
        <f t="shared" si="46"/>
        <v xml:space="preserve">Puno_01 Puno </v>
      </c>
      <c r="AI1472" s="10" t="s">
        <v>1729</v>
      </c>
      <c r="AJ1472" s="20" t="s">
        <v>1817</v>
      </c>
      <c r="AK1472" s="22" t="str">
        <f t="shared" si="47"/>
        <v>Puno_01 Puno _03 Amantani</v>
      </c>
      <c r="AL1472" s="25">
        <v>0</v>
      </c>
      <c r="AM1472" s="25">
        <v>6</v>
      </c>
      <c r="AN1472" s="26">
        <f>Tabla2[[#This Row],[Minutos]]/60</f>
        <v>0.1</v>
      </c>
      <c r="AO1472" s="27">
        <f>SUM(Tabla2[[#This Row],[Horas]],Tabla2[[#This Row],[Minutos a Horas]])</f>
        <v>0.1</v>
      </c>
      <c r="AP1472" s="49">
        <v>1</v>
      </c>
      <c r="AQ1472" s="49">
        <v>31</v>
      </c>
      <c r="AR1472" s="26">
        <f>Tabla2[[#This Row],[Minutos*]]/60</f>
        <v>0.51666666666666672</v>
      </c>
      <c r="AS1472" s="27">
        <f>SUM(Tabla2[[#This Row],[Horas*]],Tabla2[[#This Row],[Minutos a Horas*]])+(Tabla2[[#This Row],[Tiempo Total a Nivel Proncincial (Horas)]])</f>
        <v>1.6166666666666667</v>
      </c>
    </row>
    <row r="1473" spans="30:45" hidden="1" x14ac:dyDescent="0.25">
      <c r="AD1473" s="32" t="s">
        <v>2389</v>
      </c>
      <c r="AE1473" s="10" t="s">
        <v>391</v>
      </c>
      <c r="AF1473" s="20" t="s">
        <v>1802</v>
      </c>
      <c r="AG1473" s="10" t="s">
        <v>1805</v>
      </c>
      <c r="AH1473" s="22" t="str">
        <f t="shared" si="46"/>
        <v xml:space="preserve">Puno_01 Puno </v>
      </c>
      <c r="AI1473" s="10" t="s">
        <v>1729</v>
      </c>
      <c r="AJ1473" s="20" t="s">
        <v>1818</v>
      </c>
      <c r="AK1473" s="22" t="str">
        <f t="shared" si="47"/>
        <v>Puno_01 Puno _04 Atuncolla</v>
      </c>
      <c r="AL1473" s="25">
        <v>0</v>
      </c>
      <c r="AM1473" s="25">
        <v>6</v>
      </c>
      <c r="AN1473" s="26">
        <f>Tabla2[[#This Row],[Minutos]]/60</f>
        <v>0.1</v>
      </c>
      <c r="AO1473" s="27">
        <f>SUM(Tabla2[[#This Row],[Horas]],Tabla2[[#This Row],[Minutos a Horas]])</f>
        <v>0.1</v>
      </c>
      <c r="AP1473" s="49">
        <v>0</v>
      </c>
      <c r="AQ1473" s="49">
        <v>39</v>
      </c>
      <c r="AR1473" s="26">
        <f>Tabla2[[#This Row],[Minutos*]]/60</f>
        <v>0.65</v>
      </c>
      <c r="AS1473" s="27">
        <f>SUM(Tabla2[[#This Row],[Horas*]],Tabla2[[#This Row],[Minutos a Horas*]])+(Tabla2[[#This Row],[Tiempo Total a Nivel Proncincial (Horas)]])</f>
        <v>0.75</v>
      </c>
    </row>
    <row r="1474" spans="30:45" hidden="1" x14ac:dyDescent="0.25">
      <c r="AD1474" s="32" t="s">
        <v>2389</v>
      </c>
      <c r="AE1474" s="10" t="s">
        <v>391</v>
      </c>
      <c r="AF1474" s="20" t="s">
        <v>1802</v>
      </c>
      <c r="AG1474" s="10" t="s">
        <v>1806</v>
      </c>
      <c r="AH1474" s="22" t="str">
        <f t="shared" si="46"/>
        <v xml:space="preserve">Puno_01 Puno </v>
      </c>
      <c r="AI1474" s="10" t="s">
        <v>1729</v>
      </c>
      <c r="AJ1474" s="20" t="s">
        <v>1819</v>
      </c>
      <c r="AK1474" s="22" t="str">
        <f t="shared" si="47"/>
        <v>Puno_01 Puno _05 Capachica</v>
      </c>
      <c r="AL1474" s="25">
        <v>0</v>
      </c>
      <c r="AM1474" s="25">
        <v>6</v>
      </c>
      <c r="AN1474" s="26">
        <f>Tabla2[[#This Row],[Minutos]]/60</f>
        <v>0.1</v>
      </c>
      <c r="AO1474" s="27">
        <f>SUM(Tabla2[[#This Row],[Horas]],Tabla2[[#This Row],[Minutos a Horas]])</f>
        <v>0.1</v>
      </c>
      <c r="AP1474" s="49">
        <v>1</v>
      </c>
      <c r="AQ1474" s="49">
        <v>9</v>
      </c>
      <c r="AR1474" s="26">
        <f>Tabla2[[#This Row],[Minutos*]]/60</f>
        <v>0.15</v>
      </c>
      <c r="AS1474" s="27">
        <f>SUM(Tabla2[[#This Row],[Horas*]],Tabla2[[#This Row],[Minutos a Horas*]])+(Tabla2[[#This Row],[Tiempo Total a Nivel Proncincial (Horas)]])</f>
        <v>1.25</v>
      </c>
    </row>
    <row r="1475" spans="30:45" hidden="1" x14ac:dyDescent="0.25">
      <c r="AD1475" s="32" t="s">
        <v>2389</v>
      </c>
      <c r="AE1475" s="10" t="s">
        <v>391</v>
      </c>
      <c r="AF1475" s="20" t="s">
        <v>1802</v>
      </c>
      <c r="AG1475" s="10" t="s">
        <v>1807</v>
      </c>
      <c r="AH1475" s="22" t="str">
        <f t="shared" si="46"/>
        <v xml:space="preserve">Puno_01 Puno </v>
      </c>
      <c r="AI1475" s="10" t="s">
        <v>1729</v>
      </c>
      <c r="AJ1475" s="20" t="s">
        <v>1820</v>
      </c>
      <c r="AK1475" s="22" t="str">
        <f t="shared" si="47"/>
        <v>Puno_01 Puno _06 Chucuito</v>
      </c>
      <c r="AL1475" s="25">
        <v>0</v>
      </c>
      <c r="AM1475" s="25">
        <v>6</v>
      </c>
      <c r="AN1475" s="26">
        <f>Tabla2[[#This Row],[Minutos]]/60</f>
        <v>0.1</v>
      </c>
      <c r="AO1475" s="27">
        <f>SUM(Tabla2[[#This Row],[Horas]],Tabla2[[#This Row],[Minutos a Horas]])</f>
        <v>0.1</v>
      </c>
      <c r="AP1475" s="49">
        <v>0</v>
      </c>
      <c r="AQ1475" s="49">
        <v>26</v>
      </c>
      <c r="AR1475" s="26">
        <f>Tabla2[[#This Row],[Minutos*]]/60</f>
        <v>0.43333333333333335</v>
      </c>
      <c r="AS1475" s="27">
        <f>SUM(Tabla2[[#This Row],[Horas*]],Tabla2[[#This Row],[Minutos a Horas*]])+(Tabla2[[#This Row],[Tiempo Total a Nivel Proncincial (Horas)]])</f>
        <v>0.53333333333333333</v>
      </c>
    </row>
    <row r="1476" spans="30:45" hidden="1" x14ac:dyDescent="0.25">
      <c r="AD1476" s="32" t="s">
        <v>2389</v>
      </c>
      <c r="AE1476" s="10" t="s">
        <v>391</v>
      </c>
      <c r="AF1476" s="20" t="s">
        <v>1802</v>
      </c>
      <c r="AG1476" s="10" t="s">
        <v>1808</v>
      </c>
      <c r="AH1476" s="22" t="str">
        <f t="shared" si="46"/>
        <v xml:space="preserve">Puno_01 Puno </v>
      </c>
      <c r="AI1476" s="10" t="s">
        <v>1729</v>
      </c>
      <c r="AJ1476" s="20" t="s">
        <v>1821</v>
      </c>
      <c r="AK1476" s="22" t="str">
        <f t="shared" si="47"/>
        <v>Puno_01 Puno _07 Coata</v>
      </c>
      <c r="AL1476" s="25">
        <v>0</v>
      </c>
      <c r="AM1476" s="25">
        <v>6</v>
      </c>
      <c r="AN1476" s="26">
        <f>Tabla2[[#This Row],[Minutos]]/60</f>
        <v>0.1</v>
      </c>
      <c r="AO1476" s="27">
        <f>SUM(Tabla2[[#This Row],[Horas]],Tabla2[[#This Row],[Minutos a Horas]])</f>
        <v>0.1</v>
      </c>
      <c r="AP1476" s="49">
        <v>0</v>
      </c>
      <c r="AQ1476" s="49">
        <v>53</v>
      </c>
      <c r="AR1476" s="26">
        <f>Tabla2[[#This Row],[Minutos*]]/60</f>
        <v>0.8833333333333333</v>
      </c>
      <c r="AS1476" s="27">
        <f>SUM(Tabla2[[#This Row],[Horas*]],Tabla2[[#This Row],[Minutos a Horas*]])+(Tabla2[[#This Row],[Tiempo Total a Nivel Proncincial (Horas)]])</f>
        <v>0.98333333333333328</v>
      </c>
    </row>
    <row r="1477" spans="30:45" hidden="1" x14ac:dyDescent="0.25">
      <c r="AD1477" s="32" t="s">
        <v>2389</v>
      </c>
      <c r="AE1477" s="10" t="s">
        <v>391</v>
      </c>
      <c r="AF1477" s="20" t="s">
        <v>1802</v>
      </c>
      <c r="AG1477" s="10" t="s">
        <v>1809</v>
      </c>
      <c r="AH1477" s="22" t="str">
        <f t="shared" si="46"/>
        <v xml:space="preserve">Puno_01 Puno </v>
      </c>
      <c r="AI1477" s="10" t="s">
        <v>1729</v>
      </c>
      <c r="AJ1477" s="20" t="s">
        <v>1822</v>
      </c>
      <c r="AK1477" s="22" t="str">
        <f t="shared" si="47"/>
        <v>Puno_01 Puno _08 Huata</v>
      </c>
      <c r="AL1477" s="25">
        <v>0</v>
      </c>
      <c r="AM1477" s="25">
        <v>6</v>
      </c>
      <c r="AN1477" s="26">
        <f>Tabla2[[#This Row],[Minutos]]/60</f>
        <v>0.1</v>
      </c>
      <c r="AO1477" s="27">
        <f>SUM(Tabla2[[#This Row],[Horas]],Tabla2[[#This Row],[Minutos a Horas]])</f>
        <v>0.1</v>
      </c>
      <c r="AP1477" s="49">
        <v>0</v>
      </c>
      <c r="AQ1477" s="49">
        <v>37.5</v>
      </c>
      <c r="AR1477" s="26">
        <f>Tabla2[[#This Row],[Minutos*]]/60</f>
        <v>0.625</v>
      </c>
      <c r="AS1477" s="27">
        <f>SUM(Tabla2[[#This Row],[Horas*]],Tabla2[[#This Row],[Minutos a Horas*]])+(Tabla2[[#This Row],[Tiempo Total a Nivel Proncincial (Horas)]])</f>
        <v>0.72499999999999998</v>
      </c>
    </row>
    <row r="1478" spans="30:45" hidden="1" x14ac:dyDescent="0.25">
      <c r="AD1478" s="32" t="s">
        <v>2389</v>
      </c>
      <c r="AE1478" s="10" t="s">
        <v>391</v>
      </c>
      <c r="AF1478" s="20" t="s">
        <v>1802</v>
      </c>
      <c r="AG1478" s="10" t="s">
        <v>1810</v>
      </c>
      <c r="AH1478" s="22" t="str">
        <f t="shared" si="46"/>
        <v xml:space="preserve">Puno_01 Puno </v>
      </c>
      <c r="AI1478" s="10" t="s">
        <v>1729</v>
      </c>
      <c r="AJ1478" s="20" t="s">
        <v>1823</v>
      </c>
      <c r="AK1478" s="22" t="str">
        <f t="shared" si="47"/>
        <v>Puno_01 Puno _09 Mañazo</v>
      </c>
      <c r="AL1478" s="25">
        <v>0</v>
      </c>
      <c r="AM1478" s="25">
        <v>6</v>
      </c>
      <c r="AN1478" s="26">
        <f>Tabla2[[#This Row],[Minutos]]/60</f>
        <v>0.1</v>
      </c>
      <c r="AO1478" s="27">
        <f>SUM(Tabla2[[#This Row],[Horas]],Tabla2[[#This Row],[Minutos a Horas]])</f>
        <v>0.1</v>
      </c>
      <c r="AP1478" s="49">
        <v>0</v>
      </c>
      <c r="AQ1478" s="49">
        <v>59</v>
      </c>
      <c r="AR1478" s="26">
        <f>Tabla2[[#This Row],[Minutos*]]/60</f>
        <v>0.98333333333333328</v>
      </c>
      <c r="AS1478" s="27">
        <f>SUM(Tabla2[[#This Row],[Horas*]],Tabla2[[#This Row],[Minutos a Horas*]])+(Tabla2[[#This Row],[Tiempo Total a Nivel Proncincial (Horas)]])</f>
        <v>1.0833333333333333</v>
      </c>
    </row>
    <row r="1479" spans="30:45" hidden="1" x14ac:dyDescent="0.25">
      <c r="AD1479" s="32" t="s">
        <v>2389</v>
      </c>
      <c r="AE1479" s="10" t="s">
        <v>391</v>
      </c>
      <c r="AF1479" s="20" t="s">
        <v>1802</v>
      </c>
      <c r="AG1479" s="10" t="s">
        <v>1811</v>
      </c>
      <c r="AH1479" s="22" t="str">
        <f t="shared" si="46"/>
        <v xml:space="preserve">Puno_01 Puno </v>
      </c>
      <c r="AI1479" s="10" t="s">
        <v>1729</v>
      </c>
      <c r="AJ1479" s="20" t="s">
        <v>1824</v>
      </c>
      <c r="AK1479" s="22" t="str">
        <f t="shared" si="47"/>
        <v>Puno_01 Puno _10 Paucarcolla</v>
      </c>
      <c r="AL1479" s="25">
        <v>0</v>
      </c>
      <c r="AM1479" s="25">
        <v>6</v>
      </c>
      <c r="AN1479" s="26">
        <f>Tabla2[[#This Row],[Minutos]]/60</f>
        <v>0.1</v>
      </c>
      <c r="AO1479" s="27">
        <f>SUM(Tabla2[[#This Row],[Horas]],Tabla2[[#This Row],[Minutos a Horas]])</f>
        <v>0.1</v>
      </c>
      <c r="AP1479" s="49">
        <v>0</v>
      </c>
      <c r="AQ1479" s="49">
        <v>22</v>
      </c>
      <c r="AR1479" s="26">
        <f>Tabla2[[#This Row],[Minutos*]]/60</f>
        <v>0.36666666666666664</v>
      </c>
      <c r="AS1479" s="27">
        <f>SUM(Tabla2[[#This Row],[Horas*]],Tabla2[[#This Row],[Minutos a Horas*]])+(Tabla2[[#This Row],[Tiempo Total a Nivel Proncincial (Horas)]])</f>
        <v>0.46666666666666667</v>
      </c>
    </row>
    <row r="1480" spans="30:45" hidden="1" x14ac:dyDescent="0.25">
      <c r="AD1480" s="32" t="s">
        <v>2389</v>
      </c>
      <c r="AE1480" s="10" t="s">
        <v>391</v>
      </c>
      <c r="AF1480" s="20" t="s">
        <v>1802</v>
      </c>
      <c r="AG1480" s="10" t="s">
        <v>1812</v>
      </c>
      <c r="AH1480" s="22" t="str">
        <f t="shared" si="46"/>
        <v xml:space="preserve">Puno_01 Puno </v>
      </c>
      <c r="AI1480" s="10" t="s">
        <v>1729</v>
      </c>
      <c r="AJ1480" s="20" t="s">
        <v>1825</v>
      </c>
      <c r="AK1480" s="22" t="str">
        <f t="shared" si="47"/>
        <v>Puno_01 Puno _11 Pichacani</v>
      </c>
      <c r="AL1480" s="25">
        <v>0</v>
      </c>
      <c r="AM1480" s="25">
        <v>6</v>
      </c>
      <c r="AN1480" s="26">
        <f>Tabla2[[#This Row],[Minutos]]/60</f>
        <v>0.1</v>
      </c>
      <c r="AO1480" s="27">
        <f>SUM(Tabla2[[#This Row],[Horas]],Tabla2[[#This Row],[Minutos a Horas]])</f>
        <v>0.1</v>
      </c>
      <c r="AP1480" s="49">
        <v>0</v>
      </c>
      <c r="AQ1480" s="49">
        <v>40.299999999999997</v>
      </c>
      <c r="AR1480" s="26">
        <f>Tabla2[[#This Row],[Minutos*]]/60</f>
        <v>0.67166666666666663</v>
      </c>
      <c r="AS1480" s="27">
        <f>SUM(Tabla2[[#This Row],[Horas*]],Tabla2[[#This Row],[Minutos a Horas*]])+(Tabla2[[#This Row],[Tiempo Total a Nivel Proncincial (Horas)]])</f>
        <v>0.77166666666666661</v>
      </c>
    </row>
    <row r="1481" spans="30:45" hidden="1" x14ac:dyDescent="0.25">
      <c r="AD1481" s="32" t="s">
        <v>2389</v>
      </c>
      <c r="AE1481" s="10" t="s">
        <v>391</v>
      </c>
      <c r="AF1481" s="20" t="s">
        <v>1802</v>
      </c>
      <c r="AG1481" s="10" t="s">
        <v>1813</v>
      </c>
      <c r="AH1481" s="22" t="str">
        <f t="shared" si="46"/>
        <v xml:space="preserve">Puno_01 Puno </v>
      </c>
      <c r="AI1481" s="10" t="s">
        <v>1729</v>
      </c>
      <c r="AJ1481" s="20" t="s">
        <v>1826</v>
      </c>
      <c r="AK1481" s="22" t="str">
        <f t="shared" si="47"/>
        <v>Puno_01 Puno _12 Plateria</v>
      </c>
      <c r="AL1481" s="25">
        <v>0</v>
      </c>
      <c r="AM1481" s="25">
        <v>6</v>
      </c>
      <c r="AN1481" s="26">
        <f>Tabla2[[#This Row],[Minutos]]/60</f>
        <v>0.1</v>
      </c>
      <c r="AO1481" s="27">
        <f>SUM(Tabla2[[#This Row],[Horas]],Tabla2[[#This Row],[Minutos a Horas]])</f>
        <v>0.1</v>
      </c>
      <c r="AP1481" s="49">
        <v>0</v>
      </c>
      <c r="AQ1481" s="49">
        <v>34</v>
      </c>
      <c r="AR1481" s="26">
        <f>Tabla2[[#This Row],[Minutos*]]/60</f>
        <v>0.56666666666666665</v>
      </c>
      <c r="AS1481" s="27">
        <f>SUM(Tabla2[[#This Row],[Horas*]],Tabla2[[#This Row],[Minutos a Horas*]])+(Tabla2[[#This Row],[Tiempo Total a Nivel Proncincial (Horas)]])</f>
        <v>0.66666666666666663</v>
      </c>
    </row>
    <row r="1482" spans="30:45" hidden="1" x14ac:dyDescent="0.25">
      <c r="AD1482" s="32" t="s">
        <v>2389</v>
      </c>
      <c r="AE1482" s="10" t="s">
        <v>391</v>
      </c>
      <c r="AF1482" s="20" t="s">
        <v>1802</v>
      </c>
      <c r="AG1482" s="10" t="s">
        <v>1814</v>
      </c>
      <c r="AH1482" s="22" t="str">
        <f t="shared" si="46"/>
        <v xml:space="preserve">Puno_01 Puno </v>
      </c>
      <c r="AI1482" s="10" t="s">
        <v>1729</v>
      </c>
      <c r="AJ1482" s="20" t="s">
        <v>1827</v>
      </c>
      <c r="AK1482" s="22" t="str">
        <f t="shared" si="47"/>
        <v>Puno_01 Puno _13 San Antonio</v>
      </c>
      <c r="AL1482" s="25">
        <v>0</v>
      </c>
      <c r="AM1482" s="25">
        <v>6</v>
      </c>
      <c r="AN1482" s="26">
        <f>Tabla2[[#This Row],[Minutos]]/60</f>
        <v>0.1</v>
      </c>
      <c r="AO1482" s="27">
        <f>SUM(Tabla2[[#This Row],[Horas]],Tabla2[[#This Row],[Minutos a Horas]])</f>
        <v>0.1</v>
      </c>
      <c r="AP1482" s="49">
        <v>1</v>
      </c>
      <c r="AQ1482" s="49">
        <v>11</v>
      </c>
      <c r="AR1482" s="26">
        <f>Tabla2[[#This Row],[Minutos*]]/60</f>
        <v>0.18333333333333332</v>
      </c>
      <c r="AS1482" s="27">
        <f>SUM(Tabla2[[#This Row],[Horas*]],Tabla2[[#This Row],[Minutos a Horas*]])+(Tabla2[[#This Row],[Tiempo Total a Nivel Proncincial (Horas)]])</f>
        <v>1.2833333333333334</v>
      </c>
    </row>
    <row r="1483" spans="30:45" hidden="1" x14ac:dyDescent="0.25">
      <c r="AD1483" s="32" t="s">
        <v>2389</v>
      </c>
      <c r="AE1483" s="10" t="s">
        <v>391</v>
      </c>
      <c r="AF1483" s="20" t="s">
        <v>1802</v>
      </c>
      <c r="AG1483" s="10"/>
      <c r="AH1483" s="22" t="str">
        <f t="shared" si="46"/>
        <v xml:space="preserve">Puno_01 Puno </v>
      </c>
      <c r="AI1483" s="10" t="s">
        <v>1729</v>
      </c>
      <c r="AJ1483" s="20" t="s">
        <v>1828</v>
      </c>
      <c r="AK1483" s="22" t="str">
        <f t="shared" si="47"/>
        <v>Puno_01 Puno _14 Tiquillaca</v>
      </c>
      <c r="AL1483" s="25">
        <v>0</v>
      </c>
      <c r="AM1483" s="25">
        <v>6</v>
      </c>
      <c r="AN1483" s="26">
        <f>Tabla2[[#This Row],[Minutos]]/60</f>
        <v>0.1</v>
      </c>
      <c r="AO1483" s="27">
        <f>SUM(Tabla2[[#This Row],[Horas]],Tabla2[[#This Row],[Minutos a Horas]])</f>
        <v>0.1</v>
      </c>
      <c r="AP1483" s="49">
        <v>0</v>
      </c>
      <c r="AQ1483" s="49">
        <v>39</v>
      </c>
      <c r="AR1483" s="26">
        <f>Tabla2[[#This Row],[Minutos*]]/60</f>
        <v>0.65</v>
      </c>
      <c r="AS1483" s="27">
        <f>SUM(Tabla2[[#This Row],[Horas*]],Tabla2[[#This Row],[Minutos a Horas*]])+(Tabla2[[#This Row],[Tiempo Total a Nivel Proncincial (Horas)]])</f>
        <v>0.75</v>
      </c>
    </row>
    <row r="1484" spans="30:45" hidden="1" x14ac:dyDescent="0.25">
      <c r="AD1484" s="32" t="s">
        <v>2389</v>
      </c>
      <c r="AE1484" s="10" t="s">
        <v>391</v>
      </c>
      <c r="AF1484" s="20" t="s">
        <v>1802</v>
      </c>
      <c r="AG1484" s="10"/>
      <c r="AH1484" s="22" t="str">
        <f t="shared" si="46"/>
        <v xml:space="preserve">Puno_01 Puno </v>
      </c>
      <c r="AI1484" s="10" t="s">
        <v>1729</v>
      </c>
      <c r="AJ1484" s="20" t="s">
        <v>1829</v>
      </c>
      <c r="AK1484" s="22" t="str">
        <f t="shared" si="47"/>
        <v>Puno_01 Puno _15 Vilque</v>
      </c>
      <c r="AL1484" s="25">
        <v>0</v>
      </c>
      <c r="AM1484" s="25">
        <v>6</v>
      </c>
      <c r="AN1484" s="26">
        <f>Tabla2[[#This Row],[Minutos]]/60</f>
        <v>0.1</v>
      </c>
      <c r="AO1484" s="27">
        <f>SUM(Tabla2[[#This Row],[Horas]],Tabla2[[#This Row],[Minutos a Horas]])</f>
        <v>0.1</v>
      </c>
      <c r="AP1484" s="49">
        <v>0</v>
      </c>
      <c r="AQ1484" s="49">
        <v>48</v>
      </c>
      <c r="AR1484" s="26">
        <f>Tabla2[[#This Row],[Minutos*]]/60</f>
        <v>0.8</v>
      </c>
      <c r="AS1484" s="27">
        <f>SUM(Tabla2[[#This Row],[Horas*]],Tabla2[[#This Row],[Minutos a Horas*]])+(Tabla2[[#This Row],[Tiempo Total a Nivel Proncincial (Horas)]])</f>
        <v>0.9</v>
      </c>
    </row>
    <row r="1485" spans="30:45" hidden="1" x14ac:dyDescent="0.25">
      <c r="AD1485" s="32" t="s">
        <v>2389</v>
      </c>
      <c r="AE1485" s="10" t="s">
        <v>391</v>
      </c>
      <c r="AF1485" s="20" t="s">
        <v>1803</v>
      </c>
      <c r="AG1485" s="10"/>
      <c r="AH1485" s="22" t="str">
        <f t="shared" si="46"/>
        <v xml:space="preserve">Puno_02 Azángaro </v>
      </c>
      <c r="AI1485" s="10" t="s">
        <v>1730</v>
      </c>
      <c r="AJ1485" s="20" t="s">
        <v>1830</v>
      </c>
      <c r="AK1485" s="22" t="str">
        <f t="shared" si="47"/>
        <v>Puno_02 Azángaro _01 Azángaro</v>
      </c>
      <c r="AL1485" s="25">
        <v>1</v>
      </c>
      <c r="AM1485" s="25">
        <v>58</v>
      </c>
      <c r="AN1485" s="26">
        <f>Tabla2[[#This Row],[Minutos]]/60</f>
        <v>0.96666666666666667</v>
      </c>
      <c r="AO1485" s="27">
        <f>SUM(Tabla2[[#This Row],[Horas]],Tabla2[[#This Row],[Minutos a Horas]])</f>
        <v>1.9666666666666668</v>
      </c>
      <c r="AP1485" s="49">
        <v>2</v>
      </c>
      <c r="AQ1485" s="49">
        <v>0</v>
      </c>
      <c r="AR1485" s="26">
        <f>Tabla2[[#This Row],[Minutos*]]/60</f>
        <v>0</v>
      </c>
      <c r="AS1485" s="27">
        <f>SUM(Tabla2[[#This Row],[Horas*]],Tabla2[[#This Row],[Minutos a Horas*]])+(Tabla2[[#This Row],[Tiempo Total a Nivel Proncincial (Horas)]])</f>
        <v>3.9666666666666668</v>
      </c>
    </row>
    <row r="1486" spans="30:45" hidden="1" x14ac:dyDescent="0.25">
      <c r="AD1486" s="32" t="s">
        <v>2389</v>
      </c>
      <c r="AE1486" s="10" t="s">
        <v>391</v>
      </c>
      <c r="AF1486" s="20" t="s">
        <v>1803</v>
      </c>
      <c r="AG1486" s="10"/>
      <c r="AH1486" s="22" t="str">
        <f t="shared" si="46"/>
        <v xml:space="preserve">Puno_02 Azángaro </v>
      </c>
      <c r="AI1486" s="10" t="s">
        <v>1730</v>
      </c>
      <c r="AJ1486" s="20" t="s">
        <v>1831</v>
      </c>
      <c r="AK1486" s="22" t="str">
        <f t="shared" si="47"/>
        <v>Puno_02 Azángaro _02 Achaya</v>
      </c>
      <c r="AL1486" s="25">
        <v>1</v>
      </c>
      <c r="AM1486" s="25">
        <v>58</v>
      </c>
      <c r="AN1486" s="26">
        <f>Tabla2[[#This Row],[Minutos]]/60</f>
        <v>0.96666666666666667</v>
      </c>
      <c r="AO1486" s="27">
        <f>SUM(Tabla2[[#This Row],[Horas]],Tabla2[[#This Row],[Minutos a Horas]])</f>
        <v>1.9666666666666668</v>
      </c>
      <c r="AP1486" s="49">
        <v>1</v>
      </c>
      <c r="AQ1486" s="49">
        <v>50</v>
      </c>
      <c r="AR1486" s="26">
        <f>Tabla2[[#This Row],[Minutos*]]/60</f>
        <v>0.83333333333333337</v>
      </c>
      <c r="AS1486" s="27">
        <f>SUM(Tabla2[[#This Row],[Horas*]],Tabla2[[#This Row],[Minutos a Horas*]])+(Tabla2[[#This Row],[Tiempo Total a Nivel Proncincial (Horas)]])</f>
        <v>3.8000000000000003</v>
      </c>
    </row>
    <row r="1487" spans="30:45" hidden="1" x14ac:dyDescent="0.25">
      <c r="AD1487" s="32" t="s">
        <v>2389</v>
      </c>
      <c r="AE1487" s="10" t="s">
        <v>391</v>
      </c>
      <c r="AF1487" s="20" t="s">
        <v>1803</v>
      </c>
      <c r="AG1487" s="10"/>
      <c r="AH1487" s="22" t="str">
        <f t="shared" si="46"/>
        <v xml:space="preserve">Puno_02 Azángaro </v>
      </c>
      <c r="AI1487" s="10" t="s">
        <v>1730</v>
      </c>
      <c r="AJ1487" s="20" t="s">
        <v>1832</v>
      </c>
      <c r="AK1487" s="22" t="str">
        <f t="shared" si="47"/>
        <v>Puno_02 Azángaro _03 Arapa</v>
      </c>
      <c r="AL1487" s="25">
        <v>1</v>
      </c>
      <c r="AM1487" s="25">
        <v>58</v>
      </c>
      <c r="AN1487" s="26">
        <f>Tabla2[[#This Row],[Minutos]]/60</f>
        <v>0.96666666666666667</v>
      </c>
      <c r="AO1487" s="27">
        <f>SUM(Tabla2[[#This Row],[Horas]],Tabla2[[#This Row],[Minutos a Horas]])</f>
        <v>1.9666666666666668</v>
      </c>
      <c r="AP1487" s="49">
        <v>1</v>
      </c>
      <c r="AQ1487" s="49">
        <v>53</v>
      </c>
      <c r="AR1487" s="26">
        <f>Tabla2[[#This Row],[Minutos*]]/60</f>
        <v>0.8833333333333333</v>
      </c>
      <c r="AS1487" s="27">
        <f>SUM(Tabla2[[#This Row],[Horas*]],Tabla2[[#This Row],[Minutos a Horas*]])+(Tabla2[[#This Row],[Tiempo Total a Nivel Proncincial (Horas)]])</f>
        <v>3.85</v>
      </c>
    </row>
    <row r="1488" spans="30:45" hidden="1" x14ac:dyDescent="0.25">
      <c r="AD1488" s="32" t="s">
        <v>2389</v>
      </c>
      <c r="AE1488" s="10" t="s">
        <v>391</v>
      </c>
      <c r="AF1488" s="20" t="s">
        <v>1803</v>
      </c>
      <c r="AG1488" s="10"/>
      <c r="AH1488" s="22" t="str">
        <f t="shared" si="46"/>
        <v xml:space="preserve">Puno_02 Azángaro </v>
      </c>
      <c r="AI1488" s="10" t="s">
        <v>1730</v>
      </c>
      <c r="AJ1488" s="20" t="s">
        <v>1833</v>
      </c>
      <c r="AK1488" s="22" t="str">
        <f t="shared" si="47"/>
        <v>Puno_02 Azángaro _04 Asillo</v>
      </c>
      <c r="AL1488" s="25">
        <v>1</v>
      </c>
      <c r="AM1488" s="25">
        <v>58</v>
      </c>
      <c r="AN1488" s="26">
        <f>Tabla2[[#This Row],[Minutos]]/60</f>
        <v>0.96666666666666667</v>
      </c>
      <c r="AO1488" s="27">
        <f>SUM(Tabla2[[#This Row],[Horas]],Tabla2[[#This Row],[Minutos a Horas]])</f>
        <v>1.9666666666666668</v>
      </c>
      <c r="AP1488" s="49">
        <v>2</v>
      </c>
      <c r="AQ1488" s="49">
        <v>21</v>
      </c>
      <c r="AR1488" s="26">
        <f>Tabla2[[#This Row],[Minutos*]]/60</f>
        <v>0.35</v>
      </c>
      <c r="AS1488" s="27">
        <f>SUM(Tabla2[[#This Row],[Horas*]],Tabla2[[#This Row],[Minutos a Horas*]])+(Tabla2[[#This Row],[Tiempo Total a Nivel Proncincial (Horas)]])</f>
        <v>4.3166666666666664</v>
      </c>
    </row>
    <row r="1489" spans="30:45" hidden="1" x14ac:dyDescent="0.25">
      <c r="AD1489" s="32" t="s">
        <v>2389</v>
      </c>
      <c r="AE1489" s="10" t="s">
        <v>391</v>
      </c>
      <c r="AF1489" s="20" t="s">
        <v>1803</v>
      </c>
      <c r="AG1489" s="10"/>
      <c r="AH1489" s="22" t="str">
        <f t="shared" si="46"/>
        <v xml:space="preserve">Puno_02 Azángaro </v>
      </c>
      <c r="AI1489" s="10" t="s">
        <v>1730</v>
      </c>
      <c r="AJ1489" s="20" t="s">
        <v>1834</v>
      </c>
      <c r="AK1489" s="22" t="str">
        <f t="shared" si="47"/>
        <v>Puno_02 Azángaro _05 Caminaca</v>
      </c>
      <c r="AL1489" s="25">
        <v>1</v>
      </c>
      <c r="AM1489" s="25">
        <v>58</v>
      </c>
      <c r="AN1489" s="26">
        <f>Tabla2[[#This Row],[Minutos]]/60</f>
        <v>0.96666666666666667</v>
      </c>
      <c r="AO1489" s="27">
        <f>SUM(Tabla2[[#This Row],[Horas]],Tabla2[[#This Row],[Minutos a Horas]])</f>
        <v>1.9666666666666668</v>
      </c>
      <c r="AP1489" s="49">
        <v>1</v>
      </c>
      <c r="AQ1489" s="49">
        <v>66.099999999999994</v>
      </c>
      <c r="AR1489" s="26">
        <f>Tabla2[[#This Row],[Minutos*]]/60</f>
        <v>1.1016666666666666</v>
      </c>
      <c r="AS1489" s="27">
        <f>SUM(Tabla2[[#This Row],[Horas*]],Tabla2[[#This Row],[Minutos a Horas*]])+(Tabla2[[#This Row],[Tiempo Total a Nivel Proncincial (Horas)]])</f>
        <v>4.0683333333333334</v>
      </c>
    </row>
    <row r="1490" spans="30:45" hidden="1" x14ac:dyDescent="0.25">
      <c r="AD1490" s="32" t="s">
        <v>2389</v>
      </c>
      <c r="AE1490" s="10" t="s">
        <v>391</v>
      </c>
      <c r="AF1490" s="20" t="s">
        <v>1803</v>
      </c>
      <c r="AG1490" s="10"/>
      <c r="AH1490" s="22" t="str">
        <f t="shared" si="46"/>
        <v xml:space="preserve">Puno_02 Azángaro </v>
      </c>
      <c r="AI1490" s="10" t="s">
        <v>1730</v>
      </c>
      <c r="AJ1490" s="20" t="s">
        <v>1835</v>
      </c>
      <c r="AK1490" s="22" t="str">
        <f t="shared" si="47"/>
        <v>Puno_02 Azángaro _06 Chupa</v>
      </c>
      <c r="AL1490" s="25">
        <v>1</v>
      </c>
      <c r="AM1490" s="25">
        <v>58</v>
      </c>
      <c r="AN1490" s="26">
        <f>Tabla2[[#This Row],[Minutos]]/60</f>
        <v>0.96666666666666667</v>
      </c>
      <c r="AO1490" s="27">
        <f>SUM(Tabla2[[#This Row],[Horas]],Tabla2[[#This Row],[Minutos a Horas]])</f>
        <v>1.9666666666666668</v>
      </c>
      <c r="AP1490" s="49">
        <v>2</v>
      </c>
      <c r="AQ1490" s="49">
        <v>36</v>
      </c>
      <c r="AR1490" s="26">
        <f>Tabla2[[#This Row],[Minutos*]]/60</f>
        <v>0.6</v>
      </c>
      <c r="AS1490" s="27">
        <f>SUM(Tabla2[[#This Row],[Horas*]],Tabla2[[#This Row],[Minutos a Horas*]])+(Tabla2[[#This Row],[Tiempo Total a Nivel Proncincial (Horas)]])</f>
        <v>4.5666666666666664</v>
      </c>
    </row>
    <row r="1491" spans="30:45" ht="30" hidden="1" x14ac:dyDescent="0.25">
      <c r="AD1491" s="32" t="s">
        <v>2389</v>
      </c>
      <c r="AE1491" s="10" t="s">
        <v>391</v>
      </c>
      <c r="AF1491" s="20" t="s">
        <v>1803</v>
      </c>
      <c r="AG1491" s="10"/>
      <c r="AH1491" s="22" t="str">
        <f t="shared" si="46"/>
        <v xml:space="preserve">Puno_02 Azángaro </v>
      </c>
      <c r="AI1491" s="10" t="s">
        <v>1730</v>
      </c>
      <c r="AJ1491" s="20" t="s">
        <v>1836</v>
      </c>
      <c r="AK1491" s="22" t="str">
        <f t="shared" si="47"/>
        <v>Puno_02 Azángaro _07 José Domingo Choquehuanca</v>
      </c>
      <c r="AL1491" s="25">
        <v>1</v>
      </c>
      <c r="AM1491" s="25">
        <v>58</v>
      </c>
      <c r="AN1491" s="26">
        <f>Tabla2[[#This Row],[Minutos]]/60</f>
        <v>0.96666666666666667</v>
      </c>
      <c r="AO1491" s="27">
        <f>SUM(Tabla2[[#This Row],[Horas]],Tabla2[[#This Row],[Minutos a Horas]])</f>
        <v>1.9666666666666668</v>
      </c>
      <c r="AP1491" s="49">
        <v>1</v>
      </c>
      <c r="AQ1491" s="49">
        <v>55</v>
      </c>
      <c r="AR1491" s="26">
        <f>Tabla2[[#This Row],[Minutos*]]/60</f>
        <v>0.91666666666666663</v>
      </c>
      <c r="AS1491" s="27">
        <f>SUM(Tabla2[[#This Row],[Horas*]],Tabla2[[#This Row],[Minutos a Horas*]])+(Tabla2[[#This Row],[Tiempo Total a Nivel Proncincial (Horas)]])</f>
        <v>3.8833333333333333</v>
      </c>
    </row>
    <row r="1492" spans="30:45" hidden="1" x14ac:dyDescent="0.25">
      <c r="AD1492" s="32" t="s">
        <v>2389</v>
      </c>
      <c r="AE1492" s="10" t="s">
        <v>391</v>
      </c>
      <c r="AF1492" s="20" t="s">
        <v>1803</v>
      </c>
      <c r="AG1492" s="10"/>
      <c r="AH1492" s="22" t="str">
        <f t="shared" si="46"/>
        <v xml:space="preserve">Puno_02 Azángaro </v>
      </c>
      <c r="AI1492" s="10" t="s">
        <v>1730</v>
      </c>
      <c r="AJ1492" s="20" t="s">
        <v>1837</v>
      </c>
      <c r="AK1492" s="22" t="str">
        <f t="shared" si="47"/>
        <v>Puno_02 Azángaro _08 Muñani</v>
      </c>
      <c r="AL1492" s="25">
        <v>1</v>
      </c>
      <c r="AM1492" s="25">
        <v>58</v>
      </c>
      <c r="AN1492" s="26">
        <f>Tabla2[[#This Row],[Minutos]]/60</f>
        <v>0.96666666666666667</v>
      </c>
      <c r="AO1492" s="27">
        <f>SUM(Tabla2[[#This Row],[Horas]],Tabla2[[#This Row],[Minutos a Horas]])</f>
        <v>1.9666666666666668</v>
      </c>
      <c r="AP1492" s="49">
        <v>2</v>
      </c>
      <c r="AQ1492" s="49">
        <v>53</v>
      </c>
      <c r="AR1492" s="26">
        <f>Tabla2[[#This Row],[Minutos*]]/60</f>
        <v>0.8833333333333333</v>
      </c>
      <c r="AS1492" s="27">
        <f>SUM(Tabla2[[#This Row],[Horas*]],Tabla2[[#This Row],[Minutos a Horas*]])+(Tabla2[[#This Row],[Tiempo Total a Nivel Proncincial (Horas)]])</f>
        <v>4.8499999999999996</v>
      </c>
    </row>
    <row r="1493" spans="30:45" hidden="1" x14ac:dyDescent="0.25">
      <c r="AD1493" s="32" t="s">
        <v>2389</v>
      </c>
      <c r="AE1493" s="10" t="s">
        <v>391</v>
      </c>
      <c r="AF1493" s="20" t="s">
        <v>1803</v>
      </c>
      <c r="AG1493" s="10"/>
      <c r="AH1493" s="22" t="str">
        <f t="shared" si="46"/>
        <v xml:space="preserve">Puno_02 Azángaro </v>
      </c>
      <c r="AI1493" s="10" t="s">
        <v>1730</v>
      </c>
      <c r="AJ1493" s="20" t="s">
        <v>1838</v>
      </c>
      <c r="AK1493" s="22" t="str">
        <f t="shared" si="47"/>
        <v>Puno_02 Azángaro _09 Potoni</v>
      </c>
      <c r="AL1493" s="25">
        <v>1</v>
      </c>
      <c r="AM1493" s="25">
        <v>58</v>
      </c>
      <c r="AN1493" s="26">
        <f>Tabla2[[#This Row],[Minutos]]/60</f>
        <v>0.96666666666666667</v>
      </c>
      <c r="AO1493" s="27">
        <f>SUM(Tabla2[[#This Row],[Horas]],Tabla2[[#This Row],[Minutos a Horas]])</f>
        <v>1.9666666666666668</v>
      </c>
      <c r="AP1493" s="49">
        <v>3</v>
      </c>
      <c r="AQ1493" s="49">
        <v>29</v>
      </c>
      <c r="AR1493" s="26">
        <f>Tabla2[[#This Row],[Minutos*]]/60</f>
        <v>0.48333333333333334</v>
      </c>
      <c r="AS1493" s="27">
        <f>SUM(Tabla2[[#This Row],[Horas*]],Tabla2[[#This Row],[Minutos a Horas*]])+(Tabla2[[#This Row],[Tiempo Total a Nivel Proncincial (Horas)]])</f>
        <v>5.45</v>
      </c>
    </row>
    <row r="1494" spans="30:45" hidden="1" x14ac:dyDescent="0.25">
      <c r="AD1494" s="32" t="s">
        <v>2389</v>
      </c>
      <c r="AE1494" s="10" t="s">
        <v>391</v>
      </c>
      <c r="AF1494" s="20" t="s">
        <v>1803</v>
      </c>
      <c r="AG1494" s="10"/>
      <c r="AH1494" s="22" t="str">
        <f t="shared" si="46"/>
        <v xml:space="preserve">Puno_02 Azángaro </v>
      </c>
      <c r="AI1494" s="10" t="s">
        <v>1730</v>
      </c>
      <c r="AJ1494" s="20" t="s">
        <v>1839</v>
      </c>
      <c r="AK1494" s="22" t="str">
        <f t="shared" si="47"/>
        <v>Puno_02 Azángaro _10 Saman</v>
      </c>
      <c r="AL1494" s="25">
        <v>1</v>
      </c>
      <c r="AM1494" s="25">
        <v>58</v>
      </c>
      <c r="AN1494" s="26">
        <f>Tabla2[[#This Row],[Minutos]]/60</f>
        <v>0.96666666666666667</v>
      </c>
      <c r="AO1494" s="27">
        <f>SUM(Tabla2[[#This Row],[Horas]],Tabla2[[#This Row],[Minutos a Horas]])</f>
        <v>1.9666666666666668</v>
      </c>
      <c r="AP1494" s="49">
        <v>1</v>
      </c>
      <c r="AQ1494" s="49">
        <v>27</v>
      </c>
      <c r="AR1494" s="26">
        <f>Tabla2[[#This Row],[Minutos*]]/60</f>
        <v>0.45</v>
      </c>
      <c r="AS1494" s="27">
        <f>SUM(Tabla2[[#This Row],[Horas*]],Tabla2[[#This Row],[Minutos a Horas*]])+(Tabla2[[#This Row],[Tiempo Total a Nivel Proncincial (Horas)]])</f>
        <v>3.416666666666667</v>
      </c>
    </row>
    <row r="1495" spans="30:45" hidden="1" x14ac:dyDescent="0.25">
      <c r="AD1495" s="32" t="s">
        <v>2389</v>
      </c>
      <c r="AE1495" s="10" t="s">
        <v>391</v>
      </c>
      <c r="AF1495" s="20" t="s">
        <v>1803</v>
      </c>
      <c r="AG1495" s="10"/>
      <c r="AH1495" s="22" t="str">
        <f t="shared" si="46"/>
        <v xml:space="preserve">Puno_02 Azángaro </v>
      </c>
      <c r="AI1495" s="10" t="s">
        <v>1730</v>
      </c>
      <c r="AJ1495" s="20" t="s">
        <v>1840</v>
      </c>
      <c r="AK1495" s="22" t="str">
        <f t="shared" si="47"/>
        <v>Puno_02 Azángaro _11 San Anton</v>
      </c>
      <c r="AL1495" s="25">
        <v>1</v>
      </c>
      <c r="AM1495" s="25">
        <v>58</v>
      </c>
      <c r="AN1495" s="26">
        <f>Tabla2[[#This Row],[Minutos]]/60</f>
        <v>0.96666666666666667</v>
      </c>
      <c r="AO1495" s="27">
        <f>SUM(Tabla2[[#This Row],[Horas]],Tabla2[[#This Row],[Minutos a Horas]])</f>
        <v>1.9666666666666668</v>
      </c>
      <c r="AP1495" s="49">
        <v>2</v>
      </c>
      <c r="AQ1495" s="49">
        <v>42</v>
      </c>
      <c r="AR1495" s="26">
        <f>Tabla2[[#This Row],[Minutos*]]/60</f>
        <v>0.7</v>
      </c>
      <c r="AS1495" s="27">
        <f>SUM(Tabla2[[#This Row],[Horas*]],Tabla2[[#This Row],[Minutos a Horas*]])+(Tabla2[[#This Row],[Tiempo Total a Nivel Proncincial (Horas)]])</f>
        <v>4.666666666666667</v>
      </c>
    </row>
    <row r="1496" spans="30:45" hidden="1" x14ac:dyDescent="0.25">
      <c r="AD1496" s="32" t="s">
        <v>2389</v>
      </c>
      <c r="AE1496" s="10" t="s">
        <v>391</v>
      </c>
      <c r="AF1496" s="20" t="s">
        <v>1803</v>
      </c>
      <c r="AG1496" s="10"/>
      <c r="AH1496" s="22" t="str">
        <f t="shared" si="46"/>
        <v xml:space="preserve">Puno_02 Azángaro </v>
      </c>
      <c r="AI1496" s="10" t="s">
        <v>1730</v>
      </c>
      <c r="AJ1496" s="20" t="s">
        <v>1841</v>
      </c>
      <c r="AK1496" s="22" t="str">
        <f t="shared" si="47"/>
        <v>Puno_02 Azángaro _12 San José</v>
      </c>
      <c r="AL1496" s="25">
        <v>1</v>
      </c>
      <c r="AM1496" s="25">
        <v>58</v>
      </c>
      <c r="AN1496" s="26">
        <f>Tabla2[[#This Row],[Minutos]]/60</f>
        <v>0.96666666666666667</v>
      </c>
      <c r="AO1496" s="27">
        <f>SUM(Tabla2[[#This Row],[Horas]],Tabla2[[#This Row],[Minutos a Horas]])</f>
        <v>1.9666666666666668</v>
      </c>
      <c r="AP1496" s="49">
        <v>2</v>
      </c>
      <c r="AQ1496" s="49">
        <v>36</v>
      </c>
      <c r="AR1496" s="26">
        <f>Tabla2[[#This Row],[Minutos*]]/60</f>
        <v>0.6</v>
      </c>
      <c r="AS1496" s="27">
        <f>SUM(Tabla2[[#This Row],[Horas*]],Tabla2[[#This Row],[Minutos a Horas*]])+(Tabla2[[#This Row],[Tiempo Total a Nivel Proncincial (Horas)]])</f>
        <v>4.5666666666666664</v>
      </c>
    </row>
    <row r="1497" spans="30:45" hidden="1" x14ac:dyDescent="0.25">
      <c r="AD1497" s="32" t="s">
        <v>2389</v>
      </c>
      <c r="AE1497" s="10" t="s">
        <v>391</v>
      </c>
      <c r="AF1497" s="20" t="s">
        <v>1803</v>
      </c>
      <c r="AG1497" s="10"/>
      <c r="AH1497" s="22" t="str">
        <f t="shared" si="46"/>
        <v xml:space="preserve">Puno_02 Azángaro </v>
      </c>
      <c r="AI1497" s="10" t="s">
        <v>1730</v>
      </c>
      <c r="AJ1497" s="20" t="s">
        <v>1842</v>
      </c>
      <c r="AK1497" s="22" t="str">
        <f t="shared" si="47"/>
        <v>Puno_02 Azángaro _13 San Juan de Salinas</v>
      </c>
      <c r="AL1497" s="25">
        <v>1</v>
      </c>
      <c r="AM1497" s="25">
        <v>58</v>
      </c>
      <c r="AN1497" s="26">
        <f>Tabla2[[#This Row],[Minutos]]/60</f>
        <v>0.96666666666666667</v>
      </c>
      <c r="AO1497" s="27">
        <f>SUM(Tabla2[[#This Row],[Horas]],Tabla2[[#This Row],[Minutos a Horas]])</f>
        <v>1.9666666666666668</v>
      </c>
      <c r="AP1497" s="49">
        <v>2</v>
      </c>
      <c r="AQ1497" s="49">
        <v>19</v>
      </c>
      <c r="AR1497" s="26">
        <f>Tabla2[[#This Row],[Minutos*]]/60</f>
        <v>0.31666666666666665</v>
      </c>
      <c r="AS1497" s="27">
        <f>SUM(Tabla2[[#This Row],[Horas*]],Tabla2[[#This Row],[Minutos a Horas*]])+(Tabla2[[#This Row],[Tiempo Total a Nivel Proncincial (Horas)]])</f>
        <v>4.2833333333333332</v>
      </c>
    </row>
    <row r="1498" spans="30:45" hidden="1" x14ac:dyDescent="0.25">
      <c r="AD1498" s="32" t="s">
        <v>2389</v>
      </c>
      <c r="AE1498" s="10" t="s">
        <v>391</v>
      </c>
      <c r="AF1498" s="20" t="s">
        <v>1803</v>
      </c>
      <c r="AG1498" s="10"/>
      <c r="AH1498" s="22" t="str">
        <f t="shared" ref="AH1498:AH1561" si="48">CONCATENATE(AD1498,"_",AF1498)</f>
        <v xml:space="preserve">Puno_02 Azángaro </v>
      </c>
      <c r="AI1498" s="10" t="s">
        <v>1730</v>
      </c>
      <c r="AJ1498" s="20" t="s">
        <v>1843</v>
      </c>
      <c r="AK1498" s="22" t="str">
        <f t="shared" ref="AK1498:AK1561" si="49">CONCATENATE(AH1498,"_",AJ1498)</f>
        <v>Puno_02 Azángaro _14 Santiago de Pupuja</v>
      </c>
      <c r="AL1498" s="25">
        <v>1</v>
      </c>
      <c r="AM1498" s="25">
        <v>58</v>
      </c>
      <c r="AN1498" s="26">
        <f>Tabla2[[#This Row],[Minutos]]/60</f>
        <v>0.96666666666666667</v>
      </c>
      <c r="AO1498" s="27">
        <f>SUM(Tabla2[[#This Row],[Horas]],Tabla2[[#This Row],[Minutos a Horas]])</f>
        <v>1.9666666666666668</v>
      </c>
      <c r="AP1498" s="49">
        <v>2</v>
      </c>
      <c r="AQ1498" s="49">
        <v>7</v>
      </c>
      <c r="AR1498" s="26">
        <f>Tabla2[[#This Row],[Minutos*]]/60</f>
        <v>0.11666666666666667</v>
      </c>
      <c r="AS1498" s="27">
        <f>SUM(Tabla2[[#This Row],[Horas*]],Tabla2[[#This Row],[Minutos a Horas*]])+(Tabla2[[#This Row],[Tiempo Total a Nivel Proncincial (Horas)]])</f>
        <v>4.0833333333333339</v>
      </c>
    </row>
    <row r="1499" spans="30:45" hidden="1" x14ac:dyDescent="0.25">
      <c r="AD1499" s="32" t="s">
        <v>2389</v>
      </c>
      <c r="AE1499" s="10" t="s">
        <v>391</v>
      </c>
      <c r="AF1499" s="20" t="s">
        <v>1803</v>
      </c>
      <c r="AG1499" s="10"/>
      <c r="AH1499" s="22" t="str">
        <f t="shared" si="48"/>
        <v xml:space="preserve">Puno_02 Azángaro </v>
      </c>
      <c r="AI1499" s="10" t="s">
        <v>1730</v>
      </c>
      <c r="AJ1499" s="20" t="s">
        <v>1844</v>
      </c>
      <c r="AK1499" s="22" t="str">
        <f t="shared" si="49"/>
        <v>Puno_02 Azángaro _15 Tirapata</v>
      </c>
      <c r="AL1499" s="25">
        <v>1</v>
      </c>
      <c r="AM1499" s="25">
        <v>58</v>
      </c>
      <c r="AN1499" s="26">
        <f>Tabla2[[#This Row],[Minutos]]/60</f>
        <v>0.96666666666666667</v>
      </c>
      <c r="AO1499" s="27">
        <f>SUM(Tabla2[[#This Row],[Horas]],Tabla2[[#This Row],[Minutos a Horas]])</f>
        <v>1.9666666666666668</v>
      </c>
      <c r="AP1499" s="49">
        <v>2</v>
      </c>
      <c r="AQ1499" s="49">
        <v>3</v>
      </c>
      <c r="AR1499" s="26">
        <f>Tabla2[[#This Row],[Minutos*]]/60</f>
        <v>0.05</v>
      </c>
      <c r="AS1499" s="27">
        <f>SUM(Tabla2[[#This Row],[Horas*]],Tabla2[[#This Row],[Minutos a Horas*]])+(Tabla2[[#This Row],[Tiempo Total a Nivel Proncincial (Horas)]])</f>
        <v>4.0166666666666666</v>
      </c>
    </row>
    <row r="1500" spans="30:45" hidden="1" x14ac:dyDescent="0.25">
      <c r="AD1500" s="32" t="s">
        <v>2389</v>
      </c>
      <c r="AE1500" s="10" t="s">
        <v>391</v>
      </c>
      <c r="AF1500" s="20" t="s">
        <v>1804</v>
      </c>
      <c r="AG1500" s="10"/>
      <c r="AH1500" s="22" t="str">
        <f t="shared" si="48"/>
        <v xml:space="preserve">Puno_03 Carabaya </v>
      </c>
      <c r="AI1500" s="10" t="s">
        <v>1922</v>
      </c>
      <c r="AJ1500" s="20" t="s">
        <v>1845</v>
      </c>
      <c r="AK1500" s="22" t="str">
        <f t="shared" si="49"/>
        <v>Puno_03 Carabaya _01 Macusani</v>
      </c>
      <c r="AL1500" s="25">
        <v>3</v>
      </c>
      <c r="AM1500" s="25">
        <v>44</v>
      </c>
      <c r="AN1500" s="26">
        <f>Tabla2[[#This Row],[Minutos]]/60</f>
        <v>0.73333333333333328</v>
      </c>
      <c r="AO1500" s="27">
        <f>SUM(Tabla2[[#This Row],[Horas]],Tabla2[[#This Row],[Minutos a Horas]])</f>
        <v>3.7333333333333334</v>
      </c>
      <c r="AP1500" s="49">
        <v>3</v>
      </c>
      <c r="AQ1500" s="49">
        <v>44</v>
      </c>
      <c r="AR1500" s="26">
        <f>Tabla2[[#This Row],[Minutos*]]/60</f>
        <v>0.73333333333333328</v>
      </c>
      <c r="AS1500" s="27">
        <f>SUM(Tabla2[[#This Row],[Horas*]],Tabla2[[#This Row],[Minutos a Horas*]])+(Tabla2[[#This Row],[Tiempo Total a Nivel Proncincial (Horas)]])</f>
        <v>7.4666666666666668</v>
      </c>
    </row>
    <row r="1501" spans="30:45" hidden="1" x14ac:dyDescent="0.25">
      <c r="AD1501" s="32" t="s">
        <v>2389</v>
      </c>
      <c r="AE1501" s="10" t="s">
        <v>391</v>
      </c>
      <c r="AF1501" s="20" t="s">
        <v>1804</v>
      </c>
      <c r="AG1501" s="10"/>
      <c r="AH1501" s="22" t="str">
        <f t="shared" si="48"/>
        <v xml:space="preserve">Puno_03 Carabaya </v>
      </c>
      <c r="AI1501" s="10" t="s">
        <v>1922</v>
      </c>
      <c r="AJ1501" s="20" t="s">
        <v>1846</v>
      </c>
      <c r="AK1501" s="22" t="str">
        <f t="shared" si="49"/>
        <v>Puno_03 Carabaya _02 Ajoyani</v>
      </c>
      <c r="AL1501" s="25">
        <v>3</v>
      </c>
      <c r="AM1501" s="25">
        <v>44</v>
      </c>
      <c r="AN1501" s="26">
        <f>Tabla2[[#This Row],[Minutos]]/60</f>
        <v>0.73333333333333328</v>
      </c>
      <c r="AO1501" s="27">
        <f>SUM(Tabla2[[#This Row],[Horas]],Tabla2[[#This Row],[Minutos a Horas]])</f>
        <v>3.7333333333333334</v>
      </c>
      <c r="AP1501" s="49">
        <v>3</v>
      </c>
      <c r="AQ1501" s="49">
        <v>33</v>
      </c>
      <c r="AR1501" s="26">
        <f>Tabla2[[#This Row],[Minutos*]]/60</f>
        <v>0.55000000000000004</v>
      </c>
      <c r="AS1501" s="27">
        <f>SUM(Tabla2[[#This Row],[Horas*]],Tabla2[[#This Row],[Minutos a Horas*]])+(Tabla2[[#This Row],[Tiempo Total a Nivel Proncincial (Horas)]])</f>
        <v>7.2833333333333332</v>
      </c>
    </row>
    <row r="1502" spans="30:45" hidden="1" x14ac:dyDescent="0.25">
      <c r="AD1502" s="32" t="s">
        <v>2389</v>
      </c>
      <c r="AE1502" s="10" t="s">
        <v>391</v>
      </c>
      <c r="AF1502" s="20" t="s">
        <v>1804</v>
      </c>
      <c r="AG1502" s="10"/>
      <c r="AH1502" s="22" t="str">
        <f t="shared" si="48"/>
        <v xml:space="preserve">Puno_03 Carabaya </v>
      </c>
      <c r="AI1502" s="10" t="s">
        <v>1922</v>
      </c>
      <c r="AJ1502" s="20" t="s">
        <v>1847</v>
      </c>
      <c r="AK1502" s="22" t="str">
        <f t="shared" si="49"/>
        <v>Puno_03 Carabaya _03 Ayapata</v>
      </c>
      <c r="AL1502" s="25">
        <v>3</v>
      </c>
      <c r="AM1502" s="25">
        <v>44</v>
      </c>
      <c r="AN1502" s="26">
        <f>Tabla2[[#This Row],[Minutos]]/60</f>
        <v>0.73333333333333328</v>
      </c>
      <c r="AO1502" s="27">
        <f>SUM(Tabla2[[#This Row],[Horas]],Tabla2[[#This Row],[Minutos a Horas]])</f>
        <v>3.7333333333333334</v>
      </c>
      <c r="AP1502" s="49">
        <v>4</v>
      </c>
      <c r="AQ1502" s="49">
        <v>50</v>
      </c>
      <c r="AR1502" s="26">
        <f>Tabla2[[#This Row],[Minutos*]]/60</f>
        <v>0.83333333333333337</v>
      </c>
      <c r="AS1502" s="27">
        <f>SUM(Tabla2[[#This Row],[Horas*]],Tabla2[[#This Row],[Minutos a Horas*]])+(Tabla2[[#This Row],[Tiempo Total a Nivel Proncincial (Horas)]])</f>
        <v>8.5666666666666664</v>
      </c>
    </row>
    <row r="1503" spans="30:45" hidden="1" x14ac:dyDescent="0.25">
      <c r="AD1503" s="32" t="s">
        <v>2389</v>
      </c>
      <c r="AE1503" s="10" t="s">
        <v>391</v>
      </c>
      <c r="AF1503" s="20" t="s">
        <v>1804</v>
      </c>
      <c r="AG1503" s="10"/>
      <c r="AH1503" s="22" t="str">
        <f t="shared" si="48"/>
        <v xml:space="preserve">Puno_03 Carabaya </v>
      </c>
      <c r="AI1503" s="10" t="s">
        <v>1922</v>
      </c>
      <c r="AJ1503" s="20" t="s">
        <v>1848</v>
      </c>
      <c r="AK1503" s="22" t="str">
        <f t="shared" si="49"/>
        <v>Puno_03 Carabaya _04 Coasa</v>
      </c>
      <c r="AL1503" s="25">
        <v>3</v>
      </c>
      <c r="AM1503" s="25">
        <v>44</v>
      </c>
      <c r="AN1503" s="26">
        <f>Tabla2[[#This Row],[Minutos]]/60</f>
        <v>0.73333333333333328</v>
      </c>
      <c r="AO1503" s="27">
        <f>SUM(Tabla2[[#This Row],[Horas]],Tabla2[[#This Row],[Minutos a Horas]])</f>
        <v>3.7333333333333334</v>
      </c>
      <c r="AP1503" s="49">
        <v>4</v>
      </c>
      <c r="AQ1503" s="49">
        <v>18</v>
      </c>
      <c r="AR1503" s="26">
        <f>Tabla2[[#This Row],[Minutos*]]/60</f>
        <v>0.3</v>
      </c>
      <c r="AS1503" s="27">
        <f>SUM(Tabla2[[#This Row],[Horas*]],Tabla2[[#This Row],[Minutos a Horas*]])+(Tabla2[[#This Row],[Tiempo Total a Nivel Proncincial (Horas)]])</f>
        <v>8.0333333333333332</v>
      </c>
    </row>
    <row r="1504" spans="30:45" hidden="1" x14ac:dyDescent="0.25">
      <c r="AD1504" s="32" t="s">
        <v>2389</v>
      </c>
      <c r="AE1504" s="10" t="s">
        <v>391</v>
      </c>
      <c r="AF1504" s="20" t="s">
        <v>1804</v>
      </c>
      <c r="AG1504" s="10"/>
      <c r="AH1504" s="22" t="str">
        <f t="shared" si="48"/>
        <v xml:space="preserve">Puno_03 Carabaya </v>
      </c>
      <c r="AI1504" s="10" t="s">
        <v>1922</v>
      </c>
      <c r="AJ1504" s="20" t="s">
        <v>1849</v>
      </c>
      <c r="AK1504" s="22" t="str">
        <f t="shared" si="49"/>
        <v>Puno_03 Carabaya _05 Corani</v>
      </c>
      <c r="AL1504" s="25">
        <v>3</v>
      </c>
      <c r="AM1504" s="25">
        <v>44</v>
      </c>
      <c r="AN1504" s="26">
        <f>Tabla2[[#This Row],[Minutos]]/60</f>
        <v>0.73333333333333328</v>
      </c>
      <c r="AO1504" s="27">
        <f>SUM(Tabla2[[#This Row],[Horas]],Tabla2[[#This Row],[Minutos a Horas]])</f>
        <v>3.7333333333333334</v>
      </c>
      <c r="AP1504" s="49">
        <v>4</v>
      </c>
      <c r="AQ1504" s="49">
        <v>54</v>
      </c>
      <c r="AR1504" s="26">
        <f>Tabla2[[#This Row],[Minutos*]]/60</f>
        <v>0.9</v>
      </c>
      <c r="AS1504" s="27">
        <f>SUM(Tabla2[[#This Row],[Horas*]],Tabla2[[#This Row],[Minutos a Horas*]])+(Tabla2[[#This Row],[Tiempo Total a Nivel Proncincial (Horas)]])</f>
        <v>8.6333333333333329</v>
      </c>
    </row>
    <row r="1505" spans="30:45" hidden="1" x14ac:dyDescent="0.25">
      <c r="AD1505" s="32" t="s">
        <v>2389</v>
      </c>
      <c r="AE1505" s="10" t="s">
        <v>391</v>
      </c>
      <c r="AF1505" s="20" t="s">
        <v>1804</v>
      </c>
      <c r="AG1505" s="10"/>
      <c r="AH1505" s="22" t="str">
        <f t="shared" si="48"/>
        <v xml:space="preserve">Puno_03 Carabaya </v>
      </c>
      <c r="AI1505" s="10" t="s">
        <v>1922</v>
      </c>
      <c r="AJ1505" s="20" t="s">
        <v>1850</v>
      </c>
      <c r="AK1505" s="22" t="str">
        <f t="shared" si="49"/>
        <v>Puno_03 Carabaya _06 Crucero</v>
      </c>
      <c r="AL1505" s="25">
        <v>3</v>
      </c>
      <c r="AM1505" s="25">
        <v>44</v>
      </c>
      <c r="AN1505" s="26">
        <f>Tabla2[[#This Row],[Minutos]]/60</f>
        <v>0.73333333333333328</v>
      </c>
      <c r="AO1505" s="27">
        <f>SUM(Tabla2[[#This Row],[Horas]],Tabla2[[#This Row],[Minutos a Horas]])</f>
        <v>3.7333333333333334</v>
      </c>
      <c r="AP1505" s="49">
        <v>3</v>
      </c>
      <c r="AQ1505" s="49">
        <v>39</v>
      </c>
      <c r="AR1505" s="26">
        <f>Tabla2[[#This Row],[Minutos*]]/60</f>
        <v>0.65</v>
      </c>
      <c r="AS1505" s="27">
        <f>SUM(Tabla2[[#This Row],[Horas*]],Tabla2[[#This Row],[Minutos a Horas*]])+(Tabla2[[#This Row],[Tiempo Total a Nivel Proncincial (Horas)]])</f>
        <v>7.3833333333333329</v>
      </c>
    </row>
    <row r="1506" spans="30:45" hidden="1" x14ac:dyDescent="0.25">
      <c r="AD1506" s="32" t="s">
        <v>2389</v>
      </c>
      <c r="AE1506" s="10" t="s">
        <v>391</v>
      </c>
      <c r="AF1506" s="20" t="s">
        <v>1804</v>
      </c>
      <c r="AG1506" s="10"/>
      <c r="AH1506" s="22" t="str">
        <f t="shared" si="48"/>
        <v xml:space="preserve">Puno_03 Carabaya </v>
      </c>
      <c r="AI1506" s="10" t="s">
        <v>1922</v>
      </c>
      <c r="AJ1506" s="20" t="s">
        <v>1851</v>
      </c>
      <c r="AK1506" s="22" t="str">
        <f t="shared" si="49"/>
        <v>Puno_03 Carabaya _07 Ituata</v>
      </c>
      <c r="AL1506" s="25">
        <v>3</v>
      </c>
      <c r="AM1506" s="25">
        <v>44</v>
      </c>
      <c r="AN1506" s="26">
        <f>Tabla2[[#This Row],[Minutos]]/60</f>
        <v>0.73333333333333328</v>
      </c>
      <c r="AO1506" s="27">
        <f>SUM(Tabla2[[#This Row],[Horas]],Tabla2[[#This Row],[Minutos a Horas]])</f>
        <v>3.7333333333333334</v>
      </c>
      <c r="AP1506" s="49">
        <v>4</v>
      </c>
      <c r="AQ1506" s="49">
        <v>40</v>
      </c>
      <c r="AR1506" s="26">
        <f>Tabla2[[#This Row],[Minutos*]]/60</f>
        <v>0.66666666666666663</v>
      </c>
      <c r="AS1506" s="27">
        <f>SUM(Tabla2[[#This Row],[Horas*]],Tabla2[[#This Row],[Minutos a Horas*]])+(Tabla2[[#This Row],[Tiempo Total a Nivel Proncincial (Horas)]])</f>
        <v>8.4</v>
      </c>
    </row>
    <row r="1507" spans="30:45" hidden="1" x14ac:dyDescent="0.25">
      <c r="AD1507" s="32" t="s">
        <v>2389</v>
      </c>
      <c r="AE1507" s="10" t="s">
        <v>391</v>
      </c>
      <c r="AF1507" s="20" t="s">
        <v>1804</v>
      </c>
      <c r="AG1507" s="10"/>
      <c r="AH1507" s="22" t="str">
        <f t="shared" si="48"/>
        <v xml:space="preserve">Puno_03 Carabaya </v>
      </c>
      <c r="AI1507" s="10" t="s">
        <v>1922</v>
      </c>
      <c r="AJ1507" s="20" t="s">
        <v>1852</v>
      </c>
      <c r="AK1507" s="22" t="str">
        <f t="shared" si="49"/>
        <v>Puno_03 Carabaya _08 Ollachea</v>
      </c>
      <c r="AL1507" s="25">
        <v>3</v>
      </c>
      <c r="AM1507" s="25">
        <v>44</v>
      </c>
      <c r="AN1507" s="26">
        <f>Tabla2[[#This Row],[Minutos]]/60</f>
        <v>0.73333333333333328</v>
      </c>
      <c r="AO1507" s="27">
        <f>SUM(Tabla2[[#This Row],[Horas]],Tabla2[[#This Row],[Minutos a Horas]])</f>
        <v>3.7333333333333334</v>
      </c>
      <c r="AP1507" s="49">
        <v>4</v>
      </c>
      <c r="AQ1507" s="49">
        <v>30</v>
      </c>
      <c r="AR1507" s="26">
        <f>Tabla2[[#This Row],[Minutos*]]/60</f>
        <v>0.5</v>
      </c>
      <c r="AS1507" s="27">
        <f>SUM(Tabla2[[#This Row],[Horas*]],Tabla2[[#This Row],[Minutos a Horas*]])+(Tabla2[[#This Row],[Tiempo Total a Nivel Proncincial (Horas)]])</f>
        <v>8.2333333333333343</v>
      </c>
    </row>
    <row r="1508" spans="30:45" hidden="1" x14ac:dyDescent="0.25">
      <c r="AD1508" s="32" t="s">
        <v>2389</v>
      </c>
      <c r="AE1508" s="10" t="s">
        <v>391</v>
      </c>
      <c r="AF1508" s="20" t="s">
        <v>1804</v>
      </c>
      <c r="AG1508" s="10"/>
      <c r="AH1508" s="22" t="str">
        <f t="shared" si="48"/>
        <v xml:space="preserve">Puno_03 Carabaya </v>
      </c>
      <c r="AI1508" s="10" t="s">
        <v>1922</v>
      </c>
      <c r="AJ1508" s="20" t="s">
        <v>1853</v>
      </c>
      <c r="AK1508" s="22" t="str">
        <f t="shared" si="49"/>
        <v>Puno_03 Carabaya _09 San Gaban</v>
      </c>
      <c r="AL1508" s="25">
        <v>3</v>
      </c>
      <c r="AM1508" s="25">
        <v>44</v>
      </c>
      <c r="AN1508" s="26">
        <f>Tabla2[[#This Row],[Minutos]]/60</f>
        <v>0.73333333333333328</v>
      </c>
      <c r="AO1508" s="27">
        <f>SUM(Tabla2[[#This Row],[Horas]],Tabla2[[#This Row],[Minutos a Horas]])</f>
        <v>3.7333333333333334</v>
      </c>
      <c r="AP1508" s="49">
        <v>5</v>
      </c>
      <c r="AQ1508" s="49">
        <v>25</v>
      </c>
      <c r="AR1508" s="26">
        <f>Tabla2[[#This Row],[Minutos*]]/60</f>
        <v>0.41666666666666669</v>
      </c>
      <c r="AS1508" s="27">
        <f>SUM(Tabla2[[#This Row],[Horas*]],Tabla2[[#This Row],[Minutos a Horas*]])+(Tabla2[[#This Row],[Tiempo Total a Nivel Proncincial (Horas)]])</f>
        <v>9.15</v>
      </c>
    </row>
    <row r="1509" spans="30:45" hidden="1" x14ac:dyDescent="0.25">
      <c r="AD1509" s="32" t="s">
        <v>2389</v>
      </c>
      <c r="AE1509" s="10" t="s">
        <v>391</v>
      </c>
      <c r="AF1509" s="20" t="s">
        <v>1804</v>
      </c>
      <c r="AG1509" s="10"/>
      <c r="AH1509" s="22" t="str">
        <f t="shared" si="48"/>
        <v xml:space="preserve">Puno_03 Carabaya </v>
      </c>
      <c r="AI1509" s="10" t="s">
        <v>1922</v>
      </c>
      <c r="AJ1509" s="20" t="s">
        <v>1854</v>
      </c>
      <c r="AK1509" s="22" t="str">
        <f t="shared" si="49"/>
        <v>Puno_03 Carabaya _10 Usicayos</v>
      </c>
      <c r="AL1509" s="25">
        <v>3</v>
      </c>
      <c r="AM1509" s="25">
        <v>44</v>
      </c>
      <c r="AN1509" s="26">
        <f>Tabla2[[#This Row],[Minutos]]/60</f>
        <v>0.73333333333333328</v>
      </c>
      <c r="AO1509" s="27">
        <f>SUM(Tabla2[[#This Row],[Horas]],Tabla2[[#This Row],[Minutos a Horas]])</f>
        <v>3.7333333333333334</v>
      </c>
      <c r="AP1509" s="49">
        <v>3</v>
      </c>
      <c r="AQ1509" s="49">
        <v>55</v>
      </c>
      <c r="AR1509" s="26">
        <f>Tabla2[[#This Row],[Minutos*]]/60</f>
        <v>0.91666666666666663</v>
      </c>
      <c r="AS1509" s="27">
        <f>SUM(Tabla2[[#This Row],[Horas*]],Tabla2[[#This Row],[Minutos a Horas*]])+(Tabla2[[#This Row],[Tiempo Total a Nivel Proncincial (Horas)]])</f>
        <v>7.65</v>
      </c>
    </row>
    <row r="1510" spans="30:45" hidden="1" x14ac:dyDescent="0.25">
      <c r="AD1510" s="32" t="s">
        <v>2389</v>
      </c>
      <c r="AE1510" s="10" t="s">
        <v>391</v>
      </c>
      <c r="AF1510" s="20" t="s">
        <v>1805</v>
      </c>
      <c r="AG1510" s="10"/>
      <c r="AH1510" s="22" t="str">
        <f t="shared" si="48"/>
        <v xml:space="preserve">Puno_04 Chucuito </v>
      </c>
      <c r="AI1510" s="10" t="s">
        <v>1923</v>
      </c>
      <c r="AJ1510" s="20" t="s">
        <v>1855</v>
      </c>
      <c r="AK1510" s="22" t="str">
        <f t="shared" si="49"/>
        <v>Puno_04 Chucuito _01 Juli</v>
      </c>
      <c r="AL1510" s="25">
        <v>0</v>
      </c>
      <c r="AM1510" s="25">
        <v>27</v>
      </c>
      <c r="AN1510" s="26">
        <f>Tabla2[[#This Row],[Minutos]]/60</f>
        <v>0.45</v>
      </c>
      <c r="AO1510" s="27">
        <f>SUM(Tabla2[[#This Row],[Horas]],Tabla2[[#This Row],[Minutos a Horas]])</f>
        <v>0.45</v>
      </c>
      <c r="AP1510" s="49">
        <v>1</v>
      </c>
      <c r="AQ1510" s="49">
        <v>25</v>
      </c>
      <c r="AR1510" s="26">
        <f>Tabla2[[#This Row],[Minutos*]]/60</f>
        <v>0.41666666666666669</v>
      </c>
      <c r="AS1510" s="27">
        <f>SUM(Tabla2[[#This Row],[Horas*]],Tabla2[[#This Row],[Minutos a Horas*]])+(Tabla2[[#This Row],[Tiempo Total a Nivel Proncincial (Horas)]])</f>
        <v>1.8666666666666667</v>
      </c>
    </row>
    <row r="1511" spans="30:45" hidden="1" x14ac:dyDescent="0.25">
      <c r="AD1511" s="32" t="s">
        <v>2389</v>
      </c>
      <c r="AE1511" s="10" t="s">
        <v>391</v>
      </c>
      <c r="AF1511" s="20" t="s">
        <v>1805</v>
      </c>
      <c r="AG1511" s="10"/>
      <c r="AH1511" s="22" t="str">
        <f t="shared" si="48"/>
        <v xml:space="preserve">Puno_04 Chucuito </v>
      </c>
      <c r="AI1511" s="10" t="s">
        <v>1923</v>
      </c>
      <c r="AJ1511" s="20" t="s">
        <v>1856</v>
      </c>
      <c r="AK1511" s="22" t="str">
        <f t="shared" si="49"/>
        <v>Puno_04 Chucuito _02 Desaguadero</v>
      </c>
      <c r="AL1511" s="25">
        <v>0</v>
      </c>
      <c r="AM1511" s="25">
        <v>27</v>
      </c>
      <c r="AN1511" s="26">
        <f>Tabla2[[#This Row],[Minutos]]/60</f>
        <v>0.45</v>
      </c>
      <c r="AO1511" s="27">
        <f>SUM(Tabla2[[#This Row],[Horas]],Tabla2[[#This Row],[Minutos a Horas]])</f>
        <v>0.45</v>
      </c>
      <c r="AP1511" s="49">
        <v>2</v>
      </c>
      <c r="AQ1511" s="49">
        <v>22</v>
      </c>
      <c r="AR1511" s="26">
        <f>Tabla2[[#This Row],[Minutos*]]/60</f>
        <v>0.36666666666666664</v>
      </c>
      <c r="AS1511" s="27">
        <f>SUM(Tabla2[[#This Row],[Horas*]],Tabla2[[#This Row],[Minutos a Horas*]])+(Tabla2[[#This Row],[Tiempo Total a Nivel Proncincial (Horas)]])</f>
        <v>2.8166666666666669</v>
      </c>
    </row>
    <row r="1512" spans="30:45" hidden="1" x14ac:dyDescent="0.25">
      <c r="AD1512" s="32" t="s">
        <v>2389</v>
      </c>
      <c r="AE1512" s="10" t="s">
        <v>391</v>
      </c>
      <c r="AF1512" s="20" t="s">
        <v>1805</v>
      </c>
      <c r="AG1512" s="10"/>
      <c r="AH1512" s="22" t="str">
        <f t="shared" si="48"/>
        <v xml:space="preserve">Puno_04 Chucuito </v>
      </c>
      <c r="AI1512" s="10" t="s">
        <v>1923</v>
      </c>
      <c r="AJ1512" s="20" t="s">
        <v>1857</v>
      </c>
      <c r="AK1512" s="22" t="str">
        <f t="shared" si="49"/>
        <v>Puno_04 Chucuito _03 Huacullani</v>
      </c>
      <c r="AL1512" s="25">
        <v>0</v>
      </c>
      <c r="AM1512" s="25">
        <v>27</v>
      </c>
      <c r="AN1512" s="26">
        <f>Tabla2[[#This Row],[Minutos]]/60</f>
        <v>0.45</v>
      </c>
      <c r="AO1512" s="27">
        <f>SUM(Tabla2[[#This Row],[Horas]],Tabla2[[#This Row],[Minutos a Horas]])</f>
        <v>0.45</v>
      </c>
      <c r="AP1512" s="49">
        <v>2</v>
      </c>
      <c r="AQ1512" s="49">
        <v>14</v>
      </c>
      <c r="AR1512" s="26">
        <f>Tabla2[[#This Row],[Minutos*]]/60</f>
        <v>0.23333333333333334</v>
      </c>
      <c r="AS1512" s="27">
        <f>SUM(Tabla2[[#This Row],[Horas*]],Tabla2[[#This Row],[Minutos a Horas*]])+(Tabla2[[#This Row],[Tiempo Total a Nivel Proncincial (Horas)]])</f>
        <v>2.6833333333333336</v>
      </c>
    </row>
    <row r="1513" spans="30:45" hidden="1" x14ac:dyDescent="0.25">
      <c r="AD1513" s="32" t="s">
        <v>2389</v>
      </c>
      <c r="AE1513" s="10" t="s">
        <v>391</v>
      </c>
      <c r="AF1513" s="20" t="s">
        <v>1805</v>
      </c>
      <c r="AG1513" s="10"/>
      <c r="AH1513" s="22" t="str">
        <f t="shared" si="48"/>
        <v xml:space="preserve">Puno_04 Chucuito </v>
      </c>
      <c r="AI1513" s="10" t="s">
        <v>1923</v>
      </c>
      <c r="AJ1513" s="20" t="s">
        <v>1858</v>
      </c>
      <c r="AK1513" s="22" t="str">
        <f t="shared" si="49"/>
        <v>Puno_04 Chucuito _04 Kelluyo</v>
      </c>
      <c r="AL1513" s="25">
        <v>0</v>
      </c>
      <c r="AM1513" s="25">
        <v>27</v>
      </c>
      <c r="AN1513" s="26">
        <f>Tabla2[[#This Row],[Minutos]]/60</f>
        <v>0.45</v>
      </c>
      <c r="AO1513" s="27">
        <f>SUM(Tabla2[[#This Row],[Horas]],Tabla2[[#This Row],[Minutos a Horas]])</f>
        <v>0.45</v>
      </c>
      <c r="AP1513" s="49">
        <v>2</v>
      </c>
      <c r="AQ1513" s="49">
        <v>37</v>
      </c>
      <c r="AR1513" s="26">
        <f>Tabla2[[#This Row],[Minutos*]]/60</f>
        <v>0.6166666666666667</v>
      </c>
      <c r="AS1513" s="27">
        <f>SUM(Tabla2[[#This Row],[Horas*]],Tabla2[[#This Row],[Minutos a Horas*]])+(Tabla2[[#This Row],[Tiempo Total a Nivel Proncincial (Horas)]])</f>
        <v>3.0666666666666669</v>
      </c>
    </row>
    <row r="1514" spans="30:45" hidden="1" x14ac:dyDescent="0.25">
      <c r="AD1514" s="32" t="s">
        <v>2389</v>
      </c>
      <c r="AE1514" s="10" t="s">
        <v>391</v>
      </c>
      <c r="AF1514" s="20" t="s">
        <v>1805</v>
      </c>
      <c r="AG1514" s="10"/>
      <c r="AH1514" s="22" t="str">
        <f t="shared" si="48"/>
        <v xml:space="preserve">Puno_04 Chucuito </v>
      </c>
      <c r="AI1514" s="10" t="s">
        <v>1923</v>
      </c>
      <c r="AJ1514" s="20" t="s">
        <v>1859</v>
      </c>
      <c r="AK1514" s="22" t="str">
        <f t="shared" si="49"/>
        <v>Puno_04 Chucuito _05 Pisacoma</v>
      </c>
      <c r="AL1514" s="25">
        <v>0</v>
      </c>
      <c r="AM1514" s="25">
        <v>27</v>
      </c>
      <c r="AN1514" s="26">
        <f>Tabla2[[#This Row],[Minutos]]/60</f>
        <v>0.45</v>
      </c>
      <c r="AO1514" s="27">
        <f>SUM(Tabla2[[#This Row],[Horas]],Tabla2[[#This Row],[Minutos a Horas]])</f>
        <v>0.45</v>
      </c>
      <c r="AP1514" s="49">
        <v>5</v>
      </c>
      <c r="AQ1514" s="49">
        <v>15</v>
      </c>
      <c r="AR1514" s="26">
        <f>Tabla2[[#This Row],[Minutos*]]/60</f>
        <v>0.25</v>
      </c>
      <c r="AS1514" s="27">
        <f>SUM(Tabla2[[#This Row],[Horas*]],Tabla2[[#This Row],[Minutos a Horas*]])+(Tabla2[[#This Row],[Tiempo Total a Nivel Proncincial (Horas)]])</f>
        <v>5.7</v>
      </c>
    </row>
    <row r="1515" spans="30:45" hidden="1" x14ac:dyDescent="0.25">
      <c r="AD1515" s="32" t="s">
        <v>2389</v>
      </c>
      <c r="AE1515" s="10" t="s">
        <v>391</v>
      </c>
      <c r="AF1515" s="20" t="s">
        <v>1805</v>
      </c>
      <c r="AG1515" s="10"/>
      <c r="AH1515" s="22" t="str">
        <f t="shared" si="48"/>
        <v xml:space="preserve">Puno_04 Chucuito </v>
      </c>
      <c r="AI1515" s="10" t="s">
        <v>1923</v>
      </c>
      <c r="AJ1515" s="20" t="s">
        <v>1860</v>
      </c>
      <c r="AK1515" s="22" t="str">
        <f t="shared" si="49"/>
        <v>Puno_04 Chucuito _06 Pomata</v>
      </c>
      <c r="AL1515" s="25">
        <v>0</v>
      </c>
      <c r="AM1515" s="25">
        <v>27</v>
      </c>
      <c r="AN1515" s="26">
        <f>Tabla2[[#This Row],[Minutos]]/60</f>
        <v>0.45</v>
      </c>
      <c r="AO1515" s="27">
        <f>SUM(Tabla2[[#This Row],[Horas]],Tabla2[[#This Row],[Minutos a Horas]])</f>
        <v>0.45</v>
      </c>
      <c r="AP1515" s="49">
        <v>2</v>
      </c>
      <c r="AQ1515" s="49">
        <v>0</v>
      </c>
      <c r="AR1515" s="26">
        <f>Tabla2[[#This Row],[Minutos*]]/60</f>
        <v>0</v>
      </c>
      <c r="AS1515" s="27">
        <f>SUM(Tabla2[[#This Row],[Horas*]],Tabla2[[#This Row],[Minutos a Horas*]])+(Tabla2[[#This Row],[Tiempo Total a Nivel Proncincial (Horas)]])</f>
        <v>2.4500000000000002</v>
      </c>
    </row>
    <row r="1516" spans="30:45" hidden="1" x14ac:dyDescent="0.25">
      <c r="AD1516" s="32" t="s">
        <v>2389</v>
      </c>
      <c r="AE1516" s="10" t="s">
        <v>391</v>
      </c>
      <c r="AF1516" s="20" t="s">
        <v>1805</v>
      </c>
      <c r="AG1516" s="10"/>
      <c r="AH1516" s="22" t="str">
        <f t="shared" si="48"/>
        <v xml:space="preserve">Puno_04 Chucuito </v>
      </c>
      <c r="AI1516" s="10" t="s">
        <v>1923</v>
      </c>
      <c r="AJ1516" s="20" t="s">
        <v>1861</v>
      </c>
      <c r="AK1516" s="22" t="str">
        <f t="shared" si="49"/>
        <v>Puno_04 Chucuito _07 Zepita</v>
      </c>
      <c r="AL1516" s="25">
        <v>0</v>
      </c>
      <c r="AM1516" s="25">
        <v>27</v>
      </c>
      <c r="AN1516" s="26">
        <f>Tabla2[[#This Row],[Minutos]]/60</f>
        <v>0.45</v>
      </c>
      <c r="AO1516" s="27">
        <f>SUM(Tabla2[[#This Row],[Horas]],Tabla2[[#This Row],[Minutos a Horas]])</f>
        <v>0.45</v>
      </c>
      <c r="AP1516" s="49">
        <v>2</v>
      </c>
      <c r="AQ1516" s="49">
        <v>11</v>
      </c>
      <c r="AR1516" s="26">
        <f>Tabla2[[#This Row],[Minutos*]]/60</f>
        <v>0.18333333333333332</v>
      </c>
      <c r="AS1516" s="27">
        <f>SUM(Tabla2[[#This Row],[Horas*]],Tabla2[[#This Row],[Minutos a Horas*]])+(Tabla2[[#This Row],[Tiempo Total a Nivel Proncincial (Horas)]])</f>
        <v>2.6333333333333333</v>
      </c>
    </row>
    <row r="1517" spans="30:45" hidden="1" x14ac:dyDescent="0.25">
      <c r="AD1517" s="32" t="s">
        <v>2389</v>
      </c>
      <c r="AE1517" s="10" t="s">
        <v>391</v>
      </c>
      <c r="AF1517" s="20" t="s">
        <v>1806</v>
      </c>
      <c r="AG1517" s="10"/>
      <c r="AH1517" s="22" t="str">
        <f t="shared" si="48"/>
        <v xml:space="preserve">Puno_05 El Collao </v>
      </c>
      <c r="AI1517" s="10" t="s">
        <v>1924</v>
      </c>
      <c r="AJ1517" s="20" t="s">
        <v>1862</v>
      </c>
      <c r="AK1517" s="22" t="str">
        <f t="shared" si="49"/>
        <v>Puno_05 El Collao _01 Ilave</v>
      </c>
      <c r="AL1517" s="25">
        <v>1</v>
      </c>
      <c r="AM1517" s="25">
        <v>1</v>
      </c>
      <c r="AN1517" s="26">
        <f>Tabla2[[#This Row],[Minutos]]/60</f>
        <v>1.6666666666666666E-2</v>
      </c>
      <c r="AO1517" s="27">
        <f>SUM(Tabla2[[#This Row],[Horas]],Tabla2[[#This Row],[Minutos a Horas]])</f>
        <v>1.0166666666666666</v>
      </c>
      <c r="AP1517" s="49">
        <v>1</v>
      </c>
      <c r="AQ1517" s="49">
        <v>2</v>
      </c>
      <c r="AR1517" s="26">
        <f>Tabla2[[#This Row],[Minutos*]]/60</f>
        <v>3.3333333333333333E-2</v>
      </c>
      <c r="AS1517" s="27">
        <f>SUM(Tabla2[[#This Row],[Horas*]],Tabla2[[#This Row],[Minutos a Horas*]])+(Tabla2[[#This Row],[Tiempo Total a Nivel Proncincial (Horas)]])</f>
        <v>2.0499999999999998</v>
      </c>
    </row>
    <row r="1518" spans="30:45" hidden="1" x14ac:dyDescent="0.25">
      <c r="AD1518" s="32" t="s">
        <v>2389</v>
      </c>
      <c r="AE1518" s="10" t="s">
        <v>391</v>
      </c>
      <c r="AF1518" s="20" t="s">
        <v>1806</v>
      </c>
      <c r="AG1518" s="10"/>
      <c r="AH1518" s="22" t="str">
        <f t="shared" si="48"/>
        <v xml:space="preserve">Puno_05 El Collao </v>
      </c>
      <c r="AI1518" s="10" t="s">
        <v>1924</v>
      </c>
      <c r="AJ1518" s="20" t="s">
        <v>1863</v>
      </c>
      <c r="AK1518" s="22" t="str">
        <f t="shared" si="49"/>
        <v>Puno_05 El Collao _02 Capazo</v>
      </c>
      <c r="AL1518" s="25">
        <v>1</v>
      </c>
      <c r="AM1518" s="25">
        <v>1</v>
      </c>
      <c r="AN1518" s="26">
        <f>Tabla2[[#This Row],[Minutos]]/60</f>
        <v>1.6666666666666666E-2</v>
      </c>
      <c r="AO1518" s="27">
        <f>SUM(Tabla2[[#This Row],[Horas]],Tabla2[[#This Row],[Minutos a Horas]])</f>
        <v>1.0166666666666666</v>
      </c>
      <c r="AP1518" s="49">
        <v>3</v>
      </c>
      <c r="AQ1518" s="49">
        <v>15</v>
      </c>
      <c r="AR1518" s="26">
        <f>Tabla2[[#This Row],[Minutos*]]/60</f>
        <v>0.25</v>
      </c>
      <c r="AS1518" s="27">
        <f>SUM(Tabla2[[#This Row],[Horas*]],Tabla2[[#This Row],[Minutos a Horas*]])+(Tabla2[[#This Row],[Tiempo Total a Nivel Proncincial (Horas)]])</f>
        <v>4.2666666666666666</v>
      </c>
    </row>
    <row r="1519" spans="30:45" hidden="1" x14ac:dyDescent="0.25">
      <c r="AD1519" s="32" t="s">
        <v>2389</v>
      </c>
      <c r="AE1519" s="10" t="s">
        <v>391</v>
      </c>
      <c r="AF1519" s="20" t="s">
        <v>1806</v>
      </c>
      <c r="AG1519" s="10"/>
      <c r="AH1519" s="22" t="str">
        <f t="shared" si="48"/>
        <v xml:space="preserve">Puno_05 El Collao </v>
      </c>
      <c r="AI1519" s="10" t="s">
        <v>1924</v>
      </c>
      <c r="AJ1519" s="20" t="s">
        <v>1864</v>
      </c>
      <c r="AK1519" s="22" t="str">
        <f t="shared" si="49"/>
        <v>Puno_05 El Collao _03 Pilcuyo</v>
      </c>
      <c r="AL1519" s="25">
        <v>1</v>
      </c>
      <c r="AM1519" s="25">
        <v>1</v>
      </c>
      <c r="AN1519" s="26">
        <f>Tabla2[[#This Row],[Minutos]]/60</f>
        <v>1.6666666666666666E-2</v>
      </c>
      <c r="AO1519" s="27">
        <f>SUM(Tabla2[[#This Row],[Horas]],Tabla2[[#This Row],[Minutos a Horas]])</f>
        <v>1.0166666666666666</v>
      </c>
      <c r="AP1519" s="49">
        <v>1</v>
      </c>
      <c r="AQ1519" s="49">
        <v>12</v>
      </c>
      <c r="AR1519" s="26">
        <f>Tabla2[[#This Row],[Minutos*]]/60</f>
        <v>0.2</v>
      </c>
      <c r="AS1519" s="27">
        <f>SUM(Tabla2[[#This Row],[Horas*]],Tabla2[[#This Row],[Minutos a Horas*]])+(Tabla2[[#This Row],[Tiempo Total a Nivel Proncincial (Horas)]])</f>
        <v>2.2166666666666668</v>
      </c>
    </row>
    <row r="1520" spans="30:45" hidden="1" x14ac:dyDescent="0.25">
      <c r="AD1520" s="32" t="s">
        <v>2389</v>
      </c>
      <c r="AE1520" s="10" t="s">
        <v>391</v>
      </c>
      <c r="AF1520" s="20" t="s">
        <v>1806</v>
      </c>
      <c r="AG1520" s="10"/>
      <c r="AH1520" s="22" t="str">
        <f t="shared" si="48"/>
        <v xml:space="preserve">Puno_05 El Collao </v>
      </c>
      <c r="AI1520" s="10" t="s">
        <v>1924</v>
      </c>
      <c r="AJ1520" s="20" t="s">
        <v>1865</v>
      </c>
      <c r="AK1520" s="22" t="str">
        <f t="shared" si="49"/>
        <v>Puno_05 El Collao _04 Santa Rosa</v>
      </c>
      <c r="AL1520" s="25">
        <v>1</v>
      </c>
      <c r="AM1520" s="25">
        <v>1</v>
      </c>
      <c r="AN1520" s="26">
        <f>Tabla2[[#This Row],[Minutos]]/60</f>
        <v>1.6666666666666666E-2</v>
      </c>
      <c r="AO1520" s="27">
        <f>SUM(Tabla2[[#This Row],[Horas]],Tabla2[[#This Row],[Minutos a Horas]])</f>
        <v>1.0166666666666666</v>
      </c>
      <c r="AP1520" s="49">
        <v>2</v>
      </c>
      <c r="AQ1520" s="49">
        <v>45</v>
      </c>
      <c r="AR1520" s="26">
        <f>Tabla2[[#This Row],[Minutos*]]/60</f>
        <v>0.75</v>
      </c>
      <c r="AS1520" s="27">
        <f>SUM(Tabla2[[#This Row],[Horas*]],Tabla2[[#This Row],[Minutos a Horas*]])+(Tabla2[[#This Row],[Tiempo Total a Nivel Proncincial (Horas)]])</f>
        <v>3.7666666666666666</v>
      </c>
    </row>
    <row r="1521" spans="30:45" hidden="1" x14ac:dyDescent="0.25">
      <c r="AD1521" s="32" t="s">
        <v>2389</v>
      </c>
      <c r="AE1521" s="10" t="s">
        <v>391</v>
      </c>
      <c r="AF1521" s="20" t="s">
        <v>1806</v>
      </c>
      <c r="AG1521" s="10"/>
      <c r="AH1521" s="22" t="str">
        <f t="shared" si="48"/>
        <v xml:space="preserve">Puno_05 El Collao </v>
      </c>
      <c r="AI1521" s="10" t="s">
        <v>1924</v>
      </c>
      <c r="AJ1521" s="20" t="s">
        <v>1866</v>
      </c>
      <c r="AK1521" s="22" t="str">
        <f t="shared" si="49"/>
        <v>Puno_05 El Collao _05 Conduriri</v>
      </c>
      <c r="AL1521" s="25">
        <v>1</v>
      </c>
      <c r="AM1521" s="25">
        <v>1</v>
      </c>
      <c r="AN1521" s="26">
        <f>Tabla2[[#This Row],[Minutos]]/60</f>
        <v>1.6666666666666666E-2</v>
      </c>
      <c r="AO1521" s="27">
        <f>SUM(Tabla2[[#This Row],[Horas]],Tabla2[[#This Row],[Minutos a Horas]])</f>
        <v>1.0166666666666666</v>
      </c>
      <c r="AP1521" s="49">
        <v>2</v>
      </c>
      <c r="AQ1521" s="49">
        <v>32</v>
      </c>
      <c r="AR1521" s="26">
        <f>Tabla2[[#This Row],[Minutos*]]/60</f>
        <v>0.53333333333333333</v>
      </c>
      <c r="AS1521" s="27">
        <f>SUM(Tabla2[[#This Row],[Horas*]],Tabla2[[#This Row],[Minutos a Horas*]])+(Tabla2[[#This Row],[Tiempo Total a Nivel Proncincial (Horas)]])</f>
        <v>3.55</v>
      </c>
    </row>
    <row r="1522" spans="30:45" hidden="1" x14ac:dyDescent="0.25">
      <c r="AD1522" s="32" t="s">
        <v>2389</v>
      </c>
      <c r="AE1522" s="10" t="s">
        <v>391</v>
      </c>
      <c r="AF1522" s="20" t="s">
        <v>1807</v>
      </c>
      <c r="AG1522" s="10"/>
      <c r="AH1522" s="22" t="str">
        <f t="shared" si="48"/>
        <v xml:space="preserve">Puno_06 Huancané </v>
      </c>
      <c r="AI1522" s="10" t="s">
        <v>1925</v>
      </c>
      <c r="AJ1522" s="20" t="s">
        <v>1867</v>
      </c>
      <c r="AK1522" s="22" t="str">
        <f t="shared" si="49"/>
        <v>Puno_06 Huancané _01 Huancane</v>
      </c>
      <c r="AL1522" s="25">
        <v>1</v>
      </c>
      <c r="AM1522" s="25">
        <v>51</v>
      </c>
      <c r="AN1522" s="26">
        <f>Tabla2[[#This Row],[Minutos]]/60</f>
        <v>0.85</v>
      </c>
      <c r="AO1522" s="27">
        <f>SUM(Tabla2[[#This Row],[Horas]],Tabla2[[#This Row],[Minutos a Horas]])</f>
        <v>1.85</v>
      </c>
      <c r="AP1522" s="49">
        <v>1</v>
      </c>
      <c r="AQ1522" s="49">
        <v>52</v>
      </c>
      <c r="AR1522" s="26">
        <f>Tabla2[[#This Row],[Minutos*]]/60</f>
        <v>0.8666666666666667</v>
      </c>
      <c r="AS1522" s="27">
        <f>SUM(Tabla2[[#This Row],[Horas*]],Tabla2[[#This Row],[Minutos a Horas*]])+(Tabla2[[#This Row],[Tiempo Total a Nivel Proncincial (Horas)]])</f>
        <v>3.7166666666666668</v>
      </c>
    </row>
    <row r="1523" spans="30:45" hidden="1" x14ac:dyDescent="0.25">
      <c r="AD1523" s="32" t="s">
        <v>2389</v>
      </c>
      <c r="AE1523" s="10" t="s">
        <v>391</v>
      </c>
      <c r="AF1523" s="20" t="s">
        <v>1807</v>
      </c>
      <c r="AG1523" s="10"/>
      <c r="AH1523" s="22" t="str">
        <f t="shared" si="48"/>
        <v xml:space="preserve">Puno_06 Huancané </v>
      </c>
      <c r="AI1523" s="10" t="s">
        <v>1925</v>
      </c>
      <c r="AJ1523" s="20" t="s">
        <v>1868</v>
      </c>
      <c r="AK1523" s="22" t="str">
        <f t="shared" si="49"/>
        <v>Puno_06 Huancané _02 Cojata</v>
      </c>
      <c r="AL1523" s="25">
        <v>1</v>
      </c>
      <c r="AM1523" s="25">
        <v>51</v>
      </c>
      <c r="AN1523" s="26">
        <f>Tabla2[[#This Row],[Minutos]]/60</f>
        <v>0.85</v>
      </c>
      <c r="AO1523" s="27">
        <f>SUM(Tabla2[[#This Row],[Horas]],Tabla2[[#This Row],[Minutos a Horas]])</f>
        <v>1.85</v>
      </c>
      <c r="AP1523" s="49">
        <v>2</v>
      </c>
      <c r="AQ1523" s="49">
        <v>53</v>
      </c>
      <c r="AR1523" s="26">
        <f>Tabla2[[#This Row],[Minutos*]]/60</f>
        <v>0.8833333333333333</v>
      </c>
      <c r="AS1523" s="27">
        <f>SUM(Tabla2[[#This Row],[Horas*]],Tabla2[[#This Row],[Minutos a Horas*]])+(Tabla2[[#This Row],[Tiempo Total a Nivel Proncincial (Horas)]])</f>
        <v>4.7333333333333334</v>
      </c>
    </row>
    <row r="1524" spans="30:45" hidden="1" x14ac:dyDescent="0.25">
      <c r="AD1524" s="32" t="s">
        <v>2389</v>
      </c>
      <c r="AE1524" s="10" t="s">
        <v>391</v>
      </c>
      <c r="AF1524" s="20" t="s">
        <v>1807</v>
      </c>
      <c r="AG1524" s="10"/>
      <c r="AH1524" s="22" t="str">
        <f t="shared" si="48"/>
        <v xml:space="preserve">Puno_06 Huancané </v>
      </c>
      <c r="AI1524" s="10" t="s">
        <v>1925</v>
      </c>
      <c r="AJ1524" s="20" t="s">
        <v>1869</v>
      </c>
      <c r="AK1524" s="22" t="str">
        <f t="shared" si="49"/>
        <v>Puno_06 Huancané _03 Huatasani</v>
      </c>
      <c r="AL1524" s="25">
        <v>1</v>
      </c>
      <c r="AM1524" s="25">
        <v>51</v>
      </c>
      <c r="AN1524" s="26">
        <f>Tabla2[[#This Row],[Minutos]]/60</f>
        <v>0.85</v>
      </c>
      <c r="AO1524" s="27">
        <f>SUM(Tabla2[[#This Row],[Horas]],Tabla2[[#This Row],[Minutos a Horas]])</f>
        <v>1.85</v>
      </c>
      <c r="AP1524" s="49">
        <v>2</v>
      </c>
      <c r="AQ1524" s="49">
        <v>22</v>
      </c>
      <c r="AR1524" s="26">
        <f>Tabla2[[#This Row],[Minutos*]]/60</f>
        <v>0.36666666666666664</v>
      </c>
      <c r="AS1524" s="27">
        <f>SUM(Tabla2[[#This Row],[Horas*]],Tabla2[[#This Row],[Minutos a Horas*]])+(Tabla2[[#This Row],[Tiempo Total a Nivel Proncincial (Horas)]])</f>
        <v>4.2166666666666668</v>
      </c>
    </row>
    <row r="1525" spans="30:45" hidden="1" x14ac:dyDescent="0.25">
      <c r="AD1525" s="32" t="s">
        <v>2389</v>
      </c>
      <c r="AE1525" s="10" t="s">
        <v>391</v>
      </c>
      <c r="AF1525" s="20" t="s">
        <v>1807</v>
      </c>
      <c r="AG1525" s="10"/>
      <c r="AH1525" s="22" t="str">
        <f t="shared" si="48"/>
        <v xml:space="preserve">Puno_06 Huancané </v>
      </c>
      <c r="AI1525" s="10" t="s">
        <v>1925</v>
      </c>
      <c r="AJ1525" s="20" t="s">
        <v>1870</v>
      </c>
      <c r="AK1525" s="22" t="str">
        <f t="shared" si="49"/>
        <v>Puno_06 Huancané _04 Inchupalla</v>
      </c>
      <c r="AL1525" s="25">
        <v>1</v>
      </c>
      <c r="AM1525" s="25">
        <v>51</v>
      </c>
      <c r="AN1525" s="26">
        <f>Tabla2[[#This Row],[Minutos]]/60</f>
        <v>0.85</v>
      </c>
      <c r="AO1525" s="27">
        <f>SUM(Tabla2[[#This Row],[Horas]],Tabla2[[#This Row],[Minutos a Horas]])</f>
        <v>1.85</v>
      </c>
      <c r="AP1525" s="49">
        <v>2</v>
      </c>
      <c r="AQ1525" s="49">
        <v>43</v>
      </c>
      <c r="AR1525" s="26">
        <f>Tabla2[[#This Row],[Minutos*]]/60</f>
        <v>0.71666666666666667</v>
      </c>
      <c r="AS1525" s="27">
        <f>SUM(Tabla2[[#This Row],[Horas*]],Tabla2[[#This Row],[Minutos a Horas*]])+(Tabla2[[#This Row],[Tiempo Total a Nivel Proncincial (Horas)]])</f>
        <v>4.5666666666666664</v>
      </c>
    </row>
    <row r="1526" spans="30:45" hidden="1" x14ac:dyDescent="0.25">
      <c r="AD1526" s="32" t="s">
        <v>2389</v>
      </c>
      <c r="AE1526" s="10" t="s">
        <v>391</v>
      </c>
      <c r="AF1526" s="20" t="s">
        <v>1807</v>
      </c>
      <c r="AG1526" s="10"/>
      <c r="AH1526" s="22" t="str">
        <f t="shared" si="48"/>
        <v xml:space="preserve">Puno_06 Huancané </v>
      </c>
      <c r="AI1526" s="10" t="s">
        <v>1925</v>
      </c>
      <c r="AJ1526" s="20" t="s">
        <v>1871</v>
      </c>
      <c r="AK1526" s="22" t="str">
        <f t="shared" si="49"/>
        <v>Puno_06 Huancané _05 Pusi</v>
      </c>
      <c r="AL1526" s="25">
        <v>1</v>
      </c>
      <c r="AM1526" s="25">
        <v>51</v>
      </c>
      <c r="AN1526" s="26">
        <f>Tabla2[[#This Row],[Minutos]]/60</f>
        <v>0.85</v>
      </c>
      <c r="AO1526" s="27">
        <f>SUM(Tabla2[[#This Row],[Horas]],Tabla2[[#This Row],[Minutos a Horas]])</f>
        <v>1.85</v>
      </c>
      <c r="AP1526" s="49">
        <v>1</v>
      </c>
      <c r="AQ1526" s="49">
        <v>34</v>
      </c>
      <c r="AR1526" s="26">
        <f>Tabla2[[#This Row],[Minutos*]]/60</f>
        <v>0.56666666666666665</v>
      </c>
      <c r="AS1526" s="27">
        <f>SUM(Tabla2[[#This Row],[Horas*]],Tabla2[[#This Row],[Minutos a Horas*]])+(Tabla2[[#This Row],[Tiempo Total a Nivel Proncincial (Horas)]])</f>
        <v>3.416666666666667</v>
      </c>
    </row>
    <row r="1527" spans="30:45" hidden="1" x14ac:dyDescent="0.25">
      <c r="AD1527" s="32" t="s">
        <v>2389</v>
      </c>
      <c r="AE1527" s="10" t="s">
        <v>391</v>
      </c>
      <c r="AF1527" s="20" t="s">
        <v>1807</v>
      </c>
      <c r="AG1527" s="10"/>
      <c r="AH1527" s="22" t="str">
        <f t="shared" si="48"/>
        <v xml:space="preserve">Puno_06 Huancané </v>
      </c>
      <c r="AI1527" s="10" t="s">
        <v>1925</v>
      </c>
      <c r="AJ1527" s="20" t="s">
        <v>1872</v>
      </c>
      <c r="AK1527" s="22" t="str">
        <f t="shared" si="49"/>
        <v>Puno_06 Huancané _06 Rosaspata</v>
      </c>
      <c r="AL1527" s="25">
        <v>1</v>
      </c>
      <c r="AM1527" s="25">
        <v>51</v>
      </c>
      <c r="AN1527" s="26">
        <f>Tabla2[[#This Row],[Minutos]]/60</f>
        <v>0.85</v>
      </c>
      <c r="AO1527" s="27">
        <f>SUM(Tabla2[[#This Row],[Horas]],Tabla2[[#This Row],[Minutos a Horas]])</f>
        <v>1.85</v>
      </c>
      <c r="AP1527" s="49">
        <v>2</v>
      </c>
      <c r="AQ1527" s="49">
        <v>33</v>
      </c>
      <c r="AR1527" s="26">
        <f>Tabla2[[#This Row],[Minutos*]]/60</f>
        <v>0.55000000000000004</v>
      </c>
      <c r="AS1527" s="27">
        <f>SUM(Tabla2[[#This Row],[Horas*]],Tabla2[[#This Row],[Minutos a Horas*]])+(Tabla2[[#This Row],[Tiempo Total a Nivel Proncincial (Horas)]])</f>
        <v>4.4000000000000004</v>
      </c>
    </row>
    <row r="1528" spans="30:45" hidden="1" x14ac:dyDescent="0.25">
      <c r="AD1528" s="32" t="s">
        <v>2389</v>
      </c>
      <c r="AE1528" s="10" t="s">
        <v>391</v>
      </c>
      <c r="AF1528" s="20" t="s">
        <v>1807</v>
      </c>
      <c r="AG1528" s="10"/>
      <c r="AH1528" s="22" t="str">
        <f t="shared" si="48"/>
        <v xml:space="preserve">Puno_06 Huancané </v>
      </c>
      <c r="AI1528" s="10" t="s">
        <v>1925</v>
      </c>
      <c r="AJ1528" s="20" t="s">
        <v>1873</v>
      </c>
      <c r="AK1528" s="22" t="str">
        <f t="shared" si="49"/>
        <v>Puno_06 Huancané _07 Taraco</v>
      </c>
      <c r="AL1528" s="25">
        <v>1</v>
      </c>
      <c r="AM1528" s="25">
        <v>51</v>
      </c>
      <c r="AN1528" s="26">
        <f>Tabla2[[#This Row],[Minutos]]/60</f>
        <v>0.85</v>
      </c>
      <c r="AO1528" s="27">
        <f>SUM(Tabla2[[#This Row],[Horas]],Tabla2[[#This Row],[Minutos a Horas]])</f>
        <v>1.85</v>
      </c>
      <c r="AP1528" s="49">
        <v>1</v>
      </c>
      <c r="AQ1528" s="49">
        <v>30</v>
      </c>
      <c r="AR1528" s="26">
        <f>Tabla2[[#This Row],[Minutos*]]/60</f>
        <v>0.5</v>
      </c>
      <c r="AS1528" s="27">
        <f>SUM(Tabla2[[#This Row],[Horas*]],Tabla2[[#This Row],[Minutos a Horas*]])+(Tabla2[[#This Row],[Tiempo Total a Nivel Proncincial (Horas)]])</f>
        <v>3.35</v>
      </c>
    </row>
    <row r="1529" spans="30:45" hidden="1" x14ac:dyDescent="0.25">
      <c r="AD1529" s="32" t="s">
        <v>2389</v>
      </c>
      <c r="AE1529" s="10" t="s">
        <v>391</v>
      </c>
      <c r="AF1529" s="20" t="s">
        <v>1807</v>
      </c>
      <c r="AG1529" s="10"/>
      <c r="AH1529" s="22" t="str">
        <f t="shared" si="48"/>
        <v xml:space="preserve">Puno_06 Huancané </v>
      </c>
      <c r="AI1529" s="10" t="s">
        <v>1925</v>
      </c>
      <c r="AJ1529" s="20" t="s">
        <v>1874</v>
      </c>
      <c r="AK1529" s="22" t="str">
        <f t="shared" si="49"/>
        <v>Puno_06 Huancané _08 Vilque Chico</v>
      </c>
      <c r="AL1529" s="25">
        <v>1</v>
      </c>
      <c r="AM1529" s="25">
        <v>51</v>
      </c>
      <c r="AN1529" s="26">
        <f>Tabla2[[#This Row],[Minutos]]/60</f>
        <v>0.85</v>
      </c>
      <c r="AO1529" s="27">
        <f>SUM(Tabla2[[#This Row],[Horas]],Tabla2[[#This Row],[Minutos a Horas]])</f>
        <v>1.85</v>
      </c>
      <c r="AP1529" s="49">
        <v>2</v>
      </c>
      <c r="AQ1529" s="49">
        <v>10</v>
      </c>
      <c r="AR1529" s="26">
        <f>Tabla2[[#This Row],[Minutos*]]/60</f>
        <v>0.16666666666666666</v>
      </c>
      <c r="AS1529" s="27">
        <f>SUM(Tabla2[[#This Row],[Horas*]],Tabla2[[#This Row],[Minutos a Horas*]])+(Tabla2[[#This Row],[Tiempo Total a Nivel Proncincial (Horas)]])</f>
        <v>4.0166666666666666</v>
      </c>
    </row>
    <row r="1530" spans="30:45" hidden="1" x14ac:dyDescent="0.25">
      <c r="AD1530" s="32" t="s">
        <v>2389</v>
      </c>
      <c r="AE1530" s="10" t="s">
        <v>391</v>
      </c>
      <c r="AF1530" s="20" t="s">
        <v>1808</v>
      </c>
      <c r="AG1530" s="10"/>
      <c r="AH1530" s="22" t="str">
        <f t="shared" si="48"/>
        <v xml:space="preserve">Puno_07 Lampa </v>
      </c>
      <c r="AI1530" s="10" t="s">
        <v>1926</v>
      </c>
      <c r="AJ1530" s="20" t="s">
        <v>1875</v>
      </c>
      <c r="AK1530" s="22" t="str">
        <f t="shared" si="49"/>
        <v>Puno_07 Lampa _01 Lampa</v>
      </c>
      <c r="AL1530" s="25">
        <v>1</v>
      </c>
      <c r="AM1530" s="25">
        <v>27</v>
      </c>
      <c r="AN1530" s="26">
        <f>Tabla2[[#This Row],[Minutos]]/60</f>
        <v>0.45</v>
      </c>
      <c r="AO1530" s="27">
        <f>SUM(Tabla2[[#This Row],[Horas]],Tabla2[[#This Row],[Minutos a Horas]])</f>
        <v>1.45</v>
      </c>
      <c r="AP1530" s="49">
        <v>1</v>
      </c>
      <c r="AQ1530" s="49">
        <v>29</v>
      </c>
      <c r="AR1530" s="26">
        <f>Tabla2[[#This Row],[Minutos*]]/60</f>
        <v>0.48333333333333334</v>
      </c>
      <c r="AS1530" s="27">
        <f>SUM(Tabla2[[#This Row],[Horas*]],Tabla2[[#This Row],[Minutos a Horas*]])+(Tabla2[[#This Row],[Tiempo Total a Nivel Proncincial (Horas)]])</f>
        <v>2.9333333333333336</v>
      </c>
    </row>
    <row r="1531" spans="30:45" hidden="1" x14ac:dyDescent="0.25">
      <c r="AD1531" s="32" t="s">
        <v>2389</v>
      </c>
      <c r="AE1531" s="10" t="s">
        <v>391</v>
      </c>
      <c r="AF1531" s="20" t="s">
        <v>1808</v>
      </c>
      <c r="AG1531" s="10"/>
      <c r="AH1531" s="22" t="str">
        <f t="shared" si="48"/>
        <v xml:space="preserve">Puno_07 Lampa </v>
      </c>
      <c r="AI1531" s="10" t="s">
        <v>1926</v>
      </c>
      <c r="AJ1531" s="20" t="s">
        <v>1876</v>
      </c>
      <c r="AK1531" s="22" t="str">
        <f t="shared" si="49"/>
        <v>Puno_07 Lampa _02 Cabanilla</v>
      </c>
      <c r="AL1531" s="25">
        <v>1</v>
      </c>
      <c r="AM1531" s="25">
        <v>27</v>
      </c>
      <c r="AN1531" s="26">
        <f>Tabla2[[#This Row],[Minutos]]/60</f>
        <v>0.45</v>
      </c>
      <c r="AO1531" s="27">
        <f>SUM(Tabla2[[#This Row],[Horas]],Tabla2[[#This Row],[Minutos a Horas]])</f>
        <v>1.45</v>
      </c>
      <c r="AP1531" s="49">
        <v>1</v>
      </c>
      <c r="AQ1531" s="49">
        <v>15</v>
      </c>
      <c r="AR1531" s="26">
        <f>Tabla2[[#This Row],[Minutos*]]/60</f>
        <v>0.25</v>
      </c>
      <c r="AS1531" s="27">
        <f>SUM(Tabla2[[#This Row],[Horas*]],Tabla2[[#This Row],[Minutos a Horas*]])+(Tabla2[[#This Row],[Tiempo Total a Nivel Proncincial (Horas)]])</f>
        <v>2.7</v>
      </c>
    </row>
    <row r="1532" spans="30:45" hidden="1" x14ac:dyDescent="0.25">
      <c r="AD1532" s="32" t="s">
        <v>2389</v>
      </c>
      <c r="AE1532" s="10" t="s">
        <v>391</v>
      </c>
      <c r="AF1532" s="20" t="s">
        <v>1808</v>
      </c>
      <c r="AG1532" s="10"/>
      <c r="AH1532" s="22" t="str">
        <f t="shared" si="48"/>
        <v xml:space="preserve">Puno_07 Lampa </v>
      </c>
      <c r="AI1532" s="10" t="s">
        <v>1926</v>
      </c>
      <c r="AJ1532" s="20" t="s">
        <v>1877</v>
      </c>
      <c r="AK1532" s="22" t="str">
        <f t="shared" si="49"/>
        <v>Puno_07 Lampa _03 Calapuja</v>
      </c>
      <c r="AL1532" s="25">
        <v>1</v>
      </c>
      <c r="AM1532" s="25">
        <v>27</v>
      </c>
      <c r="AN1532" s="26">
        <f>Tabla2[[#This Row],[Minutos]]/60</f>
        <v>0.45</v>
      </c>
      <c r="AO1532" s="27">
        <f>SUM(Tabla2[[#This Row],[Horas]],Tabla2[[#This Row],[Minutos a Horas]])</f>
        <v>1.45</v>
      </c>
      <c r="AP1532" s="49">
        <v>1</v>
      </c>
      <c r="AQ1532" s="49">
        <v>26</v>
      </c>
      <c r="AR1532" s="26">
        <f>Tabla2[[#This Row],[Minutos*]]/60</f>
        <v>0.43333333333333335</v>
      </c>
      <c r="AS1532" s="27">
        <f>SUM(Tabla2[[#This Row],[Horas*]],Tabla2[[#This Row],[Minutos a Horas*]])+(Tabla2[[#This Row],[Tiempo Total a Nivel Proncincial (Horas)]])</f>
        <v>2.8833333333333333</v>
      </c>
    </row>
    <row r="1533" spans="30:45" hidden="1" x14ac:dyDescent="0.25">
      <c r="AD1533" s="32" t="s">
        <v>2389</v>
      </c>
      <c r="AE1533" s="10" t="s">
        <v>391</v>
      </c>
      <c r="AF1533" s="20" t="s">
        <v>1808</v>
      </c>
      <c r="AG1533" s="10"/>
      <c r="AH1533" s="22" t="str">
        <f t="shared" si="48"/>
        <v xml:space="preserve">Puno_07 Lampa </v>
      </c>
      <c r="AI1533" s="10" t="s">
        <v>1926</v>
      </c>
      <c r="AJ1533" s="20" t="s">
        <v>1878</v>
      </c>
      <c r="AK1533" s="22" t="str">
        <f t="shared" si="49"/>
        <v>Puno_07 Lampa _04 Nicasio</v>
      </c>
      <c r="AL1533" s="25">
        <v>1</v>
      </c>
      <c r="AM1533" s="25">
        <v>27</v>
      </c>
      <c r="AN1533" s="26">
        <f>Tabla2[[#This Row],[Minutos]]/60</f>
        <v>0.45</v>
      </c>
      <c r="AO1533" s="27">
        <f>SUM(Tabla2[[#This Row],[Horas]],Tabla2[[#This Row],[Minutos a Horas]])</f>
        <v>1.45</v>
      </c>
      <c r="AP1533" s="49">
        <v>1</v>
      </c>
      <c r="AQ1533" s="49">
        <v>40</v>
      </c>
      <c r="AR1533" s="26">
        <f>Tabla2[[#This Row],[Minutos*]]/60</f>
        <v>0.66666666666666663</v>
      </c>
      <c r="AS1533" s="27">
        <f>SUM(Tabla2[[#This Row],[Horas*]],Tabla2[[#This Row],[Minutos a Horas*]])+(Tabla2[[#This Row],[Tiempo Total a Nivel Proncincial (Horas)]])</f>
        <v>3.1166666666666663</v>
      </c>
    </row>
    <row r="1534" spans="30:45" hidden="1" x14ac:dyDescent="0.25">
      <c r="AD1534" s="32" t="s">
        <v>2389</v>
      </c>
      <c r="AE1534" s="10" t="s">
        <v>391</v>
      </c>
      <c r="AF1534" s="20" t="s">
        <v>1808</v>
      </c>
      <c r="AG1534" s="10"/>
      <c r="AH1534" s="22" t="str">
        <f t="shared" si="48"/>
        <v xml:space="preserve">Puno_07 Lampa </v>
      </c>
      <c r="AI1534" s="10" t="s">
        <v>1926</v>
      </c>
      <c r="AJ1534" s="20" t="s">
        <v>1879</v>
      </c>
      <c r="AK1534" s="22" t="str">
        <f t="shared" si="49"/>
        <v>Puno_07 Lampa _05 Ocuviri</v>
      </c>
      <c r="AL1534" s="25">
        <v>1</v>
      </c>
      <c r="AM1534" s="25">
        <v>27</v>
      </c>
      <c r="AN1534" s="26">
        <f>Tabla2[[#This Row],[Minutos]]/60</f>
        <v>0.45</v>
      </c>
      <c r="AO1534" s="27">
        <f>SUM(Tabla2[[#This Row],[Horas]],Tabla2[[#This Row],[Minutos a Horas]])</f>
        <v>1.45</v>
      </c>
      <c r="AP1534" s="49">
        <v>3</v>
      </c>
      <c r="AQ1534" s="49">
        <v>26</v>
      </c>
      <c r="AR1534" s="26">
        <f>Tabla2[[#This Row],[Minutos*]]/60</f>
        <v>0.43333333333333335</v>
      </c>
      <c r="AS1534" s="27">
        <f>SUM(Tabla2[[#This Row],[Horas*]],Tabla2[[#This Row],[Minutos a Horas*]])+(Tabla2[[#This Row],[Tiempo Total a Nivel Proncincial (Horas)]])</f>
        <v>4.8833333333333337</v>
      </c>
    </row>
    <row r="1535" spans="30:45" hidden="1" x14ac:dyDescent="0.25">
      <c r="AD1535" s="32" t="s">
        <v>2389</v>
      </c>
      <c r="AE1535" s="10" t="s">
        <v>391</v>
      </c>
      <c r="AF1535" s="20" t="s">
        <v>1808</v>
      </c>
      <c r="AG1535" s="10"/>
      <c r="AH1535" s="22" t="str">
        <f t="shared" si="48"/>
        <v xml:space="preserve">Puno_07 Lampa </v>
      </c>
      <c r="AI1535" s="10" t="s">
        <v>1926</v>
      </c>
      <c r="AJ1535" s="20" t="s">
        <v>1402</v>
      </c>
      <c r="AK1535" s="22" t="str">
        <f t="shared" si="49"/>
        <v>Puno_07 Lampa _06 Palca</v>
      </c>
      <c r="AL1535" s="25">
        <v>1</v>
      </c>
      <c r="AM1535" s="25">
        <v>27</v>
      </c>
      <c r="AN1535" s="26">
        <f>Tabla2[[#This Row],[Minutos]]/60</f>
        <v>0.45</v>
      </c>
      <c r="AO1535" s="27">
        <f>SUM(Tabla2[[#This Row],[Horas]],Tabla2[[#This Row],[Minutos a Horas]])</f>
        <v>1.45</v>
      </c>
      <c r="AP1535" s="49">
        <v>2</v>
      </c>
      <c r="AQ1535" s="49">
        <v>12</v>
      </c>
      <c r="AR1535" s="26">
        <f>Tabla2[[#This Row],[Minutos*]]/60</f>
        <v>0.2</v>
      </c>
      <c r="AS1535" s="27">
        <f>SUM(Tabla2[[#This Row],[Horas*]],Tabla2[[#This Row],[Minutos a Horas*]])+(Tabla2[[#This Row],[Tiempo Total a Nivel Proncincial (Horas)]])</f>
        <v>3.6500000000000004</v>
      </c>
    </row>
    <row r="1536" spans="30:45" hidden="1" x14ac:dyDescent="0.25">
      <c r="AD1536" s="32" t="s">
        <v>2389</v>
      </c>
      <c r="AE1536" s="10" t="s">
        <v>391</v>
      </c>
      <c r="AF1536" s="20" t="s">
        <v>1808</v>
      </c>
      <c r="AG1536" s="10"/>
      <c r="AH1536" s="22" t="str">
        <f t="shared" si="48"/>
        <v xml:space="preserve">Puno_07 Lampa </v>
      </c>
      <c r="AI1536" s="10" t="s">
        <v>1926</v>
      </c>
      <c r="AJ1536" s="20" t="s">
        <v>1880</v>
      </c>
      <c r="AK1536" s="22" t="str">
        <f t="shared" si="49"/>
        <v>Puno_07 Lampa _07 Paratia</v>
      </c>
      <c r="AL1536" s="25">
        <v>1</v>
      </c>
      <c r="AM1536" s="25">
        <v>27</v>
      </c>
      <c r="AN1536" s="26">
        <f>Tabla2[[#This Row],[Minutos]]/60</f>
        <v>0.45</v>
      </c>
      <c r="AO1536" s="27">
        <f>SUM(Tabla2[[#This Row],[Horas]],Tabla2[[#This Row],[Minutos a Horas]])</f>
        <v>1.45</v>
      </c>
      <c r="AP1536" s="49">
        <v>2</v>
      </c>
      <c r="AQ1536" s="49">
        <v>40</v>
      </c>
      <c r="AR1536" s="26">
        <f>Tabla2[[#This Row],[Minutos*]]/60</f>
        <v>0.66666666666666663</v>
      </c>
      <c r="AS1536" s="27">
        <f>SUM(Tabla2[[#This Row],[Horas*]],Tabla2[[#This Row],[Minutos a Horas*]])+(Tabla2[[#This Row],[Tiempo Total a Nivel Proncincial (Horas)]])</f>
        <v>4.1166666666666663</v>
      </c>
    </row>
    <row r="1537" spans="30:45" hidden="1" x14ac:dyDescent="0.25">
      <c r="AD1537" s="32" t="s">
        <v>2389</v>
      </c>
      <c r="AE1537" s="10" t="s">
        <v>391</v>
      </c>
      <c r="AF1537" s="20" t="s">
        <v>1808</v>
      </c>
      <c r="AG1537" s="10"/>
      <c r="AH1537" s="22" t="str">
        <f t="shared" si="48"/>
        <v xml:space="preserve">Puno_07 Lampa </v>
      </c>
      <c r="AI1537" s="10" t="s">
        <v>1926</v>
      </c>
      <c r="AJ1537" s="20" t="s">
        <v>839</v>
      </c>
      <c r="AK1537" s="22" t="str">
        <f t="shared" si="49"/>
        <v>Puno_07 Lampa _08 Pucara</v>
      </c>
      <c r="AL1537" s="25">
        <v>1</v>
      </c>
      <c r="AM1537" s="25">
        <v>27</v>
      </c>
      <c r="AN1537" s="26">
        <f>Tabla2[[#This Row],[Minutos]]/60</f>
        <v>0.45</v>
      </c>
      <c r="AO1537" s="27">
        <f>SUM(Tabla2[[#This Row],[Horas]],Tabla2[[#This Row],[Minutos a Horas]])</f>
        <v>1.45</v>
      </c>
      <c r="AP1537" s="49">
        <v>2</v>
      </c>
      <c r="AQ1537" s="49">
        <v>53</v>
      </c>
      <c r="AR1537" s="26">
        <f>Tabla2[[#This Row],[Minutos*]]/60</f>
        <v>0.8833333333333333</v>
      </c>
      <c r="AS1537" s="27">
        <f>SUM(Tabla2[[#This Row],[Horas*]],Tabla2[[#This Row],[Minutos a Horas*]])+(Tabla2[[#This Row],[Tiempo Total a Nivel Proncincial (Horas)]])</f>
        <v>4.333333333333333</v>
      </c>
    </row>
    <row r="1538" spans="30:45" hidden="1" x14ac:dyDescent="0.25">
      <c r="AD1538" s="32" t="s">
        <v>2389</v>
      </c>
      <c r="AE1538" s="10" t="s">
        <v>391</v>
      </c>
      <c r="AF1538" s="20" t="s">
        <v>1808</v>
      </c>
      <c r="AG1538" s="10"/>
      <c r="AH1538" s="22" t="str">
        <f t="shared" si="48"/>
        <v xml:space="preserve">Puno_07 Lampa </v>
      </c>
      <c r="AI1538" s="10" t="s">
        <v>1926</v>
      </c>
      <c r="AJ1538" s="20" t="s">
        <v>1881</v>
      </c>
      <c r="AK1538" s="22" t="str">
        <f t="shared" si="49"/>
        <v>Puno_07 Lampa _09 Santa Lucia</v>
      </c>
      <c r="AL1538" s="25">
        <v>1</v>
      </c>
      <c r="AM1538" s="25">
        <v>27</v>
      </c>
      <c r="AN1538" s="26">
        <f>Tabla2[[#This Row],[Minutos]]/60</f>
        <v>0.45</v>
      </c>
      <c r="AO1538" s="27">
        <f>SUM(Tabla2[[#This Row],[Horas]],Tabla2[[#This Row],[Minutos a Horas]])</f>
        <v>1.45</v>
      </c>
      <c r="AP1538" s="49">
        <v>1</v>
      </c>
      <c r="AQ1538" s="49">
        <v>55</v>
      </c>
      <c r="AR1538" s="26">
        <f>Tabla2[[#This Row],[Minutos*]]/60</f>
        <v>0.91666666666666663</v>
      </c>
      <c r="AS1538" s="27">
        <f>SUM(Tabla2[[#This Row],[Horas*]],Tabla2[[#This Row],[Minutos a Horas*]])+(Tabla2[[#This Row],[Tiempo Total a Nivel Proncincial (Horas)]])</f>
        <v>3.3666666666666663</v>
      </c>
    </row>
    <row r="1539" spans="30:45" hidden="1" x14ac:dyDescent="0.25">
      <c r="AD1539" s="32" t="s">
        <v>2389</v>
      </c>
      <c r="AE1539" s="10" t="s">
        <v>391</v>
      </c>
      <c r="AF1539" s="20" t="s">
        <v>1808</v>
      </c>
      <c r="AG1539" s="10"/>
      <c r="AH1539" s="22" t="str">
        <f t="shared" si="48"/>
        <v xml:space="preserve">Puno_07 Lampa </v>
      </c>
      <c r="AI1539" s="10" t="s">
        <v>1926</v>
      </c>
      <c r="AJ1539" s="20" t="s">
        <v>1882</v>
      </c>
      <c r="AK1539" s="22" t="str">
        <f t="shared" si="49"/>
        <v>Puno_07 Lampa _10 Vilavila</v>
      </c>
      <c r="AL1539" s="25">
        <v>1</v>
      </c>
      <c r="AM1539" s="25">
        <v>27</v>
      </c>
      <c r="AN1539" s="26">
        <f>Tabla2[[#This Row],[Minutos]]/60</f>
        <v>0.45</v>
      </c>
      <c r="AO1539" s="27">
        <f>SUM(Tabla2[[#This Row],[Horas]],Tabla2[[#This Row],[Minutos a Horas]])</f>
        <v>1.45</v>
      </c>
      <c r="AP1539" s="49">
        <v>2</v>
      </c>
      <c r="AQ1539" s="49">
        <v>29</v>
      </c>
      <c r="AR1539" s="26">
        <f>Tabla2[[#This Row],[Minutos*]]/60</f>
        <v>0.48333333333333334</v>
      </c>
      <c r="AS1539" s="27">
        <f>SUM(Tabla2[[#This Row],[Horas*]],Tabla2[[#This Row],[Minutos a Horas*]])+(Tabla2[[#This Row],[Tiempo Total a Nivel Proncincial (Horas)]])</f>
        <v>3.9333333333333336</v>
      </c>
    </row>
    <row r="1540" spans="30:45" hidden="1" x14ac:dyDescent="0.25">
      <c r="AD1540" s="32" t="s">
        <v>2389</v>
      </c>
      <c r="AE1540" s="10" t="s">
        <v>391</v>
      </c>
      <c r="AF1540" s="20" t="s">
        <v>1809</v>
      </c>
      <c r="AG1540" s="10"/>
      <c r="AH1540" s="22" t="str">
        <f t="shared" si="48"/>
        <v xml:space="preserve">Puno_08 Melgar </v>
      </c>
      <c r="AI1540" s="10" t="s">
        <v>1927</v>
      </c>
      <c r="AJ1540" s="20" t="s">
        <v>1883</v>
      </c>
      <c r="AK1540" s="22" t="str">
        <f t="shared" si="49"/>
        <v>Puno_08 Melgar _01 Ayaviri</v>
      </c>
      <c r="AL1540" s="25">
        <v>2</v>
      </c>
      <c r="AM1540" s="25">
        <v>19</v>
      </c>
      <c r="AN1540" s="26">
        <f>Tabla2[[#This Row],[Minutos]]/60</f>
        <v>0.31666666666666665</v>
      </c>
      <c r="AO1540" s="27">
        <f>SUM(Tabla2[[#This Row],[Horas]],Tabla2[[#This Row],[Minutos a Horas]])</f>
        <v>2.3166666666666664</v>
      </c>
      <c r="AP1540" s="49">
        <v>2</v>
      </c>
      <c r="AQ1540" s="49">
        <v>26</v>
      </c>
      <c r="AR1540" s="26">
        <f>Tabla2[[#This Row],[Minutos*]]/60</f>
        <v>0.43333333333333335</v>
      </c>
      <c r="AS1540" s="27">
        <f>SUM(Tabla2[[#This Row],[Horas*]],Tabla2[[#This Row],[Minutos a Horas*]])+(Tabla2[[#This Row],[Tiempo Total a Nivel Proncincial (Horas)]])</f>
        <v>4.75</v>
      </c>
    </row>
    <row r="1541" spans="30:45" hidden="1" x14ac:dyDescent="0.25">
      <c r="AD1541" s="32" t="s">
        <v>2389</v>
      </c>
      <c r="AE1541" s="10" t="s">
        <v>391</v>
      </c>
      <c r="AF1541" s="20" t="s">
        <v>1809</v>
      </c>
      <c r="AG1541" s="10"/>
      <c r="AH1541" s="22" t="str">
        <f t="shared" si="48"/>
        <v xml:space="preserve">Puno_08 Melgar </v>
      </c>
      <c r="AI1541" s="10" t="s">
        <v>1927</v>
      </c>
      <c r="AJ1541" s="20" t="s">
        <v>1884</v>
      </c>
      <c r="AK1541" s="22" t="str">
        <f t="shared" si="49"/>
        <v>Puno_08 Melgar _02 Antauta</v>
      </c>
      <c r="AL1541" s="25">
        <v>2</v>
      </c>
      <c r="AM1541" s="25">
        <v>19</v>
      </c>
      <c r="AN1541" s="26">
        <f>Tabla2[[#This Row],[Minutos]]/60</f>
        <v>0.31666666666666665</v>
      </c>
      <c r="AO1541" s="27">
        <f>SUM(Tabla2[[#This Row],[Horas]],Tabla2[[#This Row],[Minutos a Horas]])</f>
        <v>2.3166666666666664</v>
      </c>
      <c r="AP1541" s="49">
        <v>4</v>
      </c>
      <c r="AQ1541" s="49">
        <v>26</v>
      </c>
      <c r="AR1541" s="26">
        <f>Tabla2[[#This Row],[Minutos*]]/60</f>
        <v>0.43333333333333335</v>
      </c>
      <c r="AS1541" s="27">
        <f>SUM(Tabla2[[#This Row],[Horas*]],Tabla2[[#This Row],[Minutos a Horas*]])+(Tabla2[[#This Row],[Tiempo Total a Nivel Proncincial (Horas)]])</f>
        <v>6.75</v>
      </c>
    </row>
    <row r="1542" spans="30:45" hidden="1" x14ac:dyDescent="0.25">
      <c r="AD1542" s="32" t="s">
        <v>2389</v>
      </c>
      <c r="AE1542" s="10" t="s">
        <v>391</v>
      </c>
      <c r="AF1542" s="20" t="s">
        <v>1809</v>
      </c>
      <c r="AG1542" s="10"/>
      <c r="AH1542" s="22" t="str">
        <f t="shared" si="48"/>
        <v xml:space="preserve">Puno_08 Melgar </v>
      </c>
      <c r="AI1542" s="10" t="s">
        <v>1927</v>
      </c>
      <c r="AJ1542" s="20" t="s">
        <v>1885</v>
      </c>
      <c r="AK1542" s="22" t="str">
        <f t="shared" si="49"/>
        <v>Puno_08 Melgar _03 Cupi</v>
      </c>
      <c r="AL1542" s="25">
        <v>2</v>
      </c>
      <c r="AM1542" s="25">
        <v>19</v>
      </c>
      <c r="AN1542" s="26">
        <f>Tabla2[[#This Row],[Minutos]]/60</f>
        <v>0.31666666666666665</v>
      </c>
      <c r="AO1542" s="27">
        <f>SUM(Tabla2[[#This Row],[Horas]],Tabla2[[#This Row],[Minutos a Horas]])</f>
        <v>2.3166666666666664</v>
      </c>
      <c r="AP1542" s="49">
        <v>3</v>
      </c>
      <c r="AQ1542" s="49">
        <v>14</v>
      </c>
      <c r="AR1542" s="26">
        <f>Tabla2[[#This Row],[Minutos*]]/60</f>
        <v>0.23333333333333334</v>
      </c>
      <c r="AS1542" s="27">
        <f>SUM(Tabla2[[#This Row],[Horas*]],Tabla2[[#This Row],[Minutos a Horas*]])+(Tabla2[[#This Row],[Tiempo Total a Nivel Proncincial (Horas)]])</f>
        <v>5.55</v>
      </c>
    </row>
    <row r="1543" spans="30:45" hidden="1" x14ac:dyDescent="0.25">
      <c r="AD1543" s="32" t="s">
        <v>2389</v>
      </c>
      <c r="AE1543" s="10" t="s">
        <v>391</v>
      </c>
      <c r="AF1543" s="20" t="s">
        <v>1809</v>
      </c>
      <c r="AG1543" s="10"/>
      <c r="AH1543" s="22" t="str">
        <f t="shared" si="48"/>
        <v xml:space="preserve">Puno_08 Melgar </v>
      </c>
      <c r="AI1543" s="10" t="s">
        <v>1927</v>
      </c>
      <c r="AJ1543" s="20" t="s">
        <v>1886</v>
      </c>
      <c r="AK1543" s="22" t="str">
        <f t="shared" si="49"/>
        <v>Puno_08 Melgar _04 Llalli</v>
      </c>
      <c r="AL1543" s="25">
        <v>2</v>
      </c>
      <c r="AM1543" s="25">
        <v>19</v>
      </c>
      <c r="AN1543" s="26">
        <f>Tabla2[[#This Row],[Minutos]]/60</f>
        <v>0.31666666666666665</v>
      </c>
      <c r="AO1543" s="27">
        <f>SUM(Tabla2[[#This Row],[Horas]],Tabla2[[#This Row],[Minutos a Horas]])</f>
        <v>2.3166666666666664</v>
      </c>
      <c r="AP1543" s="49">
        <v>3</v>
      </c>
      <c r="AQ1543" s="49">
        <v>1</v>
      </c>
      <c r="AR1543" s="26">
        <f>Tabla2[[#This Row],[Minutos*]]/60</f>
        <v>1.6666666666666666E-2</v>
      </c>
      <c r="AS1543" s="27">
        <f>SUM(Tabla2[[#This Row],[Horas*]],Tabla2[[#This Row],[Minutos a Horas*]])+(Tabla2[[#This Row],[Tiempo Total a Nivel Proncincial (Horas)]])</f>
        <v>5.333333333333333</v>
      </c>
    </row>
    <row r="1544" spans="30:45" hidden="1" x14ac:dyDescent="0.25">
      <c r="AD1544" s="32" t="s">
        <v>2389</v>
      </c>
      <c r="AE1544" s="10" t="s">
        <v>391</v>
      </c>
      <c r="AF1544" s="20" t="s">
        <v>1809</v>
      </c>
      <c r="AG1544" s="10"/>
      <c r="AH1544" s="22" t="str">
        <f t="shared" si="48"/>
        <v xml:space="preserve">Puno_08 Melgar </v>
      </c>
      <c r="AI1544" s="10" t="s">
        <v>1927</v>
      </c>
      <c r="AJ1544" s="20" t="s">
        <v>1887</v>
      </c>
      <c r="AK1544" s="22" t="str">
        <f t="shared" si="49"/>
        <v>Puno_08 Melgar _05 Macari</v>
      </c>
      <c r="AL1544" s="25">
        <v>2</v>
      </c>
      <c r="AM1544" s="25">
        <v>19</v>
      </c>
      <c r="AN1544" s="26">
        <f>Tabla2[[#This Row],[Minutos]]/60</f>
        <v>0.31666666666666665</v>
      </c>
      <c r="AO1544" s="27">
        <f>SUM(Tabla2[[#This Row],[Horas]],Tabla2[[#This Row],[Minutos a Horas]])</f>
        <v>2.3166666666666664</v>
      </c>
      <c r="AP1544" s="49">
        <v>3</v>
      </c>
      <c r="AQ1544" s="49">
        <v>3</v>
      </c>
      <c r="AR1544" s="26">
        <f>Tabla2[[#This Row],[Minutos*]]/60</f>
        <v>0.05</v>
      </c>
      <c r="AS1544" s="27">
        <f>SUM(Tabla2[[#This Row],[Horas*]],Tabla2[[#This Row],[Minutos a Horas*]])+(Tabla2[[#This Row],[Tiempo Total a Nivel Proncincial (Horas)]])</f>
        <v>5.3666666666666663</v>
      </c>
    </row>
    <row r="1545" spans="30:45" hidden="1" x14ac:dyDescent="0.25">
      <c r="AD1545" s="32" t="s">
        <v>2389</v>
      </c>
      <c r="AE1545" s="10" t="s">
        <v>391</v>
      </c>
      <c r="AF1545" s="20" t="s">
        <v>1809</v>
      </c>
      <c r="AG1545" s="10"/>
      <c r="AH1545" s="22" t="str">
        <f t="shared" si="48"/>
        <v xml:space="preserve">Puno_08 Melgar </v>
      </c>
      <c r="AI1545" s="10" t="s">
        <v>1927</v>
      </c>
      <c r="AJ1545" s="20" t="s">
        <v>1888</v>
      </c>
      <c r="AK1545" s="22" t="str">
        <f t="shared" si="49"/>
        <v>Puno_08 Melgar _06 Nuñoa</v>
      </c>
      <c r="AL1545" s="25">
        <v>2</v>
      </c>
      <c r="AM1545" s="25">
        <v>19</v>
      </c>
      <c r="AN1545" s="26">
        <f>Tabla2[[#This Row],[Minutos]]/60</f>
        <v>0.31666666666666665</v>
      </c>
      <c r="AO1545" s="27">
        <f>SUM(Tabla2[[#This Row],[Horas]],Tabla2[[#This Row],[Minutos a Horas]])</f>
        <v>2.3166666666666664</v>
      </c>
      <c r="AP1545" s="49">
        <v>3</v>
      </c>
      <c r="AQ1545" s="49">
        <v>25</v>
      </c>
      <c r="AR1545" s="26">
        <f>Tabla2[[#This Row],[Minutos*]]/60</f>
        <v>0.41666666666666669</v>
      </c>
      <c r="AS1545" s="27">
        <f>SUM(Tabla2[[#This Row],[Horas*]],Tabla2[[#This Row],[Minutos a Horas*]])+(Tabla2[[#This Row],[Tiempo Total a Nivel Proncincial (Horas)]])</f>
        <v>5.7333333333333325</v>
      </c>
    </row>
    <row r="1546" spans="30:45" hidden="1" x14ac:dyDescent="0.25">
      <c r="AD1546" s="32" t="s">
        <v>2389</v>
      </c>
      <c r="AE1546" s="10" t="s">
        <v>391</v>
      </c>
      <c r="AF1546" s="20" t="s">
        <v>1809</v>
      </c>
      <c r="AG1546" s="10"/>
      <c r="AH1546" s="22" t="str">
        <f t="shared" si="48"/>
        <v xml:space="preserve">Puno_08 Melgar </v>
      </c>
      <c r="AI1546" s="10" t="s">
        <v>1927</v>
      </c>
      <c r="AJ1546" s="20" t="s">
        <v>1889</v>
      </c>
      <c r="AK1546" s="22" t="str">
        <f t="shared" si="49"/>
        <v>Puno_08 Melgar _07 Orurillo</v>
      </c>
      <c r="AL1546" s="25">
        <v>2</v>
      </c>
      <c r="AM1546" s="25">
        <v>19</v>
      </c>
      <c r="AN1546" s="26">
        <f>Tabla2[[#This Row],[Minutos]]/60</f>
        <v>0.31666666666666665</v>
      </c>
      <c r="AO1546" s="27">
        <f>SUM(Tabla2[[#This Row],[Horas]],Tabla2[[#This Row],[Minutos a Horas]])</f>
        <v>2.3166666666666664</v>
      </c>
      <c r="AP1546" s="49">
        <v>2</v>
      </c>
      <c r="AQ1546" s="49">
        <v>46</v>
      </c>
      <c r="AR1546" s="26">
        <f>Tabla2[[#This Row],[Minutos*]]/60</f>
        <v>0.76666666666666672</v>
      </c>
      <c r="AS1546" s="27">
        <f>SUM(Tabla2[[#This Row],[Horas*]],Tabla2[[#This Row],[Minutos a Horas*]])+(Tabla2[[#This Row],[Tiempo Total a Nivel Proncincial (Horas)]])</f>
        <v>5.083333333333333</v>
      </c>
    </row>
    <row r="1547" spans="30:45" hidden="1" x14ac:dyDescent="0.25">
      <c r="AD1547" s="32" t="s">
        <v>2389</v>
      </c>
      <c r="AE1547" s="10" t="s">
        <v>391</v>
      </c>
      <c r="AF1547" s="20" t="s">
        <v>1809</v>
      </c>
      <c r="AG1547" s="10"/>
      <c r="AH1547" s="22" t="str">
        <f t="shared" si="48"/>
        <v xml:space="preserve">Puno_08 Melgar </v>
      </c>
      <c r="AI1547" s="10" t="s">
        <v>1927</v>
      </c>
      <c r="AJ1547" s="20" t="s">
        <v>1890</v>
      </c>
      <c r="AK1547" s="22" t="str">
        <f t="shared" si="49"/>
        <v>Puno_08 Melgar _08 Santa Rosa</v>
      </c>
      <c r="AL1547" s="25">
        <v>2</v>
      </c>
      <c r="AM1547" s="25">
        <v>19</v>
      </c>
      <c r="AN1547" s="26">
        <f>Tabla2[[#This Row],[Minutos]]/60</f>
        <v>0.31666666666666665</v>
      </c>
      <c r="AO1547" s="27">
        <f>SUM(Tabla2[[#This Row],[Horas]],Tabla2[[#This Row],[Minutos a Horas]])</f>
        <v>2.3166666666666664</v>
      </c>
      <c r="AP1547" s="49">
        <v>2</v>
      </c>
      <c r="AQ1547" s="49">
        <v>58</v>
      </c>
      <c r="AR1547" s="26">
        <f>Tabla2[[#This Row],[Minutos*]]/60</f>
        <v>0.96666666666666667</v>
      </c>
      <c r="AS1547" s="27">
        <f>SUM(Tabla2[[#This Row],[Horas*]],Tabla2[[#This Row],[Minutos a Horas*]])+(Tabla2[[#This Row],[Tiempo Total a Nivel Proncincial (Horas)]])</f>
        <v>5.2833333333333332</v>
      </c>
    </row>
    <row r="1548" spans="30:45" hidden="1" x14ac:dyDescent="0.25">
      <c r="AD1548" s="32" t="s">
        <v>2389</v>
      </c>
      <c r="AE1548" s="10" t="s">
        <v>391</v>
      </c>
      <c r="AF1548" s="20" t="s">
        <v>1809</v>
      </c>
      <c r="AG1548" s="10"/>
      <c r="AH1548" s="22" t="str">
        <f t="shared" si="48"/>
        <v xml:space="preserve">Puno_08 Melgar </v>
      </c>
      <c r="AI1548" s="10" t="s">
        <v>1927</v>
      </c>
      <c r="AJ1548" s="20" t="s">
        <v>1891</v>
      </c>
      <c r="AK1548" s="22" t="str">
        <f t="shared" si="49"/>
        <v>Puno_08 Melgar _09 Umachiri</v>
      </c>
      <c r="AL1548" s="25">
        <v>2</v>
      </c>
      <c r="AM1548" s="25">
        <v>19</v>
      </c>
      <c r="AN1548" s="26">
        <f>Tabla2[[#This Row],[Minutos]]/60</f>
        <v>0.31666666666666665</v>
      </c>
      <c r="AO1548" s="27">
        <f>SUM(Tabla2[[#This Row],[Horas]],Tabla2[[#This Row],[Minutos a Horas]])</f>
        <v>2.3166666666666664</v>
      </c>
      <c r="AP1548" s="49">
        <v>2</v>
      </c>
      <c r="AQ1548" s="49">
        <v>46</v>
      </c>
      <c r="AR1548" s="26">
        <f>Tabla2[[#This Row],[Minutos*]]/60</f>
        <v>0.76666666666666672</v>
      </c>
      <c r="AS1548" s="27">
        <f>SUM(Tabla2[[#This Row],[Horas*]],Tabla2[[#This Row],[Minutos a Horas*]])+(Tabla2[[#This Row],[Tiempo Total a Nivel Proncincial (Horas)]])</f>
        <v>5.083333333333333</v>
      </c>
    </row>
    <row r="1549" spans="30:45" hidden="1" x14ac:dyDescent="0.25">
      <c r="AD1549" s="32" t="s">
        <v>2389</v>
      </c>
      <c r="AE1549" s="10" t="s">
        <v>391</v>
      </c>
      <c r="AF1549" s="20" t="s">
        <v>1810</v>
      </c>
      <c r="AG1549" s="10"/>
      <c r="AH1549" s="22" t="str">
        <f t="shared" si="48"/>
        <v xml:space="preserve">Puno_09 Moho </v>
      </c>
      <c r="AI1549" s="10" t="s">
        <v>1928</v>
      </c>
      <c r="AJ1549" s="20" t="s">
        <v>1892</v>
      </c>
      <c r="AK1549" s="22" t="str">
        <f t="shared" si="49"/>
        <v>Puno_09 Moho _01 Moho</v>
      </c>
      <c r="AL1549" s="25">
        <v>2</v>
      </c>
      <c r="AM1549" s="25">
        <v>54</v>
      </c>
      <c r="AN1549" s="26">
        <f>Tabla2[[#This Row],[Minutos]]/60</f>
        <v>0.9</v>
      </c>
      <c r="AO1549" s="27">
        <f>SUM(Tabla2[[#This Row],[Horas]],Tabla2[[#This Row],[Minutos a Horas]])</f>
        <v>2.9</v>
      </c>
      <c r="AP1549" s="49">
        <v>2</v>
      </c>
      <c r="AQ1549" s="49">
        <v>54</v>
      </c>
      <c r="AR1549" s="26">
        <f>Tabla2[[#This Row],[Minutos*]]/60</f>
        <v>0.9</v>
      </c>
      <c r="AS1549" s="27">
        <f>SUM(Tabla2[[#This Row],[Horas*]],Tabla2[[#This Row],[Minutos a Horas*]])+(Tabla2[[#This Row],[Tiempo Total a Nivel Proncincial (Horas)]])</f>
        <v>5.8</v>
      </c>
    </row>
    <row r="1550" spans="30:45" hidden="1" x14ac:dyDescent="0.25">
      <c r="AD1550" s="32" t="s">
        <v>2389</v>
      </c>
      <c r="AE1550" s="10" t="s">
        <v>391</v>
      </c>
      <c r="AF1550" s="20" t="s">
        <v>1810</v>
      </c>
      <c r="AG1550" s="10"/>
      <c r="AH1550" s="22" t="str">
        <f t="shared" si="48"/>
        <v xml:space="preserve">Puno_09 Moho </v>
      </c>
      <c r="AI1550" s="10" t="s">
        <v>1928</v>
      </c>
      <c r="AJ1550" s="20" t="s">
        <v>1893</v>
      </c>
      <c r="AK1550" s="22" t="str">
        <f t="shared" si="49"/>
        <v>Puno_09 Moho _02 Conima</v>
      </c>
      <c r="AL1550" s="25">
        <v>2</v>
      </c>
      <c r="AM1550" s="25">
        <v>54</v>
      </c>
      <c r="AN1550" s="26">
        <f>Tabla2[[#This Row],[Minutos]]/60</f>
        <v>0.9</v>
      </c>
      <c r="AO1550" s="27">
        <f>SUM(Tabla2[[#This Row],[Horas]],Tabla2[[#This Row],[Minutos a Horas]])</f>
        <v>2.9</v>
      </c>
      <c r="AP1550" s="49">
        <v>3</v>
      </c>
      <c r="AQ1550" s="49">
        <v>11</v>
      </c>
      <c r="AR1550" s="26">
        <f>Tabla2[[#This Row],[Minutos*]]/60</f>
        <v>0.18333333333333332</v>
      </c>
      <c r="AS1550" s="27">
        <f>SUM(Tabla2[[#This Row],[Horas*]],Tabla2[[#This Row],[Minutos a Horas*]])+(Tabla2[[#This Row],[Tiempo Total a Nivel Proncincial (Horas)]])</f>
        <v>6.083333333333333</v>
      </c>
    </row>
    <row r="1551" spans="30:45" hidden="1" x14ac:dyDescent="0.25">
      <c r="AD1551" s="32" t="s">
        <v>2389</v>
      </c>
      <c r="AE1551" s="10" t="s">
        <v>391</v>
      </c>
      <c r="AF1551" s="20" t="s">
        <v>1810</v>
      </c>
      <c r="AG1551" s="10"/>
      <c r="AH1551" s="22" t="str">
        <f t="shared" si="48"/>
        <v xml:space="preserve">Puno_09 Moho </v>
      </c>
      <c r="AI1551" s="10" t="s">
        <v>1928</v>
      </c>
      <c r="AJ1551" s="20" t="s">
        <v>1894</v>
      </c>
      <c r="AK1551" s="22" t="str">
        <f t="shared" si="49"/>
        <v>Puno_09 Moho _03 Huayrapata</v>
      </c>
      <c r="AL1551" s="25">
        <v>2</v>
      </c>
      <c r="AM1551" s="25">
        <v>54</v>
      </c>
      <c r="AN1551" s="26">
        <f>Tabla2[[#This Row],[Minutos]]/60</f>
        <v>0.9</v>
      </c>
      <c r="AO1551" s="27">
        <f>SUM(Tabla2[[#This Row],[Horas]],Tabla2[[#This Row],[Minutos a Horas]])</f>
        <v>2.9</v>
      </c>
      <c r="AP1551" s="49">
        <v>3</v>
      </c>
      <c r="AQ1551" s="49">
        <v>9</v>
      </c>
      <c r="AR1551" s="26">
        <f>Tabla2[[#This Row],[Minutos*]]/60</f>
        <v>0.15</v>
      </c>
      <c r="AS1551" s="27">
        <f>SUM(Tabla2[[#This Row],[Horas*]],Tabla2[[#This Row],[Minutos a Horas*]])+(Tabla2[[#This Row],[Tiempo Total a Nivel Proncincial (Horas)]])</f>
        <v>6.05</v>
      </c>
    </row>
    <row r="1552" spans="30:45" hidden="1" x14ac:dyDescent="0.25">
      <c r="AD1552" s="32" t="s">
        <v>2389</v>
      </c>
      <c r="AE1552" s="10" t="s">
        <v>391</v>
      </c>
      <c r="AF1552" s="20" t="s">
        <v>1810</v>
      </c>
      <c r="AG1552" s="10"/>
      <c r="AH1552" s="22" t="str">
        <f t="shared" si="48"/>
        <v xml:space="preserve">Puno_09 Moho </v>
      </c>
      <c r="AI1552" s="10" t="s">
        <v>1928</v>
      </c>
      <c r="AJ1552" s="20" t="s">
        <v>1895</v>
      </c>
      <c r="AK1552" s="22" t="str">
        <f t="shared" si="49"/>
        <v>Puno_09 Moho _04 Tilali</v>
      </c>
      <c r="AL1552" s="25">
        <v>2</v>
      </c>
      <c r="AM1552" s="25">
        <v>54</v>
      </c>
      <c r="AN1552" s="26">
        <f>Tabla2[[#This Row],[Minutos]]/60</f>
        <v>0.9</v>
      </c>
      <c r="AO1552" s="27">
        <f>SUM(Tabla2[[#This Row],[Horas]],Tabla2[[#This Row],[Minutos a Horas]])</f>
        <v>2.9</v>
      </c>
      <c r="AP1552" s="49">
        <v>3</v>
      </c>
      <c r="AQ1552" s="49">
        <v>24</v>
      </c>
      <c r="AR1552" s="26">
        <f>Tabla2[[#This Row],[Minutos*]]/60</f>
        <v>0.4</v>
      </c>
      <c r="AS1552" s="27">
        <f>SUM(Tabla2[[#This Row],[Horas*]],Tabla2[[#This Row],[Minutos a Horas*]])+(Tabla2[[#This Row],[Tiempo Total a Nivel Proncincial (Horas)]])</f>
        <v>6.3</v>
      </c>
    </row>
    <row r="1553" spans="30:45" hidden="1" x14ac:dyDescent="0.25">
      <c r="AD1553" s="32" t="s">
        <v>2389</v>
      </c>
      <c r="AE1553" s="10" t="s">
        <v>391</v>
      </c>
      <c r="AF1553" s="20" t="s">
        <v>1811</v>
      </c>
      <c r="AG1553" s="10"/>
      <c r="AH1553" s="22" t="str">
        <f t="shared" si="48"/>
        <v xml:space="preserve">Puno_10 San Antonio de Putina </v>
      </c>
      <c r="AI1553" s="10" t="s">
        <v>1929</v>
      </c>
      <c r="AJ1553" s="20" t="s">
        <v>1896</v>
      </c>
      <c r="AK1553" s="22" t="str">
        <f t="shared" si="49"/>
        <v>Puno_10 San Antonio de Putina _01 Putina</v>
      </c>
      <c r="AL1553" s="25">
        <v>2</v>
      </c>
      <c r="AM1553" s="25">
        <v>21</v>
      </c>
      <c r="AN1553" s="26">
        <f>Tabla2[[#This Row],[Minutos]]/60</f>
        <v>0.35</v>
      </c>
      <c r="AO1553" s="27">
        <f>SUM(Tabla2[[#This Row],[Horas]],Tabla2[[#This Row],[Minutos a Horas]])</f>
        <v>2.35</v>
      </c>
      <c r="AP1553" s="49">
        <v>2</v>
      </c>
      <c r="AQ1553" s="49">
        <v>39</v>
      </c>
      <c r="AR1553" s="26">
        <f>Tabla2[[#This Row],[Minutos*]]/60</f>
        <v>0.65</v>
      </c>
      <c r="AS1553" s="27">
        <f>SUM(Tabla2[[#This Row],[Horas*]],Tabla2[[#This Row],[Minutos a Horas*]])+(Tabla2[[#This Row],[Tiempo Total a Nivel Proncincial (Horas)]])</f>
        <v>5</v>
      </c>
    </row>
    <row r="1554" spans="30:45" hidden="1" x14ac:dyDescent="0.25">
      <c r="AD1554" s="32" t="s">
        <v>2389</v>
      </c>
      <c r="AE1554" s="10" t="s">
        <v>391</v>
      </c>
      <c r="AF1554" s="20" t="s">
        <v>1811</v>
      </c>
      <c r="AG1554" s="10"/>
      <c r="AH1554" s="22" t="str">
        <f t="shared" si="48"/>
        <v xml:space="preserve">Puno_10 San Antonio de Putina </v>
      </c>
      <c r="AI1554" s="10" t="s">
        <v>1929</v>
      </c>
      <c r="AJ1554" s="20" t="s">
        <v>1897</v>
      </c>
      <c r="AK1554" s="22" t="str">
        <f t="shared" si="49"/>
        <v>Puno_10 San Antonio de Putina _02 Ananea</v>
      </c>
      <c r="AL1554" s="25">
        <v>2</v>
      </c>
      <c r="AM1554" s="25">
        <v>21</v>
      </c>
      <c r="AN1554" s="26">
        <f>Tabla2[[#This Row],[Minutos]]/60</f>
        <v>0.35</v>
      </c>
      <c r="AO1554" s="27">
        <f>SUM(Tabla2[[#This Row],[Horas]],Tabla2[[#This Row],[Minutos a Horas]])</f>
        <v>2.35</v>
      </c>
      <c r="AP1554" s="49">
        <v>4</v>
      </c>
      <c r="AQ1554" s="49">
        <v>37</v>
      </c>
      <c r="AR1554" s="26">
        <f>Tabla2[[#This Row],[Minutos*]]/60</f>
        <v>0.6166666666666667</v>
      </c>
      <c r="AS1554" s="27">
        <f>SUM(Tabla2[[#This Row],[Horas*]],Tabla2[[#This Row],[Minutos a Horas*]])+(Tabla2[[#This Row],[Tiempo Total a Nivel Proncincial (Horas)]])</f>
        <v>6.9666666666666668</v>
      </c>
    </row>
    <row r="1555" spans="30:45" hidden="1" x14ac:dyDescent="0.25">
      <c r="AD1555" s="32" t="s">
        <v>2389</v>
      </c>
      <c r="AE1555" s="10" t="s">
        <v>391</v>
      </c>
      <c r="AF1555" s="20" t="s">
        <v>1811</v>
      </c>
      <c r="AG1555" s="10"/>
      <c r="AH1555" s="22" t="str">
        <f t="shared" si="48"/>
        <v xml:space="preserve">Puno_10 San Antonio de Putina </v>
      </c>
      <c r="AI1555" s="10" t="s">
        <v>1929</v>
      </c>
      <c r="AJ1555" s="20" t="s">
        <v>1898</v>
      </c>
      <c r="AK1555" s="22" t="str">
        <f t="shared" si="49"/>
        <v>Puno_10 San Antonio de Putina _03 Pedro Vilca Apaza</v>
      </c>
      <c r="AL1555" s="25">
        <v>2</v>
      </c>
      <c r="AM1555" s="25">
        <v>21</v>
      </c>
      <c r="AN1555" s="26">
        <f>Tabla2[[#This Row],[Minutos]]/60</f>
        <v>0.35</v>
      </c>
      <c r="AO1555" s="27">
        <f>SUM(Tabla2[[#This Row],[Horas]],Tabla2[[#This Row],[Minutos a Horas]])</f>
        <v>2.35</v>
      </c>
      <c r="AP1555" s="49">
        <v>1</v>
      </c>
      <c r="AQ1555" s="49">
        <v>4</v>
      </c>
      <c r="AR1555" s="26">
        <f>Tabla2[[#This Row],[Minutos*]]/60</f>
        <v>6.6666666666666666E-2</v>
      </c>
      <c r="AS1555" s="27">
        <f>SUM(Tabla2[[#This Row],[Horas*]],Tabla2[[#This Row],[Minutos a Horas*]])+(Tabla2[[#This Row],[Tiempo Total a Nivel Proncincial (Horas)]])</f>
        <v>3.416666666666667</v>
      </c>
    </row>
    <row r="1556" spans="30:45" hidden="1" x14ac:dyDescent="0.25">
      <c r="AD1556" s="32" t="s">
        <v>2389</v>
      </c>
      <c r="AE1556" s="10" t="s">
        <v>391</v>
      </c>
      <c r="AF1556" s="20" t="s">
        <v>1811</v>
      </c>
      <c r="AG1556" s="10"/>
      <c r="AH1556" s="22" t="str">
        <f t="shared" si="48"/>
        <v xml:space="preserve">Puno_10 San Antonio de Putina </v>
      </c>
      <c r="AI1556" s="10" t="s">
        <v>1929</v>
      </c>
      <c r="AJ1556" s="20" t="s">
        <v>1899</v>
      </c>
      <c r="AK1556" s="22" t="str">
        <f t="shared" si="49"/>
        <v>Puno_10 San Antonio de Putina _04 Quilcapuncu</v>
      </c>
      <c r="AL1556" s="25">
        <v>2</v>
      </c>
      <c r="AM1556" s="25">
        <v>21</v>
      </c>
      <c r="AN1556" s="26">
        <f>Tabla2[[#This Row],[Minutos]]/60</f>
        <v>0.35</v>
      </c>
      <c r="AO1556" s="27">
        <f>SUM(Tabla2[[#This Row],[Horas]],Tabla2[[#This Row],[Minutos a Horas]])</f>
        <v>2.35</v>
      </c>
      <c r="AP1556" s="49">
        <v>2</v>
      </c>
      <c r="AQ1556" s="49">
        <v>54</v>
      </c>
      <c r="AR1556" s="26">
        <f>Tabla2[[#This Row],[Minutos*]]/60</f>
        <v>0.9</v>
      </c>
      <c r="AS1556" s="27">
        <f>SUM(Tabla2[[#This Row],[Horas*]],Tabla2[[#This Row],[Minutos a Horas*]])+(Tabla2[[#This Row],[Tiempo Total a Nivel Proncincial (Horas)]])</f>
        <v>5.25</v>
      </c>
    </row>
    <row r="1557" spans="30:45" hidden="1" x14ac:dyDescent="0.25">
      <c r="AD1557" s="32" t="s">
        <v>2389</v>
      </c>
      <c r="AE1557" s="10" t="s">
        <v>391</v>
      </c>
      <c r="AF1557" s="20" t="s">
        <v>1811</v>
      </c>
      <c r="AG1557" s="10"/>
      <c r="AH1557" s="22" t="str">
        <f t="shared" si="48"/>
        <v xml:space="preserve">Puno_10 San Antonio de Putina </v>
      </c>
      <c r="AI1557" s="10" t="s">
        <v>1929</v>
      </c>
      <c r="AJ1557" s="20" t="s">
        <v>1900</v>
      </c>
      <c r="AK1557" s="22" t="str">
        <f t="shared" si="49"/>
        <v>Puno_10 San Antonio de Putina _05 Sina</v>
      </c>
      <c r="AL1557" s="25">
        <v>2</v>
      </c>
      <c r="AM1557" s="25">
        <v>21</v>
      </c>
      <c r="AN1557" s="26">
        <f>Tabla2[[#This Row],[Minutos]]/60</f>
        <v>0.35</v>
      </c>
      <c r="AO1557" s="27">
        <f>SUM(Tabla2[[#This Row],[Horas]],Tabla2[[#This Row],[Minutos a Horas]])</f>
        <v>2.35</v>
      </c>
      <c r="AP1557" s="49">
        <v>3</v>
      </c>
      <c r="AQ1557" s="49">
        <v>48</v>
      </c>
      <c r="AR1557" s="26">
        <f>Tabla2[[#This Row],[Minutos*]]/60</f>
        <v>0.8</v>
      </c>
      <c r="AS1557" s="27">
        <f>SUM(Tabla2[[#This Row],[Horas*]],Tabla2[[#This Row],[Minutos a Horas*]])+(Tabla2[[#This Row],[Tiempo Total a Nivel Proncincial (Horas)]])</f>
        <v>6.15</v>
      </c>
    </row>
    <row r="1558" spans="30:45" hidden="1" x14ac:dyDescent="0.25">
      <c r="AD1558" s="32" t="s">
        <v>2389</v>
      </c>
      <c r="AE1558" s="10" t="s">
        <v>391</v>
      </c>
      <c r="AF1558" s="20" t="s">
        <v>1812</v>
      </c>
      <c r="AG1558" s="10"/>
      <c r="AH1558" s="22" t="str">
        <f t="shared" si="48"/>
        <v xml:space="preserve">Puno_11 San Román </v>
      </c>
      <c r="AI1558" s="10" t="s">
        <v>1930</v>
      </c>
      <c r="AJ1558" s="20" t="s">
        <v>1901</v>
      </c>
      <c r="AK1558" s="22" t="str">
        <f t="shared" si="49"/>
        <v>Puno_11 San Román _01 Juliaca</v>
      </c>
      <c r="AL1558" s="25">
        <v>0</v>
      </c>
      <c r="AM1558" s="25">
        <v>49</v>
      </c>
      <c r="AN1558" s="26">
        <f>Tabla2[[#This Row],[Minutos]]/60</f>
        <v>0.81666666666666665</v>
      </c>
      <c r="AO1558" s="27">
        <f>SUM(Tabla2[[#This Row],[Horas]],Tabla2[[#This Row],[Minutos a Horas]])</f>
        <v>0.81666666666666665</v>
      </c>
      <c r="AP1558" s="49">
        <v>0</v>
      </c>
      <c r="AQ1558" s="49">
        <v>50</v>
      </c>
      <c r="AR1558" s="26">
        <f>Tabla2[[#This Row],[Minutos*]]/60</f>
        <v>0.83333333333333337</v>
      </c>
      <c r="AS1558" s="27">
        <f>SUM(Tabla2[[#This Row],[Horas*]],Tabla2[[#This Row],[Minutos a Horas*]])+(Tabla2[[#This Row],[Tiempo Total a Nivel Proncincial (Horas)]])</f>
        <v>1.65</v>
      </c>
    </row>
    <row r="1559" spans="30:45" hidden="1" x14ac:dyDescent="0.25">
      <c r="AD1559" s="32" t="s">
        <v>2389</v>
      </c>
      <c r="AE1559" s="10" t="s">
        <v>391</v>
      </c>
      <c r="AF1559" s="20" t="s">
        <v>1812</v>
      </c>
      <c r="AG1559" s="10"/>
      <c r="AH1559" s="22" t="str">
        <f t="shared" si="48"/>
        <v xml:space="preserve">Puno_11 San Román </v>
      </c>
      <c r="AI1559" s="10" t="s">
        <v>1930</v>
      </c>
      <c r="AJ1559" s="20" t="s">
        <v>1902</v>
      </c>
      <c r="AK1559" s="22" t="str">
        <f t="shared" si="49"/>
        <v>Puno_11 San Román _02 Cabana</v>
      </c>
      <c r="AL1559" s="25">
        <v>0</v>
      </c>
      <c r="AM1559" s="25">
        <v>49</v>
      </c>
      <c r="AN1559" s="26">
        <f>Tabla2[[#This Row],[Minutos]]/60</f>
        <v>0.81666666666666665</v>
      </c>
      <c r="AO1559" s="27">
        <f>SUM(Tabla2[[#This Row],[Horas]],Tabla2[[#This Row],[Minutos a Horas]])</f>
        <v>0.81666666666666665</v>
      </c>
      <c r="AP1559" s="49">
        <v>0</v>
      </c>
      <c r="AQ1559" s="49">
        <v>54</v>
      </c>
      <c r="AR1559" s="26">
        <f>Tabla2[[#This Row],[Minutos*]]/60</f>
        <v>0.9</v>
      </c>
      <c r="AS1559" s="27">
        <f>SUM(Tabla2[[#This Row],[Horas*]],Tabla2[[#This Row],[Minutos a Horas*]])+(Tabla2[[#This Row],[Tiempo Total a Nivel Proncincial (Horas)]])</f>
        <v>1.7166666666666668</v>
      </c>
    </row>
    <row r="1560" spans="30:45" hidden="1" x14ac:dyDescent="0.25">
      <c r="AD1560" s="32" t="s">
        <v>2389</v>
      </c>
      <c r="AE1560" s="10" t="s">
        <v>391</v>
      </c>
      <c r="AF1560" s="20" t="s">
        <v>1812</v>
      </c>
      <c r="AG1560" s="10"/>
      <c r="AH1560" s="22" t="str">
        <f t="shared" si="48"/>
        <v xml:space="preserve">Puno_11 San Román </v>
      </c>
      <c r="AI1560" s="10" t="s">
        <v>1930</v>
      </c>
      <c r="AJ1560" s="20" t="s">
        <v>1903</v>
      </c>
      <c r="AK1560" s="22" t="str">
        <f t="shared" si="49"/>
        <v>Puno_11 San Román _03 Cabanillas</v>
      </c>
      <c r="AL1560" s="25">
        <v>0</v>
      </c>
      <c r="AM1560" s="25">
        <v>49</v>
      </c>
      <c r="AN1560" s="26">
        <f>Tabla2[[#This Row],[Minutos]]/60</f>
        <v>0.81666666666666665</v>
      </c>
      <c r="AO1560" s="27">
        <f>SUM(Tabla2[[#This Row],[Horas]],Tabla2[[#This Row],[Minutos a Horas]])</f>
        <v>0.81666666666666665</v>
      </c>
      <c r="AP1560" s="49">
        <v>0</v>
      </c>
      <c r="AQ1560" s="49">
        <v>50</v>
      </c>
      <c r="AR1560" s="26">
        <f>Tabla2[[#This Row],[Minutos*]]/60</f>
        <v>0.83333333333333337</v>
      </c>
      <c r="AS1560" s="27">
        <f>SUM(Tabla2[[#This Row],[Horas*]],Tabla2[[#This Row],[Minutos a Horas*]])+(Tabla2[[#This Row],[Tiempo Total a Nivel Proncincial (Horas)]])</f>
        <v>1.65</v>
      </c>
    </row>
    <row r="1561" spans="30:45" hidden="1" x14ac:dyDescent="0.25">
      <c r="AD1561" s="32" t="s">
        <v>2389</v>
      </c>
      <c r="AE1561" s="10" t="s">
        <v>391</v>
      </c>
      <c r="AF1561" s="20" t="s">
        <v>1812</v>
      </c>
      <c r="AG1561" s="10"/>
      <c r="AH1561" s="22" t="str">
        <f t="shared" si="48"/>
        <v xml:space="preserve">Puno_11 San Román </v>
      </c>
      <c r="AI1561" s="10" t="s">
        <v>1930</v>
      </c>
      <c r="AJ1561" s="20" t="s">
        <v>1904</v>
      </c>
      <c r="AK1561" s="22" t="str">
        <f t="shared" si="49"/>
        <v>Puno_11 San Román _04 Caracoto</v>
      </c>
      <c r="AL1561" s="25">
        <v>0</v>
      </c>
      <c r="AM1561" s="25">
        <v>49</v>
      </c>
      <c r="AN1561" s="26">
        <f>Tabla2[[#This Row],[Minutos]]/60</f>
        <v>0.81666666666666665</v>
      </c>
      <c r="AO1561" s="27">
        <f>SUM(Tabla2[[#This Row],[Horas]],Tabla2[[#This Row],[Minutos a Horas]])</f>
        <v>0.81666666666666665</v>
      </c>
      <c r="AP1561" s="49">
        <v>0</v>
      </c>
      <c r="AQ1561" s="49">
        <v>40</v>
      </c>
      <c r="AR1561" s="26">
        <f>Tabla2[[#This Row],[Minutos*]]/60</f>
        <v>0.66666666666666663</v>
      </c>
      <c r="AS1561" s="27">
        <f>SUM(Tabla2[[#This Row],[Horas*]],Tabla2[[#This Row],[Minutos a Horas*]])+(Tabla2[[#This Row],[Tiempo Total a Nivel Proncincial (Horas)]])</f>
        <v>1.4833333333333334</v>
      </c>
    </row>
    <row r="1562" spans="30:45" hidden="1" x14ac:dyDescent="0.25">
      <c r="AD1562" s="32" t="s">
        <v>2389</v>
      </c>
      <c r="AE1562" s="10" t="s">
        <v>391</v>
      </c>
      <c r="AF1562" s="20" t="s">
        <v>1813</v>
      </c>
      <c r="AG1562" s="10"/>
      <c r="AH1562" s="22" t="str">
        <f t="shared" ref="AH1562:AH1625" si="50">CONCATENATE(AD1562,"_",AF1562)</f>
        <v xml:space="preserve">Puno_12 Sandia </v>
      </c>
      <c r="AI1562" s="10" t="s">
        <v>1931</v>
      </c>
      <c r="AJ1562" s="20" t="s">
        <v>1905</v>
      </c>
      <c r="AK1562" s="22" t="str">
        <f t="shared" ref="AK1562:AK1625" si="51">CONCATENATE(AH1562,"_",AJ1562)</f>
        <v>Puno_12 Sandia _01 Sandia</v>
      </c>
      <c r="AL1562" s="25">
        <v>4</v>
      </c>
      <c r="AM1562" s="25">
        <v>15</v>
      </c>
      <c r="AN1562" s="26">
        <f>Tabla2[[#This Row],[Minutos]]/60</f>
        <v>0.25</v>
      </c>
      <c r="AO1562" s="27">
        <f>SUM(Tabla2[[#This Row],[Horas]],Tabla2[[#This Row],[Minutos a Horas]])</f>
        <v>4.25</v>
      </c>
      <c r="AP1562" s="49">
        <v>4</v>
      </c>
      <c r="AQ1562" s="49">
        <v>22</v>
      </c>
      <c r="AR1562" s="26">
        <f>Tabla2[[#This Row],[Minutos*]]/60</f>
        <v>0.36666666666666664</v>
      </c>
      <c r="AS1562" s="27">
        <f>SUM(Tabla2[[#This Row],[Horas*]],Tabla2[[#This Row],[Minutos a Horas*]])+(Tabla2[[#This Row],[Tiempo Total a Nivel Proncincial (Horas)]])</f>
        <v>8.6166666666666671</v>
      </c>
    </row>
    <row r="1563" spans="30:45" hidden="1" x14ac:dyDescent="0.25">
      <c r="AD1563" s="32" t="s">
        <v>2389</v>
      </c>
      <c r="AE1563" s="10" t="s">
        <v>391</v>
      </c>
      <c r="AF1563" s="20" t="s">
        <v>1813</v>
      </c>
      <c r="AG1563" s="10"/>
      <c r="AH1563" s="22" t="str">
        <f t="shared" si="50"/>
        <v xml:space="preserve">Puno_12 Sandia </v>
      </c>
      <c r="AI1563" s="10" t="s">
        <v>1931</v>
      </c>
      <c r="AJ1563" s="20" t="s">
        <v>1906</v>
      </c>
      <c r="AK1563" s="22" t="str">
        <f t="shared" si="51"/>
        <v>Puno_12 Sandia _02 Cuyocuyo</v>
      </c>
      <c r="AL1563" s="25">
        <v>4</v>
      </c>
      <c r="AM1563" s="25">
        <v>15</v>
      </c>
      <c r="AN1563" s="26">
        <f>Tabla2[[#This Row],[Minutos]]/60</f>
        <v>0.25</v>
      </c>
      <c r="AO1563" s="27">
        <f>SUM(Tabla2[[#This Row],[Horas]],Tabla2[[#This Row],[Minutos a Horas]])</f>
        <v>4.25</v>
      </c>
      <c r="AP1563" s="49">
        <v>3</v>
      </c>
      <c r="AQ1563" s="49">
        <v>55</v>
      </c>
      <c r="AR1563" s="26">
        <f>Tabla2[[#This Row],[Minutos*]]/60</f>
        <v>0.91666666666666663</v>
      </c>
      <c r="AS1563" s="27">
        <f>SUM(Tabla2[[#This Row],[Horas*]],Tabla2[[#This Row],[Minutos a Horas*]])+(Tabla2[[#This Row],[Tiempo Total a Nivel Proncincial (Horas)]])</f>
        <v>8.1666666666666661</v>
      </c>
    </row>
    <row r="1564" spans="30:45" hidden="1" x14ac:dyDescent="0.25">
      <c r="AD1564" s="32" t="s">
        <v>2389</v>
      </c>
      <c r="AE1564" s="10" t="s">
        <v>391</v>
      </c>
      <c r="AF1564" s="20" t="s">
        <v>1813</v>
      </c>
      <c r="AG1564" s="10"/>
      <c r="AH1564" s="22" t="str">
        <f t="shared" si="50"/>
        <v xml:space="preserve">Puno_12 Sandia </v>
      </c>
      <c r="AI1564" s="10" t="s">
        <v>1931</v>
      </c>
      <c r="AJ1564" s="20" t="s">
        <v>1907</v>
      </c>
      <c r="AK1564" s="22" t="str">
        <f t="shared" si="51"/>
        <v>Puno_12 Sandia _03 Limbani</v>
      </c>
      <c r="AL1564" s="25">
        <v>4</v>
      </c>
      <c r="AM1564" s="25">
        <v>15</v>
      </c>
      <c r="AN1564" s="26">
        <f>Tabla2[[#This Row],[Minutos]]/60</f>
        <v>0.25</v>
      </c>
      <c r="AO1564" s="27">
        <f>SUM(Tabla2[[#This Row],[Horas]],Tabla2[[#This Row],[Minutos a Horas]])</f>
        <v>4.25</v>
      </c>
      <c r="AP1564" s="49">
        <v>4</v>
      </c>
      <c r="AQ1564" s="49">
        <v>50</v>
      </c>
      <c r="AR1564" s="26">
        <f>Tabla2[[#This Row],[Minutos*]]/60</f>
        <v>0.83333333333333337</v>
      </c>
      <c r="AS1564" s="27">
        <f>SUM(Tabla2[[#This Row],[Horas*]],Tabla2[[#This Row],[Minutos a Horas*]])+(Tabla2[[#This Row],[Tiempo Total a Nivel Proncincial (Horas)]])</f>
        <v>9.0833333333333321</v>
      </c>
    </row>
    <row r="1565" spans="30:45" hidden="1" x14ac:dyDescent="0.25">
      <c r="AD1565" s="32" t="s">
        <v>2389</v>
      </c>
      <c r="AE1565" s="10" t="s">
        <v>391</v>
      </c>
      <c r="AF1565" s="20" t="s">
        <v>1813</v>
      </c>
      <c r="AG1565" s="10"/>
      <c r="AH1565" s="22" t="str">
        <f t="shared" si="50"/>
        <v xml:space="preserve">Puno_12 Sandia </v>
      </c>
      <c r="AI1565" s="10" t="s">
        <v>1931</v>
      </c>
      <c r="AJ1565" s="20" t="s">
        <v>1908</v>
      </c>
      <c r="AK1565" s="22" t="str">
        <f t="shared" si="51"/>
        <v>Puno_12 Sandia _04 Patambuco</v>
      </c>
      <c r="AL1565" s="25">
        <v>4</v>
      </c>
      <c r="AM1565" s="25">
        <v>15</v>
      </c>
      <c r="AN1565" s="26">
        <f>Tabla2[[#This Row],[Minutos]]/60</f>
        <v>0.25</v>
      </c>
      <c r="AO1565" s="27">
        <f>SUM(Tabla2[[#This Row],[Horas]],Tabla2[[#This Row],[Minutos a Horas]])</f>
        <v>4.25</v>
      </c>
      <c r="AP1565" s="49">
        <v>5</v>
      </c>
      <c r="AQ1565" s="49">
        <v>20</v>
      </c>
      <c r="AR1565" s="26">
        <f>Tabla2[[#This Row],[Minutos*]]/60</f>
        <v>0.33333333333333331</v>
      </c>
      <c r="AS1565" s="27">
        <f>SUM(Tabla2[[#This Row],[Horas*]],Tabla2[[#This Row],[Minutos a Horas*]])+(Tabla2[[#This Row],[Tiempo Total a Nivel Proncincial (Horas)]])</f>
        <v>9.5833333333333321</v>
      </c>
    </row>
    <row r="1566" spans="30:45" hidden="1" x14ac:dyDescent="0.25">
      <c r="AD1566" s="32" t="s">
        <v>2389</v>
      </c>
      <c r="AE1566" s="10" t="s">
        <v>391</v>
      </c>
      <c r="AF1566" s="20" t="s">
        <v>1813</v>
      </c>
      <c r="AG1566" s="10"/>
      <c r="AH1566" s="22" t="str">
        <f t="shared" si="50"/>
        <v xml:space="preserve">Puno_12 Sandia </v>
      </c>
      <c r="AI1566" s="10" t="s">
        <v>1931</v>
      </c>
      <c r="AJ1566" s="20" t="s">
        <v>1909</v>
      </c>
      <c r="AK1566" s="22" t="str">
        <f t="shared" si="51"/>
        <v>Puno_12 Sandia _05 Phara</v>
      </c>
      <c r="AL1566" s="25">
        <v>4</v>
      </c>
      <c r="AM1566" s="25">
        <v>15</v>
      </c>
      <c r="AN1566" s="26">
        <f>Tabla2[[#This Row],[Minutos]]/60</f>
        <v>0.25</v>
      </c>
      <c r="AO1566" s="27">
        <f>SUM(Tabla2[[#This Row],[Horas]],Tabla2[[#This Row],[Minutos a Horas]])</f>
        <v>4.25</v>
      </c>
      <c r="AP1566" s="49">
        <v>5</v>
      </c>
      <c r="AQ1566" s="49">
        <v>40</v>
      </c>
      <c r="AR1566" s="26">
        <f>Tabla2[[#This Row],[Minutos*]]/60</f>
        <v>0.66666666666666663</v>
      </c>
      <c r="AS1566" s="27">
        <f>SUM(Tabla2[[#This Row],[Horas*]],Tabla2[[#This Row],[Minutos a Horas*]])+(Tabla2[[#This Row],[Tiempo Total a Nivel Proncincial (Horas)]])</f>
        <v>9.9166666666666679</v>
      </c>
    </row>
    <row r="1567" spans="30:45" hidden="1" x14ac:dyDescent="0.25">
      <c r="AD1567" s="32" t="s">
        <v>2389</v>
      </c>
      <c r="AE1567" s="10" t="s">
        <v>391</v>
      </c>
      <c r="AF1567" s="20" t="s">
        <v>1813</v>
      </c>
      <c r="AG1567" s="10"/>
      <c r="AH1567" s="22" t="str">
        <f t="shared" si="50"/>
        <v xml:space="preserve">Puno_12 Sandia </v>
      </c>
      <c r="AI1567" s="10" t="s">
        <v>1931</v>
      </c>
      <c r="AJ1567" s="20" t="s">
        <v>1910</v>
      </c>
      <c r="AK1567" s="22" t="str">
        <f t="shared" si="51"/>
        <v>Puno_12 Sandia _06 Quiaca</v>
      </c>
      <c r="AL1567" s="25">
        <v>4</v>
      </c>
      <c r="AM1567" s="25">
        <v>15</v>
      </c>
      <c r="AN1567" s="26">
        <f>Tabla2[[#This Row],[Minutos]]/60</f>
        <v>0.25</v>
      </c>
      <c r="AO1567" s="27">
        <f>SUM(Tabla2[[#This Row],[Horas]],Tabla2[[#This Row],[Minutos a Horas]])</f>
        <v>4.25</v>
      </c>
      <c r="AP1567" s="49">
        <v>4</v>
      </c>
      <c r="AQ1567" s="49">
        <v>45</v>
      </c>
      <c r="AR1567" s="26">
        <f>Tabla2[[#This Row],[Minutos*]]/60</f>
        <v>0.75</v>
      </c>
      <c r="AS1567" s="27">
        <f>SUM(Tabla2[[#This Row],[Horas*]],Tabla2[[#This Row],[Minutos a Horas*]])+(Tabla2[[#This Row],[Tiempo Total a Nivel Proncincial (Horas)]])</f>
        <v>9</v>
      </c>
    </row>
    <row r="1568" spans="30:45" hidden="1" x14ac:dyDescent="0.25">
      <c r="AD1568" s="32" t="s">
        <v>2389</v>
      </c>
      <c r="AE1568" s="10" t="s">
        <v>391</v>
      </c>
      <c r="AF1568" s="20" t="s">
        <v>1813</v>
      </c>
      <c r="AG1568" s="10"/>
      <c r="AH1568" s="22" t="str">
        <f t="shared" si="50"/>
        <v xml:space="preserve">Puno_12 Sandia </v>
      </c>
      <c r="AI1568" s="10" t="s">
        <v>1931</v>
      </c>
      <c r="AJ1568" s="20" t="s">
        <v>1911</v>
      </c>
      <c r="AK1568" s="22" t="str">
        <f t="shared" si="51"/>
        <v>Puno_12 Sandia _07 San Juan del Oro</v>
      </c>
      <c r="AL1568" s="25">
        <v>4</v>
      </c>
      <c r="AM1568" s="25">
        <v>15</v>
      </c>
      <c r="AN1568" s="26">
        <f>Tabla2[[#This Row],[Minutos]]/60</f>
        <v>0.25</v>
      </c>
      <c r="AO1568" s="27">
        <f>SUM(Tabla2[[#This Row],[Horas]],Tabla2[[#This Row],[Minutos a Horas]])</f>
        <v>4.25</v>
      </c>
      <c r="AP1568" s="49">
        <v>5</v>
      </c>
      <c r="AQ1568" s="49">
        <v>29</v>
      </c>
      <c r="AR1568" s="26">
        <f>Tabla2[[#This Row],[Minutos*]]/60</f>
        <v>0.48333333333333334</v>
      </c>
      <c r="AS1568" s="27">
        <f>SUM(Tabla2[[#This Row],[Horas*]],Tabla2[[#This Row],[Minutos a Horas*]])+(Tabla2[[#This Row],[Tiempo Total a Nivel Proncincial (Horas)]])</f>
        <v>9.7333333333333343</v>
      </c>
    </row>
    <row r="1569" spans="30:45" hidden="1" x14ac:dyDescent="0.25">
      <c r="AD1569" s="32" t="s">
        <v>2389</v>
      </c>
      <c r="AE1569" s="10" t="s">
        <v>391</v>
      </c>
      <c r="AF1569" s="20" t="s">
        <v>1813</v>
      </c>
      <c r="AG1569" s="10"/>
      <c r="AH1569" s="22" t="str">
        <f t="shared" si="50"/>
        <v xml:space="preserve">Puno_12 Sandia </v>
      </c>
      <c r="AI1569" s="10" t="s">
        <v>1931</v>
      </c>
      <c r="AJ1569" s="20" t="s">
        <v>1912</v>
      </c>
      <c r="AK1569" s="22" t="str">
        <f t="shared" si="51"/>
        <v>Puno_12 Sandia _08 Yanahuaya</v>
      </c>
      <c r="AL1569" s="25">
        <v>4</v>
      </c>
      <c r="AM1569" s="25">
        <v>15</v>
      </c>
      <c r="AN1569" s="26">
        <f>Tabla2[[#This Row],[Minutos]]/60</f>
        <v>0.25</v>
      </c>
      <c r="AO1569" s="27">
        <f>SUM(Tabla2[[#This Row],[Horas]],Tabla2[[#This Row],[Minutos a Horas]])</f>
        <v>4.25</v>
      </c>
      <c r="AP1569" s="49">
        <v>5</v>
      </c>
      <c r="AQ1569" s="49">
        <v>23</v>
      </c>
      <c r="AR1569" s="26">
        <f>Tabla2[[#This Row],[Minutos*]]/60</f>
        <v>0.38333333333333336</v>
      </c>
      <c r="AS1569" s="27">
        <f>SUM(Tabla2[[#This Row],[Horas*]],Tabla2[[#This Row],[Minutos a Horas*]])+(Tabla2[[#This Row],[Tiempo Total a Nivel Proncincial (Horas)]])</f>
        <v>9.6333333333333329</v>
      </c>
    </row>
    <row r="1570" spans="30:45" hidden="1" x14ac:dyDescent="0.25">
      <c r="AD1570" s="32" t="s">
        <v>2389</v>
      </c>
      <c r="AE1570" s="10" t="s">
        <v>391</v>
      </c>
      <c r="AF1570" s="20" t="s">
        <v>1813</v>
      </c>
      <c r="AG1570" s="10"/>
      <c r="AH1570" s="22" t="str">
        <f t="shared" si="50"/>
        <v xml:space="preserve">Puno_12 Sandia </v>
      </c>
      <c r="AI1570" s="10" t="s">
        <v>1931</v>
      </c>
      <c r="AJ1570" s="20" t="s">
        <v>1913</v>
      </c>
      <c r="AK1570" s="22" t="str">
        <f t="shared" si="51"/>
        <v>Puno_12 Sandia _09 Alto Inambari</v>
      </c>
      <c r="AL1570" s="25">
        <v>4</v>
      </c>
      <c r="AM1570" s="25">
        <v>15</v>
      </c>
      <c r="AN1570" s="26">
        <f>Tabla2[[#This Row],[Minutos]]/60</f>
        <v>0.25</v>
      </c>
      <c r="AO1570" s="27">
        <f>SUM(Tabla2[[#This Row],[Horas]],Tabla2[[#This Row],[Minutos a Horas]])</f>
        <v>4.25</v>
      </c>
      <c r="AP1570" s="49">
        <v>4</v>
      </c>
      <c r="AQ1570" s="49">
        <v>50</v>
      </c>
      <c r="AR1570" s="26">
        <f>Tabla2[[#This Row],[Minutos*]]/60</f>
        <v>0.83333333333333337</v>
      </c>
      <c r="AS1570" s="27">
        <f>SUM(Tabla2[[#This Row],[Horas*]],Tabla2[[#This Row],[Minutos a Horas*]])+(Tabla2[[#This Row],[Tiempo Total a Nivel Proncincial (Horas)]])</f>
        <v>9.0833333333333321</v>
      </c>
    </row>
    <row r="1571" spans="30:45" hidden="1" x14ac:dyDescent="0.25">
      <c r="AD1571" s="32" t="s">
        <v>2389</v>
      </c>
      <c r="AE1571" s="10" t="s">
        <v>391</v>
      </c>
      <c r="AF1571" s="20" t="s">
        <v>1813</v>
      </c>
      <c r="AG1571" s="10"/>
      <c r="AH1571" s="22" t="str">
        <f t="shared" si="50"/>
        <v xml:space="preserve">Puno_12 Sandia </v>
      </c>
      <c r="AI1571" s="10" t="s">
        <v>1931</v>
      </c>
      <c r="AJ1571" s="20" t="s">
        <v>1914</v>
      </c>
      <c r="AK1571" s="22" t="str">
        <f t="shared" si="51"/>
        <v>Puno_12 Sandia _10 San Pedro de Putina Punco</v>
      </c>
      <c r="AL1571" s="25">
        <v>4</v>
      </c>
      <c r="AM1571" s="25">
        <v>15</v>
      </c>
      <c r="AN1571" s="26">
        <f>Tabla2[[#This Row],[Minutos]]/60</f>
        <v>0.25</v>
      </c>
      <c r="AO1571" s="27">
        <f>SUM(Tabla2[[#This Row],[Horas]],Tabla2[[#This Row],[Minutos a Horas]])</f>
        <v>4.25</v>
      </c>
      <c r="AP1571" s="49">
        <v>5</v>
      </c>
      <c r="AQ1571" s="49">
        <v>59</v>
      </c>
      <c r="AR1571" s="26">
        <f>Tabla2[[#This Row],[Minutos*]]/60</f>
        <v>0.98333333333333328</v>
      </c>
      <c r="AS1571" s="27">
        <f>SUM(Tabla2[[#This Row],[Horas*]],Tabla2[[#This Row],[Minutos a Horas*]])+(Tabla2[[#This Row],[Tiempo Total a Nivel Proncincial (Horas)]])</f>
        <v>10.233333333333334</v>
      </c>
    </row>
    <row r="1572" spans="30:45" hidden="1" x14ac:dyDescent="0.25">
      <c r="AD1572" s="32" t="s">
        <v>2389</v>
      </c>
      <c r="AE1572" s="10" t="s">
        <v>391</v>
      </c>
      <c r="AF1572" s="20" t="s">
        <v>1814</v>
      </c>
      <c r="AG1572" s="10"/>
      <c r="AH1572" s="22" t="str">
        <f t="shared" si="50"/>
        <v xml:space="preserve">Puno_13 Yunguyo </v>
      </c>
      <c r="AI1572" s="10" t="s">
        <v>1932</v>
      </c>
      <c r="AJ1572" s="20" t="s">
        <v>1915</v>
      </c>
      <c r="AK1572" s="22" t="str">
        <f t="shared" si="51"/>
        <v>Puno_13 Yunguyo _01 Yunguyo</v>
      </c>
      <c r="AL1572" s="25">
        <v>2</v>
      </c>
      <c r="AM1572" s="25">
        <v>9</v>
      </c>
      <c r="AN1572" s="26">
        <f>Tabla2[[#This Row],[Minutos]]/60</f>
        <v>0.15</v>
      </c>
      <c r="AO1572" s="27">
        <f>SUM(Tabla2[[#This Row],[Horas]],Tabla2[[#This Row],[Minutos a Horas]])</f>
        <v>2.15</v>
      </c>
      <c r="AP1572" s="49">
        <v>2</v>
      </c>
      <c r="AQ1572" s="49">
        <v>10</v>
      </c>
      <c r="AR1572" s="26">
        <f>Tabla2[[#This Row],[Minutos*]]/60</f>
        <v>0.16666666666666666</v>
      </c>
      <c r="AS1572" s="27">
        <f>SUM(Tabla2[[#This Row],[Horas*]],Tabla2[[#This Row],[Minutos a Horas*]])+(Tabla2[[#This Row],[Tiempo Total a Nivel Proncincial (Horas)]])</f>
        <v>4.3166666666666664</v>
      </c>
    </row>
    <row r="1573" spans="30:45" hidden="1" x14ac:dyDescent="0.25">
      <c r="AD1573" s="32" t="s">
        <v>2389</v>
      </c>
      <c r="AE1573" s="10" t="s">
        <v>391</v>
      </c>
      <c r="AF1573" s="20" t="s">
        <v>1814</v>
      </c>
      <c r="AG1573" s="10"/>
      <c r="AH1573" s="22" t="str">
        <f t="shared" si="50"/>
        <v xml:space="preserve">Puno_13 Yunguyo </v>
      </c>
      <c r="AI1573" s="10" t="s">
        <v>1932</v>
      </c>
      <c r="AJ1573" s="20" t="s">
        <v>1916</v>
      </c>
      <c r="AK1573" s="22" t="str">
        <f t="shared" si="51"/>
        <v>Puno_13 Yunguyo _02 Anapia</v>
      </c>
      <c r="AL1573" s="25">
        <v>2</v>
      </c>
      <c r="AM1573" s="25">
        <v>9</v>
      </c>
      <c r="AN1573" s="26">
        <f>Tabla2[[#This Row],[Minutos]]/60</f>
        <v>0.15</v>
      </c>
      <c r="AO1573" s="27">
        <f>SUM(Tabla2[[#This Row],[Horas]],Tabla2[[#This Row],[Minutos a Horas]])</f>
        <v>2.15</v>
      </c>
      <c r="AP1573" s="49">
        <v>4</v>
      </c>
      <c r="AQ1573" s="49">
        <v>35</v>
      </c>
      <c r="AR1573" s="26">
        <f>Tabla2[[#This Row],[Minutos*]]/60</f>
        <v>0.58333333333333337</v>
      </c>
      <c r="AS1573" s="27">
        <f>SUM(Tabla2[[#This Row],[Horas*]],Tabla2[[#This Row],[Minutos a Horas*]])+(Tabla2[[#This Row],[Tiempo Total a Nivel Proncincial (Horas)]])</f>
        <v>6.7333333333333325</v>
      </c>
    </row>
    <row r="1574" spans="30:45" hidden="1" x14ac:dyDescent="0.25">
      <c r="AD1574" s="32" t="s">
        <v>2389</v>
      </c>
      <c r="AE1574" s="10" t="s">
        <v>391</v>
      </c>
      <c r="AF1574" s="20" t="s">
        <v>1814</v>
      </c>
      <c r="AG1574" s="10"/>
      <c r="AH1574" s="22" t="str">
        <f t="shared" si="50"/>
        <v xml:space="preserve">Puno_13 Yunguyo </v>
      </c>
      <c r="AI1574" s="10" t="s">
        <v>1932</v>
      </c>
      <c r="AJ1574" s="20" t="s">
        <v>1917</v>
      </c>
      <c r="AK1574" s="22" t="str">
        <f t="shared" si="51"/>
        <v>Puno_13 Yunguyo _03 Copani</v>
      </c>
      <c r="AL1574" s="25">
        <v>2</v>
      </c>
      <c r="AM1574" s="25">
        <v>9</v>
      </c>
      <c r="AN1574" s="26">
        <f>Tabla2[[#This Row],[Minutos]]/60</f>
        <v>0.15</v>
      </c>
      <c r="AO1574" s="27">
        <f>SUM(Tabla2[[#This Row],[Horas]],Tabla2[[#This Row],[Minutos a Horas]])</f>
        <v>2.15</v>
      </c>
      <c r="AP1574" s="49">
        <v>2</v>
      </c>
      <c r="AQ1574" s="49">
        <v>22</v>
      </c>
      <c r="AR1574" s="26">
        <f>Tabla2[[#This Row],[Minutos*]]/60</f>
        <v>0.36666666666666664</v>
      </c>
      <c r="AS1574" s="27">
        <f>SUM(Tabla2[[#This Row],[Horas*]],Tabla2[[#This Row],[Minutos a Horas*]])+(Tabla2[[#This Row],[Tiempo Total a Nivel Proncincial (Horas)]])</f>
        <v>4.5166666666666666</v>
      </c>
    </row>
    <row r="1575" spans="30:45" hidden="1" x14ac:dyDescent="0.25">
      <c r="AD1575" s="32" t="s">
        <v>2389</v>
      </c>
      <c r="AE1575" s="10" t="s">
        <v>391</v>
      </c>
      <c r="AF1575" s="20" t="s">
        <v>1814</v>
      </c>
      <c r="AG1575" s="10"/>
      <c r="AH1575" s="22" t="str">
        <f t="shared" si="50"/>
        <v xml:space="preserve">Puno_13 Yunguyo </v>
      </c>
      <c r="AI1575" s="10" t="s">
        <v>1932</v>
      </c>
      <c r="AJ1575" s="20" t="s">
        <v>1918</v>
      </c>
      <c r="AK1575" s="22" t="str">
        <f t="shared" si="51"/>
        <v>Puno_13 Yunguyo _04 Cuturapi</v>
      </c>
      <c r="AL1575" s="25">
        <v>2</v>
      </c>
      <c r="AM1575" s="25">
        <v>9</v>
      </c>
      <c r="AN1575" s="26">
        <f>Tabla2[[#This Row],[Minutos]]/60</f>
        <v>0.15</v>
      </c>
      <c r="AO1575" s="27">
        <f>SUM(Tabla2[[#This Row],[Horas]],Tabla2[[#This Row],[Minutos a Horas]])</f>
        <v>2.15</v>
      </c>
      <c r="AP1575" s="49">
        <v>2</v>
      </c>
      <c r="AQ1575" s="49">
        <v>1</v>
      </c>
      <c r="AR1575" s="26">
        <f>Tabla2[[#This Row],[Minutos*]]/60</f>
        <v>1.6666666666666666E-2</v>
      </c>
      <c r="AS1575" s="27">
        <f>SUM(Tabla2[[#This Row],[Horas*]],Tabla2[[#This Row],[Minutos a Horas*]])+(Tabla2[[#This Row],[Tiempo Total a Nivel Proncincial (Horas)]])</f>
        <v>4.1666666666666661</v>
      </c>
    </row>
    <row r="1576" spans="30:45" hidden="1" x14ac:dyDescent="0.25">
      <c r="AD1576" s="32" t="s">
        <v>2389</v>
      </c>
      <c r="AE1576" s="10" t="s">
        <v>391</v>
      </c>
      <c r="AF1576" s="20" t="s">
        <v>1814</v>
      </c>
      <c r="AG1576" s="10"/>
      <c r="AH1576" s="22" t="str">
        <f t="shared" si="50"/>
        <v xml:space="preserve">Puno_13 Yunguyo </v>
      </c>
      <c r="AI1576" s="10" t="s">
        <v>1932</v>
      </c>
      <c r="AJ1576" s="20" t="s">
        <v>1919</v>
      </c>
      <c r="AK1576" s="22" t="str">
        <f t="shared" si="51"/>
        <v>Puno_13 Yunguyo _05 Ollaraya</v>
      </c>
      <c r="AL1576" s="25">
        <v>2</v>
      </c>
      <c r="AM1576" s="25">
        <v>9</v>
      </c>
      <c r="AN1576" s="26">
        <f>Tabla2[[#This Row],[Minutos]]/60</f>
        <v>0.15</v>
      </c>
      <c r="AO1576" s="27">
        <f>SUM(Tabla2[[#This Row],[Horas]],Tabla2[[#This Row],[Minutos a Horas]])</f>
        <v>2.15</v>
      </c>
      <c r="AP1576" s="49">
        <v>2</v>
      </c>
      <c r="AQ1576" s="49">
        <v>33</v>
      </c>
      <c r="AR1576" s="26">
        <f>Tabla2[[#This Row],[Minutos*]]/60</f>
        <v>0.55000000000000004</v>
      </c>
      <c r="AS1576" s="27">
        <f>SUM(Tabla2[[#This Row],[Horas*]],Tabla2[[#This Row],[Minutos a Horas*]])+(Tabla2[[#This Row],[Tiempo Total a Nivel Proncincial (Horas)]])</f>
        <v>4.6999999999999993</v>
      </c>
    </row>
    <row r="1577" spans="30:45" hidden="1" x14ac:dyDescent="0.25">
      <c r="AD1577" s="32" t="s">
        <v>2389</v>
      </c>
      <c r="AE1577" s="10" t="s">
        <v>391</v>
      </c>
      <c r="AF1577" s="20" t="s">
        <v>1814</v>
      </c>
      <c r="AG1577" s="10"/>
      <c r="AH1577" s="22" t="str">
        <f t="shared" si="50"/>
        <v xml:space="preserve">Puno_13 Yunguyo </v>
      </c>
      <c r="AI1577" s="10" t="s">
        <v>1932</v>
      </c>
      <c r="AJ1577" s="20" t="s">
        <v>1920</v>
      </c>
      <c r="AK1577" s="22" t="str">
        <f t="shared" si="51"/>
        <v>Puno_13 Yunguyo _06 Tinicachi</v>
      </c>
      <c r="AL1577" s="25">
        <v>2</v>
      </c>
      <c r="AM1577" s="25">
        <v>9</v>
      </c>
      <c r="AN1577" s="26">
        <f>Tabla2[[#This Row],[Minutos]]/60</f>
        <v>0.15</v>
      </c>
      <c r="AO1577" s="27">
        <f>SUM(Tabla2[[#This Row],[Horas]],Tabla2[[#This Row],[Minutos a Horas]])</f>
        <v>2.15</v>
      </c>
      <c r="AP1577" s="49">
        <v>2</v>
      </c>
      <c r="AQ1577" s="49">
        <v>40</v>
      </c>
      <c r="AR1577" s="26">
        <f>Tabla2[[#This Row],[Minutos*]]/60</f>
        <v>0.66666666666666663</v>
      </c>
      <c r="AS1577" s="27">
        <f>SUM(Tabla2[[#This Row],[Horas*]],Tabla2[[#This Row],[Minutos a Horas*]])+(Tabla2[[#This Row],[Tiempo Total a Nivel Proncincial (Horas)]])</f>
        <v>4.8166666666666664</v>
      </c>
    </row>
    <row r="1578" spans="30:45" hidden="1" x14ac:dyDescent="0.25">
      <c r="AD1578" s="32" t="s">
        <v>2389</v>
      </c>
      <c r="AE1578" s="10" t="s">
        <v>391</v>
      </c>
      <c r="AF1578" s="20" t="s">
        <v>1814</v>
      </c>
      <c r="AG1578" s="10"/>
      <c r="AH1578" s="22" t="str">
        <f t="shared" si="50"/>
        <v xml:space="preserve">Puno_13 Yunguyo </v>
      </c>
      <c r="AI1578" s="10" t="s">
        <v>1932</v>
      </c>
      <c r="AJ1578" s="20" t="s">
        <v>1921</v>
      </c>
      <c r="AK1578" s="22" t="str">
        <f t="shared" si="51"/>
        <v>Puno_13 Yunguyo _07 Unicachi</v>
      </c>
      <c r="AL1578" s="25">
        <v>2</v>
      </c>
      <c r="AM1578" s="25">
        <v>9</v>
      </c>
      <c r="AN1578" s="26">
        <f>Tabla2[[#This Row],[Minutos]]/60</f>
        <v>0.15</v>
      </c>
      <c r="AO1578" s="27">
        <f>SUM(Tabla2[[#This Row],[Horas]],Tabla2[[#This Row],[Minutos a Horas]])</f>
        <v>2.15</v>
      </c>
      <c r="AP1578" s="49">
        <v>2</v>
      </c>
      <c r="AQ1578" s="49">
        <v>36</v>
      </c>
      <c r="AR1578" s="26">
        <f>Tabla2[[#This Row],[Minutos*]]/60</f>
        <v>0.6</v>
      </c>
      <c r="AS1578" s="27">
        <f>SUM(Tabla2[[#This Row],[Horas*]],Tabla2[[#This Row],[Minutos a Horas*]])+(Tabla2[[#This Row],[Tiempo Total a Nivel Proncincial (Horas)]])</f>
        <v>4.75</v>
      </c>
    </row>
    <row r="1579" spans="30:45" hidden="1" x14ac:dyDescent="0.25">
      <c r="AD1579" s="20" t="s">
        <v>2400</v>
      </c>
      <c r="AE1579" s="10" t="s">
        <v>392</v>
      </c>
      <c r="AF1579" s="20" t="s">
        <v>1933</v>
      </c>
      <c r="AG1579" s="10" t="s">
        <v>1933</v>
      </c>
      <c r="AH1579" s="22" t="str">
        <f t="shared" si="50"/>
        <v xml:space="preserve">San_Martín_01 Moyobamba </v>
      </c>
      <c r="AI1579" s="10" t="s">
        <v>2018</v>
      </c>
      <c r="AJ1579" s="20" t="s">
        <v>1943</v>
      </c>
      <c r="AK1579" s="22" t="str">
        <f t="shared" si="51"/>
        <v>San_Martín_01 Moyobamba _01 Moyobamba</v>
      </c>
      <c r="AL1579" s="25">
        <v>2</v>
      </c>
      <c r="AM1579" s="25">
        <v>0</v>
      </c>
      <c r="AN1579" s="26">
        <f>Tabla2[[#This Row],[Minutos]]/60</f>
        <v>0</v>
      </c>
      <c r="AO1579" s="27">
        <f>SUM(Tabla2[[#This Row],[Horas]],Tabla2[[#This Row],[Minutos a Horas]])</f>
        <v>2</v>
      </c>
      <c r="AP1579" s="49">
        <v>2</v>
      </c>
      <c r="AQ1579" s="49">
        <v>4</v>
      </c>
      <c r="AR1579" s="26">
        <f>Tabla2[[#This Row],[Minutos*]]/60</f>
        <v>6.6666666666666666E-2</v>
      </c>
      <c r="AS1579" s="27">
        <f>SUM(Tabla2[[#This Row],[Horas*]],Tabla2[[#This Row],[Minutos a Horas*]])+(Tabla2[[#This Row],[Tiempo Total a Nivel Proncincial (Horas)]])</f>
        <v>4.0666666666666664</v>
      </c>
    </row>
    <row r="1580" spans="30:45" hidden="1" x14ac:dyDescent="0.25">
      <c r="AD1580" s="20" t="s">
        <v>2400</v>
      </c>
      <c r="AE1580" s="10" t="s">
        <v>392</v>
      </c>
      <c r="AF1580" s="20" t="s">
        <v>1933</v>
      </c>
      <c r="AG1580" s="10" t="s">
        <v>1934</v>
      </c>
      <c r="AH1580" s="22" t="str">
        <f t="shared" si="50"/>
        <v xml:space="preserve">San_Martín_01 Moyobamba </v>
      </c>
      <c r="AI1580" s="10" t="s">
        <v>2018</v>
      </c>
      <c r="AJ1580" s="20" t="s">
        <v>1944</v>
      </c>
      <c r="AK1580" s="22" t="str">
        <f t="shared" si="51"/>
        <v>San_Martín_01 Moyobamba _02 Calzada</v>
      </c>
      <c r="AL1580" s="25">
        <v>2</v>
      </c>
      <c r="AM1580" s="25">
        <v>0</v>
      </c>
      <c r="AN1580" s="26">
        <f>Tabla2[[#This Row],[Minutos]]/60</f>
        <v>0</v>
      </c>
      <c r="AO1580" s="27">
        <f>SUM(Tabla2[[#This Row],[Horas]],Tabla2[[#This Row],[Minutos a Horas]])</f>
        <v>2</v>
      </c>
      <c r="AP1580" s="49">
        <v>2</v>
      </c>
      <c r="AQ1580" s="49">
        <v>16</v>
      </c>
      <c r="AR1580" s="26">
        <f>Tabla2[[#This Row],[Minutos*]]/60</f>
        <v>0.26666666666666666</v>
      </c>
      <c r="AS1580" s="27">
        <f>SUM(Tabla2[[#This Row],[Horas*]],Tabla2[[#This Row],[Minutos a Horas*]])+(Tabla2[[#This Row],[Tiempo Total a Nivel Proncincial (Horas)]])</f>
        <v>4.2666666666666666</v>
      </c>
    </row>
    <row r="1581" spans="30:45" hidden="1" x14ac:dyDescent="0.25">
      <c r="AD1581" s="20" t="s">
        <v>2400</v>
      </c>
      <c r="AE1581" s="10" t="s">
        <v>392</v>
      </c>
      <c r="AF1581" s="20" t="s">
        <v>1933</v>
      </c>
      <c r="AG1581" s="10" t="s">
        <v>1935</v>
      </c>
      <c r="AH1581" s="22" t="str">
        <f t="shared" si="50"/>
        <v xml:space="preserve">San_Martín_01 Moyobamba </v>
      </c>
      <c r="AI1581" s="10" t="s">
        <v>2018</v>
      </c>
      <c r="AJ1581" s="20" t="s">
        <v>1945</v>
      </c>
      <c r="AK1581" s="22" t="str">
        <f t="shared" si="51"/>
        <v>San_Martín_01 Moyobamba _03 Habana</v>
      </c>
      <c r="AL1581" s="25">
        <v>2</v>
      </c>
      <c r="AM1581" s="25">
        <v>0</v>
      </c>
      <c r="AN1581" s="26">
        <f>Tabla2[[#This Row],[Minutos]]/60</f>
        <v>0</v>
      </c>
      <c r="AO1581" s="27">
        <f>SUM(Tabla2[[#This Row],[Horas]],Tabla2[[#This Row],[Minutos a Horas]])</f>
        <v>2</v>
      </c>
      <c r="AP1581" s="49">
        <v>2</v>
      </c>
      <c r="AQ1581" s="49">
        <v>21</v>
      </c>
      <c r="AR1581" s="26">
        <f>Tabla2[[#This Row],[Minutos*]]/60</f>
        <v>0.35</v>
      </c>
      <c r="AS1581" s="27">
        <f>SUM(Tabla2[[#This Row],[Horas*]],Tabla2[[#This Row],[Minutos a Horas*]])+(Tabla2[[#This Row],[Tiempo Total a Nivel Proncincial (Horas)]])</f>
        <v>4.3499999999999996</v>
      </c>
    </row>
    <row r="1582" spans="30:45" hidden="1" x14ac:dyDescent="0.25">
      <c r="AD1582" s="20" t="s">
        <v>2400</v>
      </c>
      <c r="AE1582" s="10" t="s">
        <v>392</v>
      </c>
      <c r="AF1582" s="20" t="s">
        <v>1933</v>
      </c>
      <c r="AG1582" s="10" t="s">
        <v>1936</v>
      </c>
      <c r="AH1582" s="22" t="str">
        <f t="shared" si="50"/>
        <v xml:space="preserve">San_Martín_01 Moyobamba </v>
      </c>
      <c r="AI1582" s="10" t="s">
        <v>2018</v>
      </c>
      <c r="AJ1582" s="20" t="s">
        <v>1946</v>
      </c>
      <c r="AK1582" s="22" t="str">
        <f t="shared" si="51"/>
        <v>San_Martín_01 Moyobamba _04 Jepelacio</v>
      </c>
      <c r="AL1582" s="25">
        <v>2</v>
      </c>
      <c r="AM1582" s="25">
        <v>0</v>
      </c>
      <c r="AN1582" s="26">
        <f>Tabla2[[#This Row],[Minutos]]/60</f>
        <v>0</v>
      </c>
      <c r="AO1582" s="27">
        <f>SUM(Tabla2[[#This Row],[Horas]],Tabla2[[#This Row],[Minutos a Horas]])</f>
        <v>2</v>
      </c>
      <c r="AP1582" s="49">
        <v>2</v>
      </c>
      <c r="AQ1582" s="49">
        <v>22</v>
      </c>
      <c r="AR1582" s="26">
        <f>Tabla2[[#This Row],[Minutos*]]/60</f>
        <v>0.36666666666666664</v>
      </c>
      <c r="AS1582" s="27">
        <f>SUM(Tabla2[[#This Row],[Horas*]],Tabla2[[#This Row],[Minutos a Horas*]])+(Tabla2[[#This Row],[Tiempo Total a Nivel Proncincial (Horas)]])</f>
        <v>4.3666666666666671</v>
      </c>
    </row>
    <row r="1583" spans="30:45" hidden="1" x14ac:dyDescent="0.25">
      <c r="AD1583" s="20" t="s">
        <v>2400</v>
      </c>
      <c r="AE1583" s="10" t="s">
        <v>392</v>
      </c>
      <c r="AF1583" s="20" t="s">
        <v>1933</v>
      </c>
      <c r="AG1583" s="10" t="s">
        <v>1937</v>
      </c>
      <c r="AH1583" s="22" t="str">
        <f t="shared" si="50"/>
        <v xml:space="preserve">San_Martín_01 Moyobamba </v>
      </c>
      <c r="AI1583" s="10" t="s">
        <v>2018</v>
      </c>
      <c r="AJ1583" s="20" t="s">
        <v>1947</v>
      </c>
      <c r="AK1583" s="22" t="str">
        <f t="shared" si="51"/>
        <v>San_Martín_01 Moyobamba _05 Soritor</v>
      </c>
      <c r="AL1583" s="25">
        <v>2</v>
      </c>
      <c r="AM1583" s="25">
        <v>0</v>
      </c>
      <c r="AN1583" s="26">
        <f>Tabla2[[#This Row],[Minutos]]/60</f>
        <v>0</v>
      </c>
      <c r="AO1583" s="27">
        <f>SUM(Tabla2[[#This Row],[Horas]],Tabla2[[#This Row],[Minutos a Horas]])</f>
        <v>2</v>
      </c>
      <c r="AP1583" s="49">
        <v>2</v>
      </c>
      <c r="AQ1583" s="49">
        <v>32</v>
      </c>
      <c r="AR1583" s="26">
        <f>Tabla2[[#This Row],[Minutos*]]/60</f>
        <v>0.53333333333333333</v>
      </c>
      <c r="AS1583" s="27">
        <f>SUM(Tabla2[[#This Row],[Horas*]],Tabla2[[#This Row],[Minutos a Horas*]])+(Tabla2[[#This Row],[Tiempo Total a Nivel Proncincial (Horas)]])</f>
        <v>4.5333333333333332</v>
      </c>
    </row>
    <row r="1584" spans="30:45" hidden="1" x14ac:dyDescent="0.25">
      <c r="AD1584" s="20" t="s">
        <v>2400</v>
      </c>
      <c r="AE1584" s="10" t="s">
        <v>392</v>
      </c>
      <c r="AF1584" s="20" t="s">
        <v>1933</v>
      </c>
      <c r="AG1584" s="10" t="s">
        <v>1938</v>
      </c>
      <c r="AH1584" s="22" t="str">
        <f t="shared" si="50"/>
        <v xml:space="preserve">San_Martín_01 Moyobamba </v>
      </c>
      <c r="AI1584" s="10" t="s">
        <v>2018</v>
      </c>
      <c r="AJ1584" s="20" t="s">
        <v>1948</v>
      </c>
      <c r="AK1584" s="22" t="str">
        <f t="shared" si="51"/>
        <v>San_Martín_01 Moyobamba _06 Yantalo</v>
      </c>
      <c r="AL1584" s="25">
        <v>2</v>
      </c>
      <c r="AM1584" s="25">
        <v>0</v>
      </c>
      <c r="AN1584" s="26">
        <f>Tabla2[[#This Row],[Minutos]]/60</f>
        <v>0</v>
      </c>
      <c r="AO1584" s="27">
        <f>SUM(Tabla2[[#This Row],[Horas]],Tabla2[[#This Row],[Minutos a Horas]])</f>
        <v>2</v>
      </c>
      <c r="AP1584" s="49">
        <v>2</v>
      </c>
      <c r="AQ1584" s="49">
        <v>25</v>
      </c>
      <c r="AR1584" s="26">
        <f>Tabla2[[#This Row],[Minutos*]]/60</f>
        <v>0.41666666666666669</v>
      </c>
      <c r="AS1584" s="27">
        <f>SUM(Tabla2[[#This Row],[Horas*]],Tabla2[[#This Row],[Minutos a Horas*]])+(Tabla2[[#This Row],[Tiempo Total a Nivel Proncincial (Horas)]])</f>
        <v>4.4166666666666661</v>
      </c>
    </row>
    <row r="1585" spans="30:45" hidden="1" x14ac:dyDescent="0.25">
      <c r="AD1585" s="20" t="s">
        <v>2400</v>
      </c>
      <c r="AE1585" s="10" t="s">
        <v>392</v>
      </c>
      <c r="AF1585" s="20" t="s">
        <v>1934</v>
      </c>
      <c r="AG1585" s="10" t="s">
        <v>1939</v>
      </c>
      <c r="AH1585" s="22" t="str">
        <f t="shared" si="50"/>
        <v xml:space="preserve">San_Martín_02 Bellavista </v>
      </c>
      <c r="AI1585" s="10" t="s">
        <v>2019</v>
      </c>
      <c r="AJ1585" s="20" t="s">
        <v>1949</v>
      </c>
      <c r="AK1585" s="22" t="str">
        <f t="shared" si="51"/>
        <v>San_Martín_02 Bellavista _01 Bellavista</v>
      </c>
      <c r="AL1585" s="25">
        <v>1</v>
      </c>
      <c r="AM1585" s="25">
        <v>47</v>
      </c>
      <c r="AN1585" s="26">
        <f>Tabla2[[#This Row],[Minutos]]/60</f>
        <v>0.78333333333333333</v>
      </c>
      <c r="AO1585" s="27">
        <f>SUM(Tabla2[[#This Row],[Horas]],Tabla2[[#This Row],[Minutos a Horas]])</f>
        <v>1.7833333333333332</v>
      </c>
      <c r="AP1585" s="49">
        <v>1</v>
      </c>
      <c r="AQ1585" s="49">
        <v>47</v>
      </c>
      <c r="AR1585" s="26">
        <f>Tabla2[[#This Row],[Minutos*]]/60</f>
        <v>0.78333333333333333</v>
      </c>
      <c r="AS1585" s="27">
        <f>SUM(Tabla2[[#This Row],[Horas*]],Tabla2[[#This Row],[Minutos a Horas*]])+(Tabla2[[#This Row],[Tiempo Total a Nivel Proncincial (Horas)]])</f>
        <v>3.5666666666666664</v>
      </c>
    </row>
    <row r="1586" spans="30:45" hidden="1" x14ac:dyDescent="0.25">
      <c r="AD1586" s="20" t="s">
        <v>2400</v>
      </c>
      <c r="AE1586" s="10" t="s">
        <v>392</v>
      </c>
      <c r="AF1586" s="20" t="s">
        <v>1934</v>
      </c>
      <c r="AG1586" s="10" t="s">
        <v>1940</v>
      </c>
      <c r="AH1586" s="22" t="str">
        <f t="shared" si="50"/>
        <v xml:space="preserve">San_Martín_02 Bellavista </v>
      </c>
      <c r="AI1586" s="10" t="s">
        <v>2019</v>
      </c>
      <c r="AJ1586" s="20" t="s">
        <v>1950</v>
      </c>
      <c r="AK1586" s="22" t="str">
        <f t="shared" si="51"/>
        <v>San_Martín_02 Bellavista _02 Alto Biavo</v>
      </c>
      <c r="AL1586" s="25">
        <v>1</v>
      </c>
      <c r="AM1586" s="25">
        <v>47</v>
      </c>
      <c r="AN1586" s="26">
        <f>Tabla2[[#This Row],[Minutos]]/60</f>
        <v>0.78333333333333333</v>
      </c>
      <c r="AO1586" s="27">
        <f>SUM(Tabla2[[#This Row],[Horas]],Tabla2[[#This Row],[Minutos a Horas]])</f>
        <v>1.7833333333333332</v>
      </c>
      <c r="AP1586" s="49">
        <v>2</v>
      </c>
      <c r="AQ1586" s="49">
        <v>26</v>
      </c>
      <c r="AR1586" s="26">
        <f>Tabla2[[#This Row],[Minutos*]]/60</f>
        <v>0.43333333333333335</v>
      </c>
      <c r="AS1586" s="27">
        <f>SUM(Tabla2[[#This Row],[Horas*]],Tabla2[[#This Row],[Minutos a Horas*]])+(Tabla2[[#This Row],[Tiempo Total a Nivel Proncincial (Horas)]])</f>
        <v>4.2166666666666668</v>
      </c>
    </row>
    <row r="1587" spans="30:45" hidden="1" x14ac:dyDescent="0.25">
      <c r="AD1587" s="20" t="s">
        <v>2400</v>
      </c>
      <c r="AE1587" s="10" t="s">
        <v>392</v>
      </c>
      <c r="AF1587" s="20" t="s">
        <v>1934</v>
      </c>
      <c r="AG1587" s="10" t="s">
        <v>1941</v>
      </c>
      <c r="AH1587" s="22" t="str">
        <f t="shared" si="50"/>
        <v xml:space="preserve">San_Martín_02 Bellavista </v>
      </c>
      <c r="AI1587" s="10" t="s">
        <v>2019</v>
      </c>
      <c r="AJ1587" s="20" t="s">
        <v>1951</v>
      </c>
      <c r="AK1587" s="22" t="str">
        <f t="shared" si="51"/>
        <v>San_Martín_02 Bellavista _03 Bajo Biavo</v>
      </c>
      <c r="AL1587" s="25">
        <v>1</v>
      </c>
      <c r="AM1587" s="25">
        <v>47</v>
      </c>
      <c r="AN1587" s="26">
        <f>Tabla2[[#This Row],[Minutos]]/60</f>
        <v>0.78333333333333333</v>
      </c>
      <c r="AO1587" s="27">
        <f>SUM(Tabla2[[#This Row],[Horas]],Tabla2[[#This Row],[Minutos a Horas]])</f>
        <v>1.7833333333333332</v>
      </c>
      <c r="AP1587" s="49">
        <v>1</v>
      </c>
      <c r="AQ1587" s="49">
        <v>34</v>
      </c>
      <c r="AR1587" s="26">
        <f>Tabla2[[#This Row],[Minutos*]]/60</f>
        <v>0.56666666666666665</v>
      </c>
      <c r="AS1587" s="27">
        <f>SUM(Tabla2[[#This Row],[Horas*]],Tabla2[[#This Row],[Minutos a Horas*]])+(Tabla2[[#This Row],[Tiempo Total a Nivel Proncincial (Horas)]])</f>
        <v>3.3499999999999996</v>
      </c>
    </row>
    <row r="1588" spans="30:45" hidden="1" x14ac:dyDescent="0.25">
      <c r="AD1588" s="20" t="s">
        <v>2400</v>
      </c>
      <c r="AE1588" s="10" t="s">
        <v>392</v>
      </c>
      <c r="AF1588" s="20" t="s">
        <v>1934</v>
      </c>
      <c r="AG1588" s="10" t="s">
        <v>1942</v>
      </c>
      <c r="AH1588" s="22" t="str">
        <f t="shared" si="50"/>
        <v xml:space="preserve">San_Martín_02 Bellavista </v>
      </c>
      <c r="AI1588" s="10" t="s">
        <v>2019</v>
      </c>
      <c r="AJ1588" s="20" t="s">
        <v>1952</v>
      </c>
      <c r="AK1588" s="22" t="str">
        <f t="shared" si="51"/>
        <v>San_Martín_02 Bellavista _04 Huallaga</v>
      </c>
      <c r="AL1588" s="25">
        <v>1</v>
      </c>
      <c r="AM1588" s="25">
        <v>47</v>
      </c>
      <c r="AN1588" s="26">
        <f>Tabla2[[#This Row],[Minutos]]/60</f>
        <v>0.78333333333333333</v>
      </c>
      <c r="AO1588" s="27">
        <f>SUM(Tabla2[[#This Row],[Horas]],Tabla2[[#This Row],[Minutos a Horas]])</f>
        <v>1.7833333333333332</v>
      </c>
      <c r="AP1588" s="49">
        <v>2</v>
      </c>
      <c r="AQ1588" s="49">
        <v>24</v>
      </c>
      <c r="AR1588" s="26">
        <f>Tabla2[[#This Row],[Minutos*]]/60</f>
        <v>0.4</v>
      </c>
      <c r="AS1588" s="27">
        <f>SUM(Tabla2[[#This Row],[Horas*]],Tabla2[[#This Row],[Minutos a Horas*]])+(Tabla2[[#This Row],[Tiempo Total a Nivel Proncincial (Horas)]])</f>
        <v>4.1833333333333336</v>
      </c>
    </row>
    <row r="1589" spans="30:45" hidden="1" x14ac:dyDescent="0.25">
      <c r="AD1589" s="20" t="s">
        <v>2400</v>
      </c>
      <c r="AE1589" s="10" t="s">
        <v>392</v>
      </c>
      <c r="AF1589" s="20" t="s">
        <v>1934</v>
      </c>
      <c r="AG1589" s="10"/>
      <c r="AH1589" s="22" t="str">
        <f t="shared" si="50"/>
        <v xml:space="preserve">San_Martín_02 Bellavista </v>
      </c>
      <c r="AI1589" s="10" t="s">
        <v>2019</v>
      </c>
      <c r="AJ1589" s="20" t="s">
        <v>1953</v>
      </c>
      <c r="AK1589" s="22" t="str">
        <f t="shared" si="51"/>
        <v>San_Martín_02 Bellavista _05 San Pablo</v>
      </c>
      <c r="AL1589" s="25">
        <v>1</v>
      </c>
      <c r="AM1589" s="25">
        <v>47</v>
      </c>
      <c r="AN1589" s="26">
        <f>Tabla2[[#This Row],[Minutos]]/60</f>
        <v>0.78333333333333333</v>
      </c>
      <c r="AO1589" s="27">
        <f>SUM(Tabla2[[#This Row],[Horas]],Tabla2[[#This Row],[Minutos a Horas]])</f>
        <v>1.7833333333333332</v>
      </c>
      <c r="AP1589" s="49">
        <v>1</v>
      </c>
      <c r="AQ1589" s="49">
        <v>46</v>
      </c>
      <c r="AR1589" s="26">
        <f>Tabla2[[#This Row],[Minutos*]]/60</f>
        <v>0.76666666666666672</v>
      </c>
      <c r="AS1589" s="27">
        <f>SUM(Tabla2[[#This Row],[Horas*]],Tabla2[[#This Row],[Minutos a Horas*]])+(Tabla2[[#This Row],[Tiempo Total a Nivel Proncincial (Horas)]])</f>
        <v>3.55</v>
      </c>
    </row>
    <row r="1590" spans="30:45" hidden="1" x14ac:dyDescent="0.25">
      <c r="AD1590" s="20" t="s">
        <v>2400</v>
      </c>
      <c r="AE1590" s="10" t="s">
        <v>392</v>
      </c>
      <c r="AF1590" s="20" t="s">
        <v>1934</v>
      </c>
      <c r="AG1590" s="10"/>
      <c r="AH1590" s="22" t="str">
        <f t="shared" si="50"/>
        <v xml:space="preserve">San_Martín_02 Bellavista </v>
      </c>
      <c r="AI1590" s="10" t="s">
        <v>2019</v>
      </c>
      <c r="AJ1590" s="20" t="s">
        <v>1954</v>
      </c>
      <c r="AK1590" s="22" t="str">
        <f t="shared" si="51"/>
        <v>San_Martín_02 Bellavista _06 San Rafael</v>
      </c>
      <c r="AL1590" s="25">
        <v>1</v>
      </c>
      <c r="AM1590" s="25">
        <v>47</v>
      </c>
      <c r="AN1590" s="26">
        <f>Tabla2[[#This Row],[Minutos]]/60</f>
        <v>0.78333333333333333</v>
      </c>
      <c r="AO1590" s="27">
        <f>SUM(Tabla2[[#This Row],[Horas]],Tabla2[[#This Row],[Minutos a Horas]])</f>
        <v>1.7833333333333332</v>
      </c>
      <c r="AP1590" s="49">
        <v>1</v>
      </c>
      <c r="AQ1590" s="49">
        <v>32</v>
      </c>
      <c r="AR1590" s="26">
        <f>Tabla2[[#This Row],[Minutos*]]/60</f>
        <v>0.53333333333333333</v>
      </c>
      <c r="AS1590" s="27">
        <f>SUM(Tabla2[[#This Row],[Horas*]],Tabla2[[#This Row],[Minutos a Horas*]])+(Tabla2[[#This Row],[Tiempo Total a Nivel Proncincial (Horas)]])</f>
        <v>3.3166666666666664</v>
      </c>
    </row>
    <row r="1591" spans="30:45" hidden="1" x14ac:dyDescent="0.25">
      <c r="AD1591" s="20" t="s">
        <v>2400</v>
      </c>
      <c r="AE1591" s="10" t="s">
        <v>392</v>
      </c>
      <c r="AF1591" s="20" t="s">
        <v>1935</v>
      </c>
      <c r="AG1591" s="10"/>
      <c r="AH1591" s="22" t="str">
        <f t="shared" si="50"/>
        <v xml:space="preserve">San_Martín_03 El Dorado </v>
      </c>
      <c r="AI1591" s="10" t="s">
        <v>2020</v>
      </c>
      <c r="AJ1591" s="20" t="s">
        <v>1955</v>
      </c>
      <c r="AK1591" s="22" t="str">
        <f t="shared" si="51"/>
        <v>San_Martín_03 El Dorado _01 San José de Sisa</v>
      </c>
      <c r="AL1591" s="25">
        <v>1</v>
      </c>
      <c r="AM1591" s="25">
        <v>21</v>
      </c>
      <c r="AN1591" s="26">
        <f>Tabla2[[#This Row],[Minutos]]/60</f>
        <v>0.35</v>
      </c>
      <c r="AO1591" s="27">
        <f>SUM(Tabla2[[#This Row],[Horas]],Tabla2[[#This Row],[Minutos a Horas]])</f>
        <v>1.35</v>
      </c>
      <c r="AP1591" s="49">
        <v>1</v>
      </c>
      <c r="AQ1591" s="49">
        <v>19</v>
      </c>
      <c r="AR1591" s="26">
        <f>Tabla2[[#This Row],[Minutos*]]/60</f>
        <v>0.31666666666666665</v>
      </c>
      <c r="AS1591" s="27">
        <f>SUM(Tabla2[[#This Row],[Horas*]],Tabla2[[#This Row],[Minutos a Horas*]])+(Tabla2[[#This Row],[Tiempo Total a Nivel Proncincial (Horas)]])</f>
        <v>2.666666666666667</v>
      </c>
    </row>
    <row r="1592" spans="30:45" hidden="1" x14ac:dyDescent="0.25">
      <c r="AD1592" s="20" t="s">
        <v>2400</v>
      </c>
      <c r="AE1592" s="10" t="s">
        <v>392</v>
      </c>
      <c r="AF1592" s="20" t="s">
        <v>1935</v>
      </c>
      <c r="AG1592" s="10"/>
      <c r="AH1592" s="22" t="str">
        <f t="shared" si="50"/>
        <v xml:space="preserve">San_Martín_03 El Dorado </v>
      </c>
      <c r="AI1592" s="10" t="s">
        <v>2020</v>
      </c>
      <c r="AJ1592" s="20" t="s">
        <v>1956</v>
      </c>
      <c r="AK1592" s="22" t="str">
        <f t="shared" si="51"/>
        <v>San_Martín_03 El Dorado _02 Agua Blanca</v>
      </c>
      <c r="AL1592" s="25">
        <v>1</v>
      </c>
      <c r="AM1592" s="25">
        <v>21</v>
      </c>
      <c r="AN1592" s="26">
        <f>Tabla2[[#This Row],[Minutos]]/60</f>
        <v>0.35</v>
      </c>
      <c r="AO1592" s="27">
        <f>SUM(Tabla2[[#This Row],[Horas]],Tabla2[[#This Row],[Minutos a Horas]])</f>
        <v>1.35</v>
      </c>
      <c r="AP1592" s="49">
        <v>1</v>
      </c>
      <c r="AQ1592" s="49">
        <v>38</v>
      </c>
      <c r="AR1592" s="26">
        <f>Tabla2[[#This Row],[Minutos*]]/60</f>
        <v>0.6333333333333333</v>
      </c>
      <c r="AS1592" s="27">
        <f>SUM(Tabla2[[#This Row],[Horas*]],Tabla2[[#This Row],[Minutos a Horas*]])+(Tabla2[[#This Row],[Tiempo Total a Nivel Proncincial (Horas)]])</f>
        <v>2.9833333333333334</v>
      </c>
    </row>
    <row r="1593" spans="30:45" hidden="1" x14ac:dyDescent="0.25">
      <c r="AD1593" s="20" t="s">
        <v>2400</v>
      </c>
      <c r="AE1593" s="10" t="s">
        <v>392</v>
      </c>
      <c r="AF1593" s="20" t="s">
        <v>1935</v>
      </c>
      <c r="AG1593" s="10"/>
      <c r="AH1593" s="22" t="str">
        <f t="shared" si="50"/>
        <v xml:space="preserve">San_Martín_03 El Dorado </v>
      </c>
      <c r="AI1593" s="10" t="s">
        <v>2020</v>
      </c>
      <c r="AJ1593" s="20" t="s">
        <v>1957</v>
      </c>
      <c r="AK1593" s="22" t="str">
        <f t="shared" si="51"/>
        <v>San_Martín_03 El Dorado _03 San Martín</v>
      </c>
      <c r="AL1593" s="25">
        <v>1</v>
      </c>
      <c r="AM1593" s="25">
        <v>21</v>
      </c>
      <c r="AN1593" s="26">
        <f>Tabla2[[#This Row],[Minutos]]/60</f>
        <v>0.35</v>
      </c>
      <c r="AO1593" s="27">
        <f>SUM(Tabla2[[#This Row],[Horas]],Tabla2[[#This Row],[Minutos a Horas]])</f>
        <v>1.35</v>
      </c>
      <c r="AP1593" s="49">
        <v>1</v>
      </c>
      <c r="AQ1593" s="49">
        <v>19</v>
      </c>
      <c r="AR1593" s="26">
        <f>Tabla2[[#This Row],[Minutos*]]/60</f>
        <v>0.31666666666666665</v>
      </c>
      <c r="AS1593" s="27">
        <f>SUM(Tabla2[[#This Row],[Horas*]],Tabla2[[#This Row],[Minutos a Horas*]])+(Tabla2[[#This Row],[Tiempo Total a Nivel Proncincial (Horas)]])</f>
        <v>2.666666666666667</v>
      </c>
    </row>
    <row r="1594" spans="30:45" hidden="1" x14ac:dyDescent="0.25">
      <c r="AD1594" s="20" t="s">
        <v>2400</v>
      </c>
      <c r="AE1594" s="10" t="s">
        <v>392</v>
      </c>
      <c r="AF1594" s="20" t="s">
        <v>1935</v>
      </c>
      <c r="AG1594" s="10"/>
      <c r="AH1594" s="22" t="str">
        <f t="shared" si="50"/>
        <v xml:space="preserve">San_Martín_03 El Dorado </v>
      </c>
      <c r="AI1594" s="10" t="s">
        <v>2020</v>
      </c>
      <c r="AJ1594" s="20" t="s">
        <v>1865</v>
      </c>
      <c r="AK1594" s="22" t="str">
        <f t="shared" si="51"/>
        <v>San_Martín_03 El Dorado _04 Santa Rosa</v>
      </c>
      <c r="AL1594" s="25">
        <v>1</v>
      </c>
      <c r="AM1594" s="25">
        <v>21</v>
      </c>
      <c r="AN1594" s="26">
        <f>Tabla2[[#This Row],[Minutos]]/60</f>
        <v>0.35</v>
      </c>
      <c r="AO1594" s="27">
        <f>SUM(Tabla2[[#This Row],[Horas]],Tabla2[[#This Row],[Minutos a Horas]])</f>
        <v>1.35</v>
      </c>
      <c r="AP1594" s="49">
        <v>1</v>
      </c>
      <c r="AQ1594" s="49">
        <v>15</v>
      </c>
      <c r="AR1594" s="26">
        <f>Tabla2[[#This Row],[Minutos*]]/60</f>
        <v>0.25</v>
      </c>
      <c r="AS1594" s="27">
        <f>SUM(Tabla2[[#This Row],[Horas*]],Tabla2[[#This Row],[Minutos a Horas*]])+(Tabla2[[#This Row],[Tiempo Total a Nivel Proncincial (Horas)]])</f>
        <v>2.6</v>
      </c>
    </row>
    <row r="1595" spans="30:45" hidden="1" x14ac:dyDescent="0.25">
      <c r="AD1595" s="20" t="s">
        <v>2400</v>
      </c>
      <c r="AE1595" s="10" t="s">
        <v>392</v>
      </c>
      <c r="AF1595" s="20" t="s">
        <v>1935</v>
      </c>
      <c r="AG1595" s="10"/>
      <c r="AH1595" s="22" t="str">
        <f t="shared" si="50"/>
        <v xml:space="preserve">San_Martín_03 El Dorado </v>
      </c>
      <c r="AI1595" s="10" t="s">
        <v>2020</v>
      </c>
      <c r="AJ1595" s="20" t="s">
        <v>1958</v>
      </c>
      <c r="AK1595" s="22" t="str">
        <f t="shared" si="51"/>
        <v>San_Martín_03 El Dorado _05 Shatoja</v>
      </c>
      <c r="AL1595" s="25">
        <v>1</v>
      </c>
      <c r="AM1595" s="25">
        <v>21</v>
      </c>
      <c r="AN1595" s="26">
        <f>Tabla2[[#This Row],[Minutos]]/60</f>
        <v>0.35</v>
      </c>
      <c r="AO1595" s="27">
        <f>SUM(Tabla2[[#This Row],[Horas]],Tabla2[[#This Row],[Minutos a Horas]])</f>
        <v>1.35</v>
      </c>
      <c r="AP1595" s="49">
        <v>1</v>
      </c>
      <c r="AQ1595" s="49">
        <v>36</v>
      </c>
      <c r="AR1595" s="26">
        <f>Tabla2[[#This Row],[Minutos*]]/60</f>
        <v>0.6</v>
      </c>
      <c r="AS1595" s="27">
        <f>SUM(Tabla2[[#This Row],[Horas*]],Tabla2[[#This Row],[Minutos a Horas*]])+(Tabla2[[#This Row],[Tiempo Total a Nivel Proncincial (Horas)]])</f>
        <v>2.95</v>
      </c>
    </row>
    <row r="1596" spans="30:45" hidden="1" x14ac:dyDescent="0.25">
      <c r="AD1596" s="20" t="s">
        <v>2400</v>
      </c>
      <c r="AE1596" s="10" t="s">
        <v>392</v>
      </c>
      <c r="AF1596" s="20" t="s">
        <v>1936</v>
      </c>
      <c r="AG1596" s="10"/>
      <c r="AH1596" s="22" t="str">
        <f t="shared" si="50"/>
        <v xml:space="preserve">San_Martín_04 Huallaga </v>
      </c>
      <c r="AI1596" s="10" t="s">
        <v>2021</v>
      </c>
      <c r="AJ1596" s="20" t="s">
        <v>1959</v>
      </c>
      <c r="AK1596" s="22" t="str">
        <f t="shared" si="51"/>
        <v>San_Martín_04 Huallaga _01 Saposoa</v>
      </c>
      <c r="AL1596" s="25">
        <v>2</v>
      </c>
      <c r="AM1596" s="25">
        <v>23</v>
      </c>
      <c r="AN1596" s="26">
        <f>Tabla2[[#This Row],[Minutos]]/60</f>
        <v>0.38333333333333336</v>
      </c>
      <c r="AO1596" s="27">
        <f>SUM(Tabla2[[#This Row],[Horas]],Tabla2[[#This Row],[Minutos a Horas]])</f>
        <v>2.3833333333333333</v>
      </c>
      <c r="AP1596" s="49">
        <v>2</v>
      </c>
      <c r="AQ1596" s="49">
        <v>25</v>
      </c>
      <c r="AR1596" s="26">
        <f>Tabla2[[#This Row],[Minutos*]]/60</f>
        <v>0.41666666666666669</v>
      </c>
      <c r="AS1596" s="27">
        <f>SUM(Tabla2[[#This Row],[Horas*]],Tabla2[[#This Row],[Minutos a Horas*]])+(Tabla2[[#This Row],[Tiempo Total a Nivel Proncincial (Horas)]])</f>
        <v>4.8</v>
      </c>
    </row>
    <row r="1597" spans="30:45" hidden="1" x14ac:dyDescent="0.25">
      <c r="AD1597" s="20" t="s">
        <v>2400</v>
      </c>
      <c r="AE1597" s="10" t="s">
        <v>392</v>
      </c>
      <c r="AF1597" s="20" t="s">
        <v>1936</v>
      </c>
      <c r="AG1597" s="10"/>
      <c r="AH1597" s="22" t="str">
        <f t="shared" si="50"/>
        <v xml:space="preserve">San_Martín_04 Huallaga </v>
      </c>
      <c r="AI1597" s="10" t="s">
        <v>2021</v>
      </c>
      <c r="AJ1597" s="20" t="s">
        <v>1960</v>
      </c>
      <c r="AK1597" s="22" t="str">
        <f t="shared" si="51"/>
        <v>San_Martín_04 Huallaga _02 Alto Saposoa</v>
      </c>
      <c r="AL1597" s="25">
        <v>2</v>
      </c>
      <c r="AM1597" s="25">
        <v>23</v>
      </c>
      <c r="AN1597" s="26">
        <f>Tabla2[[#This Row],[Minutos]]/60</f>
        <v>0.38333333333333336</v>
      </c>
      <c r="AO1597" s="27">
        <f>SUM(Tabla2[[#This Row],[Horas]],Tabla2[[#This Row],[Minutos a Horas]])</f>
        <v>2.3833333333333333</v>
      </c>
      <c r="AP1597" s="49">
        <v>3</v>
      </c>
      <c r="AQ1597" s="49">
        <v>3</v>
      </c>
      <c r="AR1597" s="26">
        <f>Tabla2[[#This Row],[Minutos*]]/60</f>
        <v>0.05</v>
      </c>
      <c r="AS1597" s="27">
        <f>SUM(Tabla2[[#This Row],[Horas*]],Tabla2[[#This Row],[Minutos a Horas*]])+(Tabla2[[#This Row],[Tiempo Total a Nivel Proncincial (Horas)]])</f>
        <v>5.4333333333333336</v>
      </c>
    </row>
    <row r="1598" spans="30:45" hidden="1" x14ac:dyDescent="0.25">
      <c r="AD1598" s="20" t="s">
        <v>2400</v>
      </c>
      <c r="AE1598" s="10" t="s">
        <v>392</v>
      </c>
      <c r="AF1598" s="20" t="s">
        <v>1936</v>
      </c>
      <c r="AG1598" s="10"/>
      <c r="AH1598" s="22" t="str">
        <f t="shared" si="50"/>
        <v xml:space="preserve">San_Martín_04 Huallaga </v>
      </c>
      <c r="AI1598" s="10" t="s">
        <v>2021</v>
      </c>
      <c r="AJ1598" s="20" t="s">
        <v>1961</v>
      </c>
      <c r="AK1598" s="22" t="str">
        <f t="shared" si="51"/>
        <v>San_Martín_04 Huallaga _03 El Eslabón</v>
      </c>
      <c r="AL1598" s="25">
        <v>2</v>
      </c>
      <c r="AM1598" s="25">
        <v>23</v>
      </c>
      <c r="AN1598" s="26">
        <f>Tabla2[[#This Row],[Minutos]]/60</f>
        <v>0.38333333333333336</v>
      </c>
      <c r="AO1598" s="27">
        <f>SUM(Tabla2[[#This Row],[Horas]],Tabla2[[#This Row],[Minutos a Horas]])</f>
        <v>2.3833333333333333</v>
      </c>
      <c r="AP1598" s="49">
        <v>2</v>
      </c>
      <c r="AQ1598" s="49">
        <v>10</v>
      </c>
      <c r="AR1598" s="26">
        <f>Tabla2[[#This Row],[Minutos*]]/60</f>
        <v>0.16666666666666666</v>
      </c>
      <c r="AS1598" s="27">
        <f>SUM(Tabla2[[#This Row],[Horas*]],Tabla2[[#This Row],[Minutos a Horas*]])+(Tabla2[[#This Row],[Tiempo Total a Nivel Proncincial (Horas)]])</f>
        <v>4.55</v>
      </c>
    </row>
    <row r="1599" spans="30:45" hidden="1" x14ac:dyDescent="0.25">
      <c r="AD1599" s="20" t="s">
        <v>2400</v>
      </c>
      <c r="AE1599" s="10" t="s">
        <v>392</v>
      </c>
      <c r="AF1599" s="20" t="s">
        <v>1936</v>
      </c>
      <c r="AG1599" s="10"/>
      <c r="AH1599" s="22" t="str">
        <f t="shared" si="50"/>
        <v xml:space="preserve">San_Martín_04 Huallaga </v>
      </c>
      <c r="AI1599" s="10" t="s">
        <v>2021</v>
      </c>
      <c r="AJ1599" s="20" t="s">
        <v>1962</v>
      </c>
      <c r="AK1599" s="22" t="str">
        <f t="shared" si="51"/>
        <v>San_Martín_04 Huallaga _04 Piscoyacu</v>
      </c>
      <c r="AL1599" s="25">
        <v>2</v>
      </c>
      <c r="AM1599" s="25">
        <v>23</v>
      </c>
      <c r="AN1599" s="26">
        <f>Tabla2[[#This Row],[Minutos]]/60</f>
        <v>0.38333333333333336</v>
      </c>
      <c r="AO1599" s="27">
        <f>SUM(Tabla2[[#This Row],[Horas]],Tabla2[[#This Row],[Minutos a Horas]])</f>
        <v>2.3833333333333333</v>
      </c>
      <c r="AP1599" s="49">
        <v>2</v>
      </c>
      <c r="AQ1599" s="49">
        <v>19</v>
      </c>
      <c r="AR1599" s="26">
        <f>Tabla2[[#This Row],[Minutos*]]/60</f>
        <v>0.31666666666666665</v>
      </c>
      <c r="AS1599" s="27">
        <f>SUM(Tabla2[[#This Row],[Horas*]],Tabla2[[#This Row],[Minutos a Horas*]])+(Tabla2[[#This Row],[Tiempo Total a Nivel Proncincial (Horas)]])</f>
        <v>4.6999999999999993</v>
      </c>
    </row>
    <row r="1600" spans="30:45" hidden="1" x14ac:dyDescent="0.25">
      <c r="AD1600" s="20" t="s">
        <v>2400</v>
      </c>
      <c r="AE1600" s="10" t="s">
        <v>392</v>
      </c>
      <c r="AF1600" s="20" t="s">
        <v>1936</v>
      </c>
      <c r="AG1600" s="10"/>
      <c r="AH1600" s="22" t="str">
        <f t="shared" si="50"/>
        <v xml:space="preserve">San_Martín_04 Huallaga </v>
      </c>
      <c r="AI1600" s="10" t="s">
        <v>2021</v>
      </c>
      <c r="AJ1600" s="20" t="s">
        <v>1963</v>
      </c>
      <c r="AK1600" s="22" t="str">
        <f t="shared" si="51"/>
        <v>San_Martín_04 Huallaga _05 Sacanche</v>
      </c>
      <c r="AL1600" s="25">
        <v>2</v>
      </c>
      <c r="AM1600" s="25">
        <v>23</v>
      </c>
      <c r="AN1600" s="26">
        <f>Tabla2[[#This Row],[Minutos]]/60</f>
        <v>0.38333333333333336</v>
      </c>
      <c r="AO1600" s="27">
        <f>SUM(Tabla2[[#This Row],[Horas]],Tabla2[[#This Row],[Minutos a Horas]])</f>
        <v>2.3833333333333333</v>
      </c>
      <c r="AP1600" s="49">
        <v>2</v>
      </c>
      <c r="AQ1600" s="49">
        <v>2</v>
      </c>
      <c r="AR1600" s="26">
        <f>Tabla2[[#This Row],[Minutos*]]/60</f>
        <v>3.3333333333333333E-2</v>
      </c>
      <c r="AS1600" s="27">
        <f>SUM(Tabla2[[#This Row],[Horas*]],Tabla2[[#This Row],[Minutos a Horas*]])+(Tabla2[[#This Row],[Tiempo Total a Nivel Proncincial (Horas)]])</f>
        <v>4.4166666666666661</v>
      </c>
    </row>
    <row r="1601" spans="30:45" hidden="1" x14ac:dyDescent="0.25">
      <c r="AD1601" s="20" t="s">
        <v>2400</v>
      </c>
      <c r="AE1601" s="10" t="s">
        <v>392</v>
      </c>
      <c r="AF1601" s="20" t="s">
        <v>1936</v>
      </c>
      <c r="AG1601" s="10"/>
      <c r="AH1601" s="22" t="str">
        <f t="shared" si="50"/>
        <v xml:space="preserve">San_Martín_04 Huallaga </v>
      </c>
      <c r="AI1601" s="10" t="s">
        <v>2021</v>
      </c>
      <c r="AJ1601" s="20" t="s">
        <v>1964</v>
      </c>
      <c r="AK1601" s="22" t="str">
        <f t="shared" si="51"/>
        <v>San_Martín_04 Huallaga _06 Tingo de Saposoa</v>
      </c>
      <c r="AL1601" s="25">
        <v>2</v>
      </c>
      <c r="AM1601" s="25">
        <v>23</v>
      </c>
      <c r="AN1601" s="26">
        <f>Tabla2[[#This Row],[Minutos]]/60</f>
        <v>0.38333333333333336</v>
      </c>
      <c r="AO1601" s="27">
        <f>SUM(Tabla2[[#This Row],[Horas]],Tabla2[[#This Row],[Minutos a Horas]])</f>
        <v>2.3833333333333333</v>
      </c>
      <c r="AP1601" s="49">
        <v>2</v>
      </c>
      <c r="AQ1601" s="49">
        <v>2</v>
      </c>
      <c r="AR1601" s="26">
        <f>Tabla2[[#This Row],[Minutos*]]/60</f>
        <v>3.3333333333333333E-2</v>
      </c>
      <c r="AS1601" s="27">
        <f>SUM(Tabla2[[#This Row],[Horas*]],Tabla2[[#This Row],[Minutos a Horas*]])+(Tabla2[[#This Row],[Tiempo Total a Nivel Proncincial (Horas)]])</f>
        <v>4.4166666666666661</v>
      </c>
    </row>
    <row r="1602" spans="30:45" hidden="1" x14ac:dyDescent="0.25">
      <c r="AD1602" s="20" t="s">
        <v>2400</v>
      </c>
      <c r="AE1602" s="10" t="s">
        <v>392</v>
      </c>
      <c r="AF1602" s="20" t="s">
        <v>1937</v>
      </c>
      <c r="AG1602" s="10"/>
      <c r="AH1602" s="22" t="str">
        <f t="shared" si="50"/>
        <v xml:space="preserve">San_Martín_05 Lamas </v>
      </c>
      <c r="AI1602" s="10" t="s">
        <v>2022</v>
      </c>
      <c r="AJ1602" s="20" t="s">
        <v>1965</v>
      </c>
      <c r="AK1602" s="22" t="str">
        <f t="shared" si="51"/>
        <v>San_Martín_05 Lamas _01 Lamas</v>
      </c>
      <c r="AL1602" s="25">
        <v>0</v>
      </c>
      <c r="AM1602" s="25">
        <v>37</v>
      </c>
      <c r="AN1602" s="26">
        <f>Tabla2[[#This Row],[Minutos]]/60</f>
        <v>0.6166666666666667</v>
      </c>
      <c r="AO1602" s="27">
        <f>SUM(Tabla2[[#This Row],[Horas]],Tabla2[[#This Row],[Minutos a Horas]])</f>
        <v>0.6166666666666667</v>
      </c>
      <c r="AP1602" s="49">
        <v>0</v>
      </c>
      <c r="AQ1602" s="49">
        <v>37</v>
      </c>
      <c r="AR1602" s="26">
        <f>Tabla2[[#This Row],[Minutos*]]/60</f>
        <v>0.6166666666666667</v>
      </c>
      <c r="AS1602" s="27">
        <f>SUM(Tabla2[[#This Row],[Horas*]],Tabla2[[#This Row],[Minutos a Horas*]])+(Tabla2[[#This Row],[Tiempo Total a Nivel Proncincial (Horas)]])</f>
        <v>1.2333333333333334</v>
      </c>
    </row>
    <row r="1603" spans="30:45" hidden="1" x14ac:dyDescent="0.25">
      <c r="AD1603" s="20" t="s">
        <v>2400</v>
      </c>
      <c r="AE1603" s="10" t="s">
        <v>392</v>
      </c>
      <c r="AF1603" s="20" t="s">
        <v>1937</v>
      </c>
      <c r="AG1603" s="10"/>
      <c r="AH1603" s="22" t="str">
        <f t="shared" si="50"/>
        <v xml:space="preserve">San_Martín_05 Lamas </v>
      </c>
      <c r="AI1603" s="10" t="s">
        <v>2022</v>
      </c>
      <c r="AJ1603" s="20" t="s">
        <v>1966</v>
      </c>
      <c r="AK1603" s="22" t="str">
        <f t="shared" si="51"/>
        <v>San_Martín_05 Lamas _02 Alonso de Alvarado</v>
      </c>
      <c r="AL1603" s="25">
        <v>0</v>
      </c>
      <c r="AM1603" s="25">
        <v>37</v>
      </c>
      <c r="AN1603" s="26">
        <f>Tabla2[[#This Row],[Minutos]]/60</f>
        <v>0.6166666666666667</v>
      </c>
      <c r="AO1603" s="27">
        <f>SUM(Tabla2[[#This Row],[Horas]],Tabla2[[#This Row],[Minutos a Horas]])</f>
        <v>0.6166666666666667</v>
      </c>
      <c r="AP1603" s="49">
        <v>1</v>
      </c>
      <c r="AQ1603" s="49">
        <v>37</v>
      </c>
      <c r="AR1603" s="26">
        <f>Tabla2[[#This Row],[Minutos*]]/60</f>
        <v>0.6166666666666667</v>
      </c>
      <c r="AS1603" s="27">
        <f>SUM(Tabla2[[#This Row],[Horas*]],Tabla2[[#This Row],[Minutos a Horas*]])+(Tabla2[[#This Row],[Tiempo Total a Nivel Proncincial (Horas)]])</f>
        <v>2.2333333333333334</v>
      </c>
    </row>
    <row r="1604" spans="30:45" hidden="1" x14ac:dyDescent="0.25">
      <c r="AD1604" s="20" t="s">
        <v>2400</v>
      </c>
      <c r="AE1604" s="10" t="s">
        <v>392</v>
      </c>
      <c r="AF1604" s="20" t="s">
        <v>1937</v>
      </c>
      <c r="AG1604" s="10"/>
      <c r="AH1604" s="22" t="str">
        <f t="shared" si="50"/>
        <v xml:space="preserve">San_Martín_05 Lamas </v>
      </c>
      <c r="AI1604" s="10" t="s">
        <v>2022</v>
      </c>
      <c r="AJ1604" s="20" t="s">
        <v>1967</v>
      </c>
      <c r="AK1604" s="22" t="str">
        <f t="shared" si="51"/>
        <v>San_Martín_05 Lamas _03 Barranquita</v>
      </c>
      <c r="AL1604" s="25">
        <v>0</v>
      </c>
      <c r="AM1604" s="25">
        <v>37</v>
      </c>
      <c r="AN1604" s="26">
        <f>Tabla2[[#This Row],[Minutos]]/60</f>
        <v>0.6166666666666667</v>
      </c>
      <c r="AO1604" s="27">
        <f>SUM(Tabla2[[#This Row],[Horas]],Tabla2[[#This Row],[Minutos a Horas]])</f>
        <v>0.6166666666666667</v>
      </c>
      <c r="AP1604" s="49">
        <v>1</v>
      </c>
      <c r="AQ1604" s="49">
        <v>51</v>
      </c>
      <c r="AR1604" s="26">
        <f>Tabla2[[#This Row],[Minutos*]]/60</f>
        <v>0.85</v>
      </c>
      <c r="AS1604" s="27">
        <f>SUM(Tabla2[[#This Row],[Horas*]],Tabla2[[#This Row],[Minutos a Horas*]])+(Tabla2[[#This Row],[Tiempo Total a Nivel Proncincial (Horas)]])</f>
        <v>2.4666666666666668</v>
      </c>
    </row>
    <row r="1605" spans="30:45" hidden="1" x14ac:dyDescent="0.25">
      <c r="AD1605" s="20" t="s">
        <v>2400</v>
      </c>
      <c r="AE1605" s="10" t="s">
        <v>392</v>
      </c>
      <c r="AF1605" s="20" t="s">
        <v>1937</v>
      </c>
      <c r="AG1605" s="10"/>
      <c r="AH1605" s="22" t="str">
        <f t="shared" si="50"/>
        <v xml:space="preserve">San_Martín_05 Lamas </v>
      </c>
      <c r="AI1605" s="10" t="s">
        <v>2022</v>
      </c>
      <c r="AJ1605" s="20" t="s">
        <v>1968</v>
      </c>
      <c r="AK1605" s="22" t="str">
        <f t="shared" si="51"/>
        <v>San_Martín_05 Lamas _04 Caynarachi</v>
      </c>
      <c r="AL1605" s="25">
        <v>0</v>
      </c>
      <c r="AM1605" s="25">
        <v>37</v>
      </c>
      <c r="AN1605" s="26">
        <f>Tabla2[[#This Row],[Minutos]]/60</f>
        <v>0.6166666666666667</v>
      </c>
      <c r="AO1605" s="27">
        <f>SUM(Tabla2[[#This Row],[Horas]],Tabla2[[#This Row],[Minutos a Horas]])</f>
        <v>0.6166666666666667</v>
      </c>
      <c r="AP1605" s="49">
        <v>1</v>
      </c>
      <c r="AQ1605" s="49">
        <v>2</v>
      </c>
      <c r="AR1605" s="26">
        <f>Tabla2[[#This Row],[Minutos*]]/60</f>
        <v>3.3333333333333333E-2</v>
      </c>
      <c r="AS1605" s="27">
        <f>SUM(Tabla2[[#This Row],[Horas*]],Tabla2[[#This Row],[Minutos a Horas*]])+(Tabla2[[#This Row],[Tiempo Total a Nivel Proncincial (Horas)]])</f>
        <v>1.6500000000000001</v>
      </c>
    </row>
    <row r="1606" spans="30:45" hidden="1" x14ac:dyDescent="0.25">
      <c r="AD1606" s="20" t="s">
        <v>2400</v>
      </c>
      <c r="AE1606" s="10" t="s">
        <v>392</v>
      </c>
      <c r="AF1606" s="20" t="s">
        <v>1937</v>
      </c>
      <c r="AG1606" s="10"/>
      <c r="AH1606" s="22" t="str">
        <f t="shared" si="50"/>
        <v xml:space="preserve">San_Martín_05 Lamas </v>
      </c>
      <c r="AI1606" s="10" t="s">
        <v>2022</v>
      </c>
      <c r="AJ1606" s="20" t="s">
        <v>1969</v>
      </c>
      <c r="AK1606" s="22" t="str">
        <f t="shared" si="51"/>
        <v>San_Martín_05 Lamas _05 Cuñumbuqui</v>
      </c>
      <c r="AL1606" s="25">
        <v>0</v>
      </c>
      <c r="AM1606" s="25">
        <v>37</v>
      </c>
      <c r="AN1606" s="26">
        <f>Tabla2[[#This Row],[Minutos]]/60</f>
        <v>0.6166666666666667</v>
      </c>
      <c r="AO1606" s="27">
        <f>SUM(Tabla2[[#This Row],[Horas]],Tabla2[[#This Row],[Minutos a Horas]])</f>
        <v>0.6166666666666667</v>
      </c>
      <c r="AP1606" s="49">
        <v>0</v>
      </c>
      <c r="AQ1606" s="49">
        <v>31</v>
      </c>
      <c r="AR1606" s="26">
        <f>Tabla2[[#This Row],[Minutos*]]/60</f>
        <v>0.51666666666666672</v>
      </c>
      <c r="AS1606" s="27">
        <f>SUM(Tabla2[[#This Row],[Horas*]],Tabla2[[#This Row],[Minutos a Horas*]])+(Tabla2[[#This Row],[Tiempo Total a Nivel Proncincial (Horas)]])</f>
        <v>1.1333333333333333</v>
      </c>
    </row>
    <row r="1607" spans="30:45" hidden="1" x14ac:dyDescent="0.25">
      <c r="AD1607" s="20" t="s">
        <v>2400</v>
      </c>
      <c r="AE1607" s="10" t="s">
        <v>392</v>
      </c>
      <c r="AF1607" s="20" t="s">
        <v>1937</v>
      </c>
      <c r="AG1607" s="10"/>
      <c r="AH1607" s="22" t="str">
        <f t="shared" si="50"/>
        <v xml:space="preserve">San_Martín_05 Lamas </v>
      </c>
      <c r="AI1607" s="10" t="s">
        <v>2022</v>
      </c>
      <c r="AJ1607" s="20" t="s">
        <v>1970</v>
      </c>
      <c r="AK1607" s="22" t="str">
        <f t="shared" si="51"/>
        <v>San_Martín_05 Lamas _06 Pinto Recodo</v>
      </c>
      <c r="AL1607" s="25">
        <v>0</v>
      </c>
      <c r="AM1607" s="25">
        <v>37</v>
      </c>
      <c r="AN1607" s="26">
        <f>Tabla2[[#This Row],[Minutos]]/60</f>
        <v>0.6166666666666667</v>
      </c>
      <c r="AO1607" s="27">
        <f>SUM(Tabla2[[#This Row],[Horas]],Tabla2[[#This Row],[Minutos a Horas]])</f>
        <v>0.6166666666666667</v>
      </c>
      <c r="AP1607" s="49">
        <v>0</v>
      </c>
      <c r="AQ1607" s="49">
        <v>51</v>
      </c>
      <c r="AR1607" s="26">
        <f>Tabla2[[#This Row],[Minutos*]]/60</f>
        <v>0.85</v>
      </c>
      <c r="AS1607" s="27">
        <f>SUM(Tabla2[[#This Row],[Horas*]],Tabla2[[#This Row],[Minutos a Horas*]])+(Tabla2[[#This Row],[Tiempo Total a Nivel Proncincial (Horas)]])</f>
        <v>1.4666666666666668</v>
      </c>
    </row>
    <row r="1608" spans="30:45" hidden="1" x14ac:dyDescent="0.25">
      <c r="AD1608" s="20" t="s">
        <v>2400</v>
      </c>
      <c r="AE1608" s="10" t="s">
        <v>392</v>
      </c>
      <c r="AF1608" s="20" t="s">
        <v>1937</v>
      </c>
      <c r="AG1608" s="10"/>
      <c r="AH1608" s="22" t="str">
        <f t="shared" si="50"/>
        <v xml:space="preserve">San_Martín_05 Lamas </v>
      </c>
      <c r="AI1608" s="10" t="s">
        <v>2022</v>
      </c>
      <c r="AJ1608" s="20" t="s">
        <v>1971</v>
      </c>
      <c r="AK1608" s="22" t="str">
        <f t="shared" si="51"/>
        <v>San_Martín_05 Lamas _07 Rumisapa</v>
      </c>
      <c r="AL1608" s="25">
        <v>0</v>
      </c>
      <c r="AM1608" s="25">
        <v>37</v>
      </c>
      <c r="AN1608" s="26">
        <f>Tabla2[[#This Row],[Minutos]]/60</f>
        <v>0.6166666666666667</v>
      </c>
      <c r="AO1608" s="27">
        <f>SUM(Tabla2[[#This Row],[Horas]],Tabla2[[#This Row],[Minutos a Horas]])</f>
        <v>0.6166666666666667</v>
      </c>
      <c r="AP1608" s="49">
        <v>0</v>
      </c>
      <c r="AQ1608" s="49">
        <v>30</v>
      </c>
      <c r="AR1608" s="26">
        <f>Tabla2[[#This Row],[Minutos*]]/60</f>
        <v>0.5</v>
      </c>
      <c r="AS1608" s="27">
        <f>SUM(Tabla2[[#This Row],[Horas*]],Tabla2[[#This Row],[Minutos a Horas*]])+(Tabla2[[#This Row],[Tiempo Total a Nivel Proncincial (Horas)]])</f>
        <v>1.1166666666666667</v>
      </c>
    </row>
    <row r="1609" spans="30:45" hidden="1" x14ac:dyDescent="0.25">
      <c r="AD1609" s="20" t="s">
        <v>2400</v>
      </c>
      <c r="AE1609" s="10" t="s">
        <v>392</v>
      </c>
      <c r="AF1609" s="20" t="s">
        <v>1937</v>
      </c>
      <c r="AG1609" s="10"/>
      <c r="AH1609" s="22" t="str">
        <f t="shared" si="50"/>
        <v xml:space="preserve">San_Martín_05 Lamas </v>
      </c>
      <c r="AI1609" s="10" t="s">
        <v>2022</v>
      </c>
      <c r="AJ1609" s="20" t="s">
        <v>1972</v>
      </c>
      <c r="AK1609" s="22" t="str">
        <f t="shared" si="51"/>
        <v>San_Martín_05 Lamas _08 San Roque de Cumbaza</v>
      </c>
      <c r="AL1609" s="25">
        <v>0</v>
      </c>
      <c r="AM1609" s="25">
        <v>37</v>
      </c>
      <c r="AN1609" s="26">
        <f>Tabla2[[#This Row],[Minutos]]/60</f>
        <v>0.6166666666666667</v>
      </c>
      <c r="AO1609" s="27">
        <f>SUM(Tabla2[[#This Row],[Horas]],Tabla2[[#This Row],[Minutos a Horas]])</f>
        <v>0.6166666666666667</v>
      </c>
      <c r="AP1609" s="49">
        <v>0</v>
      </c>
      <c r="AQ1609" s="49">
        <v>42</v>
      </c>
      <c r="AR1609" s="26">
        <f>Tabla2[[#This Row],[Minutos*]]/60</f>
        <v>0.7</v>
      </c>
      <c r="AS1609" s="27">
        <f>SUM(Tabla2[[#This Row],[Horas*]],Tabla2[[#This Row],[Minutos a Horas*]])+(Tabla2[[#This Row],[Tiempo Total a Nivel Proncincial (Horas)]])</f>
        <v>1.3166666666666667</v>
      </c>
    </row>
    <row r="1610" spans="30:45" hidden="1" x14ac:dyDescent="0.25">
      <c r="AD1610" s="20" t="s">
        <v>2400</v>
      </c>
      <c r="AE1610" s="10" t="s">
        <v>392</v>
      </c>
      <c r="AF1610" s="20" t="s">
        <v>1937</v>
      </c>
      <c r="AG1610" s="10"/>
      <c r="AH1610" s="22" t="str">
        <f t="shared" si="50"/>
        <v xml:space="preserve">San_Martín_05 Lamas </v>
      </c>
      <c r="AI1610" s="10" t="s">
        <v>2022</v>
      </c>
      <c r="AJ1610" s="20" t="s">
        <v>1973</v>
      </c>
      <c r="AK1610" s="22" t="str">
        <f t="shared" si="51"/>
        <v>San_Martín_05 Lamas _09 Shanao</v>
      </c>
      <c r="AL1610" s="25">
        <v>0</v>
      </c>
      <c r="AM1610" s="25">
        <v>37</v>
      </c>
      <c r="AN1610" s="26">
        <f>Tabla2[[#This Row],[Minutos]]/60</f>
        <v>0.6166666666666667</v>
      </c>
      <c r="AO1610" s="27">
        <f>SUM(Tabla2[[#This Row],[Horas]],Tabla2[[#This Row],[Minutos a Horas]])</f>
        <v>0.6166666666666667</v>
      </c>
      <c r="AP1610" s="49">
        <v>0</v>
      </c>
      <c r="AQ1610" s="49">
        <v>43</v>
      </c>
      <c r="AR1610" s="26">
        <f>Tabla2[[#This Row],[Minutos*]]/60</f>
        <v>0.71666666666666667</v>
      </c>
      <c r="AS1610" s="27">
        <f>SUM(Tabla2[[#This Row],[Horas*]],Tabla2[[#This Row],[Minutos a Horas*]])+(Tabla2[[#This Row],[Tiempo Total a Nivel Proncincial (Horas)]])</f>
        <v>1.3333333333333335</v>
      </c>
    </row>
    <row r="1611" spans="30:45" hidden="1" x14ac:dyDescent="0.25">
      <c r="AD1611" s="20" t="s">
        <v>2400</v>
      </c>
      <c r="AE1611" s="10" t="s">
        <v>392</v>
      </c>
      <c r="AF1611" s="20" t="s">
        <v>1937</v>
      </c>
      <c r="AG1611" s="10"/>
      <c r="AH1611" s="22" t="str">
        <f t="shared" si="50"/>
        <v xml:space="preserve">San_Martín_05 Lamas </v>
      </c>
      <c r="AI1611" s="10" t="s">
        <v>2022</v>
      </c>
      <c r="AJ1611" s="20" t="s">
        <v>1974</v>
      </c>
      <c r="AK1611" s="22" t="str">
        <f t="shared" si="51"/>
        <v>San_Martín_05 Lamas _10 Tabalosos</v>
      </c>
      <c r="AL1611" s="25">
        <v>0</v>
      </c>
      <c r="AM1611" s="25">
        <v>37</v>
      </c>
      <c r="AN1611" s="26">
        <f>Tabla2[[#This Row],[Minutos]]/60</f>
        <v>0.6166666666666667</v>
      </c>
      <c r="AO1611" s="27">
        <f>SUM(Tabla2[[#This Row],[Horas]],Tabla2[[#This Row],[Minutos a Horas]])</f>
        <v>0.6166666666666667</v>
      </c>
      <c r="AP1611" s="49">
        <v>0</v>
      </c>
      <c r="AQ1611" s="49">
        <v>49</v>
      </c>
      <c r="AR1611" s="26">
        <f>Tabla2[[#This Row],[Minutos*]]/60</f>
        <v>0.81666666666666665</v>
      </c>
      <c r="AS1611" s="27">
        <f>SUM(Tabla2[[#This Row],[Horas*]],Tabla2[[#This Row],[Minutos a Horas*]])+(Tabla2[[#This Row],[Tiempo Total a Nivel Proncincial (Horas)]])</f>
        <v>1.4333333333333333</v>
      </c>
    </row>
    <row r="1612" spans="30:45" hidden="1" x14ac:dyDescent="0.25">
      <c r="AD1612" s="20" t="s">
        <v>2400</v>
      </c>
      <c r="AE1612" s="10" t="s">
        <v>392</v>
      </c>
      <c r="AF1612" s="20" t="s">
        <v>1937</v>
      </c>
      <c r="AG1612" s="10"/>
      <c r="AH1612" s="22" t="str">
        <f t="shared" si="50"/>
        <v xml:space="preserve">San_Martín_05 Lamas </v>
      </c>
      <c r="AI1612" s="10" t="s">
        <v>2022</v>
      </c>
      <c r="AJ1612" s="20" t="s">
        <v>1975</v>
      </c>
      <c r="AK1612" s="22" t="str">
        <f t="shared" si="51"/>
        <v>San_Martín_05 Lamas _11 Zapatero</v>
      </c>
      <c r="AL1612" s="25">
        <v>0</v>
      </c>
      <c r="AM1612" s="25">
        <v>37</v>
      </c>
      <c r="AN1612" s="26">
        <f>Tabla2[[#This Row],[Minutos]]/60</f>
        <v>0.6166666666666667</v>
      </c>
      <c r="AO1612" s="27">
        <f>SUM(Tabla2[[#This Row],[Horas]],Tabla2[[#This Row],[Minutos a Horas]])</f>
        <v>0.6166666666666667</v>
      </c>
      <c r="AP1612" s="49">
        <v>0</v>
      </c>
      <c r="AQ1612" s="49">
        <v>36</v>
      </c>
      <c r="AR1612" s="26">
        <f>Tabla2[[#This Row],[Minutos*]]/60</f>
        <v>0.6</v>
      </c>
      <c r="AS1612" s="27">
        <f>SUM(Tabla2[[#This Row],[Horas*]],Tabla2[[#This Row],[Minutos a Horas*]])+(Tabla2[[#This Row],[Tiempo Total a Nivel Proncincial (Horas)]])</f>
        <v>1.2166666666666668</v>
      </c>
    </row>
    <row r="1613" spans="30:45" hidden="1" x14ac:dyDescent="0.25">
      <c r="AD1613" s="20" t="s">
        <v>2400</v>
      </c>
      <c r="AE1613" s="10" t="s">
        <v>392</v>
      </c>
      <c r="AF1613" s="20" t="s">
        <v>1938</v>
      </c>
      <c r="AG1613" s="10"/>
      <c r="AH1613" s="22" t="str">
        <f t="shared" si="50"/>
        <v xml:space="preserve">San_Martín_06 Mariscal Cáceres </v>
      </c>
      <c r="AI1613" s="10" t="s">
        <v>2023</v>
      </c>
      <c r="AJ1613" s="20" t="s">
        <v>1976</v>
      </c>
      <c r="AK1613" s="22" t="str">
        <f t="shared" si="51"/>
        <v>San_Martín_06 Mariscal Cáceres _01 Juanjuí</v>
      </c>
      <c r="AL1613" s="25">
        <v>2</v>
      </c>
      <c r="AM1613" s="25">
        <v>22</v>
      </c>
      <c r="AN1613" s="26">
        <f>Tabla2[[#This Row],[Minutos]]/60</f>
        <v>0.36666666666666664</v>
      </c>
      <c r="AO1613" s="27">
        <f>SUM(Tabla2[[#This Row],[Horas]],Tabla2[[#This Row],[Minutos a Horas]])</f>
        <v>2.3666666666666667</v>
      </c>
      <c r="AP1613" s="49">
        <v>2</v>
      </c>
      <c r="AQ1613" s="49">
        <v>25</v>
      </c>
      <c r="AR1613" s="26">
        <f>Tabla2[[#This Row],[Minutos*]]/60</f>
        <v>0.41666666666666669</v>
      </c>
      <c r="AS1613" s="27">
        <f>SUM(Tabla2[[#This Row],[Horas*]],Tabla2[[#This Row],[Minutos a Horas*]])+(Tabla2[[#This Row],[Tiempo Total a Nivel Proncincial (Horas)]])</f>
        <v>4.7833333333333332</v>
      </c>
    </row>
    <row r="1614" spans="30:45" hidden="1" x14ac:dyDescent="0.25">
      <c r="AD1614" s="20" t="s">
        <v>2400</v>
      </c>
      <c r="AE1614" s="10" t="s">
        <v>392</v>
      </c>
      <c r="AF1614" s="20" t="s">
        <v>1938</v>
      </c>
      <c r="AG1614" s="10"/>
      <c r="AH1614" s="22" t="str">
        <f t="shared" si="50"/>
        <v xml:space="preserve">San_Martín_06 Mariscal Cáceres </v>
      </c>
      <c r="AI1614" s="10" t="s">
        <v>2023</v>
      </c>
      <c r="AJ1614" s="20" t="s">
        <v>1977</v>
      </c>
      <c r="AK1614" s="22" t="str">
        <f t="shared" si="51"/>
        <v>San_Martín_06 Mariscal Cáceres _02 Campanilla</v>
      </c>
      <c r="AL1614" s="25">
        <v>2</v>
      </c>
      <c r="AM1614" s="25">
        <v>22</v>
      </c>
      <c r="AN1614" s="26">
        <f>Tabla2[[#This Row],[Minutos]]/60</f>
        <v>0.36666666666666664</v>
      </c>
      <c r="AO1614" s="27">
        <f>SUM(Tabla2[[#This Row],[Horas]],Tabla2[[#This Row],[Minutos a Horas]])</f>
        <v>2.3666666666666667</v>
      </c>
      <c r="AP1614" s="49">
        <v>3</v>
      </c>
      <c r="AQ1614" s="49">
        <v>12</v>
      </c>
      <c r="AR1614" s="26">
        <f>Tabla2[[#This Row],[Minutos*]]/60</f>
        <v>0.2</v>
      </c>
      <c r="AS1614" s="27">
        <f>SUM(Tabla2[[#This Row],[Horas*]],Tabla2[[#This Row],[Minutos a Horas*]])+(Tabla2[[#This Row],[Tiempo Total a Nivel Proncincial (Horas)]])</f>
        <v>5.5666666666666664</v>
      </c>
    </row>
    <row r="1615" spans="30:45" hidden="1" x14ac:dyDescent="0.25">
      <c r="AD1615" s="20" t="s">
        <v>2400</v>
      </c>
      <c r="AE1615" s="10" t="s">
        <v>392</v>
      </c>
      <c r="AF1615" s="20" t="s">
        <v>1938</v>
      </c>
      <c r="AG1615" s="10"/>
      <c r="AH1615" s="22" t="str">
        <f t="shared" si="50"/>
        <v xml:space="preserve">San_Martín_06 Mariscal Cáceres </v>
      </c>
      <c r="AI1615" s="10" t="s">
        <v>2023</v>
      </c>
      <c r="AJ1615" s="20" t="s">
        <v>1978</v>
      </c>
      <c r="AK1615" s="22" t="str">
        <f t="shared" si="51"/>
        <v>San_Martín_06 Mariscal Cáceres _03 Huicungo</v>
      </c>
      <c r="AL1615" s="25">
        <v>2</v>
      </c>
      <c r="AM1615" s="25">
        <v>22</v>
      </c>
      <c r="AN1615" s="26">
        <f>Tabla2[[#This Row],[Minutos]]/60</f>
        <v>0.36666666666666664</v>
      </c>
      <c r="AO1615" s="27">
        <f>SUM(Tabla2[[#This Row],[Horas]],Tabla2[[#This Row],[Minutos a Horas]])</f>
        <v>2.3666666666666667</v>
      </c>
      <c r="AP1615" s="49">
        <v>2</v>
      </c>
      <c r="AQ1615" s="49">
        <v>51</v>
      </c>
      <c r="AR1615" s="26">
        <f>Tabla2[[#This Row],[Minutos*]]/60</f>
        <v>0.85</v>
      </c>
      <c r="AS1615" s="27">
        <f>SUM(Tabla2[[#This Row],[Horas*]],Tabla2[[#This Row],[Minutos a Horas*]])+(Tabla2[[#This Row],[Tiempo Total a Nivel Proncincial (Horas)]])</f>
        <v>5.2166666666666668</v>
      </c>
    </row>
    <row r="1616" spans="30:45" hidden="1" x14ac:dyDescent="0.25">
      <c r="AD1616" s="20" t="s">
        <v>2400</v>
      </c>
      <c r="AE1616" s="10" t="s">
        <v>392</v>
      </c>
      <c r="AF1616" s="20" t="s">
        <v>1938</v>
      </c>
      <c r="AG1616" s="10"/>
      <c r="AH1616" s="22" t="str">
        <f t="shared" si="50"/>
        <v xml:space="preserve">San_Martín_06 Mariscal Cáceres </v>
      </c>
      <c r="AI1616" s="10" t="s">
        <v>2023</v>
      </c>
      <c r="AJ1616" s="20" t="s">
        <v>1979</v>
      </c>
      <c r="AK1616" s="22" t="str">
        <f t="shared" si="51"/>
        <v>San_Martín_06 Mariscal Cáceres _04 Pachiza</v>
      </c>
      <c r="AL1616" s="25">
        <v>2</v>
      </c>
      <c r="AM1616" s="25">
        <v>22</v>
      </c>
      <c r="AN1616" s="26">
        <f>Tabla2[[#This Row],[Minutos]]/60</f>
        <v>0.36666666666666664</v>
      </c>
      <c r="AO1616" s="27">
        <f>SUM(Tabla2[[#This Row],[Horas]],Tabla2[[#This Row],[Minutos a Horas]])</f>
        <v>2.3666666666666667</v>
      </c>
      <c r="AP1616" s="49">
        <v>2</v>
      </c>
      <c r="AQ1616" s="49">
        <v>45</v>
      </c>
      <c r="AR1616" s="26">
        <f>Tabla2[[#This Row],[Minutos*]]/60</f>
        <v>0.75</v>
      </c>
      <c r="AS1616" s="27">
        <f>SUM(Tabla2[[#This Row],[Horas*]],Tabla2[[#This Row],[Minutos a Horas*]])+(Tabla2[[#This Row],[Tiempo Total a Nivel Proncincial (Horas)]])</f>
        <v>5.1166666666666671</v>
      </c>
    </row>
    <row r="1617" spans="30:45" hidden="1" x14ac:dyDescent="0.25">
      <c r="AD1617" s="20" t="s">
        <v>2400</v>
      </c>
      <c r="AE1617" s="10" t="s">
        <v>392</v>
      </c>
      <c r="AF1617" s="20" t="s">
        <v>1938</v>
      </c>
      <c r="AG1617" s="10"/>
      <c r="AH1617" s="22" t="str">
        <f t="shared" si="50"/>
        <v xml:space="preserve">San_Martín_06 Mariscal Cáceres </v>
      </c>
      <c r="AI1617" s="10" t="s">
        <v>2023</v>
      </c>
      <c r="AJ1617" s="20" t="s">
        <v>1980</v>
      </c>
      <c r="AK1617" s="22" t="str">
        <f t="shared" si="51"/>
        <v>San_Martín_06 Mariscal Cáceres _05 Pajarillo</v>
      </c>
      <c r="AL1617" s="25">
        <v>2</v>
      </c>
      <c r="AM1617" s="25">
        <v>22</v>
      </c>
      <c r="AN1617" s="26">
        <f>Tabla2[[#This Row],[Minutos]]/60</f>
        <v>0.36666666666666664</v>
      </c>
      <c r="AO1617" s="27">
        <f>SUM(Tabla2[[#This Row],[Horas]],Tabla2[[#This Row],[Minutos a Horas]])</f>
        <v>2.3666666666666667</v>
      </c>
      <c r="AP1617" s="49">
        <v>2</v>
      </c>
      <c r="AQ1617" s="49">
        <v>40</v>
      </c>
      <c r="AR1617" s="26">
        <f>Tabla2[[#This Row],[Minutos*]]/60</f>
        <v>0.66666666666666663</v>
      </c>
      <c r="AS1617" s="27">
        <f>SUM(Tabla2[[#This Row],[Horas*]],Tabla2[[#This Row],[Minutos a Horas*]])+(Tabla2[[#This Row],[Tiempo Total a Nivel Proncincial (Horas)]])</f>
        <v>5.0333333333333332</v>
      </c>
    </row>
    <row r="1618" spans="30:45" hidden="1" x14ac:dyDescent="0.25">
      <c r="AD1618" s="20" t="s">
        <v>2400</v>
      </c>
      <c r="AE1618" s="10" t="s">
        <v>392</v>
      </c>
      <c r="AF1618" s="20" t="s">
        <v>1939</v>
      </c>
      <c r="AG1618" s="10"/>
      <c r="AH1618" s="22" t="str">
        <f t="shared" si="50"/>
        <v xml:space="preserve">San_Martín_07 Picota </v>
      </c>
      <c r="AI1618" s="10" t="s">
        <v>2024</v>
      </c>
      <c r="AJ1618" s="20" t="s">
        <v>1981</v>
      </c>
      <c r="AK1618" s="22" t="str">
        <f t="shared" si="51"/>
        <v>San_Martín_07 Picota _01 Picota</v>
      </c>
      <c r="AL1618" s="25">
        <v>1</v>
      </c>
      <c r="AM1618" s="25">
        <v>5</v>
      </c>
      <c r="AN1618" s="26">
        <f>Tabla2[[#This Row],[Minutos]]/60</f>
        <v>8.3333333333333329E-2</v>
      </c>
      <c r="AO1618" s="27">
        <f>SUM(Tabla2[[#This Row],[Horas]],Tabla2[[#This Row],[Minutos a Horas]])</f>
        <v>1.0833333333333333</v>
      </c>
      <c r="AP1618" s="49">
        <v>1</v>
      </c>
      <c r="AQ1618" s="49">
        <v>5</v>
      </c>
      <c r="AR1618" s="26">
        <f>Tabla2[[#This Row],[Minutos*]]/60</f>
        <v>8.3333333333333329E-2</v>
      </c>
      <c r="AS1618" s="27">
        <f>SUM(Tabla2[[#This Row],[Horas*]],Tabla2[[#This Row],[Minutos a Horas*]])+(Tabla2[[#This Row],[Tiempo Total a Nivel Proncincial (Horas)]])</f>
        <v>2.1666666666666665</v>
      </c>
    </row>
    <row r="1619" spans="30:45" hidden="1" x14ac:dyDescent="0.25">
      <c r="AD1619" s="20" t="s">
        <v>2400</v>
      </c>
      <c r="AE1619" s="10" t="s">
        <v>392</v>
      </c>
      <c r="AF1619" s="20" t="s">
        <v>1939</v>
      </c>
      <c r="AG1619" s="10"/>
      <c r="AH1619" s="22" t="str">
        <f t="shared" si="50"/>
        <v xml:space="preserve">San_Martín_07 Picota </v>
      </c>
      <c r="AI1619" s="10" t="s">
        <v>2024</v>
      </c>
      <c r="AJ1619" s="20" t="s">
        <v>1767</v>
      </c>
      <c r="AK1619" s="22" t="str">
        <f t="shared" si="51"/>
        <v>San_Martín_07 Picota _02 Buenos Aires</v>
      </c>
      <c r="AL1619" s="25">
        <v>1</v>
      </c>
      <c r="AM1619" s="25">
        <v>5</v>
      </c>
      <c r="AN1619" s="26">
        <f>Tabla2[[#This Row],[Minutos]]/60</f>
        <v>8.3333333333333329E-2</v>
      </c>
      <c r="AO1619" s="27">
        <f>SUM(Tabla2[[#This Row],[Horas]],Tabla2[[#This Row],[Minutos a Horas]])</f>
        <v>1.0833333333333333</v>
      </c>
      <c r="AP1619" s="49">
        <v>0</v>
      </c>
      <c r="AQ1619" s="49">
        <v>52</v>
      </c>
      <c r="AR1619" s="26">
        <f>Tabla2[[#This Row],[Minutos*]]/60</f>
        <v>0.8666666666666667</v>
      </c>
      <c r="AS1619" s="27">
        <f>SUM(Tabla2[[#This Row],[Horas*]],Tabla2[[#This Row],[Minutos a Horas*]])+(Tabla2[[#This Row],[Tiempo Total a Nivel Proncincial (Horas)]])</f>
        <v>1.95</v>
      </c>
    </row>
    <row r="1620" spans="30:45" hidden="1" x14ac:dyDescent="0.25">
      <c r="AD1620" s="20" t="s">
        <v>2400</v>
      </c>
      <c r="AE1620" s="10" t="s">
        <v>392</v>
      </c>
      <c r="AF1620" s="20" t="s">
        <v>1939</v>
      </c>
      <c r="AG1620" s="10"/>
      <c r="AH1620" s="22" t="str">
        <f t="shared" si="50"/>
        <v xml:space="preserve">San_Martín_07 Picota </v>
      </c>
      <c r="AI1620" s="10" t="s">
        <v>2024</v>
      </c>
      <c r="AJ1620" s="20" t="s">
        <v>1982</v>
      </c>
      <c r="AK1620" s="22" t="str">
        <f t="shared" si="51"/>
        <v>San_Martín_07 Picota _03 Caspisapa</v>
      </c>
      <c r="AL1620" s="25">
        <v>1</v>
      </c>
      <c r="AM1620" s="25">
        <v>5</v>
      </c>
      <c r="AN1620" s="26">
        <f>Tabla2[[#This Row],[Minutos]]/60</f>
        <v>8.3333333333333329E-2</v>
      </c>
      <c r="AO1620" s="27">
        <f>SUM(Tabla2[[#This Row],[Horas]],Tabla2[[#This Row],[Minutos a Horas]])</f>
        <v>1.0833333333333333</v>
      </c>
      <c r="AP1620" s="49">
        <v>1</v>
      </c>
      <c r="AQ1620" s="49">
        <v>24</v>
      </c>
      <c r="AR1620" s="26">
        <f>Tabla2[[#This Row],[Minutos*]]/60</f>
        <v>0.4</v>
      </c>
      <c r="AS1620" s="27">
        <f>SUM(Tabla2[[#This Row],[Horas*]],Tabla2[[#This Row],[Minutos a Horas*]])+(Tabla2[[#This Row],[Tiempo Total a Nivel Proncincial (Horas)]])</f>
        <v>2.4833333333333334</v>
      </c>
    </row>
    <row r="1621" spans="30:45" hidden="1" x14ac:dyDescent="0.25">
      <c r="AD1621" s="20" t="s">
        <v>2400</v>
      </c>
      <c r="AE1621" s="10" t="s">
        <v>392</v>
      </c>
      <c r="AF1621" s="20" t="s">
        <v>1939</v>
      </c>
      <c r="AG1621" s="10"/>
      <c r="AH1621" s="22" t="str">
        <f t="shared" si="50"/>
        <v xml:space="preserve">San_Martín_07 Picota </v>
      </c>
      <c r="AI1621" s="10" t="s">
        <v>2024</v>
      </c>
      <c r="AJ1621" s="20" t="s">
        <v>1983</v>
      </c>
      <c r="AK1621" s="22" t="str">
        <f t="shared" si="51"/>
        <v>San_Martín_07 Picota _04 Pilluana</v>
      </c>
      <c r="AL1621" s="25">
        <v>1</v>
      </c>
      <c r="AM1621" s="25">
        <v>5</v>
      </c>
      <c r="AN1621" s="26">
        <f>Tabla2[[#This Row],[Minutos]]/60</f>
        <v>8.3333333333333329E-2</v>
      </c>
      <c r="AO1621" s="27">
        <f>SUM(Tabla2[[#This Row],[Horas]],Tabla2[[#This Row],[Minutos a Horas]])</f>
        <v>1.0833333333333333</v>
      </c>
      <c r="AP1621" s="49">
        <v>1</v>
      </c>
      <c r="AQ1621" s="49">
        <v>55</v>
      </c>
      <c r="AR1621" s="26">
        <f>Tabla2[[#This Row],[Minutos*]]/60</f>
        <v>0.91666666666666663</v>
      </c>
      <c r="AS1621" s="27">
        <f>SUM(Tabla2[[#This Row],[Horas*]],Tabla2[[#This Row],[Minutos a Horas*]])+(Tabla2[[#This Row],[Tiempo Total a Nivel Proncincial (Horas)]])</f>
        <v>3</v>
      </c>
    </row>
    <row r="1622" spans="30:45" hidden="1" x14ac:dyDescent="0.25">
      <c r="AD1622" s="20" t="s">
        <v>2400</v>
      </c>
      <c r="AE1622" s="10" t="s">
        <v>392</v>
      </c>
      <c r="AF1622" s="20" t="s">
        <v>1939</v>
      </c>
      <c r="AG1622" s="10"/>
      <c r="AH1622" s="22" t="str">
        <f t="shared" si="50"/>
        <v xml:space="preserve">San_Martín_07 Picota </v>
      </c>
      <c r="AI1622" s="10" t="s">
        <v>2024</v>
      </c>
      <c r="AJ1622" s="20" t="s">
        <v>1984</v>
      </c>
      <c r="AK1622" s="22" t="str">
        <f t="shared" si="51"/>
        <v>San_Martín_07 Picota _05 Pucacaca</v>
      </c>
      <c r="AL1622" s="25">
        <v>1</v>
      </c>
      <c r="AM1622" s="25">
        <v>5</v>
      </c>
      <c r="AN1622" s="26">
        <f>Tabla2[[#This Row],[Minutos]]/60</f>
        <v>8.3333333333333329E-2</v>
      </c>
      <c r="AO1622" s="27">
        <f>SUM(Tabla2[[#This Row],[Horas]],Tabla2[[#This Row],[Minutos a Horas]])</f>
        <v>1.0833333333333333</v>
      </c>
      <c r="AP1622" s="49">
        <v>0</v>
      </c>
      <c r="AQ1622" s="49">
        <v>59</v>
      </c>
      <c r="AR1622" s="26">
        <f>Tabla2[[#This Row],[Minutos*]]/60</f>
        <v>0.98333333333333328</v>
      </c>
      <c r="AS1622" s="27">
        <f>SUM(Tabla2[[#This Row],[Horas*]],Tabla2[[#This Row],[Minutos a Horas*]])+(Tabla2[[#This Row],[Tiempo Total a Nivel Proncincial (Horas)]])</f>
        <v>2.0666666666666664</v>
      </c>
    </row>
    <row r="1623" spans="30:45" hidden="1" x14ac:dyDescent="0.25">
      <c r="AD1623" s="20" t="s">
        <v>2400</v>
      </c>
      <c r="AE1623" s="10" t="s">
        <v>392</v>
      </c>
      <c r="AF1623" s="20" t="s">
        <v>1939</v>
      </c>
      <c r="AG1623" s="10"/>
      <c r="AH1623" s="22" t="str">
        <f t="shared" si="50"/>
        <v xml:space="preserve">San_Martín_07 Picota </v>
      </c>
      <c r="AI1623" s="10" t="s">
        <v>2024</v>
      </c>
      <c r="AJ1623" s="20" t="s">
        <v>1985</v>
      </c>
      <c r="AK1623" s="22" t="str">
        <f t="shared" si="51"/>
        <v>San_Martín_07 Picota _06 San Cristóbal</v>
      </c>
      <c r="AL1623" s="25">
        <v>1</v>
      </c>
      <c r="AM1623" s="25">
        <v>5</v>
      </c>
      <c r="AN1623" s="26">
        <f>Tabla2[[#This Row],[Minutos]]/60</f>
        <v>8.3333333333333329E-2</v>
      </c>
      <c r="AO1623" s="27">
        <f>SUM(Tabla2[[#This Row],[Horas]],Tabla2[[#This Row],[Minutos a Horas]])</f>
        <v>1.0833333333333333</v>
      </c>
      <c r="AP1623" s="49">
        <v>1</v>
      </c>
      <c r="AQ1623" s="49">
        <v>20</v>
      </c>
      <c r="AR1623" s="26">
        <f>Tabla2[[#This Row],[Minutos*]]/60</f>
        <v>0.33333333333333331</v>
      </c>
      <c r="AS1623" s="27">
        <f>SUM(Tabla2[[#This Row],[Horas*]],Tabla2[[#This Row],[Minutos a Horas*]])+(Tabla2[[#This Row],[Tiempo Total a Nivel Proncincial (Horas)]])</f>
        <v>2.4166666666666665</v>
      </c>
    </row>
    <row r="1624" spans="30:45" hidden="1" x14ac:dyDescent="0.25">
      <c r="AD1624" s="20" t="s">
        <v>2400</v>
      </c>
      <c r="AE1624" s="10" t="s">
        <v>392</v>
      </c>
      <c r="AF1624" s="20" t="s">
        <v>1939</v>
      </c>
      <c r="AG1624" s="10"/>
      <c r="AH1624" s="22" t="str">
        <f t="shared" si="50"/>
        <v xml:space="preserve">San_Martín_07 Picota </v>
      </c>
      <c r="AI1624" s="10" t="s">
        <v>2024</v>
      </c>
      <c r="AJ1624" s="20" t="s">
        <v>1986</v>
      </c>
      <c r="AK1624" s="22" t="str">
        <f t="shared" si="51"/>
        <v>San_Martín_07 Picota _07 San Hilarión</v>
      </c>
      <c r="AL1624" s="25">
        <v>1</v>
      </c>
      <c r="AM1624" s="25">
        <v>5</v>
      </c>
      <c r="AN1624" s="26">
        <f>Tabla2[[#This Row],[Minutos]]/60</f>
        <v>8.3333333333333329E-2</v>
      </c>
      <c r="AO1624" s="27">
        <f>SUM(Tabla2[[#This Row],[Horas]],Tabla2[[#This Row],[Minutos a Horas]])</f>
        <v>1.0833333333333333</v>
      </c>
      <c r="AP1624" s="49">
        <v>1</v>
      </c>
      <c r="AQ1624" s="49">
        <v>24</v>
      </c>
      <c r="AR1624" s="26">
        <f>Tabla2[[#This Row],[Minutos*]]/60</f>
        <v>0.4</v>
      </c>
      <c r="AS1624" s="27">
        <f>SUM(Tabla2[[#This Row],[Horas*]],Tabla2[[#This Row],[Minutos a Horas*]])+(Tabla2[[#This Row],[Tiempo Total a Nivel Proncincial (Horas)]])</f>
        <v>2.4833333333333334</v>
      </c>
    </row>
    <row r="1625" spans="30:45" hidden="1" x14ac:dyDescent="0.25">
      <c r="AD1625" s="20" t="s">
        <v>2400</v>
      </c>
      <c r="AE1625" s="10" t="s">
        <v>392</v>
      </c>
      <c r="AF1625" s="20" t="s">
        <v>1939</v>
      </c>
      <c r="AG1625" s="10"/>
      <c r="AH1625" s="22" t="str">
        <f t="shared" si="50"/>
        <v xml:space="preserve">San_Martín_07 Picota </v>
      </c>
      <c r="AI1625" s="10" t="s">
        <v>2024</v>
      </c>
      <c r="AJ1625" s="20" t="s">
        <v>1987</v>
      </c>
      <c r="AK1625" s="22" t="str">
        <f t="shared" si="51"/>
        <v>San_Martín_07 Picota _08 Shamboyacu</v>
      </c>
      <c r="AL1625" s="25">
        <v>1</v>
      </c>
      <c r="AM1625" s="25">
        <v>5</v>
      </c>
      <c r="AN1625" s="26">
        <f>Tabla2[[#This Row],[Minutos]]/60</f>
        <v>8.3333333333333329E-2</v>
      </c>
      <c r="AO1625" s="27">
        <f>SUM(Tabla2[[#This Row],[Horas]],Tabla2[[#This Row],[Minutos a Horas]])</f>
        <v>1.0833333333333333</v>
      </c>
      <c r="AP1625" s="49">
        <v>2</v>
      </c>
      <c r="AQ1625" s="49">
        <v>13</v>
      </c>
      <c r="AR1625" s="26">
        <f>Tabla2[[#This Row],[Minutos*]]/60</f>
        <v>0.21666666666666667</v>
      </c>
      <c r="AS1625" s="27">
        <f>SUM(Tabla2[[#This Row],[Horas*]],Tabla2[[#This Row],[Minutos a Horas*]])+(Tabla2[[#This Row],[Tiempo Total a Nivel Proncincial (Horas)]])</f>
        <v>3.3</v>
      </c>
    </row>
    <row r="1626" spans="30:45" hidden="1" x14ac:dyDescent="0.25">
      <c r="AD1626" s="20" t="s">
        <v>2400</v>
      </c>
      <c r="AE1626" s="10" t="s">
        <v>392</v>
      </c>
      <c r="AF1626" s="20" t="s">
        <v>1939</v>
      </c>
      <c r="AG1626" s="10"/>
      <c r="AH1626" s="22" t="str">
        <f t="shared" ref="AH1626:AH1689" si="52">CONCATENATE(AD1626,"_",AF1626)</f>
        <v xml:space="preserve">San_Martín_07 Picota </v>
      </c>
      <c r="AI1626" s="10" t="s">
        <v>2024</v>
      </c>
      <c r="AJ1626" s="20" t="s">
        <v>1988</v>
      </c>
      <c r="AK1626" s="22" t="str">
        <f t="shared" ref="AK1626:AK1689" si="53">CONCATENATE(AH1626,"_",AJ1626)</f>
        <v>San_Martín_07 Picota _09 Tingo de Ponasa</v>
      </c>
      <c r="AL1626" s="25">
        <v>1</v>
      </c>
      <c r="AM1626" s="25">
        <v>5</v>
      </c>
      <c r="AN1626" s="26">
        <f>Tabla2[[#This Row],[Minutos]]/60</f>
        <v>8.3333333333333329E-2</v>
      </c>
      <c r="AO1626" s="27">
        <f>SUM(Tabla2[[#This Row],[Horas]],Tabla2[[#This Row],[Minutos a Horas]])</f>
        <v>1.0833333333333333</v>
      </c>
      <c r="AP1626" s="49">
        <v>1</v>
      </c>
      <c r="AQ1626" s="49">
        <v>39</v>
      </c>
      <c r="AR1626" s="26">
        <f>Tabla2[[#This Row],[Minutos*]]/60</f>
        <v>0.65</v>
      </c>
      <c r="AS1626" s="27">
        <f>SUM(Tabla2[[#This Row],[Horas*]],Tabla2[[#This Row],[Minutos a Horas*]])+(Tabla2[[#This Row],[Tiempo Total a Nivel Proncincial (Horas)]])</f>
        <v>2.7333333333333334</v>
      </c>
    </row>
    <row r="1627" spans="30:45" hidden="1" x14ac:dyDescent="0.25">
      <c r="AD1627" s="20" t="s">
        <v>2400</v>
      </c>
      <c r="AE1627" s="10" t="s">
        <v>392</v>
      </c>
      <c r="AF1627" s="20" t="s">
        <v>1939</v>
      </c>
      <c r="AG1627" s="10"/>
      <c r="AH1627" s="22" t="str">
        <f t="shared" si="52"/>
        <v xml:space="preserve">San_Martín_07 Picota </v>
      </c>
      <c r="AI1627" s="10" t="s">
        <v>2024</v>
      </c>
      <c r="AJ1627" s="20" t="s">
        <v>1989</v>
      </c>
      <c r="AK1627" s="22" t="str">
        <f t="shared" si="53"/>
        <v>San_Martín_07 Picota _10 Tres Unidos</v>
      </c>
      <c r="AL1627" s="25">
        <v>1</v>
      </c>
      <c r="AM1627" s="25">
        <v>5</v>
      </c>
      <c r="AN1627" s="26">
        <f>Tabla2[[#This Row],[Minutos]]/60</f>
        <v>8.3333333333333329E-2</v>
      </c>
      <c r="AO1627" s="27">
        <f>SUM(Tabla2[[#This Row],[Horas]],Tabla2[[#This Row],[Minutos a Horas]])</f>
        <v>1.0833333333333333</v>
      </c>
      <c r="AP1627" s="49">
        <v>2</v>
      </c>
      <c r="AQ1627" s="49">
        <v>10</v>
      </c>
      <c r="AR1627" s="26">
        <f>Tabla2[[#This Row],[Minutos*]]/60</f>
        <v>0.16666666666666666</v>
      </c>
      <c r="AS1627" s="27">
        <f>SUM(Tabla2[[#This Row],[Horas*]],Tabla2[[#This Row],[Minutos a Horas*]])+(Tabla2[[#This Row],[Tiempo Total a Nivel Proncincial (Horas)]])</f>
        <v>3.25</v>
      </c>
    </row>
    <row r="1628" spans="30:45" hidden="1" x14ac:dyDescent="0.25">
      <c r="AD1628" s="20" t="s">
        <v>2400</v>
      </c>
      <c r="AE1628" s="10" t="s">
        <v>392</v>
      </c>
      <c r="AF1628" s="20" t="s">
        <v>1940</v>
      </c>
      <c r="AG1628" s="10"/>
      <c r="AH1628" s="22" t="str">
        <f t="shared" si="52"/>
        <v xml:space="preserve">San_Martín_08 Rioja </v>
      </c>
      <c r="AI1628" s="10" t="s">
        <v>2025</v>
      </c>
      <c r="AJ1628" s="20" t="s">
        <v>1990</v>
      </c>
      <c r="AK1628" s="22" t="str">
        <f t="shared" si="53"/>
        <v>San_Martín_08 Rioja _01 Rioja</v>
      </c>
      <c r="AL1628" s="25">
        <v>2</v>
      </c>
      <c r="AM1628" s="25">
        <v>22</v>
      </c>
      <c r="AN1628" s="26">
        <f>Tabla2[[#This Row],[Minutos]]/60</f>
        <v>0.36666666666666664</v>
      </c>
      <c r="AO1628" s="27">
        <f>SUM(Tabla2[[#This Row],[Horas]],Tabla2[[#This Row],[Minutos a Horas]])</f>
        <v>2.3666666666666667</v>
      </c>
      <c r="AP1628" s="49">
        <v>2</v>
      </c>
      <c r="AQ1628" s="49">
        <v>25</v>
      </c>
      <c r="AR1628" s="26">
        <f>Tabla2[[#This Row],[Minutos*]]/60</f>
        <v>0.41666666666666669</v>
      </c>
      <c r="AS1628" s="27">
        <f>SUM(Tabla2[[#This Row],[Horas*]],Tabla2[[#This Row],[Minutos a Horas*]])+(Tabla2[[#This Row],[Tiempo Total a Nivel Proncincial (Horas)]])</f>
        <v>4.7833333333333332</v>
      </c>
    </row>
    <row r="1629" spans="30:45" hidden="1" x14ac:dyDescent="0.25">
      <c r="AD1629" s="20" t="s">
        <v>2400</v>
      </c>
      <c r="AE1629" s="10" t="s">
        <v>392</v>
      </c>
      <c r="AF1629" s="20" t="s">
        <v>1940</v>
      </c>
      <c r="AG1629" s="10"/>
      <c r="AH1629" s="22" t="str">
        <f t="shared" si="52"/>
        <v xml:space="preserve">San_Martín_08 Rioja </v>
      </c>
      <c r="AI1629" s="10" t="s">
        <v>2025</v>
      </c>
      <c r="AJ1629" s="20" t="s">
        <v>1991</v>
      </c>
      <c r="AK1629" s="22" t="str">
        <f t="shared" si="53"/>
        <v>San_Martín_08 Rioja _02 Awajun</v>
      </c>
      <c r="AL1629" s="25">
        <v>2</v>
      </c>
      <c r="AM1629" s="25">
        <v>22</v>
      </c>
      <c r="AN1629" s="26">
        <f>Tabla2[[#This Row],[Minutos]]/60</f>
        <v>0.36666666666666664</v>
      </c>
      <c r="AO1629" s="27">
        <f>SUM(Tabla2[[#This Row],[Horas]],Tabla2[[#This Row],[Minutos a Horas]])</f>
        <v>2.3666666666666667</v>
      </c>
      <c r="AP1629" s="49">
        <v>3</v>
      </c>
      <c r="AQ1629" s="49">
        <v>3</v>
      </c>
      <c r="AR1629" s="26">
        <f>Tabla2[[#This Row],[Minutos*]]/60</f>
        <v>0.05</v>
      </c>
      <c r="AS1629" s="27">
        <f>SUM(Tabla2[[#This Row],[Horas*]],Tabla2[[#This Row],[Minutos a Horas*]])+(Tabla2[[#This Row],[Tiempo Total a Nivel Proncincial (Horas)]])</f>
        <v>5.4166666666666661</v>
      </c>
    </row>
    <row r="1630" spans="30:45" hidden="1" x14ac:dyDescent="0.25">
      <c r="AD1630" s="20" t="s">
        <v>2400</v>
      </c>
      <c r="AE1630" s="10" t="s">
        <v>392</v>
      </c>
      <c r="AF1630" s="20" t="s">
        <v>1940</v>
      </c>
      <c r="AG1630" s="10"/>
      <c r="AH1630" s="22" t="str">
        <f t="shared" si="52"/>
        <v xml:space="preserve">San_Martín_08 Rioja </v>
      </c>
      <c r="AI1630" s="10" t="s">
        <v>2025</v>
      </c>
      <c r="AJ1630" s="20" t="s">
        <v>1992</v>
      </c>
      <c r="AK1630" s="22" t="str">
        <f t="shared" si="53"/>
        <v>San_Martín_08 Rioja _03 Elías Soplin Vargas</v>
      </c>
      <c r="AL1630" s="25">
        <v>2</v>
      </c>
      <c r="AM1630" s="25">
        <v>22</v>
      </c>
      <c r="AN1630" s="26">
        <f>Tabla2[[#This Row],[Minutos]]/60</f>
        <v>0.36666666666666664</v>
      </c>
      <c r="AO1630" s="27">
        <f>SUM(Tabla2[[#This Row],[Horas]],Tabla2[[#This Row],[Minutos a Horas]])</f>
        <v>2.3666666666666667</v>
      </c>
      <c r="AP1630" s="49">
        <v>2</v>
      </c>
      <c r="AQ1630" s="49">
        <v>39</v>
      </c>
      <c r="AR1630" s="26">
        <f>Tabla2[[#This Row],[Minutos*]]/60</f>
        <v>0.65</v>
      </c>
      <c r="AS1630" s="27">
        <f>SUM(Tabla2[[#This Row],[Horas*]],Tabla2[[#This Row],[Minutos a Horas*]])+(Tabla2[[#This Row],[Tiempo Total a Nivel Proncincial (Horas)]])</f>
        <v>5.0166666666666666</v>
      </c>
    </row>
    <row r="1631" spans="30:45" hidden="1" x14ac:dyDescent="0.25">
      <c r="AD1631" s="20" t="s">
        <v>2400</v>
      </c>
      <c r="AE1631" s="10" t="s">
        <v>392</v>
      </c>
      <c r="AF1631" s="20" t="s">
        <v>1940</v>
      </c>
      <c r="AG1631" s="10"/>
      <c r="AH1631" s="22" t="str">
        <f t="shared" si="52"/>
        <v xml:space="preserve">San_Martín_08 Rioja </v>
      </c>
      <c r="AI1631" s="10" t="s">
        <v>2025</v>
      </c>
      <c r="AJ1631" s="20" t="s">
        <v>1993</v>
      </c>
      <c r="AK1631" s="22" t="str">
        <f t="shared" si="53"/>
        <v>San_Martín_08 Rioja _04 Nueva Cajamarca</v>
      </c>
      <c r="AL1631" s="25">
        <v>2</v>
      </c>
      <c r="AM1631" s="25">
        <v>22</v>
      </c>
      <c r="AN1631" s="26">
        <f>Tabla2[[#This Row],[Minutos]]/60</f>
        <v>0.36666666666666664</v>
      </c>
      <c r="AO1631" s="27">
        <f>SUM(Tabla2[[#This Row],[Horas]],Tabla2[[#This Row],[Minutos a Horas]])</f>
        <v>2.3666666666666667</v>
      </c>
      <c r="AP1631" s="49">
        <v>2</v>
      </c>
      <c r="AQ1631" s="49">
        <v>49</v>
      </c>
      <c r="AR1631" s="26">
        <f>Tabla2[[#This Row],[Minutos*]]/60</f>
        <v>0.81666666666666665</v>
      </c>
      <c r="AS1631" s="27">
        <f>SUM(Tabla2[[#This Row],[Horas*]],Tabla2[[#This Row],[Minutos a Horas*]])+(Tabla2[[#This Row],[Tiempo Total a Nivel Proncincial (Horas)]])</f>
        <v>5.1833333333333336</v>
      </c>
    </row>
    <row r="1632" spans="30:45" hidden="1" x14ac:dyDescent="0.25">
      <c r="AD1632" s="20" t="s">
        <v>2400</v>
      </c>
      <c r="AE1632" s="10" t="s">
        <v>392</v>
      </c>
      <c r="AF1632" s="20" t="s">
        <v>1940</v>
      </c>
      <c r="AG1632" s="10"/>
      <c r="AH1632" s="22" t="str">
        <f t="shared" si="52"/>
        <v xml:space="preserve">San_Martín_08 Rioja </v>
      </c>
      <c r="AI1632" s="10" t="s">
        <v>2025</v>
      </c>
      <c r="AJ1632" s="20" t="s">
        <v>1994</v>
      </c>
      <c r="AK1632" s="22" t="str">
        <f t="shared" si="53"/>
        <v>San_Martín_08 Rioja _05 Pardo Miguel</v>
      </c>
      <c r="AL1632" s="25">
        <v>2</v>
      </c>
      <c r="AM1632" s="25">
        <v>22</v>
      </c>
      <c r="AN1632" s="26">
        <f>Tabla2[[#This Row],[Minutos]]/60</f>
        <v>0.36666666666666664</v>
      </c>
      <c r="AO1632" s="27">
        <f>SUM(Tabla2[[#This Row],[Horas]],Tabla2[[#This Row],[Minutos a Horas]])</f>
        <v>2.3666666666666667</v>
      </c>
      <c r="AP1632" s="49">
        <v>3</v>
      </c>
      <c r="AQ1632" s="49">
        <v>17</v>
      </c>
      <c r="AR1632" s="26">
        <f>Tabla2[[#This Row],[Minutos*]]/60</f>
        <v>0.28333333333333333</v>
      </c>
      <c r="AS1632" s="27">
        <f>SUM(Tabla2[[#This Row],[Horas*]],Tabla2[[#This Row],[Minutos a Horas*]])+(Tabla2[[#This Row],[Tiempo Total a Nivel Proncincial (Horas)]])</f>
        <v>5.65</v>
      </c>
    </row>
    <row r="1633" spans="30:45" hidden="1" x14ac:dyDescent="0.25">
      <c r="AD1633" s="20" t="s">
        <v>2400</v>
      </c>
      <c r="AE1633" s="10" t="s">
        <v>392</v>
      </c>
      <c r="AF1633" s="20" t="s">
        <v>1940</v>
      </c>
      <c r="AG1633" s="10"/>
      <c r="AH1633" s="22" t="str">
        <f t="shared" si="52"/>
        <v xml:space="preserve">San_Martín_08 Rioja </v>
      </c>
      <c r="AI1633" s="10" t="s">
        <v>2025</v>
      </c>
      <c r="AJ1633" s="20" t="s">
        <v>1995</v>
      </c>
      <c r="AK1633" s="22" t="str">
        <f t="shared" si="53"/>
        <v>San_Martín_08 Rioja _06 Posic</v>
      </c>
      <c r="AL1633" s="25">
        <v>2</v>
      </c>
      <c r="AM1633" s="25">
        <v>22</v>
      </c>
      <c r="AN1633" s="26">
        <f>Tabla2[[#This Row],[Minutos]]/60</f>
        <v>0.36666666666666664</v>
      </c>
      <c r="AO1633" s="27">
        <f>SUM(Tabla2[[#This Row],[Horas]],Tabla2[[#This Row],[Minutos a Horas]])</f>
        <v>2.3666666666666667</v>
      </c>
      <c r="AP1633" s="49">
        <v>2</v>
      </c>
      <c r="AQ1633" s="49">
        <v>30</v>
      </c>
      <c r="AR1633" s="26">
        <f>Tabla2[[#This Row],[Minutos*]]/60</f>
        <v>0.5</v>
      </c>
      <c r="AS1633" s="27">
        <f>SUM(Tabla2[[#This Row],[Horas*]],Tabla2[[#This Row],[Minutos a Horas*]])+(Tabla2[[#This Row],[Tiempo Total a Nivel Proncincial (Horas)]])</f>
        <v>4.8666666666666671</v>
      </c>
    </row>
    <row r="1634" spans="30:45" hidden="1" x14ac:dyDescent="0.25">
      <c r="AD1634" s="20" t="s">
        <v>2400</v>
      </c>
      <c r="AE1634" s="10" t="s">
        <v>392</v>
      </c>
      <c r="AF1634" s="20" t="s">
        <v>1940</v>
      </c>
      <c r="AG1634" s="10"/>
      <c r="AH1634" s="22" t="str">
        <f t="shared" si="52"/>
        <v xml:space="preserve">San_Martín_08 Rioja </v>
      </c>
      <c r="AI1634" s="10" t="s">
        <v>2025</v>
      </c>
      <c r="AJ1634" s="20" t="s">
        <v>1996</v>
      </c>
      <c r="AK1634" s="22" t="str">
        <f t="shared" si="53"/>
        <v>San_Martín_08 Rioja _07 San Fernando</v>
      </c>
      <c r="AL1634" s="25">
        <v>2</v>
      </c>
      <c r="AM1634" s="25">
        <v>22</v>
      </c>
      <c r="AN1634" s="26">
        <f>Tabla2[[#This Row],[Minutos]]/60</f>
        <v>0.36666666666666664</v>
      </c>
      <c r="AO1634" s="27">
        <f>SUM(Tabla2[[#This Row],[Horas]],Tabla2[[#This Row],[Minutos a Horas]])</f>
        <v>2.3666666666666667</v>
      </c>
      <c r="AP1634" s="49">
        <v>2</v>
      </c>
      <c r="AQ1634" s="49">
        <v>56</v>
      </c>
      <c r="AR1634" s="26">
        <f>Tabla2[[#This Row],[Minutos*]]/60</f>
        <v>0.93333333333333335</v>
      </c>
      <c r="AS1634" s="27">
        <f>SUM(Tabla2[[#This Row],[Horas*]],Tabla2[[#This Row],[Minutos a Horas*]])+(Tabla2[[#This Row],[Tiempo Total a Nivel Proncincial (Horas)]])</f>
        <v>5.3000000000000007</v>
      </c>
    </row>
    <row r="1635" spans="30:45" hidden="1" x14ac:dyDescent="0.25">
      <c r="AD1635" s="20" t="s">
        <v>2400</v>
      </c>
      <c r="AE1635" s="10" t="s">
        <v>392</v>
      </c>
      <c r="AF1635" s="20" t="s">
        <v>1940</v>
      </c>
      <c r="AG1635" s="10"/>
      <c r="AH1635" s="22" t="str">
        <f t="shared" si="52"/>
        <v xml:space="preserve">San_Martín_08 Rioja </v>
      </c>
      <c r="AI1635" s="10" t="s">
        <v>2025</v>
      </c>
      <c r="AJ1635" s="20" t="s">
        <v>1997</v>
      </c>
      <c r="AK1635" s="22" t="str">
        <f t="shared" si="53"/>
        <v>San_Martín_08 Rioja _08 Yorongos</v>
      </c>
      <c r="AL1635" s="25">
        <v>2</v>
      </c>
      <c r="AM1635" s="25">
        <v>22</v>
      </c>
      <c r="AN1635" s="26">
        <f>Tabla2[[#This Row],[Minutos]]/60</f>
        <v>0.36666666666666664</v>
      </c>
      <c r="AO1635" s="27">
        <f>SUM(Tabla2[[#This Row],[Horas]],Tabla2[[#This Row],[Minutos a Horas]])</f>
        <v>2.3666666666666667</v>
      </c>
      <c r="AP1635" s="49">
        <v>3</v>
      </c>
      <c r="AQ1635" s="49">
        <v>14</v>
      </c>
      <c r="AR1635" s="26">
        <f>Tabla2[[#This Row],[Minutos*]]/60</f>
        <v>0.23333333333333334</v>
      </c>
      <c r="AS1635" s="27">
        <f>SUM(Tabla2[[#This Row],[Horas*]],Tabla2[[#This Row],[Minutos a Horas*]])+(Tabla2[[#This Row],[Tiempo Total a Nivel Proncincial (Horas)]])</f>
        <v>5.6</v>
      </c>
    </row>
    <row r="1636" spans="30:45" hidden="1" x14ac:dyDescent="0.25">
      <c r="AD1636" s="20" t="s">
        <v>2400</v>
      </c>
      <c r="AE1636" s="10" t="s">
        <v>392</v>
      </c>
      <c r="AF1636" s="20" t="s">
        <v>1940</v>
      </c>
      <c r="AG1636" s="10"/>
      <c r="AH1636" s="22" t="str">
        <f t="shared" si="52"/>
        <v xml:space="preserve">San_Martín_08 Rioja </v>
      </c>
      <c r="AI1636" s="10" t="s">
        <v>2025</v>
      </c>
      <c r="AJ1636" s="20" t="s">
        <v>1998</v>
      </c>
      <c r="AK1636" s="22" t="str">
        <f t="shared" si="53"/>
        <v>San_Martín_08 Rioja _09 Yuracyacu</v>
      </c>
      <c r="AL1636" s="25">
        <v>2</v>
      </c>
      <c r="AM1636" s="25">
        <v>22</v>
      </c>
      <c r="AN1636" s="26">
        <f>Tabla2[[#This Row],[Minutos]]/60</f>
        <v>0.36666666666666664</v>
      </c>
      <c r="AO1636" s="27">
        <f>SUM(Tabla2[[#This Row],[Horas]],Tabla2[[#This Row],[Minutos a Horas]])</f>
        <v>2.3666666666666667</v>
      </c>
      <c r="AP1636" s="49">
        <v>2</v>
      </c>
      <c r="AQ1636" s="49">
        <v>44</v>
      </c>
      <c r="AR1636" s="26">
        <f>Tabla2[[#This Row],[Minutos*]]/60</f>
        <v>0.73333333333333328</v>
      </c>
      <c r="AS1636" s="27">
        <f>SUM(Tabla2[[#This Row],[Horas*]],Tabla2[[#This Row],[Minutos a Horas*]])+(Tabla2[[#This Row],[Tiempo Total a Nivel Proncincial (Horas)]])</f>
        <v>5.0999999999999996</v>
      </c>
    </row>
    <row r="1637" spans="30:45" hidden="1" x14ac:dyDescent="0.25">
      <c r="AD1637" s="20" t="s">
        <v>2400</v>
      </c>
      <c r="AE1637" s="10" t="s">
        <v>392</v>
      </c>
      <c r="AF1637" s="20" t="s">
        <v>1941</v>
      </c>
      <c r="AG1637" s="10"/>
      <c r="AH1637" s="22" t="str">
        <f t="shared" si="52"/>
        <v xml:space="preserve">San_Martín_09 San Martín </v>
      </c>
      <c r="AI1637" s="10" t="s">
        <v>2026</v>
      </c>
      <c r="AJ1637" s="20" t="s">
        <v>1999</v>
      </c>
      <c r="AK1637" s="22" t="str">
        <f t="shared" si="53"/>
        <v>San_Martín_09 San Martín _01 Tarapoto</v>
      </c>
      <c r="AL1637" s="25">
        <v>0</v>
      </c>
      <c r="AM1637" s="25">
        <v>30</v>
      </c>
      <c r="AN1637" s="26">
        <f>Tabla2[[#This Row],[Minutos]]/60</f>
        <v>0.5</v>
      </c>
      <c r="AO1637" s="27">
        <f>SUM(Tabla2[[#This Row],[Horas]],Tabla2[[#This Row],[Minutos a Horas]])</f>
        <v>0.5</v>
      </c>
      <c r="AP1637" s="49">
        <v>0</v>
      </c>
      <c r="AQ1637" s="49">
        <v>0</v>
      </c>
      <c r="AR1637" s="26">
        <f>Tabla2[[#This Row],[Minutos*]]/60</f>
        <v>0</v>
      </c>
      <c r="AS1637" s="27">
        <f>SUM(Tabla2[[#This Row],[Horas*]],Tabla2[[#This Row],[Minutos a Horas*]])+(Tabla2[[#This Row],[Tiempo Total a Nivel Proncincial (Horas)]])</f>
        <v>0.5</v>
      </c>
    </row>
    <row r="1638" spans="30:45" hidden="1" x14ac:dyDescent="0.25">
      <c r="AD1638" s="20" t="s">
        <v>2400</v>
      </c>
      <c r="AE1638" s="10" t="s">
        <v>392</v>
      </c>
      <c r="AF1638" s="20" t="s">
        <v>1941</v>
      </c>
      <c r="AG1638" s="10"/>
      <c r="AH1638" s="22" t="str">
        <f t="shared" si="52"/>
        <v xml:space="preserve">San_Martín_09 San Martín </v>
      </c>
      <c r="AI1638" s="10" t="s">
        <v>2026</v>
      </c>
      <c r="AJ1638" s="20" t="s">
        <v>2000</v>
      </c>
      <c r="AK1638" s="22" t="str">
        <f t="shared" si="53"/>
        <v>San_Martín_09 San Martín _02 Alberto Leveau</v>
      </c>
      <c r="AL1638" s="25">
        <v>0</v>
      </c>
      <c r="AM1638" s="25">
        <v>30</v>
      </c>
      <c r="AN1638" s="26">
        <f>Tabla2[[#This Row],[Minutos]]/60</f>
        <v>0.5</v>
      </c>
      <c r="AO1638" s="27">
        <f>SUM(Tabla2[[#This Row],[Horas]],Tabla2[[#This Row],[Minutos a Horas]])</f>
        <v>0.5</v>
      </c>
      <c r="AP1638" s="49">
        <v>0</v>
      </c>
      <c r="AQ1638" s="49">
        <v>40</v>
      </c>
      <c r="AR1638" s="26">
        <f>Tabla2[[#This Row],[Minutos*]]/60</f>
        <v>0.66666666666666663</v>
      </c>
      <c r="AS1638" s="27">
        <f>SUM(Tabla2[[#This Row],[Horas*]],Tabla2[[#This Row],[Minutos a Horas*]])+(Tabla2[[#This Row],[Tiempo Total a Nivel Proncincial (Horas)]])</f>
        <v>1.1666666666666665</v>
      </c>
    </row>
    <row r="1639" spans="30:45" hidden="1" x14ac:dyDescent="0.25">
      <c r="AD1639" s="20" t="s">
        <v>2400</v>
      </c>
      <c r="AE1639" s="10" t="s">
        <v>392</v>
      </c>
      <c r="AF1639" s="20" t="s">
        <v>1941</v>
      </c>
      <c r="AG1639" s="10"/>
      <c r="AH1639" s="22" t="str">
        <f t="shared" si="52"/>
        <v xml:space="preserve">San_Martín_09 San Martín </v>
      </c>
      <c r="AI1639" s="10" t="s">
        <v>2026</v>
      </c>
      <c r="AJ1639" s="20" t="s">
        <v>2001</v>
      </c>
      <c r="AK1639" s="22" t="str">
        <f t="shared" si="53"/>
        <v>San_Martín_09 San Martín _03 Cacatachi</v>
      </c>
      <c r="AL1639" s="25">
        <v>0</v>
      </c>
      <c r="AM1639" s="25">
        <v>30</v>
      </c>
      <c r="AN1639" s="26">
        <f>Tabla2[[#This Row],[Minutos]]/60</f>
        <v>0.5</v>
      </c>
      <c r="AO1639" s="27">
        <f>SUM(Tabla2[[#This Row],[Horas]],Tabla2[[#This Row],[Minutos a Horas]])</f>
        <v>0.5</v>
      </c>
      <c r="AP1639" s="49">
        <v>0</v>
      </c>
      <c r="AQ1639" s="49">
        <v>24</v>
      </c>
      <c r="AR1639" s="26">
        <f>Tabla2[[#This Row],[Minutos*]]/60</f>
        <v>0.4</v>
      </c>
      <c r="AS1639" s="27">
        <f>SUM(Tabla2[[#This Row],[Horas*]],Tabla2[[#This Row],[Minutos a Horas*]])+(Tabla2[[#This Row],[Tiempo Total a Nivel Proncincial (Horas)]])</f>
        <v>0.9</v>
      </c>
    </row>
    <row r="1640" spans="30:45" hidden="1" x14ac:dyDescent="0.25">
      <c r="AD1640" s="20" t="s">
        <v>2400</v>
      </c>
      <c r="AE1640" s="10" t="s">
        <v>392</v>
      </c>
      <c r="AF1640" s="20" t="s">
        <v>1941</v>
      </c>
      <c r="AG1640" s="10"/>
      <c r="AH1640" s="22" t="str">
        <f t="shared" si="52"/>
        <v xml:space="preserve">San_Martín_09 San Martín </v>
      </c>
      <c r="AI1640" s="10" t="s">
        <v>2026</v>
      </c>
      <c r="AJ1640" s="20" t="s">
        <v>2002</v>
      </c>
      <c r="AK1640" s="22" t="str">
        <f t="shared" si="53"/>
        <v>San_Martín_09 San Martín _04 Chazuta</v>
      </c>
      <c r="AL1640" s="25">
        <v>0</v>
      </c>
      <c r="AM1640" s="25">
        <v>30</v>
      </c>
      <c r="AN1640" s="26">
        <f>Tabla2[[#This Row],[Minutos]]/60</f>
        <v>0.5</v>
      </c>
      <c r="AO1640" s="27">
        <f>SUM(Tabla2[[#This Row],[Horas]],Tabla2[[#This Row],[Minutos a Horas]])</f>
        <v>0.5</v>
      </c>
      <c r="AP1640" s="49">
        <v>1</v>
      </c>
      <c r="AQ1640" s="49">
        <v>5</v>
      </c>
      <c r="AR1640" s="26">
        <f>Tabla2[[#This Row],[Minutos*]]/60</f>
        <v>8.3333333333333329E-2</v>
      </c>
      <c r="AS1640" s="27">
        <f>SUM(Tabla2[[#This Row],[Horas*]],Tabla2[[#This Row],[Minutos a Horas*]])+(Tabla2[[#This Row],[Tiempo Total a Nivel Proncincial (Horas)]])</f>
        <v>1.5833333333333333</v>
      </c>
    </row>
    <row r="1641" spans="30:45" hidden="1" x14ac:dyDescent="0.25">
      <c r="AD1641" s="20" t="s">
        <v>2400</v>
      </c>
      <c r="AE1641" s="10" t="s">
        <v>392</v>
      </c>
      <c r="AF1641" s="20" t="s">
        <v>1941</v>
      </c>
      <c r="AG1641" s="10"/>
      <c r="AH1641" s="22" t="str">
        <f t="shared" si="52"/>
        <v xml:space="preserve">San_Martín_09 San Martín </v>
      </c>
      <c r="AI1641" s="10" t="s">
        <v>2026</v>
      </c>
      <c r="AJ1641" s="20" t="s">
        <v>2003</v>
      </c>
      <c r="AK1641" s="22" t="str">
        <f t="shared" si="53"/>
        <v>San_Martín_09 San Martín _05 Chipurana</v>
      </c>
      <c r="AL1641" s="25">
        <v>0</v>
      </c>
      <c r="AM1641" s="25">
        <v>30</v>
      </c>
      <c r="AN1641" s="26">
        <f>Tabla2[[#This Row],[Minutos]]/60</f>
        <v>0.5</v>
      </c>
      <c r="AO1641" s="27">
        <f>SUM(Tabla2[[#This Row],[Horas]],Tabla2[[#This Row],[Minutos a Horas]])</f>
        <v>0.5</v>
      </c>
      <c r="AP1641" s="49">
        <v>4</v>
      </c>
      <c r="AQ1641" s="49">
        <v>10</v>
      </c>
      <c r="AR1641" s="26">
        <f>Tabla2[[#This Row],[Minutos*]]/60</f>
        <v>0.16666666666666666</v>
      </c>
      <c r="AS1641" s="27">
        <f>SUM(Tabla2[[#This Row],[Horas*]],Tabla2[[#This Row],[Minutos a Horas*]])+(Tabla2[[#This Row],[Tiempo Total a Nivel Proncincial (Horas)]])</f>
        <v>4.666666666666667</v>
      </c>
    </row>
    <row r="1642" spans="30:45" hidden="1" x14ac:dyDescent="0.25">
      <c r="AD1642" s="20" t="s">
        <v>2400</v>
      </c>
      <c r="AE1642" s="10" t="s">
        <v>392</v>
      </c>
      <c r="AF1642" s="20" t="s">
        <v>1941</v>
      </c>
      <c r="AG1642" s="10"/>
      <c r="AH1642" s="22" t="str">
        <f t="shared" si="52"/>
        <v xml:space="preserve">San_Martín_09 San Martín </v>
      </c>
      <c r="AI1642" s="10" t="s">
        <v>2026</v>
      </c>
      <c r="AJ1642" s="20" t="s">
        <v>2004</v>
      </c>
      <c r="AK1642" s="22" t="str">
        <f t="shared" si="53"/>
        <v>San_Martín_09 San Martín _06 El Porvenir</v>
      </c>
      <c r="AL1642" s="25">
        <v>0</v>
      </c>
      <c r="AM1642" s="25">
        <v>30</v>
      </c>
      <c r="AN1642" s="26">
        <f>Tabla2[[#This Row],[Minutos]]/60</f>
        <v>0.5</v>
      </c>
      <c r="AO1642" s="27">
        <f>SUM(Tabla2[[#This Row],[Horas]],Tabla2[[#This Row],[Minutos a Horas]])</f>
        <v>0.5</v>
      </c>
      <c r="AP1642" s="49">
        <v>2</v>
      </c>
      <c r="AQ1642" s="49">
        <v>30</v>
      </c>
      <c r="AR1642" s="26">
        <f>Tabla2[[#This Row],[Minutos*]]/60</f>
        <v>0.5</v>
      </c>
      <c r="AS1642" s="27">
        <f>SUM(Tabla2[[#This Row],[Horas*]],Tabla2[[#This Row],[Minutos a Horas*]])+(Tabla2[[#This Row],[Tiempo Total a Nivel Proncincial (Horas)]])</f>
        <v>3</v>
      </c>
    </row>
    <row r="1643" spans="30:45" hidden="1" x14ac:dyDescent="0.25">
      <c r="AD1643" s="20" t="s">
        <v>2400</v>
      </c>
      <c r="AE1643" s="10" t="s">
        <v>392</v>
      </c>
      <c r="AF1643" s="20" t="s">
        <v>1941</v>
      </c>
      <c r="AG1643" s="10"/>
      <c r="AH1643" s="22" t="str">
        <f t="shared" si="52"/>
        <v xml:space="preserve">San_Martín_09 San Martín </v>
      </c>
      <c r="AI1643" s="10" t="s">
        <v>2026</v>
      </c>
      <c r="AJ1643" s="20" t="s">
        <v>2005</v>
      </c>
      <c r="AK1643" s="22" t="str">
        <f t="shared" si="53"/>
        <v>San_Martín_09 San Martín _07 Huimbayoc</v>
      </c>
      <c r="AL1643" s="25">
        <v>0</v>
      </c>
      <c r="AM1643" s="25">
        <v>30</v>
      </c>
      <c r="AN1643" s="26">
        <f>Tabla2[[#This Row],[Minutos]]/60</f>
        <v>0.5</v>
      </c>
      <c r="AO1643" s="27">
        <f>SUM(Tabla2[[#This Row],[Horas]],Tabla2[[#This Row],[Minutos a Horas]])</f>
        <v>0.5</v>
      </c>
      <c r="AP1643" s="49">
        <v>3</v>
      </c>
      <c r="AQ1643" s="49">
        <v>30</v>
      </c>
      <c r="AR1643" s="26">
        <f>Tabla2[[#This Row],[Minutos*]]/60</f>
        <v>0.5</v>
      </c>
      <c r="AS1643" s="27">
        <f>SUM(Tabla2[[#This Row],[Horas*]],Tabla2[[#This Row],[Minutos a Horas*]])+(Tabla2[[#This Row],[Tiempo Total a Nivel Proncincial (Horas)]])</f>
        <v>4</v>
      </c>
    </row>
    <row r="1644" spans="30:45" hidden="1" x14ac:dyDescent="0.25">
      <c r="AD1644" s="20" t="s">
        <v>2400</v>
      </c>
      <c r="AE1644" s="10" t="s">
        <v>392</v>
      </c>
      <c r="AF1644" s="20" t="s">
        <v>1941</v>
      </c>
      <c r="AG1644" s="10"/>
      <c r="AH1644" s="22" t="str">
        <f t="shared" si="52"/>
        <v xml:space="preserve">San_Martín_09 San Martín </v>
      </c>
      <c r="AI1644" s="10" t="s">
        <v>2026</v>
      </c>
      <c r="AJ1644" s="20" t="s">
        <v>2006</v>
      </c>
      <c r="AK1644" s="22" t="str">
        <f t="shared" si="53"/>
        <v>San_Martín_09 San Martín _08 Juan Guerra</v>
      </c>
      <c r="AL1644" s="25">
        <v>0</v>
      </c>
      <c r="AM1644" s="25">
        <v>30</v>
      </c>
      <c r="AN1644" s="26">
        <f>Tabla2[[#This Row],[Minutos]]/60</f>
        <v>0.5</v>
      </c>
      <c r="AO1644" s="27">
        <f>SUM(Tabla2[[#This Row],[Horas]],Tabla2[[#This Row],[Minutos a Horas]])</f>
        <v>0.5</v>
      </c>
      <c r="AP1644" s="49">
        <v>0</v>
      </c>
      <c r="AQ1644" s="49">
        <v>24</v>
      </c>
      <c r="AR1644" s="26">
        <f>Tabla2[[#This Row],[Minutos*]]/60</f>
        <v>0.4</v>
      </c>
      <c r="AS1644" s="27">
        <f>SUM(Tabla2[[#This Row],[Horas*]],Tabla2[[#This Row],[Minutos a Horas*]])+(Tabla2[[#This Row],[Tiempo Total a Nivel Proncincial (Horas)]])</f>
        <v>0.9</v>
      </c>
    </row>
    <row r="1645" spans="30:45" hidden="1" x14ac:dyDescent="0.25">
      <c r="AD1645" s="20" t="s">
        <v>2400</v>
      </c>
      <c r="AE1645" s="10" t="s">
        <v>392</v>
      </c>
      <c r="AF1645" s="20" t="s">
        <v>1941</v>
      </c>
      <c r="AG1645" s="10"/>
      <c r="AH1645" s="22" t="str">
        <f t="shared" si="52"/>
        <v xml:space="preserve">San_Martín_09 San Martín </v>
      </c>
      <c r="AI1645" s="10" t="s">
        <v>2026</v>
      </c>
      <c r="AJ1645" s="20" t="s">
        <v>2007</v>
      </c>
      <c r="AK1645" s="22" t="str">
        <f t="shared" si="53"/>
        <v>San_Martín_09 San Martín _09 La Banda de Shilcayo</v>
      </c>
      <c r="AL1645" s="25">
        <v>0</v>
      </c>
      <c r="AM1645" s="25">
        <v>30</v>
      </c>
      <c r="AN1645" s="26">
        <f>Tabla2[[#This Row],[Minutos]]/60</f>
        <v>0.5</v>
      </c>
      <c r="AO1645" s="27">
        <f>SUM(Tabla2[[#This Row],[Horas]],Tabla2[[#This Row],[Minutos a Horas]])</f>
        <v>0.5</v>
      </c>
      <c r="AP1645" s="49">
        <v>0</v>
      </c>
      <c r="AQ1645" s="49">
        <v>11</v>
      </c>
      <c r="AR1645" s="26">
        <f>Tabla2[[#This Row],[Minutos*]]/60</f>
        <v>0.18333333333333332</v>
      </c>
      <c r="AS1645" s="27">
        <f>SUM(Tabla2[[#This Row],[Horas*]],Tabla2[[#This Row],[Minutos a Horas*]])+(Tabla2[[#This Row],[Tiempo Total a Nivel Proncincial (Horas)]])</f>
        <v>0.68333333333333335</v>
      </c>
    </row>
    <row r="1646" spans="30:45" hidden="1" x14ac:dyDescent="0.25">
      <c r="AD1646" s="20" t="s">
        <v>2400</v>
      </c>
      <c r="AE1646" s="10" t="s">
        <v>392</v>
      </c>
      <c r="AF1646" s="20" t="s">
        <v>1941</v>
      </c>
      <c r="AG1646" s="10"/>
      <c r="AH1646" s="22" t="str">
        <f t="shared" si="52"/>
        <v xml:space="preserve">San_Martín_09 San Martín </v>
      </c>
      <c r="AI1646" s="10" t="s">
        <v>2026</v>
      </c>
      <c r="AJ1646" s="20" t="s">
        <v>2008</v>
      </c>
      <c r="AK1646" s="22" t="str">
        <f t="shared" si="53"/>
        <v>San_Martín_09 San Martín _10 Morales</v>
      </c>
      <c r="AL1646" s="25">
        <v>0</v>
      </c>
      <c r="AM1646" s="25">
        <v>30</v>
      </c>
      <c r="AN1646" s="26">
        <f>Tabla2[[#This Row],[Minutos]]/60</f>
        <v>0.5</v>
      </c>
      <c r="AO1646" s="27">
        <f>SUM(Tabla2[[#This Row],[Horas]],Tabla2[[#This Row],[Minutos a Horas]])</f>
        <v>0.5</v>
      </c>
      <c r="AP1646" s="49">
        <v>0</v>
      </c>
      <c r="AQ1646" s="49">
        <v>11</v>
      </c>
      <c r="AR1646" s="26">
        <f>Tabla2[[#This Row],[Minutos*]]/60</f>
        <v>0.18333333333333332</v>
      </c>
      <c r="AS1646" s="27">
        <f>SUM(Tabla2[[#This Row],[Horas*]],Tabla2[[#This Row],[Minutos a Horas*]])+(Tabla2[[#This Row],[Tiempo Total a Nivel Proncincial (Horas)]])</f>
        <v>0.68333333333333335</v>
      </c>
    </row>
    <row r="1647" spans="30:45" hidden="1" x14ac:dyDescent="0.25">
      <c r="AD1647" s="20" t="s">
        <v>2400</v>
      </c>
      <c r="AE1647" s="10" t="s">
        <v>392</v>
      </c>
      <c r="AF1647" s="20" t="s">
        <v>1941</v>
      </c>
      <c r="AG1647" s="10"/>
      <c r="AH1647" s="22" t="str">
        <f t="shared" si="52"/>
        <v xml:space="preserve">San_Martín_09 San Martín </v>
      </c>
      <c r="AI1647" s="10" t="s">
        <v>2026</v>
      </c>
      <c r="AJ1647" s="20" t="s">
        <v>2009</v>
      </c>
      <c r="AK1647" s="22" t="str">
        <f t="shared" si="53"/>
        <v>San_Martín_09 San Martín _11 Papaplaya</v>
      </c>
      <c r="AL1647" s="25">
        <v>0</v>
      </c>
      <c r="AM1647" s="25">
        <v>30</v>
      </c>
      <c r="AN1647" s="26">
        <f>Tabla2[[#This Row],[Minutos]]/60</f>
        <v>0.5</v>
      </c>
      <c r="AO1647" s="27">
        <f>SUM(Tabla2[[#This Row],[Horas]],Tabla2[[#This Row],[Minutos a Horas]])</f>
        <v>0.5</v>
      </c>
      <c r="AP1647" s="49">
        <v>2</v>
      </c>
      <c r="AQ1647" s="49">
        <v>40</v>
      </c>
      <c r="AR1647" s="26">
        <f>Tabla2[[#This Row],[Minutos*]]/60</f>
        <v>0.66666666666666663</v>
      </c>
      <c r="AS1647" s="27">
        <f>SUM(Tabla2[[#This Row],[Horas*]],Tabla2[[#This Row],[Minutos a Horas*]])+(Tabla2[[#This Row],[Tiempo Total a Nivel Proncincial (Horas)]])</f>
        <v>3.1666666666666665</v>
      </c>
    </row>
    <row r="1648" spans="30:45" hidden="1" x14ac:dyDescent="0.25">
      <c r="AD1648" s="20" t="s">
        <v>2400</v>
      </c>
      <c r="AE1648" s="10" t="s">
        <v>392</v>
      </c>
      <c r="AF1648" s="20" t="s">
        <v>1941</v>
      </c>
      <c r="AG1648" s="10"/>
      <c r="AH1648" s="22" t="str">
        <f t="shared" si="52"/>
        <v xml:space="preserve">San_Martín_09 San Martín </v>
      </c>
      <c r="AI1648" s="10" t="s">
        <v>2026</v>
      </c>
      <c r="AJ1648" s="20" t="s">
        <v>2010</v>
      </c>
      <c r="AK1648" s="22" t="str">
        <f t="shared" si="53"/>
        <v>San_Martín_09 San Martín _12 San Antonio</v>
      </c>
      <c r="AL1648" s="25">
        <v>0</v>
      </c>
      <c r="AM1648" s="25">
        <v>30</v>
      </c>
      <c r="AN1648" s="26">
        <f>Tabla2[[#This Row],[Minutos]]/60</f>
        <v>0.5</v>
      </c>
      <c r="AO1648" s="27">
        <f>SUM(Tabla2[[#This Row],[Horas]],Tabla2[[#This Row],[Minutos a Horas]])</f>
        <v>0.5</v>
      </c>
      <c r="AP1648" s="49">
        <v>0</v>
      </c>
      <c r="AQ1648" s="49">
        <v>30</v>
      </c>
      <c r="AR1648" s="26">
        <f>Tabla2[[#This Row],[Minutos*]]/60</f>
        <v>0.5</v>
      </c>
      <c r="AS1648" s="27">
        <f>SUM(Tabla2[[#This Row],[Horas*]],Tabla2[[#This Row],[Minutos a Horas*]])+(Tabla2[[#This Row],[Tiempo Total a Nivel Proncincial (Horas)]])</f>
        <v>1</v>
      </c>
    </row>
    <row r="1649" spans="30:45" hidden="1" x14ac:dyDescent="0.25">
      <c r="AD1649" s="20" t="s">
        <v>2400</v>
      </c>
      <c r="AE1649" s="10" t="s">
        <v>392</v>
      </c>
      <c r="AF1649" s="20" t="s">
        <v>1941</v>
      </c>
      <c r="AG1649" s="10"/>
      <c r="AH1649" s="22" t="str">
        <f t="shared" si="52"/>
        <v xml:space="preserve">San_Martín_09 San Martín </v>
      </c>
      <c r="AI1649" s="10" t="s">
        <v>2026</v>
      </c>
      <c r="AJ1649" s="20" t="s">
        <v>2011</v>
      </c>
      <c r="AK1649" s="22" t="str">
        <f t="shared" si="53"/>
        <v>San_Martín_09 San Martín _13 Sauce</v>
      </c>
      <c r="AL1649" s="25">
        <v>0</v>
      </c>
      <c r="AM1649" s="25">
        <v>30</v>
      </c>
      <c r="AN1649" s="26">
        <f>Tabla2[[#This Row],[Minutos]]/60</f>
        <v>0.5</v>
      </c>
      <c r="AO1649" s="27">
        <f>SUM(Tabla2[[#This Row],[Horas]],Tabla2[[#This Row],[Minutos a Horas]])</f>
        <v>0.5</v>
      </c>
      <c r="AP1649" s="49">
        <v>1</v>
      </c>
      <c r="AQ1649" s="49">
        <v>52</v>
      </c>
      <c r="AR1649" s="26">
        <f>Tabla2[[#This Row],[Minutos*]]/60</f>
        <v>0.8666666666666667</v>
      </c>
      <c r="AS1649" s="27">
        <f>SUM(Tabla2[[#This Row],[Horas*]],Tabla2[[#This Row],[Minutos a Horas*]])+(Tabla2[[#This Row],[Tiempo Total a Nivel Proncincial (Horas)]])</f>
        <v>2.3666666666666667</v>
      </c>
    </row>
    <row r="1650" spans="30:45" hidden="1" x14ac:dyDescent="0.25">
      <c r="AD1650" s="20" t="s">
        <v>2400</v>
      </c>
      <c r="AE1650" s="10" t="s">
        <v>392</v>
      </c>
      <c r="AF1650" s="20" t="s">
        <v>1941</v>
      </c>
      <c r="AG1650" s="10"/>
      <c r="AH1650" s="22" t="str">
        <f t="shared" si="52"/>
        <v xml:space="preserve">San_Martín_09 San Martín </v>
      </c>
      <c r="AI1650" s="10" t="s">
        <v>2026</v>
      </c>
      <c r="AJ1650" s="20" t="s">
        <v>2012</v>
      </c>
      <c r="AK1650" s="22" t="str">
        <f t="shared" si="53"/>
        <v>San_Martín_09 San Martín _14 Shapaja</v>
      </c>
      <c r="AL1650" s="25">
        <v>0</v>
      </c>
      <c r="AM1650" s="25">
        <v>30</v>
      </c>
      <c r="AN1650" s="26">
        <f>Tabla2[[#This Row],[Minutos]]/60</f>
        <v>0.5</v>
      </c>
      <c r="AO1650" s="27">
        <f>SUM(Tabla2[[#This Row],[Horas]],Tabla2[[#This Row],[Minutos a Horas]])</f>
        <v>0.5</v>
      </c>
      <c r="AP1650" s="49">
        <v>0</v>
      </c>
      <c r="AQ1650" s="49">
        <v>32</v>
      </c>
      <c r="AR1650" s="26">
        <f>Tabla2[[#This Row],[Minutos*]]/60</f>
        <v>0.53333333333333333</v>
      </c>
      <c r="AS1650" s="27">
        <f>SUM(Tabla2[[#This Row],[Horas*]],Tabla2[[#This Row],[Minutos a Horas*]])+(Tabla2[[#This Row],[Tiempo Total a Nivel Proncincial (Horas)]])</f>
        <v>1.0333333333333332</v>
      </c>
    </row>
    <row r="1651" spans="30:45" hidden="1" x14ac:dyDescent="0.25">
      <c r="AD1651" s="20" t="s">
        <v>2400</v>
      </c>
      <c r="AE1651" s="10" t="s">
        <v>392</v>
      </c>
      <c r="AF1651" s="20" t="s">
        <v>1942</v>
      </c>
      <c r="AG1651" s="10"/>
      <c r="AH1651" s="22" t="str">
        <f t="shared" si="52"/>
        <v xml:space="preserve">San_Martín_10 Tocache </v>
      </c>
      <c r="AI1651" s="10" t="s">
        <v>2027</v>
      </c>
      <c r="AJ1651" s="20" t="s">
        <v>2013</v>
      </c>
      <c r="AK1651" s="22" t="str">
        <f t="shared" si="53"/>
        <v>San_Martín_10 Tocache _01 Tocache</v>
      </c>
      <c r="AL1651" s="25">
        <v>6</v>
      </c>
      <c r="AM1651" s="25">
        <v>3</v>
      </c>
      <c r="AN1651" s="26">
        <f>Tabla2[[#This Row],[Minutos]]/60</f>
        <v>0.05</v>
      </c>
      <c r="AO1651" s="27">
        <f>SUM(Tabla2[[#This Row],[Horas]],Tabla2[[#This Row],[Minutos a Horas]])</f>
        <v>6.05</v>
      </c>
      <c r="AP1651" s="49">
        <v>5</v>
      </c>
      <c r="AQ1651" s="49">
        <v>55</v>
      </c>
      <c r="AR1651" s="26">
        <f>Tabla2[[#This Row],[Minutos*]]/60</f>
        <v>0.91666666666666663</v>
      </c>
      <c r="AS1651" s="27">
        <f>SUM(Tabla2[[#This Row],[Horas*]],Tabla2[[#This Row],[Minutos a Horas*]])+(Tabla2[[#This Row],[Tiempo Total a Nivel Proncincial (Horas)]])</f>
        <v>11.966666666666667</v>
      </c>
    </row>
    <row r="1652" spans="30:45" hidden="1" x14ac:dyDescent="0.25">
      <c r="AD1652" s="20" t="s">
        <v>2400</v>
      </c>
      <c r="AE1652" s="10" t="s">
        <v>392</v>
      </c>
      <c r="AF1652" s="20" t="s">
        <v>1942</v>
      </c>
      <c r="AG1652" s="10"/>
      <c r="AH1652" s="22" t="str">
        <f t="shared" si="52"/>
        <v xml:space="preserve">San_Martín_10 Tocache </v>
      </c>
      <c r="AI1652" s="10" t="s">
        <v>2027</v>
      </c>
      <c r="AJ1652" s="20" t="s">
        <v>2014</v>
      </c>
      <c r="AK1652" s="22" t="str">
        <f t="shared" si="53"/>
        <v>San_Martín_10 Tocache _02 Nuevo Progreso</v>
      </c>
      <c r="AL1652" s="25">
        <v>6</v>
      </c>
      <c r="AM1652" s="25">
        <v>3</v>
      </c>
      <c r="AN1652" s="26">
        <f>Tabla2[[#This Row],[Minutos]]/60</f>
        <v>0.05</v>
      </c>
      <c r="AO1652" s="27">
        <f>SUM(Tabla2[[#This Row],[Horas]],Tabla2[[#This Row],[Minutos a Horas]])</f>
        <v>6.05</v>
      </c>
      <c r="AP1652" s="49">
        <v>6</v>
      </c>
      <c r="AQ1652" s="49">
        <v>49</v>
      </c>
      <c r="AR1652" s="26">
        <f>Tabla2[[#This Row],[Minutos*]]/60</f>
        <v>0.81666666666666665</v>
      </c>
      <c r="AS1652" s="27">
        <f>SUM(Tabla2[[#This Row],[Horas*]],Tabla2[[#This Row],[Minutos a Horas*]])+(Tabla2[[#This Row],[Tiempo Total a Nivel Proncincial (Horas)]])</f>
        <v>12.866666666666667</v>
      </c>
    </row>
    <row r="1653" spans="30:45" hidden="1" x14ac:dyDescent="0.25">
      <c r="AD1653" s="20" t="s">
        <v>2400</v>
      </c>
      <c r="AE1653" s="10" t="s">
        <v>392</v>
      </c>
      <c r="AF1653" s="20" t="s">
        <v>1942</v>
      </c>
      <c r="AG1653" s="10"/>
      <c r="AH1653" s="22" t="str">
        <f t="shared" si="52"/>
        <v xml:space="preserve">San_Martín_10 Tocache </v>
      </c>
      <c r="AI1653" s="10" t="s">
        <v>2027</v>
      </c>
      <c r="AJ1653" s="20" t="s">
        <v>2015</v>
      </c>
      <c r="AK1653" s="22" t="str">
        <f t="shared" si="53"/>
        <v>San_Martín_10 Tocache _03 Polvora</v>
      </c>
      <c r="AL1653" s="25">
        <v>6</v>
      </c>
      <c r="AM1653" s="25">
        <v>3</v>
      </c>
      <c r="AN1653" s="26">
        <f>Tabla2[[#This Row],[Minutos]]/60</f>
        <v>0.05</v>
      </c>
      <c r="AO1653" s="27">
        <f>SUM(Tabla2[[#This Row],[Horas]],Tabla2[[#This Row],[Minutos a Horas]])</f>
        <v>6.05</v>
      </c>
      <c r="AP1653" s="49">
        <v>4</v>
      </c>
      <c r="AQ1653" s="49">
        <v>57</v>
      </c>
      <c r="AR1653" s="26">
        <f>Tabla2[[#This Row],[Minutos*]]/60</f>
        <v>0.95</v>
      </c>
      <c r="AS1653" s="27">
        <f>SUM(Tabla2[[#This Row],[Horas*]],Tabla2[[#This Row],[Minutos a Horas*]])+(Tabla2[[#This Row],[Tiempo Total a Nivel Proncincial (Horas)]])</f>
        <v>11</v>
      </c>
    </row>
    <row r="1654" spans="30:45" hidden="1" x14ac:dyDescent="0.25">
      <c r="AD1654" s="20" t="s">
        <v>2400</v>
      </c>
      <c r="AE1654" s="10" t="s">
        <v>392</v>
      </c>
      <c r="AF1654" s="20" t="s">
        <v>1942</v>
      </c>
      <c r="AG1654" s="10"/>
      <c r="AH1654" s="22" t="str">
        <f t="shared" si="52"/>
        <v xml:space="preserve">San_Martín_10 Tocache </v>
      </c>
      <c r="AI1654" s="10" t="s">
        <v>2027</v>
      </c>
      <c r="AJ1654" s="20" t="s">
        <v>2016</v>
      </c>
      <c r="AK1654" s="22" t="str">
        <f t="shared" si="53"/>
        <v>San_Martín_10 Tocache _04 Shunte</v>
      </c>
      <c r="AL1654" s="25">
        <v>6</v>
      </c>
      <c r="AM1654" s="25">
        <v>3</v>
      </c>
      <c r="AN1654" s="26">
        <f>Tabla2[[#This Row],[Minutos]]/60</f>
        <v>0.05</v>
      </c>
      <c r="AO1654" s="27">
        <f>SUM(Tabla2[[#This Row],[Horas]],Tabla2[[#This Row],[Minutos a Horas]])</f>
        <v>6.05</v>
      </c>
      <c r="AP1654" s="49">
        <v>6</v>
      </c>
      <c r="AQ1654" s="49">
        <v>43</v>
      </c>
      <c r="AR1654" s="26">
        <f>Tabla2[[#This Row],[Minutos*]]/60</f>
        <v>0.71666666666666667</v>
      </c>
      <c r="AS1654" s="27">
        <f>SUM(Tabla2[[#This Row],[Horas*]],Tabla2[[#This Row],[Minutos a Horas*]])+(Tabla2[[#This Row],[Tiempo Total a Nivel Proncincial (Horas)]])</f>
        <v>12.766666666666666</v>
      </c>
    </row>
    <row r="1655" spans="30:45" hidden="1" x14ac:dyDescent="0.25">
      <c r="AD1655" s="20" t="s">
        <v>2400</v>
      </c>
      <c r="AE1655" s="10" t="s">
        <v>392</v>
      </c>
      <c r="AF1655" s="20" t="s">
        <v>1942</v>
      </c>
      <c r="AG1655" s="10"/>
      <c r="AH1655" s="22" t="str">
        <f t="shared" si="52"/>
        <v xml:space="preserve">San_Martín_10 Tocache </v>
      </c>
      <c r="AI1655" s="10" t="s">
        <v>2027</v>
      </c>
      <c r="AJ1655" s="20" t="s">
        <v>2017</v>
      </c>
      <c r="AK1655" s="22" t="str">
        <f t="shared" si="53"/>
        <v>San_Martín_10 Tocache _05 Uchiza</v>
      </c>
      <c r="AL1655" s="25">
        <v>6</v>
      </c>
      <c r="AM1655" s="25">
        <v>3</v>
      </c>
      <c r="AN1655" s="26">
        <f>Tabla2[[#This Row],[Minutos]]/60</f>
        <v>0.05</v>
      </c>
      <c r="AO1655" s="27">
        <f>SUM(Tabla2[[#This Row],[Horas]],Tabla2[[#This Row],[Minutos a Horas]])</f>
        <v>6.05</v>
      </c>
      <c r="AP1655" s="49">
        <v>6</v>
      </c>
      <c r="AQ1655" s="49">
        <v>43</v>
      </c>
      <c r="AR1655" s="26">
        <f>Tabla2[[#This Row],[Minutos*]]/60</f>
        <v>0.71666666666666667</v>
      </c>
      <c r="AS1655" s="27">
        <f>SUM(Tabla2[[#This Row],[Horas*]],Tabla2[[#This Row],[Minutos a Horas*]])+(Tabla2[[#This Row],[Tiempo Total a Nivel Proncincial (Horas)]])</f>
        <v>12.766666666666666</v>
      </c>
    </row>
    <row r="1656" spans="30:45" hidden="1" x14ac:dyDescent="0.25">
      <c r="AD1656" s="20" t="s">
        <v>2390</v>
      </c>
      <c r="AE1656" s="10" t="s">
        <v>393</v>
      </c>
      <c r="AF1656" s="20" t="s">
        <v>2028</v>
      </c>
      <c r="AG1656" s="10" t="s">
        <v>2028</v>
      </c>
      <c r="AH1656" s="22" t="str">
        <f t="shared" si="52"/>
        <v xml:space="preserve">Tacna_01 Tacna </v>
      </c>
      <c r="AI1656" s="10" t="s">
        <v>2060</v>
      </c>
      <c r="AJ1656" s="20" t="s">
        <v>2032</v>
      </c>
      <c r="AK1656" s="22" t="str">
        <f t="shared" si="53"/>
        <v>Tacna_01 Tacna _01 Tacna</v>
      </c>
      <c r="AL1656" s="25">
        <v>1</v>
      </c>
      <c r="AM1656" s="25">
        <v>8</v>
      </c>
      <c r="AN1656" s="26">
        <f>Tabla2[[#This Row],[Minutos]]/60</f>
        <v>0.13333333333333333</v>
      </c>
      <c r="AO1656" s="27">
        <f>SUM(Tabla2[[#This Row],[Horas]],Tabla2[[#This Row],[Minutos a Horas]])</f>
        <v>1.1333333333333333</v>
      </c>
      <c r="AP1656" s="49">
        <v>0</v>
      </c>
      <c r="AQ1656" s="49">
        <v>45</v>
      </c>
      <c r="AR1656" s="26">
        <f>Tabla2[[#This Row],[Minutos*]]/60</f>
        <v>0.75</v>
      </c>
      <c r="AS1656" s="27">
        <f>SUM(Tabla2[[#This Row],[Horas*]],Tabla2[[#This Row],[Minutos a Horas*]])+(Tabla2[[#This Row],[Tiempo Total a Nivel Proncincial (Horas)]])</f>
        <v>1.8833333333333333</v>
      </c>
    </row>
    <row r="1657" spans="30:45" hidden="1" x14ac:dyDescent="0.25">
      <c r="AD1657" s="20" t="s">
        <v>2390</v>
      </c>
      <c r="AE1657" s="10" t="s">
        <v>393</v>
      </c>
      <c r="AF1657" s="20" t="s">
        <v>2028</v>
      </c>
      <c r="AG1657" s="10" t="s">
        <v>2029</v>
      </c>
      <c r="AH1657" s="22" t="str">
        <f t="shared" si="52"/>
        <v xml:space="preserve">Tacna_01 Tacna </v>
      </c>
      <c r="AI1657" s="10" t="s">
        <v>2060</v>
      </c>
      <c r="AJ1657" s="20" t="s">
        <v>2033</v>
      </c>
      <c r="AK1657" s="22" t="str">
        <f t="shared" si="53"/>
        <v>Tacna_01 Tacna _02 Alto de la Alianza</v>
      </c>
      <c r="AL1657" s="25">
        <v>1</v>
      </c>
      <c r="AM1657" s="25">
        <v>8</v>
      </c>
      <c r="AN1657" s="26">
        <f>Tabla2[[#This Row],[Minutos]]/60</f>
        <v>0.13333333333333333</v>
      </c>
      <c r="AO1657" s="27">
        <f>SUM(Tabla2[[#This Row],[Horas]],Tabla2[[#This Row],[Minutos a Horas]])</f>
        <v>1.1333333333333333</v>
      </c>
      <c r="AP1657" s="49">
        <v>0</v>
      </c>
      <c r="AQ1657" s="49">
        <v>30</v>
      </c>
      <c r="AR1657" s="26">
        <f>Tabla2[[#This Row],[Minutos*]]/60</f>
        <v>0.5</v>
      </c>
      <c r="AS1657" s="27">
        <f>SUM(Tabla2[[#This Row],[Horas*]],Tabla2[[#This Row],[Minutos a Horas*]])+(Tabla2[[#This Row],[Tiempo Total a Nivel Proncincial (Horas)]])</f>
        <v>1.6333333333333333</v>
      </c>
    </row>
    <row r="1658" spans="30:45" hidden="1" x14ac:dyDescent="0.25">
      <c r="AD1658" s="20" t="s">
        <v>2390</v>
      </c>
      <c r="AE1658" s="10" t="s">
        <v>393</v>
      </c>
      <c r="AF1658" s="20" t="s">
        <v>2028</v>
      </c>
      <c r="AG1658" s="10" t="s">
        <v>2030</v>
      </c>
      <c r="AH1658" s="22" t="str">
        <f t="shared" si="52"/>
        <v xml:space="preserve">Tacna_01 Tacna </v>
      </c>
      <c r="AI1658" s="10" t="s">
        <v>2060</v>
      </c>
      <c r="AJ1658" s="20" t="s">
        <v>2034</v>
      </c>
      <c r="AK1658" s="22" t="str">
        <f t="shared" si="53"/>
        <v>Tacna_01 Tacna _03 Calana</v>
      </c>
      <c r="AL1658" s="25">
        <v>1</v>
      </c>
      <c r="AM1658" s="25">
        <v>8</v>
      </c>
      <c r="AN1658" s="26">
        <f>Tabla2[[#This Row],[Minutos]]/60</f>
        <v>0.13333333333333333</v>
      </c>
      <c r="AO1658" s="27">
        <f>SUM(Tabla2[[#This Row],[Horas]],Tabla2[[#This Row],[Minutos a Horas]])</f>
        <v>1.1333333333333333</v>
      </c>
      <c r="AP1658" s="49">
        <v>0</v>
      </c>
      <c r="AQ1658" s="49">
        <v>45</v>
      </c>
      <c r="AR1658" s="26">
        <f>Tabla2[[#This Row],[Minutos*]]/60</f>
        <v>0.75</v>
      </c>
      <c r="AS1658" s="27">
        <f>SUM(Tabla2[[#This Row],[Horas*]],Tabla2[[#This Row],[Minutos a Horas*]])+(Tabla2[[#This Row],[Tiempo Total a Nivel Proncincial (Horas)]])</f>
        <v>1.8833333333333333</v>
      </c>
    </row>
    <row r="1659" spans="30:45" hidden="1" x14ac:dyDescent="0.25">
      <c r="AD1659" s="20" t="s">
        <v>2390</v>
      </c>
      <c r="AE1659" s="10" t="s">
        <v>393</v>
      </c>
      <c r="AF1659" s="20" t="s">
        <v>2028</v>
      </c>
      <c r="AG1659" s="10" t="s">
        <v>2031</v>
      </c>
      <c r="AH1659" s="22" t="str">
        <f t="shared" si="52"/>
        <v xml:space="preserve">Tacna_01 Tacna </v>
      </c>
      <c r="AI1659" s="10" t="s">
        <v>2060</v>
      </c>
      <c r="AJ1659" s="20" t="s">
        <v>2035</v>
      </c>
      <c r="AK1659" s="22" t="str">
        <f t="shared" si="53"/>
        <v>Tacna_01 Tacna _04 Ciudad Nueva</v>
      </c>
      <c r="AL1659" s="25">
        <v>1</v>
      </c>
      <c r="AM1659" s="25">
        <v>8</v>
      </c>
      <c r="AN1659" s="26">
        <f>Tabla2[[#This Row],[Minutos]]/60</f>
        <v>0.13333333333333333</v>
      </c>
      <c r="AO1659" s="27">
        <f>SUM(Tabla2[[#This Row],[Horas]],Tabla2[[#This Row],[Minutos a Horas]])</f>
        <v>1.1333333333333333</v>
      </c>
      <c r="AP1659" s="49">
        <v>0</v>
      </c>
      <c r="AQ1659" s="49">
        <v>45</v>
      </c>
      <c r="AR1659" s="26">
        <f>Tabla2[[#This Row],[Minutos*]]/60</f>
        <v>0.75</v>
      </c>
      <c r="AS1659" s="27">
        <f>SUM(Tabla2[[#This Row],[Horas*]],Tabla2[[#This Row],[Minutos a Horas*]])+(Tabla2[[#This Row],[Tiempo Total a Nivel Proncincial (Horas)]])</f>
        <v>1.8833333333333333</v>
      </c>
    </row>
    <row r="1660" spans="30:45" hidden="1" x14ac:dyDescent="0.25">
      <c r="AD1660" s="20" t="s">
        <v>2390</v>
      </c>
      <c r="AE1660" s="10" t="s">
        <v>393</v>
      </c>
      <c r="AF1660" s="20" t="s">
        <v>2028</v>
      </c>
      <c r="AG1660" s="10"/>
      <c r="AH1660" s="22" t="str">
        <f t="shared" si="52"/>
        <v xml:space="preserve">Tacna_01 Tacna </v>
      </c>
      <c r="AI1660" s="10" t="s">
        <v>2060</v>
      </c>
      <c r="AJ1660" s="20" t="s">
        <v>2036</v>
      </c>
      <c r="AK1660" s="22" t="str">
        <f t="shared" si="53"/>
        <v>Tacna_01 Tacna _05 Inclan</v>
      </c>
      <c r="AL1660" s="25">
        <v>1</v>
      </c>
      <c r="AM1660" s="25">
        <v>8</v>
      </c>
      <c r="AN1660" s="26">
        <f>Tabla2[[#This Row],[Minutos]]/60</f>
        <v>0.13333333333333333</v>
      </c>
      <c r="AO1660" s="27">
        <f>SUM(Tabla2[[#This Row],[Horas]],Tabla2[[#This Row],[Minutos a Horas]])</f>
        <v>1.1333333333333333</v>
      </c>
      <c r="AP1660" s="49">
        <v>2</v>
      </c>
      <c r="AQ1660" s="49">
        <v>15</v>
      </c>
      <c r="AR1660" s="26">
        <f>Tabla2[[#This Row],[Minutos*]]/60</f>
        <v>0.25</v>
      </c>
      <c r="AS1660" s="27">
        <f>SUM(Tabla2[[#This Row],[Horas*]],Tabla2[[#This Row],[Minutos a Horas*]])+(Tabla2[[#This Row],[Tiempo Total a Nivel Proncincial (Horas)]])</f>
        <v>3.3833333333333333</v>
      </c>
    </row>
    <row r="1661" spans="30:45" hidden="1" x14ac:dyDescent="0.25">
      <c r="AD1661" s="20" t="s">
        <v>2390</v>
      </c>
      <c r="AE1661" s="10" t="s">
        <v>393</v>
      </c>
      <c r="AF1661" s="20" t="s">
        <v>2028</v>
      </c>
      <c r="AG1661" s="10"/>
      <c r="AH1661" s="22" t="str">
        <f t="shared" si="52"/>
        <v xml:space="preserve">Tacna_01 Tacna </v>
      </c>
      <c r="AI1661" s="10" t="s">
        <v>2060</v>
      </c>
      <c r="AJ1661" s="20" t="s">
        <v>2037</v>
      </c>
      <c r="AK1661" s="22" t="str">
        <f t="shared" si="53"/>
        <v>Tacna_01 Tacna _06 Pachia</v>
      </c>
      <c r="AL1661" s="25">
        <v>1</v>
      </c>
      <c r="AM1661" s="25">
        <v>8</v>
      </c>
      <c r="AN1661" s="26">
        <f>Tabla2[[#This Row],[Minutos]]/60</f>
        <v>0.13333333333333333</v>
      </c>
      <c r="AO1661" s="27">
        <f>SUM(Tabla2[[#This Row],[Horas]],Tabla2[[#This Row],[Minutos a Horas]])</f>
        <v>1.1333333333333333</v>
      </c>
      <c r="AP1661" s="49">
        <v>1</v>
      </c>
      <c r="AQ1661" s="49">
        <v>30</v>
      </c>
      <c r="AR1661" s="26">
        <f>Tabla2[[#This Row],[Minutos*]]/60</f>
        <v>0.5</v>
      </c>
      <c r="AS1661" s="27">
        <f>SUM(Tabla2[[#This Row],[Horas*]],Tabla2[[#This Row],[Minutos a Horas*]])+(Tabla2[[#This Row],[Tiempo Total a Nivel Proncincial (Horas)]])</f>
        <v>2.6333333333333333</v>
      </c>
    </row>
    <row r="1662" spans="30:45" hidden="1" x14ac:dyDescent="0.25">
      <c r="AD1662" s="20" t="s">
        <v>2390</v>
      </c>
      <c r="AE1662" s="10" t="s">
        <v>393</v>
      </c>
      <c r="AF1662" s="20" t="s">
        <v>2028</v>
      </c>
      <c r="AG1662" s="10"/>
      <c r="AH1662" s="22" t="str">
        <f t="shared" si="52"/>
        <v xml:space="preserve">Tacna_01 Tacna </v>
      </c>
      <c r="AI1662" s="10" t="s">
        <v>2060</v>
      </c>
      <c r="AJ1662" s="20" t="s">
        <v>2038</v>
      </c>
      <c r="AK1662" s="22" t="str">
        <f t="shared" si="53"/>
        <v>Tacna_01 Tacna _07 Palca</v>
      </c>
      <c r="AL1662" s="25">
        <v>1</v>
      </c>
      <c r="AM1662" s="25">
        <v>8</v>
      </c>
      <c r="AN1662" s="26">
        <f>Tabla2[[#This Row],[Minutos]]/60</f>
        <v>0.13333333333333333</v>
      </c>
      <c r="AO1662" s="27">
        <f>SUM(Tabla2[[#This Row],[Horas]],Tabla2[[#This Row],[Minutos a Horas]])</f>
        <v>1.1333333333333333</v>
      </c>
      <c r="AP1662" s="49">
        <v>7</v>
      </c>
      <c r="AQ1662" s="49">
        <v>30</v>
      </c>
      <c r="AR1662" s="26">
        <f>Tabla2[[#This Row],[Minutos*]]/60</f>
        <v>0.5</v>
      </c>
      <c r="AS1662" s="27">
        <f>SUM(Tabla2[[#This Row],[Horas*]],Tabla2[[#This Row],[Minutos a Horas*]])+(Tabla2[[#This Row],[Tiempo Total a Nivel Proncincial (Horas)]])</f>
        <v>8.6333333333333329</v>
      </c>
    </row>
    <row r="1663" spans="30:45" hidden="1" x14ac:dyDescent="0.25">
      <c r="AD1663" s="20" t="s">
        <v>2390</v>
      </c>
      <c r="AE1663" s="10" t="s">
        <v>393</v>
      </c>
      <c r="AF1663" s="20" t="s">
        <v>2028</v>
      </c>
      <c r="AG1663" s="10"/>
      <c r="AH1663" s="22" t="str">
        <f t="shared" si="52"/>
        <v xml:space="preserve">Tacna_01 Tacna </v>
      </c>
      <c r="AI1663" s="10" t="s">
        <v>2060</v>
      </c>
      <c r="AJ1663" s="20" t="s">
        <v>2039</v>
      </c>
      <c r="AK1663" s="22" t="str">
        <f t="shared" si="53"/>
        <v>Tacna_01 Tacna _08 Pocollay</v>
      </c>
      <c r="AL1663" s="25">
        <v>1</v>
      </c>
      <c r="AM1663" s="25">
        <v>8</v>
      </c>
      <c r="AN1663" s="26">
        <f>Tabla2[[#This Row],[Minutos]]/60</f>
        <v>0.13333333333333333</v>
      </c>
      <c r="AO1663" s="27">
        <f>SUM(Tabla2[[#This Row],[Horas]],Tabla2[[#This Row],[Minutos a Horas]])</f>
        <v>1.1333333333333333</v>
      </c>
      <c r="AP1663" s="49">
        <v>0</v>
      </c>
      <c r="AQ1663" s="49">
        <v>45</v>
      </c>
      <c r="AR1663" s="26">
        <f>Tabla2[[#This Row],[Minutos*]]/60</f>
        <v>0.75</v>
      </c>
      <c r="AS1663" s="27">
        <f>SUM(Tabla2[[#This Row],[Horas*]],Tabla2[[#This Row],[Minutos a Horas*]])+(Tabla2[[#This Row],[Tiempo Total a Nivel Proncincial (Horas)]])</f>
        <v>1.8833333333333333</v>
      </c>
    </row>
    <row r="1664" spans="30:45" hidden="1" x14ac:dyDescent="0.25">
      <c r="AD1664" s="20" t="s">
        <v>2390</v>
      </c>
      <c r="AE1664" s="10" t="s">
        <v>393</v>
      </c>
      <c r="AF1664" s="20" t="s">
        <v>2028</v>
      </c>
      <c r="AG1664" s="10"/>
      <c r="AH1664" s="22" t="str">
        <f t="shared" si="52"/>
        <v xml:space="preserve">Tacna_01 Tacna </v>
      </c>
      <c r="AI1664" s="10" t="s">
        <v>2060</v>
      </c>
      <c r="AJ1664" s="20" t="s">
        <v>2040</v>
      </c>
      <c r="AK1664" s="22" t="str">
        <f t="shared" si="53"/>
        <v>Tacna_01 Tacna _09 Sama</v>
      </c>
      <c r="AL1664" s="25">
        <v>1</v>
      </c>
      <c r="AM1664" s="25">
        <v>8</v>
      </c>
      <c r="AN1664" s="26">
        <f>Tabla2[[#This Row],[Minutos]]/60</f>
        <v>0.13333333333333333</v>
      </c>
      <c r="AO1664" s="27">
        <f>SUM(Tabla2[[#This Row],[Horas]],Tabla2[[#This Row],[Minutos a Horas]])</f>
        <v>1.1333333333333333</v>
      </c>
      <c r="AP1664" s="49">
        <v>2</v>
      </c>
      <c r="AQ1664" s="49">
        <v>15</v>
      </c>
      <c r="AR1664" s="26">
        <f>Tabla2[[#This Row],[Minutos*]]/60</f>
        <v>0.25</v>
      </c>
      <c r="AS1664" s="27">
        <f>SUM(Tabla2[[#This Row],[Horas*]],Tabla2[[#This Row],[Minutos a Horas*]])+(Tabla2[[#This Row],[Tiempo Total a Nivel Proncincial (Horas)]])</f>
        <v>3.3833333333333333</v>
      </c>
    </row>
    <row r="1665" spans="30:45" ht="30" hidden="1" x14ac:dyDescent="0.25">
      <c r="AD1665" s="20" t="s">
        <v>2390</v>
      </c>
      <c r="AE1665" s="10" t="s">
        <v>393</v>
      </c>
      <c r="AF1665" s="20" t="s">
        <v>2028</v>
      </c>
      <c r="AG1665" s="10"/>
      <c r="AH1665" s="22" t="str">
        <f t="shared" si="52"/>
        <v xml:space="preserve">Tacna_01 Tacna </v>
      </c>
      <c r="AI1665" s="10" t="s">
        <v>2060</v>
      </c>
      <c r="AJ1665" s="20" t="s">
        <v>2041</v>
      </c>
      <c r="AK1665" s="22" t="str">
        <f t="shared" si="53"/>
        <v>Tacna_01 Tacna _10 Coronel Gregorio Albarracín Lanchipa</v>
      </c>
      <c r="AL1665" s="25">
        <v>1</v>
      </c>
      <c r="AM1665" s="25">
        <v>8</v>
      </c>
      <c r="AN1665" s="26">
        <f>Tabla2[[#This Row],[Minutos]]/60</f>
        <v>0.13333333333333333</v>
      </c>
      <c r="AO1665" s="27">
        <f>SUM(Tabla2[[#This Row],[Horas]],Tabla2[[#This Row],[Minutos a Horas]])</f>
        <v>1.1333333333333333</v>
      </c>
      <c r="AP1665" s="49">
        <v>0</v>
      </c>
      <c r="AQ1665" s="49">
        <v>45</v>
      </c>
      <c r="AR1665" s="26">
        <f>Tabla2[[#This Row],[Minutos*]]/60</f>
        <v>0.75</v>
      </c>
      <c r="AS1665" s="27">
        <f>SUM(Tabla2[[#This Row],[Horas*]],Tabla2[[#This Row],[Minutos a Horas*]])+(Tabla2[[#This Row],[Tiempo Total a Nivel Proncincial (Horas)]])</f>
        <v>1.8833333333333333</v>
      </c>
    </row>
    <row r="1666" spans="30:45" hidden="1" x14ac:dyDescent="0.25">
      <c r="AD1666" s="20" t="s">
        <v>2390</v>
      </c>
      <c r="AE1666" s="10" t="s">
        <v>393</v>
      </c>
      <c r="AF1666" s="20" t="s">
        <v>2028</v>
      </c>
      <c r="AG1666" s="10"/>
      <c r="AH1666" s="22" t="str">
        <f t="shared" si="52"/>
        <v xml:space="preserve">Tacna_01 Tacna </v>
      </c>
      <c r="AI1666" s="10" t="s">
        <v>2060</v>
      </c>
      <c r="AJ1666" s="20" t="s">
        <v>2042</v>
      </c>
      <c r="AK1666" s="22" t="str">
        <f t="shared" si="53"/>
        <v>Tacna_01 Tacna _11 La Yarada los Palos</v>
      </c>
      <c r="AL1666" s="25">
        <v>1</v>
      </c>
      <c r="AM1666" s="25">
        <v>8</v>
      </c>
      <c r="AN1666" s="26">
        <f>Tabla2[[#This Row],[Minutos]]/60</f>
        <v>0.13333333333333333</v>
      </c>
      <c r="AO1666" s="27">
        <f>SUM(Tabla2[[#This Row],[Horas]],Tabla2[[#This Row],[Minutos a Horas]])</f>
        <v>1.1333333333333333</v>
      </c>
      <c r="AP1666" s="49">
        <v>1</v>
      </c>
      <c r="AQ1666" s="49">
        <v>30</v>
      </c>
      <c r="AR1666" s="26">
        <f>Tabla2[[#This Row],[Minutos*]]/60</f>
        <v>0.5</v>
      </c>
      <c r="AS1666" s="27">
        <f>SUM(Tabla2[[#This Row],[Horas*]],Tabla2[[#This Row],[Minutos a Horas*]])+(Tabla2[[#This Row],[Tiempo Total a Nivel Proncincial (Horas)]])</f>
        <v>2.6333333333333333</v>
      </c>
    </row>
    <row r="1667" spans="30:45" hidden="1" x14ac:dyDescent="0.25">
      <c r="AD1667" s="20" t="s">
        <v>2390</v>
      </c>
      <c r="AE1667" s="10" t="s">
        <v>393</v>
      </c>
      <c r="AF1667" s="20" t="s">
        <v>2029</v>
      </c>
      <c r="AG1667" s="10"/>
      <c r="AH1667" s="22" t="str">
        <f t="shared" si="52"/>
        <v xml:space="preserve">Tacna_02 Candarave </v>
      </c>
      <c r="AI1667" s="10" t="s">
        <v>2061</v>
      </c>
      <c r="AJ1667" s="20" t="s">
        <v>2043</v>
      </c>
      <c r="AK1667" s="22" t="str">
        <f t="shared" si="53"/>
        <v>Tacna_02 Candarave _01 Candarave</v>
      </c>
      <c r="AL1667" s="25">
        <v>2</v>
      </c>
      <c r="AM1667" s="25">
        <v>59</v>
      </c>
      <c r="AN1667" s="26">
        <f>Tabla2[[#This Row],[Minutos]]/60</f>
        <v>0.98333333333333328</v>
      </c>
      <c r="AO1667" s="27">
        <f>SUM(Tabla2[[#This Row],[Horas]],Tabla2[[#This Row],[Minutos a Horas]])</f>
        <v>2.9833333333333334</v>
      </c>
      <c r="AP1667" s="49">
        <v>5</v>
      </c>
      <c r="AQ1667" s="49">
        <v>30</v>
      </c>
      <c r="AR1667" s="26">
        <f>Tabla2[[#This Row],[Minutos*]]/60</f>
        <v>0.5</v>
      </c>
      <c r="AS1667" s="27">
        <f>SUM(Tabla2[[#This Row],[Horas*]],Tabla2[[#This Row],[Minutos a Horas*]])+(Tabla2[[#This Row],[Tiempo Total a Nivel Proncincial (Horas)]])</f>
        <v>8.4833333333333343</v>
      </c>
    </row>
    <row r="1668" spans="30:45" hidden="1" x14ac:dyDescent="0.25">
      <c r="AD1668" s="20" t="s">
        <v>2390</v>
      </c>
      <c r="AE1668" s="10" t="s">
        <v>393</v>
      </c>
      <c r="AF1668" s="20" t="s">
        <v>2029</v>
      </c>
      <c r="AG1668" s="10"/>
      <c r="AH1668" s="22" t="str">
        <f t="shared" si="52"/>
        <v xml:space="preserve">Tacna_02 Candarave </v>
      </c>
      <c r="AI1668" s="10" t="s">
        <v>2061</v>
      </c>
      <c r="AJ1668" s="20" t="s">
        <v>2044</v>
      </c>
      <c r="AK1668" s="22" t="str">
        <f t="shared" si="53"/>
        <v>Tacna_02 Candarave _02 Cairani</v>
      </c>
      <c r="AL1668" s="25">
        <v>2</v>
      </c>
      <c r="AM1668" s="25">
        <v>59</v>
      </c>
      <c r="AN1668" s="26">
        <f>Tabla2[[#This Row],[Minutos]]/60</f>
        <v>0.98333333333333328</v>
      </c>
      <c r="AO1668" s="27">
        <f>SUM(Tabla2[[#This Row],[Horas]],Tabla2[[#This Row],[Minutos a Horas]])</f>
        <v>2.9833333333333334</v>
      </c>
      <c r="AP1668" s="49">
        <v>6</v>
      </c>
      <c r="AQ1668" s="49">
        <v>30</v>
      </c>
      <c r="AR1668" s="26">
        <f>Tabla2[[#This Row],[Minutos*]]/60</f>
        <v>0.5</v>
      </c>
      <c r="AS1668" s="27">
        <f>SUM(Tabla2[[#This Row],[Horas*]],Tabla2[[#This Row],[Minutos a Horas*]])+(Tabla2[[#This Row],[Tiempo Total a Nivel Proncincial (Horas)]])</f>
        <v>9.4833333333333343</v>
      </c>
    </row>
    <row r="1669" spans="30:45" hidden="1" x14ac:dyDescent="0.25">
      <c r="AD1669" s="20" t="s">
        <v>2390</v>
      </c>
      <c r="AE1669" s="10" t="s">
        <v>393</v>
      </c>
      <c r="AF1669" s="20" t="s">
        <v>2029</v>
      </c>
      <c r="AG1669" s="10"/>
      <c r="AH1669" s="22" t="str">
        <f t="shared" si="52"/>
        <v xml:space="preserve">Tacna_02 Candarave </v>
      </c>
      <c r="AI1669" s="10" t="s">
        <v>2061</v>
      </c>
      <c r="AJ1669" s="20" t="s">
        <v>2045</v>
      </c>
      <c r="AK1669" s="22" t="str">
        <f t="shared" si="53"/>
        <v>Tacna_02 Candarave _03 Camilaca</v>
      </c>
      <c r="AL1669" s="25">
        <v>2</v>
      </c>
      <c r="AM1669" s="25">
        <v>59</v>
      </c>
      <c r="AN1669" s="26">
        <f>Tabla2[[#This Row],[Minutos]]/60</f>
        <v>0.98333333333333328</v>
      </c>
      <c r="AO1669" s="27">
        <f>SUM(Tabla2[[#This Row],[Horas]],Tabla2[[#This Row],[Minutos a Horas]])</f>
        <v>2.9833333333333334</v>
      </c>
      <c r="AP1669" s="49">
        <v>6</v>
      </c>
      <c r="AQ1669" s="49">
        <v>45</v>
      </c>
      <c r="AR1669" s="26">
        <f>Tabla2[[#This Row],[Minutos*]]/60</f>
        <v>0.75</v>
      </c>
      <c r="AS1669" s="27">
        <f>SUM(Tabla2[[#This Row],[Horas*]],Tabla2[[#This Row],[Minutos a Horas*]])+(Tabla2[[#This Row],[Tiempo Total a Nivel Proncincial (Horas)]])</f>
        <v>9.7333333333333343</v>
      </c>
    </row>
    <row r="1670" spans="30:45" hidden="1" x14ac:dyDescent="0.25">
      <c r="AD1670" s="20" t="s">
        <v>2390</v>
      </c>
      <c r="AE1670" s="10" t="s">
        <v>393</v>
      </c>
      <c r="AF1670" s="20" t="s">
        <v>2029</v>
      </c>
      <c r="AG1670" s="10"/>
      <c r="AH1670" s="22" t="str">
        <f t="shared" si="52"/>
        <v xml:space="preserve">Tacna_02 Candarave </v>
      </c>
      <c r="AI1670" s="10" t="s">
        <v>2061</v>
      </c>
      <c r="AJ1670" s="20" t="s">
        <v>2046</v>
      </c>
      <c r="AK1670" s="22" t="str">
        <f t="shared" si="53"/>
        <v>Tacna_02 Candarave _04 Curibaya</v>
      </c>
      <c r="AL1670" s="25">
        <v>2</v>
      </c>
      <c r="AM1670" s="25">
        <v>59</v>
      </c>
      <c r="AN1670" s="26">
        <f>Tabla2[[#This Row],[Minutos]]/60</f>
        <v>0.98333333333333328</v>
      </c>
      <c r="AO1670" s="27">
        <f>SUM(Tabla2[[#This Row],[Horas]],Tabla2[[#This Row],[Minutos a Horas]])</f>
        <v>2.9833333333333334</v>
      </c>
      <c r="AP1670" s="49">
        <v>4</v>
      </c>
      <c r="AQ1670" s="49">
        <v>30</v>
      </c>
      <c r="AR1670" s="26">
        <f>Tabla2[[#This Row],[Minutos*]]/60</f>
        <v>0.5</v>
      </c>
      <c r="AS1670" s="27">
        <f>SUM(Tabla2[[#This Row],[Horas*]],Tabla2[[#This Row],[Minutos a Horas*]])+(Tabla2[[#This Row],[Tiempo Total a Nivel Proncincial (Horas)]])</f>
        <v>7.4833333333333334</v>
      </c>
    </row>
    <row r="1671" spans="30:45" hidden="1" x14ac:dyDescent="0.25">
      <c r="AD1671" s="20" t="s">
        <v>2390</v>
      </c>
      <c r="AE1671" s="10" t="s">
        <v>393</v>
      </c>
      <c r="AF1671" s="20" t="s">
        <v>2029</v>
      </c>
      <c r="AG1671" s="10"/>
      <c r="AH1671" s="22" t="str">
        <f t="shared" si="52"/>
        <v xml:space="preserve">Tacna_02 Candarave </v>
      </c>
      <c r="AI1671" s="10" t="s">
        <v>2061</v>
      </c>
      <c r="AJ1671" s="20" t="s">
        <v>2047</v>
      </c>
      <c r="AK1671" s="22" t="str">
        <f t="shared" si="53"/>
        <v>Tacna_02 Candarave _05 Huanuara</v>
      </c>
      <c r="AL1671" s="25">
        <v>2</v>
      </c>
      <c r="AM1671" s="25">
        <v>59</v>
      </c>
      <c r="AN1671" s="26">
        <f>Tabla2[[#This Row],[Minutos]]/60</f>
        <v>0.98333333333333328</v>
      </c>
      <c r="AO1671" s="27">
        <f>SUM(Tabla2[[#This Row],[Horas]],Tabla2[[#This Row],[Minutos a Horas]])</f>
        <v>2.9833333333333334</v>
      </c>
      <c r="AP1671" s="49">
        <v>6</v>
      </c>
      <c r="AQ1671" s="49">
        <v>45</v>
      </c>
      <c r="AR1671" s="26">
        <f>Tabla2[[#This Row],[Minutos*]]/60</f>
        <v>0.75</v>
      </c>
      <c r="AS1671" s="27">
        <f>SUM(Tabla2[[#This Row],[Horas*]],Tabla2[[#This Row],[Minutos a Horas*]])+(Tabla2[[#This Row],[Tiempo Total a Nivel Proncincial (Horas)]])</f>
        <v>9.7333333333333343</v>
      </c>
    </row>
    <row r="1672" spans="30:45" hidden="1" x14ac:dyDescent="0.25">
      <c r="AD1672" s="20" t="s">
        <v>2390</v>
      </c>
      <c r="AE1672" s="10" t="s">
        <v>393</v>
      </c>
      <c r="AF1672" s="20" t="s">
        <v>2029</v>
      </c>
      <c r="AG1672" s="10"/>
      <c r="AH1672" s="22" t="str">
        <f t="shared" si="52"/>
        <v xml:space="preserve">Tacna_02 Candarave </v>
      </c>
      <c r="AI1672" s="10" t="s">
        <v>2061</v>
      </c>
      <c r="AJ1672" s="20" t="s">
        <v>2048</v>
      </c>
      <c r="AK1672" s="22" t="str">
        <f t="shared" si="53"/>
        <v>Tacna_02 Candarave _06 Quilahuani</v>
      </c>
      <c r="AL1672" s="25">
        <v>2</v>
      </c>
      <c r="AM1672" s="25">
        <v>59</v>
      </c>
      <c r="AN1672" s="26">
        <f>Tabla2[[#This Row],[Minutos]]/60</f>
        <v>0.98333333333333328</v>
      </c>
      <c r="AO1672" s="27">
        <f>SUM(Tabla2[[#This Row],[Horas]],Tabla2[[#This Row],[Minutos a Horas]])</f>
        <v>2.9833333333333334</v>
      </c>
      <c r="AP1672" s="49">
        <v>5</v>
      </c>
      <c r="AQ1672" s="49">
        <v>0</v>
      </c>
      <c r="AR1672" s="26">
        <f>Tabla2[[#This Row],[Minutos*]]/60</f>
        <v>0</v>
      </c>
      <c r="AS1672" s="27">
        <f>SUM(Tabla2[[#This Row],[Horas*]],Tabla2[[#This Row],[Minutos a Horas*]])+(Tabla2[[#This Row],[Tiempo Total a Nivel Proncincial (Horas)]])</f>
        <v>7.9833333333333334</v>
      </c>
    </row>
    <row r="1673" spans="30:45" hidden="1" x14ac:dyDescent="0.25">
      <c r="AD1673" s="20" t="s">
        <v>2390</v>
      </c>
      <c r="AE1673" s="10" t="s">
        <v>393</v>
      </c>
      <c r="AF1673" s="20" t="s">
        <v>2030</v>
      </c>
      <c r="AG1673" s="10"/>
      <c r="AH1673" s="22" t="str">
        <f t="shared" si="52"/>
        <v xml:space="preserve">Tacna_03 Jorge Basadre </v>
      </c>
      <c r="AI1673" s="10" t="s">
        <v>2062</v>
      </c>
      <c r="AJ1673" s="20" t="s">
        <v>2049</v>
      </c>
      <c r="AK1673" s="22" t="str">
        <f t="shared" si="53"/>
        <v>Tacna_03 Jorge Basadre _01 Locumba</v>
      </c>
      <c r="AL1673" s="25">
        <v>1</v>
      </c>
      <c r="AM1673" s="25">
        <v>17</v>
      </c>
      <c r="AN1673" s="26">
        <f>Tabla2[[#This Row],[Minutos]]/60</f>
        <v>0.28333333333333333</v>
      </c>
      <c r="AO1673" s="27">
        <f>SUM(Tabla2[[#This Row],[Horas]],Tabla2[[#This Row],[Minutos a Horas]])</f>
        <v>1.2833333333333332</v>
      </c>
      <c r="AP1673" s="49">
        <v>3</v>
      </c>
      <c r="AQ1673" s="49">
        <v>15</v>
      </c>
      <c r="AR1673" s="26">
        <f>Tabla2[[#This Row],[Minutos*]]/60</f>
        <v>0.25</v>
      </c>
      <c r="AS1673" s="27">
        <f>SUM(Tabla2[[#This Row],[Horas*]],Tabla2[[#This Row],[Minutos a Horas*]])+(Tabla2[[#This Row],[Tiempo Total a Nivel Proncincial (Horas)]])</f>
        <v>4.5333333333333332</v>
      </c>
    </row>
    <row r="1674" spans="30:45" hidden="1" x14ac:dyDescent="0.25">
      <c r="AD1674" s="20" t="s">
        <v>2390</v>
      </c>
      <c r="AE1674" s="10" t="s">
        <v>393</v>
      </c>
      <c r="AF1674" s="20" t="s">
        <v>2030</v>
      </c>
      <c r="AG1674" s="10"/>
      <c r="AH1674" s="22" t="str">
        <f t="shared" si="52"/>
        <v xml:space="preserve">Tacna_03 Jorge Basadre </v>
      </c>
      <c r="AI1674" s="10" t="s">
        <v>2062</v>
      </c>
      <c r="AJ1674" s="20" t="s">
        <v>2050</v>
      </c>
      <c r="AK1674" s="22" t="str">
        <f t="shared" si="53"/>
        <v>Tacna_03 Jorge Basadre _02 Ilabaya</v>
      </c>
      <c r="AL1674" s="25">
        <v>1</v>
      </c>
      <c r="AM1674" s="25">
        <v>17</v>
      </c>
      <c r="AN1674" s="26">
        <f>Tabla2[[#This Row],[Minutos]]/60</f>
        <v>0.28333333333333333</v>
      </c>
      <c r="AO1674" s="27">
        <f>SUM(Tabla2[[#This Row],[Horas]],Tabla2[[#This Row],[Minutos a Horas]])</f>
        <v>1.2833333333333332</v>
      </c>
      <c r="AP1674" s="49">
        <v>3</v>
      </c>
      <c r="AQ1674" s="49">
        <v>30</v>
      </c>
      <c r="AR1674" s="26">
        <f>Tabla2[[#This Row],[Minutos*]]/60</f>
        <v>0.5</v>
      </c>
      <c r="AS1674" s="27">
        <f>SUM(Tabla2[[#This Row],[Horas*]],Tabla2[[#This Row],[Minutos a Horas*]])+(Tabla2[[#This Row],[Tiempo Total a Nivel Proncincial (Horas)]])</f>
        <v>4.7833333333333332</v>
      </c>
    </row>
    <row r="1675" spans="30:45" hidden="1" x14ac:dyDescent="0.25">
      <c r="AD1675" s="20" t="s">
        <v>2390</v>
      </c>
      <c r="AE1675" s="10" t="s">
        <v>393</v>
      </c>
      <c r="AF1675" s="20" t="s">
        <v>2030</v>
      </c>
      <c r="AG1675" s="10"/>
      <c r="AH1675" s="22" t="str">
        <f t="shared" si="52"/>
        <v xml:space="preserve">Tacna_03 Jorge Basadre </v>
      </c>
      <c r="AI1675" s="10" t="s">
        <v>2062</v>
      </c>
      <c r="AJ1675" s="20" t="s">
        <v>2051</v>
      </c>
      <c r="AK1675" s="22" t="str">
        <f t="shared" si="53"/>
        <v>Tacna_03 Jorge Basadre _03 Ite</v>
      </c>
      <c r="AL1675" s="25">
        <v>1</v>
      </c>
      <c r="AM1675" s="25">
        <v>17</v>
      </c>
      <c r="AN1675" s="26">
        <f>Tabla2[[#This Row],[Minutos]]/60</f>
        <v>0.28333333333333333</v>
      </c>
      <c r="AO1675" s="27">
        <f>SUM(Tabla2[[#This Row],[Horas]],Tabla2[[#This Row],[Minutos a Horas]])</f>
        <v>1.2833333333333332</v>
      </c>
      <c r="AP1675" s="49">
        <v>3</v>
      </c>
      <c r="AQ1675" s="49">
        <v>0</v>
      </c>
      <c r="AR1675" s="26">
        <f>Tabla2[[#This Row],[Minutos*]]/60</f>
        <v>0</v>
      </c>
      <c r="AS1675" s="27">
        <f>SUM(Tabla2[[#This Row],[Horas*]],Tabla2[[#This Row],[Minutos a Horas*]])+(Tabla2[[#This Row],[Tiempo Total a Nivel Proncincial (Horas)]])</f>
        <v>4.2833333333333332</v>
      </c>
    </row>
    <row r="1676" spans="30:45" hidden="1" x14ac:dyDescent="0.25">
      <c r="AD1676" s="20" t="s">
        <v>2390</v>
      </c>
      <c r="AE1676" s="10" t="s">
        <v>393</v>
      </c>
      <c r="AF1676" s="20" t="s">
        <v>2031</v>
      </c>
      <c r="AG1676" s="10"/>
      <c r="AH1676" s="22" t="str">
        <f t="shared" si="52"/>
        <v xml:space="preserve">Tacna_04 Tarata </v>
      </c>
      <c r="AI1676" s="10" t="s">
        <v>2063</v>
      </c>
      <c r="AJ1676" s="20" t="s">
        <v>2052</v>
      </c>
      <c r="AK1676" s="22" t="str">
        <f t="shared" si="53"/>
        <v>Tacna_04 Tarata _01 Tarata</v>
      </c>
      <c r="AL1676" s="25">
        <v>1</v>
      </c>
      <c r="AM1676" s="25">
        <v>42</v>
      </c>
      <c r="AN1676" s="26">
        <f>Tabla2[[#This Row],[Minutos]]/60</f>
        <v>0.7</v>
      </c>
      <c r="AO1676" s="27">
        <f>SUM(Tabla2[[#This Row],[Horas]],Tabla2[[#This Row],[Minutos a Horas]])</f>
        <v>1.7</v>
      </c>
      <c r="AP1676" s="49">
        <v>3</v>
      </c>
      <c r="AQ1676" s="49">
        <v>45</v>
      </c>
      <c r="AR1676" s="26">
        <f>Tabla2[[#This Row],[Minutos*]]/60</f>
        <v>0.75</v>
      </c>
      <c r="AS1676" s="27">
        <f>SUM(Tabla2[[#This Row],[Horas*]],Tabla2[[#This Row],[Minutos a Horas*]])+(Tabla2[[#This Row],[Tiempo Total a Nivel Proncincial (Horas)]])</f>
        <v>5.45</v>
      </c>
    </row>
    <row r="1677" spans="30:45" hidden="1" x14ac:dyDescent="0.25">
      <c r="AD1677" s="20" t="s">
        <v>2390</v>
      </c>
      <c r="AE1677" s="10" t="s">
        <v>393</v>
      </c>
      <c r="AF1677" s="20" t="s">
        <v>2031</v>
      </c>
      <c r="AG1677" s="10"/>
      <c r="AH1677" s="22" t="str">
        <f t="shared" si="52"/>
        <v xml:space="preserve">Tacna_04 Tarata </v>
      </c>
      <c r="AI1677" s="10" t="s">
        <v>2063</v>
      </c>
      <c r="AJ1677" s="20" t="s">
        <v>2053</v>
      </c>
      <c r="AK1677" s="22" t="str">
        <f t="shared" si="53"/>
        <v>Tacna_04 Tarata _02 Héroes Albarracín</v>
      </c>
      <c r="AL1677" s="25">
        <v>1</v>
      </c>
      <c r="AM1677" s="25">
        <v>42</v>
      </c>
      <c r="AN1677" s="26">
        <f>Tabla2[[#This Row],[Minutos]]/60</f>
        <v>0.7</v>
      </c>
      <c r="AO1677" s="27">
        <f>SUM(Tabla2[[#This Row],[Horas]],Tabla2[[#This Row],[Minutos a Horas]])</f>
        <v>1.7</v>
      </c>
      <c r="AP1677" s="49">
        <v>5</v>
      </c>
      <c r="AQ1677" s="49">
        <v>0</v>
      </c>
      <c r="AR1677" s="26">
        <f>Tabla2[[#This Row],[Minutos*]]/60</f>
        <v>0</v>
      </c>
      <c r="AS1677" s="27">
        <f>SUM(Tabla2[[#This Row],[Horas*]],Tabla2[[#This Row],[Minutos a Horas*]])+(Tabla2[[#This Row],[Tiempo Total a Nivel Proncincial (Horas)]])</f>
        <v>6.7</v>
      </c>
    </row>
    <row r="1678" spans="30:45" hidden="1" x14ac:dyDescent="0.25">
      <c r="AD1678" s="20" t="s">
        <v>2390</v>
      </c>
      <c r="AE1678" s="10" t="s">
        <v>393</v>
      </c>
      <c r="AF1678" s="20" t="s">
        <v>2031</v>
      </c>
      <c r="AG1678" s="10"/>
      <c r="AH1678" s="22" t="str">
        <f t="shared" si="52"/>
        <v xml:space="preserve">Tacna_04 Tarata </v>
      </c>
      <c r="AI1678" s="10" t="s">
        <v>2063</v>
      </c>
      <c r="AJ1678" s="20" t="s">
        <v>2054</v>
      </c>
      <c r="AK1678" s="22" t="str">
        <f t="shared" si="53"/>
        <v>Tacna_04 Tarata _03 Estique</v>
      </c>
      <c r="AL1678" s="25">
        <v>1</v>
      </c>
      <c r="AM1678" s="25">
        <v>42</v>
      </c>
      <c r="AN1678" s="26">
        <f>Tabla2[[#This Row],[Minutos]]/60</f>
        <v>0.7</v>
      </c>
      <c r="AO1678" s="27">
        <f>SUM(Tabla2[[#This Row],[Horas]],Tabla2[[#This Row],[Minutos a Horas]])</f>
        <v>1.7</v>
      </c>
      <c r="AP1678" s="49">
        <v>3</v>
      </c>
      <c r="AQ1678" s="49">
        <v>15</v>
      </c>
      <c r="AR1678" s="26">
        <f>Tabla2[[#This Row],[Minutos*]]/60</f>
        <v>0.25</v>
      </c>
      <c r="AS1678" s="27">
        <f>SUM(Tabla2[[#This Row],[Horas*]],Tabla2[[#This Row],[Minutos a Horas*]])+(Tabla2[[#This Row],[Tiempo Total a Nivel Proncincial (Horas)]])</f>
        <v>4.95</v>
      </c>
    </row>
    <row r="1679" spans="30:45" hidden="1" x14ac:dyDescent="0.25">
      <c r="AD1679" s="20" t="s">
        <v>2390</v>
      </c>
      <c r="AE1679" s="10" t="s">
        <v>393</v>
      </c>
      <c r="AF1679" s="20" t="s">
        <v>2031</v>
      </c>
      <c r="AG1679" s="10"/>
      <c r="AH1679" s="22" t="str">
        <f t="shared" si="52"/>
        <v xml:space="preserve">Tacna_04 Tarata </v>
      </c>
      <c r="AI1679" s="10" t="s">
        <v>2063</v>
      </c>
      <c r="AJ1679" s="20" t="s">
        <v>2055</v>
      </c>
      <c r="AK1679" s="22" t="str">
        <f t="shared" si="53"/>
        <v>Tacna_04 Tarata _04 Estique-Pampa</v>
      </c>
      <c r="AL1679" s="25">
        <v>1</v>
      </c>
      <c r="AM1679" s="25">
        <v>42</v>
      </c>
      <c r="AN1679" s="26">
        <f>Tabla2[[#This Row],[Minutos]]/60</f>
        <v>0.7</v>
      </c>
      <c r="AO1679" s="27">
        <f>SUM(Tabla2[[#This Row],[Horas]],Tabla2[[#This Row],[Minutos a Horas]])</f>
        <v>1.7</v>
      </c>
      <c r="AP1679" s="49">
        <v>3</v>
      </c>
      <c r="AQ1679" s="49">
        <v>0</v>
      </c>
      <c r="AR1679" s="26">
        <f>Tabla2[[#This Row],[Minutos*]]/60</f>
        <v>0</v>
      </c>
      <c r="AS1679" s="27">
        <f>SUM(Tabla2[[#This Row],[Horas*]],Tabla2[[#This Row],[Minutos a Horas*]])+(Tabla2[[#This Row],[Tiempo Total a Nivel Proncincial (Horas)]])</f>
        <v>4.7</v>
      </c>
    </row>
    <row r="1680" spans="30:45" hidden="1" x14ac:dyDescent="0.25">
      <c r="AD1680" s="20" t="s">
        <v>2390</v>
      </c>
      <c r="AE1680" s="10" t="s">
        <v>393</v>
      </c>
      <c r="AF1680" s="20" t="s">
        <v>2031</v>
      </c>
      <c r="AG1680" s="10"/>
      <c r="AH1680" s="22" t="str">
        <f t="shared" si="52"/>
        <v xml:space="preserve">Tacna_04 Tarata </v>
      </c>
      <c r="AI1680" s="10" t="s">
        <v>2063</v>
      </c>
      <c r="AJ1680" s="20" t="s">
        <v>2056</v>
      </c>
      <c r="AK1680" s="22" t="str">
        <f t="shared" si="53"/>
        <v>Tacna_04 Tarata _05 Sitajara</v>
      </c>
      <c r="AL1680" s="25">
        <v>1</v>
      </c>
      <c r="AM1680" s="25">
        <v>42</v>
      </c>
      <c r="AN1680" s="26">
        <f>Tabla2[[#This Row],[Minutos]]/60</f>
        <v>0.7</v>
      </c>
      <c r="AO1680" s="27">
        <f>SUM(Tabla2[[#This Row],[Horas]],Tabla2[[#This Row],[Minutos a Horas]])</f>
        <v>1.7</v>
      </c>
      <c r="AP1680" s="49">
        <v>5</v>
      </c>
      <c r="AQ1680" s="49">
        <v>15</v>
      </c>
      <c r="AR1680" s="26">
        <f>Tabla2[[#This Row],[Minutos*]]/60</f>
        <v>0.25</v>
      </c>
      <c r="AS1680" s="27">
        <f>SUM(Tabla2[[#This Row],[Horas*]],Tabla2[[#This Row],[Minutos a Horas*]])+(Tabla2[[#This Row],[Tiempo Total a Nivel Proncincial (Horas)]])</f>
        <v>6.95</v>
      </c>
    </row>
    <row r="1681" spans="30:45" hidden="1" x14ac:dyDescent="0.25">
      <c r="AD1681" s="20" t="s">
        <v>2390</v>
      </c>
      <c r="AE1681" s="10" t="s">
        <v>393</v>
      </c>
      <c r="AF1681" s="20" t="s">
        <v>2031</v>
      </c>
      <c r="AG1681" s="10"/>
      <c r="AH1681" s="22" t="str">
        <f t="shared" si="52"/>
        <v xml:space="preserve">Tacna_04 Tarata </v>
      </c>
      <c r="AI1681" s="10" t="s">
        <v>2063</v>
      </c>
      <c r="AJ1681" s="20" t="s">
        <v>2057</v>
      </c>
      <c r="AK1681" s="22" t="str">
        <f t="shared" si="53"/>
        <v>Tacna_04 Tarata _06 Susapaya</v>
      </c>
      <c r="AL1681" s="25">
        <v>1</v>
      </c>
      <c r="AM1681" s="25">
        <v>42</v>
      </c>
      <c r="AN1681" s="26">
        <f>Tabla2[[#This Row],[Minutos]]/60</f>
        <v>0.7</v>
      </c>
      <c r="AO1681" s="27">
        <f>SUM(Tabla2[[#This Row],[Horas]],Tabla2[[#This Row],[Minutos a Horas]])</f>
        <v>1.7</v>
      </c>
      <c r="AP1681" s="49">
        <v>5</v>
      </c>
      <c r="AQ1681" s="49">
        <v>45</v>
      </c>
      <c r="AR1681" s="26">
        <f>Tabla2[[#This Row],[Minutos*]]/60</f>
        <v>0.75</v>
      </c>
      <c r="AS1681" s="27">
        <f>SUM(Tabla2[[#This Row],[Horas*]],Tabla2[[#This Row],[Minutos a Horas*]])+(Tabla2[[#This Row],[Tiempo Total a Nivel Proncincial (Horas)]])</f>
        <v>7.45</v>
      </c>
    </row>
    <row r="1682" spans="30:45" hidden="1" x14ac:dyDescent="0.25">
      <c r="AD1682" s="20" t="s">
        <v>2390</v>
      </c>
      <c r="AE1682" s="10" t="s">
        <v>393</v>
      </c>
      <c r="AF1682" s="20" t="s">
        <v>2031</v>
      </c>
      <c r="AG1682" s="10"/>
      <c r="AH1682" s="22" t="str">
        <f t="shared" si="52"/>
        <v xml:space="preserve">Tacna_04 Tarata </v>
      </c>
      <c r="AI1682" s="10" t="s">
        <v>2063</v>
      </c>
      <c r="AJ1682" s="20" t="s">
        <v>2058</v>
      </c>
      <c r="AK1682" s="22" t="str">
        <f t="shared" si="53"/>
        <v>Tacna_04 Tarata _07 Tarucachi</v>
      </c>
      <c r="AL1682" s="25">
        <v>1</v>
      </c>
      <c r="AM1682" s="25">
        <v>42</v>
      </c>
      <c r="AN1682" s="26">
        <f>Tabla2[[#This Row],[Minutos]]/60</f>
        <v>0.7</v>
      </c>
      <c r="AO1682" s="27">
        <f>SUM(Tabla2[[#This Row],[Horas]],Tabla2[[#This Row],[Minutos a Horas]])</f>
        <v>1.7</v>
      </c>
      <c r="AP1682" s="49">
        <v>3</v>
      </c>
      <c r="AQ1682" s="49">
        <v>15</v>
      </c>
      <c r="AR1682" s="26">
        <f>Tabla2[[#This Row],[Minutos*]]/60</f>
        <v>0.25</v>
      </c>
      <c r="AS1682" s="27">
        <f>SUM(Tabla2[[#This Row],[Horas*]],Tabla2[[#This Row],[Minutos a Horas*]])+(Tabla2[[#This Row],[Tiempo Total a Nivel Proncincial (Horas)]])</f>
        <v>4.95</v>
      </c>
    </row>
    <row r="1683" spans="30:45" hidden="1" x14ac:dyDescent="0.25">
      <c r="AD1683" s="20" t="s">
        <v>2390</v>
      </c>
      <c r="AE1683" s="10" t="s">
        <v>393</v>
      </c>
      <c r="AF1683" s="20" t="s">
        <v>2031</v>
      </c>
      <c r="AG1683" s="10"/>
      <c r="AH1683" s="22" t="str">
        <f t="shared" si="52"/>
        <v xml:space="preserve">Tacna_04 Tarata </v>
      </c>
      <c r="AI1683" s="10" t="s">
        <v>2063</v>
      </c>
      <c r="AJ1683" s="20" t="s">
        <v>2059</v>
      </c>
      <c r="AK1683" s="22" t="str">
        <f t="shared" si="53"/>
        <v>Tacna_04 Tarata _08 Ticaco</v>
      </c>
      <c r="AL1683" s="25">
        <v>1</v>
      </c>
      <c r="AM1683" s="25">
        <v>42</v>
      </c>
      <c r="AN1683" s="26">
        <f>Tabla2[[#This Row],[Minutos]]/60</f>
        <v>0.7</v>
      </c>
      <c r="AO1683" s="27">
        <f>SUM(Tabla2[[#This Row],[Horas]],Tabla2[[#This Row],[Minutos a Horas]])</f>
        <v>1.7</v>
      </c>
      <c r="AP1683" s="49">
        <v>4</v>
      </c>
      <c r="AQ1683" s="49">
        <v>45</v>
      </c>
      <c r="AR1683" s="26">
        <f>Tabla2[[#This Row],[Minutos*]]/60</f>
        <v>0.75</v>
      </c>
      <c r="AS1683" s="27">
        <f>SUM(Tabla2[[#This Row],[Horas*]],Tabla2[[#This Row],[Minutos a Horas*]])+(Tabla2[[#This Row],[Tiempo Total a Nivel Proncincial (Horas)]])</f>
        <v>6.45</v>
      </c>
    </row>
    <row r="1684" spans="30:45" hidden="1" x14ac:dyDescent="0.25">
      <c r="AD1684" s="20" t="s">
        <v>2391</v>
      </c>
      <c r="AE1684" s="10" t="s">
        <v>394</v>
      </c>
      <c r="AF1684" s="20" t="s">
        <v>2064</v>
      </c>
      <c r="AG1684" s="10" t="s">
        <v>2064</v>
      </c>
      <c r="AH1684" s="22" t="str">
        <f t="shared" si="52"/>
        <v xml:space="preserve">Tumbes_01 Tumbes </v>
      </c>
      <c r="AI1684" s="10" t="s">
        <v>2080</v>
      </c>
      <c r="AJ1684" s="20" t="s">
        <v>2067</v>
      </c>
      <c r="AK1684" s="22" t="str">
        <f t="shared" si="53"/>
        <v>Tumbes_01 Tumbes _01 Tumbes</v>
      </c>
      <c r="AL1684" s="25">
        <v>0</v>
      </c>
      <c r="AM1684" s="25">
        <v>23</v>
      </c>
      <c r="AN1684" s="26">
        <f>Tabla2[[#This Row],[Minutos]]/60</f>
        <v>0.38333333333333336</v>
      </c>
      <c r="AO1684" s="27">
        <f>SUM(Tabla2[[#This Row],[Horas]],Tabla2[[#This Row],[Minutos a Horas]])</f>
        <v>0.38333333333333336</v>
      </c>
      <c r="AP1684" s="49">
        <v>0</v>
      </c>
      <c r="AQ1684" s="49">
        <v>15</v>
      </c>
      <c r="AR1684" s="26">
        <f>Tabla2[[#This Row],[Minutos*]]/60</f>
        <v>0.25</v>
      </c>
      <c r="AS1684" s="27">
        <f>SUM(Tabla2[[#This Row],[Horas*]],Tabla2[[#This Row],[Minutos a Horas*]])+(Tabla2[[#This Row],[Tiempo Total a Nivel Proncincial (Horas)]])</f>
        <v>0.6333333333333333</v>
      </c>
    </row>
    <row r="1685" spans="30:45" hidden="1" x14ac:dyDescent="0.25">
      <c r="AD1685" s="20" t="s">
        <v>2391</v>
      </c>
      <c r="AE1685" s="10" t="s">
        <v>394</v>
      </c>
      <c r="AF1685" s="20" t="s">
        <v>2064</v>
      </c>
      <c r="AG1685" s="10" t="s">
        <v>2065</v>
      </c>
      <c r="AH1685" s="22" t="str">
        <f t="shared" si="52"/>
        <v xml:space="preserve">Tumbes_01 Tumbes </v>
      </c>
      <c r="AI1685" s="10" t="s">
        <v>2080</v>
      </c>
      <c r="AJ1685" s="20" t="s">
        <v>2068</v>
      </c>
      <c r="AK1685" s="22" t="str">
        <f t="shared" si="53"/>
        <v>Tumbes_01 Tumbes _02 Corrales</v>
      </c>
      <c r="AL1685" s="25">
        <v>0</v>
      </c>
      <c r="AM1685" s="25">
        <v>23</v>
      </c>
      <c r="AN1685" s="26">
        <f>Tabla2[[#This Row],[Minutos]]/60</f>
        <v>0.38333333333333336</v>
      </c>
      <c r="AO1685" s="27">
        <f>SUM(Tabla2[[#This Row],[Horas]],Tabla2[[#This Row],[Minutos a Horas]])</f>
        <v>0.38333333333333336</v>
      </c>
      <c r="AP1685" s="49">
        <v>0</v>
      </c>
      <c r="AQ1685" s="49">
        <v>22</v>
      </c>
      <c r="AR1685" s="26">
        <f>Tabla2[[#This Row],[Minutos*]]/60</f>
        <v>0.36666666666666664</v>
      </c>
      <c r="AS1685" s="27">
        <f>SUM(Tabla2[[#This Row],[Horas*]],Tabla2[[#This Row],[Minutos a Horas*]])+(Tabla2[[#This Row],[Tiempo Total a Nivel Proncincial (Horas)]])</f>
        <v>0.75</v>
      </c>
    </row>
    <row r="1686" spans="30:45" hidden="1" x14ac:dyDescent="0.25">
      <c r="AD1686" s="20" t="s">
        <v>2391</v>
      </c>
      <c r="AE1686" s="10" t="s">
        <v>394</v>
      </c>
      <c r="AF1686" s="20" t="s">
        <v>2064</v>
      </c>
      <c r="AG1686" s="10" t="s">
        <v>2066</v>
      </c>
      <c r="AH1686" s="22" t="str">
        <f t="shared" si="52"/>
        <v xml:space="preserve">Tumbes_01 Tumbes </v>
      </c>
      <c r="AI1686" s="10" t="s">
        <v>2080</v>
      </c>
      <c r="AJ1686" s="20" t="s">
        <v>2069</v>
      </c>
      <c r="AK1686" s="22" t="str">
        <f t="shared" si="53"/>
        <v>Tumbes_01 Tumbes _03 La Cruz</v>
      </c>
      <c r="AL1686" s="25">
        <v>0</v>
      </c>
      <c r="AM1686" s="25">
        <v>23</v>
      </c>
      <c r="AN1686" s="26">
        <f>Tabla2[[#This Row],[Minutos]]/60</f>
        <v>0.38333333333333336</v>
      </c>
      <c r="AO1686" s="27">
        <f>SUM(Tabla2[[#This Row],[Horas]],Tabla2[[#This Row],[Minutos a Horas]])</f>
        <v>0.38333333333333336</v>
      </c>
      <c r="AP1686" s="49">
        <v>0</v>
      </c>
      <c r="AQ1686" s="49">
        <v>55</v>
      </c>
      <c r="AR1686" s="26">
        <f>Tabla2[[#This Row],[Minutos*]]/60</f>
        <v>0.91666666666666663</v>
      </c>
      <c r="AS1686" s="27">
        <f>SUM(Tabla2[[#This Row],[Horas*]],Tabla2[[#This Row],[Minutos a Horas*]])+(Tabla2[[#This Row],[Tiempo Total a Nivel Proncincial (Horas)]])</f>
        <v>1.3</v>
      </c>
    </row>
    <row r="1687" spans="30:45" hidden="1" x14ac:dyDescent="0.25">
      <c r="AD1687" s="20" t="s">
        <v>2391</v>
      </c>
      <c r="AE1687" s="10" t="s">
        <v>394</v>
      </c>
      <c r="AF1687" s="20" t="s">
        <v>2064</v>
      </c>
      <c r="AG1687" s="10"/>
      <c r="AH1687" s="22" t="str">
        <f t="shared" si="52"/>
        <v xml:space="preserve">Tumbes_01 Tumbes </v>
      </c>
      <c r="AI1687" s="10" t="s">
        <v>2080</v>
      </c>
      <c r="AJ1687" s="20" t="s">
        <v>2070</v>
      </c>
      <c r="AK1687" s="22" t="str">
        <f t="shared" si="53"/>
        <v>Tumbes_01 Tumbes _04 Pampas de Hospital</v>
      </c>
      <c r="AL1687" s="25">
        <v>0</v>
      </c>
      <c r="AM1687" s="25">
        <v>23</v>
      </c>
      <c r="AN1687" s="26">
        <f>Tabla2[[#This Row],[Minutos]]/60</f>
        <v>0.38333333333333336</v>
      </c>
      <c r="AO1687" s="27">
        <f>SUM(Tabla2[[#This Row],[Horas]],Tabla2[[#This Row],[Minutos a Horas]])</f>
        <v>0.38333333333333336</v>
      </c>
      <c r="AP1687" s="49">
        <v>0</v>
      </c>
      <c r="AQ1687" s="49">
        <v>55</v>
      </c>
      <c r="AR1687" s="26">
        <f>Tabla2[[#This Row],[Minutos*]]/60</f>
        <v>0.91666666666666663</v>
      </c>
      <c r="AS1687" s="27">
        <f>SUM(Tabla2[[#This Row],[Horas*]],Tabla2[[#This Row],[Minutos a Horas*]])+(Tabla2[[#This Row],[Tiempo Total a Nivel Proncincial (Horas)]])</f>
        <v>1.3</v>
      </c>
    </row>
    <row r="1688" spans="30:45" hidden="1" x14ac:dyDescent="0.25">
      <c r="AD1688" s="20" t="s">
        <v>2391</v>
      </c>
      <c r="AE1688" s="10" t="s">
        <v>394</v>
      </c>
      <c r="AF1688" s="20" t="s">
        <v>2064</v>
      </c>
      <c r="AG1688" s="10"/>
      <c r="AH1688" s="22" t="str">
        <f t="shared" si="52"/>
        <v xml:space="preserve">Tumbes_01 Tumbes </v>
      </c>
      <c r="AI1688" s="10" t="s">
        <v>2080</v>
      </c>
      <c r="AJ1688" s="20" t="s">
        <v>2071</v>
      </c>
      <c r="AK1688" s="22" t="str">
        <f t="shared" si="53"/>
        <v>Tumbes_01 Tumbes _05 San Jacinto</v>
      </c>
      <c r="AL1688" s="25">
        <v>0</v>
      </c>
      <c r="AM1688" s="25">
        <v>23</v>
      </c>
      <c r="AN1688" s="26">
        <f>Tabla2[[#This Row],[Minutos]]/60</f>
        <v>0.38333333333333336</v>
      </c>
      <c r="AO1688" s="27">
        <f>SUM(Tabla2[[#This Row],[Horas]],Tabla2[[#This Row],[Minutos a Horas]])</f>
        <v>0.38333333333333336</v>
      </c>
      <c r="AP1688" s="49">
        <v>0</v>
      </c>
      <c r="AQ1688" s="49">
        <v>45</v>
      </c>
      <c r="AR1688" s="26">
        <f>Tabla2[[#This Row],[Minutos*]]/60</f>
        <v>0.75</v>
      </c>
      <c r="AS1688" s="27">
        <f>SUM(Tabla2[[#This Row],[Horas*]],Tabla2[[#This Row],[Minutos a Horas*]])+(Tabla2[[#This Row],[Tiempo Total a Nivel Proncincial (Horas)]])</f>
        <v>1.1333333333333333</v>
      </c>
    </row>
    <row r="1689" spans="30:45" hidden="1" x14ac:dyDescent="0.25">
      <c r="AD1689" s="20" t="s">
        <v>2391</v>
      </c>
      <c r="AE1689" s="10" t="s">
        <v>394</v>
      </c>
      <c r="AF1689" s="20" t="s">
        <v>2064</v>
      </c>
      <c r="AG1689" s="10"/>
      <c r="AH1689" s="22" t="str">
        <f t="shared" si="52"/>
        <v xml:space="preserve">Tumbes_01 Tumbes </v>
      </c>
      <c r="AI1689" s="10" t="s">
        <v>2080</v>
      </c>
      <c r="AJ1689" s="20" t="s">
        <v>2072</v>
      </c>
      <c r="AK1689" s="22" t="str">
        <f t="shared" si="53"/>
        <v>Tumbes_01 Tumbes _06 San Juan de la Virgen</v>
      </c>
      <c r="AL1689" s="25">
        <v>0</v>
      </c>
      <c r="AM1689" s="25">
        <v>23</v>
      </c>
      <c r="AN1689" s="26">
        <f>Tabla2[[#This Row],[Minutos]]/60</f>
        <v>0.38333333333333336</v>
      </c>
      <c r="AO1689" s="27">
        <f>SUM(Tabla2[[#This Row],[Horas]],Tabla2[[#This Row],[Minutos a Horas]])</f>
        <v>0.38333333333333336</v>
      </c>
      <c r="AP1689" s="49">
        <v>0</v>
      </c>
      <c r="AQ1689" s="49">
        <v>44</v>
      </c>
      <c r="AR1689" s="26">
        <f>Tabla2[[#This Row],[Minutos*]]/60</f>
        <v>0.73333333333333328</v>
      </c>
      <c r="AS1689" s="27">
        <f>SUM(Tabla2[[#This Row],[Horas*]],Tabla2[[#This Row],[Minutos a Horas*]])+(Tabla2[[#This Row],[Tiempo Total a Nivel Proncincial (Horas)]])</f>
        <v>1.1166666666666667</v>
      </c>
    </row>
    <row r="1690" spans="30:45" hidden="1" x14ac:dyDescent="0.25">
      <c r="AD1690" s="20" t="s">
        <v>2391</v>
      </c>
      <c r="AE1690" s="10" t="s">
        <v>394</v>
      </c>
      <c r="AF1690" s="20" t="s">
        <v>2065</v>
      </c>
      <c r="AG1690" s="10"/>
      <c r="AH1690" s="22" t="str">
        <f t="shared" ref="AH1690:AH1753" si="54">CONCATENATE(AD1690,"_",AF1690)</f>
        <v xml:space="preserve">Tumbes_02 Contralmirante Villar </v>
      </c>
      <c r="AI1690" s="10" t="s">
        <v>2081</v>
      </c>
      <c r="AJ1690" s="20" t="s">
        <v>2073</v>
      </c>
      <c r="AK1690" s="22" t="str">
        <f t="shared" ref="AK1690:AK1753" si="55">CONCATENATE(AH1690,"_",AJ1690)</f>
        <v>Tumbes_02 Contralmirante Villar _01 Zorritos</v>
      </c>
      <c r="AL1690" s="25">
        <v>1</v>
      </c>
      <c r="AM1690" s="25">
        <v>23</v>
      </c>
      <c r="AN1690" s="26">
        <f>Tabla2[[#This Row],[Minutos]]/60</f>
        <v>0.38333333333333336</v>
      </c>
      <c r="AO1690" s="27">
        <f>SUM(Tabla2[[#This Row],[Horas]],Tabla2[[#This Row],[Minutos a Horas]])</f>
        <v>1.3833333333333333</v>
      </c>
      <c r="AP1690" s="49">
        <v>0</v>
      </c>
      <c r="AQ1690" s="49">
        <v>58</v>
      </c>
      <c r="AR1690" s="26">
        <f>Tabla2[[#This Row],[Minutos*]]/60</f>
        <v>0.96666666666666667</v>
      </c>
      <c r="AS1690" s="27">
        <f>SUM(Tabla2[[#This Row],[Horas*]],Tabla2[[#This Row],[Minutos a Horas*]])+(Tabla2[[#This Row],[Tiempo Total a Nivel Proncincial (Horas)]])</f>
        <v>2.35</v>
      </c>
    </row>
    <row r="1691" spans="30:45" hidden="1" x14ac:dyDescent="0.25">
      <c r="AD1691" s="20" t="s">
        <v>2391</v>
      </c>
      <c r="AE1691" s="10" t="s">
        <v>394</v>
      </c>
      <c r="AF1691" s="20" t="s">
        <v>2065</v>
      </c>
      <c r="AG1691" s="10"/>
      <c r="AH1691" s="22" t="str">
        <f t="shared" si="54"/>
        <v xml:space="preserve">Tumbes_02 Contralmirante Villar </v>
      </c>
      <c r="AI1691" s="10" t="s">
        <v>2081</v>
      </c>
      <c r="AJ1691" s="20" t="s">
        <v>2074</v>
      </c>
      <c r="AK1691" s="22" t="str">
        <f t="shared" si="55"/>
        <v>Tumbes_02 Contralmirante Villar _02 Casitas</v>
      </c>
      <c r="AL1691" s="25">
        <v>1</v>
      </c>
      <c r="AM1691" s="25">
        <v>23</v>
      </c>
      <c r="AN1691" s="26">
        <f>Tabla2[[#This Row],[Minutos]]/60</f>
        <v>0.38333333333333336</v>
      </c>
      <c r="AO1691" s="27">
        <f>SUM(Tabla2[[#This Row],[Horas]],Tabla2[[#This Row],[Minutos a Horas]])</f>
        <v>1.3833333333333333</v>
      </c>
      <c r="AP1691" s="49">
        <v>2</v>
      </c>
      <c r="AQ1691" s="49">
        <v>15</v>
      </c>
      <c r="AR1691" s="26">
        <f>Tabla2[[#This Row],[Minutos*]]/60</f>
        <v>0.25</v>
      </c>
      <c r="AS1691" s="27">
        <f>SUM(Tabla2[[#This Row],[Horas*]],Tabla2[[#This Row],[Minutos a Horas*]])+(Tabla2[[#This Row],[Tiempo Total a Nivel Proncincial (Horas)]])</f>
        <v>3.6333333333333333</v>
      </c>
    </row>
    <row r="1692" spans="30:45" hidden="1" x14ac:dyDescent="0.25">
      <c r="AD1692" s="20" t="s">
        <v>2391</v>
      </c>
      <c r="AE1692" s="10" t="s">
        <v>394</v>
      </c>
      <c r="AF1692" s="20" t="s">
        <v>2065</v>
      </c>
      <c r="AG1692" s="10"/>
      <c r="AH1692" s="22" t="str">
        <f t="shared" si="54"/>
        <v xml:space="preserve">Tumbes_02 Contralmirante Villar </v>
      </c>
      <c r="AI1692" s="10" t="s">
        <v>2081</v>
      </c>
      <c r="AJ1692" s="20" t="s">
        <v>2075</v>
      </c>
      <c r="AK1692" s="22" t="str">
        <f t="shared" si="55"/>
        <v>Tumbes_02 Contralmirante Villar _03 Canoas de Punta Sal</v>
      </c>
      <c r="AL1692" s="25">
        <v>1</v>
      </c>
      <c r="AM1692" s="25">
        <v>23</v>
      </c>
      <c r="AN1692" s="26">
        <f>Tabla2[[#This Row],[Minutos]]/60</f>
        <v>0.38333333333333336</v>
      </c>
      <c r="AO1692" s="27">
        <f>SUM(Tabla2[[#This Row],[Horas]],Tabla2[[#This Row],[Minutos a Horas]])</f>
        <v>1.3833333333333333</v>
      </c>
      <c r="AP1692" s="49">
        <v>2</v>
      </c>
      <c r="AQ1692" s="49">
        <v>0</v>
      </c>
      <c r="AR1692" s="26">
        <f>Tabla2[[#This Row],[Minutos*]]/60</f>
        <v>0</v>
      </c>
      <c r="AS1692" s="27">
        <f>SUM(Tabla2[[#This Row],[Horas*]],Tabla2[[#This Row],[Minutos a Horas*]])+(Tabla2[[#This Row],[Tiempo Total a Nivel Proncincial (Horas)]])</f>
        <v>3.3833333333333333</v>
      </c>
    </row>
    <row r="1693" spans="30:45" hidden="1" x14ac:dyDescent="0.25">
      <c r="AD1693" s="20" t="s">
        <v>2391</v>
      </c>
      <c r="AE1693" s="10" t="s">
        <v>394</v>
      </c>
      <c r="AF1693" s="20" t="s">
        <v>2066</v>
      </c>
      <c r="AG1693" s="10"/>
      <c r="AH1693" s="22" t="str">
        <f t="shared" si="54"/>
        <v xml:space="preserve">Tumbes_03 Zarumilla </v>
      </c>
      <c r="AI1693" s="10" t="s">
        <v>2082</v>
      </c>
      <c r="AJ1693" s="20" t="s">
        <v>2076</v>
      </c>
      <c r="AK1693" s="22" t="str">
        <f t="shared" si="55"/>
        <v>Tumbes_03 Zarumilla _01 Zarumilla</v>
      </c>
      <c r="AL1693" s="25">
        <v>0</v>
      </c>
      <c r="AM1693" s="25">
        <v>32</v>
      </c>
      <c r="AN1693" s="26">
        <f>Tabla2[[#This Row],[Minutos]]/60</f>
        <v>0.53333333333333333</v>
      </c>
      <c r="AO1693" s="27">
        <f>SUM(Tabla2[[#This Row],[Horas]],Tabla2[[#This Row],[Minutos a Horas]])</f>
        <v>0.53333333333333333</v>
      </c>
      <c r="AP1693" s="49">
        <v>0</v>
      </c>
      <c r="AQ1693" s="49">
        <v>44</v>
      </c>
      <c r="AR1693" s="26">
        <f>Tabla2[[#This Row],[Minutos*]]/60</f>
        <v>0.73333333333333328</v>
      </c>
      <c r="AS1693" s="27">
        <f>SUM(Tabla2[[#This Row],[Horas*]],Tabla2[[#This Row],[Minutos a Horas*]])+(Tabla2[[#This Row],[Tiempo Total a Nivel Proncincial (Horas)]])</f>
        <v>1.2666666666666666</v>
      </c>
    </row>
    <row r="1694" spans="30:45" hidden="1" x14ac:dyDescent="0.25">
      <c r="AD1694" s="20" t="s">
        <v>2391</v>
      </c>
      <c r="AE1694" s="10" t="s">
        <v>394</v>
      </c>
      <c r="AF1694" s="20" t="s">
        <v>2066</v>
      </c>
      <c r="AG1694" s="10"/>
      <c r="AH1694" s="22" t="str">
        <f t="shared" si="54"/>
        <v xml:space="preserve">Tumbes_03 Zarumilla </v>
      </c>
      <c r="AI1694" s="10" t="s">
        <v>2082</v>
      </c>
      <c r="AJ1694" s="20" t="s">
        <v>2077</v>
      </c>
      <c r="AK1694" s="22" t="str">
        <f t="shared" si="55"/>
        <v>Tumbes_03 Zarumilla _02 Aguas Verdes</v>
      </c>
      <c r="AL1694" s="25">
        <v>0</v>
      </c>
      <c r="AM1694" s="25">
        <v>32</v>
      </c>
      <c r="AN1694" s="26">
        <f>Tabla2[[#This Row],[Minutos]]/60</f>
        <v>0.53333333333333333</v>
      </c>
      <c r="AO1694" s="27">
        <f>SUM(Tabla2[[#This Row],[Horas]],Tabla2[[#This Row],[Minutos a Horas]])</f>
        <v>0.53333333333333333</v>
      </c>
      <c r="AP1694" s="49">
        <v>0</v>
      </c>
      <c r="AQ1694" s="49">
        <v>55</v>
      </c>
      <c r="AR1694" s="26">
        <f>Tabla2[[#This Row],[Minutos*]]/60</f>
        <v>0.91666666666666663</v>
      </c>
      <c r="AS1694" s="27">
        <f>SUM(Tabla2[[#This Row],[Horas*]],Tabla2[[#This Row],[Minutos a Horas*]])+(Tabla2[[#This Row],[Tiempo Total a Nivel Proncincial (Horas)]])</f>
        <v>1.45</v>
      </c>
    </row>
    <row r="1695" spans="30:45" hidden="1" x14ac:dyDescent="0.25">
      <c r="AD1695" s="20" t="s">
        <v>2391</v>
      </c>
      <c r="AE1695" s="10" t="s">
        <v>394</v>
      </c>
      <c r="AF1695" s="20" t="s">
        <v>2066</v>
      </c>
      <c r="AG1695" s="10"/>
      <c r="AH1695" s="22" t="str">
        <f t="shared" si="54"/>
        <v xml:space="preserve">Tumbes_03 Zarumilla </v>
      </c>
      <c r="AI1695" s="10" t="s">
        <v>2082</v>
      </c>
      <c r="AJ1695" s="20" t="s">
        <v>2078</v>
      </c>
      <c r="AK1695" s="22" t="str">
        <f t="shared" si="55"/>
        <v>Tumbes_03 Zarumilla _03 Matapalo</v>
      </c>
      <c r="AL1695" s="25">
        <v>0</v>
      </c>
      <c r="AM1695" s="25">
        <v>32</v>
      </c>
      <c r="AN1695" s="26">
        <f>Tabla2[[#This Row],[Minutos]]/60</f>
        <v>0.53333333333333333</v>
      </c>
      <c r="AO1695" s="27">
        <f>SUM(Tabla2[[#This Row],[Horas]],Tabla2[[#This Row],[Minutos a Horas]])</f>
        <v>0.53333333333333333</v>
      </c>
      <c r="AP1695" s="49">
        <v>1</v>
      </c>
      <c r="AQ1695" s="49">
        <v>22</v>
      </c>
      <c r="AR1695" s="26">
        <f>Tabla2[[#This Row],[Minutos*]]/60</f>
        <v>0.36666666666666664</v>
      </c>
      <c r="AS1695" s="27">
        <f>SUM(Tabla2[[#This Row],[Horas*]],Tabla2[[#This Row],[Minutos a Horas*]])+(Tabla2[[#This Row],[Tiempo Total a Nivel Proncincial (Horas)]])</f>
        <v>1.9</v>
      </c>
    </row>
    <row r="1696" spans="30:45" hidden="1" x14ac:dyDescent="0.25">
      <c r="AD1696" s="20" t="s">
        <v>2391</v>
      </c>
      <c r="AE1696" s="10" t="s">
        <v>394</v>
      </c>
      <c r="AF1696" s="20" t="s">
        <v>2066</v>
      </c>
      <c r="AG1696" s="10"/>
      <c r="AH1696" s="22" t="str">
        <f t="shared" si="54"/>
        <v xml:space="preserve">Tumbes_03 Zarumilla </v>
      </c>
      <c r="AI1696" s="10" t="s">
        <v>2082</v>
      </c>
      <c r="AJ1696" s="20" t="s">
        <v>2079</v>
      </c>
      <c r="AK1696" s="22" t="str">
        <f t="shared" si="55"/>
        <v>Tumbes_03 Zarumilla _04 Papayal</v>
      </c>
      <c r="AL1696" s="25">
        <v>0</v>
      </c>
      <c r="AM1696" s="25">
        <v>32</v>
      </c>
      <c r="AN1696" s="26">
        <f>Tabla2[[#This Row],[Minutos]]/60</f>
        <v>0.53333333333333333</v>
      </c>
      <c r="AO1696" s="27">
        <f>SUM(Tabla2[[#This Row],[Horas]],Tabla2[[#This Row],[Minutos a Horas]])</f>
        <v>0.53333333333333333</v>
      </c>
      <c r="AP1696" s="49">
        <v>1</v>
      </c>
      <c r="AQ1696" s="49">
        <v>15</v>
      </c>
      <c r="AR1696" s="26">
        <f>Tabla2[[#This Row],[Minutos*]]/60</f>
        <v>0.25</v>
      </c>
      <c r="AS1696" s="27">
        <f>SUM(Tabla2[[#This Row],[Horas*]],Tabla2[[#This Row],[Minutos a Horas*]])+(Tabla2[[#This Row],[Tiempo Total a Nivel Proncincial (Horas)]])</f>
        <v>1.7833333333333332</v>
      </c>
    </row>
    <row r="1697" spans="30:45" hidden="1" x14ac:dyDescent="0.25">
      <c r="AD1697" s="20" t="s">
        <v>2392</v>
      </c>
      <c r="AE1697" s="10" t="s">
        <v>395</v>
      </c>
      <c r="AF1697" s="20" t="s">
        <v>2083</v>
      </c>
      <c r="AG1697" s="10" t="s">
        <v>2083</v>
      </c>
      <c r="AH1697" s="22" t="str">
        <f t="shared" si="54"/>
        <v xml:space="preserve">Ucayali_01 Coronel Portillo </v>
      </c>
      <c r="AI1697" s="10" t="s">
        <v>2104</v>
      </c>
      <c r="AJ1697" s="20" t="s">
        <v>2087</v>
      </c>
      <c r="AK1697" s="22" t="str">
        <f t="shared" si="55"/>
        <v>Ucayali_01 Coronel Portillo _01 Calleria</v>
      </c>
      <c r="AL1697" s="25">
        <v>1</v>
      </c>
      <c r="AM1697" s="25">
        <v>0</v>
      </c>
      <c r="AN1697" s="26">
        <f>Tabla2[[#This Row],[Minutos]]/60</f>
        <v>0</v>
      </c>
      <c r="AO1697" s="27">
        <f>SUM(Tabla2[[#This Row],[Horas]],Tabla2[[#This Row],[Minutos a Horas]])</f>
        <v>1</v>
      </c>
      <c r="AP1697" s="49">
        <v>0</v>
      </c>
      <c r="AQ1697" s="49">
        <v>25</v>
      </c>
      <c r="AR1697" s="26">
        <f>Tabla2[[#This Row],[Minutos*]]/60</f>
        <v>0.41666666666666669</v>
      </c>
      <c r="AS1697" s="27">
        <f>SUM(Tabla2[[#This Row],[Horas*]],Tabla2[[#This Row],[Minutos a Horas*]])+(Tabla2[[#This Row],[Tiempo Total a Nivel Proncincial (Horas)]])</f>
        <v>1.4166666666666667</v>
      </c>
    </row>
    <row r="1698" spans="30:45" hidden="1" x14ac:dyDescent="0.25">
      <c r="AD1698" s="20" t="s">
        <v>2392</v>
      </c>
      <c r="AE1698" s="10" t="s">
        <v>395</v>
      </c>
      <c r="AF1698" s="20" t="s">
        <v>2083</v>
      </c>
      <c r="AG1698" s="10" t="s">
        <v>2084</v>
      </c>
      <c r="AH1698" s="22" t="str">
        <f t="shared" si="54"/>
        <v xml:space="preserve">Ucayali_01 Coronel Portillo </v>
      </c>
      <c r="AI1698" s="10" t="s">
        <v>2104</v>
      </c>
      <c r="AJ1698" s="20" t="s">
        <v>2088</v>
      </c>
      <c r="AK1698" s="22" t="str">
        <f t="shared" si="55"/>
        <v>Ucayali_01 Coronel Portillo _02 Campoverde</v>
      </c>
      <c r="AL1698" s="25">
        <v>1</v>
      </c>
      <c r="AM1698" s="25">
        <v>0</v>
      </c>
      <c r="AN1698" s="26">
        <f>Tabla2[[#This Row],[Minutos]]/60</f>
        <v>0</v>
      </c>
      <c r="AO1698" s="27">
        <f>SUM(Tabla2[[#This Row],[Horas]],Tabla2[[#This Row],[Minutos a Horas]])</f>
        <v>1</v>
      </c>
      <c r="AP1698" s="49">
        <v>0</v>
      </c>
      <c r="AQ1698" s="49">
        <v>59</v>
      </c>
      <c r="AR1698" s="26">
        <f>Tabla2[[#This Row],[Minutos*]]/60</f>
        <v>0.98333333333333328</v>
      </c>
      <c r="AS1698" s="27">
        <f>SUM(Tabla2[[#This Row],[Horas*]],Tabla2[[#This Row],[Minutos a Horas*]])+(Tabla2[[#This Row],[Tiempo Total a Nivel Proncincial (Horas)]])</f>
        <v>1.9833333333333334</v>
      </c>
    </row>
    <row r="1699" spans="30:45" hidden="1" x14ac:dyDescent="0.25">
      <c r="AD1699" s="20" t="s">
        <v>2392</v>
      </c>
      <c r="AE1699" s="10" t="s">
        <v>395</v>
      </c>
      <c r="AF1699" s="20" t="s">
        <v>2083</v>
      </c>
      <c r="AG1699" s="10" t="s">
        <v>2085</v>
      </c>
      <c r="AH1699" s="22" t="str">
        <f t="shared" si="54"/>
        <v xml:space="preserve">Ucayali_01 Coronel Portillo </v>
      </c>
      <c r="AI1699" s="10" t="s">
        <v>2104</v>
      </c>
      <c r="AJ1699" s="20" t="s">
        <v>2089</v>
      </c>
      <c r="AK1699" s="22" t="str">
        <f t="shared" si="55"/>
        <v>Ucayali_01 Coronel Portillo _03 Iparia</v>
      </c>
      <c r="AL1699" s="25">
        <v>1</v>
      </c>
      <c r="AM1699" s="25">
        <v>0</v>
      </c>
      <c r="AN1699" s="26">
        <f>Tabla2[[#This Row],[Minutos]]/60</f>
        <v>0</v>
      </c>
      <c r="AO1699" s="27">
        <f>SUM(Tabla2[[#This Row],[Horas]],Tabla2[[#This Row],[Minutos a Horas]])</f>
        <v>1</v>
      </c>
      <c r="AP1699" s="49">
        <v>8</v>
      </c>
      <c r="AQ1699" s="49">
        <v>53</v>
      </c>
      <c r="AR1699" s="26">
        <f>Tabla2[[#This Row],[Minutos*]]/60</f>
        <v>0.8833333333333333</v>
      </c>
      <c r="AS1699" s="27">
        <f>SUM(Tabla2[[#This Row],[Horas*]],Tabla2[[#This Row],[Minutos a Horas*]])+(Tabla2[[#This Row],[Tiempo Total a Nivel Proncincial (Horas)]])</f>
        <v>9.8833333333333329</v>
      </c>
    </row>
    <row r="1700" spans="30:45" hidden="1" x14ac:dyDescent="0.25">
      <c r="AD1700" s="20" t="s">
        <v>2392</v>
      </c>
      <c r="AE1700" s="10" t="s">
        <v>395</v>
      </c>
      <c r="AF1700" s="20" t="s">
        <v>2083</v>
      </c>
      <c r="AG1700" s="10" t="s">
        <v>2086</v>
      </c>
      <c r="AH1700" s="22" t="str">
        <f t="shared" si="54"/>
        <v xml:space="preserve">Ucayali_01 Coronel Portillo </v>
      </c>
      <c r="AI1700" s="10" t="s">
        <v>2104</v>
      </c>
      <c r="AJ1700" s="20" t="s">
        <v>2090</v>
      </c>
      <c r="AK1700" s="22" t="str">
        <f t="shared" si="55"/>
        <v>Ucayali_01 Coronel Portillo _04 Masisea</v>
      </c>
      <c r="AL1700" s="25">
        <v>1</v>
      </c>
      <c r="AM1700" s="25">
        <v>0</v>
      </c>
      <c r="AN1700" s="26">
        <f>Tabla2[[#This Row],[Minutos]]/60</f>
        <v>0</v>
      </c>
      <c r="AO1700" s="27">
        <f>SUM(Tabla2[[#This Row],[Horas]],Tabla2[[#This Row],[Minutos a Horas]])</f>
        <v>1</v>
      </c>
      <c r="AP1700" s="49">
        <v>5</v>
      </c>
      <c r="AQ1700" s="49">
        <v>43</v>
      </c>
      <c r="AR1700" s="26">
        <f>Tabla2[[#This Row],[Minutos*]]/60</f>
        <v>0.71666666666666667</v>
      </c>
      <c r="AS1700" s="27">
        <f>SUM(Tabla2[[#This Row],[Horas*]],Tabla2[[#This Row],[Minutos a Horas*]])+(Tabla2[[#This Row],[Tiempo Total a Nivel Proncincial (Horas)]])</f>
        <v>6.7166666666666668</v>
      </c>
    </row>
    <row r="1701" spans="30:45" hidden="1" x14ac:dyDescent="0.25">
      <c r="AD1701" s="20" t="s">
        <v>2392</v>
      </c>
      <c r="AE1701" s="10" t="s">
        <v>395</v>
      </c>
      <c r="AF1701" s="20" t="s">
        <v>2083</v>
      </c>
      <c r="AG1701" s="10"/>
      <c r="AH1701" s="22" t="str">
        <f t="shared" si="54"/>
        <v xml:space="preserve">Ucayali_01 Coronel Portillo </v>
      </c>
      <c r="AI1701" s="10" t="s">
        <v>2104</v>
      </c>
      <c r="AJ1701" s="20" t="s">
        <v>2091</v>
      </c>
      <c r="AK1701" s="22" t="str">
        <f t="shared" si="55"/>
        <v>Ucayali_01 Coronel Portillo _05 Yarinacocha</v>
      </c>
      <c r="AL1701" s="25">
        <v>1</v>
      </c>
      <c r="AM1701" s="25">
        <v>0</v>
      </c>
      <c r="AN1701" s="26">
        <f>Tabla2[[#This Row],[Minutos]]/60</f>
        <v>0</v>
      </c>
      <c r="AO1701" s="27">
        <f>SUM(Tabla2[[#This Row],[Horas]],Tabla2[[#This Row],[Minutos a Horas]])</f>
        <v>1</v>
      </c>
      <c r="AP1701" s="49">
        <v>0</v>
      </c>
      <c r="AQ1701" s="49">
        <v>34</v>
      </c>
      <c r="AR1701" s="26">
        <f>Tabla2[[#This Row],[Minutos*]]/60</f>
        <v>0.56666666666666665</v>
      </c>
      <c r="AS1701" s="27">
        <f>SUM(Tabla2[[#This Row],[Horas*]],Tabla2[[#This Row],[Minutos a Horas*]])+(Tabla2[[#This Row],[Tiempo Total a Nivel Proncincial (Horas)]])</f>
        <v>1.5666666666666667</v>
      </c>
    </row>
    <row r="1702" spans="30:45" hidden="1" x14ac:dyDescent="0.25">
      <c r="AD1702" s="20" t="s">
        <v>2392</v>
      </c>
      <c r="AE1702" s="10" t="s">
        <v>395</v>
      </c>
      <c r="AF1702" s="20" t="s">
        <v>2083</v>
      </c>
      <c r="AG1702" s="10"/>
      <c r="AH1702" s="22" t="str">
        <f t="shared" si="54"/>
        <v xml:space="preserve">Ucayali_01 Coronel Portillo </v>
      </c>
      <c r="AI1702" s="10" t="s">
        <v>2104</v>
      </c>
      <c r="AJ1702" s="20" t="s">
        <v>2092</v>
      </c>
      <c r="AK1702" s="22" t="str">
        <f t="shared" si="55"/>
        <v>Ucayali_01 Coronel Portillo _06 Nueva Requena</v>
      </c>
      <c r="AL1702" s="25">
        <v>1</v>
      </c>
      <c r="AM1702" s="25">
        <v>0</v>
      </c>
      <c r="AN1702" s="26">
        <f>Tabla2[[#This Row],[Minutos]]/60</f>
        <v>0</v>
      </c>
      <c r="AO1702" s="27">
        <f>SUM(Tabla2[[#This Row],[Horas]],Tabla2[[#This Row],[Minutos a Horas]])</f>
        <v>1</v>
      </c>
      <c r="AP1702" s="49">
        <v>2</v>
      </c>
      <c r="AQ1702" s="49">
        <v>10</v>
      </c>
      <c r="AR1702" s="26">
        <f>Tabla2[[#This Row],[Minutos*]]/60</f>
        <v>0.16666666666666666</v>
      </c>
      <c r="AS1702" s="27">
        <f>SUM(Tabla2[[#This Row],[Horas*]],Tabla2[[#This Row],[Minutos a Horas*]])+(Tabla2[[#This Row],[Tiempo Total a Nivel Proncincial (Horas)]])</f>
        <v>3.1666666666666665</v>
      </c>
    </row>
    <row r="1703" spans="30:45" hidden="1" x14ac:dyDescent="0.25">
      <c r="AD1703" s="20" t="s">
        <v>2392</v>
      </c>
      <c r="AE1703" s="10" t="s">
        <v>395</v>
      </c>
      <c r="AF1703" s="20" t="s">
        <v>2083</v>
      </c>
      <c r="AG1703" s="10"/>
      <c r="AH1703" s="22" t="str">
        <f t="shared" si="54"/>
        <v xml:space="preserve">Ucayali_01 Coronel Portillo </v>
      </c>
      <c r="AI1703" s="10" t="s">
        <v>2104</v>
      </c>
      <c r="AJ1703" s="20" t="s">
        <v>2093</v>
      </c>
      <c r="AK1703" s="22" t="str">
        <f t="shared" si="55"/>
        <v>Ucayali_01 Coronel Portillo _07 Manantay</v>
      </c>
      <c r="AL1703" s="25">
        <v>1</v>
      </c>
      <c r="AM1703" s="25">
        <v>0</v>
      </c>
      <c r="AN1703" s="26">
        <f>Tabla2[[#This Row],[Minutos]]/60</f>
        <v>0</v>
      </c>
      <c r="AO1703" s="27">
        <f>SUM(Tabla2[[#This Row],[Horas]],Tabla2[[#This Row],[Minutos a Horas]])</f>
        <v>1</v>
      </c>
      <c r="AP1703" s="49">
        <v>0</v>
      </c>
      <c r="AQ1703" s="49">
        <v>40</v>
      </c>
      <c r="AR1703" s="26">
        <f>Tabla2[[#This Row],[Minutos*]]/60</f>
        <v>0.66666666666666663</v>
      </c>
      <c r="AS1703" s="27">
        <f>SUM(Tabla2[[#This Row],[Horas*]],Tabla2[[#This Row],[Minutos a Horas*]])+(Tabla2[[#This Row],[Tiempo Total a Nivel Proncincial (Horas)]])</f>
        <v>1.6666666666666665</v>
      </c>
    </row>
    <row r="1704" spans="30:45" hidden="1" x14ac:dyDescent="0.25">
      <c r="AD1704" s="20" t="s">
        <v>2392</v>
      </c>
      <c r="AE1704" s="10" t="s">
        <v>395</v>
      </c>
      <c r="AF1704" s="20" t="s">
        <v>2084</v>
      </c>
      <c r="AG1704" s="10"/>
      <c r="AH1704" s="22" t="str">
        <f t="shared" si="54"/>
        <v xml:space="preserve">Ucayali_02 Atalaya </v>
      </c>
      <c r="AI1704" s="10" t="s">
        <v>2105</v>
      </c>
      <c r="AJ1704" s="20" t="s">
        <v>2094</v>
      </c>
      <c r="AK1704" s="22" t="str">
        <f t="shared" si="55"/>
        <v>Ucayali_02 Atalaya _01 Raymondi</v>
      </c>
      <c r="AL1704" s="25">
        <v>11</v>
      </c>
      <c r="AM1704" s="25">
        <v>3</v>
      </c>
      <c r="AN1704" s="26">
        <f>Tabla2[[#This Row],[Minutos]]/60</f>
        <v>0.05</v>
      </c>
      <c r="AO1704" s="27">
        <f>SUM(Tabla2[[#This Row],[Horas]],Tabla2[[#This Row],[Minutos a Horas]])</f>
        <v>11.05</v>
      </c>
      <c r="AP1704" s="49">
        <v>34</v>
      </c>
      <c r="AQ1704" s="49">
        <v>37</v>
      </c>
      <c r="AR1704" s="26">
        <f>Tabla2[[#This Row],[Minutos*]]/60</f>
        <v>0.6166666666666667</v>
      </c>
      <c r="AS1704" s="27">
        <f>SUM(Tabla2[[#This Row],[Horas*]],Tabla2[[#This Row],[Minutos a Horas*]])+(Tabla2[[#This Row],[Tiempo Total a Nivel Proncincial (Horas)]])</f>
        <v>45.666666666666671</v>
      </c>
    </row>
    <row r="1705" spans="30:45" hidden="1" x14ac:dyDescent="0.25">
      <c r="AD1705" s="20" t="s">
        <v>2392</v>
      </c>
      <c r="AE1705" s="10" t="s">
        <v>395</v>
      </c>
      <c r="AF1705" s="20" t="s">
        <v>2084</v>
      </c>
      <c r="AG1705" s="10"/>
      <c r="AH1705" s="22" t="str">
        <f t="shared" si="54"/>
        <v xml:space="preserve">Ucayali_02 Atalaya </v>
      </c>
      <c r="AI1705" s="10" t="s">
        <v>2105</v>
      </c>
      <c r="AJ1705" s="20" t="s">
        <v>2095</v>
      </c>
      <c r="AK1705" s="22" t="str">
        <f t="shared" si="55"/>
        <v>Ucayali_02 Atalaya _02 Sepahua</v>
      </c>
      <c r="AL1705" s="25">
        <v>11</v>
      </c>
      <c r="AM1705" s="25">
        <v>3</v>
      </c>
      <c r="AN1705" s="26">
        <f>Tabla2[[#This Row],[Minutos]]/60</f>
        <v>0.05</v>
      </c>
      <c r="AO1705" s="27">
        <f>SUM(Tabla2[[#This Row],[Horas]],Tabla2[[#This Row],[Minutos a Horas]])</f>
        <v>11.05</v>
      </c>
      <c r="AP1705" s="49">
        <v>42</v>
      </c>
      <c r="AQ1705" s="49">
        <v>0</v>
      </c>
      <c r="AR1705" s="26">
        <f>Tabla2[[#This Row],[Minutos*]]/60</f>
        <v>0</v>
      </c>
      <c r="AS1705" s="27">
        <f>SUM(Tabla2[[#This Row],[Horas*]],Tabla2[[#This Row],[Minutos a Horas*]])+(Tabla2[[#This Row],[Tiempo Total a Nivel Proncincial (Horas)]])</f>
        <v>53.05</v>
      </c>
    </row>
    <row r="1706" spans="30:45" hidden="1" x14ac:dyDescent="0.25">
      <c r="AD1706" s="20" t="s">
        <v>2392</v>
      </c>
      <c r="AE1706" s="10" t="s">
        <v>395</v>
      </c>
      <c r="AF1706" s="20" t="s">
        <v>2084</v>
      </c>
      <c r="AG1706" s="10"/>
      <c r="AH1706" s="22" t="str">
        <f t="shared" si="54"/>
        <v xml:space="preserve">Ucayali_02 Atalaya </v>
      </c>
      <c r="AI1706" s="10" t="s">
        <v>2105</v>
      </c>
      <c r="AJ1706" s="20" t="s">
        <v>2096</v>
      </c>
      <c r="AK1706" s="22" t="str">
        <f t="shared" si="55"/>
        <v>Ucayali_02 Atalaya _03 Tahuania</v>
      </c>
      <c r="AL1706" s="25">
        <v>11</v>
      </c>
      <c r="AM1706" s="25">
        <v>3</v>
      </c>
      <c r="AN1706" s="26">
        <f>Tabla2[[#This Row],[Minutos]]/60</f>
        <v>0.05</v>
      </c>
      <c r="AO1706" s="27">
        <f>SUM(Tabla2[[#This Row],[Horas]],Tabla2[[#This Row],[Minutos a Horas]])</f>
        <v>11.05</v>
      </c>
      <c r="AP1706" s="49">
        <v>18</v>
      </c>
      <c r="AQ1706" s="49">
        <v>0</v>
      </c>
      <c r="AR1706" s="26">
        <f>Tabla2[[#This Row],[Minutos*]]/60</f>
        <v>0</v>
      </c>
      <c r="AS1706" s="27">
        <f>SUM(Tabla2[[#This Row],[Horas*]],Tabla2[[#This Row],[Minutos a Horas*]])+(Tabla2[[#This Row],[Tiempo Total a Nivel Proncincial (Horas)]])</f>
        <v>29.05</v>
      </c>
    </row>
    <row r="1707" spans="30:45" hidden="1" x14ac:dyDescent="0.25">
      <c r="AD1707" s="20" t="s">
        <v>2392</v>
      </c>
      <c r="AE1707" s="10" t="s">
        <v>395</v>
      </c>
      <c r="AF1707" s="20" t="s">
        <v>2084</v>
      </c>
      <c r="AG1707" s="10"/>
      <c r="AH1707" s="22" t="str">
        <f t="shared" si="54"/>
        <v xml:space="preserve">Ucayali_02 Atalaya </v>
      </c>
      <c r="AI1707" s="10" t="s">
        <v>2105</v>
      </c>
      <c r="AJ1707" s="20" t="s">
        <v>2097</v>
      </c>
      <c r="AK1707" s="22" t="str">
        <f t="shared" si="55"/>
        <v>Ucayali_02 Atalaya _04 Yurua</v>
      </c>
      <c r="AL1707" s="25">
        <v>11</v>
      </c>
      <c r="AM1707" s="25">
        <v>3</v>
      </c>
      <c r="AN1707" s="26">
        <f>Tabla2[[#This Row],[Minutos]]/60</f>
        <v>0.05</v>
      </c>
      <c r="AO1707" s="27">
        <f>SUM(Tabla2[[#This Row],[Horas]],Tabla2[[#This Row],[Minutos a Horas]])</f>
        <v>11.05</v>
      </c>
      <c r="AP1707" s="49">
        <v>1</v>
      </c>
      <c r="AQ1707" s="49">
        <v>0</v>
      </c>
      <c r="AR1707" s="26">
        <f>Tabla2[[#This Row],[Minutos*]]/60</f>
        <v>0</v>
      </c>
      <c r="AS1707" s="27">
        <f>SUM(Tabla2[[#This Row],[Horas*]],Tabla2[[#This Row],[Minutos a Horas*]])+(Tabla2[[#This Row],[Tiempo Total a Nivel Proncincial (Horas)]])</f>
        <v>12.05</v>
      </c>
    </row>
    <row r="1708" spans="30:45" hidden="1" x14ac:dyDescent="0.25">
      <c r="AD1708" s="20" t="s">
        <v>2392</v>
      </c>
      <c r="AE1708" s="10" t="s">
        <v>395</v>
      </c>
      <c r="AF1708" s="20" t="s">
        <v>2085</v>
      </c>
      <c r="AG1708" s="10"/>
      <c r="AH1708" s="22" t="str">
        <f t="shared" si="54"/>
        <v xml:space="preserve">Ucayali_03 Padre Abad </v>
      </c>
      <c r="AI1708" s="10" t="s">
        <v>2106</v>
      </c>
      <c r="AJ1708" s="20" t="s">
        <v>2098</v>
      </c>
      <c r="AK1708" s="22" t="str">
        <f t="shared" si="55"/>
        <v>Ucayali_03 Padre Abad _01 Padre Abad</v>
      </c>
      <c r="AL1708" s="25">
        <v>3</v>
      </c>
      <c r="AM1708" s="25">
        <v>3</v>
      </c>
      <c r="AN1708" s="26">
        <f>Tabla2[[#This Row],[Minutos]]/60</f>
        <v>0.05</v>
      </c>
      <c r="AO1708" s="27">
        <f>SUM(Tabla2[[#This Row],[Horas]],Tabla2[[#This Row],[Minutos a Horas]])</f>
        <v>3.05</v>
      </c>
      <c r="AP1708" s="49">
        <v>3</v>
      </c>
      <c r="AQ1708" s="49">
        <v>32</v>
      </c>
      <c r="AR1708" s="26">
        <f>Tabla2[[#This Row],[Minutos*]]/60</f>
        <v>0.53333333333333333</v>
      </c>
      <c r="AS1708" s="27">
        <f>SUM(Tabla2[[#This Row],[Horas*]],Tabla2[[#This Row],[Minutos a Horas*]])+(Tabla2[[#This Row],[Tiempo Total a Nivel Proncincial (Horas)]])</f>
        <v>6.583333333333333</v>
      </c>
    </row>
    <row r="1709" spans="30:45" hidden="1" x14ac:dyDescent="0.25">
      <c r="AD1709" s="20" t="s">
        <v>2392</v>
      </c>
      <c r="AE1709" s="10" t="s">
        <v>395</v>
      </c>
      <c r="AF1709" s="20" t="s">
        <v>2085</v>
      </c>
      <c r="AG1709" s="10"/>
      <c r="AH1709" s="22" t="str">
        <f t="shared" si="54"/>
        <v xml:space="preserve">Ucayali_03 Padre Abad </v>
      </c>
      <c r="AI1709" s="10" t="s">
        <v>2106</v>
      </c>
      <c r="AJ1709" s="20" t="s">
        <v>2099</v>
      </c>
      <c r="AK1709" s="22" t="str">
        <f t="shared" si="55"/>
        <v>Ucayali_03 Padre Abad _02 Irazola</v>
      </c>
      <c r="AL1709" s="25">
        <v>3</v>
      </c>
      <c r="AM1709" s="25">
        <v>3</v>
      </c>
      <c r="AN1709" s="26">
        <f>Tabla2[[#This Row],[Minutos]]/60</f>
        <v>0.05</v>
      </c>
      <c r="AO1709" s="27">
        <f>SUM(Tabla2[[#This Row],[Horas]],Tabla2[[#This Row],[Minutos a Horas]])</f>
        <v>3.05</v>
      </c>
      <c r="AP1709" s="49">
        <v>2</v>
      </c>
      <c r="AQ1709" s="49">
        <v>28</v>
      </c>
      <c r="AR1709" s="26">
        <f>Tabla2[[#This Row],[Minutos*]]/60</f>
        <v>0.46666666666666667</v>
      </c>
      <c r="AS1709" s="27">
        <f>SUM(Tabla2[[#This Row],[Horas*]],Tabla2[[#This Row],[Minutos a Horas*]])+(Tabla2[[#This Row],[Tiempo Total a Nivel Proncincial (Horas)]])</f>
        <v>5.5166666666666666</v>
      </c>
    </row>
    <row r="1710" spans="30:45" hidden="1" x14ac:dyDescent="0.25">
      <c r="AD1710" s="20" t="s">
        <v>2392</v>
      </c>
      <c r="AE1710" s="10" t="s">
        <v>395</v>
      </c>
      <c r="AF1710" s="20" t="s">
        <v>2085</v>
      </c>
      <c r="AG1710" s="10"/>
      <c r="AH1710" s="22" t="str">
        <f t="shared" si="54"/>
        <v xml:space="preserve">Ucayali_03 Padre Abad </v>
      </c>
      <c r="AI1710" s="10" t="s">
        <v>2106</v>
      </c>
      <c r="AJ1710" s="20" t="s">
        <v>2100</v>
      </c>
      <c r="AK1710" s="22" t="str">
        <f t="shared" si="55"/>
        <v>Ucayali_03 Padre Abad _03 Curimana</v>
      </c>
      <c r="AL1710" s="25">
        <v>3</v>
      </c>
      <c r="AM1710" s="25">
        <v>3</v>
      </c>
      <c r="AN1710" s="26">
        <f>Tabla2[[#This Row],[Minutos]]/60</f>
        <v>0.05</v>
      </c>
      <c r="AO1710" s="27">
        <f>SUM(Tabla2[[#This Row],[Horas]],Tabla2[[#This Row],[Minutos a Horas]])</f>
        <v>3.05</v>
      </c>
      <c r="AP1710" s="49">
        <v>3</v>
      </c>
      <c r="AQ1710" s="49">
        <v>55</v>
      </c>
      <c r="AR1710" s="26">
        <f>Tabla2[[#This Row],[Minutos*]]/60</f>
        <v>0.91666666666666663</v>
      </c>
      <c r="AS1710" s="27">
        <f>SUM(Tabla2[[#This Row],[Horas*]],Tabla2[[#This Row],[Minutos a Horas*]])+(Tabla2[[#This Row],[Tiempo Total a Nivel Proncincial (Horas)]])</f>
        <v>6.9666666666666668</v>
      </c>
    </row>
    <row r="1711" spans="30:45" hidden="1" x14ac:dyDescent="0.25">
      <c r="AD1711" s="20" t="s">
        <v>2392</v>
      </c>
      <c r="AE1711" s="10" t="s">
        <v>395</v>
      </c>
      <c r="AF1711" s="20" t="s">
        <v>2085</v>
      </c>
      <c r="AG1711" s="10"/>
      <c r="AH1711" s="22" t="str">
        <f t="shared" si="54"/>
        <v xml:space="preserve">Ucayali_03 Padre Abad </v>
      </c>
      <c r="AI1711" s="10" t="s">
        <v>2106</v>
      </c>
      <c r="AJ1711" s="20" t="s">
        <v>2101</v>
      </c>
      <c r="AK1711" s="22" t="str">
        <f t="shared" si="55"/>
        <v>Ucayali_03 Padre Abad _04 Neshuya</v>
      </c>
      <c r="AL1711" s="25">
        <v>3</v>
      </c>
      <c r="AM1711" s="25">
        <v>3</v>
      </c>
      <c r="AN1711" s="26">
        <f>Tabla2[[#This Row],[Minutos]]/60</f>
        <v>0.05</v>
      </c>
      <c r="AO1711" s="27">
        <f>SUM(Tabla2[[#This Row],[Horas]],Tabla2[[#This Row],[Minutos a Horas]])</f>
        <v>3.05</v>
      </c>
      <c r="AP1711" s="49">
        <v>1</v>
      </c>
      <c r="AQ1711" s="49">
        <v>31</v>
      </c>
      <c r="AR1711" s="26">
        <f>Tabla2[[#This Row],[Minutos*]]/60</f>
        <v>0.51666666666666672</v>
      </c>
      <c r="AS1711" s="27">
        <f>SUM(Tabla2[[#This Row],[Horas*]],Tabla2[[#This Row],[Minutos a Horas*]])+(Tabla2[[#This Row],[Tiempo Total a Nivel Proncincial (Horas)]])</f>
        <v>4.5666666666666664</v>
      </c>
    </row>
    <row r="1712" spans="30:45" hidden="1" x14ac:dyDescent="0.25">
      <c r="AD1712" s="20" t="s">
        <v>2392</v>
      </c>
      <c r="AE1712" s="10" t="s">
        <v>395</v>
      </c>
      <c r="AF1712" s="20" t="s">
        <v>2085</v>
      </c>
      <c r="AG1712" s="10"/>
      <c r="AH1712" s="22" t="str">
        <f t="shared" si="54"/>
        <v xml:space="preserve">Ucayali_03 Padre Abad </v>
      </c>
      <c r="AI1712" s="10" t="s">
        <v>2106</v>
      </c>
      <c r="AJ1712" s="20" t="s">
        <v>2102</v>
      </c>
      <c r="AK1712" s="22" t="str">
        <f t="shared" si="55"/>
        <v>Ucayali_03 Padre Abad _05 Alexander Von Humboldt</v>
      </c>
      <c r="AL1712" s="25">
        <v>3</v>
      </c>
      <c r="AM1712" s="25">
        <v>3</v>
      </c>
      <c r="AN1712" s="26">
        <f>Tabla2[[#This Row],[Minutos]]/60</f>
        <v>0.05</v>
      </c>
      <c r="AO1712" s="27">
        <f>SUM(Tabla2[[#This Row],[Horas]],Tabla2[[#This Row],[Minutos a Horas]])</f>
        <v>3.05</v>
      </c>
      <c r="AP1712" s="49">
        <v>2</v>
      </c>
      <c r="AQ1712" s="49">
        <v>12</v>
      </c>
      <c r="AR1712" s="26">
        <f>Tabla2[[#This Row],[Minutos*]]/60</f>
        <v>0.2</v>
      </c>
      <c r="AS1712" s="27">
        <f>SUM(Tabla2[[#This Row],[Horas*]],Tabla2[[#This Row],[Minutos a Horas*]])+(Tabla2[[#This Row],[Tiempo Total a Nivel Proncincial (Horas)]])</f>
        <v>5.25</v>
      </c>
    </row>
    <row r="1713" spans="30:45" hidden="1" x14ac:dyDescent="0.25">
      <c r="AD1713" s="20" t="s">
        <v>2392</v>
      </c>
      <c r="AE1713" s="10" t="s">
        <v>395</v>
      </c>
      <c r="AF1713" s="20" t="s">
        <v>2086</v>
      </c>
      <c r="AG1713" s="10"/>
      <c r="AH1713" s="22" t="str">
        <f t="shared" si="54"/>
        <v>Ucayali_04 Purús</v>
      </c>
      <c r="AI1713" s="10" t="s">
        <v>2107</v>
      </c>
      <c r="AJ1713" s="20" t="s">
        <v>2103</v>
      </c>
      <c r="AK1713" s="22" t="str">
        <f t="shared" si="55"/>
        <v>Ucayali_04 Purús_01 Purus</v>
      </c>
      <c r="AL1713" s="25">
        <v>5</v>
      </c>
      <c r="AM1713" s="25">
        <v>0</v>
      </c>
      <c r="AN1713" s="26">
        <f>Tabla2[[#This Row],[Minutos]]/60</f>
        <v>0</v>
      </c>
      <c r="AO1713" s="27">
        <f>SUM(Tabla2[[#This Row],[Horas]],Tabla2[[#This Row],[Minutos a Horas]])</f>
        <v>5</v>
      </c>
      <c r="AP1713" s="49">
        <v>1.2</v>
      </c>
      <c r="AQ1713" s="49">
        <v>0</v>
      </c>
      <c r="AR1713" s="26">
        <f>Tabla2[[#This Row],[Minutos*]]/60</f>
        <v>0</v>
      </c>
      <c r="AS1713" s="27">
        <f>SUM(Tabla2[[#This Row],[Horas*]],Tabla2[[#This Row],[Minutos a Horas*]])+(Tabla2[[#This Row],[Tiempo Total a Nivel Proncincial (Horas)]])</f>
        <v>6.2</v>
      </c>
    </row>
    <row r="1714" spans="30:45" hidden="1" x14ac:dyDescent="0.25">
      <c r="AD1714" s="20" t="s">
        <v>2401</v>
      </c>
      <c r="AE1714" s="10" t="s">
        <v>396</v>
      </c>
      <c r="AF1714" s="20" t="s">
        <v>2108</v>
      </c>
      <c r="AG1714" s="10" t="s">
        <v>2108</v>
      </c>
      <c r="AH1714" s="22" t="str">
        <f t="shared" si="54"/>
        <v>Lima_Norte_01 Prov. Const. del Callao</v>
      </c>
      <c r="AI1714" s="10" t="s">
        <v>2205</v>
      </c>
      <c r="AJ1714" s="20" t="s">
        <v>2115</v>
      </c>
      <c r="AK1714" s="22" t="str">
        <f t="shared" si="55"/>
        <v>Lima_Norte_01 Prov. Const. del Callao_01 Callao</v>
      </c>
      <c r="AL1714" s="25">
        <v>0</v>
      </c>
      <c r="AM1714" s="25">
        <v>28</v>
      </c>
      <c r="AN1714" s="26">
        <f>Tabla2[[#This Row],[Minutos]]/60</f>
        <v>0.46666666666666667</v>
      </c>
      <c r="AO1714" s="27">
        <f>SUM(Tabla2[[#This Row],[Horas]],Tabla2[[#This Row],[Minutos a Horas]])</f>
        <v>0.46666666666666667</v>
      </c>
      <c r="AP1714" s="49"/>
      <c r="AQ1714" s="49"/>
      <c r="AR1714" s="26">
        <f>Tabla2[[#This Row],[Minutos*]]/60</f>
        <v>0</v>
      </c>
      <c r="AS1714" s="27">
        <f>SUM(Tabla2[[#This Row],[Horas*]],Tabla2[[#This Row],[Minutos a Horas*]])+(Tabla2[[#This Row],[Tiempo Total a Nivel Proncincial (Horas)]])</f>
        <v>0.46666666666666667</v>
      </c>
    </row>
    <row r="1715" spans="30:45" hidden="1" x14ac:dyDescent="0.25">
      <c r="AD1715" s="20" t="s">
        <v>2401</v>
      </c>
      <c r="AE1715" s="10" t="s">
        <v>396</v>
      </c>
      <c r="AF1715" s="20" t="s">
        <v>2108</v>
      </c>
      <c r="AG1715" s="10" t="s">
        <v>2109</v>
      </c>
      <c r="AH1715" s="22" t="str">
        <f t="shared" si="54"/>
        <v>Lima_Norte_01 Prov. Const. del Callao</v>
      </c>
      <c r="AI1715" s="10" t="s">
        <v>2205</v>
      </c>
      <c r="AJ1715" s="20" t="s">
        <v>833</v>
      </c>
      <c r="AK1715" s="22" t="str">
        <f t="shared" si="55"/>
        <v>Lima_Norte_01 Prov. Const. del Callao_02 Bellavista</v>
      </c>
      <c r="AL1715" s="25">
        <v>0</v>
      </c>
      <c r="AM1715" s="25">
        <v>28</v>
      </c>
      <c r="AN1715" s="26">
        <f>Tabla2[[#This Row],[Minutos]]/60</f>
        <v>0.46666666666666667</v>
      </c>
      <c r="AO1715" s="27">
        <f>SUM(Tabla2[[#This Row],[Horas]],Tabla2[[#This Row],[Minutos a Horas]])</f>
        <v>0.46666666666666667</v>
      </c>
      <c r="AP1715" s="49"/>
      <c r="AQ1715" s="49"/>
      <c r="AR1715" s="26">
        <f>Tabla2[[#This Row],[Minutos*]]/60</f>
        <v>0</v>
      </c>
      <c r="AS1715" s="27">
        <f>SUM(Tabla2[[#This Row],[Horas*]],Tabla2[[#This Row],[Minutos a Horas*]])+(Tabla2[[#This Row],[Tiempo Total a Nivel Proncincial (Horas)]])</f>
        <v>0.46666666666666667</v>
      </c>
    </row>
    <row r="1716" spans="30:45" ht="30" hidden="1" x14ac:dyDescent="0.25">
      <c r="AD1716" s="20" t="s">
        <v>2401</v>
      </c>
      <c r="AE1716" s="10" t="s">
        <v>396</v>
      </c>
      <c r="AF1716" s="20" t="s">
        <v>2108</v>
      </c>
      <c r="AG1716" s="10" t="s">
        <v>2110</v>
      </c>
      <c r="AH1716" s="22" t="str">
        <f t="shared" si="54"/>
        <v>Lima_Norte_01 Prov. Const. del Callao</v>
      </c>
      <c r="AI1716" s="10" t="s">
        <v>2205</v>
      </c>
      <c r="AJ1716" s="20" t="s">
        <v>2116</v>
      </c>
      <c r="AK1716" s="22" t="str">
        <f t="shared" si="55"/>
        <v>Lima_Norte_01 Prov. Const. del Callao_03 Carmen de la Legua Reynoso</v>
      </c>
      <c r="AL1716" s="25">
        <v>0</v>
      </c>
      <c r="AM1716" s="25">
        <v>28</v>
      </c>
      <c r="AN1716" s="26">
        <f>Tabla2[[#This Row],[Minutos]]/60</f>
        <v>0.46666666666666667</v>
      </c>
      <c r="AO1716" s="27">
        <f>SUM(Tabla2[[#This Row],[Horas]],Tabla2[[#This Row],[Minutos a Horas]])</f>
        <v>0.46666666666666667</v>
      </c>
      <c r="AP1716" s="49"/>
      <c r="AQ1716" s="49"/>
      <c r="AR1716" s="26">
        <f>Tabla2[[#This Row],[Minutos*]]/60</f>
        <v>0</v>
      </c>
      <c r="AS1716" s="27">
        <f>SUM(Tabla2[[#This Row],[Horas*]],Tabla2[[#This Row],[Minutos a Horas*]])+(Tabla2[[#This Row],[Tiempo Total a Nivel Proncincial (Horas)]])</f>
        <v>0.46666666666666667</v>
      </c>
    </row>
    <row r="1717" spans="30:45" hidden="1" x14ac:dyDescent="0.25">
      <c r="AD1717" s="20" t="s">
        <v>2401</v>
      </c>
      <c r="AE1717" s="10" t="s">
        <v>396</v>
      </c>
      <c r="AF1717" s="20" t="s">
        <v>2108</v>
      </c>
      <c r="AG1717" s="10" t="s">
        <v>2111</v>
      </c>
      <c r="AH1717" s="22" t="str">
        <f t="shared" si="54"/>
        <v>Lima_Norte_01 Prov. Const. del Callao</v>
      </c>
      <c r="AI1717" s="10" t="s">
        <v>2205</v>
      </c>
      <c r="AJ1717" s="20" t="s">
        <v>2117</v>
      </c>
      <c r="AK1717" s="22" t="str">
        <f t="shared" si="55"/>
        <v>Lima_Norte_01 Prov. Const. del Callao_04 La Perla</v>
      </c>
      <c r="AL1717" s="25">
        <v>0</v>
      </c>
      <c r="AM1717" s="25">
        <v>28</v>
      </c>
      <c r="AN1717" s="26">
        <f>Tabla2[[#This Row],[Minutos]]/60</f>
        <v>0.46666666666666667</v>
      </c>
      <c r="AO1717" s="27">
        <f>SUM(Tabla2[[#This Row],[Horas]],Tabla2[[#This Row],[Minutos a Horas]])</f>
        <v>0.46666666666666667</v>
      </c>
      <c r="AP1717" s="49"/>
      <c r="AQ1717" s="49"/>
      <c r="AR1717" s="26">
        <f>Tabla2[[#This Row],[Minutos*]]/60</f>
        <v>0</v>
      </c>
      <c r="AS1717" s="27">
        <f>SUM(Tabla2[[#This Row],[Horas*]],Tabla2[[#This Row],[Minutos a Horas*]])+(Tabla2[[#This Row],[Tiempo Total a Nivel Proncincial (Horas)]])</f>
        <v>0.46666666666666667</v>
      </c>
    </row>
    <row r="1718" spans="30:45" hidden="1" x14ac:dyDescent="0.25">
      <c r="AD1718" s="20" t="s">
        <v>2401</v>
      </c>
      <c r="AE1718" s="10" t="s">
        <v>396</v>
      </c>
      <c r="AF1718" s="20" t="s">
        <v>2108</v>
      </c>
      <c r="AG1718" s="10" t="s">
        <v>2112</v>
      </c>
      <c r="AH1718" s="22" t="str">
        <f t="shared" si="54"/>
        <v>Lima_Norte_01 Prov. Const. del Callao</v>
      </c>
      <c r="AI1718" s="10" t="s">
        <v>2205</v>
      </c>
      <c r="AJ1718" s="20" t="s">
        <v>2118</v>
      </c>
      <c r="AK1718" s="22" t="str">
        <f t="shared" si="55"/>
        <v>Lima_Norte_01 Prov. Const. del Callao_05 La Punta</v>
      </c>
      <c r="AL1718" s="25">
        <v>0</v>
      </c>
      <c r="AM1718" s="25">
        <v>28</v>
      </c>
      <c r="AN1718" s="26">
        <f>Tabla2[[#This Row],[Minutos]]/60</f>
        <v>0.46666666666666667</v>
      </c>
      <c r="AO1718" s="27">
        <f>SUM(Tabla2[[#This Row],[Horas]],Tabla2[[#This Row],[Minutos a Horas]])</f>
        <v>0.46666666666666667</v>
      </c>
      <c r="AP1718" s="49"/>
      <c r="AQ1718" s="49"/>
      <c r="AR1718" s="26">
        <f>Tabla2[[#This Row],[Minutos*]]/60</f>
        <v>0</v>
      </c>
      <c r="AS1718" s="27">
        <f>SUM(Tabla2[[#This Row],[Horas*]],Tabla2[[#This Row],[Minutos a Horas*]])+(Tabla2[[#This Row],[Tiempo Total a Nivel Proncincial (Horas)]])</f>
        <v>0.46666666666666667</v>
      </c>
    </row>
    <row r="1719" spans="30:45" hidden="1" x14ac:dyDescent="0.25">
      <c r="AD1719" s="20" t="s">
        <v>2401</v>
      </c>
      <c r="AE1719" s="10" t="s">
        <v>396</v>
      </c>
      <c r="AF1719" s="20" t="s">
        <v>2108</v>
      </c>
      <c r="AG1719" s="10" t="s">
        <v>2113</v>
      </c>
      <c r="AH1719" s="22" t="str">
        <f t="shared" si="54"/>
        <v>Lima_Norte_01 Prov. Const. del Callao</v>
      </c>
      <c r="AI1719" s="10" t="s">
        <v>2205</v>
      </c>
      <c r="AJ1719" s="20" t="s">
        <v>2119</v>
      </c>
      <c r="AK1719" s="22" t="str">
        <f t="shared" si="55"/>
        <v>Lima_Norte_01 Prov. Const. del Callao_06 Ventanilla</v>
      </c>
      <c r="AL1719" s="25">
        <v>0</v>
      </c>
      <c r="AM1719" s="25">
        <v>28</v>
      </c>
      <c r="AN1719" s="26">
        <f>Tabla2[[#This Row],[Minutos]]/60</f>
        <v>0.46666666666666667</v>
      </c>
      <c r="AO1719" s="27">
        <f>SUM(Tabla2[[#This Row],[Horas]],Tabla2[[#This Row],[Minutos a Horas]])</f>
        <v>0.46666666666666667</v>
      </c>
      <c r="AP1719" s="49"/>
      <c r="AQ1719" s="49"/>
      <c r="AR1719" s="26">
        <f>Tabla2[[#This Row],[Minutos*]]/60</f>
        <v>0</v>
      </c>
      <c r="AS1719" s="27">
        <f>SUM(Tabla2[[#This Row],[Horas*]],Tabla2[[#This Row],[Minutos a Horas*]])+(Tabla2[[#This Row],[Tiempo Total a Nivel Proncincial (Horas)]])</f>
        <v>0.46666666666666667</v>
      </c>
    </row>
    <row r="1720" spans="30:45" hidden="1" x14ac:dyDescent="0.25">
      <c r="AD1720" s="20" t="s">
        <v>2401</v>
      </c>
      <c r="AE1720" s="10" t="s">
        <v>396</v>
      </c>
      <c r="AF1720" s="20" t="s">
        <v>2108</v>
      </c>
      <c r="AG1720" s="10" t="s">
        <v>2114</v>
      </c>
      <c r="AH1720" s="22" t="str">
        <f t="shared" si="54"/>
        <v>Lima_Norte_01 Prov. Const. del Callao</v>
      </c>
      <c r="AI1720" s="10" t="s">
        <v>2205</v>
      </c>
      <c r="AJ1720" s="20" t="s">
        <v>2120</v>
      </c>
      <c r="AK1720" s="22" t="str">
        <f t="shared" si="55"/>
        <v>Lima_Norte_01 Prov. Const. del Callao_07 Mi Perú</v>
      </c>
      <c r="AL1720" s="25">
        <v>0</v>
      </c>
      <c r="AM1720" s="25">
        <v>28</v>
      </c>
      <c r="AN1720" s="26">
        <f>Tabla2[[#This Row],[Minutos]]/60</f>
        <v>0.46666666666666667</v>
      </c>
      <c r="AO1720" s="27">
        <f>SUM(Tabla2[[#This Row],[Horas]],Tabla2[[#This Row],[Minutos a Horas]])</f>
        <v>0.46666666666666667</v>
      </c>
      <c r="AP1720" s="49"/>
      <c r="AQ1720" s="49"/>
      <c r="AR1720" s="26">
        <f>Tabla2[[#This Row],[Minutos*]]/60</f>
        <v>0</v>
      </c>
      <c r="AS1720" s="27">
        <f>SUM(Tabla2[[#This Row],[Horas*]],Tabla2[[#This Row],[Minutos a Horas*]])+(Tabla2[[#This Row],[Tiempo Total a Nivel Proncincial (Horas)]])</f>
        <v>0.46666666666666667</v>
      </c>
    </row>
    <row r="1721" spans="30:45" hidden="1" x14ac:dyDescent="0.25">
      <c r="AD1721" s="20" t="s">
        <v>2401</v>
      </c>
      <c r="AE1721" s="10" t="s">
        <v>396</v>
      </c>
      <c r="AF1721" s="20" t="s">
        <v>2109</v>
      </c>
      <c r="AG1721" s="10" t="s">
        <v>2212</v>
      </c>
      <c r="AH1721" s="22" t="str">
        <f t="shared" si="54"/>
        <v xml:space="preserve">Lima_Norte_02 Barranca </v>
      </c>
      <c r="AI1721" s="10" t="s">
        <v>2206</v>
      </c>
      <c r="AJ1721" s="20" t="s">
        <v>1625</v>
      </c>
      <c r="AK1721" s="22" t="str">
        <f t="shared" si="55"/>
        <v>Lima_Norte_02 Barranca _01 Barranca</v>
      </c>
      <c r="AL1721" s="25">
        <v>3</v>
      </c>
      <c r="AM1721" s="25">
        <v>0</v>
      </c>
      <c r="AN1721" s="26">
        <f>Tabla2[[#This Row],[Minutos]]/60</f>
        <v>0</v>
      </c>
      <c r="AO1721" s="27">
        <f>SUM(Tabla2[[#This Row],[Horas]],Tabla2[[#This Row],[Minutos a Horas]])</f>
        <v>3</v>
      </c>
      <c r="AP1721" s="49"/>
      <c r="AQ1721" s="49"/>
      <c r="AR1721" s="26">
        <f>Tabla2[[#This Row],[Minutos*]]/60</f>
        <v>0</v>
      </c>
      <c r="AS1721" s="27">
        <f>SUM(Tabla2[[#This Row],[Horas*]],Tabla2[[#This Row],[Minutos a Horas*]])+(Tabla2[[#This Row],[Tiempo Total a Nivel Proncincial (Horas)]])</f>
        <v>3</v>
      </c>
    </row>
    <row r="1722" spans="30:45" hidden="1" x14ac:dyDescent="0.25">
      <c r="AD1722" s="20" t="s">
        <v>2401</v>
      </c>
      <c r="AE1722" s="10" t="s">
        <v>396</v>
      </c>
      <c r="AF1722" s="20" t="s">
        <v>2109</v>
      </c>
      <c r="AG1722" s="10" t="s">
        <v>2419</v>
      </c>
      <c r="AH1722" s="22" t="str">
        <f t="shared" si="54"/>
        <v xml:space="preserve">Lima_Norte_02 Barranca </v>
      </c>
      <c r="AI1722" s="10" t="s">
        <v>2206</v>
      </c>
      <c r="AJ1722" s="20" t="s">
        <v>2121</v>
      </c>
      <c r="AK1722" s="22" t="str">
        <f t="shared" si="55"/>
        <v>Lima_Norte_02 Barranca _02 Paramonga</v>
      </c>
      <c r="AL1722" s="25">
        <v>3</v>
      </c>
      <c r="AM1722" s="25">
        <v>0</v>
      </c>
      <c r="AN1722" s="26">
        <f>Tabla2[[#This Row],[Minutos]]/60</f>
        <v>0</v>
      </c>
      <c r="AO1722" s="27">
        <f>SUM(Tabla2[[#This Row],[Horas]],Tabla2[[#This Row],[Minutos a Horas]])</f>
        <v>3</v>
      </c>
      <c r="AP1722" s="49"/>
      <c r="AQ1722" s="49"/>
      <c r="AR1722" s="26">
        <f>Tabla2[[#This Row],[Minutos*]]/60</f>
        <v>0</v>
      </c>
      <c r="AS1722" s="27">
        <f>SUM(Tabla2[[#This Row],[Horas*]],Tabla2[[#This Row],[Minutos a Horas*]])+(Tabla2[[#This Row],[Tiempo Total a Nivel Proncincial (Horas)]])</f>
        <v>3</v>
      </c>
    </row>
    <row r="1723" spans="30:45" hidden="1" x14ac:dyDescent="0.25">
      <c r="AD1723" s="20" t="s">
        <v>2401</v>
      </c>
      <c r="AE1723" s="10" t="s">
        <v>396</v>
      </c>
      <c r="AF1723" s="20" t="s">
        <v>2109</v>
      </c>
      <c r="AG1723" s="10" t="s">
        <v>2422</v>
      </c>
      <c r="AH1723" s="22" t="str">
        <f t="shared" si="54"/>
        <v xml:space="preserve">Lima_Norte_02 Barranca </v>
      </c>
      <c r="AI1723" s="10" t="s">
        <v>2206</v>
      </c>
      <c r="AJ1723" s="20" t="s">
        <v>2122</v>
      </c>
      <c r="AK1723" s="22" t="str">
        <f t="shared" si="55"/>
        <v>Lima_Norte_02 Barranca _03 Pativilca</v>
      </c>
      <c r="AL1723" s="25">
        <v>3</v>
      </c>
      <c r="AM1723" s="25">
        <v>0</v>
      </c>
      <c r="AN1723" s="26">
        <f>Tabla2[[#This Row],[Minutos]]/60</f>
        <v>0</v>
      </c>
      <c r="AO1723" s="27">
        <f>SUM(Tabla2[[#This Row],[Horas]],Tabla2[[#This Row],[Minutos a Horas]])</f>
        <v>3</v>
      </c>
      <c r="AP1723" s="49"/>
      <c r="AQ1723" s="49"/>
      <c r="AR1723" s="26">
        <f>Tabla2[[#This Row],[Minutos*]]/60</f>
        <v>0</v>
      </c>
      <c r="AS1723" s="27">
        <f>SUM(Tabla2[[#This Row],[Horas*]],Tabla2[[#This Row],[Minutos a Horas*]])+(Tabla2[[#This Row],[Tiempo Total a Nivel Proncincial (Horas)]])</f>
        <v>3</v>
      </c>
    </row>
    <row r="1724" spans="30:45" hidden="1" x14ac:dyDescent="0.25">
      <c r="AD1724" s="20" t="s">
        <v>2401</v>
      </c>
      <c r="AE1724" s="10" t="s">
        <v>396</v>
      </c>
      <c r="AF1724" s="20" t="s">
        <v>2109</v>
      </c>
      <c r="AG1724" s="10" t="s">
        <v>2427</v>
      </c>
      <c r="AH1724" s="22" t="str">
        <f t="shared" si="54"/>
        <v xml:space="preserve">Lima_Norte_02 Barranca </v>
      </c>
      <c r="AI1724" s="10" t="s">
        <v>2206</v>
      </c>
      <c r="AJ1724" s="20" t="s">
        <v>2123</v>
      </c>
      <c r="AK1724" s="22" t="str">
        <f t="shared" si="55"/>
        <v>Lima_Norte_02 Barranca _04 Supe</v>
      </c>
      <c r="AL1724" s="25">
        <v>3</v>
      </c>
      <c r="AM1724" s="25">
        <v>0</v>
      </c>
      <c r="AN1724" s="26">
        <f>Tabla2[[#This Row],[Minutos]]/60</f>
        <v>0</v>
      </c>
      <c r="AO1724" s="27">
        <f>SUM(Tabla2[[#This Row],[Horas]],Tabla2[[#This Row],[Minutos a Horas]])</f>
        <v>3</v>
      </c>
      <c r="AP1724" s="49"/>
      <c r="AQ1724" s="49"/>
      <c r="AR1724" s="26">
        <f>Tabla2[[#This Row],[Minutos*]]/60</f>
        <v>0</v>
      </c>
      <c r="AS1724" s="27">
        <f>SUM(Tabla2[[#This Row],[Horas*]],Tabla2[[#This Row],[Minutos a Horas*]])+(Tabla2[[#This Row],[Tiempo Total a Nivel Proncincial (Horas)]])</f>
        <v>3</v>
      </c>
    </row>
    <row r="1725" spans="30:45" hidden="1" x14ac:dyDescent="0.25">
      <c r="AD1725" s="20" t="s">
        <v>2401</v>
      </c>
      <c r="AE1725" s="10" t="s">
        <v>396</v>
      </c>
      <c r="AF1725" s="20" t="s">
        <v>2109</v>
      </c>
      <c r="AG1725" s="10"/>
      <c r="AH1725" s="22" t="str">
        <f t="shared" si="54"/>
        <v xml:space="preserve">Lima_Norte_02 Barranca </v>
      </c>
      <c r="AI1725" s="10" t="s">
        <v>2206</v>
      </c>
      <c r="AJ1725" s="20" t="s">
        <v>2124</v>
      </c>
      <c r="AK1725" s="22" t="str">
        <f t="shared" si="55"/>
        <v>Lima_Norte_02 Barranca _05 Supe Puerto</v>
      </c>
      <c r="AL1725" s="25">
        <v>3</v>
      </c>
      <c r="AM1725" s="25">
        <v>0</v>
      </c>
      <c r="AN1725" s="26">
        <f>Tabla2[[#This Row],[Minutos]]/60</f>
        <v>0</v>
      </c>
      <c r="AO1725" s="27">
        <f>SUM(Tabla2[[#This Row],[Horas]],Tabla2[[#This Row],[Minutos a Horas]])</f>
        <v>3</v>
      </c>
      <c r="AP1725" s="49"/>
      <c r="AQ1725" s="49"/>
      <c r="AR1725" s="26">
        <f>Tabla2[[#This Row],[Minutos*]]/60</f>
        <v>0</v>
      </c>
      <c r="AS1725" s="27">
        <f>SUM(Tabla2[[#This Row],[Horas*]],Tabla2[[#This Row],[Minutos a Horas*]])+(Tabla2[[#This Row],[Tiempo Total a Nivel Proncincial (Horas)]])</f>
        <v>3</v>
      </c>
    </row>
    <row r="1726" spans="30:45" hidden="1" x14ac:dyDescent="0.25">
      <c r="AD1726" s="20" t="s">
        <v>2401</v>
      </c>
      <c r="AE1726" s="10" t="s">
        <v>396</v>
      </c>
      <c r="AF1726" s="20" t="s">
        <v>2110</v>
      </c>
      <c r="AG1726" s="10"/>
      <c r="AH1726" s="22" t="str">
        <f t="shared" si="54"/>
        <v xml:space="preserve">Lima_Norte_04 Canta </v>
      </c>
      <c r="AI1726" s="10" t="s">
        <v>2207</v>
      </c>
      <c r="AJ1726" s="20" t="s">
        <v>2125</v>
      </c>
      <c r="AK1726" s="22" t="str">
        <f t="shared" si="55"/>
        <v>Lima_Norte_04 Canta _01 Canta</v>
      </c>
      <c r="AL1726" s="25">
        <v>2</v>
      </c>
      <c r="AM1726" s="25">
        <v>28</v>
      </c>
      <c r="AN1726" s="26">
        <f>Tabla2[[#This Row],[Minutos]]/60</f>
        <v>0.46666666666666667</v>
      </c>
      <c r="AO1726" s="27">
        <f>SUM(Tabla2[[#This Row],[Horas]],Tabla2[[#This Row],[Minutos a Horas]])</f>
        <v>2.4666666666666668</v>
      </c>
      <c r="AP1726" s="49"/>
      <c r="AQ1726" s="49"/>
      <c r="AR1726" s="26">
        <f>Tabla2[[#This Row],[Minutos*]]/60</f>
        <v>0</v>
      </c>
      <c r="AS1726" s="27">
        <f>SUM(Tabla2[[#This Row],[Horas*]],Tabla2[[#This Row],[Minutos a Horas*]])+(Tabla2[[#This Row],[Tiempo Total a Nivel Proncincial (Horas)]])</f>
        <v>2.4666666666666668</v>
      </c>
    </row>
    <row r="1727" spans="30:45" hidden="1" x14ac:dyDescent="0.25">
      <c r="AD1727" s="20" t="s">
        <v>2401</v>
      </c>
      <c r="AE1727" s="10" t="s">
        <v>396</v>
      </c>
      <c r="AF1727" s="20" t="s">
        <v>2110</v>
      </c>
      <c r="AG1727" s="10"/>
      <c r="AH1727" s="22" t="str">
        <f t="shared" si="54"/>
        <v xml:space="preserve">Lima_Norte_04 Canta </v>
      </c>
      <c r="AI1727" s="10" t="s">
        <v>2207</v>
      </c>
      <c r="AJ1727" s="20" t="s">
        <v>2126</v>
      </c>
      <c r="AK1727" s="22" t="str">
        <f t="shared" si="55"/>
        <v>Lima_Norte_04 Canta _02 Arahuay</v>
      </c>
      <c r="AL1727" s="25">
        <v>2</v>
      </c>
      <c r="AM1727" s="25">
        <v>28</v>
      </c>
      <c r="AN1727" s="26">
        <f>Tabla2[[#This Row],[Minutos]]/60</f>
        <v>0.46666666666666667</v>
      </c>
      <c r="AO1727" s="27">
        <f>SUM(Tabla2[[#This Row],[Horas]],Tabla2[[#This Row],[Minutos a Horas]])</f>
        <v>2.4666666666666668</v>
      </c>
      <c r="AP1727" s="49"/>
      <c r="AQ1727" s="49"/>
      <c r="AR1727" s="26">
        <f>Tabla2[[#This Row],[Minutos*]]/60</f>
        <v>0</v>
      </c>
      <c r="AS1727" s="27">
        <f>SUM(Tabla2[[#This Row],[Horas*]],Tabla2[[#This Row],[Minutos a Horas*]])+(Tabla2[[#This Row],[Tiempo Total a Nivel Proncincial (Horas)]])</f>
        <v>2.4666666666666668</v>
      </c>
    </row>
    <row r="1728" spans="30:45" hidden="1" x14ac:dyDescent="0.25">
      <c r="AD1728" s="20" t="s">
        <v>2401</v>
      </c>
      <c r="AE1728" s="10" t="s">
        <v>396</v>
      </c>
      <c r="AF1728" s="20" t="s">
        <v>2110</v>
      </c>
      <c r="AG1728" s="10"/>
      <c r="AH1728" s="22" t="str">
        <f t="shared" si="54"/>
        <v xml:space="preserve">Lima_Norte_04 Canta </v>
      </c>
      <c r="AI1728" s="10" t="s">
        <v>2207</v>
      </c>
      <c r="AJ1728" s="20" t="s">
        <v>2127</v>
      </c>
      <c r="AK1728" s="22" t="str">
        <f t="shared" si="55"/>
        <v>Lima_Norte_04 Canta _03 Huamantanga</v>
      </c>
      <c r="AL1728" s="25">
        <v>2</v>
      </c>
      <c r="AM1728" s="25">
        <v>28</v>
      </c>
      <c r="AN1728" s="26">
        <f>Tabla2[[#This Row],[Minutos]]/60</f>
        <v>0.46666666666666667</v>
      </c>
      <c r="AO1728" s="27">
        <f>SUM(Tabla2[[#This Row],[Horas]],Tabla2[[#This Row],[Minutos a Horas]])</f>
        <v>2.4666666666666668</v>
      </c>
      <c r="AP1728" s="49"/>
      <c r="AQ1728" s="49"/>
      <c r="AR1728" s="26">
        <f>Tabla2[[#This Row],[Minutos*]]/60</f>
        <v>0</v>
      </c>
      <c r="AS1728" s="27">
        <f>SUM(Tabla2[[#This Row],[Horas*]],Tabla2[[#This Row],[Minutos a Horas*]])+(Tabla2[[#This Row],[Tiempo Total a Nivel Proncincial (Horas)]])</f>
        <v>2.4666666666666668</v>
      </c>
    </row>
    <row r="1729" spans="30:45" hidden="1" x14ac:dyDescent="0.25">
      <c r="AD1729" s="20" t="s">
        <v>2401</v>
      </c>
      <c r="AE1729" s="10" t="s">
        <v>396</v>
      </c>
      <c r="AF1729" s="20" t="s">
        <v>2110</v>
      </c>
      <c r="AG1729" s="10"/>
      <c r="AH1729" s="22" t="str">
        <f t="shared" si="54"/>
        <v xml:space="preserve">Lima_Norte_04 Canta </v>
      </c>
      <c r="AI1729" s="10" t="s">
        <v>2207</v>
      </c>
      <c r="AJ1729" s="20" t="s">
        <v>2128</v>
      </c>
      <c r="AK1729" s="22" t="str">
        <f t="shared" si="55"/>
        <v>Lima_Norte_04 Canta _04 Huaros</v>
      </c>
      <c r="AL1729" s="25">
        <v>2</v>
      </c>
      <c r="AM1729" s="25">
        <v>28</v>
      </c>
      <c r="AN1729" s="26">
        <f>Tabla2[[#This Row],[Minutos]]/60</f>
        <v>0.46666666666666667</v>
      </c>
      <c r="AO1729" s="27">
        <f>SUM(Tabla2[[#This Row],[Horas]],Tabla2[[#This Row],[Minutos a Horas]])</f>
        <v>2.4666666666666668</v>
      </c>
      <c r="AP1729" s="49"/>
      <c r="AQ1729" s="49"/>
      <c r="AR1729" s="26">
        <f>Tabla2[[#This Row],[Minutos*]]/60</f>
        <v>0</v>
      </c>
      <c r="AS1729" s="27">
        <f>SUM(Tabla2[[#This Row],[Horas*]],Tabla2[[#This Row],[Minutos a Horas*]])+(Tabla2[[#This Row],[Tiempo Total a Nivel Proncincial (Horas)]])</f>
        <v>2.4666666666666668</v>
      </c>
    </row>
    <row r="1730" spans="30:45" hidden="1" x14ac:dyDescent="0.25">
      <c r="AD1730" s="20" t="s">
        <v>2401</v>
      </c>
      <c r="AE1730" s="10" t="s">
        <v>396</v>
      </c>
      <c r="AF1730" s="20" t="s">
        <v>2110</v>
      </c>
      <c r="AG1730" s="10"/>
      <c r="AH1730" s="22" t="str">
        <f t="shared" si="54"/>
        <v xml:space="preserve">Lima_Norte_04 Canta </v>
      </c>
      <c r="AI1730" s="10" t="s">
        <v>2207</v>
      </c>
      <c r="AJ1730" s="20" t="s">
        <v>2129</v>
      </c>
      <c r="AK1730" s="22" t="str">
        <f t="shared" si="55"/>
        <v>Lima_Norte_04 Canta _05 Lachaqui</v>
      </c>
      <c r="AL1730" s="25">
        <v>2</v>
      </c>
      <c r="AM1730" s="25">
        <v>28</v>
      </c>
      <c r="AN1730" s="26">
        <f>Tabla2[[#This Row],[Minutos]]/60</f>
        <v>0.46666666666666667</v>
      </c>
      <c r="AO1730" s="27">
        <f>SUM(Tabla2[[#This Row],[Horas]],Tabla2[[#This Row],[Minutos a Horas]])</f>
        <v>2.4666666666666668</v>
      </c>
      <c r="AP1730" s="49"/>
      <c r="AQ1730" s="49"/>
      <c r="AR1730" s="26">
        <f>Tabla2[[#This Row],[Minutos*]]/60</f>
        <v>0</v>
      </c>
      <c r="AS1730" s="27">
        <f>SUM(Tabla2[[#This Row],[Horas*]],Tabla2[[#This Row],[Minutos a Horas*]])+(Tabla2[[#This Row],[Tiempo Total a Nivel Proncincial (Horas)]])</f>
        <v>2.4666666666666668</v>
      </c>
    </row>
    <row r="1731" spans="30:45" hidden="1" x14ac:dyDescent="0.25">
      <c r="AD1731" s="20" t="s">
        <v>2401</v>
      </c>
      <c r="AE1731" s="10" t="s">
        <v>396</v>
      </c>
      <c r="AF1731" s="20" t="s">
        <v>2110</v>
      </c>
      <c r="AG1731" s="10"/>
      <c r="AH1731" s="22" t="str">
        <f t="shared" si="54"/>
        <v xml:space="preserve">Lima_Norte_04 Canta </v>
      </c>
      <c r="AI1731" s="10" t="s">
        <v>2207</v>
      </c>
      <c r="AJ1731" s="20" t="s">
        <v>2130</v>
      </c>
      <c r="AK1731" s="22" t="str">
        <f t="shared" si="55"/>
        <v>Lima_Norte_04 Canta _06 San Buenaventura</v>
      </c>
      <c r="AL1731" s="25">
        <v>2</v>
      </c>
      <c r="AM1731" s="25">
        <v>28</v>
      </c>
      <c r="AN1731" s="26">
        <f>Tabla2[[#This Row],[Minutos]]/60</f>
        <v>0.46666666666666667</v>
      </c>
      <c r="AO1731" s="27">
        <f>SUM(Tabla2[[#This Row],[Horas]],Tabla2[[#This Row],[Minutos a Horas]])</f>
        <v>2.4666666666666668</v>
      </c>
      <c r="AP1731" s="49"/>
      <c r="AQ1731" s="49"/>
      <c r="AR1731" s="26">
        <f>Tabla2[[#This Row],[Minutos*]]/60</f>
        <v>0</v>
      </c>
      <c r="AS1731" s="27">
        <f>SUM(Tabla2[[#This Row],[Horas*]],Tabla2[[#This Row],[Minutos a Horas*]])+(Tabla2[[#This Row],[Tiempo Total a Nivel Proncincial (Horas)]])</f>
        <v>2.4666666666666668</v>
      </c>
    </row>
    <row r="1732" spans="30:45" hidden="1" x14ac:dyDescent="0.25">
      <c r="AD1732" s="20" t="s">
        <v>2401</v>
      </c>
      <c r="AE1732" s="10" t="s">
        <v>396</v>
      </c>
      <c r="AF1732" s="20" t="s">
        <v>2110</v>
      </c>
      <c r="AG1732" s="10"/>
      <c r="AH1732" s="22" t="str">
        <f t="shared" si="54"/>
        <v xml:space="preserve">Lima_Norte_04 Canta </v>
      </c>
      <c r="AI1732" s="10" t="s">
        <v>2207</v>
      </c>
      <c r="AJ1732" s="20" t="s">
        <v>2131</v>
      </c>
      <c r="AK1732" s="22" t="str">
        <f t="shared" si="55"/>
        <v>Lima_Norte_04 Canta _07 Santa Rosa de Quives</v>
      </c>
      <c r="AL1732" s="25">
        <v>2</v>
      </c>
      <c r="AM1732" s="25">
        <v>28</v>
      </c>
      <c r="AN1732" s="26">
        <f>Tabla2[[#This Row],[Minutos]]/60</f>
        <v>0.46666666666666667</v>
      </c>
      <c r="AO1732" s="27">
        <f>SUM(Tabla2[[#This Row],[Horas]],Tabla2[[#This Row],[Minutos a Horas]])</f>
        <v>2.4666666666666668</v>
      </c>
      <c r="AP1732" s="49"/>
      <c r="AQ1732" s="49"/>
      <c r="AR1732" s="26">
        <f>Tabla2[[#This Row],[Minutos*]]/60</f>
        <v>0</v>
      </c>
      <c r="AS1732" s="27">
        <f>SUM(Tabla2[[#This Row],[Horas*]],Tabla2[[#This Row],[Minutos a Horas*]])+(Tabla2[[#This Row],[Tiempo Total a Nivel Proncincial (Horas)]])</f>
        <v>2.4666666666666668</v>
      </c>
    </row>
    <row r="1733" spans="30:45" hidden="1" x14ac:dyDescent="0.25">
      <c r="AD1733" s="20" t="s">
        <v>2401</v>
      </c>
      <c r="AE1733" s="10" t="s">
        <v>396</v>
      </c>
      <c r="AF1733" s="20" t="s">
        <v>2111</v>
      </c>
      <c r="AG1733" s="10"/>
      <c r="AH1733" s="22" t="str">
        <f t="shared" si="54"/>
        <v xml:space="preserve">Lima_Norte_06 Huaral </v>
      </c>
      <c r="AI1733" s="10" t="s">
        <v>2208</v>
      </c>
      <c r="AJ1733" s="20" t="s">
        <v>2132</v>
      </c>
      <c r="AK1733" s="22" t="str">
        <f t="shared" si="55"/>
        <v>Lima_Norte_06 Huaral _01 Huaral</v>
      </c>
      <c r="AL1733" s="25">
        <v>1</v>
      </c>
      <c r="AM1733" s="25">
        <v>23</v>
      </c>
      <c r="AN1733" s="26">
        <f>Tabla2[[#This Row],[Minutos]]/60</f>
        <v>0.38333333333333336</v>
      </c>
      <c r="AO1733" s="27">
        <f>SUM(Tabla2[[#This Row],[Horas]],Tabla2[[#This Row],[Minutos a Horas]])</f>
        <v>1.3833333333333333</v>
      </c>
      <c r="AP1733" s="49"/>
      <c r="AQ1733" s="49"/>
      <c r="AR1733" s="26">
        <f>Tabla2[[#This Row],[Minutos*]]/60</f>
        <v>0</v>
      </c>
      <c r="AS1733" s="27">
        <f>SUM(Tabla2[[#This Row],[Horas*]],Tabla2[[#This Row],[Minutos a Horas*]])+(Tabla2[[#This Row],[Tiempo Total a Nivel Proncincial (Horas)]])</f>
        <v>1.3833333333333333</v>
      </c>
    </row>
    <row r="1734" spans="30:45" hidden="1" x14ac:dyDescent="0.25">
      <c r="AD1734" s="20" t="s">
        <v>2401</v>
      </c>
      <c r="AE1734" s="10" t="s">
        <v>396</v>
      </c>
      <c r="AF1734" s="20" t="s">
        <v>2111</v>
      </c>
      <c r="AG1734" s="10"/>
      <c r="AH1734" s="22" t="str">
        <f t="shared" si="54"/>
        <v xml:space="preserve">Lima_Norte_06 Huaral </v>
      </c>
      <c r="AI1734" s="10" t="s">
        <v>2208</v>
      </c>
      <c r="AJ1734" s="20" t="s">
        <v>2133</v>
      </c>
      <c r="AK1734" s="22" t="str">
        <f t="shared" si="55"/>
        <v>Lima_Norte_06 Huaral _02 Atavillos Alto</v>
      </c>
      <c r="AL1734" s="25">
        <v>1</v>
      </c>
      <c r="AM1734" s="25">
        <v>23</v>
      </c>
      <c r="AN1734" s="26">
        <f>Tabla2[[#This Row],[Minutos]]/60</f>
        <v>0.38333333333333336</v>
      </c>
      <c r="AO1734" s="27">
        <f>SUM(Tabla2[[#This Row],[Horas]],Tabla2[[#This Row],[Minutos a Horas]])</f>
        <v>1.3833333333333333</v>
      </c>
      <c r="AP1734" s="49"/>
      <c r="AQ1734" s="49"/>
      <c r="AR1734" s="26">
        <f>Tabla2[[#This Row],[Minutos*]]/60</f>
        <v>0</v>
      </c>
      <c r="AS1734" s="27">
        <f>SUM(Tabla2[[#This Row],[Horas*]],Tabla2[[#This Row],[Minutos a Horas*]])+(Tabla2[[#This Row],[Tiempo Total a Nivel Proncincial (Horas)]])</f>
        <v>1.3833333333333333</v>
      </c>
    </row>
    <row r="1735" spans="30:45" hidden="1" x14ac:dyDescent="0.25">
      <c r="AD1735" s="20" t="s">
        <v>2401</v>
      </c>
      <c r="AE1735" s="10" t="s">
        <v>396</v>
      </c>
      <c r="AF1735" s="20" t="s">
        <v>2111</v>
      </c>
      <c r="AG1735" s="10"/>
      <c r="AH1735" s="22" t="str">
        <f t="shared" si="54"/>
        <v xml:space="preserve">Lima_Norte_06 Huaral </v>
      </c>
      <c r="AI1735" s="10" t="s">
        <v>2208</v>
      </c>
      <c r="AJ1735" s="20" t="s">
        <v>2134</v>
      </c>
      <c r="AK1735" s="22" t="str">
        <f t="shared" si="55"/>
        <v>Lima_Norte_06 Huaral _03 Atavillos Bajo</v>
      </c>
      <c r="AL1735" s="25">
        <v>1</v>
      </c>
      <c r="AM1735" s="25">
        <v>23</v>
      </c>
      <c r="AN1735" s="26">
        <f>Tabla2[[#This Row],[Minutos]]/60</f>
        <v>0.38333333333333336</v>
      </c>
      <c r="AO1735" s="27">
        <f>SUM(Tabla2[[#This Row],[Horas]],Tabla2[[#This Row],[Minutos a Horas]])</f>
        <v>1.3833333333333333</v>
      </c>
      <c r="AP1735" s="49"/>
      <c r="AQ1735" s="49"/>
      <c r="AR1735" s="26">
        <f>Tabla2[[#This Row],[Minutos*]]/60</f>
        <v>0</v>
      </c>
      <c r="AS1735" s="27">
        <f>SUM(Tabla2[[#This Row],[Horas*]],Tabla2[[#This Row],[Minutos a Horas*]])+(Tabla2[[#This Row],[Tiempo Total a Nivel Proncincial (Horas)]])</f>
        <v>1.3833333333333333</v>
      </c>
    </row>
    <row r="1736" spans="30:45" hidden="1" x14ac:dyDescent="0.25">
      <c r="AD1736" s="20" t="s">
        <v>2401</v>
      </c>
      <c r="AE1736" s="10" t="s">
        <v>396</v>
      </c>
      <c r="AF1736" s="20" t="s">
        <v>2111</v>
      </c>
      <c r="AG1736" s="10"/>
      <c r="AH1736" s="22" t="str">
        <f t="shared" si="54"/>
        <v xml:space="preserve">Lima_Norte_06 Huaral </v>
      </c>
      <c r="AI1736" s="10" t="s">
        <v>2208</v>
      </c>
      <c r="AJ1736" s="20" t="s">
        <v>2135</v>
      </c>
      <c r="AK1736" s="22" t="str">
        <f t="shared" si="55"/>
        <v>Lima_Norte_06 Huaral _04 Aucallama</v>
      </c>
      <c r="AL1736" s="25">
        <v>1</v>
      </c>
      <c r="AM1736" s="25">
        <v>23</v>
      </c>
      <c r="AN1736" s="26">
        <f>Tabla2[[#This Row],[Minutos]]/60</f>
        <v>0.38333333333333336</v>
      </c>
      <c r="AO1736" s="27">
        <f>SUM(Tabla2[[#This Row],[Horas]],Tabla2[[#This Row],[Minutos a Horas]])</f>
        <v>1.3833333333333333</v>
      </c>
      <c r="AP1736" s="49"/>
      <c r="AQ1736" s="49"/>
      <c r="AR1736" s="26">
        <f>Tabla2[[#This Row],[Minutos*]]/60</f>
        <v>0</v>
      </c>
      <c r="AS1736" s="27">
        <f>SUM(Tabla2[[#This Row],[Horas*]],Tabla2[[#This Row],[Minutos a Horas*]])+(Tabla2[[#This Row],[Tiempo Total a Nivel Proncincial (Horas)]])</f>
        <v>1.3833333333333333</v>
      </c>
    </row>
    <row r="1737" spans="30:45" hidden="1" x14ac:dyDescent="0.25">
      <c r="AD1737" s="20" t="s">
        <v>2401</v>
      </c>
      <c r="AE1737" s="10" t="s">
        <v>396</v>
      </c>
      <c r="AF1737" s="20" t="s">
        <v>2111</v>
      </c>
      <c r="AG1737" s="10"/>
      <c r="AH1737" s="22" t="str">
        <f t="shared" si="54"/>
        <v xml:space="preserve">Lima_Norte_06 Huaral </v>
      </c>
      <c r="AI1737" s="10" t="s">
        <v>2208</v>
      </c>
      <c r="AJ1737" s="20" t="s">
        <v>2136</v>
      </c>
      <c r="AK1737" s="22" t="str">
        <f t="shared" si="55"/>
        <v>Lima_Norte_06 Huaral _05 Chancay</v>
      </c>
      <c r="AL1737" s="25">
        <v>1</v>
      </c>
      <c r="AM1737" s="25">
        <v>23</v>
      </c>
      <c r="AN1737" s="26">
        <f>Tabla2[[#This Row],[Minutos]]/60</f>
        <v>0.38333333333333336</v>
      </c>
      <c r="AO1737" s="27">
        <f>SUM(Tabla2[[#This Row],[Horas]],Tabla2[[#This Row],[Minutos a Horas]])</f>
        <v>1.3833333333333333</v>
      </c>
      <c r="AP1737" s="49"/>
      <c r="AQ1737" s="49"/>
      <c r="AR1737" s="26">
        <f>Tabla2[[#This Row],[Minutos*]]/60</f>
        <v>0</v>
      </c>
      <c r="AS1737" s="27">
        <f>SUM(Tabla2[[#This Row],[Horas*]],Tabla2[[#This Row],[Minutos a Horas*]])+(Tabla2[[#This Row],[Tiempo Total a Nivel Proncincial (Horas)]])</f>
        <v>1.3833333333333333</v>
      </c>
    </row>
    <row r="1738" spans="30:45" hidden="1" x14ac:dyDescent="0.25">
      <c r="AD1738" s="20" t="s">
        <v>2401</v>
      </c>
      <c r="AE1738" s="10" t="s">
        <v>396</v>
      </c>
      <c r="AF1738" s="20" t="s">
        <v>2111</v>
      </c>
      <c r="AG1738" s="10"/>
      <c r="AH1738" s="22" t="str">
        <f t="shared" si="54"/>
        <v xml:space="preserve">Lima_Norte_06 Huaral </v>
      </c>
      <c r="AI1738" s="10" t="s">
        <v>2208</v>
      </c>
      <c r="AJ1738" s="20" t="s">
        <v>2137</v>
      </c>
      <c r="AK1738" s="22" t="str">
        <f t="shared" si="55"/>
        <v>Lima_Norte_06 Huaral _06 Ihuari</v>
      </c>
      <c r="AL1738" s="25">
        <v>1</v>
      </c>
      <c r="AM1738" s="25">
        <v>23</v>
      </c>
      <c r="AN1738" s="26">
        <f>Tabla2[[#This Row],[Minutos]]/60</f>
        <v>0.38333333333333336</v>
      </c>
      <c r="AO1738" s="27">
        <f>SUM(Tabla2[[#This Row],[Horas]],Tabla2[[#This Row],[Minutos a Horas]])</f>
        <v>1.3833333333333333</v>
      </c>
      <c r="AP1738" s="49"/>
      <c r="AQ1738" s="49"/>
      <c r="AR1738" s="26">
        <f>Tabla2[[#This Row],[Minutos*]]/60</f>
        <v>0</v>
      </c>
      <c r="AS1738" s="27">
        <f>SUM(Tabla2[[#This Row],[Horas*]],Tabla2[[#This Row],[Minutos a Horas*]])+(Tabla2[[#This Row],[Tiempo Total a Nivel Proncincial (Horas)]])</f>
        <v>1.3833333333333333</v>
      </c>
    </row>
    <row r="1739" spans="30:45" hidden="1" x14ac:dyDescent="0.25">
      <c r="AD1739" s="20" t="s">
        <v>2401</v>
      </c>
      <c r="AE1739" s="10" t="s">
        <v>396</v>
      </c>
      <c r="AF1739" s="20" t="s">
        <v>2111</v>
      </c>
      <c r="AG1739" s="10"/>
      <c r="AH1739" s="22" t="str">
        <f t="shared" si="54"/>
        <v xml:space="preserve">Lima_Norte_06 Huaral </v>
      </c>
      <c r="AI1739" s="10" t="s">
        <v>2208</v>
      </c>
      <c r="AJ1739" s="20" t="s">
        <v>2138</v>
      </c>
      <c r="AK1739" s="22" t="str">
        <f t="shared" si="55"/>
        <v>Lima_Norte_06 Huaral _07 Lampian</v>
      </c>
      <c r="AL1739" s="25">
        <v>1</v>
      </c>
      <c r="AM1739" s="25">
        <v>23</v>
      </c>
      <c r="AN1739" s="26">
        <f>Tabla2[[#This Row],[Minutos]]/60</f>
        <v>0.38333333333333336</v>
      </c>
      <c r="AO1739" s="27">
        <f>SUM(Tabla2[[#This Row],[Horas]],Tabla2[[#This Row],[Minutos a Horas]])</f>
        <v>1.3833333333333333</v>
      </c>
      <c r="AP1739" s="49"/>
      <c r="AQ1739" s="49"/>
      <c r="AR1739" s="26">
        <f>Tabla2[[#This Row],[Minutos*]]/60</f>
        <v>0</v>
      </c>
      <c r="AS1739" s="27">
        <f>SUM(Tabla2[[#This Row],[Horas*]],Tabla2[[#This Row],[Minutos a Horas*]])+(Tabla2[[#This Row],[Tiempo Total a Nivel Proncincial (Horas)]])</f>
        <v>1.3833333333333333</v>
      </c>
    </row>
    <row r="1740" spans="30:45" hidden="1" x14ac:dyDescent="0.25">
      <c r="AD1740" s="20" t="s">
        <v>2401</v>
      </c>
      <c r="AE1740" s="10" t="s">
        <v>396</v>
      </c>
      <c r="AF1740" s="20" t="s">
        <v>2111</v>
      </c>
      <c r="AG1740" s="10"/>
      <c r="AH1740" s="22" t="str">
        <f t="shared" si="54"/>
        <v xml:space="preserve">Lima_Norte_06 Huaral </v>
      </c>
      <c r="AI1740" s="10" t="s">
        <v>2208</v>
      </c>
      <c r="AJ1740" s="20" t="s">
        <v>2139</v>
      </c>
      <c r="AK1740" s="22" t="str">
        <f t="shared" si="55"/>
        <v>Lima_Norte_06 Huaral _08 Pacaraos</v>
      </c>
      <c r="AL1740" s="25">
        <v>1</v>
      </c>
      <c r="AM1740" s="25">
        <v>23</v>
      </c>
      <c r="AN1740" s="26">
        <f>Tabla2[[#This Row],[Minutos]]/60</f>
        <v>0.38333333333333336</v>
      </c>
      <c r="AO1740" s="27">
        <f>SUM(Tabla2[[#This Row],[Horas]],Tabla2[[#This Row],[Minutos a Horas]])</f>
        <v>1.3833333333333333</v>
      </c>
      <c r="AP1740" s="49"/>
      <c r="AQ1740" s="49"/>
      <c r="AR1740" s="26">
        <f>Tabla2[[#This Row],[Minutos*]]/60</f>
        <v>0</v>
      </c>
      <c r="AS1740" s="27">
        <f>SUM(Tabla2[[#This Row],[Horas*]],Tabla2[[#This Row],[Minutos a Horas*]])+(Tabla2[[#This Row],[Tiempo Total a Nivel Proncincial (Horas)]])</f>
        <v>1.3833333333333333</v>
      </c>
    </row>
    <row r="1741" spans="30:45" hidden="1" x14ac:dyDescent="0.25">
      <c r="AD1741" s="20" t="s">
        <v>2401</v>
      </c>
      <c r="AE1741" s="10" t="s">
        <v>396</v>
      </c>
      <c r="AF1741" s="20" t="s">
        <v>2111</v>
      </c>
      <c r="AG1741" s="10"/>
      <c r="AH1741" s="22" t="str">
        <f t="shared" si="54"/>
        <v xml:space="preserve">Lima_Norte_06 Huaral </v>
      </c>
      <c r="AI1741" s="10" t="s">
        <v>2208</v>
      </c>
      <c r="AJ1741" s="20" t="s">
        <v>2140</v>
      </c>
      <c r="AK1741" s="22" t="str">
        <f t="shared" si="55"/>
        <v>Lima_Norte_06 Huaral _09 San Miguel de Acos</v>
      </c>
      <c r="AL1741" s="25">
        <v>1</v>
      </c>
      <c r="AM1741" s="25">
        <v>23</v>
      </c>
      <c r="AN1741" s="26">
        <f>Tabla2[[#This Row],[Minutos]]/60</f>
        <v>0.38333333333333336</v>
      </c>
      <c r="AO1741" s="27">
        <f>SUM(Tabla2[[#This Row],[Horas]],Tabla2[[#This Row],[Minutos a Horas]])</f>
        <v>1.3833333333333333</v>
      </c>
      <c r="AP1741" s="49"/>
      <c r="AQ1741" s="49"/>
      <c r="AR1741" s="26">
        <f>Tabla2[[#This Row],[Minutos*]]/60</f>
        <v>0</v>
      </c>
      <c r="AS1741" s="27">
        <f>SUM(Tabla2[[#This Row],[Horas*]],Tabla2[[#This Row],[Minutos a Horas*]])+(Tabla2[[#This Row],[Tiempo Total a Nivel Proncincial (Horas)]])</f>
        <v>1.3833333333333333</v>
      </c>
    </row>
    <row r="1742" spans="30:45" hidden="1" x14ac:dyDescent="0.25">
      <c r="AD1742" s="20" t="s">
        <v>2401</v>
      </c>
      <c r="AE1742" s="10" t="s">
        <v>396</v>
      </c>
      <c r="AF1742" s="20" t="s">
        <v>2111</v>
      </c>
      <c r="AG1742" s="10"/>
      <c r="AH1742" s="22" t="str">
        <f t="shared" si="54"/>
        <v xml:space="preserve">Lima_Norte_06 Huaral </v>
      </c>
      <c r="AI1742" s="10" t="s">
        <v>2208</v>
      </c>
      <c r="AJ1742" s="20" t="s">
        <v>2141</v>
      </c>
      <c r="AK1742" s="22" t="str">
        <f t="shared" si="55"/>
        <v>Lima_Norte_06 Huaral _10 Santa Cruz de Andamarca</v>
      </c>
      <c r="AL1742" s="25">
        <v>1</v>
      </c>
      <c r="AM1742" s="25">
        <v>23</v>
      </c>
      <c r="AN1742" s="26">
        <f>Tabla2[[#This Row],[Minutos]]/60</f>
        <v>0.38333333333333336</v>
      </c>
      <c r="AO1742" s="27">
        <f>SUM(Tabla2[[#This Row],[Horas]],Tabla2[[#This Row],[Minutos a Horas]])</f>
        <v>1.3833333333333333</v>
      </c>
      <c r="AP1742" s="49"/>
      <c r="AQ1742" s="49"/>
      <c r="AR1742" s="26">
        <f>Tabla2[[#This Row],[Minutos*]]/60</f>
        <v>0</v>
      </c>
      <c r="AS1742" s="27">
        <f>SUM(Tabla2[[#This Row],[Horas*]],Tabla2[[#This Row],[Minutos a Horas*]])+(Tabla2[[#This Row],[Tiempo Total a Nivel Proncincial (Horas)]])</f>
        <v>1.3833333333333333</v>
      </c>
    </row>
    <row r="1743" spans="30:45" hidden="1" x14ac:dyDescent="0.25">
      <c r="AD1743" s="20" t="s">
        <v>2401</v>
      </c>
      <c r="AE1743" s="10" t="s">
        <v>396</v>
      </c>
      <c r="AF1743" s="20" t="s">
        <v>2111</v>
      </c>
      <c r="AG1743" s="10"/>
      <c r="AH1743" s="22" t="str">
        <f t="shared" si="54"/>
        <v xml:space="preserve">Lima_Norte_06 Huaral </v>
      </c>
      <c r="AI1743" s="10" t="s">
        <v>2208</v>
      </c>
      <c r="AJ1743" s="20" t="s">
        <v>2142</v>
      </c>
      <c r="AK1743" s="22" t="str">
        <f t="shared" si="55"/>
        <v>Lima_Norte_06 Huaral _11 Sumbilca</v>
      </c>
      <c r="AL1743" s="25">
        <v>1</v>
      </c>
      <c r="AM1743" s="25">
        <v>23</v>
      </c>
      <c r="AN1743" s="26">
        <f>Tabla2[[#This Row],[Minutos]]/60</f>
        <v>0.38333333333333336</v>
      </c>
      <c r="AO1743" s="27">
        <f>SUM(Tabla2[[#This Row],[Horas]],Tabla2[[#This Row],[Minutos a Horas]])</f>
        <v>1.3833333333333333</v>
      </c>
      <c r="AP1743" s="49"/>
      <c r="AQ1743" s="49"/>
      <c r="AR1743" s="26">
        <f>Tabla2[[#This Row],[Minutos*]]/60</f>
        <v>0</v>
      </c>
      <c r="AS1743" s="27">
        <f>SUM(Tabla2[[#This Row],[Horas*]],Tabla2[[#This Row],[Minutos a Horas*]])+(Tabla2[[#This Row],[Tiempo Total a Nivel Proncincial (Horas)]])</f>
        <v>1.3833333333333333</v>
      </c>
    </row>
    <row r="1744" spans="30:45" hidden="1" x14ac:dyDescent="0.25">
      <c r="AD1744" s="20" t="s">
        <v>2401</v>
      </c>
      <c r="AE1744" s="10" t="s">
        <v>396</v>
      </c>
      <c r="AF1744" s="20" t="s">
        <v>2111</v>
      </c>
      <c r="AG1744" s="10"/>
      <c r="AH1744" s="22" t="str">
        <f t="shared" si="54"/>
        <v xml:space="preserve">Lima_Norte_06 Huaral </v>
      </c>
      <c r="AI1744" s="10" t="s">
        <v>2208</v>
      </c>
      <c r="AJ1744" s="20" t="s">
        <v>2143</v>
      </c>
      <c r="AK1744" s="22" t="str">
        <f t="shared" si="55"/>
        <v>Lima_Norte_06 Huaral _12 Veintisiete de Noviembre</v>
      </c>
      <c r="AL1744" s="25">
        <v>1</v>
      </c>
      <c r="AM1744" s="25">
        <v>23</v>
      </c>
      <c r="AN1744" s="26">
        <f>Tabla2[[#This Row],[Minutos]]/60</f>
        <v>0.38333333333333336</v>
      </c>
      <c r="AO1744" s="27">
        <f>SUM(Tabla2[[#This Row],[Horas]],Tabla2[[#This Row],[Minutos a Horas]])</f>
        <v>1.3833333333333333</v>
      </c>
      <c r="AP1744" s="49"/>
      <c r="AQ1744" s="49"/>
      <c r="AR1744" s="26">
        <f>Tabla2[[#This Row],[Minutos*]]/60</f>
        <v>0</v>
      </c>
      <c r="AS1744" s="27">
        <f>SUM(Tabla2[[#This Row],[Horas*]],Tabla2[[#This Row],[Minutos a Horas*]])+(Tabla2[[#This Row],[Tiempo Total a Nivel Proncincial (Horas)]])</f>
        <v>1.3833333333333333</v>
      </c>
    </row>
    <row r="1745" spans="30:45" hidden="1" x14ac:dyDescent="0.25">
      <c r="AD1745" s="20" t="s">
        <v>2401</v>
      </c>
      <c r="AE1745" s="10" t="s">
        <v>396</v>
      </c>
      <c r="AF1745" s="20" t="s">
        <v>2112</v>
      </c>
      <c r="AG1745" s="10"/>
      <c r="AH1745" s="22" t="str">
        <f t="shared" si="54"/>
        <v xml:space="preserve">Lima_Norte_08 Huaura </v>
      </c>
      <c r="AI1745" s="10" t="s">
        <v>2209</v>
      </c>
      <c r="AJ1745" s="20" t="s">
        <v>2144</v>
      </c>
      <c r="AK1745" s="22" t="str">
        <f t="shared" si="55"/>
        <v>Lima_Norte_08 Huaura _01 Huacho</v>
      </c>
      <c r="AL1745" s="25">
        <v>2</v>
      </c>
      <c r="AM1745" s="25">
        <v>26</v>
      </c>
      <c r="AN1745" s="26">
        <f>Tabla2[[#This Row],[Minutos]]/60</f>
        <v>0.43333333333333335</v>
      </c>
      <c r="AO1745" s="27">
        <f>SUM(Tabla2[[#This Row],[Horas]],Tabla2[[#This Row],[Minutos a Horas]])</f>
        <v>2.4333333333333336</v>
      </c>
      <c r="AP1745" s="49"/>
      <c r="AQ1745" s="49"/>
      <c r="AR1745" s="26">
        <f>Tabla2[[#This Row],[Minutos*]]/60</f>
        <v>0</v>
      </c>
      <c r="AS1745" s="27">
        <f>SUM(Tabla2[[#This Row],[Horas*]],Tabla2[[#This Row],[Minutos a Horas*]])+(Tabla2[[#This Row],[Tiempo Total a Nivel Proncincial (Horas)]])</f>
        <v>2.4333333333333336</v>
      </c>
    </row>
    <row r="1746" spans="30:45" hidden="1" x14ac:dyDescent="0.25">
      <c r="AD1746" s="20" t="s">
        <v>2401</v>
      </c>
      <c r="AE1746" s="10" t="s">
        <v>396</v>
      </c>
      <c r="AF1746" s="20" t="s">
        <v>2112</v>
      </c>
      <c r="AG1746" s="10"/>
      <c r="AH1746" s="22" t="str">
        <f t="shared" si="54"/>
        <v xml:space="preserve">Lima_Norte_08 Huaura </v>
      </c>
      <c r="AI1746" s="10" t="s">
        <v>2209</v>
      </c>
      <c r="AJ1746" s="20" t="s">
        <v>2145</v>
      </c>
      <c r="AK1746" s="22" t="str">
        <f t="shared" si="55"/>
        <v>Lima_Norte_08 Huaura _02 Ambar</v>
      </c>
      <c r="AL1746" s="25">
        <v>2</v>
      </c>
      <c r="AM1746" s="25">
        <v>26</v>
      </c>
      <c r="AN1746" s="26">
        <f>Tabla2[[#This Row],[Minutos]]/60</f>
        <v>0.43333333333333335</v>
      </c>
      <c r="AO1746" s="27">
        <f>SUM(Tabla2[[#This Row],[Horas]],Tabla2[[#This Row],[Minutos a Horas]])</f>
        <v>2.4333333333333336</v>
      </c>
      <c r="AP1746" s="49"/>
      <c r="AQ1746" s="49"/>
      <c r="AR1746" s="26">
        <f>Tabla2[[#This Row],[Minutos*]]/60</f>
        <v>0</v>
      </c>
      <c r="AS1746" s="27">
        <f>SUM(Tabla2[[#This Row],[Horas*]],Tabla2[[#This Row],[Minutos a Horas*]])+(Tabla2[[#This Row],[Tiempo Total a Nivel Proncincial (Horas)]])</f>
        <v>2.4333333333333336</v>
      </c>
    </row>
    <row r="1747" spans="30:45" hidden="1" x14ac:dyDescent="0.25">
      <c r="AD1747" s="20" t="s">
        <v>2401</v>
      </c>
      <c r="AE1747" s="10" t="s">
        <v>396</v>
      </c>
      <c r="AF1747" s="20" t="s">
        <v>2112</v>
      </c>
      <c r="AG1747" s="10"/>
      <c r="AH1747" s="22" t="str">
        <f t="shared" si="54"/>
        <v xml:space="preserve">Lima_Norte_08 Huaura </v>
      </c>
      <c r="AI1747" s="10" t="s">
        <v>2209</v>
      </c>
      <c r="AJ1747" s="20" t="s">
        <v>2146</v>
      </c>
      <c r="AK1747" s="22" t="str">
        <f t="shared" si="55"/>
        <v>Lima_Norte_08 Huaura _03 Caleta de Carquin</v>
      </c>
      <c r="AL1747" s="25">
        <v>2</v>
      </c>
      <c r="AM1747" s="25">
        <v>26</v>
      </c>
      <c r="AN1747" s="26">
        <f>Tabla2[[#This Row],[Minutos]]/60</f>
        <v>0.43333333333333335</v>
      </c>
      <c r="AO1747" s="27">
        <f>SUM(Tabla2[[#This Row],[Horas]],Tabla2[[#This Row],[Minutos a Horas]])</f>
        <v>2.4333333333333336</v>
      </c>
      <c r="AP1747" s="49"/>
      <c r="AQ1747" s="49"/>
      <c r="AR1747" s="26">
        <f>Tabla2[[#This Row],[Minutos*]]/60</f>
        <v>0</v>
      </c>
      <c r="AS1747" s="27">
        <f>SUM(Tabla2[[#This Row],[Horas*]],Tabla2[[#This Row],[Minutos a Horas*]])+(Tabla2[[#This Row],[Tiempo Total a Nivel Proncincial (Horas)]])</f>
        <v>2.4333333333333336</v>
      </c>
    </row>
    <row r="1748" spans="30:45" hidden="1" x14ac:dyDescent="0.25">
      <c r="AD1748" s="20" t="s">
        <v>2401</v>
      </c>
      <c r="AE1748" s="10" t="s">
        <v>396</v>
      </c>
      <c r="AF1748" s="20" t="s">
        <v>2112</v>
      </c>
      <c r="AG1748" s="10"/>
      <c r="AH1748" s="22" t="str">
        <f t="shared" si="54"/>
        <v xml:space="preserve">Lima_Norte_08 Huaura </v>
      </c>
      <c r="AI1748" s="10" t="s">
        <v>2209</v>
      </c>
      <c r="AJ1748" s="20" t="s">
        <v>2147</v>
      </c>
      <c r="AK1748" s="22" t="str">
        <f t="shared" si="55"/>
        <v>Lima_Norte_08 Huaura _04 Checras</v>
      </c>
      <c r="AL1748" s="25">
        <v>2</v>
      </c>
      <c r="AM1748" s="25">
        <v>26</v>
      </c>
      <c r="AN1748" s="26">
        <f>Tabla2[[#This Row],[Minutos]]/60</f>
        <v>0.43333333333333335</v>
      </c>
      <c r="AO1748" s="27">
        <f>SUM(Tabla2[[#This Row],[Horas]],Tabla2[[#This Row],[Minutos a Horas]])</f>
        <v>2.4333333333333336</v>
      </c>
      <c r="AP1748" s="49"/>
      <c r="AQ1748" s="49"/>
      <c r="AR1748" s="26">
        <f>Tabla2[[#This Row],[Minutos*]]/60</f>
        <v>0</v>
      </c>
      <c r="AS1748" s="27">
        <f>SUM(Tabla2[[#This Row],[Horas*]],Tabla2[[#This Row],[Minutos a Horas*]])+(Tabla2[[#This Row],[Tiempo Total a Nivel Proncincial (Horas)]])</f>
        <v>2.4333333333333336</v>
      </c>
    </row>
    <row r="1749" spans="30:45" hidden="1" x14ac:dyDescent="0.25">
      <c r="AD1749" s="20" t="s">
        <v>2401</v>
      </c>
      <c r="AE1749" s="10" t="s">
        <v>396</v>
      </c>
      <c r="AF1749" s="20" t="s">
        <v>2112</v>
      </c>
      <c r="AG1749" s="10"/>
      <c r="AH1749" s="22" t="str">
        <f t="shared" si="54"/>
        <v xml:space="preserve">Lima_Norte_08 Huaura </v>
      </c>
      <c r="AI1749" s="10" t="s">
        <v>2209</v>
      </c>
      <c r="AJ1749" s="20" t="s">
        <v>2148</v>
      </c>
      <c r="AK1749" s="22" t="str">
        <f t="shared" si="55"/>
        <v>Lima_Norte_08 Huaura _05 Hualmay</v>
      </c>
      <c r="AL1749" s="25">
        <v>2</v>
      </c>
      <c r="AM1749" s="25">
        <v>26</v>
      </c>
      <c r="AN1749" s="26">
        <f>Tabla2[[#This Row],[Minutos]]/60</f>
        <v>0.43333333333333335</v>
      </c>
      <c r="AO1749" s="27">
        <f>SUM(Tabla2[[#This Row],[Horas]],Tabla2[[#This Row],[Minutos a Horas]])</f>
        <v>2.4333333333333336</v>
      </c>
      <c r="AP1749" s="49"/>
      <c r="AQ1749" s="49"/>
      <c r="AR1749" s="26">
        <f>Tabla2[[#This Row],[Minutos*]]/60</f>
        <v>0</v>
      </c>
      <c r="AS1749" s="27">
        <f>SUM(Tabla2[[#This Row],[Horas*]],Tabla2[[#This Row],[Minutos a Horas*]])+(Tabla2[[#This Row],[Tiempo Total a Nivel Proncincial (Horas)]])</f>
        <v>2.4333333333333336</v>
      </c>
    </row>
    <row r="1750" spans="30:45" hidden="1" x14ac:dyDescent="0.25">
      <c r="AD1750" s="20" t="s">
        <v>2401</v>
      </c>
      <c r="AE1750" s="10" t="s">
        <v>396</v>
      </c>
      <c r="AF1750" s="20" t="s">
        <v>2112</v>
      </c>
      <c r="AG1750" s="10"/>
      <c r="AH1750" s="22" t="str">
        <f t="shared" si="54"/>
        <v xml:space="preserve">Lima_Norte_08 Huaura </v>
      </c>
      <c r="AI1750" s="10" t="s">
        <v>2209</v>
      </c>
      <c r="AJ1750" s="20" t="s">
        <v>2149</v>
      </c>
      <c r="AK1750" s="22" t="str">
        <f t="shared" si="55"/>
        <v>Lima_Norte_08 Huaura _06 Huaura</v>
      </c>
      <c r="AL1750" s="25">
        <v>2</v>
      </c>
      <c r="AM1750" s="25">
        <v>26</v>
      </c>
      <c r="AN1750" s="26">
        <f>Tabla2[[#This Row],[Minutos]]/60</f>
        <v>0.43333333333333335</v>
      </c>
      <c r="AO1750" s="27">
        <f>SUM(Tabla2[[#This Row],[Horas]],Tabla2[[#This Row],[Minutos a Horas]])</f>
        <v>2.4333333333333336</v>
      </c>
      <c r="AP1750" s="49"/>
      <c r="AQ1750" s="49"/>
      <c r="AR1750" s="26">
        <f>Tabla2[[#This Row],[Minutos*]]/60</f>
        <v>0</v>
      </c>
      <c r="AS1750" s="27">
        <f>SUM(Tabla2[[#This Row],[Horas*]],Tabla2[[#This Row],[Minutos a Horas*]])+(Tabla2[[#This Row],[Tiempo Total a Nivel Proncincial (Horas)]])</f>
        <v>2.4333333333333336</v>
      </c>
    </row>
    <row r="1751" spans="30:45" hidden="1" x14ac:dyDescent="0.25">
      <c r="AD1751" s="20" t="s">
        <v>2401</v>
      </c>
      <c r="AE1751" s="10" t="s">
        <v>396</v>
      </c>
      <c r="AF1751" s="20" t="s">
        <v>2112</v>
      </c>
      <c r="AG1751" s="10"/>
      <c r="AH1751" s="22" t="str">
        <f t="shared" si="54"/>
        <v xml:space="preserve">Lima_Norte_08 Huaura </v>
      </c>
      <c r="AI1751" s="10" t="s">
        <v>2209</v>
      </c>
      <c r="AJ1751" s="20" t="s">
        <v>2150</v>
      </c>
      <c r="AK1751" s="22" t="str">
        <f t="shared" si="55"/>
        <v>Lima_Norte_08 Huaura _07 Leoncio Prado</v>
      </c>
      <c r="AL1751" s="25">
        <v>2</v>
      </c>
      <c r="AM1751" s="25">
        <v>26</v>
      </c>
      <c r="AN1751" s="26">
        <f>Tabla2[[#This Row],[Minutos]]/60</f>
        <v>0.43333333333333335</v>
      </c>
      <c r="AO1751" s="27">
        <f>SUM(Tabla2[[#This Row],[Horas]],Tabla2[[#This Row],[Minutos a Horas]])</f>
        <v>2.4333333333333336</v>
      </c>
      <c r="AP1751" s="49"/>
      <c r="AQ1751" s="49"/>
      <c r="AR1751" s="26">
        <f>Tabla2[[#This Row],[Minutos*]]/60</f>
        <v>0</v>
      </c>
      <c r="AS1751" s="27">
        <f>SUM(Tabla2[[#This Row],[Horas*]],Tabla2[[#This Row],[Minutos a Horas*]])+(Tabla2[[#This Row],[Tiempo Total a Nivel Proncincial (Horas)]])</f>
        <v>2.4333333333333336</v>
      </c>
    </row>
    <row r="1752" spans="30:45" hidden="1" x14ac:dyDescent="0.25">
      <c r="AD1752" s="20" t="s">
        <v>2401</v>
      </c>
      <c r="AE1752" s="10" t="s">
        <v>396</v>
      </c>
      <c r="AF1752" s="20" t="s">
        <v>2112</v>
      </c>
      <c r="AG1752" s="10"/>
      <c r="AH1752" s="22" t="str">
        <f t="shared" si="54"/>
        <v xml:space="preserve">Lima_Norte_08 Huaura </v>
      </c>
      <c r="AI1752" s="10" t="s">
        <v>2209</v>
      </c>
      <c r="AJ1752" s="20" t="s">
        <v>2151</v>
      </c>
      <c r="AK1752" s="22" t="str">
        <f t="shared" si="55"/>
        <v>Lima_Norte_08 Huaura _08 Paccho</v>
      </c>
      <c r="AL1752" s="25">
        <v>2</v>
      </c>
      <c r="AM1752" s="25">
        <v>26</v>
      </c>
      <c r="AN1752" s="26">
        <f>Tabla2[[#This Row],[Minutos]]/60</f>
        <v>0.43333333333333335</v>
      </c>
      <c r="AO1752" s="27">
        <f>SUM(Tabla2[[#This Row],[Horas]],Tabla2[[#This Row],[Minutos a Horas]])</f>
        <v>2.4333333333333336</v>
      </c>
      <c r="AP1752" s="49"/>
      <c r="AQ1752" s="49"/>
      <c r="AR1752" s="26">
        <f>Tabla2[[#This Row],[Minutos*]]/60</f>
        <v>0</v>
      </c>
      <c r="AS1752" s="27">
        <f>SUM(Tabla2[[#This Row],[Horas*]],Tabla2[[#This Row],[Minutos a Horas*]])+(Tabla2[[#This Row],[Tiempo Total a Nivel Proncincial (Horas)]])</f>
        <v>2.4333333333333336</v>
      </c>
    </row>
    <row r="1753" spans="30:45" hidden="1" x14ac:dyDescent="0.25">
      <c r="AD1753" s="20" t="s">
        <v>2401</v>
      </c>
      <c r="AE1753" s="10" t="s">
        <v>396</v>
      </c>
      <c r="AF1753" s="20" t="s">
        <v>2112</v>
      </c>
      <c r="AG1753" s="10"/>
      <c r="AH1753" s="22" t="str">
        <f t="shared" si="54"/>
        <v xml:space="preserve">Lima_Norte_08 Huaura </v>
      </c>
      <c r="AI1753" s="10" t="s">
        <v>2209</v>
      </c>
      <c r="AJ1753" s="20" t="s">
        <v>2152</v>
      </c>
      <c r="AK1753" s="22" t="str">
        <f t="shared" si="55"/>
        <v>Lima_Norte_08 Huaura _09 Santa Leonor</v>
      </c>
      <c r="AL1753" s="25">
        <v>2</v>
      </c>
      <c r="AM1753" s="25">
        <v>26</v>
      </c>
      <c r="AN1753" s="26">
        <f>Tabla2[[#This Row],[Minutos]]/60</f>
        <v>0.43333333333333335</v>
      </c>
      <c r="AO1753" s="27">
        <f>SUM(Tabla2[[#This Row],[Horas]],Tabla2[[#This Row],[Minutos a Horas]])</f>
        <v>2.4333333333333336</v>
      </c>
      <c r="AP1753" s="49"/>
      <c r="AQ1753" s="49"/>
      <c r="AR1753" s="26">
        <f>Tabla2[[#This Row],[Minutos*]]/60</f>
        <v>0</v>
      </c>
      <c r="AS1753" s="27">
        <f>SUM(Tabla2[[#This Row],[Horas*]],Tabla2[[#This Row],[Minutos a Horas*]])+(Tabla2[[#This Row],[Tiempo Total a Nivel Proncincial (Horas)]])</f>
        <v>2.4333333333333336</v>
      </c>
    </row>
    <row r="1754" spans="30:45" hidden="1" x14ac:dyDescent="0.25">
      <c r="AD1754" s="20" t="s">
        <v>2401</v>
      </c>
      <c r="AE1754" s="10" t="s">
        <v>396</v>
      </c>
      <c r="AF1754" s="20" t="s">
        <v>2112</v>
      </c>
      <c r="AG1754" s="10"/>
      <c r="AH1754" s="22" t="str">
        <f t="shared" ref="AH1754:AH1820" si="56">CONCATENATE(AD1754,"_",AF1754)</f>
        <v xml:space="preserve">Lima_Norte_08 Huaura </v>
      </c>
      <c r="AI1754" s="10" t="s">
        <v>2209</v>
      </c>
      <c r="AJ1754" s="20" t="s">
        <v>2153</v>
      </c>
      <c r="AK1754" s="22" t="str">
        <f t="shared" ref="AK1754:AK1820" si="57">CONCATENATE(AH1754,"_",AJ1754)</f>
        <v>Lima_Norte_08 Huaura _10 Santa María</v>
      </c>
      <c r="AL1754" s="25">
        <v>2</v>
      </c>
      <c r="AM1754" s="25">
        <v>26</v>
      </c>
      <c r="AN1754" s="26">
        <f>Tabla2[[#This Row],[Minutos]]/60</f>
        <v>0.43333333333333335</v>
      </c>
      <c r="AO1754" s="27">
        <f>SUM(Tabla2[[#This Row],[Horas]],Tabla2[[#This Row],[Minutos a Horas]])</f>
        <v>2.4333333333333336</v>
      </c>
      <c r="AP1754" s="49"/>
      <c r="AQ1754" s="49"/>
      <c r="AR1754" s="26">
        <f>Tabla2[[#This Row],[Minutos*]]/60</f>
        <v>0</v>
      </c>
      <c r="AS1754" s="27">
        <f>SUM(Tabla2[[#This Row],[Horas*]],Tabla2[[#This Row],[Minutos a Horas*]])+(Tabla2[[#This Row],[Tiempo Total a Nivel Proncincial (Horas)]])</f>
        <v>2.4333333333333336</v>
      </c>
    </row>
    <row r="1755" spans="30:45" hidden="1" x14ac:dyDescent="0.25">
      <c r="AD1755" s="20" t="s">
        <v>2401</v>
      </c>
      <c r="AE1755" s="10" t="s">
        <v>396</v>
      </c>
      <c r="AF1755" s="20" t="s">
        <v>2112</v>
      </c>
      <c r="AG1755" s="10"/>
      <c r="AH1755" s="22" t="str">
        <f t="shared" si="56"/>
        <v xml:space="preserve">Lima_Norte_08 Huaura </v>
      </c>
      <c r="AI1755" s="10" t="s">
        <v>2209</v>
      </c>
      <c r="AJ1755" s="20" t="s">
        <v>2154</v>
      </c>
      <c r="AK1755" s="22" t="str">
        <f t="shared" si="57"/>
        <v>Lima_Norte_08 Huaura _11 Sayan</v>
      </c>
      <c r="AL1755" s="25">
        <v>2</v>
      </c>
      <c r="AM1755" s="25">
        <v>26</v>
      </c>
      <c r="AN1755" s="26">
        <f>Tabla2[[#This Row],[Minutos]]/60</f>
        <v>0.43333333333333335</v>
      </c>
      <c r="AO1755" s="27">
        <f>SUM(Tabla2[[#This Row],[Horas]],Tabla2[[#This Row],[Minutos a Horas]])</f>
        <v>2.4333333333333336</v>
      </c>
      <c r="AP1755" s="49"/>
      <c r="AQ1755" s="49"/>
      <c r="AR1755" s="26">
        <f>Tabla2[[#This Row],[Minutos*]]/60</f>
        <v>0</v>
      </c>
      <c r="AS1755" s="27">
        <f>SUM(Tabla2[[#This Row],[Horas*]],Tabla2[[#This Row],[Minutos a Horas*]])+(Tabla2[[#This Row],[Tiempo Total a Nivel Proncincial (Horas)]])</f>
        <v>2.4333333333333336</v>
      </c>
    </row>
    <row r="1756" spans="30:45" hidden="1" x14ac:dyDescent="0.25">
      <c r="AD1756" s="20" t="s">
        <v>2401</v>
      </c>
      <c r="AE1756" s="10" t="s">
        <v>396</v>
      </c>
      <c r="AF1756" s="20" t="s">
        <v>2112</v>
      </c>
      <c r="AG1756" s="10"/>
      <c r="AH1756" s="22" t="str">
        <f t="shared" si="56"/>
        <v xml:space="preserve">Lima_Norte_08 Huaura </v>
      </c>
      <c r="AI1756" s="10" t="s">
        <v>2209</v>
      </c>
      <c r="AJ1756" s="20" t="s">
        <v>2155</v>
      </c>
      <c r="AK1756" s="22" t="str">
        <f t="shared" si="57"/>
        <v>Lima_Norte_08 Huaura _12 Vegueta</v>
      </c>
      <c r="AL1756" s="25">
        <v>2</v>
      </c>
      <c r="AM1756" s="25">
        <v>26</v>
      </c>
      <c r="AN1756" s="26">
        <f>Tabla2[[#This Row],[Minutos]]/60</f>
        <v>0.43333333333333335</v>
      </c>
      <c r="AO1756" s="27">
        <f>SUM(Tabla2[[#This Row],[Horas]],Tabla2[[#This Row],[Minutos a Horas]])</f>
        <v>2.4333333333333336</v>
      </c>
      <c r="AP1756" s="49"/>
      <c r="AQ1756" s="49"/>
      <c r="AR1756" s="26">
        <f>Tabla2[[#This Row],[Minutos*]]/60</f>
        <v>0</v>
      </c>
      <c r="AS1756" s="27">
        <f>SUM(Tabla2[[#This Row],[Horas*]],Tabla2[[#This Row],[Minutos a Horas*]])+(Tabla2[[#This Row],[Tiempo Total a Nivel Proncincial (Horas)]])</f>
        <v>2.4333333333333336</v>
      </c>
    </row>
    <row r="1757" spans="30:45" hidden="1" x14ac:dyDescent="0.25">
      <c r="AD1757" s="20" t="s">
        <v>2401</v>
      </c>
      <c r="AE1757" s="10" t="s">
        <v>396</v>
      </c>
      <c r="AF1757" s="20" t="s">
        <v>2113</v>
      </c>
      <c r="AG1757" s="10"/>
      <c r="AH1757" s="22" t="str">
        <f t="shared" si="56"/>
        <v xml:space="preserve">Lima_Norte_09 Oyón </v>
      </c>
      <c r="AI1757" s="10" t="s">
        <v>2210</v>
      </c>
      <c r="AJ1757" s="20" t="s">
        <v>2156</v>
      </c>
      <c r="AK1757" s="22" t="str">
        <f t="shared" si="57"/>
        <v>Lima_Norte_09 Oyón _01 Oyon</v>
      </c>
      <c r="AL1757" s="25">
        <v>3</v>
      </c>
      <c r="AM1757" s="25">
        <v>59</v>
      </c>
      <c r="AN1757" s="26">
        <f>Tabla2[[#This Row],[Minutos]]/60</f>
        <v>0.98333333333333328</v>
      </c>
      <c r="AO1757" s="27">
        <f>SUM(Tabla2[[#This Row],[Horas]],Tabla2[[#This Row],[Minutos a Horas]])</f>
        <v>3.9833333333333334</v>
      </c>
      <c r="AP1757" s="49"/>
      <c r="AQ1757" s="49"/>
      <c r="AR1757" s="26">
        <f>Tabla2[[#This Row],[Minutos*]]/60</f>
        <v>0</v>
      </c>
      <c r="AS1757" s="27">
        <f>SUM(Tabla2[[#This Row],[Horas*]],Tabla2[[#This Row],[Minutos a Horas*]])+(Tabla2[[#This Row],[Tiempo Total a Nivel Proncincial (Horas)]])</f>
        <v>3.9833333333333334</v>
      </c>
    </row>
    <row r="1758" spans="30:45" hidden="1" x14ac:dyDescent="0.25">
      <c r="AD1758" s="20" t="s">
        <v>2401</v>
      </c>
      <c r="AE1758" s="10" t="s">
        <v>396</v>
      </c>
      <c r="AF1758" s="20" t="s">
        <v>2113</v>
      </c>
      <c r="AG1758" s="10"/>
      <c r="AH1758" s="22" t="str">
        <f t="shared" si="56"/>
        <v xml:space="preserve">Lima_Norte_09 Oyón </v>
      </c>
      <c r="AI1758" s="10" t="s">
        <v>2210</v>
      </c>
      <c r="AJ1758" s="20" t="s">
        <v>2157</v>
      </c>
      <c r="AK1758" s="22" t="str">
        <f t="shared" si="57"/>
        <v>Lima_Norte_09 Oyón _02 Andajes</v>
      </c>
      <c r="AL1758" s="25">
        <v>3</v>
      </c>
      <c r="AM1758" s="25">
        <v>59</v>
      </c>
      <c r="AN1758" s="26">
        <f>Tabla2[[#This Row],[Minutos]]/60</f>
        <v>0.98333333333333328</v>
      </c>
      <c r="AO1758" s="27">
        <f>SUM(Tabla2[[#This Row],[Horas]],Tabla2[[#This Row],[Minutos a Horas]])</f>
        <v>3.9833333333333334</v>
      </c>
      <c r="AP1758" s="49"/>
      <c r="AQ1758" s="49"/>
      <c r="AR1758" s="26">
        <f>Tabla2[[#This Row],[Minutos*]]/60</f>
        <v>0</v>
      </c>
      <c r="AS1758" s="27">
        <f>SUM(Tabla2[[#This Row],[Horas*]],Tabla2[[#This Row],[Minutos a Horas*]])+(Tabla2[[#This Row],[Tiempo Total a Nivel Proncincial (Horas)]])</f>
        <v>3.9833333333333334</v>
      </c>
    </row>
    <row r="1759" spans="30:45" hidden="1" x14ac:dyDescent="0.25">
      <c r="AD1759" s="20" t="s">
        <v>2401</v>
      </c>
      <c r="AE1759" s="10" t="s">
        <v>396</v>
      </c>
      <c r="AF1759" s="20" t="s">
        <v>2113</v>
      </c>
      <c r="AG1759" s="10"/>
      <c r="AH1759" s="22" t="str">
        <f t="shared" si="56"/>
        <v xml:space="preserve">Lima_Norte_09 Oyón </v>
      </c>
      <c r="AI1759" s="10" t="s">
        <v>2210</v>
      </c>
      <c r="AJ1759" s="20" t="s">
        <v>2158</v>
      </c>
      <c r="AK1759" s="22" t="str">
        <f t="shared" si="57"/>
        <v>Lima_Norte_09 Oyón _03 Caujul</v>
      </c>
      <c r="AL1759" s="25">
        <v>3</v>
      </c>
      <c r="AM1759" s="25">
        <v>59</v>
      </c>
      <c r="AN1759" s="26">
        <f>Tabla2[[#This Row],[Minutos]]/60</f>
        <v>0.98333333333333328</v>
      </c>
      <c r="AO1759" s="27">
        <f>SUM(Tabla2[[#This Row],[Horas]],Tabla2[[#This Row],[Minutos a Horas]])</f>
        <v>3.9833333333333334</v>
      </c>
      <c r="AP1759" s="49"/>
      <c r="AQ1759" s="49"/>
      <c r="AR1759" s="26">
        <f>Tabla2[[#This Row],[Minutos*]]/60</f>
        <v>0</v>
      </c>
      <c r="AS1759" s="27">
        <f>SUM(Tabla2[[#This Row],[Horas*]],Tabla2[[#This Row],[Minutos a Horas*]])+(Tabla2[[#This Row],[Tiempo Total a Nivel Proncincial (Horas)]])</f>
        <v>3.9833333333333334</v>
      </c>
    </row>
    <row r="1760" spans="30:45" hidden="1" x14ac:dyDescent="0.25">
      <c r="AD1760" s="20" t="s">
        <v>2401</v>
      </c>
      <c r="AE1760" s="10" t="s">
        <v>396</v>
      </c>
      <c r="AF1760" s="20" t="s">
        <v>2113</v>
      </c>
      <c r="AG1760" s="10"/>
      <c r="AH1760" s="22" t="str">
        <f t="shared" si="56"/>
        <v xml:space="preserve">Lima_Norte_09 Oyón </v>
      </c>
      <c r="AI1760" s="10" t="s">
        <v>2210</v>
      </c>
      <c r="AJ1760" s="20" t="s">
        <v>2159</v>
      </c>
      <c r="AK1760" s="22" t="str">
        <f t="shared" si="57"/>
        <v>Lima_Norte_09 Oyón _04 Cochamarca</v>
      </c>
      <c r="AL1760" s="25">
        <v>3</v>
      </c>
      <c r="AM1760" s="25">
        <v>59</v>
      </c>
      <c r="AN1760" s="26">
        <f>Tabla2[[#This Row],[Minutos]]/60</f>
        <v>0.98333333333333328</v>
      </c>
      <c r="AO1760" s="27">
        <f>SUM(Tabla2[[#This Row],[Horas]],Tabla2[[#This Row],[Minutos a Horas]])</f>
        <v>3.9833333333333334</v>
      </c>
      <c r="AP1760" s="49"/>
      <c r="AQ1760" s="49"/>
      <c r="AR1760" s="26">
        <f>Tabla2[[#This Row],[Minutos*]]/60</f>
        <v>0</v>
      </c>
      <c r="AS1760" s="27">
        <f>SUM(Tabla2[[#This Row],[Horas*]],Tabla2[[#This Row],[Minutos a Horas*]])+(Tabla2[[#This Row],[Tiempo Total a Nivel Proncincial (Horas)]])</f>
        <v>3.9833333333333334</v>
      </c>
    </row>
    <row r="1761" spans="30:45" hidden="1" x14ac:dyDescent="0.25">
      <c r="AD1761" s="20" t="s">
        <v>2401</v>
      </c>
      <c r="AE1761" s="10" t="s">
        <v>396</v>
      </c>
      <c r="AF1761" s="20" t="s">
        <v>2113</v>
      </c>
      <c r="AG1761" s="10"/>
      <c r="AH1761" s="22" t="str">
        <f t="shared" si="56"/>
        <v xml:space="preserve">Lima_Norte_09 Oyón </v>
      </c>
      <c r="AI1761" s="10" t="s">
        <v>2210</v>
      </c>
      <c r="AJ1761" s="20" t="s">
        <v>2160</v>
      </c>
      <c r="AK1761" s="22" t="str">
        <f t="shared" si="57"/>
        <v>Lima_Norte_09 Oyón _05 Navan</v>
      </c>
      <c r="AL1761" s="25">
        <v>3</v>
      </c>
      <c r="AM1761" s="25">
        <v>59</v>
      </c>
      <c r="AN1761" s="26">
        <f>Tabla2[[#This Row],[Minutos]]/60</f>
        <v>0.98333333333333328</v>
      </c>
      <c r="AO1761" s="27">
        <f>SUM(Tabla2[[#This Row],[Horas]],Tabla2[[#This Row],[Minutos a Horas]])</f>
        <v>3.9833333333333334</v>
      </c>
      <c r="AP1761" s="49"/>
      <c r="AQ1761" s="49"/>
      <c r="AR1761" s="26">
        <f>Tabla2[[#This Row],[Minutos*]]/60</f>
        <v>0</v>
      </c>
      <c r="AS1761" s="27">
        <f>SUM(Tabla2[[#This Row],[Horas*]],Tabla2[[#This Row],[Minutos a Horas*]])+(Tabla2[[#This Row],[Tiempo Total a Nivel Proncincial (Horas)]])</f>
        <v>3.9833333333333334</v>
      </c>
    </row>
    <row r="1762" spans="30:45" hidden="1" x14ac:dyDescent="0.25">
      <c r="AD1762" s="20" t="s">
        <v>2401</v>
      </c>
      <c r="AE1762" s="10" t="s">
        <v>396</v>
      </c>
      <c r="AF1762" s="20" t="s">
        <v>2113</v>
      </c>
      <c r="AG1762" s="10"/>
      <c r="AH1762" s="22" t="str">
        <f t="shared" si="56"/>
        <v xml:space="preserve">Lima_Norte_09 Oyón </v>
      </c>
      <c r="AI1762" s="10" t="s">
        <v>2210</v>
      </c>
      <c r="AJ1762" s="20" t="s">
        <v>2161</v>
      </c>
      <c r="AK1762" s="22" t="str">
        <f t="shared" si="57"/>
        <v>Lima_Norte_09 Oyón _06 Pachangara</v>
      </c>
      <c r="AL1762" s="25">
        <v>3</v>
      </c>
      <c r="AM1762" s="25">
        <v>59</v>
      </c>
      <c r="AN1762" s="26">
        <f>Tabla2[[#This Row],[Minutos]]/60</f>
        <v>0.98333333333333328</v>
      </c>
      <c r="AO1762" s="27">
        <f>SUM(Tabla2[[#This Row],[Horas]],Tabla2[[#This Row],[Minutos a Horas]])</f>
        <v>3.9833333333333334</v>
      </c>
      <c r="AP1762" s="49"/>
      <c r="AQ1762" s="49"/>
      <c r="AR1762" s="26">
        <f>Tabla2[[#This Row],[Minutos*]]/60</f>
        <v>0</v>
      </c>
      <c r="AS1762" s="27">
        <f>SUM(Tabla2[[#This Row],[Horas*]],Tabla2[[#This Row],[Minutos a Horas*]])+(Tabla2[[#This Row],[Tiempo Total a Nivel Proncincial (Horas)]])</f>
        <v>3.9833333333333334</v>
      </c>
    </row>
    <row r="1763" spans="30:45" hidden="1" x14ac:dyDescent="0.25">
      <c r="AD1763" s="20" t="s">
        <v>2401</v>
      </c>
      <c r="AE1763" s="10" t="s">
        <v>396</v>
      </c>
      <c r="AF1763" s="20" t="s">
        <v>2114</v>
      </c>
      <c r="AG1763" s="10"/>
      <c r="AH1763" s="22" t="str">
        <f t="shared" si="56"/>
        <v xml:space="preserve">Lima_Norte_01 Lima </v>
      </c>
      <c r="AI1763" s="10" t="s">
        <v>2211</v>
      </c>
      <c r="AJ1763" s="20" t="s">
        <v>2162</v>
      </c>
      <c r="AK1763" s="22" t="str">
        <f t="shared" si="57"/>
        <v>Lima_Norte_01 Lima _01 Lima</v>
      </c>
      <c r="AL1763" s="25">
        <v>2</v>
      </c>
      <c r="AM1763" s="25">
        <v>0</v>
      </c>
      <c r="AN1763" s="26">
        <f>Tabla2[[#This Row],[Minutos]]/60</f>
        <v>0</v>
      </c>
      <c r="AO1763" s="27">
        <f>SUM(Tabla2[[#This Row],[Horas]],Tabla2[[#This Row],[Minutos a Horas]])</f>
        <v>2</v>
      </c>
      <c r="AP1763" s="49"/>
      <c r="AQ1763" s="49"/>
      <c r="AR1763" s="26">
        <f>Tabla2[[#This Row],[Minutos*]]/60</f>
        <v>0</v>
      </c>
      <c r="AS1763" s="27">
        <f>SUM(Tabla2[[#This Row],[Horas*]],Tabla2[[#This Row],[Minutos a Horas*]])+(Tabla2[[#This Row],[Tiempo Total a Nivel Proncincial (Horas)]])</f>
        <v>2</v>
      </c>
    </row>
    <row r="1764" spans="30:45" hidden="1" x14ac:dyDescent="0.25">
      <c r="AD1764" s="20" t="s">
        <v>2401</v>
      </c>
      <c r="AE1764" s="10" t="s">
        <v>396</v>
      </c>
      <c r="AF1764" s="20" t="s">
        <v>2114</v>
      </c>
      <c r="AG1764" s="10"/>
      <c r="AH1764" s="22" t="str">
        <f t="shared" si="56"/>
        <v xml:space="preserve">Lima_Norte_01 Lima </v>
      </c>
      <c r="AI1764" s="10" t="s">
        <v>2211</v>
      </c>
      <c r="AJ1764" s="20" t="s">
        <v>2163</v>
      </c>
      <c r="AK1764" s="22" t="str">
        <f t="shared" si="57"/>
        <v>Lima_Norte_01 Lima _02 Ancón</v>
      </c>
      <c r="AL1764" s="25">
        <v>2</v>
      </c>
      <c r="AM1764" s="25">
        <v>0</v>
      </c>
      <c r="AN1764" s="26">
        <f>Tabla2[[#This Row],[Minutos]]/60</f>
        <v>0</v>
      </c>
      <c r="AO1764" s="27">
        <f>SUM(Tabla2[[#This Row],[Horas]],Tabla2[[#This Row],[Minutos a Horas]])</f>
        <v>2</v>
      </c>
      <c r="AP1764" s="49"/>
      <c r="AQ1764" s="49"/>
      <c r="AR1764" s="26">
        <f>Tabla2[[#This Row],[Minutos*]]/60</f>
        <v>0</v>
      </c>
      <c r="AS1764" s="27">
        <f>SUM(Tabla2[[#This Row],[Horas*]],Tabla2[[#This Row],[Minutos a Horas*]])+(Tabla2[[#This Row],[Tiempo Total a Nivel Proncincial (Horas)]])</f>
        <v>2</v>
      </c>
    </row>
    <row r="1765" spans="30:45" hidden="1" x14ac:dyDescent="0.25">
      <c r="AD1765" s="20" t="s">
        <v>2401</v>
      </c>
      <c r="AE1765" s="10" t="s">
        <v>396</v>
      </c>
      <c r="AF1765" s="20" t="s">
        <v>2114</v>
      </c>
      <c r="AG1765" s="10"/>
      <c r="AH1765" s="22" t="str">
        <f t="shared" si="56"/>
        <v xml:space="preserve">Lima_Norte_01 Lima </v>
      </c>
      <c r="AI1765" s="10" t="s">
        <v>2211</v>
      </c>
      <c r="AJ1765" s="20" t="s">
        <v>2164</v>
      </c>
      <c r="AK1765" s="22" t="str">
        <f t="shared" si="57"/>
        <v>Lima_Norte_01 Lima _03 Ate</v>
      </c>
      <c r="AL1765" s="25">
        <v>2</v>
      </c>
      <c r="AM1765" s="25">
        <v>0</v>
      </c>
      <c r="AN1765" s="26">
        <f>Tabla2[[#This Row],[Minutos]]/60</f>
        <v>0</v>
      </c>
      <c r="AO1765" s="27">
        <f>SUM(Tabla2[[#This Row],[Horas]],Tabla2[[#This Row],[Minutos a Horas]])</f>
        <v>2</v>
      </c>
      <c r="AP1765" s="49"/>
      <c r="AQ1765" s="49"/>
      <c r="AR1765" s="26">
        <f>Tabla2[[#This Row],[Minutos*]]/60</f>
        <v>0</v>
      </c>
      <c r="AS1765" s="27">
        <f>SUM(Tabla2[[#This Row],[Horas*]],Tabla2[[#This Row],[Minutos a Horas*]])+(Tabla2[[#This Row],[Tiempo Total a Nivel Proncincial (Horas)]])</f>
        <v>2</v>
      </c>
    </row>
    <row r="1766" spans="30:45" hidden="1" x14ac:dyDescent="0.25">
      <c r="AD1766" s="20" t="s">
        <v>2401</v>
      </c>
      <c r="AE1766" s="10" t="s">
        <v>396</v>
      </c>
      <c r="AF1766" s="20" t="s">
        <v>2114</v>
      </c>
      <c r="AG1766" s="10"/>
      <c r="AH1766" s="22" t="str">
        <f t="shared" si="56"/>
        <v xml:space="preserve">Lima_Norte_01 Lima </v>
      </c>
      <c r="AI1766" s="10" t="s">
        <v>2211</v>
      </c>
      <c r="AJ1766" s="20" t="s">
        <v>2165</v>
      </c>
      <c r="AK1766" s="22" t="str">
        <f t="shared" si="57"/>
        <v>Lima_Norte_01 Lima _04 Barranco</v>
      </c>
      <c r="AL1766" s="25">
        <v>2</v>
      </c>
      <c r="AM1766" s="25">
        <v>0</v>
      </c>
      <c r="AN1766" s="26">
        <f>Tabla2[[#This Row],[Minutos]]/60</f>
        <v>0</v>
      </c>
      <c r="AO1766" s="27">
        <f>SUM(Tabla2[[#This Row],[Horas]],Tabla2[[#This Row],[Minutos a Horas]])</f>
        <v>2</v>
      </c>
      <c r="AP1766" s="49"/>
      <c r="AQ1766" s="49"/>
      <c r="AR1766" s="26">
        <f>Tabla2[[#This Row],[Minutos*]]/60</f>
        <v>0</v>
      </c>
      <c r="AS1766" s="27">
        <f>SUM(Tabla2[[#This Row],[Horas*]],Tabla2[[#This Row],[Minutos a Horas*]])+(Tabla2[[#This Row],[Tiempo Total a Nivel Proncincial (Horas)]])</f>
        <v>2</v>
      </c>
    </row>
    <row r="1767" spans="30:45" hidden="1" x14ac:dyDescent="0.25">
      <c r="AD1767" s="20" t="s">
        <v>2401</v>
      </c>
      <c r="AE1767" s="10" t="s">
        <v>396</v>
      </c>
      <c r="AF1767" s="20" t="s">
        <v>2114</v>
      </c>
      <c r="AG1767" s="10"/>
      <c r="AH1767" s="22" t="str">
        <f t="shared" si="56"/>
        <v xml:space="preserve">Lima_Norte_01 Lima </v>
      </c>
      <c r="AI1767" s="10" t="s">
        <v>2211</v>
      </c>
      <c r="AJ1767" s="20" t="s">
        <v>2166</v>
      </c>
      <c r="AK1767" s="22" t="str">
        <f t="shared" si="57"/>
        <v>Lima_Norte_01 Lima _05 Breña</v>
      </c>
      <c r="AL1767" s="25">
        <v>2</v>
      </c>
      <c r="AM1767" s="25">
        <v>0</v>
      </c>
      <c r="AN1767" s="26">
        <f>Tabla2[[#This Row],[Minutos]]/60</f>
        <v>0</v>
      </c>
      <c r="AO1767" s="27">
        <f>SUM(Tabla2[[#This Row],[Horas]],Tabla2[[#This Row],[Minutos a Horas]])</f>
        <v>2</v>
      </c>
      <c r="AP1767" s="49"/>
      <c r="AQ1767" s="49"/>
      <c r="AR1767" s="26">
        <f>Tabla2[[#This Row],[Minutos*]]/60</f>
        <v>0</v>
      </c>
      <c r="AS1767" s="27">
        <f>SUM(Tabla2[[#This Row],[Horas*]],Tabla2[[#This Row],[Minutos a Horas*]])+(Tabla2[[#This Row],[Tiempo Total a Nivel Proncincial (Horas)]])</f>
        <v>2</v>
      </c>
    </row>
    <row r="1768" spans="30:45" hidden="1" x14ac:dyDescent="0.25">
      <c r="AD1768" s="20" t="s">
        <v>2401</v>
      </c>
      <c r="AE1768" s="10" t="s">
        <v>396</v>
      </c>
      <c r="AF1768" s="20" t="s">
        <v>2114</v>
      </c>
      <c r="AG1768" s="10"/>
      <c r="AH1768" s="22" t="str">
        <f t="shared" si="56"/>
        <v xml:space="preserve">Lima_Norte_01 Lima </v>
      </c>
      <c r="AI1768" s="10" t="s">
        <v>2211</v>
      </c>
      <c r="AJ1768" s="20" t="s">
        <v>2167</v>
      </c>
      <c r="AK1768" s="22" t="str">
        <f t="shared" si="57"/>
        <v>Lima_Norte_01 Lima _06 Carabayllo</v>
      </c>
      <c r="AL1768" s="25">
        <v>2</v>
      </c>
      <c r="AM1768" s="25">
        <v>0</v>
      </c>
      <c r="AN1768" s="26">
        <f>Tabla2[[#This Row],[Minutos]]/60</f>
        <v>0</v>
      </c>
      <c r="AO1768" s="27">
        <f>SUM(Tabla2[[#This Row],[Horas]],Tabla2[[#This Row],[Minutos a Horas]])</f>
        <v>2</v>
      </c>
      <c r="AP1768" s="49"/>
      <c r="AQ1768" s="49"/>
      <c r="AR1768" s="26">
        <f>Tabla2[[#This Row],[Minutos*]]/60</f>
        <v>0</v>
      </c>
      <c r="AS1768" s="27">
        <f>SUM(Tabla2[[#This Row],[Horas*]],Tabla2[[#This Row],[Minutos a Horas*]])+(Tabla2[[#This Row],[Tiempo Total a Nivel Proncincial (Horas)]])</f>
        <v>2</v>
      </c>
    </row>
    <row r="1769" spans="30:45" hidden="1" x14ac:dyDescent="0.25">
      <c r="AD1769" s="20" t="s">
        <v>2401</v>
      </c>
      <c r="AE1769" s="10" t="s">
        <v>396</v>
      </c>
      <c r="AF1769" s="20" t="s">
        <v>2114</v>
      </c>
      <c r="AG1769" s="10"/>
      <c r="AH1769" s="22" t="str">
        <f t="shared" si="56"/>
        <v xml:space="preserve">Lima_Norte_01 Lima </v>
      </c>
      <c r="AI1769" s="10" t="s">
        <v>2211</v>
      </c>
      <c r="AJ1769" s="20" t="s">
        <v>2168</v>
      </c>
      <c r="AK1769" s="22" t="str">
        <f t="shared" si="57"/>
        <v>Lima_Norte_01 Lima _07 Chaclacayo</v>
      </c>
      <c r="AL1769" s="25">
        <v>2</v>
      </c>
      <c r="AM1769" s="25">
        <v>0</v>
      </c>
      <c r="AN1769" s="26">
        <f>Tabla2[[#This Row],[Minutos]]/60</f>
        <v>0</v>
      </c>
      <c r="AO1769" s="27">
        <f>SUM(Tabla2[[#This Row],[Horas]],Tabla2[[#This Row],[Minutos a Horas]])</f>
        <v>2</v>
      </c>
      <c r="AP1769" s="49"/>
      <c r="AQ1769" s="49"/>
      <c r="AR1769" s="26">
        <f>Tabla2[[#This Row],[Minutos*]]/60</f>
        <v>0</v>
      </c>
      <c r="AS1769" s="27">
        <f>SUM(Tabla2[[#This Row],[Horas*]],Tabla2[[#This Row],[Minutos a Horas*]])+(Tabla2[[#This Row],[Tiempo Total a Nivel Proncincial (Horas)]])</f>
        <v>2</v>
      </c>
    </row>
    <row r="1770" spans="30:45" hidden="1" x14ac:dyDescent="0.25">
      <c r="AD1770" s="20" t="s">
        <v>2401</v>
      </c>
      <c r="AE1770" s="10" t="s">
        <v>396</v>
      </c>
      <c r="AF1770" s="20" t="s">
        <v>2114</v>
      </c>
      <c r="AG1770" s="10"/>
      <c r="AH1770" s="22" t="str">
        <f t="shared" si="56"/>
        <v xml:space="preserve">Lima_Norte_01 Lima </v>
      </c>
      <c r="AI1770" s="10" t="s">
        <v>2211</v>
      </c>
      <c r="AJ1770" s="20" t="s">
        <v>2169</v>
      </c>
      <c r="AK1770" s="22" t="str">
        <f t="shared" si="57"/>
        <v>Lima_Norte_01 Lima _08 Chorrillos</v>
      </c>
      <c r="AL1770" s="25">
        <v>2</v>
      </c>
      <c r="AM1770" s="25">
        <v>0</v>
      </c>
      <c r="AN1770" s="26">
        <f>Tabla2[[#This Row],[Minutos]]/60</f>
        <v>0</v>
      </c>
      <c r="AO1770" s="27">
        <f>SUM(Tabla2[[#This Row],[Horas]],Tabla2[[#This Row],[Minutos a Horas]])</f>
        <v>2</v>
      </c>
      <c r="AP1770" s="49"/>
      <c r="AQ1770" s="49"/>
      <c r="AR1770" s="26">
        <f>Tabla2[[#This Row],[Minutos*]]/60</f>
        <v>0</v>
      </c>
      <c r="AS1770" s="27">
        <f>SUM(Tabla2[[#This Row],[Horas*]],Tabla2[[#This Row],[Minutos a Horas*]])+(Tabla2[[#This Row],[Tiempo Total a Nivel Proncincial (Horas)]])</f>
        <v>2</v>
      </c>
    </row>
    <row r="1771" spans="30:45" hidden="1" x14ac:dyDescent="0.25">
      <c r="AD1771" s="20" t="s">
        <v>2401</v>
      </c>
      <c r="AE1771" s="10" t="s">
        <v>396</v>
      </c>
      <c r="AF1771" s="20" t="s">
        <v>2114</v>
      </c>
      <c r="AG1771" s="10"/>
      <c r="AH1771" s="22" t="str">
        <f t="shared" si="56"/>
        <v xml:space="preserve">Lima_Norte_01 Lima </v>
      </c>
      <c r="AI1771" s="10" t="s">
        <v>2211</v>
      </c>
      <c r="AJ1771" s="20" t="s">
        <v>2170</v>
      </c>
      <c r="AK1771" s="22" t="str">
        <f t="shared" si="57"/>
        <v>Lima_Norte_01 Lima _09 Cieneguilla</v>
      </c>
      <c r="AL1771" s="25">
        <v>2</v>
      </c>
      <c r="AM1771" s="25">
        <v>0</v>
      </c>
      <c r="AN1771" s="26">
        <f>Tabla2[[#This Row],[Minutos]]/60</f>
        <v>0</v>
      </c>
      <c r="AO1771" s="27">
        <f>SUM(Tabla2[[#This Row],[Horas]],Tabla2[[#This Row],[Minutos a Horas]])</f>
        <v>2</v>
      </c>
      <c r="AP1771" s="49"/>
      <c r="AQ1771" s="49"/>
      <c r="AR1771" s="26">
        <f>Tabla2[[#This Row],[Minutos*]]/60</f>
        <v>0</v>
      </c>
      <c r="AS1771" s="27">
        <f>SUM(Tabla2[[#This Row],[Horas*]],Tabla2[[#This Row],[Minutos a Horas*]])+(Tabla2[[#This Row],[Tiempo Total a Nivel Proncincial (Horas)]])</f>
        <v>2</v>
      </c>
    </row>
    <row r="1772" spans="30:45" hidden="1" x14ac:dyDescent="0.25">
      <c r="AD1772" s="20" t="s">
        <v>2401</v>
      </c>
      <c r="AE1772" s="10" t="s">
        <v>396</v>
      </c>
      <c r="AF1772" s="20" t="s">
        <v>2114</v>
      </c>
      <c r="AG1772" s="10"/>
      <c r="AH1772" s="22" t="str">
        <f t="shared" si="56"/>
        <v xml:space="preserve">Lima_Norte_01 Lima </v>
      </c>
      <c r="AI1772" s="10" t="s">
        <v>2211</v>
      </c>
      <c r="AJ1772" s="20" t="s">
        <v>2171</v>
      </c>
      <c r="AK1772" s="22" t="str">
        <f t="shared" si="57"/>
        <v>Lima_Norte_01 Lima _10 Comas</v>
      </c>
      <c r="AL1772" s="25">
        <v>2</v>
      </c>
      <c r="AM1772" s="25">
        <v>0</v>
      </c>
      <c r="AN1772" s="26">
        <f>Tabla2[[#This Row],[Minutos]]/60</f>
        <v>0</v>
      </c>
      <c r="AO1772" s="27">
        <f>SUM(Tabla2[[#This Row],[Horas]],Tabla2[[#This Row],[Minutos a Horas]])</f>
        <v>2</v>
      </c>
      <c r="AP1772" s="49"/>
      <c r="AQ1772" s="49"/>
      <c r="AR1772" s="26">
        <f>Tabla2[[#This Row],[Minutos*]]/60</f>
        <v>0</v>
      </c>
      <c r="AS1772" s="27">
        <f>SUM(Tabla2[[#This Row],[Horas*]],Tabla2[[#This Row],[Minutos a Horas*]])+(Tabla2[[#This Row],[Tiempo Total a Nivel Proncincial (Horas)]])</f>
        <v>2</v>
      </c>
    </row>
    <row r="1773" spans="30:45" hidden="1" x14ac:dyDescent="0.25">
      <c r="AD1773" s="20" t="s">
        <v>2401</v>
      </c>
      <c r="AE1773" s="10" t="s">
        <v>396</v>
      </c>
      <c r="AF1773" s="20" t="s">
        <v>2114</v>
      </c>
      <c r="AG1773" s="10"/>
      <c r="AH1773" s="22" t="str">
        <f t="shared" si="56"/>
        <v xml:space="preserve">Lima_Norte_01 Lima </v>
      </c>
      <c r="AI1773" s="10" t="s">
        <v>2211</v>
      </c>
      <c r="AJ1773" s="20" t="s">
        <v>2172</v>
      </c>
      <c r="AK1773" s="22" t="str">
        <f t="shared" si="57"/>
        <v>Lima_Norte_01 Lima _11 El Agustino</v>
      </c>
      <c r="AL1773" s="25">
        <v>2</v>
      </c>
      <c r="AM1773" s="25">
        <v>0</v>
      </c>
      <c r="AN1773" s="26">
        <f>Tabla2[[#This Row],[Minutos]]/60</f>
        <v>0</v>
      </c>
      <c r="AO1773" s="27">
        <f>SUM(Tabla2[[#This Row],[Horas]],Tabla2[[#This Row],[Minutos a Horas]])</f>
        <v>2</v>
      </c>
      <c r="AP1773" s="49"/>
      <c r="AQ1773" s="49"/>
      <c r="AR1773" s="26">
        <f>Tabla2[[#This Row],[Minutos*]]/60</f>
        <v>0</v>
      </c>
      <c r="AS1773" s="27">
        <f>SUM(Tabla2[[#This Row],[Horas*]],Tabla2[[#This Row],[Minutos a Horas*]])+(Tabla2[[#This Row],[Tiempo Total a Nivel Proncincial (Horas)]])</f>
        <v>2</v>
      </c>
    </row>
    <row r="1774" spans="30:45" hidden="1" x14ac:dyDescent="0.25">
      <c r="AD1774" s="20" t="s">
        <v>2401</v>
      </c>
      <c r="AE1774" s="10" t="s">
        <v>396</v>
      </c>
      <c r="AF1774" s="20" t="s">
        <v>2114</v>
      </c>
      <c r="AG1774" s="10"/>
      <c r="AH1774" s="22" t="str">
        <f t="shared" si="56"/>
        <v xml:space="preserve">Lima_Norte_01 Lima </v>
      </c>
      <c r="AI1774" s="10" t="s">
        <v>2211</v>
      </c>
      <c r="AJ1774" s="20" t="s">
        <v>2173</v>
      </c>
      <c r="AK1774" s="22" t="str">
        <f t="shared" si="57"/>
        <v>Lima_Norte_01 Lima _12 Independencia</v>
      </c>
      <c r="AL1774" s="25">
        <v>2</v>
      </c>
      <c r="AM1774" s="25">
        <v>0</v>
      </c>
      <c r="AN1774" s="26">
        <f>Tabla2[[#This Row],[Minutos]]/60</f>
        <v>0</v>
      </c>
      <c r="AO1774" s="27">
        <f>SUM(Tabla2[[#This Row],[Horas]],Tabla2[[#This Row],[Minutos a Horas]])</f>
        <v>2</v>
      </c>
      <c r="AP1774" s="49"/>
      <c r="AQ1774" s="49"/>
      <c r="AR1774" s="26">
        <f>Tabla2[[#This Row],[Minutos*]]/60</f>
        <v>0</v>
      </c>
      <c r="AS1774" s="27">
        <f>SUM(Tabla2[[#This Row],[Horas*]],Tabla2[[#This Row],[Minutos a Horas*]])+(Tabla2[[#This Row],[Tiempo Total a Nivel Proncincial (Horas)]])</f>
        <v>2</v>
      </c>
    </row>
    <row r="1775" spans="30:45" hidden="1" x14ac:dyDescent="0.25">
      <c r="AD1775" s="20" t="s">
        <v>2401</v>
      </c>
      <c r="AE1775" s="10" t="s">
        <v>396</v>
      </c>
      <c r="AF1775" s="20" t="s">
        <v>2114</v>
      </c>
      <c r="AG1775" s="10"/>
      <c r="AH1775" s="22" t="str">
        <f t="shared" si="56"/>
        <v xml:space="preserve">Lima_Norte_01 Lima </v>
      </c>
      <c r="AI1775" s="10" t="s">
        <v>2211</v>
      </c>
      <c r="AJ1775" s="20" t="s">
        <v>2174</v>
      </c>
      <c r="AK1775" s="22" t="str">
        <f t="shared" si="57"/>
        <v>Lima_Norte_01 Lima _13 Jesús María</v>
      </c>
      <c r="AL1775" s="25">
        <v>2</v>
      </c>
      <c r="AM1775" s="25">
        <v>0</v>
      </c>
      <c r="AN1775" s="26">
        <f>Tabla2[[#This Row],[Minutos]]/60</f>
        <v>0</v>
      </c>
      <c r="AO1775" s="27">
        <f>SUM(Tabla2[[#This Row],[Horas]],Tabla2[[#This Row],[Minutos a Horas]])</f>
        <v>2</v>
      </c>
      <c r="AP1775" s="49"/>
      <c r="AQ1775" s="49"/>
      <c r="AR1775" s="26">
        <f>Tabla2[[#This Row],[Minutos*]]/60</f>
        <v>0</v>
      </c>
      <c r="AS1775" s="27">
        <f>SUM(Tabla2[[#This Row],[Horas*]],Tabla2[[#This Row],[Minutos a Horas*]])+(Tabla2[[#This Row],[Tiempo Total a Nivel Proncincial (Horas)]])</f>
        <v>2</v>
      </c>
    </row>
    <row r="1776" spans="30:45" hidden="1" x14ac:dyDescent="0.25">
      <c r="AD1776" s="20" t="s">
        <v>2401</v>
      </c>
      <c r="AE1776" s="10" t="s">
        <v>396</v>
      </c>
      <c r="AF1776" s="20" t="s">
        <v>2114</v>
      </c>
      <c r="AG1776" s="10"/>
      <c r="AH1776" s="22" t="str">
        <f t="shared" si="56"/>
        <v xml:space="preserve">Lima_Norte_01 Lima </v>
      </c>
      <c r="AI1776" s="10" t="s">
        <v>2211</v>
      </c>
      <c r="AJ1776" s="20" t="s">
        <v>2175</v>
      </c>
      <c r="AK1776" s="22" t="str">
        <f t="shared" si="57"/>
        <v>Lima_Norte_01 Lima _14 La Molina</v>
      </c>
      <c r="AL1776" s="25">
        <v>2</v>
      </c>
      <c r="AM1776" s="25">
        <v>0</v>
      </c>
      <c r="AN1776" s="26">
        <f>Tabla2[[#This Row],[Minutos]]/60</f>
        <v>0</v>
      </c>
      <c r="AO1776" s="27">
        <f>SUM(Tabla2[[#This Row],[Horas]],Tabla2[[#This Row],[Minutos a Horas]])</f>
        <v>2</v>
      </c>
      <c r="AP1776" s="49"/>
      <c r="AQ1776" s="49"/>
      <c r="AR1776" s="26">
        <f>Tabla2[[#This Row],[Minutos*]]/60</f>
        <v>0</v>
      </c>
      <c r="AS1776" s="27">
        <f>SUM(Tabla2[[#This Row],[Horas*]],Tabla2[[#This Row],[Minutos a Horas*]])+(Tabla2[[#This Row],[Tiempo Total a Nivel Proncincial (Horas)]])</f>
        <v>2</v>
      </c>
    </row>
    <row r="1777" spans="30:45" hidden="1" x14ac:dyDescent="0.25">
      <c r="AD1777" s="20" t="s">
        <v>2401</v>
      </c>
      <c r="AE1777" s="10" t="s">
        <v>396</v>
      </c>
      <c r="AF1777" s="20" t="s">
        <v>2114</v>
      </c>
      <c r="AG1777" s="10"/>
      <c r="AH1777" s="22" t="str">
        <f t="shared" si="56"/>
        <v xml:space="preserve">Lima_Norte_01 Lima </v>
      </c>
      <c r="AI1777" s="10" t="s">
        <v>2211</v>
      </c>
      <c r="AJ1777" s="20" t="s">
        <v>2176</v>
      </c>
      <c r="AK1777" s="22" t="str">
        <f t="shared" si="57"/>
        <v>Lima_Norte_01 Lima _15 La Victoria</v>
      </c>
      <c r="AL1777" s="25">
        <v>2</v>
      </c>
      <c r="AM1777" s="25">
        <v>0</v>
      </c>
      <c r="AN1777" s="26">
        <f>Tabla2[[#This Row],[Minutos]]/60</f>
        <v>0</v>
      </c>
      <c r="AO1777" s="27">
        <f>SUM(Tabla2[[#This Row],[Horas]],Tabla2[[#This Row],[Minutos a Horas]])</f>
        <v>2</v>
      </c>
      <c r="AP1777" s="49"/>
      <c r="AQ1777" s="49"/>
      <c r="AR1777" s="26">
        <f>Tabla2[[#This Row],[Minutos*]]/60</f>
        <v>0</v>
      </c>
      <c r="AS1777" s="27">
        <f>SUM(Tabla2[[#This Row],[Horas*]],Tabla2[[#This Row],[Minutos a Horas*]])+(Tabla2[[#This Row],[Tiempo Total a Nivel Proncincial (Horas)]])</f>
        <v>2</v>
      </c>
    </row>
    <row r="1778" spans="30:45" hidden="1" x14ac:dyDescent="0.25">
      <c r="AD1778" s="20" t="s">
        <v>2401</v>
      </c>
      <c r="AE1778" s="10" t="s">
        <v>396</v>
      </c>
      <c r="AF1778" s="20" t="s">
        <v>2114</v>
      </c>
      <c r="AG1778" s="10"/>
      <c r="AH1778" s="22" t="str">
        <f t="shared" si="56"/>
        <v xml:space="preserve">Lima_Norte_01 Lima </v>
      </c>
      <c r="AI1778" s="10" t="s">
        <v>2211</v>
      </c>
      <c r="AJ1778" s="20" t="s">
        <v>2177</v>
      </c>
      <c r="AK1778" s="22" t="str">
        <f t="shared" si="57"/>
        <v>Lima_Norte_01 Lima _16 Lince</v>
      </c>
      <c r="AL1778" s="25">
        <v>2</v>
      </c>
      <c r="AM1778" s="25">
        <v>0</v>
      </c>
      <c r="AN1778" s="26">
        <f>Tabla2[[#This Row],[Minutos]]/60</f>
        <v>0</v>
      </c>
      <c r="AO1778" s="27">
        <f>SUM(Tabla2[[#This Row],[Horas]],Tabla2[[#This Row],[Minutos a Horas]])</f>
        <v>2</v>
      </c>
      <c r="AP1778" s="49"/>
      <c r="AQ1778" s="49"/>
      <c r="AR1778" s="26">
        <f>Tabla2[[#This Row],[Minutos*]]/60</f>
        <v>0</v>
      </c>
      <c r="AS1778" s="27">
        <f>SUM(Tabla2[[#This Row],[Horas*]],Tabla2[[#This Row],[Minutos a Horas*]])+(Tabla2[[#This Row],[Tiempo Total a Nivel Proncincial (Horas)]])</f>
        <v>2</v>
      </c>
    </row>
    <row r="1779" spans="30:45" hidden="1" x14ac:dyDescent="0.25">
      <c r="AD1779" s="20" t="s">
        <v>2401</v>
      </c>
      <c r="AE1779" s="10" t="s">
        <v>396</v>
      </c>
      <c r="AF1779" s="20" t="s">
        <v>2114</v>
      </c>
      <c r="AG1779" s="10"/>
      <c r="AH1779" s="22" t="str">
        <f t="shared" si="56"/>
        <v xml:space="preserve">Lima_Norte_01 Lima </v>
      </c>
      <c r="AI1779" s="10" t="s">
        <v>2211</v>
      </c>
      <c r="AJ1779" s="20" t="s">
        <v>2178</v>
      </c>
      <c r="AK1779" s="22" t="str">
        <f t="shared" si="57"/>
        <v>Lima_Norte_01 Lima _17 Los Olivos</v>
      </c>
      <c r="AL1779" s="25">
        <v>2</v>
      </c>
      <c r="AM1779" s="25">
        <v>0</v>
      </c>
      <c r="AN1779" s="26">
        <f>Tabla2[[#This Row],[Minutos]]/60</f>
        <v>0</v>
      </c>
      <c r="AO1779" s="27">
        <f>SUM(Tabla2[[#This Row],[Horas]],Tabla2[[#This Row],[Minutos a Horas]])</f>
        <v>2</v>
      </c>
      <c r="AP1779" s="49"/>
      <c r="AQ1779" s="49"/>
      <c r="AR1779" s="26">
        <f>Tabla2[[#This Row],[Minutos*]]/60</f>
        <v>0</v>
      </c>
      <c r="AS1779" s="27">
        <f>SUM(Tabla2[[#This Row],[Horas*]],Tabla2[[#This Row],[Minutos a Horas*]])+(Tabla2[[#This Row],[Tiempo Total a Nivel Proncincial (Horas)]])</f>
        <v>2</v>
      </c>
    </row>
    <row r="1780" spans="30:45" hidden="1" x14ac:dyDescent="0.25">
      <c r="AD1780" s="20" t="s">
        <v>2401</v>
      </c>
      <c r="AE1780" s="10" t="s">
        <v>396</v>
      </c>
      <c r="AF1780" s="20" t="s">
        <v>2114</v>
      </c>
      <c r="AG1780" s="10"/>
      <c r="AH1780" s="22" t="str">
        <f t="shared" si="56"/>
        <v xml:space="preserve">Lima_Norte_01 Lima </v>
      </c>
      <c r="AI1780" s="10" t="s">
        <v>2211</v>
      </c>
      <c r="AJ1780" s="20" t="s">
        <v>2179</v>
      </c>
      <c r="AK1780" s="22" t="str">
        <f t="shared" si="57"/>
        <v>Lima_Norte_01 Lima _18 Lurigancho</v>
      </c>
      <c r="AL1780" s="25">
        <v>2</v>
      </c>
      <c r="AM1780" s="25">
        <v>0</v>
      </c>
      <c r="AN1780" s="26">
        <f>Tabla2[[#This Row],[Minutos]]/60</f>
        <v>0</v>
      </c>
      <c r="AO1780" s="27">
        <f>SUM(Tabla2[[#This Row],[Horas]],Tabla2[[#This Row],[Minutos a Horas]])</f>
        <v>2</v>
      </c>
      <c r="AP1780" s="49"/>
      <c r="AQ1780" s="49"/>
      <c r="AR1780" s="26">
        <f>Tabla2[[#This Row],[Minutos*]]/60</f>
        <v>0</v>
      </c>
      <c r="AS1780" s="27">
        <f>SUM(Tabla2[[#This Row],[Horas*]],Tabla2[[#This Row],[Minutos a Horas*]])+(Tabla2[[#This Row],[Tiempo Total a Nivel Proncincial (Horas)]])</f>
        <v>2</v>
      </c>
    </row>
    <row r="1781" spans="30:45" hidden="1" x14ac:dyDescent="0.25">
      <c r="AD1781" s="20" t="s">
        <v>2401</v>
      </c>
      <c r="AE1781" s="10" t="s">
        <v>396</v>
      </c>
      <c r="AF1781" s="20" t="s">
        <v>2114</v>
      </c>
      <c r="AG1781" s="10"/>
      <c r="AH1781" s="22" t="str">
        <f t="shared" si="56"/>
        <v xml:space="preserve">Lima_Norte_01 Lima </v>
      </c>
      <c r="AI1781" s="10" t="s">
        <v>2211</v>
      </c>
      <c r="AJ1781" s="20" t="s">
        <v>2180</v>
      </c>
      <c r="AK1781" s="22" t="str">
        <f t="shared" si="57"/>
        <v>Lima_Norte_01 Lima _19 Lurin</v>
      </c>
      <c r="AL1781" s="25">
        <v>2</v>
      </c>
      <c r="AM1781" s="25">
        <v>0</v>
      </c>
      <c r="AN1781" s="26">
        <f>Tabla2[[#This Row],[Minutos]]/60</f>
        <v>0</v>
      </c>
      <c r="AO1781" s="27">
        <f>SUM(Tabla2[[#This Row],[Horas]],Tabla2[[#This Row],[Minutos a Horas]])</f>
        <v>2</v>
      </c>
      <c r="AP1781" s="49"/>
      <c r="AQ1781" s="49"/>
      <c r="AR1781" s="26">
        <f>Tabla2[[#This Row],[Minutos*]]/60</f>
        <v>0</v>
      </c>
      <c r="AS1781" s="27">
        <f>SUM(Tabla2[[#This Row],[Horas*]],Tabla2[[#This Row],[Minutos a Horas*]])+(Tabla2[[#This Row],[Tiempo Total a Nivel Proncincial (Horas)]])</f>
        <v>2</v>
      </c>
    </row>
    <row r="1782" spans="30:45" hidden="1" x14ac:dyDescent="0.25">
      <c r="AD1782" s="20" t="s">
        <v>2401</v>
      </c>
      <c r="AE1782" s="10" t="s">
        <v>396</v>
      </c>
      <c r="AF1782" s="20" t="s">
        <v>2114</v>
      </c>
      <c r="AG1782" s="10"/>
      <c r="AH1782" s="22" t="str">
        <f t="shared" si="56"/>
        <v xml:space="preserve">Lima_Norte_01 Lima </v>
      </c>
      <c r="AI1782" s="10" t="s">
        <v>2211</v>
      </c>
      <c r="AJ1782" s="20" t="s">
        <v>2181</v>
      </c>
      <c r="AK1782" s="22" t="str">
        <f t="shared" si="57"/>
        <v>Lima_Norte_01 Lima _20 Magdalena del Mar</v>
      </c>
      <c r="AL1782" s="25">
        <v>2</v>
      </c>
      <c r="AM1782" s="25">
        <v>0</v>
      </c>
      <c r="AN1782" s="26">
        <f>Tabla2[[#This Row],[Minutos]]/60</f>
        <v>0</v>
      </c>
      <c r="AO1782" s="27">
        <f>SUM(Tabla2[[#This Row],[Horas]],Tabla2[[#This Row],[Minutos a Horas]])</f>
        <v>2</v>
      </c>
      <c r="AP1782" s="49"/>
      <c r="AQ1782" s="49"/>
      <c r="AR1782" s="26">
        <f>Tabla2[[#This Row],[Minutos*]]/60</f>
        <v>0</v>
      </c>
      <c r="AS1782" s="27">
        <f>SUM(Tabla2[[#This Row],[Horas*]],Tabla2[[#This Row],[Minutos a Horas*]])+(Tabla2[[#This Row],[Tiempo Total a Nivel Proncincial (Horas)]])</f>
        <v>2</v>
      </c>
    </row>
    <row r="1783" spans="30:45" hidden="1" x14ac:dyDescent="0.25">
      <c r="AD1783" s="20" t="s">
        <v>2401</v>
      </c>
      <c r="AE1783" s="10" t="s">
        <v>396</v>
      </c>
      <c r="AF1783" s="20" t="s">
        <v>2114</v>
      </c>
      <c r="AG1783" s="10"/>
      <c r="AH1783" s="22" t="str">
        <f t="shared" si="56"/>
        <v xml:space="preserve">Lima_Norte_01 Lima </v>
      </c>
      <c r="AI1783" s="10" t="s">
        <v>2211</v>
      </c>
      <c r="AJ1783" s="20" t="s">
        <v>2182</v>
      </c>
      <c r="AK1783" s="22" t="str">
        <f t="shared" si="57"/>
        <v>Lima_Norte_01 Lima _21 Pueblo Libre</v>
      </c>
      <c r="AL1783" s="25">
        <v>2</v>
      </c>
      <c r="AM1783" s="25">
        <v>0</v>
      </c>
      <c r="AN1783" s="26">
        <f>Tabla2[[#This Row],[Minutos]]/60</f>
        <v>0</v>
      </c>
      <c r="AO1783" s="27">
        <f>SUM(Tabla2[[#This Row],[Horas]],Tabla2[[#This Row],[Minutos a Horas]])</f>
        <v>2</v>
      </c>
      <c r="AP1783" s="49"/>
      <c r="AQ1783" s="49"/>
      <c r="AR1783" s="26">
        <f>Tabla2[[#This Row],[Minutos*]]/60</f>
        <v>0</v>
      </c>
      <c r="AS1783" s="27">
        <f>SUM(Tabla2[[#This Row],[Horas*]],Tabla2[[#This Row],[Minutos a Horas*]])+(Tabla2[[#This Row],[Tiempo Total a Nivel Proncincial (Horas)]])</f>
        <v>2</v>
      </c>
    </row>
    <row r="1784" spans="30:45" hidden="1" x14ac:dyDescent="0.25">
      <c r="AD1784" s="20" t="s">
        <v>2401</v>
      </c>
      <c r="AE1784" s="10" t="s">
        <v>396</v>
      </c>
      <c r="AF1784" s="20" t="s">
        <v>2114</v>
      </c>
      <c r="AG1784" s="10"/>
      <c r="AH1784" s="22" t="str">
        <f t="shared" si="56"/>
        <v xml:space="preserve">Lima_Norte_01 Lima </v>
      </c>
      <c r="AI1784" s="10" t="s">
        <v>2211</v>
      </c>
      <c r="AJ1784" s="20" t="s">
        <v>2183</v>
      </c>
      <c r="AK1784" s="22" t="str">
        <f t="shared" si="57"/>
        <v>Lima_Norte_01 Lima _22 Miraflores</v>
      </c>
      <c r="AL1784" s="25">
        <v>2</v>
      </c>
      <c r="AM1784" s="25">
        <v>0</v>
      </c>
      <c r="AN1784" s="26">
        <f>Tabla2[[#This Row],[Minutos]]/60</f>
        <v>0</v>
      </c>
      <c r="AO1784" s="27">
        <f>SUM(Tabla2[[#This Row],[Horas]],Tabla2[[#This Row],[Minutos a Horas]])</f>
        <v>2</v>
      </c>
      <c r="AP1784" s="49"/>
      <c r="AQ1784" s="49"/>
      <c r="AR1784" s="26">
        <f>Tabla2[[#This Row],[Minutos*]]/60</f>
        <v>0</v>
      </c>
      <c r="AS1784" s="27">
        <f>SUM(Tabla2[[#This Row],[Horas*]],Tabla2[[#This Row],[Minutos a Horas*]])+(Tabla2[[#This Row],[Tiempo Total a Nivel Proncincial (Horas)]])</f>
        <v>2</v>
      </c>
    </row>
    <row r="1785" spans="30:45" hidden="1" x14ac:dyDescent="0.25">
      <c r="AD1785" s="20" t="s">
        <v>2401</v>
      </c>
      <c r="AE1785" s="10" t="s">
        <v>396</v>
      </c>
      <c r="AF1785" s="20" t="s">
        <v>2114</v>
      </c>
      <c r="AG1785" s="10"/>
      <c r="AH1785" s="22" t="str">
        <f t="shared" si="56"/>
        <v xml:space="preserve">Lima_Norte_01 Lima </v>
      </c>
      <c r="AI1785" s="10" t="s">
        <v>2211</v>
      </c>
      <c r="AJ1785" s="20" t="s">
        <v>2184</v>
      </c>
      <c r="AK1785" s="22" t="str">
        <f t="shared" si="57"/>
        <v>Lima_Norte_01 Lima _23 Pachacamac</v>
      </c>
      <c r="AL1785" s="25">
        <v>2</v>
      </c>
      <c r="AM1785" s="25">
        <v>0</v>
      </c>
      <c r="AN1785" s="26">
        <f>Tabla2[[#This Row],[Minutos]]/60</f>
        <v>0</v>
      </c>
      <c r="AO1785" s="27">
        <f>SUM(Tabla2[[#This Row],[Horas]],Tabla2[[#This Row],[Minutos a Horas]])</f>
        <v>2</v>
      </c>
      <c r="AP1785" s="49"/>
      <c r="AQ1785" s="49"/>
      <c r="AR1785" s="26">
        <f>Tabla2[[#This Row],[Minutos*]]/60</f>
        <v>0</v>
      </c>
      <c r="AS1785" s="27">
        <f>SUM(Tabla2[[#This Row],[Horas*]],Tabla2[[#This Row],[Minutos a Horas*]])+(Tabla2[[#This Row],[Tiempo Total a Nivel Proncincial (Horas)]])</f>
        <v>2</v>
      </c>
    </row>
    <row r="1786" spans="30:45" hidden="1" x14ac:dyDescent="0.25">
      <c r="AD1786" s="20" t="s">
        <v>2401</v>
      </c>
      <c r="AE1786" s="10" t="s">
        <v>396</v>
      </c>
      <c r="AF1786" s="20" t="s">
        <v>2114</v>
      </c>
      <c r="AG1786" s="10"/>
      <c r="AH1786" s="22" t="str">
        <f t="shared" si="56"/>
        <v xml:space="preserve">Lima_Norte_01 Lima </v>
      </c>
      <c r="AI1786" s="10" t="s">
        <v>2211</v>
      </c>
      <c r="AJ1786" s="20" t="s">
        <v>2185</v>
      </c>
      <c r="AK1786" s="22" t="str">
        <f t="shared" si="57"/>
        <v>Lima_Norte_01 Lima _24 Pucusana</v>
      </c>
      <c r="AL1786" s="25">
        <v>2</v>
      </c>
      <c r="AM1786" s="25">
        <v>0</v>
      </c>
      <c r="AN1786" s="26">
        <f>Tabla2[[#This Row],[Minutos]]/60</f>
        <v>0</v>
      </c>
      <c r="AO1786" s="27">
        <f>SUM(Tabla2[[#This Row],[Horas]],Tabla2[[#This Row],[Minutos a Horas]])</f>
        <v>2</v>
      </c>
      <c r="AP1786" s="49"/>
      <c r="AQ1786" s="49"/>
      <c r="AR1786" s="26">
        <f>Tabla2[[#This Row],[Minutos*]]/60</f>
        <v>0</v>
      </c>
      <c r="AS1786" s="27">
        <f>SUM(Tabla2[[#This Row],[Horas*]],Tabla2[[#This Row],[Minutos a Horas*]])+(Tabla2[[#This Row],[Tiempo Total a Nivel Proncincial (Horas)]])</f>
        <v>2</v>
      </c>
    </row>
    <row r="1787" spans="30:45" hidden="1" x14ac:dyDescent="0.25">
      <c r="AD1787" s="20" t="s">
        <v>2401</v>
      </c>
      <c r="AE1787" s="10" t="s">
        <v>396</v>
      </c>
      <c r="AF1787" s="20" t="s">
        <v>2114</v>
      </c>
      <c r="AG1787" s="10"/>
      <c r="AH1787" s="22" t="str">
        <f t="shared" si="56"/>
        <v xml:space="preserve">Lima_Norte_01 Lima </v>
      </c>
      <c r="AI1787" s="10" t="s">
        <v>2211</v>
      </c>
      <c r="AJ1787" s="20" t="s">
        <v>2186</v>
      </c>
      <c r="AK1787" s="22" t="str">
        <f t="shared" si="57"/>
        <v>Lima_Norte_01 Lima _25 Puente Piedra</v>
      </c>
      <c r="AL1787" s="25">
        <v>2</v>
      </c>
      <c r="AM1787" s="25">
        <v>0</v>
      </c>
      <c r="AN1787" s="26">
        <f>Tabla2[[#This Row],[Minutos]]/60</f>
        <v>0</v>
      </c>
      <c r="AO1787" s="27">
        <f>SUM(Tabla2[[#This Row],[Horas]],Tabla2[[#This Row],[Minutos a Horas]])</f>
        <v>2</v>
      </c>
      <c r="AP1787" s="49"/>
      <c r="AQ1787" s="49"/>
      <c r="AR1787" s="26">
        <f>Tabla2[[#This Row],[Minutos*]]/60</f>
        <v>0</v>
      </c>
      <c r="AS1787" s="27">
        <f>SUM(Tabla2[[#This Row],[Horas*]],Tabla2[[#This Row],[Minutos a Horas*]])+(Tabla2[[#This Row],[Tiempo Total a Nivel Proncincial (Horas)]])</f>
        <v>2</v>
      </c>
    </row>
    <row r="1788" spans="30:45" hidden="1" x14ac:dyDescent="0.25">
      <c r="AD1788" s="20" t="s">
        <v>2401</v>
      </c>
      <c r="AE1788" s="10" t="s">
        <v>396</v>
      </c>
      <c r="AF1788" s="20" t="s">
        <v>2114</v>
      </c>
      <c r="AG1788" s="10"/>
      <c r="AH1788" s="22" t="str">
        <f t="shared" si="56"/>
        <v xml:space="preserve">Lima_Norte_01 Lima </v>
      </c>
      <c r="AI1788" s="10" t="s">
        <v>2211</v>
      </c>
      <c r="AJ1788" s="20" t="s">
        <v>2187</v>
      </c>
      <c r="AK1788" s="22" t="str">
        <f t="shared" si="57"/>
        <v>Lima_Norte_01 Lima _26 Punta Hermosa</v>
      </c>
      <c r="AL1788" s="25">
        <v>2</v>
      </c>
      <c r="AM1788" s="25">
        <v>0</v>
      </c>
      <c r="AN1788" s="26">
        <f>Tabla2[[#This Row],[Minutos]]/60</f>
        <v>0</v>
      </c>
      <c r="AO1788" s="27">
        <f>SUM(Tabla2[[#This Row],[Horas]],Tabla2[[#This Row],[Minutos a Horas]])</f>
        <v>2</v>
      </c>
      <c r="AP1788" s="49"/>
      <c r="AQ1788" s="49"/>
      <c r="AR1788" s="26">
        <f>Tabla2[[#This Row],[Minutos*]]/60</f>
        <v>0</v>
      </c>
      <c r="AS1788" s="27">
        <f>SUM(Tabla2[[#This Row],[Horas*]],Tabla2[[#This Row],[Minutos a Horas*]])+(Tabla2[[#This Row],[Tiempo Total a Nivel Proncincial (Horas)]])</f>
        <v>2</v>
      </c>
    </row>
    <row r="1789" spans="30:45" hidden="1" x14ac:dyDescent="0.25">
      <c r="AD1789" s="20" t="s">
        <v>2401</v>
      </c>
      <c r="AE1789" s="10" t="s">
        <v>396</v>
      </c>
      <c r="AF1789" s="20" t="s">
        <v>2114</v>
      </c>
      <c r="AG1789" s="10"/>
      <c r="AH1789" s="22" t="str">
        <f t="shared" si="56"/>
        <v xml:space="preserve">Lima_Norte_01 Lima </v>
      </c>
      <c r="AI1789" s="10" t="s">
        <v>2211</v>
      </c>
      <c r="AJ1789" s="20" t="s">
        <v>2188</v>
      </c>
      <c r="AK1789" s="22" t="str">
        <f t="shared" si="57"/>
        <v>Lima_Norte_01 Lima _27 Punta Negra</v>
      </c>
      <c r="AL1789" s="25">
        <v>2</v>
      </c>
      <c r="AM1789" s="25">
        <v>0</v>
      </c>
      <c r="AN1789" s="26">
        <f>Tabla2[[#This Row],[Minutos]]/60</f>
        <v>0</v>
      </c>
      <c r="AO1789" s="27">
        <f>SUM(Tabla2[[#This Row],[Horas]],Tabla2[[#This Row],[Minutos a Horas]])</f>
        <v>2</v>
      </c>
      <c r="AP1789" s="49"/>
      <c r="AQ1789" s="49"/>
      <c r="AR1789" s="26">
        <f>Tabla2[[#This Row],[Minutos*]]/60</f>
        <v>0</v>
      </c>
      <c r="AS1789" s="27">
        <f>SUM(Tabla2[[#This Row],[Horas*]],Tabla2[[#This Row],[Minutos a Horas*]])+(Tabla2[[#This Row],[Tiempo Total a Nivel Proncincial (Horas)]])</f>
        <v>2</v>
      </c>
    </row>
    <row r="1790" spans="30:45" hidden="1" x14ac:dyDescent="0.25">
      <c r="AD1790" s="20" t="s">
        <v>2401</v>
      </c>
      <c r="AE1790" s="10" t="s">
        <v>396</v>
      </c>
      <c r="AF1790" s="20" t="s">
        <v>2114</v>
      </c>
      <c r="AG1790" s="10"/>
      <c r="AH1790" s="22" t="str">
        <f t="shared" si="56"/>
        <v xml:space="preserve">Lima_Norte_01 Lima </v>
      </c>
      <c r="AI1790" s="10" t="s">
        <v>2211</v>
      </c>
      <c r="AJ1790" s="20" t="s">
        <v>2189</v>
      </c>
      <c r="AK1790" s="22" t="str">
        <f t="shared" si="57"/>
        <v>Lima_Norte_01 Lima _28 Rímac</v>
      </c>
      <c r="AL1790" s="25">
        <v>2</v>
      </c>
      <c r="AM1790" s="25">
        <v>0</v>
      </c>
      <c r="AN1790" s="26">
        <f>Tabla2[[#This Row],[Minutos]]/60</f>
        <v>0</v>
      </c>
      <c r="AO1790" s="27">
        <f>SUM(Tabla2[[#This Row],[Horas]],Tabla2[[#This Row],[Minutos a Horas]])</f>
        <v>2</v>
      </c>
      <c r="AP1790" s="49"/>
      <c r="AQ1790" s="49"/>
      <c r="AR1790" s="26">
        <f>Tabla2[[#This Row],[Minutos*]]/60</f>
        <v>0</v>
      </c>
      <c r="AS1790" s="27">
        <f>SUM(Tabla2[[#This Row],[Horas*]],Tabla2[[#This Row],[Minutos a Horas*]])+(Tabla2[[#This Row],[Tiempo Total a Nivel Proncincial (Horas)]])</f>
        <v>2</v>
      </c>
    </row>
    <row r="1791" spans="30:45" hidden="1" x14ac:dyDescent="0.25">
      <c r="AD1791" s="20" t="s">
        <v>2401</v>
      </c>
      <c r="AE1791" s="10" t="s">
        <v>396</v>
      </c>
      <c r="AF1791" s="20" t="s">
        <v>2114</v>
      </c>
      <c r="AG1791" s="10"/>
      <c r="AH1791" s="22" t="str">
        <f t="shared" si="56"/>
        <v xml:space="preserve">Lima_Norte_01 Lima </v>
      </c>
      <c r="AI1791" s="10" t="s">
        <v>2211</v>
      </c>
      <c r="AJ1791" s="20" t="s">
        <v>2190</v>
      </c>
      <c r="AK1791" s="22" t="str">
        <f t="shared" si="57"/>
        <v>Lima_Norte_01 Lima _29 San Bartolo</v>
      </c>
      <c r="AL1791" s="25">
        <v>2</v>
      </c>
      <c r="AM1791" s="25">
        <v>0</v>
      </c>
      <c r="AN1791" s="26">
        <f>Tabla2[[#This Row],[Minutos]]/60</f>
        <v>0</v>
      </c>
      <c r="AO1791" s="27">
        <f>SUM(Tabla2[[#This Row],[Horas]],Tabla2[[#This Row],[Minutos a Horas]])</f>
        <v>2</v>
      </c>
      <c r="AP1791" s="49"/>
      <c r="AQ1791" s="49"/>
      <c r="AR1791" s="26">
        <f>Tabla2[[#This Row],[Minutos*]]/60</f>
        <v>0</v>
      </c>
      <c r="AS1791" s="27">
        <f>SUM(Tabla2[[#This Row],[Horas*]],Tabla2[[#This Row],[Minutos a Horas*]])+(Tabla2[[#This Row],[Tiempo Total a Nivel Proncincial (Horas)]])</f>
        <v>2</v>
      </c>
    </row>
    <row r="1792" spans="30:45" hidden="1" x14ac:dyDescent="0.25">
      <c r="AD1792" s="20" t="s">
        <v>2401</v>
      </c>
      <c r="AE1792" s="10" t="s">
        <v>396</v>
      </c>
      <c r="AF1792" s="20" t="s">
        <v>2114</v>
      </c>
      <c r="AG1792" s="10"/>
      <c r="AH1792" s="22" t="str">
        <f t="shared" si="56"/>
        <v xml:space="preserve">Lima_Norte_01 Lima </v>
      </c>
      <c r="AI1792" s="10" t="s">
        <v>2211</v>
      </c>
      <c r="AJ1792" s="20" t="s">
        <v>2191</v>
      </c>
      <c r="AK1792" s="22" t="str">
        <f t="shared" si="57"/>
        <v>Lima_Norte_01 Lima _30 San Borja</v>
      </c>
      <c r="AL1792" s="25">
        <v>2</v>
      </c>
      <c r="AM1792" s="25">
        <v>0</v>
      </c>
      <c r="AN1792" s="26">
        <f>Tabla2[[#This Row],[Minutos]]/60</f>
        <v>0</v>
      </c>
      <c r="AO1792" s="27">
        <f>SUM(Tabla2[[#This Row],[Horas]],Tabla2[[#This Row],[Minutos a Horas]])</f>
        <v>2</v>
      </c>
      <c r="AP1792" s="49"/>
      <c r="AQ1792" s="49"/>
      <c r="AR1792" s="26">
        <f>Tabla2[[#This Row],[Minutos*]]/60</f>
        <v>0</v>
      </c>
      <c r="AS1792" s="27">
        <f>SUM(Tabla2[[#This Row],[Horas*]],Tabla2[[#This Row],[Minutos a Horas*]])+(Tabla2[[#This Row],[Tiempo Total a Nivel Proncincial (Horas)]])</f>
        <v>2</v>
      </c>
    </row>
    <row r="1793" spans="30:45" hidden="1" x14ac:dyDescent="0.25">
      <c r="AD1793" s="20" t="s">
        <v>2401</v>
      </c>
      <c r="AE1793" s="10" t="s">
        <v>396</v>
      </c>
      <c r="AF1793" s="20" t="s">
        <v>2114</v>
      </c>
      <c r="AG1793" s="10"/>
      <c r="AH1793" s="22" t="str">
        <f t="shared" si="56"/>
        <v xml:space="preserve">Lima_Norte_01 Lima </v>
      </c>
      <c r="AI1793" s="10" t="s">
        <v>2211</v>
      </c>
      <c r="AJ1793" s="20" t="s">
        <v>2192</v>
      </c>
      <c r="AK1793" s="22" t="str">
        <f t="shared" si="57"/>
        <v>Lima_Norte_01 Lima _31 San Isidro</v>
      </c>
      <c r="AL1793" s="25">
        <v>2</v>
      </c>
      <c r="AM1793" s="25">
        <v>0</v>
      </c>
      <c r="AN1793" s="26">
        <f>Tabla2[[#This Row],[Minutos]]/60</f>
        <v>0</v>
      </c>
      <c r="AO1793" s="27">
        <f>SUM(Tabla2[[#This Row],[Horas]],Tabla2[[#This Row],[Minutos a Horas]])</f>
        <v>2</v>
      </c>
      <c r="AP1793" s="49"/>
      <c r="AQ1793" s="49"/>
      <c r="AR1793" s="26">
        <f>Tabla2[[#This Row],[Minutos*]]/60</f>
        <v>0</v>
      </c>
      <c r="AS1793" s="27">
        <f>SUM(Tabla2[[#This Row],[Horas*]],Tabla2[[#This Row],[Minutos a Horas*]])+(Tabla2[[#This Row],[Tiempo Total a Nivel Proncincial (Horas)]])</f>
        <v>2</v>
      </c>
    </row>
    <row r="1794" spans="30:45" hidden="1" x14ac:dyDescent="0.25">
      <c r="AD1794" s="20" t="s">
        <v>2401</v>
      </c>
      <c r="AE1794" s="10" t="s">
        <v>396</v>
      </c>
      <c r="AF1794" s="20" t="s">
        <v>2114</v>
      </c>
      <c r="AG1794" s="10"/>
      <c r="AH1794" s="22" t="str">
        <f t="shared" si="56"/>
        <v xml:space="preserve">Lima_Norte_01 Lima </v>
      </c>
      <c r="AI1794" s="10" t="s">
        <v>2211</v>
      </c>
      <c r="AJ1794" s="20" t="s">
        <v>2193</v>
      </c>
      <c r="AK1794" s="22" t="str">
        <f t="shared" si="57"/>
        <v>Lima_Norte_01 Lima _32 San Juan de Lurigancho</v>
      </c>
      <c r="AL1794" s="25">
        <v>2</v>
      </c>
      <c r="AM1794" s="25">
        <v>0</v>
      </c>
      <c r="AN1794" s="26">
        <f>Tabla2[[#This Row],[Minutos]]/60</f>
        <v>0</v>
      </c>
      <c r="AO1794" s="27">
        <f>SUM(Tabla2[[#This Row],[Horas]],Tabla2[[#This Row],[Minutos a Horas]])</f>
        <v>2</v>
      </c>
      <c r="AP1794" s="49"/>
      <c r="AQ1794" s="49"/>
      <c r="AR1794" s="26">
        <f>Tabla2[[#This Row],[Minutos*]]/60</f>
        <v>0</v>
      </c>
      <c r="AS1794" s="27">
        <f>SUM(Tabla2[[#This Row],[Horas*]],Tabla2[[#This Row],[Minutos a Horas*]])+(Tabla2[[#This Row],[Tiempo Total a Nivel Proncincial (Horas)]])</f>
        <v>2</v>
      </c>
    </row>
    <row r="1795" spans="30:45" hidden="1" x14ac:dyDescent="0.25">
      <c r="AD1795" s="20" t="s">
        <v>2401</v>
      </c>
      <c r="AE1795" s="10" t="s">
        <v>396</v>
      </c>
      <c r="AF1795" s="20" t="s">
        <v>2114</v>
      </c>
      <c r="AG1795" s="10"/>
      <c r="AH1795" s="22" t="str">
        <f t="shared" si="56"/>
        <v xml:space="preserve">Lima_Norte_01 Lima </v>
      </c>
      <c r="AI1795" s="10" t="s">
        <v>2211</v>
      </c>
      <c r="AJ1795" s="20" t="s">
        <v>2194</v>
      </c>
      <c r="AK1795" s="22" t="str">
        <f t="shared" si="57"/>
        <v>Lima_Norte_01 Lima _33 San Juan de Miraflores</v>
      </c>
      <c r="AL1795" s="25">
        <v>2</v>
      </c>
      <c r="AM1795" s="25">
        <v>0</v>
      </c>
      <c r="AN1795" s="26">
        <f>Tabla2[[#This Row],[Minutos]]/60</f>
        <v>0</v>
      </c>
      <c r="AO1795" s="27">
        <f>SUM(Tabla2[[#This Row],[Horas]],Tabla2[[#This Row],[Minutos a Horas]])</f>
        <v>2</v>
      </c>
      <c r="AP1795" s="49"/>
      <c r="AQ1795" s="49"/>
      <c r="AR1795" s="26">
        <f>Tabla2[[#This Row],[Minutos*]]/60</f>
        <v>0</v>
      </c>
      <c r="AS1795" s="27">
        <f>SUM(Tabla2[[#This Row],[Horas*]],Tabla2[[#This Row],[Minutos a Horas*]])+(Tabla2[[#This Row],[Tiempo Total a Nivel Proncincial (Horas)]])</f>
        <v>2</v>
      </c>
    </row>
    <row r="1796" spans="30:45" hidden="1" x14ac:dyDescent="0.25">
      <c r="AD1796" s="20" t="s">
        <v>2401</v>
      </c>
      <c r="AE1796" s="10" t="s">
        <v>396</v>
      </c>
      <c r="AF1796" s="20" t="s">
        <v>2114</v>
      </c>
      <c r="AG1796" s="10"/>
      <c r="AH1796" s="22" t="str">
        <f t="shared" si="56"/>
        <v xml:space="preserve">Lima_Norte_01 Lima </v>
      </c>
      <c r="AI1796" s="10" t="s">
        <v>2211</v>
      </c>
      <c r="AJ1796" s="20" t="s">
        <v>2195</v>
      </c>
      <c r="AK1796" s="22" t="str">
        <f t="shared" si="57"/>
        <v>Lima_Norte_01 Lima _34 San Luis</v>
      </c>
      <c r="AL1796" s="25">
        <v>2</v>
      </c>
      <c r="AM1796" s="25">
        <v>0</v>
      </c>
      <c r="AN1796" s="26">
        <f>Tabla2[[#This Row],[Minutos]]/60</f>
        <v>0</v>
      </c>
      <c r="AO1796" s="27">
        <f>SUM(Tabla2[[#This Row],[Horas]],Tabla2[[#This Row],[Minutos a Horas]])</f>
        <v>2</v>
      </c>
      <c r="AP1796" s="49"/>
      <c r="AQ1796" s="49"/>
      <c r="AR1796" s="26">
        <f>Tabla2[[#This Row],[Minutos*]]/60</f>
        <v>0</v>
      </c>
      <c r="AS1796" s="27">
        <f>SUM(Tabla2[[#This Row],[Horas*]],Tabla2[[#This Row],[Minutos a Horas*]])+(Tabla2[[#This Row],[Tiempo Total a Nivel Proncincial (Horas)]])</f>
        <v>2</v>
      </c>
    </row>
    <row r="1797" spans="30:45" hidden="1" x14ac:dyDescent="0.25">
      <c r="AD1797" s="20" t="s">
        <v>2401</v>
      </c>
      <c r="AE1797" s="10" t="s">
        <v>396</v>
      </c>
      <c r="AF1797" s="20" t="s">
        <v>2114</v>
      </c>
      <c r="AG1797" s="10"/>
      <c r="AH1797" s="22" t="str">
        <f t="shared" si="56"/>
        <v xml:space="preserve">Lima_Norte_01 Lima </v>
      </c>
      <c r="AI1797" s="10" t="s">
        <v>2211</v>
      </c>
      <c r="AJ1797" s="20" t="s">
        <v>2196</v>
      </c>
      <c r="AK1797" s="22" t="str">
        <f t="shared" si="57"/>
        <v>Lima_Norte_01 Lima _35 San Martín de Porres</v>
      </c>
      <c r="AL1797" s="25">
        <v>2</v>
      </c>
      <c r="AM1797" s="25">
        <v>0</v>
      </c>
      <c r="AN1797" s="26">
        <f>Tabla2[[#This Row],[Minutos]]/60</f>
        <v>0</v>
      </c>
      <c r="AO1797" s="27">
        <f>SUM(Tabla2[[#This Row],[Horas]],Tabla2[[#This Row],[Minutos a Horas]])</f>
        <v>2</v>
      </c>
      <c r="AP1797" s="49"/>
      <c r="AQ1797" s="49"/>
      <c r="AR1797" s="26">
        <f>Tabla2[[#This Row],[Minutos*]]/60</f>
        <v>0</v>
      </c>
      <c r="AS1797" s="27">
        <f>SUM(Tabla2[[#This Row],[Horas*]],Tabla2[[#This Row],[Minutos a Horas*]])+(Tabla2[[#This Row],[Tiempo Total a Nivel Proncincial (Horas)]])</f>
        <v>2</v>
      </c>
    </row>
    <row r="1798" spans="30:45" hidden="1" x14ac:dyDescent="0.25">
      <c r="AD1798" s="20" t="s">
        <v>2401</v>
      </c>
      <c r="AE1798" s="10" t="s">
        <v>396</v>
      </c>
      <c r="AF1798" s="20" t="s">
        <v>2114</v>
      </c>
      <c r="AG1798" s="10"/>
      <c r="AH1798" s="22" t="str">
        <f t="shared" si="56"/>
        <v xml:space="preserve">Lima_Norte_01 Lima </v>
      </c>
      <c r="AI1798" s="10" t="s">
        <v>2211</v>
      </c>
      <c r="AJ1798" s="20" t="s">
        <v>2197</v>
      </c>
      <c r="AK1798" s="22" t="str">
        <f t="shared" si="57"/>
        <v>Lima_Norte_01 Lima _36 San Miguel</v>
      </c>
      <c r="AL1798" s="25">
        <v>2</v>
      </c>
      <c r="AM1798" s="25">
        <v>0</v>
      </c>
      <c r="AN1798" s="26">
        <f>Tabla2[[#This Row],[Minutos]]/60</f>
        <v>0</v>
      </c>
      <c r="AO1798" s="27">
        <f>SUM(Tabla2[[#This Row],[Horas]],Tabla2[[#This Row],[Minutos a Horas]])</f>
        <v>2</v>
      </c>
      <c r="AP1798" s="49"/>
      <c r="AQ1798" s="49"/>
      <c r="AR1798" s="26">
        <f>Tabla2[[#This Row],[Minutos*]]/60</f>
        <v>0</v>
      </c>
      <c r="AS1798" s="27">
        <f>SUM(Tabla2[[#This Row],[Horas*]],Tabla2[[#This Row],[Minutos a Horas*]])+(Tabla2[[#This Row],[Tiempo Total a Nivel Proncincial (Horas)]])</f>
        <v>2</v>
      </c>
    </row>
    <row r="1799" spans="30:45" hidden="1" x14ac:dyDescent="0.25">
      <c r="AD1799" s="20" t="s">
        <v>2401</v>
      </c>
      <c r="AE1799" s="10" t="s">
        <v>396</v>
      </c>
      <c r="AF1799" s="20" t="s">
        <v>2114</v>
      </c>
      <c r="AG1799" s="10"/>
      <c r="AH1799" s="22" t="str">
        <f t="shared" si="56"/>
        <v xml:space="preserve">Lima_Norte_01 Lima </v>
      </c>
      <c r="AI1799" s="10" t="s">
        <v>2211</v>
      </c>
      <c r="AJ1799" s="20" t="s">
        <v>2198</v>
      </c>
      <c r="AK1799" s="22" t="str">
        <f t="shared" si="57"/>
        <v>Lima_Norte_01 Lima _37 Santa Anita</v>
      </c>
      <c r="AL1799" s="25">
        <v>2</v>
      </c>
      <c r="AM1799" s="25">
        <v>0</v>
      </c>
      <c r="AN1799" s="26">
        <f>Tabla2[[#This Row],[Minutos]]/60</f>
        <v>0</v>
      </c>
      <c r="AO1799" s="27">
        <f>SUM(Tabla2[[#This Row],[Horas]],Tabla2[[#This Row],[Minutos a Horas]])</f>
        <v>2</v>
      </c>
      <c r="AP1799" s="49"/>
      <c r="AQ1799" s="49"/>
      <c r="AR1799" s="26">
        <f>Tabla2[[#This Row],[Minutos*]]/60</f>
        <v>0</v>
      </c>
      <c r="AS1799" s="27">
        <f>SUM(Tabla2[[#This Row],[Horas*]],Tabla2[[#This Row],[Minutos a Horas*]])+(Tabla2[[#This Row],[Tiempo Total a Nivel Proncincial (Horas)]])</f>
        <v>2</v>
      </c>
    </row>
    <row r="1800" spans="30:45" hidden="1" x14ac:dyDescent="0.25">
      <c r="AD1800" s="20" t="s">
        <v>2401</v>
      </c>
      <c r="AE1800" s="10" t="s">
        <v>396</v>
      </c>
      <c r="AF1800" s="20" t="s">
        <v>2114</v>
      </c>
      <c r="AG1800" s="10"/>
      <c r="AH1800" s="22" t="str">
        <f t="shared" si="56"/>
        <v xml:space="preserve">Lima_Norte_01 Lima </v>
      </c>
      <c r="AI1800" s="10" t="s">
        <v>2211</v>
      </c>
      <c r="AJ1800" s="20" t="s">
        <v>2199</v>
      </c>
      <c r="AK1800" s="22" t="str">
        <f t="shared" si="57"/>
        <v>Lima_Norte_01 Lima _38 Santa María del Mar</v>
      </c>
      <c r="AL1800" s="25">
        <v>2</v>
      </c>
      <c r="AM1800" s="25">
        <v>0</v>
      </c>
      <c r="AN1800" s="26">
        <f>Tabla2[[#This Row],[Minutos]]/60</f>
        <v>0</v>
      </c>
      <c r="AO1800" s="27">
        <f>SUM(Tabla2[[#This Row],[Horas]],Tabla2[[#This Row],[Minutos a Horas]])</f>
        <v>2</v>
      </c>
      <c r="AP1800" s="49"/>
      <c r="AQ1800" s="49"/>
      <c r="AR1800" s="26">
        <f>Tabla2[[#This Row],[Minutos*]]/60</f>
        <v>0</v>
      </c>
      <c r="AS1800" s="27">
        <f>SUM(Tabla2[[#This Row],[Horas*]],Tabla2[[#This Row],[Minutos a Horas*]])+(Tabla2[[#This Row],[Tiempo Total a Nivel Proncincial (Horas)]])</f>
        <v>2</v>
      </c>
    </row>
    <row r="1801" spans="30:45" hidden="1" x14ac:dyDescent="0.25">
      <c r="AD1801" s="20" t="s">
        <v>2401</v>
      </c>
      <c r="AE1801" s="10" t="s">
        <v>396</v>
      </c>
      <c r="AF1801" s="20" t="s">
        <v>2114</v>
      </c>
      <c r="AG1801" s="10"/>
      <c r="AH1801" s="22" t="str">
        <f t="shared" si="56"/>
        <v xml:space="preserve">Lima_Norte_01 Lima </v>
      </c>
      <c r="AI1801" s="10" t="s">
        <v>2211</v>
      </c>
      <c r="AJ1801" s="20" t="s">
        <v>2200</v>
      </c>
      <c r="AK1801" s="22" t="str">
        <f t="shared" si="57"/>
        <v>Lima_Norte_01 Lima _39 Santa Rosa</v>
      </c>
      <c r="AL1801" s="25">
        <v>2</v>
      </c>
      <c r="AM1801" s="25">
        <v>0</v>
      </c>
      <c r="AN1801" s="26">
        <f>Tabla2[[#This Row],[Minutos]]/60</f>
        <v>0</v>
      </c>
      <c r="AO1801" s="27">
        <f>SUM(Tabla2[[#This Row],[Horas]],Tabla2[[#This Row],[Minutos a Horas]])</f>
        <v>2</v>
      </c>
      <c r="AP1801" s="49"/>
      <c r="AQ1801" s="49"/>
      <c r="AR1801" s="26">
        <f>Tabla2[[#This Row],[Minutos*]]/60</f>
        <v>0</v>
      </c>
      <c r="AS1801" s="27">
        <f>SUM(Tabla2[[#This Row],[Horas*]],Tabla2[[#This Row],[Minutos a Horas*]])+(Tabla2[[#This Row],[Tiempo Total a Nivel Proncincial (Horas)]])</f>
        <v>2</v>
      </c>
    </row>
    <row r="1802" spans="30:45" hidden="1" x14ac:dyDescent="0.25">
      <c r="AD1802" s="20" t="s">
        <v>2401</v>
      </c>
      <c r="AE1802" s="10" t="s">
        <v>396</v>
      </c>
      <c r="AF1802" s="20" t="s">
        <v>2114</v>
      </c>
      <c r="AG1802" s="10"/>
      <c r="AH1802" s="22" t="str">
        <f t="shared" si="56"/>
        <v xml:space="preserve">Lima_Norte_01 Lima </v>
      </c>
      <c r="AI1802" s="10" t="s">
        <v>2211</v>
      </c>
      <c r="AJ1802" s="20" t="s">
        <v>2201</v>
      </c>
      <c r="AK1802" s="22" t="str">
        <f t="shared" si="57"/>
        <v>Lima_Norte_01 Lima _40 Santiago de Surco</v>
      </c>
      <c r="AL1802" s="25">
        <v>2</v>
      </c>
      <c r="AM1802" s="25">
        <v>0</v>
      </c>
      <c r="AN1802" s="26">
        <f>Tabla2[[#This Row],[Minutos]]/60</f>
        <v>0</v>
      </c>
      <c r="AO1802" s="27">
        <f>SUM(Tabla2[[#This Row],[Horas]],Tabla2[[#This Row],[Minutos a Horas]])</f>
        <v>2</v>
      </c>
      <c r="AP1802" s="49"/>
      <c r="AQ1802" s="49"/>
      <c r="AR1802" s="26">
        <f>Tabla2[[#This Row],[Minutos*]]/60</f>
        <v>0</v>
      </c>
      <c r="AS1802" s="27">
        <f>SUM(Tabla2[[#This Row],[Horas*]],Tabla2[[#This Row],[Minutos a Horas*]])+(Tabla2[[#This Row],[Tiempo Total a Nivel Proncincial (Horas)]])</f>
        <v>2</v>
      </c>
    </row>
    <row r="1803" spans="30:45" hidden="1" x14ac:dyDescent="0.25">
      <c r="AD1803" s="20" t="s">
        <v>2401</v>
      </c>
      <c r="AE1803" s="10" t="s">
        <v>396</v>
      </c>
      <c r="AF1803" s="20" t="s">
        <v>2114</v>
      </c>
      <c r="AG1803" s="10"/>
      <c r="AH1803" s="22" t="str">
        <f t="shared" si="56"/>
        <v xml:space="preserve">Lima_Norte_01 Lima </v>
      </c>
      <c r="AI1803" s="10" t="s">
        <v>2211</v>
      </c>
      <c r="AJ1803" s="20" t="s">
        <v>2202</v>
      </c>
      <c r="AK1803" s="22" t="str">
        <f t="shared" si="57"/>
        <v>Lima_Norte_01 Lima _41 Surquillo</v>
      </c>
      <c r="AL1803" s="25">
        <v>2</v>
      </c>
      <c r="AM1803" s="25">
        <v>0</v>
      </c>
      <c r="AN1803" s="26">
        <f>Tabla2[[#This Row],[Minutos]]/60</f>
        <v>0</v>
      </c>
      <c r="AO1803" s="27">
        <f>SUM(Tabla2[[#This Row],[Horas]],Tabla2[[#This Row],[Minutos a Horas]])</f>
        <v>2</v>
      </c>
      <c r="AP1803" s="49"/>
      <c r="AQ1803" s="49"/>
      <c r="AR1803" s="26">
        <f>Tabla2[[#This Row],[Minutos*]]/60</f>
        <v>0</v>
      </c>
      <c r="AS1803" s="27">
        <f>SUM(Tabla2[[#This Row],[Horas*]],Tabla2[[#This Row],[Minutos a Horas*]])+(Tabla2[[#This Row],[Tiempo Total a Nivel Proncincial (Horas)]])</f>
        <v>2</v>
      </c>
    </row>
    <row r="1804" spans="30:45" hidden="1" x14ac:dyDescent="0.25">
      <c r="AD1804" s="20" t="s">
        <v>2401</v>
      </c>
      <c r="AE1804" s="10" t="s">
        <v>396</v>
      </c>
      <c r="AF1804" s="20" t="s">
        <v>2114</v>
      </c>
      <c r="AG1804" s="10"/>
      <c r="AH1804" s="22" t="str">
        <f t="shared" si="56"/>
        <v xml:space="preserve">Lima_Norte_01 Lima </v>
      </c>
      <c r="AI1804" s="10" t="s">
        <v>2211</v>
      </c>
      <c r="AJ1804" s="20" t="s">
        <v>2203</v>
      </c>
      <c r="AK1804" s="22" t="str">
        <f t="shared" si="57"/>
        <v>Lima_Norte_01 Lima _42 Villa El Salvador</v>
      </c>
      <c r="AL1804" s="25">
        <v>2</v>
      </c>
      <c r="AM1804" s="25">
        <v>0</v>
      </c>
      <c r="AN1804" s="26">
        <f>Tabla2[[#This Row],[Minutos]]/60</f>
        <v>0</v>
      </c>
      <c r="AO1804" s="27">
        <f>SUM(Tabla2[[#This Row],[Horas]],Tabla2[[#This Row],[Minutos a Horas]])</f>
        <v>2</v>
      </c>
      <c r="AP1804" s="49"/>
      <c r="AQ1804" s="49"/>
      <c r="AR1804" s="26">
        <f>Tabla2[[#This Row],[Minutos*]]/60</f>
        <v>0</v>
      </c>
      <c r="AS1804" s="27">
        <f>SUM(Tabla2[[#This Row],[Horas*]],Tabla2[[#This Row],[Minutos a Horas*]])+(Tabla2[[#This Row],[Tiempo Total a Nivel Proncincial (Horas)]])</f>
        <v>2</v>
      </c>
    </row>
    <row r="1805" spans="30:45" hidden="1" x14ac:dyDescent="0.25">
      <c r="AD1805" s="20" t="s">
        <v>2401</v>
      </c>
      <c r="AE1805" s="10" t="s">
        <v>396</v>
      </c>
      <c r="AF1805" s="20" t="s">
        <v>2114</v>
      </c>
      <c r="AG1805" s="10"/>
      <c r="AH1805" s="22" t="str">
        <f t="shared" si="56"/>
        <v xml:space="preserve">Lima_Norte_01 Lima </v>
      </c>
      <c r="AI1805" s="10" t="s">
        <v>2211</v>
      </c>
      <c r="AJ1805" s="20" t="s">
        <v>2204</v>
      </c>
      <c r="AK1805" s="22" t="str">
        <f t="shared" si="57"/>
        <v>Lima_Norte_01 Lima _43 Villa María del Triunfo</v>
      </c>
      <c r="AL1805" s="25">
        <v>2</v>
      </c>
      <c r="AM1805" s="25">
        <v>0</v>
      </c>
      <c r="AN1805" s="26">
        <f>Tabla2[[#This Row],[Minutos]]/60</f>
        <v>0</v>
      </c>
      <c r="AO1805" s="27">
        <f>SUM(Tabla2[[#This Row],[Horas]],Tabla2[[#This Row],[Minutos a Horas]])</f>
        <v>2</v>
      </c>
      <c r="AP1805" s="49"/>
      <c r="AQ1805" s="49"/>
      <c r="AR1805" s="26">
        <f>Tabla2[[#This Row],[Minutos*]]/60</f>
        <v>0</v>
      </c>
      <c r="AS1805" s="27">
        <f>SUM(Tabla2[[#This Row],[Horas*]],Tabla2[[#This Row],[Minutos a Horas*]])+(Tabla2[[#This Row],[Tiempo Total a Nivel Proncincial (Horas)]])</f>
        <v>2</v>
      </c>
    </row>
    <row r="1806" spans="30:45" hidden="1" x14ac:dyDescent="0.25">
      <c r="AD1806" s="20" t="s">
        <v>2401</v>
      </c>
      <c r="AE1806" s="10" t="s">
        <v>396</v>
      </c>
      <c r="AF1806" s="20" t="s">
        <v>2212</v>
      </c>
      <c r="AG1806" s="10"/>
      <c r="AH1806" s="22" t="str">
        <f t="shared" si="56"/>
        <v xml:space="preserve">Lima_Norte_03 Cajatambo </v>
      </c>
      <c r="AI1806" s="10" t="s">
        <v>2300</v>
      </c>
      <c r="AJ1806" s="20" t="s">
        <v>2215</v>
      </c>
      <c r="AK1806" s="22" t="str">
        <f t="shared" si="57"/>
        <v>Lima_Norte_03 Cajatambo _01 Cajatambo</v>
      </c>
      <c r="AL1806" s="25">
        <v>3</v>
      </c>
      <c r="AM1806" s="25">
        <v>0</v>
      </c>
      <c r="AN1806" s="26">
        <f>Tabla2[[#This Row],[Minutos]]/60</f>
        <v>0</v>
      </c>
      <c r="AO1806" s="27">
        <f>SUM(Tabla2[[#This Row],[Horas]],Tabla2[[#This Row],[Minutos a Horas]])</f>
        <v>3</v>
      </c>
      <c r="AP1806" s="49"/>
      <c r="AQ1806" s="49"/>
      <c r="AR1806" s="26">
        <f>Tabla2[[#This Row],[Minutos*]]/60</f>
        <v>0</v>
      </c>
      <c r="AS1806" s="27">
        <f>SUM(Tabla2[[#This Row],[Horas*]],Tabla2[[#This Row],[Minutos a Horas*]])+(Tabla2[[#This Row],[Tiempo Total a Nivel Proncincial (Horas)]])</f>
        <v>3</v>
      </c>
    </row>
    <row r="1807" spans="30:45" hidden="1" x14ac:dyDescent="0.25">
      <c r="AD1807" s="20" t="s">
        <v>2401</v>
      </c>
      <c r="AE1807" s="10" t="s">
        <v>396</v>
      </c>
      <c r="AF1807" s="20" t="s">
        <v>2212</v>
      </c>
      <c r="AG1807" s="10"/>
      <c r="AH1807" s="22" t="str">
        <f t="shared" si="56"/>
        <v xml:space="preserve">Lima_Norte_03 Cajatambo </v>
      </c>
      <c r="AI1807" s="10" t="s">
        <v>2300</v>
      </c>
      <c r="AJ1807" s="20" t="s">
        <v>2216</v>
      </c>
      <c r="AK1807" s="22" t="str">
        <f t="shared" si="57"/>
        <v>Lima_Norte_03 Cajatambo _02 Copa</v>
      </c>
      <c r="AL1807" s="25">
        <v>3</v>
      </c>
      <c r="AM1807" s="25">
        <v>0</v>
      </c>
      <c r="AN1807" s="26">
        <f>Tabla2[[#This Row],[Minutos]]/60</f>
        <v>0</v>
      </c>
      <c r="AO1807" s="27">
        <f>SUM(Tabla2[[#This Row],[Horas]],Tabla2[[#This Row],[Minutos a Horas]])</f>
        <v>3</v>
      </c>
      <c r="AP1807" s="49">
        <v>5</v>
      </c>
      <c r="AQ1807" s="49">
        <v>21</v>
      </c>
      <c r="AR1807" s="26">
        <f>Tabla2[[#This Row],[Minutos*]]/60</f>
        <v>0.35</v>
      </c>
      <c r="AS1807" s="27">
        <f>SUM(Tabla2[[#This Row],[Horas*]],Tabla2[[#This Row],[Minutos a Horas*]])+(Tabla2[[#This Row],[Tiempo Total a Nivel Proncincial (Horas)]])</f>
        <v>8.35</v>
      </c>
    </row>
    <row r="1808" spans="30:45" hidden="1" x14ac:dyDescent="0.25">
      <c r="AD1808" s="20" t="s">
        <v>2401</v>
      </c>
      <c r="AE1808" s="10" t="s">
        <v>396</v>
      </c>
      <c r="AF1808" s="20" t="s">
        <v>2212</v>
      </c>
      <c r="AG1808" s="10"/>
      <c r="AH1808" s="22" t="str">
        <f t="shared" si="56"/>
        <v xml:space="preserve">Lima_Norte_03 Cajatambo </v>
      </c>
      <c r="AI1808" s="10" t="s">
        <v>2300</v>
      </c>
      <c r="AJ1808" s="20" t="s">
        <v>2217</v>
      </c>
      <c r="AK1808" s="22" t="str">
        <f t="shared" si="57"/>
        <v>Lima_Norte_03 Cajatambo _03 Gorgor</v>
      </c>
      <c r="AL1808" s="25">
        <v>3</v>
      </c>
      <c r="AM1808" s="25">
        <v>0</v>
      </c>
      <c r="AN1808" s="26">
        <f>Tabla2[[#This Row],[Minutos]]/60</f>
        <v>0</v>
      </c>
      <c r="AO1808" s="27">
        <f>SUM(Tabla2[[#This Row],[Horas]],Tabla2[[#This Row],[Minutos a Horas]])</f>
        <v>3</v>
      </c>
      <c r="AP1808" s="49">
        <v>5</v>
      </c>
      <c r="AQ1808" s="49">
        <v>6</v>
      </c>
      <c r="AR1808" s="26">
        <f>Tabla2[[#This Row],[Minutos*]]/60</f>
        <v>0.1</v>
      </c>
      <c r="AS1808" s="27">
        <f>SUM(Tabla2[[#This Row],[Horas*]],Tabla2[[#This Row],[Minutos a Horas*]])+(Tabla2[[#This Row],[Tiempo Total a Nivel Proncincial (Horas)]])</f>
        <v>8.1</v>
      </c>
    </row>
    <row r="1809" spans="30:45" hidden="1" x14ac:dyDescent="0.25">
      <c r="AD1809" s="20" t="s">
        <v>2401</v>
      </c>
      <c r="AE1809" s="10" t="s">
        <v>396</v>
      </c>
      <c r="AF1809" s="20" t="s">
        <v>2212</v>
      </c>
      <c r="AG1809" s="10"/>
      <c r="AH1809" s="22" t="str">
        <f t="shared" si="56"/>
        <v xml:space="preserve">Lima_Norte_03 Cajatambo </v>
      </c>
      <c r="AI1809" s="10" t="s">
        <v>2300</v>
      </c>
      <c r="AJ1809" s="20" t="s">
        <v>2218</v>
      </c>
      <c r="AK1809" s="22" t="str">
        <f t="shared" si="57"/>
        <v>Lima_Norte_03 Cajatambo _04 Huancapon</v>
      </c>
      <c r="AL1809" s="25">
        <v>3</v>
      </c>
      <c r="AM1809" s="25">
        <v>0</v>
      </c>
      <c r="AN1809" s="26">
        <f>Tabla2[[#This Row],[Minutos]]/60</f>
        <v>0</v>
      </c>
      <c r="AO1809" s="27">
        <f>SUM(Tabla2[[#This Row],[Horas]],Tabla2[[#This Row],[Minutos a Horas]])</f>
        <v>3</v>
      </c>
      <c r="AP1809" s="49">
        <v>5</v>
      </c>
      <c r="AQ1809" s="49">
        <v>21</v>
      </c>
      <c r="AR1809" s="26">
        <f>Tabla2[[#This Row],[Minutos*]]/60</f>
        <v>0.35</v>
      </c>
      <c r="AS1809" s="27">
        <f>SUM(Tabla2[[#This Row],[Horas*]],Tabla2[[#This Row],[Minutos a Horas*]])+(Tabla2[[#This Row],[Tiempo Total a Nivel Proncincial (Horas)]])</f>
        <v>8.35</v>
      </c>
    </row>
    <row r="1810" spans="30:45" hidden="1" x14ac:dyDescent="0.25">
      <c r="AD1810" s="20" t="s">
        <v>2401</v>
      </c>
      <c r="AE1810" s="10" t="s">
        <v>396</v>
      </c>
      <c r="AF1810" s="20" t="s">
        <v>2212</v>
      </c>
      <c r="AG1810" s="10"/>
      <c r="AH1810" s="22" t="str">
        <f t="shared" si="56"/>
        <v xml:space="preserve">Lima_Norte_03 Cajatambo </v>
      </c>
      <c r="AI1810" s="10" t="s">
        <v>2300</v>
      </c>
      <c r="AJ1810" s="20" t="s">
        <v>2219</v>
      </c>
      <c r="AK1810" s="22" t="str">
        <f t="shared" si="57"/>
        <v>Lima_Norte_03 Cajatambo _05 Manas</v>
      </c>
      <c r="AL1810" s="25">
        <v>3</v>
      </c>
      <c r="AM1810" s="25">
        <v>0</v>
      </c>
      <c r="AN1810" s="26">
        <f>Tabla2[[#This Row],[Minutos]]/60</f>
        <v>0</v>
      </c>
      <c r="AO1810" s="27">
        <f>SUM(Tabla2[[#This Row],[Horas]],Tabla2[[#This Row],[Minutos a Horas]])</f>
        <v>3</v>
      </c>
      <c r="AP1810" s="49">
        <v>4</v>
      </c>
      <c r="AQ1810" s="49">
        <v>49</v>
      </c>
      <c r="AR1810" s="26">
        <f>Tabla2[[#This Row],[Minutos*]]/60</f>
        <v>0.81666666666666665</v>
      </c>
      <c r="AS1810" s="27">
        <f>SUM(Tabla2[[#This Row],[Horas*]],Tabla2[[#This Row],[Minutos a Horas*]])+(Tabla2[[#This Row],[Tiempo Total a Nivel Proncincial (Horas)]])</f>
        <v>7.8166666666666664</v>
      </c>
    </row>
    <row r="1811" spans="30:45" ht="15.75" hidden="1" x14ac:dyDescent="0.25">
      <c r="AD1811" s="20" t="s">
        <v>2401</v>
      </c>
      <c r="AE1811" s="10" t="s">
        <v>396</v>
      </c>
      <c r="AF1811" s="43" t="s">
        <v>2419</v>
      </c>
      <c r="AG1811" s="10"/>
      <c r="AH1811" s="22" t="str">
        <f>CONCATENATE(AD1811,"_",AF1811)</f>
        <v>Lima_Norte_04 Ancash</v>
      </c>
      <c r="AI1811" s="10" t="s">
        <v>2420</v>
      </c>
      <c r="AJ1811" s="20" t="s">
        <v>2421</v>
      </c>
      <c r="AK1811" s="22" t="str">
        <f>CONCATENATE(AH1811,"_",AJ1811)</f>
        <v>Lima_Norte_04 Ancash_01 Santa</v>
      </c>
      <c r="AL1811" s="25">
        <v>4</v>
      </c>
      <c r="AM1811" s="25">
        <v>0</v>
      </c>
      <c r="AN1811" s="26">
        <f>Tabla2[[#This Row],[Minutos]]/60</f>
        <v>0</v>
      </c>
      <c r="AO1811" s="27">
        <f>SUM(Tabla2[[#This Row],[Horas]],Tabla2[[#This Row],[Minutos a Horas]])</f>
        <v>4</v>
      </c>
      <c r="AP1811" s="49">
        <v>5</v>
      </c>
      <c r="AQ1811" s="49">
        <v>30</v>
      </c>
      <c r="AR1811" s="26">
        <f>Tabla2[[#This Row],[Minutos*]]/60</f>
        <v>0.5</v>
      </c>
      <c r="AS1811" s="27">
        <f>SUM(Tabla2[[#This Row],[Horas*]],Tabla2[[#This Row],[Minutos a Horas*]])+(Tabla2[[#This Row],[Tiempo Total a Nivel Proncincial (Horas)]])</f>
        <v>9.5</v>
      </c>
    </row>
    <row r="1812" spans="30:45" ht="15.75" hidden="1" x14ac:dyDescent="0.25">
      <c r="AD1812" s="20" t="s">
        <v>2401</v>
      </c>
      <c r="AE1812" s="10" t="s">
        <v>396</v>
      </c>
      <c r="AF1812" s="43" t="s">
        <v>2422</v>
      </c>
      <c r="AG1812" s="10"/>
      <c r="AH1812" s="22" t="str">
        <f>CONCATENATE(AD1812,"_",AF1812)</f>
        <v>Lima_Norte_05 Chiclayo</v>
      </c>
      <c r="AI1812" s="10" t="s">
        <v>2426</v>
      </c>
      <c r="AJ1812" s="20" t="s">
        <v>1534</v>
      </c>
      <c r="AK1812" s="22" t="str">
        <f>CONCATENATE(AH1812,"_",AJ1812)</f>
        <v>Lima_Norte_05 Chiclayo_01 Chiclayo</v>
      </c>
      <c r="AL1812" s="25">
        <v>4</v>
      </c>
      <c r="AM1812" s="25">
        <v>0</v>
      </c>
      <c r="AN1812" s="26">
        <f>Tabla2[[#This Row],[Minutos]]/60</f>
        <v>0</v>
      </c>
      <c r="AO1812" s="27">
        <f>SUM(Tabla2[[#This Row],[Horas]],Tabla2[[#This Row],[Minutos a Horas]])</f>
        <v>4</v>
      </c>
      <c r="AP1812" s="49">
        <v>5</v>
      </c>
      <c r="AQ1812" s="49">
        <v>30</v>
      </c>
      <c r="AR1812" s="26">
        <f>Tabla2[[#This Row],[Minutos*]]/60</f>
        <v>0.5</v>
      </c>
      <c r="AS1812" s="27">
        <f>SUM(Tabla2[[#This Row],[Horas*]],Tabla2[[#This Row],[Minutos a Horas*]])+(Tabla2[[#This Row],[Tiempo Total a Nivel Proncincial (Horas)]])</f>
        <v>9.5</v>
      </c>
    </row>
    <row r="1813" spans="30:45" ht="15.75" hidden="1" x14ac:dyDescent="0.25">
      <c r="AD1813" s="20" t="s">
        <v>2401</v>
      </c>
      <c r="AE1813" s="10" t="s">
        <v>396</v>
      </c>
      <c r="AF1813" s="43" t="s">
        <v>2427</v>
      </c>
      <c r="AG1813" s="10"/>
      <c r="AH1813" s="22" t="str">
        <f>CONCATENATE(AD1813,"_",AF1813)</f>
        <v>Lima_Norte_06 Santa</v>
      </c>
      <c r="AI1813" s="10" t="s">
        <v>2428</v>
      </c>
      <c r="AJ1813" s="20" t="s">
        <v>320</v>
      </c>
      <c r="AK1813" s="22" t="str">
        <f>CONCATENATE(AH1813,"_",AJ1813)</f>
        <v>Lima_Norte_06 Santa_01 Chimbote</v>
      </c>
      <c r="AL1813" s="25">
        <v>4</v>
      </c>
      <c r="AM1813" s="25">
        <v>0</v>
      </c>
      <c r="AN1813" s="26">
        <f>Tabla2[[#This Row],[Minutos]]/60</f>
        <v>0</v>
      </c>
      <c r="AO1813" s="27">
        <f>SUM(Tabla2[[#This Row],[Horas]],Tabla2[[#This Row],[Minutos a Horas]])</f>
        <v>4</v>
      </c>
      <c r="AP1813" s="49">
        <v>5</v>
      </c>
      <c r="AQ1813" s="49">
        <v>30</v>
      </c>
      <c r="AR1813" s="26">
        <f>Tabla2[[#This Row],[Minutos*]]/60</f>
        <v>0.5</v>
      </c>
      <c r="AS1813" s="27">
        <f>SUM(Tabla2[[#This Row],[Horas*]],Tabla2[[#This Row],[Minutos a Horas*]])+(Tabla2[[#This Row],[Tiempo Total a Nivel Proncincial (Horas)]])</f>
        <v>9.5</v>
      </c>
    </row>
    <row r="1814" spans="30:45" hidden="1" x14ac:dyDescent="0.25">
      <c r="AD1814" s="20" t="s">
        <v>2402</v>
      </c>
      <c r="AE1814" s="10" t="s">
        <v>397</v>
      </c>
      <c r="AF1814" s="20" t="s">
        <v>2423</v>
      </c>
      <c r="AG1814" s="10" t="s">
        <v>2423</v>
      </c>
      <c r="AH1814" s="22" t="str">
        <f t="shared" si="56"/>
        <v xml:space="preserve">Lima_Sur_01 Cañete </v>
      </c>
      <c r="AI1814" s="10" t="s">
        <v>2301</v>
      </c>
      <c r="AJ1814" s="20" t="s">
        <v>2220</v>
      </c>
      <c r="AK1814" s="22" t="str">
        <f t="shared" si="57"/>
        <v>Lima_Sur_01 Cañete _01 San Vicente de Cañete</v>
      </c>
      <c r="AL1814" s="25">
        <v>1</v>
      </c>
      <c r="AM1814" s="25">
        <v>19</v>
      </c>
      <c r="AN1814" s="26">
        <f>Tabla2[[#This Row],[Minutos]]/60</f>
        <v>0.31666666666666665</v>
      </c>
      <c r="AO1814" s="27">
        <f>SUM(Tabla2[[#This Row],[Horas]],Tabla2[[#This Row],[Minutos a Horas]])</f>
        <v>1.3166666666666667</v>
      </c>
      <c r="AP1814" s="49">
        <v>2</v>
      </c>
      <c r="AQ1814" s="49">
        <v>18</v>
      </c>
      <c r="AR1814" s="26">
        <f>Tabla2[[#This Row],[Minutos*]]/60</f>
        <v>0.3</v>
      </c>
      <c r="AS1814" s="27">
        <f>SUM(Tabla2[[#This Row],[Horas*]],Tabla2[[#This Row],[Minutos a Horas*]])+(Tabla2[[#This Row],[Tiempo Total a Nivel Proncincial (Horas)]])</f>
        <v>3.6166666666666663</v>
      </c>
    </row>
    <row r="1815" spans="30:45" hidden="1" x14ac:dyDescent="0.25">
      <c r="AD1815" s="20" t="s">
        <v>2402</v>
      </c>
      <c r="AE1815" s="10" t="s">
        <v>397</v>
      </c>
      <c r="AF1815" s="20" t="s">
        <v>2423</v>
      </c>
      <c r="AG1815" s="10" t="s">
        <v>2213</v>
      </c>
      <c r="AH1815" s="22" t="str">
        <f t="shared" si="56"/>
        <v xml:space="preserve">Lima_Sur_01 Cañete </v>
      </c>
      <c r="AI1815" s="10" t="s">
        <v>2301</v>
      </c>
      <c r="AJ1815" s="20" t="s">
        <v>2221</v>
      </c>
      <c r="AK1815" s="22" t="str">
        <f t="shared" si="57"/>
        <v>Lima_Sur_01 Cañete _02 Asia</v>
      </c>
      <c r="AL1815" s="25">
        <v>1</v>
      </c>
      <c r="AM1815" s="25">
        <v>19</v>
      </c>
      <c r="AN1815" s="26">
        <f>Tabla2[[#This Row],[Minutos]]/60</f>
        <v>0.31666666666666665</v>
      </c>
      <c r="AO1815" s="27">
        <f>SUM(Tabla2[[#This Row],[Horas]],Tabla2[[#This Row],[Minutos a Horas]])</f>
        <v>1.3166666666666667</v>
      </c>
      <c r="AP1815" s="49">
        <v>2</v>
      </c>
      <c r="AQ1815" s="49">
        <v>14</v>
      </c>
      <c r="AR1815" s="26">
        <f>Tabla2[[#This Row],[Minutos*]]/60</f>
        <v>0.23333333333333334</v>
      </c>
      <c r="AS1815" s="27">
        <f>SUM(Tabla2[[#This Row],[Horas*]],Tabla2[[#This Row],[Minutos a Horas*]])+(Tabla2[[#This Row],[Tiempo Total a Nivel Proncincial (Horas)]])</f>
        <v>3.55</v>
      </c>
    </row>
    <row r="1816" spans="30:45" hidden="1" x14ac:dyDescent="0.25">
      <c r="AD1816" s="20" t="s">
        <v>2402</v>
      </c>
      <c r="AE1816" s="10" t="s">
        <v>397</v>
      </c>
      <c r="AF1816" s="20" t="s">
        <v>2423</v>
      </c>
      <c r="AG1816" s="10" t="s">
        <v>2214</v>
      </c>
      <c r="AH1816" s="22" t="str">
        <f t="shared" si="56"/>
        <v xml:space="preserve">Lima_Sur_01 Cañete </v>
      </c>
      <c r="AI1816" s="10" t="s">
        <v>2301</v>
      </c>
      <c r="AJ1816" s="20" t="s">
        <v>2222</v>
      </c>
      <c r="AK1816" s="22" t="str">
        <f t="shared" si="57"/>
        <v>Lima_Sur_01 Cañete _03 Calango</v>
      </c>
      <c r="AL1816" s="25">
        <v>1</v>
      </c>
      <c r="AM1816" s="25">
        <v>19</v>
      </c>
      <c r="AN1816" s="26">
        <f>Tabla2[[#This Row],[Minutos]]/60</f>
        <v>0.31666666666666665</v>
      </c>
      <c r="AO1816" s="27">
        <f>SUM(Tabla2[[#This Row],[Horas]],Tabla2[[#This Row],[Minutos a Horas]])</f>
        <v>1.3166666666666667</v>
      </c>
      <c r="AP1816" s="49">
        <v>1</v>
      </c>
      <c r="AQ1816" s="49">
        <v>36</v>
      </c>
      <c r="AR1816" s="26">
        <f>Tabla2[[#This Row],[Minutos*]]/60</f>
        <v>0.6</v>
      </c>
      <c r="AS1816" s="27">
        <f>SUM(Tabla2[[#This Row],[Horas*]],Tabla2[[#This Row],[Minutos a Horas*]])+(Tabla2[[#This Row],[Tiempo Total a Nivel Proncincial (Horas)]])</f>
        <v>2.916666666666667</v>
      </c>
    </row>
    <row r="1817" spans="30:45" hidden="1" x14ac:dyDescent="0.25">
      <c r="AD1817" s="20" t="s">
        <v>2402</v>
      </c>
      <c r="AE1817" s="10" t="s">
        <v>397</v>
      </c>
      <c r="AF1817" s="20" t="s">
        <v>2423</v>
      </c>
      <c r="AG1817" s="10" t="s">
        <v>2114</v>
      </c>
      <c r="AH1817" s="22" t="str">
        <f t="shared" si="56"/>
        <v xml:space="preserve">Lima_Sur_01 Cañete </v>
      </c>
      <c r="AI1817" s="10" t="s">
        <v>2301</v>
      </c>
      <c r="AJ1817" s="20" t="s">
        <v>2223</v>
      </c>
      <c r="AK1817" s="22" t="str">
        <f t="shared" si="57"/>
        <v>Lima_Sur_01 Cañete _04 Cerro Azul</v>
      </c>
      <c r="AL1817" s="25">
        <v>1</v>
      </c>
      <c r="AM1817" s="25">
        <v>19</v>
      </c>
      <c r="AN1817" s="26">
        <f>Tabla2[[#This Row],[Minutos]]/60</f>
        <v>0.31666666666666665</v>
      </c>
      <c r="AO1817" s="27">
        <f>SUM(Tabla2[[#This Row],[Horas]],Tabla2[[#This Row],[Minutos a Horas]])</f>
        <v>1.3166666666666667</v>
      </c>
      <c r="AP1817" s="49">
        <v>1</v>
      </c>
      <c r="AQ1817" s="49">
        <v>40</v>
      </c>
      <c r="AR1817" s="26">
        <f>Tabla2[[#This Row],[Minutos*]]/60</f>
        <v>0.66666666666666663</v>
      </c>
      <c r="AS1817" s="27">
        <f>SUM(Tabla2[[#This Row],[Horas*]],Tabla2[[#This Row],[Minutos a Horas*]])+(Tabla2[[#This Row],[Tiempo Total a Nivel Proncincial (Horas)]])</f>
        <v>2.9833333333333334</v>
      </c>
    </row>
    <row r="1818" spans="30:45" hidden="1" x14ac:dyDescent="0.25">
      <c r="AD1818" s="20" t="s">
        <v>2402</v>
      </c>
      <c r="AE1818" s="10" t="s">
        <v>397</v>
      </c>
      <c r="AF1818" s="20" t="s">
        <v>2423</v>
      </c>
      <c r="AG1818" s="10"/>
      <c r="AH1818" s="22" t="str">
        <f t="shared" si="56"/>
        <v xml:space="preserve">Lima_Sur_01 Cañete </v>
      </c>
      <c r="AI1818" s="10" t="s">
        <v>2301</v>
      </c>
      <c r="AJ1818" s="20" t="s">
        <v>2224</v>
      </c>
      <c r="AK1818" s="22" t="str">
        <f t="shared" si="57"/>
        <v>Lima_Sur_01 Cañete _05 Chilca</v>
      </c>
      <c r="AL1818" s="25">
        <v>1</v>
      </c>
      <c r="AM1818" s="25">
        <v>19</v>
      </c>
      <c r="AN1818" s="26">
        <f>Tabla2[[#This Row],[Minutos]]/60</f>
        <v>0.31666666666666665</v>
      </c>
      <c r="AO1818" s="27">
        <f>SUM(Tabla2[[#This Row],[Horas]],Tabla2[[#This Row],[Minutos a Horas]])</f>
        <v>1.3166666666666667</v>
      </c>
      <c r="AP1818" s="49">
        <v>1</v>
      </c>
      <c r="AQ1818" s="49">
        <v>5</v>
      </c>
      <c r="AR1818" s="26">
        <f>Tabla2[[#This Row],[Minutos*]]/60</f>
        <v>8.3333333333333329E-2</v>
      </c>
      <c r="AS1818" s="27">
        <f>SUM(Tabla2[[#This Row],[Horas*]],Tabla2[[#This Row],[Minutos a Horas*]])+(Tabla2[[#This Row],[Tiempo Total a Nivel Proncincial (Horas)]])</f>
        <v>2.4</v>
      </c>
    </row>
    <row r="1819" spans="30:45" hidden="1" x14ac:dyDescent="0.25">
      <c r="AD1819" s="20" t="s">
        <v>2402</v>
      </c>
      <c r="AE1819" s="10" t="s">
        <v>397</v>
      </c>
      <c r="AF1819" s="20" t="s">
        <v>2423</v>
      </c>
      <c r="AG1819" s="10"/>
      <c r="AH1819" s="22" t="str">
        <f t="shared" si="56"/>
        <v xml:space="preserve">Lima_Sur_01 Cañete </v>
      </c>
      <c r="AI1819" s="10" t="s">
        <v>2301</v>
      </c>
      <c r="AJ1819" s="20" t="s">
        <v>2225</v>
      </c>
      <c r="AK1819" s="22" t="str">
        <f t="shared" si="57"/>
        <v>Lima_Sur_01 Cañete _06 Coayllo</v>
      </c>
      <c r="AL1819" s="25">
        <v>1</v>
      </c>
      <c r="AM1819" s="25">
        <v>19</v>
      </c>
      <c r="AN1819" s="26">
        <f>Tabla2[[#This Row],[Minutos]]/60</f>
        <v>0.31666666666666665</v>
      </c>
      <c r="AO1819" s="27">
        <f>SUM(Tabla2[[#This Row],[Horas]],Tabla2[[#This Row],[Minutos a Horas]])</f>
        <v>1.3166666666666667</v>
      </c>
      <c r="AP1819" s="49">
        <v>1</v>
      </c>
      <c r="AQ1819" s="49">
        <v>41</v>
      </c>
      <c r="AR1819" s="26">
        <f>Tabla2[[#This Row],[Minutos*]]/60</f>
        <v>0.68333333333333335</v>
      </c>
      <c r="AS1819" s="27">
        <f>SUM(Tabla2[[#This Row],[Horas*]],Tabla2[[#This Row],[Minutos a Horas*]])+(Tabla2[[#This Row],[Tiempo Total a Nivel Proncincial (Horas)]])</f>
        <v>3</v>
      </c>
    </row>
    <row r="1820" spans="30:45" hidden="1" x14ac:dyDescent="0.25">
      <c r="AD1820" s="20" t="s">
        <v>2402</v>
      </c>
      <c r="AE1820" s="10" t="s">
        <v>397</v>
      </c>
      <c r="AF1820" s="20" t="s">
        <v>2423</v>
      </c>
      <c r="AG1820" s="10"/>
      <c r="AH1820" s="22" t="str">
        <f t="shared" si="56"/>
        <v xml:space="preserve">Lima_Sur_01 Cañete </v>
      </c>
      <c r="AI1820" s="10" t="s">
        <v>2301</v>
      </c>
      <c r="AJ1820" s="20" t="s">
        <v>2226</v>
      </c>
      <c r="AK1820" s="22" t="str">
        <f t="shared" si="57"/>
        <v>Lima_Sur_01 Cañete _07 Imperial</v>
      </c>
      <c r="AL1820" s="25">
        <v>1</v>
      </c>
      <c r="AM1820" s="25">
        <v>19</v>
      </c>
      <c r="AN1820" s="26">
        <f>Tabla2[[#This Row],[Minutos]]/60</f>
        <v>0.31666666666666665</v>
      </c>
      <c r="AO1820" s="27">
        <f>SUM(Tabla2[[#This Row],[Horas]],Tabla2[[#This Row],[Minutos a Horas]])</f>
        <v>1.3166666666666667</v>
      </c>
      <c r="AP1820" s="49">
        <v>1</v>
      </c>
      <c r="AQ1820" s="49">
        <v>53</v>
      </c>
      <c r="AR1820" s="26">
        <f>Tabla2[[#This Row],[Minutos*]]/60</f>
        <v>0.8833333333333333</v>
      </c>
      <c r="AS1820" s="27">
        <f>SUM(Tabla2[[#This Row],[Horas*]],Tabla2[[#This Row],[Minutos a Horas*]])+(Tabla2[[#This Row],[Tiempo Total a Nivel Proncincial (Horas)]])</f>
        <v>3.2</v>
      </c>
    </row>
    <row r="1821" spans="30:45" hidden="1" x14ac:dyDescent="0.25">
      <c r="AD1821" s="20" t="s">
        <v>2402</v>
      </c>
      <c r="AE1821" s="10" t="s">
        <v>397</v>
      </c>
      <c r="AF1821" s="20" t="s">
        <v>2423</v>
      </c>
      <c r="AG1821" s="10"/>
      <c r="AH1821" s="22" t="str">
        <f t="shared" ref="AH1821:AH1884" si="58">CONCATENATE(AD1821,"_",AF1821)</f>
        <v xml:space="preserve">Lima_Sur_01 Cañete </v>
      </c>
      <c r="AI1821" s="10" t="s">
        <v>2301</v>
      </c>
      <c r="AJ1821" s="20" t="s">
        <v>2227</v>
      </c>
      <c r="AK1821" s="22" t="str">
        <f t="shared" ref="AK1821:AK1884" si="59">CONCATENATE(AH1821,"_",AJ1821)</f>
        <v>Lima_Sur_01 Cañete _08 Lunahuana</v>
      </c>
      <c r="AL1821" s="25">
        <v>1</v>
      </c>
      <c r="AM1821" s="25">
        <v>19</v>
      </c>
      <c r="AN1821" s="26">
        <f>Tabla2[[#This Row],[Minutos]]/60</f>
        <v>0.31666666666666665</v>
      </c>
      <c r="AO1821" s="27">
        <f>SUM(Tabla2[[#This Row],[Horas]],Tabla2[[#This Row],[Minutos a Horas]])</f>
        <v>1.3166666666666667</v>
      </c>
      <c r="AP1821" s="49">
        <v>2</v>
      </c>
      <c r="AQ1821" s="49">
        <v>52</v>
      </c>
      <c r="AR1821" s="26">
        <f>Tabla2[[#This Row],[Minutos*]]/60</f>
        <v>0.8666666666666667</v>
      </c>
      <c r="AS1821" s="27">
        <f>SUM(Tabla2[[#This Row],[Horas*]],Tabla2[[#This Row],[Minutos a Horas*]])+(Tabla2[[#This Row],[Tiempo Total a Nivel Proncincial (Horas)]])</f>
        <v>4.1833333333333336</v>
      </c>
    </row>
    <row r="1822" spans="30:45" hidden="1" x14ac:dyDescent="0.25">
      <c r="AD1822" s="20" t="s">
        <v>2402</v>
      </c>
      <c r="AE1822" s="10" t="s">
        <v>397</v>
      </c>
      <c r="AF1822" s="20" t="s">
        <v>2423</v>
      </c>
      <c r="AG1822" s="10"/>
      <c r="AH1822" s="22" t="str">
        <f t="shared" si="58"/>
        <v xml:space="preserve">Lima_Sur_01 Cañete </v>
      </c>
      <c r="AI1822" s="10" t="s">
        <v>2301</v>
      </c>
      <c r="AJ1822" s="20" t="s">
        <v>2228</v>
      </c>
      <c r="AK1822" s="22" t="str">
        <f t="shared" si="59"/>
        <v>Lima_Sur_01 Cañete _09 Mala</v>
      </c>
      <c r="AL1822" s="25">
        <v>1</v>
      </c>
      <c r="AM1822" s="25">
        <v>19</v>
      </c>
      <c r="AN1822" s="26">
        <f>Tabla2[[#This Row],[Minutos]]/60</f>
        <v>0.31666666666666665</v>
      </c>
      <c r="AO1822" s="27">
        <f>SUM(Tabla2[[#This Row],[Horas]],Tabla2[[#This Row],[Minutos a Horas]])</f>
        <v>1.3166666666666667</v>
      </c>
      <c r="AP1822" s="49">
        <v>1</v>
      </c>
      <c r="AQ1822" s="49">
        <v>18</v>
      </c>
      <c r="AR1822" s="26">
        <f>Tabla2[[#This Row],[Minutos*]]/60</f>
        <v>0.3</v>
      </c>
      <c r="AS1822" s="27">
        <f>SUM(Tabla2[[#This Row],[Horas*]],Tabla2[[#This Row],[Minutos a Horas*]])+(Tabla2[[#This Row],[Tiempo Total a Nivel Proncincial (Horas)]])</f>
        <v>2.6166666666666667</v>
      </c>
    </row>
    <row r="1823" spans="30:45" hidden="1" x14ac:dyDescent="0.25">
      <c r="AD1823" s="20" t="s">
        <v>2402</v>
      </c>
      <c r="AE1823" s="10" t="s">
        <v>397</v>
      </c>
      <c r="AF1823" s="20" t="s">
        <v>2423</v>
      </c>
      <c r="AG1823" s="10"/>
      <c r="AH1823" s="22" t="str">
        <f t="shared" si="58"/>
        <v xml:space="preserve">Lima_Sur_01 Cañete </v>
      </c>
      <c r="AI1823" s="10" t="s">
        <v>2301</v>
      </c>
      <c r="AJ1823" s="20" t="s">
        <v>2229</v>
      </c>
      <c r="AK1823" s="22" t="str">
        <f t="shared" si="59"/>
        <v>Lima_Sur_01 Cañete _10 Nuevo Imperial</v>
      </c>
      <c r="AL1823" s="25">
        <v>1</v>
      </c>
      <c r="AM1823" s="25">
        <v>19</v>
      </c>
      <c r="AN1823" s="26">
        <f>Tabla2[[#This Row],[Minutos]]/60</f>
        <v>0.31666666666666665</v>
      </c>
      <c r="AO1823" s="27">
        <f>SUM(Tabla2[[#This Row],[Horas]],Tabla2[[#This Row],[Minutos a Horas]])</f>
        <v>1.3166666666666667</v>
      </c>
      <c r="AP1823" s="49">
        <v>2</v>
      </c>
      <c r="AQ1823" s="49">
        <v>24</v>
      </c>
      <c r="AR1823" s="26">
        <f>Tabla2[[#This Row],[Minutos*]]/60</f>
        <v>0.4</v>
      </c>
      <c r="AS1823" s="27">
        <f>SUM(Tabla2[[#This Row],[Horas*]],Tabla2[[#This Row],[Minutos a Horas*]])+(Tabla2[[#This Row],[Tiempo Total a Nivel Proncincial (Horas)]])</f>
        <v>3.7166666666666668</v>
      </c>
    </row>
    <row r="1824" spans="30:45" hidden="1" x14ac:dyDescent="0.25">
      <c r="AD1824" s="20" t="s">
        <v>2402</v>
      </c>
      <c r="AE1824" s="10" t="s">
        <v>397</v>
      </c>
      <c r="AF1824" s="20" t="s">
        <v>2423</v>
      </c>
      <c r="AG1824" s="10"/>
      <c r="AH1824" s="22" t="str">
        <f t="shared" si="58"/>
        <v xml:space="preserve">Lima_Sur_01 Cañete </v>
      </c>
      <c r="AI1824" s="10" t="s">
        <v>2301</v>
      </c>
      <c r="AJ1824" s="20" t="s">
        <v>2230</v>
      </c>
      <c r="AK1824" s="22" t="str">
        <f t="shared" si="59"/>
        <v>Lima_Sur_01 Cañete _11 Pacaran</v>
      </c>
      <c r="AL1824" s="25">
        <v>1</v>
      </c>
      <c r="AM1824" s="25">
        <v>19</v>
      </c>
      <c r="AN1824" s="26">
        <f>Tabla2[[#This Row],[Minutos]]/60</f>
        <v>0.31666666666666665</v>
      </c>
      <c r="AO1824" s="27">
        <f>SUM(Tabla2[[#This Row],[Horas]],Tabla2[[#This Row],[Minutos a Horas]])</f>
        <v>1.3166666666666667</v>
      </c>
      <c r="AP1824" s="49">
        <v>3</v>
      </c>
      <c r="AQ1824" s="49">
        <v>10</v>
      </c>
      <c r="AR1824" s="26">
        <f>Tabla2[[#This Row],[Minutos*]]/60</f>
        <v>0.16666666666666666</v>
      </c>
      <c r="AS1824" s="27">
        <f>SUM(Tabla2[[#This Row],[Horas*]],Tabla2[[#This Row],[Minutos a Horas*]])+(Tabla2[[#This Row],[Tiempo Total a Nivel Proncincial (Horas)]])</f>
        <v>4.4833333333333334</v>
      </c>
    </row>
    <row r="1825" spans="30:45" hidden="1" x14ac:dyDescent="0.25">
      <c r="AD1825" s="20" t="s">
        <v>2402</v>
      </c>
      <c r="AE1825" s="10" t="s">
        <v>397</v>
      </c>
      <c r="AF1825" s="20" t="s">
        <v>2423</v>
      </c>
      <c r="AG1825" s="10"/>
      <c r="AH1825" s="22" t="str">
        <f t="shared" si="58"/>
        <v xml:space="preserve">Lima_Sur_01 Cañete </v>
      </c>
      <c r="AI1825" s="10" t="s">
        <v>2301</v>
      </c>
      <c r="AJ1825" s="20" t="s">
        <v>2231</v>
      </c>
      <c r="AK1825" s="22" t="str">
        <f t="shared" si="59"/>
        <v>Lima_Sur_01 Cañete _12 Quilmana</v>
      </c>
      <c r="AL1825" s="25">
        <v>1</v>
      </c>
      <c r="AM1825" s="25">
        <v>19</v>
      </c>
      <c r="AN1825" s="26">
        <f>Tabla2[[#This Row],[Minutos]]/60</f>
        <v>0.31666666666666665</v>
      </c>
      <c r="AO1825" s="27">
        <f>SUM(Tabla2[[#This Row],[Horas]],Tabla2[[#This Row],[Minutos a Horas]])</f>
        <v>1.3166666666666667</v>
      </c>
      <c r="AP1825" s="49">
        <v>1</v>
      </c>
      <c r="AQ1825" s="49">
        <v>48</v>
      </c>
      <c r="AR1825" s="26">
        <f>Tabla2[[#This Row],[Minutos*]]/60</f>
        <v>0.8</v>
      </c>
      <c r="AS1825" s="27">
        <f>SUM(Tabla2[[#This Row],[Horas*]],Tabla2[[#This Row],[Minutos a Horas*]])+(Tabla2[[#This Row],[Tiempo Total a Nivel Proncincial (Horas)]])</f>
        <v>3.1166666666666667</v>
      </c>
    </row>
    <row r="1826" spans="30:45" hidden="1" x14ac:dyDescent="0.25">
      <c r="AD1826" s="20" t="s">
        <v>2402</v>
      </c>
      <c r="AE1826" s="10" t="s">
        <v>397</v>
      </c>
      <c r="AF1826" s="20" t="s">
        <v>2423</v>
      </c>
      <c r="AG1826" s="10"/>
      <c r="AH1826" s="22" t="str">
        <f t="shared" si="58"/>
        <v xml:space="preserve">Lima_Sur_01 Cañete </v>
      </c>
      <c r="AI1826" s="10" t="s">
        <v>2301</v>
      </c>
      <c r="AJ1826" s="20" t="s">
        <v>1827</v>
      </c>
      <c r="AK1826" s="22" t="str">
        <f t="shared" si="59"/>
        <v>Lima_Sur_01 Cañete _13 San Antonio</v>
      </c>
      <c r="AL1826" s="25">
        <v>1</v>
      </c>
      <c r="AM1826" s="25">
        <v>19</v>
      </c>
      <c r="AN1826" s="26">
        <f>Tabla2[[#This Row],[Minutos]]/60</f>
        <v>0.31666666666666665</v>
      </c>
      <c r="AO1826" s="27">
        <f>SUM(Tabla2[[#This Row],[Horas]],Tabla2[[#This Row],[Minutos a Horas]])</f>
        <v>1.3166666666666667</v>
      </c>
      <c r="AP1826" s="49">
        <v>1</v>
      </c>
      <c r="AQ1826" s="49">
        <v>2</v>
      </c>
      <c r="AR1826" s="26">
        <f>Tabla2[[#This Row],[Minutos*]]/60</f>
        <v>3.3333333333333333E-2</v>
      </c>
      <c r="AS1826" s="27">
        <f>SUM(Tabla2[[#This Row],[Horas*]],Tabla2[[#This Row],[Minutos a Horas*]])+(Tabla2[[#This Row],[Tiempo Total a Nivel Proncincial (Horas)]])</f>
        <v>2.35</v>
      </c>
    </row>
    <row r="1827" spans="30:45" hidden="1" x14ac:dyDescent="0.25">
      <c r="AD1827" s="20" t="s">
        <v>2402</v>
      </c>
      <c r="AE1827" s="10" t="s">
        <v>397</v>
      </c>
      <c r="AF1827" s="20" t="s">
        <v>2423</v>
      </c>
      <c r="AG1827" s="10"/>
      <c r="AH1827" s="22" t="str">
        <f t="shared" si="58"/>
        <v xml:space="preserve">Lima_Sur_01 Cañete </v>
      </c>
      <c r="AI1827" s="10" t="s">
        <v>2301</v>
      </c>
      <c r="AJ1827" s="20" t="s">
        <v>2232</v>
      </c>
      <c r="AK1827" s="22" t="str">
        <f t="shared" si="59"/>
        <v>Lima_Sur_01 Cañete _14 San Luis</v>
      </c>
      <c r="AL1827" s="25">
        <v>1</v>
      </c>
      <c r="AM1827" s="25">
        <v>19</v>
      </c>
      <c r="AN1827" s="26">
        <f>Tabla2[[#This Row],[Minutos]]/60</f>
        <v>0.31666666666666665</v>
      </c>
      <c r="AO1827" s="27">
        <f>SUM(Tabla2[[#This Row],[Horas]],Tabla2[[#This Row],[Minutos a Horas]])</f>
        <v>1.3166666666666667</v>
      </c>
      <c r="AP1827" s="49">
        <v>1</v>
      </c>
      <c r="AQ1827" s="49">
        <v>46</v>
      </c>
      <c r="AR1827" s="26">
        <f>Tabla2[[#This Row],[Minutos*]]/60</f>
        <v>0.76666666666666672</v>
      </c>
      <c r="AS1827" s="27">
        <f>SUM(Tabla2[[#This Row],[Horas*]],Tabla2[[#This Row],[Minutos a Horas*]])+(Tabla2[[#This Row],[Tiempo Total a Nivel Proncincial (Horas)]])</f>
        <v>3.083333333333333</v>
      </c>
    </row>
    <row r="1828" spans="30:45" hidden="1" x14ac:dyDescent="0.25">
      <c r="AD1828" s="20" t="s">
        <v>2402</v>
      </c>
      <c r="AE1828" s="10" t="s">
        <v>397</v>
      </c>
      <c r="AF1828" s="20" t="s">
        <v>2423</v>
      </c>
      <c r="AG1828" s="10"/>
      <c r="AH1828" s="22" t="str">
        <f t="shared" si="58"/>
        <v xml:space="preserve">Lima_Sur_01 Cañete </v>
      </c>
      <c r="AI1828" s="10" t="s">
        <v>2301</v>
      </c>
      <c r="AJ1828" s="20" t="s">
        <v>2233</v>
      </c>
      <c r="AK1828" s="22" t="str">
        <f t="shared" si="59"/>
        <v>Lima_Sur_01 Cañete _15 Santa Cruz de Flores</v>
      </c>
      <c r="AL1828" s="25">
        <v>1</v>
      </c>
      <c r="AM1828" s="25">
        <v>19</v>
      </c>
      <c r="AN1828" s="26">
        <f>Tabla2[[#This Row],[Minutos]]/60</f>
        <v>0.31666666666666665</v>
      </c>
      <c r="AO1828" s="27">
        <f>SUM(Tabla2[[#This Row],[Horas]],Tabla2[[#This Row],[Minutos a Horas]])</f>
        <v>1.3166666666666667</v>
      </c>
      <c r="AP1828" s="49">
        <v>1</v>
      </c>
      <c r="AQ1828" s="49">
        <v>16</v>
      </c>
      <c r="AR1828" s="26">
        <f>Tabla2[[#This Row],[Minutos*]]/60</f>
        <v>0.26666666666666666</v>
      </c>
      <c r="AS1828" s="27">
        <f>SUM(Tabla2[[#This Row],[Horas*]],Tabla2[[#This Row],[Minutos a Horas*]])+(Tabla2[[#This Row],[Tiempo Total a Nivel Proncincial (Horas)]])</f>
        <v>2.583333333333333</v>
      </c>
    </row>
    <row r="1829" spans="30:45" hidden="1" x14ac:dyDescent="0.25">
      <c r="AD1829" s="20" t="s">
        <v>2402</v>
      </c>
      <c r="AE1829" s="10" t="s">
        <v>397</v>
      </c>
      <c r="AF1829" s="20" t="s">
        <v>2423</v>
      </c>
      <c r="AG1829" s="10"/>
      <c r="AH1829" s="22" t="str">
        <f t="shared" si="58"/>
        <v xml:space="preserve">Lima_Sur_01 Cañete </v>
      </c>
      <c r="AI1829" s="10" t="s">
        <v>2301</v>
      </c>
      <c r="AJ1829" s="20" t="s">
        <v>2234</v>
      </c>
      <c r="AK1829" s="22" t="str">
        <f t="shared" si="59"/>
        <v>Lima_Sur_01 Cañete _16 Zúñiga</v>
      </c>
      <c r="AL1829" s="25">
        <v>1</v>
      </c>
      <c r="AM1829" s="25">
        <v>19</v>
      </c>
      <c r="AN1829" s="26">
        <f>Tabla2[[#This Row],[Minutos]]/60</f>
        <v>0.31666666666666665</v>
      </c>
      <c r="AO1829" s="27">
        <f>SUM(Tabla2[[#This Row],[Horas]],Tabla2[[#This Row],[Minutos a Horas]])</f>
        <v>1.3166666666666667</v>
      </c>
      <c r="AP1829" s="49">
        <v>3</v>
      </c>
      <c r="AQ1829" s="49">
        <v>14</v>
      </c>
      <c r="AR1829" s="26">
        <f>Tabla2[[#This Row],[Minutos*]]/60</f>
        <v>0.23333333333333334</v>
      </c>
      <c r="AS1829" s="27">
        <f>SUM(Tabla2[[#This Row],[Horas*]],Tabla2[[#This Row],[Minutos a Horas*]])+(Tabla2[[#This Row],[Tiempo Total a Nivel Proncincial (Horas)]])</f>
        <v>4.55</v>
      </c>
    </row>
    <row r="1830" spans="30:45" hidden="1" x14ac:dyDescent="0.25">
      <c r="AD1830" s="20" t="s">
        <v>2402</v>
      </c>
      <c r="AE1830" s="10" t="s">
        <v>397</v>
      </c>
      <c r="AF1830" s="20" t="s">
        <v>2424</v>
      </c>
      <c r="AG1830" s="10"/>
      <c r="AH1830" s="22" t="str">
        <f t="shared" si="58"/>
        <v xml:space="preserve">Lima_Sur_02 Huarochirí </v>
      </c>
      <c r="AI1830" s="10" t="s">
        <v>2302</v>
      </c>
      <c r="AJ1830" s="20" t="s">
        <v>2235</v>
      </c>
      <c r="AK1830" s="22" t="str">
        <f t="shared" si="59"/>
        <v>Lima_Sur_02 Huarochirí _01 Matucana</v>
      </c>
      <c r="AL1830" s="25">
        <v>3</v>
      </c>
      <c r="AM1830" s="25">
        <v>12</v>
      </c>
      <c r="AN1830" s="26">
        <f>Tabla2[[#This Row],[Minutos]]/60</f>
        <v>0.2</v>
      </c>
      <c r="AO1830" s="27">
        <f>SUM(Tabla2[[#This Row],[Horas]],Tabla2[[#This Row],[Minutos a Horas]])</f>
        <v>3.2</v>
      </c>
      <c r="AP1830" s="49">
        <v>2</v>
      </c>
      <c r="AQ1830" s="49">
        <v>38</v>
      </c>
      <c r="AR1830" s="26">
        <f>Tabla2[[#This Row],[Minutos*]]/60</f>
        <v>0.6333333333333333</v>
      </c>
      <c r="AS1830" s="27">
        <f>SUM(Tabla2[[#This Row],[Horas*]],Tabla2[[#This Row],[Minutos a Horas*]])+(Tabla2[[#This Row],[Tiempo Total a Nivel Proncincial (Horas)]])</f>
        <v>5.8333333333333339</v>
      </c>
    </row>
    <row r="1831" spans="30:45" hidden="1" x14ac:dyDescent="0.25">
      <c r="AD1831" s="20" t="s">
        <v>2402</v>
      </c>
      <c r="AE1831" s="10" t="s">
        <v>397</v>
      </c>
      <c r="AF1831" s="20" t="s">
        <v>2424</v>
      </c>
      <c r="AG1831" s="10"/>
      <c r="AH1831" s="22" t="str">
        <f t="shared" si="58"/>
        <v xml:space="preserve">Lima_Sur_02 Huarochirí </v>
      </c>
      <c r="AI1831" s="10" t="s">
        <v>2302</v>
      </c>
      <c r="AJ1831" s="20" t="s">
        <v>2236</v>
      </c>
      <c r="AK1831" s="22" t="str">
        <f t="shared" si="59"/>
        <v>Lima_Sur_02 Huarochirí _02 Antioquia</v>
      </c>
      <c r="AL1831" s="25">
        <v>3</v>
      </c>
      <c r="AM1831" s="25">
        <v>12</v>
      </c>
      <c r="AN1831" s="26">
        <f>Tabla2[[#This Row],[Minutos]]/60</f>
        <v>0.2</v>
      </c>
      <c r="AO1831" s="27">
        <f>SUM(Tabla2[[#This Row],[Horas]],Tabla2[[#This Row],[Minutos a Horas]])</f>
        <v>3.2</v>
      </c>
      <c r="AP1831" s="49">
        <v>2</v>
      </c>
      <c r="AQ1831" s="49">
        <v>46</v>
      </c>
      <c r="AR1831" s="26">
        <f>Tabla2[[#This Row],[Minutos*]]/60</f>
        <v>0.76666666666666672</v>
      </c>
      <c r="AS1831" s="27">
        <f>SUM(Tabla2[[#This Row],[Horas*]],Tabla2[[#This Row],[Minutos a Horas*]])+(Tabla2[[#This Row],[Tiempo Total a Nivel Proncincial (Horas)]])</f>
        <v>5.9666666666666668</v>
      </c>
    </row>
    <row r="1832" spans="30:45" hidden="1" x14ac:dyDescent="0.25">
      <c r="AD1832" s="20" t="s">
        <v>2402</v>
      </c>
      <c r="AE1832" s="10" t="s">
        <v>397</v>
      </c>
      <c r="AF1832" s="20" t="s">
        <v>2424</v>
      </c>
      <c r="AG1832" s="10"/>
      <c r="AH1832" s="22" t="str">
        <f t="shared" si="58"/>
        <v xml:space="preserve">Lima_Sur_02 Huarochirí </v>
      </c>
      <c r="AI1832" s="10" t="s">
        <v>2302</v>
      </c>
      <c r="AJ1832" s="20" t="s">
        <v>2237</v>
      </c>
      <c r="AK1832" s="22" t="str">
        <f t="shared" si="59"/>
        <v>Lima_Sur_02 Huarochirí _03 Callahuanca</v>
      </c>
      <c r="AL1832" s="25">
        <v>3</v>
      </c>
      <c r="AM1832" s="25">
        <v>12</v>
      </c>
      <c r="AN1832" s="26">
        <f>Tabla2[[#This Row],[Minutos]]/60</f>
        <v>0.2</v>
      </c>
      <c r="AO1832" s="27">
        <f>SUM(Tabla2[[#This Row],[Horas]],Tabla2[[#This Row],[Minutos a Horas]])</f>
        <v>3.2</v>
      </c>
      <c r="AP1832" s="49">
        <v>2</v>
      </c>
      <c r="AQ1832" s="49">
        <v>21</v>
      </c>
      <c r="AR1832" s="26">
        <f>Tabla2[[#This Row],[Minutos*]]/60</f>
        <v>0.35</v>
      </c>
      <c r="AS1832" s="27">
        <f>SUM(Tabla2[[#This Row],[Horas*]],Tabla2[[#This Row],[Minutos a Horas*]])+(Tabla2[[#This Row],[Tiempo Total a Nivel Proncincial (Horas)]])</f>
        <v>5.5500000000000007</v>
      </c>
    </row>
    <row r="1833" spans="30:45" hidden="1" x14ac:dyDescent="0.25">
      <c r="AD1833" s="20" t="s">
        <v>2402</v>
      </c>
      <c r="AE1833" s="10" t="s">
        <v>397</v>
      </c>
      <c r="AF1833" s="20" t="s">
        <v>2424</v>
      </c>
      <c r="AG1833" s="10"/>
      <c r="AH1833" s="22" t="str">
        <f t="shared" si="58"/>
        <v xml:space="preserve">Lima_Sur_02 Huarochirí </v>
      </c>
      <c r="AI1833" s="10" t="s">
        <v>2302</v>
      </c>
      <c r="AJ1833" s="20" t="s">
        <v>2238</v>
      </c>
      <c r="AK1833" s="22" t="str">
        <f t="shared" si="59"/>
        <v>Lima_Sur_02 Huarochirí _04 Carampoma</v>
      </c>
      <c r="AL1833" s="25">
        <v>3</v>
      </c>
      <c r="AM1833" s="25">
        <v>12</v>
      </c>
      <c r="AN1833" s="26">
        <f>Tabla2[[#This Row],[Minutos]]/60</f>
        <v>0.2</v>
      </c>
      <c r="AO1833" s="27">
        <f>SUM(Tabla2[[#This Row],[Horas]],Tabla2[[#This Row],[Minutos a Horas]])</f>
        <v>3.2</v>
      </c>
      <c r="AP1833" s="49">
        <v>4</v>
      </c>
      <c r="AQ1833" s="49">
        <v>15</v>
      </c>
      <c r="AR1833" s="26">
        <f>Tabla2[[#This Row],[Minutos*]]/60</f>
        <v>0.25</v>
      </c>
      <c r="AS1833" s="27">
        <f>SUM(Tabla2[[#This Row],[Horas*]],Tabla2[[#This Row],[Minutos a Horas*]])+(Tabla2[[#This Row],[Tiempo Total a Nivel Proncincial (Horas)]])</f>
        <v>7.45</v>
      </c>
    </row>
    <row r="1834" spans="30:45" hidden="1" x14ac:dyDescent="0.25">
      <c r="AD1834" s="20" t="s">
        <v>2402</v>
      </c>
      <c r="AE1834" s="10" t="s">
        <v>397</v>
      </c>
      <c r="AF1834" s="20" t="s">
        <v>2424</v>
      </c>
      <c r="AG1834" s="10"/>
      <c r="AH1834" s="22" t="str">
        <f t="shared" si="58"/>
        <v xml:space="preserve">Lima_Sur_02 Huarochirí </v>
      </c>
      <c r="AI1834" s="10" t="s">
        <v>2302</v>
      </c>
      <c r="AJ1834" s="20" t="s">
        <v>2239</v>
      </c>
      <c r="AK1834" s="22" t="str">
        <f t="shared" si="59"/>
        <v>Lima_Sur_02 Huarochirí _05 Chicla</v>
      </c>
      <c r="AL1834" s="25">
        <v>3</v>
      </c>
      <c r="AM1834" s="25">
        <v>12</v>
      </c>
      <c r="AN1834" s="26">
        <f>Tabla2[[#This Row],[Minutos]]/60</f>
        <v>0.2</v>
      </c>
      <c r="AO1834" s="27">
        <f>SUM(Tabla2[[#This Row],[Horas]],Tabla2[[#This Row],[Minutos a Horas]])</f>
        <v>3.2</v>
      </c>
      <c r="AP1834" s="49">
        <v>3</v>
      </c>
      <c r="AQ1834" s="49">
        <v>28</v>
      </c>
      <c r="AR1834" s="26">
        <f>Tabla2[[#This Row],[Minutos*]]/60</f>
        <v>0.46666666666666667</v>
      </c>
      <c r="AS1834" s="27">
        <f>SUM(Tabla2[[#This Row],[Horas*]],Tabla2[[#This Row],[Minutos a Horas*]])+(Tabla2[[#This Row],[Tiempo Total a Nivel Proncincial (Horas)]])</f>
        <v>6.666666666666667</v>
      </c>
    </row>
    <row r="1835" spans="30:45" hidden="1" x14ac:dyDescent="0.25">
      <c r="AD1835" s="20" t="s">
        <v>2402</v>
      </c>
      <c r="AE1835" s="10" t="s">
        <v>397</v>
      </c>
      <c r="AF1835" s="20" t="s">
        <v>2424</v>
      </c>
      <c r="AG1835" s="10"/>
      <c r="AH1835" s="22" t="str">
        <f t="shared" si="58"/>
        <v xml:space="preserve">Lima_Sur_02 Huarochirí </v>
      </c>
      <c r="AI1835" s="10" t="s">
        <v>2302</v>
      </c>
      <c r="AJ1835" s="20" t="s">
        <v>2240</v>
      </c>
      <c r="AK1835" s="22" t="str">
        <f t="shared" si="59"/>
        <v>Lima_Sur_02 Huarochirí _06 Cuenca</v>
      </c>
      <c r="AL1835" s="25">
        <v>3</v>
      </c>
      <c r="AM1835" s="25">
        <v>12</v>
      </c>
      <c r="AN1835" s="26">
        <f>Tabla2[[#This Row],[Minutos]]/60</f>
        <v>0.2</v>
      </c>
      <c r="AO1835" s="27">
        <f>SUM(Tabla2[[#This Row],[Horas]],Tabla2[[#This Row],[Minutos a Horas]])</f>
        <v>3.2</v>
      </c>
      <c r="AP1835" s="49">
        <v>3</v>
      </c>
      <c r="AQ1835" s="49">
        <v>25</v>
      </c>
      <c r="AR1835" s="26">
        <f>Tabla2[[#This Row],[Minutos*]]/60</f>
        <v>0.41666666666666669</v>
      </c>
      <c r="AS1835" s="27">
        <f>SUM(Tabla2[[#This Row],[Horas*]],Tabla2[[#This Row],[Minutos a Horas*]])+(Tabla2[[#This Row],[Tiempo Total a Nivel Proncincial (Horas)]])</f>
        <v>6.6166666666666671</v>
      </c>
    </row>
    <row r="1836" spans="30:45" hidden="1" x14ac:dyDescent="0.25">
      <c r="AD1836" s="20" t="s">
        <v>2402</v>
      </c>
      <c r="AE1836" s="10" t="s">
        <v>397</v>
      </c>
      <c r="AF1836" s="20" t="s">
        <v>2424</v>
      </c>
      <c r="AG1836" s="10"/>
      <c r="AH1836" s="22" t="str">
        <f t="shared" si="58"/>
        <v xml:space="preserve">Lima_Sur_02 Huarochirí </v>
      </c>
      <c r="AI1836" s="10" t="s">
        <v>2302</v>
      </c>
      <c r="AJ1836" s="20" t="s">
        <v>2241</v>
      </c>
      <c r="AK1836" s="22" t="str">
        <f t="shared" si="59"/>
        <v>Lima_Sur_02 Huarochirí _07 Huachupampa</v>
      </c>
      <c r="AL1836" s="25">
        <v>3</v>
      </c>
      <c r="AM1836" s="25">
        <v>12</v>
      </c>
      <c r="AN1836" s="26">
        <f>Tabla2[[#This Row],[Minutos]]/60</f>
        <v>0.2</v>
      </c>
      <c r="AO1836" s="27">
        <f>SUM(Tabla2[[#This Row],[Horas]],Tabla2[[#This Row],[Minutos a Horas]])</f>
        <v>3.2</v>
      </c>
      <c r="AP1836" s="49">
        <v>3</v>
      </c>
      <c r="AQ1836" s="49">
        <v>29</v>
      </c>
      <c r="AR1836" s="26">
        <f>Tabla2[[#This Row],[Minutos*]]/60</f>
        <v>0.48333333333333334</v>
      </c>
      <c r="AS1836" s="27">
        <f>SUM(Tabla2[[#This Row],[Horas*]],Tabla2[[#This Row],[Minutos a Horas*]])+(Tabla2[[#This Row],[Tiempo Total a Nivel Proncincial (Horas)]])</f>
        <v>6.6833333333333336</v>
      </c>
    </row>
    <row r="1837" spans="30:45" hidden="1" x14ac:dyDescent="0.25">
      <c r="AD1837" s="20" t="s">
        <v>2402</v>
      </c>
      <c r="AE1837" s="10" t="s">
        <v>397</v>
      </c>
      <c r="AF1837" s="20" t="s">
        <v>2424</v>
      </c>
      <c r="AG1837" s="10"/>
      <c r="AH1837" s="22" t="str">
        <f t="shared" si="58"/>
        <v xml:space="preserve">Lima_Sur_02 Huarochirí </v>
      </c>
      <c r="AI1837" s="10" t="s">
        <v>2302</v>
      </c>
      <c r="AJ1837" s="20" t="s">
        <v>2242</v>
      </c>
      <c r="AK1837" s="22" t="str">
        <f t="shared" si="59"/>
        <v>Lima_Sur_02 Huarochirí _08 Huanza</v>
      </c>
      <c r="AL1837" s="25">
        <v>3</v>
      </c>
      <c r="AM1837" s="25">
        <v>12</v>
      </c>
      <c r="AN1837" s="26">
        <f>Tabla2[[#This Row],[Minutos]]/60</f>
        <v>0.2</v>
      </c>
      <c r="AO1837" s="27">
        <f>SUM(Tabla2[[#This Row],[Horas]],Tabla2[[#This Row],[Minutos a Horas]])</f>
        <v>3.2</v>
      </c>
      <c r="AP1837" s="49">
        <v>4</v>
      </c>
      <c r="AQ1837" s="49">
        <v>9</v>
      </c>
      <c r="AR1837" s="26">
        <f>Tabla2[[#This Row],[Minutos*]]/60</f>
        <v>0.15</v>
      </c>
      <c r="AS1837" s="27">
        <f>SUM(Tabla2[[#This Row],[Horas*]],Tabla2[[#This Row],[Minutos a Horas*]])+(Tabla2[[#This Row],[Tiempo Total a Nivel Proncincial (Horas)]])</f>
        <v>7.3500000000000005</v>
      </c>
    </row>
    <row r="1838" spans="30:45" hidden="1" x14ac:dyDescent="0.25">
      <c r="AD1838" s="20" t="s">
        <v>2402</v>
      </c>
      <c r="AE1838" s="10" t="s">
        <v>397</v>
      </c>
      <c r="AF1838" s="20" t="s">
        <v>2424</v>
      </c>
      <c r="AG1838" s="10"/>
      <c r="AH1838" s="22" t="str">
        <f t="shared" si="58"/>
        <v xml:space="preserve">Lima_Sur_02 Huarochirí </v>
      </c>
      <c r="AI1838" s="10" t="s">
        <v>2302</v>
      </c>
      <c r="AJ1838" s="20" t="s">
        <v>2243</v>
      </c>
      <c r="AK1838" s="22" t="str">
        <f t="shared" si="59"/>
        <v>Lima_Sur_02 Huarochirí _09 Huarochiri</v>
      </c>
      <c r="AL1838" s="25">
        <v>3</v>
      </c>
      <c r="AM1838" s="25">
        <v>12</v>
      </c>
      <c r="AN1838" s="26">
        <f>Tabla2[[#This Row],[Minutos]]/60</f>
        <v>0.2</v>
      </c>
      <c r="AO1838" s="27">
        <f>SUM(Tabla2[[#This Row],[Horas]],Tabla2[[#This Row],[Minutos a Horas]])</f>
        <v>3.2</v>
      </c>
      <c r="AP1838" s="49">
        <v>3</v>
      </c>
      <c r="AQ1838" s="49">
        <v>15</v>
      </c>
      <c r="AR1838" s="26">
        <f>Tabla2[[#This Row],[Minutos*]]/60</f>
        <v>0.25</v>
      </c>
      <c r="AS1838" s="27">
        <f>SUM(Tabla2[[#This Row],[Horas*]],Tabla2[[#This Row],[Minutos a Horas*]])+(Tabla2[[#This Row],[Tiempo Total a Nivel Proncincial (Horas)]])</f>
        <v>6.45</v>
      </c>
    </row>
    <row r="1839" spans="30:45" hidden="1" x14ac:dyDescent="0.25">
      <c r="AD1839" s="20" t="s">
        <v>2402</v>
      </c>
      <c r="AE1839" s="10" t="s">
        <v>397</v>
      </c>
      <c r="AF1839" s="20" t="s">
        <v>2424</v>
      </c>
      <c r="AG1839" s="10"/>
      <c r="AH1839" s="22" t="str">
        <f t="shared" si="58"/>
        <v xml:space="preserve">Lima_Sur_02 Huarochirí </v>
      </c>
      <c r="AI1839" s="10" t="s">
        <v>2302</v>
      </c>
      <c r="AJ1839" s="20" t="s">
        <v>2244</v>
      </c>
      <c r="AK1839" s="22" t="str">
        <f t="shared" si="59"/>
        <v>Lima_Sur_02 Huarochirí _10 Lahuaytambo</v>
      </c>
      <c r="AL1839" s="25">
        <v>3</v>
      </c>
      <c r="AM1839" s="25">
        <v>12</v>
      </c>
      <c r="AN1839" s="26">
        <f>Tabla2[[#This Row],[Minutos]]/60</f>
        <v>0.2</v>
      </c>
      <c r="AO1839" s="27">
        <f>SUM(Tabla2[[#This Row],[Horas]],Tabla2[[#This Row],[Minutos a Horas]])</f>
        <v>3.2</v>
      </c>
      <c r="AP1839" s="49">
        <v>3</v>
      </c>
      <c r="AQ1839" s="49">
        <v>57</v>
      </c>
      <c r="AR1839" s="26">
        <f>Tabla2[[#This Row],[Minutos*]]/60</f>
        <v>0.95</v>
      </c>
      <c r="AS1839" s="27">
        <f>SUM(Tabla2[[#This Row],[Horas*]],Tabla2[[#This Row],[Minutos a Horas*]])+(Tabla2[[#This Row],[Tiempo Total a Nivel Proncincial (Horas)]])</f>
        <v>7.15</v>
      </c>
    </row>
    <row r="1840" spans="30:45" hidden="1" x14ac:dyDescent="0.25">
      <c r="AD1840" s="20" t="s">
        <v>2402</v>
      </c>
      <c r="AE1840" s="10" t="s">
        <v>397</v>
      </c>
      <c r="AF1840" s="20" t="s">
        <v>2424</v>
      </c>
      <c r="AG1840" s="10"/>
      <c r="AH1840" s="22" t="str">
        <f t="shared" si="58"/>
        <v xml:space="preserve">Lima_Sur_02 Huarochirí </v>
      </c>
      <c r="AI1840" s="10" t="s">
        <v>2302</v>
      </c>
      <c r="AJ1840" s="20" t="s">
        <v>2245</v>
      </c>
      <c r="AK1840" s="22" t="str">
        <f t="shared" si="59"/>
        <v>Lima_Sur_02 Huarochirí _11 Langa</v>
      </c>
      <c r="AL1840" s="25">
        <v>3</v>
      </c>
      <c r="AM1840" s="25">
        <v>12</v>
      </c>
      <c r="AN1840" s="26">
        <f>Tabla2[[#This Row],[Minutos]]/60</f>
        <v>0.2</v>
      </c>
      <c r="AO1840" s="27">
        <f>SUM(Tabla2[[#This Row],[Horas]],Tabla2[[#This Row],[Minutos a Horas]])</f>
        <v>3.2</v>
      </c>
      <c r="AP1840" s="49">
        <v>3</v>
      </c>
      <c r="AQ1840" s="49">
        <v>28</v>
      </c>
      <c r="AR1840" s="26">
        <f>Tabla2[[#This Row],[Minutos*]]/60</f>
        <v>0.46666666666666667</v>
      </c>
      <c r="AS1840" s="27">
        <f>SUM(Tabla2[[#This Row],[Horas*]],Tabla2[[#This Row],[Minutos a Horas*]])+(Tabla2[[#This Row],[Tiempo Total a Nivel Proncincial (Horas)]])</f>
        <v>6.666666666666667</v>
      </c>
    </row>
    <row r="1841" spans="30:45" hidden="1" x14ac:dyDescent="0.25">
      <c r="AD1841" s="20" t="s">
        <v>2402</v>
      </c>
      <c r="AE1841" s="10" t="s">
        <v>397</v>
      </c>
      <c r="AF1841" s="20" t="s">
        <v>2424</v>
      </c>
      <c r="AG1841" s="10"/>
      <c r="AH1841" s="22" t="str">
        <f t="shared" si="58"/>
        <v xml:space="preserve">Lima_Sur_02 Huarochirí </v>
      </c>
      <c r="AI1841" s="10" t="s">
        <v>2302</v>
      </c>
      <c r="AJ1841" s="20" t="s">
        <v>2246</v>
      </c>
      <c r="AK1841" s="22" t="str">
        <f t="shared" si="59"/>
        <v>Lima_Sur_02 Huarochirí _12 Laraos</v>
      </c>
      <c r="AL1841" s="25">
        <v>3</v>
      </c>
      <c r="AM1841" s="25">
        <v>12</v>
      </c>
      <c r="AN1841" s="26">
        <f>Tabla2[[#This Row],[Minutos]]/60</f>
        <v>0.2</v>
      </c>
      <c r="AO1841" s="27">
        <f>SUM(Tabla2[[#This Row],[Horas]],Tabla2[[#This Row],[Minutos a Horas]])</f>
        <v>3.2</v>
      </c>
      <c r="AP1841" s="49">
        <v>5</v>
      </c>
      <c r="AQ1841" s="49">
        <v>32</v>
      </c>
      <c r="AR1841" s="26">
        <f>Tabla2[[#This Row],[Minutos*]]/60</f>
        <v>0.53333333333333333</v>
      </c>
      <c r="AS1841" s="27">
        <f>SUM(Tabla2[[#This Row],[Horas*]],Tabla2[[#This Row],[Minutos a Horas*]])+(Tabla2[[#This Row],[Tiempo Total a Nivel Proncincial (Horas)]])</f>
        <v>8.7333333333333343</v>
      </c>
    </row>
    <row r="1842" spans="30:45" hidden="1" x14ac:dyDescent="0.25">
      <c r="AD1842" s="20" t="s">
        <v>2402</v>
      </c>
      <c r="AE1842" s="10" t="s">
        <v>397</v>
      </c>
      <c r="AF1842" s="20" t="s">
        <v>2424</v>
      </c>
      <c r="AG1842" s="10"/>
      <c r="AH1842" s="22" t="str">
        <f t="shared" si="58"/>
        <v xml:space="preserve">Lima_Sur_02 Huarochirí </v>
      </c>
      <c r="AI1842" s="10" t="s">
        <v>2302</v>
      </c>
      <c r="AJ1842" s="20" t="s">
        <v>2247</v>
      </c>
      <c r="AK1842" s="22" t="str">
        <f t="shared" si="59"/>
        <v>Lima_Sur_02 Huarochirí _13 Mariatana</v>
      </c>
      <c r="AL1842" s="25">
        <v>3</v>
      </c>
      <c r="AM1842" s="25">
        <v>12</v>
      </c>
      <c r="AN1842" s="26">
        <f>Tabla2[[#This Row],[Minutos]]/60</f>
        <v>0.2</v>
      </c>
      <c r="AO1842" s="27">
        <f>SUM(Tabla2[[#This Row],[Horas]],Tabla2[[#This Row],[Minutos a Horas]])</f>
        <v>3.2</v>
      </c>
      <c r="AP1842" s="49">
        <v>3</v>
      </c>
      <c r="AQ1842" s="49">
        <v>17</v>
      </c>
      <c r="AR1842" s="26">
        <f>Tabla2[[#This Row],[Minutos*]]/60</f>
        <v>0.28333333333333333</v>
      </c>
      <c r="AS1842" s="27">
        <f>SUM(Tabla2[[#This Row],[Horas*]],Tabla2[[#This Row],[Minutos a Horas*]])+(Tabla2[[#This Row],[Tiempo Total a Nivel Proncincial (Horas)]])</f>
        <v>6.4833333333333334</v>
      </c>
    </row>
    <row r="1843" spans="30:45" hidden="1" x14ac:dyDescent="0.25">
      <c r="AD1843" s="20" t="s">
        <v>2402</v>
      </c>
      <c r="AE1843" s="10" t="s">
        <v>397</v>
      </c>
      <c r="AF1843" s="20" t="s">
        <v>2424</v>
      </c>
      <c r="AG1843" s="10"/>
      <c r="AH1843" s="22" t="str">
        <f t="shared" si="58"/>
        <v xml:space="preserve">Lima_Sur_02 Huarochirí </v>
      </c>
      <c r="AI1843" s="10" t="s">
        <v>2302</v>
      </c>
      <c r="AJ1843" s="20" t="s">
        <v>2248</v>
      </c>
      <c r="AK1843" s="22" t="str">
        <f t="shared" si="59"/>
        <v>Lima_Sur_02 Huarochirí _14 Ricardo Palma</v>
      </c>
      <c r="AL1843" s="25">
        <v>3</v>
      </c>
      <c r="AM1843" s="25">
        <v>12</v>
      </c>
      <c r="AN1843" s="26">
        <f>Tabla2[[#This Row],[Minutos]]/60</f>
        <v>0.2</v>
      </c>
      <c r="AO1843" s="27">
        <f>SUM(Tabla2[[#This Row],[Horas]],Tabla2[[#This Row],[Minutos a Horas]])</f>
        <v>3.2</v>
      </c>
      <c r="AP1843" s="49">
        <v>1</v>
      </c>
      <c r="AQ1843" s="49">
        <v>43</v>
      </c>
      <c r="AR1843" s="26">
        <f>Tabla2[[#This Row],[Minutos*]]/60</f>
        <v>0.71666666666666667</v>
      </c>
      <c r="AS1843" s="27">
        <f>SUM(Tabla2[[#This Row],[Horas*]],Tabla2[[#This Row],[Minutos a Horas*]])+(Tabla2[[#This Row],[Tiempo Total a Nivel Proncincial (Horas)]])</f>
        <v>4.916666666666667</v>
      </c>
    </row>
    <row r="1844" spans="30:45" hidden="1" x14ac:dyDescent="0.25">
      <c r="AD1844" s="20" t="s">
        <v>2402</v>
      </c>
      <c r="AE1844" s="10" t="s">
        <v>397</v>
      </c>
      <c r="AF1844" s="20" t="s">
        <v>2424</v>
      </c>
      <c r="AG1844" s="10"/>
      <c r="AH1844" s="22" t="str">
        <f t="shared" si="58"/>
        <v xml:space="preserve">Lima_Sur_02 Huarochirí </v>
      </c>
      <c r="AI1844" s="10" t="s">
        <v>2302</v>
      </c>
      <c r="AJ1844" s="20" t="s">
        <v>2249</v>
      </c>
      <c r="AK1844" s="22" t="str">
        <f t="shared" si="59"/>
        <v>Lima_Sur_02 Huarochirí _15 San Andrés de Tupicocha</v>
      </c>
      <c r="AL1844" s="25">
        <v>3</v>
      </c>
      <c r="AM1844" s="25">
        <v>12</v>
      </c>
      <c r="AN1844" s="26">
        <f>Tabla2[[#This Row],[Minutos]]/60</f>
        <v>0.2</v>
      </c>
      <c r="AO1844" s="27">
        <f>SUM(Tabla2[[#This Row],[Horas]],Tabla2[[#This Row],[Minutos a Horas]])</f>
        <v>3.2</v>
      </c>
      <c r="AP1844" s="49">
        <v>3</v>
      </c>
      <c r="AQ1844" s="49">
        <v>34</v>
      </c>
      <c r="AR1844" s="26">
        <f>Tabla2[[#This Row],[Minutos*]]/60</f>
        <v>0.56666666666666665</v>
      </c>
      <c r="AS1844" s="27">
        <f>SUM(Tabla2[[#This Row],[Horas*]],Tabla2[[#This Row],[Minutos a Horas*]])+(Tabla2[[#This Row],[Tiempo Total a Nivel Proncincial (Horas)]])</f>
        <v>6.7666666666666666</v>
      </c>
    </row>
    <row r="1845" spans="30:45" hidden="1" x14ac:dyDescent="0.25">
      <c r="AD1845" s="20" t="s">
        <v>2402</v>
      </c>
      <c r="AE1845" s="10" t="s">
        <v>397</v>
      </c>
      <c r="AF1845" s="20" t="s">
        <v>2424</v>
      </c>
      <c r="AG1845" s="10"/>
      <c r="AH1845" s="22" t="str">
        <f t="shared" si="58"/>
        <v xml:space="preserve">Lima_Sur_02 Huarochirí </v>
      </c>
      <c r="AI1845" s="10" t="s">
        <v>2302</v>
      </c>
      <c r="AJ1845" s="20" t="s">
        <v>2250</v>
      </c>
      <c r="AK1845" s="22" t="str">
        <f t="shared" si="59"/>
        <v>Lima_Sur_02 Huarochirí _16 San Antonio</v>
      </c>
      <c r="AL1845" s="25">
        <v>3</v>
      </c>
      <c r="AM1845" s="25">
        <v>12</v>
      </c>
      <c r="AN1845" s="26">
        <f>Tabla2[[#This Row],[Minutos]]/60</f>
        <v>0.2</v>
      </c>
      <c r="AO1845" s="27">
        <f>SUM(Tabla2[[#This Row],[Horas]],Tabla2[[#This Row],[Minutos a Horas]])</f>
        <v>3.2</v>
      </c>
      <c r="AP1845" s="49">
        <v>3</v>
      </c>
      <c r="AQ1845" s="49">
        <v>20</v>
      </c>
      <c r="AR1845" s="26">
        <f>Tabla2[[#This Row],[Minutos*]]/60</f>
        <v>0.33333333333333331</v>
      </c>
      <c r="AS1845" s="27">
        <f>SUM(Tabla2[[#This Row],[Horas*]],Tabla2[[#This Row],[Minutos a Horas*]])+(Tabla2[[#This Row],[Tiempo Total a Nivel Proncincial (Horas)]])</f>
        <v>6.5333333333333332</v>
      </c>
    </row>
    <row r="1846" spans="30:45" hidden="1" x14ac:dyDescent="0.25">
      <c r="AD1846" s="20" t="s">
        <v>2402</v>
      </c>
      <c r="AE1846" s="10" t="s">
        <v>397</v>
      </c>
      <c r="AF1846" s="20" t="s">
        <v>2424</v>
      </c>
      <c r="AG1846" s="10"/>
      <c r="AH1846" s="22" t="str">
        <f t="shared" si="58"/>
        <v xml:space="preserve">Lima_Sur_02 Huarochirí </v>
      </c>
      <c r="AI1846" s="10" t="s">
        <v>2302</v>
      </c>
      <c r="AJ1846" s="20" t="s">
        <v>2251</v>
      </c>
      <c r="AK1846" s="22" t="str">
        <f t="shared" si="59"/>
        <v>Lima_Sur_02 Huarochirí _17 San Bartolomé</v>
      </c>
      <c r="AL1846" s="25">
        <v>3</v>
      </c>
      <c r="AM1846" s="25">
        <v>12</v>
      </c>
      <c r="AN1846" s="26">
        <f>Tabla2[[#This Row],[Minutos]]/60</f>
        <v>0.2</v>
      </c>
      <c r="AO1846" s="27">
        <f>SUM(Tabla2[[#This Row],[Horas]],Tabla2[[#This Row],[Minutos a Horas]])</f>
        <v>3.2</v>
      </c>
      <c r="AP1846" s="49">
        <v>2</v>
      </c>
      <c r="AQ1846" s="49">
        <v>11</v>
      </c>
      <c r="AR1846" s="26">
        <f>Tabla2[[#This Row],[Minutos*]]/60</f>
        <v>0.18333333333333332</v>
      </c>
      <c r="AS1846" s="27">
        <f>SUM(Tabla2[[#This Row],[Horas*]],Tabla2[[#This Row],[Minutos a Horas*]])+(Tabla2[[#This Row],[Tiempo Total a Nivel Proncincial (Horas)]])</f>
        <v>5.3833333333333329</v>
      </c>
    </row>
    <row r="1847" spans="30:45" hidden="1" x14ac:dyDescent="0.25">
      <c r="AD1847" s="20" t="s">
        <v>2402</v>
      </c>
      <c r="AE1847" s="10" t="s">
        <v>397</v>
      </c>
      <c r="AF1847" s="20" t="s">
        <v>2424</v>
      </c>
      <c r="AG1847" s="10"/>
      <c r="AH1847" s="22" t="str">
        <f t="shared" si="58"/>
        <v xml:space="preserve">Lima_Sur_02 Huarochirí </v>
      </c>
      <c r="AI1847" s="10" t="s">
        <v>2302</v>
      </c>
      <c r="AJ1847" s="20" t="s">
        <v>2252</v>
      </c>
      <c r="AK1847" s="22" t="str">
        <f t="shared" si="59"/>
        <v>Lima_Sur_02 Huarochirí _18 San Damian</v>
      </c>
      <c r="AL1847" s="25">
        <v>3</v>
      </c>
      <c r="AM1847" s="25">
        <v>12</v>
      </c>
      <c r="AN1847" s="26">
        <f>Tabla2[[#This Row],[Minutos]]/60</f>
        <v>0.2</v>
      </c>
      <c r="AO1847" s="27">
        <f>SUM(Tabla2[[#This Row],[Horas]],Tabla2[[#This Row],[Minutos a Horas]])</f>
        <v>3.2</v>
      </c>
      <c r="AP1847" s="49">
        <v>4</v>
      </c>
      <c r="AQ1847" s="49">
        <v>15</v>
      </c>
      <c r="AR1847" s="26">
        <f>Tabla2[[#This Row],[Minutos*]]/60</f>
        <v>0.25</v>
      </c>
      <c r="AS1847" s="27">
        <f>SUM(Tabla2[[#This Row],[Horas*]],Tabla2[[#This Row],[Minutos a Horas*]])+(Tabla2[[#This Row],[Tiempo Total a Nivel Proncincial (Horas)]])</f>
        <v>7.45</v>
      </c>
    </row>
    <row r="1848" spans="30:45" hidden="1" x14ac:dyDescent="0.25">
      <c r="AD1848" s="20" t="s">
        <v>2402</v>
      </c>
      <c r="AE1848" s="10" t="s">
        <v>397</v>
      </c>
      <c r="AF1848" s="20" t="s">
        <v>2424</v>
      </c>
      <c r="AG1848" s="10"/>
      <c r="AH1848" s="22" t="str">
        <f t="shared" si="58"/>
        <v xml:space="preserve">Lima_Sur_02 Huarochirí </v>
      </c>
      <c r="AI1848" s="10" t="s">
        <v>2302</v>
      </c>
      <c r="AJ1848" s="20" t="s">
        <v>2253</v>
      </c>
      <c r="AK1848" s="22" t="str">
        <f t="shared" si="59"/>
        <v>Lima_Sur_02 Huarochirí _19 San Juan de Iris</v>
      </c>
      <c r="AL1848" s="25">
        <v>3</v>
      </c>
      <c r="AM1848" s="25">
        <v>12</v>
      </c>
      <c r="AN1848" s="26">
        <f>Tabla2[[#This Row],[Minutos]]/60</f>
        <v>0.2</v>
      </c>
      <c r="AO1848" s="27">
        <f>SUM(Tabla2[[#This Row],[Horas]],Tabla2[[#This Row],[Minutos a Horas]])</f>
        <v>3.2</v>
      </c>
      <c r="AP1848" s="49">
        <v>4</v>
      </c>
      <c r="AQ1848" s="49"/>
      <c r="AR1848" s="26">
        <f>Tabla2[[#This Row],[Minutos*]]/60</f>
        <v>0</v>
      </c>
      <c r="AS1848" s="27">
        <f>SUM(Tabla2[[#This Row],[Horas*]],Tabla2[[#This Row],[Minutos a Horas*]])+(Tabla2[[#This Row],[Tiempo Total a Nivel Proncincial (Horas)]])</f>
        <v>7.2</v>
      </c>
    </row>
    <row r="1849" spans="30:45" hidden="1" x14ac:dyDescent="0.25">
      <c r="AD1849" s="20" t="s">
        <v>2402</v>
      </c>
      <c r="AE1849" s="10" t="s">
        <v>397</v>
      </c>
      <c r="AF1849" s="20" t="s">
        <v>2424</v>
      </c>
      <c r="AG1849" s="10"/>
      <c r="AH1849" s="22" t="str">
        <f t="shared" si="58"/>
        <v xml:space="preserve">Lima_Sur_02 Huarochirí </v>
      </c>
      <c r="AI1849" s="10" t="s">
        <v>2302</v>
      </c>
      <c r="AJ1849" s="20" t="s">
        <v>2254</v>
      </c>
      <c r="AK1849" s="22" t="str">
        <f t="shared" si="59"/>
        <v>Lima_Sur_02 Huarochirí _20 San Juan de Tantaranche</v>
      </c>
      <c r="AL1849" s="25">
        <v>3</v>
      </c>
      <c r="AM1849" s="25">
        <v>12</v>
      </c>
      <c r="AN1849" s="26">
        <f>Tabla2[[#This Row],[Minutos]]/60</f>
        <v>0.2</v>
      </c>
      <c r="AO1849" s="27">
        <f>SUM(Tabla2[[#This Row],[Horas]],Tabla2[[#This Row],[Minutos a Horas]])</f>
        <v>3.2</v>
      </c>
      <c r="AP1849" s="49">
        <v>3</v>
      </c>
      <c r="AQ1849" s="49">
        <v>37</v>
      </c>
      <c r="AR1849" s="26">
        <f>Tabla2[[#This Row],[Minutos*]]/60</f>
        <v>0.6166666666666667</v>
      </c>
      <c r="AS1849" s="27">
        <f>SUM(Tabla2[[#This Row],[Horas*]],Tabla2[[#This Row],[Minutos a Horas*]])+(Tabla2[[#This Row],[Tiempo Total a Nivel Proncincial (Horas)]])</f>
        <v>6.8166666666666664</v>
      </c>
    </row>
    <row r="1850" spans="30:45" hidden="1" x14ac:dyDescent="0.25">
      <c r="AD1850" s="20" t="s">
        <v>2402</v>
      </c>
      <c r="AE1850" s="10" t="s">
        <v>397</v>
      </c>
      <c r="AF1850" s="20" t="s">
        <v>2424</v>
      </c>
      <c r="AG1850" s="10"/>
      <c r="AH1850" s="22" t="str">
        <f t="shared" si="58"/>
        <v xml:space="preserve">Lima_Sur_02 Huarochirí </v>
      </c>
      <c r="AI1850" s="10" t="s">
        <v>2302</v>
      </c>
      <c r="AJ1850" s="20" t="s">
        <v>2255</v>
      </c>
      <c r="AK1850" s="22" t="str">
        <f t="shared" si="59"/>
        <v>Lima_Sur_02 Huarochirí _21 San Lorenzo de Quinti</v>
      </c>
      <c r="AL1850" s="25">
        <v>3</v>
      </c>
      <c r="AM1850" s="25">
        <v>12</v>
      </c>
      <c r="AN1850" s="26">
        <f>Tabla2[[#This Row],[Minutos]]/60</f>
        <v>0.2</v>
      </c>
      <c r="AO1850" s="27">
        <f>SUM(Tabla2[[#This Row],[Horas]],Tabla2[[#This Row],[Minutos a Horas]])</f>
        <v>3.2</v>
      </c>
      <c r="AP1850" s="49">
        <v>3</v>
      </c>
      <c r="AQ1850" s="49">
        <v>37</v>
      </c>
      <c r="AR1850" s="26">
        <f>Tabla2[[#This Row],[Minutos*]]/60</f>
        <v>0.6166666666666667</v>
      </c>
      <c r="AS1850" s="27">
        <f>SUM(Tabla2[[#This Row],[Horas*]],Tabla2[[#This Row],[Minutos a Horas*]])+(Tabla2[[#This Row],[Tiempo Total a Nivel Proncincial (Horas)]])</f>
        <v>6.8166666666666664</v>
      </c>
    </row>
    <row r="1851" spans="30:45" hidden="1" x14ac:dyDescent="0.25">
      <c r="AD1851" s="20" t="s">
        <v>2402</v>
      </c>
      <c r="AE1851" s="10" t="s">
        <v>397</v>
      </c>
      <c r="AF1851" s="20" t="s">
        <v>2424</v>
      </c>
      <c r="AG1851" s="10"/>
      <c r="AH1851" s="22" t="str">
        <f t="shared" si="58"/>
        <v xml:space="preserve">Lima_Sur_02 Huarochirí </v>
      </c>
      <c r="AI1851" s="10" t="s">
        <v>2302</v>
      </c>
      <c r="AJ1851" s="20" t="s">
        <v>2256</v>
      </c>
      <c r="AK1851" s="22" t="str">
        <f t="shared" si="59"/>
        <v>Lima_Sur_02 Huarochirí _22 San Mateo</v>
      </c>
      <c r="AL1851" s="25">
        <v>3</v>
      </c>
      <c r="AM1851" s="25">
        <v>12</v>
      </c>
      <c r="AN1851" s="26">
        <f>Tabla2[[#This Row],[Minutos]]/60</f>
        <v>0.2</v>
      </c>
      <c r="AO1851" s="27">
        <f>SUM(Tabla2[[#This Row],[Horas]],Tabla2[[#This Row],[Minutos a Horas]])</f>
        <v>3.2</v>
      </c>
      <c r="AP1851" s="49">
        <v>3</v>
      </c>
      <c r="AQ1851" s="49">
        <v>7</v>
      </c>
      <c r="AR1851" s="26">
        <f>Tabla2[[#This Row],[Minutos*]]/60</f>
        <v>0.11666666666666667</v>
      </c>
      <c r="AS1851" s="27">
        <f>SUM(Tabla2[[#This Row],[Horas*]],Tabla2[[#This Row],[Minutos a Horas*]])+(Tabla2[[#This Row],[Tiempo Total a Nivel Proncincial (Horas)]])</f>
        <v>6.3166666666666664</v>
      </c>
    </row>
    <row r="1852" spans="30:45" hidden="1" x14ac:dyDescent="0.25">
      <c r="AD1852" s="20" t="s">
        <v>2402</v>
      </c>
      <c r="AE1852" s="10" t="s">
        <v>397</v>
      </c>
      <c r="AF1852" s="20" t="s">
        <v>2424</v>
      </c>
      <c r="AG1852" s="10"/>
      <c r="AH1852" s="22" t="str">
        <f t="shared" si="58"/>
        <v xml:space="preserve">Lima_Sur_02 Huarochirí </v>
      </c>
      <c r="AI1852" s="10" t="s">
        <v>2302</v>
      </c>
      <c r="AJ1852" s="20" t="s">
        <v>2257</v>
      </c>
      <c r="AK1852" s="22" t="str">
        <f t="shared" si="59"/>
        <v>Lima_Sur_02 Huarochirí _23 San Mateo de Otao</v>
      </c>
      <c r="AL1852" s="25">
        <v>3</v>
      </c>
      <c r="AM1852" s="25">
        <v>12</v>
      </c>
      <c r="AN1852" s="26">
        <f>Tabla2[[#This Row],[Minutos]]/60</f>
        <v>0.2</v>
      </c>
      <c r="AO1852" s="27">
        <f>SUM(Tabla2[[#This Row],[Horas]],Tabla2[[#This Row],[Minutos a Horas]])</f>
        <v>3.2</v>
      </c>
      <c r="AP1852" s="49">
        <v>2</v>
      </c>
      <c r="AQ1852" s="49">
        <v>28</v>
      </c>
      <c r="AR1852" s="26">
        <f>Tabla2[[#This Row],[Minutos*]]/60</f>
        <v>0.46666666666666667</v>
      </c>
      <c r="AS1852" s="27">
        <f>SUM(Tabla2[[#This Row],[Horas*]],Tabla2[[#This Row],[Minutos a Horas*]])+(Tabla2[[#This Row],[Tiempo Total a Nivel Proncincial (Horas)]])</f>
        <v>5.666666666666667</v>
      </c>
    </row>
    <row r="1853" spans="30:45" hidden="1" x14ac:dyDescent="0.25">
      <c r="AD1853" s="20" t="s">
        <v>2402</v>
      </c>
      <c r="AE1853" s="10" t="s">
        <v>397</v>
      </c>
      <c r="AF1853" s="20" t="s">
        <v>2424</v>
      </c>
      <c r="AG1853" s="10"/>
      <c r="AH1853" s="22" t="str">
        <f t="shared" si="58"/>
        <v xml:space="preserve">Lima_Sur_02 Huarochirí </v>
      </c>
      <c r="AI1853" s="10" t="s">
        <v>2302</v>
      </c>
      <c r="AJ1853" s="20" t="s">
        <v>2258</v>
      </c>
      <c r="AK1853" s="22" t="str">
        <f t="shared" si="59"/>
        <v>Lima_Sur_02 Huarochirí _24 San Pedro de Casta</v>
      </c>
      <c r="AL1853" s="25">
        <v>3</v>
      </c>
      <c r="AM1853" s="25">
        <v>12</v>
      </c>
      <c r="AN1853" s="26">
        <f>Tabla2[[#This Row],[Minutos]]/60</f>
        <v>0.2</v>
      </c>
      <c r="AO1853" s="27">
        <f>SUM(Tabla2[[#This Row],[Horas]],Tabla2[[#This Row],[Minutos a Horas]])</f>
        <v>3.2</v>
      </c>
      <c r="AP1853" s="49">
        <v>3</v>
      </c>
      <c r="AQ1853" s="49">
        <v>38</v>
      </c>
      <c r="AR1853" s="26">
        <f>Tabla2[[#This Row],[Minutos*]]/60</f>
        <v>0.6333333333333333</v>
      </c>
      <c r="AS1853" s="27">
        <f>SUM(Tabla2[[#This Row],[Horas*]],Tabla2[[#This Row],[Minutos a Horas*]])+(Tabla2[[#This Row],[Tiempo Total a Nivel Proncincial (Horas)]])</f>
        <v>6.8333333333333339</v>
      </c>
    </row>
    <row r="1854" spans="30:45" hidden="1" x14ac:dyDescent="0.25">
      <c r="AD1854" s="20" t="s">
        <v>2402</v>
      </c>
      <c r="AE1854" s="10" t="s">
        <v>397</v>
      </c>
      <c r="AF1854" s="20" t="s">
        <v>2424</v>
      </c>
      <c r="AG1854" s="10"/>
      <c r="AH1854" s="22" t="str">
        <f t="shared" si="58"/>
        <v xml:space="preserve">Lima_Sur_02 Huarochirí </v>
      </c>
      <c r="AI1854" s="10" t="s">
        <v>2302</v>
      </c>
      <c r="AJ1854" s="20" t="s">
        <v>2259</v>
      </c>
      <c r="AK1854" s="22" t="str">
        <f t="shared" si="59"/>
        <v>Lima_Sur_02 Huarochirí _25 San Pedro de Huancayre</v>
      </c>
      <c r="AL1854" s="25">
        <v>3</v>
      </c>
      <c r="AM1854" s="25">
        <v>12</v>
      </c>
      <c r="AN1854" s="26">
        <f>Tabla2[[#This Row],[Minutos]]/60</f>
        <v>0.2</v>
      </c>
      <c r="AO1854" s="27">
        <f>SUM(Tabla2[[#This Row],[Horas]],Tabla2[[#This Row],[Minutos a Horas]])</f>
        <v>3.2</v>
      </c>
      <c r="AP1854" s="49">
        <v>3</v>
      </c>
      <c r="AQ1854" s="49">
        <v>31</v>
      </c>
      <c r="AR1854" s="26">
        <f>Tabla2[[#This Row],[Minutos*]]/60</f>
        <v>0.51666666666666672</v>
      </c>
      <c r="AS1854" s="27">
        <f>SUM(Tabla2[[#This Row],[Horas*]],Tabla2[[#This Row],[Minutos a Horas*]])+(Tabla2[[#This Row],[Tiempo Total a Nivel Proncincial (Horas)]])</f>
        <v>6.7166666666666668</v>
      </c>
    </row>
    <row r="1855" spans="30:45" hidden="1" x14ac:dyDescent="0.25">
      <c r="AD1855" s="20" t="s">
        <v>2402</v>
      </c>
      <c r="AE1855" s="10" t="s">
        <v>397</v>
      </c>
      <c r="AF1855" s="20" t="s">
        <v>2424</v>
      </c>
      <c r="AG1855" s="10"/>
      <c r="AH1855" s="22" t="str">
        <f t="shared" si="58"/>
        <v xml:space="preserve">Lima_Sur_02 Huarochirí </v>
      </c>
      <c r="AI1855" s="10" t="s">
        <v>2302</v>
      </c>
      <c r="AJ1855" s="20" t="s">
        <v>2260</v>
      </c>
      <c r="AK1855" s="22" t="str">
        <f t="shared" si="59"/>
        <v>Lima_Sur_02 Huarochirí _26 Sangallaya</v>
      </c>
      <c r="AL1855" s="25">
        <v>3</v>
      </c>
      <c r="AM1855" s="25">
        <v>12</v>
      </c>
      <c r="AN1855" s="26">
        <f>Tabla2[[#This Row],[Minutos]]/60</f>
        <v>0.2</v>
      </c>
      <c r="AO1855" s="27">
        <f>SUM(Tabla2[[#This Row],[Horas]],Tabla2[[#This Row],[Minutos a Horas]])</f>
        <v>3.2</v>
      </c>
      <c r="AP1855" s="49">
        <v>3</v>
      </c>
      <c r="AQ1855" s="49">
        <v>28</v>
      </c>
      <c r="AR1855" s="26">
        <f>Tabla2[[#This Row],[Minutos*]]/60</f>
        <v>0.46666666666666667</v>
      </c>
      <c r="AS1855" s="27">
        <f>SUM(Tabla2[[#This Row],[Horas*]],Tabla2[[#This Row],[Minutos a Horas*]])+(Tabla2[[#This Row],[Tiempo Total a Nivel Proncincial (Horas)]])</f>
        <v>6.666666666666667</v>
      </c>
    </row>
    <row r="1856" spans="30:45" hidden="1" x14ac:dyDescent="0.25">
      <c r="AD1856" s="20" t="s">
        <v>2402</v>
      </c>
      <c r="AE1856" s="10" t="s">
        <v>397</v>
      </c>
      <c r="AF1856" s="20" t="s">
        <v>2424</v>
      </c>
      <c r="AG1856" s="10"/>
      <c r="AH1856" s="22" t="str">
        <f t="shared" si="58"/>
        <v xml:space="preserve">Lima_Sur_02 Huarochirí </v>
      </c>
      <c r="AI1856" s="10" t="s">
        <v>2302</v>
      </c>
      <c r="AJ1856" s="20" t="s">
        <v>2261</v>
      </c>
      <c r="AK1856" s="22" t="str">
        <f t="shared" si="59"/>
        <v>Lima_Sur_02 Huarochirí _27 Santa Cruz de Cocachacra</v>
      </c>
      <c r="AL1856" s="25">
        <v>3</v>
      </c>
      <c r="AM1856" s="25">
        <v>12</v>
      </c>
      <c r="AN1856" s="26">
        <f>Tabla2[[#This Row],[Minutos]]/60</f>
        <v>0.2</v>
      </c>
      <c r="AO1856" s="27">
        <f>SUM(Tabla2[[#This Row],[Horas]],Tabla2[[#This Row],[Minutos a Horas]])</f>
        <v>3.2</v>
      </c>
      <c r="AP1856" s="49">
        <v>2</v>
      </c>
      <c r="AQ1856" s="49">
        <v>4</v>
      </c>
      <c r="AR1856" s="26">
        <f>Tabla2[[#This Row],[Minutos*]]/60</f>
        <v>6.6666666666666666E-2</v>
      </c>
      <c r="AS1856" s="27">
        <f>SUM(Tabla2[[#This Row],[Horas*]],Tabla2[[#This Row],[Minutos a Horas*]])+(Tabla2[[#This Row],[Tiempo Total a Nivel Proncincial (Horas)]])</f>
        <v>5.2666666666666675</v>
      </c>
    </row>
    <row r="1857" spans="30:45" hidden="1" x14ac:dyDescent="0.25">
      <c r="AD1857" s="20" t="s">
        <v>2402</v>
      </c>
      <c r="AE1857" s="10" t="s">
        <v>397</v>
      </c>
      <c r="AF1857" s="20" t="s">
        <v>2424</v>
      </c>
      <c r="AG1857" s="10"/>
      <c r="AH1857" s="22" t="str">
        <f t="shared" si="58"/>
        <v xml:space="preserve">Lima_Sur_02 Huarochirí </v>
      </c>
      <c r="AI1857" s="10" t="s">
        <v>2302</v>
      </c>
      <c r="AJ1857" s="20" t="s">
        <v>2262</v>
      </c>
      <c r="AK1857" s="22" t="str">
        <f t="shared" si="59"/>
        <v>Lima_Sur_02 Huarochirí _28 Santa Eulalia</v>
      </c>
      <c r="AL1857" s="25">
        <v>3</v>
      </c>
      <c r="AM1857" s="25">
        <v>12</v>
      </c>
      <c r="AN1857" s="26">
        <f>Tabla2[[#This Row],[Minutos]]/60</f>
        <v>0.2</v>
      </c>
      <c r="AO1857" s="27">
        <f>SUM(Tabla2[[#This Row],[Horas]],Tabla2[[#This Row],[Minutos a Horas]])</f>
        <v>3.2</v>
      </c>
      <c r="AP1857" s="49">
        <v>1</v>
      </c>
      <c r="AQ1857" s="49">
        <v>47</v>
      </c>
      <c r="AR1857" s="26">
        <f>Tabla2[[#This Row],[Minutos*]]/60</f>
        <v>0.78333333333333333</v>
      </c>
      <c r="AS1857" s="27">
        <f>SUM(Tabla2[[#This Row],[Horas*]],Tabla2[[#This Row],[Minutos a Horas*]])+(Tabla2[[#This Row],[Tiempo Total a Nivel Proncincial (Horas)]])</f>
        <v>4.9833333333333334</v>
      </c>
    </row>
    <row r="1858" spans="30:45" hidden="1" x14ac:dyDescent="0.25">
      <c r="AD1858" s="20" t="s">
        <v>2402</v>
      </c>
      <c r="AE1858" s="10" t="s">
        <v>397</v>
      </c>
      <c r="AF1858" s="20" t="s">
        <v>2424</v>
      </c>
      <c r="AG1858" s="10"/>
      <c r="AH1858" s="22" t="str">
        <f t="shared" si="58"/>
        <v xml:space="preserve">Lima_Sur_02 Huarochirí </v>
      </c>
      <c r="AI1858" s="10" t="s">
        <v>2302</v>
      </c>
      <c r="AJ1858" s="20" t="s">
        <v>2263</v>
      </c>
      <c r="AK1858" s="22" t="str">
        <f t="shared" si="59"/>
        <v>Lima_Sur_02 Huarochirí _29 Santiago de Anchucaya</v>
      </c>
      <c r="AL1858" s="25">
        <v>3</v>
      </c>
      <c r="AM1858" s="25">
        <v>12</v>
      </c>
      <c r="AN1858" s="26">
        <f>Tabla2[[#This Row],[Minutos]]/60</f>
        <v>0.2</v>
      </c>
      <c r="AO1858" s="27">
        <f>SUM(Tabla2[[#This Row],[Horas]],Tabla2[[#This Row],[Minutos a Horas]])</f>
        <v>3.2</v>
      </c>
      <c r="AP1858" s="49">
        <v>3</v>
      </c>
      <c r="AQ1858" s="49">
        <v>27</v>
      </c>
      <c r="AR1858" s="26">
        <f>Tabla2[[#This Row],[Minutos*]]/60</f>
        <v>0.45</v>
      </c>
      <c r="AS1858" s="27">
        <f>SUM(Tabla2[[#This Row],[Horas*]],Tabla2[[#This Row],[Minutos a Horas*]])+(Tabla2[[#This Row],[Tiempo Total a Nivel Proncincial (Horas)]])</f>
        <v>6.65</v>
      </c>
    </row>
    <row r="1859" spans="30:45" hidden="1" x14ac:dyDescent="0.25">
      <c r="AD1859" s="20" t="s">
        <v>2402</v>
      </c>
      <c r="AE1859" s="10" t="s">
        <v>397</v>
      </c>
      <c r="AF1859" s="20" t="s">
        <v>2424</v>
      </c>
      <c r="AG1859" s="10"/>
      <c r="AH1859" s="22" t="str">
        <f t="shared" si="58"/>
        <v xml:space="preserve">Lima_Sur_02 Huarochirí </v>
      </c>
      <c r="AI1859" s="10" t="s">
        <v>2302</v>
      </c>
      <c r="AJ1859" s="20" t="s">
        <v>2264</v>
      </c>
      <c r="AK1859" s="22" t="str">
        <f t="shared" si="59"/>
        <v>Lima_Sur_02 Huarochirí _30 Santiago de Tuna</v>
      </c>
      <c r="AL1859" s="25">
        <v>3</v>
      </c>
      <c r="AM1859" s="25">
        <v>12</v>
      </c>
      <c r="AN1859" s="26">
        <f>Tabla2[[#This Row],[Minutos]]/60</f>
        <v>0.2</v>
      </c>
      <c r="AO1859" s="27">
        <f>SUM(Tabla2[[#This Row],[Horas]],Tabla2[[#This Row],[Minutos a Horas]])</f>
        <v>3.2</v>
      </c>
      <c r="AP1859" s="49">
        <v>3</v>
      </c>
      <c r="AQ1859" s="49">
        <v>1</v>
      </c>
      <c r="AR1859" s="26">
        <f>Tabla2[[#This Row],[Minutos*]]/60</f>
        <v>1.6666666666666666E-2</v>
      </c>
      <c r="AS1859" s="27">
        <f>SUM(Tabla2[[#This Row],[Horas*]],Tabla2[[#This Row],[Minutos a Horas*]])+(Tabla2[[#This Row],[Tiempo Total a Nivel Proncincial (Horas)]])</f>
        <v>6.2166666666666668</v>
      </c>
    </row>
    <row r="1860" spans="30:45" ht="30" hidden="1" x14ac:dyDescent="0.25">
      <c r="AD1860" s="20" t="s">
        <v>2402</v>
      </c>
      <c r="AE1860" s="10" t="s">
        <v>397</v>
      </c>
      <c r="AF1860" s="20" t="s">
        <v>2424</v>
      </c>
      <c r="AG1860" s="10"/>
      <c r="AH1860" s="22" t="str">
        <f t="shared" si="58"/>
        <v xml:space="preserve">Lima_Sur_02 Huarochirí </v>
      </c>
      <c r="AI1860" s="10" t="s">
        <v>2302</v>
      </c>
      <c r="AJ1860" s="20" t="s">
        <v>2265</v>
      </c>
      <c r="AK1860" s="22" t="str">
        <f t="shared" si="59"/>
        <v>Lima_Sur_02 Huarochirí _31 Santo Domingo de Los Olleros</v>
      </c>
      <c r="AL1860" s="25">
        <v>3</v>
      </c>
      <c r="AM1860" s="25">
        <v>12</v>
      </c>
      <c r="AN1860" s="26">
        <f>Tabla2[[#This Row],[Minutos]]/60</f>
        <v>0.2</v>
      </c>
      <c r="AO1860" s="27">
        <f>SUM(Tabla2[[#This Row],[Horas]],Tabla2[[#This Row],[Minutos a Horas]])</f>
        <v>3.2</v>
      </c>
      <c r="AP1860" s="49">
        <v>2</v>
      </c>
      <c r="AQ1860" s="49">
        <v>20</v>
      </c>
      <c r="AR1860" s="26">
        <f>Tabla2[[#This Row],[Minutos*]]/60</f>
        <v>0.33333333333333331</v>
      </c>
      <c r="AS1860" s="27">
        <f>SUM(Tabla2[[#This Row],[Horas*]],Tabla2[[#This Row],[Minutos a Horas*]])+(Tabla2[[#This Row],[Tiempo Total a Nivel Proncincial (Horas)]])</f>
        <v>5.5333333333333332</v>
      </c>
    </row>
    <row r="1861" spans="30:45" hidden="1" x14ac:dyDescent="0.25">
      <c r="AD1861" s="20" t="s">
        <v>2402</v>
      </c>
      <c r="AE1861" s="10" t="s">
        <v>397</v>
      </c>
      <c r="AF1861" s="20" t="s">
        <v>2424</v>
      </c>
      <c r="AG1861" s="10"/>
      <c r="AH1861" s="22" t="str">
        <f t="shared" si="58"/>
        <v xml:space="preserve">Lima_Sur_02 Huarochirí </v>
      </c>
      <c r="AI1861" s="10" t="s">
        <v>2302</v>
      </c>
      <c r="AJ1861" s="20" t="s">
        <v>2266</v>
      </c>
      <c r="AK1861" s="22" t="str">
        <f t="shared" si="59"/>
        <v>Lima_Sur_02 Huarochirí _32 Surco</v>
      </c>
      <c r="AL1861" s="25">
        <v>3</v>
      </c>
      <c r="AM1861" s="25">
        <v>12</v>
      </c>
      <c r="AN1861" s="26">
        <f>Tabla2[[#This Row],[Minutos]]/60</f>
        <v>0.2</v>
      </c>
      <c r="AO1861" s="27">
        <f>SUM(Tabla2[[#This Row],[Horas]],Tabla2[[#This Row],[Minutos a Horas]])</f>
        <v>3.2</v>
      </c>
      <c r="AP1861" s="49">
        <v>2</v>
      </c>
      <c r="AQ1861" s="49">
        <v>25</v>
      </c>
      <c r="AR1861" s="26">
        <f>Tabla2[[#This Row],[Minutos*]]/60</f>
        <v>0.41666666666666669</v>
      </c>
      <c r="AS1861" s="27">
        <f>SUM(Tabla2[[#This Row],[Horas*]],Tabla2[[#This Row],[Minutos a Horas*]])+(Tabla2[[#This Row],[Tiempo Total a Nivel Proncincial (Horas)]])</f>
        <v>5.6166666666666671</v>
      </c>
    </row>
    <row r="1862" spans="30:45" hidden="1" x14ac:dyDescent="0.25">
      <c r="AD1862" s="20" t="s">
        <v>2402</v>
      </c>
      <c r="AE1862" s="10" t="s">
        <v>397</v>
      </c>
      <c r="AF1862" s="20" t="s">
        <v>2425</v>
      </c>
      <c r="AG1862" s="10"/>
      <c r="AH1862" s="22" t="str">
        <f t="shared" si="58"/>
        <v xml:space="preserve">Lima_Sur_03 Yauyos </v>
      </c>
      <c r="AI1862" s="10" t="s">
        <v>2303</v>
      </c>
      <c r="AJ1862" s="20" t="s">
        <v>2267</v>
      </c>
      <c r="AK1862" s="22" t="str">
        <f t="shared" si="59"/>
        <v>Lima_Sur_03 Yauyos _01 Yauyos</v>
      </c>
      <c r="AL1862" s="25">
        <v>5</v>
      </c>
      <c r="AM1862" s="25">
        <v>2</v>
      </c>
      <c r="AN1862" s="26">
        <f>Tabla2[[#This Row],[Minutos]]/60</f>
        <v>3.3333333333333333E-2</v>
      </c>
      <c r="AO1862" s="27">
        <f>SUM(Tabla2[[#This Row],[Horas]],Tabla2[[#This Row],[Minutos a Horas]])</f>
        <v>5.0333333333333332</v>
      </c>
      <c r="AP1862" s="49">
        <v>5</v>
      </c>
      <c r="AQ1862" s="49">
        <v>3</v>
      </c>
      <c r="AR1862" s="26">
        <f>Tabla2[[#This Row],[Minutos*]]/60</f>
        <v>0.05</v>
      </c>
      <c r="AS1862" s="27">
        <f>SUM(Tabla2[[#This Row],[Horas*]],Tabla2[[#This Row],[Minutos a Horas*]])+(Tabla2[[#This Row],[Tiempo Total a Nivel Proncincial (Horas)]])</f>
        <v>10.083333333333332</v>
      </c>
    </row>
    <row r="1863" spans="30:45" hidden="1" x14ac:dyDescent="0.25">
      <c r="AD1863" s="20" t="s">
        <v>2402</v>
      </c>
      <c r="AE1863" s="10" t="s">
        <v>397</v>
      </c>
      <c r="AF1863" s="20" t="s">
        <v>2425</v>
      </c>
      <c r="AG1863" s="10"/>
      <c r="AH1863" s="22" t="str">
        <f t="shared" si="58"/>
        <v xml:space="preserve">Lima_Sur_03 Yauyos </v>
      </c>
      <c r="AI1863" s="10" t="s">
        <v>2303</v>
      </c>
      <c r="AJ1863" s="20" t="s">
        <v>2268</v>
      </c>
      <c r="AK1863" s="22" t="str">
        <f t="shared" si="59"/>
        <v>Lima_Sur_03 Yauyos _02 Alis</v>
      </c>
      <c r="AL1863" s="25">
        <v>5</v>
      </c>
      <c r="AM1863" s="25">
        <v>2</v>
      </c>
      <c r="AN1863" s="26">
        <f>Tabla2[[#This Row],[Minutos]]/60</f>
        <v>3.3333333333333333E-2</v>
      </c>
      <c r="AO1863" s="27">
        <f>SUM(Tabla2[[#This Row],[Horas]],Tabla2[[#This Row],[Minutos a Horas]])</f>
        <v>5.0333333333333332</v>
      </c>
      <c r="AP1863" s="49">
        <v>5</v>
      </c>
      <c r="AQ1863" s="49">
        <v>53</v>
      </c>
      <c r="AR1863" s="26">
        <f>Tabla2[[#This Row],[Minutos*]]/60</f>
        <v>0.8833333333333333</v>
      </c>
      <c r="AS1863" s="27">
        <f>SUM(Tabla2[[#This Row],[Horas*]],Tabla2[[#This Row],[Minutos a Horas*]])+(Tabla2[[#This Row],[Tiempo Total a Nivel Proncincial (Horas)]])</f>
        <v>10.916666666666666</v>
      </c>
    </row>
    <row r="1864" spans="30:45" hidden="1" x14ac:dyDescent="0.25">
      <c r="AD1864" s="20" t="s">
        <v>2402</v>
      </c>
      <c r="AE1864" s="10" t="s">
        <v>397</v>
      </c>
      <c r="AF1864" s="20" t="s">
        <v>2425</v>
      </c>
      <c r="AG1864" s="10"/>
      <c r="AH1864" s="22" t="str">
        <f t="shared" si="58"/>
        <v xml:space="preserve">Lima_Sur_03 Yauyos </v>
      </c>
      <c r="AI1864" s="10" t="s">
        <v>2303</v>
      </c>
      <c r="AJ1864" s="20" t="s">
        <v>2269</v>
      </c>
      <c r="AK1864" s="22" t="str">
        <f t="shared" si="59"/>
        <v>Lima_Sur_03 Yauyos _03 Allauca</v>
      </c>
      <c r="AL1864" s="25">
        <v>5</v>
      </c>
      <c r="AM1864" s="25">
        <v>2</v>
      </c>
      <c r="AN1864" s="26">
        <f>Tabla2[[#This Row],[Minutos]]/60</f>
        <v>3.3333333333333333E-2</v>
      </c>
      <c r="AO1864" s="27">
        <f>SUM(Tabla2[[#This Row],[Horas]],Tabla2[[#This Row],[Minutos a Horas]])</f>
        <v>5.0333333333333332</v>
      </c>
      <c r="AP1864" s="49">
        <v>3</v>
      </c>
      <c r="AQ1864" s="49">
        <v>8</v>
      </c>
      <c r="AR1864" s="26">
        <f>Tabla2[[#This Row],[Minutos*]]/60</f>
        <v>0.13333333333333333</v>
      </c>
      <c r="AS1864" s="27">
        <f>SUM(Tabla2[[#This Row],[Horas*]],Tabla2[[#This Row],[Minutos a Horas*]])+(Tabla2[[#This Row],[Tiempo Total a Nivel Proncincial (Horas)]])</f>
        <v>8.1666666666666661</v>
      </c>
    </row>
    <row r="1865" spans="30:45" hidden="1" x14ac:dyDescent="0.25">
      <c r="AD1865" s="20" t="s">
        <v>2402</v>
      </c>
      <c r="AE1865" s="10" t="s">
        <v>397</v>
      </c>
      <c r="AF1865" s="20" t="s">
        <v>2425</v>
      </c>
      <c r="AG1865" s="10"/>
      <c r="AH1865" s="22" t="str">
        <f t="shared" si="58"/>
        <v xml:space="preserve">Lima_Sur_03 Yauyos </v>
      </c>
      <c r="AI1865" s="10" t="s">
        <v>2303</v>
      </c>
      <c r="AJ1865" s="20" t="s">
        <v>2270</v>
      </c>
      <c r="AK1865" s="22" t="str">
        <f t="shared" si="59"/>
        <v>Lima_Sur_03 Yauyos _04 Ayaviri</v>
      </c>
      <c r="AL1865" s="25">
        <v>5</v>
      </c>
      <c r="AM1865" s="25">
        <v>2</v>
      </c>
      <c r="AN1865" s="26">
        <f>Tabla2[[#This Row],[Minutos]]/60</f>
        <v>3.3333333333333333E-2</v>
      </c>
      <c r="AO1865" s="27">
        <f>SUM(Tabla2[[#This Row],[Horas]],Tabla2[[#This Row],[Minutos a Horas]])</f>
        <v>5.0333333333333332</v>
      </c>
      <c r="AP1865" s="49">
        <v>3</v>
      </c>
      <c r="AQ1865" s="49">
        <v>8</v>
      </c>
      <c r="AR1865" s="26">
        <f>Tabla2[[#This Row],[Minutos*]]/60</f>
        <v>0.13333333333333333</v>
      </c>
      <c r="AS1865" s="27">
        <f>SUM(Tabla2[[#This Row],[Horas*]],Tabla2[[#This Row],[Minutos a Horas*]])+(Tabla2[[#This Row],[Tiempo Total a Nivel Proncincial (Horas)]])</f>
        <v>8.1666666666666661</v>
      </c>
    </row>
    <row r="1866" spans="30:45" hidden="1" x14ac:dyDescent="0.25">
      <c r="AD1866" s="20" t="s">
        <v>2402</v>
      </c>
      <c r="AE1866" s="10" t="s">
        <v>397</v>
      </c>
      <c r="AF1866" s="20" t="s">
        <v>2425</v>
      </c>
      <c r="AG1866" s="10"/>
      <c r="AH1866" s="22" t="str">
        <f t="shared" si="58"/>
        <v xml:space="preserve">Lima_Sur_03 Yauyos </v>
      </c>
      <c r="AI1866" s="10" t="s">
        <v>2303</v>
      </c>
      <c r="AJ1866" s="20" t="s">
        <v>2271</v>
      </c>
      <c r="AK1866" s="22" t="str">
        <f t="shared" si="59"/>
        <v>Lima_Sur_03 Yauyos _05 Azángaro</v>
      </c>
      <c r="AL1866" s="25">
        <v>5</v>
      </c>
      <c r="AM1866" s="25">
        <v>2</v>
      </c>
      <c r="AN1866" s="26">
        <f>Tabla2[[#This Row],[Minutos]]/60</f>
        <v>3.3333333333333333E-2</v>
      </c>
      <c r="AO1866" s="27">
        <f>SUM(Tabla2[[#This Row],[Horas]],Tabla2[[#This Row],[Minutos a Horas]])</f>
        <v>5.0333333333333332</v>
      </c>
      <c r="AP1866" s="49">
        <v>4</v>
      </c>
      <c r="AQ1866" s="49">
        <v>26</v>
      </c>
      <c r="AR1866" s="26">
        <f>Tabla2[[#This Row],[Minutos*]]/60</f>
        <v>0.43333333333333335</v>
      </c>
      <c r="AS1866" s="27">
        <f>SUM(Tabla2[[#This Row],[Horas*]],Tabla2[[#This Row],[Minutos a Horas*]])+(Tabla2[[#This Row],[Tiempo Total a Nivel Proncincial (Horas)]])</f>
        <v>9.4666666666666668</v>
      </c>
    </row>
    <row r="1867" spans="30:45" hidden="1" x14ac:dyDescent="0.25">
      <c r="AD1867" s="20" t="s">
        <v>2402</v>
      </c>
      <c r="AE1867" s="10" t="s">
        <v>397</v>
      </c>
      <c r="AF1867" s="20" t="s">
        <v>2425</v>
      </c>
      <c r="AG1867" s="10"/>
      <c r="AH1867" s="22" t="str">
        <f t="shared" si="58"/>
        <v xml:space="preserve">Lima_Sur_03 Yauyos </v>
      </c>
      <c r="AI1867" s="10" t="s">
        <v>2303</v>
      </c>
      <c r="AJ1867" s="20" t="s">
        <v>2272</v>
      </c>
      <c r="AK1867" s="22" t="str">
        <f t="shared" si="59"/>
        <v>Lima_Sur_03 Yauyos _06 Cacra</v>
      </c>
      <c r="AL1867" s="25">
        <v>5</v>
      </c>
      <c r="AM1867" s="25">
        <v>2</v>
      </c>
      <c r="AN1867" s="26">
        <f>Tabla2[[#This Row],[Minutos]]/60</f>
        <v>3.3333333333333333E-2</v>
      </c>
      <c r="AO1867" s="27">
        <f>SUM(Tabla2[[#This Row],[Horas]],Tabla2[[#This Row],[Minutos a Horas]])</f>
        <v>5.0333333333333332</v>
      </c>
      <c r="AP1867" s="49">
        <v>4</v>
      </c>
      <c r="AQ1867" s="49">
        <v>13</v>
      </c>
      <c r="AR1867" s="26">
        <f>Tabla2[[#This Row],[Minutos*]]/60</f>
        <v>0.21666666666666667</v>
      </c>
      <c r="AS1867" s="27">
        <f>SUM(Tabla2[[#This Row],[Horas*]],Tabla2[[#This Row],[Minutos a Horas*]])+(Tabla2[[#This Row],[Tiempo Total a Nivel Proncincial (Horas)]])</f>
        <v>9.25</v>
      </c>
    </row>
    <row r="1868" spans="30:45" hidden="1" x14ac:dyDescent="0.25">
      <c r="AD1868" s="20" t="s">
        <v>2402</v>
      </c>
      <c r="AE1868" s="10" t="s">
        <v>397</v>
      </c>
      <c r="AF1868" s="20" t="s">
        <v>2425</v>
      </c>
      <c r="AG1868" s="10"/>
      <c r="AH1868" s="22" t="str">
        <f t="shared" si="58"/>
        <v xml:space="preserve">Lima_Sur_03 Yauyos </v>
      </c>
      <c r="AI1868" s="10" t="s">
        <v>2303</v>
      </c>
      <c r="AJ1868" s="20" t="s">
        <v>2273</v>
      </c>
      <c r="AK1868" s="22" t="str">
        <f t="shared" si="59"/>
        <v>Lima_Sur_03 Yauyos _07 Carania</v>
      </c>
      <c r="AL1868" s="25">
        <v>5</v>
      </c>
      <c r="AM1868" s="25">
        <v>2</v>
      </c>
      <c r="AN1868" s="26">
        <f>Tabla2[[#This Row],[Minutos]]/60</f>
        <v>3.3333333333333333E-2</v>
      </c>
      <c r="AO1868" s="27">
        <f>SUM(Tabla2[[#This Row],[Horas]],Tabla2[[#This Row],[Minutos a Horas]])</f>
        <v>5.0333333333333332</v>
      </c>
      <c r="AP1868" s="49">
        <v>6</v>
      </c>
      <c r="AQ1868" s="49">
        <v>2</v>
      </c>
      <c r="AR1868" s="26">
        <f>Tabla2[[#This Row],[Minutos*]]/60</f>
        <v>3.3333333333333333E-2</v>
      </c>
      <c r="AS1868" s="27">
        <f>SUM(Tabla2[[#This Row],[Horas*]],Tabla2[[#This Row],[Minutos a Horas*]])+(Tabla2[[#This Row],[Tiempo Total a Nivel Proncincial (Horas)]])</f>
        <v>11.066666666666666</v>
      </c>
    </row>
    <row r="1869" spans="30:45" hidden="1" x14ac:dyDescent="0.25">
      <c r="AD1869" s="20" t="s">
        <v>2402</v>
      </c>
      <c r="AE1869" s="10" t="s">
        <v>397</v>
      </c>
      <c r="AF1869" s="20" t="s">
        <v>2425</v>
      </c>
      <c r="AG1869" s="10"/>
      <c r="AH1869" s="22" t="str">
        <f t="shared" si="58"/>
        <v xml:space="preserve">Lima_Sur_03 Yauyos </v>
      </c>
      <c r="AI1869" s="10" t="s">
        <v>2303</v>
      </c>
      <c r="AJ1869" s="20" t="s">
        <v>2274</v>
      </c>
      <c r="AK1869" s="22" t="str">
        <f t="shared" si="59"/>
        <v>Lima_Sur_03 Yauyos _08 Catahuasi</v>
      </c>
      <c r="AL1869" s="25">
        <v>5</v>
      </c>
      <c r="AM1869" s="25">
        <v>2</v>
      </c>
      <c r="AN1869" s="26">
        <f>Tabla2[[#This Row],[Minutos]]/60</f>
        <v>3.3333333333333333E-2</v>
      </c>
      <c r="AO1869" s="27">
        <f>SUM(Tabla2[[#This Row],[Horas]],Tabla2[[#This Row],[Minutos a Horas]])</f>
        <v>5.0333333333333332</v>
      </c>
      <c r="AP1869" s="49">
        <v>3</v>
      </c>
      <c r="AQ1869" s="49">
        <v>43</v>
      </c>
      <c r="AR1869" s="26">
        <f>Tabla2[[#This Row],[Minutos*]]/60</f>
        <v>0.71666666666666667</v>
      </c>
      <c r="AS1869" s="27">
        <f>SUM(Tabla2[[#This Row],[Horas*]],Tabla2[[#This Row],[Minutos a Horas*]])+(Tabla2[[#This Row],[Tiempo Total a Nivel Proncincial (Horas)]])</f>
        <v>8.75</v>
      </c>
    </row>
    <row r="1870" spans="30:45" hidden="1" x14ac:dyDescent="0.25">
      <c r="AD1870" s="20" t="s">
        <v>2402</v>
      </c>
      <c r="AE1870" s="10" t="s">
        <v>397</v>
      </c>
      <c r="AF1870" s="20" t="s">
        <v>2425</v>
      </c>
      <c r="AG1870" s="10"/>
      <c r="AH1870" s="22" t="str">
        <f t="shared" si="58"/>
        <v xml:space="preserve">Lima_Sur_03 Yauyos </v>
      </c>
      <c r="AI1870" s="10" t="s">
        <v>2303</v>
      </c>
      <c r="AJ1870" s="20" t="s">
        <v>2275</v>
      </c>
      <c r="AK1870" s="22" t="str">
        <f t="shared" si="59"/>
        <v>Lima_Sur_03 Yauyos _09 Chocos</v>
      </c>
      <c r="AL1870" s="25">
        <v>5</v>
      </c>
      <c r="AM1870" s="25">
        <v>2</v>
      </c>
      <c r="AN1870" s="26">
        <f>Tabla2[[#This Row],[Minutos]]/60</f>
        <v>3.3333333333333333E-2</v>
      </c>
      <c r="AO1870" s="27">
        <f>SUM(Tabla2[[#This Row],[Horas]],Tabla2[[#This Row],[Minutos a Horas]])</f>
        <v>5.0333333333333332</v>
      </c>
      <c r="AP1870" s="49">
        <v>3</v>
      </c>
      <c r="AQ1870" s="49">
        <v>21</v>
      </c>
      <c r="AR1870" s="26">
        <f>Tabla2[[#This Row],[Minutos*]]/60</f>
        <v>0.35</v>
      </c>
      <c r="AS1870" s="27">
        <f>SUM(Tabla2[[#This Row],[Horas*]],Tabla2[[#This Row],[Minutos a Horas*]])+(Tabla2[[#This Row],[Tiempo Total a Nivel Proncincial (Horas)]])</f>
        <v>8.3833333333333329</v>
      </c>
    </row>
    <row r="1871" spans="30:45" hidden="1" x14ac:dyDescent="0.25">
      <c r="AD1871" s="20" t="s">
        <v>2402</v>
      </c>
      <c r="AE1871" s="10" t="s">
        <v>397</v>
      </c>
      <c r="AF1871" s="20" t="s">
        <v>2425</v>
      </c>
      <c r="AG1871" s="10"/>
      <c r="AH1871" s="22" t="str">
        <f t="shared" si="58"/>
        <v xml:space="preserve">Lima_Sur_03 Yauyos </v>
      </c>
      <c r="AI1871" s="10" t="s">
        <v>2303</v>
      </c>
      <c r="AJ1871" s="20" t="s">
        <v>2276</v>
      </c>
      <c r="AK1871" s="22" t="str">
        <f t="shared" si="59"/>
        <v>Lima_Sur_03 Yauyos _10 Cochas</v>
      </c>
      <c r="AL1871" s="25">
        <v>5</v>
      </c>
      <c r="AM1871" s="25">
        <v>2</v>
      </c>
      <c r="AN1871" s="26">
        <f>Tabla2[[#This Row],[Minutos]]/60</f>
        <v>3.3333333333333333E-2</v>
      </c>
      <c r="AO1871" s="27">
        <f>SUM(Tabla2[[#This Row],[Horas]],Tabla2[[#This Row],[Minutos a Horas]])</f>
        <v>5.0333333333333332</v>
      </c>
      <c r="AP1871" s="49">
        <v>4</v>
      </c>
      <c r="AQ1871" s="49">
        <v>51</v>
      </c>
      <c r="AR1871" s="26">
        <f>Tabla2[[#This Row],[Minutos*]]/60</f>
        <v>0.85</v>
      </c>
      <c r="AS1871" s="27">
        <f>SUM(Tabla2[[#This Row],[Horas*]],Tabla2[[#This Row],[Minutos a Horas*]])+(Tabla2[[#This Row],[Tiempo Total a Nivel Proncincial (Horas)]])</f>
        <v>9.8833333333333329</v>
      </c>
    </row>
    <row r="1872" spans="30:45" hidden="1" x14ac:dyDescent="0.25">
      <c r="AD1872" s="20" t="s">
        <v>2402</v>
      </c>
      <c r="AE1872" s="10" t="s">
        <v>397</v>
      </c>
      <c r="AF1872" s="20" t="s">
        <v>2425</v>
      </c>
      <c r="AG1872" s="10"/>
      <c r="AH1872" s="22" t="str">
        <f t="shared" si="58"/>
        <v xml:space="preserve">Lima_Sur_03 Yauyos </v>
      </c>
      <c r="AI1872" s="10" t="s">
        <v>2303</v>
      </c>
      <c r="AJ1872" s="20" t="s">
        <v>2277</v>
      </c>
      <c r="AK1872" s="22" t="str">
        <f t="shared" si="59"/>
        <v>Lima_Sur_03 Yauyos _11 Colonia</v>
      </c>
      <c r="AL1872" s="25">
        <v>5</v>
      </c>
      <c r="AM1872" s="25">
        <v>2</v>
      </c>
      <c r="AN1872" s="26">
        <f>Tabla2[[#This Row],[Minutos]]/60</f>
        <v>3.3333333333333333E-2</v>
      </c>
      <c r="AO1872" s="27">
        <f>SUM(Tabla2[[#This Row],[Horas]],Tabla2[[#This Row],[Minutos a Horas]])</f>
        <v>5.0333333333333332</v>
      </c>
      <c r="AP1872" s="49">
        <v>4</v>
      </c>
      <c r="AQ1872" s="49">
        <v>54</v>
      </c>
      <c r="AR1872" s="26">
        <f>Tabla2[[#This Row],[Minutos*]]/60</f>
        <v>0.9</v>
      </c>
      <c r="AS1872" s="27">
        <f>SUM(Tabla2[[#This Row],[Horas*]],Tabla2[[#This Row],[Minutos a Horas*]])+(Tabla2[[#This Row],[Tiempo Total a Nivel Proncincial (Horas)]])</f>
        <v>9.9333333333333336</v>
      </c>
    </row>
    <row r="1873" spans="30:45" hidden="1" x14ac:dyDescent="0.25">
      <c r="AD1873" s="20" t="s">
        <v>2402</v>
      </c>
      <c r="AE1873" s="10" t="s">
        <v>397</v>
      </c>
      <c r="AF1873" s="20" t="s">
        <v>2425</v>
      </c>
      <c r="AG1873" s="10"/>
      <c r="AH1873" s="22" t="str">
        <f t="shared" si="58"/>
        <v xml:space="preserve">Lima_Sur_03 Yauyos </v>
      </c>
      <c r="AI1873" s="10" t="s">
        <v>2303</v>
      </c>
      <c r="AJ1873" s="20" t="s">
        <v>2278</v>
      </c>
      <c r="AK1873" s="22" t="str">
        <f t="shared" si="59"/>
        <v>Lima_Sur_03 Yauyos _12 Hongos</v>
      </c>
      <c r="AL1873" s="25">
        <v>5</v>
      </c>
      <c r="AM1873" s="25">
        <v>2</v>
      </c>
      <c r="AN1873" s="26">
        <f>Tabla2[[#This Row],[Minutos]]/60</f>
        <v>3.3333333333333333E-2</v>
      </c>
      <c r="AO1873" s="27">
        <f>SUM(Tabla2[[#This Row],[Horas]],Tabla2[[#This Row],[Minutos a Horas]])</f>
        <v>5.0333333333333332</v>
      </c>
      <c r="AP1873" s="49">
        <v>4</v>
      </c>
      <c r="AQ1873" s="49">
        <v>39</v>
      </c>
      <c r="AR1873" s="26">
        <f>Tabla2[[#This Row],[Minutos*]]/60</f>
        <v>0.65</v>
      </c>
      <c r="AS1873" s="27">
        <f>SUM(Tabla2[[#This Row],[Horas*]],Tabla2[[#This Row],[Minutos a Horas*]])+(Tabla2[[#This Row],[Tiempo Total a Nivel Proncincial (Horas)]])</f>
        <v>9.6833333333333336</v>
      </c>
    </row>
    <row r="1874" spans="30:45" hidden="1" x14ac:dyDescent="0.25">
      <c r="AD1874" s="20" t="s">
        <v>2402</v>
      </c>
      <c r="AE1874" s="10" t="s">
        <v>397</v>
      </c>
      <c r="AF1874" s="20" t="s">
        <v>2425</v>
      </c>
      <c r="AG1874" s="10"/>
      <c r="AH1874" s="22" t="str">
        <f t="shared" si="58"/>
        <v xml:space="preserve">Lima_Sur_03 Yauyos </v>
      </c>
      <c r="AI1874" s="10" t="s">
        <v>2303</v>
      </c>
      <c r="AJ1874" s="20" t="s">
        <v>2279</v>
      </c>
      <c r="AK1874" s="22" t="str">
        <f t="shared" si="59"/>
        <v>Lima_Sur_03 Yauyos _13 Huampara</v>
      </c>
      <c r="AL1874" s="25">
        <v>5</v>
      </c>
      <c r="AM1874" s="25">
        <v>2</v>
      </c>
      <c r="AN1874" s="26">
        <f>Tabla2[[#This Row],[Minutos]]/60</f>
        <v>3.3333333333333333E-2</v>
      </c>
      <c r="AO1874" s="27">
        <f>SUM(Tabla2[[#This Row],[Horas]],Tabla2[[#This Row],[Minutos a Horas]])</f>
        <v>5.0333333333333332</v>
      </c>
      <c r="AP1874" s="49">
        <v>3</v>
      </c>
      <c r="AQ1874" s="49">
        <v>12</v>
      </c>
      <c r="AR1874" s="26">
        <f>Tabla2[[#This Row],[Minutos*]]/60</f>
        <v>0.2</v>
      </c>
      <c r="AS1874" s="27">
        <f>SUM(Tabla2[[#This Row],[Horas*]],Tabla2[[#This Row],[Minutos a Horas*]])+(Tabla2[[#This Row],[Tiempo Total a Nivel Proncincial (Horas)]])</f>
        <v>8.2333333333333343</v>
      </c>
    </row>
    <row r="1875" spans="30:45" hidden="1" x14ac:dyDescent="0.25">
      <c r="AD1875" s="20" t="s">
        <v>2402</v>
      </c>
      <c r="AE1875" s="10" t="s">
        <v>397</v>
      </c>
      <c r="AF1875" s="20" t="s">
        <v>2425</v>
      </c>
      <c r="AG1875" s="10"/>
      <c r="AH1875" s="22" t="str">
        <f t="shared" si="58"/>
        <v xml:space="preserve">Lima_Sur_03 Yauyos </v>
      </c>
      <c r="AI1875" s="10" t="s">
        <v>2303</v>
      </c>
      <c r="AJ1875" s="20" t="s">
        <v>2280</v>
      </c>
      <c r="AK1875" s="22" t="str">
        <f t="shared" si="59"/>
        <v>Lima_Sur_03 Yauyos _14 Huancaya</v>
      </c>
      <c r="AL1875" s="25">
        <v>5</v>
      </c>
      <c r="AM1875" s="25">
        <v>2</v>
      </c>
      <c r="AN1875" s="26">
        <f>Tabla2[[#This Row],[Minutos]]/60</f>
        <v>3.3333333333333333E-2</v>
      </c>
      <c r="AO1875" s="27">
        <f>SUM(Tabla2[[#This Row],[Horas]],Tabla2[[#This Row],[Minutos a Horas]])</f>
        <v>5.0333333333333332</v>
      </c>
      <c r="AP1875" s="49">
        <v>5</v>
      </c>
      <c r="AQ1875" s="49">
        <v>41</v>
      </c>
      <c r="AR1875" s="26">
        <f>Tabla2[[#This Row],[Minutos*]]/60</f>
        <v>0.68333333333333335</v>
      </c>
      <c r="AS1875" s="27">
        <f>SUM(Tabla2[[#This Row],[Horas*]],Tabla2[[#This Row],[Minutos a Horas*]])+(Tabla2[[#This Row],[Tiempo Total a Nivel Proncincial (Horas)]])</f>
        <v>10.716666666666667</v>
      </c>
    </row>
    <row r="1876" spans="30:45" hidden="1" x14ac:dyDescent="0.25">
      <c r="AD1876" s="20" t="s">
        <v>2402</v>
      </c>
      <c r="AE1876" s="10" t="s">
        <v>397</v>
      </c>
      <c r="AF1876" s="20" t="s">
        <v>2425</v>
      </c>
      <c r="AG1876" s="10"/>
      <c r="AH1876" s="22" t="str">
        <f t="shared" si="58"/>
        <v xml:space="preserve">Lima_Sur_03 Yauyos </v>
      </c>
      <c r="AI1876" s="10" t="s">
        <v>2303</v>
      </c>
      <c r="AJ1876" s="20" t="s">
        <v>2281</v>
      </c>
      <c r="AK1876" s="22" t="str">
        <f t="shared" si="59"/>
        <v>Lima_Sur_03 Yauyos _15 Huangascar</v>
      </c>
      <c r="AL1876" s="25">
        <v>5</v>
      </c>
      <c r="AM1876" s="25">
        <v>2</v>
      </c>
      <c r="AN1876" s="26">
        <f>Tabla2[[#This Row],[Minutos]]/60</f>
        <v>3.3333333333333333E-2</v>
      </c>
      <c r="AO1876" s="27">
        <f>SUM(Tabla2[[#This Row],[Horas]],Tabla2[[#This Row],[Minutos a Horas]])</f>
        <v>5.0333333333333332</v>
      </c>
      <c r="AP1876" s="49">
        <v>4</v>
      </c>
      <c r="AQ1876" s="49">
        <v>10</v>
      </c>
      <c r="AR1876" s="26">
        <f>Tabla2[[#This Row],[Minutos*]]/60</f>
        <v>0.16666666666666666</v>
      </c>
      <c r="AS1876" s="27">
        <f>SUM(Tabla2[[#This Row],[Horas*]],Tabla2[[#This Row],[Minutos a Horas*]])+(Tabla2[[#This Row],[Tiempo Total a Nivel Proncincial (Horas)]])</f>
        <v>9.1999999999999993</v>
      </c>
    </row>
    <row r="1877" spans="30:45" hidden="1" x14ac:dyDescent="0.25">
      <c r="AD1877" s="20" t="s">
        <v>2402</v>
      </c>
      <c r="AE1877" s="10" t="s">
        <v>397</v>
      </c>
      <c r="AF1877" s="20" t="s">
        <v>2425</v>
      </c>
      <c r="AG1877" s="10"/>
      <c r="AH1877" s="22" t="str">
        <f t="shared" si="58"/>
        <v xml:space="preserve">Lima_Sur_03 Yauyos </v>
      </c>
      <c r="AI1877" s="10" t="s">
        <v>2303</v>
      </c>
      <c r="AJ1877" s="20" t="s">
        <v>2282</v>
      </c>
      <c r="AK1877" s="22" t="str">
        <f t="shared" si="59"/>
        <v>Lima_Sur_03 Yauyos _16 Huantan</v>
      </c>
      <c r="AL1877" s="25">
        <v>5</v>
      </c>
      <c r="AM1877" s="25">
        <v>2</v>
      </c>
      <c r="AN1877" s="26">
        <f>Tabla2[[#This Row],[Minutos]]/60</f>
        <v>3.3333333333333333E-2</v>
      </c>
      <c r="AO1877" s="27">
        <f>SUM(Tabla2[[#This Row],[Horas]],Tabla2[[#This Row],[Minutos a Horas]])</f>
        <v>5.0333333333333332</v>
      </c>
      <c r="AP1877" s="49">
        <v>4</v>
      </c>
      <c r="AQ1877" s="49">
        <v>52</v>
      </c>
      <c r="AR1877" s="26">
        <f>Tabla2[[#This Row],[Minutos*]]/60</f>
        <v>0.8666666666666667</v>
      </c>
      <c r="AS1877" s="27">
        <f>SUM(Tabla2[[#This Row],[Horas*]],Tabla2[[#This Row],[Minutos a Horas*]])+(Tabla2[[#This Row],[Tiempo Total a Nivel Proncincial (Horas)]])</f>
        <v>9.9</v>
      </c>
    </row>
    <row r="1878" spans="30:45" hidden="1" x14ac:dyDescent="0.25">
      <c r="AD1878" s="20" t="s">
        <v>2402</v>
      </c>
      <c r="AE1878" s="10" t="s">
        <v>397</v>
      </c>
      <c r="AF1878" s="20" t="s">
        <v>2425</v>
      </c>
      <c r="AG1878" s="10"/>
      <c r="AH1878" s="22" t="str">
        <f t="shared" si="58"/>
        <v xml:space="preserve">Lima_Sur_03 Yauyos </v>
      </c>
      <c r="AI1878" s="10" t="s">
        <v>2303</v>
      </c>
      <c r="AJ1878" s="20" t="s">
        <v>2283</v>
      </c>
      <c r="AK1878" s="22" t="str">
        <f t="shared" si="59"/>
        <v>Lima_Sur_03 Yauyos _17 Huañec</v>
      </c>
      <c r="AL1878" s="25">
        <v>5</v>
      </c>
      <c r="AM1878" s="25">
        <v>2</v>
      </c>
      <c r="AN1878" s="26">
        <f>Tabla2[[#This Row],[Minutos]]/60</f>
        <v>3.3333333333333333E-2</v>
      </c>
      <c r="AO1878" s="27">
        <f>SUM(Tabla2[[#This Row],[Horas]],Tabla2[[#This Row],[Minutos a Horas]])</f>
        <v>5.0333333333333332</v>
      </c>
      <c r="AP1878" s="49">
        <v>3</v>
      </c>
      <c r="AQ1878" s="49">
        <v>32</v>
      </c>
      <c r="AR1878" s="26">
        <f>Tabla2[[#This Row],[Minutos*]]/60</f>
        <v>0.53333333333333333</v>
      </c>
      <c r="AS1878" s="27">
        <f>SUM(Tabla2[[#This Row],[Horas*]],Tabla2[[#This Row],[Minutos a Horas*]])+(Tabla2[[#This Row],[Tiempo Total a Nivel Proncincial (Horas)]])</f>
        <v>8.5666666666666664</v>
      </c>
    </row>
    <row r="1879" spans="30:45" hidden="1" x14ac:dyDescent="0.25">
      <c r="AD1879" s="20" t="s">
        <v>2402</v>
      </c>
      <c r="AE1879" s="10" t="s">
        <v>397</v>
      </c>
      <c r="AF1879" s="20" t="s">
        <v>2425</v>
      </c>
      <c r="AG1879" s="10"/>
      <c r="AH1879" s="22" t="str">
        <f t="shared" si="58"/>
        <v xml:space="preserve">Lima_Sur_03 Yauyos </v>
      </c>
      <c r="AI1879" s="10" t="s">
        <v>2303</v>
      </c>
      <c r="AJ1879" s="20" t="s">
        <v>2284</v>
      </c>
      <c r="AK1879" s="22" t="str">
        <f t="shared" si="59"/>
        <v>Lima_Sur_03 Yauyos _18 Laraos</v>
      </c>
      <c r="AL1879" s="25">
        <v>5</v>
      </c>
      <c r="AM1879" s="25">
        <v>2</v>
      </c>
      <c r="AN1879" s="26">
        <f>Tabla2[[#This Row],[Minutos]]/60</f>
        <v>3.3333333333333333E-2</v>
      </c>
      <c r="AO1879" s="27">
        <f>SUM(Tabla2[[#This Row],[Horas]],Tabla2[[#This Row],[Minutos a Horas]])</f>
        <v>5.0333333333333332</v>
      </c>
      <c r="AP1879" s="49">
        <v>5</v>
      </c>
      <c r="AQ1879" s="49">
        <v>32</v>
      </c>
      <c r="AR1879" s="26">
        <f>Tabla2[[#This Row],[Minutos*]]/60</f>
        <v>0.53333333333333333</v>
      </c>
      <c r="AS1879" s="27">
        <f>SUM(Tabla2[[#This Row],[Horas*]],Tabla2[[#This Row],[Minutos a Horas*]])+(Tabla2[[#This Row],[Tiempo Total a Nivel Proncincial (Horas)]])</f>
        <v>10.566666666666666</v>
      </c>
    </row>
    <row r="1880" spans="30:45" hidden="1" x14ac:dyDescent="0.25">
      <c r="AD1880" s="20" t="s">
        <v>2402</v>
      </c>
      <c r="AE1880" s="10" t="s">
        <v>397</v>
      </c>
      <c r="AF1880" s="20" t="s">
        <v>2425</v>
      </c>
      <c r="AG1880" s="10"/>
      <c r="AH1880" s="22" t="str">
        <f t="shared" si="58"/>
        <v xml:space="preserve">Lima_Sur_03 Yauyos </v>
      </c>
      <c r="AI1880" s="10" t="s">
        <v>2303</v>
      </c>
      <c r="AJ1880" s="20" t="s">
        <v>2285</v>
      </c>
      <c r="AK1880" s="22" t="str">
        <f t="shared" si="59"/>
        <v>Lima_Sur_03 Yauyos _19 Lincha</v>
      </c>
      <c r="AL1880" s="25">
        <v>5</v>
      </c>
      <c r="AM1880" s="25">
        <v>2</v>
      </c>
      <c r="AN1880" s="26">
        <f>Tabla2[[#This Row],[Minutos]]/60</f>
        <v>3.3333333333333333E-2</v>
      </c>
      <c r="AO1880" s="27">
        <f>SUM(Tabla2[[#This Row],[Horas]],Tabla2[[#This Row],[Minutos a Horas]])</f>
        <v>5.0333333333333332</v>
      </c>
      <c r="AP1880" s="49">
        <v>4</v>
      </c>
      <c r="AQ1880" s="49">
        <v>26</v>
      </c>
      <c r="AR1880" s="26">
        <f>Tabla2[[#This Row],[Minutos*]]/60</f>
        <v>0.43333333333333335</v>
      </c>
      <c r="AS1880" s="27">
        <f>SUM(Tabla2[[#This Row],[Horas*]],Tabla2[[#This Row],[Minutos a Horas*]])+(Tabla2[[#This Row],[Tiempo Total a Nivel Proncincial (Horas)]])</f>
        <v>9.4666666666666668</v>
      </c>
    </row>
    <row r="1881" spans="30:45" hidden="1" x14ac:dyDescent="0.25">
      <c r="AD1881" s="20" t="s">
        <v>2402</v>
      </c>
      <c r="AE1881" s="10" t="s">
        <v>397</v>
      </c>
      <c r="AF1881" s="20" t="s">
        <v>2425</v>
      </c>
      <c r="AG1881" s="10"/>
      <c r="AH1881" s="22" t="str">
        <f t="shared" si="58"/>
        <v xml:space="preserve">Lima_Sur_03 Yauyos </v>
      </c>
      <c r="AI1881" s="10" t="s">
        <v>2303</v>
      </c>
      <c r="AJ1881" s="20" t="s">
        <v>2286</v>
      </c>
      <c r="AK1881" s="22" t="str">
        <f t="shared" si="59"/>
        <v>Lima_Sur_03 Yauyos _20 Madean</v>
      </c>
      <c r="AL1881" s="25">
        <v>5</v>
      </c>
      <c r="AM1881" s="25">
        <v>2</v>
      </c>
      <c r="AN1881" s="26">
        <f>Tabla2[[#This Row],[Minutos]]/60</f>
        <v>3.3333333333333333E-2</v>
      </c>
      <c r="AO1881" s="27">
        <f>SUM(Tabla2[[#This Row],[Horas]],Tabla2[[#This Row],[Minutos a Horas]])</f>
        <v>5.0333333333333332</v>
      </c>
      <c r="AP1881" s="49">
        <v>4</v>
      </c>
      <c r="AQ1881" s="49">
        <v>36</v>
      </c>
      <c r="AR1881" s="26">
        <f>Tabla2[[#This Row],[Minutos*]]/60</f>
        <v>0.6</v>
      </c>
      <c r="AS1881" s="27">
        <f>SUM(Tabla2[[#This Row],[Horas*]],Tabla2[[#This Row],[Minutos a Horas*]])+(Tabla2[[#This Row],[Tiempo Total a Nivel Proncincial (Horas)]])</f>
        <v>9.6333333333333329</v>
      </c>
    </row>
    <row r="1882" spans="30:45" hidden="1" x14ac:dyDescent="0.25">
      <c r="AD1882" s="20" t="s">
        <v>2402</v>
      </c>
      <c r="AE1882" s="10" t="s">
        <v>397</v>
      </c>
      <c r="AF1882" s="20" t="s">
        <v>2425</v>
      </c>
      <c r="AG1882" s="10"/>
      <c r="AH1882" s="22" t="str">
        <f t="shared" si="58"/>
        <v xml:space="preserve">Lima_Sur_03 Yauyos </v>
      </c>
      <c r="AI1882" s="10" t="s">
        <v>2303</v>
      </c>
      <c r="AJ1882" s="20" t="s">
        <v>2287</v>
      </c>
      <c r="AK1882" s="22" t="str">
        <f t="shared" si="59"/>
        <v>Lima_Sur_03 Yauyos _21 Miraflores</v>
      </c>
      <c r="AL1882" s="25">
        <v>5</v>
      </c>
      <c r="AM1882" s="25">
        <v>2</v>
      </c>
      <c r="AN1882" s="26">
        <f>Tabla2[[#This Row],[Minutos]]/60</f>
        <v>3.3333333333333333E-2</v>
      </c>
      <c r="AO1882" s="27">
        <f>SUM(Tabla2[[#This Row],[Horas]],Tabla2[[#This Row],[Minutos a Horas]])</f>
        <v>5.0333333333333332</v>
      </c>
      <c r="AP1882" s="49">
        <v>5</v>
      </c>
      <c r="AQ1882" s="49">
        <v>32</v>
      </c>
      <c r="AR1882" s="26">
        <f>Tabla2[[#This Row],[Minutos*]]/60</f>
        <v>0.53333333333333333</v>
      </c>
      <c r="AS1882" s="27">
        <f>SUM(Tabla2[[#This Row],[Horas*]],Tabla2[[#This Row],[Minutos a Horas*]])+(Tabla2[[#This Row],[Tiempo Total a Nivel Proncincial (Horas)]])</f>
        <v>10.566666666666666</v>
      </c>
    </row>
    <row r="1883" spans="30:45" hidden="1" x14ac:dyDescent="0.25">
      <c r="AD1883" s="20" t="s">
        <v>2402</v>
      </c>
      <c r="AE1883" s="10" t="s">
        <v>397</v>
      </c>
      <c r="AF1883" s="20" t="s">
        <v>2425</v>
      </c>
      <c r="AG1883" s="10"/>
      <c r="AH1883" s="22" t="str">
        <f t="shared" si="58"/>
        <v xml:space="preserve">Lima_Sur_03 Yauyos </v>
      </c>
      <c r="AI1883" s="10" t="s">
        <v>2303</v>
      </c>
      <c r="AJ1883" s="20" t="s">
        <v>2288</v>
      </c>
      <c r="AK1883" s="22" t="str">
        <f t="shared" si="59"/>
        <v>Lima_Sur_03 Yauyos _22 Omas</v>
      </c>
      <c r="AL1883" s="25">
        <v>5</v>
      </c>
      <c r="AM1883" s="25">
        <v>2</v>
      </c>
      <c r="AN1883" s="26">
        <f>Tabla2[[#This Row],[Minutos]]/60</f>
        <v>3.3333333333333333E-2</v>
      </c>
      <c r="AO1883" s="27">
        <f>SUM(Tabla2[[#This Row],[Horas]],Tabla2[[#This Row],[Minutos a Horas]])</f>
        <v>5.0333333333333332</v>
      </c>
      <c r="AP1883" s="49">
        <v>2</v>
      </c>
      <c r="AQ1883" s="49">
        <v>24</v>
      </c>
      <c r="AR1883" s="26">
        <f>Tabla2[[#This Row],[Minutos*]]/60</f>
        <v>0.4</v>
      </c>
      <c r="AS1883" s="27">
        <f>SUM(Tabla2[[#This Row],[Horas*]],Tabla2[[#This Row],[Minutos a Horas*]])+(Tabla2[[#This Row],[Tiempo Total a Nivel Proncincial (Horas)]])</f>
        <v>7.4333333333333336</v>
      </c>
    </row>
    <row r="1884" spans="30:45" hidden="1" x14ac:dyDescent="0.25">
      <c r="AD1884" s="20" t="s">
        <v>2402</v>
      </c>
      <c r="AE1884" s="10" t="s">
        <v>397</v>
      </c>
      <c r="AF1884" s="20" t="s">
        <v>2425</v>
      </c>
      <c r="AG1884" s="10"/>
      <c r="AH1884" s="22" t="str">
        <f t="shared" si="58"/>
        <v xml:space="preserve">Lima_Sur_03 Yauyos </v>
      </c>
      <c r="AI1884" s="10" t="s">
        <v>2303</v>
      </c>
      <c r="AJ1884" s="20" t="s">
        <v>2289</v>
      </c>
      <c r="AK1884" s="22" t="str">
        <f t="shared" si="59"/>
        <v>Lima_Sur_03 Yauyos _23 Putinza</v>
      </c>
      <c r="AL1884" s="25">
        <v>5</v>
      </c>
      <c r="AM1884" s="25">
        <v>2</v>
      </c>
      <c r="AN1884" s="26">
        <f>Tabla2[[#This Row],[Minutos]]/60</f>
        <v>3.3333333333333333E-2</v>
      </c>
      <c r="AO1884" s="27">
        <f>SUM(Tabla2[[#This Row],[Horas]],Tabla2[[#This Row],[Minutos a Horas]])</f>
        <v>5.0333333333333332</v>
      </c>
      <c r="AP1884" s="49">
        <v>4</v>
      </c>
      <c r="AQ1884" s="49">
        <v>14</v>
      </c>
      <c r="AR1884" s="26">
        <f>Tabla2[[#This Row],[Minutos*]]/60</f>
        <v>0.23333333333333334</v>
      </c>
      <c r="AS1884" s="27">
        <f>SUM(Tabla2[[#This Row],[Horas*]],Tabla2[[#This Row],[Minutos a Horas*]])+(Tabla2[[#This Row],[Tiempo Total a Nivel Proncincial (Horas)]])</f>
        <v>9.2666666666666657</v>
      </c>
    </row>
    <row r="1885" spans="30:45" hidden="1" x14ac:dyDescent="0.25">
      <c r="AD1885" s="20" t="s">
        <v>2402</v>
      </c>
      <c r="AE1885" s="10" t="s">
        <v>397</v>
      </c>
      <c r="AF1885" s="20" t="s">
        <v>2425</v>
      </c>
      <c r="AG1885" s="10"/>
      <c r="AH1885" s="22" t="str">
        <f t="shared" ref="AH1885:AH1937" si="60">CONCATENATE(AD1885,"_",AF1885)</f>
        <v xml:space="preserve">Lima_Sur_03 Yauyos </v>
      </c>
      <c r="AI1885" s="10" t="s">
        <v>2303</v>
      </c>
      <c r="AJ1885" s="20" t="s">
        <v>2290</v>
      </c>
      <c r="AK1885" s="22" t="str">
        <f t="shared" ref="AK1885:AK1937" si="61">CONCATENATE(AH1885,"_",AJ1885)</f>
        <v>Lima_Sur_03 Yauyos _24 Quinches</v>
      </c>
      <c r="AL1885" s="25">
        <v>5</v>
      </c>
      <c r="AM1885" s="25">
        <v>2</v>
      </c>
      <c r="AN1885" s="26">
        <f>Tabla2[[#This Row],[Minutos]]/60</f>
        <v>3.3333333333333333E-2</v>
      </c>
      <c r="AO1885" s="27">
        <f>SUM(Tabla2[[#This Row],[Horas]],Tabla2[[#This Row],[Minutos a Horas]])</f>
        <v>5.0333333333333332</v>
      </c>
      <c r="AP1885" s="49">
        <v>5</v>
      </c>
      <c r="AQ1885" s="49">
        <v>1</v>
      </c>
      <c r="AR1885" s="26">
        <f>Tabla2[[#This Row],[Minutos*]]/60</f>
        <v>1.6666666666666666E-2</v>
      </c>
      <c r="AS1885" s="27">
        <f>SUM(Tabla2[[#This Row],[Horas*]],Tabla2[[#This Row],[Minutos a Horas*]])+(Tabla2[[#This Row],[Tiempo Total a Nivel Proncincial (Horas)]])</f>
        <v>10.050000000000001</v>
      </c>
    </row>
    <row r="1886" spans="30:45" hidden="1" x14ac:dyDescent="0.25">
      <c r="AD1886" s="20" t="s">
        <v>2402</v>
      </c>
      <c r="AE1886" s="10" t="s">
        <v>397</v>
      </c>
      <c r="AF1886" s="20" t="s">
        <v>2425</v>
      </c>
      <c r="AG1886" s="10"/>
      <c r="AH1886" s="22" t="str">
        <f t="shared" si="60"/>
        <v xml:space="preserve">Lima_Sur_03 Yauyos </v>
      </c>
      <c r="AI1886" s="10" t="s">
        <v>2303</v>
      </c>
      <c r="AJ1886" s="20" t="s">
        <v>2291</v>
      </c>
      <c r="AK1886" s="22" t="str">
        <f t="shared" si="61"/>
        <v>Lima_Sur_03 Yauyos _25 Quinocay</v>
      </c>
      <c r="AL1886" s="25">
        <v>5</v>
      </c>
      <c r="AM1886" s="25">
        <v>2</v>
      </c>
      <c r="AN1886" s="26">
        <f>Tabla2[[#This Row],[Minutos]]/60</f>
        <v>3.3333333333333333E-2</v>
      </c>
      <c r="AO1886" s="27">
        <f>SUM(Tabla2[[#This Row],[Horas]],Tabla2[[#This Row],[Minutos a Horas]])</f>
        <v>5.0333333333333332</v>
      </c>
      <c r="AP1886" s="49">
        <v>3</v>
      </c>
      <c r="AQ1886" s="49">
        <v>1</v>
      </c>
      <c r="AR1886" s="26">
        <f>Tabla2[[#This Row],[Minutos*]]/60</f>
        <v>1.6666666666666666E-2</v>
      </c>
      <c r="AS1886" s="27">
        <f>SUM(Tabla2[[#This Row],[Horas*]],Tabla2[[#This Row],[Minutos a Horas*]])+(Tabla2[[#This Row],[Tiempo Total a Nivel Proncincial (Horas)]])</f>
        <v>8.0500000000000007</v>
      </c>
    </row>
    <row r="1887" spans="30:45" hidden="1" x14ac:dyDescent="0.25">
      <c r="AD1887" s="20" t="s">
        <v>2402</v>
      </c>
      <c r="AE1887" s="10" t="s">
        <v>397</v>
      </c>
      <c r="AF1887" s="20" t="s">
        <v>2425</v>
      </c>
      <c r="AG1887" s="10"/>
      <c r="AH1887" s="22" t="str">
        <f t="shared" si="60"/>
        <v xml:space="preserve">Lima_Sur_03 Yauyos </v>
      </c>
      <c r="AI1887" s="10" t="s">
        <v>2303</v>
      </c>
      <c r="AJ1887" s="20" t="s">
        <v>2292</v>
      </c>
      <c r="AK1887" s="22" t="str">
        <f t="shared" si="61"/>
        <v>Lima_Sur_03 Yauyos _26 San Joaquín</v>
      </c>
      <c r="AL1887" s="25">
        <v>5</v>
      </c>
      <c r="AM1887" s="25">
        <v>2</v>
      </c>
      <c r="AN1887" s="26">
        <f>Tabla2[[#This Row],[Minutos]]/60</f>
        <v>3.3333333333333333E-2</v>
      </c>
      <c r="AO1887" s="27">
        <f>SUM(Tabla2[[#This Row],[Horas]],Tabla2[[#This Row],[Minutos a Horas]])</f>
        <v>5.0333333333333332</v>
      </c>
      <c r="AP1887" s="49">
        <v>3</v>
      </c>
      <c r="AQ1887" s="49">
        <v>32</v>
      </c>
      <c r="AR1887" s="26">
        <f>Tabla2[[#This Row],[Minutos*]]/60</f>
        <v>0.53333333333333333</v>
      </c>
      <c r="AS1887" s="27">
        <f>SUM(Tabla2[[#This Row],[Horas*]],Tabla2[[#This Row],[Minutos a Horas*]])+(Tabla2[[#This Row],[Tiempo Total a Nivel Proncincial (Horas)]])</f>
        <v>8.5666666666666664</v>
      </c>
    </row>
    <row r="1888" spans="30:45" hidden="1" x14ac:dyDescent="0.25">
      <c r="AD1888" s="20" t="s">
        <v>2402</v>
      </c>
      <c r="AE1888" s="10" t="s">
        <v>397</v>
      </c>
      <c r="AF1888" s="20" t="s">
        <v>2425</v>
      </c>
      <c r="AG1888" s="10"/>
      <c r="AH1888" s="22" t="str">
        <f t="shared" si="60"/>
        <v xml:space="preserve">Lima_Sur_03 Yauyos </v>
      </c>
      <c r="AI1888" s="10" t="s">
        <v>2303</v>
      </c>
      <c r="AJ1888" s="20" t="s">
        <v>2293</v>
      </c>
      <c r="AK1888" s="22" t="str">
        <f t="shared" si="61"/>
        <v>Lima_Sur_03 Yauyos _27 San Pedro de Pilas</v>
      </c>
      <c r="AL1888" s="25">
        <v>5</v>
      </c>
      <c r="AM1888" s="25">
        <v>2</v>
      </c>
      <c r="AN1888" s="26">
        <f>Tabla2[[#This Row],[Minutos]]/60</f>
        <v>3.3333333333333333E-2</v>
      </c>
      <c r="AO1888" s="27">
        <f>SUM(Tabla2[[#This Row],[Horas]],Tabla2[[#This Row],[Minutos a Horas]])</f>
        <v>5.0333333333333332</v>
      </c>
      <c r="AP1888" s="49">
        <v>2</v>
      </c>
      <c r="AQ1888" s="49">
        <v>38</v>
      </c>
      <c r="AR1888" s="26">
        <f>Tabla2[[#This Row],[Minutos*]]/60</f>
        <v>0.6333333333333333</v>
      </c>
      <c r="AS1888" s="27">
        <f>SUM(Tabla2[[#This Row],[Horas*]],Tabla2[[#This Row],[Minutos a Horas*]])+(Tabla2[[#This Row],[Tiempo Total a Nivel Proncincial (Horas)]])</f>
        <v>7.6666666666666661</v>
      </c>
    </row>
    <row r="1889" spans="30:45" hidden="1" x14ac:dyDescent="0.25">
      <c r="AD1889" s="20" t="s">
        <v>2402</v>
      </c>
      <c r="AE1889" s="10" t="s">
        <v>397</v>
      </c>
      <c r="AF1889" s="20" t="s">
        <v>2425</v>
      </c>
      <c r="AG1889" s="10"/>
      <c r="AH1889" s="22" t="str">
        <f t="shared" si="60"/>
        <v xml:space="preserve">Lima_Sur_03 Yauyos </v>
      </c>
      <c r="AI1889" s="10" t="s">
        <v>2303</v>
      </c>
      <c r="AJ1889" s="20" t="s">
        <v>2294</v>
      </c>
      <c r="AK1889" s="22" t="str">
        <f t="shared" si="61"/>
        <v>Lima_Sur_03 Yauyos _28 Tanta</v>
      </c>
      <c r="AL1889" s="25">
        <v>5</v>
      </c>
      <c r="AM1889" s="25">
        <v>2</v>
      </c>
      <c r="AN1889" s="26">
        <f>Tabla2[[#This Row],[Minutos]]/60</f>
        <v>3.3333333333333333E-2</v>
      </c>
      <c r="AO1889" s="27">
        <f>SUM(Tabla2[[#This Row],[Horas]],Tabla2[[#This Row],[Minutos a Horas]])</f>
        <v>5.0333333333333332</v>
      </c>
      <c r="AP1889" s="49">
        <v>5</v>
      </c>
      <c r="AQ1889" s="49">
        <v>7</v>
      </c>
      <c r="AR1889" s="26">
        <f>Tabla2[[#This Row],[Minutos*]]/60</f>
        <v>0.11666666666666667</v>
      </c>
      <c r="AS1889" s="27">
        <f>SUM(Tabla2[[#This Row],[Horas*]],Tabla2[[#This Row],[Minutos a Horas*]])+(Tabla2[[#This Row],[Tiempo Total a Nivel Proncincial (Horas)]])</f>
        <v>10.149999999999999</v>
      </c>
    </row>
    <row r="1890" spans="30:45" hidden="1" x14ac:dyDescent="0.25">
      <c r="AD1890" s="20" t="s">
        <v>2402</v>
      </c>
      <c r="AE1890" s="10" t="s">
        <v>397</v>
      </c>
      <c r="AF1890" s="20" t="s">
        <v>2425</v>
      </c>
      <c r="AG1890" s="10"/>
      <c r="AH1890" s="22" t="str">
        <f t="shared" si="60"/>
        <v xml:space="preserve">Lima_Sur_03 Yauyos </v>
      </c>
      <c r="AI1890" s="10" t="s">
        <v>2303</v>
      </c>
      <c r="AJ1890" s="20" t="s">
        <v>2295</v>
      </c>
      <c r="AK1890" s="22" t="str">
        <f t="shared" si="61"/>
        <v>Lima_Sur_03 Yauyos _29 Tauripampa</v>
      </c>
      <c r="AL1890" s="25">
        <v>5</v>
      </c>
      <c r="AM1890" s="25">
        <v>2</v>
      </c>
      <c r="AN1890" s="26">
        <f>Tabla2[[#This Row],[Minutos]]/60</f>
        <v>3.3333333333333333E-2</v>
      </c>
      <c r="AO1890" s="27">
        <f>SUM(Tabla2[[#This Row],[Horas]],Tabla2[[#This Row],[Minutos a Horas]])</f>
        <v>5.0333333333333332</v>
      </c>
      <c r="AP1890" s="49">
        <v>2</v>
      </c>
      <c r="AQ1890" s="49">
        <v>40</v>
      </c>
      <c r="AR1890" s="26">
        <f>Tabla2[[#This Row],[Minutos*]]/60</f>
        <v>0.66666666666666663</v>
      </c>
      <c r="AS1890" s="27">
        <f>SUM(Tabla2[[#This Row],[Horas*]],Tabla2[[#This Row],[Minutos a Horas*]])+(Tabla2[[#This Row],[Tiempo Total a Nivel Proncincial (Horas)]])</f>
        <v>7.6999999999999993</v>
      </c>
    </row>
    <row r="1891" spans="30:45" hidden="1" x14ac:dyDescent="0.25">
      <c r="AD1891" s="20" t="s">
        <v>2402</v>
      </c>
      <c r="AE1891" s="10" t="s">
        <v>397</v>
      </c>
      <c r="AF1891" s="20" t="s">
        <v>2425</v>
      </c>
      <c r="AG1891" s="10"/>
      <c r="AH1891" s="22" t="str">
        <f t="shared" si="60"/>
        <v xml:space="preserve">Lima_Sur_03 Yauyos </v>
      </c>
      <c r="AI1891" s="10" t="s">
        <v>2303</v>
      </c>
      <c r="AJ1891" s="20" t="s">
        <v>2296</v>
      </c>
      <c r="AK1891" s="22" t="str">
        <f t="shared" si="61"/>
        <v>Lima_Sur_03 Yauyos _30 Tomas</v>
      </c>
      <c r="AL1891" s="25">
        <v>5</v>
      </c>
      <c r="AM1891" s="25">
        <v>2</v>
      </c>
      <c r="AN1891" s="26">
        <f>Tabla2[[#This Row],[Minutos]]/60</f>
        <v>3.3333333333333333E-2</v>
      </c>
      <c r="AO1891" s="27">
        <f>SUM(Tabla2[[#This Row],[Horas]],Tabla2[[#This Row],[Minutos a Horas]])</f>
        <v>5.0333333333333332</v>
      </c>
      <c r="AP1891" s="49">
        <v>5</v>
      </c>
      <c r="AQ1891" s="49">
        <v>10</v>
      </c>
      <c r="AR1891" s="26">
        <f>Tabla2[[#This Row],[Minutos*]]/60</f>
        <v>0.16666666666666666</v>
      </c>
      <c r="AS1891" s="27">
        <f>SUM(Tabla2[[#This Row],[Horas*]],Tabla2[[#This Row],[Minutos a Horas*]])+(Tabla2[[#This Row],[Tiempo Total a Nivel Proncincial (Horas)]])</f>
        <v>10.199999999999999</v>
      </c>
    </row>
    <row r="1892" spans="30:45" hidden="1" x14ac:dyDescent="0.25">
      <c r="AD1892" s="20" t="s">
        <v>2402</v>
      </c>
      <c r="AE1892" s="10" t="s">
        <v>397</v>
      </c>
      <c r="AF1892" s="20" t="s">
        <v>2425</v>
      </c>
      <c r="AG1892" s="10"/>
      <c r="AH1892" s="22" t="str">
        <f t="shared" si="60"/>
        <v xml:space="preserve">Lima_Sur_03 Yauyos </v>
      </c>
      <c r="AI1892" s="10" t="s">
        <v>2303</v>
      </c>
      <c r="AJ1892" s="20" t="s">
        <v>2297</v>
      </c>
      <c r="AK1892" s="22" t="str">
        <f t="shared" si="61"/>
        <v>Lima_Sur_03 Yauyos _31 Tupe</v>
      </c>
      <c r="AL1892" s="25">
        <v>5</v>
      </c>
      <c r="AM1892" s="25">
        <v>2</v>
      </c>
      <c r="AN1892" s="26">
        <f>Tabla2[[#This Row],[Minutos]]/60</f>
        <v>3.3333333333333333E-2</v>
      </c>
      <c r="AO1892" s="27">
        <f>SUM(Tabla2[[#This Row],[Horas]],Tabla2[[#This Row],[Minutos a Horas]])</f>
        <v>5.0333333333333332</v>
      </c>
      <c r="AP1892" s="49">
        <v>3</v>
      </c>
      <c r="AQ1892" s="49">
        <v>50</v>
      </c>
      <c r="AR1892" s="26">
        <f>Tabla2[[#This Row],[Minutos*]]/60</f>
        <v>0.83333333333333337</v>
      </c>
      <c r="AS1892" s="27">
        <f>SUM(Tabla2[[#This Row],[Horas*]],Tabla2[[#This Row],[Minutos a Horas*]])+(Tabla2[[#This Row],[Tiempo Total a Nivel Proncincial (Horas)]])</f>
        <v>8.8666666666666671</v>
      </c>
    </row>
    <row r="1893" spans="30:45" hidden="1" x14ac:dyDescent="0.25">
      <c r="AD1893" s="20" t="s">
        <v>2402</v>
      </c>
      <c r="AE1893" s="10" t="s">
        <v>397</v>
      </c>
      <c r="AF1893" s="20" t="s">
        <v>2425</v>
      </c>
      <c r="AG1893" s="10"/>
      <c r="AH1893" s="22" t="str">
        <f t="shared" si="60"/>
        <v xml:space="preserve">Lima_Sur_03 Yauyos </v>
      </c>
      <c r="AI1893" s="10" t="s">
        <v>2303</v>
      </c>
      <c r="AJ1893" s="20" t="s">
        <v>2298</v>
      </c>
      <c r="AK1893" s="22" t="str">
        <f t="shared" si="61"/>
        <v>Lima_Sur_03 Yauyos _32 Viñac</v>
      </c>
      <c r="AL1893" s="25">
        <v>5</v>
      </c>
      <c r="AM1893" s="25">
        <v>2</v>
      </c>
      <c r="AN1893" s="26">
        <f>Tabla2[[#This Row],[Minutos]]/60</f>
        <v>3.3333333333333333E-2</v>
      </c>
      <c r="AO1893" s="27">
        <f>SUM(Tabla2[[#This Row],[Horas]],Tabla2[[#This Row],[Minutos a Horas]])</f>
        <v>5.0333333333333332</v>
      </c>
      <c r="AP1893" s="49">
        <v>4</v>
      </c>
      <c r="AQ1893" s="49">
        <v>20</v>
      </c>
      <c r="AR1893" s="26">
        <f>Tabla2[[#This Row],[Minutos*]]/60</f>
        <v>0.33333333333333331</v>
      </c>
      <c r="AS1893" s="27">
        <f>SUM(Tabla2[[#This Row],[Horas*]],Tabla2[[#This Row],[Minutos a Horas*]])+(Tabla2[[#This Row],[Tiempo Total a Nivel Proncincial (Horas)]])</f>
        <v>9.3666666666666671</v>
      </c>
    </row>
    <row r="1894" spans="30:45" hidden="1" x14ac:dyDescent="0.25">
      <c r="AD1894" s="20" t="s">
        <v>2402</v>
      </c>
      <c r="AE1894" s="10" t="s">
        <v>397</v>
      </c>
      <c r="AF1894" s="20" t="s">
        <v>2425</v>
      </c>
      <c r="AG1894" s="10"/>
      <c r="AH1894" s="22" t="str">
        <f t="shared" si="60"/>
        <v xml:space="preserve">Lima_Sur_03 Yauyos </v>
      </c>
      <c r="AI1894" s="10" t="s">
        <v>2303</v>
      </c>
      <c r="AJ1894" s="20" t="s">
        <v>2299</v>
      </c>
      <c r="AK1894" s="22" t="str">
        <f t="shared" si="61"/>
        <v>Lima_Sur_03 Yauyos _33 Vitis</v>
      </c>
      <c r="AL1894" s="25">
        <v>5</v>
      </c>
      <c r="AM1894" s="25">
        <v>2</v>
      </c>
      <c r="AN1894" s="26">
        <f>Tabla2[[#This Row],[Minutos]]/60</f>
        <v>3.3333333333333333E-2</v>
      </c>
      <c r="AO1894" s="27">
        <f>SUM(Tabla2[[#This Row],[Horas]],Tabla2[[#This Row],[Minutos a Horas]])</f>
        <v>5.0333333333333332</v>
      </c>
      <c r="AP1894" s="49">
        <v>5</v>
      </c>
      <c r="AQ1894" s="49">
        <v>10</v>
      </c>
      <c r="AR1894" s="26">
        <f>Tabla2[[#This Row],[Minutos*]]/60</f>
        <v>0.16666666666666666</v>
      </c>
      <c r="AS1894" s="27">
        <f>SUM(Tabla2[[#This Row],[Horas*]],Tabla2[[#This Row],[Minutos a Horas*]])+(Tabla2[[#This Row],[Tiempo Total a Nivel Proncincial (Horas)]])</f>
        <v>10.199999999999999</v>
      </c>
    </row>
    <row r="1895" spans="30:45" hidden="1" x14ac:dyDescent="0.25">
      <c r="AD1895" s="20" t="s">
        <v>2402</v>
      </c>
      <c r="AE1895" s="10" t="s">
        <v>397</v>
      </c>
      <c r="AF1895" s="20" t="s">
        <v>2114</v>
      </c>
      <c r="AG1895" s="10"/>
      <c r="AH1895" s="22" t="str">
        <f t="shared" si="60"/>
        <v xml:space="preserve">Lima_Sur_01 Lima </v>
      </c>
      <c r="AI1895" s="10" t="s">
        <v>2304</v>
      </c>
      <c r="AJ1895" s="20" t="s">
        <v>2162</v>
      </c>
      <c r="AK1895" s="22" t="str">
        <f t="shared" si="61"/>
        <v>Lima_Sur_01 Lima _01 Lima</v>
      </c>
      <c r="AL1895" s="25">
        <v>2</v>
      </c>
      <c r="AM1895" s="25">
        <v>0</v>
      </c>
      <c r="AN1895" s="26">
        <f>Tabla2[[#This Row],[Minutos]]/60</f>
        <v>0</v>
      </c>
      <c r="AO1895" s="27">
        <f>SUM(Tabla2[[#This Row],[Horas]],Tabla2[[#This Row],[Minutos a Horas]])</f>
        <v>2</v>
      </c>
      <c r="AP1895" s="49">
        <v>1</v>
      </c>
      <c r="AQ1895" s="49">
        <v>10</v>
      </c>
      <c r="AR1895" s="26">
        <f>Tabla2[[#This Row],[Minutos*]]/60</f>
        <v>0.16666666666666666</v>
      </c>
      <c r="AS1895" s="27">
        <f>SUM(Tabla2[[#This Row],[Horas*]],Tabla2[[#This Row],[Minutos a Horas*]])+(Tabla2[[#This Row],[Tiempo Total a Nivel Proncincial (Horas)]])</f>
        <v>3.166666666666667</v>
      </c>
    </row>
    <row r="1896" spans="30:45" hidden="1" x14ac:dyDescent="0.25">
      <c r="AD1896" s="20" t="s">
        <v>2402</v>
      </c>
      <c r="AE1896" s="10" t="s">
        <v>397</v>
      </c>
      <c r="AF1896" s="20" t="s">
        <v>2114</v>
      </c>
      <c r="AG1896" s="10"/>
      <c r="AH1896" s="22" t="str">
        <f t="shared" si="60"/>
        <v xml:space="preserve">Lima_Sur_01 Lima </v>
      </c>
      <c r="AI1896" s="10" t="s">
        <v>2304</v>
      </c>
      <c r="AJ1896" s="20" t="s">
        <v>2163</v>
      </c>
      <c r="AK1896" s="22" t="str">
        <f t="shared" si="61"/>
        <v>Lima_Sur_01 Lima _02 Ancón</v>
      </c>
      <c r="AL1896" s="25">
        <v>2</v>
      </c>
      <c r="AM1896" s="25">
        <v>0</v>
      </c>
      <c r="AN1896" s="26">
        <f>Tabla2[[#This Row],[Minutos]]/60</f>
        <v>0</v>
      </c>
      <c r="AO1896" s="27">
        <f>SUM(Tabla2[[#This Row],[Horas]],Tabla2[[#This Row],[Minutos a Horas]])</f>
        <v>2</v>
      </c>
      <c r="AP1896" s="49">
        <v>1</v>
      </c>
      <c r="AQ1896" s="49">
        <v>40</v>
      </c>
      <c r="AR1896" s="26">
        <f>Tabla2[[#This Row],[Minutos*]]/60</f>
        <v>0.66666666666666663</v>
      </c>
      <c r="AS1896" s="27">
        <f>SUM(Tabla2[[#This Row],[Horas*]],Tabla2[[#This Row],[Minutos a Horas*]])+(Tabla2[[#This Row],[Tiempo Total a Nivel Proncincial (Horas)]])</f>
        <v>3.6666666666666665</v>
      </c>
    </row>
    <row r="1897" spans="30:45" hidden="1" x14ac:dyDescent="0.25">
      <c r="AD1897" s="20" t="s">
        <v>2402</v>
      </c>
      <c r="AE1897" s="10" t="s">
        <v>397</v>
      </c>
      <c r="AF1897" s="20" t="s">
        <v>2114</v>
      </c>
      <c r="AG1897" s="10"/>
      <c r="AH1897" s="22" t="str">
        <f t="shared" si="60"/>
        <v xml:space="preserve">Lima_Sur_01 Lima </v>
      </c>
      <c r="AI1897" s="10" t="s">
        <v>2304</v>
      </c>
      <c r="AJ1897" s="20" t="s">
        <v>2164</v>
      </c>
      <c r="AK1897" s="22" t="str">
        <f t="shared" si="61"/>
        <v>Lima_Sur_01 Lima _03 Ate</v>
      </c>
      <c r="AL1897" s="25">
        <v>2</v>
      </c>
      <c r="AM1897" s="25">
        <v>0</v>
      </c>
      <c r="AN1897" s="26">
        <f>Tabla2[[#This Row],[Minutos]]/60</f>
        <v>0</v>
      </c>
      <c r="AO1897" s="27">
        <f>SUM(Tabla2[[#This Row],[Horas]],Tabla2[[#This Row],[Minutos a Horas]])</f>
        <v>2</v>
      </c>
      <c r="AP1897" s="49"/>
      <c r="AQ1897" s="49">
        <v>50</v>
      </c>
      <c r="AR1897" s="26">
        <f>Tabla2[[#This Row],[Minutos*]]/60</f>
        <v>0.83333333333333337</v>
      </c>
      <c r="AS1897" s="27">
        <f>SUM(Tabla2[[#This Row],[Horas*]],Tabla2[[#This Row],[Minutos a Horas*]])+(Tabla2[[#This Row],[Tiempo Total a Nivel Proncincial (Horas)]])</f>
        <v>2.8333333333333335</v>
      </c>
    </row>
    <row r="1898" spans="30:45" hidden="1" x14ac:dyDescent="0.25">
      <c r="AD1898" s="20" t="s">
        <v>2402</v>
      </c>
      <c r="AE1898" s="10" t="s">
        <v>397</v>
      </c>
      <c r="AF1898" s="20" t="s">
        <v>2114</v>
      </c>
      <c r="AG1898" s="10"/>
      <c r="AH1898" s="22" t="str">
        <f t="shared" si="60"/>
        <v xml:space="preserve">Lima_Sur_01 Lima </v>
      </c>
      <c r="AI1898" s="10" t="s">
        <v>2304</v>
      </c>
      <c r="AJ1898" s="20" t="s">
        <v>2165</v>
      </c>
      <c r="AK1898" s="22" t="str">
        <f t="shared" si="61"/>
        <v>Lima_Sur_01 Lima _04 Barranco</v>
      </c>
      <c r="AL1898" s="25">
        <v>2</v>
      </c>
      <c r="AM1898" s="25">
        <v>0</v>
      </c>
      <c r="AN1898" s="26">
        <f>Tabla2[[#This Row],[Minutos]]/60</f>
        <v>0</v>
      </c>
      <c r="AO1898" s="27">
        <f>SUM(Tabla2[[#This Row],[Horas]],Tabla2[[#This Row],[Minutos a Horas]])</f>
        <v>2</v>
      </c>
      <c r="AP1898" s="49"/>
      <c r="AQ1898" s="49">
        <v>33</v>
      </c>
      <c r="AR1898" s="26">
        <f>Tabla2[[#This Row],[Minutos*]]/60</f>
        <v>0.55000000000000004</v>
      </c>
      <c r="AS1898" s="27">
        <f>SUM(Tabla2[[#This Row],[Horas*]],Tabla2[[#This Row],[Minutos a Horas*]])+(Tabla2[[#This Row],[Tiempo Total a Nivel Proncincial (Horas)]])</f>
        <v>2.5499999999999998</v>
      </c>
    </row>
    <row r="1899" spans="30:45" hidden="1" x14ac:dyDescent="0.25">
      <c r="AD1899" s="20" t="s">
        <v>2402</v>
      </c>
      <c r="AE1899" s="10" t="s">
        <v>397</v>
      </c>
      <c r="AF1899" s="20" t="s">
        <v>2114</v>
      </c>
      <c r="AG1899" s="10"/>
      <c r="AH1899" s="22" t="str">
        <f t="shared" si="60"/>
        <v xml:space="preserve">Lima_Sur_01 Lima </v>
      </c>
      <c r="AI1899" s="10" t="s">
        <v>2304</v>
      </c>
      <c r="AJ1899" s="20" t="s">
        <v>2166</v>
      </c>
      <c r="AK1899" s="22" t="str">
        <f t="shared" si="61"/>
        <v>Lima_Sur_01 Lima _05 Breña</v>
      </c>
      <c r="AL1899" s="25">
        <v>2</v>
      </c>
      <c r="AM1899" s="25">
        <v>0</v>
      </c>
      <c r="AN1899" s="26">
        <f>Tabla2[[#This Row],[Minutos]]/60</f>
        <v>0</v>
      </c>
      <c r="AO1899" s="27">
        <f>SUM(Tabla2[[#This Row],[Horas]],Tabla2[[#This Row],[Minutos a Horas]])</f>
        <v>2</v>
      </c>
      <c r="AP1899" s="49"/>
      <c r="AQ1899" s="49">
        <v>53</v>
      </c>
      <c r="AR1899" s="26">
        <f>Tabla2[[#This Row],[Minutos*]]/60</f>
        <v>0.8833333333333333</v>
      </c>
      <c r="AS1899" s="27">
        <f>SUM(Tabla2[[#This Row],[Horas*]],Tabla2[[#This Row],[Minutos a Horas*]])+(Tabla2[[#This Row],[Tiempo Total a Nivel Proncincial (Horas)]])</f>
        <v>2.8833333333333333</v>
      </c>
    </row>
    <row r="1900" spans="30:45" hidden="1" x14ac:dyDescent="0.25">
      <c r="AD1900" s="20" t="s">
        <v>2402</v>
      </c>
      <c r="AE1900" s="10" t="s">
        <v>397</v>
      </c>
      <c r="AF1900" s="20" t="s">
        <v>2114</v>
      </c>
      <c r="AG1900" s="10"/>
      <c r="AH1900" s="22" t="str">
        <f t="shared" si="60"/>
        <v xml:space="preserve">Lima_Sur_01 Lima </v>
      </c>
      <c r="AI1900" s="10" t="s">
        <v>2304</v>
      </c>
      <c r="AJ1900" s="20" t="s">
        <v>2167</v>
      </c>
      <c r="AK1900" s="22" t="str">
        <f t="shared" si="61"/>
        <v>Lima_Sur_01 Lima _06 Carabayllo</v>
      </c>
      <c r="AL1900" s="25">
        <v>2</v>
      </c>
      <c r="AM1900" s="25">
        <v>0</v>
      </c>
      <c r="AN1900" s="26">
        <f>Tabla2[[#This Row],[Minutos]]/60</f>
        <v>0</v>
      </c>
      <c r="AO1900" s="27">
        <f>SUM(Tabla2[[#This Row],[Horas]],Tabla2[[#This Row],[Minutos a Horas]])</f>
        <v>2</v>
      </c>
      <c r="AP1900" s="49">
        <v>1</v>
      </c>
      <c r="AQ1900" s="49">
        <v>40</v>
      </c>
      <c r="AR1900" s="26">
        <f>Tabla2[[#This Row],[Minutos*]]/60</f>
        <v>0.66666666666666663</v>
      </c>
      <c r="AS1900" s="27">
        <f>SUM(Tabla2[[#This Row],[Horas*]],Tabla2[[#This Row],[Minutos a Horas*]])+(Tabla2[[#This Row],[Tiempo Total a Nivel Proncincial (Horas)]])</f>
        <v>3.6666666666666665</v>
      </c>
    </row>
    <row r="1901" spans="30:45" hidden="1" x14ac:dyDescent="0.25">
      <c r="AD1901" s="20" t="s">
        <v>2402</v>
      </c>
      <c r="AE1901" s="10" t="s">
        <v>397</v>
      </c>
      <c r="AF1901" s="20" t="s">
        <v>2114</v>
      </c>
      <c r="AG1901" s="10"/>
      <c r="AH1901" s="22" t="str">
        <f t="shared" si="60"/>
        <v xml:space="preserve">Lima_Sur_01 Lima </v>
      </c>
      <c r="AI1901" s="10" t="s">
        <v>2304</v>
      </c>
      <c r="AJ1901" s="20" t="s">
        <v>2168</v>
      </c>
      <c r="AK1901" s="22" t="str">
        <f t="shared" si="61"/>
        <v>Lima_Sur_01 Lima _07 Chaclacayo</v>
      </c>
      <c r="AL1901" s="25">
        <v>2</v>
      </c>
      <c r="AM1901" s="25">
        <v>0</v>
      </c>
      <c r="AN1901" s="26">
        <f>Tabla2[[#This Row],[Minutos]]/60</f>
        <v>0</v>
      </c>
      <c r="AO1901" s="27">
        <f>SUM(Tabla2[[#This Row],[Horas]],Tabla2[[#This Row],[Minutos a Horas]])</f>
        <v>2</v>
      </c>
      <c r="AP1901" s="49">
        <v>1</v>
      </c>
      <c r="AQ1901" s="49">
        <v>12</v>
      </c>
      <c r="AR1901" s="26">
        <f>Tabla2[[#This Row],[Minutos*]]/60</f>
        <v>0.2</v>
      </c>
      <c r="AS1901" s="27">
        <f>SUM(Tabla2[[#This Row],[Horas*]],Tabla2[[#This Row],[Minutos a Horas*]])+(Tabla2[[#This Row],[Tiempo Total a Nivel Proncincial (Horas)]])</f>
        <v>3.2</v>
      </c>
    </row>
    <row r="1902" spans="30:45" hidden="1" x14ac:dyDescent="0.25">
      <c r="AD1902" s="20" t="s">
        <v>2402</v>
      </c>
      <c r="AE1902" s="10" t="s">
        <v>397</v>
      </c>
      <c r="AF1902" s="20" t="s">
        <v>2114</v>
      </c>
      <c r="AG1902" s="10"/>
      <c r="AH1902" s="22" t="str">
        <f t="shared" si="60"/>
        <v xml:space="preserve">Lima_Sur_01 Lima </v>
      </c>
      <c r="AI1902" s="10" t="s">
        <v>2304</v>
      </c>
      <c r="AJ1902" s="20" t="s">
        <v>2169</v>
      </c>
      <c r="AK1902" s="22" t="str">
        <f t="shared" si="61"/>
        <v>Lima_Sur_01 Lima _08 Chorrillos</v>
      </c>
      <c r="AL1902" s="25">
        <v>2</v>
      </c>
      <c r="AM1902" s="25">
        <v>0</v>
      </c>
      <c r="AN1902" s="26">
        <f>Tabla2[[#This Row],[Minutos]]/60</f>
        <v>0</v>
      </c>
      <c r="AO1902" s="27">
        <f>SUM(Tabla2[[#This Row],[Horas]],Tabla2[[#This Row],[Minutos a Horas]])</f>
        <v>2</v>
      </c>
      <c r="AP1902" s="49"/>
      <c r="AQ1902" s="49">
        <v>27</v>
      </c>
      <c r="AR1902" s="26">
        <f>Tabla2[[#This Row],[Minutos*]]/60</f>
        <v>0.45</v>
      </c>
      <c r="AS1902" s="27">
        <f>SUM(Tabla2[[#This Row],[Horas*]],Tabla2[[#This Row],[Minutos a Horas*]])+(Tabla2[[#This Row],[Tiempo Total a Nivel Proncincial (Horas)]])</f>
        <v>2.4500000000000002</v>
      </c>
    </row>
    <row r="1903" spans="30:45" hidden="1" x14ac:dyDescent="0.25">
      <c r="AD1903" s="20" t="s">
        <v>2402</v>
      </c>
      <c r="AE1903" s="10" t="s">
        <v>397</v>
      </c>
      <c r="AF1903" s="20" t="s">
        <v>2114</v>
      </c>
      <c r="AG1903" s="10"/>
      <c r="AH1903" s="22" t="str">
        <f t="shared" si="60"/>
        <v xml:space="preserve">Lima_Sur_01 Lima </v>
      </c>
      <c r="AI1903" s="10" t="s">
        <v>2304</v>
      </c>
      <c r="AJ1903" s="20" t="s">
        <v>2170</v>
      </c>
      <c r="AK1903" s="22" t="str">
        <f t="shared" si="61"/>
        <v>Lima_Sur_01 Lima _09 Cieneguilla</v>
      </c>
      <c r="AL1903" s="25">
        <v>2</v>
      </c>
      <c r="AM1903" s="25">
        <v>0</v>
      </c>
      <c r="AN1903" s="26">
        <f>Tabla2[[#This Row],[Minutos]]/60</f>
        <v>0</v>
      </c>
      <c r="AO1903" s="27">
        <f>SUM(Tabla2[[#This Row],[Horas]],Tabla2[[#This Row],[Minutos a Horas]])</f>
        <v>2</v>
      </c>
      <c r="AP1903" s="49">
        <v>1</v>
      </c>
      <c r="AQ1903" s="49">
        <v>15</v>
      </c>
      <c r="AR1903" s="26">
        <f>Tabla2[[#This Row],[Minutos*]]/60</f>
        <v>0.25</v>
      </c>
      <c r="AS1903" s="27">
        <f>SUM(Tabla2[[#This Row],[Horas*]],Tabla2[[#This Row],[Minutos a Horas*]])+(Tabla2[[#This Row],[Tiempo Total a Nivel Proncincial (Horas)]])</f>
        <v>3.25</v>
      </c>
    </row>
    <row r="1904" spans="30:45" hidden="1" x14ac:dyDescent="0.25">
      <c r="AD1904" s="20" t="s">
        <v>2402</v>
      </c>
      <c r="AE1904" s="10" t="s">
        <v>397</v>
      </c>
      <c r="AF1904" s="20" t="s">
        <v>2114</v>
      </c>
      <c r="AG1904" s="10"/>
      <c r="AH1904" s="22" t="str">
        <f t="shared" si="60"/>
        <v xml:space="preserve">Lima_Sur_01 Lima </v>
      </c>
      <c r="AI1904" s="10" t="s">
        <v>2304</v>
      </c>
      <c r="AJ1904" s="20" t="s">
        <v>2171</v>
      </c>
      <c r="AK1904" s="22" t="str">
        <f t="shared" si="61"/>
        <v>Lima_Sur_01 Lima _10 Comas</v>
      </c>
      <c r="AL1904" s="25">
        <v>2</v>
      </c>
      <c r="AM1904" s="25">
        <v>0</v>
      </c>
      <c r="AN1904" s="26">
        <f>Tabla2[[#This Row],[Minutos]]/60</f>
        <v>0</v>
      </c>
      <c r="AO1904" s="27">
        <f>SUM(Tabla2[[#This Row],[Horas]],Tabla2[[#This Row],[Minutos a Horas]])</f>
        <v>2</v>
      </c>
      <c r="AP1904" s="49">
        <v>1</v>
      </c>
      <c r="AQ1904" s="49">
        <v>5</v>
      </c>
      <c r="AR1904" s="26">
        <f>Tabla2[[#This Row],[Minutos*]]/60</f>
        <v>8.3333333333333329E-2</v>
      </c>
      <c r="AS1904" s="27">
        <f>SUM(Tabla2[[#This Row],[Horas*]],Tabla2[[#This Row],[Minutos a Horas*]])+(Tabla2[[#This Row],[Tiempo Total a Nivel Proncincial (Horas)]])</f>
        <v>3.083333333333333</v>
      </c>
    </row>
    <row r="1905" spans="30:45" hidden="1" x14ac:dyDescent="0.25">
      <c r="AD1905" s="20" t="s">
        <v>2402</v>
      </c>
      <c r="AE1905" s="10" t="s">
        <v>397</v>
      </c>
      <c r="AF1905" s="20" t="s">
        <v>2114</v>
      </c>
      <c r="AG1905" s="10"/>
      <c r="AH1905" s="22" t="str">
        <f t="shared" si="60"/>
        <v xml:space="preserve">Lima_Sur_01 Lima </v>
      </c>
      <c r="AI1905" s="10" t="s">
        <v>2304</v>
      </c>
      <c r="AJ1905" s="20" t="s">
        <v>2172</v>
      </c>
      <c r="AK1905" s="22" t="str">
        <f t="shared" si="61"/>
        <v>Lima_Sur_01 Lima _11 El Agustino</v>
      </c>
      <c r="AL1905" s="25">
        <v>2</v>
      </c>
      <c r="AM1905" s="25">
        <v>0</v>
      </c>
      <c r="AN1905" s="26">
        <f>Tabla2[[#This Row],[Minutos]]/60</f>
        <v>0</v>
      </c>
      <c r="AO1905" s="27">
        <f>SUM(Tabla2[[#This Row],[Horas]],Tabla2[[#This Row],[Minutos a Horas]])</f>
        <v>2</v>
      </c>
      <c r="AP1905" s="49"/>
      <c r="AQ1905" s="49">
        <v>42</v>
      </c>
      <c r="AR1905" s="26">
        <f>Tabla2[[#This Row],[Minutos*]]/60</f>
        <v>0.7</v>
      </c>
      <c r="AS1905" s="27">
        <f>SUM(Tabla2[[#This Row],[Horas*]],Tabla2[[#This Row],[Minutos a Horas*]])+(Tabla2[[#This Row],[Tiempo Total a Nivel Proncincial (Horas)]])</f>
        <v>2.7</v>
      </c>
    </row>
    <row r="1906" spans="30:45" hidden="1" x14ac:dyDescent="0.25">
      <c r="AD1906" s="20" t="s">
        <v>2402</v>
      </c>
      <c r="AE1906" s="10" t="s">
        <v>397</v>
      </c>
      <c r="AF1906" s="20" t="s">
        <v>2114</v>
      </c>
      <c r="AG1906" s="10"/>
      <c r="AH1906" s="22" t="str">
        <f t="shared" si="60"/>
        <v xml:space="preserve">Lima_Sur_01 Lima </v>
      </c>
      <c r="AI1906" s="10" t="s">
        <v>2304</v>
      </c>
      <c r="AJ1906" s="20" t="s">
        <v>2173</v>
      </c>
      <c r="AK1906" s="22" t="str">
        <f t="shared" si="61"/>
        <v>Lima_Sur_01 Lima _12 Independencia</v>
      </c>
      <c r="AL1906" s="25">
        <v>2</v>
      </c>
      <c r="AM1906" s="25">
        <v>0</v>
      </c>
      <c r="AN1906" s="26">
        <f>Tabla2[[#This Row],[Minutos]]/60</f>
        <v>0</v>
      </c>
      <c r="AO1906" s="27">
        <f>SUM(Tabla2[[#This Row],[Horas]],Tabla2[[#This Row],[Minutos a Horas]])</f>
        <v>2</v>
      </c>
      <c r="AP1906" s="49"/>
      <c r="AQ1906" s="49">
        <v>58</v>
      </c>
      <c r="AR1906" s="26">
        <f>Tabla2[[#This Row],[Minutos*]]/60</f>
        <v>0.96666666666666667</v>
      </c>
      <c r="AS1906" s="27">
        <f>SUM(Tabla2[[#This Row],[Horas*]],Tabla2[[#This Row],[Minutos a Horas*]])+(Tabla2[[#This Row],[Tiempo Total a Nivel Proncincial (Horas)]])</f>
        <v>2.9666666666666668</v>
      </c>
    </row>
    <row r="1907" spans="30:45" hidden="1" x14ac:dyDescent="0.25">
      <c r="AD1907" s="20" t="s">
        <v>2402</v>
      </c>
      <c r="AE1907" s="10" t="s">
        <v>397</v>
      </c>
      <c r="AF1907" s="20" t="s">
        <v>2114</v>
      </c>
      <c r="AG1907" s="10"/>
      <c r="AH1907" s="22" t="str">
        <f t="shared" si="60"/>
        <v xml:space="preserve">Lima_Sur_01 Lima </v>
      </c>
      <c r="AI1907" s="10" t="s">
        <v>2304</v>
      </c>
      <c r="AJ1907" s="20" t="s">
        <v>2174</v>
      </c>
      <c r="AK1907" s="22" t="str">
        <f t="shared" si="61"/>
        <v>Lima_Sur_01 Lima _13 Jesús María</v>
      </c>
      <c r="AL1907" s="25">
        <v>2</v>
      </c>
      <c r="AM1907" s="25">
        <v>0</v>
      </c>
      <c r="AN1907" s="26">
        <f>Tabla2[[#This Row],[Minutos]]/60</f>
        <v>0</v>
      </c>
      <c r="AO1907" s="27">
        <f>SUM(Tabla2[[#This Row],[Horas]],Tabla2[[#This Row],[Minutos a Horas]])</f>
        <v>2</v>
      </c>
      <c r="AP1907" s="49"/>
      <c r="AQ1907" s="49">
        <v>49</v>
      </c>
      <c r="AR1907" s="26">
        <f>Tabla2[[#This Row],[Minutos*]]/60</f>
        <v>0.81666666666666665</v>
      </c>
      <c r="AS1907" s="27">
        <f>SUM(Tabla2[[#This Row],[Horas*]],Tabla2[[#This Row],[Minutos a Horas*]])+(Tabla2[[#This Row],[Tiempo Total a Nivel Proncincial (Horas)]])</f>
        <v>2.8166666666666664</v>
      </c>
    </row>
    <row r="1908" spans="30:45" hidden="1" x14ac:dyDescent="0.25">
      <c r="AD1908" s="20" t="s">
        <v>2402</v>
      </c>
      <c r="AE1908" s="10" t="s">
        <v>397</v>
      </c>
      <c r="AF1908" s="20" t="s">
        <v>2114</v>
      </c>
      <c r="AG1908" s="10"/>
      <c r="AH1908" s="22" t="str">
        <f t="shared" si="60"/>
        <v xml:space="preserve">Lima_Sur_01 Lima </v>
      </c>
      <c r="AI1908" s="10" t="s">
        <v>2304</v>
      </c>
      <c r="AJ1908" s="20" t="s">
        <v>2175</v>
      </c>
      <c r="AK1908" s="22" t="str">
        <f t="shared" si="61"/>
        <v>Lima_Sur_01 Lima _14 La Molina</v>
      </c>
      <c r="AL1908" s="25">
        <v>2</v>
      </c>
      <c r="AM1908" s="25">
        <v>0</v>
      </c>
      <c r="AN1908" s="26">
        <f>Tabla2[[#This Row],[Minutos]]/60</f>
        <v>0</v>
      </c>
      <c r="AO1908" s="27">
        <f>SUM(Tabla2[[#This Row],[Horas]],Tabla2[[#This Row],[Minutos a Horas]])</f>
        <v>2</v>
      </c>
      <c r="AP1908" s="49"/>
      <c r="AQ1908" s="49">
        <v>35</v>
      </c>
      <c r="AR1908" s="26">
        <f>Tabla2[[#This Row],[Minutos*]]/60</f>
        <v>0.58333333333333337</v>
      </c>
      <c r="AS1908" s="27">
        <f>SUM(Tabla2[[#This Row],[Horas*]],Tabla2[[#This Row],[Minutos a Horas*]])+(Tabla2[[#This Row],[Tiempo Total a Nivel Proncincial (Horas)]])</f>
        <v>2.5833333333333335</v>
      </c>
    </row>
    <row r="1909" spans="30:45" hidden="1" x14ac:dyDescent="0.25">
      <c r="AD1909" s="20" t="s">
        <v>2402</v>
      </c>
      <c r="AE1909" s="10" t="s">
        <v>397</v>
      </c>
      <c r="AF1909" s="20" t="s">
        <v>2114</v>
      </c>
      <c r="AG1909" s="10"/>
      <c r="AH1909" s="22" t="str">
        <f t="shared" si="60"/>
        <v xml:space="preserve">Lima_Sur_01 Lima </v>
      </c>
      <c r="AI1909" s="10" t="s">
        <v>2304</v>
      </c>
      <c r="AJ1909" s="20" t="s">
        <v>2176</v>
      </c>
      <c r="AK1909" s="22" t="str">
        <f t="shared" si="61"/>
        <v>Lima_Sur_01 Lima _15 La Victoria</v>
      </c>
      <c r="AL1909" s="25">
        <v>2</v>
      </c>
      <c r="AM1909" s="25">
        <v>0</v>
      </c>
      <c r="AN1909" s="26">
        <f>Tabla2[[#This Row],[Minutos]]/60</f>
        <v>0</v>
      </c>
      <c r="AO1909" s="27">
        <f>SUM(Tabla2[[#This Row],[Horas]],Tabla2[[#This Row],[Minutos a Horas]])</f>
        <v>2</v>
      </c>
      <c r="AP1909" s="49"/>
      <c r="AQ1909" s="49">
        <v>38</v>
      </c>
      <c r="AR1909" s="26">
        <f>Tabla2[[#This Row],[Minutos*]]/60</f>
        <v>0.6333333333333333</v>
      </c>
      <c r="AS1909" s="27">
        <f>SUM(Tabla2[[#This Row],[Horas*]],Tabla2[[#This Row],[Minutos a Horas*]])+(Tabla2[[#This Row],[Tiempo Total a Nivel Proncincial (Horas)]])</f>
        <v>2.6333333333333333</v>
      </c>
    </row>
    <row r="1910" spans="30:45" hidden="1" x14ac:dyDescent="0.25">
      <c r="AD1910" s="20" t="s">
        <v>2402</v>
      </c>
      <c r="AE1910" s="10" t="s">
        <v>397</v>
      </c>
      <c r="AF1910" s="20" t="s">
        <v>2114</v>
      </c>
      <c r="AG1910" s="10"/>
      <c r="AH1910" s="22" t="str">
        <f t="shared" si="60"/>
        <v xml:space="preserve">Lima_Sur_01 Lima </v>
      </c>
      <c r="AI1910" s="10" t="s">
        <v>2304</v>
      </c>
      <c r="AJ1910" s="20" t="s">
        <v>2177</v>
      </c>
      <c r="AK1910" s="22" t="str">
        <f t="shared" si="61"/>
        <v>Lima_Sur_01 Lima _16 Lince</v>
      </c>
      <c r="AL1910" s="25">
        <v>2</v>
      </c>
      <c r="AM1910" s="25">
        <v>0</v>
      </c>
      <c r="AN1910" s="26">
        <f>Tabla2[[#This Row],[Minutos]]/60</f>
        <v>0</v>
      </c>
      <c r="AO1910" s="27">
        <f>SUM(Tabla2[[#This Row],[Horas]],Tabla2[[#This Row],[Minutos a Horas]])</f>
        <v>2</v>
      </c>
      <c r="AP1910" s="49"/>
      <c r="AQ1910" s="49">
        <v>44</v>
      </c>
      <c r="AR1910" s="26">
        <f>Tabla2[[#This Row],[Minutos*]]/60</f>
        <v>0.73333333333333328</v>
      </c>
      <c r="AS1910" s="27">
        <f>SUM(Tabla2[[#This Row],[Horas*]],Tabla2[[#This Row],[Minutos a Horas*]])+(Tabla2[[#This Row],[Tiempo Total a Nivel Proncincial (Horas)]])</f>
        <v>2.7333333333333334</v>
      </c>
    </row>
    <row r="1911" spans="30:45" hidden="1" x14ac:dyDescent="0.25">
      <c r="AD1911" s="20" t="s">
        <v>2402</v>
      </c>
      <c r="AE1911" s="10" t="s">
        <v>397</v>
      </c>
      <c r="AF1911" s="20" t="s">
        <v>2114</v>
      </c>
      <c r="AG1911" s="10"/>
      <c r="AH1911" s="22" t="str">
        <f t="shared" si="60"/>
        <v xml:space="preserve">Lima_Sur_01 Lima </v>
      </c>
      <c r="AI1911" s="10" t="s">
        <v>2304</v>
      </c>
      <c r="AJ1911" s="20" t="s">
        <v>2178</v>
      </c>
      <c r="AK1911" s="22" t="str">
        <f t="shared" si="61"/>
        <v>Lima_Sur_01 Lima _17 Los Olivos</v>
      </c>
      <c r="AL1911" s="25">
        <v>2</v>
      </c>
      <c r="AM1911" s="25">
        <v>0</v>
      </c>
      <c r="AN1911" s="26">
        <f>Tabla2[[#This Row],[Minutos]]/60</f>
        <v>0</v>
      </c>
      <c r="AO1911" s="27">
        <f>SUM(Tabla2[[#This Row],[Horas]],Tabla2[[#This Row],[Minutos a Horas]])</f>
        <v>2</v>
      </c>
      <c r="AP1911" s="49">
        <v>1</v>
      </c>
      <c r="AQ1911" s="49">
        <v>2</v>
      </c>
      <c r="AR1911" s="26">
        <f>Tabla2[[#This Row],[Minutos*]]/60</f>
        <v>3.3333333333333333E-2</v>
      </c>
      <c r="AS1911" s="27">
        <f>SUM(Tabla2[[#This Row],[Horas*]],Tabla2[[#This Row],[Minutos a Horas*]])+(Tabla2[[#This Row],[Tiempo Total a Nivel Proncincial (Horas)]])</f>
        <v>3.0333333333333332</v>
      </c>
    </row>
    <row r="1912" spans="30:45" hidden="1" x14ac:dyDescent="0.25">
      <c r="AD1912" s="20" t="s">
        <v>2402</v>
      </c>
      <c r="AE1912" s="10" t="s">
        <v>397</v>
      </c>
      <c r="AF1912" s="20" t="s">
        <v>2114</v>
      </c>
      <c r="AG1912" s="10"/>
      <c r="AH1912" s="22" t="str">
        <f t="shared" si="60"/>
        <v xml:space="preserve">Lima_Sur_01 Lima </v>
      </c>
      <c r="AI1912" s="10" t="s">
        <v>2304</v>
      </c>
      <c r="AJ1912" s="20" t="s">
        <v>2179</v>
      </c>
      <c r="AK1912" s="22" t="str">
        <f t="shared" si="61"/>
        <v>Lima_Sur_01 Lima _18 Lurigancho</v>
      </c>
      <c r="AL1912" s="25">
        <v>2</v>
      </c>
      <c r="AM1912" s="25">
        <v>0</v>
      </c>
      <c r="AN1912" s="26">
        <f>Tabla2[[#This Row],[Minutos]]/60</f>
        <v>0</v>
      </c>
      <c r="AO1912" s="27">
        <f>SUM(Tabla2[[#This Row],[Horas]],Tabla2[[#This Row],[Minutos a Horas]])</f>
        <v>2</v>
      </c>
      <c r="AP1912" s="49"/>
      <c r="AQ1912" s="49">
        <v>50</v>
      </c>
      <c r="AR1912" s="26">
        <f>Tabla2[[#This Row],[Minutos*]]/60</f>
        <v>0.83333333333333337</v>
      </c>
      <c r="AS1912" s="27">
        <f>SUM(Tabla2[[#This Row],[Horas*]],Tabla2[[#This Row],[Minutos a Horas*]])+(Tabla2[[#This Row],[Tiempo Total a Nivel Proncincial (Horas)]])</f>
        <v>2.8333333333333335</v>
      </c>
    </row>
    <row r="1913" spans="30:45" hidden="1" x14ac:dyDescent="0.25">
      <c r="AD1913" s="20" t="s">
        <v>2402</v>
      </c>
      <c r="AE1913" s="10" t="s">
        <v>397</v>
      </c>
      <c r="AF1913" s="20" t="s">
        <v>2114</v>
      </c>
      <c r="AG1913" s="10"/>
      <c r="AH1913" s="22" t="str">
        <f t="shared" si="60"/>
        <v xml:space="preserve">Lima_Sur_01 Lima </v>
      </c>
      <c r="AI1913" s="10" t="s">
        <v>2304</v>
      </c>
      <c r="AJ1913" s="20" t="s">
        <v>2180</v>
      </c>
      <c r="AK1913" s="22" t="str">
        <f t="shared" si="61"/>
        <v>Lima_Sur_01 Lima _19 Lurin</v>
      </c>
      <c r="AL1913" s="25">
        <v>2</v>
      </c>
      <c r="AM1913" s="25">
        <v>0</v>
      </c>
      <c r="AN1913" s="26">
        <f>Tabla2[[#This Row],[Minutos]]/60</f>
        <v>0</v>
      </c>
      <c r="AO1913" s="27">
        <f>SUM(Tabla2[[#This Row],[Horas]],Tabla2[[#This Row],[Minutos a Horas]])</f>
        <v>2</v>
      </c>
      <c r="AP1913" s="49"/>
      <c r="AQ1913" s="49">
        <v>36</v>
      </c>
      <c r="AR1913" s="26">
        <f>Tabla2[[#This Row],[Minutos*]]/60</f>
        <v>0.6</v>
      </c>
      <c r="AS1913" s="27">
        <f>SUM(Tabla2[[#This Row],[Horas*]],Tabla2[[#This Row],[Minutos a Horas*]])+(Tabla2[[#This Row],[Tiempo Total a Nivel Proncincial (Horas)]])</f>
        <v>2.6</v>
      </c>
    </row>
    <row r="1914" spans="30:45" hidden="1" x14ac:dyDescent="0.25">
      <c r="AD1914" s="20" t="s">
        <v>2402</v>
      </c>
      <c r="AE1914" s="10" t="s">
        <v>397</v>
      </c>
      <c r="AF1914" s="20" t="s">
        <v>2114</v>
      </c>
      <c r="AG1914" s="10"/>
      <c r="AH1914" s="22" t="str">
        <f t="shared" si="60"/>
        <v xml:space="preserve">Lima_Sur_01 Lima </v>
      </c>
      <c r="AI1914" s="10" t="s">
        <v>2304</v>
      </c>
      <c r="AJ1914" s="20" t="s">
        <v>2181</v>
      </c>
      <c r="AK1914" s="22" t="str">
        <f t="shared" si="61"/>
        <v>Lima_Sur_01 Lima _20 Magdalena del Mar</v>
      </c>
      <c r="AL1914" s="25">
        <v>2</v>
      </c>
      <c r="AM1914" s="25">
        <v>0</v>
      </c>
      <c r="AN1914" s="26">
        <f>Tabla2[[#This Row],[Minutos]]/60</f>
        <v>0</v>
      </c>
      <c r="AO1914" s="27">
        <f>SUM(Tabla2[[#This Row],[Horas]],Tabla2[[#This Row],[Minutos a Horas]])</f>
        <v>2</v>
      </c>
      <c r="AP1914" s="49"/>
      <c r="AQ1914" s="49">
        <v>52</v>
      </c>
      <c r="AR1914" s="26">
        <f>Tabla2[[#This Row],[Minutos*]]/60</f>
        <v>0.8666666666666667</v>
      </c>
      <c r="AS1914" s="27">
        <f>SUM(Tabla2[[#This Row],[Horas*]],Tabla2[[#This Row],[Minutos a Horas*]])+(Tabla2[[#This Row],[Tiempo Total a Nivel Proncincial (Horas)]])</f>
        <v>2.8666666666666667</v>
      </c>
    </row>
    <row r="1915" spans="30:45" hidden="1" x14ac:dyDescent="0.25">
      <c r="AD1915" s="20" t="s">
        <v>2402</v>
      </c>
      <c r="AE1915" s="10" t="s">
        <v>397</v>
      </c>
      <c r="AF1915" s="20" t="s">
        <v>2114</v>
      </c>
      <c r="AG1915" s="10"/>
      <c r="AH1915" s="22" t="str">
        <f t="shared" si="60"/>
        <v xml:space="preserve">Lima_Sur_01 Lima </v>
      </c>
      <c r="AI1915" s="10" t="s">
        <v>2304</v>
      </c>
      <c r="AJ1915" s="20" t="s">
        <v>2182</v>
      </c>
      <c r="AK1915" s="22" t="str">
        <f t="shared" si="61"/>
        <v>Lima_Sur_01 Lima _21 Pueblo Libre</v>
      </c>
      <c r="AL1915" s="25">
        <v>2</v>
      </c>
      <c r="AM1915" s="25">
        <v>0</v>
      </c>
      <c r="AN1915" s="26">
        <f>Tabla2[[#This Row],[Minutos]]/60</f>
        <v>0</v>
      </c>
      <c r="AO1915" s="27">
        <f>SUM(Tabla2[[#This Row],[Horas]],Tabla2[[#This Row],[Minutos a Horas]])</f>
        <v>2</v>
      </c>
      <c r="AP1915" s="49"/>
      <c r="AQ1915" s="49">
        <v>55</v>
      </c>
      <c r="AR1915" s="26">
        <f>Tabla2[[#This Row],[Minutos*]]/60</f>
        <v>0.91666666666666663</v>
      </c>
      <c r="AS1915" s="27">
        <f>SUM(Tabla2[[#This Row],[Horas*]],Tabla2[[#This Row],[Minutos a Horas*]])+(Tabla2[[#This Row],[Tiempo Total a Nivel Proncincial (Horas)]])</f>
        <v>2.9166666666666665</v>
      </c>
    </row>
    <row r="1916" spans="30:45" hidden="1" x14ac:dyDescent="0.25">
      <c r="AD1916" s="20" t="s">
        <v>2402</v>
      </c>
      <c r="AE1916" s="10" t="s">
        <v>397</v>
      </c>
      <c r="AF1916" s="20" t="s">
        <v>2114</v>
      </c>
      <c r="AG1916" s="10"/>
      <c r="AH1916" s="22" t="str">
        <f t="shared" si="60"/>
        <v xml:space="preserve">Lima_Sur_01 Lima </v>
      </c>
      <c r="AI1916" s="10" t="s">
        <v>2304</v>
      </c>
      <c r="AJ1916" s="20" t="s">
        <v>2183</v>
      </c>
      <c r="AK1916" s="22" t="str">
        <f t="shared" si="61"/>
        <v>Lima_Sur_01 Lima _22 Miraflores</v>
      </c>
      <c r="AL1916" s="25">
        <v>2</v>
      </c>
      <c r="AM1916" s="25">
        <v>0</v>
      </c>
      <c r="AN1916" s="26">
        <f>Tabla2[[#This Row],[Minutos]]/60</f>
        <v>0</v>
      </c>
      <c r="AO1916" s="27">
        <f>SUM(Tabla2[[#This Row],[Horas]],Tabla2[[#This Row],[Minutos a Horas]])</f>
        <v>2</v>
      </c>
      <c r="AP1916" s="49"/>
      <c r="AQ1916" s="49">
        <v>45</v>
      </c>
      <c r="AR1916" s="26">
        <f>Tabla2[[#This Row],[Minutos*]]/60</f>
        <v>0.75</v>
      </c>
      <c r="AS1916" s="27">
        <f>SUM(Tabla2[[#This Row],[Horas*]],Tabla2[[#This Row],[Minutos a Horas*]])+(Tabla2[[#This Row],[Tiempo Total a Nivel Proncincial (Horas)]])</f>
        <v>2.75</v>
      </c>
    </row>
    <row r="1917" spans="30:45" hidden="1" x14ac:dyDescent="0.25">
      <c r="AD1917" s="20" t="s">
        <v>2402</v>
      </c>
      <c r="AE1917" s="10" t="s">
        <v>397</v>
      </c>
      <c r="AF1917" s="20" t="s">
        <v>2114</v>
      </c>
      <c r="AG1917" s="10"/>
      <c r="AH1917" s="22" t="str">
        <f t="shared" si="60"/>
        <v xml:space="preserve">Lima_Sur_01 Lima </v>
      </c>
      <c r="AI1917" s="10" t="s">
        <v>2304</v>
      </c>
      <c r="AJ1917" s="20" t="s">
        <v>2184</v>
      </c>
      <c r="AK1917" s="22" t="str">
        <f t="shared" si="61"/>
        <v>Lima_Sur_01 Lima _23 Pachacamac</v>
      </c>
      <c r="AL1917" s="25">
        <v>2</v>
      </c>
      <c r="AM1917" s="25">
        <v>0</v>
      </c>
      <c r="AN1917" s="26">
        <f>Tabla2[[#This Row],[Minutos]]/60</f>
        <v>0</v>
      </c>
      <c r="AO1917" s="27">
        <f>SUM(Tabla2[[#This Row],[Horas]],Tabla2[[#This Row],[Minutos a Horas]])</f>
        <v>2</v>
      </c>
      <c r="AP1917" s="49"/>
      <c r="AQ1917" s="49">
        <v>49</v>
      </c>
      <c r="AR1917" s="26">
        <f>Tabla2[[#This Row],[Minutos*]]/60</f>
        <v>0.81666666666666665</v>
      </c>
      <c r="AS1917" s="27">
        <f>SUM(Tabla2[[#This Row],[Horas*]],Tabla2[[#This Row],[Minutos a Horas*]])+(Tabla2[[#This Row],[Tiempo Total a Nivel Proncincial (Horas)]])</f>
        <v>2.8166666666666664</v>
      </c>
    </row>
    <row r="1918" spans="30:45" hidden="1" x14ac:dyDescent="0.25">
      <c r="AD1918" s="20" t="s">
        <v>2402</v>
      </c>
      <c r="AE1918" s="10" t="s">
        <v>397</v>
      </c>
      <c r="AF1918" s="20" t="s">
        <v>2114</v>
      </c>
      <c r="AG1918" s="10"/>
      <c r="AH1918" s="22" t="str">
        <f t="shared" si="60"/>
        <v xml:space="preserve">Lima_Sur_01 Lima </v>
      </c>
      <c r="AI1918" s="10" t="s">
        <v>2304</v>
      </c>
      <c r="AJ1918" s="20" t="s">
        <v>2185</v>
      </c>
      <c r="AK1918" s="22" t="str">
        <f t="shared" si="61"/>
        <v>Lima_Sur_01 Lima _24 Pucusana</v>
      </c>
      <c r="AL1918" s="25">
        <v>2</v>
      </c>
      <c r="AM1918" s="25">
        <v>0</v>
      </c>
      <c r="AN1918" s="26">
        <f>Tabla2[[#This Row],[Minutos]]/60</f>
        <v>0</v>
      </c>
      <c r="AO1918" s="27">
        <f>SUM(Tabla2[[#This Row],[Horas]],Tabla2[[#This Row],[Minutos a Horas]])</f>
        <v>2</v>
      </c>
      <c r="AP1918" s="49"/>
      <c r="AQ1918" s="49">
        <v>54</v>
      </c>
      <c r="AR1918" s="26">
        <f>Tabla2[[#This Row],[Minutos*]]/60</f>
        <v>0.9</v>
      </c>
      <c r="AS1918" s="27">
        <f>SUM(Tabla2[[#This Row],[Horas*]],Tabla2[[#This Row],[Minutos a Horas*]])+(Tabla2[[#This Row],[Tiempo Total a Nivel Proncincial (Horas)]])</f>
        <v>2.9</v>
      </c>
    </row>
    <row r="1919" spans="30:45" hidden="1" x14ac:dyDescent="0.25">
      <c r="AD1919" s="20" t="s">
        <v>2402</v>
      </c>
      <c r="AE1919" s="10" t="s">
        <v>397</v>
      </c>
      <c r="AF1919" s="20" t="s">
        <v>2114</v>
      </c>
      <c r="AG1919" s="10"/>
      <c r="AH1919" s="22" t="str">
        <f t="shared" si="60"/>
        <v xml:space="preserve">Lima_Sur_01 Lima </v>
      </c>
      <c r="AI1919" s="10" t="s">
        <v>2304</v>
      </c>
      <c r="AJ1919" s="20" t="s">
        <v>2186</v>
      </c>
      <c r="AK1919" s="22" t="str">
        <f t="shared" si="61"/>
        <v>Lima_Sur_01 Lima _25 Puente Piedra</v>
      </c>
      <c r="AL1919" s="25">
        <v>2</v>
      </c>
      <c r="AM1919" s="25">
        <v>0</v>
      </c>
      <c r="AN1919" s="26">
        <f>Tabla2[[#This Row],[Minutos]]/60</f>
        <v>0</v>
      </c>
      <c r="AO1919" s="27">
        <f>SUM(Tabla2[[#This Row],[Horas]],Tabla2[[#This Row],[Minutos a Horas]])</f>
        <v>2</v>
      </c>
      <c r="AP1919" s="49">
        <v>1</v>
      </c>
      <c r="AQ1919" s="49">
        <v>24</v>
      </c>
      <c r="AR1919" s="26">
        <f>Tabla2[[#This Row],[Minutos*]]/60</f>
        <v>0.4</v>
      </c>
      <c r="AS1919" s="27">
        <f>SUM(Tabla2[[#This Row],[Horas*]],Tabla2[[#This Row],[Minutos a Horas*]])+(Tabla2[[#This Row],[Tiempo Total a Nivel Proncincial (Horas)]])</f>
        <v>3.4</v>
      </c>
    </row>
    <row r="1920" spans="30:45" hidden="1" x14ac:dyDescent="0.25">
      <c r="AD1920" s="20" t="s">
        <v>2402</v>
      </c>
      <c r="AE1920" s="10" t="s">
        <v>397</v>
      </c>
      <c r="AF1920" s="20" t="s">
        <v>2114</v>
      </c>
      <c r="AG1920" s="10"/>
      <c r="AH1920" s="22" t="str">
        <f t="shared" si="60"/>
        <v xml:space="preserve">Lima_Sur_01 Lima </v>
      </c>
      <c r="AI1920" s="10" t="s">
        <v>2304</v>
      </c>
      <c r="AJ1920" s="20" t="s">
        <v>2187</v>
      </c>
      <c r="AK1920" s="22" t="str">
        <f t="shared" si="61"/>
        <v>Lima_Sur_01 Lima _26 Punta Hermosa</v>
      </c>
      <c r="AL1920" s="25">
        <v>2</v>
      </c>
      <c r="AM1920" s="25">
        <v>0</v>
      </c>
      <c r="AN1920" s="26">
        <f>Tabla2[[#This Row],[Minutos]]/60</f>
        <v>0</v>
      </c>
      <c r="AO1920" s="27">
        <f>SUM(Tabla2[[#This Row],[Horas]],Tabla2[[#This Row],[Minutos a Horas]])</f>
        <v>2</v>
      </c>
      <c r="AP1920" s="49"/>
      <c r="AQ1920" s="49">
        <v>48</v>
      </c>
      <c r="AR1920" s="26">
        <f>Tabla2[[#This Row],[Minutos*]]/60</f>
        <v>0.8</v>
      </c>
      <c r="AS1920" s="27">
        <f>SUM(Tabla2[[#This Row],[Horas*]],Tabla2[[#This Row],[Minutos a Horas*]])+(Tabla2[[#This Row],[Tiempo Total a Nivel Proncincial (Horas)]])</f>
        <v>2.8</v>
      </c>
    </row>
    <row r="1921" spans="30:45" hidden="1" x14ac:dyDescent="0.25">
      <c r="AD1921" s="20" t="s">
        <v>2402</v>
      </c>
      <c r="AE1921" s="10" t="s">
        <v>397</v>
      </c>
      <c r="AF1921" s="20" t="s">
        <v>2114</v>
      </c>
      <c r="AG1921" s="10"/>
      <c r="AH1921" s="22" t="str">
        <f t="shared" si="60"/>
        <v xml:space="preserve">Lima_Sur_01 Lima </v>
      </c>
      <c r="AI1921" s="10" t="s">
        <v>2304</v>
      </c>
      <c r="AJ1921" s="20" t="s">
        <v>2188</v>
      </c>
      <c r="AK1921" s="22" t="str">
        <f t="shared" si="61"/>
        <v>Lima_Sur_01 Lima _27 Punta Negra</v>
      </c>
      <c r="AL1921" s="25">
        <v>2</v>
      </c>
      <c r="AM1921" s="25">
        <v>0</v>
      </c>
      <c r="AN1921" s="26">
        <f>Tabla2[[#This Row],[Minutos]]/60</f>
        <v>0</v>
      </c>
      <c r="AO1921" s="27">
        <f>SUM(Tabla2[[#This Row],[Horas]],Tabla2[[#This Row],[Minutos a Horas]])</f>
        <v>2</v>
      </c>
      <c r="AP1921" s="49"/>
      <c r="AQ1921" s="49">
        <v>54</v>
      </c>
      <c r="AR1921" s="26">
        <f>Tabla2[[#This Row],[Minutos*]]/60</f>
        <v>0.9</v>
      </c>
      <c r="AS1921" s="27">
        <f>SUM(Tabla2[[#This Row],[Horas*]],Tabla2[[#This Row],[Minutos a Horas*]])+(Tabla2[[#This Row],[Tiempo Total a Nivel Proncincial (Horas)]])</f>
        <v>2.9</v>
      </c>
    </row>
    <row r="1922" spans="30:45" hidden="1" x14ac:dyDescent="0.25">
      <c r="AD1922" s="20" t="s">
        <v>2402</v>
      </c>
      <c r="AE1922" s="10" t="s">
        <v>397</v>
      </c>
      <c r="AF1922" s="20" t="s">
        <v>2114</v>
      </c>
      <c r="AG1922" s="10"/>
      <c r="AH1922" s="22" t="str">
        <f t="shared" si="60"/>
        <v xml:space="preserve">Lima_Sur_01 Lima </v>
      </c>
      <c r="AI1922" s="10" t="s">
        <v>2304</v>
      </c>
      <c r="AJ1922" s="20" t="s">
        <v>2189</v>
      </c>
      <c r="AK1922" s="22" t="str">
        <f t="shared" si="61"/>
        <v>Lima_Sur_01 Lima _28 Rímac</v>
      </c>
      <c r="AL1922" s="25">
        <v>2</v>
      </c>
      <c r="AM1922" s="25">
        <v>0</v>
      </c>
      <c r="AN1922" s="26">
        <f>Tabla2[[#This Row],[Minutos]]/60</f>
        <v>0</v>
      </c>
      <c r="AO1922" s="27">
        <f>SUM(Tabla2[[#This Row],[Horas]],Tabla2[[#This Row],[Minutos a Horas]])</f>
        <v>2</v>
      </c>
      <c r="AP1922" s="49">
        <v>1</v>
      </c>
      <c r="AQ1922" s="49"/>
      <c r="AR1922" s="26">
        <f>Tabla2[[#This Row],[Minutos*]]/60</f>
        <v>0</v>
      </c>
      <c r="AS1922" s="27">
        <f>SUM(Tabla2[[#This Row],[Horas*]],Tabla2[[#This Row],[Minutos a Horas*]])+(Tabla2[[#This Row],[Tiempo Total a Nivel Proncincial (Horas)]])</f>
        <v>3</v>
      </c>
    </row>
    <row r="1923" spans="30:45" hidden="1" x14ac:dyDescent="0.25">
      <c r="AD1923" s="20" t="s">
        <v>2402</v>
      </c>
      <c r="AE1923" s="10" t="s">
        <v>397</v>
      </c>
      <c r="AF1923" s="20" t="s">
        <v>2114</v>
      </c>
      <c r="AG1923" s="10"/>
      <c r="AH1923" s="22" t="str">
        <f t="shared" si="60"/>
        <v xml:space="preserve">Lima_Sur_01 Lima </v>
      </c>
      <c r="AI1923" s="10" t="s">
        <v>2304</v>
      </c>
      <c r="AJ1923" s="20" t="s">
        <v>2190</v>
      </c>
      <c r="AK1923" s="22" t="str">
        <f t="shared" si="61"/>
        <v>Lima_Sur_01 Lima _29 San Bartolo</v>
      </c>
      <c r="AL1923" s="25">
        <v>2</v>
      </c>
      <c r="AM1923" s="25">
        <v>0</v>
      </c>
      <c r="AN1923" s="26">
        <f>Tabla2[[#This Row],[Minutos]]/60</f>
        <v>0</v>
      </c>
      <c r="AO1923" s="27">
        <f>SUM(Tabla2[[#This Row],[Horas]],Tabla2[[#This Row],[Minutos a Horas]])</f>
        <v>2</v>
      </c>
      <c r="AP1923" s="49">
        <v>1</v>
      </c>
      <c r="AQ1923" s="49">
        <v>6</v>
      </c>
      <c r="AR1923" s="26">
        <f>Tabla2[[#This Row],[Minutos*]]/60</f>
        <v>0.1</v>
      </c>
      <c r="AS1923" s="27">
        <f>SUM(Tabla2[[#This Row],[Horas*]],Tabla2[[#This Row],[Minutos a Horas*]])+(Tabla2[[#This Row],[Tiempo Total a Nivel Proncincial (Horas)]])</f>
        <v>3.1</v>
      </c>
    </row>
    <row r="1924" spans="30:45" hidden="1" x14ac:dyDescent="0.25">
      <c r="AD1924" s="20" t="s">
        <v>2402</v>
      </c>
      <c r="AE1924" s="10" t="s">
        <v>397</v>
      </c>
      <c r="AF1924" s="20" t="s">
        <v>2114</v>
      </c>
      <c r="AG1924" s="10"/>
      <c r="AH1924" s="22" t="str">
        <f t="shared" si="60"/>
        <v xml:space="preserve">Lima_Sur_01 Lima </v>
      </c>
      <c r="AI1924" s="10" t="s">
        <v>2304</v>
      </c>
      <c r="AJ1924" s="20" t="s">
        <v>2191</v>
      </c>
      <c r="AK1924" s="22" t="str">
        <f t="shared" si="61"/>
        <v>Lima_Sur_01 Lima _30 San Borja</v>
      </c>
      <c r="AL1924" s="25">
        <v>2</v>
      </c>
      <c r="AM1924" s="25">
        <v>0</v>
      </c>
      <c r="AN1924" s="26">
        <f>Tabla2[[#This Row],[Minutos]]/60</f>
        <v>0</v>
      </c>
      <c r="AO1924" s="27">
        <f>SUM(Tabla2[[#This Row],[Horas]],Tabla2[[#This Row],[Minutos a Horas]])</f>
        <v>2</v>
      </c>
      <c r="AP1924" s="49"/>
      <c r="AQ1924" s="49">
        <v>28</v>
      </c>
      <c r="AR1924" s="26">
        <f>Tabla2[[#This Row],[Minutos*]]/60</f>
        <v>0.46666666666666667</v>
      </c>
      <c r="AS1924" s="27">
        <f>SUM(Tabla2[[#This Row],[Horas*]],Tabla2[[#This Row],[Minutos a Horas*]])+(Tabla2[[#This Row],[Tiempo Total a Nivel Proncincial (Horas)]])</f>
        <v>2.4666666666666668</v>
      </c>
    </row>
    <row r="1925" spans="30:45" hidden="1" x14ac:dyDescent="0.25">
      <c r="AD1925" s="20" t="s">
        <v>2402</v>
      </c>
      <c r="AE1925" s="10" t="s">
        <v>397</v>
      </c>
      <c r="AF1925" s="20" t="s">
        <v>2114</v>
      </c>
      <c r="AG1925" s="10"/>
      <c r="AH1925" s="22" t="str">
        <f t="shared" si="60"/>
        <v xml:space="preserve">Lima_Sur_01 Lima </v>
      </c>
      <c r="AI1925" s="10" t="s">
        <v>2304</v>
      </c>
      <c r="AJ1925" s="20" t="s">
        <v>2192</v>
      </c>
      <c r="AK1925" s="22" t="str">
        <f t="shared" si="61"/>
        <v>Lima_Sur_01 Lima _31 San Isidro</v>
      </c>
      <c r="AL1925" s="25">
        <v>2</v>
      </c>
      <c r="AM1925" s="25">
        <v>0</v>
      </c>
      <c r="AN1925" s="26">
        <f>Tabla2[[#This Row],[Minutos]]/60</f>
        <v>0</v>
      </c>
      <c r="AO1925" s="27">
        <f>SUM(Tabla2[[#This Row],[Horas]],Tabla2[[#This Row],[Minutos a Horas]])</f>
        <v>2</v>
      </c>
      <c r="AP1925" s="49"/>
      <c r="AQ1925" s="49">
        <v>50</v>
      </c>
      <c r="AR1925" s="26">
        <f>Tabla2[[#This Row],[Minutos*]]/60</f>
        <v>0.83333333333333337</v>
      </c>
      <c r="AS1925" s="27">
        <f>SUM(Tabla2[[#This Row],[Horas*]],Tabla2[[#This Row],[Minutos a Horas*]])+(Tabla2[[#This Row],[Tiempo Total a Nivel Proncincial (Horas)]])</f>
        <v>2.8333333333333335</v>
      </c>
    </row>
    <row r="1926" spans="30:45" hidden="1" x14ac:dyDescent="0.25">
      <c r="AD1926" s="20" t="s">
        <v>2402</v>
      </c>
      <c r="AE1926" s="10" t="s">
        <v>397</v>
      </c>
      <c r="AF1926" s="20" t="s">
        <v>2114</v>
      </c>
      <c r="AG1926" s="10"/>
      <c r="AH1926" s="22" t="str">
        <f t="shared" si="60"/>
        <v xml:space="preserve">Lima_Sur_01 Lima </v>
      </c>
      <c r="AI1926" s="10" t="s">
        <v>2304</v>
      </c>
      <c r="AJ1926" s="20" t="s">
        <v>2193</v>
      </c>
      <c r="AK1926" s="22" t="str">
        <f t="shared" si="61"/>
        <v>Lima_Sur_01 Lima _32 San Juan de Lurigancho</v>
      </c>
      <c r="AL1926" s="25">
        <v>2</v>
      </c>
      <c r="AM1926" s="25">
        <v>0</v>
      </c>
      <c r="AN1926" s="26">
        <f>Tabla2[[#This Row],[Minutos]]/60</f>
        <v>0</v>
      </c>
      <c r="AO1926" s="27">
        <f>SUM(Tabla2[[#This Row],[Horas]],Tabla2[[#This Row],[Minutos a Horas]])</f>
        <v>2</v>
      </c>
      <c r="AP1926" s="49">
        <v>1</v>
      </c>
      <c r="AQ1926" s="49">
        <v>5</v>
      </c>
      <c r="AR1926" s="26">
        <f>Tabla2[[#This Row],[Minutos*]]/60</f>
        <v>8.3333333333333329E-2</v>
      </c>
      <c r="AS1926" s="27">
        <f>SUM(Tabla2[[#This Row],[Horas*]],Tabla2[[#This Row],[Minutos a Horas*]])+(Tabla2[[#This Row],[Tiempo Total a Nivel Proncincial (Horas)]])</f>
        <v>3.083333333333333</v>
      </c>
    </row>
    <row r="1927" spans="30:45" hidden="1" x14ac:dyDescent="0.25">
      <c r="AD1927" s="20" t="s">
        <v>2402</v>
      </c>
      <c r="AE1927" s="10" t="s">
        <v>397</v>
      </c>
      <c r="AF1927" s="20" t="s">
        <v>2114</v>
      </c>
      <c r="AG1927" s="10"/>
      <c r="AH1927" s="22" t="str">
        <f t="shared" si="60"/>
        <v xml:space="preserve">Lima_Sur_01 Lima </v>
      </c>
      <c r="AI1927" s="10" t="s">
        <v>2304</v>
      </c>
      <c r="AJ1927" s="20" t="s">
        <v>2194</v>
      </c>
      <c r="AK1927" s="22" t="str">
        <f t="shared" si="61"/>
        <v>Lima_Sur_01 Lima _33 San Juan de Miraflores</v>
      </c>
      <c r="AL1927" s="25">
        <v>2</v>
      </c>
      <c r="AM1927" s="25">
        <v>0</v>
      </c>
      <c r="AN1927" s="26">
        <f>Tabla2[[#This Row],[Minutos]]/60</f>
        <v>0</v>
      </c>
      <c r="AO1927" s="27">
        <f>SUM(Tabla2[[#This Row],[Horas]],Tabla2[[#This Row],[Minutos a Horas]])</f>
        <v>2</v>
      </c>
      <c r="AP1927" s="49"/>
      <c r="AQ1927" s="49"/>
      <c r="AR1927" s="26">
        <f>Tabla2[[#This Row],[Minutos*]]/60</f>
        <v>0</v>
      </c>
      <c r="AS1927" s="27">
        <f>SUM(Tabla2[[#This Row],[Horas*]],Tabla2[[#This Row],[Minutos a Horas*]])+(Tabla2[[#This Row],[Tiempo Total a Nivel Proncincial (Horas)]])</f>
        <v>2</v>
      </c>
    </row>
    <row r="1928" spans="30:45" hidden="1" x14ac:dyDescent="0.25">
      <c r="AD1928" s="20" t="s">
        <v>2402</v>
      </c>
      <c r="AE1928" s="10" t="s">
        <v>397</v>
      </c>
      <c r="AF1928" s="20" t="s">
        <v>2114</v>
      </c>
      <c r="AG1928" s="10"/>
      <c r="AH1928" s="22" t="str">
        <f t="shared" si="60"/>
        <v xml:space="preserve">Lima_Sur_01 Lima </v>
      </c>
      <c r="AI1928" s="10" t="s">
        <v>2304</v>
      </c>
      <c r="AJ1928" s="20" t="s">
        <v>2195</v>
      </c>
      <c r="AK1928" s="22" t="str">
        <f t="shared" si="61"/>
        <v>Lima_Sur_01 Lima _34 San Luis</v>
      </c>
      <c r="AL1928" s="25">
        <v>2</v>
      </c>
      <c r="AM1928" s="25">
        <v>0</v>
      </c>
      <c r="AN1928" s="26">
        <f>Tabla2[[#This Row],[Minutos]]/60</f>
        <v>0</v>
      </c>
      <c r="AO1928" s="27">
        <f>SUM(Tabla2[[#This Row],[Horas]],Tabla2[[#This Row],[Minutos a Horas]])</f>
        <v>2</v>
      </c>
      <c r="AP1928" s="49"/>
      <c r="AQ1928" s="49">
        <v>36</v>
      </c>
      <c r="AR1928" s="26">
        <f>Tabla2[[#This Row],[Minutos*]]/60</f>
        <v>0.6</v>
      </c>
      <c r="AS1928" s="27">
        <f>SUM(Tabla2[[#This Row],[Horas*]],Tabla2[[#This Row],[Minutos a Horas*]])+(Tabla2[[#This Row],[Tiempo Total a Nivel Proncincial (Horas)]])</f>
        <v>2.6</v>
      </c>
    </row>
    <row r="1929" spans="30:45" hidden="1" x14ac:dyDescent="0.25">
      <c r="AD1929" s="20" t="s">
        <v>2402</v>
      </c>
      <c r="AE1929" s="10" t="s">
        <v>397</v>
      </c>
      <c r="AF1929" s="20" t="s">
        <v>2114</v>
      </c>
      <c r="AG1929" s="10"/>
      <c r="AH1929" s="22" t="str">
        <f t="shared" si="60"/>
        <v xml:space="preserve">Lima_Sur_01 Lima </v>
      </c>
      <c r="AI1929" s="10" t="s">
        <v>2304</v>
      </c>
      <c r="AJ1929" s="20" t="s">
        <v>2196</v>
      </c>
      <c r="AK1929" s="22" t="str">
        <f t="shared" si="61"/>
        <v>Lima_Sur_01 Lima _35 San Martín de Porres</v>
      </c>
      <c r="AL1929" s="25">
        <v>2</v>
      </c>
      <c r="AM1929" s="25">
        <v>0</v>
      </c>
      <c r="AN1929" s="26">
        <f>Tabla2[[#This Row],[Minutos]]/60</f>
        <v>0</v>
      </c>
      <c r="AO1929" s="27">
        <f>SUM(Tabla2[[#This Row],[Horas]],Tabla2[[#This Row],[Minutos a Horas]])</f>
        <v>2</v>
      </c>
      <c r="AP1929" s="49">
        <v>1</v>
      </c>
      <c r="AQ1929" s="49">
        <v>31</v>
      </c>
      <c r="AR1929" s="26">
        <f>Tabla2[[#This Row],[Minutos*]]/60</f>
        <v>0.51666666666666672</v>
      </c>
      <c r="AS1929" s="27">
        <f>SUM(Tabla2[[#This Row],[Horas*]],Tabla2[[#This Row],[Minutos a Horas*]])+(Tabla2[[#This Row],[Tiempo Total a Nivel Proncincial (Horas)]])</f>
        <v>3.5166666666666666</v>
      </c>
    </row>
    <row r="1930" spans="30:45" hidden="1" x14ac:dyDescent="0.25">
      <c r="AD1930" s="20" t="s">
        <v>2402</v>
      </c>
      <c r="AE1930" s="10" t="s">
        <v>397</v>
      </c>
      <c r="AF1930" s="20" t="s">
        <v>2114</v>
      </c>
      <c r="AG1930" s="10"/>
      <c r="AH1930" s="22" t="str">
        <f t="shared" si="60"/>
        <v xml:space="preserve">Lima_Sur_01 Lima </v>
      </c>
      <c r="AI1930" s="10" t="s">
        <v>2304</v>
      </c>
      <c r="AJ1930" s="20" t="s">
        <v>2197</v>
      </c>
      <c r="AK1930" s="22" t="str">
        <f t="shared" si="61"/>
        <v>Lima_Sur_01 Lima _36 San Miguel</v>
      </c>
      <c r="AL1930" s="25">
        <v>2</v>
      </c>
      <c r="AM1930" s="25">
        <v>0</v>
      </c>
      <c r="AN1930" s="26">
        <f>Tabla2[[#This Row],[Minutos]]/60</f>
        <v>0</v>
      </c>
      <c r="AO1930" s="27">
        <f>SUM(Tabla2[[#This Row],[Horas]],Tabla2[[#This Row],[Minutos a Horas]])</f>
        <v>2</v>
      </c>
      <c r="AP1930" s="49">
        <v>1</v>
      </c>
      <c r="AQ1930" s="49">
        <v>7</v>
      </c>
      <c r="AR1930" s="26">
        <f>Tabla2[[#This Row],[Minutos*]]/60</f>
        <v>0.11666666666666667</v>
      </c>
      <c r="AS1930" s="27">
        <f>SUM(Tabla2[[#This Row],[Horas*]],Tabla2[[#This Row],[Minutos a Horas*]])+(Tabla2[[#This Row],[Tiempo Total a Nivel Proncincial (Horas)]])</f>
        <v>3.1166666666666667</v>
      </c>
    </row>
    <row r="1931" spans="30:45" hidden="1" x14ac:dyDescent="0.25">
      <c r="AD1931" s="20" t="s">
        <v>2402</v>
      </c>
      <c r="AE1931" s="10" t="s">
        <v>397</v>
      </c>
      <c r="AF1931" s="20" t="s">
        <v>2114</v>
      </c>
      <c r="AG1931" s="10"/>
      <c r="AH1931" s="22" t="str">
        <f t="shared" si="60"/>
        <v xml:space="preserve">Lima_Sur_01 Lima </v>
      </c>
      <c r="AI1931" s="10" t="s">
        <v>2304</v>
      </c>
      <c r="AJ1931" s="20" t="s">
        <v>2198</v>
      </c>
      <c r="AK1931" s="22" t="str">
        <f t="shared" si="61"/>
        <v>Lima_Sur_01 Lima _37 Santa Anita</v>
      </c>
      <c r="AL1931" s="25">
        <v>2</v>
      </c>
      <c r="AM1931" s="25">
        <v>0</v>
      </c>
      <c r="AN1931" s="26">
        <f>Tabla2[[#This Row],[Minutos]]/60</f>
        <v>0</v>
      </c>
      <c r="AO1931" s="27">
        <f>SUM(Tabla2[[#This Row],[Horas]],Tabla2[[#This Row],[Minutos a Horas]])</f>
        <v>2</v>
      </c>
      <c r="AP1931" s="49"/>
      <c r="AQ1931" s="49">
        <v>42</v>
      </c>
      <c r="AR1931" s="26">
        <f>Tabla2[[#This Row],[Minutos*]]/60</f>
        <v>0.7</v>
      </c>
      <c r="AS1931" s="27">
        <f>SUM(Tabla2[[#This Row],[Horas*]],Tabla2[[#This Row],[Minutos a Horas*]])+(Tabla2[[#This Row],[Tiempo Total a Nivel Proncincial (Horas)]])</f>
        <v>2.7</v>
      </c>
    </row>
    <row r="1932" spans="30:45" hidden="1" x14ac:dyDescent="0.25">
      <c r="AD1932" s="20" t="s">
        <v>2402</v>
      </c>
      <c r="AE1932" s="10" t="s">
        <v>397</v>
      </c>
      <c r="AF1932" s="20" t="s">
        <v>2114</v>
      </c>
      <c r="AG1932" s="10"/>
      <c r="AH1932" s="22" t="str">
        <f t="shared" si="60"/>
        <v xml:space="preserve">Lima_Sur_01 Lima </v>
      </c>
      <c r="AI1932" s="10" t="s">
        <v>2304</v>
      </c>
      <c r="AJ1932" s="20" t="s">
        <v>2199</v>
      </c>
      <c r="AK1932" s="22" t="str">
        <f t="shared" si="61"/>
        <v>Lima_Sur_01 Lima _38 Santa María del Mar</v>
      </c>
      <c r="AL1932" s="25">
        <v>2</v>
      </c>
      <c r="AM1932" s="25">
        <v>0</v>
      </c>
      <c r="AN1932" s="26">
        <f>Tabla2[[#This Row],[Minutos]]/60</f>
        <v>0</v>
      </c>
      <c r="AO1932" s="27">
        <f>SUM(Tabla2[[#This Row],[Horas]],Tabla2[[#This Row],[Minutos a Horas]])</f>
        <v>2</v>
      </c>
      <c r="AP1932" s="49">
        <v>1</v>
      </c>
      <c r="AQ1932" s="49"/>
      <c r="AR1932" s="26">
        <f>Tabla2[[#This Row],[Minutos*]]/60</f>
        <v>0</v>
      </c>
      <c r="AS1932" s="27">
        <f>SUM(Tabla2[[#This Row],[Horas*]],Tabla2[[#This Row],[Minutos a Horas*]])+(Tabla2[[#This Row],[Tiempo Total a Nivel Proncincial (Horas)]])</f>
        <v>3</v>
      </c>
    </row>
    <row r="1933" spans="30:45" hidden="1" x14ac:dyDescent="0.25">
      <c r="AD1933" s="20" t="s">
        <v>2402</v>
      </c>
      <c r="AE1933" s="10" t="s">
        <v>397</v>
      </c>
      <c r="AF1933" s="20" t="s">
        <v>2114</v>
      </c>
      <c r="AG1933" s="10"/>
      <c r="AH1933" s="22" t="str">
        <f t="shared" si="60"/>
        <v xml:space="preserve">Lima_Sur_01 Lima </v>
      </c>
      <c r="AI1933" s="10" t="s">
        <v>2304</v>
      </c>
      <c r="AJ1933" s="20" t="s">
        <v>2200</v>
      </c>
      <c r="AK1933" s="22" t="str">
        <f t="shared" si="61"/>
        <v>Lima_Sur_01 Lima _39 Santa Rosa</v>
      </c>
      <c r="AL1933" s="25">
        <v>2</v>
      </c>
      <c r="AM1933" s="25">
        <v>0</v>
      </c>
      <c r="AN1933" s="26">
        <f>Tabla2[[#This Row],[Minutos]]/60</f>
        <v>0</v>
      </c>
      <c r="AO1933" s="27">
        <f>SUM(Tabla2[[#This Row],[Horas]],Tabla2[[#This Row],[Minutos a Horas]])</f>
        <v>2</v>
      </c>
      <c r="AP1933" s="49">
        <v>2</v>
      </c>
      <c r="AQ1933" s="49">
        <v>27</v>
      </c>
      <c r="AR1933" s="26">
        <f>Tabla2[[#This Row],[Minutos*]]/60</f>
        <v>0.45</v>
      </c>
      <c r="AS1933" s="27">
        <f>SUM(Tabla2[[#This Row],[Horas*]],Tabla2[[#This Row],[Minutos a Horas*]])+(Tabla2[[#This Row],[Tiempo Total a Nivel Proncincial (Horas)]])</f>
        <v>4.45</v>
      </c>
    </row>
    <row r="1934" spans="30:45" hidden="1" x14ac:dyDescent="0.25">
      <c r="AD1934" s="20" t="s">
        <v>2402</v>
      </c>
      <c r="AE1934" s="10" t="s">
        <v>397</v>
      </c>
      <c r="AF1934" s="20" t="s">
        <v>2114</v>
      </c>
      <c r="AG1934" s="10"/>
      <c r="AH1934" s="22" t="str">
        <f t="shared" si="60"/>
        <v xml:space="preserve">Lima_Sur_01 Lima </v>
      </c>
      <c r="AI1934" s="10" t="s">
        <v>2304</v>
      </c>
      <c r="AJ1934" s="20" t="s">
        <v>2201</v>
      </c>
      <c r="AK1934" s="22" t="str">
        <f t="shared" si="61"/>
        <v>Lima_Sur_01 Lima _40 Santiago de Surco</v>
      </c>
      <c r="AL1934" s="25">
        <v>2</v>
      </c>
      <c r="AM1934" s="25">
        <v>0</v>
      </c>
      <c r="AN1934" s="26">
        <f>Tabla2[[#This Row],[Minutos]]/60</f>
        <v>0</v>
      </c>
      <c r="AO1934" s="27">
        <f>SUM(Tabla2[[#This Row],[Horas]],Tabla2[[#This Row],[Minutos a Horas]])</f>
        <v>2</v>
      </c>
      <c r="AP1934" s="49"/>
      <c r="AQ1934" s="49">
        <v>18</v>
      </c>
      <c r="AR1934" s="26">
        <f>Tabla2[[#This Row],[Minutos*]]/60</f>
        <v>0.3</v>
      </c>
      <c r="AS1934" s="27">
        <f>SUM(Tabla2[[#This Row],[Horas*]],Tabla2[[#This Row],[Minutos a Horas*]])+(Tabla2[[#This Row],[Tiempo Total a Nivel Proncincial (Horas)]])</f>
        <v>2.2999999999999998</v>
      </c>
    </row>
    <row r="1935" spans="30:45" hidden="1" x14ac:dyDescent="0.25">
      <c r="AD1935" s="20" t="s">
        <v>2402</v>
      </c>
      <c r="AE1935" s="10" t="s">
        <v>397</v>
      </c>
      <c r="AF1935" s="20" t="s">
        <v>2114</v>
      </c>
      <c r="AG1935" s="10"/>
      <c r="AH1935" s="22" t="str">
        <f t="shared" si="60"/>
        <v xml:space="preserve">Lima_Sur_01 Lima </v>
      </c>
      <c r="AI1935" s="10" t="s">
        <v>2304</v>
      </c>
      <c r="AJ1935" s="20" t="s">
        <v>2202</v>
      </c>
      <c r="AK1935" s="22" t="str">
        <f t="shared" si="61"/>
        <v>Lima_Sur_01 Lima _41 Surquillo</v>
      </c>
      <c r="AL1935" s="25">
        <v>2</v>
      </c>
      <c r="AM1935" s="25">
        <v>0</v>
      </c>
      <c r="AN1935" s="26">
        <f>Tabla2[[#This Row],[Minutos]]/60</f>
        <v>0</v>
      </c>
      <c r="AO1935" s="27">
        <f>SUM(Tabla2[[#This Row],[Horas]],Tabla2[[#This Row],[Minutos a Horas]])</f>
        <v>2</v>
      </c>
      <c r="AP1935" s="49"/>
      <c r="AQ1935" s="49">
        <v>44</v>
      </c>
      <c r="AR1935" s="26">
        <f>Tabla2[[#This Row],[Minutos*]]/60</f>
        <v>0.73333333333333328</v>
      </c>
      <c r="AS1935" s="27">
        <f>SUM(Tabla2[[#This Row],[Horas*]],Tabla2[[#This Row],[Minutos a Horas*]])+(Tabla2[[#This Row],[Tiempo Total a Nivel Proncincial (Horas)]])</f>
        <v>2.7333333333333334</v>
      </c>
    </row>
    <row r="1936" spans="30:45" hidden="1" x14ac:dyDescent="0.25">
      <c r="AD1936" s="20" t="s">
        <v>2402</v>
      </c>
      <c r="AE1936" s="10" t="s">
        <v>397</v>
      </c>
      <c r="AF1936" s="20" t="s">
        <v>2114</v>
      </c>
      <c r="AG1936" s="10"/>
      <c r="AH1936" s="22" t="str">
        <f t="shared" si="60"/>
        <v xml:space="preserve">Lima_Sur_01 Lima </v>
      </c>
      <c r="AI1936" s="10" t="s">
        <v>2304</v>
      </c>
      <c r="AJ1936" s="20" t="s">
        <v>2203</v>
      </c>
      <c r="AK1936" s="22" t="str">
        <f t="shared" si="61"/>
        <v>Lima_Sur_01 Lima _42 Villa El Salvador</v>
      </c>
      <c r="AL1936" s="25">
        <v>2</v>
      </c>
      <c r="AM1936" s="25">
        <v>0</v>
      </c>
      <c r="AN1936" s="26">
        <f>Tabla2[[#This Row],[Minutos]]/60</f>
        <v>0</v>
      </c>
      <c r="AO1936" s="27">
        <f>SUM(Tabla2[[#This Row],[Horas]],Tabla2[[#This Row],[Minutos a Horas]])</f>
        <v>2</v>
      </c>
      <c r="AP1936" s="49"/>
      <c r="AQ1936" s="49">
        <v>18</v>
      </c>
      <c r="AR1936" s="26">
        <f>Tabla2[[#This Row],[Minutos*]]/60</f>
        <v>0.3</v>
      </c>
      <c r="AS1936" s="27">
        <f>SUM(Tabla2[[#This Row],[Horas*]],Tabla2[[#This Row],[Minutos a Horas*]])+(Tabla2[[#This Row],[Tiempo Total a Nivel Proncincial (Horas)]])</f>
        <v>2.2999999999999998</v>
      </c>
    </row>
    <row r="1937" spans="30:45" hidden="1" x14ac:dyDescent="0.25">
      <c r="AD1937" s="20" t="s">
        <v>2402</v>
      </c>
      <c r="AE1937" s="10" t="s">
        <v>397</v>
      </c>
      <c r="AF1937" s="20" t="s">
        <v>2114</v>
      </c>
      <c r="AG1937" s="10"/>
      <c r="AH1937" s="22" t="str">
        <f t="shared" si="60"/>
        <v xml:space="preserve">Lima_Sur_01 Lima </v>
      </c>
      <c r="AI1937" s="10" t="s">
        <v>2304</v>
      </c>
      <c r="AJ1937" s="20" t="s">
        <v>2204</v>
      </c>
      <c r="AK1937" s="22" t="str">
        <f t="shared" si="61"/>
        <v>Lima_Sur_01 Lima _43 Villa María del Triunfo</v>
      </c>
      <c r="AL1937" s="25">
        <v>2</v>
      </c>
      <c r="AM1937" s="25">
        <v>0</v>
      </c>
      <c r="AN1937" s="26">
        <f>Tabla2[[#This Row],[Minutos]]/60</f>
        <v>0</v>
      </c>
      <c r="AO1937" s="27">
        <f>SUM(Tabla2[[#This Row],[Horas]],Tabla2[[#This Row],[Minutos a Horas]])</f>
        <v>2</v>
      </c>
      <c r="AP1937" s="49"/>
      <c r="AQ1937" s="49">
        <v>25</v>
      </c>
      <c r="AR1937" s="26">
        <f>Tabla2[[#This Row],[Minutos*]]/60</f>
        <v>0.41666666666666669</v>
      </c>
      <c r="AS1937" s="27">
        <f>SUM(Tabla2[[#This Row],[Horas*]],Tabla2[[#This Row],[Minutos a Horas*]])+(Tabla2[[#This Row],[Tiempo Total a Nivel Proncincial (Horas)]])</f>
        <v>2.4166666666666665</v>
      </c>
    </row>
    <row r="1939" spans="30:45" x14ac:dyDescent="0.25">
      <c r="AD1939" s="74"/>
      <c r="AE1939" s="74"/>
      <c r="AF1939" s="74"/>
      <c r="AG1939" s="74"/>
      <c r="AH1939" s="74">
        <v>1</v>
      </c>
      <c r="AI1939" s="74">
        <v>2</v>
      </c>
      <c r="AJ1939" s="74">
        <v>3</v>
      </c>
      <c r="AK1939" s="74">
        <v>4</v>
      </c>
      <c r="AL1939" s="74">
        <v>5</v>
      </c>
      <c r="AM1939" s="74">
        <v>6</v>
      </c>
      <c r="AN1939" s="74">
        <v>7</v>
      </c>
      <c r="AO1939" s="74">
        <v>8</v>
      </c>
      <c r="AP1939" s="74">
        <v>9</v>
      </c>
      <c r="AQ1939" s="74">
        <v>10</v>
      </c>
      <c r="AR1939" s="74">
        <v>11</v>
      </c>
      <c r="AS1939" s="74">
        <v>12</v>
      </c>
    </row>
  </sheetData>
  <mergeCells count="14">
    <mergeCell ref="H3:Q3"/>
    <mergeCell ref="AX1:AX2"/>
    <mergeCell ref="R5:T5"/>
    <mergeCell ref="U5:W5"/>
    <mergeCell ref="X5:Z5"/>
    <mergeCell ref="AL5:AO5"/>
    <mergeCell ref="AP5:AS5"/>
    <mergeCell ref="AL1:AS2"/>
    <mergeCell ref="AV1:AV2"/>
    <mergeCell ref="BB1:BC2"/>
    <mergeCell ref="BI1:BJ2"/>
    <mergeCell ref="AZ1:AZ2"/>
    <mergeCell ref="H1:AB1"/>
    <mergeCell ref="BE1:BF2"/>
  </mergeCells>
  <phoneticPr fontId="48" type="noConversion"/>
  <pageMargins left="0.7" right="0.7" top="0.75" bottom="0.75" header="0.3" footer="0.3"/>
  <pageSetup orientation="portrait" r:id="rId1"/>
  <legacy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763</vt:i4>
      </vt:variant>
    </vt:vector>
  </HeadingPairs>
  <TitlesOfParts>
    <vt:vector size="772" baseType="lpstr">
      <vt:lpstr>Registro</vt:lpstr>
      <vt:lpstr>Parametros</vt:lpstr>
      <vt:lpstr>Accion</vt:lpstr>
      <vt:lpstr>AccionEspecifica</vt:lpstr>
      <vt:lpstr>SubAccion</vt:lpstr>
      <vt:lpstr>ActividadAgente</vt:lpstr>
      <vt:lpstr>POA</vt:lpstr>
      <vt:lpstr>Lista de Empresas Supervisoras</vt:lpstr>
      <vt:lpstr>Base</vt:lpstr>
      <vt:lpstr>AAA</vt:lpstr>
      <vt:lpstr>'Lista de Empresas Supervisoras'!Amazonas</vt:lpstr>
      <vt:lpstr>'Lista de Empresas Supervisoras'!Áncash</vt:lpstr>
      <vt:lpstr>ant</vt:lpstr>
      <vt:lpstr>Antecedentes</vt:lpstr>
      <vt:lpstr>'Lista de Empresas Supervisoras'!Apurímac</vt:lpstr>
      <vt:lpstr>Base!Área_de_extracción</vt:lpstr>
      <vt:lpstr>POA!Área_de_impresión</vt:lpstr>
      <vt:lpstr>Registro!Área_de_impresión</vt:lpstr>
      <vt:lpstr>'Lista de Empresas Supervisoras'!Arequipa</vt:lpstr>
      <vt:lpstr>'Lista de Empresas Supervisoras'!Ayacucho</vt:lpstr>
      <vt:lpstr>BBB</vt:lpstr>
      <vt:lpstr>'Lista de Empresas Supervisoras'!Cajamarca</vt:lpstr>
      <vt:lpstr>CALIDAD</vt:lpstr>
      <vt:lpstr>'Lista de Empresas Supervisoras'!Cusco</vt:lpstr>
      <vt:lpstr>DEP_1</vt:lpstr>
      <vt:lpstr>DEP_10</vt:lpstr>
      <vt:lpstr>DEP_11</vt:lpstr>
      <vt:lpstr>DEP_12</vt:lpstr>
      <vt:lpstr>DEP_13</vt:lpstr>
      <vt:lpstr>DEP_14</vt:lpstr>
      <vt:lpstr>DEP_15</vt:lpstr>
      <vt:lpstr>DEP_16</vt:lpstr>
      <vt:lpstr>DEP_17</vt:lpstr>
      <vt:lpstr>DEP_18</vt:lpstr>
      <vt:lpstr>DEP_19</vt:lpstr>
      <vt:lpstr>DEP_2</vt:lpstr>
      <vt:lpstr>DEP_20</vt:lpstr>
      <vt:lpstr>DEP_21</vt:lpstr>
      <vt:lpstr>DEP_22</vt:lpstr>
      <vt:lpstr>DEP_23</vt:lpstr>
      <vt:lpstr>DEP_24</vt:lpstr>
      <vt:lpstr>DEP_25</vt:lpstr>
      <vt:lpstr>DEP_3</vt:lpstr>
      <vt:lpstr>DEP_4</vt:lpstr>
      <vt:lpstr>DEP_5</vt:lpstr>
      <vt:lpstr>DEP_6</vt:lpstr>
      <vt:lpstr>DEP_7</vt:lpstr>
      <vt:lpstr>DEP_8</vt:lpstr>
      <vt:lpstr>DEP_9</vt:lpstr>
      <vt:lpstr>EMP</vt:lpstr>
      <vt:lpstr>'Lista de Empresas Supervisoras'!Huancavelica</vt:lpstr>
      <vt:lpstr>'Lista de Empresas Supervisoras'!Huánuco</vt:lpstr>
      <vt:lpstr>'Lista de Empresas Supervisoras'!Ica</vt:lpstr>
      <vt:lpstr>'Lista de Empresas Supervisoras'!Junín</vt:lpstr>
      <vt:lpstr>K31.1</vt:lpstr>
      <vt:lpstr>K31.1.1</vt:lpstr>
      <vt:lpstr>K31.1.1.1</vt:lpstr>
      <vt:lpstr>K31.1.1.1_TA6</vt:lpstr>
      <vt:lpstr>K31.1.1.1_TA8</vt:lpstr>
      <vt:lpstr>K31.1.1.1_TA9</vt:lpstr>
      <vt:lpstr>K31.1.10.1</vt:lpstr>
      <vt:lpstr>K31.1.10.1_TA3</vt:lpstr>
      <vt:lpstr>K31.1.10.1_TA8</vt:lpstr>
      <vt:lpstr>K31.1.10.1_TA9</vt:lpstr>
      <vt:lpstr>K31.1.11.1</vt:lpstr>
      <vt:lpstr>K31.1.11.1_TA1</vt:lpstr>
      <vt:lpstr>K31.1.11.1_TA10</vt:lpstr>
      <vt:lpstr>K31.1.11.1_TA11</vt:lpstr>
      <vt:lpstr>K31.1.11.1_TA2</vt:lpstr>
      <vt:lpstr>K31.1.11.1_TA3</vt:lpstr>
      <vt:lpstr>K31.1.11.1_TA4</vt:lpstr>
      <vt:lpstr>K31.1.11.1_TA5</vt:lpstr>
      <vt:lpstr>K31.1.11.1_TA6</vt:lpstr>
      <vt:lpstr>K31.1.11.1_TA7</vt:lpstr>
      <vt:lpstr>K31.1.11.1_TA8</vt:lpstr>
      <vt:lpstr>K31.1.11.1_TA9</vt:lpstr>
      <vt:lpstr>K31.1.2</vt:lpstr>
      <vt:lpstr>K31.1.2.1</vt:lpstr>
      <vt:lpstr>K31.1.2.1_TA6</vt:lpstr>
      <vt:lpstr>K31.1.3</vt:lpstr>
      <vt:lpstr>K31.1.3.1</vt:lpstr>
      <vt:lpstr>K31.1.3.1_TA6</vt:lpstr>
      <vt:lpstr>K31.1.4</vt:lpstr>
      <vt:lpstr>K31.1.4.1</vt:lpstr>
      <vt:lpstr>K31.1.4.1_TA9</vt:lpstr>
      <vt:lpstr>K31.1.5</vt:lpstr>
      <vt:lpstr>K31.1.5.1</vt:lpstr>
      <vt:lpstr>K31.1.5.1_TA1</vt:lpstr>
      <vt:lpstr>K31.1.5.1_TA10</vt:lpstr>
      <vt:lpstr>K31.1.5.1_TA2</vt:lpstr>
      <vt:lpstr>K31.1.5.1_TA3</vt:lpstr>
      <vt:lpstr>K31.1.5.1_TA4</vt:lpstr>
      <vt:lpstr>K31.1.5.1_TA5</vt:lpstr>
      <vt:lpstr>K31.1.5.1_TA6</vt:lpstr>
      <vt:lpstr>K31.1.5.1_TA8</vt:lpstr>
      <vt:lpstr>K31.1.5.1_TA9</vt:lpstr>
      <vt:lpstr>K31.1.6</vt:lpstr>
      <vt:lpstr>K31.1.6.1</vt:lpstr>
      <vt:lpstr>K31.1.6.1_TA4</vt:lpstr>
      <vt:lpstr>K31.1.7</vt:lpstr>
      <vt:lpstr>K31.1.7.1</vt:lpstr>
      <vt:lpstr>K31.1.7.1_TA5</vt:lpstr>
      <vt:lpstr>K31.1.7.2</vt:lpstr>
      <vt:lpstr>K31.1.7.2_TA5</vt:lpstr>
      <vt:lpstr>K31.1.7.3</vt:lpstr>
      <vt:lpstr>K31.1.7.3_TA5</vt:lpstr>
      <vt:lpstr>K31.1.7.4</vt:lpstr>
      <vt:lpstr>K31.1.7.4_TA5</vt:lpstr>
      <vt:lpstr>K31.1.8</vt:lpstr>
      <vt:lpstr>K31.1.8.1</vt:lpstr>
      <vt:lpstr>K31.1.8.1_TA12</vt:lpstr>
      <vt:lpstr>K31.1.9</vt:lpstr>
      <vt:lpstr>K31.1.9.1</vt:lpstr>
      <vt:lpstr>K31.2</vt:lpstr>
      <vt:lpstr>K31.2.1</vt:lpstr>
      <vt:lpstr>K31.2.1.1</vt:lpstr>
      <vt:lpstr>K31.2.1.1_TA1</vt:lpstr>
      <vt:lpstr>K31.2.1.1_TA6</vt:lpstr>
      <vt:lpstr>K31.2.1.2</vt:lpstr>
      <vt:lpstr>K31.2.1.2_TA1</vt:lpstr>
      <vt:lpstr>K31.2.1.2_TA3</vt:lpstr>
      <vt:lpstr>K31.2.1.2_TA6</vt:lpstr>
      <vt:lpstr>K31.2.10</vt:lpstr>
      <vt:lpstr>K31.2.10.1</vt:lpstr>
      <vt:lpstr>K31.2.10.1_TA1</vt:lpstr>
      <vt:lpstr>K31.2.10.1_TA6</vt:lpstr>
      <vt:lpstr>K31.2.10.1_TA9</vt:lpstr>
      <vt:lpstr>K31.2.10.2</vt:lpstr>
      <vt:lpstr>K31.2.10.2_TA9</vt:lpstr>
      <vt:lpstr>K31.2.11</vt:lpstr>
      <vt:lpstr>K31.2.11.1</vt:lpstr>
      <vt:lpstr>K31.2.11.1_TA6</vt:lpstr>
      <vt:lpstr>K31.2.11.2</vt:lpstr>
      <vt:lpstr>K31.2.11.2_TA6</vt:lpstr>
      <vt:lpstr>K31.2.12</vt:lpstr>
      <vt:lpstr>K31.2.12.1</vt:lpstr>
      <vt:lpstr>K31.2.12.1_TA1</vt:lpstr>
      <vt:lpstr>K31.2.12.1_TA2</vt:lpstr>
      <vt:lpstr>K31.2.12.2</vt:lpstr>
      <vt:lpstr>K31.2.12.2_TA6</vt:lpstr>
      <vt:lpstr>K31.2.12.3</vt:lpstr>
      <vt:lpstr>K31.2.12.3_TA1</vt:lpstr>
      <vt:lpstr>K31.2.12.3_TA2</vt:lpstr>
      <vt:lpstr>K31.2.13</vt:lpstr>
      <vt:lpstr>K31.2.13.1</vt:lpstr>
      <vt:lpstr>K31.2.13.1_TA9</vt:lpstr>
      <vt:lpstr>K31.2.13.2</vt:lpstr>
      <vt:lpstr>K31.2.13.2_TA9</vt:lpstr>
      <vt:lpstr>K31.2.14.1</vt:lpstr>
      <vt:lpstr>K31.2.14.1_TA9</vt:lpstr>
      <vt:lpstr>K31.2.14.2</vt:lpstr>
      <vt:lpstr>K31.2.14.2_TA9</vt:lpstr>
      <vt:lpstr>K31.2.15.1</vt:lpstr>
      <vt:lpstr>K31.2.15.1_TA9</vt:lpstr>
      <vt:lpstr>K31.2.15.2</vt:lpstr>
      <vt:lpstr>K31.2.15.2_TA9</vt:lpstr>
      <vt:lpstr>K31.2.16.1</vt:lpstr>
      <vt:lpstr>K31.2.16.1_TA9</vt:lpstr>
      <vt:lpstr>K31.2.16.2</vt:lpstr>
      <vt:lpstr>K31.2.16.2_TA9</vt:lpstr>
      <vt:lpstr>K31.2.17.1</vt:lpstr>
      <vt:lpstr>K31.2.17.1_TA2</vt:lpstr>
      <vt:lpstr>K31.2.17.1_TA6</vt:lpstr>
      <vt:lpstr>K31.2.17.2</vt:lpstr>
      <vt:lpstr>K31.2.17.2_TA2</vt:lpstr>
      <vt:lpstr>K31.2.17.2_TA6</vt:lpstr>
      <vt:lpstr>K31.2.18.1</vt:lpstr>
      <vt:lpstr>K31.2.18.1_TA1</vt:lpstr>
      <vt:lpstr>K31.2.18.1_TA10</vt:lpstr>
      <vt:lpstr>K31.2.18.1_TA11</vt:lpstr>
      <vt:lpstr>K31.2.18.1_TA2</vt:lpstr>
      <vt:lpstr>K31.2.18.1_TA3</vt:lpstr>
      <vt:lpstr>K31.2.18.1_TA4</vt:lpstr>
      <vt:lpstr>K31.2.18.1_TA5</vt:lpstr>
      <vt:lpstr>K31.2.18.1_TA6</vt:lpstr>
      <vt:lpstr>K31.2.18.1_TA7</vt:lpstr>
      <vt:lpstr>K31.2.18.1_TA8</vt:lpstr>
      <vt:lpstr>K31.2.18.1_TA9</vt:lpstr>
      <vt:lpstr>K31.2.18.2</vt:lpstr>
      <vt:lpstr>K31.2.18.2_TA1</vt:lpstr>
      <vt:lpstr>K31.2.18.2_TA10</vt:lpstr>
      <vt:lpstr>K31.2.18.2_TA11</vt:lpstr>
      <vt:lpstr>K31.2.18.2_TA2</vt:lpstr>
      <vt:lpstr>K31.2.18.2_TA3</vt:lpstr>
      <vt:lpstr>K31.2.18.2_TA4</vt:lpstr>
      <vt:lpstr>K31.2.18.2_TA5</vt:lpstr>
      <vt:lpstr>K31.2.18.2_TA6</vt:lpstr>
      <vt:lpstr>K31.2.18.2_TA7</vt:lpstr>
      <vt:lpstr>K31.2.18.2_TA8</vt:lpstr>
      <vt:lpstr>K31.2.18.2_TA9</vt:lpstr>
      <vt:lpstr>K31.2.18.3</vt:lpstr>
      <vt:lpstr>K31.2.18.3_TA12</vt:lpstr>
      <vt:lpstr>K31.2.18.3_TA13</vt:lpstr>
      <vt:lpstr>K31.2.19.1</vt:lpstr>
      <vt:lpstr>K31.2.19.1_TA1</vt:lpstr>
      <vt:lpstr>K31.2.19.1_TA10</vt:lpstr>
      <vt:lpstr>K31.2.19.1_TA11</vt:lpstr>
      <vt:lpstr>K31.2.19.1_TA2</vt:lpstr>
      <vt:lpstr>K31.2.19.1_TA3</vt:lpstr>
      <vt:lpstr>K31.2.19.1_TA4</vt:lpstr>
      <vt:lpstr>K31.2.19.1_TA5</vt:lpstr>
      <vt:lpstr>K31.2.19.1_TA6</vt:lpstr>
      <vt:lpstr>K31.2.19.1_TA7</vt:lpstr>
      <vt:lpstr>K31.2.19.1_TA8</vt:lpstr>
      <vt:lpstr>K31.2.19.1_TA9</vt:lpstr>
      <vt:lpstr>K31.2.19.2</vt:lpstr>
      <vt:lpstr>K31.2.19.2_TA1</vt:lpstr>
      <vt:lpstr>K31.2.19.2_TA10</vt:lpstr>
      <vt:lpstr>K31.2.19.2_TA11</vt:lpstr>
      <vt:lpstr>K31.2.19.2_TA2</vt:lpstr>
      <vt:lpstr>K31.2.19.2_TA3</vt:lpstr>
      <vt:lpstr>K31.2.19.2_TA4</vt:lpstr>
      <vt:lpstr>K31.2.19.2_TA5</vt:lpstr>
      <vt:lpstr>K31.2.19.2_TA6</vt:lpstr>
      <vt:lpstr>K31.2.19.2_TA7</vt:lpstr>
      <vt:lpstr>K31.2.19.2_TA8</vt:lpstr>
      <vt:lpstr>K31.2.19.2_TA9</vt:lpstr>
      <vt:lpstr>K31.2.19.3</vt:lpstr>
      <vt:lpstr>K31.2.19.3_TA12</vt:lpstr>
      <vt:lpstr>K31.2.19.3_TA13</vt:lpstr>
      <vt:lpstr>K31.2.2</vt:lpstr>
      <vt:lpstr>K31.2.2.1</vt:lpstr>
      <vt:lpstr>K31.2.2.1_TA2</vt:lpstr>
      <vt:lpstr>K31.2.2.1_TA6</vt:lpstr>
      <vt:lpstr>K31.2.2.1_TA7</vt:lpstr>
      <vt:lpstr>K31.2.2.2</vt:lpstr>
      <vt:lpstr>K31.2.2.2_TA2</vt:lpstr>
      <vt:lpstr>K31.2.2.2_TA7</vt:lpstr>
      <vt:lpstr>K31.2.2.3</vt:lpstr>
      <vt:lpstr>K31.2.2.3_TA2</vt:lpstr>
      <vt:lpstr>K31.2.2.3_TA6</vt:lpstr>
      <vt:lpstr>K31.2.2.3_TA7</vt:lpstr>
      <vt:lpstr>K31.2.2.4</vt:lpstr>
      <vt:lpstr>K31.2.2.4_TA2</vt:lpstr>
      <vt:lpstr>K31.2.2.4_TA6</vt:lpstr>
      <vt:lpstr>K31.2.2.4_TA7</vt:lpstr>
      <vt:lpstr>K31.2.2.5</vt:lpstr>
      <vt:lpstr>K31.2.2.5_TA2</vt:lpstr>
      <vt:lpstr>K31.2.2.5_TA6</vt:lpstr>
      <vt:lpstr>K31.2.2.5_TA7</vt:lpstr>
      <vt:lpstr>K31.2.20.1</vt:lpstr>
      <vt:lpstr>K31.2.20.1_TA9</vt:lpstr>
      <vt:lpstr>K31.2.20.2</vt:lpstr>
      <vt:lpstr>K31.2.20.2_TA9</vt:lpstr>
      <vt:lpstr>K31.2.3</vt:lpstr>
      <vt:lpstr>K31.2.3.1</vt:lpstr>
      <vt:lpstr>K31.2.3.1_TA1</vt:lpstr>
      <vt:lpstr>K31.2.3.1_TA3</vt:lpstr>
      <vt:lpstr>K31.2.3.1_TA6</vt:lpstr>
      <vt:lpstr>K31.2.3.2</vt:lpstr>
      <vt:lpstr>K31.2.3.2_TA1</vt:lpstr>
      <vt:lpstr>K31.2.3.2_TA6</vt:lpstr>
      <vt:lpstr>K31.2.4</vt:lpstr>
      <vt:lpstr>K31.2.4.1</vt:lpstr>
      <vt:lpstr>K31.2.4.1_TA6</vt:lpstr>
      <vt:lpstr>K31.2.4.2</vt:lpstr>
      <vt:lpstr>K31.2.4.2_TA6</vt:lpstr>
      <vt:lpstr>K31.2.5</vt:lpstr>
      <vt:lpstr>K31.2.5.1</vt:lpstr>
      <vt:lpstr>K31.2.5.1_TA8</vt:lpstr>
      <vt:lpstr>K31.2.5.2</vt:lpstr>
      <vt:lpstr>K31.2.5.2_TA8</vt:lpstr>
      <vt:lpstr>K31.2.6</vt:lpstr>
      <vt:lpstr>K31.2.6.1</vt:lpstr>
      <vt:lpstr>K31.2.6.1_TA3</vt:lpstr>
      <vt:lpstr>K31.2.6.2</vt:lpstr>
      <vt:lpstr>K31.2.6.2_TA3</vt:lpstr>
      <vt:lpstr>K31.2.7</vt:lpstr>
      <vt:lpstr>K31.2.7.1</vt:lpstr>
      <vt:lpstr>K31.2.7.1_TA5</vt:lpstr>
      <vt:lpstr>K31.2.7.1_TA9</vt:lpstr>
      <vt:lpstr>K31.2.8</vt:lpstr>
      <vt:lpstr>K31.2.8.1</vt:lpstr>
      <vt:lpstr>K31.2.8.1_TA5</vt:lpstr>
      <vt:lpstr>K31.2.8.2</vt:lpstr>
      <vt:lpstr>K31.2.8.2_TA5</vt:lpstr>
      <vt:lpstr>K31.2.9</vt:lpstr>
      <vt:lpstr>K31.2.9.1</vt:lpstr>
      <vt:lpstr>K31.2.9.1_TA1</vt:lpstr>
      <vt:lpstr>K31.2.9.1_TA6</vt:lpstr>
      <vt:lpstr>K31.3</vt:lpstr>
      <vt:lpstr>K31.3.1</vt:lpstr>
      <vt:lpstr>K31.3.1.1</vt:lpstr>
      <vt:lpstr>K31.3.1.1_TA6</vt:lpstr>
      <vt:lpstr>K31.3.10</vt:lpstr>
      <vt:lpstr>K31.3.11</vt:lpstr>
      <vt:lpstr>K31.3.12</vt:lpstr>
      <vt:lpstr>K31.3.13</vt:lpstr>
      <vt:lpstr>K31.3.14</vt:lpstr>
      <vt:lpstr>K31.3.2</vt:lpstr>
      <vt:lpstr>K31.3.2.1</vt:lpstr>
      <vt:lpstr>K31.3.2.1_TA10</vt:lpstr>
      <vt:lpstr>K31.3.2.1_TA11</vt:lpstr>
      <vt:lpstr>K31.3.3</vt:lpstr>
      <vt:lpstr>K31.3.3.1</vt:lpstr>
      <vt:lpstr>K31.3.3.1_TA6</vt:lpstr>
      <vt:lpstr>K31.3.4</vt:lpstr>
      <vt:lpstr>K31.3.4.1</vt:lpstr>
      <vt:lpstr>K31.3.4.1_TA5</vt:lpstr>
      <vt:lpstr>K31.3.4.1_TA6</vt:lpstr>
      <vt:lpstr>K31.3.4.1_TA8</vt:lpstr>
      <vt:lpstr>K31.3.4.1_TA9</vt:lpstr>
      <vt:lpstr>K31.3.5</vt:lpstr>
      <vt:lpstr>K31.3.5.1</vt:lpstr>
      <vt:lpstr>K31.3.5.1_TA5</vt:lpstr>
      <vt:lpstr>K31.3.5.1_TA6</vt:lpstr>
      <vt:lpstr>K31.3.5.1_TA8</vt:lpstr>
      <vt:lpstr>K31.3.6</vt:lpstr>
      <vt:lpstr>K31.3.6.1</vt:lpstr>
      <vt:lpstr>K31.3.6.1_TA10</vt:lpstr>
      <vt:lpstr>K31.3.6.1_TA11</vt:lpstr>
      <vt:lpstr>K31.3.6.1_TA6</vt:lpstr>
      <vt:lpstr>K31.3.7</vt:lpstr>
      <vt:lpstr>K31.3.7.1</vt:lpstr>
      <vt:lpstr>K31.3.7.1_TA10</vt:lpstr>
      <vt:lpstr>K31.3.7.1_TA6</vt:lpstr>
      <vt:lpstr>K31.3.7.2</vt:lpstr>
      <vt:lpstr>K31.3.7.2_TA10</vt:lpstr>
      <vt:lpstr>K31.3.7.2_TA5</vt:lpstr>
      <vt:lpstr>K31.3.7.2_TA6</vt:lpstr>
      <vt:lpstr>K31.3.7.3</vt:lpstr>
      <vt:lpstr>K31.3.7.3_TA14</vt:lpstr>
      <vt:lpstr>K31.3.7.3_TA15</vt:lpstr>
      <vt:lpstr>K31.3.8</vt:lpstr>
      <vt:lpstr>K31.3.9</vt:lpstr>
      <vt:lpstr>K31.4</vt:lpstr>
      <vt:lpstr>K31.4.1</vt:lpstr>
      <vt:lpstr>K31.4.1.1</vt:lpstr>
      <vt:lpstr>K31.4.1.1_TA1</vt:lpstr>
      <vt:lpstr>K31.4.1.1_TA10</vt:lpstr>
      <vt:lpstr>K31.4.1.1_TA11</vt:lpstr>
      <vt:lpstr>K31.4.1.1_TA2</vt:lpstr>
      <vt:lpstr>K31.4.1.1_TA3</vt:lpstr>
      <vt:lpstr>K31.4.1.1_TA4</vt:lpstr>
      <vt:lpstr>K31.4.1.1_TA5</vt:lpstr>
      <vt:lpstr>K31.4.1.1_TA6</vt:lpstr>
      <vt:lpstr>K31.4.1.1_TA7</vt:lpstr>
      <vt:lpstr>K31.4.1.1_TA8</vt:lpstr>
      <vt:lpstr>K31.4.1.1_TA9</vt:lpstr>
      <vt:lpstr>K31.4.1.2</vt:lpstr>
      <vt:lpstr>K31.4.1.2_TA1</vt:lpstr>
      <vt:lpstr>K31.4.1.2_TA10</vt:lpstr>
      <vt:lpstr>K31.4.1.2_TA11</vt:lpstr>
      <vt:lpstr>K31.4.1.2_TA2</vt:lpstr>
      <vt:lpstr>K31.4.1.2_TA3</vt:lpstr>
      <vt:lpstr>K31.4.1.2_TA4</vt:lpstr>
      <vt:lpstr>K31.4.1.2_TA5</vt:lpstr>
      <vt:lpstr>K31.4.1.2_TA6</vt:lpstr>
      <vt:lpstr>K31.4.1.2_TA7</vt:lpstr>
      <vt:lpstr>K31.4.1.2_TA8</vt:lpstr>
      <vt:lpstr>K31.4.1.2_TA9</vt:lpstr>
      <vt:lpstr>K31.4.1.3</vt:lpstr>
      <vt:lpstr>K31.4.1.3_TA1</vt:lpstr>
      <vt:lpstr>K31.4.1.3_TA10</vt:lpstr>
      <vt:lpstr>K31.4.1.3_TA11</vt:lpstr>
      <vt:lpstr>K31.4.1.3_TA2</vt:lpstr>
      <vt:lpstr>K31.4.1.3_TA3</vt:lpstr>
      <vt:lpstr>K31.4.1.3_TA4</vt:lpstr>
      <vt:lpstr>K31.4.1.3_TA5</vt:lpstr>
      <vt:lpstr>K31.4.1.3_TA6</vt:lpstr>
      <vt:lpstr>K31.4.1.3_TA7</vt:lpstr>
      <vt:lpstr>K31.4.1.3_TA8</vt:lpstr>
      <vt:lpstr>K31.4.1.3_TA9</vt:lpstr>
      <vt:lpstr>K31.4.1.4</vt:lpstr>
      <vt:lpstr>K31.4.1.4_TA1</vt:lpstr>
      <vt:lpstr>K31.4.1.4_TA10</vt:lpstr>
      <vt:lpstr>K31.4.1.4_TA11</vt:lpstr>
      <vt:lpstr>K31.4.1.4_TA2</vt:lpstr>
      <vt:lpstr>K31.4.1.4_TA3</vt:lpstr>
      <vt:lpstr>K31.4.1.4_TA4</vt:lpstr>
      <vt:lpstr>K31.4.1.4_TA5</vt:lpstr>
      <vt:lpstr>K31.4.1.4_TA6</vt:lpstr>
      <vt:lpstr>K31.4.1.4_TA7</vt:lpstr>
      <vt:lpstr>K31.4.1.4_TA8</vt:lpstr>
      <vt:lpstr>K31.4.1.4_TA9</vt:lpstr>
      <vt:lpstr>K31.4.1.5</vt:lpstr>
      <vt:lpstr>K31.4.1.5_TA1</vt:lpstr>
      <vt:lpstr>K31.4.1.5_TA10</vt:lpstr>
      <vt:lpstr>K31.4.1.5_TA11</vt:lpstr>
      <vt:lpstr>K31.4.1.5_TA2</vt:lpstr>
      <vt:lpstr>K31.4.1.5_TA3</vt:lpstr>
      <vt:lpstr>K31.4.1.5_TA4</vt:lpstr>
      <vt:lpstr>K31.4.1.5_TA5</vt:lpstr>
      <vt:lpstr>K31.4.1.5_TA6</vt:lpstr>
      <vt:lpstr>K31.4.1.5_TA7</vt:lpstr>
      <vt:lpstr>K31.4.1.5_TA8</vt:lpstr>
      <vt:lpstr>K31.4.1.5_TA9</vt:lpstr>
      <vt:lpstr>K31.4.1.6</vt:lpstr>
      <vt:lpstr>K31.4.1.6_TA1</vt:lpstr>
      <vt:lpstr>K31.4.1.6_TA2</vt:lpstr>
      <vt:lpstr>K31.4.2</vt:lpstr>
      <vt:lpstr>K31.4.2.1</vt:lpstr>
      <vt:lpstr>K31.4.2.1_TA9</vt:lpstr>
      <vt:lpstr>K31.4.3</vt:lpstr>
      <vt:lpstr>K31.4.3.1</vt:lpstr>
      <vt:lpstr>K31.4.3.1_TA8</vt:lpstr>
      <vt:lpstr>K31.4.3.2</vt:lpstr>
      <vt:lpstr>K31.4.3.2_TA8</vt:lpstr>
      <vt:lpstr>K31.4.4</vt:lpstr>
      <vt:lpstr>K31.4.4.1</vt:lpstr>
      <vt:lpstr>K31.4.4.1_TA3</vt:lpstr>
      <vt:lpstr>K31.4.4.1_TA4</vt:lpstr>
      <vt:lpstr>K31.4.4.1_TA6</vt:lpstr>
      <vt:lpstr>K31.4.4.1_TA8</vt:lpstr>
      <vt:lpstr>K31.4.4.1_TA9</vt:lpstr>
      <vt:lpstr>K31.4.4.2</vt:lpstr>
      <vt:lpstr>K31.4.4.2_TA3</vt:lpstr>
      <vt:lpstr>K31.4.4.2_TA4</vt:lpstr>
      <vt:lpstr>K31.4.4.2_TA6</vt:lpstr>
      <vt:lpstr>K31.4.4.2_TA8</vt:lpstr>
      <vt:lpstr>K31.4.4.2_TA9</vt:lpstr>
      <vt:lpstr>K31.4.4.3</vt:lpstr>
      <vt:lpstr>K31.4.4.3_TA3</vt:lpstr>
      <vt:lpstr>K31.4.4.3_TA4</vt:lpstr>
      <vt:lpstr>K31.4.4.4</vt:lpstr>
      <vt:lpstr>K31.4.4.4_TA8</vt:lpstr>
      <vt:lpstr>K31.4.4.4_TA9</vt:lpstr>
      <vt:lpstr>K31.4.4.5</vt:lpstr>
      <vt:lpstr>K31.4.4.5_TA3</vt:lpstr>
      <vt:lpstr>K31.4.4.5_TA4</vt:lpstr>
      <vt:lpstr>K31.4.4.5_TA6</vt:lpstr>
      <vt:lpstr>K31.4.4.5_TA8</vt:lpstr>
      <vt:lpstr>K31.4.4.5_TA9</vt:lpstr>
      <vt:lpstr>K31.4.4.6</vt:lpstr>
      <vt:lpstr>K31.4.4.6_TA3</vt:lpstr>
      <vt:lpstr>K31.4.4.6_TA4</vt:lpstr>
      <vt:lpstr>K31.4.4.6_TA6</vt:lpstr>
      <vt:lpstr>K31.4.4.6_TA8</vt:lpstr>
      <vt:lpstr>K31.4.4.6_TA9</vt:lpstr>
      <vt:lpstr>K31.4.5</vt:lpstr>
      <vt:lpstr>K31.4.6</vt:lpstr>
      <vt:lpstr>K31.4.7</vt:lpstr>
      <vt:lpstr>K31.4.8</vt:lpstr>
      <vt:lpstr>K31.4.8_TA14</vt:lpstr>
      <vt:lpstr>KIN_1</vt:lpstr>
      <vt:lpstr>KIN_2</vt:lpstr>
      <vt:lpstr>KIN_3</vt:lpstr>
      <vt:lpstr>KIN_4</vt:lpstr>
      <vt:lpstr>KIN_5</vt:lpstr>
      <vt:lpstr>KIN_6</vt:lpstr>
      <vt:lpstr>KKIN_1</vt:lpstr>
      <vt:lpstr>KKIN_10</vt:lpstr>
      <vt:lpstr>KKIN_12</vt:lpstr>
      <vt:lpstr>KKIN_13</vt:lpstr>
      <vt:lpstr>KKIN_14</vt:lpstr>
      <vt:lpstr>KKIN_16</vt:lpstr>
      <vt:lpstr>KKIN_17</vt:lpstr>
      <vt:lpstr>KKIN_18</vt:lpstr>
      <vt:lpstr>KKIN_19</vt:lpstr>
      <vt:lpstr>KKIN_2</vt:lpstr>
      <vt:lpstr>KKIN_20</vt:lpstr>
      <vt:lpstr>KKIN_21</vt:lpstr>
      <vt:lpstr>KKIN_22</vt:lpstr>
      <vt:lpstr>KKIN_23</vt:lpstr>
      <vt:lpstr>KKIN_24</vt:lpstr>
      <vt:lpstr>KKIN_25</vt:lpstr>
      <vt:lpstr>KKIN_26</vt:lpstr>
      <vt:lpstr>KKIN_27</vt:lpstr>
      <vt:lpstr>KKIN_28</vt:lpstr>
      <vt:lpstr>KKIN_29</vt:lpstr>
      <vt:lpstr>KKIN_3</vt:lpstr>
      <vt:lpstr>KKIN_30</vt:lpstr>
      <vt:lpstr>KKIN_31</vt:lpstr>
      <vt:lpstr>KKIN_32</vt:lpstr>
      <vt:lpstr>KKIN_33</vt:lpstr>
      <vt:lpstr>KKIN_34</vt:lpstr>
      <vt:lpstr>KKIN_35</vt:lpstr>
      <vt:lpstr>KKIN_36</vt:lpstr>
      <vt:lpstr>KKIN_37</vt:lpstr>
      <vt:lpstr>KKIN_38</vt:lpstr>
      <vt:lpstr>KKIN_39</vt:lpstr>
      <vt:lpstr>KKIN_4</vt:lpstr>
      <vt:lpstr>KKIN_40</vt:lpstr>
      <vt:lpstr>KKIN_41</vt:lpstr>
      <vt:lpstr>KKIN_42</vt:lpstr>
      <vt:lpstr>KKIN_45</vt:lpstr>
      <vt:lpstr>KKIN_46</vt:lpstr>
      <vt:lpstr>KKIN_47</vt:lpstr>
      <vt:lpstr>KKIN_5</vt:lpstr>
      <vt:lpstr>KKIN_6</vt:lpstr>
      <vt:lpstr>KKIN_7</vt:lpstr>
      <vt:lpstr>KKIN_8</vt:lpstr>
      <vt:lpstr>KKIN_9</vt:lpstr>
      <vt:lpstr>KKKIN_1</vt:lpstr>
      <vt:lpstr>KKKIN_10</vt:lpstr>
      <vt:lpstr>KKKIN_11</vt:lpstr>
      <vt:lpstr>KKKIN_12</vt:lpstr>
      <vt:lpstr>KKKIN_13</vt:lpstr>
      <vt:lpstr>KKKIN_14</vt:lpstr>
      <vt:lpstr>KKKIN_15</vt:lpstr>
      <vt:lpstr>KKKIN_16</vt:lpstr>
      <vt:lpstr>KKKIN_17</vt:lpstr>
      <vt:lpstr>KKKIN_18</vt:lpstr>
      <vt:lpstr>KKKIN_19</vt:lpstr>
      <vt:lpstr>KKKIN_2</vt:lpstr>
      <vt:lpstr>KKKIN_20</vt:lpstr>
      <vt:lpstr>KKKIN_21</vt:lpstr>
      <vt:lpstr>KKKIN_22</vt:lpstr>
      <vt:lpstr>KKKIN_23</vt:lpstr>
      <vt:lpstr>KKKIN_24</vt:lpstr>
      <vt:lpstr>KKKIN_25</vt:lpstr>
      <vt:lpstr>KKKIN_26</vt:lpstr>
      <vt:lpstr>KKKIN_27</vt:lpstr>
      <vt:lpstr>KKKIN_28</vt:lpstr>
      <vt:lpstr>KKKIN_29</vt:lpstr>
      <vt:lpstr>KKKIN_3</vt:lpstr>
      <vt:lpstr>KKKIN_30</vt:lpstr>
      <vt:lpstr>KKKIN_31</vt:lpstr>
      <vt:lpstr>KKKIN_32</vt:lpstr>
      <vt:lpstr>KKKIN_33</vt:lpstr>
      <vt:lpstr>KKKIN_34</vt:lpstr>
      <vt:lpstr>KKKIN_35</vt:lpstr>
      <vt:lpstr>KKKIN_36</vt:lpstr>
      <vt:lpstr>KKKIN_37</vt:lpstr>
      <vt:lpstr>KKKIN_38</vt:lpstr>
      <vt:lpstr>KKKIN_39</vt:lpstr>
      <vt:lpstr>KKKIN_4</vt:lpstr>
      <vt:lpstr>KKKIN_40</vt:lpstr>
      <vt:lpstr>KKKIN_41</vt:lpstr>
      <vt:lpstr>KKKIN_42</vt:lpstr>
      <vt:lpstr>KKKIN_43</vt:lpstr>
      <vt:lpstr>KKKIN_44</vt:lpstr>
      <vt:lpstr>KKKIN_45</vt:lpstr>
      <vt:lpstr>KKKIN_46</vt:lpstr>
      <vt:lpstr>KKKIN_47</vt:lpstr>
      <vt:lpstr>KKKIN_48</vt:lpstr>
      <vt:lpstr>KKKIN_49</vt:lpstr>
      <vt:lpstr>KKKIN_5</vt:lpstr>
      <vt:lpstr>KKKIN_50</vt:lpstr>
      <vt:lpstr>KKKIN_51</vt:lpstr>
      <vt:lpstr>KKKIN_52</vt:lpstr>
      <vt:lpstr>KKKIN_53</vt:lpstr>
      <vt:lpstr>KKKIN_54</vt:lpstr>
      <vt:lpstr>KKKIN_55</vt:lpstr>
      <vt:lpstr>KKKIN_56</vt:lpstr>
      <vt:lpstr>KKKIN_57</vt:lpstr>
      <vt:lpstr>KKKIN_58</vt:lpstr>
      <vt:lpstr>KKKIN_59</vt:lpstr>
      <vt:lpstr>KKKIN_60</vt:lpstr>
      <vt:lpstr>KKKIN_61</vt:lpstr>
      <vt:lpstr>KKKIN_62</vt:lpstr>
      <vt:lpstr>KKKIN_63</vt:lpstr>
      <vt:lpstr>KKKIN_64</vt:lpstr>
      <vt:lpstr>KKKIN_65</vt:lpstr>
      <vt:lpstr>KKKIN_66</vt:lpstr>
      <vt:lpstr>KKKIN_7</vt:lpstr>
      <vt:lpstr>KKKIN_8</vt:lpstr>
      <vt:lpstr>KKKIN_9</vt:lpstr>
      <vt:lpstr>'Lista de Empresas Supervisoras'!La_Libertad</vt:lpstr>
      <vt:lpstr>'Lista de Empresas Supervisoras'!Lambayeque</vt:lpstr>
      <vt:lpstr>'Lista de Empresas Supervisoras'!Lima_Norte</vt:lpstr>
      <vt:lpstr>'Lista de Empresas Supervisoras'!Lima_Sur</vt:lpstr>
      <vt:lpstr>LIST_EMP</vt:lpstr>
      <vt:lpstr>LOC_1</vt:lpstr>
      <vt:lpstr>LOC_10</vt:lpstr>
      <vt:lpstr>LOC_100</vt:lpstr>
      <vt:lpstr>LOC_101</vt:lpstr>
      <vt:lpstr>LOC_102</vt:lpstr>
      <vt:lpstr>LOC_103</vt:lpstr>
      <vt:lpstr>LOC_104</vt:lpstr>
      <vt:lpstr>LOC_105</vt:lpstr>
      <vt:lpstr>LOC_106</vt:lpstr>
      <vt:lpstr>LOC_107</vt:lpstr>
      <vt:lpstr>LOC_108</vt:lpstr>
      <vt:lpstr>LOC_109</vt:lpstr>
      <vt:lpstr>LOC_11</vt:lpstr>
      <vt:lpstr>LOC_110</vt:lpstr>
      <vt:lpstr>LOC_111</vt:lpstr>
      <vt:lpstr>LOC_112</vt:lpstr>
      <vt:lpstr>LOC_113</vt:lpstr>
      <vt:lpstr>LOC_114</vt:lpstr>
      <vt:lpstr>LOC_115</vt:lpstr>
      <vt:lpstr>LOC_116</vt:lpstr>
      <vt:lpstr>LOC_117</vt:lpstr>
      <vt:lpstr>LOC_118</vt:lpstr>
      <vt:lpstr>LOC_119</vt:lpstr>
      <vt:lpstr>LOC_12</vt:lpstr>
      <vt:lpstr>LOC_120</vt:lpstr>
      <vt:lpstr>LOC_121</vt:lpstr>
      <vt:lpstr>LOC_122</vt:lpstr>
      <vt:lpstr>LOC_123</vt:lpstr>
      <vt:lpstr>LOC_124</vt:lpstr>
      <vt:lpstr>LOC_1241</vt:lpstr>
      <vt:lpstr>LOC_1242</vt:lpstr>
      <vt:lpstr>LOC_1243</vt:lpstr>
      <vt:lpstr>LOC_1244</vt:lpstr>
      <vt:lpstr>LOC_125</vt:lpstr>
      <vt:lpstr>LOC_126</vt:lpstr>
      <vt:lpstr>LOC_127</vt:lpstr>
      <vt:lpstr>LOC_128</vt:lpstr>
      <vt:lpstr>LOC_129</vt:lpstr>
      <vt:lpstr>LOC_13</vt:lpstr>
      <vt:lpstr>LOC_130</vt:lpstr>
      <vt:lpstr>LOC_131</vt:lpstr>
      <vt:lpstr>LOC_132</vt:lpstr>
      <vt:lpstr>LOC_133</vt:lpstr>
      <vt:lpstr>LOC_134</vt:lpstr>
      <vt:lpstr>LOC_135</vt:lpstr>
      <vt:lpstr>LOC_136</vt:lpstr>
      <vt:lpstr>LOC_137</vt:lpstr>
      <vt:lpstr>LOC_138</vt:lpstr>
      <vt:lpstr>LOC_139</vt:lpstr>
      <vt:lpstr>LOC_14</vt:lpstr>
      <vt:lpstr>LOC_140</vt:lpstr>
      <vt:lpstr>LOC_141</vt:lpstr>
      <vt:lpstr>LOC_142</vt:lpstr>
      <vt:lpstr>LOC_143</vt:lpstr>
      <vt:lpstr>LOC_144</vt:lpstr>
      <vt:lpstr>LOC_145</vt:lpstr>
      <vt:lpstr>LOC_146</vt:lpstr>
      <vt:lpstr>LOC_147</vt:lpstr>
      <vt:lpstr>LOC_148</vt:lpstr>
      <vt:lpstr>LOC_149</vt:lpstr>
      <vt:lpstr>LOC_15</vt:lpstr>
      <vt:lpstr>LOC_150</vt:lpstr>
      <vt:lpstr>LOC_151</vt:lpstr>
      <vt:lpstr>LOC_152</vt:lpstr>
      <vt:lpstr>LOC_153</vt:lpstr>
      <vt:lpstr>LOC_154</vt:lpstr>
      <vt:lpstr>LOC_155</vt:lpstr>
      <vt:lpstr>LOC_156</vt:lpstr>
      <vt:lpstr>LOC_157</vt:lpstr>
      <vt:lpstr>LOC_158</vt:lpstr>
      <vt:lpstr>LOC_159</vt:lpstr>
      <vt:lpstr>LOC_16</vt:lpstr>
      <vt:lpstr>LOC_160</vt:lpstr>
      <vt:lpstr>LOC_161</vt:lpstr>
      <vt:lpstr>LOC_162</vt:lpstr>
      <vt:lpstr>LOC_163</vt:lpstr>
      <vt:lpstr>LOC_164</vt:lpstr>
      <vt:lpstr>LOC_165</vt:lpstr>
      <vt:lpstr>LOC_166</vt:lpstr>
      <vt:lpstr>LOC_167</vt:lpstr>
      <vt:lpstr>LOC_168</vt:lpstr>
      <vt:lpstr>LOC_169</vt:lpstr>
      <vt:lpstr>LOC_17</vt:lpstr>
      <vt:lpstr>LOC_170</vt:lpstr>
      <vt:lpstr>LOC_171</vt:lpstr>
      <vt:lpstr>LOC_172</vt:lpstr>
      <vt:lpstr>LOC_173</vt:lpstr>
      <vt:lpstr>LOC_174</vt:lpstr>
      <vt:lpstr>LOC_175</vt:lpstr>
      <vt:lpstr>LOC_176</vt:lpstr>
      <vt:lpstr>LOC_177</vt:lpstr>
      <vt:lpstr>LOC_178</vt:lpstr>
      <vt:lpstr>LOC_179</vt:lpstr>
      <vt:lpstr>LOC_18</vt:lpstr>
      <vt:lpstr>LOC_180</vt:lpstr>
      <vt:lpstr>LOC_181</vt:lpstr>
      <vt:lpstr>LOC_182</vt:lpstr>
      <vt:lpstr>LOC_183</vt:lpstr>
      <vt:lpstr>LOC_184</vt:lpstr>
      <vt:lpstr>LOC_185</vt:lpstr>
      <vt:lpstr>LOC_186</vt:lpstr>
      <vt:lpstr>LOC_187</vt:lpstr>
      <vt:lpstr>LOC_188</vt:lpstr>
      <vt:lpstr>LOC_189</vt:lpstr>
      <vt:lpstr>LOC_19</vt:lpstr>
      <vt:lpstr>LOC_190</vt:lpstr>
      <vt:lpstr>LOC_191</vt:lpstr>
      <vt:lpstr>LOC_1911</vt:lpstr>
      <vt:lpstr>LOC_1912</vt:lpstr>
      <vt:lpstr>LOC_1913</vt:lpstr>
      <vt:lpstr>LOC_192</vt:lpstr>
      <vt:lpstr>LOC_193</vt:lpstr>
      <vt:lpstr>LOC_194</vt:lpstr>
      <vt:lpstr>LOC_195</vt:lpstr>
      <vt:lpstr>LOC_2</vt:lpstr>
      <vt:lpstr>LOC_20</vt:lpstr>
      <vt:lpstr>LOC_21</vt:lpstr>
      <vt:lpstr>LOC_22</vt:lpstr>
      <vt:lpstr>LOC_23</vt:lpstr>
      <vt:lpstr>LOC_24</vt:lpstr>
      <vt:lpstr>LOC_25</vt:lpstr>
      <vt:lpstr>LOC_26</vt:lpstr>
      <vt:lpstr>LOC_27</vt:lpstr>
      <vt:lpstr>LOC_28</vt:lpstr>
      <vt:lpstr>LOC_29</vt:lpstr>
      <vt:lpstr>LOC_3</vt:lpstr>
      <vt:lpstr>LOC_30</vt:lpstr>
      <vt:lpstr>LOC_31</vt:lpstr>
      <vt:lpstr>LOC_32</vt:lpstr>
      <vt:lpstr>LOC_33</vt:lpstr>
      <vt:lpstr>LOC_34</vt:lpstr>
      <vt:lpstr>LOC_35</vt:lpstr>
      <vt:lpstr>LOC_36</vt:lpstr>
      <vt:lpstr>LOC_37</vt:lpstr>
      <vt:lpstr>LOC_38</vt:lpstr>
      <vt:lpstr>LOC_39</vt:lpstr>
      <vt:lpstr>LOC_4</vt:lpstr>
      <vt:lpstr>LOC_40</vt:lpstr>
      <vt:lpstr>LOC_41</vt:lpstr>
      <vt:lpstr>LOC_42</vt:lpstr>
      <vt:lpstr>LOC_43</vt:lpstr>
      <vt:lpstr>LOC_44</vt:lpstr>
      <vt:lpstr>LOC_45</vt:lpstr>
      <vt:lpstr>LOC_46</vt:lpstr>
      <vt:lpstr>LOC_47</vt:lpstr>
      <vt:lpstr>LOC_48</vt:lpstr>
      <vt:lpstr>LOC_49</vt:lpstr>
      <vt:lpstr>LOC_5</vt:lpstr>
      <vt:lpstr>LOC_50</vt:lpstr>
      <vt:lpstr>LOC_51</vt:lpstr>
      <vt:lpstr>LOC_52</vt:lpstr>
      <vt:lpstr>LOC_53</vt:lpstr>
      <vt:lpstr>LOC_531</vt:lpstr>
      <vt:lpstr>LOC_5311</vt:lpstr>
      <vt:lpstr>LOC_54</vt:lpstr>
      <vt:lpstr>LOC_55</vt:lpstr>
      <vt:lpstr>LOC_56</vt:lpstr>
      <vt:lpstr>LOC_57</vt:lpstr>
      <vt:lpstr>LOC_58</vt:lpstr>
      <vt:lpstr>LOC_59</vt:lpstr>
      <vt:lpstr>LOC_6</vt:lpstr>
      <vt:lpstr>LOC_60</vt:lpstr>
      <vt:lpstr>LOC_61</vt:lpstr>
      <vt:lpstr>LOC_62</vt:lpstr>
      <vt:lpstr>LOC_63</vt:lpstr>
      <vt:lpstr>LOC_64</vt:lpstr>
      <vt:lpstr>LOC_65</vt:lpstr>
      <vt:lpstr>LOC_66</vt:lpstr>
      <vt:lpstr>LOC_67</vt:lpstr>
      <vt:lpstr>LOC_68</vt:lpstr>
      <vt:lpstr>LOC_69</vt:lpstr>
      <vt:lpstr>LOC_7</vt:lpstr>
      <vt:lpstr>LOC_70</vt:lpstr>
      <vt:lpstr>LOC_71</vt:lpstr>
      <vt:lpstr>LOC_72</vt:lpstr>
      <vt:lpstr>LOC_73</vt:lpstr>
      <vt:lpstr>LOC_74</vt:lpstr>
      <vt:lpstr>LOC_75</vt:lpstr>
      <vt:lpstr>LOC_76</vt:lpstr>
      <vt:lpstr>LOC_77</vt:lpstr>
      <vt:lpstr>LOC_78</vt:lpstr>
      <vt:lpstr>LOC_79</vt:lpstr>
      <vt:lpstr>LOC_8</vt:lpstr>
      <vt:lpstr>LOC_80</vt:lpstr>
      <vt:lpstr>LOC_81</vt:lpstr>
      <vt:lpstr>LOC_82</vt:lpstr>
      <vt:lpstr>LOC_83</vt:lpstr>
      <vt:lpstr>LOC_84</vt:lpstr>
      <vt:lpstr>LOC_85</vt:lpstr>
      <vt:lpstr>LOC_86</vt:lpstr>
      <vt:lpstr>LOC_87</vt:lpstr>
      <vt:lpstr>LOC_88</vt:lpstr>
      <vt:lpstr>LOC_89</vt:lpstr>
      <vt:lpstr>LOC_9</vt:lpstr>
      <vt:lpstr>LOC_90</vt:lpstr>
      <vt:lpstr>LOC_91</vt:lpstr>
      <vt:lpstr>LOC_92</vt:lpstr>
      <vt:lpstr>LOC_93</vt:lpstr>
      <vt:lpstr>LOC_94</vt:lpstr>
      <vt:lpstr>LOC_95</vt:lpstr>
      <vt:lpstr>LOC_96</vt:lpstr>
      <vt:lpstr>LOC_97</vt:lpstr>
      <vt:lpstr>LOC_98</vt:lpstr>
      <vt:lpstr>LOC_99</vt:lpstr>
      <vt:lpstr>'Lista de Empresas Supervisoras'!Loreto</vt:lpstr>
      <vt:lpstr>'Lista de Empresas Supervisoras'!Madre_de_Dios</vt:lpstr>
      <vt:lpstr>meses</vt:lpstr>
      <vt:lpstr>'Lista de Empresas Supervisoras'!Moquegua</vt:lpstr>
      <vt:lpstr>oficinaregional</vt:lpstr>
      <vt:lpstr>OR</vt:lpstr>
      <vt:lpstr>'Lista de Empresas Supervisoras'!Pasco</vt:lpstr>
      <vt:lpstr>'Lista de Empresas Supervisoras'!Piura</vt:lpstr>
      <vt:lpstr>PO</vt:lpstr>
      <vt:lpstr>'Lista de Empresas Supervisoras'!Puno</vt:lpstr>
      <vt:lpstr>'Lista de Empresas Supervisoras'!San_Martín</vt:lpstr>
      <vt:lpstr>'Lista de Empresas Supervisoras'!Tacna</vt:lpstr>
      <vt:lpstr>TP</vt:lpstr>
      <vt:lpstr>'Lista de Empresas Supervisoras'!Tumbes</vt:lpstr>
      <vt:lpstr>'Lista de Empresas Supervisoras'!Ucayali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Karla Portella</dc:creator>
  <cp:lastModifiedBy>INSTRUCTOR</cp:lastModifiedBy>
  <dcterms:created xsi:type="dcterms:W3CDTF">2018-03-12T02:36:37Z</dcterms:created>
  <dcterms:modified xsi:type="dcterms:W3CDTF">2026-10-26T23:25:54Z</dcterms:modified>
</cp:coreProperties>
</file>